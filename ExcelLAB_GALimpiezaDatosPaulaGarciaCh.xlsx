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cbd75711963ae41/EY/"/>
    </mc:Choice>
  </mc:AlternateContent>
  <xr:revisionPtr revIDLastSave="0" documentId="8_{DA9CB70D-60E4-41AC-B51B-5FA08975A1C1}" xr6:coauthVersionLast="47" xr6:coauthVersionMax="47" xr10:uidLastSave="{00000000-0000-0000-0000-000000000000}"/>
  <bookViews>
    <workbookView xWindow="-110" yWindow="-110" windowWidth="19420" windowHeight="11500" xr2:uid="{464EB905-7331-4B46-9A7E-24086747691B}"/>
  </bookViews>
  <sheets>
    <sheet name="Todos" sheetId="1" r:id="rId1"/>
    <sheet name="vlookup_table" sheetId="4" r:id="rId2"/>
  </sheets>
  <definedNames>
    <definedName name="_xlnm._FilterDatabase" localSheetId="0" hidden="1">Todos!$A$1:$U$1</definedName>
    <definedName name="_xlnm._FilterDatabase" localSheetId="1" hidden="1">vlookup_table!$A$1:$A$4001</definedName>
    <definedName name="ExternalData_1" localSheetId="1" hidden="1">vlookup_table!$B$1:$G$4001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4029" i="1" l="1"/>
  <c r="U4028" i="1"/>
  <c r="U4027" i="1"/>
  <c r="U4026" i="1"/>
  <c r="U4025" i="1"/>
  <c r="U4024" i="1"/>
  <c r="U4023" i="1"/>
  <c r="U4022" i="1"/>
  <c r="U4021" i="1"/>
  <c r="U4020" i="1"/>
  <c r="U4019" i="1"/>
  <c r="U4018" i="1"/>
  <c r="U4017" i="1"/>
  <c r="U4016" i="1"/>
  <c r="U4015" i="1"/>
  <c r="U4014" i="1"/>
  <c r="U4013" i="1"/>
  <c r="U4012" i="1"/>
  <c r="U4011" i="1"/>
  <c r="U4010" i="1"/>
  <c r="U4009" i="1"/>
  <c r="U4008" i="1"/>
  <c r="U4007" i="1"/>
  <c r="U4006" i="1"/>
  <c r="U4005" i="1"/>
  <c r="U4004" i="1"/>
  <c r="U4003" i="1"/>
  <c r="U4002" i="1"/>
  <c r="U4001" i="1"/>
  <c r="U4000" i="1"/>
  <c r="U3999" i="1"/>
  <c r="U3998" i="1"/>
  <c r="U3997" i="1"/>
  <c r="U3996" i="1"/>
  <c r="U3995" i="1"/>
  <c r="U3994" i="1"/>
  <c r="U3993" i="1"/>
  <c r="U3992" i="1"/>
  <c r="U3991" i="1"/>
  <c r="U3990" i="1"/>
  <c r="U3989" i="1"/>
  <c r="U3988" i="1"/>
  <c r="U3987" i="1"/>
  <c r="U3986" i="1"/>
  <c r="U3985" i="1"/>
  <c r="U3984" i="1"/>
  <c r="U3983" i="1"/>
  <c r="U3982" i="1"/>
  <c r="U3981" i="1"/>
  <c r="U3980" i="1"/>
  <c r="U3979" i="1"/>
  <c r="U3978" i="1"/>
  <c r="U3977" i="1"/>
  <c r="U3976" i="1"/>
  <c r="U3975" i="1"/>
  <c r="U3974" i="1"/>
  <c r="U3973" i="1"/>
  <c r="U3972" i="1"/>
  <c r="U3971" i="1"/>
  <c r="U3970" i="1"/>
  <c r="U3969" i="1"/>
  <c r="U3968" i="1"/>
  <c r="U3967" i="1"/>
  <c r="U3966" i="1"/>
  <c r="U3965" i="1"/>
  <c r="U3964" i="1"/>
  <c r="U3963" i="1"/>
  <c r="U3962" i="1"/>
  <c r="U3961" i="1"/>
  <c r="U3960" i="1"/>
  <c r="U3959" i="1"/>
  <c r="U3958" i="1"/>
  <c r="U3957" i="1"/>
  <c r="U3956" i="1"/>
  <c r="U3955" i="1"/>
  <c r="U3954" i="1"/>
  <c r="U3953" i="1"/>
  <c r="U3952" i="1"/>
  <c r="U3951" i="1"/>
  <c r="U3950" i="1"/>
  <c r="U3949" i="1"/>
  <c r="U3948" i="1"/>
  <c r="U3947" i="1"/>
  <c r="U3946" i="1"/>
  <c r="U3945" i="1"/>
  <c r="U3944" i="1"/>
  <c r="U3943" i="1"/>
  <c r="U3942" i="1"/>
  <c r="U3941" i="1"/>
  <c r="U3940" i="1"/>
  <c r="U3939" i="1"/>
  <c r="U3938" i="1"/>
  <c r="U3937" i="1"/>
  <c r="U3936" i="1"/>
  <c r="U3935" i="1"/>
  <c r="U3934" i="1"/>
  <c r="U3933" i="1"/>
  <c r="U3932" i="1"/>
  <c r="U3931" i="1"/>
  <c r="U3930" i="1"/>
  <c r="U3929" i="1"/>
  <c r="U3928" i="1"/>
  <c r="U3927" i="1"/>
  <c r="U3926" i="1"/>
  <c r="U3925" i="1"/>
  <c r="U3924" i="1"/>
  <c r="U3923" i="1"/>
  <c r="U3922" i="1"/>
  <c r="U3921" i="1"/>
  <c r="U3920" i="1"/>
  <c r="U3919" i="1"/>
  <c r="U3918" i="1"/>
  <c r="U3917" i="1"/>
  <c r="U3916" i="1"/>
  <c r="U3915" i="1"/>
  <c r="U3914" i="1"/>
  <c r="U3913" i="1"/>
  <c r="U3912" i="1"/>
  <c r="U3911" i="1"/>
  <c r="U3910" i="1"/>
  <c r="U3909" i="1"/>
  <c r="U3908" i="1"/>
  <c r="U3907" i="1"/>
  <c r="U3906" i="1"/>
  <c r="U3905" i="1"/>
  <c r="U3904" i="1"/>
  <c r="U3903" i="1"/>
  <c r="U3902" i="1"/>
  <c r="U3901" i="1"/>
  <c r="U3900" i="1"/>
  <c r="U3899" i="1"/>
  <c r="U3898" i="1"/>
  <c r="U3897" i="1"/>
  <c r="U3896" i="1"/>
  <c r="U3895" i="1"/>
  <c r="U3894" i="1"/>
  <c r="U3893" i="1"/>
  <c r="U3892" i="1"/>
  <c r="U3891" i="1"/>
  <c r="U3890" i="1"/>
  <c r="U3889" i="1"/>
  <c r="U3888" i="1"/>
  <c r="U3887" i="1"/>
  <c r="U3886" i="1"/>
  <c r="U3885" i="1"/>
  <c r="U3884" i="1"/>
  <c r="U3883" i="1"/>
  <c r="U3882" i="1"/>
  <c r="U3881" i="1"/>
  <c r="U3880" i="1"/>
  <c r="U3879" i="1"/>
  <c r="U3878" i="1"/>
  <c r="U3877" i="1"/>
  <c r="U3876" i="1"/>
  <c r="U3875" i="1"/>
  <c r="U3874" i="1"/>
  <c r="U3873" i="1"/>
  <c r="U3872" i="1"/>
  <c r="U3871" i="1"/>
  <c r="U3870" i="1"/>
  <c r="U3869" i="1"/>
  <c r="U3868" i="1"/>
  <c r="U3867" i="1"/>
  <c r="U3866" i="1"/>
  <c r="U3865" i="1"/>
  <c r="U3864" i="1"/>
  <c r="U3863" i="1"/>
  <c r="U3862" i="1"/>
  <c r="U3861" i="1"/>
  <c r="U3860" i="1"/>
  <c r="U3859" i="1"/>
  <c r="U3858" i="1"/>
  <c r="U3857" i="1"/>
  <c r="U3856" i="1"/>
  <c r="U3855" i="1"/>
  <c r="U3854" i="1"/>
  <c r="U3853" i="1"/>
  <c r="U3852" i="1"/>
  <c r="U3851" i="1"/>
  <c r="U3850" i="1"/>
  <c r="U3849" i="1"/>
  <c r="U3848" i="1"/>
  <c r="U3847" i="1"/>
  <c r="U3846" i="1"/>
  <c r="U3845" i="1"/>
  <c r="U3844" i="1"/>
  <c r="U3843" i="1"/>
  <c r="U3842" i="1"/>
  <c r="U3841" i="1"/>
  <c r="U3840" i="1"/>
  <c r="U3839" i="1"/>
  <c r="U3838" i="1"/>
  <c r="U3837" i="1"/>
  <c r="U3836" i="1"/>
  <c r="U3835" i="1"/>
  <c r="U3834" i="1"/>
  <c r="U3833" i="1"/>
  <c r="U3832" i="1"/>
  <c r="U3831" i="1"/>
  <c r="U3830" i="1"/>
  <c r="U3829" i="1"/>
  <c r="U3828" i="1"/>
  <c r="U3827" i="1"/>
  <c r="U3826" i="1"/>
  <c r="U3825" i="1"/>
  <c r="U3824" i="1"/>
  <c r="U3823" i="1"/>
  <c r="U3822" i="1"/>
  <c r="U3821" i="1"/>
  <c r="U3820" i="1"/>
  <c r="U3819" i="1"/>
  <c r="U3818" i="1"/>
  <c r="U3817" i="1"/>
  <c r="U3816" i="1"/>
  <c r="U3815" i="1"/>
  <c r="U3814" i="1"/>
  <c r="U3813" i="1"/>
  <c r="U3812" i="1"/>
  <c r="U3811" i="1"/>
  <c r="U3810" i="1"/>
  <c r="U3809" i="1"/>
  <c r="U3808" i="1"/>
  <c r="U3807" i="1"/>
  <c r="U3806" i="1"/>
  <c r="U3805" i="1"/>
  <c r="U3804" i="1"/>
  <c r="U3803" i="1"/>
  <c r="U3802" i="1"/>
  <c r="U3801" i="1"/>
  <c r="U3800" i="1"/>
  <c r="U3799" i="1"/>
  <c r="U3798" i="1"/>
  <c r="U3797" i="1"/>
  <c r="U3796" i="1"/>
  <c r="U3795" i="1"/>
  <c r="U3794" i="1"/>
  <c r="U3793" i="1"/>
  <c r="U3792" i="1"/>
  <c r="U3791" i="1"/>
  <c r="U3790" i="1"/>
  <c r="U3789" i="1"/>
  <c r="U3788" i="1"/>
  <c r="U3787" i="1"/>
  <c r="U3786" i="1"/>
  <c r="U3785" i="1"/>
  <c r="U3784" i="1"/>
  <c r="U3783" i="1"/>
  <c r="U3782" i="1"/>
  <c r="U3781" i="1"/>
  <c r="U3780" i="1"/>
  <c r="U3779" i="1"/>
  <c r="U3778" i="1"/>
  <c r="U3777" i="1"/>
  <c r="U3776" i="1"/>
  <c r="U3775" i="1"/>
  <c r="U3774" i="1"/>
  <c r="U3773" i="1"/>
  <c r="U3772" i="1"/>
  <c r="U3771" i="1"/>
  <c r="U3770" i="1"/>
  <c r="U3769" i="1"/>
  <c r="U3768" i="1"/>
  <c r="U3767" i="1"/>
  <c r="U3766" i="1"/>
  <c r="U3765" i="1"/>
  <c r="U3764" i="1"/>
  <c r="U3763" i="1"/>
  <c r="U3762" i="1"/>
  <c r="U3761" i="1"/>
  <c r="U3760" i="1"/>
  <c r="U3759" i="1"/>
  <c r="U3758" i="1"/>
  <c r="U3757" i="1"/>
  <c r="U3756" i="1"/>
  <c r="U3755" i="1"/>
  <c r="U3754" i="1"/>
  <c r="U3753" i="1"/>
  <c r="U3752" i="1"/>
  <c r="U3751" i="1"/>
  <c r="U3750" i="1"/>
  <c r="U3749" i="1"/>
  <c r="U3748" i="1"/>
  <c r="U3747" i="1"/>
  <c r="U3746" i="1"/>
  <c r="U3745" i="1"/>
  <c r="U3744" i="1"/>
  <c r="U3743" i="1"/>
  <c r="U3742" i="1"/>
  <c r="U3741" i="1"/>
  <c r="U3740" i="1"/>
  <c r="U3739" i="1"/>
  <c r="U3738" i="1"/>
  <c r="U3737" i="1"/>
  <c r="U3736" i="1"/>
  <c r="U3735" i="1"/>
  <c r="U3734" i="1"/>
  <c r="U3733" i="1"/>
  <c r="U3732" i="1"/>
  <c r="U3731" i="1"/>
  <c r="U3730" i="1"/>
  <c r="U3729" i="1"/>
  <c r="U3728" i="1"/>
  <c r="U3727" i="1"/>
  <c r="U3726" i="1"/>
  <c r="U3725" i="1"/>
  <c r="U3724" i="1"/>
  <c r="U3723" i="1"/>
  <c r="U3722" i="1"/>
  <c r="U3721" i="1"/>
  <c r="U3720" i="1"/>
  <c r="U3719" i="1"/>
  <c r="U3718" i="1"/>
  <c r="U3717" i="1"/>
  <c r="U3716" i="1"/>
  <c r="U3715" i="1"/>
  <c r="U3714" i="1"/>
  <c r="U3713" i="1"/>
  <c r="U3712" i="1"/>
  <c r="U3711" i="1"/>
  <c r="U3710" i="1"/>
  <c r="U3709" i="1"/>
  <c r="U3708" i="1"/>
  <c r="U3707" i="1"/>
  <c r="U3706" i="1"/>
  <c r="U3705" i="1"/>
  <c r="U3704" i="1"/>
  <c r="U3703" i="1"/>
  <c r="U3702" i="1"/>
  <c r="U3701" i="1"/>
  <c r="U3700" i="1"/>
  <c r="U3699" i="1"/>
  <c r="U3698" i="1"/>
  <c r="U3697" i="1"/>
  <c r="U3696" i="1"/>
  <c r="U3695" i="1"/>
  <c r="U3694" i="1"/>
  <c r="U3693" i="1"/>
  <c r="U3692" i="1"/>
  <c r="U3691" i="1"/>
  <c r="U3690" i="1"/>
  <c r="U3689" i="1"/>
  <c r="U3688" i="1"/>
  <c r="U3687" i="1"/>
  <c r="U3686" i="1"/>
  <c r="U3685" i="1"/>
  <c r="U3684" i="1"/>
  <c r="U3683" i="1"/>
  <c r="U3682" i="1"/>
  <c r="U3681" i="1"/>
  <c r="U3680" i="1"/>
  <c r="U3679" i="1"/>
  <c r="U3678" i="1"/>
  <c r="U3677" i="1"/>
  <c r="U3676" i="1"/>
  <c r="U3675" i="1"/>
  <c r="U3674" i="1"/>
  <c r="U3673" i="1"/>
  <c r="U3672" i="1"/>
  <c r="U3671" i="1"/>
  <c r="U3670" i="1"/>
  <c r="U3669" i="1"/>
  <c r="U3668" i="1"/>
  <c r="U3667" i="1"/>
  <c r="U3666" i="1"/>
  <c r="U3665" i="1"/>
  <c r="U3664" i="1"/>
  <c r="U3663" i="1"/>
  <c r="U3662" i="1"/>
  <c r="U3661" i="1"/>
  <c r="U3660" i="1"/>
  <c r="U3659" i="1"/>
  <c r="U3658" i="1"/>
  <c r="U3657" i="1"/>
  <c r="U3656" i="1"/>
  <c r="U3655" i="1"/>
  <c r="U3654" i="1"/>
  <c r="U3653" i="1"/>
  <c r="U3652" i="1"/>
  <c r="U3651" i="1"/>
  <c r="U3650" i="1"/>
  <c r="U3649" i="1"/>
  <c r="U3648" i="1"/>
  <c r="U3647" i="1"/>
  <c r="U3646" i="1"/>
  <c r="U3645" i="1"/>
  <c r="U3644" i="1"/>
  <c r="U3643" i="1"/>
  <c r="U3642" i="1"/>
  <c r="U3641" i="1"/>
  <c r="U3640" i="1"/>
  <c r="U3639" i="1"/>
  <c r="U3638" i="1"/>
  <c r="U3637" i="1"/>
  <c r="U3636" i="1"/>
  <c r="U3635" i="1"/>
  <c r="U3634" i="1"/>
  <c r="U3633" i="1"/>
  <c r="U3632" i="1"/>
  <c r="U3631" i="1"/>
  <c r="U3630" i="1"/>
  <c r="U3629" i="1"/>
  <c r="U3628" i="1"/>
  <c r="U3627" i="1"/>
  <c r="U3626" i="1"/>
  <c r="U3625" i="1"/>
  <c r="U3624" i="1"/>
  <c r="U3623" i="1"/>
  <c r="U3622" i="1"/>
  <c r="U3621" i="1"/>
  <c r="U3620" i="1"/>
  <c r="U3619" i="1"/>
  <c r="U3618" i="1"/>
  <c r="U3617" i="1"/>
  <c r="U3616" i="1"/>
  <c r="U3615" i="1"/>
  <c r="U3614" i="1"/>
  <c r="U3613" i="1"/>
  <c r="U3612" i="1"/>
  <c r="U3611" i="1"/>
  <c r="U3610" i="1"/>
  <c r="U3609" i="1"/>
  <c r="U3608" i="1"/>
  <c r="U3607" i="1"/>
  <c r="U3606" i="1"/>
  <c r="U3605" i="1"/>
  <c r="U3604" i="1"/>
  <c r="U3603" i="1"/>
  <c r="U3602" i="1"/>
  <c r="U3601" i="1"/>
  <c r="U3600" i="1"/>
  <c r="U3599" i="1"/>
  <c r="U3598" i="1"/>
  <c r="U3597" i="1"/>
  <c r="U3596" i="1"/>
  <c r="U3595" i="1"/>
  <c r="U3594" i="1"/>
  <c r="U3593" i="1"/>
  <c r="U3592" i="1"/>
  <c r="U3591" i="1"/>
  <c r="U3590" i="1"/>
  <c r="U3589" i="1"/>
  <c r="U3588" i="1"/>
  <c r="U3587" i="1"/>
  <c r="U3586" i="1"/>
  <c r="U3585" i="1"/>
  <c r="U3584" i="1"/>
  <c r="U3583" i="1"/>
  <c r="U3582" i="1"/>
  <c r="U3581" i="1"/>
  <c r="U3580" i="1"/>
  <c r="U3579" i="1"/>
  <c r="U3578" i="1"/>
  <c r="U3577" i="1"/>
  <c r="U3576" i="1"/>
  <c r="U3575" i="1"/>
  <c r="U3574" i="1"/>
  <c r="U3573" i="1"/>
  <c r="U3572" i="1"/>
  <c r="U3571" i="1"/>
  <c r="U3570" i="1"/>
  <c r="U3569" i="1"/>
  <c r="U3568" i="1"/>
  <c r="U3567" i="1"/>
  <c r="U3566" i="1"/>
  <c r="U3565" i="1"/>
  <c r="U3564" i="1"/>
  <c r="U3563" i="1"/>
  <c r="U3562" i="1"/>
  <c r="U3561" i="1"/>
  <c r="U3560" i="1"/>
  <c r="U3559" i="1"/>
  <c r="U3558" i="1"/>
  <c r="U3557" i="1"/>
  <c r="U3556" i="1"/>
  <c r="U3555" i="1"/>
  <c r="U3554" i="1"/>
  <c r="U3553" i="1"/>
  <c r="U3552" i="1"/>
  <c r="U3551" i="1"/>
  <c r="U3550" i="1"/>
  <c r="U3549" i="1"/>
  <c r="U3548" i="1"/>
  <c r="U3547" i="1"/>
  <c r="U3546" i="1"/>
  <c r="U3545" i="1"/>
  <c r="U3544" i="1"/>
  <c r="U3543" i="1"/>
  <c r="U3542" i="1"/>
  <c r="U3541" i="1"/>
  <c r="U3540" i="1"/>
  <c r="U3539" i="1"/>
  <c r="U3538" i="1"/>
  <c r="U3537" i="1"/>
  <c r="U3536" i="1"/>
  <c r="U3535" i="1"/>
  <c r="U3534" i="1"/>
  <c r="U3533" i="1"/>
  <c r="U3532" i="1"/>
  <c r="U3531" i="1"/>
  <c r="U3530" i="1"/>
  <c r="U3529" i="1"/>
  <c r="U3528" i="1"/>
  <c r="U3527" i="1"/>
  <c r="U3526" i="1"/>
  <c r="U3525" i="1"/>
  <c r="U3524" i="1"/>
  <c r="U3523" i="1"/>
  <c r="U3522" i="1"/>
  <c r="U3521" i="1"/>
  <c r="U3520" i="1"/>
  <c r="U3519" i="1"/>
  <c r="U3518" i="1"/>
  <c r="U3517" i="1"/>
  <c r="U3516" i="1"/>
  <c r="U3515" i="1"/>
  <c r="U3514" i="1"/>
  <c r="U3513" i="1"/>
  <c r="U3512" i="1"/>
  <c r="U3511" i="1"/>
  <c r="U3510" i="1"/>
  <c r="U3509" i="1"/>
  <c r="U3508" i="1"/>
  <c r="U3507" i="1"/>
  <c r="U3506" i="1"/>
  <c r="U3505" i="1"/>
  <c r="U3504" i="1"/>
  <c r="U3503" i="1"/>
  <c r="U3502" i="1"/>
  <c r="U3501" i="1"/>
  <c r="U3500" i="1"/>
  <c r="U3499" i="1"/>
  <c r="U3498" i="1"/>
  <c r="U3497" i="1"/>
  <c r="U3496" i="1"/>
  <c r="U3495" i="1"/>
  <c r="U3494" i="1"/>
  <c r="U3493" i="1"/>
  <c r="U3492" i="1"/>
  <c r="U3491" i="1"/>
  <c r="U3490" i="1"/>
  <c r="U3489" i="1"/>
  <c r="U3488" i="1"/>
  <c r="U3487" i="1"/>
  <c r="U3486" i="1"/>
  <c r="U3485" i="1"/>
  <c r="U3484" i="1"/>
  <c r="U3483" i="1"/>
  <c r="U3482" i="1"/>
  <c r="U3481" i="1"/>
  <c r="U3480" i="1"/>
  <c r="U3479" i="1"/>
  <c r="U3478" i="1"/>
  <c r="U3477" i="1"/>
  <c r="U3476" i="1"/>
  <c r="U3475" i="1"/>
  <c r="U3474" i="1"/>
  <c r="U3473" i="1"/>
  <c r="U3472" i="1"/>
  <c r="U3471" i="1"/>
  <c r="U3470" i="1"/>
  <c r="U3469" i="1"/>
  <c r="U3468" i="1"/>
  <c r="U3467" i="1"/>
  <c r="U3466" i="1"/>
  <c r="U3465" i="1"/>
  <c r="U3464" i="1"/>
  <c r="U3463" i="1"/>
  <c r="U3462" i="1"/>
  <c r="U3461" i="1"/>
  <c r="U3460" i="1"/>
  <c r="U3459" i="1"/>
  <c r="U3458" i="1"/>
  <c r="U3457" i="1"/>
  <c r="U3456" i="1"/>
  <c r="U3455" i="1"/>
  <c r="U3454" i="1"/>
  <c r="U3453" i="1"/>
  <c r="U3452" i="1"/>
  <c r="U3451" i="1"/>
  <c r="U3450" i="1"/>
  <c r="U3449" i="1"/>
  <c r="U3448" i="1"/>
  <c r="U3447" i="1"/>
  <c r="U3446" i="1"/>
  <c r="U3445" i="1"/>
  <c r="U3444" i="1"/>
  <c r="U3443" i="1"/>
  <c r="U3442" i="1"/>
  <c r="U3441" i="1"/>
  <c r="U3440" i="1"/>
  <c r="U3439" i="1"/>
  <c r="U3438" i="1"/>
  <c r="U3437" i="1"/>
  <c r="U3436" i="1"/>
  <c r="U3435" i="1"/>
  <c r="U3434" i="1"/>
  <c r="U3433" i="1"/>
  <c r="U3432" i="1"/>
  <c r="U3431" i="1"/>
  <c r="U3430" i="1"/>
  <c r="U3429" i="1"/>
  <c r="U3428" i="1"/>
  <c r="U3427" i="1"/>
  <c r="U3426" i="1"/>
  <c r="U3425" i="1"/>
  <c r="U3424" i="1"/>
  <c r="U3423" i="1"/>
  <c r="U3422" i="1"/>
  <c r="U3421" i="1"/>
  <c r="U3420" i="1"/>
  <c r="U3419" i="1"/>
  <c r="U3418" i="1"/>
  <c r="U3417" i="1"/>
  <c r="U3416" i="1"/>
  <c r="U3415" i="1"/>
  <c r="U3414" i="1"/>
  <c r="U3413" i="1"/>
  <c r="U3412" i="1"/>
  <c r="U3411" i="1"/>
  <c r="U3410" i="1"/>
  <c r="U3409" i="1"/>
  <c r="U3408" i="1"/>
  <c r="U3407" i="1"/>
  <c r="U3406" i="1"/>
  <c r="U3405" i="1"/>
  <c r="U3404" i="1"/>
  <c r="U3403" i="1"/>
  <c r="U3402" i="1"/>
  <c r="U3401" i="1"/>
  <c r="U3400" i="1"/>
  <c r="U3399" i="1"/>
  <c r="U3398" i="1"/>
  <c r="U3397" i="1"/>
  <c r="U3396" i="1"/>
  <c r="U3395" i="1"/>
  <c r="U3394" i="1"/>
  <c r="U3393" i="1"/>
  <c r="U3392" i="1"/>
  <c r="U3391" i="1"/>
  <c r="U3390" i="1"/>
  <c r="U3389" i="1"/>
  <c r="U3388" i="1"/>
  <c r="U3387" i="1"/>
  <c r="U3386" i="1"/>
  <c r="U3385" i="1"/>
  <c r="U3384" i="1"/>
  <c r="U3383" i="1"/>
  <c r="U3382" i="1"/>
  <c r="U3381" i="1"/>
  <c r="U3380" i="1"/>
  <c r="U3379" i="1"/>
  <c r="U3378" i="1"/>
  <c r="U3377" i="1"/>
  <c r="U3376" i="1"/>
  <c r="U3375" i="1"/>
  <c r="U3374" i="1"/>
  <c r="U3373" i="1"/>
  <c r="U3372" i="1"/>
  <c r="U3371" i="1"/>
  <c r="U3370" i="1"/>
  <c r="U3369" i="1"/>
  <c r="U3368" i="1"/>
  <c r="U3367" i="1"/>
  <c r="U3366" i="1"/>
  <c r="U3365" i="1"/>
  <c r="U3364" i="1"/>
  <c r="U3363" i="1"/>
  <c r="U3362" i="1"/>
  <c r="U3361" i="1"/>
  <c r="U3360" i="1"/>
  <c r="U3359" i="1"/>
  <c r="U3358" i="1"/>
  <c r="U3357" i="1"/>
  <c r="U3356" i="1"/>
  <c r="U3355" i="1"/>
  <c r="U3354" i="1"/>
  <c r="U3353" i="1"/>
  <c r="U3352" i="1"/>
  <c r="U3351" i="1"/>
  <c r="U3350" i="1"/>
  <c r="U3349" i="1"/>
  <c r="U3348" i="1"/>
  <c r="U3347" i="1"/>
  <c r="U3346" i="1"/>
  <c r="U3345" i="1"/>
  <c r="U3344" i="1"/>
  <c r="U3343" i="1"/>
  <c r="U3342" i="1"/>
  <c r="U3341" i="1"/>
  <c r="U3340" i="1"/>
  <c r="U3339" i="1"/>
  <c r="U3338" i="1"/>
  <c r="U3337" i="1"/>
  <c r="U3336" i="1"/>
  <c r="U3335" i="1"/>
  <c r="U3334" i="1"/>
  <c r="U3333" i="1"/>
  <c r="U3332" i="1"/>
  <c r="U3331" i="1"/>
  <c r="U3330" i="1"/>
  <c r="U3329" i="1"/>
  <c r="U3328" i="1"/>
  <c r="U3327" i="1"/>
  <c r="U3326" i="1"/>
  <c r="U3325" i="1"/>
  <c r="U3324" i="1"/>
  <c r="U3323" i="1"/>
  <c r="U3322" i="1"/>
  <c r="U3321" i="1"/>
  <c r="U3320" i="1"/>
  <c r="U3319" i="1"/>
  <c r="U3318" i="1"/>
  <c r="U3317" i="1"/>
  <c r="U3316" i="1"/>
  <c r="U3315" i="1"/>
  <c r="U3314" i="1"/>
  <c r="U3313" i="1"/>
  <c r="U3312" i="1"/>
  <c r="U3311" i="1"/>
  <c r="U3310" i="1"/>
  <c r="U3309" i="1"/>
  <c r="U3308" i="1"/>
  <c r="U3307" i="1"/>
  <c r="U3306" i="1"/>
  <c r="U3305" i="1"/>
  <c r="U3304" i="1"/>
  <c r="U3303" i="1"/>
  <c r="U3302" i="1"/>
  <c r="U3301" i="1"/>
  <c r="U3300" i="1"/>
  <c r="U3299" i="1"/>
  <c r="U3298" i="1"/>
  <c r="U3297" i="1"/>
  <c r="U3296" i="1"/>
  <c r="U3295" i="1"/>
  <c r="U3294" i="1"/>
  <c r="U3293" i="1"/>
  <c r="U3292" i="1"/>
  <c r="U3291" i="1"/>
  <c r="U3290" i="1"/>
  <c r="U3289" i="1"/>
  <c r="U3288" i="1"/>
  <c r="U3287" i="1"/>
  <c r="U3286" i="1"/>
  <c r="U3285" i="1"/>
  <c r="U3284" i="1"/>
  <c r="U3283" i="1"/>
  <c r="U3282" i="1"/>
  <c r="U3281" i="1"/>
  <c r="U3280" i="1"/>
  <c r="U3279" i="1"/>
  <c r="U3278" i="1"/>
  <c r="U3277" i="1"/>
  <c r="U3276" i="1"/>
  <c r="U3275" i="1"/>
  <c r="U3274" i="1"/>
  <c r="U3273" i="1"/>
  <c r="U3272" i="1"/>
  <c r="U3271" i="1"/>
  <c r="U3270" i="1"/>
  <c r="U3269" i="1"/>
  <c r="U3268" i="1"/>
  <c r="U3267" i="1"/>
  <c r="U3266" i="1"/>
  <c r="U3265" i="1"/>
  <c r="U3264" i="1"/>
  <c r="U3263" i="1"/>
  <c r="U3262" i="1"/>
  <c r="U3261" i="1"/>
  <c r="U3260" i="1"/>
  <c r="U3259" i="1"/>
  <c r="U3258" i="1"/>
  <c r="U3257" i="1"/>
  <c r="U3256" i="1"/>
  <c r="U3255" i="1"/>
  <c r="U3254" i="1"/>
  <c r="U3253" i="1"/>
  <c r="U3252" i="1"/>
  <c r="U3251" i="1"/>
  <c r="U3250" i="1"/>
  <c r="U3249" i="1"/>
  <c r="U3248" i="1"/>
  <c r="U3247" i="1"/>
  <c r="U3246" i="1"/>
  <c r="U3245" i="1"/>
  <c r="U3244" i="1"/>
  <c r="U3243" i="1"/>
  <c r="U3242" i="1"/>
  <c r="U3241" i="1"/>
  <c r="U3240" i="1"/>
  <c r="U3239" i="1"/>
  <c r="U3238" i="1"/>
  <c r="U3237" i="1"/>
  <c r="U3236" i="1"/>
  <c r="U3235" i="1"/>
  <c r="U3234" i="1"/>
  <c r="U3233" i="1"/>
  <c r="U3232" i="1"/>
  <c r="U3231" i="1"/>
  <c r="U3230" i="1"/>
  <c r="U3229" i="1"/>
  <c r="U3228" i="1"/>
  <c r="U3227" i="1"/>
  <c r="U3226" i="1"/>
  <c r="U3225" i="1"/>
  <c r="U3224" i="1"/>
  <c r="U3223" i="1"/>
  <c r="U3222" i="1"/>
  <c r="U3221" i="1"/>
  <c r="U3220" i="1"/>
  <c r="U3219" i="1"/>
  <c r="U3218" i="1"/>
  <c r="U3217" i="1"/>
  <c r="U3216" i="1"/>
  <c r="U3215" i="1"/>
  <c r="U3214" i="1"/>
  <c r="U3213" i="1"/>
  <c r="U3212" i="1"/>
  <c r="U3211" i="1"/>
  <c r="U3210" i="1"/>
  <c r="U3209" i="1"/>
  <c r="U3208" i="1"/>
  <c r="U3207" i="1"/>
  <c r="U3206" i="1"/>
  <c r="U3205" i="1"/>
  <c r="U3204" i="1"/>
  <c r="U3203" i="1"/>
  <c r="U3202" i="1"/>
  <c r="U3201" i="1"/>
  <c r="U3200" i="1"/>
  <c r="U3199" i="1"/>
  <c r="U3198" i="1"/>
  <c r="U3197" i="1"/>
  <c r="U3196" i="1"/>
  <c r="U3195" i="1"/>
  <c r="U3194" i="1"/>
  <c r="U3193" i="1"/>
  <c r="U3192" i="1"/>
  <c r="U3191" i="1"/>
  <c r="U3190" i="1"/>
  <c r="U3189" i="1"/>
  <c r="U3188" i="1"/>
  <c r="U3187" i="1"/>
  <c r="U3186" i="1"/>
  <c r="U3185" i="1"/>
  <c r="U3184" i="1"/>
  <c r="U3183" i="1"/>
  <c r="U3182" i="1"/>
  <c r="U3181" i="1"/>
  <c r="U3180" i="1"/>
  <c r="U3179" i="1"/>
  <c r="U3178" i="1"/>
  <c r="U3177" i="1"/>
  <c r="U3176" i="1"/>
  <c r="U3175" i="1"/>
  <c r="U3174" i="1"/>
  <c r="U3173" i="1"/>
  <c r="U3172" i="1"/>
  <c r="U3171" i="1"/>
  <c r="U3170" i="1"/>
  <c r="U3169" i="1"/>
  <c r="U3168" i="1"/>
  <c r="U3167" i="1"/>
  <c r="U3166" i="1"/>
  <c r="U3165" i="1"/>
  <c r="U3164" i="1"/>
  <c r="U3163" i="1"/>
  <c r="U3162" i="1"/>
  <c r="U3161" i="1"/>
  <c r="U3160" i="1"/>
  <c r="U3159" i="1"/>
  <c r="U3158" i="1"/>
  <c r="U3157" i="1"/>
  <c r="U3156" i="1"/>
  <c r="U3155" i="1"/>
  <c r="U3154" i="1"/>
  <c r="U3153" i="1"/>
  <c r="U3152" i="1"/>
  <c r="U3151" i="1"/>
  <c r="U3150" i="1"/>
  <c r="U3149" i="1"/>
  <c r="U3148" i="1"/>
  <c r="U3147" i="1"/>
  <c r="U3146" i="1"/>
  <c r="U3145" i="1"/>
  <c r="U3144" i="1"/>
  <c r="U3143" i="1"/>
  <c r="U3142" i="1"/>
  <c r="U3141" i="1"/>
  <c r="U3140" i="1"/>
  <c r="U3139" i="1"/>
  <c r="U3138" i="1"/>
  <c r="U3137" i="1"/>
  <c r="U3136" i="1"/>
  <c r="U3135" i="1"/>
  <c r="U3134" i="1"/>
  <c r="U3133" i="1"/>
  <c r="U3132" i="1"/>
  <c r="U3131" i="1"/>
  <c r="U3130" i="1"/>
  <c r="U3129" i="1"/>
  <c r="U3128" i="1"/>
  <c r="U3127" i="1"/>
  <c r="U3126" i="1"/>
  <c r="U3125" i="1"/>
  <c r="U3124" i="1"/>
  <c r="U3123" i="1"/>
  <c r="U3122" i="1"/>
  <c r="U3121" i="1"/>
  <c r="U3120" i="1"/>
  <c r="U3119" i="1"/>
  <c r="U3118" i="1"/>
  <c r="U3117" i="1"/>
  <c r="U3116" i="1"/>
  <c r="U3115" i="1"/>
  <c r="U3114" i="1"/>
  <c r="U3113" i="1"/>
  <c r="U3112" i="1"/>
  <c r="U3111" i="1"/>
  <c r="U3110" i="1"/>
  <c r="U3109" i="1"/>
  <c r="U3108" i="1"/>
  <c r="U3107" i="1"/>
  <c r="U3106" i="1"/>
  <c r="U3105" i="1"/>
  <c r="U3104" i="1"/>
  <c r="U3103" i="1"/>
  <c r="U3102" i="1"/>
  <c r="U3101" i="1"/>
  <c r="U3100" i="1"/>
  <c r="U3099" i="1"/>
  <c r="U3098" i="1"/>
  <c r="U3097" i="1"/>
  <c r="U3096" i="1"/>
  <c r="U3095" i="1"/>
  <c r="U3094" i="1"/>
  <c r="U3093" i="1"/>
  <c r="U3092" i="1"/>
  <c r="U3091" i="1"/>
  <c r="U3090" i="1"/>
  <c r="U3089" i="1"/>
  <c r="U3088" i="1"/>
  <c r="U3087" i="1"/>
  <c r="U3086" i="1"/>
  <c r="U3085" i="1"/>
  <c r="U3084" i="1"/>
  <c r="U3083" i="1"/>
  <c r="U3082" i="1"/>
  <c r="U3081" i="1"/>
  <c r="U3080" i="1"/>
  <c r="U3079" i="1"/>
  <c r="U3078" i="1"/>
  <c r="U3077" i="1"/>
  <c r="U3076" i="1"/>
  <c r="U3075" i="1"/>
  <c r="U3074" i="1"/>
  <c r="U3073" i="1"/>
  <c r="U3072" i="1"/>
  <c r="U3071" i="1"/>
  <c r="U3070" i="1"/>
  <c r="U3069" i="1"/>
  <c r="U3068" i="1"/>
  <c r="U3067" i="1"/>
  <c r="U3066" i="1"/>
  <c r="U3065" i="1"/>
  <c r="U3064" i="1"/>
  <c r="U3063" i="1"/>
  <c r="U3062" i="1"/>
  <c r="U3061" i="1"/>
  <c r="U3060" i="1"/>
  <c r="U3059" i="1"/>
  <c r="U3058" i="1"/>
  <c r="U3057" i="1"/>
  <c r="U3056" i="1"/>
  <c r="U3055" i="1"/>
  <c r="U3054" i="1"/>
  <c r="U3053" i="1"/>
  <c r="U3052" i="1"/>
  <c r="U3051" i="1"/>
  <c r="U3050" i="1"/>
  <c r="U3049" i="1"/>
  <c r="U3048" i="1"/>
  <c r="U3047" i="1"/>
  <c r="U3046" i="1"/>
  <c r="U3045" i="1"/>
  <c r="U3044" i="1"/>
  <c r="U3043" i="1"/>
  <c r="U3042" i="1"/>
  <c r="U3041" i="1"/>
  <c r="U3040" i="1"/>
  <c r="U3039" i="1"/>
  <c r="U3038" i="1"/>
  <c r="U3037" i="1"/>
  <c r="U3036" i="1"/>
  <c r="U3035" i="1"/>
  <c r="U3034" i="1"/>
  <c r="U3033" i="1"/>
  <c r="U3032" i="1"/>
  <c r="U3031" i="1"/>
  <c r="U3030" i="1"/>
  <c r="U3029" i="1"/>
  <c r="U3028" i="1"/>
  <c r="U3027" i="1"/>
  <c r="U3026" i="1"/>
  <c r="U3025" i="1"/>
  <c r="U3024" i="1"/>
  <c r="U3023" i="1"/>
  <c r="U3022" i="1"/>
  <c r="U3021" i="1"/>
  <c r="U3020" i="1"/>
  <c r="U3019" i="1"/>
  <c r="U3018" i="1"/>
  <c r="U3017" i="1"/>
  <c r="U3016" i="1"/>
  <c r="U3015" i="1"/>
  <c r="U3014" i="1"/>
  <c r="U3013" i="1"/>
  <c r="U3012" i="1"/>
  <c r="U3011" i="1"/>
  <c r="U3010" i="1"/>
  <c r="U3009" i="1"/>
  <c r="U3008" i="1"/>
  <c r="U3007" i="1"/>
  <c r="U3006" i="1"/>
  <c r="U3005" i="1"/>
  <c r="U3004" i="1"/>
  <c r="U3003" i="1"/>
  <c r="U3002" i="1"/>
  <c r="U3001" i="1"/>
  <c r="U3000" i="1"/>
  <c r="U2999" i="1"/>
  <c r="U2998" i="1"/>
  <c r="U2997" i="1"/>
  <c r="U2996" i="1"/>
  <c r="U2995" i="1"/>
  <c r="U2994" i="1"/>
  <c r="U2993" i="1"/>
  <c r="U2992" i="1"/>
  <c r="U2991" i="1"/>
  <c r="U2990" i="1"/>
  <c r="U2989" i="1"/>
  <c r="U2988" i="1"/>
  <c r="U2987" i="1"/>
  <c r="U2986" i="1"/>
  <c r="U2985" i="1"/>
  <c r="U2984" i="1"/>
  <c r="U2983" i="1"/>
  <c r="U2982" i="1"/>
  <c r="U2981" i="1"/>
  <c r="U2980" i="1"/>
  <c r="U2979" i="1"/>
  <c r="U2978" i="1"/>
  <c r="U2977" i="1"/>
  <c r="U2976" i="1"/>
  <c r="U2975" i="1"/>
  <c r="U2974" i="1"/>
  <c r="U2973" i="1"/>
  <c r="U2972" i="1"/>
  <c r="U2971" i="1"/>
  <c r="U2970" i="1"/>
  <c r="U2969" i="1"/>
  <c r="U2968" i="1"/>
  <c r="U2967" i="1"/>
  <c r="U2966" i="1"/>
  <c r="U2965" i="1"/>
  <c r="U2964" i="1"/>
  <c r="U2963" i="1"/>
  <c r="U2962" i="1"/>
  <c r="U2961" i="1"/>
  <c r="U2960" i="1"/>
  <c r="U2959" i="1"/>
  <c r="U2958" i="1"/>
  <c r="U2957" i="1"/>
  <c r="U2956" i="1"/>
  <c r="U2955" i="1"/>
  <c r="U2954" i="1"/>
  <c r="U2953" i="1"/>
  <c r="U2952" i="1"/>
  <c r="U2951" i="1"/>
  <c r="U2950" i="1"/>
  <c r="U2949" i="1"/>
  <c r="U2948" i="1"/>
  <c r="U2947" i="1"/>
  <c r="U2946" i="1"/>
  <c r="U2945" i="1"/>
  <c r="U2944" i="1"/>
  <c r="U2943" i="1"/>
  <c r="U2942" i="1"/>
  <c r="U2941" i="1"/>
  <c r="U2940" i="1"/>
  <c r="U2939" i="1"/>
  <c r="U2938" i="1"/>
  <c r="U2937" i="1"/>
  <c r="U2936" i="1"/>
  <c r="U2935" i="1"/>
  <c r="U2934" i="1"/>
  <c r="U2933" i="1"/>
  <c r="U2932" i="1"/>
  <c r="U2931" i="1"/>
  <c r="U2930" i="1"/>
  <c r="U2929" i="1"/>
  <c r="U2928" i="1"/>
  <c r="U2927" i="1"/>
  <c r="U2926" i="1"/>
  <c r="U2925" i="1"/>
  <c r="U2924" i="1"/>
  <c r="U2923" i="1"/>
  <c r="U2922" i="1"/>
  <c r="U2921" i="1"/>
  <c r="U2920" i="1"/>
  <c r="U2919" i="1"/>
  <c r="U2918" i="1"/>
  <c r="U2917" i="1"/>
  <c r="U2916" i="1"/>
  <c r="U2915" i="1"/>
  <c r="U2914" i="1"/>
  <c r="U2913" i="1"/>
  <c r="U2912" i="1"/>
  <c r="U2911" i="1"/>
  <c r="U2910" i="1"/>
  <c r="U2909" i="1"/>
  <c r="U2908" i="1"/>
  <c r="U2907" i="1"/>
  <c r="U2906" i="1"/>
  <c r="U2905" i="1"/>
  <c r="U2904" i="1"/>
  <c r="U2903" i="1"/>
  <c r="U2902" i="1"/>
  <c r="U2901" i="1"/>
  <c r="U2900" i="1"/>
  <c r="U2899" i="1"/>
  <c r="U2898" i="1"/>
  <c r="U2897" i="1"/>
  <c r="U2896" i="1"/>
  <c r="U2895" i="1"/>
  <c r="U2894" i="1"/>
  <c r="U2893" i="1"/>
  <c r="U2892" i="1"/>
  <c r="U2891" i="1"/>
  <c r="U2890" i="1"/>
  <c r="U2889" i="1"/>
  <c r="U2888" i="1"/>
  <c r="U2887" i="1"/>
  <c r="U2886" i="1"/>
  <c r="U2885" i="1"/>
  <c r="U2884" i="1"/>
  <c r="U2883" i="1"/>
  <c r="U2882" i="1"/>
  <c r="U2881" i="1"/>
  <c r="U2880" i="1"/>
  <c r="U2879" i="1"/>
  <c r="U2878" i="1"/>
  <c r="U2877" i="1"/>
  <c r="U2876" i="1"/>
  <c r="U2875" i="1"/>
  <c r="U2874" i="1"/>
  <c r="U2873" i="1"/>
  <c r="U2872" i="1"/>
  <c r="U2871" i="1"/>
  <c r="U2870" i="1"/>
  <c r="U2869" i="1"/>
  <c r="U2868" i="1"/>
  <c r="U2867" i="1"/>
  <c r="U2866" i="1"/>
  <c r="U2865" i="1"/>
  <c r="U2864" i="1"/>
  <c r="U2863" i="1"/>
  <c r="U2862" i="1"/>
  <c r="U2861" i="1"/>
  <c r="U2860" i="1"/>
  <c r="U2859" i="1"/>
  <c r="U2858" i="1"/>
  <c r="U2857" i="1"/>
  <c r="U2856" i="1"/>
  <c r="U2855" i="1"/>
  <c r="U2854" i="1"/>
  <c r="U2853" i="1"/>
  <c r="U2852" i="1"/>
  <c r="U2851" i="1"/>
  <c r="U2850" i="1"/>
  <c r="U2849" i="1"/>
  <c r="U2848" i="1"/>
  <c r="U2847" i="1"/>
  <c r="U2846" i="1"/>
  <c r="U2845" i="1"/>
  <c r="U2844" i="1"/>
  <c r="U2843" i="1"/>
  <c r="U2842" i="1"/>
  <c r="U2841" i="1"/>
  <c r="U2840" i="1"/>
  <c r="U2839" i="1"/>
  <c r="U2838" i="1"/>
  <c r="U2837" i="1"/>
  <c r="U2836" i="1"/>
  <c r="U2835" i="1"/>
  <c r="U2834" i="1"/>
  <c r="U2833" i="1"/>
  <c r="U2832" i="1"/>
  <c r="U2831" i="1"/>
  <c r="U2830" i="1"/>
  <c r="U2829" i="1"/>
  <c r="U2828" i="1"/>
  <c r="U2827" i="1"/>
  <c r="U2826" i="1"/>
  <c r="U2825" i="1"/>
  <c r="U2824" i="1"/>
  <c r="U2823" i="1"/>
  <c r="U2822" i="1"/>
  <c r="U2821" i="1"/>
  <c r="U2820" i="1"/>
  <c r="U2819" i="1"/>
  <c r="U2818" i="1"/>
  <c r="U2817" i="1"/>
  <c r="U2816" i="1"/>
  <c r="U2815" i="1"/>
  <c r="U2814" i="1"/>
  <c r="U2813" i="1"/>
  <c r="U2812" i="1"/>
  <c r="U2811" i="1"/>
  <c r="U2810" i="1"/>
  <c r="U2809" i="1"/>
  <c r="U2808" i="1"/>
  <c r="U2807" i="1"/>
  <c r="U2806" i="1"/>
  <c r="U2805" i="1"/>
  <c r="U2804" i="1"/>
  <c r="U2803" i="1"/>
  <c r="U2802" i="1"/>
  <c r="U2801" i="1"/>
  <c r="U2800" i="1"/>
  <c r="U2799" i="1"/>
  <c r="U2798" i="1"/>
  <c r="U2797" i="1"/>
  <c r="U2796" i="1"/>
  <c r="U2795" i="1"/>
  <c r="U2794" i="1"/>
  <c r="U2793" i="1"/>
  <c r="U2792" i="1"/>
  <c r="U2791" i="1"/>
  <c r="U2790" i="1"/>
  <c r="U2789" i="1"/>
  <c r="U2788" i="1"/>
  <c r="U2787" i="1"/>
  <c r="U2786" i="1"/>
  <c r="U2785" i="1"/>
  <c r="U2784" i="1"/>
  <c r="U2783" i="1"/>
  <c r="U2782" i="1"/>
  <c r="U2781" i="1"/>
  <c r="U2780" i="1"/>
  <c r="U2779" i="1"/>
  <c r="U2778" i="1"/>
  <c r="U2777" i="1"/>
  <c r="U2776" i="1"/>
  <c r="U2775" i="1"/>
  <c r="U2774" i="1"/>
  <c r="U2773" i="1"/>
  <c r="U2772" i="1"/>
  <c r="U2771" i="1"/>
  <c r="U2770" i="1"/>
  <c r="U2769" i="1"/>
  <c r="U2768" i="1"/>
  <c r="U2767" i="1"/>
  <c r="U2766" i="1"/>
  <c r="U2765" i="1"/>
  <c r="U2764" i="1"/>
  <c r="U2763" i="1"/>
  <c r="U2762" i="1"/>
  <c r="U2761" i="1"/>
  <c r="U2760" i="1"/>
  <c r="U2759" i="1"/>
  <c r="U2758" i="1"/>
  <c r="U2757" i="1"/>
  <c r="U2756" i="1"/>
  <c r="U2755" i="1"/>
  <c r="U2754" i="1"/>
  <c r="U2753" i="1"/>
  <c r="U2752" i="1"/>
  <c r="U2751" i="1"/>
  <c r="U2750" i="1"/>
  <c r="U2749" i="1"/>
  <c r="U2748" i="1"/>
  <c r="U2747" i="1"/>
  <c r="U2746" i="1"/>
  <c r="U2745" i="1"/>
  <c r="U2744" i="1"/>
  <c r="U2743" i="1"/>
  <c r="U2742" i="1"/>
  <c r="U2741" i="1"/>
  <c r="U2740" i="1"/>
  <c r="U2739" i="1"/>
  <c r="U2738" i="1"/>
  <c r="U2737" i="1"/>
  <c r="U2736" i="1"/>
  <c r="U2735" i="1"/>
  <c r="U2734" i="1"/>
  <c r="U2733" i="1"/>
  <c r="U2732" i="1"/>
  <c r="U2731" i="1"/>
  <c r="U2730" i="1"/>
  <c r="U2729" i="1"/>
  <c r="U2728" i="1"/>
  <c r="U2727" i="1"/>
  <c r="U2726" i="1"/>
  <c r="U2725" i="1"/>
  <c r="U2724" i="1"/>
  <c r="U2723" i="1"/>
  <c r="U2722" i="1"/>
  <c r="U2721" i="1"/>
  <c r="U2720" i="1"/>
  <c r="U2719" i="1"/>
  <c r="U2718" i="1"/>
  <c r="U2717" i="1"/>
  <c r="U2716" i="1"/>
  <c r="U2715" i="1"/>
  <c r="U2714" i="1"/>
  <c r="U2713" i="1"/>
  <c r="U2712" i="1"/>
  <c r="U2711" i="1"/>
  <c r="U2710" i="1"/>
  <c r="U2709" i="1"/>
  <c r="U2708" i="1"/>
  <c r="U2707" i="1"/>
  <c r="U2706" i="1"/>
  <c r="U2705" i="1"/>
  <c r="U2704" i="1"/>
  <c r="U2703" i="1"/>
  <c r="U2702" i="1"/>
  <c r="U2701" i="1"/>
  <c r="U2700" i="1"/>
  <c r="U2699" i="1"/>
  <c r="U2698" i="1"/>
  <c r="U2697" i="1"/>
  <c r="U2696" i="1"/>
  <c r="U2695" i="1"/>
  <c r="U2694" i="1"/>
  <c r="U2693" i="1"/>
  <c r="U2692" i="1"/>
  <c r="U2691" i="1"/>
  <c r="U2690" i="1"/>
  <c r="U2689" i="1"/>
  <c r="U2688" i="1"/>
  <c r="U2687" i="1"/>
  <c r="U2686" i="1"/>
  <c r="U2685" i="1"/>
  <c r="U2684" i="1"/>
  <c r="U2683" i="1"/>
  <c r="U2682" i="1"/>
  <c r="U2681" i="1"/>
  <c r="U2680" i="1"/>
  <c r="U2679" i="1"/>
  <c r="U2678" i="1"/>
  <c r="U2677" i="1"/>
  <c r="U2676" i="1"/>
  <c r="U2675" i="1"/>
  <c r="U2674" i="1"/>
  <c r="U2673" i="1"/>
  <c r="U2672" i="1"/>
  <c r="U2671" i="1"/>
  <c r="U2670" i="1"/>
  <c r="U2669" i="1"/>
  <c r="U2668" i="1"/>
  <c r="U2667" i="1"/>
  <c r="U2666" i="1"/>
  <c r="U2665" i="1"/>
  <c r="U2664" i="1"/>
  <c r="U2663" i="1"/>
  <c r="U2662" i="1"/>
  <c r="U2661" i="1"/>
  <c r="U2660" i="1"/>
  <c r="U2659" i="1"/>
  <c r="U2658" i="1"/>
  <c r="U2657" i="1"/>
  <c r="U2656" i="1"/>
  <c r="U2655" i="1"/>
  <c r="U2654" i="1"/>
  <c r="U2653" i="1"/>
  <c r="U2652" i="1"/>
  <c r="U2651" i="1"/>
  <c r="U2650" i="1"/>
  <c r="U2649" i="1"/>
  <c r="U2648" i="1"/>
  <c r="U2647" i="1"/>
  <c r="U2646" i="1"/>
  <c r="U2645" i="1"/>
  <c r="U2644" i="1"/>
  <c r="U2643" i="1"/>
  <c r="U2642" i="1"/>
  <c r="U2641" i="1"/>
  <c r="U2640" i="1"/>
  <c r="U2639" i="1"/>
  <c r="U2638" i="1"/>
  <c r="U2637" i="1"/>
  <c r="U2636" i="1"/>
  <c r="U2635" i="1"/>
  <c r="U2634" i="1"/>
  <c r="U2633" i="1"/>
  <c r="U2632" i="1"/>
  <c r="U2631" i="1"/>
  <c r="U2630" i="1"/>
  <c r="U2629" i="1"/>
  <c r="U2628" i="1"/>
  <c r="U2627" i="1"/>
  <c r="U2626" i="1"/>
  <c r="U2625" i="1"/>
  <c r="U2624" i="1"/>
  <c r="U2623" i="1"/>
  <c r="U2622" i="1"/>
  <c r="U2621" i="1"/>
  <c r="U2620" i="1"/>
  <c r="U2619" i="1"/>
  <c r="U2618" i="1"/>
  <c r="U2617" i="1"/>
  <c r="U2616" i="1"/>
  <c r="U2615" i="1"/>
  <c r="U2614" i="1"/>
  <c r="U2613" i="1"/>
  <c r="U2612" i="1"/>
  <c r="U2611" i="1"/>
  <c r="U2610" i="1"/>
  <c r="U2609" i="1"/>
  <c r="U2608" i="1"/>
  <c r="U2607" i="1"/>
  <c r="U2606" i="1"/>
  <c r="U2605" i="1"/>
  <c r="U2604" i="1"/>
  <c r="U2603" i="1"/>
  <c r="U2602" i="1"/>
  <c r="U2601" i="1"/>
  <c r="U2600" i="1"/>
  <c r="U2599" i="1"/>
  <c r="U2598" i="1"/>
  <c r="U2597" i="1"/>
  <c r="U2596" i="1"/>
  <c r="U2595" i="1"/>
  <c r="U2594" i="1"/>
  <c r="U2593" i="1"/>
  <c r="U2592" i="1"/>
  <c r="U2591" i="1"/>
  <c r="U2590" i="1"/>
  <c r="U2589" i="1"/>
  <c r="U2588" i="1"/>
  <c r="U2587" i="1"/>
  <c r="U2586" i="1"/>
  <c r="U2585" i="1"/>
  <c r="U2584" i="1"/>
  <c r="U2583" i="1"/>
  <c r="U2582" i="1"/>
  <c r="U2581" i="1"/>
  <c r="U2580" i="1"/>
  <c r="U2579" i="1"/>
  <c r="U2578" i="1"/>
  <c r="U2577" i="1"/>
  <c r="U2576" i="1"/>
  <c r="U2575" i="1"/>
  <c r="U2574" i="1"/>
  <c r="U2573" i="1"/>
  <c r="U2572" i="1"/>
  <c r="U2571" i="1"/>
  <c r="U2570" i="1"/>
  <c r="U2569" i="1"/>
  <c r="U2568" i="1"/>
  <c r="U2567" i="1"/>
  <c r="U2566" i="1"/>
  <c r="U2565" i="1"/>
  <c r="U2564" i="1"/>
  <c r="U2563" i="1"/>
  <c r="U2562" i="1"/>
  <c r="U2561" i="1"/>
  <c r="U2560" i="1"/>
  <c r="U2559" i="1"/>
  <c r="U2558" i="1"/>
  <c r="U2557" i="1"/>
  <c r="U2556" i="1"/>
  <c r="U2555" i="1"/>
  <c r="U2554" i="1"/>
  <c r="U2553" i="1"/>
  <c r="U2552" i="1"/>
  <c r="U2551" i="1"/>
  <c r="U2550" i="1"/>
  <c r="U2549" i="1"/>
  <c r="U2548" i="1"/>
  <c r="U2547" i="1"/>
  <c r="U2546" i="1"/>
  <c r="U2545" i="1"/>
  <c r="U2544" i="1"/>
  <c r="U2543" i="1"/>
  <c r="U2542" i="1"/>
  <c r="U2541" i="1"/>
  <c r="U2540" i="1"/>
  <c r="U2539" i="1"/>
  <c r="U2538" i="1"/>
  <c r="U2537" i="1"/>
  <c r="U2536" i="1"/>
  <c r="U2535" i="1"/>
  <c r="U2534" i="1"/>
  <c r="U2533" i="1"/>
  <c r="U2532" i="1"/>
  <c r="U2531" i="1"/>
  <c r="U2530" i="1"/>
  <c r="U2529" i="1"/>
  <c r="U2528" i="1"/>
  <c r="U2527" i="1"/>
  <c r="U2526" i="1"/>
  <c r="U2525" i="1"/>
  <c r="U2524" i="1"/>
  <c r="U2523" i="1"/>
  <c r="U2522" i="1"/>
  <c r="U2521" i="1"/>
  <c r="U2520" i="1"/>
  <c r="U2519" i="1"/>
  <c r="U2518" i="1"/>
  <c r="U2517" i="1"/>
  <c r="U2516" i="1"/>
  <c r="U2515" i="1"/>
  <c r="U2514" i="1"/>
  <c r="U2513" i="1"/>
  <c r="U2512" i="1"/>
  <c r="U2511" i="1"/>
  <c r="U2510" i="1"/>
  <c r="U2509" i="1"/>
  <c r="U2508" i="1"/>
  <c r="U2507" i="1"/>
  <c r="U2506" i="1"/>
  <c r="U2505" i="1"/>
  <c r="U2504" i="1"/>
  <c r="U2503" i="1"/>
  <c r="U2502" i="1"/>
  <c r="U2501" i="1"/>
  <c r="U2500" i="1"/>
  <c r="U2499" i="1"/>
  <c r="U2498" i="1"/>
  <c r="U2497" i="1"/>
  <c r="U2496" i="1"/>
  <c r="U2495" i="1"/>
  <c r="U2494" i="1"/>
  <c r="U2493" i="1"/>
  <c r="U2492" i="1"/>
  <c r="U2491" i="1"/>
  <c r="U2490" i="1"/>
  <c r="U2489" i="1"/>
  <c r="U2488" i="1"/>
  <c r="U2487" i="1"/>
  <c r="U2486" i="1"/>
  <c r="U2485" i="1"/>
  <c r="U2484" i="1"/>
  <c r="U2483" i="1"/>
  <c r="U2482" i="1"/>
  <c r="U2481" i="1"/>
  <c r="U2480" i="1"/>
  <c r="U2479" i="1"/>
  <c r="U2478" i="1"/>
  <c r="U2477" i="1"/>
  <c r="U2476" i="1"/>
  <c r="U2475" i="1"/>
  <c r="U2474" i="1"/>
  <c r="U2473" i="1"/>
  <c r="U2472" i="1"/>
  <c r="U2471" i="1"/>
  <c r="U2470" i="1"/>
  <c r="U2469" i="1"/>
  <c r="U2468" i="1"/>
  <c r="U2467" i="1"/>
  <c r="U2466" i="1"/>
  <c r="U2465" i="1"/>
  <c r="U2464" i="1"/>
  <c r="U2463" i="1"/>
  <c r="U2462" i="1"/>
  <c r="U2461" i="1"/>
  <c r="U2460" i="1"/>
  <c r="U2459" i="1"/>
  <c r="U2458" i="1"/>
  <c r="U2457" i="1"/>
  <c r="U2456" i="1"/>
  <c r="U2455" i="1"/>
  <c r="U2454" i="1"/>
  <c r="U2453" i="1"/>
  <c r="U2452" i="1"/>
  <c r="U2451" i="1"/>
  <c r="U2450" i="1"/>
  <c r="U2449" i="1"/>
  <c r="U2448" i="1"/>
  <c r="U2447" i="1"/>
  <c r="U2446" i="1"/>
  <c r="U2445" i="1"/>
  <c r="U2444" i="1"/>
  <c r="U2443" i="1"/>
  <c r="U2442" i="1"/>
  <c r="U2441" i="1"/>
  <c r="U2440" i="1"/>
  <c r="U2439" i="1"/>
  <c r="U2438" i="1"/>
  <c r="U2437" i="1"/>
  <c r="U2436" i="1"/>
  <c r="U2435" i="1"/>
  <c r="U2434" i="1"/>
  <c r="U2433" i="1"/>
  <c r="U2432" i="1"/>
  <c r="U2431" i="1"/>
  <c r="U2430" i="1"/>
  <c r="U2429" i="1"/>
  <c r="U2428" i="1"/>
  <c r="U2427" i="1"/>
  <c r="U2426" i="1"/>
  <c r="U2425" i="1"/>
  <c r="U2424" i="1"/>
  <c r="U2423" i="1"/>
  <c r="U2422" i="1"/>
  <c r="U2421" i="1"/>
  <c r="U2420" i="1"/>
  <c r="U2419" i="1"/>
  <c r="U2418" i="1"/>
  <c r="U2417" i="1"/>
  <c r="U2416" i="1"/>
  <c r="U2415" i="1"/>
  <c r="U2414" i="1"/>
  <c r="U2413" i="1"/>
  <c r="U2412" i="1"/>
  <c r="U2411" i="1"/>
  <c r="U2410" i="1"/>
  <c r="U2409" i="1"/>
  <c r="U2408" i="1"/>
  <c r="U2407" i="1"/>
  <c r="U2406" i="1"/>
  <c r="U2405" i="1"/>
  <c r="U2404" i="1"/>
  <c r="U2403" i="1"/>
  <c r="U2402" i="1"/>
  <c r="U2401" i="1"/>
  <c r="U2400" i="1"/>
  <c r="U2399" i="1"/>
  <c r="U2398" i="1"/>
  <c r="U2397" i="1"/>
  <c r="U2396" i="1"/>
  <c r="U2395" i="1"/>
  <c r="U2394" i="1"/>
  <c r="U2393" i="1"/>
  <c r="U2392" i="1"/>
  <c r="U2391" i="1"/>
  <c r="U2390" i="1"/>
  <c r="U2389" i="1"/>
  <c r="U2388" i="1"/>
  <c r="U2387" i="1"/>
  <c r="U2386" i="1"/>
  <c r="U2385" i="1"/>
  <c r="U2384" i="1"/>
  <c r="U2383" i="1"/>
  <c r="U2382" i="1"/>
  <c r="U2381" i="1"/>
  <c r="U2380" i="1"/>
  <c r="U2379" i="1"/>
  <c r="U2378" i="1"/>
  <c r="U2377" i="1"/>
  <c r="U2376" i="1"/>
  <c r="U2375" i="1"/>
  <c r="U2374" i="1"/>
  <c r="U2373" i="1"/>
  <c r="U2372" i="1"/>
  <c r="U2371" i="1"/>
  <c r="U2370" i="1"/>
  <c r="U2369" i="1"/>
  <c r="U2368" i="1"/>
  <c r="U2367" i="1"/>
  <c r="U2366" i="1"/>
  <c r="U2365" i="1"/>
  <c r="U2364" i="1"/>
  <c r="U2363" i="1"/>
  <c r="U2362" i="1"/>
  <c r="U2361" i="1"/>
  <c r="U2360" i="1"/>
  <c r="U2359" i="1"/>
  <c r="U2358" i="1"/>
  <c r="U2357" i="1"/>
  <c r="U2356" i="1"/>
  <c r="U2355" i="1"/>
  <c r="U2354" i="1"/>
  <c r="U2353" i="1"/>
  <c r="U2352" i="1"/>
  <c r="U2351" i="1"/>
  <c r="U2350" i="1"/>
  <c r="U2349" i="1"/>
  <c r="U2348" i="1"/>
  <c r="U2347" i="1"/>
  <c r="U2346" i="1"/>
  <c r="U2345" i="1"/>
  <c r="U2344" i="1"/>
  <c r="U2343" i="1"/>
  <c r="U2342" i="1"/>
  <c r="U2341" i="1"/>
  <c r="U2340" i="1"/>
  <c r="U2339" i="1"/>
  <c r="U2338" i="1"/>
  <c r="U2337" i="1"/>
  <c r="U2336" i="1"/>
  <c r="U2335" i="1"/>
  <c r="U2334" i="1"/>
  <c r="U2333" i="1"/>
  <c r="U2332" i="1"/>
  <c r="U2331" i="1"/>
  <c r="U2330" i="1"/>
  <c r="U2329" i="1"/>
  <c r="U2328" i="1"/>
  <c r="U2327" i="1"/>
  <c r="U2326" i="1"/>
  <c r="U2325" i="1"/>
  <c r="U2324" i="1"/>
  <c r="U2323" i="1"/>
  <c r="U2322" i="1"/>
  <c r="U2321" i="1"/>
  <c r="U2320" i="1"/>
  <c r="U2319" i="1"/>
  <c r="U2318" i="1"/>
  <c r="U2317" i="1"/>
  <c r="U2316" i="1"/>
  <c r="U2315" i="1"/>
  <c r="U2314" i="1"/>
  <c r="U2313" i="1"/>
  <c r="U2312" i="1"/>
  <c r="U2311" i="1"/>
  <c r="U2310" i="1"/>
  <c r="U2309" i="1"/>
  <c r="U2308" i="1"/>
  <c r="U2307" i="1"/>
  <c r="U2306" i="1"/>
  <c r="U2305" i="1"/>
  <c r="U2304" i="1"/>
  <c r="U2303" i="1"/>
  <c r="U2302" i="1"/>
  <c r="U2301" i="1"/>
  <c r="U2300" i="1"/>
  <c r="U2299" i="1"/>
  <c r="U2298" i="1"/>
  <c r="U2297" i="1"/>
  <c r="U2296" i="1"/>
  <c r="U2295" i="1"/>
  <c r="U2294" i="1"/>
  <c r="U2293" i="1"/>
  <c r="U2292" i="1"/>
  <c r="U2291" i="1"/>
  <c r="U2290" i="1"/>
  <c r="U2289" i="1"/>
  <c r="U2288" i="1"/>
  <c r="U2287" i="1"/>
  <c r="U2286" i="1"/>
  <c r="U2285" i="1"/>
  <c r="U2284" i="1"/>
  <c r="U2283" i="1"/>
  <c r="U2282" i="1"/>
  <c r="U2281" i="1"/>
  <c r="U2280" i="1"/>
  <c r="U2279" i="1"/>
  <c r="U2278" i="1"/>
  <c r="U2277" i="1"/>
  <c r="U2276" i="1"/>
  <c r="U2275" i="1"/>
  <c r="U2274" i="1"/>
  <c r="U2273" i="1"/>
  <c r="U2272" i="1"/>
  <c r="U2271" i="1"/>
  <c r="U2270" i="1"/>
  <c r="U2269" i="1"/>
  <c r="U2268" i="1"/>
  <c r="U2267" i="1"/>
  <c r="U2266" i="1"/>
  <c r="U2265" i="1"/>
  <c r="U2264" i="1"/>
  <c r="U2263" i="1"/>
  <c r="U2262" i="1"/>
  <c r="U2261" i="1"/>
  <c r="U2260" i="1"/>
  <c r="U2259" i="1"/>
  <c r="U2258" i="1"/>
  <c r="U2257" i="1"/>
  <c r="U2256" i="1"/>
  <c r="U2255" i="1"/>
  <c r="U2254" i="1"/>
  <c r="U2253" i="1"/>
  <c r="U2252" i="1"/>
  <c r="U2251" i="1"/>
  <c r="U2250" i="1"/>
  <c r="U2249" i="1"/>
  <c r="U2248" i="1"/>
  <c r="U2247" i="1"/>
  <c r="U2246" i="1"/>
  <c r="U2245" i="1"/>
  <c r="U2244" i="1"/>
  <c r="U2243" i="1"/>
  <c r="U2242" i="1"/>
  <c r="U2241" i="1"/>
  <c r="U2240" i="1"/>
  <c r="U2239" i="1"/>
  <c r="U2238" i="1"/>
  <c r="U2237" i="1"/>
  <c r="U2236" i="1"/>
  <c r="U2235" i="1"/>
  <c r="U2234" i="1"/>
  <c r="U2233" i="1"/>
  <c r="U2232" i="1"/>
  <c r="U2231" i="1"/>
  <c r="U2230" i="1"/>
  <c r="U2229" i="1"/>
  <c r="U2228" i="1"/>
  <c r="U2227" i="1"/>
  <c r="U2226" i="1"/>
  <c r="U2225" i="1"/>
  <c r="U2224" i="1"/>
  <c r="U2223" i="1"/>
  <c r="U2222" i="1"/>
  <c r="U2221" i="1"/>
  <c r="U2220" i="1"/>
  <c r="U2219" i="1"/>
  <c r="U2218" i="1"/>
  <c r="U2217" i="1"/>
  <c r="U2216" i="1"/>
  <c r="U2215" i="1"/>
  <c r="U2214" i="1"/>
  <c r="U2213" i="1"/>
  <c r="U2212" i="1"/>
  <c r="U2211" i="1"/>
  <c r="U2210" i="1"/>
  <c r="U2209" i="1"/>
  <c r="U2208" i="1"/>
  <c r="U2207" i="1"/>
  <c r="U2206" i="1"/>
  <c r="U2205" i="1"/>
  <c r="U2204" i="1"/>
  <c r="U2203" i="1"/>
  <c r="U2202" i="1"/>
  <c r="U2201" i="1"/>
  <c r="U2200" i="1"/>
  <c r="U2199" i="1"/>
  <c r="U2198" i="1"/>
  <c r="U2197" i="1"/>
  <c r="U2196" i="1"/>
  <c r="U2195" i="1"/>
  <c r="U2194" i="1"/>
  <c r="U2193" i="1"/>
  <c r="U2192" i="1"/>
  <c r="U2191" i="1"/>
  <c r="U2190" i="1"/>
  <c r="U2189" i="1"/>
  <c r="U2188" i="1"/>
  <c r="U2187" i="1"/>
  <c r="U2186" i="1"/>
  <c r="U2185" i="1"/>
  <c r="U2184" i="1"/>
  <c r="U2183" i="1"/>
  <c r="U2182" i="1"/>
  <c r="U2181" i="1"/>
  <c r="U2180" i="1"/>
  <c r="U2179" i="1"/>
  <c r="U2178" i="1"/>
  <c r="U2177" i="1"/>
  <c r="U2176" i="1"/>
  <c r="U2175" i="1"/>
  <c r="U2174" i="1"/>
  <c r="U2173" i="1"/>
  <c r="U2172" i="1"/>
  <c r="U2171" i="1"/>
  <c r="U2170" i="1"/>
  <c r="U2169" i="1"/>
  <c r="U2168" i="1"/>
  <c r="U2167" i="1"/>
  <c r="U2166" i="1"/>
  <c r="U2165" i="1"/>
  <c r="U2164" i="1"/>
  <c r="U2163" i="1"/>
  <c r="U2162" i="1"/>
  <c r="U2161" i="1"/>
  <c r="U2160" i="1"/>
  <c r="U2159" i="1"/>
  <c r="U2158" i="1"/>
  <c r="U2157" i="1"/>
  <c r="U2156" i="1"/>
  <c r="U2155" i="1"/>
  <c r="U2154" i="1"/>
  <c r="U2153" i="1"/>
  <c r="U2152" i="1"/>
  <c r="U2151" i="1"/>
  <c r="U2150" i="1"/>
  <c r="U2149" i="1"/>
  <c r="U2148" i="1"/>
  <c r="U2147" i="1"/>
  <c r="U2146" i="1"/>
  <c r="U2145" i="1"/>
  <c r="U2144" i="1"/>
  <c r="U2143" i="1"/>
  <c r="U2142" i="1"/>
  <c r="U2141" i="1"/>
  <c r="U2140" i="1"/>
  <c r="U2139" i="1"/>
  <c r="U2138" i="1"/>
  <c r="U2137" i="1"/>
  <c r="U2136" i="1"/>
  <c r="U2135" i="1"/>
  <c r="U2134" i="1"/>
  <c r="U2133" i="1"/>
  <c r="U2132" i="1"/>
  <c r="U2131" i="1"/>
  <c r="U2130" i="1"/>
  <c r="U2129" i="1"/>
  <c r="U2128" i="1"/>
  <c r="U2127" i="1"/>
  <c r="U2126" i="1"/>
  <c r="U2125" i="1"/>
  <c r="U2124" i="1"/>
  <c r="U2123" i="1"/>
  <c r="U2122" i="1"/>
  <c r="U2121" i="1"/>
  <c r="U2120" i="1"/>
  <c r="U2119" i="1"/>
  <c r="U2118" i="1"/>
  <c r="U2117" i="1"/>
  <c r="U2116" i="1"/>
  <c r="U2115" i="1"/>
  <c r="U2114" i="1"/>
  <c r="U2113" i="1"/>
  <c r="U2112" i="1"/>
  <c r="U2111" i="1"/>
  <c r="U2110" i="1"/>
  <c r="U2109" i="1"/>
  <c r="U2108" i="1"/>
  <c r="U2107" i="1"/>
  <c r="U2106" i="1"/>
  <c r="U2105" i="1"/>
  <c r="U2104" i="1"/>
  <c r="U2103" i="1"/>
  <c r="U2102" i="1"/>
  <c r="U2101" i="1"/>
  <c r="U2100" i="1"/>
  <c r="U2099" i="1"/>
  <c r="U2098" i="1"/>
  <c r="U2097" i="1"/>
  <c r="U2096" i="1"/>
  <c r="U2095" i="1"/>
  <c r="U2094" i="1"/>
  <c r="U2093" i="1"/>
  <c r="U2092" i="1"/>
  <c r="U2091" i="1"/>
  <c r="U2090" i="1"/>
  <c r="U2089" i="1"/>
  <c r="U2088" i="1"/>
  <c r="U2087" i="1"/>
  <c r="U2086" i="1"/>
  <c r="U2085" i="1"/>
  <c r="U2084" i="1"/>
  <c r="U2083" i="1"/>
  <c r="U2082" i="1"/>
  <c r="U2081" i="1"/>
  <c r="U2080" i="1"/>
  <c r="U2079" i="1"/>
  <c r="U2078" i="1"/>
  <c r="U2077" i="1"/>
  <c r="U2076" i="1"/>
  <c r="U2075" i="1"/>
  <c r="U2074" i="1"/>
  <c r="U2073" i="1"/>
  <c r="U2072" i="1"/>
  <c r="U2071" i="1"/>
  <c r="U2070" i="1"/>
  <c r="U2069" i="1"/>
  <c r="U2068" i="1"/>
  <c r="U2067" i="1"/>
  <c r="U2066" i="1"/>
  <c r="U2065" i="1"/>
  <c r="U2064" i="1"/>
  <c r="U2063" i="1"/>
  <c r="U2062" i="1"/>
  <c r="U2061" i="1"/>
  <c r="U2060" i="1"/>
  <c r="U2059" i="1"/>
  <c r="U2058" i="1"/>
  <c r="U2057" i="1"/>
  <c r="U2056" i="1"/>
  <c r="U2055" i="1"/>
  <c r="U2054" i="1"/>
  <c r="U2053" i="1"/>
  <c r="U2052" i="1"/>
  <c r="U2051" i="1"/>
  <c r="U2050" i="1"/>
  <c r="U2049" i="1"/>
  <c r="U2048" i="1"/>
  <c r="U2047" i="1"/>
  <c r="U2046" i="1"/>
  <c r="U2045" i="1"/>
  <c r="U2044" i="1"/>
  <c r="U2043" i="1"/>
  <c r="U2042" i="1"/>
  <c r="U2041" i="1"/>
  <c r="U2040" i="1"/>
  <c r="U2039" i="1"/>
  <c r="U2038" i="1"/>
  <c r="U2037" i="1"/>
  <c r="U2036" i="1"/>
  <c r="U2035" i="1"/>
  <c r="U2034" i="1"/>
  <c r="U2033" i="1"/>
  <c r="U2032" i="1"/>
  <c r="U2031" i="1"/>
  <c r="U2030" i="1"/>
  <c r="U2029" i="1"/>
  <c r="U2028" i="1"/>
  <c r="U2027" i="1"/>
  <c r="U2026" i="1"/>
  <c r="U2025" i="1"/>
  <c r="U2024" i="1"/>
  <c r="U2023" i="1"/>
  <c r="U2022" i="1"/>
  <c r="U2021" i="1"/>
  <c r="U2020" i="1"/>
  <c r="U2019" i="1"/>
  <c r="U2018" i="1"/>
  <c r="U2017" i="1"/>
  <c r="U2016" i="1"/>
  <c r="U2015" i="1"/>
  <c r="U2014" i="1"/>
  <c r="U2013" i="1"/>
  <c r="U2012" i="1"/>
  <c r="U2011" i="1"/>
  <c r="U2010" i="1"/>
  <c r="U2009" i="1"/>
  <c r="U2008" i="1"/>
  <c r="U2007" i="1"/>
  <c r="U2006" i="1"/>
  <c r="U2005" i="1"/>
  <c r="U2004" i="1"/>
  <c r="U2003" i="1"/>
  <c r="U2002" i="1"/>
  <c r="U2001" i="1"/>
  <c r="U2000" i="1"/>
  <c r="U1999" i="1"/>
  <c r="U1998" i="1"/>
  <c r="U1997" i="1"/>
  <c r="U1996" i="1"/>
  <c r="U1995" i="1"/>
  <c r="U1994" i="1"/>
  <c r="U1993" i="1"/>
  <c r="U1992" i="1"/>
  <c r="U1991" i="1"/>
  <c r="U1990" i="1"/>
  <c r="U1989" i="1"/>
  <c r="U1988" i="1"/>
  <c r="U1987" i="1"/>
  <c r="U1986" i="1"/>
  <c r="U1985" i="1"/>
  <c r="U1984" i="1"/>
  <c r="U1983" i="1"/>
  <c r="U1982" i="1"/>
  <c r="U1981" i="1"/>
  <c r="U1980" i="1"/>
  <c r="U1979" i="1"/>
  <c r="U1978" i="1"/>
  <c r="U1977" i="1"/>
  <c r="U1976" i="1"/>
  <c r="U1975" i="1"/>
  <c r="U1974" i="1"/>
  <c r="U1973" i="1"/>
  <c r="U1972" i="1"/>
  <c r="U1971" i="1"/>
  <c r="U1970" i="1"/>
  <c r="U1969" i="1"/>
  <c r="U1968" i="1"/>
  <c r="U1967" i="1"/>
  <c r="U1966" i="1"/>
  <c r="U1965" i="1"/>
  <c r="U1964" i="1"/>
  <c r="U1963" i="1"/>
  <c r="U1962" i="1"/>
  <c r="U1961" i="1"/>
  <c r="U1960" i="1"/>
  <c r="U1959" i="1"/>
  <c r="U1958" i="1"/>
  <c r="U1957" i="1"/>
  <c r="U1956" i="1"/>
  <c r="U1955" i="1"/>
  <c r="U1954" i="1"/>
  <c r="U1953" i="1"/>
  <c r="U1952" i="1"/>
  <c r="U1951" i="1"/>
  <c r="U1950" i="1"/>
  <c r="U1949" i="1"/>
  <c r="U1948" i="1"/>
  <c r="U1947" i="1"/>
  <c r="U1946" i="1"/>
  <c r="U1945" i="1"/>
  <c r="U1944" i="1"/>
  <c r="U1943" i="1"/>
  <c r="U1942" i="1"/>
  <c r="U1941" i="1"/>
  <c r="U1940" i="1"/>
  <c r="U1939" i="1"/>
  <c r="U1938" i="1"/>
  <c r="U1937" i="1"/>
  <c r="U1936" i="1"/>
  <c r="U1935" i="1"/>
  <c r="U1934" i="1"/>
  <c r="U1933" i="1"/>
  <c r="U1932" i="1"/>
  <c r="U1931" i="1"/>
  <c r="U1930" i="1"/>
  <c r="U1929" i="1"/>
  <c r="U1928" i="1"/>
  <c r="U1927" i="1"/>
  <c r="U1926" i="1"/>
  <c r="U1925" i="1"/>
  <c r="U1924" i="1"/>
  <c r="U1923" i="1"/>
  <c r="U1922" i="1"/>
  <c r="U1921" i="1"/>
  <c r="U1920" i="1"/>
  <c r="U1919" i="1"/>
  <c r="U1918" i="1"/>
  <c r="U1917" i="1"/>
  <c r="U1916" i="1"/>
  <c r="U1915" i="1"/>
  <c r="U1914" i="1"/>
  <c r="U1913" i="1"/>
  <c r="U1912" i="1"/>
  <c r="U1911" i="1"/>
  <c r="U1910" i="1"/>
  <c r="U1909" i="1"/>
  <c r="U1908" i="1"/>
  <c r="U1907" i="1"/>
  <c r="U1906" i="1"/>
  <c r="U1905" i="1"/>
  <c r="U1904" i="1"/>
  <c r="U1903" i="1"/>
  <c r="U1902" i="1"/>
  <c r="U1901" i="1"/>
  <c r="U1900" i="1"/>
  <c r="U1899" i="1"/>
  <c r="U1898" i="1"/>
  <c r="U1897" i="1"/>
  <c r="U1896" i="1"/>
  <c r="U1895" i="1"/>
  <c r="U1894" i="1"/>
  <c r="U1893" i="1"/>
  <c r="U1892" i="1"/>
  <c r="U1891" i="1"/>
  <c r="U1890" i="1"/>
  <c r="U1889" i="1"/>
  <c r="U1888" i="1"/>
  <c r="U1887" i="1"/>
  <c r="U1886" i="1"/>
  <c r="U1885" i="1"/>
  <c r="U1884" i="1"/>
  <c r="U1883" i="1"/>
  <c r="U1882" i="1"/>
  <c r="U1881" i="1"/>
  <c r="U1880" i="1"/>
  <c r="U1879" i="1"/>
  <c r="U1878" i="1"/>
  <c r="U1877" i="1"/>
  <c r="U1876" i="1"/>
  <c r="U1875" i="1"/>
  <c r="U1874" i="1"/>
  <c r="U1873" i="1"/>
  <c r="U1872" i="1"/>
  <c r="U1871" i="1"/>
  <c r="U1870" i="1"/>
  <c r="U1869" i="1"/>
  <c r="U1868" i="1"/>
  <c r="U1867" i="1"/>
  <c r="U1866" i="1"/>
  <c r="U1865" i="1"/>
  <c r="U1864" i="1"/>
  <c r="U1863" i="1"/>
  <c r="U1862" i="1"/>
  <c r="U1861" i="1"/>
  <c r="U1860" i="1"/>
  <c r="U1859" i="1"/>
  <c r="U1858" i="1"/>
  <c r="U1857" i="1"/>
  <c r="U1856" i="1"/>
  <c r="U1855" i="1"/>
  <c r="U1854" i="1"/>
  <c r="U1853" i="1"/>
  <c r="U1852" i="1"/>
  <c r="U1851" i="1"/>
  <c r="U1850" i="1"/>
  <c r="U1849" i="1"/>
  <c r="U1848" i="1"/>
  <c r="U1847" i="1"/>
  <c r="U1846" i="1"/>
  <c r="U1845" i="1"/>
  <c r="U1844" i="1"/>
  <c r="U1843" i="1"/>
  <c r="U1842" i="1"/>
  <c r="U1841" i="1"/>
  <c r="U1840" i="1"/>
  <c r="U1839" i="1"/>
  <c r="U1838" i="1"/>
  <c r="U1837" i="1"/>
  <c r="U1836" i="1"/>
  <c r="U1835" i="1"/>
  <c r="U1834" i="1"/>
  <c r="U1833" i="1"/>
  <c r="U1832" i="1"/>
  <c r="U1831" i="1"/>
  <c r="U1830" i="1"/>
  <c r="U1829" i="1"/>
  <c r="U1828" i="1"/>
  <c r="U1827" i="1"/>
  <c r="U1826" i="1"/>
  <c r="U1825" i="1"/>
  <c r="U1824" i="1"/>
  <c r="U1823" i="1"/>
  <c r="U1822" i="1"/>
  <c r="U1821" i="1"/>
  <c r="U1820" i="1"/>
  <c r="U1819" i="1"/>
  <c r="U1818" i="1"/>
  <c r="U1817" i="1"/>
  <c r="U1816" i="1"/>
  <c r="U1815" i="1"/>
  <c r="U1814" i="1"/>
  <c r="U1813" i="1"/>
  <c r="U1812" i="1"/>
  <c r="U1811" i="1"/>
  <c r="U1810" i="1"/>
  <c r="U1809" i="1"/>
  <c r="U1808" i="1"/>
  <c r="U1807" i="1"/>
  <c r="U1806" i="1"/>
  <c r="U1805" i="1"/>
  <c r="U1804" i="1"/>
  <c r="U1803" i="1"/>
  <c r="U1802" i="1"/>
  <c r="U1801" i="1"/>
  <c r="U1800" i="1"/>
  <c r="U1799" i="1"/>
  <c r="U1798" i="1"/>
  <c r="U1797" i="1"/>
  <c r="U1796" i="1"/>
  <c r="U1795" i="1"/>
  <c r="U1794" i="1"/>
  <c r="U1793" i="1"/>
  <c r="U1792" i="1"/>
  <c r="U1791" i="1"/>
  <c r="U1790" i="1"/>
  <c r="U1789" i="1"/>
  <c r="U1788" i="1"/>
  <c r="U1787" i="1"/>
  <c r="U1786" i="1"/>
  <c r="U1785" i="1"/>
  <c r="U1784" i="1"/>
  <c r="U1783" i="1"/>
  <c r="U1782" i="1"/>
  <c r="U1781" i="1"/>
  <c r="U1780" i="1"/>
  <c r="U1779" i="1"/>
  <c r="U1778" i="1"/>
  <c r="U1777" i="1"/>
  <c r="U1776" i="1"/>
  <c r="U1775" i="1"/>
  <c r="U1774" i="1"/>
  <c r="U1773" i="1"/>
  <c r="U1772" i="1"/>
  <c r="U1771" i="1"/>
  <c r="U1770" i="1"/>
  <c r="U1769" i="1"/>
  <c r="U1768" i="1"/>
  <c r="U1767" i="1"/>
  <c r="U1766" i="1"/>
  <c r="U1765" i="1"/>
  <c r="U1764" i="1"/>
  <c r="U1763" i="1"/>
  <c r="U1762" i="1"/>
  <c r="U1761" i="1"/>
  <c r="U1760" i="1"/>
  <c r="U1759" i="1"/>
  <c r="U1758" i="1"/>
  <c r="U1757" i="1"/>
  <c r="U1756" i="1"/>
  <c r="U1755" i="1"/>
  <c r="U1754" i="1"/>
  <c r="U1753" i="1"/>
  <c r="U1752" i="1"/>
  <c r="U1751" i="1"/>
  <c r="U1750" i="1"/>
  <c r="U1749" i="1"/>
  <c r="U1748" i="1"/>
  <c r="U1747" i="1"/>
  <c r="U1746" i="1"/>
  <c r="U1745" i="1"/>
  <c r="U1744" i="1"/>
  <c r="U1743" i="1"/>
  <c r="U1742" i="1"/>
  <c r="U1741" i="1"/>
  <c r="U1740" i="1"/>
  <c r="U1739" i="1"/>
  <c r="U1738" i="1"/>
  <c r="U1737" i="1"/>
  <c r="U1736" i="1"/>
  <c r="U1735" i="1"/>
  <c r="U1734" i="1"/>
  <c r="U1733" i="1"/>
  <c r="U1732" i="1"/>
  <c r="U1731" i="1"/>
  <c r="U1730" i="1"/>
  <c r="U1729" i="1"/>
  <c r="U1728" i="1"/>
  <c r="U1727" i="1"/>
  <c r="U1726" i="1"/>
  <c r="U1725" i="1"/>
  <c r="U1724" i="1"/>
  <c r="U1723" i="1"/>
  <c r="U1722" i="1"/>
  <c r="U1721" i="1"/>
  <c r="U1720" i="1"/>
  <c r="U1719" i="1"/>
  <c r="U1718" i="1"/>
  <c r="U1717" i="1"/>
  <c r="U1716" i="1"/>
  <c r="U1715" i="1"/>
  <c r="U1714" i="1"/>
  <c r="U1713" i="1"/>
  <c r="U1712" i="1"/>
  <c r="U1711" i="1"/>
  <c r="U1710" i="1"/>
  <c r="U1709" i="1"/>
  <c r="U1708" i="1"/>
  <c r="U1707" i="1"/>
  <c r="U1706" i="1"/>
  <c r="U1705" i="1"/>
  <c r="U1704" i="1"/>
  <c r="U1703" i="1"/>
  <c r="U1702" i="1"/>
  <c r="U1701" i="1"/>
  <c r="U1700" i="1"/>
  <c r="U1699" i="1"/>
  <c r="U1698" i="1"/>
  <c r="U1697" i="1"/>
  <c r="U1696" i="1"/>
  <c r="U1695" i="1"/>
  <c r="U1694" i="1"/>
  <c r="U1693" i="1"/>
  <c r="U1692" i="1"/>
  <c r="U1691" i="1"/>
  <c r="U1690" i="1"/>
  <c r="U1689" i="1"/>
  <c r="U1688" i="1"/>
  <c r="U1687" i="1"/>
  <c r="U1686" i="1"/>
  <c r="U1685" i="1"/>
  <c r="U1684" i="1"/>
  <c r="U1683" i="1"/>
  <c r="U1682" i="1"/>
  <c r="U1681" i="1"/>
  <c r="U1680" i="1"/>
  <c r="U1679" i="1"/>
  <c r="U1678" i="1"/>
  <c r="U1677" i="1"/>
  <c r="U1676" i="1"/>
  <c r="U1675" i="1"/>
  <c r="U1674" i="1"/>
  <c r="U1673" i="1"/>
  <c r="U1672" i="1"/>
  <c r="U1671" i="1"/>
  <c r="U1670" i="1"/>
  <c r="U1669" i="1"/>
  <c r="U1668" i="1"/>
  <c r="U1667" i="1"/>
  <c r="U1666" i="1"/>
  <c r="U1665" i="1"/>
  <c r="U1664" i="1"/>
  <c r="U1663" i="1"/>
  <c r="U1662" i="1"/>
  <c r="U1661" i="1"/>
  <c r="U1660" i="1"/>
  <c r="U1659" i="1"/>
  <c r="U1658" i="1"/>
  <c r="U1657" i="1"/>
  <c r="U1656" i="1"/>
  <c r="U1655" i="1"/>
  <c r="U1654" i="1"/>
  <c r="U1653" i="1"/>
  <c r="U1652" i="1"/>
  <c r="U1651" i="1"/>
  <c r="U1650" i="1"/>
  <c r="U1649" i="1"/>
  <c r="U1648" i="1"/>
  <c r="U1647" i="1"/>
  <c r="U1646" i="1"/>
  <c r="U1645" i="1"/>
  <c r="U1644" i="1"/>
  <c r="U1643" i="1"/>
  <c r="U1642" i="1"/>
  <c r="U1641" i="1"/>
  <c r="U1640" i="1"/>
  <c r="U1639" i="1"/>
  <c r="U1638" i="1"/>
  <c r="U1637" i="1"/>
  <c r="U1636" i="1"/>
  <c r="U1635" i="1"/>
  <c r="U1634" i="1"/>
  <c r="U1633" i="1"/>
  <c r="U1632" i="1"/>
  <c r="U1631" i="1"/>
  <c r="U1630" i="1"/>
  <c r="U1629" i="1"/>
  <c r="U1628" i="1"/>
  <c r="U1627" i="1"/>
  <c r="U1626" i="1"/>
  <c r="U1625" i="1"/>
  <c r="U1624" i="1"/>
  <c r="U1623" i="1"/>
  <c r="U1622" i="1"/>
  <c r="U1621" i="1"/>
  <c r="U1620" i="1"/>
  <c r="U1619" i="1"/>
  <c r="U1618" i="1"/>
  <c r="U1617" i="1"/>
  <c r="U1616" i="1"/>
  <c r="U1615" i="1"/>
  <c r="U1614" i="1"/>
  <c r="U1613" i="1"/>
  <c r="U1612" i="1"/>
  <c r="U1611" i="1"/>
  <c r="U1610" i="1"/>
  <c r="U1609" i="1"/>
  <c r="U1608" i="1"/>
  <c r="U1607" i="1"/>
  <c r="U1606" i="1"/>
  <c r="U1605" i="1"/>
  <c r="U1604" i="1"/>
  <c r="U1603" i="1"/>
  <c r="U1602" i="1"/>
  <c r="U1601" i="1"/>
  <c r="U1600" i="1"/>
  <c r="U1599" i="1"/>
  <c r="U1598" i="1"/>
  <c r="U1597" i="1"/>
  <c r="U1596" i="1"/>
  <c r="U1595" i="1"/>
  <c r="U1594" i="1"/>
  <c r="U1593" i="1"/>
  <c r="U1592" i="1"/>
  <c r="U1591" i="1"/>
  <c r="U1590" i="1"/>
  <c r="U1589" i="1"/>
  <c r="U1588" i="1"/>
  <c r="U1587" i="1"/>
  <c r="U1586" i="1"/>
  <c r="U1585" i="1"/>
  <c r="U1584" i="1"/>
  <c r="U1583" i="1"/>
  <c r="U1582" i="1"/>
  <c r="U1581" i="1"/>
  <c r="U1580" i="1"/>
  <c r="U1579" i="1"/>
  <c r="U1578" i="1"/>
  <c r="U1577" i="1"/>
  <c r="U1576" i="1"/>
  <c r="U1575" i="1"/>
  <c r="U1574" i="1"/>
  <c r="U1573" i="1"/>
  <c r="U1572" i="1"/>
  <c r="U1571" i="1"/>
  <c r="U1570" i="1"/>
  <c r="U1569" i="1"/>
  <c r="U1568" i="1"/>
  <c r="U1567" i="1"/>
  <c r="U1566" i="1"/>
  <c r="U1565" i="1"/>
  <c r="U1564" i="1"/>
  <c r="U1563" i="1"/>
  <c r="U1562" i="1"/>
  <c r="U1561" i="1"/>
  <c r="U1560" i="1"/>
  <c r="U1559" i="1"/>
  <c r="U1558" i="1"/>
  <c r="U1557" i="1"/>
  <c r="U1556" i="1"/>
  <c r="U1555" i="1"/>
  <c r="U1554" i="1"/>
  <c r="U1553" i="1"/>
  <c r="U1552" i="1"/>
  <c r="U1551" i="1"/>
  <c r="U1550" i="1"/>
  <c r="U1549" i="1"/>
  <c r="U1548" i="1"/>
  <c r="U1547" i="1"/>
  <c r="U1546" i="1"/>
  <c r="U1545" i="1"/>
  <c r="U1544" i="1"/>
  <c r="U1543" i="1"/>
  <c r="U1542" i="1"/>
  <c r="U1541" i="1"/>
  <c r="U1540" i="1"/>
  <c r="U1539" i="1"/>
  <c r="U1538" i="1"/>
  <c r="U1537" i="1"/>
  <c r="U1536" i="1"/>
  <c r="U1535" i="1"/>
  <c r="U1534" i="1"/>
  <c r="U1533" i="1"/>
  <c r="U1532" i="1"/>
  <c r="U1531" i="1"/>
  <c r="U1530" i="1"/>
  <c r="U1529" i="1"/>
  <c r="U1528" i="1"/>
  <c r="U1527" i="1"/>
  <c r="U1526" i="1"/>
  <c r="U1525" i="1"/>
  <c r="U1524" i="1"/>
  <c r="U1523" i="1"/>
  <c r="U1522" i="1"/>
  <c r="U1521" i="1"/>
  <c r="U1520" i="1"/>
  <c r="U1519" i="1"/>
  <c r="U1518" i="1"/>
  <c r="U1517" i="1"/>
  <c r="U1516" i="1"/>
  <c r="U1515" i="1"/>
  <c r="U1514" i="1"/>
  <c r="U1513" i="1"/>
  <c r="U1512" i="1"/>
  <c r="U1511" i="1"/>
  <c r="U1510" i="1"/>
  <c r="U1509" i="1"/>
  <c r="U1508" i="1"/>
  <c r="U1507" i="1"/>
  <c r="U1506" i="1"/>
  <c r="U1505" i="1"/>
  <c r="U1504" i="1"/>
  <c r="U1503" i="1"/>
  <c r="U1502" i="1"/>
  <c r="U1501" i="1"/>
  <c r="U1500" i="1"/>
  <c r="U1499" i="1"/>
  <c r="U1498" i="1"/>
  <c r="U1497" i="1"/>
  <c r="U1496" i="1"/>
  <c r="U1495" i="1"/>
  <c r="U1494" i="1"/>
  <c r="U1493" i="1"/>
  <c r="U1492" i="1"/>
  <c r="U1491" i="1"/>
  <c r="U1490" i="1"/>
  <c r="U1489" i="1"/>
  <c r="U1488" i="1"/>
  <c r="U1487" i="1"/>
  <c r="U1486" i="1"/>
  <c r="U1485" i="1"/>
  <c r="U1484" i="1"/>
  <c r="U1483" i="1"/>
  <c r="U1482" i="1"/>
  <c r="U1481" i="1"/>
  <c r="U1480" i="1"/>
  <c r="U1479" i="1"/>
  <c r="U1478" i="1"/>
  <c r="U1477" i="1"/>
  <c r="U1476" i="1"/>
  <c r="U1475" i="1"/>
  <c r="U1474" i="1"/>
  <c r="U1473" i="1"/>
  <c r="U1472" i="1"/>
  <c r="U1471" i="1"/>
  <c r="U1470" i="1"/>
  <c r="U1469" i="1"/>
  <c r="U1468" i="1"/>
  <c r="U1467" i="1"/>
  <c r="U1466" i="1"/>
  <c r="U1465" i="1"/>
  <c r="U1464" i="1"/>
  <c r="U1463" i="1"/>
  <c r="U1462" i="1"/>
  <c r="U1461" i="1"/>
  <c r="U1460" i="1"/>
  <c r="U1459" i="1"/>
  <c r="U1458" i="1"/>
  <c r="U1457" i="1"/>
  <c r="U1456" i="1"/>
  <c r="U1455" i="1"/>
  <c r="U1454" i="1"/>
  <c r="U1453" i="1"/>
  <c r="U1452" i="1"/>
  <c r="U1451" i="1"/>
  <c r="U1450" i="1"/>
  <c r="U1449" i="1"/>
  <c r="U1448" i="1"/>
  <c r="U1447" i="1"/>
  <c r="U1446" i="1"/>
  <c r="U1445" i="1"/>
  <c r="U1444" i="1"/>
  <c r="U1443" i="1"/>
  <c r="U1442" i="1"/>
  <c r="U1441" i="1"/>
  <c r="U1440" i="1"/>
  <c r="U1439" i="1"/>
  <c r="U1438" i="1"/>
  <c r="U1437" i="1"/>
  <c r="U1436" i="1"/>
  <c r="U1435" i="1"/>
  <c r="U1434" i="1"/>
  <c r="U1433" i="1"/>
  <c r="U1432" i="1"/>
  <c r="U1431" i="1"/>
  <c r="U1430" i="1"/>
  <c r="U1429" i="1"/>
  <c r="U1428" i="1"/>
  <c r="U1427" i="1"/>
  <c r="U1426" i="1"/>
  <c r="U1425" i="1"/>
  <c r="U1424" i="1"/>
  <c r="U1423" i="1"/>
  <c r="U1422" i="1"/>
  <c r="U1421" i="1"/>
  <c r="U1420" i="1"/>
  <c r="U1419" i="1"/>
  <c r="U1418" i="1"/>
  <c r="U1417" i="1"/>
  <c r="U1416" i="1"/>
  <c r="U1415" i="1"/>
  <c r="U1414" i="1"/>
  <c r="U1413" i="1"/>
  <c r="U1412" i="1"/>
  <c r="U1411" i="1"/>
  <c r="U1410" i="1"/>
  <c r="U1409" i="1"/>
  <c r="U1408" i="1"/>
  <c r="U1407" i="1"/>
  <c r="U1406" i="1"/>
  <c r="U1405" i="1"/>
  <c r="U1404" i="1"/>
  <c r="U1403" i="1"/>
  <c r="U1402" i="1"/>
  <c r="U1401" i="1"/>
  <c r="U1400" i="1"/>
  <c r="U1399" i="1"/>
  <c r="U1398" i="1"/>
  <c r="U1397" i="1"/>
  <c r="U1396" i="1"/>
  <c r="U1395" i="1"/>
  <c r="U1394" i="1"/>
  <c r="U1393" i="1"/>
  <c r="U1392" i="1"/>
  <c r="U1391" i="1"/>
  <c r="U1390" i="1"/>
  <c r="U1389" i="1"/>
  <c r="U1388" i="1"/>
  <c r="U1387" i="1"/>
  <c r="U1386" i="1"/>
  <c r="U1385" i="1"/>
  <c r="U1384" i="1"/>
  <c r="U1383" i="1"/>
  <c r="U1382" i="1"/>
  <c r="U1381" i="1"/>
  <c r="U1380" i="1"/>
  <c r="U1379" i="1"/>
  <c r="U1378" i="1"/>
  <c r="U1377" i="1"/>
  <c r="U1376" i="1"/>
  <c r="U1375" i="1"/>
  <c r="U1374" i="1"/>
  <c r="U1373" i="1"/>
  <c r="U1372" i="1"/>
  <c r="U1371" i="1"/>
  <c r="U1370" i="1"/>
  <c r="U1369" i="1"/>
  <c r="U1368" i="1"/>
  <c r="U1367" i="1"/>
  <c r="U1366" i="1"/>
  <c r="U1365" i="1"/>
  <c r="U1364" i="1"/>
  <c r="U1363" i="1"/>
  <c r="U1362" i="1"/>
  <c r="U1361" i="1"/>
  <c r="U1360" i="1"/>
  <c r="U1359" i="1"/>
  <c r="U1358" i="1"/>
  <c r="U1357" i="1"/>
  <c r="U1356" i="1"/>
  <c r="U1355" i="1"/>
  <c r="U1354" i="1"/>
  <c r="U1353" i="1"/>
  <c r="U1352" i="1"/>
  <c r="U1351" i="1"/>
  <c r="U1350" i="1"/>
  <c r="U1349" i="1"/>
  <c r="U1348" i="1"/>
  <c r="U1347" i="1"/>
  <c r="U1346" i="1"/>
  <c r="U1345" i="1"/>
  <c r="U1344" i="1"/>
  <c r="U1343" i="1"/>
  <c r="U1342" i="1"/>
  <c r="U1341" i="1"/>
  <c r="U1340" i="1"/>
  <c r="U1339" i="1"/>
  <c r="U1338" i="1"/>
  <c r="U1337" i="1"/>
  <c r="U1336" i="1"/>
  <c r="U1335" i="1"/>
  <c r="U1334" i="1"/>
  <c r="U1333" i="1"/>
  <c r="U1332" i="1"/>
  <c r="U1331" i="1"/>
  <c r="U1330" i="1"/>
  <c r="U1329" i="1"/>
  <c r="U1328" i="1"/>
  <c r="U1327" i="1"/>
  <c r="U1326" i="1"/>
  <c r="U1325" i="1"/>
  <c r="U1324" i="1"/>
  <c r="U1323" i="1"/>
  <c r="U1322" i="1"/>
  <c r="U1321" i="1"/>
  <c r="U1320" i="1"/>
  <c r="U1319" i="1"/>
  <c r="U1318" i="1"/>
  <c r="U1317" i="1"/>
  <c r="U1316" i="1"/>
  <c r="U1315" i="1"/>
  <c r="U1314" i="1"/>
  <c r="U1313" i="1"/>
  <c r="U1312" i="1"/>
  <c r="U1311" i="1"/>
  <c r="U1310" i="1"/>
  <c r="U1309" i="1"/>
  <c r="U1308" i="1"/>
  <c r="U1307" i="1"/>
  <c r="U1306" i="1"/>
  <c r="U1305" i="1"/>
  <c r="U1304" i="1"/>
  <c r="U1303" i="1"/>
  <c r="U1302" i="1"/>
  <c r="U1301" i="1"/>
  <c r="U1300" i="1"/>
  <c r="U1299" i="1"/>
  <c r="U1298" i="1"/>
  <c r="U1297" i="1"/>
  <c r="U1296" i="1"/>
  <c r="U1295" i="1"/>
  <c r="U1294" i="1"/>
  <c r="U1293" i="1"/>
  <c r="U1292" i="1"/>
  <c r="U1291" i="1"/>
  <c r="U1290" i="1"/>
  <c r="U1289" i="1"/>
  <c r="U1288" i="1"/>
  <c r="U1287" i="1"/>
  <c r="U1286" i="1"/>
  <c r="U1285" i="1"/>
  <c r="U1284" i="1"/>
  <c r="U1283" i="1"/>
  <c r="U1282" i="1"/>
  <c r="U1281" i="1"/>
  <c r="U1280" i="1"/>
  <c r="U1279" i="1"/>
  <c r="U1278" i="1"/>
  <c r="U1277" i="1"/>
  <c r="U1276" i="1"/>
  <c r="U1275" i="1"/>
  <c r="U1274" i="1"/>
  <c r="U1273" i="1"/>
  <c r="U1272" i="1"/>
  <c r="U1271" i="1"/>
  <c r="U1270" i="1"/>
  <c r="U1269" i="1"/>
  <c r="U1268" i="1"/>
  <c r="U1267" i="1"/>
  <c r="U1266" i="1"/>
  <c r="U1265" i="1"/>
  <c r="U1264" i="1"/>
  <c r="U1263" i="1"/>
  <c r="U1262" i="1"/>
  <c r="U1261" i="1"/>
  <c r="U1260" i="1"/>
  <c r="U1259" i="1"/>
  <c r="U1258" i="1"/>
  <c r="U1257" i="1"/>
  <c r="U1256" i="1"/>
  <c r="U1255" i="1"/>
  <c r="U1254" i="1"/>
  <c r="U1253" i="1"/>
  <c r="U1252" i="1"/>
  <c r="U1251" i="1"/>
  <c r="U1250" i="1"/>
  <c r="U1249" i="1"/>
  <c r="U1248" i="1"/>
  <c r="U1247" i="1"/>
  <c r="U1246" i="1"/>
  <c r="U1245" i="1"/>
  <c r="U1244" i="1"/>
  <c r="U1243" i="1"/>
  <c r="U1242" i="1"/>
  <c r="U1241" i="1"/>
  <c r="U1240" i="1"/>
  <c r="U1239" i="1"/>
  <c r="U1238" i="1"/>
  <c r="U1237" i="1"/>
  <c r="U1236" i="1"/>
  <c r="U1235" i="1"/>
  <c r="U1234" i="1"/>
  <c r="U1233" i="1"/>
  <c r="U1232" i="1"/>
  <c r="U1231" i="1"/>
  <c r="U1230" i="1"/>
  <c r="U1229" i="1"/>
  <c r="U1228" i="1"/>
  <c r="U1227" i="1"/>
  <c r="U1226" i="1"/>
  <c r="U1225" i="1"/>
  <c r="U1224" i="1"/>
  <c r="U1223" i="1"/>
  <c r="U1222" i="1"/>
  <c r="U1221" i="1"/>
  <c r="U1220" i="1"/>
  <c r="U1219" i="1"/>
  <c r="U1218" i="1"/>
  <c r="U1217" i="1"/>
  <c r="U1216" i="1"/>
  <c r="U1215" i="1"/>
  <c r="U1214" i="1"/>
  <c r="U1213" i="1"/>
  <c r="U1212" i="1"/>
  <c r="U1211" i="1"/>
  <c r="U1210" i="1"/>
  <c r="U1209" i="1"/>
  <c r="U1208" i="1"/>
  <c r="U1207" i="1"/>
  <c r="U1206" i="1"/>
  <c r="U1205" i="1"/>
  <c r="U1204" i="1"/>
  <c r="U1203" i="1"/>
  <c r="U1202" i="1"/>
  <c r="U1201" i="1"/>
  <c r="U1200" i="1"/>
  <c r="U1199" i="1"/>
  <c r="U1198" i="1"/>
  <c r="U1197" i="1"/>
  <c r="U1196" i="1"/>
  <c r="U1195" i="1"/>
  <c r="U1194" i="1"/>
  <c r="U1193" i="1"/>
  <c r="U1192" i="1"/>
  <c r="U1191" i="1"/>
  <c r="U1190" i="1"/>
  <c r="U1189" i="1"/>
  <c r="U1188" i="1"/>
  <c r="U1187" i="1"/>
  <c r="U1186" i="1"/>
  <c r="U1185" i="1"/>
  <c r="U1184" i="1"/>
  <c r="U1183" i="1"/>
  <c r="U1182" i="1"/>
  <c r="U1181" i="1"/>
  <c r="U1180" i="1"/>
  <c r="U1179" i="1"/>
  <c r="U1178" i="1"/>
  <c r="U1177" i="1"/>
  <c r="U1176" i="1"/>
  <c r="U1175" i="1"/>
  <c r="U1174" i="1"/>
  <c r="U1173" i="1"/>
  <c r="U1172" i="1"/>
  <c r="U1171" i="1"/>
  <c r="U1170" i="1"/>
  <c r="U1169" i="1"/>
  <c r="U1168" i="1"/>
  <c r="U1167" i="1"/>
  <c r="U1166" i="1"/>
  <c r="U1165" i="1"/>
  <c r="U1164" i="1"/>
  <c r="U1163" i="1"/>
  <c r="U1162" i="1"/>
  <c r="U1161" i="1"/>
  <c r="U1160" i="1"/>
  <c r="U1159" i="1"/>
  <c r="U1158" i="1"/>
  <c r="U1157" i="1"/>
  <c r="U1156" i="1"/>
  <c r="U1155" i="1"/>
  <c r="U1154" i="1"/>
  <c r="U1153" i="1"/>
  <c r="U1152" i="1"/>
  <c r="U1151" i="1"/>
  <c r="U1150" i="1"/>
  <c r="U1149" i="1"/>
  <c r="U1148" i="1"/>
  <c r="U1147" i="1"/>
  <c r="U1146" i="1"/>
  <c r="U1145" i="1"/>
  <c r="U1144" i="1"/>
  <c r="U1143" i="1"/>
  <c r="U1142" i="1"/>
  <c r="U1141" i="1"/>
  <c r="U1140" i="1"/>
  <c r="U1139" i="1"/>
  <c r="U1138" i="1"/>
  <c r="U1137" i="1"/>
  <c r="U1136" i="1"/>
  <c r="U1135" i="1"/>
  <c r="U1134" i="1"/>
  <c r="U1133" i="1"/>
  <c r="U1132" i="1"/>
  <c r="U1131" i="1"/>
  <c r="U1130" i="1"/>
  <c r="U1129" i="1"/>
  <c r="U1128" i="1"/>
  <c r="U1127" i="1"/>
  <c r="U1126" i="1"/>
  <c r="U1125" i="1"/>
  <c r="U1124" i="1"/>
  <c r="U1123" i="1"/>
  <c r="U1122" i="1"/>
  <c r="U1121" i="1"/>
  <c r="U1120" i="1"/>
  <c r="U1119" i="1"/>
  <c r="U1118" i="1"/>
  <c r="U1117" i="1"/>
  <c r="U1116" i="1"/>
  <c r="U1115" i="1"/>
  <c r="U1114" i="1"/>
  <c r="U1113" i="1"/>
  <c r="U1112" i="1"/>
  <c r="U1111" i="1"/>
  <c r="U1110" i="1"/>
  <c r="U1109" i="1"/>
  <c r="U1108" i="1"/>
  <c r="U1107" i="1"/>
  <c r="U1106" i="1"/>
  <c r="U1105" i="1"/>
  <c r="U1104" i="1"/>
  <c r="U1103" i="1"/>
  <c r="U1102" i="1"/>
  <c r="U1101" i="1"/>
  <c r="U1100" i="1"/>
  <c r="U1099" i="1"/>
  <c r="U1098" i="1"/>
  <c r="U1097" i="1"/>
  <c r="U1096" i="1"/>
  <c r="U1095" i="1"/>
  <c r="U1094" i="1"/>
  <c r="U1093" i="1"/>
  <c r="U1092" i="1"/>
  <c r="U1091" i="1"/>
  <c r="U1090" i="1"/>
  <c r="U1089" i="1"/>
  <c r="U1088" i="1"/>
  <c r="U1087" i="1"/>
  <c r="U1086" i="1"/>
  <c r="U1085" i="1"/>
  <c r="U1084" i="1"/>
  <c r="U1083" i="1"/>
  <c r="U1082" i="1"/>
  <c r="U1081" i="1"/>
  <c r="U1080" i="1"/>
  <c r="U1079" i="1"/>
  <c r="U1078" i="1"/>
  <c r="U1077" i="1"/>
  <c r="U1076" i="1"/>
  <c r="U1075" i="1"/>
  <c r="U1074" i="1"/>
  <c r="U1073" i="1"/>
  <c r="U1072" i="1"/>
  <c r="U1071" i="1"/>
  <c r="U1070" i="1"/>
  <c r="U1069" i="1"/>
  <c r="U1068" i="1"/>
  <c r="U1067" i="1"/>
  <c r="U1066" i="1"/>
  <c r="U1065" i="1"/>
  <c r="U1064" i="1"/>
  <c r="U1063" i="1"/>
  <c r="U1062" i="1"/>
  <c r="U1061" i="1"/>
  <c r="U1060" i="1"/>
  <c r="U1059" i="1"/>
  <c r="U1058" i="1"/>
  <c r="U1057" i="1"/>
  <c r="U1056" i="1"/>
  <c r="U1055" i="1"/>
  <c r="U1054" i="1"/>
  <c r="U1053" i="1"/>
  <c r="U1052" i="1"/>
  <c r="U1051" i="1"/>
  <c r="U1050" i="1"/>
  <c r="U1049" i="1"/>
  <c r="U1048" i="1"/>
  <c r="U1047" i="1"/>
  <c r="U1046" i="1"/>
  <c r="U1045" i="1"/>
  <c r="U1044" i="1"/>
  <c r="U1043" i="1"/>
  <c r="U1042" i="1"/>
  <c r="U1041" i="1"/>
  <c r="U1040" i="1"/>
  <c r="U1039" i="1"/>
  <c r="U1038" i="1"/>
  <c r="U1037" i="1"/>
  <c r="U1036" i="1"/>
  <c r="U1035" i="1"/>
  <c r="U1034" i="1"/>
  <c r="U1033" i="1"/>
  <c r="U1032" i="1"/>
  <c r="U1031" i="1"/>
  <c r="U1030" i="1"/>
  <c r="U1029" i="1"/>
  <c r="U1028" i="1"/>
  <c r="U1027" i="1"/>
  <c r="U1026" i="1"/>
  <c r="U1025" i="1"/>
  <c r="U1024" i="1"/>
  <c r="U1023" i="1"/>
  <c r="U1022" i="1"/>
  <c r="U1021" i="1"/>
  <c r="U1020" i="1"/>
  <c r="U1019" i="1"/>
  <c r="U1018" i="1"/>
  <c r="U1017" i="1"/>
  <c r="U1016" i="1"/>
  <c r="U1015" i="1"/>
  <c r="U1014" i="1"/>
  <c r="U1013" i="1"/>
  <c r="U1012" i="1"/>
  <c r="U1011" i="1"/>
  <c r="U1010" i="1"/>
  <c r="U1009" i="1"/>
  <c r="U1008" i="1"/>
  <c r="U1007" i="1"/>
  <c r="U1006" i="1"/>
  <c r="U1005" i="1"/>
  <c r="U1004" i="1"/>
  <c r="U1003" i="1"/>
  <c r="U1002" i="1"/>
  <c r="U1001" i="1"/>
  <c r="U1000" i="1"/>
  <c r="U999" i="1"/>
  <c r="U998" i="1"/>
  <c r="U997" i="1"/>
  <c r="U996" i="1"/>
  <c r="U995" i="1"/>
  <c r="U994" i="1"/>
  <c r="U993" i="1"/>
  <c r="U992" i="1"/>
  <c r="U991" i="1"/>
  <c r="U990" i="1"/>
  <c r="U989" i="1"/>
  <c r="U988" i="1"/>
  <c r="U987" i="1"/>
  <c r="U986" i="1"/>
  <c r="U985" i="1"/>
  <c r="U984" i="1"/>
  <c r="U983" i="1"/>
  <c r="U982" i="1"/>
  <c r="U981" i="1"/>
  <c r="U980" i="1"/>
  <c r="U979" i="1"/>
  <c r="U978" i="1"/>
  <c r="U977" i="1"/>
  <c r="U976" i="1"/>
  <c r="U975" i="1"/>
  <c r="U974" i="1"/>
  <c r="U973" i="1"/>
  <c r="U972" i="1"/>
  <c r="U971" i="1"/>
  <c r="U970" i="1"/>
  <c r="U969" i="1"/>
  <c r="U968" i="1"/>
  <c r="U967" i="1"/>
  <c r="U966" i="1"/>
  <c r="U965" i="1"/>
  <c r="U964" i="1"/>
  <c r="U963" i="1"/>
  <c r="U962" i="1"/>
  <c r="U961" i="1"/>
  <c r="U960" i="1"/>
  <c r="U959" i="1"/>
  <c r="U958" i="1"/>
  <c r="U957" i="1"/>
  <c r="U956" i="1"/>
  <c r="U955" i="1"/>
  <c r="U954" i="1"/>
  <c r="U953" i="1"/>
  <c r="U952" i="1"/>
  <c r="U951" i="1"/>
  <c r="U950" i="1"/>
  <c r="U949" i="1"/>
  <c r="U948" i="1"/>
  <c r="U947" i="1"/>
  <c r="U946" i="1"/>
  <c r="U945" i="1"/>
  <c r="U944" i="1"/>
  <c r="U943" i="1"/>
  <c r="U942" i="1"/>
  <c r="U941" i="1"/>
  <c r="U940" i="1"/>
  <c r="U939" i="1"/>
  <c r="U938" i="1"/>
  <c r="U937" i="1"/>
  <c r="U936" i="1"/>
  <c r="U935" i="1"/>
  <c r="U934" i="1"/>
  <c r="U933" i="1"/>
  <c r="U932" i="1"/>
  <c r="U931" i="1"/>
  <c r="U930" i="1"/>
  <c r="U929" i="1"/>
  <c r="U928" i="1"/>
  <c r="U927" i="1"/>
  <c r="U926" i="1"/>
  <c r="U925" i="1"/>
  <c r="U924" i="1"/>
  <c r="U923" i="1"/>
  <c r="U922" i="1"/>
  <c r="U921" i="1"/>
  <c r="U920" i="1"/>
  <c r="U919" i="1"/>
  <c r="U918" i="1"/>
  <c r="U917" i="1"/>
  <c r="U916" i="1"/>
  <c r="U915" i="1"/>
  <c r="U914" i="1"/>
  <c r="U913" i="1"/>
  <c r="U912" i="1"/>
  <c r="U911" i="1"/>
  <c r="U910" i="1"/>
  <c r="U909" i="1"/>
  <c r="U908" i="1"/>
  <c r="U907" i="1"/>
  <c r="U906" i="1"/>
  <c r="U905" i="1"/>
  <c r="U904" i="1"/>
  <c r="U903" i="1"/>
  <c r="U902" i="1"/>
  <c r="U901" i="1"/>
  <c r="U900" i="1"/>
  <c r="U899" i="1"/>
  <c r="U898" i="1"/>
  <c r="U897" i="1"/>
  <c r="U896" i="1"/>
  <c r="U895" i="1"/>
  <c r="U894" i="1"/>
  <c r="U893" i="1"/>
  <c r="U892" i="1"/>
  <c r="U891" i="1"/>
  <c r="U890" i="1"/>
  <c r="U889" i="1"/>
  <c r="U888" i="1"/>
  <c r="U887" i="1"/>
  <c r="U886" i="1"/>
  <c r="U885" i="1"/>
  <c r="U884" i="1"/>
  <c r="U883" i="1"/>
  <c r="U882" i="1"/>
  <c r="U881" i="1"/>
  <c r="U880" i="1"/>
  <c r="U879" i="1"/>
  <c r="U878" i="1"/>
  <c r="U877" i="1"/>
  <c r="U876" i="1"/>
  <c r="U875" i="1"/>
  <c r="U874" i="1"/>
  <c r="U873" i="1"/>
  <c r="U872" i="1"/>
  <c r="U871" i="1"/>
  <c r="U870" i="1"/>
  <c r="U869" i="1"/>
  <c r="U868" i="1"/>
  <c r="U867" i="1"/>
  <c r="U866" i="1"/>
  <c r="U865" i="1"/>
  <c r="U864" i="1"/>
  <c r="U863" i="1"/>
  <c r="U862" i="1"/>
  <c r="U861" i="1"/>
  <c r="U860" i="1"/>
  <c r="U859" i="1"/>
  <c r="U858" i="1"/>
  <c r="U857" i="1"/>
  <c r="U856" i="1"/>
  <c r="U855" i="1"/>
  <c r="U854" i="1"/>
  <c r="U853" i="1"/>
  <c r="U852" i="1"/>
  <c r="U851" i="1"/>
  <c r="U850" i="1"/>
  <c r="U849" i="1"/>
  <c r="U848" i="1"/>
  <c r="U847" i="1"/>
  <c r="U846" i="1"/>
  <c r="U845" i="1"/>
  <c r="U844" i="1"/>
  <c r="U843" i="1"/>
  <c r="U842" i="1"/>
  <c r="U841" i="1"/>
  <c r="U840" i="1"/>
  <c r="U839" i="1"/>
  <c r="U838" i="1"/>
  <c r="U837" i="1"/>
  <c r="U836" i="1"/>
  <c r="U835" i="1"/>
  <c r="U834" i="1"/>
  <c r="U833" i="1"/>
  <c r="U832" i="1"/>
  <c r="U831" i="1"/>
  <c r="U830" i="1"/>
  <c r="U829" i="1"/>
  <c r="U828" i="1"/>
  <c r="U827" i="1"/>
  <c r="U826" i="1"/>
  <c r="U825" i="1"/>
  <c r="U824" i="1"/>
  <c r="U823" i="1"/>
  <c r="U822" i="1"/>
  <c r="U821" i="1"/>
  <c r="U820" i="1"/>
  <c r="U819" i="1"/>
  <c r="U818" i="1"/>
  <c r="U817" i="1"/>
  <c r="U816" i="1"/>
  <c r="U815" i="1"/>
  <c r="U814" i="1"/>
  <c r="U813" i="1"/>
  <c r="U812" i="1"/>
  <c r="U811" i="1"/>
  <c r="U810" i="1"/>
  <c r="U809" i="1"/>
  <c r="U808" i="1"/>
  <c r="U807" i="1"/>
  <c r="U806" i="1"/>
  <c r="U805" i="1"/>
  <c r="U804" i="1"/>
  <c r="U803" i="1"/>
  <c r="U802" i="1"/>
  <c r="U801" i="1"/>
  <c r="U800" i="1"/>
  <c r="U799" i="1"/>
  <c r="U798" i="1"/>
  <c r="U797" i="1"/>
  <c r="U796" i="1"/>
  <c r="U795" i="1"/>
  <c r="U794" i="1"/>
  <c r="U793" i="1"/>
  <c r="U792" i="1"/>
  <c r="U791" i="1"/>
  <c r="U790" i="1"/>
  <c r="U789" i="1"/>
  <c r="U788" i="1"/>
  <c r="U787" i="1"/>
  <c r="U786" i="1"/>
  <c r="U785" i="1"/>
  <c r="U784" i="1"/>
  <c r="U783" i="1"/>
  <c r="U782" i="1"/>
  <c r="U781" i="1"/>
  <c r="U780" i="1"/>
  <c r="U779" i="1"/>
  <c r="U778" i="1"/>
  <c r="U777" i="1"/>
  <c r="U776" i="1"/>
  <c r="U775" i="1"/>
  <c r="U774" i="1"/>
  <c r="U773" i="1"/>
  <c r="U772" i="1"/>
  <c r="U771" i="1"/>
  <c r="U770" i="1"/>
  <c r="U769" i="1"/>
  <c r="U768" i="1"/>
  <c r="U767" i="1"/>
  <c r="U766" i="1"/>
  <c r="U765" i="1"/>
  <c r="U764" i="1"/>
  <c r="U763" i="1"/>
  <c r="U762" i="1"/>
  <c r="U761" i="1"/>
  <c r="U760" i="1"/>
  <c r="U759" i="1"/>
  <c r="U758" i="1"/>
  <c r="U757" i="1"/>
  <c r="U756" i="1"/>
  <c r="U755" i="1"/>
  <c r="U754" i="1"/>
  <c r="U753" i="1"/>
  <c r="U752" i="1"/>
  <c r="U751" i="1"/>
  <c r="U750" i="1"/>
  <c r="U749" i="1"/>
  <c r="U748" i="1"/>
  <c r="U747" i="1"/>
  <c r="U746" i="1"/>
  <c r="U745" i="1"/>
  <c r="U744" i="1"/>
  <c r="U743" i="1"/>
  <c r="U742" i="1"/>
  <c r="U741" i="1"/>
  <c r="U740" i="1"/>
  <c r="U739" i="1"/>
  <c r="U738" i="1"/>
  <c r="U737" i="1"/>
  <c r="U736" i="1"/>
  <c r="U735" i="1"/>
  <c r="U734" i="1"/>
  <c r="U733" i="1"/>
  <c r="U732" i="1"/>
  <c r="U731" i="1"/>
  <c r="U730" i="1"/>
  <c r="U729" i="1"/>
  <c r="U728" i="1"/>
  <c r="U727" i="1"/>
  <c r="U726" i="1"/>
  <c r="U725" i="1"/>
  <c r="U724" i="1"/>
  <c r="U723" i="1"/>
  <c r="U722" i="1"/>
  <c r="U721" i="1"/>
  <c r="U720" i="1"/>
  <c r="U719" i="1"/>
  <c r="U718" i="1"/>
  <c r="U717" i="1"/>
  <c r="U716" i="1"/>
  <c r="U715" i="1"/>
  <c r="U714" i="1"/>
  <c r="U713" i="1"/>
  <c r="U712" i="1"/>
  <c r="U711" i="1"/>
  <c r="U710" i="1"/>
  <c r="U709" i="1"/>
  <c r="U708" i="1"/>
  <c r="U707" i="1"/>
  <c r="U706" i="1"/>
  <c r="U705" i="1"/>
  <c r="U704" i="1"/>
  <c r="U703" i="1"/>
  <c r="U702" i="1"/>
  <c r="U701" i="1"/>
  <c r="U700" i="1"/>
  <c r="U699" i="1"/>
  <c r="U698" i="1"/>
  <c r="U697" i="1"/>
  <c r="U696" i="1"/>
  <c r="U695" i="1"/>
  <c r="U694" i="1"/>
  <c r="U693" i="1"/>
  <c r="U692" i="1"/>
  <c r="U691" i="1"/>
  <c r="U690" i="1"/>
  <c r="U689" i="1"/>
  <c r="U688" i="1"/>
  <c r="U687" i="1"/>
  <c r="U686" i="1"/>
  <c r="U685" i="1"/>
  <c r="U684" i="1"/>
  <c r="U683" i="1"/>
  <c r="U682" i="1"/>
  <c r="U681" i="1"/>
  <c r="U680" i="1"/>
  <c r="U679" i="1"/>
  <c r="U678" i="1"/>
  <c r="U677" i="1"/>
  <c r="U676" i="1"/>
  <c r="U675" i="1"/>
  <c r="U674" i="1"/>
  <c r="U673" i="1"/>
  <c r="U672" i="1"/>
  <c r="U671" i="1"/>
  <c r="U670" i="1"/>
  <c r="U669" i="1"/>
  <c r="U668" i="1"/>
  <c r="U667" i="1"/>
  <c r="U666" i="1"/>
  <c r="U665" i="1"/>
  <c r="U664" i="1"/>
  <c r="U663" i="1"/>
  <c r="U662" i="1"/>
  <c r="U661" i="1"/>
  <c r="U660" i="1"/>
  <c r="U659" i="1"/>
  <c r="U658" i="1"/>
  <c r="U657" i="1"/>
  <c r="U656" i="1"/>
  <c r="U655" i="1"/>
  <c r="U654" i="1"/>
  <c r="U653" i="1"/>
  <c r="U652" i="1"/>
  <c r="U651" i="1"/>
  <c r="U650" i="1"/>
  <c r="U649" i="1"/>
  <c r="U648" i="1"/>
  <c r="U647" i="1"/>
  <c r="U646" i="1"/>
  <c r="U645" i="1"/>
  <c r="U644" i="1"/>
  <c r="U643" i="1"/>
  <c r="U642" i="1"/>
  <c r="U641" i="1"/>
  <c r="U640" i="1"/>
  <c r="U639" i="1"/>
  <c r="U638" i="1"/>
  <c r="U637" i="1"/>
  <c r="U636" i="1"/>
  <c r="U635" i="1"/>
  <c r="U634" i="1"/>
  <c r="U633" i="1"/>
  <c r="U632" i="1"/>
  <c r="U631" i="1"/>
  <c r="U630" i="1"/>
  <c r="U629" i="1"/>
  <c r="U628" i="1"/>
  <c r="U627" i="1"/>
  <c r="U626" i="1"/>
  <c r="U625" i="1"/>
  <c r="U624" i="1"/>
  <c r="U623" i="1"/>
  <c r="U622" i="1"/>
  <c r="U621" i="1"/>
  <c r="U620" i="1"/>
  <c r="U619" i="1"/>
  <c r="U618" i="1"/>
  <c r="U617" i="1"/>
  <c r="U616" i="1"/>
  <c r="U615" i="1"/>
  <c r="U614" i="1"/>
  <c r="U613" i="1"/>
  <c r="U612" i="1"/>
  <c r="U611" i="1"/>
  <c r="U610" i="1"/>
  <c r="U609" i="1"/>
  <c r="U608" i="1"/>
  <c r="U607" i="1"/>
  <c r="U606" i="1"/>
  <c r="U605" i="1"/>
  <c r="U604" i="1"/>
  <c r="U603" i="1"/>
  <c r="U602" i="1"/>
  <c r="U601" i="1"/>
  <c r="U600" i="1"/>
  <c r="U599" i="1"/>
  <c r="U598" i="1"/>
  <c r="U597" i="1"/>
  <c r="U596" i="1"/>
  <c r="U595" i="1"/>
  <c r="U594" i="1"/>
  <c r="U593" i="1"/>
  <c r="U592" i="1"/>
  <c r="U591" i="1"/>
  <c r="U590" i="1"/>
  <c r="U589" i="1"/>
  <c r="U588" i="1"/>
  <c r="U587" i="1"/>
  <c r="U586" i="1"/>
  <c r="U585" i="1"/>
  <c r="U584" i="1"/>
  <c r="U583" i="1"/>
  <c r="U582" i="1"/>
  <c r="U581" i="1"/>
  <c r="U580" i="1"/>
  <c r="U579" i="1"/>
  <c r="U578" i="1"/>
  <c r="U577" i="1"/>
  <c r="U576" i="1"/>
  <c r="U575" i="1"/>
  <c r="U574" i="1"/>
  <c r="U573" i="1"/>
  <c r="U572" i="1"/>
  <c r="U571" i="1"/>
  <c r="U570" i="1"/>
  <c r="U569" i="1"/>
  <c r="U568" i="1"/>
  <c r="U567" i="1"/>
  <c r="U566" i="1"/>
  <c r="U565" i="1"/>
  <c r="U564" i="1"/>
  <c r="U563" i="1"/>
  <c r="U562" i="1"/>
  <c r="U561" i="1"/>
  <c r="U560" i="1"/>
  <c r="U559" i="1"/>
  <c r="U558" i="1"/>
  <c r="U557" i="1"/>
  <c r="U556" i="1"/>
  <c r="U555" i="1"/>
  <c r="U554" i="1"/>
  <c r="U553" i="1"/>
  <c r="U552" i="1"/>
  <c r="U551" i="1"/>
  <c r="U550" i="1"/>
  <c r="U549" i="1"/>
  <c r="U548" i="1"/>
  <c r="U547" i="1"/>
  <c r="U546" i="1"/>
  <c r="U545" i="1"/>
  <c r="U544" i="1"/>
  <c r="U543" i="1"/>
  <c r="U542" i="1"/>
  <c r="U541" i="1"/>
  <c r="U540" i="1"/>
  <c r="U539" i="1"/>
  <c r="U538" i="1"/>
  <c r="U537" i="1"/>
  <c r="U536" i="1"/>
  <c r="U535" i="1"/>
  <c r="U534" i="1"/>
  <c r="U533" i="1"/>
  <c r="U532" i="1"/>
  <c r="U531" i="1"/>
  <c r="U530" i="1"/>
  <c r="U529" i="1"/>
  <c r="U528" i="1"/>
  <c r="U527" i="1"/>
  <c r="U526" i="1"/>
  <c r="U525" i="1"/>
  <c r="U524" i="1"/>
  <c r="U523" i="1"/>
  <c r="U522" i="1"/>
  <c r="U521" i="1"/>
  <c r="U520" i="1"/>
  <c r="U519" i="1"/>
  <c r="U518" i="1"/>
  <c r="U517" i="1"/>
  <c r="U516" i="1"/>
  <c r="U515" i="1"/>
  <c r="U514" i="1"/>
  <c r="U513" i="1"/>
  <c r="U512" i="1"/>
  <c r="U511" i="1"/>
  <c r="U510" i="1"/>
  <c r="U509" i="1"/>
  <c r="U508" i="1"/>
  <c r="U507" i="1"/>
  <c r="U506" i="1"/>
  <c r="U505" i="1"/>
  <c r="U504" i="1"/>
  <c r="U503" i="1"/>
  <c r="U502" i="1"/>
  <c r="U501" i="1"/>
  <c r="U500" i="1"/>
  <c r="U499" i="1"/>
  <c r="U498" i="1"/>
  <c r="U497" i="1"/>
  <c r="U496" i="1"/>
  <c r="U495" i="1"/>
  <c r="U494" i="1"/>
  <c r="U493" i="1"/>
  <c r="U492" i="1"/>
  <c r="U491" i="1"/>
  <c r="U490" i="1"/>
  <c r="U489" i="1"/>
  <c r="U488" i="1"/>
  <c r="U487" i="1"/>
  <c r="U486" i="1"/>
  <c r="U485" i="1"/>
  <c r="U484" i="1"/>
  <c r="U483" i="1"/>
  <c r="U482" i="1"/>
  <c r="U481" i="1"/>
  <c r="U480" i="1"/>
  <c r="U479" i="1"/>
  <c r="U478" i="1"/>
  <c r="U477" i="1"/>
  <c r="U476" i="1"/>
  <c r="U475" i="1"/>
  <c r="U474" i="1"/>
  <c r="U473" i="1"/>
  <c r="U472" i="1"/>
  <c r="U471" i="1"/>
  <c r="U470" i="1"/>
  <c r="U469" i="1"/>
  <c r="U468" i="1"/>
  <c r="U467" i="1"/>
  <c r="U466" i="1"/>
  <c r="U465" i="1"/>
  <c r="U464" i="1"/>
  <c r="U463" i="1"/>
  <c r="U462" i="1"/>
  <c r="U461" i="1"/>
  <c r="U460" i="1"/>
  <c r="U459" i="1"/>
  <c r="U458" i="1"/>
  <c r="U457" i="1"/>
  <c r="U456" i="1"/>
  <c r="U455" i="1"/>
  <c r="U454" i="1"/>
  <c r="U453" i="1"/>
  <c r="U452" i="1"/>
  <c r="U451" i="1"/>
  <c r="U450" i="1"/>
  <c r="U449" i="1"/>
  <c r="U448" i="1"/>
  <c r="U447" i="1"/>
  <c r="U446" i="1"/>
  <c r="U445" i="1"/>
  <c r="U444" i="1"/>
  <c r="U443" i="1"/>
  <c r="U442" i="1"/>
  <c r="U441" i="1"/>
  <c r="U440" i="1"/>
  <c r="U439" i="1"/>
  <c r="U438" i="1"/>
  <c r="U437" i="1"/>
  <c r="U436" i="1"/>
  <c r="U435" i="1"/>
  <c r="U434" i="1"/>
  <c r="U433" i="1"/>
  <c r="U432" i="1"/>
  <c r="U431" i="1"/>
  <c r="U430" i="1"/>
  <c r="U429" i="1"/>
  <c r="U428" i="1"/>
  <c r="U427" i="1"/>
  <c r="U426" i="1"/>
  <c r="U425" i="1"/>
  <c r="U424" i="1"/>
  <c r="U423" i="1"/>
  <c r="U422" i="1"/>
  <c r="U421" i="1"/>
  <c r="U420" i="1"/>
  <c r="U419" i="1"/>
  <c r="U418" i="1"/>
  <c r="U417" i="1"/>
  <c r="U416" i="1"/>
  <c r="U415" i="1"/>
  <c r="U414" i="1"/>
  <c r="U413" i="1"/>
  <c r="U412" i="1"/>
  <c r="U411" i="1"/>
  <c r="U410" i="1"/>
  <c r="U409" i="1"/>
  <c r="U408" i="1"/>
  <c r="U407" i="1"/>
  <c r="U406" i="1"/>
  <c r="U405" i="1"/>
  <c r="U404" i="1"/>
  <c r="U403" i="1"/>
  <c r="U402" i="1"/>
  <c r="U401" i="1"/>
  <c r="U400" i="1"/>
  <c r="U399" i="1"/>
  <c r="U398" i="1"/>
  <c r="U397" i="1"/>
  <c r="U396" i="1"/>
  <c r="U395" i="1"/>
  <c r="U394" i="1"/>
  <c r="U393" i="1"/>
  <c r="U392" i="1"/>
  <c r="U391" i="1"/>
  <c r="U390" i="1"/>
  <c r="U389" i="1"/>
  <c r="U388" i="1"/>
  <c r="U387" i="1"/>
  <c r="U386" i="1"/>
  <c r="U385" i="1"/>
  <c r="U384" i="1"/>
  <c r="U383" i="1"/>
  <c r="U382" i="1"/>
  <c r="U381" i="1"/>
  <c r="U380" i="1"/>
  <c r="U379" i="1"/>
  <c r="U378" i="1"/>
  <c r="U377" i="1"/>
  <c r="U376" i="1"/>
  <c r="U375" i="1"/>
  <c r="U374" i="1"/>
  <c r="U373" i="1"/>
  <c r="U372" i="1"/>
  <c r="U371" i="1"/>
  <c r="U370" i="1"/>
  <c r="U369" i="1"/>
  <c r="U368" i="1"/>
  <c r="U367" i="1"/>
  <c r="U366" i="1"/>
  <c r="U365" i="1"/>
  <c r="U364" i="1"/>
  <c r="U363" i="1"/>
  <c r="U362" i="1"/>
  <c r="U361" i="1"/>
  <c r="U360" i="1"/>
  <c r="U359" i="1"/>
  <c r="U358" i="1"/>
  <c r="U357" i="1"/>
  <c r="U356" i="1"/>
  <c r="U355" i="1"/>
  <c r="U354" i="1"/>
  <c r="U353" i="1"/>
  <c r="U352" i="1"/>
  <c r="U351" i="1"/>
  <c r="U350" i="1"/>
  <c r="U349" i="1"/>
  <c r="U348" i="1"/>
  <c r="U347" i="1"/>
  <c r="U346" i="1"/>
  <c r="U345" i="1"/>
  <c r="U344" i="1"/>
  <c r="U343" i="1"/>
  <c r="U342" i="1"/>
  <c r="U341" i="1"/>
  <c r="U340" i="1"/>
  <c r="U339" i="1"/>
  <c r="U338" i="1"/>
  <c r="U337" i="1"/>
  <c r="U336" i="1"/>
  <c r="U335" i="1"/>
  <c r="U334" i="1"/>
  <c r="U333" i="1"/>
  <c r="U332" i="1"/>
  <c r="U331" i="1"/>
  <c r="U330" i="1"/>
  <c r="U329" i="1"/>
  <c r="U328" i="1"/>
  <c r="U327" i="1"/>
  <c r="U326" i="1"/>
  <c r="U325" i="1"/>
  <c r="U324" i="1"/>
  <c r="U323" i="1"/>
  <c r="U322" i="1"/>
  <c r="U321" i="1"/>
  <c r="U320" i="1"/>
  <c r="U319" i="1"/>
  <c r="U318" i="1"/>
  <c r="U317" i="1"/>
  <c r="U316" i="1"/>
  <c r="U315" i="1"/>
  <c r="U314" i="1"/>
  <c r="U313" i="1"/>
  <c r="U312" i="1"/>
  <c r="U311" i="1"/>
  <c r="U310" i="1"/>
  <c r="U309" i="1"/>
  <c r="U308" i="1"/>
  <c r="U307" i="1"/>
  <c r="U306" i="1"/>
  <c r="U305" i="1"/>
  <c r="U304" i="1"/>
  <c r="U303" i="1"/>
  <c r="U302" i="1"/>
  <c r="U301" i="1"/>
  <c r="U300" i="1"/>
  <c r="U299" i="1"/>
  <c r="U298" i="1"/>
  <c r="U297" i="1"/>
  <c r="U296" i="1"/>
  <c r="U295" i="1"/>
  <c r="U294" i="1"/>
  <c r="U293" i="1"/>
  <c r="U292" i="1"/>
  <c r="U291" i="1"/>
  <c r="U290" i="1"/>
  <c r="U289" i="1"/>
  <c r="U288" i="1"/>
  <c r="U287" i="1"/>
  <c r="U286" i="1"/>
  <c r="U285" i="1"/>
  <c r="U284" i="1"/>
  <c r="U283" i="1"/>
  <c r="U282" i="1"/>
  <c r="U281" i="1"/>
  <c r="U280" i="1"/>
  <c r="U279" i="1"/>
  <c r="U278" i="1"/>
  <c r="U277" i="1"/>
  <c r="U276" i="1"/>
  <c r="U275" i="1"/>
  <c r="U274" i="1"/>
  <c r="U273" i="1"/>
  <c r="U272" i="1"/>
  <c r="U271" i="1"/>
  <c r="U270" i="1"/>
  <c r="U269" i="1"/>
  <c r="U268" i="1"/>
  <c r="U267" i="1"/>
  <c r="U266" i="1"/>
  <c r="U265" i="1"/>
  <c r="U264" i="1"/>
  <c r="U263" i="1"/>
  <c r="U262" i="1"/>
  <c r="U261" i="1"/>
  <c r="U260" i="1"/>
  <c r="U259" i="1"/>
  <c r="U258" i="1"/>
  <c r="U257" i="1"/>
  <c r="U256" i="1"/>
  <c r="U255" i="1"/>
  <c r="U254" i="1"/>
  <c r="U253" i="1"/>
  <c r="U252" i="1"/>
  <c r="U251" i="1"/>
  <c r="U250" i="1"/>
  <c r="U249" i="1"/>
  <c r="U248" i="1"/>
  <c r="U247" i="1"/>
  <c r="U246" i="1"/>
  <c r="U245" i="1"/>
  <c r="U244" i="1"/>
  <c r="U243" i="1"/>
  <c r="U242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205" i="1"/>
  <c r="U204" i="1"/>
  <c r="U203" i="1"/>
  <c r="U202" i="1"/>
  <c r="U201" i="1"/>
  <c r="U200" i="1"/>
  <c r="U199" i="1"/>
  <c r="U198" i="1"/>
  <c r="U197" i="1"/>
  <c r="U196" i="1"/>
  <c r="U195" i="1"/>
  <c r="U194" i="1"/>
  <c r="U193" i="1"/>
  <c r="U192" i="1"/>
  <c r="U191" i="1"/>
  <c r="U190" i="1"/>
  <c r="U189" i="1"/>
  <c r="U188" i="1"/>
  <c r="U187" i="1"/>
  <c r="U186" i="1"/>
  <c r="U185" i="1"/>
  <c r="U184" i="1"/>
  <c r="U183" i="1"/>
  <c r="U182" i="1"/>
  <c r="U181" i="1"/>
  <c r="U180" i="1"/>
  <c r="U179" i="1"/>
  <c r="U178" i="1"/>
  <c r="U177" i="1"/>
  <c r="U176" i="1"/>
  <c r="U175" i="1"/>
  <c r="U174" i="1"/>
  <c r="U173" i="1"/>
  <c r="U172" i="1"/>
  <c r="U171" i="1"/>
  <c r="U170" i="1"/>
  <c r="U169" i="1"/>
  <c r="U168" i="1"/>
  <c r="U167" i="1"/>
  <c r="U166" i="1"/>
  <c r="U165" i="1"/>
  <c r="U164" i="1"/>
  <c r="U163" i="1"/>
  <c r="U162" i="1"/>
  <c r="U161" i="1"/>
  <c r="U160" i="1"/>
  <c r="U159" i="1"/>
  <c r="U158" i="1"/>
  <c r="U157" i="1"/>
  <c r="U156" i="1"/>
  <c r="U155" i="1"/>
  <c r="U154" i="1"/>
  <c r="U153" i="1"/>
  <c r="U152" i="1"/>
  <c r="U151" i="1"/>
  <c r="U150" i="1"/>
  <c r="U149" i="1"/>
  <c r="U148" i="1"/>
  <c r="U147" i="1"/>
  <c r="U146" i="1"/>
  <c r="U145" i="1"/>
  <c r="U144" i="1"/>
  <c r="U143" i="1"/>
  <c r="U142" i="1"/>
  <c r="U141" i="1"/>
  <c r="U140" i="1"/>
  <c r="U139" i="1"/>
  <c r="U138" i="1"/>
  <c r="U137" i="1"/>
  <c r="U136" i="1"/>
  <c r="U135" i="1"/>
  <c r="U134" i="1"/>
  <c r="U133" i="1"/>
  <c r="U132" i="1"/>
  <c r="U131" i="1"/>
  <c r="U130" i="1"/>
  <c r="U129" i="1"/>
  <c r="U128" i="1"/>
  <c r="U127" i="1"/>
  <c r="U126" i="1"/>
  <c r="U125" i="1"/>
  <c r="U124" i="1"/>
  <c r="U123" i="1"/>
  <c r="U122" i="1"/>
  <c r="U121" i="1"/>
  <c r="U120" i="1"/>
  <c r="U119" i="1"/>
  <c r="U118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U2" i="1"/>
  <c r="T4029" i="1"/>
  <c r="T4028" i="1"/>
  <c r="T4027" i="1"/>
  <c r="T4026" i="1"/>
  <c r="T4025" i="1"/>
  <c r="T4024" i="1"/>
  <c r="T4023" i="1"/>
  <c r="T4022" i="1"/>
  <c r="T4021" i="1"/>
  <c r="T4020" i="1"/>
  <c r="T4019" i="1"/>
  <c r="T4018" i="1"/>
  <c r="T4017" i="1"/>
  <c r="T4016" i="1"/>
  <c r="T4015" i="1"/>
  <c r="T4014" i="1"/>
  <c r="T4013" i="1"/>
  <c r="T4012" i="1"/>
  <c r="T4011" i="1"/>
  <c r="T4010" i="1"/>
  <c r="T4009" i="1"/>
  <c r="T4008" i="1"/>
  <c r="T4007" i="1"/>
  <c r="T4006" i="1"/>
  <c r="T4005" i="1"/>
  <c r="T4004" i="1"/>
  <c r="T4003" i="1"/>
  <c r="T4002" i="1"/>
  <c r="T4001" i="1"/>
  <c r="T4000" i="1"/>
  <c r="T3999" i="1"/>
  <c r="T3998" i="1"/>
  <c r="T3997" i="1"/>
  <c r="T3996" i="1"/>
  <c r="T3995" i="1"/>
  <c r="T3994" i="1"/>
  <c r="T3993" i="1"/>
  <c r="T3992" i="1"/>
  <c r="T3991" i="1"/>
  <c r="T3990" i="1"/>
  <c r="T3989" i="1"/>
  <c r="T3988" i="1"/>
  <c r="T3987" i="1"/>
  <c r="T3986" i="1"/>
  <c r="T3985" i="1"/>
  <c r="T3984" i="1"/>
  <c r="T3983" i="1"/>
  <c r="T3982" i="1"/>
  <c r="T3981" i="1"/>
  <c r="T3980" i="1"/>
  <c r="T3979" i="1"/>
  <c r="T3978" i="1"/>
  <c r="T3977" i="1"/>
  <c r="T3976" i="1"/>
  <c r="T3975" i="1"/>
  <c r="T3974" i="1"/>
  <c r="T3973" i="1"/>
  <c r="T3972" i="1"/>
  <c r="T3971" i="1"/>
  <c r="T3970" i="1"/>
  <c r="T3969" i="1"/>
  <c r="T3968" i="1"/>
  <c r="T3967" i="1"/>
  <c r="T3966" i="1"/>
  <c r="T3965" i="1"/>
  <c r="T3964" i="1"/>
  <c r="T3963" i="1"/>
  <c r="T3962" i="1"/>
  <c r="T3961" i="1"/>
  <c r="T3960" i="1"/>
  <c r="T3959" i="1"/>
  <c r="T3958" i="1"/>
  <c r="T3957" i="1"/>
  <c r="T3956" i="1"/>
  <c r="T3955" i="1"/>
  <c r="T3954" i="1"/>
  <c r="T3953" i="1"/>
  <c r="T3952" i="1"/>
  <c r="T3951" i="1"/>
  <c r="T3950" i="1"/>
  <c r="T3949" i="1"/>
  <c r="T3948" i="1"/>
  <c r="T3947" i="1"/>
  <c r="T3946" i="1"/>
  <c r="T3945" i="1"/>
  <c r="T3944" i="1"/>
  <c r="T3943" i="1"/>
  <c r="T3942" i="1"/>
  <c r="T3941" i="1"/>
  <c r="T3940" i="1"/>
  <c r="T3939" i="1"/>
  <c r="T3938" i="1"/>
  <c r="T3937" i="1"/>
  <c r="T3936" i="1"/>
  <c r="T3935" i="1"/>
  <c r="T3934" i="1"/>
  <c r="T3933" i="1"/>
  <c r="T3932" i="1"/>
  <c r="T3931" i="1"/>
  <c r="T3930" i="1"/>
  <c r="T3929" i="1"/>
  <c r="T3928" i="1"/>
  <c r="T3927" i="1"/>
  <c r="T3926" i="1"/>
  <c r="T3925" i="1"/>
  <c r="T3924" i="1"/>
  <c r="T3923" i="1"/>
  <c r="T3922" i="1"/>
  <c r="T3921" i="1"/>
  <c r="T3920" i="1"/>
  <c r="T3919" i="1"/>
  <c r="T3918" i="1"/>
  <c r="T3917" i="1"/>
  <c r="T3916" i="1"/>
  <c r="T3915" i="1"/>
  <c r="T3914" i="1"/>
  <c r="T3913" i="1"/>
  <c r="T3912" i="1"/>
  <c r="T3911" i="1"/>
  <c r="T3910" i="1"/>
  <c r="T3909" i="1"/>
  <c r="T3908" i="1"/>
  <c r="T3907" i="1"/>
  <c r="T3906" i="1"/>
  <c r="T3905" i="1"/>
  <c r="T3904" i="1"/>
  <c r="T3903" i="1"/>
  <c r="T3902" i="1"/>
  <c r="T3901" i="1"/>
  <c r="T3900" i="1"/>
  <c r="T3899" i="1"/>
  <c r="T3898" i="1"/>
  <c r="T3897" i="1"/>
  <c r="T3896" i="1"/>
  <c r="T3895" i="1"/>
  <c r="T3894" i="1"/>
  <c r="T3893" i="1"/>
  <c r="T3892" i="1"/>
  <c r="T3891" i="1"/>
  <c r="T3890" i="1"/>
  <c r="T3889" i="1"/>
  <c r="T3888" i="1"/>
  <c r="T3887" i="1"/>
  <c r="T3886" i="1"/>
  <c r="T3885" i="1"/>
  <c r="T3884" i="1"/>
  <c r="T3883" i="1"/>
  <c r="T3882" i="1"/>
  <c r="T3881" i="1"/>
  <c r="T3880" i="1"/>
  <c r="T3879" i="1"/>
  <c r="T3878" i="1"/>
  <c r="T3877" i="1"/>
  <c r="T3876" i="1"/>
  <c r="T3875" i="1"/>
  <c r="T3874" i="1"/>
  <c r="T3873" i="1"/>
  <c r="T3872" i="1"/>
  <c r="T3871" i="1"/>
  <c r="T3870" i="1"/>
  <c r="T3869" i="1"/>
  <c r="T3868" i="1"/>
  <c r="T3867" i="1"/>
  <c r="T3866" i="1"/>
  <c r="T3865" i="1"/>
  <c r="T3864" i="1"/>
  <c r="T3863" i="1"/>
  <c r="T3862" i="1"/>
  <c r="T3861" i="1"/>
  <c r="T3860" i="1"/>
  <c r="T3859" i="1"/>
  <c r="T3858" i="1"/>
  <c r="T3857" i="1"/>
  <c r="T3856" i="1"/>
  <c r="T3855" i="1"/>
  <c r="T3854" i="1"/>
  <c r="T3853" i="1"/>
  <c r="T3852" i="1"/>
  <c r="T3851" i="1"/>
  <c r="T3850" i="1"/>
  <c r="T3849" i="1"/>
  <c r="T3848" i="1"/>
  <c r="T3847" i="1"/>
  <c r="T3846" i="1"/>
  <c r="T3845" i="1"/>
  <c r="T3844" i="1"/>
  <c r="T3843" i="1"/>
  <c r="T3842" i="1"/>
  <c r="T3841" i="1"/>
  <c r="T3840" i="1"/>
  <c r="T3839" i="1"/>
  <c r="T3838" i="1"/>
  <c r="T3837" i="1"/>
  <c r="T3836" i="1"/>
  <c r="T3835" i="1"/>
  <c r="T3834" i="1"/>
  <c r="T3833" i="1"/>
  <c r="T3832" i="1"/>
  <c r="T3831" i="1"/>
  <c r="T3830" i="1"/>
  <c r="T3829" i="1"/>
  <c r="T3828" i="1"/>
  <c r="T3827" i="1"/>
  <c r="T3826" i="1"/>
  <c r="T3825" i="1"/>
  <c r="T3824" i="1"/>
  <c r="T3823" i="1"/>
  <c r="T3822" i="1"/>
  <c r="T3821" i="1"/>
  <c r="T3820" i="1"/>
  <c r="T3819" i="1"/>
  <c r="T3818" i="1"/>
  <c r="T3817" i="1"/>
  <c r="T3816" i="1"/>
  <c r="T3815" i="1"/>
  <c r="T3814" i="1"/>
  <c r="T3813" i="1"/>
  <c r="T3812" i="1"/>
  <c r="T3811" i="1"/>
  <c r="T3810" i="1"/>
  <c r="T3809" i="1"/>
  <c r="T3808" i="1"/>
  <c r="T3807" i="1"/>
  <c r="T3806" i="1"/>
  <c r="T3805" i="1"/>
  <c r="T3804" i="1"/>
  <c r="T3803" i="1"/>
  <c r="T3802" i="1"/>
  <c r="T3801" i="1"/>
  <c r="T3800" i="1"/>
  <c r="T3799" i="1"/>
  <c r="T3798" i="1"/>
  <c r="T3797" i="1"/>
  <c r="T3796" i="1"/>
  <c r="T3795" i="1"/>
  <c r="T3794" i="1"/>
  <c r="T3793" i="1"/>
  <c r="T3792" i="1"/>
  <c r="T3791" i="1"/>
  <c r="T3790" i="1"/>
  <c r="T3789" i="1"/>
  <c r="T3788" i="1"/>
  <c r="T3787" i="1"/>
  <c r="T3786" i="1"/>
  <c r="T3785" i="1"/>
  <c r="T3784" i="1"/>
  <c r="T3783" i="1"/>
  <c r="T3782" i="1"/>
  <c r="T3781" i="1"/>
  <c r="T3780" i="1"/>
  <c r="T3779" i="1"/>
  <c r="T3778" i="1"/>
  <c r="T3777" i="1"/>
  <c r="T3776" i="1"/>
  <c r="T3775" i="1"/>
  <c r="T3774" i="1"/>
  <c r="T3773" i="1"/>
  <c r="T3772" i="1"/>
  <c r="T3771" i="1"/>
  <c r="T3770" i="1"/>
  <c r="T3769" i="1"/>
  <c r="T3768" i="1"/>
  <c r="T3767" i="1"/>
  <c r="T3766" i="1"/>
  <c r="T3765" i="1"/>
  <c r="T3764" i="1"/>
  <c r="T3763" i="1"/>
  <c r="T3762" i="1"/>
  <c r="T3761" i="1"/>
  <c r="T3760" i="1"/>
  <c r="T3759" i="1"/>
  <c r="T3758" i="1"/>
  <c r="T3757" i="1"/>
  <c r="T3756" i="1"/>
  <c r="T3755" i="1"/>
  <c r="T3754" i="1"/>
  <c r="T3753" i="1"/>
  <c r="T3752" i="1"/>
  <c r="T3751" i="1"/>
  <c r="T3750" i="1"/>
  <c r="T3749" i="1"/>
  <c r="T3748" i="1"/>
  <c r="T3747" i="1"/>
  <c r="T3746" i="1"/>
  <c r="T3745" i="1"/>
  <c r="T3744" i="1"/>
  <c r="T3743" i="1"/>
  <c r="T3742" i="1"/>
  <c r="T3741" i="1"/>
  <c r="T3740" i="1"/>
  <c r="T3739" i="1"/>
  <c r="T3738" i="1"/>
  <c r="T3737" i="1"/>
  <c r="T3736" i="1"/>
  <c r="T3735" i="1"/>
  <c r="T3734" i="1"/>
  <c r="T3733" i="1"/>
  <c r="T3732" i="1"/>
  <c r="T3731" i="1"/>
  <c r="T3730" i="1"/>
  <c r="T3729" i="1"/>
  <c r="T3728" i="1"/>
  <c r="T3727" i="1"/>
  <c r="T3726" i="1"/>
  <c r="T3725" i="1"/>
  <c r="T3724" i="1"/>
  <c r="T3723" i="1"/>
  <c r="T3722" i="1"/>
  <c r="T3721" i="1"/>
  <c r="T3720" i="1"/>
  <c r="T3719" i="1"/>
  <c r="T3718" i="1"/>
  <c r="T3717" i="1"/>
  <c r="T3716" i="1"/>
  <c r="T3715" i="1"/>
  <c r="T3714" i="1"/>
  <c r="T3713" i="1"/>
  <c r="T3712" i="1"/>
  <c r="T3711" i="1"/>
  <c r="T3710" i="1"/>
  <c r="T3709" i="1"/>
  <c r="T3708" i="1"/>
  <c r="T3707" i="1"/>
  <c r="T3706" i="1"/>
  <c r="T3705" i="1"/>
  <c r="T3704" i="1"/>
  <c r="T3703" i="1"/>
  <c r="T3702" i="1"/>
  <c r="T3701" i="1"/>
  <c r="T3700" i="1"/>
  <c r="T3699" i="1"/>
  <c r="T3698" i="1"/>
  <c r="T3697" i="1"/>
  <c r="T3696" i="1"/>
  <c r="T3695" i="1"/>
  <c r="T3694" i="1"/>
  <c r="T3693" i="1"/>
  <c r="T3692" i="1"/>
  <c r="T3691" i="1"/>
  <c r="T3690" i="1"/>
  <c r="T3689" i="1"/>
  <c r="T3688" i="1"/>
  <c r="T3687" i="1"/>
  <c r="T3686" i="1"/>
  <c r="T3685" i="1"/>
  <c r="T3684" i="1"/>
  <c r="T3683" i="1"/>
  <c r="T3682" i="1"/>
  <c r="T3681" i="1"/>
  <c r="T3680" i="1"/>
  <c r="T3679" i="1"/>
  <c r="T3678" i="1"/>
  <c r="T3677" i="1"/>
  <c r="T3676" i="1"/>
  <c r="T3675" i="1"/>
  <c r="T3674" i="1"/>
  <c r="T3673" i="1"/>
  <c r="T3672" i="1"/>
  <c r="T3671" i="1"/>
  <c r="T3670" i="1"/>
  <c r="T3669" i="1"/>
  <c r="T3668" i="1"/>
  <c r="T3667" i="1"/>
  <c r="T3666" i="1"/>
  <c r="T3665" i="1"/>
  <c r="T3664" i="1"/>
  <c r="T3663" i="1"/>
  <c r="T3662" i="1"/>
  <c r="T3661" i="1"/>
  <c r="T3660" i="1"/>
  <c r="T3659" i="1"/>
  <c r="T3658" i="1"/>
  <c r="T3657" i="1"/>
  <c r="T3656" i="1"/>
  <c r="T3655" i="1"/>
  <c r="T3654" i="1"/>
  <c r="T3653" i="1"/>
  <c r="T3652" i="1"/>
  <c r="T3651" i="1"/>
  <c r="T3650" i="1"/>
  <c r="T3649" i="1"/>
  <c r="T3648" i="1"/>
  <c r="T3647" i="1"/>
  <c r="T3646" i="1"/>
  <c r="T3645" i="1"/>
  <c r="T3644" i="1"/>
  <c r="T3643" i="1"/>
  <c r="T3642" i="1"/>
  <c r="T3641" i="1"/>
  <c r="T3640" i="1"/>
  <c r="T3639" i="1"/>
  <c r="T3638" i="1"/>
  <c r="T3637" i="1"/>
  <c r="T3636" i="1"/>
  <c r="T3635" i="1"/>
  <c r="T3634" i="1"/>
  <c r="T3633" i="1"/>
  <c r="T3632" i="1"/>
  <c r="T3631" i="1"/>
  <c r="T3630" i="1"/>
  <c r="T3629" i="1"/>
  <c r="T3628" i="1"/>
  <c r="T3627" i="1"/>
  <c r="T3626" i="1"/>
  <c r="T3625" i="1"/>
  <c r="T3624" i="1"/>
  <c r="T3623" i="1"/>
  <c r="T3622" i="1"/>
  <c r="T3621" i="1"/>
  <c r="T3620" i="1"/>
  <c r="T3619" i="1"/>
  <c r="T3618" i="1"/>
  <c r="T3617" i="1"/>
  <c r="T3616" i="1"/>
  <c r="T3615" i="1"/>
  <c r="T3614" i="1"/>
  <c r="T3613" i="1"/>
  <c r="T3612" i="1"/>
  <c r="T3611" i="1"/>
  <c r="T3610" i="1"/>
  <c r="T3609" i="1"/>
  <c r="T3608" i="1"/>
  <c r="T3607" i="1"/>
  <c r="T3606" i="1"/>
  <c r="T3605" i="1"/>
  <c r="T3604" i="1"/>
  <c r="T3603" i="1"/>
  <c r="T3602" i="1"/>
  <c r="T3601" i="1"/>
  <c r="T3600" i="1"/>
  <c r="T3599" i="1"/>
  <c r="T3598" i="1"/>
  <c r="T3597" i="1"/>
  <c r="T3596" i="1"/>
  <c r="T3595" i="1"/>
  <c r="T3594" i="1"/>
  <c r="T3593" i="1"/>
  <c r="T3592" i="1"/>
  <c r="T3591" i="1"/>
  <c r="T3590" i="1"/>
  <c r="T3589" i="1"/>
  <c r="T3588" i="1"/>
  <c r="T3587" i="1"/>
  <c r="T3586" i="1"/>
  <c r="T3585" i="1"/>
  <c r="T3584" i="1"/>
  <c r="T3583" i="1"/>
  <c r="T3582" i="1"/>
  <c r="T3581" i="1"/>
  <c r="T3580" i="1"/>
  <c r="T3579" i="1"/>
  <c r="T3578" i="1"/>
  <c r="T3577" i="1"/>
  <c r="T3576" i="1"/>
  <c r="T3575" i="1"/>
  <c r="T3574" i="1"/>
  <c r="T3573" i="1"/>
  <c r="T3572" i="1"/>
  <c r="T3571" i="1"/>
  <c r="T3570" i="1"/>
  <c r="T3569" i="1"/>
  <c r="T3568" i="1"/>
  <c r="T3567" i="1"/>
  <c r="T3566" i="1"/>
  <c r="T3565" i="1"/>
  <c r="T3564" i="1"/>
  <c r="T3563" i="1"/>
  <c r="T3562" i="1"/>
  <c r="T3561" i="1"/>
  <c r="T3560" i="1"/>
  <c r="T3559" i="1"/>
  <c r="T3558" i="1"/>
  <c r="T3557" i="1"/>
  <c r="T3556" i="1"/>
  <c r="T3555" i="1"/>
  <c r="T3554" i="1"/>
  <c r="T3553" i="1"/>
  <c r="T3552" i="1"/>
  <c r="T3551" i="1"/>
  <c r="T3550" i="1"/>
  <c r="T3549" i="1"/>
  <c r="T3548" i="1"/>
  <c r="T3547" i="1"/>
  <c r="T3546" i="1"/>
  <c r="T3545" i="1"/>
  <c r="T3544" i="1"/>
  <c r="T3543" i="1"/>
  <c r="T3542" i="1"/>
  <c r="T3541" i="1"/>
  <c r="T3540" i="1"/>
  <c r="T3539" i="1"/>
  <c r="T3538" i="1"/>
  <c r="T3537" i="1"/>
  <c r="T3536" i="1"/>
  <c r="T3535" i="1"/>
  <c r="T3534" i="1"/>
  <c r="T3533" i="1"/>
  <c r="T3532" i="1"/>
  <c r="T3531" i="1"/>
  <c r="T3530" i="1"/>
  <c r="T3529" i="1"/>
  <c r="T3528" i="1"/>
  <c r="T3527" i="1"/>
  <c r="T3526" i="1"/>
  <c r="T3525" i="1"/>
  <c r="T3524" i="1"/>
  <c r="T3523" i="1"/>
  <c r="T3522" i="1"/>
  <c r="T3521" i="1"/>
  <c r="T3520" i="1"/>
  <c r="T3519" i="1"/>
  <c r="T3518" i="1"/>
  <c r="T3517" i="1"/>
  <c r="T3516" i="1"/>
  <c r="T3515" i="1"/>
  <c r="T3514" i="1"/>
  <c r="T3513" i="1"/>
  <c r="T3512" i="1"/>
  <c r="T3511" i="1"/>
  <c r="T3510" i="1"/>
  <c r="T3509" i="1"/>
  <c r="T3508" i="1"/>
  <c r="T3507" i="1"/>
  <c r="T3506" i="1"/>
  <c r="T3505" i="1"/>
  <c r="T3504" i="1"/>
  <c r="T3503" i="1"/>
  <c r="T3502" i="1"/>
  <c r="T3501" i="1"/>
  <c r="T3500" i="1"/>
  <c r="T3499" i="1"/>
  <c r="T3498" i="1"/>
  <c r="T3497" i="1"/>
  <c r="T3496" i="1"/>
  <c r="T3495" i="1"/>
  <c r="T3494" i="1"/>
  <c r="T3493" i="1"/>
  <c r="T3492" i="1"/>
  <c r="T3491" i="1"/>
  <c r="T3490" i="1"/>
  <c r="T3489" i="1"/>
  <c r="T3488" i="1"/>
  <c r="T3487" i="1"/>
  <c r="T3486" i="1"/>
  <c r="T3485" i="1"/>
  <c r="T3484" i="1"/>
  <c r="T3483" i="1"/>
  <c r="T3482" i="1"/>
  <c r="T3481" i="1"/>
  <c r="T3480" i="1"/>
  <c r="T3479" i="1"/>
  <c r="T3478" i="1"/>
  <c r="T3477" i="1"/>
  <c r="T3476" i="1"/>
  <c r="T3475" i="1"/>
  <c r="T3474" i="1"/>
  <c r="T3473" i="1"/>
  <c r="T3472" i="1"/>
  <c r="T3471" i="1"/>
  <c r="T3470" i="1"/>
  <c r="T3469" i="1"/>
  <c r="T3468" i="1"/>
  <c r="T3467" i="1"/>
  <c r="T3466" i="1"/>
  <c r="T3465" i="1"/>
  <c r="T3464" i="1"/>
  <c r="T3463" i="1"/>
  <c r="T3462" i="1"/>
  <c r="T3461" i="1"/>
  <c r="T3460" i="1"/>
  <c r="T3459" i="1"/>
  <c r="T3458" i="1"/>
  <c r="T3457" i="1"/>
  <c r="T3456" i="1"/>
  <c r="T3455" i="1"/>
  <c r="T3454" i="1"/>
  <c r="T3453" i="1"/>
  <c r="T3452" i="1"/>
  <c r="T3451" i="1"/>
  <c r="T3450" i="1"/>
  <c r="T3449" i="1"/>
  <c r="T3448" i="1"/>
  <c r="T3447" i="1"/>
  <c r="T3446" i="1"/>
  <c r="T3445" i="1"/>
  <c r="T3444" i="1"/>
  <c r="T3443" i="1"/>
  <c r="T3442" i="1"/>
  <c r="T3441" i="1"/>
  <c r="T3440" i="1"/>
  <c r="T3439" i="1"/>
  <c r="T3438" i="1"/>
  <c r="T3437" i="1"/>
  <c r="T3436" i="1"/>
  <c r="T3435" i="1"/>
  <c r="T3434" i="1"/>
  <c r="T3433" i="1"/>
  <c r="T3432" i="1"/>
  <c r="T3431" i="1"/>
  <c r="T3430" i="1"/>
  <c r="T3429" i="1"/>
  <c r="T3428" i="1"/>
  <c r="T3427" i="1"/>
  <c r="T3426" i="1"/>
  <c r="T3425" i="1"/>
  <c r="T3424" i="1"/>
  <c r="T3423" i="1"/>
  <c r="T3422" i="1"/>
  <c r="T3421" i="1"/>
  <c r="T3420" i="1"/>
  <c r="T3419" i="1"/>
  <c r="T3418" i="1"/>
  <c r="T3417" i="1"/>
  <c r="T3416" i="1"/>
  <c r="T3415" i="1"/>
  <c r="T3414" i="1"/>
  <c r="T3413" i="1"/>
  <c r="T3412" i="1"/>
  <c r="T3411" i="1"/>
  <c r="T3410" i="1"/>
  <c r="T3409" i="1"/>
  <c r="T3408" i="1"/>
  <c r="T3407" i="1"/>
  <c r="T3406" i="1"/>
  <c r="T3405" i="1"/>
  <c r="T3404" i="1"/>
  <c r="T3403" i="1"/>
  <c r="T3402" i="1"/>
  <c r="T3401" i="1"/>
  <c r="T3400" i="1"/>
  <c r="T3399" i="1"/>
  <c r="T3398" i="1"/>
  <c r="T3397" i="1"/>
  <c r="T3396" i="1"/>
  <c r="T3395" i="1"/>
  <c r="T3394" i="1"/>
  <c r="T3393" i="1"/>
  <c r="T3392" i="1"/>
  <c r="T3391" i="1"/>
  <c r="T3390" i="1"/>
  <c r="T3389" i="1"/>
  <c r="T3388" i="1"/>
  <c r="T3387" i="1"/>
  <c r="T3386" i="1"/>
  <c r="T3385" i="1"/>
  <c r="T3384" i="1"/>
  <c r="T3383" i="1"/>
  <c r="T3382" i="1"/>
  <c r="T3381" i="1"/>
  <c r="T3380" i="1"/>
  <c r="T3379" i="1"/>
  <c r="T3378" i="1"/>
  <c r="T3377" i="1"/>
  <c r="T3376" i="1"/>
  <c r="T3375" i="1"/>
  <c r="T3374" i="1"/>
  <c r="T3373" i="1"/>
  <c r="T3372" i="1"/>
  <c r="T3371" i="1"/>
  <c r="T3370" i="1"/>
  <c r="T3369" i="1"/>
  <c r="T3368" i="1"/>
  <c r="T3367" i="1"/>
  <c r="T3366" i="1"/>
  <c r="T3365" i="1"/>
  <c r="T3364" i="1"/>
  <c r="T3363" i="1"/>
  <c r="T3362" i="1"/>
  <c r="T3361" i="1"/>
  <c r="T3360" i="1"/>
  <c r="T3359" i="1"/>
  <c r="T3358" i="1"/>
  <c r="T3357" i="1"/>
  <c r="T3356" i="1"/>
  <c r="T3355" i="1"/>
  <c r="T3354" i="1"/>
  <c r="T3353" i="1"/>
  <c r="T3352" i="1"/>
  <c r="T3351" i="1"/>
  <c r="T3350" i="1"/>
  <c r="T3349" i="1"/>
  <c r="T3348" i="1"/>
  <c r="T3347" i="1"/>
  <c r="T3346" i="1"/>
  <c r="T3345" i="1"/>
  <c r="T3344" i="1"/>
  <c r="T3343" i="1"/>
  <c r="T3342" i="1"/>
  <c r="T3341" i="1"/>
  <c r="T3340" i="1"/>
  <c r="T3339" i="1"/>
  <c r="T3338" i="1"/>
  <c r="T3337" i="1"/>
  <c r="T3336" i="1"/>
  <c r="T3335" i="1"/>
  <c r="T3334" i="1"/>
  <c r="T3333" i="1"/>
  <c r="T3332" i="1"/>
  <c r="T3331" i="1"/>
  <c r="T3330" i="1"/>
  <c r="T3329" i="1"/>
  <c r="T3328" i="1"/>
  <c r="T3327" i="1"/>
  <c r="T3326" i="1"/>
  <c r="T3325" i="1"/>
  <c r="T3324" i="1"/>
  <c r="T3323" i="1"/>
  <c r="T3322" i="1"/>
  <c r="T3321" i="1"/>
  <c r="T3320" i="1"/>
  <c r="T3319" i="1"/>
  <c r="T3318" i="1"/>
  <c r="T3317" i="1"/>
  <c r="T3316" i="1"/>
  <c r="T3315" i="1"/>
  <c r="T3314" i="1"/>
  <c r="T3313" i="1"/>
  <c r="T3312" i="1"/>
  <c r="T3311" i="1"/>
  <c r="T3310" i="1"/>
  <c r="T3309" i="1"/>
  <c r="T3308" i="1"/>
  <c r="T3307" i="1"/>
  <c r="T3306" i="1"/>
  <c r="T3305" i="1"/>
  <c r="T3304" i="1"/>
  <c r="T3303" i="1"/>
  <c r="T3302" i="1"/>
  <c r="T3301" i="1"/>
  <c r="T3300" i="1"/>
  <c r="T3299" i="1"/>
  <c r="T3298" i="1"/>
  <c r="T3297" i="1"/>
  <c r="T3296" i="1"/>
  <c r="T3295" i="1"/>
  <c r="T3294" i="1"/>
  <c r="T3293" i="1"/>
  <c r="T3292" i="1"/>
  <c r="T3291" i="1"/>
  <c r="T3290" i="1"/>
  <c r="T3289" i="1"/>
  <c r="T3288" i="1"/>
  <c r="T3287" i="1"/>
  <c r="T3286" i="1"/>
  <c r="T3285" i="1"/>
  <c r="T3284" i="1"/>
  <c r="T3283" i="1"/>
  <c r="T3282" i="1"/>
  <c r="T3281" i="1"/>
  <c r="T3280" i="1"/>
  <c r="T3279" i="1"/>
  <c r="T3278" i="1"/>
  <c r="T3277" i="1"/>
  <c r="T3276" i="1"/>
  <c r="T3275" i="1"/>
  <c r="T3274" i="1"/>
  <c r="T3273" i="1"/>
  <c r="T3272" i="1"/>
  <c r="T3271" i="1"/>
  <c r="T3270" i="1"/>
  <c r="T3269" i="1"/>
  <c r="T3268" i="1"/>
  <c r="T3267" i="1"/>
  <c r="T3266" i="1"/>
  <c r="T3265" i="1"/>
  <c r="T3264" i="1"/>
  <c r="T3263" i="1"/>
  <c r="T3262" i="1"/>
  <c r="T3261" i="1"/>
  <c r="T3260" i="1"/>
  <c r="T3259" i="1"/>
  <c r="T3258" i="1"/>
  <c r="T3257" i="1"/>
  <c r="T3256" i="1"/>
  <c r="T3255" i="1"/>
  <c r="T3254" i="1"/>
  <c r="T3253" i="1"/>
  <c r="T3252" i="1"/>
  <c r="T3251" i="1"/>
  <c r="T3250" i="1"/>
  <c r="T3249" i="1"/>
  <c r="T3248" i="1"/>
  <c r="T3247" i="1"/>
  <c r="T3246" i="1"/>
  <c r="T3245" i="1"/>
  <c r="T3244" i="1"/>
  <c r="T3243" i="1"/>
  <c r="T3242" i="1"/>
  <c r="T3241" i="1"/>
  <c r="T3240" i="1"/>
  <c r="T3239" i="1"/>
  <c r="T3238" i="1"/>
  <c r="T3237" i="1"/>
  <c r="T3236" i="1"/>
  <c r="T3235" i="1"/>
  <c r="T3234" i="1"/>
  <c r="T3233" i="1"/>
  <c r="T3232" i="1"/>
  <c r="T3231" i="1"/>
  <c r="T3230" i="1"/>
  <c r="T3229" i="1"/>
  <c r="T3228" i="1"/>
  <c r="T3227" i="1"/>
  <c r="T3226" i="1"/>
  <c r="T3225" i="1"/>
  <c r="T3224" i="1"/>
  <c r="T3223" i="1"/>
  <c r="T3222" i="1"/>
  <c r="T3221" i="1"/>
  <c r="T3220" i="1"/>
  <c r="T3219" i="1"/>
  <c r="T3218" i="1"/>
  <c r="T3217" i="1"/>
  <c r="T3216" i="1"/>
  <c r="T3215" i="1"/>
  <c r="T3214" i="1"/>
  <c r="T3213" i="1"/>
  <c r="T3212" i="1"/>
  <c r="T3211" i="1"/>
  <c r="T3210" i="1"/>
  <c r="T3209" i="1"/>
  <c r="T3208" i="1"/>
  <c r="T3207" i="1"/>
  <c r="T3206" i="1"/>
  <c r="T3205" i="1"/>
  <c r="T3204" i="1"/>
  <c r="T3203" i="1"/>
  <c r="T3202" i="1"/>
  <c r="T3201" i="1"/>
  <c r="T3200" i="1"/>
  <c r="T3199" i="1"/>
  <c r="T3198" i="1"/>
  <c r="T3197" i="1"/>
  <c r="T3196" i="1"/>
  <c r="T3195" i="1"/>
  <c r="T3194" i="1"/>
  <c r="T3193" i="1"/>
  <c r="T3192" i="1"/>
  <c r="T3191" i="1"/>
  <c r="T3190" i="1"/>
  <c r="T3189" i="1"/>
  <c r="T3188" i="1"/>
  <c r="T3187" i="1"/>
  <c r="T3186" i="1"/>
  <c r="T3185" i="1"/>
  <c r="T3184" i="1"/>
  <c r="T3183" i="1"/>
  <c r="T3182" i="1"/>
  <c r="T3181" i="1"/>
  <c r="T3180" i="1"/>
  <c r="T3179" i="1"/>
  <c r="T3178" i="1"/>
  <c r="T3177" i="1"/>
  <c r="T3176" i="1"/>
  <c r="T3175" i="1"/>
  <c r="T3174" i="1"/>
  <c r="T3173" i="1"/>
  <c r="T3172" i="1"/>
  <c r="T3171" i="1"/>
  <c r="T3170" i="1"/>
  <c r="T3169" i="1"/>
  <c r="T3168" i="1"/>
  <c r="T3167" i="1"/>
  <c r="T3166" i="1"/>
  <c r="T3165" i="1"/>
  <c r="T3164" i="1"/>
  <c r="T3163" i="1"/>
  <c r="T3162" i="1"/>
  <c r="T3161" i="1"/>
  <c r="T3160" i="1"/>
  <c r="T3159" i="1"/>
  <c r="T3158" i="1"/>
  <c r="T3157" i="1"/>
  <c r="T3156" i="1"/>
  <c r="T3155" i="1"/>
  <c r="T3154" i="1"/>
  <c r="T3153" i="1"/>
  <c r="T3152" i="1"/>
  <c r="T3151" i="1"/>
  <c r="T3150" i="1"/>
  <c r="T3149" i="1"/>
  <c r="T3148" i="1"/>
  <c r="T3147" i="1"/>
  <c r="T3146" i="1"/>
  <c r="T3145" i="1"/>
  <c r="T3144" i="1"/>
  <c r="T3143" i="1"/>
  <c r="T3142" i="1"/>
  <c r="T3141" i="1"/>
  <c r="T3140" i="1"/>
  <c r="T3139" i="1"/>
  <c r="T3138" i="1"/>
  <c r="T3137" i="1"/>
  <c r="T3136" i="1"/>
  <c r="T3135" i="1"/>
  <c r="T3134" i="1"/>
  <c r="T3133" i="1"/>
  <c r="T3132" i="1"/>
  <c r="T3131" i="1"/>
  <c r="T3130" i="1"/>
  <c r="T3129" i="1"/>
  <c r="T3128" i="1"/>
  <c r="T3127" i="1"/>
  <c r="T3126" i="1"/>
  <c r="T3125" i="1"/>
  <c r="T3124" i="1"/>
  <c r="T3123" i="1"/>
  <c r="T3122" i="1"/>
  <c r="T3121" i="1"/>
  <c r="T3120" i="1"/>
  <c r="T3119" i="1"/>
  <c r="T3118" i="1"/>
  <c r="T3117" i="1"/>
  <c r="T3116" i="1"/>
  <c r="T3115" i="1"/>
  <c r="T3114" i="1"/>
  <c r="T3113" i="1"/>
  <c r="T3112" i="1"/>
  <c r="T3111" i="1"/>
  <c r="T3110" i="1"/>
  <c r="T3109" i="1"/>
  <c r="T3108" i="1"/>
  <c r="T3107" i="1"/>
  <c r="T3106" i="1"/>
  <c r="T3105" i="1"/>
  <c r="T3104" i="1"/>
  <c r="T3103" i="1"/>
  <c r="T3102" i="1"/>
  <c r="T3101" i="1"/>
  <c r="T3100" i="1"/>
  <c r="T3099" i="1"/>
  <c r="T3098" i="1"/>
  <c r="T3097" i="1"/>
  <c r="T3096" i="1"/>
  <c r="T3095" i="1"/>
  <c r="T3094" i="1"/>
  <c r="T3093" i="1"/>
  <c r="T3092" i="1"/>
  <c r="T3091" i="1"/>
  <c r="T3090" i="1"/>
  <c r="T3089" i="1"/>
  <c r="T3088" i="1"/>
  <c r="T3087" i="1"/>
  <c r="T3086" i="1"/>
  <c r="T3085" i="1"/>
  <c r="T3084" i="1"/>
  <c r="T3083" i="1"/>
  <c r="T3082" i="1"/>
  <c r="T3081" i="1"/>
  <c r="T3080" i="1"/>
  <c r="T3079" i="1"/>
  <c r="T3078" i="1"/>
  <c r="T3077" i="1"/>
  <c r="T3076" i="1"/>
  <c r="T3075" i="1"/>
  <c r="T3074" i="1"/>
  <c r="T3073" i="1"/>
  <c r="T3072" i="1"/>
  <c r="T3071" i="1"/>
  <c r="T3070" i="1"/>
  <c r="T3069" i="1"/>
  <c r="T3068" i="1"/>
  <c r="T3067" i="1"/>
  <c r="T3066" i="1"/>
  <c r="T3065" i="1"/>
  <c r="T3064" i="1"/>
  <c r="T3063" i="1"/>
  <c r="T3062" i="1"/>
  <c r="T3061" i="1"/>
  <c r="T3060" i="1"/>
  <c r="T3059" i="1"/>
  <c r="T3058" i="1"/>
  <c r="T3057" i="1"/>
  <c r="T3056" i="1"/>
  <c r="T3055" i="1"/>
  <c r="T3054" i="1"/>
  <c r="T3053" i="1"/>
  <c r="T3052" i="1"/>
  <c r="T3051" i="1"/>
  <c r="T3050" i="1"/>
  <c r="T3049" i="1"/>
  <c r="T3048" i="1"/>
  <c r="T3047" i="1"/>
  <c r="T3046" i="1"/>
  <c r="T3045" i="1"/>
  <c r="T3044" i="1"/>
  <c r="T3043" i="1"/>
  <c r="T3042" i="1"/>
  <c r="T3041" i="1"/>
  <c r="T3040" i="1"/>
  <c r="T3039" i="1"/>
  <c r="T3038" i="1"/>
  <c r="T3037" i="1"/>
  <c r="T3036" i="1"/>
  <c r="T3035" i="1"/>
  <c r="T3034" i="1"/>
  <c r="T3033" i="1"/>
  <c r="T3032" i="1"/>
  <c r="T3031" i="1"/>
  <c r="T3030" i="1"/>
  <c r="T3029" i="1"/>
  <c r="T3028" i="1"/>
  <c r="T3027" i="1"/>
  <c r="T3026" i="1"/>
  <c r="T3025" i="1"/>
  <c r="T3024" i="1"/>
  <c r="T3023" i="1"/>
  <c r="T3022" i="1"/>
  <c r="T3021" i="1"/>
  <c r="T3020" i="1"/>
  <c r="T3019" i="1"/>
  <c r="T3018" i="1"/>
  <c r="T3017" i="1"/>
  <c r="T3016" i="1"/>
  <c r="T3015" i="1"/>
  <c r="T3014" i="1"/>
  <c r="T3013" i="1"/>
  <c r="T3012" i="1"/>
  <c r="T3011" i="1"/>
  <c r="T3010" i="1"/>
  <c r="T3009" i="1"/>
  <c r="T3008" i="1"/>
  <c r="T3007" i="1"/>
  <c r="T3006" i="1"/>
  <c r="T3005" i="1"/>
  <c r="T3004" i="1"/>
  <c r="T3003" i="1"/>
  <c r="T3002" i="1"/>
  <c r="T3001" i="1"/>
  <c r="T3000" i="1"/>
  <c r="T2999" i="1"/>
  <c r="T2998" i="1"/>
  <c r="T2997" i="1"/>
  <c r="T2996" i="1"/>
  <c r="T2995" i="1"/>
  <c r="T2994" i="1"/>
  <c r="T2993" i="1"/>
  <c r="T2992" i="1"/>
  <c r="T2991" i="1"/>
  <c r="T2990" i="1"/>
  <c r="T2989" i="1"/>
  <c r="T2988" i="1"/>
  <c r="T2987" i="1"/>
  <c r="T2986" i="1"/>
  <c r="T2985" i="1"/>
  <c r="T2984" i="1"/>
  <c r="T2983" i="1"/>
  <c r="T2982" i="1"/>
  <c r="T2981" i="1"/>
  <c r="T2980" i="1"/>
  <c r="T2979" i="1"/>
  <c r="T2978" i="1"/>
  <c r="T2977" i="1"/>
  <c r="T2976" i="1"/>
  <c r="T2975" i="1"/>
  <c r="T2974" i="1"/>
  <c r="T2973" i="1"/>
  <c r="T2972" i="1"/>
  <c r="T2971" i="1"/>
  <c r="T2970" i="1"/>
  <c r="T2969" i="1"/>
  <c r="T2968" i="1"/>
  <c r="T2967" i="1"/>
  <c r="T2966" i="1"/>
  <c r="T2965" i="1"/>
  <c r="T2964" i="1"/>
  <c r="T2963" i="1"/>
  <c r="T2962" i="1"/>
  <c r="T2961" i="1"/>
  <c r="T2960" i="1"/>
  <c r="T2959" i="1"/>
  <c r="T2958" i="1"/>
  <c r="T2957" i="1"/>
  <c r="T2956" i="1"/>
  <c r="T2955" i="1"/>
  <c r="T2954" i="1"/>
  <c r="T2953" i="1"/>
  <c r="T2952" i="1"/>
  <c r="T2951" i="1"/>
  <c r="T2950" i="1"/>
  <c r="T2949" i="1"/>
  <c r="T2948" i="1"/>
  <c r="T2947" i="1"/>
  <c r="T2946" i="1"/>
  <c r="T2945" i="1"/>
  <c r="T2944" i="1"/>
  <c r="T2943" i="1"/>
  <c r="T2942" i="1"/>
  <c r="T2941" i="1"/>
  <c r="T2940" i="1"/>
  <c r="T2939" i="1"/>
  <c r="T2938" i="1"/>
  <c r="T2937" i="1"/>
  <c r="T2936" i="1"/>
  <c r="T2935" i="1"/>
  <c r="T2934" i="1"/>
  <c r="T2933" i="1"/>
  <c r="T2932" i="1"/>
  <c r="T2931" i="1"/>
  <c r="T2930" i="1"/>
  <c r="T2929" i="1"/>
  <c r="T2928" i="1"/>
  <c r="T2927" i="1"/>
  <c r="T2926" i="1"/>
  <c r="T2925" i="1"/>
  <c r="T2924" i="1"/>
  <c r="T2923" i="1"/>
  <c r="T2922" i="1"/>
  <c r="T2921" i="1"/>
  <c r="T2920" i="1"/>
  <c r="T2919" i="1"/>
  <c r="T2918" i="1"/>
  <c r="T2917" i="1"/>
  <c r="T2916" i="1"/>
  <c r="T2915" i="1"/>
  <c r="T2914" i="1"/>
  <c r="T2913" i="1"/>
  <c r="T2912" i="1"/>
  <c r="T2911" i="1"/>
  <c r="T2910" i="1"/>
  <c r="T2909" i="1"/>
  <c r="T2908" i="1"/>
  <c r="T2907" i="1"/>
  <c r="T2906" i="1"/>
  <c r="T2905" i="1"/>
  <c r="T2904" i="1"/>
  <c r="T2903" i="1"/>
  <c r="T2902" i="1"/>
  <c r="T2901" i="1"/>
  <c r="T2900" i="1"/>
  <c r="T2899" i="1"/>
  <c r="T2898" i="1"/>
  <c r="T2897" i="1"/>
  <c r="T2896" i="1"/>
  <c r="T2895" i="1"/>
  <c r="T2894" i="1"/>
  <c r="T2893" i="1"/>
  <c r="T2892" i="1"/>
  <c r="T2891" i="1"/>
  <c r="T2890" i="1"/>
  <c r="T2889" i="1"/>
  <c r="T2888" i="1"/>
  <c r="T2887" i="1"/>
  <c r="T2886" i="1"/>
  <c r="T2885" i="1"/>
  <c r="T2884" i="1"/>
  <c r="T2883" i="1"/>
  <c r="T2882" i="1"/>
  <c r="T2881" i="1"/>
  <c r="T2880" i="1"/>
  <c r="T2879" i="1"/>
  <c r="T2878" i="1"/>
  <c r="T2877" i="1"/>
  <c r="T2876" i="1"/>
  <c r="T2875" i="1"/>
  <c r="T2874" i="1"/>
  <c r="T2873" i="1"/>
  <c r="T2872" i="1"/>
  <c r="T2871" i="1"/>
  <c r="T2870" i="1"/>
  <c r="T2869" i="1"/>
  <c r="T2868" i="1"/>
  <c r="T2867" i="1"/>
  <c r="T2866" i="1"/>
  <c r="T2865" i="1"/>
  <c r="T2864" i="1"/>
  <c r="T2863" i="1"/>
  <c r="T2862" i="1"/>
  <c r="T2861" i="1"/>
  <c r="T2860" i="1"/>
  <c r="T2859" i="1"/>
  <c r="T2858" i="1"/>
  <c r="T2857" i="1"/>
  <c r="T2856" i="1"/>
  <c r="T2855" i="1"/>
  <c r="T2854" i="1"/>
  <c r="T2853" i="1"/>
  <c r="T2852" i="1"/>
  <c r="T2851" i="1"/>
  <c r="T2850" i="1"/>
  <c r="T2849" i="1"/>
  <c r="T2848" i="1"/>
  <c r="T2847" i="1"/>
  <c r="T2846" i="1"/>
  <c r="T2845" i="1"/>
  <c r="T2844" i="1"/>
  <c r="T2843" i="1"/>
  <c r="T2842" i="1"/>
  <c r="T2841" i="1"/>
  <c r="T2840" i="1"/>
  <c r="T2839" i="1"/>
  <c r="T2838" i="1"/>
  <c r="T2837" i="1"/>
  <c r="T2836" i="1"/>
  <c r="T2835" i="1"/>
  <c r="T2834" i="1"/>
  <c r="T2833" i="1"/>
  <c r="T2832" i="1"/>
  <c r="T2831" i="1"/>
  <c r="T2830" i="1"/>
  <c r="T2829" i="1"/>
  <c r="T2828" i="1"/>
  <c r="T2827" i="1"/>
  <c r="T2826" i="1"/>
  <c r="T2825" i="1"/>
  <c r="T2824" i="1"/>
  <c r="T2823" i="1"/>
  <c r="T2822" i="1"/>
  <c r="T2821" i="1"/>
  <c r="T2820" i="1"/>
  <c r="T2819" i="1"/>
  <c r="T2818" i="1"/>
  <c r="T2817" i="1"/>
  <c r="T2816" i="1"/>
  <c r="T2815" i="1"/>
  <c r="T2814" i="1"/>
  <c r="T2813" i="1"/>
  <c r="T2812" i="1"/>
  <c r="T2811" i="1"/>
  <c r="T2810" i="1"/>
  <c r="T2809" i="1"/>
  <c r="T2808" i="1"/>
  <c r="T2807" i="1"/>
  <c r="T2806" i="1"/>
  <c r="T2805" i="1"/>
  <c r="T2804" i="1"/>
  <c r="T2803" i="1"/>
  <c r="T2802" i="1"/>
  <c r="T2801" i="1"/>
  <c r="T2800" i="1"/>
  <c r="T2799" i="1"/>
  <c r="T2798" i="1"/>
  <c r="T2797" i="1"/>
  <c r="T2796" i="1"/>
  <c r="T2795" i="1"/>
  <c r="T2794" i="1"/>
  <c r="T2793" i="1"/>
  <c r="T2792" i="1"/>
  <c r="T2791" i="1"/>
  <c r="T2790" i="1"/>
  <c r="T2789" i="1"/>
  <c r="T2788" i="1"/>
  <c r="T2787" i="1"/>
  <c r="T2786" i="1"/>
  <c r="T2785" i="1"/>
  <c r="T2784" i="1"/>
  <c r="T2783" i="1"/>
  <c r="T2782" i="1"/>
  <c r="T2781" i="1"/>
  <c r="T2780" i="1"/>
  <c r="T2779" i="1"/>
  <c r="T2778" i="1"/>
  <c r="T2777" i="1"/>
  <c r="T2776" i="1"/>
  <c r="T2775" i="1"/>
  <c r="T2774" i="1"/>
  <c r="T2773" i="1"/>
  <c r="T2772" i="1"/>
  <c r="T2771" i="1"/>
  <c r="T2770" i="1"/>
  <c r="T2769" i="1"/>
  <c r="T2768" i="1"/>
  <c r="T2767" i="1"/>
  <c r="T2766" i="1"/>
  <c r="T2765" i="1"/>
  <c r="T2764" i="1"/>
  <c r="T2763" i="1"/>
  <c r="T2762" i="1"/>
  <c r="T2761" i="1"/>
  <c r="T2760" i="1"/>
  <c r="T2759" i="1"/>
  <c r="T2758" i="1"/>
  <c r="T2757" i="1"/>
  <c r="T2756" i="1"/>
  <c r="T2755" i="1"/>
  <c r="T2754" i="1"/>
  <c r="T2753" i="1"/>
  <c r="T2752" i="1"/>
  <c r="T2751" i="1"/>
  <c r="T2750" i="1"/>
  <c r="T2749" i="1"/>
  <c r="T2748" i="1"/>
  <c r="T2747" i="1"/>
  <c r="T2746" i="1"/>
  <c r="T2745" i="1"/>
  <c r="T2744" i="1"/>
  <c r="T2743" i="1"/>
  <c r="T2742" i="1"/>
  <c r="T2741" i="1"/>
  <c r="T2740" i="1"/>
  <c r="T2739" i="1"/>
  <c r="T2738" i="1"/>
  <c r="T2737" i="1"/>
  <c r="T2736" i="1"/>
  <c r="T2735" i="1"/>
  <c r="T2734" i="1"/>
  <c r="T2733" i="1"/>
  <c r="T2732" i="1"/>
  <c r="T2731" i="1"/>
  <c r="T2730" i="1"/>
  <c r="T2729" i="1"/>
  <c r="T2728" i="1"/>
  <c r="T2727" i="1"/>
  <c r="T2726" i="1"/>
  <c r="T2725" i="1"/>
  <c r="T2724" i="1"/>
  <c r="T2723" i="1"/>
  <c r="T2722" i="1"/>
  <c r="T2721" i="1"/>
  <c r="T2720" i="1"/>
  <c r="T2719" i="1"/>
  <c r="T2718" i="1"/>
  <c r="T2717" i="1"/>
  <c r="T2716" i="1"/>
  <c r="T2715" i="1"/>
  <c r="T2714" i="1"/>
  <c r="T2713" i="1"/>
  <c r="T2712" i="1"/>
  <c r="T2711" i="1"/>
  <c r="T2710" i="1"/>
  <c r="T2709" i="1"/>
  <c r="T2708" i="1"/>
  <c r="T2707" i="1"/>
  <c r="T2706" i="1"/>
  <c r="T2705" i="1"/>
  <c r="T2704" i="1"/>
  <c r="T2703" i="1"/>
  <c r="T2702" i="1"/>
  <c r="T2701" i="1"/>
  <c r="T2700" i="1"/>
  <c r="T2699" i="1"/>
  <c r="T2698" i="1"/>
  <c r="T2697" i="1"/>
  <c r="T2696" i="1"/>
  <c r="T2695" i="1"/>
  <c r="T2694" i="1"/>
  <c r="T2693" i="1"/>
  <c r="T2692" i="1"/>
  <c r="T2691" i="1"/>
  <c r="T2690" i="1"/>
  <c r="T2689" i="1"/>
  <c r="T2688" i="1"/>
  <c r="T2687" i="1"/>
  <c r="T2686" i="1"/>
  <c r="T2685" i="1"/>
  <c r="T2684" i="1"/>
  <c r="T2683" i="1"/>
  <c r="T2682" i="1"/>
  <c r="T2681" i="1"/>
  <c r="T2680" i="1"/>
  <c r="T2679" i="1"/>
  <c r="T2678" i="1"/>
  <c r="T2677" i="1"/>
  <c r="T2676" i="1"/>
  <c r="T2675" i="1"/>
  <c r="T2674" i="1"/>
  <c r="T2673" i="1"/>
  <c r="T2672" i="1"/>
  <c r="T2671" i="1"/>
  <c r="T2670" i="1"/>
  <c r="T2669" i="1"/>
  <c r="T2668" i="1"/>
  <c r="T2667" i="1"/>
  <c r="T2666" i="1"/>
  <c r="T2665" i="1"/>
  <c r="T2664" i="1"/>
  <c r="T2663" i="1"/>
  <c r="T2662" i="1"/>
  <c r="T2661" i="1"/>
  <c r="T2660" i="1"/>
  <c r="T2659" i="1"/>
  <c r="T2658" i="1"/>
  <c r="T2657" i="1"/>
  <c r="T2656" i="1"/>
  <c r="T2655" i="1"/>
  <c r="T2654" i="1"/>
  <c r="T2653" i="1"/>
  <c r="T2652" i="1"/>
  <c r="T2651" i="1"/>
  <c r="T2650" i="1"/>
  <c r="T2649" i="1"/>
  <c r="T2648" i="1"/>
  <c r="T2647" i="1"/>
  <c r="T2646" i="1"/>
  <c r="T2645" i="1"/>
  <c r="T2644" i="1"/>
  <c r="T2643" i="1"/>
  <c r="T2642" i="1"/>
  <c r="T2641" i="1"/>
  <c r="T2640" i="1"/>
  <c r="T2639" i="1"/>
  <c r="T2638" i="1"/>
  <c r="T2637" i="1"/>
  <c r="T2636" i="1"/>
  <c r="T2635" i="1"/>
  <c r="T2634" i="1"/>
  <c r="T2633" i="1"/>
  <c r="T2632" i="1"/>
  <c r="T2631" i="1"/>
  <c r="T2630" i="1"/>
  <c r="T2629" i="1"/>
  <c r="T2628" i="1"/>
  <c r="T2627" i="1"/>
  <c r="T2626" i="1"/>
  <c r="T2625" i="1"/>
  <c r="T2624" i="1"/>
  <c r="T2623" i="1"/>
  <c r="T2622" i="1"/>
  <c r="T2621" i="1"/>
  <c r="T2620" i="1"/>
  <c r="T2619" i="1"/>
  <c r="T2618" i="1"/>
  <c r="T2617" i="1"/>
  <c r="T2616" i="1"/>
  <c r="T2615" i="1"/>
  <c r="T2614" i="1"/>
  <c r="T2613" i="1"/>
  <c r="T2612" i="1"/>
  <c r="T2611" i="1"/>
  <c r="T2610" i="1"/>
  <c r="T2609" i="1"/>
  <c r="T2608" i="1"/>
  <c r="T2607" i="1"/>
  <c r="T2606" i="1"/>
  <c r="T2605" i="1"/>
  <c r="T2604" i="1"/>
  <c r="T2603" i="1"/>
  <c r="T2602" i="1"/>
  <c r="T2601" i="1"/>
  <c r="T2600" i="1"/>
  <c r="T2599" i="1"/>
  <c r="T2598" i="1"/>
  <c r="T2597" i="1"/>
  <c r="T2596" i="1"/>
  <c r="T2595" i="1"/>
  <c r="T2594" i="1"/>
  <c r="T2593" i="1"/>
  <c r="T2592" i="1"/>
  <c r="T2591" i="1"/>
  <c r="T2590" i="1"/>
  <c r="T2589" i="1"/>
  <c r="T2588" i="1"/>
  <c r="T2587" i="1"/>
  <c r="T2586" i="1"/>
  <c r="T2585" i="1"/>
  <c r="T2584" i="1"/>
  <c r="T2583" i="1"/>
  <c r="T2582" i="1"/>
  <c r="T2581" i="1"/>
  <c r="T2580" i="1"/>
  <c r="T2579" i="1"/>
  <c r="T2578" i="1"/>
  <c r="T2577" i="1"/>
  <c r="T2576" i="1"/>
  <c r="T2575" i="1"/>
  <c r="T2574" i="1"/>
  <c r="T2573" i="1"/>
  <c r="T2572" i="1"/>
  <c r="T2571" i="1"/>
  <c r="T2570" i="1"/>
  <c r="T2569" i="1"/>
  <c r="T2568" i="1"/>
  <c r="T2567" i="1"/>
  <c r="T2566" i="1"/>
  <c r="T2565" i="1"/>
  <c r="T2564" i="1"/>
  <c r="T2563" i="1"/>
  <c r="T2562" i="1"/>
  <c r="T2561" i="1"/>
  <c r="T2560" i="1"/>
  <c r="T2559" i="1"/>
  <c r="T2558" i="1"/>
  <c r="T2557" i="1"/>
  <c r="T2556" i="1"/>
  <c r="T2555" i="1"/>
  <c r="T2554" i="1"/>
  <c r="T2553" i="1"/>
  <c r="T2552" i="1"/>
  <c r="T2551" i="1"/>
  <c r="T2550" i="1"/>
  <c r="T2549" i="1"/>
  <c r="T2548" i="1"/>
  <c r="T2547" i="1"/>
  <c r="T2546" i="1"/>
  <c r="T2545" i="1"/>
  <c r="T2544" i="1"/>
  <c r="T2543" i="1"/>
  <c r="T2542" i="1"/>
  <c r="T2541" i="1"/>
  <c r="T2540" i="1"/>
  <c r="T2539" i="1"/>
  <c r="T2538" i="1"/>
  <c r="T2537" i="1"/>
  <c r="T2536" i="1"/>
  <c r="T2535" i="1"/>
  <c r="T2534" i="1"/>
  <c r="T2533" i="1"/>
  <c r="T2532" i="1"/>
  <c r="T2531" i="1"/>
  <c r="T2530" i="1"/>
  <c r="T2529" i="1"/>
  <c r="T2528" i="1"/>
  <c r="T2527" i="1"/>
  <c r="T2526" i="1"/>
  <c r="T2525" i="1"/>
  <c r="T2524" i="1"/>
  <c r="T2523" i="1"/>
  <c r="T2522" i="1"/>
  <c r="T2521" i="1"/>
  <c r="T2520" i="1"/>
  <c r="T2519" i="1"/>
  <c r="T2518" i="1"/>
  <c r="T2517" i="1"/>
  <c r="T2516" i="1"/>
  <c r="T2515" i="1"/>
  <c r="T2514" i="1"/>
  <c r="T2513" i="1"/>
  <c r="T2512" i="1"/>
  <c r="T2511" i="1"/>
  <c r="T2510" i="1"/>
  <c r="T2509" i="1"/>
  <c r="T2508" i="1"/>
  <c r="T2507" i="1"/>
  <c r="T2506" i="1"/>
  <c r="T2505" i="1"/>
  <c r="T2504" i="1"/>
  <c r="T2503" i="1"/>
  <c r="T2502" i="1"/>
  <c r="T2501" i="1"/>
  <c r="T2500" i="1"/>
  <c r="T2499" i="1"/>
  <c r="T2498" i="1"/>
  <c r="T2497" i="1"/>
  <c r="T2496" i="1"/>
  <c r="T2495" i="1"/>
  <c r="T2494" i="1"/>
  <c r="T2493" i="1"/>
  <c r="T2492" i="1"/>
  <c r="T2491" i="1"/>
  <c r="T2490" i="1"/>
  <c r="T2489" i="1"/>
  <c r="T2488" i="1"/>
  <c r="T2487" i="1"/>
  <c r="T2486" i="1"/>
  <c r="T2485" i="1"/>
  <c r="T2484" i="1"/>
  <c r="T2483" i="1"/>
  <c r="T2482" i="1"/>
  <c r="T2481" i="1"/>
  <c r="T2480" i="1"/>
  <c r="T2479" i="1"/>
  <c r="T2478" i="1"/>
  <c r="T2477" i="1"/>
  <c r="T2476" i="1"/>
  <c r="T2475" i="1"/>
  <c r="T2474" i="1"/>
  <c r="T2473" i="1"/>
  <c r="T2472" i="1"/>
  <c r="T2471" i="1"/>
  <c r="T2470" i="1"/>
  <c r="T2469" i="1"/>
  <c r="T2468" i="1"/>
  <c r="T2467" i="1"/>
  <c r="T2466" i="1"/>
  <c r="T2465" i="1"/>
  <c r="T2464" i="1"/>
  <c r="T2463" i="1"/>
  <c r="T2462" i="1"/>
  <c r="T2461" i="1"/>
  <c r="T2460" i="1"/>
  <c r="T2459" i="1"/>
  <c r="T2458" i="1"/>
  <c r="T2457" i="1"/>
  <c r="T2456" i="1"/>
  <c r="T2455" i="1"/>
  <c r="T2454" i="1"/>
  <c r="T2453" i="1"/>
  <c r="T2452" i="1"/>
  <c r="T2451" i="1"/>
  <c r="T2450" i="1"/>
  <c r="T2449" i="1"/>
  <c r="T2448" i="1"/>
  <c r="T2447" i="1"/>
  <c r="T2446" i="1"/>
  <c r="T2445" i="1"/>
  <c r="T2444" i="1"/>
  <c r="T2443" i="1"/>
  <c r="T2442" i="1"/>
  <c r="T2441" i="1"/>
  <c r="T2440" i="1"/>
  <c r="T2439" i="1"/>
  <c r="T2438" i="1"/>
  <c r="T2437" i="1"/>
  <c r="T2436" i="1"/>
  <c r="T2435" i="1"/>
  <c r="T2434" i="1"/>
  <c r="T2433" i="1"/>
  <c r="T2432" i="1"/>
  <c r="T2431" i="1"/>
  <c r="T2430" i="1"/>
  <c r="T2429" i="1"/>
  <c r="T2428" i="1"/>
  <c r="T2427" i="1"/>
  <c r="T2426" i="1"/>
  <c r="T2425" i="1"/>
  <c r="T2424" i="1"/>
  <c r="T2423" i="1"/>
  <c r="T2422" i="1"/>
  <c r="T2421" i="1"/>
  <c r="T2420" i="1"/>
  <c r="T2419" i="1"/>
  <c r="T2418" i="1"/>
  <c r="T2417" i="1"/>
  <c r="T2416" i="1"/>
  <c r="T2415" i="1"/>
  <c r="T2414" i="1"/>
  <c r="T2413" i="1"/>
  <c r="T2412" i="1"/>
  <c r="T2411" i="1"/>
  <c r="T2410" i="1"/>
  <c r="T2409" i="1"/>
  <c r="T2408" i="1"/>
  <c r="T2407" i="1"/>
  <c r="T2406" i="1"/>
  <c r="T2405" i="1"/>
  <c r="T2404" i="1"/>
  <c r="T2403" i="1"/>
  <c r="T2402" i="1"/>
  <c r="T2401" i="1"/>
  <c r="T2400" i="1"/>
  <c r="T2399" i="1"/>
  <c r="T2398" i="1"/>
  <c r="T2397" i="1"/>
  <c r="T2396" i="1"/>
  <c r="T2395" i="1"/>
  <c r="T2394" i="1"/>
  <c r="T2393" i="1"/>
  <c r="T2392" i="1"/>
  <c r="T2391" i="1"/>
  <c r="T2390" i="1"/>
  <c r="T2389" i="1"/>
  <c r="T2388" i="1"/>
  <c r="T2387" i="1"/>
  <c r="T2386" i="1"/>
  <c r="T2385" i="1"/>
  <c r="T2384" i="1"/>
  <c r="T2383" i="1"/>
  <c r="T2382" i="1"/>
  <c r="T2381" i="1"/>
  <c r="T2380" i="1"/>
  <c r="T2379" i="1"/>
  <c r="T2378" i="1"/>
  <c r="T2377" i="1"/>
  <c r="T2376" i="1"/>
  <c r="T2375" i="1"/>
  <c r="T2374" i="1"/>
  <c r="T2373" i="1"/>
  <c r="T2372" i="1"/>
  <c r="T2371" i="1"/>
  <c r="T2370" i="1"/>
  <c r="T2369" i="1"/>
  <c r="T2368" i="1"/>
  <c r="T2367" i="1"/>
  <c r="T2366" i="1"/>
  <c r="T2365" i="1"/>
  <c r="T2364" i="1"/>
  <c r="T2363" i="1"/>
  <c r="T2362" i="1"/>
  <c r="T2361" i="1"/>
  <c r="T2360" i="1"/>
  <c r="T2359" i="1"/>
  <c r="T2358" i="1"/>
  <c r="T2357" i="1"/>
  <c r="T2356" i="1"/>
  <c r="T2355" i="1"/>
  <c r="T2354" i="1"/>
  <c r="T2353" i="1"/>
  <c r="T2352" i="1"/>
  <c r="T2351" i="1"/>
  <c r="T2350" i="1"/>
  <c r="T2349" i="1"/>
  <c r="T2348" i="1"/>
  <c r="T2347" i="1"/>
  <c r="T2346" i="1"/>
  <c r="T2345" i="1"/>
  <c r="T2344" i="1"/>
  <c r="T2343" i="1"/>
  <c r="T2342" i="1"/>
  <c r="T2341" i="1"/>
  <c r="T2340" i="1"/>
  <c r="T2339" i="1"/>
  <c r="T2338" i="1"/>
  <c r="T2337" i="1"/>
  <c r="T2336" i="1"/>
  <c r="T2335" i="1"/>
  <c r="T2334" i="1"/>
  <c r="T2333" i="1"/>
  <c r="T2332" i="1"/>
  <c r="T2331" i="1"/>
  <c r="T2330" i="1"/>
  <c r="T2329" i="1"/>
  <c r="T2328" i="1"/>
  <c r="T2327" i="1"/>
  <c r="T2326" i="1"/>
  <c r="T2325" i="1"/>
  <c r="T2324" i="1"/>
  <c r="T2323" i="1"/>
  <c r="T2322" i="1"/>
  <c r="T2321" i="1"/>
  <c r="T2320" i="1"/>
  <c r="T2319" i="1"/>
  <c r="T2318" i="1"/>
  <c r="T2317" i="1"/>
  <c r="T2316" i="1"/>
  <c r="T2315" i="1"/>
  <c r="T2314" i="1"/>
  <c r="T2313" i="1"/>
  <c r="T2312" i="1"/>
  <c r="T2311" i="1"/>
  <c r="T2310" i="1"/>
  <c r="T2309" i="1"/>
  <c r="T2308" i="1"/>
  <c r="T2307" i="1"/>
  <c r="T2306" i="1"/>
  <c r="T2305" i="1"/>
  <c r="T2304" i="1"/>
  <c r="T2303" i="1"/>
  <c r="T2302" i="1"/>
  <c r="T2301" i="1"/>
  <c r="T2300" i="1"/>
  <c r="T2299" i="1"/>
  <c r="T2298" i="1"/>
  <c r="T2297" i="1"/>
  <c r="T2296" i="1"/>
  <c r="T2295" i="1"/>
  <c r="T2294" i="1"/>
  <c r="T2293" i="1"/>
  <c r="T2292" i="1"/>
  <c r="T2291" i="1"/>
  <c r="T2290" i="1"/>
  <c r="T2289" i="1"/>
  <c r="T2288" i="1"/>
  <c r="T2287" i="1"/>
  <c r="T2286" i="1"/>
  <c r="T2285" i="1"/>
  <c r="T2284" i="1"/>
  <c r="T2283" i="1"/>
  <c r="T2282" i="1"/>
  <c r="T2281" i="1"/>
  <c r="T2280" i="1"/>
  <c r="T2279" i="1"/>
  <c r="T2278" i="1"/>
  <c r="T2277" i="1"/>
  <c r="T2276" i="1"/>
  <c r="T2275" i="1"/>
  <c r="T2274" i="1"/>
  <c r="T2273" i="1"/>
  <c r="T2272" i="1"/>
  <c r="T2271" i="1"/>
  <c r="T2270" i="1"/>
  <c r="T2269" i="1"/>
  <c r="T2268" i="1"/>
  <c r="T2267" i="1"/>
  <c r="T2266" i="1"/>
  <c r="T2265" i="1"/>
  <c r="T2264" i="1"/>
  <c r="T2263" i="1"/>
  <c r="T2262" i="1"/>
  <c r="T2261" i="1"/>
  <c r="T2260" i="1"/>
  <c r="T2259" i="1"/>
  <c r="T2258" i="1"/>
  <c r="T2257" i="1"/>
  <c r="T2256" i="1"/>
  <c r="T2255" i="1"/>
  <c r="T2254" i="1"/>
  <c r="T2253" i="1"/>
  <c r="T2252" i="1"/>
  <c r="T2251" i="1"/>
  <c r="T2250" i="1"/>
  <c r="T2249" i="1"/>
  <c r="T2248" i="1"/>
  <c r="T2247" i="1"/>
  <c r="T2246" i="1"/>
  <c r="T2245" i="1"/>
  <c r="T2244" i="1"/>
  <c r="T2243" i="1"/>
  <c r="T2242" i="1"/>
  <c r="T2241" i="1"/>
  <c r="T2240" i="1"/>
  <c r="T2239" i="1"/>
  <c r="T2238" i="1"/>
  <c r="T2237" i="1"/>
  <c r="T2236" i="1"/>
  <c r="T2235" i="1"/>
  <c r="T2234" i="1"/>
  <c r="T2233" i="1"/>
  <c r="T2232" i="1"/>
  <c r="T2231" i="1"/>
  <c r="T2230" i="1"/>
  <c r="T2229" i="1"/>
  <c r="T2228" i="1"/>
  <c r="T2227" i="1"/>
  <c r="T2226" i="1"/>
  <c r="T2225" i="1"/>
  <c r="T2224" i="1"/>
  <c r="T2223" i="1"/>
  <c r="T2222" i="1"/>
  <c r="T2221" i="1"/>
  <c r="T2220" i="1"/>
  <c r="T2219" i="1"/>
  <c r="T2218" i="1"/>
  <c r="T2217" i="1"/>
  <c r="T2216" i="1"/>
  <c r="T2215" i="1"/>
  <c r="T2214" i="1"/>
  <c r="T2213" i="1"/>
  <c r="T2212" i="1"/>
  <c r="T2211" i="1"/>
  <c r="T2210" i="1"/>
  <c r="T2209" i="1"/>
  <c r="T2208" i="1"/>
  <c r="T2207" i="1"/>
  <c r="T2206" i="1"/>
  <c r="T2205" i="1"/>
  <c r="T2204" i="1"/>
  <c r="T2203" i="1"/>
  <c r="T2202" i="1"/>
  <c r="T2201" i="1"/>
  <c r="T2200" i="1"/>
  <c r="T2199" i="1"/>
  <c r="T2198" i="1"/>
  <c r="T2197" i="1"/>
  <c r="T2196" i="1"/>
  <c r="T2195" i="1"/>
  <c r="T2194" i="1"/>
  <c r="T2193" i="1"/>
  <c r="T2192" i="1"/>
  <c r="T2191" i="1"/>
  <c r="T2190" i="1"/>
  <c r="T2189" i="1"/>
  <c r="T2188" i="1"/>
  <c r="T2187" i="1"/>
  <c r="T2186" i="1"/>
  <c r="T2185" i="1"/>
  <c r="T2184" i="1"/>
  <c r="T2183" i="1"/>
  <c r="T2182" i="1"/>
  <c r="T2181" i="1"/>
  <c r="T2180" i="1"/>
  <c r="T2179" i="1"/>
  <c r="T2178" i="1"/>
  <c r="T2177" i="1"/>
  <c r="T2176" i="1"/>
  <c r="T2175" i="1"/>
  <c r="T2174" i="1"/>
  <c r="T2173" i="1"/>
  <c r="T2172" i="1"/>
  <c r="T2171" i="1"/>
  <c r="T2170" i="1"/>
  <c r="T2169" i="1"/>
  <c r="T2168" i="1"/>
  <c r="T2167" i="1"/>
  <c r="T2166" i="1"/>
  <c r="T2165" i="1"/>
  <c r="T2164" i="1"/>
  <c r="T2163" i="1"/>
  <c r="T2162" i="1"/>
  <c r="T2161" i="1"/>
  <c r="T2160" i="1"/>
  <c r="T2159" i="1"/>
  <c r="T2158" i="1"/>
  <c r="T2157" i="1"/>
  <c r="T2156" i="1"/>
  <c r="T2155" i="1"/>
  <c r="T2154" i="1"/>
  <c r="T2153" i="1"/>
  <c r="T2152" i="1"/>
  <c r="T2151" i="1"/>
  <c r="T2150" i="1"/>
  <c r="T2149" i="1"/>
  <c r="T2148" i="1"/>
  <c r="T2147" i="1"/>
  <c r="T2146" i="1"/>
  <c r="T2145" i="1"/>
  <c r="T2144" i="1"/>
  <c r="T2143" i="1"/>
  <c r="T2142" i="1"/>
  <c r="T2141" i="1"/>
  <c r="T2140" i="1"/>
  <c r="T2139" i="1"/>
  <c r="T2138" i="1"/>
  <c r="T2137" i="1"/>
  <c r="T2136" i="1"/>
  <c r="T2135" i="1"/>
  <c r="T2134" i="1"/>
  <c r="T2133" i="1"/>
  <c r="T2132" i="1"/>
  <c r="T2131" i="1"/>
  <c r="T2130" i="1"/>
  <c r="T2129" i="1"/>
  <c r="T2128" i="1"/>
  <c r="T2127" i="1"/>
  <c r="T2126" i="1"/>
  <c r="T2125" i="1"/>
  <c r="T2124" i="1"/>
  <c r="T2123" i="1"/>
  <c r="T2122" i="1"/>
  <c r="T2121" i="1"/>
  <c r="T2120" i="1"/>
  <c r="T2119" i="1"/>
  <c r="T2118" i="1"/>
  <c r="T2117" i="1"/>
  <c r="T2116" i="1"/>
  <c r="T2115" i="1"/>
  <c r="T2114" i="1"/>
  <c r="T2113" i="1"/>
  <c r="T2112" i="1"/>
  <c r="T2111" i="1"/>
  <c r="T2110" i="1"/>
  <c r="T2109" i="1"/>
  <c r="T2108" i="1"/>
  <c r="T2107" i="1"/>
  <c r="T2106" i="1"/>
  <c r="T2105" i="1"/>
  <c r="T2104" i="1"/>
  <c r="T2103" i="1"/>
  <c r="T2102" i="1"/>
  <c r="T2101" i="1"/>
  <c r="T2100" i="1"/>
  <c r="T2099" i="1"/>
  <c r="T2098" i="1"/>
  <c r="T2097" i="1"/>
  <c r="T2096" i="1"/>
  <c r="T2095" i="1"/>
  <c r="T2094" i="1"/>
  <c r="T2093" i="1"/>
  <c r="T2092" i="1"/>
  <c r="T2091" i="1"/>
  <c r="T2090" i="1"/>
  <c r="T2089" i="1"/>
  <c r="T2088" i="1"/>
  <c r="T2087" i="1"/>
  <c r="T2086" i="1"/>
  <c r="T2085" i="1"/>
  <c r="T2084" i="1"/>
  <c r="T2083" i="1"/>
  <c r="T2082" i="1"/>
  <c r="T2081" i="1"/>
  <c r="T2080" i="1"/>
  <c r="T2079" i="1"/>
  <c r="T2078" i="1"/>
  <c r="T2077" i="1"/>
  <c r="T2076" i="1"/>
  <c r="T2075" i="1"/>
  <c r="T2074" i="1"/>
  <c r="T2073" i="1"/>
  <c r="T2072" i="1"/>
  <c r="T2071" i="1"/>
  <c r="T2070" i="1"/>
  <c r="T2069" i="1"/>
  <c r="T2068" i="1"/>
  <c r="T2067" i="1"/>
  <c r="T2066" i="1"/>
  <c r="T2065" i="1"/>
  <c r="T2064" i="1"/>
  <c r="T2063" i="1"/>
  <c r="T2062" i="1"/>
  <c r="T2061" i="1"/>
  <c r="T2060" i="1"/>
  <c r="T2059" i="1"/>
  <c r="T2058" i="1"/>
  <c r="T2057" i="1"/>
  <c r="T2056" i="1"/>
  <c r="T2055" i="1"/>
  <c r="T2054" i="1"/>
  <c r="T2053" i="1"/>
  <c r="T2052" i="1"/>
  <c r="T2051" i="1"/>
  <c r="T2050" i="1"/>
  <c r="T2049" i="1"/>
  <c r="T2048" i="1"/>
  <c r="T2047" i="1"/>
  <c r="T2046" i="1"/>
  <c r="T2045" i="1"/>
  <c r="T2044" i="1"/>
  <c r="T2043" i="1"/>
  <c r="T2042" i="1"/>
  <c r="T2041" i="1"/>
  <c r="T2040" i="1"/>
  <c r="T2039" i="1"/>
  <c r="T2038" i="1"/>
  <c r="T2037" i="1"/>
  <c r="T2036" i="1"/>
  <c r="T2035" i="1"/>
  <c r="T2034" i="1"/>
  <c r="T2033" i="1"/>
  <c r="T2032" i="1"/>
  <c r="T2031" i="1"/>
  <c r="T2030" i="1"/>
  <c r="T2029" i="1"/>
  <c r="T2028" i="1"/>
  <c r="T2027" i="1"/>
  <c r="T2026" i="1"/>
  <c r="T2025" i="1"/>
  <c r="T2024" i="1"/>
  <c r="T2023" i="1"/>
  <c r="T2022" i="1"/>
  <c r="T2021" i="1"/>
  <c r="T2020" i="1"/>
  <c r="T2019" i="1"/>
  <c r="T2018" i="1"/>
  <c r="T2017" i="1"/>
  <c r="T2016" i="1"/>
  <c r="T2015" i="1"/>
  <c r="T2014" i="1"/>
  <c r="T2013" i="1"/>
  <c r="T2012" i="1"/>
  <c r="T2011" i="1"/>
  <c r="T2010" i="1"/>
  <c r="T2009" i="1"/>
  <c r="T2008" i="1"/>
  <c r="T2007" i="1"/>
  <c r="T2006" i="1"/>
  <c r="T2005" i="1"/>
  <c r="T2004" i="1"/>
  <c r="T2003" i="1"/>
  <c r="T2002" i="1"/>
  <c r="T2001" i="1"/>
  <c r="T2000" i="1"/>
  <c r="T1999" i="1"/>
  <c r="T1998" i="1"/>
  <c r="T1997" i="1"/>
  <c r="T1996" i="1"/>
  <c r="T1995" i="1"/>
  <c r="T1994" i="1"/>
  <c r="T1993" i="1"/>
  <c r="T1992" i="1"/>
  <c r="T1991" i="1"/>
  <c r="T1990" i="1"/>
  <c r="T1989" i="1"/>
  <c r="T1988" i="1"/>
  <c r="T1987" i="1"/>
  <c r="T1986" i="1"/>
  <c r="T1985" i="1"/>
  <c r="T1984" i="1"/>
  <c r="T1983" i="1"/>
  <c r="T1982" i="1"/>
  <c r="T1981" i="1"/>
  <c r="T1980" i="1"/>
  <c r="T1979" i="1"/>
  <c r="T1978" i="1"/>
  <c r="T1977" i="1"/>
  <c r="T1976" i="1"/>
  <c r="T1975" i="1"/>
  <c r="T1974" i="1"/>
  <c r="T1973" i="1"/>
  <c r="T1972" i="1"/>
  <c r="T1971" i="1"/>
  <c r="T1970" i="1"/>
  <c r="T1969" i="1"/>
  <c r="T1968" i="1"/>
  <c r="T1967" i="1"/>
  <c r="T1966" i="1"/>
  <c r="T1965" i="1"/>
  <c r="T1964" i="1"/>
  <c r="T1963" i="1"/>
  <c r="T1962" i="1"/>
  <c r="T1961" i="1"/>
  <c r="T1960" i="1"/>
  <c r="T1959" i="1"/>
  <c r="T1958" i="1"/>
  <c r="T1957" i="1"/>
  <c r="T1956" i="1"/>
  <c r="T1955" i="1"/>
  <c r="T1954" i="1"/>
  <c r="T1953" i="1"/>
  <c r="T1952" i="1"/>
  <c r="T1951" i="1"/>
  <c r="T1950" i="1"/>
  <c r="T1949" i="1"/>
  <c r="T1948" i="1"/>
  <c r="T1947" i="1"/>
  <c r="T1946" i="1"/>
  <c r="T1945" i="1"/>
  <c r="T1944" i="1"/>
  <c r="T1943" i="1"/>
  <c r="T1942" i="1"/>
  <c r="T1941" i="1"/>
  <c r="T1940" i="1"/>
  <c r="T1939" i="1"/>
  <c r="T1938" i="1"/>
  <c r="T1937" i="1"/>
  <c r="T1936" i="1"/>
  <c r="T1935" i="1"/>
  <c r="T1934" i="1"/>
  <c r="T1933" i="1"/>
  <c r="T1932" i="1"/>
  <c r="T1931" i="1"/>
  <c r="T1930" i="1"/>
  <c r="T1929" i="1"/>
  <c r="T1928" i="1"/>
  <c r="T1927" i="1"/>
  <c r="T1926" i="1"/>
  <c r="T1925" i="1"/>
  <c r="T1924" i="1"/>
  <c r="T1923" i="1"/>
  <c r="T1922" i="1"/>
  <c r="T1921" i="1"/>
  <c r="T1920" i="1"/>
  <c r="T1919" i="1"/>
  <c r="T1918" i="1"/>
  <c r="T1917" i="1"/>
  <c r="T1916" i="1"/>
  <c r="T1915" i="1"/>
  <c r="T1914" i="1"/>
  <c r="T1913" i="1"/>
  <c r="T1912" i="1"/>
  <c r="T1911" i="1"/>
  <c r="T1910" i="1"/>
  <c r="T1909" i="1"/>
  <c r="T1908" i="1"/>
  <c r="T1907" i="1"/>
  <c r="T1906" i="1"/>
  <c r="T1905" i="1"/>
  <c r="T1904" i="1"/>
  <c r="T1903" i="1"/>
  <c r="T1902" i="1"/>
  <c r="T1901" i="1"/>
  <c r="T1900" i="1"/>
  <c r="T1899" i="1"/>
  <c r="T1898" i="1"/>
  <c r="T1897" i="1"/>
  <c r="T1896" i="1"/>
  <c r="T1895" i="1"/>
  <c r="T1894" i="1"/>
  <c r="T1893" i="1"/>
  <c r="T1892" i="1"/>
  <c r="T1891" i="1"/>
  <c r="T1890" i="1"/>
  <c r="T1889" i="1"/>
  <c r="T1888" i="1"/>
  <c r="T1887" i="1"/>
  <c r="T1886" i="1"/>
  <c r="T1885" i="1"/>
  <c r="T1884" i="1"/>
  <c r="T1883" i="1"/>
  <c r="T1882" i="1"/>
  <c r="T1881" i="1"/>
  <c r="T1880" i="1"/>
  <c r="T1879" i="1"/>
  <c r="T1878" i="1"/>
  <c r="T1877" i="1"/>
  <c r="T1876" i="1"/>
  <c r="T1875" i="1"/>
  <c r="T1874" i="1"/>
  <c r="T1873" i="1"/>
  <c r="T1872" i="1"/>
  <c r="T1871" i="1"/>
  <c r="T1870" i="1"/>
  <c r="T1869" i="1"/>
  <c r="T1868" i="1"/>
  <c r="T1867" i="1"/>
  <c r="T1866" i="1"/>
  <c r="T1865" i="1"/>
  <c r="T1864" i="1"/>
  <c r="T1863" i="1"/>
  <c r="T1862" i="1"/>
  <c r="T1861" i="1"/>
  <c r="T1860" i="1"/>
  <c r="T1859" i="1"/>
  <c r="T1858" i="1"/>
  <c r="T1857" i="1"/>
  <c r="T1856" i="1"/>
  <c r="T1855" i="1"/>
  <c r="T1854" i="1"/>
  <c r="T1853" i="1"/>
  <c r="T1852" i="1"/>
  <c r="T1851" i="1"/>
  <c r="T1850" i="1"/>
  <c r="T1849" i="1"/>
  <c r="T1848" i="1"/>
  <c r="T1847" i="1"/>
  <c r="T1846" i="1"/>
  <c r="T1845" i="1"/>
  <c r="T1844" i="1"/>
  <c r="T1843" i="1"/>
  <c r="T1842" i="1"/>
  <c r="T1841" i="1"/>
  <c r="T1840" i="1"/>
  <c r="T1839" i="1"/>
  <c r="T1838" i="1"/>
  <c r="T1837" i="1"/>
  <c r="T1836" i="1"/>
  <c r="T1835" i="1"/>
  <c r="T1834" i="1"/>
  <c r="T1833" i="1"/>
  <c r="T1832" i="1"/>
  <c r="T1831" i="1"/>
  <c r="T1830" i="1"/>
  <c r="T1829" i="1"/>
  <c r="T1828" i="1"/>
  <c r="T1827" i="1"/>
  <c r="T1826" i="1"/>
  <c r="T1825" i="1"/>
  <c r="T1824" i="1"/>
  <c r="T1823" i="1"/>
  <c r="T1822" i="1"/>
  <c r="T1821" i="1"/>
  <c r="T1820" i="1"/>
  <c r="T1819" i="1"/>
  <c r="T1818" i="1"/>
  <c r="T1817" i="1"/>
  <c r="T1816" i="1"/>
  <c r="T1815" i="1"/>
  <c r="T1814" i="1"/>
  <c r="T1813" i="1"/>
  <c r="T1812" i="1"/>
  <c r="T1811" i="1"/>
  <c r="T1810" i="1"/>
  <c r="T1809" i="1"/>
  <c r="T1808" i="1"/>
  <c r="T1807" i="1"/>
  <c r="T1806" i="1"/>
  <c r="T1805" i="1"/>
  <c r="T1804" i="1"/>
  <c r="T1803" i="1"/>
  <c r="T1802" i="1"/>
  <c r="T1801" i="1"/>
  <c r="T1800" i="1"/>
  <c r="T1799" i="1"/>
  <c r="T1798" i="1"/>
  <c r="T1797" i="1"/>
  <c r="T1796" i="1"/>
  <c r="T1795" i="1"/>
  <c r="T1794" i="1"/>
  <c r="T1793" i="1"/>
  <c r="T1792" i="1"/>
  <c r="T1791" i="1"/>
  <c r="T1790" i="1"/>
  <c r="T1789" i="1"/>
  <c r="T1788" i="1"/>
  <c r="T1787" i="1"/>
  <c r="T1786" i="1"/>
  <c r="T1785" i="1"/>
  <c r="T1784" i="1"/>
  <c r="T1783" i="1"/>
  <c r="T1782" i="1"/>
  <c r="T1781" i="1"/>
  <c r="T1780" i="1"/>
  <c r="T1779" i="1"/>
  <c r="T1778" i="1"/>
  <c r="T1777" i="1"/>
  <c r="T1776" i="1"/>
  <c r="T1775" i="1"/>
  <c r="T1774" i="1"/>
  <c r="T1773" i="1"/>
  <c r="T1772" i="1"/>
  <c r="T1771" i="1"/>
  <c r="T1770" i="1"/>
  <c r="T1769" i="1"/>
  <c r="T1768" i="1"/>
  <c r="T1767" i="1"/>
  <c r="T1766" i="1"/>
  <c r="T1765" i="1"/>
  <c r="T1764" i="1"/>
  <c r="T1763" i="1"/>
  <c r="T1762" i="1"/>
  <c r="T1761" i="1"/>
  <c r="T1760" i="1"/>
  <c r="T1759" i="1"/>
  <c r="T1758" i="1"/>
  <c r="T1757" i="1"/>
  <c r="T1756" i="1"/>
  <c r="T1755" i="1"/>
  <c r="T1754" i="1"/>
  <c r="T1753" i="1"/>
  <c r="T1752" i="1"/>
  <c r="T1751" i="1"/>
  <c r="T1750" i="1"/>
  <c r="T1749" i="1"/>
  <c r="T1748" i="1"/>
  <c r="T1747" i="1"/>
  <c r="T1746" i="1"/>
  <c r="T1745" i="1"/>
  <c r="T1744" i="1"/>
  <c r="T1743" i="1"/>
  <c r="T1742" i="1"/>
  <c r="T1741" i="1"/>
  <c r="T1740" i="1"/>
  <c r="T1739" i="1"/>
  <c r="T1738" i="1"/>
  <c r="T1737" i="1"/>
  <c r="T1736" i="1"/>
  <c r="T1735" i="1"/>
  <c r="T1734" i="1"/>
  <c r="T1733" i="1"/>
  <c r="T1732" i="1"/>
  <c r="T1731" i="1"/>
  <c r="T1730" i="1"/>
  <c r="T1729" i="1"/>
  <c r="T1728" i="1"/>
  <c r="T1727" i="1"/>
  <c r="T1726" i="1"/>
  <c r="T1725" i="1"/>
  <c r="T1724" i="1"/>
  <c r="T1723" i="1"/>
  <c r="T1722" i="1"/>
  <c r="T1721" i="1"/>
  <c r="T1720" i="1"/>
  <c r="T1719" i="1"/>
  <c r="T1718" i="1"/>
  <c r="T1717" i="1"/>
  <c r="T1716" i="1"/>
  <c r="T1715" i="1"/>
  <c r="T1714" i="1"/>
  <c r="T1713" i="1"/>
  <c r="T1712" i="1"/>
  <c r="T1711" i="1"/>
  <c r="T1710" i="1"/>
  <c r="T1709" i="1"/>
  <c r="T1708" i="1"/>
  <c r="T1707" i="1"/>
  <c r="T1706" i="1"/>
  <c r="T1705" i="1"/>
  <c r="T1704" i="1"/>
  <c r="T1703" i="1"/>
  <c r="T1702" i="1"/>
  <c r="T1701" i="1"/>
  <c r="T1700" i="1"/>
  <c r="T1699" i="1"/>
  <c r="T1698" i="1"/>
  <c r="T1697" i="1"/>
  <c r="T1696" i="1"/>
  <c r="T1695" i="1"/>
  <c r="T1694" i="1"/>
  <c r="T1693" i="1"/>
  <c r="T1692" i="1"/>
  <c r="T1691" i="1"/>
  <c r="T1690" i="1"/>
  <c r="T1689" i="1"/>
  <c r="T1688" i="1"/>
  <c r="T1687" i="1"/>
  <c r="T1686" i="1"/>
  <c r="T1685" i="1"/>
  <c r="T1684" i="1"/>
  <c r="T1683" i="1"/>
  <c r="T1682" i="1"/>
  <c r="T1681" i="1"/>
  <c r="T1680" i="1"/>
  <c r="T1679" i="1"/>
  <c r="T1678" i="1"/>
  <c r="T1677" i="1"/>
  <c r="T1676" i="1"/>
  <c r="T1675" i="1"/>
  <c r="T1674" i="1"/>
  <c r="T1673" i="1"/>
  <c r="T1672" i="1"/>
  <c r="T1671" i="1"/>
  <c r="T1670" i="1"/>
  <c r="T1669" i="1"/>
  <c r="T1668" i="1"/>
  <c r="T1667" i="1"/>
  <c r="T1666" i="1"/>
  <c r="T1665" i="1"/>
  <c r="T1664" i="1"/>
  <c r="T1663" i="1"/>
  <c r="T1662" i="1"/>
  <c r="T1661" i="1"/>
  <c r="T1660" i="1"/>
  <c r="T1659" i="1"/>
  <c r="T1658" i="1"/>
  <c r="T1657" i="1"/>
  <c r="T1656" i="1"/>
  <c r="T1655" i="1"/>
  <c r="T1654" i="1"/>
  <c r="T1653" i="1"/>
  <c r="T1652" i="1"/>
  <c r="T1651" i="1"/>
  <c r="T1650" i="1"/>
  <c r="T1649" i="1"/>
  <c r="T1648" i="1"/>
  <c r="T1647" i="1"/>
  <c r="T1646" i="1"/>
  <c r="T1645" i="1"/>
  <c r="T1644" i="1"/>
  <c r="T1643" i="1"/>
  <c r="T1642" i="1"/>
  <c r="T1641" i="1"/>
  <c r="T1640" i="1"/>
  <c r="T1639" i="1"/>
  <c r="T1638" i="1"/>
  <c r="T1637" i="1"/>
  <c r="T1636" i="1"/>
  <c r="T1635" i="1"/>
  <c r="T1634" i="1"/>
  <c r="T1633" i="1"/>
  <c r="T1632" i="1"/>
  <c r="T1631" i="1"/>
  <c r="T1630" i="1"/>
  <c r="T1629" i="1"/>
  <c r="T1628" i="1"/>
  <c r="T1627" i="1"/>
  <c r="T1626" i="1"/>
  <c r="T1625" i="1"/>
  <c r="T1624" i="1"/>
  <c r="T1623" i="1"/>
  <c r="T1622" i="1"/>
  <c r="T1621" i="1"/>
  <c r="T1620" i="1"/>
  <c r="T1619" i="1"/>
  <c r="T1618" i="1"/>
  <c r="T1617" i="1"/>
  <c r="T1616" i="1"/>
  <c r="T1615" i="1"/>
  <c r="T1614" i="1"/>
  <c r="T1613" i="1"/>
  <c r="T1612" i="1"/>
  <c r="T1611" i="1"/>
  <c r="T1610" i="1"/>
  <c r="T1609" i="1"/>
  <c r="T1608" i="1"/>
  <c r="T1607" i="1"/>
  <c r="T1606" i="1"/>
  <c r="T1605" i="1"/>
  <c r="T1604" i="1"/>
  <c r="T1603" i="1"/>
  <c r="T1602" i="1"/>
  <c r="T1601" i="1"/>
  <c r="T1600" i="1"/>
  <c r="T1599" i="1"/>
  <c r="T1598" i="1"/>
  <c r="T1597" i="1"/>
  <c r="T1596" i="1"/>
  <c r="T1595" i="1"/>
  <c r="T1594" i="1"/>
  <c r="T1593" i="1"/>
  <c r="T1592" i="1"/>
  <c r="T1591" i="1"/>
  <c r="T1590" i="1"/>
  <c r="T1589" i="1"/>
  <c r="T1588" i="1"/>
  <c r="T1587" i="1"/>
  <c r="T1586" i="1"/>
  <c r="T1585" i="1"/>
  <c r="T1584" i="1"/>
  <c r="T1583" i="1"/>
  <c r="T1582" i="1"/>
  <c r="T1581" i="1"/>
  <c r="T1580" i="1"/>
  <c r="T1579" i="1"/>
  <c r="T1578" i="1"/>
  <c r="T1577" i="1"/>
  <c r="T1576" i="1"/>
  <c r="T1575" i="1"/>
  <c r="T1574" i="1"/>
  <c r="T1573" i="1"/>
  <c r="T1572" i="1"/>
  <c r="T1571" i="1"/>
  <c r="T1570" i="1"/>
  <c r="T1569" i="1"/>
  <c r="T1568" i="1"/>
  <c r="T1567" i="1"/>
  <c r="T1566" i="1"/>
  <c r="T1565" i="1"/>
  <c r="T1564" i="1"/>
  <c r="T1563" i="1"/>
  <c r="T1562" i="1"/>
  <c r="T1561" i="1"/>
  <c r="T1560" i="1"/>
  <c r="T1559" i="1"/>
  <c r="T1558" i="1"/>
  <c r="T1557" i="1"/>
  <c r="T1556" i="1"/>
  <c r="T1555" i="1"/>
  <c r="T1554" i="1"/>
  <c r="T1553" i="1"/>
  <c r="T1552" i="1"/>
  <c r="T1551" i="1"/>
  <c r="T1550" i="1"/>
  <c r="T1549" i="1"/>
  <c r="T1548" i="1"/>
  <c r="T1547" i="1"/>
  <c r="T1546" i="1"/>
  <c r="T1545" i="1"/>
  <c r="T1544" i="1"/>
  <c r="T1543" i="1"/>
  <c r="T1542" i="1"/>
  <c r="T1541" i="1"/>
  <c r="T1540" i="1"/>
  <c r="T1539" i="1"/>
  <c r="T1538" i="1"/>
  <c r="T1537" i="1"/>
  <c r="T1536" i="1"/>
  <c r="T1535" i="1"/>
  <c r="T1534" i="1"/>
  <c r="T1533" i="1"/>
  <c r="T1532" i="1"/>
  <c r="T1531" i="1"/>
  <c r="T1530" i="1"/>
  <c r="T1529" i="1"/>
  <c r="T1528" i="1"/>
  <c r="T1527" i="1"/>
  <c r="T1526" i="1"/>
  <c r="T1525" i="1"/>
  <c r="T1524" i="1"/>
  <c r="T1523" i="1"/>
  <c r="T1522" i="1"/>
  <c r="T1521" i="1"/>
  <c r="T1520" i="1"/>
  <c r="T1519" i="1"/>
  <c r="T1518" i="1"/>
  <c r="T1517" i="1"/>
  <c r="T1516" i="1"/>
  <c r="T1515" i="1"/>
  <c r="T1514" i="1"/>
  <c r="T1513" i="1"/>
  <c r="T1512" i="1"/>
  <c r="T1511" i="1"/>
  <c r="T1510" i="1"/>
  <c r="T1509" i="1"/>
  <c r="T1508" i="1"/>
  <c r="T1507" i="1"/>
  <c r="T1506" i="1"/>
  <c r="T1505" i="1"/>
  <c r="T1504" i="1"/>
  <c r="T1503" i="1"/>
  <c r="T1502" i="1"/>
  <c r="T1501" i="1"/>
  <c r="T1500" i="1"/>
  <c r="T1499" i="1"/>
  <c r="T1498" i="1"/>
  <c r="T1497" i="1"/>
  <c r="T1496" i="1"/>
  <c r="T1495" i="1"/>
  <c r="T1494" i="1"/>
  <c r="T1493" i="1"/>
  <c r="T1492" i="1"/>
  <c r="T1491" i="1"/>
  <c r="T1490" i="1"/>
  <c r="T1489" i="1"/>
  <c r="T1488" i="1"/>
  <c r="T1487" i="1"/>
  <c r="T1486" i="1"/>
  <c r="T1485" i="1"/>
  <c r="T1484" i="1"/>
  <c r="T1483" i="1"/>
  <c r="T1482" i="1"/>
  <c r="T1481" i="1"/>
  <c r="T1480" i="1"/>
  <c r="T1479" i="1"/>
  <c r="T1478" i="1"/>
  <c r="T1477" i="1"/>
  <c r="T1476" i="1"/>
  <c r="T1475" i="1"/>
  <c r="T1474" i="1"/>
  <c r="T1473" i="1"/>
  <c r="T1472" i="1"/>
  <c r="T1471" i="1"/>
  <c r="T1470" i="1"/>
  <c r="T1469" i="1"/>
  <c r="T1468" i="1"/>
  <c r="T1467" i="1"/>
  <c r="T1466" i="1"/>
  <c r="T1465" i="1"/>
  <c r="T1464" i="1"/>
  <c r="T1463" i="1"/>
  <c r="T1462" i="1"/>
  <c r="T1461" i="1"/>
  <c r="T1460" i="1"/>
  <c r="T1459" i="1"/>
  <c r="T1458" i="1"/>
  <c r="T1457" i="1"/>
  <c r="T1456" i="1"/>
  <c r="T1455" i="1"/>
  <c r="T1454" i="1"/>
  <c r="T1453" i="1"/>
  <c r="T1452" i="1"/>
  <c r="T1451" i="1"/>
  <c r="T1450" i="1"/>
  <c r="T1449" i="1"/>
  <c r="T1448" i="1"/>
  <c r="T1447" i="1"/>
  <c r="T1446" i="1"/>
  <c r="T1445" i="1"/>
  <c r="T1444" i="1"/>
  <c r="T1443" i="1"/>
  <c r="T1442" i="1"/>
  <c r="T1441" i="1"/>
  <c r="T1440" i="1"/>
  <c r="T1439" i="1"/>
  <c r="T1438" i="1"/>
  <c r="T1437" i="1"/>
  <c r="T1436" i="1"/>
  <c r="T1435" i="1"/>
  <c r="T1434" i="1"/>
  <c r="T1433" i="1"/>
  <c r="T1432" i="1"/>
  <c r="T1431" i="1"/>
  <c r="T1430" i="1"/>
  <c r="T1429" i="1"/>
  <c r="T1428" i="1"/>
  <c r="T1427" i="1"/>
  <c r="T1426" i="1"/>
  <c r="T1425" i="1"/>
  <c r="T1424" i="1"/>
  <c r="T1423" i="1"/>
  <c r="T1422" i="1"/>
  <c r="T1421" i="1"/>
  <c r="T1420" i="1"/>
  <c r="T1419" i="1"/>
  <c r="T1418" i="1"/>
  <c r="T1417" i="1"/>
  <c r="T1416" i="1"/>
  <c r="T1415" i="1"/>
  <c r="T1414" i="1"/>
  <c r="T1413" i="1"/>
  <c r="T1412" i="1"/>
  <c r="T1411" i="1"/>
  <c r="T1410" i="1"/>
  <c r="T1409" i="1"/>
  <c r="T1408" i="1"/>
  <c r="T1407" i="1"/>
  <c r="T1406" i="1"/>
  <c r="T1405" i="1"/>
  <c r="T1404" i="1"/>
  <c r="T1403" i="1"/>
  <c r="T1402" i="1"/>
  <c r="T1401" i="1"/>
  <c r="T1400" i="1"/>
  <c r="T1399" i="1"/>
  <c r="T1398" i="1"/>
  <c r="T1397" i="1"/>
  <c r="T1396" i="1"/>
  <c r="T1395" i="1"/>
  <c r="T1394" i="1"/>
  <c r="T1393" i="1"/>
  <c r="T1392" i="1"/>
  <c r="T1391" i="1"/>
  <c r="T1390" i="1"/>
  <c r="T1389" i="1"/>
  <c r="T1388" i="1"/>
  <c r="T1387" i="1"/>
  <c r="T1386" i="1"/>
  <c r="T1385" i="1"/>
  <c r="T1384" i="1"/>
  <c r="T1383" i="1"/>
  <c r="T1382" i="1"/>
  <c r="T1381" i="1"/>
  <c r="T1380" i="1"/>
  <c r="T1379" i="1"/>
  <c r="T1378" i="1"/>
  <c r="T1377" i="1"/>
  <c r="T1376" i="1"/>
  <c r="T1375" i="1"/>
  <c r="T1374" i="1"/>
  <c r="T1373" i="1"/>
  <c r="T1372" i="1"/>
  <c r="T1371" i="1"/>
  <c r="T1370" i="1"/>
  <c r="T1369" i="1"/>
  <c r="T1368" i="1"/>
  <c r="T1367" i="1"/>
  <c r="T1366" i="1"/>
  <c r="T1365" i="1"/>
  <c r="T1364" i="1"/>
  <c r="T1363" i="1"/>
  <c r="T1362" i="1"/>
  <c r="T1361" i="1"/>
  <c r="T1360" i="1"/>
  <c r="T1359" i="1"/>
  <c r="T1358" i="1"/>
  <c r="T1357" i="1"/>
  <c r="T1356" i="1"/>
  <c r="T1355" i="1"/>
  <c r="T1354" i="1"/>
  <c r="T1353" i="1"/>
  <c r="T1352" i="1"/>
  <c r="T1351" i="1"/>
  <c r="T1350" i="1"/>
  <c r="T1349" i="1"/>
  <c r="T1348" i="1"/>
  <c r="T1347" i="1"/>
  <c r="T1346" i="1"/>
  <c r="T1345" i="1"/>
  <c r="T1344" i="1"/>
  <c r="T1343" i="1"/>
  <c r="T1342" i="1"/>
  <c r="T1341" i="1"/>
  <c r="T1340" i="1"/>
  <c r="T1339" i="1"/>
  <c r="T1338" i="1"/>
  <c r="T1337" i="1"/>
  <c r="T1336" i="1"/>
  <c r="T1335" i="1"/>
  <c r="T1334" i="1"/>
  <c r="T1333" i="1"/>
  <c r="T1332" i="1"/>
  <c r="T1331" i="1"/>
  <c r="T1330" i="1"/>
  <c r="T1329" i="1"/>
  <c r="T1328" i="1"/>
  <c r="T1327" i="1"/>
  <c r="T1326" i="1"/>
  <c r="T1325" i="1"/>
  <c r="T1324" i="1"/>
  <c r="T1323" i="1"/>
  <c r="T1322" i="1"/>
  <c r="T1321" i="1"/>
  <c r="T1320" i="1"/>
  <c r="T1319" i="1"/>
  <c r="T1318" i="1"/>
  <c r="T1317" i="1"/>
  <c r="T1316" i="1"/>
  <c r="T1315" i="1"/>
  <c r="T1314" i="1"/>
  <c r="T1313" i="1"/>
  <c r="T1312" i="1"/>
  <c r="T1311" i="1"/>
  <c r="T1310" i="1"/>
  <c r="T1309" i="1"/>
  <c r="T1308" i="1"/>
  <c r="T1307" i="1"/>
  <c r="T1306" i="1"/>
  <c r="T1305" i="1"/>
  <c r="T1304" i="1"/>
  <c r="T1303" i="1"/>
  <c r="T1302" i="1"/>
  <c r="T1301" i="1"/>
  <c r="T1300" i="1"/>
  <c r="T1299" i="1"/>
  <c r="T1298" i="1"/>
  <c r="T1297" i="1"/>
  <c r="T1296" i="1"/>
  <c r="T1295" i="1"/>
  <c r="T1294" i="1"/>
  <c r="T1293" i="1"/>
  <c r="T1292" i="1"/>
  <c r="T1291" i="1"/>
  <c r="T1290" i="1"/>
  <c r="T1289" i="1"/>
  <c r="T1288" i="1"/>
  <c r="T1287" i="1"/>
  <c r="T1286" i="1"/>
  <c r="T1285" i="1"/>
  <c r="T1284" i="1"/>
  <c r="T1283" i="1"/>
  <c r="T1282" i="1"/>
  <c r="T1281" i="1"/>
  <c r="T1280" i="1"/>
  <c r="T1279" i="1"/>
  <c r="T1278" i="1"/>
  <c r="T1277" i="1"/>
  <c r="T1276" i="1"/>
  <c r="T1275" i="1"/>
  <c r="T1274" i="1"/>
  <c r="T1273" i="1"/>
  <c r="T1272" i="1"/>
  <c r="T1271" i="1"/>
  <c r="T1270" i="1"/>
  <c r="T1269" i="1"/>
  <c r="T1268" i="1"/>
  <c r="T1267" i="1"/>
  <c r="T1266" i="1"/>
  <c r="T1265" i="1"/>
  <c r="T1264" i="1"/>
  <c r="T1263" i="1"/>
  <c r="T1262" i="1"/>
  <c r="T1261" i="1"/>
  <c r="T1260" i="1"/>
  <c r="T1259" i="1"/>
  <c r="T1258" i="1"/>
  <c r="T1257" i="1"/>
  <c r="T1256" i="1"/>
  <c r="T1255" i="1"/>
  <c r="T1254" i="1"/>
  <c r="T1253" i="1"/>
  <c r="T1252" i="1"/>
  <c r="T1251" i="1"/>
  <c r="T1250" i="1"/>
  <c r="T1249" i="1"/>
  <c r="T1248" i="1"/>
  <c r="T1247" i="1"/>
  <c r="T1246" i="1"/>
  <c r="T1245" i="1"/>
  <c r="T1244" i="1"/>
  <c r="T1243" i="1"/>
  <c r="T1242" i="1"/>
  <c r="T1241" i="1"/>
  <c r="T1240" i="1"/>
  <c r="T1239" i="1"/>
  <c r="T1238" i="1"/>
  <c r="T1237" i="1"/>
  <c r="T1236" i="1"/>
  <c r="T1235" i="1"/>
  <c r="T1234" i="1"/>
  <c r="T1233" i="1"/>
  <c r="T1232" i="1"/>
  <c r="T1231" i="1"/>
  <c r="T1230" i="1"/>
  <c r="T1229" i="1"/>
  <c r="T1228" i="1"/>
  <c r="T1227" i="1"/>
  <c r="T1226" i="1"/>
  <c r="T1225" i="1"/>
  <c r="T1224" i="1"/>
  <c r="T1223" i="1"/>
  <c r="T1222" i="1"/>
  <c r="T1221" i="1"/>
  <c r="T1220" i="1"/>
  <c r="T1219" i="1"/>
  <c r="T1218" i="1"/>
  <c r="T1217" i="1"/>
  <c r="T1216" i="1"/>
  <c r="T1215" i="1"/>
  <c r="T1214" i="1"/>
  <c r="T1213" i="1"/>
  <c r="T1212" i="1"/>
  <c r="T1211" i="1"/>
  <c r="T1210" i="1"/>
  <c r="T1209" i="1"/>
  <c r="T1208" i="1"/>
  <c r="T1207" i="1"/>
  <c r="T1206" i="1"/>
  <c r="T1205" i="1"/>
  <c r="T1204" i="1"/>
  <c r="T1203" i="1"/>
  <c r="T1202" i="1"/>
  <c r="T1201" i="1"/>
  <c r="T1200" i="1"/>
  <c r="T1199" i="1"/>
  <c r="T1198" i="1"/>
  <c r="T1197" i="1"/>
  <c r="T1196" i="1"/>
  <c r="T1195" i="1"/>
  <c r="T1194" i="1"/>
  <c r="T1193" i="1"/>
  <c r="T1192" i="1"/>
  <c r="T1191" i="1"/>
  <c r="T1190" i="1"/>
  <c r="T1189" i="1"/>
  <c r="T1188" i="1"/>
  <c r="T1187" i="1"/>
  <c r="T1186" i="1"/>
  <c r="T1185" i="1"/>
  <c r="T1184" i="1"/>
  <c r="T1183" i="1"/>
  <c r="T1182" i="1"/>
  <c r="T1181" i="1"/>
  <c r="T1180" i="1"/>
  <c r="T1179" i="1"/>
  <c r="T1178" i="1"/>
  <c r="T1177" i="1"/>
  <c r="T1176" i="1"/>
  <c r="T1175" i="1"/>
  <c r="T1174" i="1"/>
  <c r="T1173" i="1"/>
  <c r="T1172" i="1"/>
  <c r="T1171" i="1"/>
  <c r="T1170" i="1"/>
  <c r="T1169" i="1"/>
  <c r="T1168" i="1"/>
  <c r="T1167" i="1"/>
  <c r="T1166" i="1"/>
  <c r="T1165" i="1"/>
  <c r="T1164" i="1"/>
  <c r="T1163" i="1"/>
  <c r="T1162" i="1"/>
  <c r="T1161" i="1"/>
  <c r="T1160" i="1"/>
  <c r="T1159" i="1"/>
  <c r="T1158" i="1"/>
  <c r="T1157" i="1"/>
  <c r="T1156" i="1"/>
  <c r="T1155" i="1"/>
  <c r="T1154" i="1"/>
  <c r="T1153" i="1"/>
  <c r="T1152" i="1"/>
  <c r="T1151" i="1"/>
  <c r="T1150" i="1"/>
  <c r="T1149" i="1"/>
  <c r="T1148" i="1"/>
  <c r="T1147" i="1"/>
  <c r="T1146" i="1"/>
  <c r="T1145" i="1"/>
  <c r="T1144" i="1"/>
  <c r="T1143" i="1"/>
  <c r="T1142" i="1"/>
  <c r="T1141" i="1"/>
  <c r="T1140" i="1"/>
  <c r="T1139" i="1"/>
  <c r="T1138" i="1"/>
  <c r="T1137" i="1"/>
  <c r="T1136" i="1"/>
  <c r="T1135" i="1"/>
  <c r="T1134" i="1"/>
  <c r="T1133" i="1"/>
  <c r="T1132" i="1"/>
  <c r="T1131" i="1"/>
  <c r="T1130" i="1"/>
  <c r="T1129" i="1"/>
  <c r="T1128" i="1"/>
  <c r="T1127" i="1"/>
  <c r="T1126" i="1"/>
  <c r="T1125" i="1"/>
  <c r="T1124" i="1"/>
  <c r="T1123" i="1"/>
  <c r="T1122" i="1"/>
  <c r="T1121" i="1"/>
  <c r="T1120" i="1"/>
  <c r="T1119" i="1"/>
  <c r="T1118" i="1"/>
  <c r="T1117" i="1"/>
  <c r="T1116" i="1"/>
  <c r="T1115" i="1"/>
  <c r="T1114" i="1"/>
  <c r="T1113" i="1"/>
  <c r="T1112" i="1"/>
  <c r="T1111" i="1"/>
  <c r="T1110" i="1"/>
  <c r="T1109" i="1"/>
  <c r="T1108" i="1"/>
  <c r="T1107" i="1"/>
  <c r="T1106" i="1"/>
  <c r="T1105" i="1"/>
  <c r="T1104" i="1"/>
  <c r="T1103" i="1"/>
  <c r="T1102" i="1"/>
  <c r="T1101" i="1"/>
  <c r="T1100" i="1"/>
  <c r="T1099" i="1"/>
  <c r="T1098" i="1"/>
  <c r="T1097" i="1"/>
  <c r="T1096" i="1"/>
  <c r="T1095" i="1"/>
  <c r="T1094" i="1"/>
  <c r="T1093" i="1"/>
  <c r="T1092" i="1"/>
  <c r="T1091" i="1"/>
  <c r="T1090" i="1"/>
  <c r="T1089" i="1"/>
  <c r="T1088" i="1"/>
  <c r="T1087" i="1"/>
  <c r="T1086" i="1"/>
  <c r="T1085" i="1"/>
  <c r="T1084" i="1"/>
  <c r="T1083" i="1"/>
  <c r="T1082" i="1"/>
  <c r="T1081" i="1"/>
  <c r="T1080" i="1"/>
  <c r="T1079" i="1"/>
  <c r="T1078" i="1"/>
  <c r="T1077" i="1"/>
  <c r="T1076" i="1"/>
  <c r="T1075" i="1"/>
  <c r="T1074" i="1"/>
  <c r="T1073" i="1"/>
  <c r="T1072" i="1"/>
  <c r="T1071" i="1"/>
  <c r="T1070" i="1"/>
  <c r="T1069" i="1"/>
  <c r="T1068" i="1"/>
  <c r="T1067" i="1"/>
  <c r="T1066" i="1"/>
  <c r="T1065" i="1"/>
  <c r="T1064" i="1"/>
  <c r="T1063" i="1"/>
  <c r="T1062" i="1"/>
  <c r="T1061" i="1"/>
  <c r="T1060" i="1"/>
  <c r="T1059" i="1"/>
  <c r="T1058" i="1"/>
  <c r="T1057" i="1"/>
  <c r="T1056" i="1"/>
  <c r="T1055" i="1"/>
  <c r="T1054" i="1"/>
  <c r="T1053" i="1"/>
  <c r="T1052" i="1"/>
  <c r="T1051" i="1"/>
  <c r="T1050" i="1"/>
  <c r="T1049" i="1"/>
  <c r="T1048" i="1"/>
  <c r="T1047" i="1"/>
  <c r="T1046" i="1"/>
  <c r="T1045" i="1"/>
  <c r="T1044" i="1"/>
  <c r="T1043" i="1"/>
  <c r="T1042" i="1"/>
  <c r="T1041" i="1"/>
  <c r="T1040" i="1"/>
  <c r="T1039" i="1"/>
  <c r="T1038" i="1"/>
  <c r="T1037" i="1"/>
  <c r="T1036" i="1"/>
  <c r="T1035" i="1"/>
  <c r="T1034" i="1"/>
  <c r="T1033" i="1"/>
  <c r="T1032" i="1"/>
  <c r="T1031" i="1"/>
  <c r="T1030" i="1"/>
  <c r="T1029" i="1"/>
  <c r="T1028" i="1"/>
  <c r="T1027" i="1"/>
  <c r="T1026" i="1"/>
  <c r="T1025" i="1"/>
  <c r="T1024" i="1"/>
  <c r="T1023" i="1"/>
  <c r="T1022" i="1"/>
  <c r="T1021" i="1"/>
  <c r="T1020" i="1"/>
  <c r="T1019" i="1"/>
  <c r="T1018" i="1"/>
  <c r="T1017" i="1"/>
  <c r="T1016" i="1"/>
  <c r="T1015" i="1"/>
  <c r="T1014" i="1"/>
  <c r="T1013" i="1"/>
  <c r="T1012" i="1"/>
  <c r="T1011" i="1"/>
  <c r="T1010" i="1"/>
  <c r="T1009" i="1"/>
  <c r="T1008" i="1"/>
  <c r="T1007" i="1"/>
  <c r="T1006" i="1"/>
  <c r="T1005" i="1"/>
  <c r="T1004" i="1"/>
  <c r="T1003" i="1"/>
  <c r="T1002" i="1"/>
  <c r="T1001" i="1"/>
  <c r="T1000" i="1"/>
  <c r="T999" i="1"/>
  <c r="T998" i="1"/>
  <c r="T997" i="1"/>
  <c r="T996" i="1"/>
  <c r="T995" i="1"/>
  <c r="T994" i="1"/>
  <c r="T993" i="1"/>
  <c r="T992" i="1"/>
  <c r="T991" i="1"/>
  <c r="T990" i="1"/>
  <c r="T989" i="1"/>
  <c r="T988" i="1"/>
  <c r="T987" i="1"/>
  <c r="T986" i="1"/>
  <c r="T985" i="1"/>
  <c r="T984" i="1"/>
  <c r="T983" i="1"/>
  <c r="T982" i="1"/>
  <c r="T981" i="1"/>
  <c r="T980" i="1"/>
  <c r="T979" i="1"/>
  <c r="T978" i="1"/>
  <c r="T977" i="1"/>
  <c r="T976" i="1"/>
  <c r="T975" i="1"/>
  <c r="T974" i="1"/>
  <c r="T973" i="1"/>
  <c r="T972" i="1"/>
  <c r="T971" i="1"/>
  <c r="T970" i="1"/>
  <c r="T969" i="1"/>
  <c r="T968" i="1"/>
  <c r="T967" i="1"/>
  <c r="T966" i="1"/>
  <c r="T965" i="1"/>
  <c r="T964" i="1"/>
  <c r="T963" i="1"/>
  <c r="T962" i="1"/>
  <c r="T961" i="1"/>
  <c r="T960" i="1"/>
  <c r="T959" i="1"/>
  <c r="T958" i="1"/>
  <c r="T957" i="1"/>
  <c r="T956" i="1"/>
  <c r="T955" i="1"/>
  <c r="T954" i="1"/>
  <c r="T953" i="1"/>
  <c r="T952" i="1"/>
  <c r="T951" i="1"/>
  <c r="T950" i="1"/>
  <c r="T949" i="1"/>
  <c r="T948" i="1"/>
  <c r="T947" i="1"/>
  <c r="T946" i="1"/>
  <c r="T945" i="1"/>
  <c r="T944" i="1"/>
  <c r="T943" i="1"/>
  <c r="T942" i="1"/>
  <c r="T941" i="1"/>
  <c r="T940" i="1"/>
  <c r="T939" i="1"/>
  <c r="T938" i="1"/>
  <c r="T937" i="1"/>
  <c r="T936" i="1"/>
  <c r="T935" i="1"/>
  <c r="T934" i="1"/>
  <c r="T933" i="1"/>
  <c r="T932" i="1"/>
  <c r="T931" i="1"/>
  <c r="T930" i="1"/>
  <c r="T929" i="1"/>
  <c r="T928" i="1"/>
  <c r="T927" i="1"/>
  <c r="T926" i="1"/>
  <c r="T925" i="1"/>
  <c r="T924" i="1"/>
  <c r="T923" i="1"/>
  <c r="T922" i="1"/>
  <c r="T921" i="1"/>
  <c r="T920" i="1"/>
  <c r="T919" i="1"/>
  <c r="T918" i="1"/>
  <c r="T917" i="1"/>
  <c r="T916" i="1"/>
  <c r="T915" i="1"/>
  <c r="T914" i="1"/>
  <c r="T913" i="1"/>
  <c r="T912" i="1"/>
  <c r="T911" i="1"/>
  <c r="T910" i="1"/>
  <c r="T909" i="1"/>
  <c r="T908" i="1"/>
  <c r="T907" i="1"/>
  <c r="T906" i="1"/>
  <c r="T905" i="1"/>
  <c r="T904" i="1"/>
  <c r="T903" i="1"/>
  <c r="T902" i="1"/>
  <c r="T901" i="1"/>
  <c r="T900" i="1"/>
  <c r="T899" i="1"/>
  <c r="T898" i="1"/>
  <c r="T897" i="1"/>
  <c r="T896" i="1"/>
  <c r="T895" i="1"/>
  <c r="T894" i="1"/>
  <c r="T893" i="1"/>
  <c r="T892" i="1"/>
  <c r="T891" i="1"/>
  <c r="T890" i="1"/>
  <c r="T889" i="1"/>
  <c r="T888" i="1"/>
  <c r="T887" i="1"/>
  <c r="T886" i="1"/>
  <c r="T885" i="1"/>
  <c r="T884" i="1"/>
  <c r="T883" i="1"/>
  <c r="T882" i="1"/>
  <c r="T881" i="1"/>
  <c r="T880" i="1"/>
  <c r="T879" i="1"/>
  <c r="T878" i="1"/>
  <c r="T877" i="1"/>
  <c r="T876" i="1"/>
  <c r="T875" i="1"/>
  <c r="T874" i="1"/>
  <c r="T873" i="1"/>
  <c r="T872" i="1"/>
  <c r="T871" i="1"/>
  <c r="T870" i="1"/>
  <c r="T869" i="1"/>
  <c r="T868" i="1"/>
  <c r="T867" i="1"/>
  <c r="T866" i="1"/>
  <c r="T865" i="1"/>
  <c r="T864" i="1"/>
  <c r="T863" i="1"/>
  <c r="T862" i="1"/>
  <c r="T861" i="1"/>
  <c r="T860" i="1"/>
  <c r="T859" i="1"/>
  <c r="T858" i="1"/>
  <c r="T857" i="1"/>
  <c r="T856" i="1"/>
  <c r="T855" i="1"/>
  <c r="T854" i="1"/>
  <c r="T853" i="1"/>
  <c r="T852" i="1"/>
  <c r="T851" i="1"/>
  <c r="T850" i="1"/>
  <c r="T849" i="1"/>
  <c r="T848" i="1"/>
  <c r="T847" i="1"/>
  <c r="T846" i="1"/>
  <c r="T845" i="1"/>
  <c r="T844" i="1"/>
  <c r="T843" i="1"/>
  <c r="T842" i="1"/>
  <c r="T841" i="1"/>
  <c r="T840" i="1"/>
  <c r="T839" i="1"/>
  <c r="T838" i="1"/>
  <c r="T837" i="1"/>
  <c r="T836" i="1"/>
  <c r="T835" i="1"/>
  <c r="T834" i="1"/>
  <c r="T833" i="1"/>
  <c r="T832" i="1"/>
  <c r="T831" i="1"/>
  <c r="T830" i="1"/>
  <c r="T829" i="1"/>
  <c r="T828" i="1"/>
  <c r="T827" i="1"/>
  <c r="T826" i="1"/>
  <c r="T825" i="1"/>
  <c r="T824" i="1"/>
  <c r="T823" i="1"/>
  <c r="T822" i="1"/>
  <c r="T821" i="1"/>
  <c r="T820" i="1"/>
  <c r="T819" i="1"/>
  <c r="T818" i="1"/>
  <c r="T817" i="1"/>
  <c r="T816" i="1"/>
  <c r="T815" i="1"/>
  <c r="T814" i="1"/>
  <c r="T813" i="1"/>
  <c r="T812" i="1"/>
  <c r="T811" i="1"/>
  <c r="T810" i="1"/>
  <c r="T809" i="1"/>
  <c r="T808" i="1"/>
  <c r="T807" i="1"/>
  <c r="T806" i="1"/>
  <c r="T805" i="1"/>
  <c r="T804" i="1"/>
  <c r="T803" i="1"/>
  <c r="T802" i="1"/>
  <c r="T801" i="1"/>
  <c r="T800" i="1"/>
  <c r="T799" i="1"/>
  <c r="T798" i="1"/>
  <c r="T797" i="1"/>
  <c r="T796" i="1"/>
  <c r="T795" i="1"/>
  <c r="T794" i="1"/>
  <c r="T793" i="1"/>
  <c r="T792" i="1"/>
  <c r="T791" i="1"/>
  <c r="T790" i="1"/>
  <c r="T789" i="1"/>
  <c r="T788" i="1"/>
  <c r="T787" i="1"/>
  <c r="T786" i="1"/>
  <c r="T785" i="1"/>
  <c r="T784" i="1"/>
  <c r="T783" i="1"/>
  <c r="T782" i="1"/>
  <c r="T781" i="1"/>
  <c r="T780" i="1"/>
  <c r="T779" i="1"/>
  <c r="T778" i="1"/>
  <c r="T777" i="1"/>
  <c r="T776" i="1"/>
  <c r="T775" i="1"/>
  <c r="T774" i="1"/>
  <c r="T773" i="1"/>
  <c r="T772" i="1"/>
  <c r="T771" i="1"/>
  <c r="T770" i="1"/>
  <c r="T769" i="1"/>
  <c r="T768" i="1"/>
  <c r="T767" i="1"/>
  <c r="T766" i="1"/>
  <c r="T765" i="1"/>
  <c r="T764" i="1"/>
  <c r="T763" i="1"/>
  <c r="T762" i="1"/>
  <c r="T761" i="1"/>
  <c r="T760" i="1"/>
  <c r="T759" i="1"/>
  <c r="T758" i="1"/>
  <c r="T757" i="1"/>
  <c r="T756" i="1"/>
  <c r="T755" i="1"/>
  <c r="T754" i="1"/>
  <c r="T753" i="1"/>
  <c r="T752" i="1"/>
  <c r="T751" i="1"/>
  <c r="T750" i="1"/>
  <c r="T749" i="1"/>
  <c r="T748" i="1"/>
  <c r="T747" i="1"/>
  <c r="T746" i="1"/>
  <c r="T745" i="1"/>
  <c r="T744" i="1"/>
  <c r="T743" i="1"/>
  <c r="T742" i="1"/>
  <c r="T741" i="1"/>
  <c r="T740" i="1"/>
  <c r="T739" i="1"/>
  <c r="T738" i="1"/>
  <c r="T737" i="1"/>
  <c r="T736" i="1"/>
  <c r="T735" i="1"/>
  <c r="T734" i="1"/>
  <c r="T733" i="1"/>
  <c r="T732" i="1"/>
  <c r="T731" i="1"/>
  <c r="T730" i="1"/>
  <c r="T729" i="1"/>
  <c r="T728" i="1"/>
  <c r="T727" i="1"/>
  <c r="T726" i="1"/>
  <c r="T725" i="1"/>
  <c r="T724" i="1"/>
  <c r="T723" i="1"/>
  <c r="T722" i="1"/>
  <c r="T721" i="1"/>
  <c r="T720" i="1"/>
  <c r="T719" i="1"/>
  <c r="T718" i="1"/>
  <c r="T717" i="1"/>
  <c r="T716" i="1"/>
  <c r="T715" i="1"/>
  <c r="T714" i="1"/>
  <c r="T713" i="1"/>
  <c r="T712" i="1"/>
  <c r="T711" i="1"/>
  <c r="T710" i="1"/>
  <c r="T709" i="1"/>
  <c r="T708" i="1"/>
  <c r="T707" i="1"/>
  <c r="T706" i="1"/>
  <c r="T705" i="1"/>
  <c r="T704" i="1"/>
  <c r="T703" i="1"/>
  <c r="T702" i="1"/>
  <c r="T701" i="1"/>
  <c r="T700" i="1"/>
  <c r="T699" i="1"/>
  <c r="T698" i="1"/>
  <c r="T697" i="1"/>
  <c r="T696" i="1"/>
  <c r="T695" i="1"/>
  <c r="T694" i="1"/>
  <c r="T693" i="1"/>
  <c r="T692" i="1"/>
  <c r="T691" i="1"/>
  <c r="T690" i="1"/>
  <c r="T689" i="1"/>
  <c r="T688" i="1"/>
  <c r="T687" i="1"/>
  <c r="T686" i="1"/>
  <c r="T685" i="1"/>
  <c r="T684" i="1"/>
  <c r="T683" i="1"/>
  <c r="T682" i="1"/>
  <c r="T681" i="1"/>
  <c r="T680" i="1"/>
  <c r="T679" i="1"/>
  <c r="T678" i="1"/>
  <c r="T677" i="1"/>
  <c r="T676" i="1"/>
  <c r="T675" i="1"/>
  <c r="T674" i="1"/>
  <c r="T673" i="1"/>
  <c r="T672" i="1"/>
  <c r="T671" i="1"/>
  <c r="T670" i="1"/>
  <c r="T669" i="1"/>
  <c r="T668" i="1"/>
  <c r="T667" i="1"/>
  <c r="T666" i="1"/>
  <c r="T665" i="1"/>
  <c r="T664" i="1"/>
  <c r="T663" i="1"/>
  <c r="T662" i="1"/>
  <c r="T661" i="1"/>
  <c r="T660" i="1"/>
  <c r="T659" i="1"/>
  <c r="T658" i="1"/>
  <c r="T657" i="1"/>
  <c r="T656" i="1"/>
  <c r="T655" i="1"/>
  <c r="T654" i="1"/>
  <c r="T653" i="1"/>
  <c r="T652" i="1"/>
  <c r="T651" i="1"/>
  <c r="T650" i="1"/>
  <c r="T649" i="1"/>
  <c r="T648" i="1"/>
  <c r="T647" i="1"/>
  <c r="T646" i="1"/>
  <c r="T645" i="1"/>
  <c r="T644" i="1"/>
  <c r="T643" i="1"/>
  <c r="T642" i="1"/>
  <c r="T641" i="1"/>
  <c r="T640" i="1"/>
  <c r="T639" i="1"/>
  <c r="T638" i="1"/>
  <c r="T637" i="1"/>
  <c r="T636" i="1"/>
  <c r="T635" i="1"/>
  <c r="T634" i="1"/>
  <c r="T633" i="1"/>
  <c r="T632" i="1"/>
  <c r="T631" i="1"/>
  <c r="T630" i="1"/>
  <c r="T629" i="1"/>
  <c r="T628" i="1"/>
  <c r="T627" i="1"/>
  <c r="T626" i="1"/>
  <c r="T625" i="1"/>
  <c r="T624" i="1"/>
  <c r="T623" i="1"/>
  <c r="T622" i="1"/>
  <c r="T621" i="1"/>
  <c r="T620" i="1"/>
  <c r="T619" i="1"/>
  <c r="T618" i="1"/>
  <c r="T617" i="1"/>
  <c r="T616" i="1"/>
  <c r="T615" i="1"/>
  <c r="T614" i="1"/>
  <c r="T613" i="1"/>
  <c r="T612" i="1"/>
  <c r="T611" i="1"/>
  <c r="T610" i="1"/>
  <c r="T609" i="1"/>
  <c r="T608" i="1"/>
  <c r="T607" i="1"/>
  <c r="T606" i="1"/>
  <c r="T605" i="1"/>
  <c r="T604" i="1"/>
  <c r="T603" i="1"/>
  <c r="T602" i="1"/>
  <c r="T601" i="1"/>
  <c r="T600" i="1"/>
  <c r="T599" i="1"/>
  <c r="T598" i="1"/>
  <c r="T597" i="1"/>
  <c r="T596" i="1"/>
  <c r="T595" i="1"/>
  <c r="T594" i="1"/>
  <c r="T593" i="1"/>
  <c r="T592" i="1"/>
  <c r="T591" i="1"/>
  <c r="T590" i="1"/>
  <c r="T589" i="1"/>
  <c r="T588" i="1"/>
  <c r="T587" i="1"/>
  <c r="T586" i="1"/>
  <c r="T585" i="1"/>
  <c r="T584" i="1"/>
  <c r="T583" i="1"/>
  <c r="T582" i="1"/>
  <c r="T581" i="1"/>
  <c r="T580" i="1"/>
  <c r="T579" i="1"/>
  <c r="T578" i="1"/>
  <c r="T577" i="1"/>
  <c r="T576" i="1"/>
  <c r="T575" i="1"/>
  <c r="T574" i="1"/>
  <c r="T573" i="1"/>
  <c r="T572" i="1"/>
  <c r="T571" i="1"/>
  <c r="T570" i="1"/>
  <c r="T569" i="1"/>
  <c r="T568" i="1"/>
  <c r="T567" i="1"/>
  <c r="T566" i="1"/>
  <c r="T565" i="1"/>
  <c r="T564" i="1"/>
  <c r="T563" i="1"/>
  <c r="T562" i="1"/>
  <c r="T561" i="1"/>
  <c r="T560" i="1"/>
  <c r="T559" i="1"/>
  <c r="T558" i="1"/>
  <c r="T557" i="1"/>
  <c r="T556" i="1"/>
  <c r="T555" i="1"/>
  <c r="T554" i="1"/>
  <c r="T553" i="1"/>
  <c r="T552" i="1"/>
  <c r="T551" i="1"/>
  <c r="T550" i="1"/>
  <c r="T549" i="1"/>
  <c r="T548" i="1"/>
  <c r="T547" i="1"/>
  <c r="T546" i="1"/>
  <c r="T545" i="1"/>
  <c r="T544" i="1"/>
  <c r="T543" i="1"/>
  <c r="T542" i="1"/>
  <c r="T541" i="1"/>
  <c r="T540" i="1"/>
  <c r="T539" i="1"/>
  <c r="T538" i="1"/>
  <c r="T537" i="1"/>
  <c r="T536" i="1"/>
  <c r="T535" i="1"/>
  <c r="T534" i="1"/>
  <c r="T533" i="1"/>
  <c r="T532" i="1"/>
  <c r="T531" i="1"/>
  <c r="T530" i="1"/>
  <c r="T529" i="1"/>
  <c r="T528" i="1"/>
  <c r="T527" i="1"/>
  <c r="T526" i="1"/>
  <c r="T525" i="1"/>
  <c r="T524" i="1"/>
  <c r="T523" i="1"/>
  <c r="T522" i="1"/>
  <c r="T521" i="1"/>
  <c r="T520" i="1"/>
  <c r="T519" i="1"/>
  <c r="T518" i="1"/>
  <c r="T517" i="1"/>
  <c r="T516" i="1"/>
  <c r="T515" i="1"/>
  <c r="T514" i="1"/>
  <c r="T513" i="1"/>
  <c r="T512" i="1"/>
  <c r="T511" i="1"/>
  <c r="T510" i="1"/>
  <c r="T509" i="1"/>
  <c r="T508" i="1"/>
  <c r="T507" i="1"/>
  <c r="T506" i="1"/>
  <c r="T505" i="1"/>
  <c r="T504" i="1"/>
  <c r="T503" i="1"/>
  <c r="T502" i="1"/>
  <c r="T501" i="1"/>
  <c r="T500" i="1"/>
  <c r="T499" i="1"/>
  <c r="T498" i="1"/>
  <c r="T497" i="1"/>
  <c r="T496" i="1"/>
  <c r="T495" i="1"/>
  <c r="T494" i="1"/>
  <c r="T493" i="1"/>
  <c r="T492" i="1"/>
  <c r="T491" i="1"/>
  <c r="T490" i="1"/>
  <c r="T489" i="1"/>
  <c r="T488" i="1"/>
  <c r="T487" i="1"/>
  <c r="T486" i="1"/>
  <c r="T485" i="1"/>
  <c r="T484" i="1"/>
  <c r="T483" i="1"/>
  <c r="T482" i="1"/>
  <c r="T481" i="1"/>
  <c r="T480" i="1"/>
  <c r="T479" i="1"/>
  <c r="T478" i="1"/>
  <c r="T477" i="1"/>
  <c r="T476" i="1"/>
  <c r="T475" i="1"/>
  <c r="T474" i="1"/>
  <c r="T473" i="1"/>
  <c r="T472" i="1"/>
  <c r="T471" i="1"/>
  <c r="T470" i="1"/>
  <c r="T469" i="1"/>
  <c r="T468" i="1"/>
  <c r="T467" i="1"/>
  <c r="T466" i="1"/>
  <c r="T465" i="1"/>
  <c r="T464" i="1"/>
  <c r="T463" i="1"/>
  <c r="T462" i="1"/>
  <c r="T461" i="1"/>
  <c r="T460" i="1"/>
  <c r="T459" i="1"/>
  <c r="T458" i="1"/>
  <c r="T457" i="1"/>
  <c r="T456" i="1"/>
  <c r="T455" i="1"/>
  <c r="T454" i="1"/>
  <c r="T453" i="1"/>
  <c r="T452" i="1"/>
  <c r="T451" i="1"/>
  <c r="T450" i="1"/>
  <c r="T449" i="1"/>
  <c r="T448" i="1"/>
  <c r="T447" i="1"/>
  <c r="T446" i="1"/>
  <c r="T445" i="1"/>
  <c r="T444" i="1"/>
  <c r="T443" i="1"/>
  <c r="T442" i="1"/>
  <c r="T441" i="1"/>
  <c r="T440" i="1"/>
  <c r="T439" i="1"/>
  <c r="T438" i="1"/>
  <c r="T437" i="1"/>
  <c r="T436" i="1"/>
  <c r="T435" i="1"/>
  <c r="T434" i="1"/>
  <c r="T433" i="1"/>
  <c r="T432" i="1"/>
  <c r="T431" i="1"/>
  <c r="T430" i="1"/>
  <c r="T429" i="1"/>
  <c r="T428" i="1"/>
  <c r="T427" i="1"/>
  <c r="T426" i="1"/>
  <c r="T425" i="1"/>
  <c r="T424" i="1"/>
  <c r="T423" i="1"/>
  <c r="T422" i="1"/>
  <c r="T421" i="1"/>
  <c r="T420" i="1"/>
  <c r="T419" i="1"/>
  <c r="T418" i="1"/>
  <c r="T417" i="1"/>
  <c r="T416" i="1"/>
  <c r="T415" i="1"/>
  <c r="T414" i="1"/>
  <c r="T413" i="1"/>
  <c r="T412" i="1"/>
  <c r="T411" i="1"/>
  <c r="T410" i="1"/>
  <c r="T409" i="1"/>
  <c r="T408" i="1"/>
  <c r="T407" i="1"/>
  <c r="T406" i="1"/>
  <c r="T405" i="1"/>
  <c r="T404" i="1"/>
  <c r="T403" i="1"/>
  <c r="T402" i="1"/>
  <c r="T401" i="1"/>
  <c r="T400" i="1"/>
  <c r="T399" i="1"/>
  <c r="T398" i="1"/>
  <c r="T397" i="1"/>
  <c r="T396" i="1"/>
  <c r="T395" i="1"/>
  <c r="T394" i="1"/>
  <c r="T393" i="1"/>
  <c r="T392" i="1"/>
  <c r="T391" i="1"/>
  <c r="T390" i="1"/>
  <c r="T389" i="1"/>
  <c r="T388" i="1"/>
  <c r="T387" i="1"/>
  <c r="T386" i="1"/>
  <c r="T385" i="1"/>
  <c r="T384" i="1"/>
  <c r="T383" i="1"/>
  <c r="T382" i="1"/>
  <c r="T381" i="1"/>
  <c r="T380" i="1"/>
  <c r="T379" i="1"/>
  <c r="T378" i="1"/>
  <c r="T377" i="1"/>
  <c r="T376" i="1"/>
  <c r="T375" i="1"/>
  <c r="T374" i="1"/>
  <c r="T373" i="1"/>
  <c r="T372" i="1"/>
  <c r="T371" i="1"/>
  <c r="T370" i="1"/>
  <c r="T369" i="1"/>
  <c r="T368" i="1"/>
  <c r="T367" i="1"/>
  <c r="T366" i="1"/>
  <c r="T365" i="1"/>
  <c r="T364" i="1"/>
  <c r="T363" i="1"/>
  <c r="T362" i="1"/>
  <c r="T361" i="1"/>
  <c r="T360" i="1"/>
  <c r="T359" i="1"/>
  <c r="T358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T2" i="1"/>
  <c r="S4029" i="1"/>
  <c r="R4029" i="1"/>
  <c r="Q4029" i="1"/>
  <c r="P4029" i="1"/>
  <c r="S4028" i="1"/>
  <c r="R4028" i="1"/>
  <c r="Q4028" i="1"/>
  <c r="P4028" i="1"/>
  <c r="S4027" i="1"/>
  <c r="R4027" i="1"/>
  <c r="Q4027" i="1"/>
  <c r="P4027" i="1"/>
  <c r="S4026" i="1"/>
  <c r="R4026" i="1"/>
  <c r="Q4026" i="1"/>
  <c r="P4026" i="1"/>
  <c r="S4025" i="1"/>
  <c r="R4025" i="1"/>
  <c r="Q4025" i="1"/>
  <c r="P4025" i="1"/>
  <c r="S4024" i="1"/>
  <c r="R4024" i="1"/>
  <c r="Q4024" i="1"/>
  <c r="P4024" i="1"/>
  <c r="S4023" i="1"/>
  <c r="R4023" i="1"/>
  <c r="Q4023" i="1"/>
  <c r="P4023" i="1"/>
  <c r="S4022" i="1"/>
  <c r="R4022" i="1"/>
  <c r="Q4022" i="1"/>
  <c r="P4022" i="1"/>
  <c r="S4021" i="1"/>
  <c r="R4021" i="1"/>
  <c r="Q4021" i="1"/>
  <c r="P4021" i="1"/>
  <c r="S4020" i="1"/>
  <c r="R4020" i="1"/>
  <c r="Q4020" i="1"/>
  <c r="P4020" i="1"/>
  <c r="S4019" i="1"/>
  <c r="R4019" i="1"/>
  <c r="Q4019" i="1"/>
  <c r="P4019" i="1"/>
  <c r="S4018" i="1"/>
  <c r="R4018" i="1"/>
  <c r="Q4018" i="1"/>
  <c r="P4018" i="1"/>
  <c r="S4017" i="1"/>
  <c r="R4017" i="1"/>
  <c r="Q4017" i="1"/>
  <c r="P4017" i="1"/>
  <c r="S4016" i="1"/>
  <c r="R4016" i="1"/>
  <c r="Q4016" i="1"/>
  <c r="P4016" i="1"/>
  <c r="S4015" i="1"/>
  <c r="R4015" i="1"/>
  <c r="Q4015" i="1"/>
  <c r="P4015" i="1"/>
  <c r="S4014" i="1"/>
  <c r="R4014" i="1"/>
  <c r="Q4014" i="1"/>
  <c r="P4014" i="1"/>
  <c r="S4013" i="1"/>
  <c r="R4013" i="1"/>
  <c r="Q4013" i="1"/>
  <c r="P4013" i="1"/>
  <c r="S4012" i="1"/>
  <c r="R4012" i="1"/>
  <c r="Q4012" i="1"/>
  <c r="P4012" i="1"/>
  <c r="S4011" i="1"/>
  <c r="R4011" i="1"/>
  <c r="Q4011" i="1"/>
  <c r="P4011" i="1"/>
  <c r="S4010" i="1"/>
  <c r="R4010" i="1"/>
  <c r="Q4010" i="1"/>
  <c r="P4010" i="1"/>
  <c r="S4009" i="1"/>
  <c r="R4009" i="1"/>
  <c r="Q4009" i="1"/>
  <c r="P4009" i="1"/>
  <c r="S4008" i="1"/>
  <c r="R4008" i="1"/>
  <c r="Q4008" i="1"/>
  <c r="P4008" i="1"/>
  <c r="S4007" i="1"/>
  <c r="R4007" i="1"/>
  <c r="Q4007" i="1"/>
  <c r="P4007" i="1"/>
  <c r="S4006" i="1"/>
  <c r="R4006" i="1"/>
  <c r="Q4006" i="1"/>
  <c r="P4006" i="1"/>
  <c r="S4005" i="1"/>
  <c r="R4005" i="1"/>
  <c r="Q4005" i="1"/>
  <c r="P4005" i="1"/>
  <c r="S4004" i="1"/>
  <c r="R4004" i="1"/>
  <c r="Q4004" i="1"/>
  <c r="P4004" i="1"/>
  <c r="S4003" i="1"/>
  <c r="R4003" i="1"/>
  <c r="Q4003" i="1"/>
  <c r="P4003" i="1"/>
  <c r="S4002" i="1"/>
  <c r="R4002" i="1"/>
  <c r="Q4002" i="1"/>
  <c r="P4002" i="1"/>
  <c r="S4001" i="1"/>
  <c r="R4001" i="1"/>
  <c r="Q4001" i="1"/>
  <c r="P4001" i="1"/>
  <c r="S4000" i="1"/>
  <c r="R4000" i="1"/>
  <c r="Q4000" i="1"/>
  <c r="P4000" i="1"/>
  <c r="S3999" i="1"/>
  <c r="R3999" i="1"/>
  <c r="Q3999" i="1"/>
  <c r="P3999" i="1"/>
  <c r="S3998" i="1"/>
  <c r="R3998" i="1"/>
  <c r="Q3998" i="1"/>
  <c r="P3998" i="1"/>
  <c r="S3997" i="1"/>
  <c r="R3997" i="1"/>
  <c r="Q3997" i="1"/>
  <c r="P3997" i="1"/>
  <c r="S3996" i="1"/>
  <c r="R3996" i="1"/>
  <c r="Q3996" i="1"/>
  <c r="P3996" i="1"/>
  <c r="S3995" i="1"/>
  <c r="R3995" i="1"/>
  <c r="Q3995" i="1"/>
  <c r="P3995" i="1"/>
  <c r="S3994" i="1"/>
  <c r="R3994" i="1"/>
  <c r="Q3994" i="1"/>
  <c r="P3994" i="1"/>
  <c r="S3993" i="1"/>
  <c r="R3993" i="1"/>
  <c r="Q3993" i="1"/>
  <c r="P3993" i="1"/>
  <c r="S3992" i="1"/>
  <c r="R3992" i="1"/>
  <c r="Q3992" i="1"/>
  <c r="P3992" i="1"/>
  <c r="S3991" i="1"/>
  <c r="R3991" i="1"/>
  <c r="Q3991" i="1"/>
  <c r="P3991" i="1"/>
  <c r="S3990" i="1"/>
  <c r="R3990" i="1"/>
  <c r="Q3990" i="1"/>
  <c r="P3990" i="1"/>
  <c r="S3989" i="1"/>
  <c r="R3989" i="1"/>
  <c r="Q3989" i="1"/>
  <c r="P3989" i="1"/>
  <c r="S3988" i="1"/>
  <c r="R3988" i="1"/>
  <c r="Q3988" i="1"/>
  <c r="P3988" i="1"/>
  <c r="S3987" i="1"/>
  <c r="R3987" i="1"/>
  <c r="Q3987" i="1"/>
  <c r="P3987" i="1"/>
  <c r="S3986" i="1"/>
  <c r="R3986" i="1"/>
  <c r="Q3986" i="1"/>
  <c r="P3986" i="1"/>
  <c r="S3985" i="1"/>
  <c r="R3985" i="1"/>
  <c r="Q3985" i="1"/>
  <c r="P3985" i="1"/>
  <c r="S3984" i="1"/>
  <c r="R3984" i="1"/>
  <c r="Q3984" i="1"/>
  <c r="P3984" i="1"/>
  <c r="S3983" i="1"/>
  <c r="R3983" i="1"/>
  <c r="Q3983" i="1"/>
  <c r="P3983" i="1"/>
  <c r="S3982" i="1"/>
  <c r="R3982" i="1"/>
  <c r="Q3982" i="1"/>
  <c r="P3982" i="1"/>
  <c r="S3981" i="1"/>
  <c r="R3981" i="1"/>
  <c r="Q3981" i="1"/>
  <c r="P3981" i="1"/>
  <c r="S3980" i="1"/>
  <c r="R3980" i="1"/>
  <c r="Q3980" i="1"/>
  <c r="P3980" i="1"/>
  <c r="S3979" i="1"/>
  <c r="R3979" i="1"/>
  <c r="Q3979" i="1"/>
  <c r="P3979" i="1"/>
  <c r="S3978" i="1"/>
  <c r="R3978" i="1"/>
  <c r="Q3978" i="1"/>
  <c r="P3978" i="1"/>
  <c r="S3977" i="1"/>
  <c r="R3977" i="1"/>
  <c r="Q3977" i="1"/>
  <c r="P3977" i="1"/>
  <c r="S3976" i="1"/>
  <c r="R3976" i="1"/>
  <c r="Q3976" i="1"/>
  <c r="P3976" i="1"/>
  <c r="S3975" i="1"/>
  <c r="R3975" i="1"/>
  <c r="Q3975" i="1"/>
  <c r="P3975" i="1"/>
  <c r="S3974" i="1"/>
  <c r="R3974" i="1"/>
  <c r="Q3974" i="1"/>
  <c r="P3974" i="1"/>
  <c r="S3973" i="1"/>
  <c r="R3973" i="1"/>
  <c r="Q3973" i="1"/>
  <c r="P3973" i="1"/>
  <c r="S3972" i="1"/>
  <c r="R3972" i="1"/>
  <c r="Q3972" i="1"/>
  <c r="P3972" i="1"/>
  <c r="S3971" i="1"/>
  <c r="R3971" i="1"/>
  <c r="Q3971" i="1"/>
  <c r="P3971" i="1"/>
  <c r="S3970" i="1"/>
  <c r="R3970" i="1"/>
  <c r="Q3970" i="1"/>
  <c r="P3970" i="1"/>
  <c r="S3969" i="1"/>
  <c r="R3969" i="1"/>
  <c r="Q3969" i="1"/>
  <c r="P3969" i="1"/>
  <c r="S3968" i="1"/>
  <c r="R3968" i="1"/>
  <c r="Q3968" i="1"/>
  <c r="P3968" i="1"/>
  <c r="S3967" i="1"/>
  <c r="R3967" i="1"/>
  <c r="Q3967" i="1"/>
  <c r="P3967" i="1"/>
  <c r="S3966" i="1"/>
  <c r="R3966" i="1"/>
  <c r="Q3966" i="1"/>
  <c r="P3966" i="1"/>
  <c r="S3965" i="1"/>
  <c r="R3965" i="1"/>
  <c r="Q3965" i="1"/>
  <c r="P3965" i="1"/>
  <c r="S3964" i="1"/>
  <c r="R3964" i="1"/>
  <c r="Q3964" i="1"/>
  <c r="P3964" i="1"/>
  <c r="S3963" i="1"/>
  <c r="R3963" i="1"/>
  <c r="Q3963" i="1"/>
  <c r="P3963" i="1"/>
  <c r="S3962" i="1"/>
  <c r="R3962" i="1"/>
  <c r="Q3962" i="1"/>
  <c r="P3962" i="1"/>
  <c r="S3961" i="1"/>
  <c r="R3961" i="1"/>
  <c r="Q3961" i="1"/>
  <c r="P3961" i="1"/>
  <c r="S3960" i="1"/>
  <c r="R3960" i="1"/>
  <c r="Q3960" i="1"/>
  <c r="P3960" i="1"/>
  <c r="S3959" i="1"/>
  <c r="R3959" i="1"/>
  <c r="Q3959" i="1"/>
  <c r="P3959" i="1"/>
  <c r="S3958" i="1"/>
  <c r="R3958" i="1"/>
  <c r="Q3958" i="1"/>
  <c r="P3958" i="1"/>
  <c r="S3957" i="1"/>
  <c r="R3957" i="1"/>
  <c r="Q3957" i="1"/>
  <c r="P3957" i="1"/>
  <c r="S3956" i="1"/>
  <c r="R3956" i="1"/>
  <c r="Q3956" i="1"/>
  <c r="P3956" i="1"/>
  <c r="S3955" i="1"/>
  <c r="R3955" i="1"/>
  <c r="Q3955" i="1"/>
  <c r="P3955" i="1"/>
  <c r="S3954" i="1"/>
  <c r="R3954" i="1"/>
  <c r="Q3954" i="1"/>
  <c r="P3954" i="1"/>
  <c r="S3953" i="1"/>
  <c r="R3953" i="1"/>
  <c r="Q3953" i="1"/>
  <c r="P3953" i="1"/>
  <c r="S3952" i="1"/>
  <c r="R3952" i="1"/>
  <c r="Q3952" i="1"/>
  <c r="P3952" i="1"/>
  <c r="S3951" i="1"/>
  <c r="R3951" i="1"/>
  <c r="Q3951" i="1"/>
  <c r="P3951" i="1"/>
  <c r="S3950" i="1"/>
  <c r="R3950" i="1"/>
  <c r="Q3950" i="1"/>
  <c r="P3950" i="1"/>
  <c r="S3949" i="1"/>
  <c r="R3949" i="1"/>
  <c r="Q3949" i="1"/>
  <c r="P3949" i="1"/>
  <c r="S3948" i="1"/>
  <c r="R3948" i="1"/>
  <c r="Q3948" i="1"/>
  <c r="P3948" i="1"/>
  <c r="S3947" i="1"/>
  <c r="R3947" i="1"/>
  <c r="Q3947" i="1"/>
  <c r="P3947" i="1"/>
  <c r="S3946" i="1"/>
  <c r="R3946" i="1"/>
  <c r="Q3946" i="1"/>
  <c r="P3946" i="1"/>
  <c r="S3945" i="1"/>
  <c r="R3945" i="1"/>
  <c r="Q3945" i="1"/>
  <c r="P3945" i="1"/>
  <c r="S3944" i="1"/>
  <c r="R3944" i="1"/>
  <c r="Q3944" i="1"/>
  <c r="P3944" i="1"/>
  <c r="S3943" i="1"/>
  <c r="R3943" i="1"/>
  <c r="Q3943" i="1"/>
  <c r="P3943" i="1"/>
  <c r="S3942" i="1"/>
  <c r="R3942" i="1"/>
  <c r="Q3942" i="1"/>
  <c r="P3942" i="1"/>
  <c r="S3941" i="1"/>
  <c r="R3941" i="1"/>
  <c r="Q3941" i="1"/>
  <c r="P3941" i="1"/>
  <c r="S3940" i="1"/>
  <c r="R3940" i="1"/>
  <c r="Q3940" i="1"/>
  <c r="P3940" i="1"/>
  <c r="S3939" i="1"/>
  <c r="R3939" i="1"/>
  <c r="Q3939" i="1"/>
  <c r="P3939" i="1"/>
  <c r="S3938" i="1"/>
  <c r="R3938" i="1"/>
  <c r="Q3938" i="1"/>
  <c r="P3938" i="1"/>
  <c r="S3937" i="1"/>
  <c r="R3937" i="1"/>
  <c r="Q3937" i="1"/>
  <c r="P3937" i="1"/>
  <c r="S3936" i="1"/>
  <c r="R3936" i="1"/>
  <c r="Q3936" i="1"/>
  <c r="P3936" i="1"/>
  <c r="S3935" i="1"/>
  <c r="R3935" i="1"/>
  <c r="Q3935" i="1"/>
  <c r="P3935" i="1"/>
  <c r="S3934" i="1"/>
  <c r="R3934" i="1"/>
  <c r="Q3934" i="1"/>
  <c r="P3934" i="1"/>
  <c r="S3933" i="1"/>
  <c r="R3933" i="1"/>
  <c r="Q3933" i="1"/>
  <c r="P3933" i="1"/>
  <c r="S3932" i="1"/>
  <c r="R3932" i="1"/>
  <c r="Q3932" i="1"/>
  <c r="P3932" i="1"/>
  <c r="S3931" i="1"/>
  <c r="R3931" i="1"/>
  <c r="Q3931" i="1"/>
  <c r="P3931" i="1"/>
  <c r="S3930" i="1"/>
  <c r="R3930" i="1"/>
  <c r="Q3930" i="1"/>
  <c r="P3930" i="1"/>
  <c r="S3929" i="1"/>
  <c r="R3929" i="1"/>
  <c r="Q3929" i="1"/>
  <c r="P3929" i="1"/>
  <c r="S3928" i="1"/>
  <c r="R3928" i="1"/>
  <c r="Q3928" i="1"/>
  <c r="P3928" i="1"/>
  <c r="S3927" i="1"/>
  <c r="R3927" i="1"/>
  <c r="Q3927" i="1"/>
  <c r="P3927" i="1"/>
  <c r="S3926" i="1"/>
  <c r="R3926" i="1"/>
  <c r="Q3926" i="1"/>
  <c r="P3926" i="1"/>
  <c r="S3925" i="1"/>
  <c r="R3925" i="1"/>
  <c r="Q3925" i="1"/>
  <c r="P3925" i="1"/>
  <c r="S3924" i="1"/>
  <c r="R3924" i="1"/>
  <c r="Q3924" i="1"/>
  <c r="P3924" i="1"/>
  <c r="S3923" i="1"/>
  <c r="R3923" i="1"/>
  <c r="Q3923" i="1"/>
  <c r="P3923" i="1"/>
  <c r="S3922" i="1"/>
  <c r="R3922" i="1"/>
  <c r="Q3922" i="1"/>
  <c r="P3922" i="1"/>
  <c r="S3921" i="1"/>
  <c r="R3921" i="1"/>
  <c r="Q3921" i="1"/>
  <c r="P3921" i="1"/>
  <c r="S3920" i="1"/>
  <c r="R3920" i="1"/>
  <c r="Q3920" i="1"/>
  <c r="P3920" i="1"/>
  <c r="S3919" i="1"/>
  <c r="R3919" i="1"/>
  <c r="Q3919" i="1"/>
  <c r="P3919" i="1"/>
  <c r="S3918" i="1"/>
  <c r="R3918" i="1"/>
  <c r="Q3918" i="1"/>
  <c r="P3918" i="1"/>
  <c r="S3917" i="1"/>
  <c r="R3917" i="1"/>
  <c r="Q3917" i="1"/>
  <c r="P3917" i="1"/>
  <c r="S3916" i="1"/>
  <c r="R3916" i="1"/>
  <c r="Q3916" i="1"/>
  <c r="P3916" i="1"/>
  <c r="S3915" i="1"/>
  <c r="R3915" i="1"/>
  <c r="Q3915" i="1"/>
  <c r="P3915" i="1"/>
  <c r="S3914" i="1"/>
  <c r="R3914" i="1"/>
  <c r="Q3914" i="1"/>
  <c r="P3914" i="1"/>
  <c r="S3913" i="1"/>
  <c r="R3913" i="1"/>
  <c r="Q3913" i="1"/>
  <c r="P3913" i="1"/>
  <c r="S3912" i="1"/>
  <c r="R3912" i="1"/>
  <c r="Q3912" i="1"/>
  <c r="P3912" i="1"/>
  <c r="S3911" i="1"/>
  <c r="R3911" i="1"/>
  <c r="Q3911" i="1"/>
  <c r="P3911" i="1"/>
  <c r="S3910" i="1"/>
  <c r="R3910" i="1"/>
  <c r="Q3910" i="1"/>
  <c r="P3910" i="1"/>
  <c r="S3909" i="1"/>
  <c r="R3909" i="1"/>
  <c r="Q3909" i="1"/>
  <c r="P3909" i="1"/>
  <c r="S3908" i="1"/>
  <c r="R3908" i="1"/>
  <c r="Q3908" i="1"/>
  <c r="P3908" i="1"/>
  <c r="S3907" i="1"/>
  <c r="R3907" i="1"/>
  <c r="Q3907" i="1"/>
  <c r="P3907" i="1"/>
  <c r="S3906" i="1"/>
  <c r="R3906" i="1"/>
  <c r="Q3906" i="1"/>
  <c r="P3906" i="1"/>
  <c r="S3905" i="1"/>
  <c r="R3905" i="1"/>
  <c r="Q3905" i="1"/>
  <c r="P3905" i="1"/>
  <c r="S3904" i="1"/>
  <c r="R3904" i="1"/>
  <c r="Q3904" i="1"/>
  <c r="P3904" i="1"/>
  <c r="S3903" i="1"/>
  <c r="R3903" i="1"/>
  <c r="Q3903" i="1"/>
  <c r="P3903" i="1"/>
  <c r="S3902" i="1"/>
  <c r="R3902" i="1"/>
  <c r="Q3902" i="1"/>
  <c r="P3902" i="1"/>
  <c r="S3901" i="1"/>
  <c r="R3901" i="1"/>
  <c r="Q3901" i="1"/>
  <c r="P3901" i="1"/>
  <c r="S3900" i="1"/>
  <c r="R3900" i="1"/>
  <c r="Q3900" i="1"/>
  <c r="P3900" i="1"/>
  <c r="S3899" i="1"/>
  <c r="R3899" i="1"/>
  <c r="Q3899" i="1"/>
  <c r="P3899" i="1"/>
  <c r="S3898" i="1"/>
  <c r="R3898" i="1"/>
  <c r="Q3898" i="1"/>
  <c r="P3898" i="1"/>
  <c r="S3897" i="1"/>
  <c r="R3897" i="1"/>
  <c r="Q3897" i="1"/>
  <c r="P3897" i="1"/>
  <c r="S3896" i="1"/>
  <c r="R3896" i="1"/>
  <c r="Q3896" i="1"/>
  <c r="P3896" i="1"/>
  <c r="S3895" i="1"/>
  <c r="R3895" i="1"/>
  <c r="Q3895" i="1"/>
  <c r="P3895" i="1"/>
  <c r="S3894" i="1"/>
  <c r="R3894" i="1"/>
  <c r="Q3894" i="1"/>
  <c r="P3894" i="1"/>
  <c r="S3893" i="1"/>
  <c r="R3893" i="1"/>
  <c r="Q3893" i="1"/>
  <c r="P3893" i="1"/>
  <c r="S3892" i="1"/>
  <c r="R3892" i="1"/>
  <c r="Q3892" i="1"/>
  <c r="P3892" i="1"/>
  <c r="S3891" i="1"/>
  <c r="R3891" i="1"/>
  <c r="Q3891" i="1"/>
  <c r="P3891" i="1"/>
  <c r="S3890" i="1"/>
  <c r="R3890" i="1"/>
  <c r="Q3890" i="1"/>
  <c r="P3890" i="1"/>
  <c r="S3889" i="1"/>
  <c r="R3889" i="1"/>
  <c r="Q3889" i="1"/>
  <c r="P3889" i="1"/>
  <c r="S3888" i="1"/>
  <c r="R3888" i="1"/>
  <c r="Q3888" i="1"/>
  <c r="P3888" i="1"/>
  <c r="S3887" i="1"/>
  <c r="R3887" i="1"/>
  <c r="Q3887" i="1"/>
  <c r="P3887" i="1"/>
  <c r="S3886" i="1"/>
  <c r="R3886" i="1"/>
  <c r="Q3886" i="1"/>
  <c r="P3886" i="1"/>
  <c r="S3885" i="1"/>
  <c r="R3885" i="1"/>
  <c r="Q3885" i="1"/>
  <c r="P3885" i="1"/>
  <c r="S3884" i="1"/>
  <c r="R3884" i="1"/>
  <c r="Q3884" i="1"/>
  <c r="P3884" i="1"/>
  <c r="S3883" i="1"/>
  <c r="R3883" i="1"/>
  <c r="Q3883" i="1"/>
  <c r="P3883" i="1"/>
  <c r="S3882" i="1"/>
  <c r="R3882" i="1"/>
  <c r="Q3882" i="1"/>
  <c r="P3882" i="1"/>
  <c r="S3881" i="1"/>
  <c r="R3881" i="1"/>
  <c r="Q3881" i="1"/>
  <c r="P3881" i="1"/>
  <c r="S3880" i="1"/>
  <c r="R3880" i="1"/>
  <c r="Q3880" i="1"/>
  <c r="P3880" i="1"/>
  <c r="S3879" i="1"/>
  <c r="R3879" i="1"/>
  <c r="Q3879" i="1"/>
  <c r="P3879" i="1"/>
  <c r="S3878" i="1"/>
  <c r="R3878" i="1"/>
  <c r="Q3878" i="1"/>
  <c r="P3878" i="1"/>
  <c r="S3877" i="1"/>
  <c r="R3877" i="1"/>
  <c r="Q3877" i="1"/>
  <c r="P3877" i="1"/>
  <c r="S3876" i="1"/>
  <c r="R3876" i="1"/>
  <c r="Q3876" i="1"/>
  <c r="P3876" i="1"/>
  <c r="S3875" i="1"/>
  <c r="R3875" i="1"/>
  <c r="Q3875" i="1"/>
  <c r="P3875" i="1"/>
  <c r="S3874" i="1"/>
  <c r="R3874" i="1"/>
  <c r="Q3874" i="1"/>
  <c r="P3874" i="1"/>
  <c r="S3873" i="1"/>
  <c r="R3873" i="1"/>
  <c r="Q3873" i="1"/>
  <c r="P3873" i="1"/>
  <c r="S3872" i="1"/>
  <c r="R3872" i="1"/>
  <c r="Q3872" i="1"/>
  <c r="P3872" i="1"/>
  <c r="S3871" i="1"/>
  <c r="R3871" i="1"/>
  <c r="Q3871" i="1"/>
  <c r="P3871" i="1"/>
  <c r="S3870" i="1"/>
  <c r="R3870" i="1"/>
  <c r="Q3870" i="1"/>
  <c r="P3870" i="1"/>
  <c r="S3869" i="1"/>
  <c r="R3869" i="1"/>
  <c r="Q3869" i="1"/>
  <c r="P3869" i="1"/>
  <c r="S3868" i="1"/>
  <c r="R3868" i="1"/>
  <c r="Q3868" i="1"/>
  <c r="P3868" i="1"/>
  <c r="S3867" i="1"/>
  <c r="R3867" i="1"/>
  <c r="Q3867" i="1"/>
  <c r="P3867" i="1"/>
  <c r="S3866" i="1"/>
  <c r="R3866" i="1"/>
  <c r="Q3866" i="1"/>
  <c r="P3866" i="1"/>
  <c r="S3865" i="1"/>
  <c r="R3865" i="1"/>
  <c r="Q3865" i="1"/>
  <c r="P3865" i="1"/>
  <c r="S3864" i="1"/>
  <c r="R3864" i="1"/>
  <c r="Q3864" i="1"/>
  <c r="P3864" i="1"/>
  <c r="S3863" i="1"/>
  <c r="R3863" i="1"/>
  <c r="Q3863" i="1"/>
  <c r="P3863" i="1"/>
  <c r="S3862" i="1"/>
  <c r="R3862" i="1"/>
  <c r="Q3862" i="1"/>
  <c r="P3862" i="1"/>
  <c r="S3861" i="1"/>
  <c r="R3861" i="1"/>
  <c r="Q3861" i="1"/>
  <c r="P3861" i="1"/>
  <c r="S3860" i="1"/>
  <c r="R3860" i="1"/>
  <c r="Q3860" i="1"/>
  <c r="P3860" i="1"/>
  <c r="S3859" i="1"/>
  <c r="R3859" i="1"/>
  <c r="Q3859" i="1"/>
  <c r="P3859" i="1"/>
  <c r="S3858" i="1"/>
  <c r="R3858" i="1"/>
  <c r="Q3858" i="1"/>
  <c r="P3858" i="1"/>
  <c r="S3857" i="1"/>
  <c r="R3857" i="1"/>
  <c r="Q3857" i="1"/>
  <c r="P3857" i="1"/>
  <c r="S3856" i="1"/>
  <c r="R3856" i="1"/>
  <c r="Q3856" i="1"/>
  <c r="P3856" i="1"/>
  <c r="S3855" i="1"/>
  <c r="R3855" i="1"/>
  <c r="Q3855" i="1"/>
  <c r="P3855" i="1"/>
  <c r="S3854" i="1"/>
  <c r="R3854" i="1"/>
  <c r="Q3854" i="1"/>
  <c r="P3854" i="1"/>
  <c r="S3853" i="1"/>
  <c r="R3853" i="1"/>
  <c r="Q3853" i="1"/>
  <c r="P3853" i="1"/>
  <c r="S3852" i="1"/>
  <c r="R3852" i="1"/>
  <c r="Q3852" i="1"/>
  <c r="P3852" i="1"/>
  <c r="S3851" i="1"/>
  <c r="R3851" i="1"/>
  <c r="Q3851" i="1"/>
  <c r="P3851" i="1"/>
  <c r="S3850" i="1"/>
  <c r="R3850" i="1"/>
  <c r="Q3850" i="1"/>
  <c r="P3850" i="1"/>
  <c r="S3849" i="1"/>
  <c r="R3849" i="1"/>
  <c r="Q3849" i="1"/>
  <c r="P3849" i="1"/>
  <c r="S3848" i="1"/>
  <c r="R3848" i="1"/>
  <c r="Q3848" i="1"/>
  <c r="P3848" i="1"/>
  <c r="S3847" i="1"/>
  <c r="R3847" i="1"/>
  <c r="Q3847" i="1"/>
  <c r="P3847" i="1"/>
  <c r="S3846" i="1"/>
  <c r="R3846" i="1"/>
  <c r="Q3846" i="1"/>
  <c r="P3846" i="1"/>
  <c r="S3845" i="1"/>
  <c r="R3845" i="1"/>
  <c r="Q3845" i="1"/>
  <c r="P3845" i="1"/>
  <c r="S3844" i="1"/>
  <c r="R3844" i="1"/>
  <c r="Q3844" i="1"/>
  <c r="P3844" i="1"/>
  <c r="S3843" i="1"/>
  <c r="R3843" i="1"/>
  <c r="Q3843" i="1"/>
  <c r="P3843" i="1"/>
  <c r="S3842" i="1"/>
  <c r="R3842" i="1"/>
  <c r="Q3842" i="1"/>
  <c r="P3842" i="1"/>
  <c r="S3841" i="1"/>
  <c r="R3841" i="1"/>
  <c r="Q3841" i="1"/>
  <c r="P3841" i="1"/>
  <c r="S3840" i="1"/>
  <c r="R3840" i="1"/>
  <c r="Q3840" i="1"/>
  <c r="P3840" i="1"/>
  <c r="S3839" i="1"/>
  <c r="R3839" i="1"/>
  <c r="Q3839" i="1"/>
  <c r="P3839" i="1"/>
  <c r="S3838" i="1"/>
  <c r="R3838" i="1"/>
  <c r="Q3838" i="1"/>
  <c r="P3838" i="1"/>
  <c r="S3837" i="1"/>
  <c r="R3837" i="1"/>
  <c r="Q3837" i="1"/>
  <c r="P3837" i="1"/>
  <c r="S3836" i="1"/>
  <c r="R3836" i="1"/>
  <c r="Q3836" i="1"/>
  <c r="P3836" i="1"/>
  <c r="S3835" i="1"/>
  <c r="R3835" i="1"/>
  <c r="Q3835" i="1"/>
  <c r="P3835" i="1"/>
  <c r="S3834" i="1"/>
  <c r="R3834" i="1"/>
  <c r="Q3834" i="1"/>
  <c r="P3834" i="1"/>
  <c r="S3833" i="1"/>
  <c r="R3833" i="1"/>
  <c r="Q3833" i="1"/>
  <c r="P3833" i="1"/>
  <c r="S3832" i="1"/>
  <c r="R3832" i="1"/>
  <c r="Q3832" i="1"/>
  <c r="P3832" i="1"/>
  <c r="S3831" i="1"/>
  <c r="R3831" i="1"/>
  <c r="Q3831" i="1"/>
  <c r="P3831" i="1"/>
  <c r="S3830" i="1"/>
  <c r="R3830" i="1"/>
  <c r="Q3830" i="1"/>
  <c r="P3830" i="1"/>
  <c r="S3829" i="1"/>
  <c r="R3829" i="1"/>
  <c r="Q3829" i="1"/>
  <c r="P3829" i="1"/>
  <c r="S3828" i="1"/>
  <c r="R3828" i="1"/>
  <c r="Q3828" i="1"/>
  <c r="P3828" i="1"/>
  <c r="S3827" i="1"/>
  <c r="R3827" i="1"/>
  <c r="Q3827" i="1"/>
  <c r="P3827" i="1"/>
  <c r="S3826" i="1"/>
  <c r="R3826" i="1"/>
  <c r="Q3826" i="1"/>
  <c r="P3826" i="1"/>
  <c r="S3825" i="1"/>
  <c r="R3825" i="1"/>
  <c r="Q3825" i="1"/>
  <c r="P3825" i="1"/>
  <c r="S3824" i="1"/>
  <c r="R3824" i="1"/>
  <c r="Q3824" i="1"/>
  <c r="P3824" i="1"/>
  <c r="S3823" i="1"/>
  <c r="R3823" i="1"/>
  <c r="Q3823" i="1"/>
  <c r="P3823" i="1"/>
  <c r="S3822" i="1"/>
  <c r="R3822" i="1"/>
  <c r="Q3822" i="1"/>
  <c r="P3822" i="1"/>
  <c r="S3821" i="1"/>
  <c r="R3821" i="1"/>
  <c r="Q3821" i="1"/>
  <c r="P3821" i="1"/>
  <c r="S3820" i="1"/>
  <c r="R3820" i="1"/>
  <c r="Q3820" i="1"/>
  <c r="P3820" i="1"/>
  <c r="S3819" i="1"/>
  <c r="R3819" i="1"/>
  <c r="Q3819" i="1"/>
  <c r="P3819" i="1"/>
  <c r="S3818" i="1"/>
  <c r="R3818" i="1"/>
  <c r="Q3818" i="1"/>
  <c r="P3818" i="1"/>
  <c r="S3817" i="1"/>
  <c r="R3817" i="1"/>
  <c r="Q3817" i="1"/>
  <c r="P3817" i="1"/>
  <c r="S3816" i="1"/>
  <c r="R3816" i="1"/>
  <c r="Q3816" i="1"/>
  <c r="P3816" i="1"/>
  <c r="S3815" i="1"/>
  <c r="R3815" i="1"/>
  <c r="Q3815" i="1"/>
  <c r="P3815" i="1"/>
  <c r="S3814" i="1"/>
  <c r="R3814" i="1"/>
  <c r="Q3814" i="1"/>
  <c r="P3814" i="1"/>
  <c r="S3813" i="1"/>
  <c r="R3813" i="1"/>
  <c r="Q3813" i="1"/>
  <c r="P3813" i="1"/>
  <c r="S3812" i="1"/>
  <c r="R3812" i="1"/>
  <c r="Q3812" i="1"/>
  <c r="P3812" i="1"/>
  <c r="S3811" i="1"/>
  <c r="R3811" i="1"/>
  <c r="Q3811" i="1"/>
  <c r="P3811" i="1"/>
  <c r="S3810" i="1"/>
  <c r="R3810" i="1"/>
  <c r="Q3810" i="1"/>
  <c r="P3810" i="1"/>
  <c r="S3809" i="1"/>
  <c r="R3809" i="1"/>
  <c r="Q3809" i="1"/>
  <c r="P3809" i="1"/>
  <c r="S3808" i="1"/>
  <c r="R3808" i="1"/>
  <c r="Q3808" i="1"/>
  <c r="P3808" i="1"/>
  <c r="S3807" i="1"/>
  <c r="R3807" i="1"/>
  <c r="Q3807" i="1"/>
  <c r="P3807" i="1"/>
  <c r="S3806" i="1"/>
  <c r="R3806" i="1"/>
  <c r="Q3806" i="1"/>
  <c r="P3806" i="1"/>
  <c r="S3805" i="1"/>
  <c r="R3805" i="1"/>
  <c r="Q3805" i="1"/>
  <c r="P3805" i="1"/>
  <c r="S3804" i="1"/>
  <c r="R3804" i="1"/>
  <c r="Q3804" i="1"/>
  <c r="P3804" i="1"/>
  <c r="S3803" i="1"/>
  <c r="R3803" i="1"/>
  <c r="Q3803" i="1"/>
  <c r="P3803" i="1"/>
  <c r="S3802" i="1"/>
  <c r="R3802" i="1"/>
  <c r="Q3802" i="1"/>
  <c r="P3802" i="1"/>
  <c r="S3801" i="1"/>
  <c r="R3801" i="1"/>
  <c r="Q3801" i="1"/>
  <c r="P3801" i="1"/>
  <c r="S3800" i="1"/>
  <c r="R3800" i="1"/>
  <c r="Q3800" i="1"/>
  <c r="P3800" i="1"/>
  <c r="S3799" i="1"/>
  <c r="R3799" i="1"/>
  <c r="Q3799" i="1"/>
  <c r="P3799" i="1"/>
  <c r="S3798" i="1"/>
  <c r="R3798" i="1"/>
  <c r="Q3798" i="1"/>
  <c r="P3798" i="1"/>
  <c r="S3797" i="1"/>
  <c r="R3797" i="1"/>
  <c r="Q3797" i="1"/>
  <c r="P3797" i="1"/>
  <c r="S3796" i="1"/>
  <c r="R3796" i="1"/>
  <c r="Q3796" i="1"/>
  <c r="P3796" i="1"/>
  <c r="S3795" i="1"/>
  <c r="R3795" i="1"/>
  <c r="Q3795" i="1"/>
  <c r="P3795" i="1"/>
  <c r="S3794" i="1"/>
  <c r="R3794" i="1"/>
  <c r="Q3794" i="1"/>
  <c r="P3794" i="1"/>
  <c r="S3793" i="1"/>
  <c r="R3793" i="1"/>
  <c r="Q3793" i="1"/>
  <c r="P3793" i="1"/>
  <c r="S3792" i="1"/>
  <c r="R3792" i="1"/>
  <c r="Q3792" i="1"/>
  <c r="P3792" i="1"/>
  <c r="S3791" i="1"/>
  <c r="R3791" i="1"/>
  <c r="Q3791" i="1"/>
  <c r="P3791" i="1"/>
  <c r="S3790" i="1"/>
  <c r="R3790" i="1"/>
  <c r="Q3790" i="1"/>
  <c r="P3790" i="1"/>
  <c r="S3789" i="1"/>
  <c r="R3789" i="1"/>
  <c r="Q3789" i="1"/>
  <c r="P3789" i="1"/>
  <c r="S3788" i="1"/>
  <c r="R3788" i="1"/>
  <c r="Q3788" i="1"/>
  <c r="P3788" i="1"/>
  <c r="S3787" i="1"/>
  <c r="R3787" i="1"/>
  <c r="Q3787" i="1"/>
  <c r="P3787" i="1"/>
  <c r="S3786" i="1"/>
  <c r="R3786" i="1"/>
  <c r="Q3786" i="1"/>
  <c r="P3786" i="1"/>
  <c r="S3785" i="1"/>
  <c r="R3785" i="1"/>
  <c r="Q3785" i="1"/>
  <c r="P3785" i="1"/>
  <c r="S3784" i="1"/>
  <c r="R3784" i="1"/>
  <c r="Q3784" i="1"/>
  <c r="P3784" i="1"/>
  <c r="S3783" i="1"/>
  <c r="R3783" i="1"/>
  <c r="Q3783" i="1"/>
  <c r="P3783" i="1"/>
  <c r="S3782" i="1"/>
  <c r="R3782" i="1"/>
  <c r="Q3782" i="1"/>
  <c r="P3782" i="1"/>
  <c r="S3781" i="1"/>
  <c r="R3781" i="1"/>
  <c r="Q3781" i="1"/>
  <c r="P3781" i="1"/>
  <c r="S3780" i="1"/>
  <c r="R3780" i="1"/>
  <c r="Q3780" i="1"/>
  <c r="P3780" i="1"/>
  <c r="S3779" i="1"/>
  <c r="R3779" i="1"/>
  <c r="Q3779" i="1"/>
  <c r="P3779" i="1"/>
  <c r="S3778" i="1"/>
  <c r="R3778" i="1"/>
  <c r="Q3778" i="1"/>
  <c r="P3778" i="1"/>
  <c r="S3777" i="1"/>
  <c r="R3777" i="1"/>
  <c r="Q3777" i="1"/>
  <c r="P3777" i="1"/>
  <c r="S3776" i="1"/>
  <c r="R3776" i="1"/>
  <c r="Q3776" i="1"/>
  <c r="P3776" i="1"/>
  <c r="S3775" i="1"/>
  <c r="R3775" i="1"/>
  <c r="Q3775" i="1"/>
  <c r="P3775" i="1"/>
  <c r="S3774" i="1"/>
  <c r="R3774" i="1"/>
  <c r="Q3774" i="1"/>
  <c r="P3774" i="1"/>
  <c r="S3773" i="1"/>
  <c r="R3773" i="1"/>
  <c r="Q3773" i="1"/>
  <c r="P3773" i="1"/>
  <c r="S3772" i="1"/>
  <c r="R3772" i="1"/>
  <c r="Q3772" i="1"/>
  <c r="P3772" i="1"/>
  <c r="S3771" i="1"/>
  <c r="R3771" i="1"/>
  <c r="Q3771" i="1"/>
  <c r="P3771" i="1"/>
  <c r="S3770" i="1"/>
  <c r="R3770" i="1"/>
  <c r="Q3770" i="1"/>
  <c r="P3770" i="1"/>
  <c r="S3769" i="1"/>
  <c r="R3769" i="1"/>
  <c r="Q3769" i="1"/>
  <c r="P3769" i="1"/>
  <c r="S3768" i="1"/>
  <c r="R3768" i="1"/>
  <c r="Q3768" i="1"/>
  <c r="P3768" i="1"/>
  <c r="S3767" i="1"/>
  <c r="R3767" i="1"/>
  <c r="Q3767" i="1"/>
  <c r="P3767" i="1"/>
  <c r="S3766" i="1"/>
  <c r="R3766" i="1"/>
  <c r="Q3766" i="1"/>
  <c r="P3766" i="1"/>
  <c r="S3765" i="1"/>
  <c r="R3765" i="1"/>
  <c r="Q3765" i="1"/>
  <c r="P3765" i="1"/>
  <c r="S3764" i="1"/>
  <c r="R3764" i="1"/>
  <c r="Q3764" i="1"/>
  <c r="P3764" i="1"/>
  <c r="S3763" i="1"/>
  <c r="R3763" i="1"/>
  <c r="Q3763" i="1"/>
  <c r="P3763" i="1"/>
  <c r="S3762" i="1"/>
  <c r="R3762" i="1"/>
  <c r="Q3762" i="1"/>
  <c r="P3762" i="1"/>
  <c r="S3761" i="1"/>
  <c r="R3761" i="1"/>
  <c r="Q3761" i="1"/>
  <c r="P3761" i="1"/>
  <c r="S3760" i="1"/>
  <c r="R3760" i="1"/>
  <c r="Q3760" i="1"/>
  <c r="P3760" i="1"/>
  <c r="S3759" i="1"/>
  <c r="R3759" i="1"/>
  <c r="Q3759" i="1"/>
  <c r="P3759" i="1"/>
  <c r="S3758" i="1"/>
  <c r="R3758" i="1"/>
  <c r="Q3758" i="1"/>
  <c r="P3758" i="1"/>
  <c r="S3757" i="1"/>
  <c r="R3757" i="1"/>
  <c r="Q3757" i="1"/>
  <c r="P3757" i="1"/>
  <c r="S3756" i="1"/>
  <c r="R3756" i="1"/>
  <c r="Q3756" i="1"/>
  <c r="P3756" i="1"/>
  <c r="S3755" i="1"/>
  <c r="R3755" i="1"/>
  <c r="Q3755" i="1"/>
  <c r="P3755" i="1"/>
  <c r="S3754" i="1"/>
  <c r="R3754" i="1"/>
  <c r="Q3754" i="1"/>
  <c r="P3754" i="1"/>
  <c r="S3753" i="1"/>
  <c r="R3753" i="1"/>
  <c r="Q3753" i="1"/>
  <c r="P3753" i="1"/>
  <c r="S3752" i="1"/>
  <c r="R3752" i="1"/>
  <c r="Q3752" i="1"/>
  <c r="P3752" i="1"/>
  <c r="S3751" i="1"/>
  <c r="R3751" i="1"/>
  <c r="Q3751" i="1"/>
  <c r="P3751" i="1"/>
  <c r="S3750" i="1"/>
  <c r="R3750" i="1"/>
  <c r="Q3750" i="1"/>
  <c r="P3750" i="1"/>
  <c r="S3749" i="1"/>
  <c r="R3749" i="1"/>
  <c r="Q3749" i="1"/>
  <c r="P3749" i="1"/>
  <c r="S3748" i="1"/>
  <c r="R3748" i="1"/>
  <c r="Q3748" i="1"/>
  <c r="P3748" i="1"/>
  <c r="S3747" i="1"/>
  <c r="R3747" i="1"/>
  <c r="Q3747" i="1"/>
  <c r="P3747" i="1"/>
  <c r="S3746" i="1"/>
  <c r="R3746" i="1"/>
  <c r="Q3746" i="1"/>
  <c r="P3746" i="1"/>
  <c r="S3745" i="1"/>
  <c r="R3745" i="1"/>
  <c r="Q3745" i="1"/>
  <c r="P3745" i="1"/>
  <c r="S3744" i="1"/>
  <c r="R3744" i="1"/>
  <c r="Q3744" i="1"/>
  <c r="P3744" i="1"/>
  <c r="S3743" i="1"/>
  <c r="R3743" i="1"/>
  <c r="Q3743" i="1"/>
  <c r="P3743" i="1"/>
  <c r="S3742" i="1"/>
  <c r="R3742" i="1"/>
  <c r="Q3742" i="1"/>
  <c r="P3742" i="1"/>
  <c r="S3741" i="1"/>
  <c r="R3741" i="1"/>
  <c r="Q3741" i="1"/>
  <c r="P3741" i="1"/>
  <c r="S3740" i="1"/>
  <c r="R3740" i="1"/>
  <c r="Q3740" i="1"/>
  <c r="P3740" i="1"/>
  <c r="S3739" i="1"/>
  <c r="R3739" i="1"/>
  <c r="Q3739" i="1"/>
  <c r="P3739" i="1"/>
  <c r="S3738" i="1"/>
  <c r="R3738" i="1"/>
  <c r="Q3738" i="1"/>
  <c r="P3738" i="1"/>
  <c r="S3737" i="1"/>
  <c r="R3737" i="1"/>
  <c r="Q3737" i="1"/>
  <c r="P3737" i="1"/>
  <c r="S3736" i="1"/>
  <c r="R3736" i="1"/>
  <c r="Q3736" i="1"/>
  <c r="P3736" i="1"/>
  <c r="S3735" i="1"/>
  <c r="R3735" i="1"/>
  <c r="Q3735" i="1"/>
  <c r="P3735" i="1"/>
  <c r="S3734" i="1"/>
  <c r="R3734" i="1"/>
  <c r="Q3734" i="1"/>
  <c r="P3734" i="1"/>
  <c r="S3733" i="1"/>
  <c r="R3733" i="1"/>
  <c r="Q3733" i="1"/>
  <c r="P3733" i="1"/>
  <c r="S3732" i="1"/>
  <c r="R3732" i="1"/>
  <c r="Q3732" i="1"/>
  <c r="P3732" i="1"/>
  <c r="S3731" i="1"/>
  <c r="R3731" i="1"/>
  <c r="Q3731" i="1"/>
  <c r="P3731" i="1"/>
  <c r="S3730" i="1"/>
  <c r="R3730" i="1"/>
  <c r="Q3730" i="1"/>
  <c r="P3730" i="1"/>
  <c r="S3729" i="1"/>
  <c r="R3729" i="1"/>
  <c r="Q3729" i="1"/>
  <c r="P3729" i="1"/>
  <c r="S3728" i="1"/>
  <c r="R3728" i="1"/>
  <c r="Q3728" i="1"/>
  <c r="P3728" i="1"/>
  <c r="S3727" i="1"/>
  <c r="R3727" i="1"/>
  <c r="Q3727" i="1"/>
  <c r="P3727" i="1"/>
  <c r="S3726" i="1"/>
  <c r="R3726" i="1"/>
  <c r="Q3726" i="1"/>
  <c r="P3726" i="1"/>
  <c r="S3725" i="1"/>
  <c r="R3725" i="1"/>
  <c r="Q3725" i="1"/>
  <c r="P3725" i="1"/>
  <c r="S3724" i="1"/>
  <c r="R3724" i="1"/>
  <c r="Q3724" i="1"/>
  <c r="P3724" i="1"/>
  <c r="S3723" i="1"/>
  <c r="R3723" i="1"/>
  <c r="Q3723" i="1"/>
  <c r="P3723" i="1"/>
  <c r="S3722" i="1"/>
  <c r="R3722" i="1"/>
  <c r="Q3722" i="1"/>
  <c r="P3722" i="1"/>
  <c r="S3721" i="1"/>
  <c r="R3721" i="1"/>
  <c r="Q3721" i="1"/>
  <c r="P3721" i="1"/>
  <c r="S3720" i="1"/>
  <c r="R3720" i="1"/>
  <c r="Q3720" i="1"/>
  <c r="P3720" i="1"/>
  <c r="S3719" i="1"/>
  <c r="R3719" i="1"/>
  <c r="Q3719" i="1"/>
  <c r="P3719" i="1"/>
  <c r="S3718" i="1"/>
  <c r="R3718" i="1"/>
  <c r="Q3718" i="1"/>
  <c r="P3718" i="1"/>
  <c r="S3717" i="1"/>
  <c r="R3717" i="1"/>
  <c r="Q3717" i="1"/>
  <c r="P3717" i="1"/>
  <c r="S3716" i="1"/>
  <c r="R3716" i="1"/>
  <c r="Q3716" i="1"/>
  <c r="P3716" i="1"/>
  <c r="S3715" i="1"/>
  <c r="R3715" i="1"/>
  <c r="Q3715" i="1"/>
  <c r="P3715" i="1"/>
  <c r="S3714" i="1"/>
  <c r="R3714" i="1"/>
  <c r="Q3714" i="1"/>
  <c r="P3714" i="1"/>
  <c r="S3713" i="1"/>
  <c r="R3713" i="1"/>
  <c r="Q3713" i="1"/>
  <c r="P3713" i="1"/>
  <c r="S3712" i="1"/>
  <c r="R3712" i="1"/>
  <c r="Q3712" i="1"/>
  <c r="P3712" i="1"/>
  <c r="S3711" i="1"/>
  <c r="R3711" i="1"/>
  <c r="Q3711" i="1"/>
  <c r="P3711" i="1"/>
  <c r="S3710" i="1"/>
  <c r="R3710" i="1"/>
  <c r="Q3710" i="1"/>
  <c r="P3710" i="1"/>
  <c r="S3709" i="1"/>
  <c r="R3709" i="1"/>
  <c r="Q3709" i="1"/>
  <c r="P3709" i="1"/>
  <c r="S3708" i="1"/>
  <c r="R3708" i="1"/>
  <c r="Q3708" i="1"/>
  <c r="P3708" i="1"/>
  <c r="S3707" i="1"/>
  <c r="R3707" i="1"/>
  <c r="Q3707" i="1"/>
  <c r="P3707" i="1"/>
  <c r="S3706" i="1"/>
  <c r="R3706" i="1"/>
  <c r="Q3706" i="1"/>
  <c r="P3706" i="1"/>
  <c r="S3705" i="1"/>
  <c r="R3705" i="1"/>
  <c r="Q3705" i="1"/>
  <c r="P3705" i="1"/>
  <c r="S3704" i="1"/>
  <c r="R3704" i="1"/>
  <c r="Q3704" i="1"/>
  <c r="P3704" i="1"/>
  <c r="S3703" i="1"/>
  <c r="R3703" i="1"/>
  <c r="Q3703" i="1"/>
  <c r="P3703" i="1"/>
  <c r="S3702" i="1"/>
  <c r="R3702" i="1"/>
  <c r="Q3702" i="1"/>
  <c r="P3702" i="1"/>
  <c r="S3701" i="1"/>
  <c r="R3701" i="1"/>
  <c r="Q3701" i="1"/>
  <c r="P3701" i="1"/>
  <c r="S3700" i="1"/>
  <c r="R3700" i="1"/>
  <c r="Q3700" i="1"/>
  <c r="P3700" i="1"/>
  <c r="S3699" i="1"/>
  <c r="R3699" i="1"/>
  <c r="Q3699" i="1"/>
  <c r="P3699" i="1"/>
  <c r="S3698" i="1"/>
  <c r="R3698" i="1"/>
  <c r="Q3698" i="1"/>
  <c r="P3698" i="1"/>
  <c r="S3697" i="1"/>
  <c r="R3697" i="1"/>
  <c r="Q3697" i="1"/>
  <c r="P3697" i="1"/>
  <c r="S3696" i="1"/>
  <c r="R3696" i="1"/>
  <c r="Q3696" i="1"/>
  <c r="P3696" i="1"/>
  <c r="S3695" i="1"/>
  <c r="R3695" i="1"/>
  <c r="Q3695" i="1"/>
  <c r="P3695" i="1"/>
  <c r="S3694" i="1"/>
  <c r="R3694" i="1"/>
  <c r="Q3694" i="1"/>
  <c r="P3694" i="1"/>
  <c r="S3693" i="1"/>
  <c r="R3693" i="1"/>
  <c r="Q3693" i="1"/>
  <c r="P3693" i="1"/>
  <c r="S3692" i="1"/>
  <c r="R3692" i="1"/>
  <c r="Q3692" i="1"/>
  <c r="P3692" i="1"/>
  <c r="S3691" i="1"/>
  <c r="R3691" i="1"/>
  <c r="Q3691" i="1"/>
  <c r="P3691" i="1"/>
  <c r="S3690" i="1"/>
  <c r="R3690" i="1"/>
  <c r="Q3690" i="1"/>
  <c r="P3690" i="1"/>
  <c r="S3689" i="1"/>
  <c r="R3689" i="1"/>
  <c r="Q3689" i="1"/>
  <c r="P3689" i="1"/>
  <c r="S3688" i="1"/>
  <c r="R3688" i="1"/>
  <c r="Q3688" i="1"/>
  <c r="P3688" i="1"/>
  <c r="S3687" i="1"/>
  <c r="R3687" i="1"/>
  <c r="Q3687" i="1"/>
  <c r="P3687" i="1"/>
  <c r="S3686" i="1"/>
  <c r="R3686" i="1"/>
  <c r="Q3686" i="1"/>
  <c r="P3686" i="1"/>
  <c r="S3685" i="1"/>
  <c r="R3685" i="1"/>
  <c r="Q3685" i="1"/>
  <c r="P3685" i="1"/>
  <c r="S3684" i="1"/>
  <c r="R3684" i="1"/>
  <c r="Q3684" i="1"/>
  <c r="P3684" i="1"/>
  <c r="S3683" i="1"/>
  <c r="R3683" i="1"/>
  <c r="Q3683" i="1"/>
  <c r="P3683" i="1"/>
  <c r="S3682" i="1"/>
  <c r="R3682" i="1"/>
  <c r="Q3682" i="1"/>
  <c r="P3682" i="1"/>
  <c r="S3681" i="1"/>
  <c r="R3681" i="1"/>
  <c r="Q3681" i="1"/>
  <c r="P3681" i="1"/>
  <c r="S3680" i="1"/>
  <c r="R3680" i="1"/>
  <c r="Q3680" i="1"/>
  <c r="P3680" i="1"/>
  <c r="S3679" i="1"/>
  <c r="R3679" i="1"/>
  <c r="Q3679" i="1"/>
  <c r="P3679" i="1"/>
  <c r="S3678" i="1"/>
  <c r="R3678" i="1"/>
  <c r="Q3678" i="1"/>
  <c r="P3678" i="1"/>
  <c r="S3677" i="1"/>
  <c r="R3677" i="1"/>
  <c r="Q3677" i="1"/>
  <c r="P3677" i="1"/>
  <c r="S3676" i="1"/>
  <c r="R3676" i="1"/>
  <c r="Q3676" i="1"/>
  <c r="P3676" i="1"/>
  <c r="S3675" i="1"/>
  <c r="R3675" i="1"/>
  <c r="Q3675" i="1"/>
  <c r="P3675" i="1"/>
  <c r="S3674" i="1"/>
  <c r="R3674" i="1"/>
  <c r="Q3674" i="1"/>
  <c r="P3674" i="1"/>
  <c r="S3673" i="1"/>
  <c r="R3673" i="1"/>
  <c r="Q3673" i="1"/>
  <c r="P3673" i="1"/>
  <c r="S3672" i="1"/>
  <c r="R3672" i="1"/>
  <c r="Q3672" i="1"/>
  <c r="P3672" i="1"/>
  <c r="S3671" i="1"/>
  <c r="R3671" i="1"/>
  <c r="Q3671" i="1"/>
  <c r="P3671" i="1"/>
  <c r="S3670" i="1"/>
  <c r="R3670" i="1"/>
  <c r="Q3670" i="1"/>
  <c r="P3670" i="1"/>
  <c r="S3669" i="1"/>
  <c r="R3669" i="1"/>
  <c r="Q3669" i="1"/>
  <c r="P3669" i="1"/>
  <c r="S3668" i="1"/>
  <c r="R3668" i="1"/>
  <c r="Q3668" i="1"/>
  <c r="P3668" i="1"/>
  <c r="S3667" i="1"/>
  <c r="R3667" i="1"/>
  <c r="Q3667" i="1"/>
  <c r="P3667" i="1"/>
  <c r="S3666" i="1"/>
  <c r="R3666" i="1"/>
  <c r="Q3666" i="1"/>
  <c r="P3666" i="1"/>
  <c r="S3665" i="1"/>
  <c r="R3665" i="1"/>
  <c r="Q3665" i="1"/>
  <c r="P3665" i="1"/>
  <c r="S3664" i="1"/>
  <c r="R3664" i="1"/>
  <c r="Q3664" i="1"/>
  <c r="P3664" i="1"/>
  <c r="S3663" i="1"/>
  <c r="R3663" i="1"/>
  <c r="Q3663" i="1"/>
  <c r="P3663" i="1"/>
  <c r="S3662" i="1"/>
  <c r="R3662" i="1"/>
  <c r="Q3662" i="1"/>
  <c r="P3662" i="1"/>
  <c r="S3661" i="1"/>
  <c r="R3661" i="1"/>
  <c r="Q3661" i="1"/>
  <c r="P3661" i="1"/>
  <c r="S3660" i="1"/>
  <c r="R3660" i="1"/>
  <c r="Q3660" i="1"/>
  <c r="P3660" i="1"/>
  <c r="S3659" i="1"/>
  <c r="R3659" i="1"/>
  <c r="Q3659" i="1"/>
  <c r="P3659" i="1"/>
  <c r="S3658" i="1"/>
  <c r="R3658" i="1"/>
  <c r="Q3658" i="1"/>
  <c r="P3658" i="1"/>
  <c r="S3657" i="1"/>
  <c r="R3657" i="1"/>
  <c r="Q3657" i="1"/>
  <c r="P3657" i="1"/>
  <c r="S3656" i="1"/>
  <c r="R3656" i="1"/>
  <c r="Q3656" i="1"/>
  <c r="P3656" i="1"/>
  <c r="S3655" i="1"/>
  <c r="R3655" i="1"/>
  <c r="Q3655" i="1"/>
  <c r="P3655" i="1"/>
  <c r="S3654" i="1"/>
  <c r="R3654" i="1"/>
  <c r="Q3654" i="1"/>
  <c r="P3654" i="1"/>
  <c r="S3653" i="1"/>
  <c r="R3653" i="1"/>
  <c r="Q3653" i="1"/>
  <c r="P3653" i="1"/>
  <c r="S3652" i="1"/>
  <c r="R3652" i="1"/>
  <c r="Q3652" i="1"/>
  <c r="P3652" i="1"/>
  <c r="S3651" i="1"/>
  <c r="R3651" i="1"/>
  <c r="Q3651" i="1"/>
  <c r="P3651" i="1"/>
  <c r="S3650" i="1"/>
  <c r="R3650" i="1"/>
  <c r="Q3650" i="1"/>
  <c r="P3650" i="1"/>
  <c r="S3649" i="1"/>
  <c r="R3649" i="1"/>
  <c r="Q3649" i="1"/>
  <c r="P3649" i="1"/>
  <c r="S3648" i="1"/>
  <c r="R3648" i="1"/>
  <c r="Q3648" i="1"/>
  <c r="P3648" i="1"/>
  <c r="S3647" i="1"/>
  <c r="R3647" i="1"/>
  <c r="Q3647" i="1"/>
  <c r="P3647" i="1"/>
  <c r="S3646" i="1"/>
  <c r="R3646" i="1"/>
  <c r="Q3646" i="1"/>
  <c r="P3646" i="1"/>
  <c r="S3645" i="1"/>
  <c r="R3645" i="1"/>
  <c r="Q3645" i="1"/>
  <c r="P3645" i="1"/>
  <c r="S3644" i="1"/>
  <c r="R3644" i="1"/>
  <c r="Q3644" i="1"/>
  <c r="P3644" i="1"/>
  <c r="S3643" i="1"/>
  <c r="R3643" i="1"/>
  <c r="Q3643" i="1"/>
  <c r="P3643" i="1"/>
  <c r="S3642" i="1"/>
  <c r="R3642" i="1"/>
  <c r="Q3642" i="1"/>
  <c r="P3642" i="1"/>
  <c r="S3641" i="1"/>
  <c r="R3641" i="1"/>
  <c r="Q3641" i="1"/>
  <c r="P3641" i="1"/>
  <c r="S3640" i="1"/>
  <c r="R3640" i="1"/>
  <c r="Q3640" i="1"/>
  <c r="P3640" i="1"/>
  <c r="S3639" i="1"/>
  <c r="R3639" i="1"/>
  <c r="Q3639" i="1"/>
  <c r="P3639" i="1"/>
  <c r="S3638" i="1"/>
  <c r="R3638" i="1"/>
  <c r="Q3638" i="1"/>
  <c r="P3638" i="1"/>
  <c r="S3637" i="1"/>
  <c r="R3637" i="1"/>
  <c r="Q3637" i="1"/>
  <c r="P3637" i="1"/>
  <c r="S3636" i="1"/>
  <c r="R3636" i="1"/>
  <c r="Q3636" i="1"/>
  <c r="P3636" i="1"/>
  <c r="S3635" i="1"/>
  <c r="R3635" i="1"/>
  <c r="Q3635" i="1"/>
  <c r="P3635" i="1"/>
  <c r="S3634" i="1"/>
  <c r="R3634" i="1"/>
  <c r="Q3634" i="1"/>
  <c r="P3634" i="1"/>
  <c r="S3633" i="1"/>
  <c r="R3633" i="1"/>
  <c r="Q3633" i="1"/>
  <c r="P3633" i="1"/>
  <c r="S3632" i="1"/>
  <c r="R3632" i="1"/>
  <c r="Q3632" i="1"/>
  <c r="P3632" i="1"/>
  <c r="S3631" i="1"/>
  <c r="R3631" i="1"/>
  <c r="Q3631" i="1"/>
  <c r="P3631" i="1"/>
  <c r="S3630" i="1"/>
  <c r="R3630" i="1"/>
  <c r="Q3630" i="1"/>
  <c r="P3630" i="1"/>
  <c r="S3629" i="1"/>
  <c r="R3629" i="1"/>
  <c r="Q3629" i="1"/>
  <c r="P3629" i="1"/>
  <c r="S3628" i="1"/>
  <c r="R3628" i="1"/>
  <c r="Q3628" i="1"/>
  <c r="P3628" i="1"/>
  <c r="S3627" i="1"/>
  <c r="R3627" i="1"/>
  <c r="Q3627" i="1"/>
  <c r="P3627" i="1"/>
  <c r="S3626" i="1"/>
  <c r="R3626" i="1"/>
  <c r="Q3626" i="1"/>
  <c r="P3626" i="1"/>
  <c r="S3625" i="1"/>
  <c r="R3625" i="1"/>
  <c r="Q3625" i="1"/>
  <c r="P3625" i="1"/>
  <c r="S3624" i="1"/>
  <c r="R3624" i="1"/>
  <c r="Q3624" i="1"/>
  <c r="P3624" i="1"/>
  <c r="S3623" i="1"/>
  <c r="R3623" i="1"/>
  <c r="Q3623" i="1"/>
  <c r="P3623" i="1"/>
  <c r="S3622" i="1"/>
  <c r="R3622" i="1"/>
  <c r="Q3622" i="1"/>
  <c r="P3622" i="1"/>
  <c r="S3621" i="1"/>
  <c r="R3621" i="1"/>
  <c r="Q3621" i="1"/>
  <c r="P3621" i="1"/>
  <c r="S3620" i="1"/>
  <c r="R3620" i="1"/>
  <c r="Q3620" i="1"/>
  <c r="P3620" i="1"/>
  <c r="S3619" i="1"/>
  <c r="R3619" i="1"/>
  <c r="Q3619" i="1"/>
  <c r="P3619" i="1"/>
  <c r="S3618" i="1"/>
  <c r="R3618" i="1"/>
  <c r="Q3618" i="1"/>
  <c r="P3618" i="1"/>
  <c r="S3617" i="1"/>
  <c r="R3617" i="1"/>
  <c r="Q3617" i="1"/>
  <c r="P3617" i="1"/>
  <c r="S3616" i="1"/>
  <c r="R3616" i="1"/>
  <c r="Q3616" i="1"/>
  <c r="P3616" i="1"/>
  <c r="S3615" i="1"/>
  <c r="R3615" i="1"/>
  <c r="Q3615" i="1"/>
  <c r="P3615" i="1"/>
  <c r="S3614" i="1"/>
  <c r="R3614" i="1"/>
  <c r="Q3614" i="1"/>
  <c r="P3614" i="1"/>
  <c r="S3613" i="1"/>
  <c r="R3613" i="1"/>
  <c r="Q3613" i="1"/>
  <c r="P3613" i="1"/>
  <c r="S3612" i="1"/>
  <c r="R3612" i="1"/>
  <c r="Q3612" i="1"/>
  <c r="P3612" i="1"/>
  <c r="S3611" i="1"/>
  <c r="R3611" i="1"/>
  <c r="Q3611" i="1"/>
  <c r="P3611" i="1"/>
  <c r="S3610" i="1"/>
  <c r="R3610" i="1"/>
  <c r="Q3610" i="1"/>
  <c r="P3610" i="1"/>
  <c r="S3609" i="1"/>
  <c r="R3609" i="1"/>
  <c r="Q3609" i="1"/>
  <c r="P3609" i="1"/>
  <c r="S3608" i="1"/>
  <c r="R3608" i="1"/>
  <c r="Q3608" i="1"/>
  <c r="P3608" i="1"/>
  <c r="S3607" i="1"/>
  <c r="R3607" i="1"/>
  <c r="Q3607" i="1"/>
  <c r="P3607" i="1"/>
  <c r="S3606" i="1"/>
  <c r="R3606" i="1"/>
  <c r="Q3606" i="1"/>
  <c r="P3606" i="1"/>
  <c r="S3605" i="1"/>
  <c r="R3605" i="1"/>
  <c r="Q3605" i="1"/>
  <c r="P3605" i="1"/>
  <c r="S3604" i="1"/>
  <c r="R3604" i="1"/>
  <c r="Q3604" i="1"/>
  <c r="P3604" i="1"/>
  <c r="S3603" i="1"/>
  <c r="R3603" i="1"/>
  <c r="Q3603" i="1"/>
  <c r="P3603" i="1"/>
  <c r="S3602" i="1"/>
  <c r="R3602" i="1"/>
  <c r="Q3602" i="1"/>
  <c r="P3602" i="1"/>
  <c r="S3601" i="1"/>
  <c r="R3601" i="1"/>
  <c r="Q3601" i="1"/>
  <c r="P3601" i="1"/>
  <c r="S3600" i="1"/>
  <c r="R3600" i="1"/>
  <c r="Q3600" i="1"/>
  <c r="P3600" i="1"/>
  <c r="S3599" i="1"/>
  <c r="R3599" i="1"/>
  <c r="Q3599" i="1"/>
  <c r="P3599" i="1"/>
  <c r="S3598" i="1"/>
  <c r="R3598" i="1"/>
  <c r="Q3598" i="1"/>
  <c r="P3598" i="1"/>
  <c r="S3597" i="1"/>
  <c r="R3597" i="1"/>
  <c r="Q3597" i="1"/>
  <c r="P3597" i="1"/>
  <c r="S3596" i="1"/>
  <c r="R3596" i="1"/>
  <c r="Q3596" i="1"/>
  <c r="P3596" i="1"/>
  <c r="S3595" i="1"/>
  <c r="R3595" i="1"/>
  <c r="Q3595" i="1"/>
  <c r="P3595" i="1"/>
  <c r="S3594" i="1"/>
  <c r="R3594" i="1"/>
  <c r="Q3594" i="1"/>
  <c r="P3594" i="1"/>
  <c r="S3593" i="1"/>
  <c r="R3593" i="1"/>
  <c r="Q3593" i="1"/>
  <c r="P3593" i="1"/>
  <c r="S3592" i="1"/>
  <c r="R3592" i="1"/>
  <c r="Q3592" i="1"/>
  <c r="P3592" i="1"/>
  <c r="S3591" i="1"/>
  <c r="R3591" i="1"/>
  <c r="Q3591" i="1"/>
  <c r="P3591" i="1"/>
  <c r="S3590" i="1"/>
  <c r="R3590" i="1"/>
  <c r="Q3590" i="1"/>
  <c r="P3590" i="1"/>
  <c r="S3589" i="1"/>
  <c r="R3589" i="1"/>
  <c r="Q3589" i="1"/>
  <c r="P3589" i="1"/>
  <c r="S3588" i="1"/>
  <c r="R3588" i="1"/>
  <c r="Q3588" i="1"/>
  <c r="P3588" i="1"/>
  <c r="S3587" i="1"/>
  <c r="R3587" i="1"/>
  <c r="Q3587" i="1"/>
  <c r="P3587" i="1"/>
  <c r="S3586" i="1"/>
  <c r="R3586" i="1"/>
  <c r="Q3586" i="1"/>
  <c r="P3586" i="1"/>
  <c r="S3585" i="1"/>
  <c r="R3585" i="1"/>
  <c r="Q3585" i="1"/>
  <c r="P3585" i="1"/>
  <c r="S3584" i="1"/>
  <c r="R3584" i="1"/>
  <c r="Q3584" i="1"/>
  <c r="P3584" i="1"/>
  <c r="S3583" i="1"/>
  <c r="R3583" i="1"/>
  <c r="Q3583" i="1"/>
  <c r="P3583" i="1"/>
  <c r="S3582" i="1"/>
  <c r="R3582" i="1"/>
  <c r="Q3582" i="1"/>
  <c r="P3582" i="1"/>
  <c r="S3581" i="1"/>
  <c r="R3581" i="1"/>
  <c r="Q3581" i="1"/>
  <c r="P3581" i="1"/>
  <c r="S3580" i="1"/>
  <c r="R3580" i="1"/>
  <c r="Q3580" i="1"/>
  <c r="P3580" i="1"/>
  <c r="S3579" i="1"/>
  <c r="R3579" i="1"/>
  <c r="Q3579" i="1"/>
  <c r="P3579" i="1"/>
  <c r="S3578" i="1"/>
  <c r="R3578" i="1"/>
  <c r="Q3578" i="1"/>
  <c r="P3578" i="1"/>
  <c r="S3577" i="1"/>
  <c r="R3577" i="1"/>
  <c r="Q3577" i="1"/>
  <c r="P3577" i="1"/>
  <c r="S3576" i="1"/>
  <c r="R3576" i="1"/>
  <c r="Q3576" i="1"/>
  <c r="P3576" i="1"/>
  <c r="S3575" i="1"/>
  <c r="R3575" i="1"/>
  <c r="Q3575" i="1"/>
  <c r="P3575" i="1"/>
  <c r="S3574" i="1"/>
  <c r="R3574" i="1"/>
  <c r="Q3574" i="1"/>
  <c r="P3574" i="1"/>
  <c r="S3573" i="1"/>
  <c r="R3573" i="1"/>
  <c r="Q3573" i="1"/>
  <c r="P3573" i="1"/>
  <c r="S3572" i="1"/>
  <c r="R3572" i="1"/>
  <c r="Q3572" i="1"/>
  <c r="P3572" i="1"/>
  <c r="S3571" i="1"/>
  <c r="R3571" i="1"/>
  <c r="Q3571" i="1"/>
  <c r="P3571" i="1"/>
  <c r="S3570" i="1"/>
  <c r="R3570" i="1"/>
  <c r="Q3570" i="1"/>
  <c r="P3570" i="1"/>
  <c r="S3569" i="1"/>
  <c r="R3569" i="1"/>
  <c r="Q3569" i="1"/>
  <c r="P3569" i="1"/>
  <c r="S3568" i="1"/>
  <c r="R3568" i="1"/>
  <c r="Q3568" i="1"/>
  <c r="P3568" i="1"/>
  <c r="S3567" i="1"/>
  <c r="R3567" i="1"/>
  <c r="Q3567" i="1"/>
  <c r="P3567" i="1"/>
  <c r="S3566" i="1"/>
  <c r="R3566" i="1"/>
  <c r="Q3566" i="1"/>
  <c r="P3566" i="1"/>
  <c r="S3565" i="1"/>
  <c r="R3565" i="1"/>
  <c r="Q3565" i="1"/>
  <c r="P3565" i="1"/>
  <c r="S3564" i="1"/>
  <c r="R3564" i="1"/>
  <c r="Q3564" i="1"/>
  <c r="P3564" i="1"/>
  <c r="S3563" i="1"/>
  <c r="R3563" i="1"/>
  <c r="Q3563" i="1"/>
  <c r="P3563" i="1"/>
  <c r="S3562" i="1"/>
  <c r="R3562" i="1"/>
  <c r="Q3562" i="1"/>
  <c r="P3562" i="1"/>
  <c r="S3561" i="1"/>
  <c r="R3561" i="1"/>
  <c r="Q3561" i="1"/>
  <c r="P3561" i="1"/>
  <c r="S3560" i="1"/>
  <c r="R3560" i="1"/>
  <c r="Q3560" i="1"/>
  <c r="P3560" i="1"/>
  <c r="S3559" i="1"/>
  <c r="R3559" i="1"/>
  <c r="Q3559" i="1"/>
  <c r="P3559" i="1"/>
  <c r="S3558" i="1"/>
  <c r="R3558" i="1"/>
  <c r="Q3558" i="1"/>
  <c r="P3558" i="1"/>
  <c r="S3557" i="1"/>
  <c r="R3557" i="1"/>
  <c r="Q3557" i="1"/>
  <c r="P3557" i="1"/>
  <c r="S3556" i="1"/>
  <c r="R3556" i="1"/>
  <c r="Q3556" i="1"/>
  <c r="P3556" i="1"/>
  <c r="S3555" i="1"/>
  <c r="R3555" i="1"/>
  <c r="Q3555" i="1"/>
  <c r="P3555" i="1"/>
  <c r="S3554" i="1"/>
  <c r="R3554" i="1"/>
  <c r="Q3554" i="1"/>
  <c r="P3554" i="1"/>
  <c r="S3553" i="1"/>
  <c r="R3553" i="1"/>
  <c r="Q3553" i="1"/>
  <c r="P3553" i="1"/>
  <c r="S3552" i="1"/>
  <c r="R3552" i="1"/>
  <c r="Q3552" i="1"/>
  <c r="P3552" i="1"/>
  <c r="S3551" i="1"/>
  <c r="R3551" i="1"/>
  <c r="Q3551" i="1"/>
  <c r="P3551" i="1"/>
  <c r="S3550" i="1"/>
  <c r="R3550" i="1"/>
  <c r="Q3550" i="1"/>
  <c r="P3550" i="1"/>
  <c r="S3549" i="1"/>
  <c r="R3549" i="1"/>
  <c r="Q3549" i="1"/>
  <c r="P3549" i="1"/>
  <c r="S3548" i="1"/>
  <c r="R3548" i="1"/>
  <c r="Q3548" i="1"/>
  <c r="P3548" i="1"/>
  <c r="S3547" i="1"/>
  <c r="R3547" i="1"/>
  <c r="Q3547" i="1"/>
  <c r="P3547" i="1"/>
  <c r="S3546" i="1"/>
  <c r="R3546" i="1"/>
  <c r="Q3546" i="1"/>
  <c r="P3546" i="1"/>
  <c r="S3545" i="1"/>
  <c r="R3545" i="1"/>
  <c r="Q3545" i="1"/>
  <c r="P3545" i="1"/>
  <c r="S3544" i="1"/>
  <c r="R3544" i="1"/>
  <c r="Q3544" i="1"/>
  <c r="P3544" i="1"/>
  <c r="S3543" i="1"/>
  <c r="R3543" i="1"/>
  <c r="Q3543" i="1"/>
  <c r="P3543" i="1"/>
  <c r="S3542" i="1"/>
  <c r="R3542" i="1"/>
  <c r="Q3542" i="1"/>
  <c r="P3542" i="1"/>
  <c r="S3541" i="1"/>
  <c r="R3541" i="1"/>
  <c r="Q3541" i="1"/>
  <c r="P3541" i="1"/>
  <c r="S3540" i="1"/>
  <c r="R3540" i="1"/>
  <c r="Q3540" i="1"/>
  <c r="P3540" i="1"/>
  <c r="S3539" i="1"/>
  <c r="R3539" i="1"/>
  <c r="Q3539" i="1"/>
  <c r="P3539" i="1"/>
  <c r="S3538" i="1"/>
  <c r="R3538" i="1"/>
  <c r="Q3538" i="1"/>
  <c r="P3538" i="1"/>
  <c r="S3537" i="1"/>
  <c r="R3537" i="1"/>
  <c r="Q3537" i="1"/>
  <c r="P3537" i="1"/>
  <c r="S3536" i="1"/>
  <c r="R3536" i="1"/>
  <c r="Q3536" i="1"/>
  <c r="P3536" i="1"/>
  <c r="S3535" i="1"/>
  <c r="R3535" i="1"/>
  <c r="Q3535" i="1"/>
  <c r="P3535" i="1"/>
  <c r="S3534" i="1"/>
  <c r="R3534" i="1"/>
  <c r="Q3534" i="1"/>
  <c r="P3534" i="1"/>
  <c r="S3533" i="1"/>
  <c r="R3533" i="1"/>
  <c r="Q3533" i="1"/>
  <c r="P3533" i="1"/>
  <c r="S3532" i="1"/>
  <c r="R3532" i="1"/>
  <c r="Q3532" i="1"/>
  <c r="P3532" i="1"/>
  <c r="S3531" i="1"/>
  <c r="R3531" i="1"/>
  <c r="Q3531" i="1"/>
  <c r="P3531" i="1"/>
  <c r="S3530" i="1"/>
  <c r="R3530" i="1"/>
  <c r="Q3530" i="1"/>
  <c r="P3530" i="1"/>
  <c r="S3529" i="1"/>
  <c r="R3529" i="1"/>
  <c r="Q3529" i="1"/>
  <c r="P3529" i="1"/>
  <c r="S3528" i="1"/>
  <c r="R3528" i="1"/>
  <c r="Q3528" i="1"/>
  <c r="P3528" i="1"/>
  <c r="S3527" i="1"/>
  <c r="R3527" i="1"/>
  <c r="Q3527" i="1"/>
  <c r="P3527" i="1"/>
  <c r="S3526" i="1"/>
  <c r="R3526" i="1"/>
  <c r="Q3526" i="1"/>
  <c r="P3526" i="1"/>
  <c r="S3525" i="1"/>
  <c r="R3525" i="1"/>
  <c r="Q3525" i="1"/>
  <c r="P3525" i="1"/>
  <c r="S3524" i="1"/>
  <c r="R3524" i="1"/>
  <c r="Q3524" i="1"/>
  <c r="P3524" i="1"/>
  <c r="S3523" i="1"/>
  <c r="R3523" i="1"/>
  <c r="Q3523" i="1"/>
  <c r="P3523" i="1"/>
  <c r="S3522" i="1"/>
  <c r="R3522" i="1"/>
  <c r="Q3522" i="1"/>
  <c r="P3522" i="1"/>
  <c r="S3521" i="1"/>
  <c r="R3521" i="1"/>
  <c r="Q3521" i="1"/>
  <c r="P3521" i="1"/>
  <c r="S3520" i="1"/>
  <c r="R3520" i="1"/>
  <c r="Q3520" i="1"/>
  <c r="P3520" i="1"/>
  <c r="S3519" i="1"/>
  <c r="R3519" i="1"/>
  <c r="Q3519" i="1"/>
  <c r="P3519" i="1"/>
  <c r="S3518" i="1"/>
  <c r="R3518" i="1"/>
  <c r="Q3518" i="1"/>
  <c r="P3518" i="1"/>
  <c r="S3517" i="1"/>
  <c r="R3517" i="1"/>
  <c r="Q3517" i="1"/>
  <c r="P3517" i="1"/>
  <c r="S3516" i="1"/>
  <c r="R3516" i="1"/>
  <c r="Q3516" i="1"/>
  <c r="P3516" i="1"/>
  <c r="S3515" i="1"/>
  <c r="R3515" i="1"/>
  <c r="Q3515" i="1"/>
  <c r="P3515" i="1"/>
  <c r="S3514" i="1"/>
  <c r="R3514" i="1"/>
  <c r="Q3514" i="1"/>
  <c r="P3514" i="1"/>
  <c r="S3513" i="1"/>
  <c r="R3513" i="1"/>
  <c r="Q3513" i="1"/>
  <c r="P3513" i="1"/>
  <c r="S3512" i="1"/>
  <c r="R3512" i="1"/>
  <c r="Q3512" i="1"/>
  <c r="P3512" i="1"/>
  <c r="S3511" i="1"/>
  <c r="R3511" i="1"/>
  <c r="Q3511" i="1"/>
  <c r="P3511" i="1"/>
  <c r="S3510" i="1"/>
  <c r="R3510" i="1"/>
  <c r="Q3510" i="1"/>
  <c r="P3510" i="1"/>
  <c r="S3509" i="1"/>
  <c r="R3509" i="1"/>
  <c r="Q3509" i="1"/>
  <c r="P3509" i="1"/>
  <c r="S3508" i="1"/>
  <c r="R3508" i="1"/>
  <c r="Q3508" i="1"/>
  <c r="P3508" i="1"/>
  <c r="S3507" i="1"/>
  <c r="R3507" i="1"/>
  <c r="Q3507" i="1"/>
  <c r="P3507" i="1"/>
  <c r="S3506" i="1"/>
  <c r="R3506" i="1"/>
  <c r="Q3506" i="1"/>
  <c r="P3506" i="1"/>
  <c r="S3505" i="1"/>
  <c r="R3505" i="1"/>
  <c r="Q3505" i="1"/>
  <c r="P3505" i="1"/>
  <c r="S3504" i="1"/>
  <c r="R3504" i="1"/>
  <c r="Q3504" i="1"/>
  <c r="P3504" i="1"/>
  <c r="S3503" i="1"/>
  <c r="R3503" i="1"/>
  <c r="Q3503" i="1"/>
  <c r="P3503" i="1"/>
  <c r="S3502" i="1"/>
  <c r="R3502" i="1"/>
  <c r="Q3502" i="1"/>
  <c r="P3502" i="1"/>
  <c r="S3501" i="1"/>
  <c r="R3501" i="1"/>
  <c r="Q3501" i="1"/>
  <c r="P3501" i="1"/>
  <c r="S3500" i="1"/>
  <c r="R3500" i="1"/>
  <c r="Q3500" i="1"/>
  <c r="P3500" i="1"/>
  <c r="S3499" i="1"/>
  <c r="R3499" i="1"/>
  <c r="Q3499" i="1"/>
  <c r="P3499" i="1"/>
  <c r="S3498" i="1"/>
  <c r="R3498" i="1"/>
  <c r="Q3498" i="1"/>
  <c r="P3498" i="1"/>
  <c r="S3497" i="1"/>
  <c r="R3497" i="1"/>
  <c r="Q3497" i="1"/>
  <c r="P3497" i="1"/>
  <c r="S3496" i="1"/>
  <c r="R3496" i="1"/>
  <c r="Q3496" i="1"/>
  <c r="P3496" i="1"/>
  <c r="S3495" i="1"/>
  <c r="R3495" i="1"/>
  <c r="Q3495" i="1"/>
  <c r="P3495" i="1"/>
  <c r="S3494" i="1"/>
  <c r="R3494" i="1"/>
  <c r="Q3494" i="1"/>
  <c r="P3494" i="1"/>
  <c r="S3493" i="1"/>
  <c r="R3493" i="1"/>
  <c r="Q3493" i="1"/>
  <c r="P3493" i="1"/>
  <c r="S3492" i="1"/>
  <c r="R3492" i="1"/>
  <c r="Q3492" i="1"/>
  <c r="P3492" i="1"/>
  <c r="S3491" i="1"/>
  <c r="R3491" i="1"/>
  <c r="Q3491" i="1"/>
  <c r="P3491" i="1"/>
  <c r="S3490" i="1"/>
  <c r="R3490" i="1"/>
  <c r="Q3490" i="1"/>
  <c r="P3490" i="1"/>
  <c r="S3489" i="1"/>
  <c r="R3489" i="1"/>
  <c r="Q3489" i="1"/>
  <c r="P3489" i="1"/>
  <c r="S3488" i="1"/>
  <c r="R3488" i="1"/>
  <c r="Q3488" i="1"/>
  <c r="P3488" i="1"/>
  <c r="S3487" i="1"/>
  <c r="R3487" i="1"/>
  <c r="Q3487" i="1"/>
  <c r="P3487" i="1"/>
  <c r="S3486" i="1"/>
  <c r="R3486" i="1"/>
  <c r="Q3486" i="1"/>
  <c r="P3486" i="1"/>
  <c r="S3485" i="1"/>
  <c r="R3485" i="1"/>
  <c r="Q3485" i="1"/>
  <c r="P3485" i="1"/>
  <c r="S3484" i="1"/>
  <c r="R3484" i="1"/>
  <c r="Q3484" i="1"/>
  <c r="P3484" i="1"/>
  <c r="S3483" i="1"/>
  <c r="R3483" i="1"/>
  <c r="Q3483" i="1"/>
  <c r="P3483" i="1"/>
  <c r="S3482" i="1"/>
  <c r="R3482" i="1"/>
  <c r="Q3482" i="1"/>
  <c r="P3482" i="1"/>
  <c r="S3481" i="1"/>
  <c r="R3481" i="1"/>
  <c r="Q3481" i="1"/>
  <c r="P3481" i="1"/>
  <c r="S3480" i="1"/>
  <c r="R3480" i="1"/>
  <c r="Q3480" i="1"/>
  <c r="P3480" i="1"/>
  <c r="S3479" i="1"/>
  <c r="R3479" i="1"/>
  <c r="Q3479" i="1"/>
  <c r="P3479" i="1"/>
  <c r="S3478" i="1"/>
  <c r="R3478" i="1"/>
  <c r="Q3478" i="1"/>
  <c r="P3478" i="1"/>
  <c r="S3477" i="1"/>
  <c r="R3477" i="1"/>
  <c r="Q3477" i="1"/>
  <c r="P3477" i="1"/>
  <c r="S3476" i="1"/>
  <c r="R3476" i="1"/>
  <c r="Q3476" i="1"/>
  <c r="P3476" i="1"/>
  <c r="S3475" i="1"/>
  <c r="R3475" i="1"/>
  <c r="Q3475" i="1"/>
  <c r="P3475" i="1"/>
  <c r="S3474" i="1"/>
  <c r="R3474" i="1"/>
  <c r="Q3474" i="1"/>
  <c r="P3474" i="1"/>
  <c r="S3473" i="1"/>
  <c r="R3473" i="1"/>
  <c r="Q3473" i="1"/>
  <c r="P3473" i="1"/>
  <c r="S3472" i="1"/>
  <c r="R3472" i="1"/>
  <c r="Q3472" i="1"/>
  <c r="P3472" i="1"/>
  <c r="S3471" i="1"/>
  <c r="R3471" i="1"/>
  <c r="Q3471" i="1"/>
  <c r="P3471" i="1"/>
  <c r="S3470" i="1"/>
  <c r="R3470" i="1"/>
  <c r="Q3470" i="1"/>
  <c r="P3470" i="1"/>
  <c r="S3469" i="1"/>
  <c r="R3469" i="1"/>
  <c r="Q3469" i="1"/>
  <c r="P3469" i="1"/>
  <c r="S3468" i="1"/>
  <c r="R3468" i="1"/>
  <c r="Q3468" i="1"/>
  <c r="P3468" i="1"/>
  <c r="S3467" i="1"/>
  <c r="R3467" i="1"/>
  <c r="Q3467" i="1"/>
  <c r="P3467" i="1"/>
  <c r="S3466" i="1"/>
  <c r="R3466" i="1"/>
  <c r="Q3466" i="1"/>
  <c r="P3466" i="1"/>
  <c r="S3465" i="1"/>
  <c r="R3465" i="1"/>
  <c r="Q3465" i="1"/>
  <c r="P3465" i="1"/>
  <c r="S3464" i="1"/>
  <c r="R3464" i="1"/>
  <c r="Q3464" i="1"/>
  <c r="P3464" i="1"/>
  <c r="S3463" i="1"/>
  <c r="R3463" i="1"/>
  <c r="Q3463" i="1"/>
  <c r="P3463" i="1"/>
  <c r="S3462" i="1"/>
  <c r="R3462" i="1"/>
  <c r="Q3462" i="1"/>
  <c r="P3462" i="1"/>
  <c r="S3461" i="1"/>
  <c r="R3461" i="1"/>
  <c r="Q3461" i="1"/>
  <c r="P3461" i="1"/>
  <c r="S3460" i="1"/>
  <c r="R3460" i="1"/>
  <c r="Q3460" i="1"/>
  <c r="P3460" i="1"/>
  <c r="S3459" i="1"/>
  <c r="R3459" i="1"/>
  <c r="Q3459" i="1"/>
  <c r="P3459" i="1"/>
  <c r="S3458" i="1"/>
  <c r="R3458" i="1"/>
  <c r="Q3458" i="1"/>
  <c r="P3458" i="1"/>
  <c r="S3457" i="1"/>
  <c r="R3457" i="1"/>
  <c r="Q3457" i="1"/>
  <c r="P3457" i="1"/>
  <c r="S3456" i="1"/>
  <c r="R3456" i="1"/>
  <c r="Q3456" i="1"/>
  <c r="P3456" i="1"/>
  <c r="S3455" i="1"/>
  <c r="R3455" i="1"/>
  <c r="Q3455" i="1"/>
  <c r="P3455" i="1"/>
  <c r="S3454" i="1"/>
  <c r="R3454" i="1"/>
  <c r="Q3454" i="1"/>
  <c r="P3454" i="1"/>
  <c r="S3453" i="1"/>
  <c r="R3453" i="1"/>
  <c r="Q3453" i="1"/>
  <c r="P3453" i="1"/>
  <c r="S3452" i="1"/>
  <c r="R3452" i="1"/>
  <c r="Q3452" i="1"/>
  <c r="P3452" i="1"/>
  <c r="S3451" i="1"/>
  <c r="R3451" i="1"/>
  <c r="Q3451" i="1"/>
  <c r="P3451" i="1"/>
  <c r="S3450" i="1"/>
  <c r="R3450" i="1"/>
  <c r="Q3450" i="1"/>
  <c r="P3450" i="1"/>
  <c r="S3449" i="1"/>
  <c r="R3449" i="1"/>
  <c r="Q3449" i="1"/>
  <c r="P3449" i="1"/>
  <c r="S3448" i="1"/>
  <c r="R3448" i="1"/>
  <c r="Q3448" i="1"/>
  <c r="P3448" i="1"/>
  <c r="S3447" i="1"/>
  <c r="R3447" i="1"/>
  <c r="Q3447" i="1"/>
  <c r="P3447" i="1"/>
  <c r="S3446" i="1"/>
  <c r="R3446" i="1"/>
  <c r="Q3446" i="1"/>
  <c r="P3446" i="1"/>
  <c r="S3445" i="1"/>
  <c r="R3445" i="1"/>
  <c r="Q3445" i="1"/>
  <c r="P3445" i="1"/>
  <c r="S3444" i="1"/>
  <c r="R3444" i="1"/>
  <c r="Q3444" i="1"/>
  <c r="P3444" i="1"/>
  <c r="S3443" i="1"/>
  <c r="R3443" i="1"/>
  <c r="Q3443" i="1"/>
  <c r="P3443" i="1"/>
  <c r="S3442" i="1"/>
  <c r="R3442" i="1"/>
  <c r="Q3442" i="1"/>
  <c r="P3442" i="1"/>
  <c r="S3441" i="1"/>
  <c r="R3441" i="1"/>
  <c r="Q3441" i="1"/>
  <c r="P3441" i="1"/>
  <c r="S3440" i="1"/>
  <c r="R3440" i="1"/>
  <c r="Q3440" i="1"/>
  <c r="P3440" i="1"/>
  <c r="S3439" i="1"/>
  <c r="R3439" i="1"/>
  <c r="Q3439" i="1"/>
  <c r="P3439" i="1"/>
  <c r="S3438" i="1"/>
  <c r="R3438" i="1"/>
  <c r="Q3438" i="1"/>
  <c r="P3438" i="1"/>
  <c r="S3437" i="1"/>
  <c r="R3437" i="1"/>
  <c r="Q3437" i="1"/>
  <c r="P3437" i="1"/>
  <c r="S3436" i="1"/>
  <c r="R3436" i="1"/>
  <c r="Q3436" i="1"/>
  <c r="P3436" i="1"/>
  <c r="S3435" i="1"/>
  <c r="R3435" i="1"/>
  <c r="Q3435" i="1"/>
  <c r="P3435" i="1"/>
  <c r="S3434" i="1"/>
  <c r="R3434" i="1"/>
  <c r="Q3434" i="1"/>
  <c r="P3434" i="1"/>
  <c r="S3433" i="1"/>
  <c r="R3433" i="1"/>
  <c r="Q3433" i="1"/>
  <c r="P3433" i="1"/>
  <c r="S3432" i="1"/>
  <c r="R3432" i="1"/>
  <c r="Q3432" i="1"/>
  <c r="P3432" i="1"/>
  <c r="S3431" i="1"/>
  <c r="R3431" i="1"/>
  <c r="Q3431" i="1"/>
  <c r="P3431" i="1"/>
  <c r="S3430" i="1"/>
  <c r="R3430" i="1"/>
  <c r="Q3430" i="1"/>
  <c r="P3430" i="1"/>
  <c r="S3429" i="1"/>
  <c r="R3429" i="1"/>
  <c r="Q3429" i="1"/>
  <c r="P3429" i="1"/>
  <c r="S3428" i="1"/>
  <c r="R3428" i="1"/>
  <c r="Q3428" i="1"/>
  <c r="P3428" i="1"/>
  <c r="S3427" i="1"/>
  <c r="R3427" i="1"/>
  <c r="Q3427" i="1"/>
  <c r="P3427" i="1"/>
  <c r="S3426" i="1"/>
  <c r="R3426" i="1"/>
  <c r="Q3426" i="1"/>
  <c r="P3426" i="1"/>
  <c r="S3425" i="1"/>
  <c r="R3425" i="1"/>
  <c r="Q3425" i="1"/>
  <c r="P3425" i="1"/>
  <c r="S3424" i="1"/>
  <c r="R3424" i="1"/>
  <c r="Q3424" i="1"/>
  <c r="P3424" i="1"/>
  <c r="S3423" i="1"/>
  <c r="R3423" i="1"/>
  <c r="Q3423" i="1"/>
  <c r="P3423" i="1"/>
  <c r="S3422" i="1"/>
  <c r="R3422" i="1"/>
  <c r="Q3422" i="1"/>
  <c r="P3422" i="1"/>
  <c r="S3421" i="1"/>
  <c r="R3421" i="1"/>
  <c r="Q3421" i="1"/>
  <c r="P3421" i="1"/>
  <c r="S3420" i="1"/>
  <c r="R3420" i="1"/>
  <c r="Q3420" i="1"/>
  <c r="P3420" i="1"/>
  <c r="S3419" i="1"/>
  <c r="R3419" i="1"/>
  <c r="Q3419" i="1"/>
  <c r="P3419" i="1"/>
  <c r="S3418" i="1"/>
  <c r="R3418" i="1"/>
  <c r="Q3418" i="1"/>
  <c r="P3418" i="1"/>
  <c r="S3417" i="1"/>
  <c r="R3417" i="1"/>
  <c r="Q3417" i="1"/>
  <c r="P3417" i="1"/>
  <c r="S3416" i="1"/>
  <c r="R3416" i="1"/>
  <c r="Q3416" i="1"/>
  <c r="P3416" i="1"/>
  <c r="S3415" i="1"/>
  <c r="R3415" i="1"/>
  <c r="Q3415" i="1"/>
  <c r="P3415" i="1"/>
  <c r="S3414" i="1"/>
  <c r="R3414" i="1"/>
  <c r="Q3414" i="1"/>
  <c r="P3414" i="1"/>
  <c r="S3413" i="1"/>
  <c r="R3413" i="1"/>
  <c r="Q3413" i="1"/>
  <c r="P3413" i="1"/>
  <c r="S3412" i="1"/>
  <c r="R3412" i="1"/>
  <c r="Q3412" i="1"/>
  <c r="P3412" i="1"/>
  <c r="S3411" i="1"/>
  <c r="R3411" i="1"/>
  <c r="Q3411" i="1"/>
  <c r="P3411" i="1"/>
  <c r="S3410" i="1"/>
  <c r="R3410" i="1"/>
  <c r="Q3410" i="1"/>
  <c r="P3410" i="1"/>
  <c r="S3409" i="1"/>
  <c r="R3409" i="1"/>
  <c r="Q3409" i="1"/>
  <c r="P3409" i="1"/>
  <c r="S3408" i="1"/>
  <c r="R3408" i="1"/>
  <c r="Q3408" i="1"/>
  <c r="P3408" i="1"/>
  <c r="S3407" i="1"/>
  <c r="R3407" i="1"/>
  <c r="Q3407" i="1"/>
  <c r="P3407" i="1"/>
  <c r="S3406" i="1"/>
  <c r="R3406" i="1"/>
  <c r="Q3406" i="1"/>
  <c r="P3406" i="1"/>
  <c r="S3405" i="1"/>
  <c r="R3405" i="1"/>
  <c r="Q3405" i="1"/>
  <c r="P3405" i="1"/>
  <c r="S3404" i="1"/>
  <c r="R3404" i="1"/>
  <c r="Q3404" i="1"/>
  <c r="P3404" i="1"/>
  <c r="S3403" i="1"/>
  <c r="R3403" i="1"/>
  <c r="Q3403" i="1"/>
  <c r="P3403" i="1"/>
  <c r="S3402" i="1"/>
  <c r="R3402" i="1"/>
  <c r="Q3402" i="1"/>
  <c r="P3402" i="1"/>
  <c r="S3401" i="1"/>
  <c r="R3401" i="1"/>
  <c r="Q3401" i="1"/>
  <c r="P3401" i="1"/>
  <c r="S3400" i="1"/>
  <c r="R3400" i="1"/>
  <c r="Q3400" i="1"/>
  <c r="P3400" i="1"/>
  <c r="S3399" i="1"/>
  <c r="R3399" i="1"/>
  <c r="Q3399" i="1"/>
  <c r="P3399" i="1"/>
  <c r="S3398" i="1"/>
  <c r="R3398" i="1"/>
  <c r="Q3398" i="1"/>
  <c r="P3398" i="1"/>
  <c r="S3397" i="1"/>
  <c r="R3397" i="1"/>
  <c r="Q3397" i="1"/>
  <c r="P3397" i="1"/>
  <c r="S3396" i="1"/>
  <c r="R3396" i="1"/>
  <c r="Q3396" i="1"/>
  <c r="P3396" i="1"/>
  <c r="S3395" i="1"/>
  <c r="R3395" i="1"/>
  <c r="Q3395" i="1"/>
  <c r="P3395" i="1"/>
  <c r="S3394" i="1"/>
  <c r="R3394" i="1"/>
  <c r="Q3394" i="1"/>
  <c r="P3394" i="1"/>
  <c r="S3393" i="1"/>
  <c r="R3393" i="1"/>
  <c r="Q3393" i="1"/>
  <c r="P3393" i="1"/>
  <c r="S3392" i="1"/>
  <c r="R3392" i="1"/>
  <c r="Q3392" i="1"/>
  <c r="P3392" i="1"/>
  <c r="S3391" i="1"/>
  <c r="R3391" i="1"/>
  <c r="Q3391" i="1"/>
  <c r="P3391" i="1"/>
  <c r="S3390" i="1"/>
  <c r="R3390" i="1"/>
  <c r="Q3390" i="1"/>
  <c r="P3390" i="1"/>
  <c r="S3389" i="1"/>
  <c r="R3389" i="1"/>
  <c r="Q3389" i="1"/>
  <c r="P3389" i="1"/>
  <c r="S3388" i="1"/>
  <c r="R3388" i="1"/>
  <c r="Q3388" i="1"/>
  <c r="P3388" i="1"/>
  <c r="S3387" i="1"/>
  <c r="R3387" i="1"/>
  <c r="Q3387" i="1"/>
  <c r="P3387" i="1"/>
  <c r="S3386" i="1"/>
  <c r="R3386" i="1"/>
  <c r="Q3386" i="1"/>
  <c r="P3386" i="1"/>
  <c r="S3385" i="1"/>
  <c r="R3385" i="1"/>
  <c r="Q3385" i="1"/>
  <c r="P3385" i="1"/>
  <c r="S3384" i="1"/>
  <c r="R3384" i="1"/>
  <c r="Q3384" i="1"/>
  <c r="P3384" i="1"/>
  <c r="S3383" i="1"/>
  <c r="R3383" i="1"/>
  <c r="Q3383" i="1"/>
  <c r="P3383" i="1"/>
  <c r="S3382" i="1"/>
  <c r="R3382" i="1"/>
  <c r="Q3382" i="1"/>
  <c r="P3382" i="1"/>
  <c r="S3381" i="1"/>
  <c r="R3381" i="1"/>
  <c r="Q3381" i="1"/>
  <c r="P3381" i="1"/>
  <c r="S3380" i="1"/>
  <c r="R3380" i="1"/>
  <c r="Q3380" i="1"/>
  <c r="P3380" i="1"/>
  <c r="S3379" i="1"/>
  <c r="R3379" i="1"/>
  <c r="Q3379" i="1"/>
  <c r="P3379" i="1"/>
  <c r="S3378" i="1"/>
  <c r="R3378" i="1"/>
  <c r="Q3378" i="1"/>
  <c r="P3378" i="1"/>
  <c r="S3377" i="1"/>
  <c r="R3377" i="1"/>
  <c r="Q3377" i="1"/>
  <c r="P3377" i="1"/>
  <c r="S3376" i="1"/>
  <c r="R3376" i="1"/>
  <c r="Q3376" i="1"/>
  <c r="P3376" i="1"/>
  <c r="S3375" i="1"/>
  <c r="R3375" i="1"/>
  <c r="Q3375" i="1"/>
  <c r="P3375" i="1"/>
  <c r="S3374" i="1"/>
  <c r="R3374" i="1"/>
  <c r="Q3374" i="1"/>
  <c r="P3374" i="1"/>
  <c r="S3373" i="1"/>
  <c r="R3373" i="1"/>
  <c r="Q3373" i="1"/>
  <c r="P3373" i="1"/>
  <c r="S3372" i="1"/>
  <c r="R3372" i="1"/>
  <c r="Q3372" i="1"/>
  <c r="P3372" i="1"/>
  <c r="S3371" i="1"/>
  <c r="R3371" i="1"/>
  <c r="Q3371" i="1"/>
  <c r="P3371" i="1"/>
  <c r="S3370" i="1"/>
  <c r="R3370" i="1"/>
  <c r="Q3370" i="1"/>
  <c r="P3370" i="1"/>
  <c r="S3369" i="1"/>
  <c r="R3369" i="1"/>
  <c r="Q3369" i="1"/>
  <c r="P3369" i="1"/>
  <c r="S3368" i="1"/>
  <c r="R3368" i="1"/>
  <c r="Q3368" i="1"/>
  <c r="P3368" i="1"/>
  <c r="S3367" i="1"/>
  <c r="R3367" i="1"/>
  <c r="Q3367" i="1"/>
  <c r="P3367" i="1"/>
  <c r="S3366" i="1"/>
  <c r="R3366" i="1"/>
  <c r="Q3366" i="1"/>
  <c r="P3366" i="1"/>
  <c r="S3365" i="1"/>
  <c r="R3365" i="1"/>
  <c r="Q3365" i="1"/>
  <c r="P3365" i="1"/>
  <c r="S3364" i="1"/>
  <c r="R3364" i="1"/>
  <c r="Q3364" i="1"/>
  <c r="P3364" i="1"/>
  <c r="S3363" i="1"/>
  <c r="R3363" i="1"/>
  <c r="Q3363" i="1"/>
  <c r="P3363" i="1"/>
  <c r="S3362" i="1"/>
  <c r="R3362" i="1"/>
  <c r="Q3362" i="1"/>
  <c r="P3362" i="1"/>
  <c r="S3361" i="1"/>
  <c r="R3361" i="1"/>
  <c r="Q3361" i="1"/>
  <c r="P3361" i="1"/>
  <c r="S3360" i="1"/>
  <c r="R3360" i="1"/>
  <c r="Q3360" i="1"/>
  <c r="P3360" i="1"/>
  <c r="S3359" i="1"/>
  <c r="R3359" i="1"/>
  <c r="Q3359" i="1"/>
  <c r="P3359" i="1"/>
  <c r="S3358" i="1"/>
  <c r="R3358" i="1"/>
  <c r="Q3358" i="1"/>
  <c r="P3358" i="1"/>
  <c r="S3357" i="1"/>
  <c r="R3357" i="1"/>
  <c r="Q3357" i="1"/>
  <c r="P3357" i="1"/>
  <c r="S3356" i="1"/>
  <c r="R3356" i="1"/>
  <c r="Q3356" i="1"/>
  <c r="P3356" i="1"/>
  <c r="S3355" i="1"/>
  <c r="R3355" i="1"/>
  <c r="Q3355" i="1"/>
  <c r="P3355" i="1"/>
  <c r="S3354" i="1"/>
  <c r="R3354" i="1"/>
  <c r="Q3354" i="1"/>
  <c r="P3354" i="1"/>
  <c r="S3353" i="1"/>
  <c r="R3353" i="1"/>
  <c r="Q3353" i="1"/>
  <c r="P3353" i="1"/>
  <c r="S3352" i="1"/>
  <c r="R3352" i="1"/>
  <c r="Q3352" i="1"/>
  <c r="P3352" i="1"/>
  <c r="S3351" i="1"/>
  <c r="R3351" i="1"/>
  <c r="Q3351" i="1"/>
  <c r="P3351" i="1"/>
  <c r="S3350" i="1"/>
  <c r="R3350" i="1"/>
  <c r="Q3350" i="1"/>
  <c r="P3350" i="1"/>
  <c r="S3349" i="1"/>
  <c r="R3349" i="1"/>
  <c r="Q3349" i="1"/>
  <c r="P3349" i="1"/>
  <c r="S3348" i="1"/>
  <c r="R3348" i="1"/>
  <c r="Q3348" i="1"/>
  <c r="P3348" i="1"/>
  <c r="S3347" i="1"/>
  <c r="R3347" i="1"/>
  <c r="Q3347" i="1"/>
  <c r="P3347" i="1"/>
  <c r="S3346" i="1"/>
  <c r="R3346" i="1"/>
  <c r="Q3346" i="1"/>
  <c r="P3346" i="1"/>
  <c r="S3345" i="1"/>
  <c r="R3345" i="1"/>
  <c r="Q3345" i="1"/>
  <c r="P3345" i="1"/>
  <c r="S3344" i="1"/>
  <c r="R3344" i="1"/>
  <c r="Q3344" i="1"/>
  <c r="P3344" i="1"/>
  <c r="S3343" i="1"/>
  <c r="R3343" i="1"/>
  <c r="Q3343" i="1"/>
  <c r="P3343" i="1"/>
  <c r="S3342" i="1"/>
  <c r="R3342" i="1"/>
  <c r="Q3342" i="1"/>
  <c r="P3342" i="1"/>
  <c r="S3341" i="1"/>
  <c r="R3341" i="1"/>
  <c r="Q3341" i="1"/>
  <c r="P3341" i="1"/>
  <c r="S3340" i="1"/>
  <c r="R3340" i="1"/>
  <c r="Q3340" i="1"/>
  <c r="P3340" i="1"/>
  <c r="S3339" i="1"/>
  <c r="R3339" i="1"/>
  <c r="Q3339" i="1"/>
  <c r="P3339" i="1"/>
  <c r="S3338" i="1"/>
  <c r="R3338" i="1"/>
  <c r="Q3338" i="1"/>
  <c r="P3338" i="1"/>
  <c r="S3337" i="1"/>
  <c r="R3337" i="1"/>
  <c r="Q3337" i="1"/>
  <c r="P3337" i="1"/>
  <c r="S3336" i="1"/>
  <c r="R3336" i="1"/>
  <c r="Q3336" i="1"/>
  <c r="P3336" i="1"/>
  <c r="S3335" i="1"/>
  <c r="R3335" i="1"/>
  <c r="Q3335" i="1"/>
  <c r="P3335" i="1"/>
  <c r="S3334" i="1"/>
  <c r="R3334" i="1"/>
  <c r="Q3334" i="1"/>
  <c r="P3334" i="1"/>
  <c r="S3333" i="1"/>
  <c r="R3333" i="1"/>
  <c r="Q3333" i="1"/>
  <c r="P3333" i="1"/>
  <c r="S3332" i="1"/>
  <c r="R3332" i="1"/>
  <c r="Q3332" i="1"/>
  <c r="P3332" i="1"/>
  <c r="S3331" i="1"/>
  <c r="R3331" i="1"/>
  <c r="Q3331" i="1"/>
  <c r="P3331" i="1"/>
  <c r="S3330" i="1"/>
  <c r="R3330" i="1"/>
  <c r="Q3330" i="1"/>
  <c r="P3330" i="1"/>
  <c r="S3329" i="1"/>
  <c r="R3329" i="1"/>
  <c r="Q3329" i="1"/>
  <c r="P3329" i="1"/>
  <c r="S3328" i="1"/>
  <c r="R3328" i="1"/>
  <c r="Q3328" i="1"/>
  <c r="P3328" i="1"/>
  <c r="S3327" i="1"/>
  <c r="R3327" i="1"/>
  <c r="Q3327" i="1"/>
  <c r="P3327" i="1"/>
  <c r="S3326" i="1"/>
  <c r="R3326" i="1"/>
  <c r="Q3326" i="1"/>
  <c r="P3326" i="1"/>
  <c r="S3325" i="1"/>
  <c r="R3325" i="1"/>
  <c r="Q3325" i="1"/>
  <c r="P3325" i="1"/>
  <c r="S3324" i="1"/>
  <c r="R3324" i="1"/>
  <c r="Q3324" i="1"/>
  <c r="P3324" i="1"/>
  <c r="S3323" i="1"/>
  <c r="R3323" i="1"/>
  <c r="Q3323" i="1"/>
  <c r="P3323" i="1"/>
  <c r="S3322" i="1"/>
  <c r="R3322" i="1"/>
  <c r="Q3322" i="1"/>
  <c r="P3322" i="1"/>
  <c r="S3321" i="1"/>
  <c r="R3321" i="1"/>
  <c r="Q3321" i="1"/>
  <c r="P3321" i="1"/>
  <c r="S3320" i="1"/>
  <c r="R3320" i="1"/>
  <c r="Q3320" i="1"/>
  <c r="P3320" i="1"/>
  <c r="S3319" i="1"/>
  <c r="R3319" i="1"/>
  <c r="Q3319" i="1"/>
  <c r="P3319" i="1"/>
  <c r="S3318" i="1"/>
  <c r="R3318" i="1"/>
  <c r="Q3318" i="1"/>
  <c r="P3318" i="1"/>
  <c r="S3317" i="1"/>
  <c r="R3317" i="1"/>
  <c r="Q3317" i="1"/>
  <c r="P3317" i="1"/>
  <c r="S3316" i="1"/>
  <c r="R3316" i="1"/>
  <c r="Q3316" i="1"/>
  <c r="P3316" i="1"/>
  <c r="S3315" i="1"/>
  <c r="R3315" i="1"/>
  <c r="Q3315" i="1"/>
  <c r="P3315" i="1"/>
  <c r="S3314" i="1"/>
  <c r="R3314" i="1"/>
  <c r="Q3314" i="1"/>
  <c r="P3314" i="1"/>
  <c r="S3313" i="1"/>
  <c r="R3313" i="1"/>
  <c r="Q3313" i="1"/>
  <c r="P3313" i="1"/>
  <c r="S3312" i="1"/>
  <c r="R3312" i="1"/>
  <c r="Q3312" i="1"/>
  <c r="P3312" i="1"/>
  <c r="S3311" i="1"/>
  <c r="R3311" i="1"/>
  <c r="Q3311" i="1"/>
  <c r="P3311" i="1"/>
  <c r="S3310" i="1"/>
  <c r="R3310" i="1"/>
  <c r="Q3310" i="1"/>
  <c r="P3310" i="1"/>
  <c r="S3309" i="1"/>
  <c r="R3309" i="1"/>
  <c r="Q3309" i="1"/>
  <c r="P3309" i="1"/>
  <c r="S3308" i="1"/>
  <c r="R3308" i="1"/>
  <c r="Q3308" i="1"/>
  <c r="P3308" i="1"/>
  <c r="S3307" i="1"/>
  <c r="R3307" i="1"/>
  <c r="Q3307" i="1"/>
  <c r="P3307" i="1"/>
  <c r="S3306" i="1"/>
  <c r="R3306" i="1"/>
  <c r="Q3306" i="1"/>
  <c r="P3306" i="1"/>
  <c r="S3305" i="1"/>
  <c r="R3305" i="1"/>
  <c r="Q3305" i="1"/>
  <c r="P3305" i="1"/>
  <c r="S3304" i="1"/>
  <c r="R3304" i="1"/>
  <c r="Q3304" i="1"/>
  <c r="P3304" i="1"/>
  <c r="S3303" i="1"/>
  <c r="R3303" i="1"/>
  <c r="Q3303" i="1"/>
  <c r="P3303" i="1"/>
  <c r="S3302" i="1"/>
  <c r="R3302" i="1"/>
  <c r="Q3302" i="1"/>
  <c r="P3302" i="1"/>
  <c r="S3301" i="1"/>
  <c r="R3301" i="1"/>
  <c r="Q3301" i="1"/>
  <c r="P3301" i="1"/>
  <c r="S3300" i="1"/>
  <c r="R3300" i="1"/>
  <c r="Q3300" i="1"/>
  <c r="P3300" i="1"/>
  <c r="S3299" i="1"/>
  <c r="R3299" i="1"/>
  <c r="Q3299" i="1"/>
  <c r="P3299" i="1"/>
  <c r="S3298" i="1"/>
  <c r="R3298" i="1"/>
  <c r="Q3298" i="1"/>
  <c r="P3298" i="1"/>
  <c r="S3297" i="1"/>
  <c r="R3297" i="1"/>
  <c r="Q3297" i="1"/>
  <c r="P3297" i="1"/>
  <c r="S3296" i="1"/>
  <c r="R3296" i="1"/>
  <c r="Q3296" i="1"/>
  <c r="P3296" i="1"/>
  <c r="S3295" i="1"/>
  <c r="R3295" i="1"/>
  <c r="Q3295" i="1"/>
  <c r="P3295" i="1"/>
  <c r="S3294" i="1"/>
  <c r="R3294" i="1"/>
  <c r="Q3294" i="1"/>
  <c r="P3294" i="1"/>
  <c r="S3293" i="1"/>
  <c r="R3293" i="1"/>
  <c r="Q3293" i="1"/>
  <c r="P3293" i="1"/>
  <c r="S3292" i="1"/>
  <c r="R3292" i="1"/>
  <c r="Q3292" i="1"/>
  <c r="P3292" i="1"/>
  <c r="S3291" i="1"/>
  <c r="R3291" i="1"/>
  <c r="Q3291" i="1"/>
  <c r="P3291" i="1"/>
  <c r="S3290" i="1"/>
  <c r="R3290" i="1"/>
  <c r="Q3290" i="1"/>
  <c r="P3290" i="1"/>
  <c r="S3289" i="1"/>
  <c r="R3289" i="1"/>
  <c r="Q3289" i="1"/>
  <c r="P3289" i="1"/>
  <c r="S3288" i="1"/>
  <c r="R3288" i="1"/>
  <c r="Q3288" i="1"/>
  <c r="P3288" i="1"/>
  <c r="S3287" i="1"/>
  <c r="R3287" i="1"/>
  <c r="Q3287" i="1"/>
  <c r="P3287" i="1"/>
  <c r="S3286" i="1"/>
  <c r="R3286" i="1"/>
  <c r="Q3286" i="1"/>
  <c r="P3286" i="1"/>
  <c r="S3285" i="1"/>
  <c r="R3285" i="1"/>
  <c r="Q3285" i="1"/>
  <c r="P3285" i="1"/>
  <c r="S3284" i="1"/>
  <c r="R3284" i="1"/>
  <c r="Q3284" i="1"/>
  <c r="P3284" i="1"/>
  <c r="S3283" i="1"/>
  <c r="R3283" i="1"/>
  <c r="Q3283" i="1"/>
  <c r="P3283" i="1"/>
  <c r="S3282" i="1"/>
  <c r="R3282" i="1"/>
  <c r="Q3282" i="1"/>
  <c r="P3282" i="1"/>
  <c r="S3281" i="1"/>
  <c r="R3281" i="1"/>
  <c r="Q3281" i="1"/>
  <c r="P3281" i="1"/>
  <c r="S3280" i="1"/>
  <c r="R3280" i="1"/>
  <c r="Q3280" i="1"/>
  <c r="P3280" i="1"/>
  <c r="S3279" i="1"/>
  <c r="R3279" i="1"/>
  <c r="Q3279" i="1"/>
  <c r="P3279" i="1"/>
  <c r="S3278" i="1"/>
  <c r="R3278" i="1"/>
  <c r="Q3278" i="1"/>
  <c r="P3278" i="1"/>
  <c r="S3277" i="1"/>
  <c r="R3277" i="1"/>
  <c r="Q3277" i="1"/>
  <c r="P3277" i="1"/>
  <c r="S3276" i="1"/>
  <c r="R3276" i="1"/>
  <c r="Q3276" i="1"/>
  <c r="P3276" i="1"/>
  <c r="S3275" i="1"/>
  <c r="R3275" i="1"/>
  <c r="Q3275" i="1"/>
  <c r="P3275" i="1"/>
  <c r="S3274" i="1"/>
  <c r="R3274" i="1"/>
  <c r="Q3274" i="1"/>
  <c r="P3274" i="1"/>
  <c r="S3273" i="1"/>
  <c r="R3273" i="1"/>
  <c r="Q3273" i="1"/>
  <c r="P3273" i="1"/>
  <c r="S3272" i="1"/>
  <c r="R3272" i="1"/>
  <c r="Q3272" i="1"/>
  <c r="P3272" i="1"/>
  <c r="S3271" i="1"/>
  <c r="R3271" i="1"/>
  <c r="Q3271" i="1"/>
  <c r="P3271" i="1"/>
  <c r="S3270" i="1"/>
  <c r="R3270" i="1"/>
  <c r="Q3270" i="1"/>
  <c r="P3270" i="1"/>
  <c r="S3269" i="1"/>
  <c r="R3269" i="1"/>
  <c r="Q3269" i="1"/>
  <c r="P3269" i="1"/>
  <c r="S3268" i="1"/>
  <c r="R3268" i="1"/>
  <c r="Q3268" i="1"/>
  <c r="P3268" i="1"/>
  <c r="S3267" i="1"/>
  <c r="R3267" i="1"/>
  <c r="Q3267" i="1"/>
  <c r="P3267" i="1"/>
  <c r="S3266" i="1"/>
  <c r="R3266" i="1"/>
  <c r="Q3266" i="1"/>
  <c r="P3266" i="1"/>
  <c r="S3265" i="1"/>
  <c r="R3265" i="1"/>
  <c r="Q3265" i="1"/>
  <c r="P3265" i="1"/>
  <c r="S3264" i="1"/>
  <c r="R3264" i="1"/>
  <c r="Q3264" i="1"/>
  <c r="P3264" i="1"/>
  <c r="S3263" i="1"/>
  <c r="R3263" i="1"/>
  <c r="Q3263" i="1"/>
  <c r="P3263" i="1"/>
  <c r="S3262" i="1"/>
  <c r="R3262" i="1"/>
  <c r="Q3262" i="1"/>
  <c r="P3262" i="1"/>
  <c r="S3261" i="1"/>
  <c r="R3261" i="1"/>
  <c r="Q3261" i="1"/>
  <c r="P3261" i="1"/>
  <c r="S3260" i="1"/>
  <c r="R3260" i="1"/>
  <c r="Q3260" i="1"/>
  <c r="P3260" i="1"/>
  <c r="S3259" i="1"/>
  <c r="R3259" i="1"/>
  <c r="Q3259" i="1"/>
  <c r="P3259" i="1"/>
  <c r="S3258" i="1"/>
  <c r="R3258" i="1"/>
  <c r="Q3258" i="1"/>
  <c r="P3258" i="1"/>
  <c r="S3257" i="1"/>
  <c r="R3257" i="1"/>
  <c r="Q3257" i="1"/>
  <c r="P3257" i="1"/>
  <c r="S3256" i="1"/>
  <c r="R3256" i="1"/>
  <c r="Q3256" i="1"/>
  <c r="P3256" i="1"/>
  <c r="S3255" i="1"/>
  <c r="R3255" i="1"/>
  <c r="Q3255" i="1"/>
  <c r="P3255" i="1"/>
  <c r="S3254" i="1"/>
  <c r="R3254" i="1"/>
  <c r="Q3254" i="1"/>
  <c r="P3254" i="1"/>
  <c r="S3253" i="1"/>
  <c r="R3253" i="1"/>
  <c r="Q3253" i="1"/>
  <c r="P3253" i="1"/>
  <c r="S3252" i="1"/>
  <c r="R3252" i="1"/>
  <c r="Q3252" i="1"/>
  <c r="P3252" i="1"/>
  <c r="S3251" i="1"/>
  <c r="R3251" i="1"/>
  <c r="Q3251" i="1"/>
  <c r="P3251" i="1"/>
  <c r="S3250" i="1"/>
  <c r="R3250" i="1"/>
  <c r="Q3250" i="1"/>
  <c r="P3250" i="1"/>
  <c r="S3249" i="1"/>
  <c r="R3249" i="1"/>
  <c r="Q3249" i="1"/>
  <c r="P3249" i="1"/>
  <c r="S3248" i="1"/>
  <c r="R3248" i="1"/>
  <c r="Q3248" i="1"/>
  <c r="P3248" i="1"/>
  <c r="S3247" i="1"/>
  <c r="R3247" i="1"/>
  <c r="Q3247" i="1"/>
  <c r="P3247" i="1"/>
  <c r="S3246" i="1"/>
  <c r="R3246" i="1"/>
  <c r="Q3246" i="1"/>
  <c r="P3246" i="1"/>
  <c r="S3245" i="1"/>
  <c r="R3245" i="1"/>
  <c r="Q3245" i="1"/>
  <c r="P3245" i="1"/>
  <c r="S3244" i="1"/>
  <c r="R3244" i="1"/>
  <c r="Q3244" i="1"/>
  <c r="P3244" i="1"/>
  <c r="S3243" i="1"/>
  <c r="R3243" i="1"/>
  <c r="Q3243" i="1"/>
  <c r="P3243" i="1"/>
  <c r="S3242" i="1"/>
  <c r="R3242" i="1"/>
  <c r="Q3242" i="1"/>
  <c r="P3242" i="1"/>
  <c r="S3241" i="1"/>
  <c r="R3241" i="1"/>
  <c r="Q3241" i="1"/>
  <c r="P3241" i="1"/>
  <c r="S3240" i="1"/>
  <c r="R3240" i="1"/>
  <c r="Q3240" i="1"/>
  <c r="P3240" i="1"/>
  <c r="S3239" i="1"/>
  <c r="R3239" i="1"/>
  <c r="Q3239" i="1"/>
  <c r="P3239" i="1"/>
  <c r="S3238" i="1"/>
  <c r="R3238" i="1"/>
  <c r="Q3238" i="1"/>
  <c r="P3238" i="1"/>
  <c r="S3237" i="1"/>
  <c r="R3237" i="1"/>
  <c r="Q3237" i="1"/>
  <c r="P3237" i="1"/>
  <c r="S3236" i="1"/>
  <c r="R3236" i="1"/>
  <c r="Q3236" i="1"/>
  <c r="P3236" i="1"/>
  <c r="S3235" i="1"/>
  <c r="R3235" i="1"/>
  <c r="Q3235" i="1"/>
  <c r="P3235" i="1"/>
  <c r="S3234" i="1"/>
  <c r="R3234" i="1"/>
  <c r="Q3234" i="1"/>
  <c r="P3234" i="1"/>
  <c r="S3233" i="1"/>
  <c r="R3233" i="1"/>
  <c r="Q3233" i="1"/>
  <c r="P3233" i="1"/>
  <c r="S3232" i="1"/>
  <c r="R3232" i="1"/>
  <c r="Q3232" i="1"/>
  <c r="P3232" i="1"/>
  <c r="S3231" i="1"/>
  <c r="R3231" i="1"/>
  <c r="Q3231" i="1"/>
  <c r="P3231" i="1"/>
  <c r="S3230" i="1"/>
  <c r="R3230" i="1"/>
  <c r="Q3230" i="1"/>
  <c r="P3230" i="1"/>
  <c r="S3229" i="1"/>
  <c r="R3229" i="1"/>
  <c r="Q3229" i="1"/>
  <c r="P3229" i="1"/>
  <c r="S3228" i="1"/>
  <c r="R3228" i="1"/>
  <c r="Q3228" i="1"/>
  <c r="P3228" i="1"/>
  <c r="S3227" i="1"/>
  <c r="R3227" i="1"/>
  <c r="Q3227" i="1"/>
  <c r="P3227" i="1"/>
  <c r="S3226" i="1"/>
  <c r="R3226" i="1"/>
  <c r="Q3226" i="1"/>
  <c r="P3226" i="1"/>
  <c r="S3225" i="1"/>
  <c r="R3225" i="1"/>
  <c r="Q3225" i="1"/>
  <c r="P3225" i="1"/>
  <c r="S3224" i="1"/>
  <c r="R3224" i="1"/>
  <c r="Q3224" i="1"/>
  <c r="P3224" i="1"/>
  <c r="S3223" i="1"/>
  <c r="R3223" i="1"/>
  <c r="Q3223" i="1"/>
  <c r="P3223" i="1"/>
  <c r="S3222" i="1"/>
  <c r="R3222" i="1"/>
  <c r="Q3222" i="1"/>
  <c r="P3222" i="1"/>
  <c r="S3221" i="1"/>
  <c r="R3221" i="1"/>
  <c r="Q3221" i="1"/>
  <c r="P3221" i="1"/>
  <c r="S3220" i="1"/>
  <c r="R3220" i="1"/>
  <c r="Q3220" i="1"/>
  <c r="P3220" i="1"/>
  <c r="S3219" i="1"/>
  <c r="R3219" i="1"/>
  <c r="Q3219" i="1"/>
  <c r="P3219" i="1"/>
  <c r="S3218" i="1"/>
  <c r="R3218" i="1"/>
  <c r="Q3218" i="1"/>
  <c r="P3218" i="1"/>
  <c r="S3217" i="1"/>
  <c r="R3217" i="1"/>
  <c r="Q3217" i="1"/>
  <c r="P3217" i="1"/>
  <c r="S3216" i="1"/>
  <c r="R3216" i="1"/>
  <c r="Q3216" i="1"/>
  <c r="P3216" i="1"/>
  <c r="S3215" i="1"/>
  <c r="R3215" i="1"/>
  <c r="Q3215" i="1"/>
  <c r="P3215" i="1"/>
  <c r="S3214" i="1"/>
  <c r="R3214" i="1"/>
  <c r="Q3214" i="1"/>
  <c r="P3214" i="1"/>
  <c r="S3213" i="1"/>
  <c r="R3213" i="1"/>
  <c r="Q3213" i="1"/>
  <c r="P3213" i="1"/>
  <c r="S3212" i="1"/>
  <c r="R3212" i="1"/>
  <c r="Q3212" i="1"/>
  <c r="P3212" i="1"/>
  <c r="S3211" i="1"/>
  <c r="R3211" i="1"/>
  <c r="Q3211" i="1"/>
  <c r="P3211" i="1"/>
  <c r="S3210" i="1"/>
  <c r="R3210" i="1"/>
  <c r="Q3210" i="1"/>
  <c r="P3210" i="1"/>
  <c r="S3209" i="1"/>
  <c r="R3209" i="1"/>
  <c r="Q3209" i="1"/>
  <c r="P3209" i="1"/>
  <c r="S3208" i="1"/>
  <c r="R3208" i="1"/>
  <c r="Q3208" i="1"/>
  <c r="P3208" i="1"/>
  <c r="S3207" i="1"/>
  <c r="R3207" i="1"/>
  <c r="Q3207" i="1"/>
  <c r="P3207" i="1"/>
  <c r="S3206" i="1"/>
  <c r="R3206" i="1"/>
  <c r="Q3206" i="1"/>
  <c r="P3206" i="1"/>
  <c r="S3205" i="1"/>
  <c r="R3205" i="1"/>
  <c r="Q3205" i="1"/>
  <c r="P3205" i="1"/>
  <c r="S3204" i="1"/>
  <c r="R3204" i="1"/>
  <c r="Q3204" i="1"/>
  <c r="P3204" i="1"/>
  <c r="S3203" i="1"/>
  <c r="R3203" i="1"/>
  <c r="Q3203" i="1"/>
  <c r="P3203" i="1"/>
  <c r="S3202" i="1"/>
  <c r="R3202" i="1"/>
  <c r="Q3202" i="1"/>
  <c r="P3202" i="1"/>
  <c r="S3201" i="1"/>
  <c r="R3201" i="1"/>
  <c r="Q3201" i="1"/>
  <c r="P3201" i="1"/>
  <c r="S3200" i="1"/>
  <c r="R3200" i="1"/>
  <c r="Q3200" i="1"/>
  <c r="P3200" i="1"/>
  <c r="S3199" i="1"/>
  <c r="R3199" i="1"/>
  <c r="Q3199" i="1"/>
  <c r="P3199" i="1"/>
  <c r="S3198" i="1"/>
  <c r="R3198" i="1"/>
  <c r="Q3198" i="1"/>
  <c r="P3198" i="1"/>
  <c r="S3197" i="1"/>
  <c r="R3197" i="1"/>
  <c r="Q3197" i="1"/>
  <c r="P3197" i="1"/>
  <c r="S3196" i="1"/>
  <c r="R3196" i="1"/>
  <c r="Q3196" i="1"/>
  <c r="P3196" i="1"/>
  <c r="S3195" i="1"/>
  <c r="R3195" i="1"/>
  <c r="Q3195" i="1"/>
  <c r="P3195" i="1"/>
  <c r="S3194" i="1"/>
  <c r="R3194" i="1"/>
  <c r="Q3194" i="1"/>
  <c r="P3194" i="1"/>
  <c r="S3193" i="1"/>
  <c r="R3193" i="1"/>
  <c r="Q3193" i="1"/>
  <c r="P3193" i="1"/>
  <c r="S3192" i="1"/>
  <c r="R3192" i="1"/>
  <c r="Q3192" i="1"/>
  <c r="P3192" i="1"/>
  <c r="S3191" i="1"/>
  <c r="R3191" i="1"/>
  <c r="Q3191" i="1"/>
  <c r="P3191" i="1"/>
  <c r="S3190" i="1"/>
  <c r="R3190" i="1"/>
  <c r="Q3190" i="1"/>
  <c r="P3190" i="1"/>
  <c r="S3189" i="1"/>
  <c r="R3189" i="1"/>
  <c r="Q3189" i="1"/>
  <c r="P3189" i="1"/>
  <c r="S3188" i="1"/>
  <c r="R3188" i="1"/>
  <c r="Q3188" i="1"/>
  <c r="P3188" i="1"/>
  <c r="S3187" i="1"/>
  <c r="R3187" i="1"/>
  <c r="Q3187" i="1"/>
  <c r="P3187" i="1"/>
  <c r="S3186" i="1"/>
  <c r="R3186" i="1"/>
  <c r="Q3186" i="1"/>
  <c r="P3186" i="1"/>
  <c r="S3185" i="1"/>
  <c r="R3185" i="1"/>
  <c r="Q3185" i="1"/>
  <c r="P3185" i="1"/>
  <c r="S3184" i="1"/>
  <c r="R3184" i="1"/>
  <c r="Q3184" i="1"/>
  <c r="P3184" i="1"/>
  <c r="S3183" i="1"/>
  <c r="R3183" i="1"/>
  <c r="Q3183" i="1"/>
  <c r="P3183" i="1"/>
  <c r="S3182" i="1"/>
  <c r="R3182" i="1"/>
  <c r="Q3182" i="1"/>
  <c r="P3182" i="1"/>
  <c r="S3181" i="1"/>
  <c r="R3181" i="1"/>
  <c r="Q3181" i="1"/>
  <c r="P3181" i="1"/>
  <c r="S3180" i="1"/>
  <c r="R3180" i="1"/>
  <c r="Q3180" i="1"/>
  <c r="P3180" i="1"/>
  <c r="S3179" i="1"/>
  <c r="R3179" i="1"/>
  <c r="Q3179" i="1"/>
  <c r="P3179" i="1"/>
  <c r="S3178" i="1"/>
  <c r="R3178" i="1"/>
  <c r="Q3178" i="1"/>
  <c r="P3178" i="1"/>
  <c r="S3177" i="1"/>
  <c r="R3177" i="1"/>
  <c r="Q3177" i="1"/>
  <c r="P3177" i="1"/>
  <c r="S3176" i="1"/>
  <c r="R3176" i="1"/>
  <c r="Q3176" i="1"/>
  <c r="P3176" i="1"/>
  <c r="S3175" i="1"/>
  <c r="R3175" i="1"/>
  <c r="Q3175" i="1"/>
  <c r="P3175" i="1"/>
  <c r="S3174" i="1"/>
  <c r="R3174" i="1"/>
  <c r="Q3174" i="1"/>
  <c r="P3174" i="1"/>
  <c r="S3173" i="1"/>
  <c r="R3173" i="1"/>
  <c r="Q3173" i="1"/>
  <c r="P3173" i="1"/>
  <c r="S3172" i="1"/>
  <c r="R3172" i="1"/>
  <c r="Q3172" i="1"/>
  <c r="P3172" i="1"/>
  <c r="S3171" i="1"/>
  <c r="R3171" i="1"/>
  <c r="Q3171" i="1"/>
  <c r="P3171" i="1"/>
  <c r="S3170" i="1"/>
  <c r="R3170" i="1"/>
  <c r="Q3170" i="1"/>
  <c r="P3170" i="1"/>
  <c r="S3169" i="1"/>
  <c r="R3169" i="1"/>
  <c r="Q3169" i="1"/>
  <c r="P3169" i="1"/>
  <c r="S3168" i="1"/>
  <c r="R3168" i="1"/>
  <c r="Q3168" i="1"/>
  <c r="P3168" i="1"/>
  <c r="S3167" i="1"/>
  <c r="R3167" i="1"/>
  <c r="Q3167" i="1"/>
  <c r="P3167" i="1"/>
  <c r="S3166" i="1"/>
  <c r="R3166" i="1"/>
  <c r="Q3166" i="1"/>
  <c r="P3166" i="1"/>
  <c r="S3165" i="1"/>
  <c r="R3165" i="1"/>
  <c r="Q3165" i="1"/>
  <c r="P3165" i="1"/>
  <c r="S3164" i="1"/>
  <c r="R3164" i="1"/>
  <c r="Q3164" i="1"/>
  <c r="P3164" i="1"/>
  <c r="S3163" i="1"/>
  <c r="R3163" i="1"/>
  <c r="Q3163" i="1"/>
  <c r="P3163" i="1"/>
  <c r="S3162" i="1"/>
  <c r="R3162" i="1"/>
  <c r="Q3162" i="1"/>
  <c r="P3162" i="1"/>
  <c r="S3161" i="1"/>
  <c r="R3161" i="1"/>
  <c r="Q3161" i="1"/>
  <c r="P3161" i="1"/>
  <c r="S3160" i="1"/>
  <c r="R3160" i="1"/>
  <c r="Q3160" i="1"/>
  <c r="P3160" i="1"/>
  <c r="S3159" i="1"/>
  <c r="R3159" i="1"/>
  <c r="Q3159" i="1"/>
  <c r="P3159" i="1"/>
  <c r="S3158" i="1"/>
  <c r="R3158" i="1"/>
  <c r="Q3158" i="1"/>
  <c r="P3158" i="1"/>
  <c r="S3157" i="1"/>
  <c r="R3157" i="1"/>
  <c r="Q3157" i="1"/>
  <c r="P3157" i="1"/>
  <c r="S3156" i="1"/>
  <c r="R3156" i="1"/>
  <c r="Q3156" i="1"/>
  <c r="P3156" i="1"/>
  <c r="S3155" i="1"/>
  <c r="R3155" i="1"/>
  <c r="Q3155" i="1"/>
  <c r="P3155" i="1"/>
  <c r="S3154" i="1"/>
  <c r="R3154" i="1"/>
  <c r="Q3154" i="1"/>
  <c r="P3154" i="1"/>
  <c r="S3153" i="1"/>
  <c r="R3153" i="1"/>
  <c r="Q3153" i="1"/>
  <c r="P3153" i="1"/>
  <c r="S3152" i="1"/>
  <c r="R3152" i="1"/>
  <c r="Q3152" i="1"/>
  <c r="P3152" i="1"/>
  <c r="S3151" i="1"/>
  <c r="R3151" i="1"/>
  <c r="Q3151" i="1"/>
  <c r="P3151" i="1"/>
  <c r="S3150" i="1"/>
  <c r="R3150" i="1"/>
  <c r="Q3150" i="1"/>
  <c r="P3150" i="1"/>
  <c r="S3149" i="1"/>
  <c r="R3149" i="1"/>
  <c r="Q3149" i="1"/>
  <c r="P3149" i="1"/>
  <c r="S3148" i="1"/>
  <c r="R3148" i="1"/>
  <c r="Q3148" i="1"/>
  <c r="P3148" i="1"/>
  <c r="S3147" i="1"/>
  <c r="R3147" i="1"/>
  <c r="Q3147" i="1"/>
  <c r="P3147" i="1"/>
  <c r="S3146" i="1"/>
  <c r="R3146" i="1"/>
  <c r="Q3146" i="1"/>
  <c r="P3146" i="1"/>
  <c r="S3145" i="1"/>
  <c r="R3145" i="1"/>
  <c r="Q3145" i="1"/>
  <c r="P3145" i="1"/>
  <c r="S3144" i="1"/>
  <c r="R3144" i="1"/>
  <c r="Q3144" i="1"/>
  <c r="P3144" i="1"/>
  <c r="S3143" i="1"/>
  <c r="R3143" i="1"/>
  <c r="Q3143" i="1"/>
  <c r="P3143" i="1"/>
  <c r="S3142" i="1"/>
  <c r="R3142" i="1"/>
  <c r="Q3142" i="1"/>
  <c r="P3142" i="1"/>
  <c r="S3141" i="1"/>
  <c r="R3141" i="1"/>
  <c r="Q3141" i="1"/>
  <c r="P3141" i="1"/>
  <c r="S3140" i="1"/>
  <c r="R3140" i="1"/>
  <c r="Q3140" i="1"/>
  <c r="P3140" i="1"/>
  <c r="S3139" i="1"/>
  <c r="R3139" i="1"/>
  <c r="Q3139" i="1"/>
  <c r="P3139" i="1"/>
  <c r="S3138" i="1"/>
  <c r="R3138" i="1"/>
  <c r="Q3138" i="1"/>
  <c r="P3138" i="1"/>
  <c r="S3137" i="1"/>
  <c r="R3137" i="1"/>
  <c r="Q3137" i="1"/>
  <c r="P3137" i="1"/>
  <c r="S3136" i="1"/>
  <c r="R3136" i="1"/>
  <c r="Q3136" i="1"/>
  <c r="P3136" i="1"/>
  <c r="S3135" i="1"/>
  <c r="R3135" i="1"/>
  <c r="Q3135" i="1"/>
  <c r="P3135" i="1"/>
  <c r="S3134" i="1"/>
  <c r="R3134" i="1"/>
  <c r="Q3134" i="1"/>
  <c r="P3134" i="1"/>
  <c r="S3133" i="1"/>
  <c r="R3133" i="1"/>
  <c r="Q3133" i="1"/>
  <c r="P3133" i="1"/>
  <c r="S3132" i="1"/>
  <c r="R3132" i="1"/>
  <c r="Q3132" i="1"/>
  <c r="P3132" i="1"/>
  <c r="S3131" i="1"/>
  <c r="R3131" i="1"/>
  <c r="Q3131" i="1"/>
  <c r="P3131" i="1"/>
  <c r="S3130" i="1"/>
  <c r="R3130" i="1"/>
  <c r="Q3130" i="1"/>
  <c r="P3130" i="1"/>
  <c r="S3129" i="1"/>
  <c r="R3129" i="1"/>
  <c r="Q3129" i="1"/>
  <c r="P3129" i="1"/>
  <c r="S3128" i="1"/>
  <c r="R3128" i="1"/>
  <c r="Q3128" i="1"/>
  <c r="P3128" i="1"/>
  <c r="S3127" i="1"/>
  <c r="R3127" i="1"/>
  <c r="Q3127" i="1"/>
  <c r="P3127" i="1"/>
  <c r="S3126" i="1"/>
  <c r="R3126" i="1"/>
  <c r="Q3126" i="1"/>
  <c r="P3126" i="1"/>
  <c r="S3125" i="1"/>
  <c r="R3125" i="1"/>
  <c r="Q3125" i="1"/>
  <c r="P3125" i="1"/>
  <c r="S3124" i="1"/>
  <c r="R3124" i="1"/>
  <c r="Q3124" i="1"/>
  <c r="P3124" i="1"/>
  <c r="S3123" i="1"/>
  <c r="R3123" i="1"/>
  <c r="Q3123" i="1"/>
  <c r="P3123" i="1"/>
  <c r="S3122" i="1"/>
  <c r="R3122" i="1"/>
  <c r="Q3122" i="1"/>
  <c r="P3122" i="1"/>
  <c r="S3121" i="1"/>
  <c r="R3121" i="1"/>
  <c r="Q3121" i="1"/>
  <c r="P3121" i="1"/>
  <c r="S3120" i="1"/>
  <c r="R3120" i="1"/>
  <c r="Q3120" i="1"/>
  <c r="P3120" i="1"/>
  <c r="S3119" i="1"/>
  <c r="R3119" i="1"/>
  <c r="Q3119" i="1"/>
  <c r="P3119" i="1"/>
  <c r="S3118" i="1"/>
  <c r="R3118" i="1"/>
  <c r="Q3118" i="1"/>
  <c r="P3118" i="1"/>
  <c r="S3117" i="1"/>
  <c r="R3117" i="1"/>
  <c r="Q3117" i="1"/>
  <c r="P3117" i="1"/>
  <c r="S3116" i="1"/>
  <c r="R3116" i="1"/>
  <c r="Q3116" i="1"/>
  <c r="P3116" i="1"/>
  <c r="S3115" i="1"/>
  <c r="R3115" i="1"/>
  <c r="Q3115" i="1"/>
  <c r="P3115" i="1"/>
  <c r="S3114" i="1"/>
  <c r="R3114" i="1"/>
  <c r="Q3114" i="1"/>
  <c r="P3114" i="1"/>
  <c r="S3113" i="1"/>
  <c r="R3113" i="1"/>
  <c r="Q3113" i="1"/>
  <c r="P3113" i="1"/>
  <c r="S3112" i="1"/>
  <c r="R3112" i="1"/>
  <c r="Q3112" i="1"/>
  <c r="P3112" i="1"/>
  <c r="S3111" i="1"/>
  <c r="R3111" i="1"/>
  <c r="Q3111" i="1"/>
  <c r="P3111" i="1"/>
  <c r="S3110" i="1"/>
  <c r="R3110" i="1"/>
  <c r="Q3110" i="1"/>
  <c r="P3110" i="1"/>
  <c r="S3109" i="1"/>
  <c r="R3109" i="1"/>
  <c r="Q3109" i="1"/>
  <c r="P3109" i="1"/>
  <c r="S3108" i="1"/>
  <c r="R3108" i="1"/>
  <c r="Q3108" i="1"/>
  <c r="P3108" i="1"/>
  <c r="S3107" i="1"/>
  <c r="R3107" i="1"/>
  <c r="Q3107" i="1"/>
  <c r="P3107" i="1"/>
  <c r="S3106" i="1"/>
  <c r="R3106" i="1"/>
  <c r="Q3106" i="1"/>
  <c r="P3106" i="1"/>
  <c r="S3105" i="1"/>
  <c r="R3105" i="1"/>
  <c r="Q3105" i="1"/>
  <c r="P3105" i="1"/>
  <c r="S3104" i="1"/>
  <c r="R3104" i="1"/>
  <c r="Q3104" i="1"/>
  <c r="P3104" i="1"/>
  <c r="S3103" i="1"/>
  <c r="R3103" i="1"/>
  <c r="Q3103" i="1"/>
  <c r="P3103" i="1"/>
  <c r="S3102" i="1"/>
  <c r="R3102" i="1"/>
  <c r="Q3102" i="1"/>
  <c r="P3102" i="1"/>
  <c r="S3101" i="1"/>
  <c r="R3101" i="1"/>
  <c r="Q3101" i="1"/>
  <c r="P3101" i="1"/>
  <c r="S3100" i="1"/>
  <c r="R3100" i="1"/>
  <c r="Q3100" i="1"/>
  <c r="P3100" i="1"/>
  <c r="S3099" i="1"/>
  <c r="R3099" i="1"/>
  <c r="Q3099" i="1"/>
  <c r="P3099" i="1"/>
  <c r="S3098" i="1"/>
  <c r="R3098" i="1"/>
  <c r="Q3098" i="1"/>
  <c r="P3098" i="1"/>
  <c r="S3097" i="1"/>
  <c r="R3097" i="1"/>
  <c r="Q3097" i="1"/>
  <c r="P3097" i="1"/>
  <c r="S3096" i="1"/>
  <c r="R3096" i="1"/>
  <c r="Q3096" i="1"/>
  <c r="P3096" i="1"/>
  <c r="S3095" i="1"/>
  <c r="R3095" i="1"/>
  <c r="Q3095" i="1"/>
  <c r="P3095" i="1"/>
  <c r="S3094" i="1"/>
  <c r="R3094" i="1"/>
  <c r="Q3094" i="1"/>
  <c r="P3094" i="1"/>
  <c r="S3093" i="1"/>
  <c r="R3093" i="1"/>
  <c r="Q3093" i="1"/>
  <c r="P3093" i="1"/>
  <c r="S3092" i="1"/>
  <c r="R3092" i="1"/>
  <c r="Q3092" i="1"/>
  <c r="P3092" i="1"/>
  <c r="S3091" i="1"/>
  <c r="R3091" i="1"/>
  <c r="Q3091" i="1"/>
  <c r="P3091" i="1"/>
  <c r="S3090" i="1"/>
  <c r="R3090" i="1"/>
  <c r="Q3090" i="1"/>
  <c r="P3090" i="1"/>
  <c r="S3089" i="1"/>
  <c r="R3089" i="1"/>
  <c r="Q3089" i="1"/>
  <c r="P3089" i="1"/>
  <c r="S3088" i="1"/>
  <c r="R3088" i="1"/>
  <c r="Q3088" i="1"/>
  <c r="P3088" i="1"/>
  <c r="S3087" i="1"/>
  <c r="R3087" i="1"/>
  <c r="Q3087" i="1"/>
  <c r="P3087" i="1"/>
  <c r="S3086" i="1"/>
  <c r="R3086" i="1"/>
  <c r="Q3086" i="1"/>
  <c r="P3086" i="1"/>
  <c r="S3085" i="1"/>
  <c r="R3085" i="1"/>
  <c r="Q3085" i="1"/>
  <c r="P3085" i="1"/>
  <c r="S3084" i="1"/>
  <c r="R3084" i="1"/>
  <c r="Q3084" i="1"/>
  <c r="P3084" i="1"/>
  <c r="S3083" i="1"/>
  <c r="R3083" i="1"/>
  <c r="Q3083" i="1"/>
  <c r="P3083" i="1"/>
  <c r="S3082" i="1"/>
  <c r="R3082" i="1"/>
  <c r="Q3082" i="1"/>
  <c r="P3082" i="1"/>
  <c r="S3081" i="1"/>
  <c r="R3081" i="1"/>
  <c r="Q3081" i="1"/>
  <c r="P3081" i="1"/>
  <c r="S3080" i="1"/>
  <c r="R3080" i="1"/>
  <c r="Q3080" i="1"/>
  <c r="P3080" i="1"/>
  <c r="S3079" i="1"/>
  <c r="R3079" i="1"/>
  <c r="Q3079" i="1"/>
  <c r="P3079" i="1"/>
  <c r="S3078" i="1"/>
  <c r="R3078" i="1"/>
  <c r="Q3078" i="1"/>
  <c r="P3078" i="1"/>
  <c r="S3077" i="1"/>
  <c r="R3077" i="1"/>
  <c r="Q3077" i="1"/>
  <c r="P3077" i="1"/>
  <c r="S3076" i="1"/>
  <c r="R3076" i="1"/>
  <c r="Q3076" i="1"/>
  <c r="P3076" i="1"/>
  <c r="S3075" i="1"/>
  <c r="R3075" i="1"/>
  <c r="Q3075" i="1"/>
  <c r="P3075" i="1"/>
  <c r="S3074" i="1"/>
  <c r="R3074" i="1"/>
  <c r="Q3074" i="1"/>
  <c r="P3074" i="1"/>
  <c r="S3073" i="1"/>
  <c r="R3073" i="1"/>
  <c r="Q3073" i="1"/>
  <c r="P3073" i="1"/>
  <c r="S3072" i="1"/>
  <c r="R3072" i="1"/>
  <c r="Q3072" i="1"/>
  <c r="P3072" i="1"/>
  <c r="S3071" i="1"/>
  <c r="R3071" i="1"/>
  <c r="Q3071" i="1"/>
  <c r="P3071" i="1"/>
  <c r="S3070" i="1"/>
  <c r="R3070" i="1"/>
  <c r="Q3070" i="1"/>
  <c r="P3070" i="1"/>
  <c r="S3069" i="1"/>
  <c r="R3069" i="1"/>
  <c r="Q3069" i="1"/>
  <c r="P3069" i="1"/>
  <c r="S3068" i="1"/>
  <c r="R3068" i="1"/>
  <c r="Q3068" i="1"/>
  <c r="P3068" i="1"/>
  <c r="S3067" i="1"/>
  <c r="R3067" i="1"/>
  <c r="Q3067" i="1"/>
  <c r="P3067" i="1"/>
  <c r="S3066" i="1"/>
  <c r="R3066" i="1"/>
  <c r="Q3066" i="1"/>
  <c r="P3066" i="1"/>
  <c r="S3065" i="1"/>
  <c r="R3065" i="1"/>
  <c r="Q3065" i="1"/>
  <c r="P3065" i="1"/>
  <c r="S3064" i="1"/>
  <c r="R3064" i="1"/>
  <c r="Q3064" i="1"/>
  <c r="P3064" i="1"/>
  <c r="S3063" i="1"/>
  <c r="R3063" i="1"/>
  <c r="Q3063" i="1"/>
  <c r="P3063" i="1"/>
  <c r="S3062" i="1"/>
  <c r="R3062" i="1"/>
  <c r="Q3062" i="1"/>
  <c r="P3062" i="1"/>
  <c r="S3061" i="1"/>
  <c r="R3061" i="1"/>
  <c r="Q3061" i="1"/>
  <c r="P3061" i="1"/>
  <c r="S3060" i="1"/>
  <c r="R3060" i="1"/>
  <c r="Q3060" i="1"/>
  <c r="P3060" i="1"/>
  <c r="S3059" i="1"/>
  <c r="R3059" i="1"/>
  <c r="Q3059" i="1"/>
  <c r="P3059" i="1"/>
  <c r="S3058" i="1"/>
  <c r="R3058" i="1"/>
  <c r="Q3058" i="1"/>
  <c r="P3058" i="1"/>
  <c r="S3057" i="1"/>
  <c r="R3057" i="1"/>
  <c r="Q3057" i="1"/>
  <c r="P3057" i="1"/>
  <c r="S3056" i="1"/>
  <c r="R3056" i="1"/>
  <c r="Q3056" i="1"/>
  <c r="P3056" i="1"/>
  <c r="S3055" i="1"/>
  <c r="R3055" i="1"/>
  <c r="Q3055" i="1"/>
  <c r="P3055" i="1"/>
  <c r="S3054" i="1"/>
  <c r="R3054" i="1"/>
  <c r="Q3054" i="1"/>
  <c r="P3054" i="1"/>
  <c r="S3053" i="1"/>
  <c r="R3053" i="1"/>
  <c r="Q3053" i="1"/>
  <c r="P3053" i="1"/>
  <c r="S3052" i="1"/>
  <c r="R3052" i="1"/>
  <c r="Q3052" i="1"/>
  <c r="P3052" i="1"/>
  <c r="S3051" i="1"/>
  <c r="R3051" i="1"/>
  <c r="Q3051" i="1"/>
  <c r="P3051" i="1"/>
  <c r="S3050" i="1"/>
  <c r="R3050" i="1"/>
  <c r="Q3050" i="1"/>
  <c r="P3050" i="1"/>
  <c r="S3049" i="1"/>
  <c r="R3049" i="1"/>
  <c r="Q3049" i="1"/>
  <c r="P3049" i="1"/>
  <c r="S3048" i="1"/>
  <c r="R3048" i="1"/>
  <c r="Q3048" i="1"/>
  <c r="P3048" i="1"/>
  <c r="S3047" i="1"/>
  <c r="R3047" i="1"/>
  <c r="Q3047" i="1"/>
  <c r="P3047" i="1"/>
  <c r="S3046" i="1"/>
  <c r="R3046" i="1"/>
  <c r="Q3046" i="1"/>
  <c r="P3046" i="1"/>
  <c r="S3045" i="1"/>
  <c r="R3045" i="1"/>
  <c r="Q3045" i="1"/>
  <c r="P3045" i="1"/>
  <c r="S3044" i="1"/>
  <c r="R3044" i="1"/>
  <c r="Q3044" i="1"/>
  <c r="P3044" i="1"/>
  <c r="S3043" i="1"/>
  <c r="R3043" i="1"/>
  <c r="Q3043" i="1"/>
  <c r="P3043" i="1"/>
  <c r="S3042" i="1"/>
  <c r="R3042" i="1"/>
  <c r="Q3042" i="1"/>
  <c r="P3042" i="1"/>
  <c r="S3041" i="1"/>
  <c r="R3041" i="1"/>
  <c r="Q3041" i="1"/>
  <c r="P3041" i="1"/>
  <c r="S3040" i="1"/>
  <c r="R3040" i="1"/>
  <c r="Q3040" i="1"/>
  <c r="P3040" i="1"/>
  <c r="S3039" i="1"/>
  <c r="R3039" i="1"/>
  <c r="Q3039" i="1"/>
  <c r="P3039" i="1"/>
  <c r="S3038" i="1"/>
  <c r="R3038" i="1"/>
  <c r="Q3038" i="1"/>
  <c r="P3038" i="1"/>
  <c r="S3037" i="1"/>
  <c r="R3037" i="1"/>
  <c r="Q3037" i="1"/>
  <c r="P3037" i="1"/>
  <c r="S3036" i="1"/>
  <c r="R3036" i="1"/>
  <c r="Q3036" i="1"/>
  <c r="P3036" i="1"/>
  <c r="S3035" i="1"/>
  <c r="R3035" i="1"/>
  <c r="Q3035" i="1"/>
  <c r="P3035" i="1"/>
  <c r="S3034" i="1"/>
  <c r="R3034" i="1"/>
  <c r="Q3034" i="1"/>
  <c r="P3034" i="1"/>
  <c r="S3033" i="1"/>
  <c r="R3033" i="1"/>
  <c r="Q3033" i="1"/>
  <c r="P3033" i="1"/>
  <c r="S3032" i="1"/>
  <c r="R3032" i="1"/>
  <c r="Q3032" i="1"/>
  <c r="P3032" i="1"/>
  <c r="S3031" i="1"/>
  <c r="R3031" i="1"/>
  <c r="Q3031" i="1"/>
  <c r="P3031" i="1"/>
  <c r="S3030" i="1"/>
  <c r="R3030" i="1"/>
  <c r="Q3030" i="1"/>
  <c r="P3030" i="1"/>
  <c r="S3029" i="1"/>
  <c r="R3029" i="1"/>
  <c r="Q3029" i="1"/>
  <c r="P3029" i="1"/>
  <c r="S3028" i="1"/>
  <c r="R3028" i="1"/>
  <c r="Q3028" i="1"/>
  <c r="P3028" i="1"/>
  <c r="S3027" i="1"/>
  <c r="R3027" i="1"/>
  <c r="Q3027" i="1"/>
  <c r="P3027" i="1"/>
  <c r="S3026" i="1"/>
  <c r="R3026" i="1"/>
  <c r="Q3026" i="1"/>
  <c r="P3026" i="1"/>
  <c r="S3025" i="1"/>
  <c r="R3025" i="1"/>
  <c r="Q3025" i="1"/>
  <c r="P3025" i="1"/>
  <c r="S3024" i="1"/>
  <c r="R3024" i="1"/>
  <c r="Q3024" i="1"/>
  <c r="P3024" i="1"/>
  <c r="S3023" i="1"/>
  <c r="R3023" i="1"/>
  <c r="Q3023" i="1"/>
  <c r="P3023" i="1"/>
  <c r="S3022" i="1"/>
  <c r="R3022" i="1"/>
  <c r="Q3022" i="1"/>
  <c r="P3022" i="1"/>
  <c r="S3021" i="1"/>
  <c r="R3021" i="1"/>
  <c r="Q3021" i="1"/>
  <c r="P3021" i="1"/>
  <c r="S3020" i="1"/>
  <c r="R3020" i="1"/>
  <c r="Q3020" i="1"/>
  <c r="P3020" i="1"/>
  <c r="S3019" i="1"/>
  <c r="R3019" i="1"/>
  <c r="Q3019" i="1"/>
  <c r="P3019" i="1"/>
  <c r="S3018" i="1"/>
  <c r="R3018" i="1"/>
  <c r="Q3018" i="1"/>
  <c r="P3018" i="1"/>
  <c r="S3017" i="1"/>
  <c r="R3017" i="1"/>
  <c r="Q3017" i="1"/>
  <c r="P3017" i="1"/>
  <c r="S3016" i="1"/>
  <c r="R3016" i="1"/>
  <c r="Q3016" i="1"/>
  <c r="P3016" i="1"/>
  <c r="S3015" i="1"/>
  <c r="R3015" i="1"/>
  <c r="Q3015" i="1"/>
  <c r="P3015" i="1"/>
  <c r="S3014" i="1"/>
  <c r="R3014" i="1"/>
  <c r="Q3014" i="1"/>
  <c r="P3014" i="1"/>
  <c r="S3013" i="1"/>
  <c r="R3013" i="1"/>
  <c r="Q3013" i="1"/>
  <c r="P3013" i="1"/>
  <c r="S3012" i="1"/>
  <c r="R3012" i="1"/>
  <c r="Q3012" i="1"/>
  <c r="P3012" i="1"/>
  <c r="S3011" i="1"/>
  <c r="R3011" i="1"/>
  <c r="Q3011" i="1"/>
  <c r="P3011" i="1"/>
  <c r="S3010" i="1"/>
  <c r="R3010" i="1"/>
  <c r="Q3010" i="1"/>
  <c r="P3010" i="1"/>
  <c r="S3009" i="1"/>
  <c r="R3009" i="1"/>
  <c r="Q3009" i="1"/>
  <c r="P3009" i="1"/>
  <c r="S3008" i="1"/>
  <c r="R3008" i="1"/>
  <c r="Q3008" i="1"/>
  <c r="P3008" i="1"/>
  <c r="S3007" i="1"/>
  <c r="R3007" i="1"/>
  <c r="Q3007" i="1"/>
  <c r="P3007" i="1"/>
  <c r="S3006" i="1"/>
  <c r="R3006" i="1"/>
  <c r="Q3006" i="1"/>
  <c r="P3006" i="1"/>
  <c r="S3005" i="1"/>
  <c r="R3005" i="1"/>
  <c r="Q3005" i="1"/>
  <c r="P3005" i="1"/>
  <c r="S3004" i="1"/>
  <c r="R3004" i="1"/>
  <c r="Q3004" i="1"/>
  <c r="P3004" i="1"/>
  <c r="S3003" i="1"/>
  <c r="R3003" i="1"/>
  <c r="Q3003" i="1"/>
  <c r="P3003" i="1"/>
  <c r="S3002" i="1"/>
  <c r="R3002" i="1"/>
  <c r="Q3002" i="1"/>
  <c r="P3002" i="1"/>
  <c r="S3001" i="1"/>
  <c r="R3001" i="1"/>
  <c r="Q3001" i="1"/>
  <c r="P3001" i="1"/>
  <c r="S3000" i="1"/>
  <c r="R3000" i="1"/>
  <c r="Q3000" i="1"/>
  <c r="P3000" i="1"/>
  <c r="S2999" i="1"/>
  <c r="R2999" i="1"/>
  <c r="Q2999" i="1"/>
  <c r="P2999" i="1"/>
  <c r="S2998" i="1"/>
  <c r="R2998" i="1"/>
  <c r="Q2998" i="1"/>
  <c r="P2998" i="1"/>
  <c r="S2997" i="1"/>
  <c r="R2997" i="1"/>
  <c r="Q2997" i="1"/>
  <c r="P2997" i="1"/>
  <c r="S2996" i="1"/>
  <c r="R2996" i="1"/>
  <c r="Q2996" i="1"/>
  <c r="P2996" i="1"/>
  <c r="S2995" i="1"/>
  <c r="R2995" i="1"/>
  <c r="Q2995" i="1"/>
  <c r="P2995" i="1"/>
  <c r="S2994" i="1"/>
  <c r="R2994" i="1"/>
  <c r="Q2994" i="1"/>
  <c r="P2994" i="1"/>
  <c r="S2993" i="1"/>
  <c r="R2993" i="1"/>
  <c r="Q2993" i="1"/>
  <c r="P2993" i="1"/>
  <c r="S2992" i="1"/>
  <c r="R2992" i="1"/>
  <c r="Q2992" i="1"/>
  <c r="P2992" i="1"/>
  <c r="S2991" i="1"/>
  <c r="R2991" i="1"/>
  <c r="Q2991" i="1"/>
  <c r="P2991" i="1"/>
  <c r="S2990" i="1"/>
  <c r="R2990" i="1"/>
  <c r="Q2990" i="1"/>
  <c r="P2990" i="1"/>
  <c r="S2989" i="1"/>
  <c r="R2989" i="1"/>
  <c r="Q2989" i="1"/>
  <c r="P2989" i="1"/>
  <c r="S2988" i="1"/>
  <c r="R2988" i="1"/>
  <c r="Q2988" i="1"/>
  <c r="P2988" i="1"/>
  <c r="S2987" i="1"/>
  <c r="R2987" i="1"/>
  <c r="Q2987" i="1"/>
  <c r="P2987" i="1"/>
  <c r="S2986" i="1"/>
  <c r="R2986" i="1"/>
  <c r="Q2986" i="1"/>
  <c r="P2986" i="1"/>
  <c r="S2985" i="1"/>
  <c r="R2985" i="1"/>
  <c r="Q2985" i="1"/>
  <c r="P2985" i="1"/>
  <c r="S2984" i="1"/>
  <c r="R2984" i="1"/>
  <c r="Q2984" i="1"/>
  <c r="P2984" i="1"/>
  <c r="S2983" i="1"/>
  <c r="R2983" i="1"/>
  <c r="Q2983" i="1"/>
  <c r="P2983" i="1"/>
  <c r="S2982" i="1"/>
  <c r="R2982" i="1"/>
  <c r="Q2982" i="1"/>
  <c r="P2982" i="1"/>
  <c r="S2981" i="1"/>
  <c r="R2981" i="1"/>
  <c r="Q2981" i="1"/>
  <c r="P2981" i="1"/>
  <c r="S2980" i="1"/>
  <c r="R2980" i="1"/>
  <c r="Q2980" i="1"/>
  <c r="P2980" i="1"/>
  <c r="S2979" i="1"/>
  <c r="R2979" i="1"/>
  <c r="Q2979" i="1"/>
  <c r="P2979" i="1"/>
  <c r="S2978" i="1"/>
  <c r="R2978" i="1"/>
  <c r="Q2978" i="1"/>
  <c r="P2978" i="1"/>
  <c r="S2977" i="1"/>
  <c r="R2977" i="1"/>
  <c r="Q2977" i="1"/>
  <c r="P2977" i="1"/>
  <c r="S2976" i="1"/>
  <c r="R2976" i="1"/>
  <c r="Q2976" i="1"/>
  <c r="P2976" i="1"/>
  <c r="S2975" i="1"/>
  <c r="R2975" i="1"/>
  <c r="Q2975" i="1"/>
  <c r="P2975" i="1"/>
  <c r="S2974" i="1"/>
  <c r="R2974" i="1"/>
  <c r="Q2974" i="1"/>
  <c r="P2974" i="1"/>
  <c r="S2973" i="1"/>
  <c r="R2973" i="1"/>
  <c r="Q2973" i="1"/>
  <c r="P2973" i="1"/>
  <c r="S2972" i="1"/>
  <c r="R2972" i="1"/>
  <c r="Q2972" i="1"/>
  <c r="P2972" i="1"/>
  <c r="S2971" i="1"/>
  <c r="R2971" i="1"/>
  <c r="Q2971" i="1"/>
  <c r="P2971" i="1"/>
  <c r="S2970" i="1"/>
  <c r="R2970" i="1"/>
  <c r="Q2970" i="1"/>
  <c r="P2970" i="1"/>
  <c r="S2969" i="1"/>
  <c r="R2969" i="1"/>
  <c r="Q2969" i="1"/>
  <c r="P2969" i="1"/>
  <c r="S2968" i="1"/>
  <c r="R2968" i="1"/>
  <c r="Q2968" i="1"/>
  <c r="P2968" i="1"/>
  <c r="S2967" i="1"/>
  <c r="R2967" i="1"/>
  <c r="Q2967" i="1"/>
  <c r="P2967" i="1"/>
  <c r="S2966" i="1"/>
  <c r="R2966" i="1"/>
  <c r="Q2966" i="1"/>
  <c r="P2966" i="1"/>
  <c r="S2965" i="1"/>
  <c r="R2965" i="1"/>
  <c r="Q2965" i="1"/>
  <c r="P2965" i="1"/>
  <c r="S2964" i="1"/>
  <c r="R2964" i="1"/>
  <c r="Q2964" i="1"/>
  <c r="P2964" i="1"/>
  <c r="S2963" i="1"/>
  <c r="R2963" i="1"/>
  <c r="Q2963" i="1"/>
  <c r="P2963" i="1"/>
  <c r="S2962" i="1"/>
  <c r="R2962" i="1"/>
  <c r="Q2962" i="1"/>
  <c r="P2962" i="1"/>
  <c r="S2961" i="1"/>
  <c r="R2961" i="1"/>
  <c r="Q2961" i="1"/>
  <c r="P2961" i="1"/>
  <c r="S2960" i="1"/>
  <c r="R2960" i="1"/>
  <c r="Q2960" i="1"/>
  <c r="P2960" i="1"/>
  <c r="S2959" i="1"/>
  <c r="R2959" i="1"/>
  <c r="Q2959" i="1"/>
  <c r="P2959" i="1"/>
  <c r="S2958" i="1"/>
  <c r="R2958" i="1"/>
  <c r="Q2958" i="1"/>
  <c r="P2958" i="1"/>
  <c r="S2957" i="1"/>
  <c r="R2957" i="1"/>
  <c r="Q2957" i="1"/>
  <c r="P2957" i="1"/>
  <c r="S2956" i="1"/>
  <c r="R2956" i="1"/>
  <c r="Q2956" i="1"/>
  <c r="P2956" i="1"/>
  <c r="S2955" i="1"/>
  <c r="R2955" i="1"/>
  <c r="Q2955" i="1"/>
  <c r="P2955" i="1"/>
  <c r="S2954" i="1"/>
  <c r="R2954" i="1"/>
  <c r="Q2954" i="1"/>
  <c r="P2954" i="1"/>
  <c r="S2953" i="1"/>
  <c r="R2953" i="1"/>
  <c r="Q2953" i="1"/>
  <c r="P2953" i="1"/>
  <c r="S2952" i="1"/>
  <c r="R2952" i="1"/>
  <c r="Q2952" i="1"/>
  <c r="P2952" i="1"/>
  <c r="S2951" i="1"/>
  <c r="R2951" i="1"/>
  <c r="Q2951" i="1"/>
  <c r="P2951" i="1"/>
  <c r="S2950" i="1"/>
  <c r="R2950" i="1"/>
  <c r="Q2950" i="1"/>
  <c r="P2950" i="1"/>
  <c r="S2949" i="1"/>
  <c r="R2949" i="1"/>
  <c r="Q2949" i="1"/>
  <c r="P2949" i="1"/>
  <c r="S2948" i="1"/>
  <c r="R2948" i="1"/>
  <c r="Q2948" i="1"/>
  <c r="P2948" i="1"/>
  <c r="S2947" i="1"/>
  <c r="R2947" i="1"/>
  <c r="Q2947" i="1"/>
  <c r="P2947" i="1"/>
  <c r="S2946" i="1"/>
  <c r="R2946" i="1"/>
  <c r="Q2946" i="1"/>
  <c r="P2946" i="1"/>
  <c r="S2945" i="1"/>
  <c r="R2945" i="1"/>
  <c r="Q2945" i="1"/>
  <c r="P2945" i="1"/>
  <c r="S2944" i="1"/>
  <c r="R2944" i="1"/>
  <c r="Q2944" i="1"/>
  <c r="P2944" i="1"/>
  <c r="S2943" i="1"/>
  <c r="R2943" i="1"/>
  <c r="Q2943" i="1"/>
  <c r="P2943" i="1"/>
  <c r="S2942" i="1"/>
  <c r="R2942" i="1"/>
  <c r="Q2942" i="1"/>
  <c r="P2942" i="1"/>
  <c r="S2941" i="1"/>
  <c r="R2941" i="1"/>
  <c r="Q2941" i="1"/>
  <c r="P2941" i="1"/>
  <c r="S2940" i="1"/>
  <c r="R2940" i="1"/>
  <c r="Q2940" i="1"/>
  <c r="P2940" i="1"/>
  <c r="S2939" i="1"/>
  <c r="R2939" i="1"/>
  <c r="Q2939" i="1"/>
  <c r="P2939" i="1"/>
  <c r="S2938" i="1"/>
  <c r="R2938" i="1"/>
  <c r="Q2938" i="1"/>
  <c r="P2938" i="1"/>
  <c r="S2937" i="1"/>
  <c r="R2937" i="1"/>
  <c r="Q2937" i="1"/>
  <c r="P2937" i="1"/>
  <c r="S2936" i="1"/>
  <c r="R2936" i="1"/>
  <c r="Q2936" i="1"/>
  <c r="P2936" i="1"/>
  <c r="S2935" i="1"/>
  <c r="R2935" i="1"/>
  <c r="Q2935" i="1"/>
  <c r="P2935" i="1"/>
  <c r="S2934" i="1"/>
  <c r="R2934" i="1"/>
  <c r="Q2934" i="1"/>
  <c r="P2934" i="1"/>
  <c r="S2933" i="1"/>
  <c r="R2933" i="1"/>
  <c r="Q2933" i="1"/>
  <c r="P2933" i="1"/>
  <c r="S2932" i="1"/>
  <c r="R2932" i="1"/>
  <c r="Q2932" i="1"/>
  <c r="P2932" i="1"/>
  <c r="S2931" i="1"/>
  <c r="R2931" i="1"/>
  <c r="Q2931" i="1"/>
  <c r="P2931" i="1"/>
  <c r="S2930" i="1"/>
  <c r="R2930" i="1"/>
  <c r="Q2930" i="1"/>
  <c r="P2930" i="1"/>
  <c r="S2929" i="1"/>
  <c r="R2929" i="1"/>
  <c r="Q2929" i="1"/>
  <c r="P2929" i="1"/>
  <c r="S2928" i="1"/>
  <c r="R2928" i="1"/>
  <c r="Q2928" i="1"/>
  <c r="P2928" i="1"/>
  <c r="S2927" i="1"/>
  <c r="R2927" i="1"/>
  <c r="Q2927" i="1"/>
  <c r="P2927" i="1"/>
  <c r="S2926" i="1"/>
  <c r="R2926" i="1"/>
  <c r="Q2926" i="1"/>
  <c r="P2926" i="1"/>
  <c r="S2925" i="1"/>
  <c r="R2925" i="1"/>
  <c r="Q2925" i="1"/>
  <c r="P2925" i="1"/>
  <c r="S2924" i="1"/>
  <c r="R2924" i="1"/>
  <c r="Q2924" i="1"/>
  <c r="P2924" i="1"/>
  <c r="S2923" i="1"/>
  <c r="R2923" i="1"/>
  <c r="Q2923" i="1"/>
  <c r="P2923" i="1"/>
  <c r="S2922" i="1"/>
  <c r="R2922" i="1"/>
  <c r="Q2922" i="1"/>
  <c r="P2922" i="1"/>
  <c r="S2921" i="1"/>
  <c r="R2921" i="1"/>
  <c r="Q2921" i="1"/>
  <c r="P2921" i="1"/>
  <c r="S2920" i="1"/>
  <c r="R2920" i="1"/>
  <c r="Q2920" i="1"/>
  <c r="P2920" i="1"/>
  <c r="S2919" i="1"/>
  <c r="R2919" i="1"/>
  <c r="Q2919" i="1"/>
  <c r="P2919" i="1"/>
  <c r="S2918" i="1"/>
  <c r="R2918" i="1"/>
  <c r="Q2918" i="1"/>
  <c r="P2918" i="1"/>
  <c r="S2917" i="1"/>
  <c r="R2917" i="1"/>
  <c r="Q2917" i="1"/>
  <c r="P2917" i="1"/>
  <c r="S2916" i="1"/>
  <c r="R2916" i="1"/>
  <c r="Q2916" i="1"/>
  <c r="P2916" i="1"/>
  <c r="S2915" i="1"/>
  <c r="R2915" i="1"/>
  <c r="Q2915" i="1"/>
  <c r="P2915" i="1"/>
  <c r="S2914" i="1"/>
  <c r="R2914" i="1"/>
  <c r="Q2914" i="1"/>
  <c r="P2914" i="1"/>
  <c r="S2913" i="1"/>
  <c r="R2913" i="1"/>
  <c r="Q2913" i="1"/>
  <c r="P2913" i="1"/>
  <c r="S2912" i="1"/>
  <c r="R2912" i="1"/>
  <c r="Q2912" i="1"/>
  <c r="P2912" i="1"/>
  <c r="S2911" i="1"/>
  <c r="R2911" i="1"/>
  <c r="Q2911" i="1"/>
  <c r="P2911" i="1"/>
  <c r="S2910" i="1"/>
  <c r="R2910" i="1"/>
  <c r="Q2910" i="1"/>
  <c r="P2910" i="1"/>
  <c r="S2909" i="1"/>
  <c r="R2909" i="1"/>
  <c r="Q2909" i="1"/>
  <c r="P2909" i="1"/>
  <c r="S2908" i="1"/>
  <c r="R2908" i="1"/>
  <c r="Q2908" i="1"/>
  <c r="P2908" i="1"/>
  <c r="S2907" i="1"/>
  <c r="R2907" i="1"/>
  <c r="Q2907" i="1"/>
  <c r="P2907" i="1"/>
  <c r="S2906" i="1"/>
  <c r="R2906" i="1"/>
  <c r="Q2906" i="1"/>
  <c r="P2906" i="1"/>
  <c r="S2905" i="1"/>
  <c r="R2905" i="1"/>
  <c r="Q2905" i="1"/>
  <c r="P2905" i="1"/>
  <c r="S2904" i="1"/>
  <c r="R2904" i="1"/>
  <c r="Q2904" i="1"/>
  <c r="P2904" i="1"/>
  <c r="S2903" i="1"/>
  <c r="R2903" i="1"/>
  <c r="Q2903" i="1"/>
  <c r="P2903" i="1"/>
  <c r="S2902" i="1"/>
  <c r="R2902" i="1"/>
  <c r="Q2902" i="1"/>
  <c r="P2902" i="1"/>
  <c r="S2901" i="1"/>
  <c r="R2901" i="1"/>
  <c r="Q2901" i="1"/>
  <c r="P2901" i="1"/>
  <c r="S2900" i="1"/>
  <c r="R2900" i="1"/>
  <c r="Q2900" i="1"/>
  <c r="P2900" i="1"/>
  <c r="S2899" i="1"/>
  <c r="R2899" i="1"/>
  <c r="Q2899" i="1"/>
  <c r="P2899" i="1"/>
  <c r="S2898" i="1"/>
  <c r="R2898" i="1"/>
  <c r="Q2898" i="1"/>
  <c r="P2898" i="1"/>
  <c r="S2897" i="1"/>
  <c r="R2897" i="1"/>
  <c r="Q2897" i="1"/>
  <c r="P2897" i="1"/>
  <c r="S2896" i="1"/>
  <c r="R2896" i="1"/>
  <c r="Q2896" i="1"/>
  <c r="P2896" i="1"/>
  <c r="S2895" i="1"/>
  <c r="R2895" i="1"/>
  <c r="Q2895" i="1"/>
  <c r="P2895" i="1"/>
  <c r="S2894" i="1"/>
  <c r="R2894" i="1"/>
  <c r="Q2894" i="1"/>
  <c r="P2894" i="1"/>
  <c r="S2893" i="1"/>
  <c r="R2893" i="1"/>
  <c r="Q2893" i="1"/>
  <c r="P2893" i="1"/>
  <c r="S2892" i="1"/>
  <c r="R2892" i="1"/>
  <c r="Q2892" i="1"/>
  <c r="P2892" i="1"/>
  <c r="S2891" i="1"/>
  <c r="R2891" i="1"/>
  <c r="Q2891" i="1"/>
  <c r="P2891" i="1"/>
  <c r="S2890" i="1"/>
  <c r="R2890" i="1"/>
  <c r="Q2890" i="1"/>
  <c r="P2890" i="1"/>
  <c r="S2889" i="1"/>
  <c r="R2889" i="1"/>
  <c r="Q2889" i="1"/>
  <c r="P2889" i="1"/>
  <c r="S2888" i="1"/>
  <c r="R2888" i="1"/>
  <c r="Q2888" i="1"/>
  <c r="P2888" i="1"/>
  <c r="S2887" i="1"/>
  <c r="R2887" i="1"/>
  <c r="Q2887" i="1"/>
  <c r="P2887" i="1"/>
  <c r="S2886" i="1"/>
  <c r="R2886" i="1"/>
  <c r="Q2886" i="1"/>
  <c r="P2886" i="1"/>
  <c r="S2885" i="1"/>
  <c r="R2885" i="1"/>
  <c r="Q2885" i="1"/>
  <c r="P2885" i="1"/>
  <c r="S2884" i="1"/>
  <c r="R2884" i="1"/>
  <c r="Q2884" i="1"/>
  <c r="P2884" i="1"/>
  <c r="S2883" i="1"/>
  <c r="R2883" i="1"/>
  <c r="Q2883" i="1"/>
  <c r="P2883" i="1"/>
  <c r="S2882" i="1"/>
  <c r="R2882" i="1"/>
  <c r="Q2882" i="1"/>
  <c r="P2882" i="1"/>
  <c r="S2881" i="1"/>
  <c r="R2881" i="1"/>
  <c r="Q2881" i="1"/>
  <c r="P2881" i="1"/>
  <c r="S2880" i="1"/>
  <c r="R2880" i="1"/>
  <c r="Q2880" i="1"/>
  <c r="P2880" i="1"/>
  <c r="S2879" i="1"/>
  <c r="R2879" i="1"/>
  <c r="Q2879" i="1"/>
  <c r="P2879" i="1"/>
  <c r="S2878" i="1"/>
  <c r="R2878" i="1"/>
  <c r="Q2878" i="1"/>
  <c r="P2878" i="1"/>
  <c r="S2877" i="1"/>
  <c r="R2877" i="1"/>
  <c r="Q2877" i="1"/>
  <c r="P2877" i="1"/>
  <c r="S2876" i="1"/>
  <c r="R2876" i="1"/>
  <c r="Q2876" i="1"/>
  <c r="P2876" i="1"/>
  <c r="S2875" i="1"/>
  <c r="R2875" i="1"/>
  <c r="Q2875" i="1"/>
  <c r="P2875" i="1"/>
  <c r="S2874" i="1"/>
  <c r="R2874" i="1"/>
  <c r="Q2874" i="1"/>
  <c r="P2874" i="1"/>
  <c r="S2873" i="1"/>
  <c r="R2873" i="1"/>
  <c r="Q2873" i="1"/>
  <c r="P2873" i="1"/>
  <c r="S2872" i="1"/>
  <c r="R2872" i="1"/>
  <c r="Q2872" i="1"/>
  <c r="P2872" i="1"/>
  <c r="S2871" i="1"/>
  <c r="R2871" i="1"/>
  <c r="Q2871" i="1"/>
  <c r="P2871" i="1"/>
  <c r="S2870" i="1"/>
  <c r="R2870" i="1"/>
  <c r="Q2870" i="1"/>
  <c r="P2870" i="1"/>
  <c r="S2869" i="1"/>
  <c r="R2869" i="1"/>
  <c r="Q2869" i="1"/>
  <c r="P2869" i="1"/>
  <c r="S2868" i="1"/>
  <c r="R2868" i="1"/>
  <c r="Q2868" i="1"/>
  <c r="P2868" i="1"/>
  <c r="S2867" i="1"/>
  <c r="R2867" i="1"/>
  <c r="Q2867" i="1"/>
  <c r="P2867" i="1"/>
  <c r="S2866" i="1"/>
  <c r="R2866" i="1"/>
  <c r="Q2866" i="1"/>
  <c r="P2866" i="1"/>
  <c r="S2865" i="1"/>
  <c r="R2865" i="1"/>
  <c r="Q2865" i="1"/>
  <c r="P2865" i="1"/>
  <c r="S2864" i="1"/>
  <c r="R2864" i="1"/>
  <c r="Q2864" i="1"/>
  <c r="P2864" i="1"/>
  <c r="S2863" i="1"/>
  <c r="R2863" i="1"/>
  <c r="Q2863" i="1"/>
  <c r="P2863" i="1"/>
  <c r="S2862" i="1"/>
  <c r="R2862" i="1"/>
  <c r="Q2862" i="1"/>
  <c r="P2862" i="1"/>
  <c r="S2861" i="1"/>
  <c r="R2861" i="1"/>
  <c r="Q2861" i="1"/>
  <c r="P2861" i="1"/>
  <c r="S2860" i="1"/>
  <c r="R2860" i="1"/>
  <c r="Q2860" i="1"/>
  <c r="P2860" i="1"/>
  <c r="S2859" i="1"/>
  <c r="R2859" i="1"/>
  <c r="Q2859" i="1"/>
  <c r="P2859" i="1"/>
  <c r="S2858" i="1"/>
  <c r="R2858" i="1"/>
  <c r="Q2858" i="1"/>
  <c r="P2858" i="1"/>
  <c r="S2857" i="1"/>
  <c r="R2857" i="1"/>
  <c r="Q2857" i="1"/>
  <c r="P2857" i="1"/>
  <c r="S2856" i="1"/>
  <c r="R2856" i="1"/>
  <c r="Q2856" i="1"/>
  <c r="P2856" i="1"/>
  <c r="S2855" i="1"/>
  <c r="R2855" i="1"/>
  <c r="Q2855" i="1"/>
  <c r="P2855" i="1"/>
  <c r="S2854" i="1"/>
  <c r="R2854" i="1"/>
  <c r="Q2854" i="1"/>
  <c r="P2854" i="1"/>
  <c r="S2853" i="1"/>
  <c r="R2853" i="1"/>
  <c r="Q2853" i="1"/>
  <c r="P2853" i="1"/>
  <c r="S2852" i="1"/>
  <c r="R2852" i="1"/>
  <c r="Q2852" i="1"/>
  <c r="P2852" i="1"/>
  <c r="S2851" i="1"/>
  <c r="R2851" i="1"/>
  <c r="Q2851" i="1"/>
  <c r="P2851" i="1"/>
  <c r="S2850" i="1"/>
  <c r="R2850" i="1"/>
  <c r="Q2850" i="1"/>
  <c r="P2850" i="1"/>
  <c r="S2849" i="1"/>
  <c r="R2849" i="1"/>
  <c r="Q2849" i="1"/>
  <c r="P2849" i="1"/>
  <c r="S2848" i="1"/>
  <c r="R2848" i="1"/>
  <c r="Q2848" i="1"/>
  <c r="P2848" i="1"/>
  <c r="S2847" i="1"/>
  <c r="R2847" i="1"/>
  <c r="Q2847" i="1"/>
  <c r="P2847" i="1"/>
  <c r="S2846" i="1"/>
  <c r="R2846" i="1"/>
  <c r="Q2846" i="1"/>
  <c r="P2846" i="1"/>
  <c r="S2845" i="1"/>
  <c r="R2845" i="1"/>
  <c r="Q2845" i="1"/>
  <c r="P2845" i="1"/>
  <c r="S2844" i="1"/>
  <c r="R2844" i="1"/>
  <c r="Q2844" i="1"/>
  <c r="P2844" i="1"/>
  <c r="S2843" i="1"/>
  <c r="R2843" i="1"/>
  <c r="Q2843" i="1"/>
  <c r="P2843" i="1"/>
  <c r="S2842" i="1"/>
  <c r="R2842" i="1"/>
  <c r="Q2842" i="1"/>
  <c r="P2842" i="1"/>
  <c r="S2841" i="1"/>
  <c r="R2841" i="1"/>
  <c r="Q2841" i="1"/>
  <c r="P2841" i="1"/>
  <c r="S2840" i="1"/>
  <c r="R2840" i="1"/>
  <c r="Q2840" i="1"/>
  <c r="P2840" i="1"/>
  <c r="S2839" i="1"/>
  <c r="R2839" i="1"/>
  <c r="Q2839" i="1"/>
  <c r="P2839" i="1"/>
  <c r="S2838" i="1"/>
  <c r="R2838" i="1"/>
  <c r="Q2838" i="1"/>
  <c r="P2838" i="1"/>
  <c r="S2837" i="1"/>
  <c r="R2837" i="1"/>
  <c r="Q2837" i="1"/>
  <c r="P2837" i="1"/>
  <c r="S2836" i="1"/>
  <c r="R2836" i="1"/>
  <c r="Q2836" i="1"/>
  <c r="P2836" i="1"/>
  <c r="S2835" i="1"/>
  <c r="R2835" i="1"/>
  <c r="Q2835" i="1"/>
  <c r="P2835" i="1"/>
  <c r="S2834" i="1"/>
  <c r="R2834" i="1"/>
  <c r="Q2834" i="1"/>
  <c r="P2834" i="1"/>
  <c r="S2833" i="1"/>
  <c r="R2833" i="1"/>
  <c r="Q2833" i="1"/>
  <c r="P2833" i="1"/>
  <c r="S2832" i="1"/>
  <c r="R2832" i="1"/>
  <c r="Q2832" i="1"/>
  <c r="P2832" i="1"/>
  <c r="S2831" i="1"/>
  <c r="R2831" i="1"/>
  <c r="Q2831" i="1"/>
  <c r="P2831" i="1"/>
  <c r="S2830" i="1"/>
  <c r="R2830" i="1"/>
  <c r="Q2830" i="1"/>
  <c r="P2830" i="1"/>
  <c r="S2829" i="1"/>
  <c r="R2829" i="1"/>
  <c r="Q2829" i="1"/>
  <c r="P2829" i="1"/>
  <c r="S2828" i="1"/>
  <c r="R2828" i="1"/>
  <c r="Q2828" i="1"/>
  <c r="P2828" i="1"/>
  <c r="S2827" i="1"/>
  <c r="R2827" i="1"/>
  <c r="Q2827" i="1"/>
  <c r="P2827" i="1"/>
  <c r="S2826" i="1"/>
  <c r="R2826" i="1"/>
  <c r="Q2826" i="1"/>
  <c r="P2826" i="1"/>
  <c r="S2825" i="1"/>
  <c r="R2825" i="1"/>
  <c r="Q2825" i="1"/>
  <c r="P2825" i="1"/>
  <c r="S2824" i="1"/>
  <c r="R2824" i="1"/>
  <c r="Q2824" i="1"/>
  <c r="P2824" i="1"/>
  <c r="S2823" i="1"/>
  <c r="R2823" i="1"/>
  <c r="Q2823" i="1"/>
  <c r="P2823" i="1"/>
  <c r="S2822" i="1"/>
  <c r="R2822" i="1"/>
  <c r="Q2822" i="1"/>
  <c r="P2822" i="1"/>
  <c r="S2821" i="1"/>
  <c r="R2821" i="1"/>
  <c r="Q2821" i="1"/>
  <c r="P2821" i="1"/>
  <c r="S2820" i="1"/>
  <c r="R2820" i="1"/>
  <c r="Q2820" i="1"/>
  <c r="P2820" i="1"/>
  <c r="S2819" i="1"/>
  <c r="R2819" i="1"/>
  <c r="Q2819" i="1"/>
  <c r="P2819" i="1"/>
  <c r="S2818" i="1"/>
  <c r="R2818" i="1"/>
  <c r="Q2818" i="1"/>
  <c r="P2818" i="1"/>
  <c r="S2817" i="1"/>
  <c r="R2817" i="1"/>
  <c r="Q2817" i="1"/>
  <c r="P2817" i="1"/>
  <c r="S2816" i="1"/>
  <c r="R2816" i="1"/>
  <c r="Q2816" i="1"/>
  <c r="P2816" i="1"/>
  <c r="S2815" i="1"/>
  <c r="R2815" i="1"/>
  <c r="Q2815" i="1"/>
  <c r="P2815" i="1"/>
  <c r="S2814" i="1"/>
  <c r="R2814" i="1"/>
  <c r="Q2814" i="1"/>
  <c r="P2814" i="1"/>
  <c r="S2813" i="1"/>
  <c r="R2813" i="1"/>
  <c r="Q2813" i="1"/>
  <c r="P2813" i="1"/>
  <c r="S2812" i="1"/>
  <c r="R2812" i="1"/>
  <c r="Q2812" i="1"/>
  <c r="P2812" i="1"/>
  <c r="S2811" i="1"/>
  <c r="R2811" i="1"/>
  <c r="Q2811" i="1"/>
  <c r="P2811" i="1"/>
  <c r="S2810" i="1"/>
  <c r="R2810" i="1"/>
  <c r="Q2810" i="1"/>
  <c r="P2810" i="1"/>
  <c r="S2809" i="1"/>
  <c r="R2809" i="1"/>
  <c r="Q2809" i="1"/>
  <c r="P2809" i="1"/>
  <c r="S2808" i="1"/>
  <c r="R2808" i="1"/>
  <c r="Q2808" i="1"/>
  <c r="P2808" i="1"/>
  <c r="S2807" i="1"/>
  <c r="R2807" i="1"/>
  <c r="Q2807" i="1"/>
  <c r="P2807" i="1"/>
  <c r="S2806" i="1"/>
  <c r="R2806" i="1"/>
  <c r="Q2806" i="1"/>
  <c r="P2806" i="1"/>
  <c r="S2805" i="1"/>
  <c r="R2805" i="1"/>
  <c r="Q2805" i="1"/>
  <c r="P2805" i="1"/>
  <c r="S2804" i="1"/>
  <c r="R2804" i="1"/>
  <c r="Q2804" i="1"/>
  <c r="P2804" i="1"/>
  <c r="S2803" i="1"/>
  <c r="R2803" i="1"/>
  <c r="Q2803" i="1"/>
  <c r="P2803" i="1"/>
  <c r="S2802" i="1"/>
  <c r="R2802" i="1"/>
  <c r="Q2802" i="1"/>
  <c r="P2802" i="1"/>
  <c r="S2801" i="1"/>
  <c r="R2801" i="1"/>
  <c r="Q2801" i="1"/>
  <c r="P2801" i="1"/>
  <c r="S2800" i="1"/>
  <c r="R2800" i="1"/>
  <c r="Q2800" i="1"/>
  <c r="P2800" i="1"/>
  <c r="S2799" i="1"/>
  <c r="R2799" i="1"/>
  <c r="Q2799" i="1"/>
  <c r="P2799" i="1"/>
  <c r="S2798" i="1"/>
  <c r="R2798" i="1"/>
  <c r="Q2798" i="1"/>
  <c r="P2798" i="1"/>
  <c r="S2797" i="1"/>
  <c r="R2797" i="1"/>
  <c r="Q2797" i="1"/>
  <c r="P2797" i="1"/>
  <c r="S2796" i="1"/>
  <c r="R2796" i="1"/>
  <c r="Q2796" i="1"/>
  <c r="P2796" i="1"/>
  <c r="S2795" i="1"/>
  <c r="R2795" i="1"/>
  <c r="Q2795" i="1"/>
  <c r="P2795" i="1"/>
  <c r="S2794" i="1"/>
  <c r="R2794" i="1"/>
  <c r="Q2794" i="1"/>
  <c r="P2794" i="1"/>
  <c r="S2793" i="1"/>
  <c r="R2793" i="1"/>
  <c r="Q2793" i="1"/>
  <c r="P2793" i="1"/>
  <c r="S2792" i="1"/>
  <c r="R2792" i="1"/>
  <c r="Q2792" i="1"/>
  <c r="P2792" i="1"/>
  <c r="S2791" i="1"/>
  <c r="R2791" i="1"/>
  <c r="Q2791" i="1"/>
  <c r="P2791" i="1"/>
  <c r="S2790" i="1"/>
  <c r="R2790" i="1"/>
  <c r="Q2790" i="1"/>
  <c r="P2790" i="1"/>
  <c r="S2789" i="1"/>
  <c r="R2789" i="1"/>
  <c r="Q2789" i="1"/>
  <c r="P2789" i="1"/>
  <c r="S2788" i="1"/>
  <c r="R2788" i="1"/>
  <c r="Q2788" i="1"/>
  <c r="P2788" i="1"/>
  <c r="S2787" i="1"/>
  <c r="R2787" i="1"/>
  <c r="Q2787" i="1"/>
  <c r="P2787" i="1"/>
  <c r="S2786" i="1"/>
  <c r="R2786" i="1"/>
  <c r="Q2786" i="1"/>
  <c r="P2786" i="1"/>
  <c r="S2785" i="1"/>
  <c r="R2785" i="1"/>
  <c r="Q2785" i="1"/>
  <c r="P2785" i="1"/>
  <c r="S2784" i="1"/>
  <c r="R2784" i="1"/>
  <c r="Q2784" i="1"/>
  <c r="P2784" i="1"/>
  <c r="S2783" i="1"/>
  <c r="R2783" i="1"/>
  <c r="Q2783" i="1"/>
  <c r="P2783" i="1"/>
  <c r="S2782" i="1"/>
  <c r="R2782" i="1"/>
  <c r="Q2782" i="1"/>
  <c r="P2782" i="1"/>
  <c r="S2781" i="1"/>
  <c r="R2781" i="1"/>
  <c r="Q2781" i="1"/>
  <c r="P2781" i="1"/>
  <c r="S2780" i="1"/>
  <c r="R2780" i="1"/>
  <c r="Q2780" i="1"/>
  <c r="P2780" i="1"/>
  <c r="S2779" i="1"/>
  <c r="R2779" i="1"/>
  <c r="Q2779" i="1"/>
  <c r="P2779" i="1"/>
  <c r="S2778" i="1"/>
  <c r="R2778" i="1"/>
  <c r="Q2778" i="1"/>
  <c r="P2778" i="1"/>
  <c r="S2777" i="1"/>
  <c r="R2777" i="1"/>
  <c r="Q2777" i="1"/>
  <c r="P2777" i="1"/>
  <c r="S2776" i="1"/>
  <c r="R2776" i="1"/>
  <c r="Q2776" i="1"/>
  <c r="P2776" i="1"/>
  <c r="S2775" i="1"/>
  <c r="R2775" i="1"/>
  <c r="Q2775" i="1"/>
  <c r="P2775" i="1"/>
  <c r="S2774" i="1"/>
  <c r="R2774" i="1"/>
  <c r="Q2774" i="1"/>
  <c r="P2774" i="1"/>
  <c r="S2773" i="1"/>
  <c r="R2773" i="1"/>
  <c r="Q2773" i="1"/>
  <c r="P2773" i="1"/>
  <c r="S2772" i="1"/>
  <c r="R2772" i="1"/>
  <c r="Q2772" i="1"/>
  <c r="P2772" i="1"/>
  <c r="S2771" i="1"/>
  <c r="R2771" i="1"/>
  <c r="Q2771" i="1"/>
  <c r="P2771" i="1"/>
  <c r="S2770" i="1"/>
  <c r="R2770" i="1"/>
  <c r="Q2770" i="1"/>
  <c r="P2770" i="1"/>
  <c r="S2769" i="1"/>
  <c r="R2769" i="1"/>
  <c r="Q2769" i="1"/>
  <c r="P2769" i="1"/>
  <c r="S2768" i="1"/>
  <c r="R2768" i="1"/>
  <c r="Q2768" i="1"/>
  <c r="P2768" i="1"/>
  <c r="S2767" i="1"/>
  <c r="R2767" i="1"/>
  <c r="Q2767" i="1"/>
  <c r="P2767" i="1"/>
  <c r="S2766" i="1"/>
  <c r="R2766" i="1"/>
  <c r="Q2766" i="1"/>
  <c r="P2766" i="1"/>
  <c r="S2765" i="1"/>
  <c r="R2765" i="1"/>
  <c r="Q2765" i="1"/>
  <c r="P2765" i="1"/>
  <c r="S2764" i="1"/>
  <c r="R2764" i="1"/>
  <c r="Q2764" i="1"/>
  <c r="P2764" i="1"/>
  <c r="S2763" i="1"/>
  <c r="R2763" i="1"/>
  <c r="Q2763" i="1"/>
  <c r="P2763" i="1"/>
  <c r="S2762" i="1"/>
  <c r="R2762" i="1"/>
  <c r="Q2762" i="1"/>
  <c r="P2762" i="1"/>
  <c r="S2761" i="1"/>
  <c r="R2761" i="1"/>
  <c r="Q2761" i="1"/>
  <c r="P2761" i="1"/>
  <c r="S2760" i="1"/>
  <c r="R2760" i="1"/>
  <c r="Q2760" i="1"/>
  <c r="P2760" i="1"/>
  <c r="S2759" i="1"/>
  <c r="R2759" i="1"/>
  <c r="Q2759" i="1"/>
  <c r="P2759" i="1"/>
  <c r="S2758" i="1"/>
  <c r="R2758" i="1"/>
  <c r="Q2758" i="1"/>
  <c r="P2758" i="1"/>
  <c r="S2757" i="1"/>
  <c r="R2757" i="1"/>
  <c r="Q2757" i="1"/>
  <c r="P2757" i="1"/>
  <c r="S2756" i="1"/>
  <c r="R2756" i="1"/>
  <c r="Q2756" i="1"/>
  <c r="P2756" i="1"/>
  <c r="S2755" i="1"/>
  <c r="R2755" i="1"/>
  <c r="Q2755" i="1"/>
  <c r="P2755" i="1"/>
  <c r="S2754" i="1"/>
  <c r="R2754" i="1"/>
  <c r="Q2754" i="1"/>
  <c r="P2754" i="1"/>
  <c r="S2753" i="1"/>
  <c r="R2753" i="1"/>
  <c r="Q2753" i="1"/>
  <c r="P2753" i="1"/>
  <c r="S2752" i="1"/>
  <c r="R2752" i="1"/>
  <c r="Q2752" i="1"/>
  <c r="P2752" i="1"/>
  <c r="S2751" i="1"/>
  <c r="R2751" i="1"/>
  <c r="Q2751" i="1"/>
  <c r="P2751" i="1"/>
  <c r="S2750" i="1"/>
  <c r="R2750" i="1"/>
  <c r="Q2750" i="1"/>
  <c r="P2750" i="1"/>
  <c r="S2749" i="1"/>
  <c r="R2749" i="1"/>
  <c r="Q2749" i="1"/>
  <c r="P2749" i="1"/>
  <c r="S2748" i="1"/>
  <c r="R2748" i="1"/>
  <c r="Q2748" i="1"/>
  <c r="P2748" i="1"/>
  <c r="S2747" i="1"/>
  <c r="R2747" i="1"/>
  <c r="Q2747" i="1"/>
  <c r="P2747" i="1"/>
  <c r="S2746" i="1"/>
  <c r="R2746" i="1"/>
  <c r="Q2746" i="1"/>
  <c r="P2746" i="1"/>
  <c r="S2745" i="1"/>
  <c r="R2745" i="1"/>
  <c r="Q2745" i="1"/>
  <c r="P2745" i="1"/>
  <c r="S2744" i="1"/>
  <c r="R2744" i="1"/>
  <c r="Q2744" i="1"/>
  <c r="P2744" i="1"/>
  <c r="S2743" i="1"/>
  <c r="R2743" i="1"/>
  <c r="Q2743" i="1"/>
  <c r="P2743" i="1"/>
  <c r="S2742" i="1"/>
  <c r="R2742" i="1"/>
  <c r="Q2742" i="1"/>
  <c r="P2742" i="1"/>
  <c r="S2741" i="1"/>
  <c r="R2741" i="1"/>
  <c r="Q2741" i="1"/>
  <c r="P2741" i="1"/>
  <c r="S2740" i="1"/>
  <c r="R2740" i="1"/>
  <c r="Q2740" i="1"/>
  <c r="P2740" i="1"/>
  <c r="S2739" i="1"/>
  <c r="R2739" i="1"/>
  <c r="Q2739" i="1"/>
  <c r="P2739" i="1"/>
  <c r="S2738" i="1"/>
  <c r="R2738" i="1"/>
  <c r="Q2738" i="1"/>
  <c r="P2738" i="1"/>
  <c r="S2737" i="1"/>
  <c r="R2737" i="1"/>
  <c r="Q2737" i="1"/>
  <c r="P2737" i="1"/>
  <c r="S2736" i="1"/>
  <c r="R2736" i="1"/>
  <c r="Q2736" i="1"/>
  <c r="P2736" i="1"/>
  <c r="S2735" i="1"/>
  <c r="R2735" i="1"/>
  <c r="Q2735" i="1"/>
  <c r="P2735" i="1"/>
  <c r="S2734" i="1"/>
  <c r="R2734" i="1"/>
  <c r="Q2734" i="1"/>
  <c r="P2734" i="1"/>
  <c r="S2733" i="1"/>
  <c r="R2733" i="1"/>
  <c r="Q2733" i="1"/>
  <c r="P2733" i="1"/>
  <c r="S2732" i="1"/>
  <c r="R2732" i="1"/>
  <c r="Q2732" i="1"/>
  <c r="P2732" i="1"/>
  <c r="S2731" i="1"/>
  <c r="R2731" i="1"/>
  <c r="Q2731" i="1"/>
  <c r="P2731" i="1"/>
  <c r="S2730" i="1"/>
  <c r="R2730" i="1"/>
  <c r="Q2730" i="1"/>
  <c r="P2730" i="1"/>
  <c r="S2729" i="1"/>
  <c r="R2729" i="1"/>
  <c r="Q2729" i="1"/>
  <c r="P2729" i="1"/>
  <c r="S2728" i="1"/>
  <c r="R2728" i="1"/>
  <c r="Q2728" i="1"/>
  <c r="P2728" i="1"/>
  <c r="S2727" i="1"/>
  <c r="R2727" i="1"/>
  <c r="Q2727" i="1"/>
  <c r="P2727" i="1"/>
  <c r="S2726" i="1"/>
  <c r="R2726" i="1"/>
  <c r="Q2726" i="1"/>
  <c r="P2726" i="1"/>
  <c r="S2725" i="1"/>
  <c r="R2725" i="1"/>
  <c r="Q2725" i="1"/>
  <c r="P2725" i="1"/>
  <c r="S2724" i="1"/>
  <c r="R2724" i="1"/>
  <c r="Q2724" i="1"/>
  <c r="P2724" i="1"/>
  <c r="S2723" i="1"/>
  <c r="R2723" i="1"/>
  <c r="Q2723" i="1"/>
  <c r="P2723" i="1"/>
  <c r="S2722" i="1"/>
  <c r="R2722" i="1"/>
  <c r="Q2722" i="1"/>
  <c r="P2722" i="1"/>
  <c r="S2721" i="1"/>
  <c r="R2721" i="1"/>
  <c r="Q2721" i="1"/>
  <c r="P2721" i="1"/>
  <c r="S2720" i="1"/>
  <c r="R2720" i="1"/>
  <c r="Q2720" i="1"/>
  <c r="P2720" i="1"/>
  <c r="S2719" i="1"/>
  <c r="R2719" i="1"/>
  <c r="Q2719" i="1"/>
  <c r="P2719" i="1"/>
  <c r="S2718" i="1"/>
  <c r="R2718" i="1"/>
  <c r="Q2718" i="1"/>
  <c r="P2718" i="1"/>
  <c r="S2717" i="1"/>
  <c r="R2717" i="1"/>
  <c r="Q2717" i="1"/>
  <c r="P2717" i="1"/>
  <c r="S2716" i="1"/>
  <c r="R2716" i="1"/>
  <c r="Q2716" i="1"/>
  <c r="P2716" i="1"/>
  <c r="S2715" i="1"/>
  <c r="R2715" i="1"/>
  <c r="Q2715" i="1"/>
  <c r="P2715" i="1"/>
  <c r="S2714" i="1"/>
  <c r="R2714" i="1"/>
  <c r="Q2714" i="1"/>
  <c r="P2714" i="1"/>
  <c r="S2713" i="1"/>
  <c r="R2713" i="1"/>
  <c r="Q2713" i="1"/>
  <c r="P2713" i="1"/>
  <c r="S2712" i="1"/>
  <c r="R2712" i="1"/>
  <c r="Q2712" i="1"/>
  <c r="P2712" i="1"/>
  <c r="S2711" i="1"/>
  <c r="R2711" i="1"/>
  <c r="Q2711" i="1"/>
  <c r="P2711" i="1"/>
  <c r="S2710" i="1"/>
  <c r="R2710" i="1"/>
  <c r="Q2710" i="1"/>
  <c r="P2710" i="1"/>
  <c r="S2709" i="1"/>
  <c r="R2709" i="1"/>
  <c r="Q2709" i="1"/>
  <c r="P2709" i="1"/>
  <c r="S2708" i="1"/>
  <c r="R2708" i="1"/>
  <c r="Q2708" i="1"/>
  <c r="P2708" i="1"/>
  <c r="S2707" i="1"/>
  <c r="R2707" i="1"/>
  <c r="Q2707" i="1"/>
  <c r="P2707" i="1"/>
  <c r="S2706" i="1"/>
  <c r="R2706" i="1"/>
  <c r="Q2706" i="1"/>
  <c r="P2706" i="1"/>
  <c r="S2705" i="1"/>
  <c r="R2705" i="1"/>
  <c r="Q2705" i="1"/>
  <c r="P2705" i="1"/>
  <c r="S2704" i="1"/>
  <c r="R2704" i="1"/>
  <c r="Q2704" i="1"/>
  <c r="P2704" i="1"/>
  <c r="S2703" i="1"/>
  <c r="R2703" i="1"/>
  <c r="Q2703" i="1"/>
  <c r="P2703" i="1"/>
  <c r="S2702" i="1"/>
  <c r="R2702" i="1"/>
  <c r="Q2702" i="1"/>
  <c r="P2702" i="1"/>
  <c r="S2701" i="1"/>
  <c r="R2701" i="1"/>
  <c r="Q2701" i="1"/>
  <c r="P2701" i="1"/>
  <c r="S2700" i="1"/>
  <c r="R2700" i="1"/>
  <c r="Q2700" i="1"/>
  <c r="P2700" i="1"/>
  <c r="S2699" i="1"/>
  <c r="R2699" i="1"/>
  <c r="Q2699" i="1"/>
  <c r="P2699" i="1"/>
  <c r="S2698" i="1"/>
  <c r="R2698" i="1"/>
  <c r="Q2698" i="1"/>
  <c r="P2698" i="1"/>
  <c r="S2697" i="1"/>
  <c r="R2697" i="1"/>
  <c r="Q2697" i="1"/>
  <c r="P2697" i="1"/>
  <c r="S2696" i="1"/>
  <c r="R2696" i="1"/>
  <c r="Q2696" i="1"/>
  <c r="P2696" i="1"/>
  <c r="S2695" i="1"/>
  <c r="R2695" i="1"/>
  <c r="Q2695" i="1"/>
  <c r="P2695" i="1"/>
  <c r="S2694" i="1"/>
  <c r="R2694" i="1"/>
  <c r="Q2694" i="1"/>
  <c r="P2694" i="1"/>
  <c r="S2693" i="1"/>
  <c r="R2693" i="1"/>
  <c r="Q2693" i="1"/>
  <c r="P2693" i="1"/>
  <c r="S2692" i="1"/>
  <c r="R2692" i="1"/>
  <c r="Q2692" i="1"/>
  <c r="P2692" i="1"/>
  <c r="S2691" i="1"/>
  <c r="R2691" i="1"/>
  <c r="Q2691" i="1"/>
  <c r="P2691" i="1"/>
  <c r="S2690" i="1"/>
  <c r="R2690" i="1"/>
  <c r="Q2690" i="1"/>
  <c r="P2690" i="1"/>
  <c r="S2689" i="1"/>
  <c r="R2689" i="1"/>
  <c r="Q2689" i="1"/>
  <c r="P2689" i="1"/>
  <c r="S2688" i="1"/>
  <c r="R2688" i="1"/>
  <c r="Q2688" i="1"/>
  <c r="P2688" i="1"/>
  <c r="S2687" i="1"/>
  <c r="R2687" i="1"/>
  <c r="Q2687" i="1"/>
  <c r="P2687" i="1"/>
  <c r="S2686" i="1"/>
  <c r="R2686" i="1"/>
  <c r="Q2686" i="1"/>
  <c r="P2686" i="1"/>
  <c r="S2685" i="1"/>
  <c r="R2685" i="1"/>
  <c r="Q2685" i="1"/>
  <c r="P2685" i="1"/>
  <c r="S2684" i="1"/>
  <c r="R2684" i="1"/>
  <c r="Q2684" i="1"/>
  <c r="P2684" i="1"/>
  <c r="S2683" i="1"/>
  <c r="R2683" i="1"/>
  <c r="Q2683" i="1"/>
  <c r="P2683" i="1"/>
  <c r="S2682" i="1"/>
  <c r="R2682" i="1"/>
  <c r="Q2682" i="1"/>
  <c r="P2682" i="1"/>
  <c r="S2681" i="1"/>
  <c r="R2681" i="1"/>
  <c r="Q2681" i="1"/>
  <c r="P2681" i="1"/>
  <c r="S2680" i="1"/>
  <c r="R2680" i="1"/>
  <c r="Q2680" i="1"/>
  <c r="P2680" i="1"/>
  <c r="S2679" i="1"/>
  <c r="R2679" i="1"/>
  <c r="Q2679" i="1"/>
  <c r="P2679" i="1"/>
  <c r="S2678" i="1"/>
  <c r="R2678" i="1"/>
  <c r="Q2678" i="1"/>
  <c r="P2678" i="1"/>
  <c r="S2677" i="1"/>
  <c r="R2677" i="1"/>
  <c r="Q2677" i="1"/>
  <c r="P2677" i="1"/>
  <c r="S2676" i="1"/>
  <c r="R2676" i="1"/>
  <c r="Q2676" i="1"/>
  <c r="P2676" i="1"/>
  <c r="S2675" i="1"/>
  <c r="R2675" i="1"/>
  <c r="Q2675" i="1"/>
  <c r="P2675" i="1"/>
  <c r="S2674" i="1"/>
  <c r="R2674" i="1"/>
  <c r="Q2674" i="1"/>
  <c r="P2674" i="1"/>
  <c r="S2673" i="1"/>
  <c r="R2673" i="1"/>
  <c r="Q2673" i="1"/>
  <c r="P2673" i="1"/>
  <c r="S2672" i="1"/>
  <c r="R2672" i="1"/>
  <c r="Q2672" i="1"/>
  <c r="P2672" i="1"/>
  <c r="S2671" i="1"/>
  <c r="R2671" i="1"/>
  <c r="Q2671" i="1"/>
  <c r="P2671" i="1"/>
  <c r="S2670" i="1"/>
  <c r="R2670" i="1"/>
  <c r="Q2670" i="1"/>
  <c r="P2670" i="1"/>
  <c r="S2669" i="1"/>
  <c r="R2669" i="1"/>
  <c r="Q2669" i="1"/>
  <c r="P2669" i="1"/>
  <c r="S2668" i="1"/>
  <c r="R2668" i="1"/>
  <c r="Q2668" i="1"/>
  <c r="P2668" i="1"/>
  <c r="S2667" i="1"/>
  <c r="R2667" i="1"/>
  <c r="Q2667" i="1"/>
  <c r="P2667" i="1"/>
  <c r="S2666" i="1"/>
  <c r="R2666" i="1"/>
  <c r="Q2666" i="1"/>
  <c r="P2666" i="1"/>
  <c r="S2665" i="1"/>
  <c r="R2665" i="1"/>
  <c r="Q2665" i="1"/>
  <c r="P2665" i="1"/>
  <c r="S2664" i="1"/>
  <c r="R2664" i="1"/>
  <c r="Q2664" i="1"/>
  <c r="P2664" i="1"/>
  <c r="S2663" i="1"/>
  <c r="R2663" i="1"/>
  <c r="Q2663" i="1"/>
  <c r="P2663" i="1"/>
  <c r="S2662" i="1"/>
  <c r="R2662" i="1"/>
  <c r="Q2662" i="1"/>
  <c r="P2662" i="1"/>
  <c r="S2661" i="1"/>
  <c r="R2661" i="1"/>
  <c r="Q2661" i="1"/>
  <c r="P2661" i="1"/>
  <c r="S2660" i="1"/>
  <c r="R2660" i="1"/>
  <c r="Q2660" i="1"/>
  <c r="P2660" i="1"/>
  <c r="S2659" i="1"/>
  <c r="R2659" i="1"/>
  <c r="Q2659" i="1"/>
  <c r="P2659" i="1"/>
  <c r="S2658" i="1"/>
  <c r="R2658" i="1"/>
  <c r="Q2658" i="1"/>
  <c r="P2658" i="1"/>
  <c r="S2657" i="1"/>
  <c r="R2657" i="1"/>
  <c r="Q2657" i="1"/>
  <c r="P2657" i="1"/>
  <c r="S2656" i="1"/>
  <c r="R2656" i="1"/>
  <c r="Q2656" i="1"/>
  <c r="P2656" i="1"/>
  <c r="S2655" i="1"/>
  <c r="R2655" i="1"/>
  <c r="Q2655" i="1"/>
  <c r="P2655" i="1"/>
  <c r="S2654" i="1"/>
  <c r="R2654" i="1"/>
  <c r="Q2654" i="1"/>
  <c r="P2654" i="1"/>
  <c r="S2653" i="1"/>
  <c r="R2653" i="1"/>
  <c r="Q2653" i="1"/>
  <c r="P2653" i="1"/>
  <c r="S2652" i="1"/>
  <c r="R2652" i="1"/>
  <c r="Q2652" i="1"/>
  <c r="P2652" i="1"/>
  <c r="S2651" i="1"/>
  <c r="R2651" i="1"/>
  <c r="Q2651" i="1"/>
  <c r="P2651" i="1"/>
  <c r="S2650" i="1"/>
  <c r="R2650" i="1"/>
  <c r="Q2650" i="1"/>
  <c r="P2650" i="1"/>
  <c r="S2649" i="1"/>
  <c r="R2649" i="1"/>
  <c r="Q2649" i="1"/>
  <c r="P2649" i="1"/>
  <c r="S2648" i="1"/>
  <c r="R2648" i="1"/>
  <c r="Q2648" i="1"/>
  <c r="P2648" i="1"/>
  <c r="S2647" i="1"/>
  <c r="R2647" i="1"/>
  <c r="Q2647" i="1"/>
  <c r="P2647" i="1"/>
  <c r="S2646" i="1"/>
  <c r="R2646" i="1"/>
  <c r="Q2646" i="1"/>
  <c r="P2646" i="1"/>
  <c r="S2645" i="1"/>
  <c r="R2645" i="1"/>
  <c r="Q2645" i="1"/>
  <c r="P2645" i="1"/>
  <c r="S2644" i="1"/>
  <c r="R2644" i="1"/>
  <c r="Q2644" i="1"/>
  <c r="P2644" i="1"/>
  <c r="S2643" i="1"/>
  <c r="R2643" i="1"/>
  <c r="Q2643" i="1"/>
  <c r="P2643" i="1"/>
  <c r="S2642" i="1"/>
  <c r="R2642" i="1"/>
  <c r="Q2642" i="1"/>
  <c r="P2642" i="1"/>
  <c r="S2641" i="1"/>
  <c r="R2641" i="1"/>
  <c r="Q2641" i="1"/>
  <c r="P2641" i="1"/>
  <c r="S2640" i="1"/>
  <c r="R2640" i="1"/>
  <c r="Q2640" i="1"/>
  <c r="P2640" i="1"/>
  <c r="S2639" i="1"/>
  <c r="R2639" i="1"/>
  <c r="Q2639" i="1"/>
  <c r="P2639" i="1"/>
  <c r="S2638" i="1"/>
  <c r="R2638" i="1"/>
  <c r="Q2638" i="1"/>
  <c r="P2638" i="1"/>
  <c r="S2637" i="1"/>
  <c r="R2637" i="1"/>
  <c r="Q2637" i="1"/>
  <c r="P2637" i="1"/>
  <c r="S2636" i="1"/>
  <c r="R2636" i="1"/>
  <c r="Q2636" i="1"/>
  <c r="P2636" i="1"/>
  <c r="S2635" i="1"/>
  <c r="R2635" i="1"/>
  <c r="Q2635" i="1"/>
  <c r="P2635" i="1"/>
  <c r="S2634" i="1"/>
  <c r="R2634" i="1"/>
  <c r="Q2634" i="1"/>
  <c r="P2634" i="1"/>
  <c r="S2633" i="1"/>
  <c r="R2633" i="1"/>
  <c r="Q2633" i="1"/>
  <c r="P2633" i="1"/>
  <c r="S2632" i="1"/>
  <c r="R2632" i="1"/>
  <c r="Q2632" i="1"/>
  <c r="P2632" i="1"/>
  <c r="S2631" i="1"/>
  <c r="R2631" i="1"/>
  <c r="Q2631" i="1"/>
  <c r="P2631" i="1"/>
  <c r="S2630" i="1"/>
  <c r="R2630" i="1"/>
  <c r="Q2630" i="1"/>
  <c r="P2630" i="1"/>
  <c r="S2629" i="1"/>
  <c r="R2629" i="1"/>
  <c r="Q2629" i="1"/>
  <c r="P2629" i="1"/>
  <c r="S2628" i="1"/>
  <c r="R2628" i="1"/>
  <c r="Q2628" i="1"/>
  <c r="P2628" i="1"/>
  <c r="S2627" i="1"/>
  <c r="R2627" i="1"/>
  <c r="Q2627" i="1"/>
  <c r="P2627" i="1"/>
  <c r="S2626" i="1"/>
  <c r="R2626" i="1"/>
  <c r="Q2626" i="1"/>
  <c r="P2626" i="1"/>
  <c r="S2625" i="1"/>
  <c r="R2625" i="1"/>
  <c r="Q2625" i="1"/>
  <c r="P2625" i="1"/>
  <c r="S2624" i="1"/>
  <c r="R2624" i="1"/>
  <c r="Q2624" i="1"/>
  <c r="P2624" i="1"/>
  <c r="S2623" i="1"/>
  <c r="R2623" i="1"/>
  <c r="Q2623" i="1"/>
  <c r="P2623" i="1"/>
  <c r="S2622" i="1"/>
  <c r="R2622" i="1"/>
  <c r="Q2622" i="1"/>
  <c r="P2622" i="1"/>
  <c r="S2621" i="1"/>
  <c r="R2621" i="1"/>
  <c r="Q2621" i="1"/>
  <c r="P2621" i="1"/>
  <c r="S2620" i="1"/>
  <c r="R2620" i="1"/>
  <c r="Q2620" i="1"/>
  <c r="P2620" i="1"/>
  <c r="S2619" i="1"/>
  <c r="R2619" i="1"/>
  <c r="Q2619" i="1"/>
  <c r="P2619" i="1"/>
  <c r="S2618" i="1"/>
  <c r="R2618" i="1"/>
  <c r="Q2618" i="1"/>
  <c r="P2618" i="1"/>
  <c r="S2617" i="1"/>
  <c r="R2617" i="1"/>
  <c r="Q2617" i="1"/>
  <c r="P2617" i="1"/>
  <c r="S2616" i="1"/>
  <c r="R2616" i="1"/>
  <c r="Q2616" i="1"/>
  <c r="P2616" i="1"/>
  <c r="S2615" i="1"/>
  <c r="R2615" i="1"/>
  <c r="Q2615" i="1"/>
  <c r="P2615" i="1"/>
  <c r="S2614" i="1"/>
  <c r="R2614" i="1"/>
  <c r="Q2614" i="1"/>
  <c r="P2614" i="1"/>
  <c r="S2613" i="1"/>
  <c r="R2613" i="1"/>
  <c r="Q2613" i="1"/>
  <c r="P2613" i="1"/>
  <c r="S2612" i="1"/>
  <c r="R2612" i="1"/>
  <c r="Q2612" i="1"/>
  <c r="P2612" i="1"/>
  <c r="S2611" i="1"/>
  <c r="R2611" i="1"/>
  <c r="Q2611" i="1"/>
  <c r="P2611" i="1"/>
  <c r="S2610" i="1"/>
  <c r="R2610" i="1"/>
  <c r="Q2610" i="1"/>
  <c r="P2610" i="1"/>
  <c r="S2609" i="1"/>
  <c r="R2609" i="1"/>
  <c r="Q2609" i="1"/>
  <c r="P2609" i="1"/>
  <c r="S2608" i="1"/>
  <c r="R2608" i="1"/>
  <c r="Q2608" i="1"/>
  <c r="P2608" i="1"/>
  <c r="S2607" i="1"/>
  <c r="R2607" i="1"/>
  <c r="Q2607" i="1"/>
  <c r="P2607" i="1"/>
  <c r="S2606" i="1"/>
  <c r="R2606" i="1"/>
  <c r="Q2606" i="1"/>
  <c r="P2606" i="1"/>
  <c r="S2605" i="1"/>
  <c r="R2605" i="1"/>
  <c r="Q2605" i="1"/>
  <c r="P2605" i="1"/>
  <c r="S2604" i="1"/>
  <c r="R2604" i="1"/>
  <c r="Q2604" i="1"/>
  <c r="P2604" i="1"/>
  <c r="S2603" i="1"/>
  <c r="R2603" i="1"/>
  <c r="Q2603" i="1"/>
  <c r="P2603" i="1"/>
  <c r="S2602" i="1"/>
  <c r="R2602" i="1"/>
  <c r="Q2602" i="1"/>
  <c r="P2602" i="1"/>
  <c r="S2601" i="1"/>
  <c r="R2601" i="1"/>
  <c r="Q2601" i="1"/>
  <c r="P2601" i="1"/>
  <c r="S2600" i="1"/>
  <c r="R2600" i="1"/>
  <c r="Q2600" i="1"/>
  <c r="P2600" i="1"/>
  <c r="S2599" i="1"/>
  <c r="R2599" i="1"/>
  <c r="Q2599" i="1"/>
  <c r="P2599" i="1"/>
  <c r="S2598" i="1"/>
  <c r="R2598" i="1"/>
  <c r="Q2598" i="1"/>
  <c r="P2598" i="1"/>
  <c r="S2597" i="1"/>
  <c r="R2597" i="1"/>
  <c r="Q2597" i="1"/>
  <c r="P2597" i="1"/>
  <c r="S2596" i="1"/>
  <c r="R2596" i="1"/>
  <c r="Q2596" i="1"/>
  <c r="P2596" i="1"/>
  <c r="S2595" i="1"/>
  <c r="R2595" i="1"/>
  <c r="Q2595" i="1"/>
  <c r="P2595" i="1"/>
  <c r="S2594" i="1"/>
  <c r="R2594" i="1"/>
  <c r="Q2594" i="1"/>
  <c r="P2594" i="1"/>
  <c r="S2593" i="1"/>
  <c r="R2593" i="1"/>
  <c r="Q2593" i="1"/>
  <c r="P2593" i="1"/>
  <c r="S2592" i="1"/>
  <c r="R2592" i="1"/>
  <c r="Q2592" i="1"/>
  <c r="P2592" i="1"/>
  <c r="S2591" i="1"/>
  <c r="R2591" i="1"/>
  <c r="Q2591" i="1"/>
  <c r="P2591" i="1"/>
  <c r="S2590" i="1"/>
  <c r="R2590" i="1"/>
  <c r="Q2590" i="1"/>
  <c r="P2590" i="1"/>
  <c r="S2589" i="1"/>
  <c r="R2589" i="1"/>
  <c r="Q2589" i="1"/>
  <c r="P2589" i="1"/>
  <c r="S2588" i="1"/>
  <c r="R2588" i="1"/>
  <c r="Q2588" i="1"/>
  <c r="P2588" i="1"/>
  <c r="S2587" i="1"/>
  <c r="R2587" i="1"/>
  <c r="Q2587" i="1"/>
  <c r="P2587" i="1"/>
  <c r="S2586" i="1"/>
  <c r="R2586" i="1"/>
  <c r="Q2586" i="1"/>
  <c r="P2586" i="1"/>
  <c r="S2585" i="1"/>
  <c r="R2585" i="1"/>
  <c r="Q2585" i="1"/>
  <c r="P2585" i="1"/>
  <c r="S2584" i="1"/>
  <c r="R2584" i="1"/>
  <c r="Q2584" i="1"/>
  <c r="P2584" i="1"/>
  <c r="S2583" i="1"/>
  <c r="R2583" i="1"/>
  <c r="Q2583" i="1"/>
  <c r="P2583" i="1"/>
  <c r="S2582" i="1"/>
  <c r="R2582" i="1"/>
  <c r="Q2582" i="1"/>
  <c r="P2582" i="1"/>
  <c r="S2581" i="1"/>
  <c r="R2581" i="1"/>
  <c r="Q2581" i="1"/>
  <c r="P2581" i="1"/>
  <c r="S2580" i="1"/>
  <c r="R2580" i="1"/>
  <c r="Q2580" i="1"/>
  <c r="P2580" i="1"/>
  <c r="S2579" i="1"/>
  <c r="R2579" i="1"/>
  <c r="Q2579" i="1"/>
  <c r="P2579" i="1"/>
  <c r="S2578" i="1"/>
  <c r="R2578" i="1"/>
  <c r="Q2578" i="1"/>
  <c r="P2578" i="1"/>
  <c r="S2577" i="1"/>
  <c r="R2577" i="1"/>
  <c r="Q2577" i="1"/>
  <c r="P2577" i="1"/>
  <c r="S2576" i="1"/>
  <c r="R2576" i="1"/>
  <c r="Q2576" i="1"/>
  <c r="P2576" i="1"/>
  <c r="S2575" i="1"/>
  <c r="R2575" i="1"/>
  <c r="Q2575" i="1"/>
  <c r="P2575" i="1"/>
  <c r="S2574" i="1"/>
  <c r="R2574" i="1"/>
  <c r="Q2574" i="1"/>
  <c r="P2574" i="1"/>
  <c r="S2573" i="1"/>
  <c r="R2573" i="1"/>
  <c r="Q2573" i="1"/>
  <c r="P2573" i="1"/>
  <c r="S2572" i="1"/>
  <c r="R2572" i="1"/>
  <c r="Q2572" i="1"/>
  <c r="P2572" i="1"/>
  <c r="S2571" i="1"/>
  <c r="R2571" i="1"/>
  <c r="Q2571" i="1"/>
  <c r="P2571" i="1"/>
  <c r="S2570" i="1"/>
  <c r="R2570" i="1"/>
  <c r="Q2570" i="1"/>
  <c r="P2570" i="1"/>
  <c r="S2569" i="1"/>
  <c r="R2569" i="1"/>
  <c r="Q2569" i="1"/>
  <c r="P2569" i="1"/>
  <c r="S2568" i="1"/>
  <c r="R2568" i="1"/>
  <c r="Q2568" i="1"/>
  <c r="P2568" i="1"/>
  <c r="S2567" i="1"/>
  <c r="R2567" i="1"/>
  <c r="Q2567" i="1"/>
  <c r="P2567" i="1"/>
  <c r="S2566" i="1"/>
  <c r="R2566" i="1"/>
  <c r="Q2566" i="1"/>
  <c r="P2566" i="1"/>
  <c r="S2565" i="1"/>
  <c r="R2565" i="1"/>
  <c r="Q2565" i="1"/>
  <c r="P2565" i="1"/>
  <c r="S2564" i="1"/>
  <c r="R2564" i="1"/>
  <c r="Q2564" i="1"/>
  <c r="P2564" i="1"/>
  <c r="S2563" i="1"/>
  <c r="R2563" i="1"/>
  <c r="Q2563" i="1"/>
  <c r="P2563" i="1"/>
  <c r="S2562" i="1"/>
  <c r="R2562" i="1"/>
  <c r="Q2562" i="1"/>
  <c r="P2562" i="1"/>
  <c r="S2561" i="1"/>
  <c r="R2561" i="1"/>
  <c r="Q2561" i="1"/>
  <c r="P2561" i="1"/>
  <c r="S2560" i="1"/>
  <c r="R2560" i="1"/>
  <c r="Q2560" i="1"/>
  <c r="P2560" i="1"/>
  <c r="S2559" i="1"/>
  <c r="R2559" i="1"/>
  <c r="Q2559" i="1"/>
  <c r="P2559" i="1"/>
  <c r="S2558" i="1"/>
  <c r="R2558" i="1"/>
  <c r="Q2558" i="1"/>
  <c r="P2558" i="1"/>
  <c r="S2557" i="1"/>
  <c r="R2557" i="1"/>
  <c r="Q2557" i="1"/>
  <c r="P2557" i="1"/>
  <c r="S2556" i="1"/>
  <c r="R2556" i="1"/>
  <c r="Q2556" i="1"/>
  <c r="P2556" i="1"/>
  <c r="S2555" i="1"/>
  <c r="R2555" i="1"/>
  <c r="Q2555" i="1"/>
  <c r="P2555" i="1"/>
  <c r="S2554" i="1"/>
  <c r="R2554" i="1"/>
  <c r="Q2554" i="1"/>
  <c r="P2554" i="1"/>
  <c r="S2553" i="1"/>
  <c r="R2553" i="1"/>
  <c r="Q2553" i="1"/>
  <c r="P2553" i="1"/>
  <c r="S2552" i="1"/>
  <c r="R2552" i="1"/>
  <c r="Q2552" i="1"/>
  <c r="P2552" i="1"/>
  <c r="S2551" i="1"/>
  <c r="R2551" i="1"/>
  <c r="Q2551" i="1"/>
  <c r="P2551" i="1"/>
  <c r="S2550" i="1"/>
  <c r="R2550" i="1"/>
  <c r="Q2550" i="1"/>
  <c r="P2550" i="1"/>
  <c r="S2549" i="1"/>
  <c r="R2549" i="1"/>
  <c r="Q2549" i="1"/>
  <c r="P2549" i="1"/>
  <c r="S2548" i="1"/>
  <c r="R2548" i="1"/>
  <c r="Q2548" i="1"/>
  <c r="P2548" i="1"/>
  <c r="S2547" i="1"/>
  <c r="R2547" i="1"/>
  <c r="Q2547" i="1"/>
  <c r="P2547" i="1"/>
  <c r="S2546" i="1"/>
  <c r="R2546" i="1"/>
  <c r="Q2546" i="1"/>
  <c r="P2546" i="1"/>
  <c r="S2545" i="1"/>
  <c r="R2545" i="1"/>
  <c r="Q2545" i="1"/>
  <c r="P2545" i="1"/>
  <c r="S2544" i="1"/>
  <c r="R2544" i="1"/>
  <c r="Q2544" i="1"/>
  <c r="P2544" i="1"/>
  <c r="S2543" i="1"/>
  <c r="R2543" i="1"/>
  <c r="Q2543" i="1"/>
  <c r="P2543" i="1"/>
  <c r="S2542" i="1"/>
  <c r="R2542" i="1"/>
  <c r="Q2542" i="1"/>
  <c r="P2542" i="1"/>
  <c r="S2541" i="1"/>
  <c r="R2541" i="1"/>
  <c r="Q2541" i="1"/>
  <c r="P2541" i="1"/>
  <c r="S2540" i="1"/>
  <c r="R2540" i="1"/>
  <c r="Q2540" i="1"/>
  <c r="P2540" i="1"/>
  <c r="S2539" i="1"/>
  <c r="R2539" i="1"/>
  <c r="Q2539" i="1"/>
  <c r="P2539" i="1"/>
  <c r="S2538" i="1"/>
  <c r="R2538" i="1"/>
  <c r="Q2538" i="1"/>
  <c r="P2538" i="1"/>
  <c r="S2537" i="1"/>
  <c r="R2537" i="1"/>
  <c r="Q2537" i="1"/>
  <c r="P2537" i="1"/>
  <c r="S2536" i="1"/>
  <c r="R2536" i="1"/>
  <c r="Q2536" i="1"/>
  <c r="P2536" i="1"/>
  <c r="S2535" i="1"/>
  <c r="R2535" i="1"/>
  <c r="Q2535" i="1"/>
  <c r="P2535" i="1"/>
  <c r="S2534" i="1"/>
  <c r="R2534" i="1"/>
  <c r="Q2534" i="1"/>
  <c r="P2534" i="1"/>
  <c r="S2533" i="1"/>
  <c r="R2533" i="1"/>
  <c r="Q2533" i="1"/>
  <c r="P2533" i="1"/>
  <c r="S2532" i="1"/>
  <c r="R2532" i="1"/>
  <c r="Q2532" i="1"/>
  <c r="P2532" i="1"/>
  <c r="S2531" i="1"/>
  <c r="R2531" i="1"/>
  <c r="Q2531" i="1"/>
  <c r="P2531" i="1"/>
  <c r="S2530" i="1"/>
  <c r="R2530" i="1"/>
  <c r="Q2530" i="1"/>
  <c r="P2530" i="1"/>
  <c r="S2529" i="1"/>
  <c r="R2529" i="1"/>
  <c r="Q2529" i="1"/>
  <c r="P2529" i="1"/>
  <c r="S2528" i="1"/>
  <c r="R2528" i="1"/>
  <c r="Q2528" i="1"/>
  <c r="P2528" i="1"/>
  <c r="S2527" i="1"/>
  <c r="R2527" i="1"/>
  <c r="Q2527" i="1"/>
  <c r="P2527" i="1"/>
  <c r="S2526" i="1"/>
  <c r="R2526" i="1"/>
  <c r="Q2526" i="1"/>
  <c r="P2526" i="1"/>
  <c r="S2525" i="1"/>
  <c r="R2525" i="1"/>
  <c r="Q2525" i="1"/>
  <c r="P2525" i="1"/>
  <c r="S2524" i="1"/>
  <c r="R2524" i="1"/>
  <c r="Q2524" i="1"/>
  <c r="P2524" i="1"/>
  <c r="S2523" i="1"/>
  <c r="R2523" i="1"/>
  <c r="Q2523" i="1"/>
  <c r="P2523" i="1"/>
  <c r="S2522" i="1"/>
  <c r="R2522" i="1"/>
  <c r="Q2522" i="1"/>
  <c r="P2522" i="1"/>
  <c r="S2521" i="1"/>
  <c r="R2521" i="1"/>
  <c r="Q2521" i="1"/>
  <c r="P2521" i="1"/>
  <c r="S2520" i="1"/>
  <c r="R2520" i="1"/>
  <c r="Q2520" i="1"/>
  <c r="P2520" i="1"/>
  <c r="S2519" i="1"/>
  <c r="R2519" i="1"/>
  <c r="Q2519" i="1"/>
  <c r="P2519" i="1"/>
  <c r="S2518" i="1"/>
  <c r="R2518" i="1"/>
  <c r="Q2518" i="1"/>
  <c r="P2518" i="1"/>
  <c r="S2517" i="1"/>
  <c r="R2517" i="1"/>
  <c r="Q2517" i="1"/>
  <c r="P2517" i="1"/>
  <c r="S2516" i="1"/>
  <c r="R2516" i="1"/>
  <c r="Q2516" i="1"/>
  <c r="P2516" i="1"/>
  <c r="S2515" i="1"/>
  <c r="R2515" i="1"/>
  <c r="Q2515" i="1"/>
  <c r="P2515" i="1"/>
  <c r="S2514" i="1"/>
  <c r="R2514" i="1"/>
  <c r="Q2514" i="1"/>
  <c r="P2514" i="1"/>
  <c r="S2513" i="1"/>
  <c r="R2513" i="1"/>
  <c r="Q2513" i="1"/>
  <c r="P2513" i="1"/>
  <c r="S2512" i="1"/>
  <c r="R2512" i="1"/>
  <c r="Q2512" i="1"/>
  <c r="P2512" i="1"/>
  <c r="S2511" i="1"/>
  <c r="R2511" i="1"/>
  <c r="Q2511" i="1"/>
  <c r="P2511" i="1"/>
  <c r="S2510" i="1"/>
  <c r="R2510" i="1"/>
  <c r="Q2510" i="1"/>
  <c r="P2510" i="1"/>
  <c r="S2509" i="1"/>
  <c r="R2509" i="1"/>
  <c r="Q2509" i="1"/>
  <c r="P2509" i="1"/>
  <c r="S2508" i="1"/>
  <c r="R2508" i="1"/>
  <c r="Q2508" i="1"/>
  <c r="P2508" i="1"/>
  <c r="S2507" i="1"/>
  <c r="R2507" i="1"/>
  <c r="Q2507" i="1"/>
  <c r="P2507" i="1"/>
  <c r="S2506" i="1"/>
  <c r="R2506" i="1"/>
  <c r="Q2506" i="1"/>
  <c r="P2506" i="1"/>
  <c r="S2505" i="1"/>
  <c r="R2505" i="1"/>
  <c r="Q2505" i="1"/>
  <c r="P2505" i="1"/>
  <c r="S2504" i="1"/>
  <c r="R2504" i="1"/>
  <c r="Q2504" i="1"/>
  <c r="P2504" i="1"/>
  <c r="S2503" i="1"/>
  <c r="R2503" i="1"/>
  <c r="Q2503" i="1"/>
  <c r="P2503" i="1"/>
  <c r="S2502" i="1"/>
  <c r="R2502" i="1"/>
  <c r="Q2502" i="1"/>
  <c r="P2502" i="1"/>
  <c r="S2501" i="1"/>
  <c r="R2501" i="1"/>
  <c r="Q2501" i="1"/>
  <c r="P2501" i="1"/>
  <c r="S2500" i="1"/>
  <c r="R2500" i="1"/>
  <c r="Q2500" i="1"/>
  <c r="P2500" i="1"/>
  <c r="S2499" i="1"/>
  <c r="R2499" i="1"/>
  <c r="Q2499" i="1"/>
  <c r="P2499" i="1"/>
  <c r="S2498" i="1"/>
  <c r="R2498" i="1"/>
  <c r="Q2498" i="1"/>
  <c r="P2498" i="1"/>
  <c r="S2497" i="1"/>
  <c r="R2497" i="1"/>
  <c r="Q2497" i="1"/>
  <c r="P2497" i="1"/>
  <c r="S2496" i="1"/>
  <c r="R2496" i="1"/>
  <c r="Q2496" i="1"/>
  <c r="P2496" i="1"/>
  <c r="S2495" i="1"/>
  <c r="R2495" i="1"/>
  <c r="Q2495" i="1"/>
  <c r="P2495" i="1"/>
  <c r="S2494" i="1"/>
  <c r="R2494" i="1"/>
  <c r="Q2494" i="1"/>
  <c r="P2494" i="1"/>
  <c r="S2493" i="1"/>
  <c r="R2493" i="1"/>
  <c r="Q2493" i="1"/>
  <c r="P2493" i="1"/>
  <c r="S2492" i="1"/>
  <c r="R2492" i="1"/>
  <c r="Q2492" i="1"/>
  <c r="P2492" i="1"/>
  <c r="S2491" i="1"/>
  <c r="R2491" i="1"/>
  <c r="Q2491" i="1"/>
  <c r="P2491" i="1"/>
  <c r="S2490" i="1"/>
  <c r="R2490" i="1"/>
  <c r="Q2490" i="1"/>
  <c r="P2490" i="1"/>
  <c r="S2489" i="1"/>
  <c r="R2489" i="1"/>
  <c r="Q2489" i="1"/>
  <c r="P2489" i="1"/>
  <c r="S2488" i="1"/>
  <c r="R2488" i="1"/>
  <c r="Q2488" i="1"/>
  <c r="P2488" i="1"/>
  <c r="S2487" i="1"/>
  <c r="R2487" i="1"/>
  <c r="Q2487" i="1"/>
  <c r="P2487" i="1"/>
  <c r="S2486" i="1"/>
  <c r="R2486" i="1"/>
  <c r="Q2486" i="1"/>
  <c r="P2486" i="1"/>
  <c r="S2485" i="1"/>
  <c r="R2485" i="1"/>
  <c r="Q2485" i="1"/>
  <c r="P2485" i="1"/>
  <c r="S2484" i="1"/>
  <c r="R2484" i="1"/>
  <c r="Q2484" i="1"/>
  <c r="P2484" i="1"/>
  <c r="S2483" i="1"/>
  <c r="R2483" i="1"/>
  <c r="Q2483" i="1"/>
  <c r="P2483" i="1"/>
  <c r="S2482" i="1"/>
  <c r="R2482" i="1"/>
  <c r="Q2482" i="1"/>
  <c r="P2482" i="1"/>
  <c r="S2481" i="1"/>
  <c r="R2481" i="1"/>
  <c r="Q2481" i="1"/>
  <c r="P2481" i="1"/>
  <c r="S2480" i="1"/>
  <c r="R2480" i="1"/>
  <c r="Q2480" i="1"/>
  <c r="P2480" i="1"/>
  <c r="S2479" i="1"/>
  <c r="R2479" i="1"/>
  <c r="Q2479" i="1"/>
  <c r="P2479" i="1"/>
  <c r="S2478" i="1"/>
  <c r="R2478" i="1"/>
  <c r="Q2478" i="1"/>
  <c r="P2478" i="1"/>
  <c r="S2477" i="1"/>
  <c r="R2477" i="1"/>
  <c r="Q2477" i="1"/>
  <c r="P2477" i="1"/>
  <c r="S2476" i="1"/>
  <c r="R2476" i="1"/>
  <c r="Q2476" i="1"/>
  <c r="P2476" i="1"/>
  <c r="S2475" i="1"/>
  <c r="R2475" i="1"/>
  <c r="Q2475" i="1"/>
  <c r="P2475" i="1"/>
  <c r="S2474" i="1"/>
  <c r="R2474" i="1"/>
  <c r="Q2474" i="1"/>
  <c r="P2474" i="1"/>
  <c r="S2473" i="1"/>
  <c r="R2473" i="1"/>
  <c r="Q2473" i="1"/>
  <c r="P2473" i="1"/>
  <c r="S2472" i="1"/>
  <c r="R2472" i="1"/>
  <c r="Q2472" i="1"/>
  <c r="P2472" i="1"/>
  <c r="S2471" i="1"/>
  <c r="R2471" i="1"/>
  <c r="Q2471" i="1"/>
  <c r="P2471" i="1"/>
  <c r="S2470" i="1"/>
  <c r="R2470" i="1"/>
  <c r="Q2470" i="1"/>
  <c r="P2470" i="1"/>
  <c r="S2469" i="1"/>
  <c r="R2469" i="1"/>
  <c r="Q2469" i="1"/>
  <c r="P2469" i="1"/>
  <c r="S2468" i="1"/>
  <c r="R2468" i="1"/>
  <c r="Q2468" i="1"/>
  <c r="P2468" i="1"/>
  <c r="S2467" i="1"/>
  <c r="R2467" i="1"/>
  <c r="Q2467" i="1"/>
  <c r="P2467" i="1"/>
  <c r="S2466" i="1"/>
  <c r="R2466" i="1"/>
  <c r="Q2466" i="1"/>
  <c r="P2466" i="1"/>
  <c r="S2465" i="1"/>
  <c r="R2465" i="1"/>
  <c r="Q2465" i="1"/>
  <c r="P2465" i="1"/>
  <c r="S2464" i="1"/>
  <c r="R2464" i="1"/>
  <c r="Q2464" i="1"/>
  <c r="P2464" i="1"/>
  <c r="S2463" i="1"/>
  <c r="R2463" i="1"/>
  <c r="Q2463" i="1"/>
  <c r="P2463" i="1"/>
  <c r="S2462" i="1"/>
  <c r="R2462" i="1"/>
  <c r="Q2462" i="1"/>
  <c r="P2462" i="1"/>
  <c r="S2461" i="1"/>
  <c r="R2461" i="1"/>
  <c r="Q2461" i="1"/>
  <c r="P2461" i="1"/>
  <c r="S2460" i="1"/>
  <c r="R2460" i="1"/>
  <c r="Q2460" i="1"/>
  <c r="P2460" i="1"/>
  <c r="S2459" i="1"/>
  <c r="R2459" i="1"/>
  <c r="Q2459" i="1"/>
  <c r="P2459" i="1"/>
  <c r="S2458" i="1"/>
  <c r="R2458" i="1"/>
  <c r="Q2458" i="1"/>
  <c r="P2458" i="1"/>
  <c r="S2457" i="1"/>
  <c r="R2457" i="1"/>
  <c r="Q2457" i="1"/>
  <c r="P2457" i="1"/>
  <c r="S2456" i="1"/>
  <c r="R2456" i="1"/>
  <c r="Q2456" i="1"/>
  <c r="P2456" i="1"/>
  <c r="S2455" i="1"/>
  <c r="R2455" i="1"/>
  <c r="Q2455" i="1"/>
  <c r="P2455" i="1"/>
  <c r="S2454" i="1"/>
  <c r="R2454" i="1"/>
  <c r="Q2454" i="1"/>
  <c r="P2454" i="1"/>
  <c r="S2453" i="1"/>
  <c r="R2453" i="1"/>
  <c r="Q2453" i="1"/>
  <c r="P2453" i="1"/>
  <c r="S2452" i="1"/>
  <c r="R2452" i="1"/>
  <c r="Q2452" i="1"/>
  <c r="P2452" i="1"/>
  <c r="S2451" i="1"/>
  <c r="R2451" i="1"/>
  <c r="Q2451" i="1"/>
  <c r="P2451" i="1"/>
  <c r="S2450" i="1"/>
  <c r="R2450" i="1"/>
  <c r="Q2450" i="1"/>
  <c r="P2450" i="1"/>
  <c r="S2449" i="1"/>
  <c r="R2449" i="1"/>
  <c r="Q2449" i="1"/>
  <c r="P2449" i="1"/>
  <c r="S2448" i="1"/>
  <c r="R2448" i="1"/>
  <c r="Q2448" i="1"/>
  <c r="P2448" i="1"/>
  <c r="S2447" i="1"/>
  <c r="R2447" i="1"/>
  <c r="Q2447" i="1"/>
  <c r="P2447" i="1"/>
  <c r="S2446" i="1"/>
  <c r="R2446" i="1"/>
  <c r="Q2446" i="1"/>
  <c r="P2446" i="1"/>
  <c r="S2445" i="1"/>
  <c r="R2445" i="1"/>
  <c r="Q2445" i="1"/>
  <c r="P2445" i="1"/>
  <c r="S2444" i="1"/>
  <c r="R2444" i="1"/>
  <c r="Q2444" i="1"/>
  <c r="P2444" i="1"/>
  <c r="S2443" i="1"/>
  <c r="R2443" i="1"/>
  <c r="Q2443" i="1"/>
  <c r="P2443" i="1"/>
  <c r="S2442" i="1"/>
  <c r="R2442" i="1"/>
  <c r="Q2442" i="1"/>
  <c r="P2442" i="1"/>
  <c r="S2441" i="1"/>
  <c r="R2441" i="1"/>
  <c r="Q2441" i="1"/>
  <c r="P2441" i="1"/>
  <c r="S2440" i="1"/>
  <c r="R2440" i="1"/>
  <c r="Q2440" i="1"/>
  <c r="P2440" i="1"/>
  <c r="S2439" i="1"/>
  <c r="R2439" i="1"/>
  <c r="Q2439" i="1"/>
  <c r="P2439" i="1"/>
  <c r="S2438" i="1"/>
  <c r="R2438" i="1"/>
  <c r="Q2438" i="1"/>
  <c r="P2438" i="1"/>
  <c r="S2437" i="1"/>
  <c r="R2437" i="1"/>
  <c r="Q2437" i="1"/>
  <c r="P2437" i="1"/>
  <c r="S2436" i="1"/>
  <c r="R2436" i="1"/>
  <c r="Q2436" i="1"/>
  <c r="P2436" i="1"/>
  <c r="S2435" i="1"/>
  <c r="R2435" i="1"/>
  <c r="Q2435" i="1"/>
  <c r="P2435" i="1"/>
  <c r="S2434" i="1"/>
  <c r="R2434" i="1"/>
  <c r="Q2434" i="1"/>
  <c r="P2434" i="1"/>
  <c r="S2433" i="1"/>
  <c r="R2433" i="1"/>
  <c r="Q2433" i="1"/>
  <c r="P2433" i="1"/>
  <c r="S2432" i="1"/>
  <c r="R2432" i="1"/>
  <c r="Q2432" i="1"/>
  <c r="P2432" i="1"/>
  <c r="S2431" i="1"/>
  <c r="R2431" i="1"/>
  <c r="Q2431" i="1"/>
  <c r="P2431" i="1"/>
  <c r="S2430" i="1"/>
  <c r="R2430" i="1"/>
  <c r="Q2430" i="1"/>
  <c r="P2430" i="1"/>
  <c r="S2429" i="1"/>
  <c r="R2429" i="1"/>
  <c r="Q2429" i="1"/>
  <c r="P2429" i="1"/>
  <c r="S2428" i="1"/>
  <c r="R2428" i="1"/>
  <c r="Q2428" i="1"/>
  <c r="P2428" i="1"/>
  <c r="S2427" i="1"/>
  <c r="R2427" i="1"/>
  <c r="Q2427" i="1"/>
  <c r="P2427" i="1"/>
  <c r="S2426" i="1"/>
  <c r="R2426" i="1"/>
  <c r="Q2426" i="1"/>
  <c r="P2426" i="1"/>
  <c r="S2425" i="1"/>
  <c r="R2425" i="1"/>
  <c r="Q2425" i="1"/>
  <c r="P2425" i="1"/>
  <c r="S2424" i="1"/>
  <c r="R2424" i="1"/>
  <c r="Q2424" i="1"/>
  <c r="P2424" i="1"/>
  <c r="S2423" i="1"/>
  <c r="R2423" i="1"/>
  <c r="Q2423" i="1"/>
  <c r="P2423" i="1"/>
  <c r="S2422" i="1"/>
  <c r="R2422" i="1"/>
  <c r="Q2422" i="1"/>
  <c r="P2422" i="1"/>
  <c r="S2421" i="1"/>
  <c r="R2421" i="1"/>
  <c r="Q2421" i="1"/>
  <c r="P2421" i="1"/>
  <c r="S2420" i="1"/>
  <c r="R2420" i="1"/>
  <c r="Q2420" i="1"/>
  <c r="P2420" i="1"/>
  <c r="S2419" i="1"/>
  <c r="R2419" i="1"/>
  <c r="Q2419" i="1"/>
  <c r="P2419" i="1"/>
  <c r="S2418" i="1"/>
  <c r="R2418" i="1"/>
  <c r="Q2418" i="1"/>
  <c r="P2418" i="1"/>
  <c r="S2417" i="1"/>
  <c r="R2417" i="1"/>
  <c r="Q2417" i="1"/>
  <c r="P2417" i="1"/>
  <c r="S2416" i="1"/>
  <c r="R2416" i="1"/>
  <c r="Q2416" i="1"/>
  <c r="P2416" i="1"/>
  <c r="S2415" i="1"/>
  <c r="R2415" i="1"/>
  <c r="Q2415" i="1"/>
  <c r="P2415" i="1"/>
  <c r="S2414" i="1"/>
  <c r="R2414" i="1"/>
  <c r="Q2414" i="1"/>
  <c r="P2414" i="1"/>
  <c r="S2413" i="1"/>
  <c r="R2413" i="1"/>
  <c r="Q2413" i="1"/>
  <c r="P2413" i="1"/>
  <c r="S2412" i="1"/>
  <c r="R2412" i="1"/>
  <c r="Q2412" i="1"/>
  <c r="P2412" i="1"/>
  <c r="S2411" i="1"/>
  <c r="R2411" i="1"/>
  <c r="Q2411" i="1"/>
  <c r="P2411" i="1"/>
  <c r="S2410" i="1"/>
  <c r="R2410" i="1"/>
  <c r="Q2410" i="1"/>
  <c r="P2410" i="1"/>
  <c r="S2409" i="1"/>
  <c r="R2409" i="1"/>
  <c r="Q2409" i="1"/>
  <c r="P2409" i="1"/>
  <c r="S2408" i="1"/>
  <c r="R2408" i="1"/>
  <c r="Q2408" i="1"/>
  <c r="P2408" i="1"/>
  <c r="S2407" i="1"/>
  <c r="R2407" i="1"/>
  <c r="Q2407" i="1"/>
  <c r="P2407" i="1"/>
  <c r="S2406" i="1"/>
  <c r="R2406" i="1"/>
  <c r="Q2406" i="1"/>
  <c r="P2406" i="1"/>
  <c r="S2405" i="1"/>
  <c r="R2405" i="1"/>
  <c r="Q2405" i="1"/>
  <c r="P2405" i="1"/>
  <c r="S2404" i="1"/>
  <c r="R2404" i="1"/>
  <c r="Q2404" i="1"/>
  <c r="P2404" i="1"/>
  <c r="S2403" i="1"/>
  <c r="R2403" i="1"/>
  <c r="Q2403" i="1"/>
  <c r="P2403" i="1"/>
  <c r="S2402" i="1"/>
  <c r="R2402" i="1"/>
  <c r="Q2402" i="1"/>
  <c r="P2402" i="1"/>
  <c r="S2401" i="1"/>
  <c r="R2401" i="1"/>
  <c r="Q2401" i="1"/>
  <c r="P2401" i="1"/>
  <c r="S2400" i="1"/>
  <c r="R2400" i="1"/>
  <c r="Q2400" i="1"/>
  <c r="P2400" i="1"/>
  <c r="S2399" i="1"/>
  <c r="R2399" i="1"/>
  <c r="Q2399" i="1"/>
  <c r="P2399" i="1"/>
  <c r="S2398" i="1"/>
  <c r="R2398" i="1"/>
  <c r="Q2398" i="1"/>
  <c r="P2398" i="1"/>
  <c r="S2397" i="1"/>
  <c r="R2397" i="1"/>
  <c r="Q2397" i="1"/>
  <c r="P2397" i="1"/>
  <c r="S2396" i="1"/>
  <c r="R2396" i="1"/>
  <c r="Q2396" i="1"/>
  <c r="P2396" i="1"/>
  <c r="S2395" i="1"/>
  <c r="R2395" i="1"/>
  <c r="Q2395" i="1"/>
  <c r="P2395" i="1"/>
  <c r="S2394" i="1"/>
  <c r="R2394" i="1"/>
  <c r="Q2394" i="1"/>
  <c r="P2394" i="1"/>
  <c r="S2393" i="1"/>
  <c r="R2393" i="1"/>
  <c r="Q2393" i="1"/>
  <c r="P2393" i="1"/>
  <c r="S2392" i="1"/>
  <c r="R2392" i="1"/>
  <c r="Q2392" i="1"/>
  <c r="P2392" i="1"/>
  <c r="S2391" i="1"/>
  <c r="R2391" i="1"/>
  <c r="Q2391" i="1"/>
  <c r="P2391" i="1"/>
  <c r="S2390" i="1"/>
  <c r="R2390" i="1"/>
  <c r="Q2390" i="1"/>
  <c r="P2390" i="1"/>
  <c r="S2389" i="1"/>
  <c r="R2389" i="1"/>
  <c r="Q2389" i="1"/>
  <c r="P2389" i="1"/>
  <c r="S2388" i="1"/>
  <c r="R2388" i="1"/>
  <c r="Q2388" i="1"/>
  <c r="P2388" i="1"/>
  <c r="S2387" i="1"/>
  <c r="R2387" i="1"/>
  <c r="Q2387" i="1"/>
  <c r="P2387" i="1"/>
  <c r="S2386" i="1"/>
  <c r="R2386" i="1"/>
  <c r="Q2386" i="1"/>
  <c r="P2386" i="1"/>
  <c r="S2385" i="1"/>
  <c r="R2385" i="1"/>
  <c r="Q2385" i="1"/>
  <c r="P2385" i="1"/>
  <c r="S2384" i="1"/>
  <c r="R2384" i="1"/>
  <c r="Q2384" i="1"/>
  <c r="P2384" i="1"/>
  <c r="S2383" i="1"/>
  <c r="R2383" i="1"/>
  <c r="Q2383" i="1"/>
  <c r="P2383" i="1"/>
  <c r="S2382" i="1"/>
  <c r="R2382" i="1"/>
  <c r="Q2382" i="1"/>
  <c r="P2382" i="1"/>
  <c r="S2381" i="1"/>
  <c r="R2381" i="1"/>
  <c r="Q2381" i="1"/>
  <c r="P2381" i="1"/>
  <c r="S2380" i="1"/>
  <c r="R2380" i="1"/>
  <c r="Q2380" i="1"/>
  <c r="P2380" i="1"/>
  <c r="S2379" i="1"/>
  <c r="R2379" i="1"/>
  <c r="Q2379" i="1"/>
  <c r="P2379" i="1"/>
  <c r="S2378" i="1"/>
  <c r="R2378" i="1"/>
  <c r="Q2378" i="1"/>
  <c r="P2378" i="1"/>
  <c r="S2377" i="1"/>
  <c r="R2377" i="1"/>
  <c r="Q2377" i="1"/>
  <c r="P2377" i="1"/>
  <c r="S2376" i="1"/>
  <c r="R2376" i="1"/>
  <c r="Q2376" i="1"/>
  <c r="P2376" i="1"/>
  <c r="S2375" i="1"/>
  <c r="R2375" i="1"/>
  <c r="Q2375" i="1"/>
  <c r="P2375" i="1"/>
  <c r="S2374" i="1"/>
  <c r="R2374" i="1"/>
  <c r="Q2374" i="1"/>
  <c r="P2374" i="1"/>
  <c r="S2373" i="1"/>
  <c r="R2373" i="1"/>
  <c r="Q2373" i="1"/>
  <c r="P2373" i="1"/>
  <c r="S2372" i="1"/>
  <c r="R2372" i="1"/>
  <c r="Q2372" i="1"/>
  <c r="P2372" i="1"/>
  <c r="S2371" i="1"/>
  <c r="R2371" i="1"/>
  <c r="Q2371" i="1"/>
  <c r="P2371" i="1"/>
  <c r="S2370" i="1"/>
  <c r="R2370" i="1"/>
  <c r="Q2370" i="1"/>
  <c r="P2370" i="1"/>
  <c r="S2369" i="1"/>
  <c r="R2369" i="1"/>
  <c r="Q2369" i="1"/>
  <c r="P2369" i="1"/>
  <c r="S2368" i="1"/>
  <c r="R2368" i="1"/>
  <c r="Q2368" i="1"/>
  <c r="P2368" i="1"/>
  <c r="S2367" i="1"/>
  <c r="R2367" i="1"/>
  <c r="Q2367" i="1"/>
  <c r="P2367" i="1"/>
  <c r="S2366" i="1"/>
  <c r="R2366" i="1"/>
  <c r="Q2366" i="1"/>
  <c r="P2366" i="1"/>
  <c r="S2365" i="1"/>
  <c r="R2365" i="1"/>
  <c r="Q2365" i="1"/>
  <c r="P2365" i="1"/>
  <c r="S2364" i="1"/>
  <c r="R2364" i="1"/>
  <c r="Q2364" i="1"/>
  <c r="P2364" i="1"/>
  <c r="S2363" i="1"/>
  <c r="R2363" i="1"/>
  <c r="Q2363" i="1"/>
  <c r="P2363" i="1"/>
  <c r="S2362" i="1"/>
  <c r="R2362" i="1"/>
  <c r="Q2362" i="1"/>
  <c r="P2362" i="1"/>
  <c r="S2361" i="1"/>
  <c r="R2361" i="1"/>
  <c r="Q2361" i="1"/>
  <c r="P2361" i="1"/>
  <c r="S2360" i="1"/>
  <c r="R2360" i="1"/>
  <c r="Q2360" i="1"/>
  <c r="P2360" i="1"/>
  <c r="S2359" i="1"/>
  <c r="R2359" i="1"/>
  <c r="Q2359" i="1"/>
  <c r="P2359" i="1"/>
  <c r="S2358" i="1"/>
  <c r="R2358" i="1"/>
  <c r="Q2358" i="1"/>
  <c r="P2358" i="1"/>
  <c r="S2357" i="1"/>
  <c r="R2357" i="1"/>
  <c r="Q2357" i="1"/>
  <c r="P2357" i="1"/>
  <c r="S2356" i="1"/>
  <c r="R2356" i="1"/>
  <c r="Q2356" i="1"/>
  <c r="P2356" i="1"/>
  <c r="S2355" i="1"/>
  <c r="R2355" i="1"/>
  <c r="Q2355" i="1"/>
  <c r="P2355" i="1"/>
  <c r="S2354" i="1"/>
  <c r="R2354" i="1"/>
  <c r="Q2354" i="1"/>
  <c r="P2354" i="1"/>
  <c r="S2353" i="1"/>
  <c r="R2353" i="1"/>
  <c r="Q2353" i="1"/>
  <c r="P2353" i="1"/>
  <c r="S2352" i="1"/>
  <c r="R2352" i="1"/>
  <c r="Q2352" i="1"/>
  <c r="P2352" i="1"/>
  <c r="S2351" i="1"/>
  <c r="R2351" i="1"/>
  <c r="Q2351" i="1"/>
  <c r="P2351" i="1"/>
  <c r="S2350" i="1"/>
  <c r="R2350" i="1"/>
  <c r="Q2350" i="1"/>
  <c r="P2350" i="1"/>
  <c r="S2349" i="1"/>
  <c r="R2349" i="1"/>
  <c r="Q2349" i="1"/>
  <c r="P2349" i="1"/>
  <c r="S2348" i="1"/>
  <c r="R2348" i="1"/>
  <c r="Q2348" i="1"/>
  <c r="P2348" i="1"/>
  <c r="S2347" i="1"/>
  <c r="R2347" i="1"/>
  <c r="Q2347" i="1"/>
  <c r="P2347" i="1"/>
  <c r="S2346" i="1"/>
  <c r="R2346" i="1"/>
  <c r="Q2346" i="1"/>
  <c r="P2346" i="1"/>
  <c r="S2345" i="1"/>
  <c r="R2345" i="1"/>
  <c r="Q2345" i="1"/>
  <c r="P2345" i="1"/>
  <c r="S2344" i="1"/>
  <c r="R2344" i="1"/>
  <c r="Q2344" i="1"/>
  <c r="P2344" i="1"/>
  <c r="S2343" i="1"/>
  <c r="R2343" i="1"/>
  <c r="Q2343" i="1"/>
  <c r="P2343" i="1"/>
  <c r="S2342" i="1"/>
  <c r="R2342" i="1"/>
  <c r="Q2342" i="1"/>
  <c r="P2342" i="1"/>
  <c r="S2341" i="1"/>
  <c r="R2341" i="1"/>
  <c r="Q2341" i="1"/>
  <c r="P2341" i="1"/>
  <c r="S2340" i="1"/>
  <c r="R2340" i="1"/>
  <c r="Q2340" i="1"/>
  <c r="P2340" i="1"/>
  <c r="S2339" i="1"/>
  <c r="R2339" i="1"/>
  <c r="Q2339" i="1"/>
  <c r="P2339" i="1"/>
  <c r="S2338" i="1"/>
  <c r="R2338" i="1"/>
  <c r="Q2338" i="1"/>
  <c r="P2338" i="1"/>
  <c r="S2337" i="1"/>
  <c r="R2337" i="1"/>
  <c r="Q2337" i="1"/>
  <c r="P2337" i="1"/>
  <c r="S2336" i="1"/>
  <c r="R2336" i="1"/>
  <c r="Q2336" i="1"/>
  <c r="P2336" i="1"/>
  <c r="S2335" i="1"/>
  <c r="R2335" i="1"/>
  <c r="Q2335" i="1"/>
  <c r="P2335" i="1"/>
  <c r="S2334" i="1"/>
  <c r="R2334" i="1"/>
  <c r="Q2334" i="1"/>
  <c r="P2334" i="1"/>
  <c r="S2333" i="1"/>
  <c r="R2333" i="1"/>
  <c r="Q2333" i="1"/>
  <c r="P2333" i="1"/>
  <c r="S2332" i="1"/>
  <c r="R2332" i="1"/>
  <c r="Q2332" i="1"/>
  <c r="P2332" i="1"/>
  <c r="S2331" i="1"/>
  <c r="R2331" i="1"/>
  <c r="Q2331" i="1"/>
  <c r="P2331" i="1"/>
  <c r="S2330" i="1"/>
  <c r="R2330" i="1"/>
  <c r="Q2330" i="1"/>
  <c r="P2330" i="1"/>
  <c r="S2329" i="1"/>
  <c r="R2329" i="1"/>
  <c r="Q2329" i="1"/>
  <c r="P2329" i="1"/>
  <c r="S2328" i="1"/>
  <c r="R2328" i="1"/>
  <c r="Q2328" i="1"/>
  <c r="P2328" i="1"/>
  <c r="S2327" i="1"/>
  <c r="R2327" i="1"/>
  <c r="Q2327" i="1"/>
  <c r="P2327" i="1"/>
  <c r="S2326" i="1"/>
  <c r="R2326" i="1"/>
  <c r="Q2326" i="1"/>
  <c r="P2326" i="1"/>
  <c r="S2325" i="1"/>
  <c r="R2325" i="1"/>
  <c r="Q2325" i="1"/>
  <c r="P2325" i="1"/>
  <c r="S2324" i="1"/>
  <c r="R2324" i="1"/>
  <c r="Q2324" i="1"/>
  <c r="P2324" i="1"/>
  <c r="S2323" i="1"/>
  <c r="R2323" i="1"/>
  <c r="Q2323" i="1"/>
  <c r="P2323" i="1"/>
  <c r="S2322" i="1"/>
  <c r="R2322" i="1"/>
  <c r="Q2322" i="1"/>
  <c r="P2322" i="1"/>
  <c r="S2321" i="1"/>
  <c r="R2321" i="1"/>
  <c r="Q2321" i="1"/>
  <c r="P2321" i="1"/>
  <c r="S2320" i="1"/>
  <c r="R2320" i="1"/>
  <c r="Q2320" i="1"/>
  <c r="P2320" i="1"/>
  <c r="S2319" i="1"/>
  <c r="R2319" i="1"/>
  <c r="Q2319" i="1"/>
  <c r="P2319" i="1"/>
  <c r="S2318" i="1"/>
  <c r="R2318" i="1"/>
  <c r="Q2318" i="1"/>
  <c r="P2318" i="1"/>
  <c r="S2317" i="1"/>
  <c r="R2317" i="1"/>
  <c r="Q2317" i="1"/>
  <c r="P2317" i="1"/>
  <c r="S2316" i="1"/>
  <c r="R2316" i="1"/>
  <c r="Q2316" i="1"/>
  <c r="P2316" i="1"/>
  <c r="S2315" i="1"/>
  <c r="R2315" i="1"/>
  <c r="Q2315" i="1"/>
  <c r="P2315" i="1"/>
  <c r="S2314" i="1"/>
  <c r="R2314" i="1"/>
  <c r="Q2314" i="1"/>
  <c r="P2314" i="1"/>
  <c r="S2313" i="1"/>
  <c r="R2313" i="1"/>
  <c r="Q2313" i="1"/>
  <c r="P2313" i="1"/>
  <c r="S2312" i="1"/>
  <c r="R2312" i="1"/>
  <c r="Q2312" i="1"/>
  <c r="P2312" i="1"/>
  <c r="S2311" i="1"/>
  <c r="R2311" i="1"/>
  <c r="Q2311" i="1"/>
  <c r="P2311" i="1"/>
  <c r="S2310" i="1"/>
  <c r="R2310" i="1"/>
  <c r="Q2310" i="1"/>
  <c r="P2310" i="1"/>
  <c r="S2309" i="1"/>
  <c r="R2309" i="1"/>
  <c r="Q2309" i="1"/>
  <c r="P2309" i="1"/>
  <c r="S2308" i="1"/>
  <c r="R2308" i="1"/>
  <c r="Q2308" i="1"/>
  <c r="P2308" i="1"/>
  <c r="S2307" i="1"/>
  <c r="R2307" i="1"/>
  <c r="Q2307" i="1"/>
  <c r="P2307" i="1"/>
  <c r="S2306" i="1"/>
  <c r="R2306" i="1"/>
  <c r="Q2306" i="1"/>
  <c r="P2306" i="1"/>
  <c r="S2305" i="1"/>
  <c r="R2305" i="1"/>
  <c r="Q2305" i="1"/>
  <c r="P2305" i="1"/>
  <c r="S2304" i="1"/>
  <c r="R2304" i="1"/>
  <c r="Q2304" i="1"/>
  <c r="P2304" i="1"/>
  <c r="S2303" i="1"/>
  <c r="R2303" i="1"/>
  <c r="Q2303" i="1"/>
  <c r="P2303" i="1"/>
  <c r="S2302" i="1"/>
  <c r="R2302" i="1"/>
  <c r="Q2302" i="1"/>
  <c r="P2302" i="1"/>
  <c r="S2301" i="1"/>
  <c r="R2301" i="1"/>
  <c r="Q2301" i="1"/>
  <c r="P2301" i="1"/>
  <c r="S2300" i="1"/>
  <c r="R2300" i="1"/>
  <c r="Q2300" i="1"/>
  <c r="P2300" i="1"/>
  <c r="S2299" i="1"/>
  <c r="R2299" i="1"/>
  <c r="Q2299" i="1"/>
  <c r="P2299" i="1"/>
  <c r="S2298" i="1"/>
  <c r="R2298" i="1"/>
  <c r="Q2298" i="1"/>
  <c r="P2298" i="1"/>
  <c r="S2297" i="1"/>
  <c r="R2297" i="1"/>
  <c r="Q2297" i="1"/>
  <c r="P2297" i="1"/>
  <c r="S2296" i="1"/>
  <c r="R2296" i="1"/>
  <c r="Q2296" i="1"/>
  <c r="P2296" i="1"/>
  <c r="S2295" i="1"/>
  <c r="R2295" i="1"/>
  <c r="Q2295" i="1"/>
  <c r="P2295" i="1"/>
  <c r="S2294" i="1"/>
  <c r="R2294" i="1"/>
  <c r="Q2294" i="1"/>
  <c r="P2294" i="1"/>
  <c r="S2293" i="1"/>
  <c r="R2293" i="1"/>
  <c r="Q2293" i="1"/>
  <c r="P2293" i="1"/>
  <c r="S2292" i="1"/>
  <c r="R2292" i="1"/>
  <c r="Q2292" i="1"/>
  <c r="P2292" i="1"/>
  <c r="S2291" i="1"/>
  <c r="R2291" i="1"/>
  <c r="Q2291" i="1"/>
  <c r="P2291" i="1"/>
  <c r="S2290" i="1"/>
  <c r="R2290" i="1"/>
  <c r="Q2290" i="1"/>
  <c r="P2290" i="1"/>
  <c r="S2289" i="1"/>
  <c r="R2289" i="1"/>
  <c r="Q2289" i="1"/>
  <c r="P2289" i="1"/>
  <c r="S2288" i="1"/>
  <c r="R2288" i="1"/>
  <c r="Q2288" i="1"/>
  <c r="P2288" i="1"/>
  <c r="S2287" i="1"/>
  <c r="R2287" i="1"/>
  <c r="Q2287" i="1"/>
  <c r="P2287" i="1"/>
  <c r="S2286" i="1"/>
  <c r="R2286" i="1"/>
  <c r="Q2286" i="1"/>
  <c r="P2286" i="1"/>
  <c r="S2285" i="1"/>
  <c r="R2285" i="1"/>
  <c r="Q2285" i="1"/>
  <c r="P2285" i="1"/>
  <c r="S2284" i="1"/>
  <c r="R2284" i="1"/>
  <c r="Q2284" i="1"/>
  <c r="P2284" i="1"/>
  <c r="S2283" i="1"/>
  <c r="R2283" i="1"/>
  <c r="Q2283" i="1"/>
  <c r="P2283" i="1"/>
  <c r="S2282" i="1"/>
  <c r="R2282" i="1"/>
  <c r="Q2282" i="1"/>
  <c r="P2282" i="1"/>
  <c r="S2281" i="1"/>
  <c r="R2281" i="1"/>
  <c r="Q2281" i="1"/>
  <c r="P2281" i="1"/>
  <c r="S2280" i="1"/>
  <c r="R2280" i="1"/>
  <c r="Q2280" i="1"/>
  <c r="P2280" i="1"/>
  <c r="S2279" i="1"/>
  <c r="R2279" i="1"/>
  <c r="Q2279" i="1"/>
  <c r="P2279" i="1"/>
  <c r="S2278" i="1"/>
  <c r="R2278" i="1"/>
  <c r="Q2278" i="1"/>
  <c r="P2278" i="1"/>
  <c r="S2277" i="1"/>
  <c r="R2277" i="1"/>
  <c r="Q2277" i="1"/>
  <c r="P2277" i="1"/>
  <c r="S2276" i="1"/>
  <c r="R2276" i="1"/>
  <c r="Q2276" i="1"/>
  <c r="P2276" i="1"/>
  <c r="S2275" i="1"/>
  <c r="R2275" i="1"/>
  <c r="Q2275" i="1"/>
  <c r="P2275" i="1"/>
  <c r="S2274" i="1"/>
  <c r="R2274" i="1"/>
  <c r="Q2274" i="1"/>
  <c r="P2274" i="1"/>
  <c r="S2273" i="1"/>
  <c r="R2273" i="1"/>
  <c r="Q2273" i="1"/>
  <c r="P2273" i="1"/>
  <c r="S2272" i="1"/>
  <c r="R2272" i="1"/>
  <c r="Q2272" i="1"/>
  <c r="P2272" i="1"/>
  <c r="S2271" i="1"/>
  <c r="R2271" i="1"/>
  <c r="Q2271" i="1"/>
  <c r="P2271" i="1"/>
  <c r="S2270" i="1"/>
  <c r="R2270" i="1"/>
  <c r="Q2270" i="1"/>
  <c r="P2270" i="1"/>
  <c r="S2269" i="1"/>
  <c r="R2269" i="1"/>
  <c r="Q2269" i="1"/>
  <c r="P2269" i="1"/>
  <c r="S2268" i="1"/>
  <c r="R2268" i="1"/>
  <c r="Q2268" i="1"/>
  <c r="P2268" i="1"/>
  <c r="S2267" i="1"/>
  <c r="R2267" i="1"/>
  <c r="Q2267" i="1"/>
  <c r="P2267" i="1"/>
  <c r="S2266" i="1"/>
  <c r="R2266" i="1"/>
  <c r="Q2266" i="1"/>
  <c r="P2266" i="1"/>
  <c r="S2265" i="1"/>
  <c r="R2265" i="1"/>
  <c r="Q2265" i="1"/>
  <c r="P2265" i="1"/>
  <c r="S2264" i="1"/>
  <c r="R2264" i="1"/>
  <c r="Q2264" i="1"/>
  <c r="P2264" i="1"/>
  <c r="S2263" i="1"/>
  <c r="R2263" i="1"/>
  <c r="Q2263" i="1"/>
  <c r="P2263" i="1"/>
  <c r="S2262" i="1"/>
  <c r="R2262" i="1"/>
  <c r="Q2262" i="1"/>
  <c r="P2262" i="1"/>
  <c r="S2261" i="1"/>
  <c r="R2261" i="1"/>
  <c r="Q2261" i="1"/>
  <c r="P2261" i="1"/>
  <c r="S2260" i="1"/>
  <c r="R2260" i="1"/>
  <c r="Q2260" i="1"/>
  <c r="P2260" i="1"/>
  <c r="S2259" i="1"/>
  <c r="R2259" i="1"/>
  <c r="Q2259" i="1"/>
  <c r="P2259" i="1"/>
  <c r="S2258" i="1"/>
  <c r="R2258" i="1"/>
  <c r="Q2258" i="1"/>
  <c r="P2258" i="1"/>
  <c r="S2257" i="1"/>
  <c r="R2257" i="1"/>
  <c r="Q2257" i="1"/>
  <c r="P2257" i="1"/>
  <c r="S2256" i="1"/>
  <c r="R2256" i="1"/>
  <c r="Q2256" i="1"/>
  <c r="P2256" i="1"/>
  <c r="S2255" i="1"/>
  <c r="R2255" i="1"/>
  <c r="Q2255" i="1"/>
  <c r="P2255" i="1"/>
  <c r="S2254" i="1"/>
  <c r="R2254" i="1"/>
  <c r="Q2254" i="1"/>
  <c r="P2254" i="1"/>
  <c r="S2253" i="1"/>
  <c r="R2253" i="1"/>
  <c r="Q2253" i="1"/>
  <c r="P2253" i="1"/>
  <c r="S2252" i="1"/>
  <c r="R2252" i="1"/>
  <c r="Q2252" i="1"/>
  <c r="P2252" i="1"/>
  <c r="S2251" i="1"/>
  <c r="R2251" i="1"/>
  <c r="Q2251" i="1"/>
  <c r="P2251" i="1"/>
  <c r="S2250" i="1"/>
  <c r="R2250" i="1"/>
  <c r="Q2250" i="1"/>
  <c r="P2250" i="1"/>
  <c r="S2249" i="1"/>
  <c r="R2249" i="1"/>
  <c r="Q2249" i="1"/>
  <c r="P2249" i="1"/>
  <c r="S2248" i="1"/>
  <c r="R2248" i="1"/>
  <c r="Q2248" i="1"/>
  <c r="P2248" i="1"/>
  <c r="S2247" i="1"/>
  <c r="R2247" i="1"/>
  <c r="Q2247" i="1"/>
  <c r="P2247" i="1"/>
  <c r="S2246" i="1"/>
  <c r="R2246" i="1"/>
  <c r="Q2246" i="1"/>
  <c r="P2246" i="1"/>
  <c r="S2245" i="1"/>
  <c r="R2245" i="1"/>
  <c r="Q2245" i="1"/>
  <c r="P2245" i="1"/>
  <c r="S2244" i="1"/>
  <c r="R2244" i="1"/>
  <c r="Q2244" i="1"/>
  <c r="P2244" i="1"/>
  <c r="S2243" i="1"/>
  <c r="R2243" i="1"/>
  <c r="Q2243" i="1"/>
  <c r="P2243" i="1"/>
  <c r="S2242" i="1"/>
  <c r="R2242" i="1"/>
  <c r="Q2242" i="1"/>
  <c r="P2242" i="1"/>
  <c r="S2241" i="1"/>
  <c r="R2241" i="1"/>
  <c r="Q2241" i="1"/>
  <c r="P2241" i="1"/>
  <c r="S2240" i="1"/>
  <c r="R2240" i="1"/>
  <c r="Q2240" i="1"/>
  <c r="P2240" i="1"/>
  <c r="S2239" i="1"/>
  <c r="R2239" i="1"/>
  <c r="Q2239" i="1"/>
  <c r="P2239" i="1"/>
  <c r="S2238" i="1"/>
  <c r="R2238" i="1"/>
  <c r="Q2238" i="1"/>
  <c r="P2238" i="1"/>
  <c r="S2237" i="1"/>
  <c r="R2237" i="1"/>
  <c r="Q2237" i="1"/>
  <c r="P2237" i="1"/>
  <c r="S2236" i="1"/>
  <c r="R2236" i="1"/>
  <c r="Q2236" i="1"/>
  <c r="P2236" i="1"/>
  <c r="S2235" i="1"/>
  <c r="R2235" i="1"/>
  <c r="Q2235" i="1"/>
  <c r="P2235" i="1"/>
  <c r="S2234" i="1"/>
  <c r="R2234" i="1"/>
  <c r="Q2234" i="1"/>
  <c r="P2234" i="1"/>
  <c r="S2233" i="1"/>
  <c r="R2233" i="1"/>
  <c r="Q2233" i="1"/>
  <c r="P2233" i="1"/>
  <c r="S2232" i="1"/>
  <c r="R2232" i="1"/>
  <c r="Q2232" i="1"/>
  <c r="P2232" i="1"/>
  <c r="S2231" i="1"/>
  <c r="R2231" i="1"/>
  <c r="Q2231" i="1"/>
  <c r="P2231" i="1"/>
  <c r="S2230" i="1"/>
  <c r="R2230" i="1"/>
  <c r="Q2230" i="1"/>
  <c r="P2230" i="1"/>
  <c r="S2229" i="1"/>
  <c r="R2229" i="1"/>
  <c r="Q2229" i="1"/>
  <c r="P2229" i="1"/>
  <c r="S2228" i="1"/>
  <c r="R2228" i="1"/>
  <c r="Q2228" i="1"/>
  <c r="P2228" i="1"/>
  <c r="S2227" i="1"/>
  <c r="R2227" i="1"/>
  <c r="Q2227" i="1"/>
  <c r="P2227" i="1"/>
  <c r="S2226" i="1"/>
  <c r="R2226" i="1"/>
  <c r="Q2226" i="1"/>
  <c r="P2226" i="1"/>
  <c r="S2225" i="1"/>
  <c r="R2225" i="1"/>
  <c r="Q2225" i="1"/>
  <c r="P2225" i="1"/>
  <c r="S2224" i="1"/>
  <c r="R2224" i="1"/>
  <c r="Q2224" i="1"/>
  <c r="P2224" i="1"/>
  <c r="S2223" i="1"/>
  <c r="R2223" i="1"/>
  <c r="Q2223" i="1"/>
  <c r="P2223" i="1"/>
  <c r="S2222" i="1"/>
  <c r="R2222" i="1"/>
  <c r="Q2222" i="1"/>
  <c r="P2222" i="1"/>
  <c r="S2221" i="1"/>
  <c r="R2221" i="1"/>
  <c r="Q2221" i="1"/>
  <c r="P2221" i="1"/>
  <c r="S2220" i="1"/>
  <c r="R2220" i="1"/>
  <c r="Q2220" i="1"/>
  <c r="P2220" i="1"/>
  <c r="S2219" i="1"/>
  <c r="R2219" i="1"/>
  <c r="Q2219" i="1"/>
  <c r="P2219" i="1"/>
  <c r="S2218" i="1"/>
  <c r="R2218" i="1"/>
  <c r="Q2218" i="1"/>
  <c r="P2218" i="1"/>
  <c r="S2217" i="1"/>
  <c r="R2217" i="1"/>
  <c r="Q2217" i="1"/>
  <c r="P2217" i="1"/>
  <c r="S2216" i="1"/>
  <c r="R2216" i="1"/>
  <c r="Q2216" i="1"/>
  <c r="P2216" i="1"/>
  <c r="S2215" i="1"/>
  <c r="R2215" i="1"/>
  <c r="Q2215" i="1"/>
  <c r="P2215" i="1"/>
  <c r="S2214" i="1"/>
  <c r="R2214" i="1"/>
  <c r="Q2214" i="1"/>
  <c r="P2214" i="1"/>
  <c r="S2213" i="1"/>
  <c r="R2213" i="1"/>
  <c r="Q2213" i="1"/>
  <c r="P2213" i="1"/>
  <c r="S2212" i="1"/>
  <c r="R2212" i="1"/>
  <c r="Q2212" i="1"/>
  <c r="P2212" i="1"/>
  <c r="S2211" i="1"/>
  <c r="R2211" i="1"/>
  <c r="Q2211" i="1"/>
  <c r="P2211" i="1"/>
  <c r="S2210" i="1"/>
  <c r="R2210" i="1"/>
  <c r="Q2210" i="1"/>
  <c r="P2210" i="1"/>
  <c r="S2209" i="1"/>
  <c r="R2209" i="1"/>
  <c r="Q2209" i="1"/>
  <c r="P2209" i="1"/>
  <c r="S2208" i="1"/>
  <c r="R2208" i="1"/>
  <c r="Q2208" i="1"/>
  <c r="P2208" i="1"/>
  <c r="S2207" i="1"/>
  <c r="R2207" i="1"/>
  <c r="Q2207" i="1"/>
  <c r="P2207" i="1"/>
  <c r="S2206" i="1"/>
  <c r="R2206" i="1"/>
  <c r="Q2206" i="1"/>
  <c r="P2206" i="1"/>
  <c r="S2205" i="1"/>
  <c r="R2205" i="1"/>
  <c r="Q2205" i="1"/>
  <c r="P2205" i="1"/>
  <c r="S2204" i="1"/>
  <c r="R2204" i="1"/>
  <c r="Q2204" i="1"/>
  <c r="P2204" i="1"/>
  <c r="S2203" i="1"/>
  <c r="R2203" i="1"/>
  <c r="Q2203" i="1"/>
  <c r="P2203" i="1"/>
  <c r="S2202" i="1"/>
  <c r="R2202" i="1"/>
  <c r="Q2202" i="1"/>
  <c r="P2202" i="1"/>
  <c r="S2201" i="1"/>
  <c r="R2201" i="1"/>
  <c r="Q2201" i="1"/>
  <c r="P2201" i="1"/>
  <c r="S2200" i="1"/>
  <c r="R2200" i="1"/>
  <c r="Q2200" i="1"/>
  <c r="P2200" i="1"/>
  <c r="S2199" i="1"/>
  <c r="R2199" i="1"/>
  <c r="Q2199" i="1"/>
  <c r="P2199" i="1"/>
  <c r="S2198" i="1"/>
  <c r="R2198" i="1"/>
  <c r="Q2198" i="1"/>
  <c r="P2198" i="1"/>
  <c r="S2197" i="1"/>
  <c r="R2197" i="1"/>
  <c r="Q2197" i="1"/>
  <c r="P2197" i="1"/>
  <c r="S2196" i="1"/>
  <c r="R2196" i="1"/>
  <c r="Q2196" i="1"/>
  <c r="P2196" i="1"/>
  <c r="S2195" i="1"/>
  <c r="R2195" i="1"/>
  <c r="Q2195" i="1"/>
  <c r="P2195" i="1"/>
  <c r="S2194" i="1"/>
  <c r="R2194" i="1"/>
  <c r="Q2194" i="1"/>
  <c r="P2194" i="1"/>
  <c r="S2193" i="1"/>
  <c r="R2193" i="1"/>
  <c r="Q2193" i="1"/>
  <c r="P2193" i="1"/>
  <c r="S2192" i="1"/>
  <c r="R2192" i="1"/>
  <c r="Q2192" i="1"/>
  <c r="P2192" i="1"/>
  <c r="S2191" i="1"/>
  <c r="R2191" i="1"/>
  <c r="Q2191" i="1"/>
  <c r="P2191" i="1"/>
  <c r="S2190" i="1"/>
  <c r="R2190" i="1"/>
  <c r="Q2190" i="1"/>
  <c r="P2190" i="1"/>
  <c r="S2189" i="1"/>
  <c r="R2189" i="1"/>
  <c r="Q2189" i="1"/>
  <c r="P2189" i="1"/>
  <c r="S2188" i="1"/>
  <c r="R2188" i="1"/>
  <c r="Q2188" i="1"/>
  <c r="P2188" i="1"/>
  <c r="S2187" i="1"/>
  <c r="R2187" i="1"/>
  <c r="Q2187" i="1"/>
  <c r="P2187" i="1"/>
  <c r="S2186" i="1"/>
  <c r="R2186" i="1"/>
  <c r="Q2186" i="1"/>
  <c r="P2186" i="1"/>
  <c r="S2185" i="1"/>
  <c r="R2185" i="1"/>
  <c r="Q2185" i="1"/>
  <c r="P2185" i="1"/>
  <c r="S2184" i="1"/>
  <c r="R2184" i="1"/>
  <c r="Q2184" i="1"/>
  <c r="P2184" i="1"/>
  <c r="S2183" i="1"/>
  <c r="R2183" i="1"/>
  <c r="Q2183" i="1"/>
  <c r="P2183" i="1"/>
  <c r="S2182" i="1"/>
  <c r="R2182" i="1"/>
  <c r="Q2182" i="1"/>
  <c r="P2182" i="1"/>
  <c r="S2181" i="1"/>
  <c r="R2181" i="1"/>
  <c r="Q2181" i="1"/>
  <c r="P2181" i="1"/>
  <c r="S2180" i="1"/>
  <c r="R2180" i="1"/>
  <c r="Q2180" i="1"/>
  <c r="P2180" i="1"/>
  <c r="S2179" i="1"/>
  <c r="R2179" i="1"/>
  <c r="Q2179" i="1"/>
  <c r="P2179" i="1"/>
  <c r="S2178" i="1"/>
  <c r="R2178" i="1"/>
  <c r="Q2178" i="1"/>
  <c r="P2178" i="1"/>
  <c r="S2177" i="1"/>
  <c r="R2177" i="1"/>
  <c r="Q2177" i="1"/>
  <c r="P2177" i="1"/>
  <c r="S2176" i="1"/>
  <c r="R2176" i="1"/>
  <c r="Q2176" i="1"/>
  <c r="P2176" i="1"/>
  <c r="S2175" i="1"/>
  <c r="R2175" i="1"/>
  <c r="Q2175" i="1"/>
  <c r="P2175" i="1"/>
  <c r="S2174" i="1"/>
  <c r="R2174" i="1"/>
  <c r="Q2174" i="1"/>
  <c r="P2174" i="1"/>
  <c r="S2173" i="1"/>
  <c r="R2173" i="1"/>
  <c r="Q2173" i="1"/>
  <c r="P2173" i="1"/>
  <c r="S2172" i="1"/>
  <c r="R2172" i="1"/>
  <c r="Q2172" i="1"/>
  <c r="P2172" i="1"/>
  <c r="S2171" i="1"/>
  <c r="R2171" i="1"/>
  <c r="Q2171" i="1"/>
  <c r="P2171" i="1"/>
  <c r="S2170" i="1"/>
  <c r="R2170" i="1"/>
  <c r="Q2170" i="1"/>
  <c r="P2170" i="1"/>
  <c r="S2169" i="1"/>
  <c r="R2169" i="1"/>
  <c r="Q2169" i="1"/>
  <c r="P2169" i="1"/>
  <c r="S2168" i="1"/>
  <c r="R2168" i="1"/>
  <c r="Q2168" i="1"/>
  <c r="P2168" i="1"/>
  <c r="S2167" i="1"/>
  <c r="R2167" i="1"/>
  <c r="Q2167" i="1"/>
  <c r="P2167" i="1"/>
  <c r="S2166" i="1"/>
  <c r="R2166" i="1"/>
  <c r="Q2166" i="1"/>
  <c r="P2166" i="1"/>
  <c r="S2165" i="1"/>
  <c r="R2165" i="1"/>
  <c r="Q2165" i="1"/>
  <c r="P2165" i="1"/>
  <c r="S2164" i="1"/>
  <c r="R2164" i="1"/>
  <c r="Q2164" i="1"/>
  <c r="P2164" i="1"/>
  <c r="S2163" i="1"/>
  <c r="R2163" i="1"/>
  <c r="Q2163" i="1"/>
  <c r="P2163" i="1"/>
  <c r="S2162" i="1"/>
  <c r="R2162" i="1"/>
  <c r="Q2162" i="1"/>
  <c r="P2162" i="1"/>
  <c r="S2161" i="1"/>
  <c r="R2161" i="1"/>
  <c r="Q2161" i="1"/>
  <c r="P2161" i="1"/>
  <c r="S2160" i="1"/>
  <c r="R2160" i="1"/>
  <c r="Q2160" i="1"/>
  <c r="P2160" i="1"/>
  <c r="S2159" i="1"/>
  <c r="R2159" i="1"/>
  <c r="Q2159" i="1"/>
  <c r="P2159" i="1"/>
  <c r="S2158" i="1"/>
  <c r="R2158" i="1"/>
  <c r="Q2158" i="1"/>
  <c r="P2158" i="1"/>
  <c r="S2157" i="1"/>
  <c r="R2157" i="1"/>
  <c r="Q2157" i="1"/>
  <c r="P2157" i="1"/>
  <c r="S2156" i="1"/>
  <c r="R2156" i="1"/>
  <c r="Q2156" i="1"/>
  <c r="P2156" i="1"/>
  <c r="S2155" i="1"/>
  <c r="R2155" i="1"/>
  <c r="Q2155" i="1"/>
  <c r="P2155" i="1"/>
  <c r="S2154" i="1"/>
  <c r="R2154" i="1"/>
  <c r="Q2154" i="1"/>
  <c r="P2154" i="1"/>
  <c r="S2153" i="1"/>
  <c r="R2153" i="1"/>
  <c r="Q2153" i="1"/>
  <c r="P2153" i="1"/>
  <c r="S2152" i="1"/>
  <c r="R2152" i="1"/>
  <c r="Q2152" i="1"/>
  <c r="P2152" i="1"/>
  <c r="S2151" i="1"/>
  <c r="R2151" i="1"/>
  <c r="Q2151" i="1"/>
  <c r="P2151" i="1"/>
  <c r="S2150" i="1"/>
  <c r="R2150" i="1"/>
  <c r="Q2150" i="1"/>
  <c r="P2150" i="1"/>
  <c r="S2149" i="1"/>
  <c r="R2149" i="1"/>
  <c r="Q2149" i="1"/>
  <c r="P2149" i="1"/>
  <c r="S2148" i="1"/>
  <c r="R2148" i="1"/>
  <c r="Q2148" i="1"/>
  <c r="P2148" i="1"/>
  <c r="S2147" i="1"/>
  <c r="R2147" i="1"/>
  <c r="Q2147" i="1"/>
  <c r="P2147" i="1"/>
  <c r="S2146" i="1"/>
  <c r="R2146" i="1"/>
  <c r="Q2146" i="1"/>
  <c r="P2146" i="1"/>
  <c r="S2145" i="1"/>
  <c r="R2145" i="1"/>
  <c r="Q2145" i="1"/>
  <c r="P2145" i="1"/>
  <c r="S2144" i="1"/>
  <c r="R2144" i="1"/>
  <c r="Q2144" i="1"/>
  <c r="P2144" i="1"/>
  <c r="S2143" i="1"/>
  <c r="R2143" i="1"/>
  <c r="Q2143" i="1"/>
  <c r="P2143" i="1"/>
  <c r="S2142" i="1"/>
  <c r="R2142" i="1"/>
  <c r="Q2142" i="1"/>
  <c r="P2142" i="1"/>
  <c r="S2141" i="1"/>
  <c r="R2141" i="1"/>
  <c r="Q2141" i="1"/>
  <c r="P2141" i="1"/>
  <c r="S2140" i="1"/>
  <c r="R2140" i="1"/>
  <c r="Q2140" i="1"/>
  <c r="P2140" i="1"/>
  <c r="S2139" i="1"/>
  <c r="R2139" i="1"/>
  <c r="Q2139" i="1"/>
  <c r="P2139" i="1"/>
  <c r="S2138" i="1"/>
  <c r="R2138" i="1"/>
  <c r="Q2138" i="1"/>
  <c r="P2138" i="1"/>
  <c r="S2137" i="1"/>
  <c r="R2137" i="1"/>
  <c r="Q2137" i="1"/>
  <c r="P2137" i="1"/>
  <c r="S2136" i="1"/>
  <c r="R2136" i="1"/>
  <c r="Q2136" i="1"/>
  <c r="P2136" i="1"/>
  <c r="S2135" i="1"/>
  <c r="R2135" i="1"/>
  <c r="Q2135" i="1"/>
  <c r="P2135" i="1"/>
  <c r="S2134" i="1"/>
  <c r="R2134" i="1"/>
  <c r="Q2134" i="1"/>
  <c r="P2134" i="1"/>
  <c r="S2133" i="1"/>
  <c r="R2133" i="1"/>
  <c r="Q2133" i="1"/>
  <c r="P2133" i="1"/>
  <c r="S2132" i="1"/>
  <c r="R2132" i="1"/>
  <c r="Q2132" i="1"/>
  <c r="P2132" i="1"/>
  <c r="S2131" i="1"/>
  <c r="R2131" i="1"/>
  <c r="Q2131" i="1"/>
  <c r="P2131" i="1"/>
  <c r="S2130" i="1"/>
  <c r="R2130" i="1"/>
  <c r="Q2130" i="1"/>
  <c r="P2130" i="1"/>
  <c r="S2129" i="1"/>
  <c r="R2129" i="1"/>
  <c r="Q2129" i="1"/>
  <c r="P2129" i="1"/>
  <c r="S2128" i="1"/>
  <c r="R2128" i="1"/>
  <c r="Q2128" i="1"/>
  <c r="P2128" i="1"/>
  <c r="S2127" i="1"/>
  <c r="R2127" i="1"/>
  <c r="Q2127" i="1"/>
  <c r="P2127" i="1"/>
  <c r="S2126" i="1"/>
  <c r="R2126" i="1"/>
  <c r="Q2126" i="1"/>
  <c r="P2126" i="1"/>
  <c r="S2125" i="1"/>
  <c r="R2125" i="1"/>
  <c r="Q2125" i="1"/>
  <c r="P2125" i="1"/>
  <c r="S2124" i="1"/>
  <c r="R2124" i="1"/>
  <c r="Q2124" i="1"/>
  <c r="P2124" i="1"/>
  <c r="S2123" i="1"/>
  <c r="R2123" i="1"/>
  <c r="Q2123" i="1"/>
  <c r="P2123" i="1"/>
  <c r="S2122" i="1"/>
  <c r="R2122" i="1"/>
  <c r="Q2122" i="1"/>
  <c r="P2122" i="1"/>
  <c r="S2121" i="1"/>
  <c r="R2121" i="1"/>
  <c r="Q2121" i="1"/>
  <c r="P2121" i="1"/>
  <c r="S2120" i="1"/>
  <c r="R2120" i="1"/>
  <c r="Q2120" i="1"/>
  <c r="P2120" i="1"/>
  <c r="S2119" i="1"/>
  <c r="R2119" i="1"/>
  <c r="Q2119" i="1"/>
  <c r="P2119" i="1"/>
  <c r="S2118" i="1"/>
  <c r="R2118" i="1"/>
  <c r="Q2118" i="1"/>
  <c r="P2118" i="1"/>
  <c r="S2117" i="1"/>
  <c r="R2117" i="1"/>
  <c r="Q2117" i="1"/>
  <c r="P2117" i="1"/>
  <c r="S2116" i="1"/>
  <c r="R2116" i="1"/>
  <c r="Q2116" i="1"/>
  <c r="P2116" i="1"/>
  <c r="S2115" i="1"/>
  <c r="R2115" i="1"/>
  <c r="Q2115" i="1"/>
  <c r="P2115" i="1"/>
  <c r="S2114" i="1"/>
  <c r="R2114" i="1"/>
  <c r="Q2114" i="1"/>
  <c r="P2114" i="1"/>
  <c r="S2113" i="1"/>
  <c r="R2113" i="1"/>
  <c r="Q2113" i="1"/>
  <c r="P2113" i="1"/>
  <c r="S2112" i="1"/>
  <c r="R2112" i="1"/>
  <c r="Q2112" i="1"/>
  <c r="P2112" i="1"/>
  <c r="S2111" i="1"/>
  <c r="R2111" i="1"/>
  <c r="Q2111" i="1"/>
  <c r="P2111" i="1"/>
  <c r="S2110" i="1"/>
  <c r="R2110" i="1"/>
  <c r="Q2110" i="1"/>
  <c r="P2110" i="1"/>
  <c r="S2109" i="1"/>
  <c r="R2109" i="1"/>
  <c r="Q2109" i="1"/>
  <c r="P2109" i="1"/>
  <c r="S2108" i="1"/>
  <c r="R2108" i="1"/>
  <c r="Q2108" i="1"/>
  <c r="P2108" i="1"/>
  <c r="S2107" i="1"/>
  <c r="R2107" i="1"/>
  <c r="Q2107" i="1"/>
  <c r="P2107" i="1"/>
  <c r="S2106" i="1"/>
  <c r="R2106" i="1"/>
  <c r="Q2106" i="1"/>
  <c r="P2106" i="1"/>
  <c r="S2105" i="1"/>
  <c r="R2105" i="1"/>
  <c r="Q2105" i="1"/>
  <c r="P2105" i="1"/>
  <c r="S2104" i="1"/>
  <c r="R2104" i="1"/>
  <c r="Q2104" i="1"/>
  <c r="P2104" i="1"/>
  <c r="S2103" i="1"/>
  <c r="R2103" i="1"/>
  <c r="Q2103" i="1"/>
  <c r="P2103" i="1"/>
  <c r="S2102" i="1"/>
  <c r="R2102" i="1"/>
  <c r="Q2102" i="1"/>
  <c r="P2102" i="1"/>
  <c r="S2101" i="1"/>
  <c r="R2101" i="1"/>
  <c r="Q2101" i="1"/>
  <c r="P2101" i="1"/>
  <c r="S2100" i="1"/>
  <c r="R2100" i="1"/>
  <c r="Q2100" i="1"/>
  <c r="P2100" i="1"/>
  <c r="S2099" i="1"/>
  <c r="R2099" i="1"/>
  <c r="Q2099" i="1"/>
  <c r="P2099" i="1"/>
  <c r="S2098" i="1"/>
  <c r="R2098" i="1"/>
  <c r="Q2098" i="1"/>
  <c r="P2098" i="1"/>
  <c r="S2097" i="1"/>
  <c r="R2097" i="1"/>
  <c r="Q2097" i="1"/>
  <c r="P2097" i="1"/>
  <c r="S2096" i="1"/>
  <c r="R2096" i="1"/>
  <c r="Q2096" i="1"/>
  <c r="P2096" i="1"/>
  <c r="S2095" i="1"/>
  <c r="R2095" i="1"/>
  <c r="Q2095" i="1"/>
  <c r="P2095" i="1"/>
  <c r="S2094" i="1"/>
  <c r="R2094" i="1"/>
  <c r="Q2094" i="1"/>
  <c r="P2094" i="1"/>
  <c r="S2093" i="1"/>
  <c r="R2093" i="1"/>
  <c r="Q2093" i="1"/>
  <c r="P2093" i="1"/>
  <c r="S2092" i="1"/>
  <c r="R2092" i="1"/>
  <c r="Q2092" i="1"/>
  <c r="P2092" i="1"/>
  <c r="S2091" i="1"/>
  <c r="R2091" i="1"/>
  <c r="Q2091" i="1"/>
  <c r="P2091" i="1"/>
  <c r="S2090" i="1"/>
  <c r="R2090" i="1"/>
  <c r="Q2090" i="1"/>
  <c r="P2090" i="1"/>
  <c r="S2089" i="1"/>
  <c r="R2089" i="1"/>
  <c r="Q2089" i="1"/>
  <c r="P2089" i="1"/>
  <c r="S2088" i="1"/>
  <c r="R2088" i="1"/>
  <c r="Q2088" i="1"/>
  <c r="P2088" i="1"/>
  <c r="S2087" i="1"/>
  <c r="R2087" i="1"/>
  <c r="Q2087" i="1"/>
  <c r="P2087" i="1"/>
  <c r="S2086" i="1"/>
  <c r="R2086" i="1"/>
  <c r="Q2086" i="1"/>
  <c r="P2086" i="1"/>
  <c r="S2085" i="1"/>
  <c r="R2085" i="1"/>
  <c r="Q2085" i="1"/>
  <c r="P2085" i="1"/>
  <c r="S2084" i="1"/>
  <c r="R2084" i="1"/>
  <c r="Q2084" i="1"/>
  <c r="P2084" i="1"/>
  <c r="S2083" i="1"/>
  <c r="R2083" i="1"/>
  <c r="Q2083" i="1"/>
  <c r="P2083" i="1"/>
  <c r="S2082" i="1"/>
  <c r="R2082" i="1"/>
  <c r="Q2082" i="1"/>
  <c r="P2082" i="1"/>
  <c r="S2081" i="1"/>
  <c r="R2081" i="1"/>
  <c r="Q2081" i="1"/>
  <c r="P2081" i="1"/>
  <c r="S2080" i="1"/>
  <c r="R2080" i="1"/>
  <c r="Q2080" i="1"/>
  <c r="P2080" i="1"/>
  <c r="S2079" i="1"/>
  <c r="R2079" i="1"/>
  <c r="Q2079" i="1"/>
  <c r="P2079" i="1"/>
  <c r="S2078" i="1"/>
  <c r="R2078" i="1"/>
  <c r="Q2078" i="1"/>
  <c r="P2078" i="1"/>
  <c r="S2077" i="1"/>
  <c r="R2077" i="1"/>
  <c r="Q2077" i="1"/>
  <c r="P2077" i="1"/>
  <c r="S2076" i="1"/>
  <c r="R2076" i="1"/>
  <c r="Q2076" i="1"/>
  <c r="P2076" i="1"/>
  <c r="S2075" i="1"/>
  <c r="R2075" i="1"/>
  <c r="Q2075" i="1"/>
  <c r="P2075" i="1"/>
  <c r="S2074" i="1"/>
  <c r="R2074" i="1"/>
  <c r="Q2074" i="1"/>
  <c r="P2074" i="1"/>
  <c r="S2073" i="1"/>
  <c r="R2073" i="1"/>
  <c r="Q2073" i="1"/>
  <c r="P2073" i="1"/>
  <c r="S2072" i="1"/>
  <c r="R2072" i="1"/>
  <c r="Q2072" i="1"/>
  <c r="P2072" i="1"/>
  <c r="S2071" i="1"/>
  <c r="R2071" i="1"/>
  <c r="Q2071" i="1"/>
  <c r="P2071" i="1"/>
  <c r="S2070" i="1"/>
  <c r="R2070" i="1"/>
  <c r="Q2070" i="1"/>
  <c r="P2070" i="1"/>
  <c r="S2069" i="1"/>
  <c r="R2069" i="1"/>
  <c r="Q2069" i="1"/>
  <c r="P2069" i="1"/>
  <c r="S2068" i="1"/>
  <c r="R2068" i="1"/>
  <c r="Q2068" i="1"/>
  <c r="P2068" i="1"/>
  <c r="S2067" i="1"/>
  <c r="R2067" i="1"/>
  <c r="Q2067" i="1"/>
  <c r="P2067" i="1"/>
  <c r="S2066" i="1"/>
  <c r="R2066" i="1"/>
  <c r="Q2066" i="1"/>
  <c r="P2066" i="1"/>
  <c r="S2065" i="1"/>
  <c r="R2065" i="1"/>
  <c r="Q2065" i="1"/>
  <c r="P2065" i="1"/>
  <c r="S2064" i="1"/>
  <c r="R2064" i="1"/>
  <c r="Q2064" i="1"/>
  <c r="P2064" i="1"/>
  <c r="S2063" i="1"/>
  <c r="R2063" i="1"/>
  <c r="Q2063" i="1"/>
  <c r="P2063" i="1"/>
  <c r="S2062" i="1"/>
  <c r="R2062" i="1"/>
  <c r="Q2062" i="1"/>
  <c r="P2062" i="1"/>
  <c r="S2061" i="1"/>
  <c r="R2061" i="1"/>
  <c r="Q2061" i="1"/>
  <c r="P2061" i="1"/>
  <c r="S2060" i="1"/>
  <c r="R2060" i="1"/>
  <c r="Q2060" i="1"/>
  <c r="P2060" i="1"/>
  <c r="S2059" i="1"/>
  <c r="R2059" i="1"/>
  <c r="Q2059" i="1"/>
  <c r="P2059" i="1"/>
  <c r="S2058" i="1"/>
  <c r="R2058" i="1"/>
  <c r="Q2058" i="1"/>
  <c r="P2058" i="1"/>
  <c r="S2057" i="1"/>
  <c r="R2057" i="1"/>
  <c r="Q2057" i="1"/>
  <c r="P2057" i="1"/>
  <c r="S2056" i="1"/>
  <c r="R2056" i="1"/>
  <c r="Q2056" i="1"/>
  <c r="P2056" i="1"/>
  <c r="S2055" i="1"/>
  <c r="R2055" i="1"/>
  <c r="Q2055" i="1"/>
  <c r="P2055" i="1"/>
  <c r="S2054" i="1"/>
  <c r="R2054" i="1"/>
  <c r="Q2054" i="1"/>
  <c r="P2054" i="1"/>
  <c r="S2053" i="1"/>
  <c r="R2053" i="1"/>
  <c r="Q2053" i="1"/>
  <c r="P2053" i="1"/>
  <c r="S2052" i="1"/>
  <c r="R2052" i="1"/>
  <c r="Q2052" i="1"/>
  <c r="P2052" i="1"/>
  <c r="S2051" i="1"/>
  <c r="R2051" i="1"/>
  <c r="Q2051" i="1"/>
  <c r="P2051" i="1"/>
  <c r="S2050" i="1"/>
  <c r="R2050" i="1"/>
  <c r="Q2050" i="1"/>
  <c r="P2050" i="1"/>
  <c r="S2049" i="1"/>
  <c r="R2049" i="1"/>
  <c r="Q2049" i="1"/>
  <c r="P2049" i="1"/>
  <c r="S2048" i="1"/>
  <c r="R2048" i="1"/>
  <c r="Q2048" i="1"/>
  <c r="P2048" i="1"/>
  <c r="S2047" i="1"/>
  <c r="R2047" i="1"/>
  <c r="Q2047" i="1"/>
  <c r="P2047" i="1"/>
  <c r="S2046" i="1"/>
  <c r="R2046" i="1"/>
  <c r="Q2046" i="1"/>
  <c r="P2046" i="1"/>
  <c r="S2045" i="1"/>
  <c r="R2045" i="1"/>
  <c r="Q2045" i="1"/>
  <c r="P2045" i="1"/>
  <c r="S2044" i="1"/>
  <c r="R2044" i="1"/>
  <c r="Q2044" i="1"/>
  <c r="P2044" i="1"/>
  <c r="S2043" i="1"/>
  <c r="R2043" i="1"/>
  <c r="Q2043" i="1"/>
  <c r="P2043" i="1"/>
  <c r="S2042" i="1"/>
  <c r="R2042" i="1"/>
  <c r="Q2042" i="1"/>
  <c r="P2042" i="1"/>
  <c r="S2041" i="1"/>
  <c r="R2041" i="1"/>
  <c r="Q2041" i="1"/>
  <c r="P2041" i="1"/>
  <c r="S2040" i="1"/>
  <c r="R2040" i="1"/>
  <c r="Q2040" i="1"/>
  <c r="P2040" i="1"/>
  <c r="S2039" i="1"/>
  <c r="R2039" i="1"/>
  <c r="Q2039" i="1"/>
  <c r="P2039" i="1"/>
  <c r="S2038" i="1"/>
  <c r="R2038" i="1"/>
  <c r="Q2038" i="1"/>
  <c r="P2038" i="1"/>
  <c r="S2037" i="1"/>
  <c r="R2037" i="1"/>
  <c r="Q2037" i="1"/>
  <c r="P2037" i="1"/>
  <c r="S2036" i="1"/>
  <c r="R2036" i="1"/>
  <c r="Q2036" i="1"/>
  <c r="P2036" i="1"/>
  <c r="S2035" i="1"/>
  <c r="R2035" i="1"/>
  <c r="Q2035" i="1"/>
  <c r="P2035" i="1"/>
  <c r="S2034" i="1"/>
  <c r="R2034" i="1"/>
  <c r="Q2034" i="1"/>
  <c r="P2034" i="1"/>
  <c r="S2033" i="1"/>
  <c r="R2033" i="1"/>
  <c r="Q2033" i="1"/>
  <c r="P2033" i="1"/>
  <c r="S2032" i="1"/>
  <c r="R2032" i="1"/>
  <c r="Q2032" i="1"/>
  <c r="P2032" i="1"/>
  <c r="S2031" i="1"/>
  <c r="R2031" i="1"/>
  <c r="Q2031" i="1"/>
  <c r="P2031" i="1"/>
  <c r="S2030" i="1"/>
  <c r="R2030" i="1"/>
  <c r="Q2030" i="1"/>
  <c r="P2030" i="1"/>
  <c r="S2029" i="1"/>
  <c r="R2029" i="1"/>
  <c r="Q2029" i="1"/>
  <c r="P2029" i="1"/>
  <c r="S2028" i="1"/>
  <c r="R2028" i="1"/>
  <c r="Q2028" i="1"/>
  <c r="P2028" i="1"/>
  <c r="S2027" i="1"/>
  <c r="R2027" i="1"/>
  <c r="Q2027" i="1"/>
  <c r="P2027" i="1"/>
  <c r="S2026" i="1"/>
  <c r="R2026" i="1"/>
  <c r="Q2026" i="1"/>
  <c r="P2026" i="1"/>
  <c r="S2025" i="1"/>
  <c r="R2025" i="1"/>
  <c r="Q2025" i="1"/>
  <c r="P2025" i="1"/>
  <c r="S2024" i="1"/>
  <c r="R2024" i="1"/>
  <c r="Q2024" i="1"/>
  <c r="P2024" i="1"/>
  <c r="S2023" i="1"/>
  <c r="R2023" i="1"/>
  <c r="Q2023" i="1"/>
  <c r="P2023" i="1"/>
  <c r="S2022" i="1"/>
  <c r="R2022" i="1"/>
  <c r="Q2022" i="1"/>
  <c r="P2022" i="1"/>
  <c r="S2021" i="1"/>
  <c r="R2021" i="1"/>
  <c r="Q2021" i="1"/>
  <c r="P2021" i="1"/>
  <c r="S2020" i="1"/>
  <c r="R2020" i="1"/>
  <c r="Q2020" i="1"/>
  <c r="P2020" i="1"/>
  <c r="S2019" i="1"/>
  <c r="R2019" i="1"/>
  <c r="Q2019" i="1"/>
  <c r="P2019" i="1"/>
  <c r="S2018" i="1"/>
  <c r="R2018" i="1"/>
  <c r="Q2018" i="1"/>
  <c r="P2018" i="1"/>
  <c r="S2017" i="1"/>
  <c r="R2017" i="1"/>
  <c r="Q2017" i="1"/>
  <c r="P2017" i="1"/>
  <c r="S2016" i="1"/>
  <c r="R2016" i="1"/>
  <c r="Q2016" i="1"/>
  <c r="P2016" i="1"/>
  <c r="S2015" i="1"/>
  <c r="R2015" i="1"/>
  <c r="Q2015" i="1"/>
  <c r="P2015" i="1"/>
  <c r="S2014" i="1"/>
  <c r="R2014" i="1"/>
  <c r="Q2014" i="1"/>
  <c r="P2014" i="1"/>
  <c r="S2013" i="1"/>
  <c r="R2013" i="1"/>
  <c r="Q2013" i="1"/>
  <c r="P2013" i="1"/>
  <c r="S2012" i="1"/>
  <c r="R2012" i="1"/>
  <c r="Q2012" i="1"/>
  <c r="P2012" i="1"/>
  <c r="S2011" i="1"/>
  <c r="R2011" i="1"/>
  <c r="Q2011" i="1"/>
  <c r="P2011" i="1"/>
  <c r="S2010" i="1"/>
  <c r="R2010" i="1"/>
  <c r="Q2010" i="1"/>
  <c r="P2010" i="1"/>
  <c r="S2009" i="1"/>
  <c r="R2009" i="1"/>
  <c r="Q2009" i="1"/>
  <c r="P2009" i="1"/>
  <c r="S2008" i="1"/>
  <c r="R2008" i="1"/>
  <c r="Q2008" i="1"/>
  <c r="P2008" i="1"/>
  <c r="S2007" i="1"/>
  <c r="R2007" i="1"/>
  <c r="Q2007" i="1"/>
  <c r="P2007" i="1"/>
  <c r="S2006" i="1"/>
  <c r="R2006" i="1"/>
  <c r="Q2006" i="1"/>
  <c r="P2006" i="1"/>
  <c r="S2005" i="1"/>
  <c r="R2005" i="1"/>
  <c r="Q2005" i="1"/>
  <c r="P2005" i="1"/>
  <c r="S2004" i="1"/>
  <c r="R2004" i="1"/>
  <c r="Q2004" i="1"/>
  <c r="P2004" i="1"/>
  <c r="S2003" i="1"/>
  <c r="R2003" i="1"/>
  <c r="Q2003" i="1"/>
  <c r="P2003" i="1"/>
  <c r="S2002" i="1"/>
  <c r="R2002" i="1"/>
  <c r="Q2002" i="1"/>
  <c r="P2002" i="1"/>
  <c r="S2001" i="1"/>
  <c r="R2001" i="1"/>
  <c r="Q2001" i="1"/>
  <c r="P2001" i="1"/>
  <c r="S2000" i="1"/>
  <c r="R2000" i="1"/>
  <c r="Q2000" i="1"/>
  <c r="P2000" i="1"/>
  <c r="S1999" i="1"/>
  <c r="R1999" i="1"/>
  <c r="Q1999" i="1"/>
  <c r="P1999" i="1"/>
  <c r="S1998" i="1"/>
  <c r="R1998" i="1"/>
  <c r="Q1998" i="1"/>
  <c r="P1998" i="1"/>
  <c r="S1997" i="1"/>
  <c r="R1997" i="1"/>
  <c r="Q1997" i="1"/>
  <c r="P1997" i="1"/>
  <c r="S1996" i="1"/>
  <c r="R1996" i="1"/>
  <c r="Q1996" i="1"/>
  <c r="P1996" i="1"/>
  <c r="S1995" i="1"/>
  <c r="R1995" i="1"/>
  <c r="Q1995" i="1"/>
  <c r="P1995" i="1"/>
  <c r="S1994" i="1"/>
  <c r="R1994" i="1"/>
  <c r="Q1994" i="1"/>
  <c r="P1994" i="1"/>
  <c r="S1993" i="1"/>
  <c r="R1993" i="1"/>
  <c r="Q1993" i="1"/>
  <c r="P1993" i="1"/>
  <c r="S1992" i="1"/>
  <c r="R1992" i="1"/>
  <c r="Q1992" i="1"/>
  <c r="P1992" i="1"/>
  <c r="S1991" i="1"/>
  <c r="R1991" i="1"/>
  <c r="Q1991" i="1"/>
  <c r="P1991" i="1"/>
  <c r="S1990" i="1"/>
  <c r="R1990" i="1"/>
  <c r="Q1990" i="1"/>
  <c r="P1990" i="1"/>
  <c r="S1989" i="1"/>
  <c r="R1989" i="1"/>
  <c r="Q1989" i="1"/>
  <c r="P1989" i="1"/>
  <c r="S1988" i="1"/>
  <c r="R1988" i="1"/>
  <c r="Q1988" i="1"/>
  <c r="P1988" i="1"/>
  <c r="S1987" i="1"/>
  <c r="R1987" i="1"/>
  <c r="Q1987" i="1"/>
  <c r="P1987" i="1"/>
  <c r="S1986" i="1"/>
  <c r="R1986" i="1"/>
  <c r="Q1986" i="1"/>
  <c r="P1986" i="1"/>
  <c r="S1985" i="1"/>
  <c r="R1985" i="1"/>
  <c r="Q1985" i="1"/>
  <c r="P1985" i="1"/>
  <c r="S1984" i="1"/>
  <c r="R1984" i="1"/>
  <c r="Q1984" i="1"/>
  <c r="P1984" i="1"/>
  <c r="S1983" i="1"/>
  <c r="R1983" i="1"/>
  <c r="Q1983" i="1"/>
  <c r="P1983" i="1"/>
  <c r="S1982" i="1"/>
  <c r="R1982" i="1"/>
  <c r="Q1982" i="1"/>
  <c r="P1982" i="1"/>
  <c r="S1981" i="1"/>
  <c r="R1981" i="1"/>
  <c r="Q1981" i="1"/>
  <c r="P1981" i="1"/>
  <c r="S1980" i="1"/>
  <c r="R1980" i="1"/>
  <c r="Q1980" i="1"/>
  <c r="P1980" i="1"/>
  <c r="S1979" i="1"/>
  <c r="R1979" i="1"/>
  <c r="Q1979" i="1"/>
  <c r="P1979" i="1"/>
  <c r="S1978" i="1"/>
  <c r="R1978" i="1"/>
  <c r="Q1978" i="1"/>
  <c r="P1978" i="1"/>
  <c r="S1977" i="1"/>
  <c r="R1977" i="1"/>
  <c r="Q1977" i="1"/>
  <c r="P1977" i="1"/>
  <c r="S1976" i="1"/>
  <c r="R1976" i="1"/>
  <c r="Q1976" i="1"/>
  <c r="P1976" i="1"/>
  <c r="S1975" i="1"/>
  <c r="R1975" i="1"/>
  <c r="Q1975" i="1"/>
  <c r="P1975" i="1"/>
  <c r="S1974" i="1"/>
  <c r="R1974" i="1"/>
  <c r="Q1974" i="1"/>
  <c r="P1974" i="1"/>
  <c r="S1973" i="1"/>
  <c r="R1973" i="1"/>
  <c r="Q1973" i="1"/>
  <c r="P1973" i="1"/>
  <c r="S1972" i="1"/>
  <c r="R1972" i="1"/>
  <c r="Q1972" i="1"/>
  <c r="P1972" i="1"/>
  <c r="S1971" i="1"/>
  <c r="R1971" i="1"/>
  <c r="Q1971" i="1"/>
  <c r="P1971" i="1"/>
  <c r="S1970" i="1"/>
  <c r="R1970" i="1"/>
  <c r="Q1970" i="1"/>
  <c r="P1970" i="1"/>
  <c r="S1969" i="1"/>
  <c r="R1969" i="1"/>
  <c r="Q1969" i="1"/>
  <c r="P1969" i="1"/>
  <c r="S1968" i="1"/>
  <c r="R1968" i="1"/>
  <c r="Q1968" i="1"/>
  <c r="P1968" i="1"/>
  <c r="S1967" i="1"/>
  <c r="R1967" i="1"/>
  <c r="Q1967" i="1"/>
  <c r="P1967" i="1"/>
  <c r="S1966" i="1"/>
  <c r="R1966" i="1"/>
  <c r="Q1966" i="1"/>
  <c r="P1966" i="1"/>
  <c r="S1965" i="1"/>
  <c r="R1965" i="1"/>
  <c r="Q1965" i="1"/>
  <c r="P1965" i="1"/>
  <c r="S1964" i="1"/>
  <c r="R1964" i="1"/>
  <c r="Q1964" i="1"/>
  <c r="P1964" i="1"/>
  <c r="S1963" i="1"/>
  <c r="R1963" i="1"/>
  <c r="Q1963" i="1"/>
  <c r="P1963" i="1"/>
  <c r="S1962" i="1"/>
  <c r="R1962" i="1"/>
  <c r="Q1962" i="1"/>
  <c r="P1962" i="1"/>
  <c r="S1961" i="1"/>
  <c r="R1961" i="1"/>
  <c r="Q1961" i="1"/>
  <c r="P1961" i="1"/>
  <c r="S1960" i="1"/>
  <c r="R1960" i="1"/>
  <c r="Q1960" i="1"/>
  <c r="P1960" i="1"/>
  <c r="S1959" i="1"/>
  <c r="R1959" i="1"/>
  <c r="Q1959" i="1"/>
  <c r="P1959" i="1"/>
  <c r="S1958" i="1"/>
  <c r="R1958" i="1"/>
  <c r="Q1958" i="1"/>
  <c r="P1958" i="1"/>
  <c r="S1957" i="1"/>
  <c r="R1957" i="1"/>
  <c r="Q1957" i="1"/>
  <c r="P1957" i="1"/>
  <c r="S1956" i="1"/>
  <c r="R1956" i="1"/>
  <c r="Q1956" i="1"/>
  <c r="P1956" i="1"/>
  <c r="S1955" i="1"/>
  <c r="R1955" i="1"/>
  <c r="Q1955" i="1"/>
  <c r="P1955" i="1"/>
  <c r="S1954" i="1"/>
  <c r="R1954" i="1"/>
  <c r="Q1954" i="1"/>
  <c r="P1954" i="1"/>
  <c r="S1953" i="1"/>
  <c r="R1953" i="1"/>
  <c r="Q1953" i="1"/>
  <c r="P1953" i="1"/>
  <c r="S1952" i="1"/>
  <c r="R1952" i="1"/>
  <c r="Q1952" i="1"/>
  <c r="P1952" i="1"/>
  <c r="S1951" i="1"/>
  <c r="R1951" i="1"/>
  <c r="Q1951" i="1"/>
  <c r="P1951" i="1"/>
  <c r="S1950" i="1"/>
  <c r="R1950" i="1"/>
  <c r="Q1950" i="1"/>
  <c r="P1950" i="1"/>
  <c r="S1949" i="1"/>
  <c r="R1949" i="1"/>
  <c r="Q1949" i="1"/>
  <c r="P1949" i="1"/>
  <c r="S1948" i="1"/>
  <c r="R1948" i="1"/>
  <c r="Q1948" i="1"/>
  <c r="P1948" i="1"/>
  <c r="S1947" i="1"/>
  <c r="R1947" i="1"/>
  <c r="Q1947" i="1"/>
  <c r="P1947" i="1"/>
  <c r="S1946" i="1"/>
  <c r="R1946" i="1"/>
  <c r="Q1946" i="1"/>
  <c r="P1946" i="1"/>
  <c r="S1945" i="1"/>
  <c r="R1945" i="1"/>
  <c r="Q1945" i="1"/>
  <c r="P1945" i="1"/>
  <c r="S1944" i="1"/>
  <c r="R1944" i="1"/>
  <c r="Q1944" i="1"/>
  <c r="P1944" i="1"/>
  <c r="S1943" i="1"/>
  <c r="R1943" i="1"/>
  <c r="Q1943" i="1"/>
  <c r="P1943" i="1"/>
  <c r="S1942" i="1"/>
  <c r="R1942" i="1"/>
  <c r="Q1942" i="1"/>
  <c r="P1942" i="1"/>
  <c r="S1941" i="1"/>
  <c r="R1941" i="1"/>
  <c r="Q1941" i="1"/>
  <c r="P1941" i="1"/>
  <c r="S1940" i="1"/>
  <c r="R1940" i="1"/>
  <c r="Q1940" i="1"/>
  <c r="P1940" i="1"/>
  <c r="S1939" i="1"/>
  <c r="R1939" i="1"/>
  <c r="Q1939" i="1"/>
  <c r="P1939" i="1"/>
  <c r="S1938" i="1"/>
  <c r="R1938" i="1"/>
  <c r="Q1938" i="1"/>
  <c r="P1938" i="1"/>
  <c r="S1937" i="1"/>
  <c r="R1937" i="1"/>
  <c r="Q1937" i="1"/>
  <c r="P1937" i="1"/>
  <c r="S1936" i="1"/>
  <c r="R1936" i="1"/>
  <c r="Q1936" i="1"/>
  <c r="P1936" i="1"/>
  <c r="S1935" i="1"/>
  <c r="R1935" i="1"/>
  <c r="Q1935" i="1"/>
  <c r="P1935" i="1"/>
  <c r="S1934" i="1"/>
  <c r="R1934" i="1"/>
  <c r="Q1934" i="1"/>
  <c r="P1934" i="1"/>
  <c r="S1933" i="1"/>
  <c r="R1933" i="1"/>
  <c r="Q1933" i="1"/>
  <c r="P1933" i="1"/>
  <c r="S1932" i="1"/>
  <c r="R1932" i="1"/>
  <c r="Q1932" i="1"/>
  <c r="P1932" i="1"/>
  <c r="S1931" i="1"/>
  <c r="R1931" i="1"/>
  <c r="Q1931" i="1"/>
  <c r="P1931" i="1"/>
  <c r="S1930" i="1"/>
  <c r="R1930" i="1"/>
  <c r="Q1930" i="1"/>
  <c r="P1930" i="1"/>
  <c r="S1929" i="1"/>
  <c r="R1929" i="1"/>
  <c r="Q1929" i="1"/>
  <c r="P1929" i="1"/>
  <c r="S1928" i="1"/>
  <c r="R1928" i="1"/>
  <c r="Q1928" i="1"/>
  <c r="P1928" i="1"/>
  <c r="S1927" i="1"/>
  <c r="R1927" i="1"/>
  <c r="Q1927" i="1"/>
  <c r="P1927" i="1"/>
  <c r="S1926" i="1"/>
  <c r="R1926" i="1"/>
  <c r="Q1926" i="1"/>
  <c r="P1926" i="1"/>
  <c r="S1925" i="1"/>
  <c r="R1925" i="1"/>
  <c r="Q1925" i="1"/>
  <c r="P1925" i="1"/>
  <c r="S1924" i="1"/>
  <c r="R1924" i="1"/>
  <c r="Q1924" i="1"/>
  <c r="P1924" i="1"/>
  <c r="S1923" i="1"/>
  <c r="R1923" i="1"/>
  <c r="Q1923" i="1"/>
  <c r="P1923" i="1"/>
  <c r="S1922" i="1"/>
  <c r="R1922" i="1"/>
  <c r="Q1922" i="1"/>
  <c r="P1922" i="1"/>
  <c r="S1921" i="1"/>
  <c r="R1921" i="1"/>
  <c r="Q1921" i="1"/>
  <c r="P1921" i="1"/>
  <c r="S1920" i="1"/>
  <c r="R1920" i="1"/>
  <c r="Q1920" i="1"/>
  <c r="P1920" i="1"/>
  <c r="S1919" i="1"/>
  <c r="R1919" i="1"/>
  <c r="Q1919" i="1"/>
  <c r="P1919" i="1"/>
  <c r="S1918" i="1"/>
  <c r="R1918" i="1"/>
  <c r="Q1918" i="1"/>
  <c r="P1918" i="1"/>
  <c r="S1917" i="1"/>
  <c r="R1917" i="1"/>
  <c r="Q1917" i="1"/>
  <c r="P1917" i="1"/>
  <c r="S1916" i="1"/>
  <c r="R1916" i="1"/>
  <c r="Q1916" i="1"/>
  <c r="P1916" i="1"/>
  <c r="S1915" i="1"/>
  <c r="R1915" i="1"/>
  <c r="Q1915" i="1"/>
  <c r="P1915" i="1"/>
  <c r="S1914" i="1"/>
  <c r="R1914" i="1"/>
  <c r="Q1914" i="1"/>
  <c r="P1914" i="1"/>
  <c r="S1913" i="1"/>
  <c r="R1913" i="1"/>
  <c r="Q1913" i="1"/>
  <c r="P1913" i="1"/>
  <c r="S1912" i="1"/>
  <c r="R1912" i="1"/>
  <c r="Q1912" i="1"/>
  <c r="P1912" i="1"/>
  <c r="S1911" i="1"/>
  <c r="R1911" i="1"/>
  <c r="Q1911" i="1"/>
  <c r="P1911" i="1"/>
  <c r="S1910" i="1"/>
  <c r="R1910" i="1"/>
  <c r="Q1910" i="1"/>
  <c r="P1910" i="1"/>
  <c r="S1909" i="1"/>
  <c r="R1909" i="1"/>
  <c r="Q1909" i="1"/>
  <c r="P1909" i="1"/>
  <c r="S1908" i="1"/>
  <c r="R1908" i="1"/>
  <c r="Q1908" i="1"/>
  <c r="P1908" i="1"/>
  <c r="S1907" i="1"/>
  <c r="R1907" i="1"/>
  <c r="Q1907" i="1"/>
  <c r="P1907" i="1"/>
  <c r="S1906" i="1"/>
  <c r="R1906" i="1"/>
  <c r="Q1906" i="1"/>
  <c r="P1906" i="1"/>
  <c r="S1905" i="1"/>
  <c r="R1905" i="1"/>
  <c r="Q1905" i="1"/>
  <c r="P1905" i="1"/>
  <c r="S1904" i="1"/>
  <c r="R1904" i="1"/>
  <c r="Q1904" i="1"/>
  <c r="P1904" i="1"/>
  <c r="S1903" i="1"/>
  <c r="R1903" i="1"/>
  <c r="Q1903" i="1"/>
  <c r="P1903" i="1"/>
  <c r="S1902" i="1"/>
  <c r="R1902" i="1"/>
  <c r="Q1902" i="1"/>
  <c r="P1902" i="1"/>
  <c r="S1901" i="1"/>
  <c r="R1901" i="1"/>
  <c r="Q1901" i="1"/>
  <c r="P1901" i="1"/>
  <c r="S1900" i="1"/>
  <c r="R1900" i="1"/>
  <c r="Q1900" i="1"/>
  <c r="P1900" i="1"/>
  <c r="S1899" i="1"/>
  <c r="R1899" i="1"/>
  <c r="Q1899" i="1"/>
  <c r="P1899" i="1"/>
  <c r="S1898" i="1"/>
  <c r="R1898" i="1"/>
  <c r="Q1898" i="1"/>
  <c r="P1898" i="1"/>
  <c r="S1897" i="1"/>
  <c r="R1897" i="1"/>
  <c r="Q1897" i="1"/>
  <c r="P1897" i="1"/>
  <c r="S1896" i="1"/>
  <c r="R1896" i="1"/>
  <c r="Q1896" i="1"/>
  <c r="P1896" i="1"/>
  <c r="S1895" i="1"/>
  <c r="R1895" i="1"/>
  <c r="Q1895" i="1"/>
  <c r="P1895" i="1"/>
  <c r="S1894" i="1"/>
  <c r="R1894" i="1"/>
  <c r="Q1894" i="1"/>
  <c r="P1894" i="1"/>
  <c r="S1893" i="1"/>
  <c r="R1893" i="1"/>
  <c r="Q1893" i="1"/>
  <c r="P1893" i="1"/>
  <c r="S1892" i="1"/>
  <c r="R1892" i="1"/>
  <c r="Q1892" i="1"/>
  <c r="P1892" i="1"/>
  <c r="S1891" i="1"/>
  <c r="R1891" i="1"/>
  <c r="Q1891" i="1"/>
  <c r="P1891" i="1"/>
  <c r="S1890" i="1"/>
  <c r="R1890" i="1"/>
  <c r="Q1890" i="1"/>
  <c r="P1890" i="1"/>
  <c r="S1889" i="1"/>
  <c r="R1889" i="1"/>
  <c r="Q1889" i="1"/>
  <c r="P1889" i="1"/>
  <c r="S1888" i="1"/>
  <c r="R1888" i="1"/>
  <c r="Q1888" i="1"/>
  <c r="P1888" i="1"/>
  <c r="S1887" i="1"/>
  <c r="R1887" i="1"/>
  <c r="Q1887" i="1"/>
  <c r="P1887" i="1"/>
  <c r="S1886" i="1"/>
  <c r="R1886" i="1"/>
  <c r="Q1886" i="1"/>
  <c r="P1886" i="1"/>
  <c r="S1885" i="1"/>
  <c r="R1885" i="1"/>
  <c r="Q1885" i="1"/>
  <c r="P1885" i="1"/>
  <c r="S1884" i="1"/>
  <c r="R1884" i="1"/>
  <c r="Q1884" i="1"/>
  <c r="P1884" i="1"/>
  <c r="S1883" i="1"/>
  <c r="R1883" i="1"/>
  <c r="Q1883" i="1"/>
  <c r="P1883" i="1"/>
  <c r="S1882" i="1"/>
  <c r="R1882" i="1"/>
  <c r="Q1882" i="1"/>
  <c r="P1882" i="1"/>
  <c r="S1881" i="1"/>
  <c r="R1881" i="1"/>
  <c r="Q1881" i="1"/>
  <c r="P1881" i="1"/>
  <c r="S1880" i="1"/>
  <c r="R1880" i="1"/>
  <c r="Q1880" i="1"/>
  <c r="P1880" i="1"/>
  <c r="S1879" i="1"/>
  <c r="R1879" i="1"/>
  <c r="Q1879" i="1"/>
  <c r="P1879" i="1"/>
  <c r="S1878" i="1"/>
  <c r="R1878" i="1"/>
  <c r="Q1878" i="1"/>
  <c r="P1878" i="1"/>
  <c r="S1877" i="1"/>
  <c r="R1877" i="1"/>
  <c r="Q1877" i="1"/>
  <c r="P1877" i="1"/>
  <c r="S1876" i="1"/>
  <c r="R1876" i="1"/>
  <c r="Q1876" i="1"/>
  <c r="P1876" i="1"/>
  <c r="S1875" i="1"/>
  <c r="R1875" i="1"/>
  <c r="Q1875" i="1"/>
  <c r="P1875" i="1"/>
  <c r="S1874" i="1"/>
  <c r="R1874" i="1"/>
  <c r="Q1874" i="1"/>
  <c r="P1874" i="1"/>
  <c r="S1873" i="1"/>
  <c r="R1873" i="1"/>
  <c r="Q1873" i="1"/>
  <c r="P1873" i="1"/>
  <c r="S1872" i="1"/>
  <c r="R1872" i="1"/>
  <c r="Q1872" i="1"/>
  <c r="P1872" i="1"/>
  <c r="S1871" i="1"/>
  <c r="R1871" i="1"/>
  <c r="Q1871" i="1"/>
  <c r="P1871" i="1"/>
  <c r="S1870" i="1"/>
  <c r="R1870" i="1"/>
  <c r="Q1870" i="1"/>
  <c r="P1870" i="1"/>
  <c r="S1869" i="1"/>
  <c r="R1869" i="1"/>
  <c r="Q1869" i="1"/>
  <c r="P1869" i="1"/>
  <c r="S1868" i="1"/>
  <c r="R1868" i="1"/>
  <c r="Q1868" i="1"/>
  <c r="P1868" i="1"/>
  <c r="S1867" i="1"/>
  <c r="R1867" i="1"/>
  <c r="Q1867" i="1"/>
  <c r="P1867" i="1"/>
  <c r="S1866" i="1"/>
  <c r="R1866" i="1"/>
  <c r="Q1866" i="1"/>
  <c r="P1866" i="1"/>
  <c r="S1865" i="1"/>
  <c r="R1865" i="1"/>
  <c r="Q1865" i="1"/>
  <c r="P1865" i="1"/>
  <c r="S1864" i="1"/>
  <c r="R1864" i="1"/>
  <c r="Q1864" i="1"/>
  <c r="P1864" i="1"/>
  <c r="S1863" i="1"/>
  <c r="R1863" i="1"/>
  <c r="Q1863" i="1"/>
  <c r="P1863" i="1"/>
  <c r="S1862" i="1"/>
  <c r="R1862" i="1"/>
  <c r="Q1862" i="1"/>
  <c r="P1862" i="1"/>
  <c r="S1861" i="1"/>
  <c r="R1861" i="1"/>
  <c r="Q1861" i="1"/>
  <c r="P1861" i="1"/>
  <c r="S1860" i="1"/>
  <c r="R1860" i="1"/>
  <c r="Q1860" i="1"/>
  <c r="P1860" i="1"/>
  <c r="S1859" i="1"/>
  <c r="R1859" i="1"/>
  <c r="Q1859" i="1"/>
  <c r="P1859" i="1"/>
  <c r="S1858" i="1"/>
  <c r="R1858" i="1"/>
  <c r="Q1858" i="1"/>
  <c r="P1858" i="1"/>
  <c r="S1857" i="1"/>
  <c r="R1857" i="1"/>
  <c r="Q1857" i="1"/>
  <c r="P1857" i="1"/>
  <c r="S1856" i="1"/>
  <c r="R1856" i="1"/>
  <c r="Q1856" i="1"/>
  <c r="P1856" i="1"/>
  <c r="S1855" i="1"/>
  <c r="R1855" i="1"/>
  <c r="Q1855" i="1"/>
  <c r="P1855" i="1"/>
  <c r="S1854" i="1"/>
  <c r="R1854" i="1"/>
  <c r="Q1854" i="1"/>
  <c r="P1854" i="1"/>
  <c r="S1853" i="1"/>
  <c r="R1853" i="1"/>
  <c r="Q1853" i="1"/>
  <c r="P1853" i="1"/>
  <c r="S1852" i="1"/>
  <c r="R1852" i="1"/>
  <c r="Q1852" i="1"/>
  <c r="P1852" i="1"/>
  <c r="S1851" i="1"/>
  <c r="R1851" i="1"/>
  <c r="Q1851" i="1"/>
  <c r="P1851" i="1"/>
  <c r="S1850" i="1"/>
  <c r="R1850" i="1"/>
  <c r="Q1850" i="1"/>
  <c r="P1850" i="1"/>
  <c r="S1849" i="1"/>
  <c r="R1849" i="1"/>
  <c r="Q1849" i="1"/>
  <c r="P1849" i="1"/>
  <c r="S1848" i="1"/>
  <c r="R1848" i="1"/>
  <c r="Q1848" i="1"/>
  <c r="P1848" i="1"/>
  <c r="S1847" i="1"/>
  <c r="R1847" i="1"/>
  <c r="Q1847" i="1"/>
  <c r="P1847" i="1"/>
  <c r="S1846" i="1"/>
  <c r="R1846" i="1"/>
  <c r="Q1846" i="1"/>
  <c r="P1846" i="1"/>
  <c r="S1845" i="1"/>
  <c r="R1845" i="1"/>
  <c r="Q1845" i="1"/>
  <c r="P1845" i="1"/>
  <c r="S1844" i="1"/>
  <c r="R1844" i="1"/>
  <c r="Q1844" i="1"/>
  <c r="P1844" i="1"/>
  <c r="S1843" i="1"/>
  <c r="R1843" i="1"/>
  <c r="Q1843" i="1"/>
  <c r="P1843" i="1"/>
  <c r="S1842" i="1"/>
  <c r="R1842" i="1"/>
  <c r="Q1842" i="1"/>
  <c r="P1842" i="1"/>
  <c r="S1841" i="1"/>
  <c r="R1841" i="1"/>
  <c r="Q1841" i="1"/>
  <c r="P1841" i="1"/>
  <c r="S1840" i="1"/>
  <c r="R1840" i="1"/>
  <c r="Q1840" i="1"/>
  <c r="P1840" i="1"/>
  <c r="S1839" i="1"/>
  <c r="R1839" i="1"/>
  <c r="Q1839" i="1"/>
  <c r="P1839" i="1"/>
  <c r="S1838" i="1"/>
  <c r="R1838" i="1"/>
  <c r="Q1838" i="1"/>
  <c r="P1838" i="1"/>
  <c r="S1837" i="1"/>
  <c r="R1837" i="1"/>
  <c r="Q1837" i="1"/>
  <c r="P1837" i="1"/>
  <c r="S1836" i="1"/>
  <c r="R1836" i="1"/>
  <c r="Q1836" i="1"/>
  <c r="P1836" i="1"/>
  <c r="S1835" i="1"/>
  <c r="R1835" i="1"/>
  <c r="Q1835" i="1"/>
  <c r="P1835" i="1"/>
  <c r="S1834" i="1"/>
  <c r="R1834" i="1"/>
  <c r="Q1834" i="1"/>
  <c r="P1834" i="1"/>
  <c r="S1833" i="1"/>
  <c r="R1833" i="1"/>
  <c r="Q1833" i="1"/>
  <c r="P1833" i="1"/>
  <c r="S1832" i="1"/>
  <c r="R1832" i="1"/>
  <c r="Q1832" i="1"/>
  <c r="P1832" i="1"/>
  <c r="S1831" i="1"/>
  <c r="R1831" i="1"/>
  <c r="Q1831" i="1"/>
  <c r="P1831" i="1"/>
  <c r="S1830" i="1"/>
  <c r="R1830" i="1"/>
  <c r="Q1830" i="1"/>
  <c r="P1830" i="1"/>
  <c r="S1829" i="1"/>
  <c r="R1829" i="1"/>
  <c r="Q1829" i="1"/>
  <c r="P1829" i="1"/>
  <c r="S1828" i="1"/>
  <c r="R1828" i="1"/>
  <c r="Q1828" i="1"/>
  <c r="P1828" i="1"/>
  <c r="S1827" i="1"/>
  <c r="R1827" i="1"/>
  <c r="Q1827" i="1"/>
  <c r="P1827" i="1"/>
  <c r="S1826" i="1"/>
  <c r="R1826" i="1"/>
  <c r="Q1826" i="1"/>
  <c r="P1826" i="1"/>
  <c r="S1825" i="1"/>
  <c r="R1825" i="1"/>
  <c r="Q1825" i="1"/>
  <c r="P1825" i="1"/>
  <c r="S1824" i="1"/>
  <c r="R1824" i="1"/>
  <c r="Q1824" i="1"/>
  <c r="P1824" i="1"/>
  <c r="S1823" i="1"/>
  <c r="R1823" i="1"/>
  <c r="Q1823" i="1"/>
  <c r="P1823" i="1"/>
  <c r="S1822" i="1"/>
  <c r="R1822" i="1"/>
  <c r="Q1822" i="1"/>
  <c r="P1822" i="1"/>
  <c r="S1821" i="1"/>
  <c r="R1821" i="1"/>
  <c r="Q1821" i="1"/>
  <c r="P1821" i="1"/>
  <c r="S1820" i="1"/>
  <c r="R1820" i="1"/>
  <c r="Q1820" i="1"/>
  <c r="P1820" i="1"/>
  <c r="S1819" i="1"/>
  <c r="R1819" i="1"/>
  <c r="Q1819" i="1"/>
  <c r="P1819" i="1"/>
  <c r="S1818" i="1"/>
  <c r="R1818" i="1"/>
  <c r="Q1818" i="1"/>
  <c r="P1818" i="1"/>
  <c r="S1817" i="1"/>
  <c r="R1817" i="1"/>
  <c r="Q1817" i="1"/>
  <c r="P1817" i="1"/>
  <c r="S1816" i="1"/>
  <c r="R1816" i="1"/>
  <c r="Q1816" i="1"/>
  <c r="P1816" i="1"/>
  <c r="S1815" i="1"/>
  <c r="R1815" i="1"/>
  <c r="Q1815" i="1"/>
  <c r="P1815" i="1"/>
  <c r="S1814" i="1"/>
  <c r="R1814" i="1"/>
  <c r="Q1814" i="1"/>
  <c r="P1814" i="1"/>
  <c r="S1813" i="1"/>
  <c r="R1813" i="1"/>
  <c r="Q1813" i="1"/>
  <c r="P1813" i="1"/>
  <c r="S1812" i="1"/>
  <c r="R1812" i="1"/>
  <c r="Q1812" i="1"/>
  <c r="P1812" i="1"/>
  <c r="S1811" i="1"/>
  <c r="R1811" i="1"/>
  <c r="Q1811" i="1"/>
  <c r="P1811" i="1"/>
  <c r="S1810" i="1"/>
  <c r="R1810" i="1"/>
  <c r="Q1810" i="1"/>
  <c r="P1810" i="1"/>
  <c r="S1809" i="1"/>
  <c r="R1809" i="1"/>
  <c r="Q1809" i="1"/>
  <c r="P1809" i="1"/>
  <c r="S1808" i="1"/>
  <c r="R1808" i="1"/>
  <c r="Q1808" i="1"/>
  <c r="P1808" i="1"/>
  <c r="S1807" i="1"/>
  <c r="R1807" i="1"/>
  <c r="Q1807" i="1"/>
  <c r="P1807" i="1"/>
  <c r="S1806" i="1"/>
  <c r="R1806" i="1"/>
  <c r="Q1806" i="1"/>
  <c r="P1806" i="1"/>
  <c r="S1805" i="1"/>
  <c r="R1805" i="1"/>
  <c r="Q1805" i="1"/>
  <c r="P1805" i="1"/>
  <c r="S1804" i="1"/>
  <c r="R1804" i="1"/>
  <c r="Q1804" i="1"/>
  <c r="P1804" i="1"/>
  <c r="S1803" i="1"/>
  <c r="R1803" i="1"/>
  <c r="Q1803" i="1"/>
  <c r="P1803" i="1"/>
  <c r="S1802" i="1"/>
  <c r="R1802" i="1"/>
  <c r="Q1802" i="1"/>
  <c r="P1802" i="1"/>
  <c r="S1801" i="1"/>
  <c r="R1801" i="1"/>
  <c r="Q1801" i="1"/>
  <c r="P1801" i="1"/>
  <c r="S1800" i="1"/>
  <c r="R1800" i="1"/>
  <c r="Q1800" i="1"/>
  <c r="P1800" i="1"/>
  <c r="S1799" i="1"/>
  <c r="R1799" i="1"/>
  <c r="Q1799" i="1"/>
  <c r="P1799" i="1"/>
  <c r="S1798" i="1"/>
  <c r="R1798" i="1"/>
  <c r="Q1798" i="1"/>
  <c r="P1798" i="1"/>
  <c r="S1797" i="1"/>
  <c r="R1797" i="1"/>
  <c r="Q1797" i="1"/>
  <c r="P1797" i="1"/>
  <c r="S1796" i="1"/>
  <c r="R1796" i="1"/>
  <c r="Q1796" i="1"/>
  <c r="P1796" i="1"/>
  <c r="S1795" i="1"/>
  <c r="R1795" i="1"/>
  <c r="Q1795" i="1"/>
  <c r="P1795" i="1"/>
  <c r="S1794" i="1"/>
  <c r="R1794" i="1"/>
  <c r="Q1794" i="1"/>
  <c r="P1794" i="1"/>
  <c r="S1793" i="1"/>
  <c r="R1793" i="1"/>
  <c r="Q1793" i="1"/>
  <c r="P1793" i="1"/>
  <c r="S1792" i="1"/>
  <c r="R1792" i="1"/>
  <c r="Q1792" i="1"/>
  <c r="P1792" i="1"/>
  <c r="S1791" i="1"/>
  <c r="R1791" i="1"/>
  <c r="Q1791" i="1"/>
  <c r="P1791" i="1"/>
  <c r="S1790" i="1"/>
  <c r="R1790" i="1"/>
  <c r="Q1790" i="1"/>
  <c r="P1790" i="1"/>
  <c r="S1789" i="1"/>
  <c r="R1789" i="1"/>
  <c r="Q1789" i="1"/>
  <c r="P1789" i="1"/>
  <c r="S1788" i="1"/>
  <c r="R1788" i="1"/>
  <c r="Q1788" i="1"/>
  <c r="P1788" i="1"/>
  <c r="S1787" i="1"/>
  <c r="R1787" i="1"/>
  <c r="Q1787" i="1"/>
  <c r="P1787" i="1"/>
  <c r="S1786" i="1"/>
  <c r="R1786" i="1"/>
  <c r="Q1786" i="1"/>
  <c r="P1786" i="1"/>
  <c r="S1785" i="1"/>
  <c r="R1785" i="1"/>
  <c r="Q1785" i="1"/>
  <c r="P1785" i="1"/>
  <c r="S1784" i="1"/>
  <c r="R1784" i="1"/>
  <c r="Q1784" i="1"/>
  <c r="P1784" i="1"/>
  <c r="S1783" i="1"/>
  <c r="R1783" i="1"/>
  <c r="Q1783" i="1"/>
  <c r="P1783" i="1"/>
  <c r="S1782" i="1"/>
  <c r="R1782" i="1"/>
  <c r="Q1782" i="1"/>
  <c r="P1782" i="1"/>
  <c r="S1781" i="1"/>
  <c r="R1781" i="1"/>
  <c r="Q1781" i="1"/>
  <c r="P1781" i="1"/>
  <c r="S1780" i="1"/>
  <c r="R1780" i="1"/>
  <c r="Q1780" i="1"/>
  <c r="P1780" i="1"/>
  <c r="S1779" i="1"/>
  <c r="R1779" i="1"/>
  <c r="Q1779" i="1"/>
  <c r="P1779" i="1"/>
  <c r="S1778" i="1"/>
  <c r="R1778" i="1"/>
  <c r="Q1778" i="1"/>
  <c r="P1778" i="1"/>
  <c r="S1777" i="1"/>
  <c r="R1777" i="1"/>
  <c r="Q1777" i="1"/>
  <c r="P1777" i="1"/>
  <c r="S1776" i="1"/>
  <c r="R1776" i="1"/>
  <c r="Q1776" i="1"/>
  <c r="P1776" i="1"/>
  <c r="S1775" i="1"/>
  <c r="R1775" i="1"/>
  <c r="Q1775" i="1"/>
  <c r="P1775" i="1"/>
  <c r="S1774" i="1"/>
  <c r="R1774" i="1"/>
  <c r="Q1774" i="1"/>
  <c r="P1774" i="1"/>
  <c r="S1773" i="1"/>
  <c r="R1773" i="1"/>
  <c r="Q1773" i="1"/>
  <c r="P1773" i="1"/>
  <c r="S1772" i="1"/>
  <c r="R1772" i="1"/>
  <c r="Q1772" i="1"/>
  <c r="P1772" i="1"/>
  <c r="S1771" i="1"/>
  <c r="R1771" i="1"/>
  <c r="Q1771" i="1"/>
  <c r="P1771" i="1"/>
  <c r="S1770" i="1"/>
  <c r="R1770" i="1"/>
  <c r="Q1770" i="1"/>
  <c r="P1770" i="1"/>
  <c r="S1769" i="1"/>
  <c r="R1769" i="1"/>
  <c r="Q1769" i="1"/>
  <c r="P1769" i="1"/>
  <c r="S1768" i="1"/>
  <c r="R1768" i="1"/>
  <c r="Q1768" i="1"/>
  <c r="P1768" i="1"/>
  <c r="S1767" i="1"/>
  <c r="R1767" i="1"/>
  <c r="Q1767" i="1"/>
  <c r="P1767" i="1"/>
  <c r="S1766" i="1"/>
  <c r="R1766" i="1"/>
  <c r="Q1766" i="1"/>
  <c r="P1766" i="1"/>
  <c r="S1765" i="1"/>
  <c r="R1765" i="1"/>
  <c r="Q1765" i="1"/>
  <c r="P1765" i="1"/>
  <c r="S1764" i="1"/>
  <c r="R1764" i="1"/>
  <c r="Q1764" i="1"/>
  <c r="P1764" i="1"/>
  <c r="S1763" i="1"/>
  <c r="R1763" i="1"/>
  <c r="Q1763" i="1"/>
  <c r="P1763" i="1"/>
  <c r="S1762" i="1"/>
  <c r="R1762" i="1"/>
  <c r="Q1762" i="1"/>
  <c r="P1762" i="1"/>
  <c r="S1761" i="1"/>
  <c r="R1761" i="1"/>
  <c r="Q1761" i="1"/>
  <c r="P1761" i="1"/>
  <c r="S1760" i="1"/>
  <c r="R1760" i="1"/>
  <c r="Q1760" i="1"/>
  <c r="P1760" i="1"/>
  <c r="S1759" i="1"/>
  <c r="R1759" i="1"/>
  <c r="Q1759" i="1"/>
  <c r="P1759" i="1"/>
  <c r="S1758" i="1"/>
  <c r="R1758" i="1"/>
  <c r="Q1758" i="1"/>
  <c r="P1758" i="1"/>
  <c r="S1757" i="1"/>
  <c r="R1757" i="1"/>
  <c r="Q1757" i="1"/>
  <c r="P1757" i="1"/>
  <c r="S1756" i="1"/>
  <c r="R1756" i="1"/>
  <c r="Q1756" i="1"/>
  <c r="P1756" i="1"/>
  <c r="S1755" i="1"/>
  <c r="R1755" i="1"/>
  <c r="Q1755" i="1"/>
  <c r="P1755" i="1"/>
  <c r="S1754" i="1"/>
  <c r="R1754" i="1"/>
  <c r="Q1754" i="1"/>
  <c r="P1754" i="1"/>
  <c r="S1753" i="1"/>
  <c r="R1753" i="1"/>
  <c r="Q1753" i="1"/>
  <c r="P1753" i="1"/>
  <c r="S1752" i="1"/>
  <c r="R1752" i="1"/>
  <c r="Q1752" i="1"/>
  <c r="P1752" i="1"/>
  <c r="S1751" i="1"/>
  <c r="R1751" i="1"/>
  <c r="Q1751" i="1"/>
  <c r="P1751" i="1"/>
  <c r="S1750" i="1"/>
  <c r="R1750" i="1"/>
  <c r="Q1750" i="1"/>
  <c r="P1750" i="1"/>
  <c r="S1749" i="1"/>
  <c r="R1749" i="1"/>
  <c r="Q1749" i="1"/>
  <c r="P1749" i="1"/>
  <c r="S1748" i="1"/>
  <c r="R1748" i="1"/>
  <c r="Q1748" i="1"/>
  <c r="P1748" i="1"/>
  <c r="S1747" i="1"/>
  <c r="R1747" i="1"/>
  <c r="Q1747" i="1"/>
  <c r="P1747" i="1"/>
  <c r="S1746" i="1"/>
  <c r="R1746" i="1"/>
  <c r="Q1746" i="1"/>
  <c r="P1746" i="1"/>
  <c r="S1745" i="1"/>
  <c r="R1745" i="1"/>
  <c r="Q1745" i="1"/>
  <c r="P1745" i="1"/>
  <c r="S1744" i="1"/>
  <c r="R1744" i="1"/>
  <c r="Q1744" i="1"/>
  <c r="P1744" i="1"/>
  <c r="S1743" i="1"/>
  <c r="R1743" i="1"/>
  <c r="Q1743" i="1"/>
  <c r="P1743" i="1"/>
  <c r="S1742" i="1"/>
  <c r="R1742" i="1"/>
  <c r="Q1742" i="1"/>
  <c r="P1742" i="1"/>
  <c r="S1741" i="1"/>
  <c r="R1741" i="1"/>
  <c r="Q1741" i="1"/>
  <c r="P1741" i="1"/>
  <c r="S1740" i="1"/>
  <c r="R1740" i="1"/>
  <c r="Q1740" i="1"/>
  <c r="P1740" i="1"/>
  <c r="S1739" i="1"/>
  <c r="R1739" i="1"/>
  <c r="Q1739" i="1"/>
  <c r="P1739" i="1"/>
  <c r="S1738" i="1"/>
  <c r="R1738" i="1"/>
  <c r="Q1738" i="1"/>
  <c r="P1738" i="1"/>
  <c r="S1737" i="1"/>
  <c r="R1737" i="1"/>
  <c r="Q1737" i="1"/>
  <c r="P1737" i="1"/>
  <c r="S1736" i="1"/>
  <c r="R1736" i="1"/>
  <c r="Q1736" i="1"/>
  <c r="P1736" i="1"/>
  <c r="S1735" i="1"/>
  <c r="R1735" i="1"/>
  <c r="Q1735" i="1"/>
  <c r="P1735" i="1"/>
  <c r="S1734" i="1"/>
  <c r="R1734" i="1"/>
  <c r="Q1734" i="1"/>
  <c r="P1734" i="1"/>
  <c r="S1733" i="1"/>
  <c r="R1733" i="1"/>
  <c r="Q1733" i="1"/>
  <c r="P1733" i="1"/>
  <c r="S1732" i="1"/>
  <c r="R1732" i="1"/>
  <c r="Q1732" i="1"/>
  <c r="P1732" i="1"/>
  <c r="S1731" i="1"/>
  <c r="R1731" i="1"/>
  <c r="Q1731" i="1"/>
  <c r="P1731" i="1"/>
  <c r="S1730" i="1"/>
  <c r="R1730" i="1"/>
  <c r="Q1730" i="1"/>
  <c r="P1730" i="1"/>
  <c r="S1729" i="1"/>
  <c r="R1729" i="1"/>
  <c r="Q1729" i="1"/>
  <c r="P1729" i="1"/>
  <c r="S1728" i="1"/>
  <c r="R1728" i="1"/>
  <c r="Q1728" i="1"/>
  <c r="P1728" i="1"/>
  <c r="S1727" i="1"/>
  <c r="R1727" i="1"/>
  <c r="Q1727" i="1"/>
  <c r="P1727" i="1"/>
  <c r="S1726" i="1"/>
  <c r="R1726" i="1"/>
  <c r="Q1726" i="1"/>
  <c r="P1726" i="1"/>
  <c r="S1725" i="1"/>
  <c r="R1725" i="1"/>
  <c r="Q1725" i="1"/>
  <c r="P1725" i="1"/>
  <c r="S1724" i="1"/>
  <c r="R1724" i="1"/>
  <c r="Q1724" i="1"/>
  <c r="P1724" i="1"/>
  <c r="S1723" i="1"/>
  <c r="R1723" i="1"/>
  <c r="Q1723" i="1"/>
  <c r="P1723" i="1"/>
  <c r="S1722" i="1"/>
  <c r="R1722" i="1"/>
  <c r="Q1722" i="1"/>
  <c r="P1722" i="1"/>
  <c r="S1721" i="1"/>
  <c r="R1721" i="1"/>
  <c r="Q1721" i="1"/>
  <c r="P1721" i="1"/>
  <c r="S1720" i="1"/>
  <c r="R1720" i="1"/>
  <c r="Q1720" i="1"/>
  <c r="P1720" i="1"/>
  <c r="S1719" i="1"/>
  <c r="R1719" i="1"/>
  <c r="Q1719" i="1"/>
  <c r="P1719" i="1"/>
  <c r="S1718" i="1"/>
  <c r="R1718" i="1"/>
  <c r="Q1718" i="1"/>
  <c r="P1718" i="1"/>
  <c r="S1717" i="1"/>
  <c r="R1717" i="1"/>
  <c r="Q1717" i="1"/>
  <c r="P1717" i="1"/>
  <c r="S1716" i="1"/>
  <c r="R1716" i="1"/>
  <c r="Q1716" i="1"/>
  <c r="P1716" i="1"/>
  <c r="S1715" i="1"/>
  <c r="R1715" i="1"/>
  <c r="Q1715" i="1"/>
  <c r="P1715" i="1"/>
  <c r="S1714" i="1"/>
  <c r="R1714" i="1"/>
  <c r="Q1714" i="1"/>
  <c r="P1714" i="1"/>
  <c r="S1713" i="1"/>
  <c r="R1713" i="1"/>
  <c r="Q1713" i="1"/>
  <c r="P1713" i="1"/>
  <c r="S1712" i="1"/>
  <c r="R1712" i="1"/>
  <c r="Q1712" i="1"/>
  <c r="P1712" i="1"/>
  <c r="S1711" i="1"/>
  <c r="R1711" i="1"/>
  <c r="Q1711" i="1"/>
  <c r="P1711" i="1"/>
  <c r="S1710" i="1"/>
  <c r="R1710" i="1"/>
  <c r="Q1710" i="1"/>
  <c r="P1710" i="1"/>
  <c r="S1709" i="1"/>
  <c r="R1709" i="1"/>
  <c r="Q1709" i="1"/>
  <c r="P1709" i="1"/>
  <c r="S1708" i="1"/>
  <c r="R1708" i="1"/>
  <c r="Q1708" i="1"/>
  <c r="P1708" i="1"/>
  <c r="S1707" i="1"/>
  <c r="R1707" i="1"/>
  <c r="Q1707" i="1"/>
  <c r="P1707" i="1"/>
  <c r="S1706" i="1"/>
  <c r="R1706" i="1"/>
  <c r="Q1706" i="1"/>
  <c r="P1706" i="1"/>
  <c r="S1705" i="1"/>
  <c r="R1705" i="1"/>
  <c r="Q1705" i="1"/>
  <c r="P1705" i="1"/>
  <c r="S1704" i="1"/>
  <c r="R1704" i="1"/>
  <c r="Q1704" i="1"/>
  <c r="P1704" i="1"/>
  <c r="S1703" i="1"/>
  <c r="R1703" i="1"/>
  <c r="Q1703" i="1"/>
  <c r="P1703" i="1"/>
  <c r="S1702" i="1"/>
  <c r="R1702" i="1"/>
  <c r="Q1702" i="1"/>
  <c r="P1702" i="1"/>
  <c r="S1701" i="1"/>
  <c r="R1701" i="1"/>
  <c r="Q1701" i="1"/>
  <c r="P1701" i="1"/>
  <c r="S1700" i="1"/>
  <c r="R1700" i="1"/>
  <c r="Q1700" i="1"/>
  <c r="P1700" i="1"/>
  <c r="S1699" i="1"/>
  <c r="R1699" i="1"/>
  <c r="Q1699" i="1"/>
  <c r="P1699" i="1"/>
  <c r="S1698" i="1"/>
  <c r="R1698" i="1"/>
  <c r="Q1698" i="1"/>
  <c r="P1698" i="1"/>
  <c r="S1697" i="1"/>
  <c r="R1697" i="1"/>
  <c r="Q1697" i="1"/>
  <c r="P1697" i="1"/>
  <c r="S1696" i="1"/>
  <c r="R1696" i="1"/>
  <c r="Q1696" i="1"/>
  <c r="P1696" i="1"/>
  <c r="S1695" i="1"/>
  <c r="R1695" i="1"/>
  <c r="Q1695" i="1"/>
  <c r="P1695" i="1"/>
  <c r="S1694" i="1"/>
  <c r="R1694" i="1"/>
  <c r="Q1694" i="1"/>
  <c r="P1694" i="1"/>
  <c r="S1693" i="1"/>
  <c r="R1693" i="1"/>
  <c r="Q1693" i="1"/>
  <c r="P1693" i="1"/>
  <c r="S1692" i="1"/>
  <c r="R1692" i="1"/>
  <c r="Q1692" i="1"/>
  <c r="P1692" i="1"/>
  <c r="S1691" i="1"/>
  <c r="R1691" i="1"/>
  <c r="Q1691" i="1"/>
  <c r="P1691" i="1"/>
  <c r="S1690" i="1"/>
  <c r="R1690" i="1"/>
  <c r="Q1690" i="1"/>
  <c r="P1690" i="1"/>
  <c r="S1689" i="1"/>
  <c r="R1689" i="1"/>
  <c r="Q1689" i="1"/>
  <c r="P1689" i="1"/>
  <c r="S1688" i="1"/>
  <c r="R1688" i="1"/>
  <c r="Q1688" i="1"/>
  <c r="P1688" i="1"/>
  <c r="S1687" i="1"/>
  <c r="R1687" i="1"/>
  <c r="Q1687" i="1"/>
  <c r="P1687" i="1"/>
  <c r="S1686" i="1"/>
  <c r="R1686" i="1"/>
  <c r="Q1686" i="1"/>
  <c r="P1686" i="1"/>
  <c r="S1685" i="1"/>
  <c r="R1685" i="1"/>
  <c r="Q1685" i="1"/>
  <c r="P1685" i="1"/>
  <c r="S1684" i="1"/>
  <c r="R1684" i="1"/>
  <c r="Q1684" i="1"/>
  <c r="P1684" i="1"/>
  <c r="S1683" i="1"/>
  <c r="R1683" i="1"/>
  <c r="Q1683" i="1"/>
  <c r="P1683" i="1"/>
  <c r="S1682" i="1"/>
  <c r="R1682" i="1"/>
  <c r="Q1682" i="1"/>
  <c r="P1682" i="1"/>
  <c r="S1681" i="1"/>
  <c r="R1681" i="1"/>
  <c r="Q1681" i="1"/>
  <c r="P1681" i="1"/>
  <c r="S1680" i="1"/>
  <c r="R1680" i="1"/>
  <c r="Q1680" i="1"/>
  <c r="P1680" i="1"/>
  <c r="S1679" i="1"/>
  <c r="R1679" i="1"/>
  <c r="Q1679" i="1"/>
  <c r="P1679" i="1"/>
  <c r="S1678" i="1"/>
  <c r="R1678" i="1"/>
  <c r="Q1678" i="1"/>
  <c r="P1678" i="1"/>
  <c r="S1677" i="1"/>
  <c r="R1677" i="1"/>
  <c r="Q1677" i="1"/>
  <c r="P1677" i="1"/>
  <c r="S1676" i="1"/>
  <c r="R1676" i="1"/>
  <c r="Q1676" i="1"/>
  <c r="P1676" i="1"/>
  <c r="S1675" i="1"/>
  <c r="R1675" i="1"/>
  <c r="Q1675" i="1"/>
  <c r="P1675" i="1"/>
  <c r="S1674" i="1"/>
  <c r="R1674" i="1"/>
  <c r="Q1674" i="1"/>
  <c r="P1674" i="1"/>
  <c r="S1673" i="1"/>
  <c r="R1673" i="1"/>
  <c r="Q1673" i="1"/>
  <c r="P1673" i="1"/>
  <c r="S1672" i="1"/>
  <c r="R1672" i="1"/>
  <c r="Q1672" i="1"/>
  <c r="P1672" i="1"/>
  <c r="S1671" i="1"/>
  <c r="R1671" i="1"/>
  <c r="Q1671" i="1"/>
  <c r="P1671" i="1"/>
  <c r="S1670" i="1"/>
  <c r="R1670" i="1"/>
  <c r="Q1670" i="1"/>
  <c r="P1670" i="1"/>
  <c r="S1669" i="1"/>
  <c r="R1669" i="1"/>
  <c r="Q1669" i="1"/>
  <c r="P1669" i="1"/>
  <c r="S1668" i="1"/>
  <c r="R1668" i="1"/>
  <c r="Q1668" i="1"/>
  <c r="P1668" i="1"/>
  <c r="S1667" i="1"/>
  <c r="R1667" i="1"/>
  <c r="Q1667" i="1"/>
  <c r="P1667" i="1"/>
  <c r="S1666" i="1"/>
  <c r="R1666" i="1"/>
  <c r="Q1666" i="1"/>
  <c r="P1666" i="1"/>
  <c r="S1665" i="1"/>
  <c r="R1665" i="1"/>
  <c r="Q1665" i="1"/>
  <c r="P1665" i="1"/>
  <c r="S1664" i="1"/>
  <c r="R1664" i="1"/>
  <c r="Q1664" i="1"/>
  <c r="P1664" i="1"/>
  <c r="S1663" i="1"/>
  <c r="R1663" i="1"/>
  <c r="Q1663" i="1"/>
  <c r="P1663" i="1"/>
  <c r="S1662" i="1"/>
  <c r="R1662" i="1"/>
  <c r="Q1662" i="1"/>
  <c r="P1662" i="1"/>
  <c r="S1661" i="1"/>
  <c r="R1661" i="1"/>
  <c r="Q1661" i="1"/>
  <c r="P1661" i="1"/>
  <c r="S1660" i="1"/>
  <c r="R1660" i="1"/>
  <c r="Q1660" i="1"/>
  <c r="P1660" i="1"/>
  <c r="S1659" i="1"/>
  <c r="R1659" i="1"/>
  <c r="Q1659" i="1"/>
  <c r="P1659" i="1"/>
  <c r="S1658" i="1"/>
  <c r="R1658" i="1"/>
  <c r="Q1658" i="1"/>
  <c r="P1658" i="1"/>
  <c r="S1657" i="1"/>
  <c r="R1657" i="1"/>
  <c r="Q1657" i="1"/>
  <c r="P1657" i="1"/>
  <c r="S1656" i="1"/>
  <c r="R1656" i="1"/>
  <c r="Q1656" i="1"/>
  <c r="P1656" i="1"/>
  <c r="S1655" i="1"/>
  <c r="R1655" i="1"/>
  <c r="Q1655" i="1"/>
  <c r="P1655" i="1"/>
  <c r="S1654" i="1"/>
  <c r="R1654" i="1"/>
  <c r="Q1654" i="1"/>
  <c r="P1654" i="1"/>
  <c r="S1653" i="1"/>
  <c r="R1653" i="1"/>
  <c r="Q1653" i="1"/>
  <c r="P1653" i="1"/>
  <c r="S1652" i="1"/>
  <c r="R1652" i="1"/>
  <c r="Q1652" i="1"/>
  <c r="P1652" i="1"/>
  <c r="S1651" i="1"/>
  <c r="R1651" i="1"/>
  <c r="Q1651" i="1"/>
  <c r="P1651" i="1"/>
  <c r="S1650" i="1"/>
  <c r="R1650" i="1"/>
  <c r="Q1650" i="1"/>
  <c r="P1650" i="1"/>
  <c r="S1649" i="1"/>
  <c r="R1649" i="1"/>
  <c r="Q1649" i="1"/>
  <c r="P1649" i="1"/>
  <c r="S1648" i="1"/>
  <c r="R1648" i="1"/>
  <c r="Q1648" i="1"/>
  <c r="P1648" i="1"/>
  <c r="S1647" i="1"/>
  <c r="R1647" i="1"/>
  <c r="Q1647" i="1"/>
  <c r="P1647" i="1"/>
  <c r="S1646" i="1"/>
  <c r="R1646" i="1"/>
  <c r="Q1646" i="1"/>
  <c r="P1646" i="1"/>
  <c r="S1645" i="1"/>
  <c r="R1645" i="1"/>
  <c r="Q1645" i="1"/>
  <c r="P1645" i="1"/>
  <c r="S1644" i="1"/>
  <c r="R1644" i="1"/>
  <c r="Q1644" i="1"/>
  <c r="P1644" i="1"/>
  <c r="S1643" i="1"/>
  <c r="R1643" i="1"/>
  <c r="Q1643" i="1"/>
  <c r="P1643" i="1"/>
  <c r="S1642" i="1"/>
  <c r="R1642" i="1"/>
  <c r="Q1642" i="1"/>
  <c r="P1642" i="1"/>
  <c r="S1641" i="1"/>
  <c r="R1641" i="1"/>
  <c r="Q1641" i="1"/>
  <c r="P1641" i="1"/>
  <c r="S1640" i="1"/>
  <c r="R1640" i="1"/>
  <c r="Q1640" i="1"/>
  <c r="P1640" i="1"/>
  <c r="S1639" i="1"/>
  <c r="R1639" i="1"/>
  <c r="Q1639" i="1"/>
  <c r="P1639" i="1"/>
  <c r="S1638" i="1"/>
  <c r="R1638" i="1"/>
  <c r="Q1638" i="1"/>
  <c r="P1638" i="1"/>
  <c r="S1637" i="1"/>
  <c r="R1637" i="1"/>
  <c r="Q1637" i="1"/>
  <c r="P1637" i="1"/>
  <c r="S1636" i="1"/>
  <c r="R1636" i="1"/>
  <c r="Q1636" i="1"/>
  <c r="P1636" i="1"/>
  <c r="S1635" i="1"/>
  <c r="R1635" i="1"/>
  <c r="Q1635" i="1"/>
  <c r="P1635" i="1"/>
  <c r="S1634" i="1"/>
  <c r="R1634" i="1"/>
  <c r="Q1634" i="1"/>
  <c r="P1634" i="1"/>
  <c r="S1633" i="1"/>
  <c r="R1633" i="1"/>
  <c r="Q1633" i="1"/>
  <c r="P1633" i="1"/>
  <c r="S1632" i="1"/>
  <c r="R1632" i="1"/>
  <c r="Q1632" i="1"/>
  <c r="P1632" i="1"/>
  <c r="S1631" i="1"/>
  <c r="R1631" i="1"/>
  <c r="Q1631" i="1"/>
  <c r="P1631" i="1"/>
  <c r="S1630" i="1"/>
  <c r="R1630" i="1"/>
  <c r="Q1630" i="1"/>
  <c r="P1630" i="1"/>
  <c r="S1629" i="1"/>
  <c r="R1629" i="1"/>
  <c r="Q1629" i="1"/>
  <c r="P1629" i="1"/>
  <c r="S1628" i="1"/>
  <c r="R1628" i="1"/>
  <c r="Q1628" i="1"/>
  <c r="P1628" i="1"/>
  <c r="S1627" i="1"/>
  <c r="R1627" i="1"/>
  <c r="Q1627" i="1"/>
  <c r="P1627" i="1"/>
  <c r="S1626" i="1"/>
  <c r="R1626" i="1"/>
  <c r="Q1626" i="1"/>
  <c r="P1626" i="1"/>
  <c r="S1625" i="1"/>
  <c r="R1625" i="1"/>
  <c r="Q1625" i="1"/>
  <c r="P1625" i="1"/>
  <c r="S1624" i="1"/>
  <c r="R1624" i="1"/>
  <c r="Q1624" i="1"/>
  <c r="P1624" i="1"/>
  <c r="S1623" i="1"/>
  <c r="R1623" i="1"/>
  <c r="Q1623" i="1"/>
  <c r="P1623" i="1"/>
  <c r="S1622" i="1"/>
  <c r="R1622" i="1"/>
  <c r="Q1622" i="1"/>
  <c r="P1622" i="1"/>
  <c r="S1621" i="1"/>
  <c r="R1621" i="1"/>
  <c r="Q1621" i="1"/>
  <c r="P1621" i="1"/>
  <c r="S1620" i="1"/>
  <c r="R1620" i="1"/>
  <c r="Q1620" i="1"/>
  <c r="P1620" i="1"/>
  <c r="S1619" i="1"/>
  <c r="R1619" i="1"/>
  <c r="Q1619" i="1"/>
  <c r="P1619" i="1"/>
  <c r="S1618" i="1"/>
  <c r="R1618" i="1"/>
  <c r="Q1618" i="1"/>
  <c r="P1618" i="1"/>
  <c r="S1617" i="1"/>
  <c r="R1617" i="1"/>
  <c r="Q1617" i="1"/>
  <c r="P1617" i="1"/>
  <c r="S1616" i="1"/>
  <c r="R1616" i="1"/>
  <c r="Q1616" i="1"/>
  <c r="P1616" i="1"/>
  <c r="S1615" i="1"/>
  <c r="R1615" i="1"/>
  <c r="Q1615" i="1"/>
  <c r="P1615" i="1"/>
  <c r="S1614" i="1"/>
  <c r="R1614" i="1"/>
  <c r="Q1614" i="1"/>
  <c r="P1614" i="1"/>
  <c r="S1613" i="1"/>
  <c r="R1613" i="1"/>
  <c r="Q1613" i="1"/>
  <c r="P1613" i="1"/>
  <c r="S1612" i="1"/>
  <c r="R1612" i="1"/>
  <c r="Q1612" i="1"/>
  <c r="P1612" i="1"/>
  <c r="S1611" i="1"/>
  <c r="R1611" i="1"/>
  <c r="Q1611" i="1"/>
  <c r="P1611" i="1"/>
  <c r="S1610" i="1"/>
  <c r="R1610" i="1"/>
  <c r="Q1610" i="1"/>
  <c r="P1610" i="1"/>
  <c r="S1609" i="1"/>
  <c r="R1609" i="1"/>
  <c r="Q1609" i="1"/>
  <c r="P1609" i="1"/>
  <c r="S1608" i="1"/>
  <c r="R1608" i="1"/>
  <c r="Q1608" i="1"/>
  <c r="P1608" i="1"/>
  <c r="S1607" i="1"/>
  <c r="R1607" i="1"/>
  <c r="Q1607" i="1"/>
  <c r="P1607" i="1"/>
  <c r="S1606" i="1"/>
  <c r="R1606" i="1"/>
  <c r="Q1606" i="1"/>
  <c r="P1606" i="1"/>
  <c r="S1605" i="1"/>
  <c r="R1605" i="1"/>
  <c r="Q1605" i="1"/>
  <c r="P1605" i="1"/>
  <c r="S1604" i="1"/>
  <c r="R1604" i="1"/>
  <c r="Q1604" i="1"/>
  <c r="P1604" i="1"/>
  <c r="S1603" i="1"/>
  <c r="R1603" i="1"/>
  <c r="Q1603" i="1"/>
  <c r="P1603" i="1"/>
  <c r="S1602" i="1"/>
  <c r="R1602" i="1"/>
  <c r="Q1602" i="1"/>
  <c r="P1602" i="1"/>
  <c r="S1601" i="1"/>
  <c r="R1601" i="1"/>
  <c r="Q1601" i="1"/>
  <c r="P1601" i="1"/>
  <c r="S1600" i="1"/>
  <c r="R1600" i="1"/>
  <c r="Q1600" i="1"/>
  <c r="P1600" i="1"/>
  <c r="S1599" i="1"/>
  <c r="R1599" i="1"/>
  <c r="Q1599" i="1"/>
  <c r="P1599" i="1"/>
  <c r="S1598" i="1"/>
  <c r="R1598" i="1"/>
  <c r="Q1598" i="1"/>
  <c r="P1598" i="1"/>
  <c r="S1597" i="1"/>
  <c r="R1597" i="1"/>
  <c r="Q1597" i="1"/>
  <c r="P1597" i="1"/>
  <c r="S1596" i="1"/>
  <c r="R1596" i="1"/>
  <c r="Q1596" i="1"/>
  <c r="P1596" i="1"/>
  <c r="S1595" i="1"/>
  <c r="R1595" i="1"/>
  <c r="Q1595" i="1"/>
  <c r="P1595" i="1"/>
  <c r="S1594" i="1"/>
  <c r="R1594" i="1"/>
  <c r="Q1594" i="1"/>
  <c r="P1594" i="1"/>
  <c r="S1593" i="1"/>
  <c r="R1593" i="1"/>
  <c r="Q1593" i="1"/>
  <c r="P1593" i="1"/>
  <c r="S1592" i="1"/>
  <c r="R1592" i="1"/>
  <c r="Q1592" i="1"/>
  <c r="P1592" i="1"/>
  <c r="S1591" i="1"/>
  <c r="R1591" i="1"/>
  <c r="Q1591" i="1"/>
  <c r="P1591" i="1"/>
  <c r="S1590" i="1"/>
  <c r="R1590" i="1"/>
  <c r="Q1590" i="1"/>
  <c r="P1590" i="1"/>
  <c r="S1589" i="1"/>
  <c r="R1589" i="1"/>
  <c r="Q1589" i="1"/>
  <c r="P1589" i="1"/>
  <c r="S1588" i="1"/>
  <c r="R1588" i="1"/>
  <c r="Q1588" i="1"/>
  <c r="P1588" i="1"/>
  <c r="S1587" i="1"/>
  <c r="R1587" i="1"/>
  <c r="Q1587" i="1"/>
  <c r="P1587" i="1"/>
  <c r="S1586" i="1"/>
  <c r="R1586" i="1"/>
  <c r="Q1586" i="1"/>
  <c r="P1586" i="1"/>
  <c r="S1585" i="1"/>
  <c r="R1585" i="1"/>
  <c r="Q1585" i="1"/>
  <c r="P1585" i="1"/>
  <c r="S1584" i="1"/>
  <c r="R1584" i="1"/>
  <c r="Q1584" i="1"/>
  <c r="P1584" i="1"/>
  <c r="S1583" i="1"/>
  <c r="R1583" i="1"/>
  <c r="Q1583" i="1"/>
  <c r="P1583" i="1"/>
  <c r="S1582" i="1"/>
  <c r="R1582" i="1"/>
  <c r="Q1582" i="1"/>
  <c r="P1582" i="1"/>
  <c r="S1581" i="1"/>
  <c r="R1581" i="1"/>
  <c r="Q1581" i="1"/>
  <c r="P1581" i="1"/>
  <c r="S1580" i="1"/>
  <c r="R1580" i="1"/>
  <c r="Q1580" i="1"/>
  <c r="P1580" i="1"/>
  <c r="S1579" i="1"/>
  <c r="R1579" i="1"/>
  <c r="Q1579" i="1"/>
  <c r="P1579" i="1"/>
  <c r="S1578" i="1"/>
  <c r="R1578" i="1"/>
  <c r="Q1578" i="1"/>
  <c r="P1578" i="1"/>
  <c r="S1577" i="1"/>
  <c r="R1577" i="1"/>
  <c r="Q1577" i="1"/>
  <c r="P1577" i="1"/>
  <c r="S1576" i="1"/>
  <c r="R1576" i="1"/>
  <c r="Q1576" i="1"/>
  <c r="P1576" i="1"/>
  <c r="S1575" i="1"/>
  <c r="R1575" i="1"/>
  <c r="Q1575" i="1"/>
  <c r="P1575" i="1"/>
  <c r="S1574" i="1"/>
  <c r="R1574" i="1"/>
  <c r="Q1574" i="1"/>
  <c r="P1574" i="1"/>
  <c r="S1573" i="1"/>
  <c r="R1573" i="1"/>
  <c r="Q1573" i="1"/>
  <c r="P1573" i="1"/>
  <c r="S1572" i="1"/>
  <c r="R1572" i="1"/>
  <c r="Q1572" i="1"/>
  <c r="P1572" i="1"/>
  <c r="S1571" i="1"/>
  <c r="R1571" i="1"/>
  <c r="Q1571" i="1"/>
  <c r="P1571" i="1"/>
  <c r="S1570" i="1"/>
  <c r="R1570" i="1"/>
  <c r="Q1570" i="1"/>
  <c r="P1570" i="1"/>
  <c r="S1569" i="1"/>
  <c r="R1569" i="1"/>
  <c r="Q1569" i="1"/>
  <c r="P1569" i="1"/>
  <c r="S1568" i="1"/>
  <c r="R1568" i="1"/>
  <c r="Q1568" i="1"/>
  <c r="P1568" i="1"/>
  <c r="S1567" i="1"/>
  <c r="R1567" i="1"/>
  <c r="Q1567" i="1"/>
  <c r="P1567" i="1"/>
  <c r="S1566" i="1"/>
  <c r="R1566" i="1"/>
  <c r="Q1566" i="1"/>
  <c r="P1566" i="1"/>
  <c r="S1565" i="1"/>
  <c r="R1565" i="1"/>
  <c r="Q1565" i="1"/>
  <c r="P1565" i="1"/>
  <c r="S1564" i="1"/>
  <c r="R1564" i="1"/>
  <c r="Q1564" i="1"/>
  <c r="P1564" i="1"/>
  <c r="S1563" i="1"/>
  <c r="R1563" i="1"/>
  <c r="Q1563" i="1"/>
  <c r="P1563" i="1"/>
  <c r="S1562" i="1"/>
  <c r="R1562" i="1"/>
  <c r="Q1562" i="1"/>
  <c r="P1562" i="1"/>
  <c r="S1561" i="1"/>
  <c r="R1561" i="1"/>
  <c r="Q1561" i="1"/>
  <c r="P1561" i="1"/>
  <c r="S1560" i="1"/>
  <c r="R1560" i="1"/>
  <c r="Q1560" i="1"/>
  <c r="P1560" i="1"/>
  <c r="S1559" i="1"/>
  <c r="R1559" i="1"/>
  <c r="Q1559" i="1"/>
  <c r="P1559" i="1"/>
  <c r="S1558" i="1"/>
  <c r="R1558" i="1"/>
  <c r="Q1558" i="1"/>
  <c r="P1558" i="1"/>
  <c r="S1557" i="1"/>
  <c r="R1557" i="1"/>
  <c r="Q1557" i="1"/>
  <c r="P1557" i="1"/>
  <c r="S1556" i="1"/>
  <c r="R1556" i="1"/>
  <c r="Q1556" i="1"/>
  <c r="P1556" i="1"/>
  <c r="S1555" i="1"/>
  <c r="R1555" i="1"/>
  <c r="Q1555" i="1"/>
  <c r="P1555" i="1"/>
  <c r="S1554" i="1"/>
  <c r="R1554" i="1"/>
  <c r="Q1554" i="1"/>
  <c r="P1554" i="1"/>
  <c r="S1553" i="1"/>
  <c r="R1553" i="1"/>
  <c r="Q1553" i="1"/>
  <c r="P1553" i="1"/>
  <c r="S1552" i="1"/>
  <c r="R1552" i="1"/>
  <c r="Q1552" i="1"/>
  <c r="P1552" i="1"/>
  <c r="S1551" i="1"/>
  <c r="R1551" i="1"/>
  <c r="Q1551" i="1"/>
  <c r="P1551" i="1"/>
  <c r="S1550" i="1"/>
  <c r="R1550" i="1"/>
  <c r="Q1550" i="1"/>
  <c r="P1550" i="1"/>
  <c r="S1549" i="1"/>
  <c r="R1549" i="1"/>
  <c r="Q1549" i="1"/>
  <c r="P1549" i="1"/>
  <c r="S1548" i="1"/>
  <c r="R1548" i="1"/>
  <c r="Q1548" i="1"/>
  <c r="P1548" i="1"/>
  <c r="S1547" i="1"/>
  <c r="R1547" i="1"/>
  <c r="Q1547" i="1"/>
  <c r="P1547" i="1"/>
  <c r="S1546" i="1"/>
  <c r="R1546" i="1"/>
  <c r="Q1546" i="1"/>
  <c r="P1546" i="1"/>
  <c r="S1545" i="1"/>
  <c r="R1545" i="1"/>
  <c r="Q1545" i="1"/>
  <c r="P1545" i="1"/>
  <c r="S1544" i="1"/>
  <c r="R1544" i="1"/>
  <c r="Q1544" i="1"/>
  <c r="P1544" i="1"/>
  <c r="S1543" i="1"/>
  <c r="R1543" i="1"/>
  <c r="Q1543" i="1"/>
  <c r="P1543" i="1"/>
  <c r="S1542" i="1"/>
  <c r="R1542" i="1"/>
  <c r="Q1542" i="1"/>
  <c r="P1542" i="1"/>
  <c r="S1541" i="1"/>
  <c r="R1541" i="1"/>
  <c r="Q1541" i="1"/>
  <c r="P1541" i="1"/>
  <c r="S1540" i="1"/>
  <c r="R1540" i="1"/>
  <c r="Q1540" i="1"/>
  <c r="P1540" i="1"/>
  <c r="S1539" i="1"/>
  <c r="R1539" i="1"/>
  <c r="Q1539" i="1"/>
  <c r="P1539" i="1"/>
  <c r="S1538" i="1"/>
  <c r="R1538" i="1"/>
  <c r="Q1538" i="1"/>
  <c r="P1538" i="1"/>
  <c r="S1537" i="1"/>
  <c r="R1537" i="1"/>
  <c r="Q1537" i="1"/>
  <c r="P1537" i="1"/>
  <c r="S1536" i="1"/>
  <c r="R1536" i="1"/>
  <c r="Q1536" i="1"/>
  <c r="P1536" i="1"/>
  <c r="S1535" i="1"/>
  <c r="R1535" i="1"/>
  <c r="Q1535" i="1"/>
  <c r="P1535" i="1"/>
  <c r="S1534" i="1"/>
  <c r="R1534" i="1"/>
  <c r="Q1534" i="1"/>
  <c r="P1534" i="1"/>
  <c r="S1533" i="1"/>
  <c r="R1533" i="1"/>
  <c r="Q1533" i="1"/>
  <c r="P1533" i="1"/>
  <c r="S1532" i="1"/>
  <c r="R1532" i="1"/>
  <c r="Q1532" i="1"/>
  <c r="P1532" i="1"/>
  <c r="S1531" i="1"/>
  <c r="R1531" i="1"/>
  <c r="Q1531" i="1"/>
  <c r="P1531" i="1"/>
  <c r="S1530" i="1"/>
  <c r="R1530" i="1"/>
  <c r="Q1530" i="1"/>
  <c r="P1530" i="1"/>
  <c r="S1529" i="1"/>
  <c r="R1529" i="1"/>
  <c r="Q1529" i="1"/>
  <c r="P1529" i="1"/>
  <c r="S1528" i="1"/>
  <c r="R1528" i="1"/>
  <c r="Q1528" i="1"/>
  <c r="P1528" i="1"/>
  <c r="S1527" i="1"/>
  <c r="R1527" i="1"/>
  <c r="Q1527" i="1"/>
  <c r="P1527" i="1"/>
  <c r="S1526" i="1"/>
  <c r="R1526" i="1"/>
  <c r="Q1526" i="1"/>
  <c r="P1526" i="1"/>
  <c r="S1525" i="1"/>
  <c r="R1525" i="1"/>
  <c r="Q1525" i="1"/>
  <c r="P1525" i="1"/>
  <c r="S1524" i="1"/>
  <c r="R1524" i="1"/>
  <c r="Q1524" i="1"/>
  <c r="P1524" i="1"/>
  <c r="S1523" i="1"/>
  <c r="R1523" i="1"/>
  <c r="Q1523" i="1"/>
  <c r="P1523" i="1"/>
  <c r="S1522" i="1"/>
  <c r="R1522" i="1"/>
  <c r="Q1522" i="1"/>
  <c r="P1522" i="1"/>
  <c r="S1521" i="1"/>
  <c r="R1521" i="1"/>
  <c r="Q1521" i="1"/>
  <c r="P1521" i="1"/>
  <c r="S1520" i="1"/>
  <c r="R1520" i="1"/>
  <c r="Q1520" i="1"/>
  <c r="P1520" i="1"/>
  <c r="S1519" i="1"/>
  <c r="R1519" i="1"/>
  <c r="Q1519" i="1"/>
  <c r="P1519" i="1"/>
  <c r="S1518" i="1"/>
  <c r="R1518" i="1"/>
  <c r="Q1518" i="1"/>
  <c r="P1518" i="1"/>
  <c r="S1517" i="1"/>
  <c r="R1517" i="1"/>
  <c r="Q1517" i="1"/>
  <c r="P1517" i="1"/>
  <c r="S1516" i="1"/>
  <c r="R1516" i="1"/>
  <c r="Q1516" i="1"/>
  <c r="P1516" i="1"/>
  <c r="S1515" i="1"/>
  <c r="R1515" i="1"/>
  <c r="Q1515" i="1"/>
  <c r="P1515" i="1"/>
  <c r="S1514" i="1"/>
  <c r="R1514" i="1"/>
  <c r="Q1514" i="1"/>
  <c r="P1514" i="1"/>
  <c r="S1513" i="1"/>
  <c r="R1513" i="1"/>
  <c r="Q1513" i="1"/>
  <c r="P1513" i="1"/>
  <c r="S1512" i="1"/>
  <c r="R1512" i="1"/>
  <c r="Q1512" i="1"/>
  <c r="P1512" i="1"/>
  <c r="S1511" i="1"/>
  <c r="R1511" i="1"/>
  <c r="Q1511" i="1"/>
  <c r="P1511" i="1"/>
  <c r="S1510" i="1"/>
  <c r="R1510" i="1"/>
  <c r="Q1510" i="1"/>
  <c r="P1510" i="1"/>
  <c r="S1509" i="1"/>
  <c r="R1509" i="1"/>
  <c r="Q1509" i="1"/>
  <c r="P1509" i="1"/>
  <c r="S1508" i="1"/>
  <c r="R1508" i="1"/>
  <c r="Q1508" i="1"/>
  <c r="P1508" i="1"/>
  <c r="S1507" i="1"/>
  <c r="R1507" i="1"/>
  <c r="Q1507" i="1"/>
  <c r="P1507" i="1"/>
  <c r="S1506" i="1"/>
  <c r="R1506" i="1"/>
  <c r="Q1506" i="1"/>
  <c r="P1506" i="1"/>
  <c r="S1505" i="1"/>
  <c r="R1505" i="1"/>
  <c r="Q1505" i="1"/>
  <c r="P1505" i="1"/>
  <c r="S1504" i="1"/>
  <c r="R1504" i="1"/>
  <c r="Q1504" i="1"/>
  <c r="P1504" i="1"/>
  <c r="S1503" i="1"/>
  <c r="R1503" i="1"/>
  <c r="Q1503" i="1"/>
  <c r="P1503" i="1"/>
  <c r="S1502" i="1"/>
  <c r="R1502" i="1"/>
  <c r="Q1502" i="1"/>
  <c r="P1502" i="1"/>
  <c r="S1501" i="1"/>
  <c r="R1501" i="1"/>
  <c r="Q1501" i="1"/>
  <c r="P1501" i="1"/>
  <c r="S1500" i="1"/>
  <c r="R1500" i="1"/>
  <c r="Q1500" i="1"/>
  <c r="P1500" i="1"/>
  <c r="S1499" i="1"/>
  <c r="R1499" i="1"/>
  <c r="Q1499" i="1"/>
  <c r="P1499" i="1"/>
  <c r="S1498" i="1"/>
  <c r="R1498" i="1"/>
  <c r="Q1498" i="1"/>
  <c r="P1498" i="1"/>
  <c r="S1497" i="1"/>
  <c r="R1497" i="1"/>
  <c r="Q1497" i="1"/>
  <c r="P1497" i="1"/>
  <c r="S1496" i="1"/>
  <c r="R1496" i="1"/>
  <c r="Q1496" i="1"/>
  <c r="P1496" i="1"/>
  <c r="S1495" i="1"/>
  <c r="R1495" i="1"/>
  <c r="Q1495" i="1"/>
  <c r="P1495" i="1"/>
  <c r="S1494" i="1"/>
  <c r="R1494" i="1"/>
  <c r="Q1494" i="1"/>
  <c r="P1494" i="1"/>
  <c r="S1493" i="1"/>
  <c r="R1493" i="1"/>
  <c r="Q1493" i="1"/>
  <c r="P1493" i="1"/>
  <c r="S1492" i="1"/>
  <c r="R1492" i="1"/>
  <c r="Q1492" i="1"/>
  <c r="P1492" i="1"/>
  <c r="S1491" i="1"/>
  <c r="R1491" i="1"/>
  <c r="Q1491" i="1"/>
  <c r="P1491" i="1"/>
  <c r="S1490" i="1"/>
  <c r="R1490" i="1"/>
  <c r="Q1490" i="1"/>
  <c r="P1490" i="1"/>
  <c r="S1489" i="1"/>
  <c r="R1489" i="1"/>
  <c r="Q1489" i="1"/>
  <c r="P1489" i="1"/>
  <c r="S1488" i="1"/>
  <c r="R1488" i="1"/>
  <c r="Q1488" i="1"/>
  <c r="P1488" i="1"/>
  <c r="S1487" i="1"/>
  <c r="R1487" i="1"/>
  <c r="Q1487" i="1"/>
  <c r="P1487" i="1"/>
  <c r="S1486" i="1"/>
  <c r="R1486" i="1"/>
  <c r="Q1486" i="1"/>
  <c r="P1486" i="1"/>
  <c r="S1485" i="1"/>
  <c r="R1485" i="1"/>
  <c r="Q1485" i="1"/>
  <c r="P1485" i="1"/>
  <c r="S1484" i="1"/>
  <c r="R1484" i="1"/>
  <c r="Q1484" i="1"/>
  <c r="P1484" i="1"/>
  <c r="S1483" i="1"/>
  <c r="R1483" i="1"/>
  <c r="Q1483" i="1"/>
  <c r="P1483" i="1"/>
  <c r="S1482" i="1"/>
  <c r="R1482" i="1"/>
  <c r="Q1482" i="1"/>
  <c r="P1482" i="1"/>
  <c r="S1481" i="1"/>
  <c r="R1481" i="1"/>
  <c r="Q1481" i="1"/>
  <c r="P1481" i="1"/>
  <c r="S1480" i="1"/>
  <c r="R1480" i="1"/>
  <c r="Q1480" i="1"/>
  <c r="P1480" i="1"/>
  <c r="S1479" i="1"/>
  <c r="R1479" i="1"/>
  <c r="Q1479" i="1"/>
  <c r="P1479" i="1"/>
  <c r="S1478" i="1"/>
  <c r="R1478" i="1"/>
  <c r="Q1478" i="1"/>
  <c r="P1478" i="1"/>
  <c r="S1477" i="1"/>
  <c r="R1477" i="1"/>
  <c r="Q1477" i="1"/>
  <c r="P1477" i="1"/>
  <c r="S1476" i="1"/>
  <c r="R1476" i="1"/>
  <c r="Q1476" i="1"/>
  <c r="P1476" i="1"/>
  <c r="S1475" i="1"/>
  <c r="R1475" i="1"/>
  <c r="Q1475" i="1"/>
  <c r="P1475" i="1"/>
  <c r="S1474" i="1"/>
  <c r="R1474" i="1"/>
  <c r="Q1474" i="1"/>
  <c r="P1474" i="1"/>
  <c r="S1473" i="1"/>
  <c r="R1473" i="1"/>
  <c r="Q1473" i="1"/>
  <c r="P1473" i="1"/>
  <c r="S1472" i="1"/>
  <c r="R1472" i="1"/>
  <c r="Q1472" i="1"/>
  <c r="P1472" i="1"/>
  <c r="S1471" i="1"/>
  <c r="R1471" i="1"/>
  <c r="Q1471" i="1"/>
  <c r="P1471" i="1"/>
  <c r="S1470" i="1"/>
  <c r="R1470" i="1"/>
  <c r="Q1470" i="1"/>
  <c r="P1470" i="1"/>
  <c r="S1469" i="1"/>
  <c r="R1469" i="1"/>
  <c r="Q1469" i="1"/>
  <c r="P1469" i="1"/>
  <c r="S1468" i="1"/>
  <c r="R1468" i="1"/>
  <c r="Q1468" i="1"/>
  <c r="P1468" i="1"/>
  <c r="S1467" i="1"/>
  <c r="R1467" i="1"/>
  <c r="Q1467" i="1"/>
  <c r="P1467" i="1"/>
  <c r="S1466" i="1"/>
  <c r="R1466" i="1"/>
  <c r="Q1466" i="1"/>
  <c r="P1466" i="1"/>
  <c r="S1465" i="1"/>
  <c r="R1465" i="1"/>
  <c r="Q1465" i="1"/>
  <c r="P1465" i="1"/>
  <c r="S1464" i="1"/>
  <c r="R1464" i="1"/>
  <c r="Q1464" i="1"/>
  <c r="P1464" i="1"/>
  <c r="S1463" i="1"/>
  <c r="R1463" i="1"/>
  <c r="Q1463" i="1"/>
  <c r="P1463" i="1"/>
  <c r="S1462" i="1"/>
  <c r="R1462" i="1"/>
  <c r="Q1462" i="1"/>
  <c r="P1462" i="1"/>
  <c r="S1461" i="1"/>
  <c r="R1461" i="1"/>
  <c r="Q1461" i="1"/>
  <c r="P1461" i="1"/>
  <c r="S1460" i="1"/>
  <c r="R1460" i="1"/>
  <c r="Q1460" i="1"/>
  <c r="P1460" i="1"/>
  <c r="S1459" i="1"/>
  <c r="R1459" i="1"/>
  <c r="Q1459" i="1"/>
  <c r="P1459" i="1"/>
  <c r="S1458" i="1"/>
  <c r="R1458" i="1"/>
  <c r="Q1458" i="1"/>
  <c r="P1458" i="1"/>
  <c r="S1457" i="1"/>
  <c r="R1457" i="1"/>
  <c r="Q1457" i="1"/>
  <c r="P1457" i="1"/>
  <c r="S1456" i="1"/>
  <c r="R1456" i="1"/>
  <c r="Q1456" i="1"/>
  <c r="P1456" i="1"/>
  <c r="S1455" i="1"/>
  <c r="R1455" i="1"/>
  <c r="Q1455" i="1"/>
  <c r="P1455" i="1"/>
  <c r="S1454" i="1"/>
  <c r="R1454" i="1"/>
  <c r="Q1454" i="1"/>
  <c r="P1454" i="1"/>
  <c r="S1453" i="1"/>
  <c r="R1453" i="1"/>
  <c r="Q1453" i="1"/>
  <c r="P1453" i="1"/>
  <c r="S1452" i="1"/>
  <c r="R1452" i="1"/>
  <c r="Q1452" i="1"/>
  <c r="P1452" i="1"/>
  <c r="S1451" i="1"/>
  <c r="R1451" i="1"/>
  <c r="Q1451" i="1"/>
  <c r="P1451" i="1"/>
  <c r="S1450" i="1"/>
  <c r="R1450" i="1"/>
  <c r="Q1450" i="1"/>
  <c r="P1450" i="1"/>
  <c r="S1449" i="1"/>
  <c r="R1449" i="1"/>
  <c r="Q1449" i="1"/>
  <c r="P1449" i="1"/>
  <c r="S1448" i="1"/>
  <c r="R1448" i="1"/>
  <c r="Q1448" i="1"/>
  <c r="P1448" i="1"/>
  <c r="S1447" i="1"/>
  <c r="R1447" i="1"/>
  <c r="Q1447" i="1"/>
  <c r="P1447" i="1"/>
  <c r="S1446" i="1"/>
  <c r="R1446" i="1"/>
  <c r="Q1446" i="1"/>
  <c r="P1446" i="1"/>
  <c r="S1445" i="1"/>
  <c r="R1445" i="1"/>
  <c r="Q1445" i="1"/>
  <c r="P1445" i="1"/>
  <c r="S1444" i="1"/>
  <c r="R1444" i="1"/>
  <c r="Q1444" i="1"/>
  <c r="P1444" i="1"/>
  <c r="S1443" i="1"/>
  <c r="R1443" i="1"/>
  <c r="Q1443" i="1"/>
  <c r="P1443" i="1"/>
  <c r="S1442" i="1"/>
  <c r="R1442" i="1"/>
  <c r="Q1442" i="1"/>
  <c r="P1442" i="1"/>
  <c r="S1441" i="1"/>
  <c r="R1441" i="1"/>
  <c r="Q1441" i="1"/>
  <c r="P1441" i="1"/>
  <c r="S1440" i="1"/>
  <c r="R1440" i="1"/>
  <c r="Q1440" i="1"/>
  <c r="P1440" i="1"/>
  <c r="S1439" i="1"/>
  <c r="R1439" i="1"/>
  <c r="Q1439" i="1"/>
  <c r="P1439" i="1"/>
  <c r="S1438" i="1"/>
  <c r="R1438" i="1"/>
  <c r="Q1438" i="1"/>
  <c r="P1438" i="1"/>
  <c r="S1437" i="1"/>
  <c r="R1437" i="1"/>
  <c r="Q1437" i="1"/>
  <c r="P1437" i="1"/>
  <c r="S1436" i="1"/>
  <c r="R1436" i="1"/>
  <c r="Q1436" i="1"/>
  <c r="P1436" i="1"/>
  <c r="S1435" i="1"/>
  <c r="R1435" i="1"/>
  <c r="Q1435" i="1"/>
  <c r="P1435" i="1"/>
  <c r="S1434" i="1"/>
  <c r="R1434" i="1"/>
  <c r="Q1434" i="1"/>
  <c r="P1434" i="1"/>
  <c r="S1433" i="1"/>
  <c r="R1433" i="1"/>
  <c r="Q1433" i="1"/>
  <c r="P1433" i="1"/>
  <c r="S1432" i="1"/>
  <c r="R1432" i="1"/>
  <c r="Q1432" i="1"/>
  <c r="P1432" i="1"/>
  <c r="S1431" i="1"/>
  <c r="R1431" i="1"/>
  <c r="Q1431" i="1"/>
  <c r="P1431" i="1"/>
  <c r="S1430" i="1"/>
  <c r="R1430" i="1"/>
  <c r="Q1430" i="1"/>
  <c r="P1430" i="1"/>
  <c r="S1429" i="1"/>
  <c r="R1429" i="1"/>
  <c r="Q1429" i="1"/>
  <c r="P1429" i="1"/>
  <c r="S1428" i="1"/>
  <c r="R1428" i="1"/>
  <c r="Q1428" i="1"/>
  <c r="P1428" i="1"/>
  <c r="S1427" i="1"/>
  <c r="R1427" i="1"/>
  <c r="Q1427" i="1"/>
  <c r="P1427" i="1"/>
  <c r="S1426" i="1"/>
  <c r="R1426" i="1"/>
  <c r="Q1426" i="1"/>
  <c r="P1426" i="1"/>
  <c r="S1425" i="1"/>
  <c r="R1425" i="1"/>
  <c r="Q1425" i="1"/>
  <c r="P1425" i="1"/>
  <c r="S1424" i="1"/>
  <c r="R1424" i="1"/>
  <c r="Q1424" i="1"/>
  <c r="P1424" i="1"/>
  <c r="S1423" i="1"/>
  <c r="R1423" i="1"/>
  <c r="Q1423" i="1"/>
  <c r="P1423" i="1"/>
  <c r="S1422" i="1"/>
  <c r="R1422" i="1"/>
  <c r="Q1422" i="1"/>
  <c r="P1422" i="1"/>
  <c r="S1421" i="1"/>
  <c r="R1421" i="1"/>
  <c r="Q1421" i="1"/>
  <c r="P1421" i="1"/>
  <c r="S1420" i="1"/>
  <c r="R1420" i="1"/>
  <c r="Q1420" i="1"/>
  <c r="P1420" i="1"/>
  <c r="S1419" i="1"/>
  <c r="R1419" i="1"/>
  <c r="Q1419" i="1"/>
  <c r="P1419" i="1"/>
  <c r="S1418" i="1"/>
  <c r="R1418" i="1"/>
  <c r="Q1418" i="1"/>
  <c r="P1418" i="1"/>
  <c r="S1417" i="1"/>
  <c r="R1417" i="1"/>
  <c r="Q1417" i="1"/>
  <c r="P1417" i="1"/>
  <c r="S1416" i="1"/>
  <c r="R1416" i="1"/>
  <c r="Q1416" i="1"/>
  <c r="P1416" i="1"/>
  <c r="S1415" i="1"/>
  <c r="R1415" i="1"/>
  <c r="Q1415" i="1"/>
  <c r="P1415" i="1"/>
  <c r="S1414" i="1"/>
  <c r="R1414" i="1"/>
  <c r="Q1414" i="1"/>
  <c r="P1414" i="1"/>
  <c r="S1413" i="1"/>
  <c r="R1413" i="1"/>
  <c r="Q1413" i="1"/>
  <c r="P1413" i="1"/>
  <c r="S1412" i="1"/>
  <c r="R1412" i="1"/>
  <c r="Q1412" i="1"/>
  <c r="P1412" i="1"/>
  <c r="S1411" i="1"/>
  <c r="R1411" i="1"/>
  <c r="Q1411" i="1"/>
  <c r="P1411" i="1"/>
  <c r="S1410" i="1"/>
  <c r="R1410" i="1"/>
  <c r="Q1410" i="1"/>
  <c r="P1410" i="1"/>
  <c r="S1409" i="1"/>
  <c r="R1409" i="1"/>
  <c r="Q1409" i="1"/>
  <c r="P1409" i="1"/>
  <c r="S1408" i="1"/>
  <c r="R1408" i="1"/>
  <c r="Q1408" i="1"/>
  <c r="P1408" i="1"/>
  <c r="S1407" i="1"/>
  <c r="R1407" i="1"/>
  <c r="Q1407" i="1"/>
  <c r="P1407" i="1"/>
  <c r="S1406" i="1"/>
  <c r="R1406" i="1"/>
  <c r="Q1406" i="1"/>
  <c r="P1406" i="1"/>
  <c r="S1405" i="1"/>
  <c r="R1405" i="1"/>
  <c r="Q1405" i="1"/>
  <c r="P1405" i="1"/>
  <c r="S1404" i="1"/>
  <c r="R1404" i="1"/>
  <c r="Q1404" i="1"/>
  <c r="P1404" i="1"/>
  <c r="S1403" i="1"/>
  <c r="R1403" i="1"/>
  <c r="Q1403" i="1"/>
  <c r="P1403" i="1"/>
  <c r="S1402" i="1"/>
  <c r="R1402" i="1"/>
  <c r="Q1402" i="1"/>
  <c r="P1402" i="1"/>
  <c r="S1401" i="1"/>
  <c r="R1401" i="1"/>
  <c r="Q1401" i="1"/>
  <c r="P1401" i="1"/>
  <c r="S1400" i="1"/>
  <c r="R1400" i="1"/>
  <c r="Q1400" i="1"/>
  <c r="P1400" i="1"/>
  <c r="S1399" i="1"/>
  <c r="R1399" i="1"/>
  <c r="Q1399" i="1"/>
  <c r="P1399" i="1"/>
  <c r="S1398" i="1"/>
  <c r="R1398" i="1"/>
  <c r="Q1398" i="1"/>
  <c r="P1398" i="1"/>
  <c r="S1397" i="1"/>
  <c r="R1397" i="1"/>
  <c r="Q1397" i="1"/>
  <c r="P1397" i="1"/>
  <c r="S1396" i="1"/>
  <c r="R1396" i="1"/>
  <c r="Q1396" i="1"/>
  <c r="P1396" i="1"/>
  <c r="S1395" i="1"/>
  <c r="R1395" i="1"/>
  <c r="Q1395" i="1"/>
  <c r="P1395" i="1"/>
  <c r="S1394" i="1"/>
  <c r="R1394" i="1"/>
  <c r="Q1394" i="1"/>
  <c r="P1394" i="1"/>
  <c r="S1393" i="1"/>
  <c r="R1393" i="1"/>
  <c r="Q1393" i="1"/>
  <c r="P1393" i="1"/>
  <c r="S1392" i="1"/>
  <c r="R1392" i="1"/>
  <c r="Q1392" i="1"/>
  <c r="P1392" i="1"/>
  <c r="S1391" i="1"/>
  <c r="R1391" i="1"/>
  <c r="Q1391" i="1"/>
  <c r="P1391" i="1"/>
  <c r="S1390" i="1"/>
  <c r="R1390" i="1"/>
  <c r="Q1390" i="1"/>
  <c r="P1390" i="1"/>
  <c r="S1389" i="1"/>
  <c r="R1389" i="1"/>
  <c r="Q1389" i="1"/>
  <c r="P1389" i="1"/>
  <c r="S1388" i="1"/>
  <c r="R1388" i="1"/>
  <c r="Q1388" i="1"/>
  <c r="P1388" i="1"/>
  <c r="S1387" i="1"/>
  <c r="R1387" i="1"/>
  <c r="Q1387" i="1"/>
  <c r="P1387" i="1"/>
  <c r="S1386" i="1"/>
  <c r="R1386" i="1"/>
  <c r="Q1386" i="1"/>
  <c r="P1386" i="1"/>
  <c r="S1385" i="1"/>
  <c r="R1385" i="1"/>
  <c r="Q1385" i="1"/>
  <c r="P1385" i="1"/>
  <c r="S1384" i="1"/>
  <c r="R1384" i="1"/>
  <c r="Q1384" i="1"/>
  <c r="P1384" i="1"/>
  <c r="S1383" i="1"/>
  <c r="R1383" i="1"/>
  <c r="Q1383" i="1"/>
  <c r="P1383" i="1"/>
  <c r="S1382" i="1"/>
  <c r="R1382" i="1"/>
  <c r="Q1382" i="1"/>
  <c r="P1382" i="1"/>
  <c r="S1381" i="1"/>
  <c r="R1381" i="1"/>
  <c r="Q1381" i="1"/>
  <c r="P1381" i="1"/>
  <c r="S1380" i="1"/>
  <c r="R1380" i="1"/>
  <c r="Q1380" i="1"/>
  <c r="P1380" i="1"/>
  <c r="S1379" i="1"/>
  <c r="R1379" i="1"/>
  <c r="Q1379" i="1"/>
  <c r="P1379" i="1"/>
  <c r="S1378" i="1"/>
  <c r="R1378" i="1"/>
  <c r="Q1378" i="1"/>
  <c r="P1378" i="1"/>
  <c r="S1377" i="1"/>
  <c r="R1377" i="1"/>
  <c r="Q1377" i="1"/>
  <c r="P1377" i="1"/>
  <c r="S1376" i="1"/>
  <c r="R1376" i="1"/>
  <c r="Q1376" i="1"/>
  <c r="P1376" i="1"/>
  <c r="S1375" i="1"/>
  <c r="R1375" i="1"/>
  <c r="Q1375" i="1"/>
  <c r="P1375" i="1"/>
  <c r="S1374" i="1"/>
  <c r="R1374" i="1"/>
  <c r="Q1374" i="1"/>
  <c r="P1374" i="1"/>
  <c r="S1373" i="1"/>
  <c r="R1373" i="1"/>
  <c r="Q1373" i="1"/>
  <c r="P1373" i="1"/>
  <c r="S1372" i="1"/>
  <c r="R1372" i="1"/>
  <c r="Q1372" i="1"/>
  <c r="P1372" i="1"/>
  <c r="S1371" i="1"/>
  <c r="R1371" i="1"/>
  <c r="Q1371" i="1"/>
  <c r="P1371" i="1"/>
  <c r="S1370" i="1"/>
  <c r="R1370" i="1"/>
  <c r="Q1370" i="1"/>
  <c r="P1370" i="1"/>
  <c r="S1369" i="1"/>
  <c r="R1369" i="1"/>
  <c r="Q1369" i="1"/>
  <c r="P1369" i="1"/>
  <c r="S1368" i="1"/>
  <c r="R1368" i="1"/>
  <c r="Q1368" i="1"/>
  <c r="P1368" i="1"/>
  <c r="S1367" i="1"/>
  <c r="R1367" i="1"/>
  <c r="Q1367" i="1"/>
  <c r="P1367" i="1"/>
  <c r="S1366" i="1"/>
  <c r="R1366" i="1"/>
  <c r="Q1366" i="1"/>
  <c r="P1366" i="1"/>
  <c r="S1365" i="1"/>
  <c r="R1365" i="1"/>
  <c r="Q1365" i="1"/>
  <c r="P1365" i="1"/>
  <c r="S1364" i="1"/>
  <c r="R1364" i="1"/>
  <c r="Q1364" i="1"/>
  <c r="P1364" i="1"/>
  <c r="S1363" i="1"/>
  <c r="R1363" i="1"/>
  <c r="Q1363" i="1"/>
  <c r="P1363" i="1"/>
  <c r="S1362" i="1"/>
  <c r="R1362" i="1"/>
  <c r="Q1362" i="1"/>
  <c r="P1362" i="1"/>
  <c r="S1361" i="1"/>
  <c r="R1361" i="1"/>
  <c r="Q1361" i="1"/>
  <c r="P1361" i="1"/>
  <c r="S1360" i="1"/>
  <c r="R1360" i="1"/>
  <c r="Q1360" i="1"/>
  <c r="P1360" i="1"/>
  <c r="S1359" i="1"/>
  <c r="R1359" i="1"/>
  <c r="Q1359" i="1"/>
  <c r="P1359" i="1"/>
  <c r="S1358" i="1"/>
  <c r="R1358" i="1"/>
  <c r="Q1358" i="1"/>
  <c r="P1358" i="1"/>
  <c r="S1357" i="1"/>
  <c r="R1357" i="1"/>
  <c r="Q1357" i="1"/>
  <c r="P1357" i="1"/>
  <c r="S1356" i="1"/>
  <c r="R1356" i="1"/>
  <c r="Q1356" i="1"/>
  <c r="P1356" i="1"/>
  <c r="S1355" i="1"/>
  <c r="R1355" i="1"/>
  <c r="Q1355" i="1"/>
  <c r="P1355" i="1"/>
  <c r="S1354" i="1"/>
  <c r="R1354" i="1"/>
  <c r="Q1354" i="1"/>
  <c r="P1354" i="1"/>
  <c r="S1353" i="1"/>
  <c r="R1353" i="1"/>
  <c r="Q1353" i="1"/>
  <c r="P1353" i="1"/>
  <c r="S1352" i="1"/>
  <c r="R1352" i="1"/>
  <c r="Q1352" i="1"/>
  <c r="P1352" i="1"/>
  <c r="S1351" i="1"/>
  <c r="R1351" i="1"/>
  <c r="Q1351" i="1"/>
  <c r="P1351" i="1"/>
  <c r="S1350" i="1"/>
  <c r="R1350" i="1"/>
  <c r="Q1350" i="1"/>
  <c r="P1350" i="1"/>
  <c r="S1349" i="1"/>
  <c r="R1349" i="1"/>
  <c r="Q1349" i="1"/>
  <c r="P1349" i="1"/>
  <c r="S1348" i="1"/>
  <c r="R1348" i="1"/>
  <c r="Q1348" i="1"/>
  <c r="P1348" i="1"/>
  <c r="S1347" i="1"/>
  <c r="R1347" i="1"/>
  <c r="Q1347" i="1"/>
  <c r="P1347" i="1"/>
  <c r="S1346" i="1"/>
  <c r="R1346" i="1"/>
  <c r="Q1346" i="1"/>
  <c r="P1346" i="1"/>
  <c r="S1345" i="1"/>
  <c r="R1345" i="1"/>
  <c r="Q1345" i="1"/>
  <c r="P1345" i="1"/>
  <c r="S1344" i="1"/>
  <c r="R1344" i="1"/>
  <c r="Q1344" i="1"/>
  <c r="P1344" i="1"/>
  <c r="S1343" i="1"/>
  <c r="R1343" i="1"/>
  <c r="Q1343" i="1"/>
  <c r="P1343" i="1"/>
  <c r="S1342" i="1"/>
  <c r="R1342" i="1"/>
  <c r="Q1342" i="1"/>
  <c r="P1342" i="1"/>
  <c r="S1341" i="1"/>
  <c r="R1341" i="1"/>
  <c r="Q1341" i="1"/>
  <c r="P1341" i="1"/>
  <c r="S1340" i="1"/>
  <c r="R1340" i="1"/>
  <c r="Q1340" i="1"/>
  <c r="P1340" i="1"/>
  <c r="S1339" i="1"/>
  <c r="R1339" i="1"/>
  <c r="Q1339" i="1"/>
  <c r="P1339" i="1"/>
  <c r="S1338" i="1"/>
  <c r="R1338" i="1"/>
  <c r="Q1338" i="1"/>
  <c r="P1338" i="1"/>
  <c r="S1337" i="1"/>
  <c r="R1337" i="1"/>
  <c r="Q1337" i="1"/>
  <c r="P1337" i="1"/>
  <c r="S1336" i="1"/>
  <c r="R1336" i="1"/>
  <c r="Q1336" i="1"/>
  <c r="P1336" i="1"/>
  <c r="S1335" i="1"/>
  <c r="R1335" i="1"/>
  <c r="Q1335" i="1"/>
  <c r="P1335" i="1"/>
  <c r="S1334" i="1"/>
  <c r="R1334" i="1"/>
  <c r="Q1334" i="1"/>
  <c r="P1334" i="1"/>
  <c r="S1333" i="1"/>
  <c r="R1333" i="1"/>
  <c r="Q1333" i="1"/>
  <c r="P1333" i="1"/>
  <c r="S1332" i="1"/>
  <c r="R1332" i="1"/>
  <c r="Q1332" i="1"/>
  <c r="P1332" i="1"/>
  <c r="S1331" i="1"/>
  <c r="R1331" i="1"/>
  <c r="Q1331" i="1"/>
  <c r="P1331" i="1"/>
  <c r="S1330" i="1"/>
  <c r="R1330" i="1"/>
  <c r="Q1330" i="1"/>
  <c r="P1330" i="1"/>
  <c r="S1329" i="1"/>
  <c r="R1329" i="1"/>
  <c r="Q1329" i="1"/>
  <c r="P1329" i="1"/>
  <c r="S1328" i="1"/>
  <c r="R1328" i="1"/>
  <c r="Q1328" i="1"/>
  <c r="P1328" i="1"/>
  <c r="S1327" i="1"/>
  <c r="R1327" i="1"/>
  <c r="Q1327" i="1"/>
  <c r="P1327" i="1"/>
  <c r="S1326" i="1"/>
  <c r="R1326" i="1"/>
  <c r="Q1326" i="1"/>
  <c r="P1326" i="1"/>
  <c r="S1325" i="1"/>
  <c r="R1325" i="1"/>
  <c r="Q1325" i="1"/>
  <c r="P1325" i="1"/>
  <c r="S1324" i="1"/>
  <c r="R1324" i="1"/>
  <c r="Q1324" i="1"/>
  <c r="P1324" i="1"/>
  <c r="S1323" i="1"/>
  <c r="R1323" i="1"/>
  <c r="Q1323" i="1"/>
  <c r="P1323" i="1"/>
  <c r="S1322" i="1"/>
  <c r="R1322" i="1"/>
  <c r="Q1322" i="1"/>
  <c r="P1322" i="1"/>
  <c r="S1321" i="1"/>
  <c r="R1321" i="1"/>
  <c r="Q1321" i="1"/>
  <c r="P1321" i="1"/>
  <c r="S1320" i="1"/>
  <c r="R1320" i="1"/>
  <c r="Q1320" i="1"/>
  <c r="P1320" i="1"/>
  <c r="S1319" i="1"/>
  <c r="R1319" i="1"/>
  <c r="Q1319" i="1"/>
  <c r="P1319" i="1"/>
  <c r="S1318" i="1"/>
  <c r="R1318" i="1"/>
  <c r="Q1318" i="1"/>
  <c r="P1318" i="1"/>
  <c r="S1317" i="1"/>
  <c r="R1317" i="1"/>
  <c r="Q1317" i="1"/>
  <c r="P1317" i="1"/>
  <c r="S1316" i="1"/>
  <c r="R1316" i="1"/>
  <c r="Q1316" i="1"/>
  <c r="P1316" i="1"/>
  <c r="S1315" i="1"/>
  <c r="R1315" i="1"/>
  <c r="Q1315" i="1"/>
  <c r="P1315" i="1"/>
  <c r="S1314" i="1"/>
  <c r="R1314" i="1"/>
  <c r="Q1314" i="1"/>
  <c r="P1314" i="1"/>
  <c r="S1313" i="1"/>
  <c r="R1313" i="1"/>
  <c r="Q1313" i="1"/>
  <c r="P1313" i="1"/>
  <c r="S1312" i="1"/>
  <c r="R1312" i="1"/>
  <c r="Q1312" i="1"/>
  <c r="P1312" i="1"/>
  <c r="S1311" i="1"/>
  <c r="R1311" i="1"/>
  <c r="Q1311" i="1"/>
  <c r="P1311" i="1"/>
  <c r="S1310" i="1"/>
  <c r="R1310" i="1"/>
  <c r="Q1310" i="1"/>
  <c r="P1310" i="1"/>
  <c r="S1309" i="1"/>
  <c r="R1309" i="1"/>
  <c r="Q1309" i="1"/>
  <c r="P1309" i="1"/>
  <c r="S1308" i="1"/>
  <c r="R1308" i="1"/>
  <c r="Q1308" i="1"/>
  <c r="P1308" i="1"/>
  <c r="S1307" i="1"/>
  <c r="R1307" i="1"/>
  <c r="Q1307" i="1"/>
  <c r="P1307" i="1"/>
  <c r="S1306" i="1"/>
  <c r="R1306" i="1"/>
  <c r="Q1306" i="1"/>
  <c r="P1306" i="1"/>
  <c r="S1305" i="1"/>
  <c r="R1305" i="1"/>
  <c r="Q1305" i="1"/>
  <c r="P1305" i="1"/>
  <c r="S1304" i="1"/>
  <c r="R1304" i="1"/>
  <c r="Q1304" i="1"/>
  <c r="P1304" i="1"/>
  <c r="S1303" i="1"/>
  <c r="R1303" i="1"/>
  <c r="Q1303" i="1"/>
  <c r="P1303" i="1"/>
  <c r="S1302" i="1"/>
  <c r="R1302" i="1"/>
  <c r="Q1302" i="1"/>
  <c r="P1302" i="1"/>
  <c r="S1301" i="1"/>
  <c r="R1301" i="1"/>
  <c r="Q1301" i="1"/>
  <c r="P1301" i="1"/>
  <c r="S1300" i="1"/>
  <c r="R1300" i="1"/>
  <c r="Q1300" i="1"/>
  <c r="P1300" i="1"/>
  <c r="S1299" i="1"/>
  <c r="R1299" i="1"/>
  <c r="Q1299" i="1"/>
  <c r="P1299" i="1"/>
  <c r="S1298" i="1"/>
  <c r="R1298" i="1"/>
  <c r="Q1298" i="1"/>
  <c r="P1298" i="1"/>
  <c r="S1297" i="1"/>
  <c r="R1297" i="1"/>
  <c r="Q1297" i="1"/>
  <c r="P1297" i="1"/>
  <c r="S1296" i="1"/>
  <c r="R1296" i="1"/>
  <c r="Q1296" i="1"/>
  <c r="P1296" i="1"/>
  <c r="S1295" i="1"/>
  <c r="R1295" i="1"/>
  <c r="Q1295" i="1"/>
  <c r="P1295" i="1"/>
  <c r="S1294" i="1"/>
  <c r="R1294" i="1"/>
  <c r="Q1294" i="1"/>
  <c r="P1294" i="1"/>
  <c r="S1293" i="1"/>
  <c r="R1293" i="1"/>
  <c r="Q1293" i="1"/>
  <c r="P1293" i="1"/>
  <c r="S1292" i="1"/>
  <c r="R1292" i="1"/>
  <c r="Q1292" i="1"/>
  <c r="P1292" i="1"/>
  <c r="S1291" i="1"/>
  <c r="R1291" i="1"/>
  <c r="Q1291" i="1"/>
  <c r="P1291" i="1"/>
  <c r="S1290" i="1"/>
  <c r="R1290" i="1"/>
  <c r="Q1290" i="1"/>
  <c r="P1290" i="1"/>
  <c r="S1289" i="1"/>
  <c r="R1289" i="1"/>
  <c r="Q1289" i="1"/>
  <c r="P1289" i="1"/>
  <c r="S1288" i="1"/>
  <c r="R1288" i="1"/>
  <c r="Q1288" i="1"/>
  <c r="P1288" i="1"/>
  <c r="S1287" i="1"/>
  <c r="R1287" i="1"/>
  <c r="Q1287" i="1"/>
  <c r="P1287" i="1"/>
  <c r="S1286" i="1"/>
  <c r="R1286" i="1"/>
  <c r="Q1286" i="1"/>
  <c r="P1286" i="1"/>
  <c r="S1285" i="1"/>
  <c r="R1285" i="1"/>
  <c r="Q1285" i="1"/>
  <c r="P1285" i="1"/>
  <c r="S1284" i="1"/>
  <c r="R1284" i="1"/>
  <c r="Q1284" i="1"/>
  <c r="P1284" i="1"/>
  <c r="S1283" i="1"/>
  <c r="R1283" i="1"/>
  <c r="Q1283" i="1"/>
  <c r="P1283" i="1"/>
  <c r="S1282" i="1"/>
  <c r="R1282" i="1"/>
  <c r="Q1282" i="1"/>
  <c r="P1282" i="1"/>
  <c r="S1281" i="1"/>
  <c r="R1281" i="1"/>
  <c r="Q1281" i="1"/>
  <c r="P1281" i="1"/>
  <c r="S1280" i="1"/>
  <c r="R1280" i="1"/>
  <c r="Q1280" i="1"/>
  <c r="P1280" i="1"/>
  <c r="S1279" i="1"/>
  <c r="R1279" i="1"/>
  <c r="Q1279" i="1"/>
  <c r="P1279" i="1"/>
  <c r="S1278" i="1"/>
  <c r="R1278" i="1"/>
  <c r="Q1278" i="1"/>
  <c r="P1278" i="1"/>
  <c r="S1277" i="1"/>
  <c r="R1277" i="1"/>
  <c r="Q1277" i="1"/>
  <c r="P1277" i="1"/>
  <c r="S1276" i="1"/>
  <c r="R1276" i="1"/>
  <c r="Q1276" i="1"/>
  <c r="P1276" i="1"/>
  <c r="S1275" i="1"/>
  <c r="R1275" i="1"/>
  <c r="Q1275" i="1"/>
  <c r="P1275" i="1"/>
  <c r="S1274" i="1"/>
  <c r="R1274" i="1"/>
  <c r="Q1274" i="1"/>
  <c r="P1274" i="1"/>
  <c r="S1273" i="1"/>
  <c r="R1273" i="1"/>
  <c r="Q1273" i="1"/>
  <c r="P1273" i="1"/>
  <c r="S1272" i="1"/>
  <c r="R1272" i="1"/>
  <c r="Q1272" i="1"/>
  <c r="P1272" i="1"/>
  <c r="S1271" i="1"/>
  <c r="R1271" i="1"/>
  <c r="Q1271" i="1"/>
  <c r="P1271" i="1"/>
  <c r="S1270" i="1"/>
  <c r="R1270" i="1"/>
  <c r="Q1270" i="1"/>
  <c r="P1270" i="1"/>
  <c r="S1269" i="1"/>
  <c r="R1269" i="1"/>
  <c r="Q1269" i="1"/>
  <c r="P1269" i="1"/>
  <c r="S1268" i="1"/>
  <c r="R1268" i="1"/>
  <c r="Q1268" i="1"/>
  <c r="P1268" i="1"/>
  <c r="S1267" i="1"/>
  <c r="R1267" i="1"/>
  <c r="Q1267" i="1"/>
  <c r="P1267" i="1"/>
  <c r="S1266" i="1"/>
  <c r="R1266" i="1"/>
  <c r="Q1266" i="1"/>
  <c r="P1266" i="1"/>
  <c r="S1265" i="1"/>
  <c r="R1265" i="1"/>
  <c r="Q1265" i="1"/>
  <c r="P1265" i="1"/>
  <c r="S1264" i="1"/>
  <c r="R1264" i="1"/>
  <c r="Q1264" i="1"/>
  <c r="P1264" i="1"/>
  <c r="S1263" i="1"/>
  <c r="R1263" i="1"/>
  <c r="Q1263" i="1"/>
  <c r="P1263" i="1"/>
  <c r="S1262" i="1"/>
  <c r="R1262" i="1"/>
  <c r="Q1262" i="1"/>
  <c r="P1262" i="1"/>
  <c r="S1261" i="1"/>
  <c r="R1261" i="1"/>
  <c r="Q1261" i="1"/>
  <c r="P1261" i="1"/>
  <c r="S1260" i="1"/>
  <c r="R1260" i="1"/>
  <c r="Q1260" i="1"/>
  <c r="P1260" i="1"/>
  <c r="S1259" i="1"/>
  <c r="R1259" i="1"/>
  <c r="Q1259" i="1"/>
  <c r="P1259" i="1"/>
  <c r="S1258" i="1"/>
  <c r="R1258" i="1"/>
  <c r="Q1258" i="1"/>
  <c r="P1258" i="1"/>
  <c r="S1257" i="1"/>
  <c r="R1257" i="1"/>
  <c r="Q1257" i="1"/>
  <c r="P1257" i="1"/>
  <c r="S1256" i="1"/>
  <c r="R1256" i="1"/>
  <c r="Q1256" i="1"/>
  <c r="P1256" i="1"/>
  <c r="S1255" i="1"/>
  <c r="R1255" i="1"/>
  <c r="Q1255" i="1"/>
  <c r="P1255" i="1"/>
  <c r="S1254" i="1"/>
  <c r="R1254" i="1"/>
  <c r="Q1254" i="1"/>
  <c r="P1254" i="1"/>
  <c r="S1253" i="1"/>
  <c r="R1253" i="1"/>
  <c r="Q1253" i="1"/>
  <c r="P1253" i="1"/>
  <c r="S1252" i="1"/>
  <c r="R1252" i="1"/>
  <c r="Q1252" i="1"/>
  <c r="P1252" i="1"/>
  <c r="S1251" i="1"/>
  <c r="R1251" i="1"/>
  <c r="Q1251" i="1"/>
  <c r="P1251" i="1"/>
  <c r="S1250" i="1"/>
  <c r="R1250" i="1"/>
  <c r="Q1250" i="1"/>
  <c r="P1250" i="1"/>
  <c r="S1249" i="1"/>
  <c r="R1249" i="1"/>
  <c r="Q1249" i="1"/>
  <c r="P1249" i="1"/>
  <c r="S1248" i="1"/>
  <c r="R1248" i="1"/>
  <c r="Q1248" i="1"/>
  <c r="P1248" i="1"/>
  <c r="S1247" i="1"/>
  <c r="R1247" i="1"/>
  <c r="Q1247" i="1"/>
  <c r="P1247" i="1"/>
  <c r="S1246" i="1"/>
  <c r="R1246" i="1"/>
  <c r="Q1246" i="1"/>
  <c r="P1246" i="1"/>
  <c r="S1245" i="1"/>
  <c r="R1245" i="1"/>
  <c r="Q1245" i="1"/>
  <c r="P1245" i="1"/>
  <c r="S1244" i="1"/>
  <c r="R1244" i="1"/>
  <c r="Q1244" i="1"/>
  <c r="P1244" i="1"/>
  <c r="S1243" i="1"/>
  <c r="R1243" i="1"/>
  <c r="Q1243" i="1"/>
  <c r="P1243" i="1"/>
  <c r="S1242" i="1"/>
  <c r="R1242" i="1"/>
  <c r="Q1242" i="1"/>
  <c r="P1242" i="1"/>
  <c r="S1241" i="1"/>
  <c r="R1241" i="1"/>
  <c r="Q1241" i="1"/>
  <c r="P1241" i="1"/>
  <c r="S1240" i="1"/>
  <c r="R1240" i="1"/>
  <c r="Q1240" i="1"/>
  <c r="P1240" i="1"/>
  <c r="S1239" i="1"/>
  <c r="R1239" i="1"/>
  <c r="Q1239" i="1"/>
  <c r="P1239" i="1"/>
  <c r="S1238" i="1"/>
  <c r="R1238" i="1"/>
  <c r="Q1238" i="1"/>
  <c r="P1238" i="1"/>
  <c r="S1237" i="1"/>
  <c r="R1237" i="1"/>
  <c r="Q1237" i="1"/>
  <c r="P1237" i="1"/>
  <c r="S1236" i="1"/>
  <c r="R1236" i="1"/>
  <c r="Q1236" i="1"/>
  <c r="P1236" i="1"/>
  <c r="S1235" i="1"/>
  <c r="R1235" i="1"/>
  <c r="Q1235" i="1"/>
  <c r="P1235" i="1"/>
  <c r="S1234" i="1"/>
  <c r="R1234" i="1"/>
  <c r="Q1234" i="1"/>
  <c r="P1234" i="1"/>
  <c r="S1233" i="1"/>
  <c r="R1233" i="1"/>
  <c r="Q1233" i="1"/>
  <c r="P1233" i="1"/>
  <c r="S1232" i="1"/>
  <c r="R1232" i="1"/>
  <c r="Q1232" i="1"/>
  <c r="P1232" i="1"/>
  <c r="S1231" i="1"/>
  <c r="R1231" i="1"/>
  <c r="Q1231" i="1"/>
  <c r="P1231" i="1"/>
  <c r="S1230" i="1"/>
  <c r="R1230" i="1"/>
  <c r="Q1230" i="1"/>
  <c r="P1230" i="1"/>
  <c r="S1229" i="1"/>
  <c r="R1229" i="1"/>
  <c r="Q1229" i="1"/>
  <c r="P1229" i="1"/>
  <c r="S1228" i="1"/>
  <c r="R1228" i="1"/>
  <c r="Q1228" i="1"/>
  <c r="P1228" i="1"/>
  <c r="S1227" i="1"/>
  <c r="R1227" i="1"/>
  <c r="Q1227" i="1"/>
  <c r="P1227" i="1"/>
  <c r="S1226" i="1"/>
  <c r="R1226" i="1"/>
  <c r="Q1226" i="1"/>
  <c r="P1226" i="1"/>
  <c r="S1225" i="1"/>
  <c r="R1225" i="1"/>
  <c r="Q1225" i="1"/>
  <c r="P1225" i="1"/>
  <c r="S1224" i="1"/>
  <c r="R1224" i="1"/>
  <c r="Q1224" i="1"/>
  <c r="P1224" i="1"/>
  <c r="S1223" i="1"/>
  <c r="R1223" i="1"/>
  <c r="Q1223" i="1"/>
  <c r="P1223" i="1"/>
  <c r="S1222" i="1"/>
  <c r="R1222" i="1"/>
  <c r="Q1222" i="1"/>
  <c r="P1222" i="1"/>
  <c r="S1221" i="1"/>
  <c r="R1221" i="1"/>
  <c r="Q1221" i="1"/>
  <c r="P1221" i="1"/>
  <c r="S1220" i="1"/>
  <c r="R1220" i="1"/>
  <c r="Q1220" i="1"/>
  <c r="P1220" i="1"/>
  <c r="S1219" i="1"/>
  <c r="R1219" i="1"/>
  <c r="Q1219" i="1"/>
  <c r="P1219" i="1"/>
  <c r="S1218" i="1"/>
  <c r="R1218" i="1"/>
  <c r="Q1218" i="1"/>
  <c r="P1218" i="1"/>
  <c r="S1217" i="1"/>
  <c r="R1217" i="1"/>
  <c r="Q1217" i="1"/>
  <c r="P1217" i="1"/>
  <c r="S1216" i="1"/>
  <c r="R1216" i="1"/>
  <c r="Q1216" i="1"/>
  <c r="P1216" i="1"/>
  <c r="S1215" i="1"/>
  <c r="R1215" i="1"/>
  <c r="Q1215" i="1"/>
  <c r="P1215" i="1"/>
  <c r="S1214" i="1"/>
  <c r="R1214" i="1"/>
  <c r="Q1214" i="1"/>
  <c r="P1214" i="1"/>
  <c r="S1213" i="1"/>
  <c r="R1213" i="1"/>
  <c r="Q1213" i="1"/>
  <c r="P1213" i="1"/>
  <c r="S1212" i="1"/>
  <c r="R1212" i="1"/>
  <c r="Q1212" i="1"/>
  <c r="P1212" i="1"/>
  <c r="S1211" i="1"/>
  <c r="R1211" i="1"/>
  <c r="Q1211" i="1"/>
  <c r="P1211" i="1"/>
  <c r="S1210" i="1"/>
  <c r="R1210" i="1"/>
  <c r="Q1210" i="1"/>
  <c r="P1210" i="1"/>
  <c r="S1209" i="1"/>
  <c r="R1209" i="1"/>
  <c r="Q1209" i="1"/>
  <c r="P1209" i="1"/>
  <c r="S1208" i="1"/>
  <c r="R1208" i="1"/>
  <c r="Q1208" i="1"/>
  <c r="P1208" i="1"/>
  <c r="S1207" i="1"/>
  <c r="R1207" i="1"/>
  <c r="Q1207" i="1"/>
  <c r="P1207" i="1"/>
  <c r="S1206" i="1"/>
  <c r="R1206" i="1"/>
  <c r="Q1206" i="1"/>
  <c r="P1206" i="1"/>
  <c r="S1205" i="1"/>
  <c r="R1205" i="1"/>
  <c r="Q1205" i="1"/>
  <c r="P1205" i="1"/>
  <c r="S1204" i="1"/>
  <c r="R1204" i="1"/>
  <c r="Q1204" i="1"/>
  <c r="P1204" i="1"/>
  <c r="S1203" i="1"/>
  <c r="R1203" i="1"/>
  <c r="Q1203" i="1"/>
  <c r="P1203" i="1"/>
  <c r="S1202" i="1"/>
  <c r="R1202" i="1"/>
  <c r="Q1202" i="1"/>
  <c r="P1202" i="1"/>
  <c r="S1201" i="1"/>
  <c r="R1201" i="1"/>
  <c r="Q1201" i="1"/>
  <c r="P1201" i="1"/>
  <c r="S1200" i="1"/>
  <c r="R1200" i="1"/>
  <c r="Q1200" i="1"/>
  <c r="P1200" i="1"/>
  <c r="S1199" i="1"/>
  <c r="R1199" i="1"/>
  <c r="Q1199" i="1"/>
  <c r="P1199" i="1"/>
  <c r="S1198" i="1"/>
  <c r="R1198" i="1"/>
  <c r="Q1198" i="1"/>
  <c r="P1198" i="1"/>
  <c r="S1197" i="1"/>
  <c r="R1197" i="1"/>
  <c r="Q1197" i="1"/>
  <c r="P1197" i="1"/>
  <c r="S1196" i="1"/>
  <c r="R1196" i="1"/>
  <c r="Q1196" i="1"/>
  <c r="P1196" i="1"/>
  <c r="S1195" i="1"/>
  <c r="R1195" i="1"/>
  <c r="Q1195" i="1"/>
  <c r="P1195" i="1"/>
  <c r="S1194" i="1"/>
  <c r="R1194" i="1"/>
  <c r="Q1194" i="1"/>
  <c r="P1194" i="1"/>
  <c r="S1193" i="1"/>
  <c r="R1193" i="1"/>
  <c r="Q1193" i="1"/>
  <c r="P1193" i="1"/>
  <c r="S1192" i="1"/>
  <c r="R1192" i="1"/>
  <c r="Q1192" i="1"/>
  <c r="P1192" i="1"/>
  <c r="S1191" i="1"/>
  <c r="R1191" i="1"/>
  <c r="Q1191" i="1"/>
  <c r="P1191" i="1"/>
  <c r="S1190" i="1"/>
  <c r="R1190" i="1"/>
  <c r="Q1190" i="1"/>
  <c r="P1190" i="1"/>
  <c r="S1189" i="1"/>
  <c r="R1189" i="1"/>
  <c r="Q1189" i="1"/>
  <c r="P1189" i="1"/>
  <c r="S1188" i="1"/>
  <c r="R1188" i="1"/>
  <c r="Q1188" i="1"/>
  <c r="P1188" i="1"/>
  <c r="S1187" i="1"/>
  <c r="R1187" i="1"/>
  <c r="Q1187" i="1"/>
  <c r="P1187" i="1"/>
  <c r="S1186" i="1"/>
  <c r="R1186" i="1"/>
  <c r="Q1186" i="1"/>
  <c r="P1186" i="1"/>
  <c r="S1185" i="1"/>
  <c r="R1185" i="1"/>
  <c r="Q1185" i="1"/>
  <c r="P1185" i="1"/>
  <c r="S1184" i="1"/>
  <c r="R1184" i="1"/>
  <c r="Q1184" i="1"/>
  <c r="P1184" i="1"/>
  <c r="S1183" i="1"/>
  <c r="R1183" i="1"/>
  <c r="Q1183" i="1"/>
  <c r="P1183" i="1"/>
  <c r="S1182" i="1"/>
  <c r="R1182" i="1"/>
  <c r="Q1182" i="1"/>
  <c r="P1182" i="1"/>
  <c r="S1181" i="1"/>
  <c r="R1181" i="1"/>
  <c r="Q1181" i="1"/>
  <c r="P1181" i="1"/>
  <c r="S1180" i="1"/>
  <c r="R1180" i="1"/>
  <c r="Q1180" i="1"/>
  <c r="P1180" i="1"/>
  <c r="S1179" i="1"/>
  <c r="R1179" i="1"/>
  <c r="Q1179" i="1"/>
  <c r="P1179" i="1"/>
  <c r="S1178" i="1"/>
  <c r="R1178" i="1"/>
  <c r="Q1178" i="1"/>
  <c r="P1178" i="1"/>
  <c r="S1177" i="1"/>
  <c r="R1177" i="1"/>
  <c r="Q1177" i="1"/>
  <c r="P1177" i="1"/>
  <c r="S1176" i="1"/>
  <c r="R1176" i="1"/>
  <c r="Q1176" i="1"/>
  <c r="P1176" i="1"/>
  <c r="S1175" i="1"/>
  <c r="R1175" i="1"/>
  <c r="Q1175" i="1"/>
  <c r="P1175" i="1"/>
  <c r="S1174" i="1"/>
  <c r="R1174" i="1"/>
  <c r="Q1174" i="1"/>
  <c r="P1174" i="1"/>
  <c r="S1173" i="1"/>
  <c r="R1173" i="1"/>
  <c r="Q1173" i="1"/>
  <c r="P1173" i="1"/>
  <c r="S1172" i="1"/>
  <c r="R1172" i="1"/>
  <c r="Q1172" i="1"/>
  <c r="P1172" i="1"/>
  <c r="S1171" i="1"/>
  <c r="R1171" i="1"/>
  <c r="Q1171" i="1"/>
  <c r="P1171" i="1"/>
  <c r="S1170" i="1"/>
  <c r="R1170" i="1"/>
  <c r="Q1170" i="1"/>
  <c r="P1170" i="1"/>
  <c r="S1169" i="1"/>
  <c r="R1169" i="1"/>
  <c r="Q1169" i="1"/>
  <c r="P1169" i="1"/>
  <c r="S1168" i="1"/>
  <c r="R1168" i="1"/>
  <c r="Q1168" i="1"/>
  <c r="P1168" i="1"/>
  <c r="S1167" i="1"/>
  <c r="R1167" i="1"/>
  <c r="Q1167" i="1"/>
  <c r="P1167" i="1"/>
  <c r="S1166" i="1"/>
  <c r="R1166" i="1"/>
  <c r="Q1166" i="1"/>
  <c r="P1166" i="1"/>
  <c r="S1165" i="1"/>
  <c r="R1165" i="1"/>
  <c r="Q1165" i="1"/>
  <c r="P1165" i="1"/>
  <c r="S1164" i="1"/>
  <c r="R1164" i="1"/>
  <c r="Q1164" i="1"/>
  <c r="P1164" i="1"/>
  <c r="S1163" i="1"/>
  <c r="R1163" i="1"/>
  <c r="Q1163" i="1"/>
  <c r="P1163" i="1"/>
  <c r="S1162" i="1"/>
  <c r="R1162" i="1"/>
  <c r="Q1162" i="1"/>
  <c r="P1162" i="1"/>
  <c r="S1161" i="1"/>
  <c r="R1161" i="1"/>
  <c r="Q1161" i="1"/>
  <c r="P1161" i="1"/>
  <c r="S1160" i="1"/>
  <c r="R1160" i="1"/>
  <c r="Q1160" i="1"/>
  <c r="P1160" i="1"/>
  <c r="S1159" i="1"/>
  <c r="R1159" i="1"/>
  <c r="Q1159" i="1"/>
  <c r="P1159" i="1"/>
  <c r="S1158" i="1"/>
  <c r="R1158" i="1"/>
  <c r="Q1158" i="1"/>
  <c r="P1158" i="1"/>
  <c r="S1157" i="1"/>
  <c r="R1157" i="1"/>
  <c r="Q1157" i="1"/>
  <c r="P1157" i="1"/>
  <c r="S1156" i="1"/>
  <c r="R1156" i="1"/>
  <c r="Q1156" i="1"/>
  <c r="P1156" i="1"/>
  <c r="S1155" i="1"/>
  <c r="R1155" i="1"/>
  <c r="Q1155" i="1"/>
  <c r="P1155" i="1"/>
  <c r="S1154" i="1"/>
  <c r="R1154" i="1"/>
  <c r="Q1154" i="1"/>
  <c r="P1154" i="1"/>
  <c r="S1153" i="1"/>
  <c r="R1153" i="1"/>
  <c r="Q1153" i="1"/>
  <c r="P1153" i="1"/>
  <c r="S1152" i="1"/>
  <c r="R1152" i="1"/>
  <c r="Q1152" i="1"/>
  <c r="P1152" i="1"/>
  <c r="S1151" i="1"/>
  <c r="R1151" i="1"/>
  <c r="Q1151" i="1"/>
  <c r="P1151" i="1"/>
  <c r="S1150" i="1"/>
  <c r="R1150" i="1"/>
  <c r="Q1150" i="1"/>
  <c r="P1150" i="1"/>
  <c r="S1149" i="1"/>
  <c r="R1149" i="1"/>
  <c r="Q1149" i="1"/>
  <c r="P1149" i="1"/>
  <c r="S1148" i="1"/>
  <c r="R1148" i="1"/>
  <c r="Q1148" i="1"/>
  <c r="P1148" i="1"/>
  <c r="S1147" i="1"/>
  <c r="R1147" i="1"/>
  <c r="Q1147" i="1"/>
  <c r="P1147" i="1"/>
  <c r="S1146" i="1"/>
  <c r="R1146" i="1"/>
  <c r="Q1146" i="1"/>
  <c r="P1146" i="1"/>
  <c r="S1145" i="1"/>
  <c r="R1145" i="1"/>
  <c r="Q1145" i="1"/>
  <c r="P1145" i="1"/>
  <c r="S1144" i="1"/>
  <c r="R1144" i="1"/>
  <c r="Q1144" i="1"/>
  <c r="P1144" i="1"/>
  <c r="S1143" i="1"/>
  <c r="R1143" i="1"/>
  <c r="Q1143" i="1"/>
  <c r="P1143" i="1"/>
  <c r="S1142" i="1"/>
  <c r="R1142" i="1"/>
  <c r="Q1142" i="1"/>
  <c r="P1142" i="1"/>
  <c r="S1141" i="1"/>
  <c r="R1141" i="1"/>
  <c r="Q1141" i="1"/>
  <c r="P1141" i="1"/>
  <c r="S1140" i="1"/>
  <c r="R1140" i="1"/>
  <c r="Q1140" i="1"/>
  <c r="P1140" i="1"/>
  <c r="S1139" i="1"/>
  <c r="R1139" i="1"/>
  <c r="Q1139" i="1"/>
  <c r="P1139" i="1"/>
  <c r="S1138" i="1"/>
  <c r="R1138" i="1"/>
  <c r="Q1138" i="1"/>
  <c r="P1138" i="1"/>
  <c r="S1137" i="1"/>
  <c r="R1137" i="1"/>
  <c r="Q1137" i="1"/>
  <c r="P1137" i="1"/>
  <c r="S1136" i="1"/>
  <c r="R1136" i="1"/>
  <c r="Q1136" i="1"/>
  <c r="P1136" i="1"/>
  <c r="S1135" i="1"/>
  <c r="R1135" i="1"/>
  <c r="Q1135" i="1"/>
  <c r="P1135" i="1"/>
  <c r="S1134" i="1"/>
  <c r="R1134" i="1"/>
  <c r="Q1134" i="1"/>
  <c r="P1134" i="1"/>
  <c r="S1133" i="1"/>
  <c r="R1133" i="1"/>
  <c r="Q1133" i="1"/>
  <c r="P1133" i="1"/>
  <c r="S1132" i="1"/>
  <c r="R1132" i="1"/>
  <c r="Q1132" i="1"/>
  <c r="P1132" i="1"/>
  <c r="S1131" i="1"/>
  <c r="R1131" i="1"/>
  <c r="Q1131" i="1"/>
  <c r="P1131" i="1"/>
  <c r="S1130" i="1"/>
  <c r="R1130" i="1"/>
  <c r="Q1130" i="1"/>
  <c r="P1130" i="1"/>
  <c r="S1129" i="1"/>
  <c r="R1129" i="1"/>
  <c r="Q1129" i="1"/>
  <c r="P1129" i="1"/>
  <c r="S1128" i="1"/>
  <c r="R1128" i="1"/>
  <c r="Q1128" i="1"/>
  <c r="P1128" i="1"/>
  <c r="S1127" i="1"/>
  <c r="R1127" i="1"/>
  <c r="Q1127" i="1"/>
  <c r="P1127" i="1"/>
  <c r="S1126" i="1"/>
  <c r="R1126" i="1"/>
  <c r="Q1126" i="1"/>
  <c r="P1126" i="1"/>
  <c r="S1125" i="1"/>
  <c r="R1125" i="1"/>
  <c r="Q1125" i="1"/>
  <c r="P1125" i="1"/>
  <c r="S1124" i="1"/>
  <c r="R1124" i="1"/>
  <c r="Q1124" i="1"/>
  <c r="P1124" i="1"/>
  <c r="S1123" i="1"/>
  <c r="R1123" i="1"/>
  <c r="Q1123" i="1"/>
  <c r="P1123" i="1"/>
  <c r="S1122" i="1"/>
  <c r="R1122" i="1"/>
  <c r="Q1122" i="1"/>
  <c r="P1122" i="1"/>
  <c r="S1121" i="1"/>
  <c r="R1121" i="1"/>
  <c r="Q1121" i="1"/>
  <c r="P1121" i="1"/>
  <c r="S1120" i="1"/>
  <c r="R1120" i="1"/>
  <c r="Q1120" i="1"/>
  <c r="P1120" i="1"/>
  <c r="S1119" i="1"/>
  <c r="R1119" i="1"/>
  <c r="Q1119" i="1"/>
  <c r="P1119" i="1"/>
  <c r="S1118" i="1"/>
  <c r="R1118" i="1"/>
  <c r="Q1118" i="1"/>
  <c r="P1118" i="1"/>
  <c r="S1117" i="1"/>
  <c r="R1117" i="1"/>
  <c r="Q1117" i="1"/>
  <c r="P1117" i="1"/>
  <c r="S1116" i="1"/>
  <c r="R1116" i="1"/>
  <c r="Q1116" i="1"/>
  <c r="P1116" i="1"/>
  <c r="S1115" i="1"/>
  <c r="R1115" i="1"/>
  <c r="Q1115" i="1"/>
  <c r="P1115" i="1"/>
  <c r="S1114" i="1"/>
  <c r="R1114" i="1"/>
  <c r="Q1114" i="1"/>
  <c r="P1114" i="1"/>
  <c r="S1113" i="1"/>
  <c r="R1113" i="1"/>
  <c r="Q1113" i="1"/>
  <c r="P1113" i="1"/>
  <c r="S1112" i="1"/>
  <c r="R1112" i="1"/>
  <c r="Q1112" i="1"/>
  <c r="P1112" i="1"/>
  <c r="S1111" i="1"/>
  <c r="R1111" i="1"/>
  <c r="Q1111" i="1"/>
  <c r="P1111" i="1"/>
  <c r="S1110" i="1"/>
  <c r="R1110" i="1"/>
  <c r="Q1110" i="1"/>
  <c r="P1110" i="1"/>
  <c r="S1109" i="1"/>
  <c r="R1109" i="1"/>
  <c r="Q1109" i="1"/>
  <c r="P1109" i="1"/>
  <c r="S1108" i="1"/>
  <c r="R1108" i="1"/>
  <c r="Q1108" i="1"/>
  <c r="P1108" i="1"/>
  <c r="S1107" i="1"/>
  <c r="R1107" i="1"/>
  <c r="Q1107" i="1"/>
  <c r="P1107" i="1"/>
  <c r="S1106" i="1"/>
  <c r="R1106" i="1"/>
  <c r="Q1106" i="1"/>
  <c r="P1106" i="1"/>
  <c r="S1105" i="1"/>
  <c r="R1105" i="1"/>
  <c r="Q1105" i="1"/>
  <c r="P1105" i="1"/>
  <c r="S1104" i="1"/>
  <c r="R1104" i="1"/>
  <c r="Q1104" i="1"/>
  <c r="P1104" i="1"/>
  <c r="S1103" i="1"/>
  <c r="R1103" i="1"/>
  <c r="Q1103" i="1"/>
  <c r="P1103" i="1"/>
  <c r="S1102" i="1"/>
  <c r="R1102" i="1"/>
  <c r="Q1102" i="1"/>
  <c r="P1102" i="1"/>
  <c r="S1101" i="1"/>
  <c r="R1101" i="1"/>
  <c r="Q1101" i="1"/>
  <c r="P1101" i="1"/>
  <c r="S1100" i="1"/>
  <c r="R1100" i="1"/>
  <c r="Q1100" i="1"/>
  <c r="P1100" i="1"/>
  <c r="S1099" i="1"/>
  <c r="R1099" i="1"/>
  <c r="Q1099" i="1"/>
  <c r="P1099" i="1"/>
  <c r="S1098" i="1"/>
  <c r="R1098" i="1"/>
  <c r="Q1098" i="1"/>
  <c r="P1098" i="1"/>
  <c r="S1097" i="1"/>
  <c r="R1097" i="1"/>
  <c r="Q1097" i="1"/>
  <c r="P1097" i="1"/>
  <c r="S1096" i="1"/>
  <c r="R1096" i="1"/>
  <c r="Q1096" i="1"/>
  <c r="P1096" i="1"/>
  <c r="S1095" i="1"/>
  <c r="R1095" i="1"/>
  <c r="Q1095" i="1"/>
  <c r="P1095" i="1"/>
  <c r="S1094" i="1"/>
  <c r="R1094" i="1"/>
  <c r="Q1094" i="1"/>
  <c r="P1094" i="1"/>
  <c r="S1093" i="1"/>
  <c r="R1093" i="1"/>
  <c r="Q1093" i="1"/>
  <c r="P1093" i="1"/>
  <c r="S1092" i="1"/>
  <c r="R1092" i="1"/>
  <c r="Q1092" i="1"/>
  <c r="P1092" i="1"/>
  <c r="S1091" i="1"/>
  <c r="R1091" i="1"/>
  <c r="Q1091" i="1"/>
  <c r="P1091" i="1"/>
  <c r="S1090" i="1"/>
  <c r="R1090" i="1"/>
  <c r="Q1090" i="1"/>
  <c r="P1090" i="1"/>
  <c r="S1089" i="1"/>
  <c r="R1089" i="1"/>
  <c r="Q1089" i="1"/>
  <c r="P1089" i="1"/>
  <c r="S1088" i="1"/>
  <c r="R1088" i="1"/>
  <c r="Q1088" i="1"/>
  <c r="P1088" i="1"/>
  <c r="S1087" i="1"/>
  <c r="R1087" i="1"/>
  <c r="Q1087" i="1"/>
  <c r="P1087" i="1"/>
  <c r="S1086" i="1"/>
  <c r="R1086" i="1"/>
  <c r="Q1086" i="1"/>
  <c r="P1086" i="1"/>
  <c r="S1085" i="1"/>
  <c r="R1085" i="1"/>
  <c r="Q1085" i="1"/>
  <c r="P1085" i="1"/>
  <c r="S1084" i="1"/>
  <c r="R1084" i="1"/>
  <c r="Q1084" i="1"/>
  <c r="P1084" i="1"/>
  <c r="S1083" i="1"/>
  <c r="R1083" i="1"/>
  <c r="Q1083" i="1"/>
  <c r="P1083" i="1"/>
  <c r="S1082" i="1"/>
  <c r="R1082" i="1"/>
  <c r="Q1082" i="1"/>
  <c r="P1082" i="1"/>
  <c r="S1081" i="1"/>
  <c r="R1081" i="1"/>
  <c r="Q1081" i="1"/>
  <c r="P1081" i="1"/>
  <c r="S1080" i="1"/>
  <c r="R1080" i="1"/>
  <c r="Q1080" i="1"/>
  <c r="P1080" i="1"/>
  <c r="S1079" i="1"/>
  <c r="R1079" i="1"/>
  <c r="Q1079" i="1"/>
  <c r="P1079" i="1"/>
  <c r="S1078" i="1"/>
  <c r="R1078" i="1"/>
  <c r="Q1078" i="1"/>
  <c r="P1078" i="1"/>
  <c r="S1077" i="1"/>
  <c r="R1077" i="1"/>
  <c r="Q1077" i="1"/>
  <c r="P1077" i="1"/>
  <c r="S1076" i="1"/>
  <c r="R1076" i="1"/>
  <c r="Q1076" i="1"/>
  <c r="P1076" i="1"/>
  <c r="S1075" i="1"/>
  <c r="R1075" i="1"/>
  <c r="Q1075" i="1"/>
  <c r="P1075" i="1"/>
  <c r="S1074" i="1"/>
  <c r="R1074" i="1"/>
  <c r="Q1074" i="1"/>
  <c r="P1074" i="1"/>
  <c r="S1073" i="1"/>
  <c r="R1073" i="1"/>
  <c r="Q1073" i="1"/>
  <c r="P1073" i="1"/>
  <c r="S1072" i="1"/>
  <c r="R1072" i="1"/>
  <c r="Q1072" i="1"/>
  <c r="P1072" i="1"/>
  <c r="S1071" i="1"/>
  <c r="R1071" i="1"/>
  <c r="Q1071" i="1"/>
  <c r="P1071" i="1"/>
  <c r="S1070" i="1"/>
  <c r="R1070" i="1"/>
  <c r="Q1070" i="1"/>
  <c r="P1070" i="1"/>
  <c r="S1069" i="1"/>
  <c r="R1069" i="1"/>
  <c r="Q1069" i="1"/>
  <c r="P1069" i="1"/>
  <c r="S1068" i="1"/>
  <c r="R1068" i="1"/>
  <c r="Q1068" i="1"/>
  <c r="P1068" i="1"/>
  <c r="S1067" i="1"/>
  <c r="R1067" i="1"/>
  <c r="Q1067" i="1"/>
  <c r="P1067" i="1"/>
  <c r="S1066" i="1"/>
  <c r="R1066" i="1"/>
  <c r="Q1066" i="1"/>
  <c r="P1066" i="1"/>
  <c r="S1065" i="1"/>
  <c r="R1065" i="1"/>
  <c r="Q1065" i="1"/>
  <c r="P1065" i="1"/>
  <c r="S1064" i="1"/>
  <c r="R1064" i="1"/>
  <c r="Q1064" i="1"/>
  <c r="P1064" i="1"/>
  <c r="S1063" i="1"/>
  <c r="R1063" i="1"/>
  <c r="Q1063" i="1"/>
  <c r="P1063" i="1"/>
  <c r="S1062" i="1"/>
  <c r="R1062" i="1"/>
  <c r="Q1062" i="1"/>
  <c r="P1062" i="1"/>
  <c r="S1061" i="1"/>
  <c r="R1061" i="1"/>
  <c r="Q1061" i="1"/>
  <c r="P1061" i="1"/>
  <c r="S1060" i="1"/>
  <c r="R1060" i="1"/>
  <c r="Q1060" i="1"/>
  <c r="P1060" i="1"/>
  <c r="S1059" i="1"/>
  <c r="R1059" i="1"/>
  <c r="Q1059" i="1"/>
  <c r="P1059" i="1"/>
  <c r="S1058" i="1"/>
  <c r="R1058" i="1"/>
  <c r="Q1058" i="1"/>
  <c r="P1058" i="1"/>
  <c r="S1057" i="1"/>
  <c r="R1057" i="1"/>
  <c r="Q1057" i="1"/>
  <c r="P1057" i="1"/>
  <c r="S1056" i="1"/>
  <c r="R1056" i="1"/>
  <c r="Q1056" i="1"/>
  <c r="P1056" i="1"/>
  <c r="S1055" i="1"/>
  <c r="R1055" i="1"/>
  <c r="Q1055" i="1"/>
  <c r="P1055" i="1"/>
  <c r="S1054" i="1"/>
  <c r="R1054" i="1"/>
  <c r="Q1054" i="1"/>
  <c r="P1054" i="1"/>
  <c r="S1053" i="1"/>
  <c r="R1053" i="1"/>
  <c r="Q1053" i="1"/>
  <c r="P1053" i="1"/>
  <c r="S1052" i="1"/>
  <c r="R1052" i="1"/>
  <c r="Q1052" i="1"/>
  <c r="P1052" i="1"/>
  <c r="S1051" i="1"/>
  <c r="R1051" i="1"/>
  <c r="Q1051" i="1"/>
  <c r="P1051" i="1"/>
  <c r="S1050" i="1"/>
  <c r="R1050" i="1"/>
  <c r="Q1050" i="1"/>
  <c r="P1050" i="1"/>
  <c r="S1049" i="1"/>
  <c r="R1049" i="1"/>
  <c r="Q1049" i="1"/>
  <c r="P1049" i="1"/>
  <c r="S1048" i="1"/>
  <c r="R1048" i="1"/>
  <c r="Q1048" i="1"/>
  <c r="P1048" i="1"/>
  <c r="S1047" i="1"/>
  <c r="R1047" i="1"/>
  <c r="Q1047" i="1"/>
  <c r="P1047" i="1"/>
  <c r="S1046" i="1"/>
  <c r="R1046" i="1"/>
  <c r="Q1046" i="1"/>
  <c r="P1046" i="1"/>
  <c r="S1045" i="1"/>
  <c r="R1045" i="1"/>
  <c r="Q1045" i="1"/>
  <c r="P1045" i="1"/>
  <c r="S1044" i="1"/>
  <c r="R1044" i="1"/>
  <c r="Q1044" i="1"/>
  <c r="P1044" i="1"/>
  <c r="S1043" i="1"/>
  <c r="R1043" i="1"/>
  <c r="Q1043" i="1"/>
  <c r="P1043" i="1"/>
  <c r="S1042" i="1"/>
  <c r="R1042" i="1"/>
  <c r="Q1042" i="1"/>
  <c r="P1042" i="1"/>
  <c r="S1041" i="1"/>
  <c r="R1041" i="1"/>
  <c r="Q1041" i="1"/>
  <c r="P1041" i="1"/>
  <c r="S1040" i="1"/>
  <c r="R1040" i="1"/>
  <c r="Q1040" i="1"/>
  <c r="P1040" i="1"/>
  <c r="S1039" i="1"/>
  <c r="R1039" i="1"/>
  <c r="Q1039" i="1"/>
  <c r="P1039" i="1"/>
  <c r="S1038" i="1"/>
  <c r="R1038" i="1"/>
  <c r="Q1038" i="1"/>
  <c r="P1038" i="1"/>
  <c r="S1037" i="1"/>
  <c r="R1037" i="1"/>
  <c r="Q1037" i="1"/>
  <c r="P1037" i="1"/>
  <c r="S1036" i="1"/>
  <c r="R1036" i="1"/>
  <c r="Q1036" i="1"/>
  <c r="P1036" i="1"/>
  <c r="S1035" i="1"/>
  <c r="R1035" i="1"/>
  <c r="Q1035" i="1"/>
  <c r="P1035" i="1"/>
  <c r="S1034" i="1"/>
  <c r="R1034" i="1"/>
  <c r="Q1034" i="1"/>
  <c r="P1034" i="1"/>
  <c r="S1033" i="1"/>
  <c r="R1033" i="1"/>
  <c r="Q1033" i="1"/>
  <c r="P1033" i="1"/>
  <c r="S1032" i="1"/>
  <c r="R1032" i="1"/>
  <c r="Q1032" i="1"/>
  <c r="P1032" i="1"/>
  <c r="S1031" i="1"/>
  <c r="R1031" i="1"/>
  <c r="Q1031" i="1"/>
  <c r="P1031" i="1"/>
  <c r="S1030" i="1"/>
  <c r="R1030" i="1"/>
  <c r="Q1030" i="1"/>
  <c r="P1030" i="1"/>
  <c r="S1029" i="1"/>
  <c r="R1029" i="1"/>
  <c r="Q1029" i="1"/>
  <c r="P1029" i="1"/>
  <c r="S1028" i="1"/>
  <c r="R1028" i="1"/>
  <c r="Q1028" i="1"/>
  <c r="P1028" i="1"/>
  <c r="S1027" i="1"/>
  <c r="R1027" i="1"/>
  <c r="Q1027" i="1"/>
  <c r="P1027" i="1"/>
  <c r="S1026" i="1"/>
  <c r="R1026" i="1"/>
  <c r="Q1026" i="1"/>
  <c r="P1026" i="1"/>
  <c r="S1025" i="1"/>
  <c r="R1025" i="1"/>
  <c r="Q1025" i="1"/>
  <c r="P1025" i="1"/>
  <c r="S1024" i="1"/>
  <c r="R1024" i="1"/>
  <c r="Q1024" i="1"/>
  <c r="P1024" i="1"/>
  <c r="S1023" i="1"/>
  <c r="R1023" i="1"/>
  <c r="Q1023" i="1"/>
  <c r="P1023" i="1"/>
  <c r="S1022" i="1"/>
  <c r="R1022" i="1"/>
  <c r="Q1022" i="1"/>
  <c r="P1022" i="1"/>
  <c r="S1021" i="1"/>
  <c r="R1021" i="1"/>
  <c r="Q1021" i="1"/>
  <c r="P1021" i="1"/>
  <c r="S1020" i="1"/>
  <c r="R1020" i="1"/>
  <c r="Q1020" i="1"/>
  <c r="P1020" i="1"/>
  <c r="S1019" i="1"/>
  <c r="R1019" i="1"/>
  <c r="Q1019" i="1"/>
  <c r="P1019" i="1"/>
  <c r="S1018" i="1"/>
  <c r="R1018" i="1"/>
  <c r="Q1018" i="1"/>
  <c r="P1018" i="1"/>
  <c r="S1017" i="1"/>
  <c r="R1017" i="1"/>
  <c r="Q1017" i="1"/>
  <c r="P1017" i="1"/>
  <c r="S1016" i="1"/>
  <c r="R1016" i="1"/>
  <c r="Q1016" i="1"/>
  <c r="P1016" i="1"/>
  <c r="S1015" i="1"/>
  <c r="R1015" i="1"/>
  <c r="Q1015" i="1"/>
  <c r="P1015" i="1"/>
  <c r="S1014" i="1"/>
  <c r="R1014" i="1"/>
  <c r="Q1014" i="1"/>
  <c r="P1014" i="1"/>
  <c r="S1013" i="1"/>
  <c r="R1013" i="1"/>
  <c r="Q1013" i="1"/>
  <c r="P1013" i="1"/>
  <c r="S1012" i="1"/>
  <c r="R1012" i="1"/>
  <c r="Q1012" i="1"/>
  <c r="P1012" i="1"/>
  <c r="S1011" i="1"/>
  <c r="R1011" i="1"/>
  <c r="Q1011" i="1"/>
  <c r="P1011" i="1"/>
  <c r="S1010" i="1"/>
  <c r="R1010" i="1"/>
  <c r="Q1010" i="1"/>
  <c r="P1010" i="1"/>
  <c r="S1009" i="1"/>
  <c r="R1009" i="1"/>
  <c r="Q1009" i="1"/>
  <c r="P1009" i="1"/>
  <c r="S1008" i="1"/>
  <c r="R1008" i="1"/>
  <c r="Q1008" i="1"/>
  <c r="P1008" i="1"/>
  <c r="S1007" i="1"/>
  <c r="R1007" i="1"/>
  <c r="Q1007" i="1"/>
  <c r="P1007" i="1"/>
  <c r="S1006" i="1"/>
  <c r="R1006" i="1"/>
  <c r="Q1006" i="1"/>
  <c r="P1006" i="1"/>
  <c r="S1005" i="1"/>
  <c r="R1005" i="1"/>
  <c r="Q1005" i="1"/>
  <c r="P1005" i="1"/>
  <c r="S1004" i="1"/>
  <c r="R1004" i="1"/>
  <c r="Q1004" i="1"/>
  <c r="P1004" i="1"/>
  <c r="S1003" i="1"/>
  <c r="R1003" i="1"/>
  <c r="Q1003" i="1"/>
  <c r="P1003" i="1"/>
  <c r="S1002" i="1"/>
  <c r="R1002" i="1"/>
  <c r="Q1002" i="1"/>
  <c r="P1002" i="1"/>
  <c r="S1001" i="1"/>
  <c r="R1001" i="1"/>
  <c r="Q1001" i="1"/>
  <c r="P1001" i="1"/>
  <c r="S1000" i="1"/>
  <c r="R1000" i="1"/>
  <c r="Q1000" i="1"/>
  <c r="P1000" i="1"/>
  <c r="S999" i="1"/>
  <c r="R999" i="1"/>
  <c r="Q999" i="1"/>
  <c r="P999" i="1"/>
  <c r="S998" i="1"/>
  <c r="R998" i="1"/>
  <c r="Q998" i="1"/>
  <c r="P998" i="1"/>
  <c r="S997" i="1"/>
  <c r="R997" i="1"/>
  <c r="Q997" i="1"/>
  <c r="P997" i="1"/>
  <c r="S996" i="1"/>
  <c r="R996" i="1"/>
  <c r="Q996" i="1"/>
  <c r="P996" i="1"/>
  <c r="S995" i="1"/>
  <c r="R995" i="1"/>
  <c r="Q995" i="1"/>
  <c r="P995" i="1"/>
  <c r="S994" i="1"/>
  <c r="R994" i="1"/>
  <c r="Q994" i="1"/>
  <c r="P994" i="1"/>
  <c r="S993" i="1"/>
  <c r="R993" i="1"/>
  <c r="Q993" i="1"/>
  <c r="P993" i="1"/>
  <c r="S992" i="1"/>
  <c r="R992" i="1"/>
  <c r="Q992" i="1"/>
  <c r="P992" i="1"/>
  <c r="S991" i="1"/>
  <c r="R991" i="1"/>
  <c r="Q991" i="1"/>
  <c r="P991" i="1"/>
  <c r="S990" i="1"/>
  <c r="R990" i="1"/>
  <c r="Q990" i="1"/>
  <c r="P990" i="1"/>
  <c r="S989" i="1"/>
  <c r="R989" i="1"/>
  <c r="Q989" i="1"/>
  <c r="P989" i="1"/>
  <c r="S988" i="1"/>
  <c r="R988" i="1"/>
  <c r="Q988" i="1"/>
  <c r="P988" i="1"/>
  <c r="S987" i="1"/>
  <c r="R987" i="1"/>
  <c r="Q987" i="1"/>
  <c r="P987" i="1"/>
  <c r="S986" i="1"/>
  <c r="R986" i="1"/>
  <c r="Q986" i="1"/>
  <c r="P986" i="1"/>
  <c r="S985" i="1"/>
  <c r="R985" i="1"/>
  <c r="Q985" i="1"/>
  <c r="P985" i="1"/>
  <c r="S984" i="1"/>
  <c r="R984" i="1"/>
  <c r="Q984" i="1"/>
  <c r="P984" i="1"/>
  <c r="S983" i="1"/>
  <c r="R983" i="1"/>
  <c r="Q983" i="1"/>
  <c r="P983" i="1"/>
  <c r="S982" i="1"/>
  <c r="R982" i="1"/>
  <c r="Q982" i="1"/>
  <c r="P982" i="1"/>
  <c r="S981" i="1"/>
  <c r="R981" i="1"/>
  <c r="Q981" i="1"/>
  <c r="P981" i="1"/>
  <c r="S980" i="1"/>
  <c r="R980" i="1"/>
  <c r="Q980" i="1"/>
  <c r="P980" i="1"/>
  <c r="S979" i="1"/>
  <c r="R979" i="1"/>
  <c r="Q979" i="1"/>
  <c r="P979" i="1"/>
  <c r="S978" i="1"/>
  <c r="R978" i="1"/>
  <c r="Q978" i="1"/>
  <c r="P978" i="1"/>
  <c r="S977" i="1"/>
  <c r="R977" i="1"/>
  <c r="Q977" i="1"/>
  <c r="P977" i="1"/>
  <c r="S976" i="1"/>
  <c r="R976" i="1"/>
  <c r="Q976" i="1"/>
  <c r="P976" i="1"/>
  <c r="S975" i="1"/>
  <c r="R975" i="1"/>
  <c r="Q975" i="1"/>
  <c r="P975" i="1"/>
  <c r="S974" i="1"/>
  <c r="R974" i="1"/>
  <c r="Q974" i="1"/>
  <c r="P974" i="1"/>
  <c r="S973" i="1"/>
  <c r="R973" i="1"/>
  <c r="Q973" i="1"/>
  <c r="P973" i="1"/>
  <c r="S972" i="1"/>
  <c r="R972" i="1"/>
  <c r="Q972" i="1"/>
  <c r="P972" i="1"/>
  <c r="S971" i="1"/>
  <c r="R971" i="1"/>
  <c r="Q971" i="1"/>
  <c r="P971" i="1"/>
  <c r="S970" i="1"/>
  <c r="R970" i="1"/>
  <c r="Q970" i="1"/>
  <c r="P970" i="1"/>
  <c r="S969" i="1"/>
  <c r="R969" i="1"/>
  <c r="Q969" i="1"/>
  <c r="P969" i="1"/>
  <c r="S968" i="1"/>
  <c r="R968" i="1"/>
  <c r="Q968" i="1"/>
  <c r="P968" i="1"/>
  <c r="S967" i="1"/>
  <c r="R967" i="1"/>
  <c r="Q967" i="1"/>
  <c r="P967" i="1"/>
  <c r="S966" i="1"/>
  <c r="R966" i="1"/>
  <c r="Q966" i="1"/>
  <c r="P966" i="1"/>
  <c r="S965" i="1"/>
  <c r="R965" i="1"/>
  <c r="Q965" i="1"/>
  <c r="P965" i="1"/>
  <c r="S964" i="1"/>
  <c r="R964" i="1"/>
  <c r="Q964" i="1"/>
  <c r="P964" i="1"/>
  <c r="S963" i="1"/>
  <c r="R963" i="1"/>
  <c r="Q963" i="1"/>
  <c r="P963" i="1"/>
  <c r="S962" i="1"/>
  <c r="R962" i="1"/>
  <c r="Q962" i="1"/>
  <c r="P962" i="1"/>
  <c r="S961" i="1"/>
  <c r="R961" i="1"/>
  <c r="Q961" i="1"/>
  <c r="P961" i="1"/>
  <c r="S960" i="1"/>
  <c r="R960" i="1"/>
  <c r="Q960" i="1"/>
  <c r="P960" i="1"/>
  <c r="S959" i="1"/>
  <c r="R959" i="1"/>
  <c r="Q959" i="1"/>
  <c r="P959" i="1"/>
  <c r="S958" i="1"/>
  <c r="R958" i="1"/>
  <c r="Q958" i="1"/>
  <c r="P958" i="1"/>
  <c r="S957" i="1"/>
  <c r="R957" i="1"/>
  <c r="Q957" i="1"/>
  <c r="P957" i="1"/>
  <c r="S956" i="1"/>
  <c r="R956" i="1"/>
  <c r="Q956" i="1"/>
  <c r="P956" i="1"/>
  <c r="S955" i="1"/>
  <c r="R955" i="1"/>
  <c r="Q955" i="1"/>
  <c r="P955" i="1"/>
  <c r="S954" i="1"/>
  <c r="R954" i="1"/>
  <c r="Q954" i="1"/>
  <c r="P954" i="1"/>
  <c r="S953" i="1"/>
  <c r="R953" i="1"/>
  <c r="Q953" i="1"/>
  <c r="P953" i="1"/>
  <c r="S952" i="1"/>
  <c r="R952" i="1"/>
  <c r="Q952" i="1"/>
  <c r="P952" i="1"/>
  <c r="S951" i="1"/>
  <c r="R951" i="1"/>
  <c r="Q951" i="1"/>
  <c r="P951" i="1"/>
  <c r="S950" i="1"/>
  <c r="R950" i="1"/>
  <c r="Q950" i="1"/>
  <c r="P950" i="1"/>
  <c r="S949" i="1"/>
  <c r="R949" i="1"/>
  <c r="Q949" i="1"/>
  <c r="P949" i="1"/>
  <c r="S948" i="1"/>
  <c r="R948" i="1"/>
  <c r="Q948" i="1"/>
  <c r="P948" i="1"/>
  <c r="S947" i="1"/>
  <c r="R947" i="1"/>
  <c r="Q947" i="1"/>
  <c r="P947" i="1"/>
  <c r="S946" i="1"/>
  <c r="R946" i="1"/>
  <c r="Q946" i="1"/>
  <c r="P946" i="1"/>
  <c r="S945" i="1"/>
  <c r="R945" i="1"/>
  <c r="Q945" i="1"/>
  <c r="P945" i="1"/>
  <c r="S944" i="1"/>
  <c r="R944" i="1"/>
  <c r="Q944" i="1"/>
  <c r="P944" i="1"/>
  <c r="S943" i="1"/>
  <c r="R943" i="1"/>
  <c r="Q943" i="1"/>
  <c r="P943" i="1"/>
  <c r="S942" i="1"/>
  <c r="R942" i="1"/>
  <c r="Q942" i="1"/>
  <c r="P942" i="1"/>
  <c r="S941" i="1"/>
  <c r="R941" i="1"/>
  <c r="Q941" i="1"/>
  <c r="P941" i="1"/>
  <c r="S940" i="1"/>
  <c r="R940" i="1"/>
  <c r="Q940" i="1"/>
  <c r="P940" i="1"/>
  <c r="S939" i="1"/>
  <c r="R939" i="1"/>
  <c r="Q939" i="1"/>
  <c r="P939" i="1"/>
  <c r="S938" i="1"/>
  <c r="R938" i="1"/>
  <c r="Q938" i="1"/>
  <c r="P938" i="1"/>
  <c r="S937" i="1"/>
  <c r="R937" i="1"/>
  <c r="Q937" i="1"/>
  <c r="P937" i="1"/>
  <c r="S936" i="1"/>
  <c r="R936" i="1"/>
  <c r="Q936" i="1"/>
  <c r="P936" i="1"/>
  <c r="S935" i="1"/>
  <c r="R935" i="1"/>
  <c r="Q935" i="1"/>
  <c r="P935" i="1"/>
  <c r="S934" i="1"/>
  <c r="R934" i="1"/>
  <c r="Q934" i="1"/>
  <c r="P934" i="1"/>
  <c r="S933" i="1"/>
  <c r="R933" i="1"/>
  <c r="Q933" i="1"/>
  <c r="P933" i="1"/>
  <c r="S932" i="1"/>
  <c r="R932" i="1"/>
  <c r="Q932" i="1"/>
  <c r="P932" i="1"/>
  <c r="S931" i="1"/>
  <c r="R931" i="1"/>
  <c r="Q931" i="1"/>
  <c r="P931" i="1"/>
  <c r="S930" i="1"/>
  <c r="R930" i="1"/>
  <c r="Q930" i="1"/>
  <c r="P930" i="1"/>
  <c r="S929" i="1"/>
  <c r="R929" i="1"/>
  <c r="Q929" i="1"/>
  <c r="P929" i="1"/>
  <c r="S928" i="1"/>
  <c r="R928" i="1"/>
  <c r="Q928" i="1"/>
  <c r="P928" i="1"/>
  <c r="S927" i="1"/>
  <c r="R927" i="1"/>
  <c r="Q927" i="1"/>
  <c r="P927" i="1"/>
  <c r="S926" i="1"/>
  <c r="R926" i="1"/>
  <c r="Q926" i="1"/>
  <c r="P926" i="1"/>
  <c r="S925" i="1"/>
  <c r="R925" i="1"/>
  <c r="Q925" i="1"/>
  <c r="P925" i="1"/>
  <c r="S924" i="1"/>
  <c r="R924" i="1"/>
  <c r="Q924" i="1"/>
  <c r="P924" i="1"/>
  <c r="S923" i="1"/>
  <c r="R923" i="1"/>
  <c r="Q923" i="1"/>
  <c r="P923" i="1"/>
  <c r="S922" i="1"/>
  <c r="R922" i="1"/>
  <c r="Q922" i="1"/>
  <c r="P922" i="1"/>
  <c r="S921" i="1"/>
  <c r="R921" i="1"/>
  <c r="Q921" i="1"/>
  <c r="P921" i="1"/>
  <c r="S920" i="1"/>
  <c r="R920" i="1"/>
  <c r="Q920" i="1"/>
  <c r="P920" i="1"/>
  <c r="S919" i="1"/>
  <c r="R919" i="1"/>
  <c r="Q919" i="1"/>
  <c r="P919" i="1"/>
  <c r="S918" i="1"/>
  <c r="R918" i="1"/>
  <c r="Q918" i="1"/>
  <c r="P918" i="1"/>
  <c r="S917" i="1"/>
  <c r="R917" i="1"/>
  <c r="Q917" i="1"/>
  <c r="P917" i="1"/>
  <c r="S916" i="1"/>
  <c r="R916" i="1"/>
  <c r="Q916" i="1"/>
  <c r="P916" i="1"/>
  <c r="S915" i="1"/>
  <c r="R915" i="1"/>
  <c r="Q915" i="1"/>
  <c r="P915" i="1"/>
  <c r="S914" i="1"/>
  <c r="R914" i="1"/>
  <c r="Q914" i="1"/>
  <c r="P914" i="1"/>
  <c r="S913" i="1"/>
  <c r="R913" i="1"/>
  <c r="Q913" i="1"/>
  <c r="P913" i="1"/>
  <c r="S912" i="1"/>
  <c r="R912" i="1"/>
  <c r="Q912" i="1"/>
  <c r="P912" i="1"/>
  <c r="S911" i="1"/>
  <c r="R911" i="1"/>
  <c r="Q911" i="1"/>
  <c r="P911" i="1"/>
  <c r="S910" i="1"/>
  <c r="R910" i="1"/>
  <c r="Q910" i="1"/>
  <c r="P910" i="1"/>
  <c r="S909" i="1"/>
  <c r="R909" i="1"/>
  <c r="Q909" i="1"/>
  <c r="P909" i="1"/>
  <c r="S908" i="1"/>
  <c r="R908" i="1"/>
  <c r="Q908" i="1"/>
  <c r="P908" i="1"/>
  <c r="S907" i="1"/>
  <c r="R907" i="1"/>
  <c r="Q907" i="1"/>
  <c r="P907" i="1"/>
  <c r="S906" i="1"/>
  <c r="R906" i="1"/>
  <c r="Q906" i="1"/>
  <c r="P906" i="1"/>
  <c r="S905" i="1"/>
  <c r="R905" i="1"/>
  <c r="Q905" i="1"/>
  <c r="P905" i="1"/>
  <c r="S904" i="1"/>
  <c r="R904" i="1"/>
  <c r="Q904" i="1"/>
  <c r="P904" i="1"/>
  <c r="S903" i="1"/>
  <c r="R903" i="1"/>
  <c r="Q903" i="1"/>
  <c r="P903" i="1"/>
  <c r="S902" i="1"/>
  <c r="R902" i="1"/>
  <c r="Q902" i="1"/>
  <c r="P902" i="1"/>
  <c r="S901" i="1"/>
  <c r="R901" i="1"/>
  <c r="Q901" i="1"/>
  <c r="P901" i="1"/>
  <c r="S900" i="1"/>
  <c r="R900" i="1"/>
  <c r="Q900" i="1"/>
  <c r="P900" i="1"/>
  <c r="S899" i="1"/>
  <c r="R899" i="1"/>
  <c r="Q899" i="1"/>
  <c r="P899" i="1"/>
  <c r="S898" i="1"/>
  <c r="R898" i="1"/>
  <c r="Q898" i="1"/>
  <c r="P898" i="1"/>
  <c r="S897" i="1"/>
  <c r="R897" i="1"/>
  <c r="Q897" i="1"/>
  <c r="P897" i="1"/>
  <c r="S896" i="1"/>
  <c r="R896" i="1"/>
  <c r="Q896" i="1"/>
  <c r="P896" i="1"/>
  <c r="S895" i="1"/>
  <c r="R895" i="1"/>
  <c r="Q895" i="1"/>
  <c r="P895" i="1"/>
  <c r="S894" i="1"/>
  <c r="R894" i="1"/>
  <c r="Q894" i="1"/>
  <c r="P894" i="1"/>
  <c r="S893" i="1"/>
  <c r="R893" i="1"/>
  <c r="Q893" i="1"/>
  <c r="P893" i="1"/>
  <c r="S892" i="1"/>
  <c r="R892" i="1"/>
  <c r="Q892" i="1"/>
  <c r="P892" i="1"/>
  <c r="S891" i="1"/>
  <c r="R891" i="1"/>
  <c r="Q891" i="1"/>
  <c r="P891" i="1"/>
  <c r="S890" i="1"/>
  <c r="R890" i="1"/>
  <c r="Q890" i="1"/>
  <c r="P890" i="1"/>
  <c r="S889" i="1"/>
  <c r="R889" i="1"/>
  <c r="Q889" i="1"/>
  <c r="P889" i="1"/>
  <c r="S888" i="1"/>
  <c r="R888" i="1"/>
  <c r="Q888" i="1"/>
  <c r="P888" i="1"/>
  <c r="S887" i="1"/>
  <c r="R887" i="1"/>
  <c r="Q887" i="1"/>
  <c r="P887" i="1"/>
  <c r="S886" i="1"/>
  <c r="R886" i="1"/>
  <c r="Q886" i="1"/>
  <c r="P886" i="1"/>
  <c r="S885" i="1"/>
  <c r="R885" i="1"/>
  <c r="Q885" i="1"/>
  <c r="P885" i="1"/>
  <c r="S884" i="1"/>
  <c r="R884" i="1"/>
  <c r="Q884" i="1"/>
  <c r="P884" i="1"/>
  <c r="S883" i="1"/>
  <c r="R883" i="1"/>
  <c r="Q883" i="1"/>
  <c r="P883" i="1"/>
  <c r="S882" i="1"/>
  <c r="R882" i="1"/>
  <c r="Q882" i="1"/>
  <c r="P882" i="1"/>
  <c r="S881" i="1"/>
  <c r="R881" i="1"/>
  <c r="Q881" i="1"/>
  <c r="P881" i="1"/>
  <c r="S880" i="1"/>
  <c r="R880" i="1"/>
  <c r="Q880" i="1"/>
  <c r="P880" i="1"/>
  <c r="S879" i="1"/>
  <c r="R879" i="1"/>
  <c r="Q879" i="1"/>
  <c r="P879" i="1"/>
  <c r="S878" i="1"/>
  <c r="R878" i="1"/>
  <c r="Q878" i="1"/>
  <c r="P878" i="1"/>
  <c r="S877" i="1"/>
  <c r="R877" i="1"/>
  <c r="Q877" i="1"/>
  <c r="P877" i="1"/>
  <c r="S876" i="1"/>
  <c r="R876" i="1"/>
  <c r="Q876" i="1"/>
  <c r="P876" i="1"/>
  <c r="S875" i="1"/>
  <c r="R875" i="1"/>
  <c r="Q875" i="1"/>
  <c r="P875" i="1"/>
  <c r="S874" i="1"/>
  <c r="R874" i="1"/>
  <c r="Q874" i="1"/>
  <c r="P874" i="1"/>
  <c r="S873" i="1"/>
  <c r="R873" i="1"/>
  <c r="Q873" i="1"/>
  <c r="P873" i="1"/>
  <c r="S872" i="1"/>
  <c r="R872" i="1"/>
  <c r="Q872" i="1"/>
  <c r="P872" i="1"/>
  <c r="S871" i="1"/>
  <c r="R871" i="1"/>
  <c r="Q871" i="1"/>
  <c r="P871" i="1"/>
  <c r="S870" i="1"/>
  <c r="R870" i="1"/>
  <c r="Q870" i="1"/>
  <c r="P870" i="1"/>
  <c r="S869" i="1"/>
  <c r="R869" i="1"/>
  <c r="Q869" i="1"/>
  <c r="P869" i="1"/>
  <c r="S868" i="1"/>
  <c r="R868" i="1"/>
  <c r="Q868" i="1"/>
  <c r="P868" i="1"/>
  <c r="S867" i="1"/>
  <c r="R867" i="1"/>
  <c r="Q867" i="1"/>
  <c r="P867" i="1"/>
  <c r="S866" i="1"/>
  <c r="R866" i="1"/>
  <c r="Q866" i="1"/>
  <c r="P866" i="1"/>
  <c r="S865" i="1"/>
  <c r="R865" i="1"/>
  <c r="Q865" i="1"/>
  <c r="P865" i="1"/>
  <c r="S864" i="1"/>
  <c r="R864" i="1"/>
  <c r="Q864" i="1"/>
  <c r="P864" i="1"/>
  <c r="S863" i="1"/>
  <c r="R863" i="1"/>
  <c r="Q863" i="1"/>
  <c r="P863" i="1"/>
  <c r="S862" i="1"/>
  <c r="R862" i="1"/>
  <c r="Q862" i="1"/>
  <c r="P862" i="1"/>
  <c r="S861" i="1"/>
  <c r="R861" i="1"/>
  <c r="Q861" i="1"/>
  <c r="P861" i="1"/>
  <c r="S860" i="1"/>
  <c r="R860" i="1"/>
  <c r="Q860" i="1"/>
  <c r="P860" i="1"/>
  <c r="S859" i="1"/>
  <c r="R859" i="1"/>
  <c r="Q859" i="1"/>
  <c r="P859" i="1"/>
  <c r="S858" i="1"/>
  <c r="R858" i="1"/>
  <c r="Q858" i="1"/>
  <c r="P858" i="1"/>
  <c r="S857" i="1"/>
  <c r="R857" i="1"/>
  <c r="Q857" i="1"/>
  <c r="P857" i="1"/>
  <c r="S856" i="1"/>
  <c r="R856" i="1"/>
  <c r="Q856" i="1"/>
  <c r="P856" i="1"/>
  <c r="S855" i="1"/>
  <c r="R855" i="1"/>
  <c r="Q855" i="1"/>
  <c r="P855" i="1"/>
  <c r="S854" i="1"/>
  <c r="R854" i="1"/>
  <c r="Q854" i="1"/>
  <c r="P854" i="1"/>
  <c r="S853" i="1"/>
  <c r="R853" i="1"/>
  <c r="Q853" i="1"/>
  <c r="P853" i="1"/>
  <c r="S852" i="1"/>
  <c r="R852" i="1"/>
  <c r="Q852" i="1"/>
  <c r="P852" i="1"/>
  <c r="S851" i="1"/>
  <c r="R851" i="1"/>
  <c r="Q851" i="1"/>
  <c r="P851" i="1"/>
  <c r="S850" i="1"/>
  <c r="R850" i="1"/>
  <c r="Q850" i="1"/>
  <c r="P850" i="1"/>
  <c r="S849" i="1"/>
  <c r="R849" i="1"/>
  <c r="Q849" i="1"/>
  <c r="P849" i="1"/>
  <c r="S848" i="1"/>
  <c r="R848" i="1"/>
  <c r="Q848" i="1"/>
  <c r="P848" i="1"/>
  <c r="S847" i="1"/>
  <c r="R847" i="1"/>
  <c r="Q847" i="1"/>
  <c r="P847" i="1"/>
  <c r="S846" i="1"/>
  <c r="R846" i="1"/>
  <c r="Q846" i="1"/>
  <c r="P846" i="1"/>
  <c r="S845" i="1"/>
  <c r="R845" i="1"/>
  <c r="Q845" i="1"/>
  <c r="P845" i="1"/>
  <c r="S844" i="1"/>
  <c r="R844" i="1"/>
  <c r="Q844" i="1"/>
  <c r="P844" i="1"/>
  <c r="S843" i="1"/>
  <c r="R843" i="1"/>
  <c r="Q843" i="1"/>
  <c r="P843" i="1"/>
  <c r="S842" i="1"/>
  <c r="R842" i="1"/>
  <c r="Q842" i="1"/>
  <c r="P842" i="1"/>
  <c r="S841" i="1"/>
  <c r="R841" i="1"/>
  <c r="Q841" i="1"/>
  <c r="P841" i="1"/>
  <c r="S840" i="1"/>
  <c r="R840" i="1"/>
  <c r="Q840" i="1"/>
  <c r="P840" i="1"/>
  <c r="S839" i="1"/>
  <c r="R839" i="1"/>
  <c r="Q839" i="1"/>
  <c r="P839" i="1"/>
  <c r="S838" i="1"/>
  <c r="R838" i="1"/>
  <c r="Q838" i="1"/>
  <c r="P838" i="1"/>
  <c r="S837" i="1"/>
  <c r="R837" i="1"/>
  <c r="Q837" i="1"/>
  <c r="P837" i="1"/>
  <c r="S836" i="1"/>
  <c r="R836" i="1"/>
  <c r="Q836" i="1"/>
  <c r="P836" i="1"/>
  <c r="S835" i="1"/>
  <c r="R835" i="1"/>
  <c r="Q835" i="1"/>
  <c r="P835" i="1"/>
  <c r="S834" i="1"/>
  <c r="R834" i="1"/>
  <c r="Q834" i="1"/>
  <c r="P834" i="1"/>
  <c r="S833" i="1"/>
  <c r="R833" i="1"/>
  <c r="Q833" i="1"/>
  <c r="P833" i="1"/>
  <c r="S832" i="1"/>
  <c r="R832" i="1"/>
  <c r="Q832" i="1"/>
  <c r="P832" i="1"/>
  <c r="S831" i="1"/>
  <c r="R831" i="1"/>
  <c r="Q831" i="1"/>
  <c r="P831" i="1"/>
  <c r="S830" i="1"/>
  <c r="R830" i="1"/>
  <c r="Q830" i="1"/>
  <c r="P830" i="1"/>
  <c r="S829" i="1"/>
  <c r="R829" i="1"/>
  <c r="Q829" i="1"/>
  <c r="P829" i="1"/>
  <c r="S828" i="1"/>
  <c r="R828" i="1"/>
  <c r="Q828" i="1"/>
  <c r="P828" i="1"/>
  <c r="S827" i="1"/>
  <c r="R827" i="1"/>
  <c r="Q827" i="1"/>
  <c r="P827" i="1"/>
  <c r="S826" i="1"/>
  <c r="R826" i="1"/>
  <c r="Q826" i="1"/>
  <c r="P826" i="1"/>
  <c r="S825" i="1"/>
  <c r="R825" i="1"/>
  <c r="Q825" i="1"/>
  <c r="P825" i="1"/>
  <c r="S824" i="1"/>
  <c r="R824" i="1"/>
  <c r="Q824" i="1"/>
  <c r="P824" i="1"/>
  <c r="S823" i="1"/>
  <c r="R823" i="1"/>
  <c r="Q823" i="1"/>
  <c r="P823" i="1"/>
  <c r="S822" i="1"/>
  <c r="R822" i="1"/>
  <c r="Q822" i="1"/>
  <c r="P822" i="1"/>
  <c r="S821" i="1"/>
  <c r="R821" i="1"/>
  <c r="Q821" i="1"/>
  <c r="P821" i="1"/>
  <c r="S820" i="1"/>
  <c r="R820" i="1"/>
  <c r="Q820" i="1"/>
  <c r="P820" i="1"/>
  <c r="S819" i="1"/>
  <c r="R819" i="1"/>
  <c r="Q819" i="1"/>
  <c r="P819" i="1"/>
  <c r="S818" i="1"/>
  <c r="R818" i="1"/>
  <c r="Q818" i="1"/>
  <c r="P818" i="1"/>
  <c r="S817" i="1"/>
  <c r="R817" i="1"/>
  <c r="Q817" i="1"/>
  <c r="P817" i="1"/>
  <c r="S816" i="1"/>
  <c r="R816" i="1"/>
  <c r="Q816" i="1"/>
  <c r="P816" i="1"/>
  <c r="S815" i="1"/>
  <c r="R815" i="1"/>
  <c r="Q815" i="1"/>
  <c r="P815" i="1"/>
  <c r="S814" i="1"/>
  <c r="R814" i="1"/>
  <c r="Q814" i="1"/>
  <c r="P814" i="1"/>
  <c r="S813" i="1"/>
  <c r="R813" i="1"/>
  <c r="Q813" i="1"/>
  <c r="P813" i="1"/>
  <c r="S812" i="1"/>
  <c r="R812" i="1"/>
  <c r="Q812" i="1"/>
  <c r="P812" i="1"/>
  <c r="S811" i="1"/>
  <c r="R811" i="1"/>
  <c r="Q811" i="1"/>
  <c r="P811" i="1"/>
  <c r="S810" i="1"/>
  <c r="R810" i="1"/>
  <c r="Q810" i="1"/>
  <c r="P810" i="1"/>
  <c r="S809" i="1"/>
  <c r="R809" i="1"/>
  <c r="Q809" i="1"/>
  <c r="P809" i="1"/>
  <c r="S808" i="1"/>
  <c r="R808" i="1"/>
  <c r="Q808" i="1"/>
  <c r="P808" i="1"/>
  <c r="S807" i="1"/>
  <c r="R807" i="1"/>
  <c r="Q807" i="1"/>
  <c r="P807" i="1"/>
  <c r="S806" i="1"/>
  <c r="R806" i="1"/>
  <c r="Q806" i="1"/>
  <c r="P806" i="1"/>
  <c r="S805" i="1"/>
  <c r="R805" i="1"/>
  <c r="Q805" i="1"/>
  <c r="P805" i="1"/>
  <c r="S804" i="1"/>
  <c r="R804" i="1"/>
  <c r="Q804" i="1"/>
  <c r="P804" i="1"/>
  <c r="S803" i="1"/>
  <c r="R803" i="1"/>
  <c r="Q803" i="1"/>
  <c r="P803" i="1"/>
  <c r="S802" i="1"/>
  <c r="R802" i="1"/>
  <c r="Q802" i="1"/>
  <c r="P802" i="1"/>
  <c r="S801" i="1"/>
  <c r="R801" i="1"/>
  <c r="Q801" i="1"/>
  <c r="P801" i="1"/>
  <c r="S800" i="1"/>
  <c r="R800" i="1"/>
  <c r="Q800" i="1"/>
  <c r="P800" i="1"/>
  <c r="S799" i="1"/>
  <c r="R799" i="1"/>
  <c r="Q799" i="1"/>
  <c r="P799" i="1"/>
  <c r="S798" i="1"/>
  <c r="R798" i="1"/>
  <c r="Q798" i="1"/>
  <c r="P798" i="1"/>
  <c r="S797" i="1"/>
  <c r="R797" i="1"/>
  <c r="Q797" i="1"/>
  <c r="P797" i="1"/>
  <c r="S796" i="1"/>
  <c r="R796" i="1"/>
  <c r="Q796" i="1"/>
  <c r="P796" i="1"/>
  <c r="S795" i="1"/>
  <c r="R795" i="1"/>
  <c r="Q795" i="1"/>
  <c r="P795" i="1"/>
  <c r="S794" i="1"/>
  <c r="R794" i="1"/>
  <c r="Q794" i="1"/>
  <c r="P794" i="1"/>
  <c r="S793" i="1"/>
  <c r="R793" i="1"/>
  <c r="Q793" i="1"/>
  <c r="P793" i="1"/>
  <c r="S792" i="1"/>
  <c r="R792" i="1"/>
  <c r="Q792" i="1"/>
  <c r="P792" i="1"/>
  <c r="S791" i="1"/>
  <c r="R791" i="1"/>
  <c r="Q791" i="1"/>
  <c r="P791" i="1"/>
  <c r="S790" i="1"/>
  <c r="R790" i="1"/>
  <c r="Q790" i="1"/>
  <c r="P790" i="1"/>
  <c r="S789" i="1"/>
  <c r="R789" i="1"/>
  <c r="Q789" i="1"/>
  <c r="P789" i="1"/>
  <c r="S788" i="1"/>
  <c r="R788" i="1"/>
  <c r="Q788" i="1"/>
  <c r="P788" i="1"/>
  <c r="S787" i="1"/>
  <c r="R787" i="1"/>
  <c r="Q787" i="1"/>
  <c r="P787" i="1"/>
  <c r="S786" i="1"/>
  <c r="R786" i="1"/>
  <c r="Q786" i="1"/>
  <c r="P786" i="1"/>
  <c r="S785" i="1"/>
  <c r="R785" i="1"/>
  <c r="Q785" i="1"/>
  <c r="P785" i="1"/>
  <c r="S784" i="1"/>
  <c r="R784" i="1"/>
  <c r="Q784" i="1"/>
  <c r="P784" i="1"/>
  <c r="S783" i="1"/>
  <c r="R783" i="1"/>
  <c r="Q783" i="1"/>
  <c r="P783" i="1"/>
  <c r="S782" i="1"/>
  <c r="R782" i="1"/>
  <c r="Q782" i="1"/>
  <c r="P782" i="1"/>
  <c r="S781" i="1"/>
  <c r="R781" i="1"/>
  <c r="Q781" i="1"/>
  <c r="P781" i="1"/>
  <c r="S780" i="1"/>
  <c r="R780" i="1"/>
  <c r="Q780" i="1"/>
  <c r="P780" i="1"/>
  <c r="S779" i="1"/>
  <c r="R779" i="1"/>
  <c r="Q779" i="1"/>
  <c r="P779" i="1"/>
  <c r="S778" i="1"/>
  <c r="R778" i="1"/>
  <c r="Q778" i="1"/>
  <c r="P778" i="1"/>
  <c r="S777" i="1"/>
  <c r="R777" i="1"/>
  <c r="Q777" i="1"/>
  <c r="P777" i="1"/>
  <c r="S776" i="1"/>
  <c r="R776" i="1"/>
  <c r="Q776" i="1"/>
  <c r="P776" i="1"/>
  <c r="S775" i="1"/>
  <c r="R775" i="1"/>
  <c r="Q775" i="1"/>
  <c r="P775" i="1"/>
  <c r="S774" i="1"/>
  <c r="R774" i="1"/>
  <c r="Q774" i="1"/>
  <c r="P774" i="1"/>
  <c r="S773" i="1"/>
  <c r="R773" i="1"/>
  <c r="Q773" i="1"/>
  <c r="P773" i="1"/>
  <c r="S772" i="1"/>
  <c r="R772" i="1"/>
  <c r="Q772" i="1"/>
  <c r="P772" i="1"/>
  <c r="S771" i="1"/>
  <c r="R771" i="1"/>
  <c r="Q771" i="1"/>
  <c r="P771" i="1"/>
  <c r="S770" i="1"/>
  <c r="R770" i="1"/>
  <c r="Q770" i="1"/>
  <c r="P770" i="1"/>
  <c r="S769" i="1"/>
  <c r="R769" i="1"/>
  <c r="Q769" i="1"/>
  <c r="P769" i="1"/>
  <c r="S768" i="1"/>
  <c r="R768" i="1"/>
  <c r="Q768" i="1"/>
  <c r="P768" i="1"/>
  <c r="S767" i="1"/>
  <c r="R767" i="1"/>
  <c r="Q767" i="1"/>
  <c r="P767" i="1"/>
  <c r="S766" i="1"/>
  <c r="R766" i="1"/>
  <c r="Q766" i="1"/>
  <c r="P766" i="1"/>
  <c r="S765" i="1"/>
  <c r="R765" i="1"/>
  <c r="Q765" i="1"/>
  <c r="P765" i="1"/>
  <c r="S764" i="1"/>
  <c r="R764" i="1"/>
  <c r="Q764" i="1"/>
  <c r="P764" i="1"/>
  <c r="S763" i="1"/>
  <c r="R763" i="1"/>
  <c r="Q763" i="1"/>
  <c r="P763" i="1"/>
  <c r="S762" i="1"/>
  <c r="R762" i="1"/>
  <c r="Q762" i="1"/>
  <c r="P762" i="1"/>
  <c r="S761" i="1"/>
  <c r="R761" i="1"/>
  <c r="Q761" i="1"/>
  <c r="P761" i="1"/>
  <c r="S760" i="1"/>
  <c r="R760" i="1"/>
  <c r="Q760" i="1"/>
  <c r="P760" i="1"/>
  <c r="S759" i="1"/>
  <c r="R759" i="1"/>
  <c r="Q759" i="1"/>
  <c r="P759" i="1"/>
  <c r="S758" i="1"/>
  <c r="R758" i="1"/>
  <c r="Q758" i="1"/>
  <c r="P758" i="1"/>
  <c r="S757" i="1"/>
  <c r="R757" i="1"/>
  <c r="Q757" i="1"/>
  <c r="P757" i="1"/>
  <c r="S756" i="1"/>
  <c r="R756" i="1"/>
  <c r="Q756" i="1"/>
  <c r="P756" i="1"/>
  <c r="S755" i="1"/>
  <c r="R755" i="1"/>
  <c r="Q755" i="1"/>
  <c r="P755" i="1"/>
  <c r="S754" i="1"/>
  <c r="R754" i="1"/>
  <c r="Q754" i="1"/>
  <c r="P754" i="1"/>
  <c r="S753" i="1"/>
  <c r="R753" i="1"/>
  <c r="Q753" i="1"/>
  <c r="P753" i="1"/>
  <c r="S752" i="1"/>
  <c r="R752" i="1"/>
  <c r="Q752" i="1"/>
  <c r="P752" i="1"/>
  <c r="S751" i="1"/>
  <c r="R751" i="1"/>
  <c r="Q751" i="1"/>
  <c r="P751" i="1"/>
  <c r="S750" i="1"/>
  <c r="R750" i="1"/>
  <c r="Q750" i="1"/>
  <c r="P750" i="1"/>
  <c r="S749" i="1"/>
  <c r="R749" i="1"/>
  <c r="Q749" i="1"/>
  <c r="P749" i="1"/>
  <c r="S748" i="1"/>
  <c r="R748" i="1"/>
  <c r="Q748" i="1"/>
  <c r="P748" i="1"/>
  <c r="S747" i="1"/>
  <c r="R747" i="1"/>
  <c r="Q747" i="1"/>
  <c r="P747" i="1"/>
  <c r="S746" i="1"/>
  <c r="R746" i="1"/>
  <c r="Q746" i="1"/>
  <c r="P746" i="1"/>
  <c r="S745" i="1"/>
  <c r="R745" i="1"/>
  <c r="Q745" i="1"/>
  <c r="P745" i="1"/>
  <c r="S744" i="1"/>
  <c r="R744" i="1"/>
  <c r="Q744" i="1"/>
  <c r="P744" i="1"/>
  <c r="S743" i="1"/>
  <c r="R743" i="1"/>
  <c r="Q743" i="1"/>
  <c r="P743" i="1"/>
  <c r="S742" i="1"/>
  <c r="R742" i="1"/>
  <c r="Q742" i="1"/>
  <c r="P742" i="1"/>
  <c r="S741" i="1"/>
  <c r="R741" i="1"/>
  <c r="Q741" i="1"/>
  <c r="P741" i="1"/>
  <c r="S740" i="1"/>
  <c r="R740" i="1"/>
  <c r="Q740" i="1"/>
  <c r="P740" i="1"/>
  <c r="S739" i="1"/>
  <c r="R739" i="1"/>
  <c r="Q739" i="1"/>
  <c r="P739" i="1"/>
  <c r="S738" i="1"/>
  <c r="R738" i="1"/>
  <c r="Q738" i="1"/>
  <c r="P738" i="1"/>
  <c r="S737" i="1"/>
  <c r="R737" i="1"/>
  <c r="Q737" i="1"/>
  <c r="P737" i="1"/>
  <c r="S736" i="1"/>
  <c r="R736" i="1"/>
  <c r="Q736" i="1"/>
  <c r="P736" i="1"/>
  <c r="S735" i="1"/>
  <c r="R735" i="1"/>
  <c r="Q735" i="1"/>
  <c r="P735" i="1"/>
  <c r="S734" i="1"/>
  <c r="R734" i="1"/>
  <c r="Q734" i="1"/>
  <c r="P734" i="1"/>
  <c r="S733" i="1"/>
  <c r="R733" i="1"/>
  <c r="Q733" i="1"/>
  <c r="P733" i="1"/>
  <c r="S732" i="1"/>
  <c r="R732" i="1"/>
  <c r="Q732" i="1"/>
  <c r="P732" i="1"/>
  <c r="S731" i="1"/>
  <c r="R731" i="1"/>
  <c r="Q731" i="1"/>
  <c r="P731" i="1"/>
  <c r="S730" i="1"/>
  <c r="R730" i="1"/>
  <c r="Q730" i="1"/>
  <c r="P730" i="1"/>
  <c r="S729" i="1"/>
  <c r="R729" i="1"/>
  <c r="Q729" i="1"/>
  <c r="P729" i="1"/>
  <c r="S728" i="1"/>
  <c r="R728" i="1"/>
  <c r="Q728" i="1"/>
  <c r="P728" i="1"/>
  <c r="S727" i="1"/>
  <c r="R727" i="1"/>
  <c r="Q727" i="1"/>
  <c r="P727" i="1"/>
  <c r="S726" i="1"/>
  <c r="R726" i="1"/>
  <c r="Q726" i="1"/>
  <c r="P726" i="1"/>
  <c r="S725" i="1"/>
  <c r="R725" i="1"/>
  <c r="Q725" i="1"/>
  <c r="P725" i="1"/>
  <c r="S724" i="1"/>
  <c r="R724" i="1"/>
  <c r="Q724" i="1"/>
  <c r="P724" i="1"/>
  <c r="S723" i="1"/>
  <c r="R723" i="1"/>
  <c r="Q723" i="1"/>
  <c r="P723" i="1"/>
  <c r="S722" i="1"/>
  <c r="R722" i="1"/>
  <c r="Q722" i="1"/>
  <c r="P722" i="1"/>
  <c r="S721" i="1"/>
  <c r="R721" i="1"/>
  <c r="Q721" i="1"/>
  <c r="P721" i="1"/>
  <c r="S720" i="1"/>
  <c r="R720" i="1"/>
  <c r="Q720" i="1"/>
  <c r="P720" i="1"/>
  <c r="S719" i="1"/>
  <c r="R719" i="1"/>
  <c r="Q719" i="1"/>
  <c r="P719" i="1"/>
  <c r="S718" i="1"/>
  <c r="R718" i="1"/>
  <c r="Q718" i="1"/>
  <c r="P718" i="1"/>
  <c r="S717" i="1"/>
  <c r="R717" i="1"/>
  <c r="Q717" i="1"/>
  <c r="P717" i="1"/>
  <c r="S716" i="1"/>
  <c r="R716" i="1"/>
  <c r="Q716" i="1"/>
  <c r="P716" i="1"/>
  <c r="S715" i="1"/>
  <c r="R715" i="1"/>
  <c r="Q715" i="1"/>
  <c r="P715" i="1"/>
  <c r="S714" i="1"/>
  <c r="R714" i="1"/>
  <c r="Q714" i="1"/>
  <c r="P714" i="1"/>
  <c r="S713" i="1"/>
  <c r="R713" i="1"/>
  <c r="Q713" i="1"/>
  <c r="P713" i="1"/>
  <c r="S712" i="1"/>
  <c r="R712" i="1"/>
  <c r="Q712" i="1"/>
  <c r="P712" i="1"/>
  <c r="S711" i="1"/>
  <c r="R711" i="1"/>
  <c r="Q711" i="1"/>
  <c r="P711" i="1"/>
  <c r="S710" i="1"/>
  <c r="R710" i="1"/>
  <c r="Q710" i="1"/>
  <c r="P710" i="1"/>
  <c r="S709" i="1"/>
  <c r="R709" i="1"/>
  <c r="Q709" i="1"/>
  <c r="P709" i="1"/>
  <c r="S708" i="1"/>
  <c r="R708" i="1"/>
  <c r="Q708" i="1"/>
  <c r="P708" i="1"/>
  <c r="S707" i="1"/>
  <c r="R707" i="1"/>
  <c r="Q707" i="1"/>
  <c r="P707" i="1"/>
  <c r="S706" i="1"/>
  <c r="R706" i="1"/>
  <c r="Q706" i="1"/>
  <c r="P706" i="1"/>
  <c r="S705" i="1"/>
  <c r="R705" i="1"/>
  <c r="Q705" i="1"/>
  <c r="P705" i="1"/>
  <c r="S704" i="1"/>
  <c r="R704" i="1"/>
  <c r="Q704" i="1"/>
  <c r="P704" i="1"/>
  <c r="S703" i="1"/>
  <c r="R703" i="1"/>
  <c r="Q703" i="1"/>
  <c r="P703" i="1"/>
  <c r="S702" i="1"/>
  <c r="R702" i="1"/>
  <c r="Q702" i="1"/>
  <c r="P702" i="1"/>
  <c r="S701" i="1"/>
  <c r="R701" i="1"/>
  <c r="Q701" i="1"/>
  <c r="P701" i="1"/>
  <c r="S700" i="1"/>
  <c r="R700" i="1"/>
  <c r="Q700" i="1"/>
  <c r="P700" i="1"/>
  <c r="S699" i="1"/>
  <c r="R699" i="1"/>
  <c r="Q699" i="1"/>
  <c r="P699" i="1"/>
  <c r="S698" i="1"/>
  <c r="R698" i="1"/>
  <c r="Q698" i="1"/>
  <c r="P698" i="1"/>
  <c r="S697" i="1"/>
  <c r="R697" i="1"/>
  <c r="Q697" i="1"/>
  <c r="P697" i="1"/>
  <c r="S696" i="1"/>
  <c r="R696" i="1"/>
  <c r="Q696" i="1"/>
  <c r="P696" i="1"/>
  <c r="S695" i="1"/>
  <c r="R695" i="1"/>
  <c r="Q695" i="1"/>
  <c r="P695" i="1"/>
  <c r="S694" i="1"/>
  <c r="R694" i="1"/>
  <c r="Q694" i="1"/>
  <c r="P694" i="1"/>
  <c r="S693" i="1"/>
  <c r="R693" i="1"/>
  <c r="Q693" i="1"/>
  <c r="P693" i="1"/>
  <c r="S692" i="1"/>
  <c r="R692" i="1"/>
  <c r="Q692" i="1"/>
  <c r="P692" i="1"/>
  <c r="S691" i="1"/>
  <c r="R691" i="1"/>
  <c r="Q691" i="1"/>
  <c r="P691" i="1"/>
  <c r="S690" i="1"/>
  <c r="R690" i="1"/>
  <c r="Q690" i="1"/>
  <c r="P690" i="1"/>
  <c r="S689" i="1"/>
  <c r="R689" i="1"/>
  <c r="Q689" i="1"/>
  <c r="P689" i="1"/>
  <c r="S688" i="1"/>
  <c r="R688" i="1"/>
  <c r="Q688" i="1"/>
  <c r="P688" i="1"/>
  <c r="S687" i="1"/>
  <c r="R687" i="1"/>
  <c r="Q687" i="1"/>
  <c r="P687" i="1"/>
  <c r="S686" i="1"/>
  <c r="R686" i="1"/>
  <c r="Q686" i="1"/>
  <c r="P686" i="1"/>
  <c r="S685" i="1"/>
  <c r="R685" i="1"/>
  <c r="Q685" i="1"/>
  <c r="P685" i="1"/>
  <c r="S684" i="1"/>
  <c r="R684" i="1"/>
  <c r="Q684" i="1"/>
  <c r="P684" i="1"/>
  <c r="S683" i="1"/>
  <c r="R683" i="1"/>
  <c r="Q683" i="1"/>
  <c r="P683" i="1"/>
  <c r="S682" i="1"/>
  <c r="R682" i="1"/>
  <c r="Q682" i="1"/>
  <c r="P682" i="1"/>
  <c r="S681" i="1"/>
  <c r="R681" i="1"/>
  <c r="Q681" i="1"/>
  <c r="P681" i="1"/>
  <c r="S680" i="1"/>
  <c r="R680" i="1"/>
  <c r="Q680" i="1"/>
  <c r="P680" i="1"/>
  <c r="S679" i="1"/>
  <c r="R679" i="1"/>
  <c r="Q679" i="1"/>
  <c r="P679" i="1"/>
  <c r="S678" i="1"/>
  <c r="R678" i="1"/>
  <c r="Q678" i="1"/>
  <c r="P678" i="1"/>
  <c r="S677" i="1"/>
  <c r="R677" i="1"/>
  <c r="Q677" i="1"/>
  <c r="P677" i="1"/>
  <c r="S676" i="1"/>
  <c r="R676" i="1"/>
  <c r="Q676" i="1"/>
  <c r="P676" i="1"/>
  <c r="S675" i="1"/>
  <c r="R675" i="1"/>
  <c r="Q675" i="1"/>
  <c r="P675" i="1"/>
  <c r="S674" i="1"/>
  <c r="R674" i="1"/>
  <c r="Q674" i="1"/>
  <c r="P674" i="1"/>
  <c r="S673" i="1"/>
  <c r="R673" i="1"/>
  <c r="Q673" i="1"/>
  <c r="P673" i="1"/>
  <c r="S672" i="1"/>
  <c r="R672" i="1"/>
  <c r="Q672" i="1"/>
  <c r="P672" i="1"/>
  <c r="S671" i="1"/>
  <c r="R671" i="1"/>
  <c r="Q671" i="1"/>
  <c r="P671" i="1"/>
  <c r="S670" i="1"/>
  <c r="R670" i="1"/>
  <c r="Q670" i="1"/>
  <c r="P670" i="1"/>
  <c r="S669" i="1"/>
  <c r="R669" i="1"/>
  <c r="Q669" i="1"/>
  <c r="P669" i="1"/>
  <c r="S668" i="1"/>
  <c r="R668" i="1"/>
  <c r="Q668" i="1"/>
  <c r="P668" i="1"/>
  <c r="S667" i="1"/>
  <c r="R667" i="1"/>
  <c r="Q667" i="1"/>
  <c r="P667" i="1"/>
  <c r="S666" i="1"/>
  <c r="R666" i="1"/>
  <c r="Q666" i="1"/>
  <c r="P666" i="1"/>
  <c r="S665" i="1"/>
  <c r="R665" i="1"/>
  <c r="Q665" i="1"/>
  <c r="P665" i="1"/>
  <c r="S664" i="1"/>
  <c r="R664" i="1"/>
  <c r="Q664" i="1"/>
  <c r="P664" i="1"/>
  <c r="S663" i="1"/>
  <c r="R663" i="1"/>
  <c r="Q663" i="1"/>
  <c r="P663" i="1"/>
  <c r="S662" i="1"/>
  <c r="R662" i="1"/>
  <c r="Q662" i="1"/>
  <c r="P662" i="1"/>
  <c r="S661" i="1"/>
  <c r="R661" i="1"/>
  <c r="Q661" i="1"/>
  <c r="P661" i="1"/>
  <c r="S660" i="1"/>
  <c r="R660" i="1"/>
  <c r="Q660" i="1"/>
  <c r="P660" i="1"/>
  <c r="S659" i="1"/>
  <c r="R659" i="1"/>
  <c r="Q659" i="1"/>
  <c r="P659" i="1"/>
  <c r="S658" i="1"/>
  <c r="R658" i="1"/>
  <c r="Q658" i="1"/>
  <c r="P658" i="1"/>
  <c r="S657" i="1"/>
  <c r="R657" i="1"/>
  <c r="Q657" i="1"/>
  <c r="P657" i="1"/>
  <c r="S656" i="1"/>
  <c r="R656" i="1"/>
  <c r="Q656" i="1"/>
  <c r="P656" i="1"/>
  <c r="S655" i="1"/>
  <c r="R655" i="1"/>
  <c r="Q655" i="1"/>
  <c r="P655" i="1"/>
  <c r="S654" i="1"/>
  <c r="R654" i="1"/>
  <c r="Q654" i="1"/>
  <c r="P654" i="1"/>
  <c r="S653" i="1"/>
  <c r="R653" i="1"/>
  <c r="Q653" i="1"/>
  <c r="P653" i="1"/>
  <c r="S652" i="1"/>
  <c r="R652" i="1"/>
  <c r="Q652" i="1"/>
  <c r="P652" i="1"/>
  <c r="S651" i="1"/>
  <c r="R651" i="1"/>
  <c r="Q651" i="1"/>
  <c r="P651" i="1"/>
  <c r="S650" i="1"/>
  <c r="R650" i="1"/>
  <c r="Q650" i="1"/>
  <c r="P650" i="1"/>
  <c r="S649" i="1"/>
  <c r="R649" i="1"/>
  <c r="Q649" i="1"/>
  <c r="P649" i="1"/>
  <c r="S648" i="1"/>
  <c r="R648" i="1"/>
  <c r="Q648" i="1"/>
  <c r="P648" i="1"/>
  <c r="S647" i="1"/>
  <c r="R647" i="1"/>
  <c r="Q647" i="1"/>
  <c r="P647" i="1"/>
  <c r="S646" i="1"/>
  <c r="R646" i="1"/>
  <c r="Q646" i="1"/>
  <c r="P646" i="1"/>
  <c r="S645" i="1"/>
  <c r="R645" i="1"/>
  <c r="Q645" i="1"/>
  <c r="P645" i="1"/>
  <c r="S644" i="1"/>
  <c r="R644" i="1"/>
  <c r="Q644" i="1"/>
  <c r="P644" i="1"/>
  <c r="S643" i="1"/>
  <c r="R643" i="1"/>
  <c r="Q643" i="1"/>
  <c r="P643" i="1"/>
  <c r="S642" i="1"/>
  <c r="R642" i="1"/>
  <c r="Q642" i="1"/>
  <c r="P642" i="1"/>
  <c r="S641" i="1"/>
  <c r="R641" i="1"/>
  <c r="Q641" i="1"/>
  <c r="P641" i="1"/>
  <c r="S640" i="1"/>
  <c r="R640" i="1"/>
  <c r="Q640" i="1"/>
  <c r="P640" i="1"/>
  <c r="S639" i="1"/>
  <c r="R639" i="1"/>
  <c r="Q639" i="1"/>
  <c r="P639" i="1"/>
  <c r="S638" i="1"/>
  <c r="R638" i="1"/>
  <c r="Q638" i="1"/>
  <c r="P638" i="1"/>
  <c r="S637" i="1"/>
  <c r="R637" i="1"/>
  <c r="Q637" i="1"/>
  <c r="P637" i="1"/>
  <c r="S636" i="1"/>
  <c r="R636" i="1"/>
  <c r="Q636" i="1"/>
  <c r="P636" i="1"/>
  <c r="S635" i="1"/>
  <c r="R635" i="1"/>
  <c r="Q635" i="1"/>
  <c r="P635" i="1"/>
  <c r="S634" i="1"/>
  <c r="R634" i="1"/>
  <c r="Q634" i="1"/>
  <c r="P634" i="1"/>
  <c r="S633" i="1"/>
  <c r="R633" i="1"/>
  <c r="Q633" i="1"/>
  <c r="P633" i="1"/>
  <c r="S632" i="1"/>
  <c r="R632" i="1"/>
  <c r="Q632" i="1"/>
  <c r="P632" i="1"/>
  <c r="S631" i="1"/>
  <c r="R631" i="1"/>
  <c r="Q631" i="1"/>
  <c r="P631" i="1"/>
  <c r="S630" i="1"/>
  <c r="R630" i="1"/>
  <c r="Q630" i="1"/>
  <c r="P630" i="1"/>
  <c r="S629" i="1"/>
  <c r="R629" i="1"/>
  <c r="Q629" i="1"/>
  <c r="P629" i="1"/>
  <c r="S628" i="1"/>
  <c r="R628" i="1"/>
  <c r="Q628" i="1"/>
  <c r="P628" i="1"/>
  <c r="S627" i="1"/>
  <c r="R627" i="1"/>
  <c r="Q627" i="1"/>
  <c r="P627" i="1"/>
  <c r="S626" i="1"/>
  <c r="R626" i="1"/>
  <c r="Q626" i="1"/>
  <c r="P626" i="1"/>
  <c r="S625" i="1"/>
  <c r="R625" i="1"/>
  <c r="Q625" i="1"/>
  <c r="P625" i="1"/>
  <c r="S624" i="1"/>
  <c r="R624" i="1"/>
  <c r="Q624" i="1"/>
  <c r="P624" i="1"/>
  <c r="S623" i="1"/>
  <c r="R623" i="1"/>
  <c r="Q623" i="1"/>
  <c r="P623" i="1"/>
  <c r="S622" i="1"/>
  <c r="R622" i="1"/>
  <c r="Q622" i="1"/>
  <c r="P622" i="1"/>
  <c r="S621" i="1"/>
  <c r="R621" i="1"/>
  <c r="Q621" i="1"/>
  <c r="P621" i="1"/>
  <c r="S620" i="1"/>
  <c r="R620" i="1"/>
  <c r="Q620" i="1"/>
  <c r="P620" i="1"/>
  <c r="S619" i="1"/>
  <c r="R619" i="1"/>
  <c r="Q619" i="1"/>
  <c r="P619" i="1"/>
  <c r="S618" i="1"/>
  <c r="R618" i="1"/>
  <c r="Q618" i="1"/>
  <c r="P618" i="1"/>
  <c r="S617" i="1"/>
  <c r="R617" i="1"/>
  <c r="Q617" i="1"/>
  <c r="P617" i="1"/>
  <c r="S616" i="1"/>
  <c r="R616" i="1"/>
  <c r="Q616" i="1"/>
  <c r="P616" i="1"/>
  <c r="S615" i="1"/>
  <c r="R615" i="1"/>
  <c r="Q615" i="1"/>
  <c r="P615" i="1"/>
  <c r="S614" i="1"/>
  <c r="R614" i="1"/>
  <c r="Q614" i="1"/>
  <c r="P614" i="1"/>
  <c r="S613" i="1"/>
  <c r="R613" i="1"/>
  <c r="Q613" i="1"/>
  <c r="P613" i="1"/>
  <c r="S612" i="1"/>
  <c r="R612" i="1"/>
  <c r="Q612" i="1"/>
  <c r="P612" i="1"/>
  <c r="S611" i="1"/>
  <c r="R611" i="1"/>
  <c r="Q611" i="1"/>
  <c r="P611" i="1"/>
  <c r="S610" i="1"/>
  <c r="R610" i="1"/>
  <c r="Q610" i="1"/>
  <c r="P610" i="1"/>
  <c r="S609" i="1"/>
  <c r="R609" i="1"/>
  <c r="Q609" i="1"/>
  <c r="P609" i="1"/>
  <c r="S608" i="1"/>
  <c r="R608" i="1"/>
  <c r="Q608" i="1"/>
  <c r="P608" i="1"/>
  <c r="S607" i="1"/>
  <c r="R607" i="1"/>
  <c r="Q607" i="1"/>
  <c r="P607" i="1"/>
  <c r="S606" i="1"/>
  <c r="R606" i="1"/>
  <c r="Q606" i="1"/>
  <c r="P606" i="1"/>
  <c r="S605" i="1"/>
  <c r="R605" i="1"/>
  <c r="Q605" i="1"/>
  <c r="P605" i="1"/>
  <c r="S604" i="1"/>
  <c r="R604" i="1"/>
  <c r="Q604" i="1"/>
  <c r="P604" i="1"/>
  <c r="S603" i="1"/>
  <c r="R603" i="1"/>
  <c r="Q603" i="1"/>
  <c r="P603" i="1"/>
  <c r="S602" i="1"/>
  <c r="R602" i="1"/>
  <c r="Q602" i="1"/>
  <c r="P602" i="1"/>
  <c r="S601" i="1"/>
  <c r="R601" i="1"/>
  <c r="Q601" i="1"/>
  <c r="P601" i="1"/>
  <c r="S600" i="1"/>
  <c r="R600" i="1"/>
  <c r="Q600" i="1"/>
  <c r="P600" i="1"/>
  <c r="S599" i="1"/>
  <c r="R599" i="1"/>
  <c r="Q599" i="1"/>
  <c r="P599" i="1"/>
  <c r="S598" i="1"/>
  <c r="R598" i="1"/>
  <c r="Q598" i="1"/>
  <c r="P598" i="1"/>
  <c r="S597" i="1"/>
  <c r="R597" i="1"/>
  <c r="Q597" i="1"/>
  <c r="P597" i="1"/>
  <c r="S596" i="1"/>
  <c r="R596" i="1"/>
  <c r="Q596" i="1"/>
  <c r="P596" i="1"/>
  <c r="S595" i="1"/>
  <c r="R595" i="1"/>
  <c r="Q595" i="1"/>
  <c r="P595" i="1"/>
  <c r="S594" i="1"/>
  <c r="R594" i="1"/>
  <c r="Q594" i="1"/>
  <c r="P594" i="1"/>
  <c r="S593" i="1"/>
  <c r="R593" i="1"/>
  <c r="Q593" i="1"/>
  <c r="P593" i="1"/>
  <c r="S592" i="1"/>
  <c r="R592" i="1"/>
  <c r="Q592" i="1"/>
  <c r="P592" i="1"/>
  <c r="S591" i="1"/>
  <c r="R591" i="1"/>
  <c r="Q591" i="1"/>
  <c r="P591" i="1"/>
  <c r="S590" i="1"/>
  <c r="R590" i="1"/>
  <c r="Q590" i="1"/>
  <c r="P590" i="1"/>
  <c r="S589" i="1"/>
  <c r="R589" i="1"/>
  <c r="Q589" i="1"/>
  <c r="P589" i="1"/>
  <c r="S588" i="1"/>
  <c r="R588" i="1"/>
  <c r="Q588" i="1"/>
  <c r="P588" i="1"/>
  <c r="S587" i="1"/>
  <c r="R587" i="1"/>
  <c r="Q587" i="1"/>
  <c r="P587" i="1"/>
  <c r="S586" i="1"/>
  <c r="R586" i="1"/>
  <c r="Q586" i="1"/>
  <c r="P586" i="1"/>
  <c r="S585" i="1"/>
  <c r="R585" i="1"/>
  <c r="Q585" i="1"/>
  <c r="P585" i="1"/>
  <c r="S584" i="1"/>
  <c r="R584" i="1"/>
  <c r="Q584" i="1"/>
  <c r="P584" i="1"/>
  <c r="S583" i="1"/>
  <c r="R583" i="1"/>
  <c r="Q583" i="1"/>
  <c r="P583" i="1"/>
  <c r="S582" i="1"/>
  <c r="R582" i="1"/>
  <c r="Q582" i="1"/>
  <c r="P582" i="1"/>
  <c r="S581" i="1"/>
  <c r="R581" i="1"/>
  <c r="Q581" i="1"/>
  <c r="P581" i="1"/>
  <c r="S580" i="1"/>
  <c r="R580" i="1"/>
  <c r="Q580" i="1"/>
  <c r="P580" i="1"/>
  <c r="S579" i="1"/>
  <c r="R579" i="1"/>
  <c r="Q579" i="1"/>
  <c r="P579" i="1"/>
  <c r="S578" i="1"/>
  <c r="R578" i="1"/>
  <c r="Q578" i="1"/>
  <c r="P578" i="1"/>
  <c r="S577" i="1"/>
  <c r="R577" i="1"/>
  <c r="Q577" i="1"/>
  <c r="P577" i="1"/>
  <c r="S576" i="1"/>
  <c r="R576" i="1"/>
  <c r="Q576" i="1"/>
  <c r="P576" i="1"/>
  <c r="S575" i="1"/>
  <c r="R575" i="1"/>
  <c r="Q575" i="1"/>
  <c r="P575" i="1"/>
  <c r="S574" i="1"/>
  <c r="R574" i="1"/>
  <c r="Q574" i="1"/>
  <c r="P574" i="1"/>
  <c r="S573" i="1"/>
  <c r="R573" i="1"/>
  <c r="Q573" i="1"/>
  <c r="P573" i="1"/>
  <c r="S572" i="1"/>
  <c r="R572" i="1"/>
  <c r="Q572" i="1"/>
  <c r="P572" i="1"/>
  <c r="S571" i="1"/>
  <c r="R571" i="1"/>
  <c r="Q571" i="1"/>
  <c r="P571" i="1"/>
  <c r="S570" i="1"/>
  <c r="R570" i="1"/>
  <c r="Q570" i="1"/>
  <c r="P570" i="1"/>
  <c r="S569" i="1"/>
  <c r="R569" i="1"/>
  <c r="Q569" i="1"/>
  <c r="P569" i="1"/>
  <c r="S568" i="1"/>
  <c r="R568" i="1"/>
  <c r="Q568" i="1"/>
  <c r="P568" i="1"/>
  <c r="S567" i="1"/>
  <c r="R567" i="1"/>
  <c r="Q567" i="1"/>
  <c r="P567" i="1"/>
  <c r="S566" i="1"/>
  <c r="R566" i="1"/>
  <c r="Q566" i="1"/>
  <c r="P566" i="1"/>
  <c r="S565" i="1"/>
  <c r="R565" i="1"/>
  <c r="Q565" i="1"/>
  <c r="P565" i="1"/>
  <c r="S564" i="1"/>
  <c r="R564" i="1"/>
  <c r="Q564" i="1"/>
  <c r="P564" i="1"/>
  <c r="S563" i="1"/>
  <c r="R563" i="1"/>
  <c r="Q563" i="1"/>
  <c r="P563" i="1"/>
  <c r="S562" i="1"/>
  <c r="R562" i="1"/>
  <c r="Q562" i="1"/>
  <c r="P562" i="1"/>
  <c r="S561" i="1"/>
  <c r="R561" i="1"/>
  <c r="Q561" i="1"/>
  <c r="P561" i="1"/>
  <c r="S560" i="1"/>
  <c r="R560" i="1"/>
  <c r="Q560" i="1"/>
  <c r="P560" i="1"/>
  <c r="S559" i="1"/>
  <c r="R559" i="1"/>
  <c r="Q559" i="1"/>
  <c r="P559" i="1"/>
  <c r="S558" i="1"/>
  <c r="R558" i="1"/>
  <c r="Q558" i="1"/>
  <c r="P558" i="1"/>
  <c r="S557" i="1"/>
  <c r="R557" i="1"/>
  <c r="Q557" i="1"/>
  <c r="P557" i="1"/>
  <c r="S556" i="1"/>
  <c r="R556" i="1"/>
  <c r="Q556" i="1"/>
  <c r="P556" i="1"/>
  <c r="S555" i="1"/>
  <c r="R555" i="1"/>
  <c r="Q555" i="1"/>
  <c r="P555" i="1"/>
  <c r="S554" i="1"/>
  <c r="R554" i="1"/>
  <c r="Q554" i="1"/>
  <c r="P554" i="1"/>
  <c r="S553" i="1"/>
  <c r="R553" i="1"/>
  <c r="Q553" i="1"/>
  <c r="P553" i="1"/>
  <c r="S552" i="1"/>
  <c r="R552" i="1"/>
  <c r="Q552" i="1"/>
  <c r="P552" i="1"/>
  <c r="S551" i="1"/>
  <c r="R551" i="1"/>
  <c r="Q551" i="1"/>
  <c r="P551" i="1"/>
  <c r="S550" i="1"/>
  <c r="R550" i="1"/>
  <c r="Q550" i="1"/>
  <c r="P550" i="1"/>
  <c r="S549" i="1"/>
  <c r="R549" i="1"/>
  <c r="Q549" i="1"/>
  <c r="P549" i="1"/>
  <c r="S548" i="1"/>
  <c r="R548" i="1"/>
  <c r="Q548" i="1"/>
  <c r="P548" i="1"/>
  <c r="S547" i="1"/>
  <c r="R547" i="1"/>
  <c r="Q547" i="1"/>
  <c r="P547" i="1"/>
  <c r="S546" i="1"/>
  <c r="R546" i="1"/>
  <c r="Q546" i="1"/>
  <c r="P546" i="1"/>
  <c r="S545" i="1"/>
  <c r="R545" i="1"/>
  <c r="Q545" i="1"/>
  <c r="P545" i="1"/>
  <c r="S544" i="1"/>
  <c r="R544" i="1"/>
  <c r="Q544" i="1"/>
  <c r="P544" i="1"/>
  <c r="S543" i="1"/>
  <c r="R543" i="1"/>
  <c r="Q543" i="1"/>
  <c r="P543" i="1"/>
  <c r="S542" i="1"/>
  <c r="R542" i="1"/>
  <c r="Q542" i="1"/>
  <c r="P542" i="1"/>
  <c r="S541" i="1"/>
  <c r="R541" i="1"/>
  <c r="Q541" i="1"/>
  <c r="P541" i="1"/>
  <c r="S540" i="1"/>
  <c r="R540" i="1"/>
  <c r="Q540" i="1"/>
  <c r="P540" i="1"/>
  <c r="S539" i="1"/>
  <c r="R539" i="1"/>
  <c r="Q539" i="1"/>
  <c r="P539" i="1"/>
  <c r="S538" i="1"/>
  <c r="R538" i="1"/>
  <c r="Q538" i="1"/>
  <c r="P538" i="1"/>
  <c r="S537" i="1"/>
  <c r="R537" i="1"/>
  <c r="Q537" i="1"/>
  <c r="P537" i="1"/>
  <c r="S536" i="1"/>
  <c r="R536" i="1"/>
  <c r="Q536" i="1"/>
  <c r="P536" i="1"/>
  <c r="S535" i="1"/>
  <c r="R535" i="1"/>
  <c r="Q535" i="1"/>
  <c r="P535" i="1"/>
  <c r="S534" i="1"/>
  <c r="R534" i="1"/>
  <c r="Q534" i="1"/>
  <c r="P534" i="1"/>
  <c r="S533" i="1"/>
  <c r="R533" i="1"/>
  <c r="Q533" i="1"/>
  <c r="P533" i="1"/>
  <c r="S532" i="1"/>
  <c r="R532" i="1"/>
  <c r="Q532" i="1"/>
  <c r="P532" i="1"/>
  <c r="S531" i="1"/>
  <c r="R531" i="1"/>
  <c r="Q531" i="1"/>
  <c r="P531" i="1"/>
  <c r="S530" i="1"/>
  <c r="R530" i="1"/>
  <c r="Q530" i="1"/>
  <c r="P530" i="1"/>
  <c r="S529" i="1"/>
  <c r="R529" i="1"/>
  <c r="Q529" i="1"/>
  <c r="P529" i="1"/>
  <c r="S528" i="1"/>
  <c r="R528" i="1"/>
  <c r="Q528" i="1"/>
  <c r="P528" i="1"/>
  <c r="S527" i="1"/>
  <c r="R527" i="1"/>
  <c r="Q527" i="1"/>
  <c r="P527" i="1"/>
  <c r="S526" i="1"/>
  <c r="R526" i="1"/>
  <c r="Q526" i="1"/>
  <c r="P526" i="1"/>
  <c r="S525" i="1"/>
  <c r="R525" i="1"/>
  <c r="Q525" i="1"/>
  <c r="P525" i="1"/>
  <c r="S524" i="1"/>
  <c r="R524" i="1"/>
  <c r="Q524" i="1"/>
  <c r="P524" i="1"/>
  <c r="S523" i="1"/>
  <c r="R523" i="1"/>
  <c r="Q523" i="1"/>
  <c r="P523" i="1"/>
  <c r="S522" i="1"/>
  <c r="R522" i="1"/>
  <c r="Q522" i="1"/>
  <c r="P522" i="1"/>
  <c r="S521" i="1"/>
  <c r="R521" i="1"/>
  <c r="Q521" i="1"/>
  <c r="P521" i="1"/>
  <c r="S520" i="1"/>
  <c r="R520" i="1"/>
  <c r="Q520" i="1"/>
  <c r="P520" i="1"/>
  <c r="S519" i="1"/>
  <c r="R519" i="1"/>
  <c r="Q519" i="1"/>
  <c r="P519" i="1"/>
  <c r="S518" i="1"/>
  <c r="R518" i="1"/>
  <c r="Q518" i="1"/>
  <c r="P518" i="1"/>
  <c r="S517" i="1"/>
  <c r="R517" i="1"/>
  <c r="Q517" i="1"/>
  <c r="P517" i="1"/>
  <c r="S516" i="1"/>
  <c r="R516" i="1"/>
  <c r="Q516" i="1"/>
  <c r="P516" i="1"/>
  <c r="S515" i="1"/>
  <c r="R515" i="1"/>
  <c r="Q515" i="1"/>
  <c r="P515" i="1"/>
  <c r="S514" i="1"/>
  <c r="R514" i="1"/>
  <c r="Q514" i="1"/>
  <c r="P514" i="1"/>
  <c r="S513" i="1"/>
  <c r="R513" i="1"/>
  <c r="Q513" i="1"/>
  <c r="P513" i="1"/>
  <c r="S512" i="1"/>
  <c r="R512" i="1"/>
  <c r="Q512" i="1"/>
  <c r="P512" i="1"/>
  <c r="S511" i="1"/>
  <c r="R511" i="1"/>
  <c r="Q511" i="1"/>
  <c r="P511" i="1"/>
  <c r="S510" i="1"/>
  <c r="R510" i="1"/>
  <c r="Q510" i="1"/>
  <c r="P510" i="1"/>
  <c r="S509" i="1"/>
  <c r="R509" i="1"/>
  <c r="Q509" i="1"/>
  <c r="P509" i="1"/>
  <c r="S508" i="1"/>
  <c r="R508" i="1"/>
  <c r="Q508" i="1"/>
  <c r="P508" i="1"/>
  <c r="S507" i="1"/>
  <c r="R507" i="1"/>
  <c r="Q507" i="1"/>
  <c r="P507" i="1"/>
  <c r="S506" i="1"/>
  <c r="R506" i="1"/>
  <c r="Q506" i="1"/>
  <c r="P506" i="1"/>
  <c r="S505" i="1"/>
  <c r="R505" i="1"/>
  <c r="Q505" i="1"/>
  <c r="P505" i="1"/>
  <c r="S504" i="1"/>
  <c r="R504" i="1"/>
  <c r="Q504" i="1"/>
  <c r="P504" i="1"/>
  <c r="S503" i="1"/>
  <c r="R503" i="1"/>
  <c r="Q503" i="1"/>
  <c r="P503" i="1"/>
  <c r="S502" i="1"/>
  <c r="R502" i="1"/>
  <c r="Q502" i="1"/>
  <c r="P502" i="1"/>
  <c r="S501" i="1"/>
  <c r="R501" i="1"/>
  <c r="Q501" i="1"/>
  <c r="P501" i="1"/>
  <c r="S500" i="1"/>
  <c r="R500" i="1"/>
  <c r="Q500" i="1"/>
  <c r="P500" i="1"/>
  <c r="S499" i="1"/>
  <c r="R499" i="1"/>
  <c r="Q499" i="1"/>
  <c r="P499" i="1"/>
  <c r="S498" i="1"/>
  <c r="R498" i="1"/>
  <c r="Q498" i="1"/>
  <c r="P498" i="1"/>
  <c r="S497" i="1"/>
  <c r="R497" i="1"/>
  <c r="Q497" i="1"/>
  <c r="P497" i="1"/>
  <c r="S496" i="1"/>
  <c r="R496" i="1"/>
  <c r="Q496" i="1"/>
  <c r="P496" i="1"/>
  <c r="S495" i="1"/>
  <c r="R495" i="1"/>
  <c r="Q495" i="1"/>
  <c r="P495" i="1"/>
  <c r="S494" i="1"/>
  <c r="R494" i="1"/>
  <c r="Q494" i="1"/>
  <c r="P494" i="1"/>
  <c r="S493" i="1"/>
  <c r="R493" i="1"/>
  <c r="Q493" i="1"/>
  <c r="P493" i="1"/>
  <c r="S492" i="1"/>
  <c r="R492" i="1"/>
  <c r="Q492" i="1"/>
  <c r="P492" i="1"/>
  <c r="S491" i="1"/>
  <c r="R491" i="1"/>
  <c r="Q491" i="1"/>
  <c r="P491" i="1"/>
  <c r="S490" i="1"/>
  <c r="R490" i="1"/>
  <c r="Q490" i="1"/>
  <c r="P490" i="1"/>
  <c r="S489" i="1"/>
  <c r="R489" i="1"/>
  <c r="Q489" i="1"/>
  <c r="P489" i="1"/>
  <c r="S488" i="1"/>
  <c r="R488" i="1"/>
  <c r="Q488" i="1"/>
  <c r="P488" i="1"/>
  <c r="S487" i="1"/>
  <c r="R487" i="1"/>
  <c r="Q487" i="1"/>
  <c r="P487" i="1"/>
  <c r="S486" i="1"/>
  <c r="R486" i="1"/>
  <c r="Q486" i="1"/>
  <c r="P486" i="1"/>
  <c r="S485" i="1"/>
  <c r="R485" i="1"/>
  <c r="Q485" i="1"/>
  <c r="P485" i="1"/>
  <c r="S484" i="1"/>
  <c r="R484" i="1"/>
  <c r="Q484" i="1"/>
  <c r="P484" i="1"/>
  <c r="S483" i="1"/>
  <c r="R483" i="1"/>
  <c r="Q483" i="1"/>
  <c r="P483" i="1"/>
  <c r="S482" i="1"/>
  <c r="R482" i="1"/>
  <c r="Q482" i="1"/>
  <c r="P482" i="1"/>
  <c r="S481" i="1"/>
  <c r="R481" i="1"/>
  <c r="Q481" i="1"/>
  <c r="P481" i="1"/>
  <c r="S480" i="1"/>
  <c r="R480" i="1"/>
  <c r="Q480" i="1"/>
  <c r="P480" i="1"/>
  <c r="S479" i="1"/>
  <c r="R479" i="1"/>
  <c r="Q479" i="1"/>
  <c r="P479" i="1"/>
  <c r="S478" i="1"/>
  <c r="R478" i="1"/>
  <c r="Q478" i="1"/>
  <c r="P478" i="1"/>
  <c r="S477" i="1"/>
  <c r="R477" i="1"/>
  <c r="Q477" i="1"/>
  <c r="P477" i="1"/>
  <c r="S476" i="1"/>
  <c r="R476" i="1"/>
  <c r="Q476" i="1"/>
  <c r="P476" i="1"/>
  <c r="S475" i="1"/>
  <c r="R475" i="1"/>
  <c r="Q475" i="1"/>
  <c r="P475" i="1"/>
  <c r="S474" i="1"/>
  <c r="R474" i="1"/>
  <c r="Q474" i="1"/>
  <c r="P474" i="1"/>
  <c r="S473" i="1"/>
  <c r="R473" i="1"/>
  <c r="Q473" i="1"/>
  <c r="P473" i="1"/>
  <c r="S472" i="1"/>
  <c r="R472" i="1"/>
  <c r="Q472" i="1"/>
  <c r="P472" i="1"/>
  <c r="S471" i="1"/>
  <c r="R471" i="1"/>
  <c r="Q471" i="1"/>
  <c r="P471" i="1"/>
  <c r="S470" i="1"/>
  <c r="R470" i="1"/>
  <c r="Q470" i="1"/>
  <c r="P470" i="1"/>
  <c r="S469" i="1"/>
  <c r="R469" i="1"/>
  <c r="Q469" i="1"/>
  <c r="P469" i="1"/>
  <c r="S468" i="1"/>
  <c r="R468" i="1"/>
  <c r="Q468" i="1"/>
  <c r="P468" i="1"/>
  <c r="S467" i="1"/>
  <c r="R467" i="1"/>
  <c r="Q467" i="1"/>
  <c r="P467" i="1"/>
  <c r="S466" i="1"/>
  <c r="R466" i="1"/>
  <c r="Q466" i="1"/>
  <c r="P466" i="1"/>
  <c r="S465" i="1"/>
  <c r="R465" i="1"/>
  <c r="Q465" i="1"/>
  <c r="P465" i="1"/>
  <c r="S464" i="1"/>
  <c r="R464" i="1"/>
  <c r="Q464" i="1"/>
  <c r="P464" i="1"/>
  <c r="S463" i="1"/>
  <c r="R463" i="1"/>
  <c r="Q463" i="1"/>
  <c r="P463" i="1"/>
  <c r="S462" i="1"/>
  <c r="R462" i="1"/>
  <c r="Q462" i="1"/>
  <c r="P462" i="1"/>
  <c r="S461" i="1"/>
  <c r="R461" i="1"/>
  <c r="Q461" i="1"/>
  <c r="P461" i="1"/>
  <c r="S460" i="1"/>
  <c r="R460" i="1"/>
  <c r="Q460" i="1"/>
  <c r="P460" i="1"/>
  <c r="S459" i="1"/>
  <c r="R459" i="1"/>
  <c r="Q459" i="1"/>
  <c r="P459" i="1"/>
  <c r="S458" i="1"/>
  <c r="R458" i="1"/>
  <c r="Q458" i="1"/>
  <c r="P458" i="1"/>
  <c r="S457" i="1"/>
  <c r="R457" i="1"/>
  <c r="Q457" i="1"/>
  <c r="P457" i="1"/>
  <c r="S456" i="1"/>
  <c r="R456" i="1"/>
  <c r="Q456" i="1"/>
  <c r="P456" i="1"/>
  <c r="S455" i="1"/>
  <c r="R455" i="1"/>
  <c r="Q455" i="1"/>
  <c r="P455" i="1"/>
  <c r="S454" i="1"/>
  <c r="R454" i="1"/>
  <c r="Q454" i="1"/>
  <c r="P454" i="1"/>
  <c r="S453" i="1"/>
  <c r="R453" i="1"/>
  <c r="Q453" i="1"/>
  <c r="P453" i="1"/>
  <c r="S452" i="1"/>
  <c r="R452" i="1"/>
  <c r="Q452" i="1"/>
  <c r="P452" i="1"/>
  <c r="S451" i="1"/>
  <c r="R451" i="1"/>
  <c r="Q451" i="1"/>
  <c r="P451" i="1"/>
  <c r="S450" i="1"/>
  <c r="R450" i="1"/>
  <c r="Q450" i="1"/>
  <c r="P450" i="1"/>
  <c r="S449" i="1"/>
  <c r="R449" i="1"/>
  <c r="Q449" i="1"/>
  <c r="P449" i="1"/>
  <c r="S448" i="1"/>
  <c r="R448" i="1"/>
  <c r="Q448" i="1"/>
  <c r="P448" i="1"/>
  <c r="S447" i="1"/>
  <c r="R447" i="1"/>
  <c r="Q447" i="1"/>
  <c r="P447" i="1"/>
  <c r="S446" i="1"/>
  <c r="R446" i="1"/>
  <c r="Q446" i="1"/>
  <c r="P446" i="1"/>
  <c r="S445" i="1"/>
  <c r="R445" i="1"/>
  <c r="Q445" i="1"/>
  <c r="P445" i="1"/>
  <c r="S444" i="1"/>
  <c r="R444" i="1"/>
  <c r="Q444" i="1"/>
  <c r="P444" i="1"/>
  <c r="S443" i="1"/>
  <c r="R443" i="1"/>
  <c r="Q443" i="1"/>
  <c r="P443" i="1"/>
  <c r="S442" i="1"/>
  <c r="R442" i="1"/>
  <c r="Q442" i="1"/>
  <c r="P442" i="1"/>
  <c r="S441" i="1"/>
  <c r="R441" i="1"/>
  <c r="Q441" i="1"/>
  <c r="P441" i="1"/>
  <c r="S440" i="1"/>
  <c r="R440" i="1"/>
  <c r="Q440" i="1"/>
  <c r="P440" i="1"/>
  <c r="S439" i="1"/>
  <c r="R439" i="1"/>
  <c r="Q439" i="1"/>
  <c r="P439" i="1"/>
  <c r="S438" i="1"/>
  <c r="R438" i="1"/>
  <c r="Q438" i="1"/>
  <c r="P438" i="1"/>
  <c r="S437" i="1"/>
  <c r="R437" i="1"/>
  <c r="Q437" i="1"/>
  <c r="P437" i="1"/>
  <c r="S436" i="1"/>
  <c r="R436" i="1"/>
  <c r="Q436" i="1"/>
  <c r="P436" i="1"/>
  <c r="S435" i="1"/>
  <c r="R435" i="1"/>
  <c r="Q435" i="1"/>
  <c r="P435" i="1"/>
  <c r="S434" i="1"/>
  <c r="R434" i="1"/>
  <c r="Q434" i="1"/>
  <c r="P434" i="1"/>
  <c r="S433" i="1"/>
  <c r="R433" i="1"/>
  <c r="Q433" i="1"/>
  <c r="P433" i="1"/>
  <c r="S432" i="1"/>
  <c r="R432" i="1"/>
  <c r="Q432" i="1"/>
  <c r="P432" i="1"/>
  <c r="S431" i="1"/>
  <c r="R431" i="1"/>
  <c r="Q431" i="1"/>
  <c r="P431" i="1"/>
  <c r="S430" i="1"/>
  <c r="R430" i="1"/>
  <c r="Q430" i="1"/>
  <c r="P430" i="1"/>
  <c r="S429" i="1"/>
  <c r="R429" i="1"/>
  <c r="Q429" i="1"/>
  <c r="P429" i="1"/>
  <c r="S428" i="1"/>
  <c r="R428" i="1"/>
  <c r="Q428" i="1"/>
  <c r="P428" i="1"/>
  <c r="S427" i="1"/>
  <c r="R427" i="1"/>
  <c r="Q427" i="1"/>
  <c r="P427" i="1"/>
  <c r="S426" i="1"/>
  <c r="R426" i="1"/>
  <c r="Q426" i="1"/>
  <c r="P426" i="1"/>
  <c r="S425" i="1"/>
  <c r="R425" i="1"/>
  <c r="Q425" i="1"/>
  <c r="P425" i="1"/>
  <c r="S424" i="1"/>
  <c r="R424" i="1"/>
  <c r="Q424" i="1"/>
  <c r="P424" i="1"/>
  <c r="S423" i="1"/>
  <c r="R423" i="1"/>
  <c r="Q423" i="1"/>
  <c r="P423" i="1"/>
  <c r="S422" i="1"/>
  <c r="R422" i="1"/>
  <c r="Q422" i="1"/>
  <c r="P422" i="1"/>
  <c r="S421" i="1"/>
  <c r="R421" i="1"/>
  <c r="Q421" i="1"/>
  <c r="P421" i="1"/>
  <c r="S420" i="1"/>
  <c r="R420" i="1"/>
  <c r="Q420" i="1"/>
  <c r="P420" i="1"/>
  <c r="S419" i="1"/>
  <c r="R419" i="1"/>
  <c r="Q419" i="1"/>
  <c r="P419" i="1"/>
  <c r="S418" i="1"/>
  <c r="R418" i="1"/>
  <c r="Q418" i="1"/>
  <c r="P418" i="1"/>
  <c r="S417" i="1"/>
  <c r="R417" i="1"/>
  <c r="Q417" i="1"/>
  <c r="P417" i="1"/>
  <c r="S416" i="1"/>
  <c r="R416" i="1"/>
  <c r="Q416" i="1"/>
  <c r="P416" i="1"/>
  <c r="S415" i="1"/>
  <c r="R415" i="1"/>
  <c r="Q415" i="1"/>
  <c r="P415" i="1"/>
  <c r="S414" i="1"/>
  <c r="R414" i="1"/>
  <c r="Q414" i="1"/>
  <c r="P414" i="1"/>
  <c r="S413" i="1"/>
  <c r="R413" i="1"/>
  <c r="Q413" i="1"/>
  <c r="P413" i="1"/>
  <c r="S412" i="1"/>
  <c r="R412" i="1"/>
  <c r="Q412" i="1"/>
  <c r="P412" i="1"/>
  <c r="S411" i="1"/>
  <c r="R411" i="1"/>
  <c r="Q411" i="1"/>
  <c r="P411" i="1"/>
  <c r="S410" i="1"/>
  <c r="R410" i="1"/>
  <c r="Q410" i="1"/>
  <c r="P410" i="1"/>
  <c r="S409" i="1"/>
  <c r="R409" i="1"/>
  <c r="Q409" i="1"/>
  <c r="P409" i="1"/>
  <c r="S408" i="1"/>
  <c r="R408" i="1"/>
  <c r="Q408" i="1"/>
  <c r="P408" i="1"/>
  <c r="S407" i="1"/>
  <c r="R407" i="1"/>
  <c r="Q407" i="1"/>
  <c r="P407" i="1"/>
  <c r="S406" i="1"/>
  <c r="R406" i="1"/>
  <c r="Q406" i="1"/>
  <c r="P406" i="1"/>
  <c r="S405" i="1"/>
  <c r="R405" i="1"/>
  <c r="Q405" i="1"/>
  <c r="P405" i="1"/>
  <c r="S404" i="1"/>
  <c r="R404" i="1"/>
  <c r="Q404" i="1"/>
  <c r="P404" i="1"/>
  <c r="S403" i="1"/>
  <c r="R403" i="1"/>
  <c r="Q403" i="1"/>
  <c r="P403" i="1"/>
  <c r="S402" i="1"/>
  <c r="R402" i="1"/>
  <c r="Q402" i="1"/>
  <c r="P402" i="1"/>
  <c r="S401" i="1"/>
  <c r="R401" i="1"/>
  <c r="Q401" i="1"/>
  <c r="P401" i="1"/>
  <c r="S400" i="1"/>
  <c r="R400" i="1"/>
  <c r="Q400" i="1"/>
  <c r="P400" i="1"/>
  <c r="S399" i="1"/>
  <c r="R399" i="1"/>
  <c r="Q399" i="1"/>
  <c r="P399" i="1"/>
  <c r="S398" i="1"/>
  <c r="R398" i="1"/>
  <c r="Q398" i="1"/>
  <c r="P398" i="1"/>
  <c r="S397" i="1"/>
  <c r="R397" i="1"/>
  <c r="Q397" i="1"/>
  <c r="P397" i="1"/>
  <c r="S396" i="1"/>
  <c r="R396" i="1"/>
  <c r="Q396" i="1"/>
  <c r="P396" i="1"/>
  <c r="S395" i="1"/>
  <c r="R395" i="1"/>
  <c r="Q395" i="1"/>
  <c r="P395" i="1"/>
  <c r="S394" i="1"/>
  <c r="R394" i="1"/>
  <c r="Q394" i="1"/>
  <c r="P394" i="1"/>
  <c r="S393" i="1"/>
  <c r="R393" i="1"/>
  <c r="Q393" i="1"/>
  <c r="P393" i="1"/>
  <c r="S392" i="1"/>
  <c r="R392" i="1"/>
  <c r="Q392" i="1"/>
  <c r="P392" i="1"/>
  <c r="S391" i="1"/>
  <c r="R391" i="1"/>
  <c r="Q391" i="1"/>
  <c r="P391" i="1"/>
  <c r="S390" i="1"/>
  <c r="R390" i="1"/>
  <c r="Q390" i="1"/>
  <c r="P390" i="1"/>
  <c r="S389" i="1"/>
  <c r="R389" i="1"/>
  <c r="Q389" i="1"/>
  <c r="P389" i="1"/>
  <c r="S388" i="1"/>
  <c r="R388" i="1"/>
  <c r="Q388" i="1"/>
  <c r="P388" i="1"/>
  <c r="S387" i="1"/>
  <c r="R387" i="1"/>
  <c r="Q387" i="1"/>
  <c r="P387" i="1"/>
  <c r="S386" i="1"/>
  <c r="R386" i="1"/>
  <c r="Q386" i="1"/>
  <c r="P386" i="1"/>
  <c r="S385" i="1"/>
  <c r="R385" i="1"/>
  <c r="Q385" i="1"/>
  <c r="P385" i="1"/>
  <c r="S384" i="1"/>
  <c r="R384" i="1"/>
  <c r="Q384" i="1"/>
  <c r="P384" i="1"/>
  <c r="S383" i="1"/>
  <c r="R383" i="1"/>
  <c r="Q383" i="1"/>
  <c r="P383" i="1"/>
  <c r="S382" i="1"/>
  <c r="R382" i="1"/>
  <c r="Q382" i="1"/>
  <c r="P382" i="1"/>
  <c r="S381" i="1"/>
  <c r="R381" i="1"/>
  <c r="Q381" i="1"/>
  <c r="P381" i="1"/>
  <c r="S380" i="1"/>
  <c r="R380" i="1"/>
  <c r="Q380" i="1"/>
  <c r="P380" i="1"/>
  <c r="S379" i="1"/>
  <c r="R379" i="1"/>
  <c r="Q379" i="1"/>
  <c r="P379" i="1"/>
  <c r="S378" i="1"/>
  <c r="R378" i="1"/>
  <c r="Q378" i="1"/>
  <c r="P378" i="1"/>
  <c r="S377" i="1"/>
  <c r="R377" i="1"/>
  <c r="Q377" i="1"/>
  <c r="P377" i="1"/>
  <c r="S376" i="1"/>
  <c r="R376" i="1"/>
  <c r="Q376" i="1"/>
  <c r="P376" i="1"/>
  <c r="S375" i="1"/>
  <c r="R375" i="1"/>
  <c r="Q375" i="1"/>
  <c r="P375" i="1"/>
  <c r="S374" i="1"/>
  <c r="R374" i="1"/>
  <c r="Q374" i="1"/>
  <c r="P374" i="1"/>
  <c r="S373" i="1"/>
  <c r="R373" i="1"/>
  <c r="Q373" i="1"/>
  <c r="P373" i="1"/>
  <c r="S372" i="1"/>
  <c r="R372" i="1"/>
  <c r="Q372" i="1"/>
  <c r="P372" i="1"/>
  <c r="S371" i="1"/>
  <c r="R371" i="1"/>
  <c r="Q371" i="1"/>
  <c r="P371" i="1"/>
  <c r="S370" i="1"/>
  <c r="R370" i="1"/>
  <c r="Q370" i="1"/>
  <c r="P370" i="1"/>
  <c r="S369" i="1"/>
  <c r="R369" i="1"/>
  <c r="Q369" i="1"/>
  <c r="P369" i="1"/>
  <c r="S368" i="1"/>
  <c r="R368" i="1"/>
  <c r="Q368" i="1"/>
  <c r="P368" i="1"/>
  <c r="S367" i="1"/>
  <c r="R367" i="1"/>
  <c r="Q367" i="1"/>
  <c r="P367" i="1"/>
  <c r="S366" i="1"/>
  <c r="R366" i="1"/>
  <c r="Q366" i="1"/>
  <c r="P366" i="1"/>
  <c r="S365" i="1"/>
  <c r="R365" i="1"/>
  <c r="Q365" i="1"/>
  <c r="P365" i="1"/>
  <c r="S364" i="1"/>
  <c r="R364" i="1"/>
  <c r="Q364" i="1"/>
  <c r="P364" i="1"/>
  <c r="S363" i="1"/>
  <c r="R363" i="1"/>
  <c r="Q363" i="1"/>
  <c r="P363" i="1"/>
  <c r="S362" i="1"/>
  <c r="R362" i="1"/>
  <c r="Q362" i="1"/>
  <c r="P362" i="1"/>
  <c r="S361" i="1"/>
  <c r="R361" i="1"/>
  <c r="Q361" i="1"/>
  <c r="P361" i="1"/>
  <c r="S360" i="1"/>
  <c r="R360" i="1"/>
  <c r="Q360" i="1"/>
  <c r="P360" i="1"/>
  <c r="S359" i="1"/>
  <c r="R359" i="1"/>
  <c r="Q359" i="1"/>
  <c r="P359" i="1"/>
  <c r="S358" i="1"/>
  <c r="R358" i="1"/>
  <c r="Q358" i="1"/>
  <c r="P358" i="1"/>
  <c r="S357" i="1"/>
  <c r="R357" i="1"/>
  <c r="Q357" i="1"/>
  <c r="P357" i="1"/>
  <c r="S356" i="1"/>
  <c r="R356" i="1"/>
  <c r="Q356" i="1"/>
  <c r="P356" i="1"/>
  <c r="S355" i="1"/>
  <c r="R355" i="1"/>
  <c r="Q355" i="1"/>
  <c r="P355" i="1"/>
  <c r="S354" i="1"/>
  <c r="R354" i="1"/>
  <c r="Q354" i="1"/>
  <c r="P354" i="1"/>
  <c r="S353" i="1"/>
  <c r="R353" i="1"/>
  <c r="Q353" i="1"/>
  <c r="P353" i="1"/>
  <c r="S352" i="1"/>
  <c r="R352" i="1"/>
  <c r="Q352" i="1"/>
  <c r="P352" i="1"/>
  <c r="S351" i="1"/>
  <c r="R351" i="1"/>
  <c r="Q351" i="1"/>
  <c r="P351" i="1"/>
  <c r="S350" i="1"/>
  <c r="R350" i="1"/>
  <c r="Q350" i="1"/>
  <c r="P350" i="1"/>
  <c r="S349" i="1"/>
  <c r="R349" i="1"/>
  <c r="Q349" i="1"/>
  <c r="P349" i="1"/>
  <c r="S348" i="1"/>
  <c r="R348" i="1"/>
  <c r="Q348" i="1"/>
  <c r="P348" i="1"/>
  <c r="S347" i="1"/>
  <c r="R347" i="1"/>
  <c r="Q347" i="1"/>
  <c r="P347" i="1"/>
  <c r="S346" i="1"/>
  <c r="R346" i="1"/>
  <c r="Q346" i="1"/>
  <c r="P346" i="1"/>
  <c r="S345" i="1"/>
  <c r="R345" i="1"/>
  <c r="Q345" i="1"/>
  <c r="P345" i="1"/>
  <c r="S344" i="1"/>
  <c r="R344" i="1"/>
  <c r="Q344" i="1"/>
  <c r="P344" i="1"/>
  <c r="S343" i="1"/>
  <c r="R343" i="1"/>
  <c r="Q343" i="1"/>
  <c r="P343" i="1"/>
  <c r="S342" i="1"/>
  <c r="R342" i="1"/>
  <c r="Q342" i="1"/>
  <c r="P342" i="1"/>
  <c r="S341" i="1"/>
  <c r="R341" i="1"/>
  <c r="Q341" i="1"/>
  <c r="P341" i="1"/>
  <c r="S340" i="1"/>
  <c r="R340" i="1"/>
  <c r="Q340" i="1"/>
  <c r="P340" i="1"/>
  <c r="S339" i="1"/>
  <c r="R339" i="1"/>
  <c r="Q339" i="1"/>
  <c r="P339" i="1"/>
  <c r="S338" i="1"/>
  <c r="R338" i="1"/>
  <c r="Q338" i="1"/>
  <c r="P338" i="1"/>
  <c r="S337" i="1"/>
  <c r="R337" i="1"/>
  <c r="Q337" i="1"/>
  <c r="P337" i="1"/>
  <c r="S336" i="1"/>
  <c r="R336" i="1"/>
  <c r="Q336" i="1"/>
  <c r="P336" i="1"/>
  <c r="S335" i="1"/>
  <c r="R335" i="1"/>
  <c r="Q335" i="1"/>
  <c r="P335" i="1"/>
  <c r="S334" i="1"/>
  <c r="R334" i="1"/>
  <c r="Q334" i="1"/>
  <c r="P334" i="1"/>
  <c r="S333" i="1"/>
  <c r="R333" i="1"/>
  <c r="Q333" i="1"/>
  <c r="P333" i="1"/>
  <c r="S332" i="1"/>
  <c r="R332" i="1"/>
  <c r="Q332" i="1"/>
  <c r="P332" i="1"/>
  <c r="S331" i="1"/>
  <c r="R331" i="1"/>
  <c r="Q331" i="1"/>
  <c r="P331" i="1"/>
  <c r="S330" i="1"/>
  <c r="R330" i="1"/>
  <c r="Q330" i="1"/>
  <c r="P330" i="1"/>
  <c r="S329" i="1"/>
  <c r="R329" i="1"/>
  <c r="Q329" i="1"/>
  <c r="P329" i="1"/>
  <c r="S328" i="1"/>
  <c r="R328" i="1"/>
  <c r="Q328" i="1"/>
  <c r="P328" i="1"/>
  <c r="S327" i="1"/>
  <c r="R327" i="1"/>
  <c r="Q327" i="1"/>
  <c r="P327" i="1"/>
  <c r="S326" i="1"/>
  <c r="R326" i="1"/>
  <c r="Q326" i="1"/>
  <c r="P326" i="1"/>
  <c r="S325" i="1"/>
  <c r="R325" i="1"/>
  <c r="Q325" i="1"/>
  <c r="P325" i="1"/>
  <c r="S324" i="1"/>
  <c r="R324" i="1"/>
  <c r="Q324" i="1"/>
  <c r="P324" i="1"/>
  <c r="S323" i="1"/>
  <c r="R323" i="1"/>
  <c r="Q323" i="1"/>
  <c r="P323" i="1"/>
  <c r="S322" i="1"/>
  <c r="R322" i="1"/>
  <c r="Q322" i="1"/>
  <c r="P322" i="1"/>
  <c r="S321" i="1"/>
  <c r="R321" i="1"/>
  <c r="Q321" i="1"/>
  <c r="P321" i="1"/>
  <c r="S320" i="1"/>
  <c r="R320" i="1"/>
  <c r="Q320" i="1"/>
  <c r="P320" i="1"/>
  <c r="S319" i="1"/>
  <c r="R319" i="1"/>
  <c r="Q319" i="1"/>
  <c r="P319" i="1"/>
  <c r="S318" i="1"/>
  <c r="R318" i="1"/>
  <c r="Q318" i="1"/>
  <c r="P318" i="1"/>
  <c r="S317" i="1"/>
  <c r="R317" i="1"/>
  <c r="Q317" i="1"/>
  <c r="P317" i="1"/>
  <c r="S316" i="1"/>
  <c r="R316" i="1"/>
  <c r="Q316" i="1"/>
  <c r="P316" i="1"/>
  <c r="S315" i="1"/>
  <c r="R315" i="1"/>
  <c r="Q315" i="1"/>
  <c r="P315" i="1"/>
  <c r="S314" i="1"/>
  <c r="R314" i="1"/>
  <c r="Q314" i="1"/>
  <c r="P314" i="1"/>
  <c r="S313" i="1"/>
  <c r="R313" i="1"/>
  <c r="Q313" i="1"/>
  <c r="P313" i="1"/>
  <c r="S312" i="1"/>
  <c r="R312" i="1"/>
  <c r="Q312" i="1"/>
  <c r="P312" i="1"/>
  <c r="S311" i="1"/>
  <c r="R311" i="1"/>
  <c r="Q311" i="1"/>
  <c r="P311" i="1"/>
  <c r="S310" i="1"/>
  <c r="R310" i="1"/>
  <c r="Q310" i="1"/>
  <c r="P310" i="1"/>
  <c r="S309" i="1"/>
  <c r="R309" i="1"/>
  <c r="Q309" i="1"/>
  <c r="P309" i="1"/>
  <c r="S308" i="1"/>
  <c r="R308" i="1"/>
  <c r="Q308" i="1"/>
  <c r="P308" i="1"/>
  <c r="S307" i="1"/>
  <c r="R307" i="1"/>
  <c r="Q307" i="1"/>
  <c r="P307" i="1"/>
  <c r="S306" i="1"/>
  <c r="R306" i="1"/>
  <c r="Q306" i="1"/>
  <c r="P306" i="1"/>
  <c r="S305" i="1"/>
  <c r="R305" i="1"/>
  <c r="Q305" i="1"/>
  <c r="P305" i="1"/>
  <c r="S304" i="1"/>
  <c r="R304" i="1"/>
  <c r="Q304" i="1"/>
  <c r="P304" i="1"/>
  <c r="S303" i="1"/>
  <c r="R303" i="1"/>
  <c r="Q303" i="1"/>
  <c r="P303" i="1"/>
  <c r="S302" i="1"/>
  <c r="R302" i="1"/>
  <c r="Q302" i="1"/>
  <c r="P302" i="1"/>
  <c r="S301" i="1"/>
  <c r="R301" i="1"/>
  <c r="Q301" i="1"/>
  <c r="P301" i="1"/>
  <c r="S300" i="1"/>
  <c r="R300" i="1"/>
  <c r="Q300" i="1"/>
  <c r="P300" i="1"/>
  <c r="S299" i="1"/>
  <c r="R299" i="1"/>
  <c r="Q299" i="1"/>
  <c r="P299" i="1"/>
  <c r="S298" i="1"/>
  <c r="R298" i="1"/>
  <c r="Q298" i="1"/>
  <c r="P298" i="1"/>
  <c r="S297" i="1"/>
  <c r="R297" i="1"/>
  <c r="Q297" i="1"/>
  <c r="P297" i="1"/>
  <c r="S296" i="1"/>
  <c r="R296" i="1"/>
  <c r="Q296" i="1"/>
  <c r="P296" i="1"/>
  <c r="S295" i="1"/>
  <c r="R295" i="1"/>
  <c r="Q295" i="1"/>
  <c r="P295" i="1"/>
  <c r="S294" i="1"/>
  <c r="R294" i="1"/>
  <c r="Q294" i="1"/>
  <c r="P294" i="1"/>
  <c r="S293" i="1"/>
  <c r="R293" i="1"/>
  <c r="Q293" i="1"/>
  <c r="P293" i="1"/>
  <c r="S292" i="1"/>
  <c r="R292" i="1"/>
  <c r="Q292" i="1"/>
  <c r="P292" i="1"/>
  <c r="S291" i="1"/>
  <c r="R291" i="1"/>
  <c r="Q291" i="1"/>
  <c r="P291" i="1"/>
  <c r="S290" i="1"/>
  <c r="R290" i="1"/>
  <c r="Q290" i="1"/>
  <c r="P290" i="1"/>
  <c r="S289" i="1"/>
  <c r="R289" i="1"/>
  <c r="Q289" i="1"/>
  <c r="P289" i="1"/>
  <c r="S288" i="1"/>
  <c r="R288" i="1"/>
  <c r="Q288" i="1"/>
  <c r="P288" i="1"/>
  <c r="S287" i="1"/>
  <c r="R287" i="1"/>
  <c r="Q287" i="1"/>
  <c r="P287" i="1"/>
  <c r="S286" i="1"/>
  <c r="R286" i="1"/>
  <c r="Q286" i="1"/>
  <c r="P286" i="1"/>
  <c r="S285" i="1"/>
  <c r="R285" i="1"/>
  <c r="Q285" i="1"/>
  <c r="P285" i="1"/>
  <c r="S284" i="1"/>
  <c r="R284" i="1"/>
  <c r="Q284" i="1"/>
  <c r="P284" i="1"/>
  <c r="S283" i="1"/>
  <c r="R283" i="1"/>
  <c r="Q283" i="1"/>
  <c r="P283" i="1"/>
  <c r="S282" i="1"/>
  <c r="R282" i="1"/>
  <c r="Q282" i="1"/>
  <c r="P282" i="1"/>
  <c r="S281" i="1"/>
  <c r="R281" i="1"/>
  <c r="Q281" i="1"/>
  <c r="P281" i="1"/>
  <c r="S280" i="1"/>
  <c r="R280" i="1"/>
  <c r="Q280" i="1"/>
  <c r="P280" i="1"/>
  <c r="S279" i="1"/>
  <c r="R279" i="1"/>
  <c r="Q279" i="1"/>
  <c r="P279" i="1"/>
  <c r="S278" i="1"/>
  <c r="R278" i="1"/>
  <c r="Q278" i="1"/>
  <c r="P278" i="1"/>
  <c r="S277" i="1"/>
  <c r="R277" i="1"/>
  <c r="Q277" i="1"/>
  <c r="P277" i="1"/>
  <c r="S276" i="1"/>
  <c r="R276" i="1"/>
  <c r="Q276" i="1"/>
  <c r="P276" i="1"/>
  <c r="S275" i="1"/>
  <c r="R275" i="1"/>
  <c r="Q275" i="1"/>
  <c r="P275" i="1"/>
  <c r="S274" i="1"/>
  <c r="R274" i="1"/>
  <c r="Q274" i="1"/>
  <c r="P274" i="1"/>
  <c r="S273" i="1"/>
  <c r="R273" i="1"/>
  <c r="Q273" i="1"/>
  <c r="P273" i="1"/>
  <c r="S272" i="1"/>
  <c r="R272" i="1"/>
  <c r="Q272" i="1"/>
  <c r="P272" i="1"/>
  <c r="S271" i="1"/>
  <c r="R271" i="1"/>
  <c r="Q271" i="1"/>
  <c r="P271" i="1"/>
  <c r="S270" i="1"/>
  <c r="R270" i="1"/>
  <c r="Q270" i="1"/>
  <c r="P270" i="1"/>
  <c r="S269" i="1"/>
  <c r="R269" i="1"/>
  <c r="Q269" i="1"/>
  <c r="P269" i="1"/>
  <c r="S268" i="1"/>
  <c r="R268" i="1"/>
  <c r="Q268" i="1"/>
  <c r="P268" i="1"/>
  <c r="S267" i="1"/>
  <c r="R267" i="1"/>
  <c r="Q267" i="1"/>
  <c r="P267" i="1"/>
  <c r="S266" i="1"/>
  <c r="R266" i="1"/>
  <c r="Q266" i="1"/>
  <c r="P266" i="1"/>
  <c r="S265" i="1"/>
  <c r="R265" i="1"/>
  <c r="Q265" i="1"/>
  <c r="P265" i="1"/>
  <c r="S264" i="1"/>
  <c r="R264" i="1"/>
  <c r="Q264" i="1"/>
  <c r="P264" i="1"/>
  <c r="S263" i="1"/>
  <c r="R263" i="1"/>
  <c r="Q263" i="1"/>
  <c r="P263" i="1"/>
  <c r="S262" i="1"/>
  <c r="R262" i="1"/>
  <c r="Q262" i="1"/>
  <c r="P262" i="1"/>
  <c r="S261" i="1"/>
  <c r="R261" i="1"/>
  <c r="Q261" i="1"/>
  <c r="P261" i="1"/>
  <c r="S260" i="1"/>
  <c r="R260" i="1"/>
  <c r="Q260" i="1"/>
  <c r="P260" i="1"/>
  <c r="S259" i="1"/>
  <c r="R259" i="1"/>
  <c r="Q259" i="1"/>
  <c r="P259" i="1"/>
  <c r="S258" i="1"/>
  <c r="R258" i="1"/>
  <c r="Q258" i="1"/>
  <c r="P258" i="1"/>
  <c r="S257" i="1"/>
  <c r="R257" i="1"/>
  <c r="Q257" i="1"/>
  <c r="P257" i="1"/>
  <c r="S256" i="1"/>
  <c r="R256" i="1"/>
  <c r="Q256" i="1"/>
  <c r="P256" i="1"/>
  <c r="S255" i="1"/>
  <c r="R255" i="1"/>
  <c r="Q255" i="1"/>
  <c r="P255" i="1"/>
  <c r="S254" i="1"/>
  <c r="R254" i="1"/>
  <c r="Q254" i="1"/>
  <c r="P254" i="1"/>
  <c r="S253" i="1"/>
  <c r="R253" i="1"/>
  <c r="Q253" i="1"/>
  <c r="P253" i="1"/>
  <c r="S252" i="1"/>
  <c r="R252" i="1"/>
  <c r="Q252" i="1"/>
  <c r="P252" i="1"/>
  <c r="S251" i="1"/>
  <c r="R251" i="1"/>
  <c r="Q251" i="1"/>
  <c r="P251" i="1"/>
  <c r="S250" i="1"/>
  <c r="R250" i="1"/>
  <c r="Q250" i="1"/>
  <c r="P250" i="1"/>
  <c r="S249" i="1"/>
  <c r="R249" i="1"/>
  <c r="Q249" i="1"/>
  <c r="P249" i="1"/>
  <c r="S248" i="1"/>
  <c r="R248" i="1"/>
  <c r="Q248" i="1"/>
  <c r="P248" i="1"/>
  <c r="S247" i="1"/>
  <c r="R247" i="1"/>
  <c r="Q247" i="1"/>
  <c r="P247" i="1"/>
  <c r="S246" i="1"/>
  <c r="R246" i="1"/>
  <c r="Q246" i="1"/>
  <c r="P246" i="1"/>
  <c r="S245" i="1"/>
  <c r="R245" i="1"/>
  <c r="Q245" i="1"/>
  <c r="P245" i="1"/>
  <c r="S244" i="1"/>
  <c r="R244" i="1"/>
  <c r="Q244" i="1"/>
  <c r="P244" i="1"/>
  <c r="S243" i="1"/>
  <c r="R243" i="1"/>
  <c r="Q243" i="1"/>
  <c r="P243" i="1"/>
  <c r="S242" i="1"/>
  <c r="R242" i="1"/>
  <c r="Q242" i="1"/>
  <c r="P242" i="1"/>
  <c r="S241" i="1"/>
  <c r="R241" i="1"/>
  <c r="Q241" i="1"/>
  <c r="P241" i="1"/>
  <c r="S240" i="1"/>
  <c r="R240" i="1"/>
  <c r="Q240" i="1"/>
  <c r="P240" i="1"/>
  <c r="S239" i="1"/>
  <c r="R239" i="1"/>
  <c r="Q239" i="1"/>
  <c r="P239" i="1"/>
  <c r="S238" i="1"/>
  <c r="R238" i="1"/>
  <c r="Q238" i="1"/>
  <c r="P238" i="1"/>
  <c r="S237" i="1"/>
  <c r="R237" i="1"/>
  <c r="Q237" i="1"/>
  <c r="P237" i="1"/>
  <c r="S236" i="1"/>
  <c r="R236" i="1"/>
  <c r="Q236" i="1"/>
  <c r="P236" i="1"/>
  <c r="S235" i="1"/>
  <c r="R235" i="1"/>
  <c r="Q235" i="1"/>
  <c r="P235" i="1"/>
  <c r="S234" i="1"/>
  <c r="R234" i="1"/>
  <c r="Q234" i="1"/>
  <c r="P234" i="1"/>
  <c r="S233" i="1"/>
  <c r="R233" i="1"/>
  <c r="Q233" i="1"/>
  <c r="P233" i="1"/>
  <c r="S232" i="1"/>
  <c r="R232" i="1"/>
  <c r="Q232" i="1"/>
  <c r="P232" i="1"/>
  <c r="S231" i="1"/>
  <c r="R231" i="1"/>
  <c r="Q231" i="1"/>
  <c r="P231" i="1"/>
  <c r="S230" i="1"/>
  <c r="R230" i="1"/>
  <c r="Q230" i="1"/>
  <c r="P230" i="1"/>
  <c r="S229" i="1"/>
  <c r="R229" i="1"/>
  <c r="Q229" i="1"/>
  <c r="P229" i="1"/>
  <c r="S228" i="1"/>
  <c r="R228" i="1"/>
  <c r="Q228" i="1"/>
  <c r="P228" i="1"/>
  <c r="S227" i="1"/>
  <c r="R227" i="1"/>
  <c r="Q227" i="1"/>
  <c r="P227" i="1"/>
  <c r="S226" i="1"/>
  <c r="R226" i="1"/>
  <c r="Q226" i="1"/>
  <c r="P226" i="1"/>
  <c r="S225" i="1"/>
  <c r="R225" i="1"/>
  <c r="Q225" i="1"/>
  <c r="P225" i="1"/>
  <c r="S224" i="1"/>
  <c r="R224" i="1"/>
  <c r="Q224" i="1"/>
  <c r="P224" i="1"/>
  <c r="S223" i="1"/>
  <c r="R223" i="1"/>
  <c r="Q223" i="1"/>
  <c r="P223" i="1"/>
  <c r="S222" i="1"/>
  <c r="R222" i="1"/>
  <c r="Q222" i="1"/>
  <c r="P222" i="1"/>
  <c r="S221" i="1"/>
  <c r="R221" i="1"/>
  <c r="Q221" i="1"/>
  <c r="P221" i="1"/>
  <c r="S220" i="1"/>
  <c r="R220" i="1"/>
  <c r="Q220" i="1"/>
  <c r="P220" i="1"/>
  <c r="S219" i="1"/>
  <c r="R219" i="1"/>
  <c r="Q219" i="1"/>
  <c r="P219" i="1"/>
  <c r="S218" i="1"/>
  <c r="R218" i="1"/>
  <c r="Q218" i="1"/>
  <c r="P218" i="1"/>
  <c r="S217" i="1"/>
  <c r="R217" i="1"/>
  <c r="Q217" i="1"/>
  <c r="P217" i="1"/>
  <c r="S216" i="1"/>
  <c r="R216" i="1"/>
  <c r="Q216" i="1"/>
  <c r="P216" i="1"/>
  <c r="S215" i="1"/>
  <c r="R215" i="1"/>
  <c r="Q215" i="1"/>
  <c r="P215" i="1"/>
  <c r="S214" i="1"/>
  <c r="R214" i="1"/>
  <c r="Q214" i="1"/>
  <c r="P214" i="1"/>
  <c r="S213" i="1"/>
  <c r="R213" i="1"/>
  <c r="Q213" i="1"/>
  <c r="P213" i="1"/>
  <c r="S212" i="1"/>
  <c r="R212" i="1"/>
  <c r="Q212" i="1"/>
  <c r="P212" i="1"/>
  <c r="S211" i="1"/>
  <c r="R211" i="1"/>
  <c r="Q211" i="1"/>
  <c r="P211" i="1"/>
  <c r="S210" i="1"/>
  <c r="R210" i="1"/>
  <c r="Q210" i="1"/>
  <c r="P210" i="1"/>
  <c r="S209" i="1"/>
  <c r="R209" i="1"/>
  <c r="Q209" i="1"/>
  <c r="P209" i="1"/>
  <c r="S208" i="1"/>
  <c r="R208" i="1"/>
  <c r="Q208" i="1"/>
  <c r="P208" i="1"/>
  <c r="S207" i="1"/>
  <c r="R207" i="1"/>
  <c r="Q207" i="1"/>
  <c r="P207" i="1"/>
  <c r="S206" i="1"/>
  <c r="R206" i="1"/>
  <c r="Q206" i="1"/>
  <c r="P206" i="1"/>
  <c r="S205" i="1"/>
  <c r="R205" i="1"/>
  <c r="Q205" i="1"/>
  <c r="P205" i="1"/>
  <c r="S204" i="1"/>
  <c r="R204" i="1"/>
  <c r="Q204" i="1"/>
  <c r="P204" i="1"/>
  <c r="S203" i="1"/>
  <c r="R203" i="1"/>
  <c r="Q203" i="1"/>
  <c r="P203" i="1"/>
  <c r="S202" i="1"/>
  <c r="R202" i="1"/>
  <c r="Q202" i="1"/>
  <c r="P202" i="1"/>
  <c r="S201" i="1"/>
  <c r="R201" i="1"/>
  <c r="Q201" i="1"/>
  <c r="P201" i="1"/>
  <c r="S200" i="1"/>
  <c r="R200" i="1"/>
  <c r="Q200" i="1"/>
  <c r="P200" i="1"/>
  <c r="S199" i="1"/>
  <c r="R199" i="1"/>
  <c r="Q199" i="1"/>
  <c r="P199" i="1"/>
  <c r="S198" i="1"/>
  <c r="R198" i="1"/>
  <c r="Q198" i="1"/>
  <c r="P198" i="1"/>
  <c r="S197" i="1"/>
  <c r="R197" i="1"/>
  <c r="Q197" i="1"/>
  <c r="P197" i="1"/>
  <c r="S196" i="1"/>
  <c r="R196" i="1"/>
  <c r="Q196" i="1"/>
  <c r="P196" i="1"/>
  <c r="S195" i="1"/>
  <c r="R195" i="1"/>
  <c r="Q195" i="1"/>
  <c r="P195" i="1"/>
  <c r="S194" i="1"/>
  <c r="R194" i="1"/>
  <c r="Q194" i="1"/>
  <c r="P194" i="1"/>
  <c r="S193" i="1"/>
  <c r="R193" i="1"/>
  <c r="Q193" i="1"/>
  <c r="P193" i="1"/>
  <c r="S192" i="1"/>
  <c r="R192" i="1"/>
  <c r="Q192" i="1"/>
  <c r="P192" i="1"/>
  <c r="S191" i="1"/>
  <c r="R191" i="1"/>
  <c r="Q191" i="1"/>
  <c r="P191" i="1"/>
  <c r="S190" i="1"/>
  <c r="R190" i="1"/>
  <c r="Q190" i="1"/>
  <c r="P190" i="1"/>
  <c r="S189" i="1"/>
  <c r="R189" i="1"/>
  <c r="Q189" i="1"/>
  <c r="P189" i="1"/>
  <c r="S188" i="1"/>
  <c r="R188" i="1"/>
  <c r="Q188" i="1"/>
  <c r="P188" i="1"/>
  <c r="S187" i="1"/>
  <c r="R187" i="1"/>
  <c r="Q187" i="1"/>
  <c r="P187" i="1"/>
  <c r="S186" i="1"/>
  <c r="R186" i="1"/>
  <c r="Q186" i="1"/>
  <c r="P186" i="1"/>
  <c r="S185" i="1"/>
  <c r="R185" i="1"/>
  <c r="Q185" i="1"/>
  <c r="P185" i="1"/>
  <c r="S184" i="1"/>
  <c r="R184" i="1"/>
  <c r="Q184" i="1"/>
  <c r="P184" i="1"/>
  <c r="S183" i="1"/>
  <c r="R183" i="1"/>
  <c r="Q183" i="1"/>
  <c r="P183" i="1"/>
  <c r="S182" i="1"/>
  <c r="R182" i="1"/>
  <c r="Q182" i="1"/>
  <c r="P182" i="1"/>
  <c r="S181" i="1"/>
  <c r="R181" i="1"/>
  <c r="Q181" i="1"/>
  <c r="P181" i="1"/>
  <c r="S180" i="1"/>
  <c r="R180" i="1"/>
  <c r="Q180" i="1"/>
  <c r="P180" i="1"/>
  <c r="S179" i="1"/>
  <c r="R179" i="1"/>
  <c r="Q179" i="1"/>
  <c r="P179" i="1"/>
  <c r="S178" i="1"/>
  <c r="R178" i="1"/>
  <c r="Q178" i="1"/>
  <c r="P178" i="1"/>
  <c r="S177" i="1"/>
  <c r="R177" i="1"/>
  <c r="Q177" i="1"/>
  <c r="P177" i="1"/>
  <c r="S176" i="1"/>
  <c r="R176" i="1"/>
  <c r="Q176" i="1"/>
  <c r="P176" i="1"/>
  <c r="S175" i="1"/>
  <c r="R175" i="1"/>
  <c r="Q175" i="1"/>
  <c r="P175" i="1"/>
  <c r="S174" i="1"/>
  <c r="R174" i="1"/>
  <c r="Q174" i="1"/>
  <c r="P174" i="1"/>
  <c r="S173" i="1"/>
  <c r="R173" i="1"/>
  <c r="Q173" i="1"/>
  <c r="P173" i="1"/>
  <c r="S172" i="1"/>
  <c r="R172" i="1"/>
  <c r="Q172" i="1"/>
  <c r="P172" i="1"/>
  <c r="S171" i="1"/>
  <c r="R171" i="1"/>
  <c r="Q171" i="1"/>
  <c r="P171" i="1"/>
  <c r="S170" i="1"/>
  <c r="R170" i="1"/>
  <c r="Q170" i="1"/>
  <c r="P170" i="1"/>
  <c r="S169" i="1"/>
  <c r="R169" i="1"/>
  <c r="Q169" i="1"/>
  <c r="P169" i="1"/>
  <c r="S168" i="1"/>
  <c r="R168" i="1"/>
  <c r="Q168" i="1"/>
  <c r="P168" i="1"/>
  <c r="S167" i="1"/>
  <c r="R167" i="1"/>
  <c r="Q167" i="1"/>
  <c r="P167" i="1"/>
  <c r="S166" i="1"/>
  <c r="R166" i="1"/>
  <c r="Q166" i="1"/>
  <c r="P166" i="1"/>
  <c r="S165" i="1"/>
  <c r="R165" i="1"/>
  <c r="Q165" i="1"/>
  <c r="P165" i="1"/>
  <c r="S164" i="1"/>
  <c r="R164" i="1"/>
  <c r="Q164" i="1"/>
  <c r="P164" i="1"/>
  <c r="S163" i="1"/>
  <c r="R163" i="1"/>
  <c r="Q163" i="1"/>
  <c r="P163" i="1"/>
  <c r="S162" i="1"/>
  <c r="R162" i="1"/>
  <c r="Q162" i="1"/>
  <c r="P162" i="1"/>
  <c r="S161" i="1"/>
  <c r="R161" i="1"/>
  <c r="Q161" i="1"/>
  <c r="P161" i="1"/>
  <c r="S160" i="1"/>
  <c r="R160" i="1"/>
  <c r="Q160" i="1"/>
  <c r="P160" i="1"/>
  <c r="S159" i="1"/>
  <c r="R159" i="1"/>
  <c r="Q159" i="1"/>
  <c r="P159" i="1"/>
  <c r="S158" i="1"/>
  <c r="R158" i="1"/>
  <c r="Q158" i="1"/>
  <c r="P158" i="1"/>
  <c r="S157" i="1"/>
  <c r="R157" i="1"/>
  <c r="Q157" i="1"/>
  <c r="P157" i="1"/>
  <c r="S156" i="1"/>
  <c r="R156" i="1"/>
  <c r="Q156" i="1"/>
  <c r="P156" i="1"/>
  <c r="S155" i="1"/>
  <c r="R155" i="1"/>
  <c r="Q155" i="1"/>
  <c r="P155" i="1"/>
  <c r="S154" i="1"/>
  <c r="R154" i="1"/>
  <c r="Q154" i="1"/>
  <c r="P154" i="1"/>
  <c r="S153" i="1"/>
  <c r="R153" i="1"/>
  <c r="Q153" i="1"/>
  <c r="P153" i="1"/>
  <c r="S152" i="1"/>
  <c r="R152" i="1"/>
  <c r="Q152" i="1"/>
  <c r="P152" i="1"/>
  <c r="S151" i="1"/>
  <c r="R151" i="1"/>
  <c r="Q151" i="1"/>
  <c r="P151" i="1"/>
  <c r="S150" i="1"/>
  <c r="R150" i="1"/>
  <c r="Q150" i="1"/>
  <c r="P150" i="1"/>
  <c r="S149" i="1"/>
  <c r="R149" i="1"/>
  <c r="Q149" i="1"/>
  <c r="P149" i="1"/>
  <c r="S148" i="1"/>
  <c r="R148" i="1"/>
  <c r="Q148" i="1"/>
  <c r="P148" i="1"/>
  <c r="S147" i="1"/>
  <c r="R147" i="1"/>
  <c r="Q147" i="1"/>
  <c r="P147" i="1"/>
  <c r="S146" i="1"/>
  <c r="R146" i="1"/>
  <c r="Q146" i="1"/>
  <c r="P146" i="1"/>
  <c r="S145" i="1"/>
  <c r="R145" i="1"/>
  <c r="Q145" i="1"/>
  <c r="P145" i="1"/>
  <c r="S144" i="1"/>
  <c r="R144" i="1"/>
  <c r="Q144" i="1"/>
  <c r="P144" i="1"/>
  <c r="S143" i="1"/>
  <c r="R143" i="1"/>
  <c r="Q143" i="1"/>
  <c r="P143" i="1"/>
  <c r="S142" i="1"/>
  <c r="R142" i="1"/>
  <c r="Q142" i="1"/>
  <c r="P142" i="1"/>
  <c r="S141" i="1"/>
  <c r="R141" i="1"/>
  <c r="Q141" i="1"/>
  <c r="P141" i="1"/>
  <c r="S140" i="1"/>
  <c r="R140" i="1"/>
  <c r="Q140" i="1"/>
  <c r="P140" i="1"/>
  <c r="S139" i="1"/>
  <c r="R139" i="1"/>
  <c r="Q139" i="1"/>
  <c r="P139" i="1"/>
  <c r="S138" i="1"/>
  <c r="R138" i="1"/>
  <c r="Q138" i="1"/>
  <c r="P138" i="1"/>
  <c r="S137" i="1"/>
  <c r="R137" i="1"/>
  <c r="Q137" i="1"/>
  <c r="P137" i="1"/>
  <c r="S136" i="1"/>
  <c r="R136" i="1"/>
  <c r="Q136" i="1"/>
  <c r="P136" i="1"/>
  <c r="S135" i="1"/>
  <c r="R135" i="1"/>
  <c r="Q135" i="1"/>
  <c r="P135" i="1"/>
  <c r="S134" i="1"/>
  <c r="R134" i="1"/>
  <c r="Q134" i="1"/>
  <c r="P134" i="1"/>
  <c r="S133" i="1"/>
  <c r="R133" i="1"/>
  <c r="Q133" i="1"/>
  <c r="P133" i="1"/>
  <c r="S132" i="1"/>
  <c r="R132" i="1"/>
  <c r="Q132" i="1"/>
  <c r="P132" i="1"/>
  <c r="S131" i="1"/>
  <c r="R131" i="1"/>
  <c r="Q131" i="1"/>
  <c r="P131" i="1"/>
  <c r="S130" i="1"/>
  <c r="R130" i="1"/>
  <c r="Q130" i="1"/>
  <c r="P130" i="1"/>
  <c r="S129" i="1"/>
  <c r="R129" i="1"/>
  <c r="Q129" i="1"/>
  <c r="P129" i="1"/>
  <c r="S128" i="1"/>
  <c r="R128" i="1"/>
  <c r="Q128" i="1"/>
  <c r="P128" i="1"/>
  <c r="S127" i="1"/>
  <c r="R127" i="1"/>
  <c r="Q127" i="1"/>
  <c r="P127" i="1"/>
  <c r="S126" i="1"/>
  <c r="R126" i="1"/>
  <c r="Q126" i="1"/>
  <c r="P126" i="1"/>
  <c r="S125" i="1"/>
  <c r="R125" i="1"/>
  <c r="Q125" i="1"/>
  <c r="P125" i="1"/>
  <c r="S124" i="1"/>
  <c r="R124" i="1"/>
  <c r="Q124" i="1"/>
  <c r="P124" i="1"/>
  <c r="S123" i="1"/>
  <c r="R123" i="1"/>
  <c r="Q123" i="1"/>
  <c r="P123" i="1"/>
  <c r="S122" i="1"/>
  <c r="R122" i="1"/>
  <c r="Q122" i="1"/>
  <c r="P122" i="1"/>
  <c r="S121" i="1"/>
  <c r="R121" i="1"/>
  <c r="Q121" i="1"/>
  <c r="P121" i="1"/>
  <c r="S120" i="1"/>
  <c r="R120" i="1"/>
  <c r="Q120" i="1"/>
  <c r="P120" i="1"/>
  <c r="S119" i="1"/>
  <c r="R119" i="1"/>
  <c r="Q119" i="1"/>
  <c r="P119" i="1"/>
  <c r="S118" i="1"/>
  <c r="R118" i="1"/>
  <c r="Q118" i="1"/>
  <c r="P118" i="1"/>
  <c r="S117" i="1"/>
  <c r="R117" i="1"/>
  <c r="Q117" i="1"/>
  <c r="P117" i="1"/>
  <c r="S116" i="1"/>
  <c r="R116" i="1"/>
  <c r="Q116" i="1"/>
  <c r="P116" i="1"/>
  <c r="S115" i="1"/>
  <c r="R115" i="1"/>
  <c r="Q115" i="1"/>
  <c r="P115" i="1"/>
  <c r="S114" i="1"/>
  <c r="R114" i="1"/>
  <c r="Q114" i="1"/>
  <c r="P114" i="1"/>
  <c r="S113" i="1"/>
  <c r="R113" i="1"/>
  <c r="Q113" i="1"/>
  <c r="P113" i="1"/>
  <c r="S112" i="1"/>
  <c r="R112" i="1"/>
  <c r="Q112" i="1"/>
  <c r="P112" i="1"/>
  <c r="S111" i="1"/>
  <c r="R111" i="1"/>
  <c r="Q111" i="1"/>
  <c r="P111" i="1"/>
  <c r="S110" i="1"/>
  <c r="R110" i="1"/>
  <c r="Q110" i="1"/>
  <c r="P110" i="1"/>
  <c r="S109" i="1"/>
  <c r="R109" i="1"/>
  <c r="Q109" i="1"/>
  <c r="P109" i="1"/>
  <c r="S108" i="1"/>
  <c r="R108" i="1"/>
  <c r="Q108" i="1"/>
  <c r="P108" i="1"/>
  <c r="S107" i="1"/>
  <c r="R107" i="1"/>
  <c r="Q107" i="1"/>
  <c r="P107" i="1"/>
  <c r="S106" i="1"/>
  <c r="R106" i="1"/>
  <c r="Q106" i="1"/>
  <c r="P106" i="1"/>
  <c r="S105" i="1"/>
  <c r="R105" i="1"/>
  <c r="Q105" i="1"/>
  <c r="P105" i="1"/>
  <c r="S104" i="1"/>
  <c r="R104" i="1"/>
  <c r="Q104" i="1"/>
  <c r="P104" i="1"/>
  <c r="S103" i="1"/>
  <c r="R103" i="1"/>
  <c r="Q103" i="1"/>
  <c r="P103" i="1"/>
  <c r="S102" i="1"/>
  <c r="R102" i="1"/>
  <c r="Q102" i="1"/>
  <c r="P102" i="1"/>
  <c r="S101" i="1"/>
  <c r="R101" i="1"/>
  <c r="Q101" i="1"/>
  <c r="P101" i="1"/>
  <c r="S100" i="1"/>
  <c r="R100" i="1"/>
  <c r="Q100" i="1"/>
  <c r="P100" i="1"/>
  <c r="S99" i="1"/>
  <c r="R99" i="1"/>
  <c r="Q99" i="1"/>
  <c r="P99" i="1"/>
  <c r="S98" i="1"/>
  <c r="R98" i="1"/>
  <c r="Q98" i="1"/>
  <c r="P98" i="1"/>
  <c r="S97" i="1"/>
  <c r="R97" i="1"/>
  <c r="Q97" i="1"/>
  <c r="P97" i="1"/>
  <c r="S96" i="1"/>
  <c r="R96" i="1"/>
  <c r="Q96" i="1"/>
  <c r="P96" i="1"/>
  <c r="S95" i="1"/>
  <c r="R95" i="1"/>
  <c r="Q95" i="1"/>
  <c r="P95" i="1"/>
  <c r="S94" i="1"/>
  <c r="R94" i="1"/>
  <c r="Q94" i="1"/>
  <c r="P94" i="1"/>
  <c r="S93" i="1"/>
  <c r="R93" i="1"/>
  <c r="Q93" i="1"/>
  <c r="P93" i="1"/>
  <c r="S92" i="1"/>
  <c r="R92" i="1"/>
  <c r="Q92" i="1"/>
  <c r="P92" i="1"/>
  <c r="S91" i="1"/>
  <c r="R91" i="1"/>
  <c r="Q91" i="1"/>
  <c r="P91" i="1"/>
  <c r="S90" i="1"/>
  <c r="R90" i="1"/>
  <c r="Q90" i="1"/>
  <c r="P90" i="1"/>
  <c r="S89" i="1"/>
  <c r="R89" i="1"/>
  <c r="Q89" i="1"/>
  <c r="P89" i="1"/>
  <c r="S88" i="1"/>
  <c r="R88" i="1"/>
  <c r="Q88" i="1"/>
  <c r="P88" i="1"/>
  <c r="S87" i="1"/>
  <c r="R87" i="1"/>
  <c r="Q87" i="1"/>
  <c r="P87" i="1"/>
  <c r="S86" i="1"/>
  <c r="R86" i="1"/>
  <c r="Q86" i="1"/>
  <c r="P86" i="1"/>
  <c r="S85" i="1"/>
  <c r="R85" i="1"/>
  <c r="Q85" i="1"/>
  <c r="P85" i="1"/>
  <c r="S84" i="1"/>
  <c r="R84" i="1"/>
  <c r="Q84" i="1"/>
  <c r="P84" i="1"/>
  <c r="S83" i="1"/>
  <c r="R83" i="1"/>
  <c r="Q83" i="1"/>
  <c r="P83" i="1"/>
  <c r="S82" i="1"/>
  <c r="R82" i="1"/>
  <c r="Q82" i="1"/>
  <c r="P82" i="1"/>
  <c r="S81" i="1"/>
  <c r="R81" i="1"/>
  <c r="Q81" i="1"/>
  <c r="P81" i="1"/>
  <c r="S80" i="1"/>
  <c r="R80" i="1"/>
  <c r="Q80" i="1"/>
  <c r="P80" i="1"/>
  <c r="S79" i="1"/>
  <c r="R79" i="1"/>
  <c r="Q79" i="1"/>
  <c r="P79" i="1"/>
  <c r="S78" i="1"/>
  <c r="R78" i="1"/>
  <c r="Q78" i="1"/>
  <c r="P78" i="1"/>
  <c r="S77" i="1"/>
  <c r="R77" i="1"/>
  <c r="Q77" i="1"/>
  <c r="P77" i="1"/>
  <c r="S76" i="1"/>
  <c r="R76" i="1"/>
  <c r="Q76" i="1"/>
  <c r="P76" i="1"/>
  <c r="S75" i="1"/>
  <c r="R75" i="1"/>
  <c r="Q75" i="1"/>
  <c r="P75" i="1"/>
  <c r="S74" i="1"/>
  <c r="R74" i="1"/>
  <c r="Q74" i="1"/>
  <c r="P74" i="1"/>
  <c r="S73" i="1"/>
  <c r="R73" i="1"/>
  <c r="Q73" i="1"/>
  <c r="P73" i="1"/>
  <c r="S72" i="1"/>
  <c r="R72" i="1"/>
  <c r="Q72" i="1"/>
  <c r="P72" i="1"/>
  <c r="S71" i="1"/>
  <c r="R71" i="1"/>
  <c r="Q71" i="1"/>
  <c r="P71" i="1"/>
  <c r="S70" i="1"/>
  <c r="R70" i="1"/>
  <c r="Q70" i="1"/>
  <c r="P70" i="1"/>
  <c r="S69" i="1"/>
  <c r="R69" i="1"/>
  <c r="Q69" i="1"/>
  <c r="P69" i="1"/>
  <c r="S68" i="1"/>
  <c r="R68" i="1"/>
  <c r="Q68" i="1"/>
  <c r="P68" i="1"/>
  <c r="S67" i="1"/>
  <c r="R67" i="1"/>
  <c r="Q67" i="1"/>
  <c r="P67" i="1"/>
  <c r="S66" i="1"/>
  <c r="R66" i="1"/>
  <c r="Q66" i="1"/>
  <c r="P66" i="1"/>
  <c r="S65" i="1"/>
  <c r="R65" i="1"/>
  <c r="Q65" i="1"/>
  <c r="P65" i="1"/>
  <c r="S64" i="1"/>
  <c r="R64" i="1"/>
  <c r="Q64" i="1"/>
  <c r="P64" i="1"/>
  <c r="S63" i="1"/>
  <c r="R63" i="1"/>
  <c r="Q63" i="1"/>
  <c r="P63" i="1"/>
  <c r="S62" i="1"/>
  <c r="R62" i="1"/>
  <c r="Q62" i="1"/>
  <c r="P62" i="1"/>
  <c r="S61" i="1"/>
  <c r="R61" i="1"/>
  <c r="Q61" i="1"/>
  <c r="P61" i="1"/>
  <c r="S60" i="1"/>
  <c r="R60" i="1"/>
  <c r="Q60" i="1"/>
  <c r="P60" i="1"/>
  <c r="S59" i="1"/>
  <c r="R59" i="1"/>
  <c r="Q59" i="1"/>
  <c r="P59" i="1"/>
  <c r="S58" i="1"/>
  <c r="R58" i="1"/>
  <c r="Q58" i="1"/>
  <c r="P58" i="1"/>
  <c r="S57" i="1"/>
  <c r="R57" i="1"/>
  <c r="Q57" i="1"/>
  <c r="P57" i="1"/>
  <c r="S56" i="1"/>
  <c r="R56" i="1"/>
  <c r="Q56" i="1"/>
  <c r="P56" i="1"/>
  <c r="S55" i="1"/>
  <c r="R55" i="1"/>
  <c r="Q55" i="1"/>
  <c r="P55" i="1"/>
  <c r="S54" i="1"/>
  <c r="R54" i="1"/>
  <c r="Q54" i="1"/>
  <c r="P54" i="1"/>
  <c r="S53" i="1"/>
  <c r="R53" i="1"/>
  <c r="Q53" i="1"/>
  <c r="P53" i="1"/>
  <c r="S52" i="1"/>
  <c r="R52" i="1"/>
  <c r="Q52" i="1"/>
  <c r="P52" i="1"/>
  <c r="S51" i="1"/>
  <c r="R51" i="1"/>
  <c r="Q51" i="1"/>
  <c r="P51" i="1"/>
  <c r="S50" i="1"/>
  <c r="R50" i="1"/>
  <c r="Q50" i="1"/>
  <c r="P50" i="1"/>
  <c r="S49" i="1"/>
  <c r="R49" i="1"/>
  <c r="Q49" i="1"/>
  <c r="P49" i="1"/>
  <c r="S48" i="1"/>
  <c r="R48" i="1"/>
  <c r="Q48" i="1"/>
  <c r="P48" i="1"/>
  <c r="S47" i="1"/>
  <c r="R47" i="1"/>
  <c r="Q47" i="1"/>
  <c r="P47" i="1"/>
  <c r="S46" i="1"/>
  <c r="R46" i="1"/>
  <c r="Q46" i="1"/>
  <c r="P46" i="1"/>
  <c r="S45" i="1"/>
  <c r="R45" i="1"/>
  <c r="Q45" i="1"/>
  <c r="P45" i="1"/>
  <c r="S44" i="1"/>
  <c r="R44" i="1"/>
  <c r="Q44" i="1"/>
  <c r="P44" i="1"/>
  <c r="S43" i="1"/>
  <c r="R43" i="1"/>
  <c r="Q43" i="1"/>
  <c r="P43" i="1"/>
  <c r="S42" i="1"/>
  <c r="R42" i="1"/>
  <c r="Q42" i="1"/>
  <c r="P42" i="1"/>
  <c r="S41" i="1"/>
  <c r="R41" i="1"/>
  <c r="Q41" i="1"/>
  <c r="P41" i="1"/>
  <c r="S40" i="1"/>
  <c r="R40" i="1"/>
  <c r="Q40" i="1"/>
  <c r="P40" i="1"/>
  <c r="S39" i="1"/>
  <c r="R39" i="1"/>
  <c r="Q39" i="1"/>
  <c r="P39" i="1"/>
  <c r="S38" i="1"/>
  <c r="R38" i="1"/>
  <c r="Q38" i="1"/>
  <c r="P38" i="1"/>
  <c r="S37" i="1"/>
  <c r="R37" i="1"/>
  <c r="Q37" i="1"/>
  <c r="P37" i="1"/>
  <c r="S36" i="1"/>
  <c r="R36" i="1"/>
  <c r="Q36" i="1"/>
  <c r="P36" i="1"/>
  <c r="S35" i="1"/>
  <c r="R35" i="1"/>
  <c r="Q35" i="1"/>
  <c r="P35" i="1"/>
  <c r="S34" i="1"/>
  <c r="R34" i="1"/>
  <c r="Q34" i="1"/>
  <c r="P34" i="1"/>
  <c r="S33" i="1"/>
  <c r="R33" i="1"/>
  <c r="Q33" i="1"/>
  <c r="P33" i="1"/>
  <c r="S32" i="1"/>
  <c r="R32" i="1"/>
  <c r="Q32" i="1"/>
  <c r="P32" i="1"/>
  <c r="S31" i="1"/>
  <c r="R31" i="1"/>
  <c r="Q31" i="1"/>
  <c r="P31" i="1"/>
  <c r="S30" i="1"/>
  <c r="R30" i="1"/>
  <c r="Q30" i="1"/>
  <c r="P30" i="1"/>
  <c r="S29" i="1"/>
  <c r="R29" i="1"/>
  <c r="Q29" i="1"/>
  <c r="P29" i="1"/>
  <c r="S28" i="1"/>
  <c r="R28" i="1"/>
  <c r="Q28" i="1"/>
  <c r="P28" i="1"/>
  <c r="S27" i="1"/>
  <c r="R27" i="1"/>
  <c r="Q27" i="1"/>
  <c r="P27" i="1"/>
  <c r="S26" i="1"/>
  <c r="R26" i="1"/>
  <c r="Q26" i="1"/>
  <c r="P26" i="1"/>
  <c r="S25" i="1"/>
  <c r="R25" i="1"/>
  <c r="Q25" i="1"/>
  <c r="P25" i="1"/>
  <c r="S24" i="1"/>
  <c r="R24" i="1"/>
  <c r="Q24" i="1"/>
  <c r="P24" i="1"/>
  <c r="S23" i="1"/>
  <c r="R23" i="1"/>
  <c r="Q23" i="1"/>
  <c r="P23" i="1"/>
  <c r="S22" i="1"/>
  <c r="R22" i="1"/>
  <c r="Q22" i="1"/>
  <c r="P22" i="1"/>
  <c r="S21" i="1"/>
  <c r="R21" i="1"/>
  <c r="Q21" i="1"/>
  <c r="P21" i="1"/>
  <c r="S20" i="1"/>
  <c r="R20" i="1"/>
  <c r="Q20" i="1"/>
  <c r="P20" i="1"/>
  <c r="S19" i="1"/>
  <c r="R19" i="1"/>
  <c r="Q19" i="1"/>
  <c r="P19" i="1"/>
  <c r="S18" i="1"/>
  <c r="R18" i="1"/>
  <c r="Q18" i="1"/>
  <c r="P18" i="1"/>
  <c r="S17" i="1"/>
  <c r="R17" i="1"/>
  <c r="Q17" i="1"/>
  <c r="P17" i="1"/>
  <c r="S16" i="1"/>
  <c r="R16" i="1"/>
  <c r="Q16" i="1"/>
  <c r="P16" i="1"/>
  <c r="S15" i="1"/>
  <c r="R15" i="1"/>
  <c r="Q15" i="1"/>
  <c r="P15" i="1"/>
  <c r="S14" i="1"/>
  <c r="R14" i="1"/>
  <c r="Q14" i="1"/>
  <c r="P14" i="1"/>
  <c r="S13" i="1"/>
  <c r="R13" i="1"/>
  <c r="Q13" i="1"/>
  <c r="P13" i="1"/>
  <c r="S12" i="1"/>
  <c r="R12" i="1"/>
  <c r="Q12" i="1"/>
  <c r="P12" i="1"/>
  <c r="S11" i="1"/>
  <c r="R11" i="1"/>
  <c r="Q11" i="1"/>
  <c r="P11" i="1"/>
  <c r="S10" i="1"/>
  <c r="R10" i="1"/>
  <c r="Q10" i="1"/>
  <c r="P10" i="1"/>
  <c r="S9" i="1"/>
  <c r="R9" i="1"/>
  <c r="Q9" i="1"/>
  <c r="P9" i="1"/>
  <c r="S8" i="1"/>
  <c r="R8" i="1"/>
  <c r="Q8" i="1"/>
  <c r="P8" i="1"/>
  <c r="S7" i="1"/>
  <c r="R7" i="1"/>
  <c r="Q7" i="1"/>
  <c r="P7" i="1"/>
  <c r="S6" i="1"/>
  <c r="R6" i="1"/>
  <c r="Q6" i="1"/>
  <c r="P6" i="1"/>
  <c r="S5" i="1"/>
  <c r="R5" i="1"/>
  <c r="Q5" i="1"/>
  <c r="P5" i="1"/>
  <c r="S4" i="1"/>
  <c r="R4" i="1"/>
  <c r="Q4" i="1"/>
  <c r="P4" i="1"/>
  <c r="S3" i="1"/>
  <c r="R3" i="1"/>
  <c r="Q3" i="1"/>
  <c r="P3" i="1"/>
  <c r="S2" i="1"/>
  <c r="R2" i="1"/>
  <c r="Q2" i="1"/>
  <c r="P2" i="1"/>
  <c r="O4029" i="1"/>
  <c r="O4028" i="1"/>
  <c r="O4027" i="1"/>
  <c r="O4026" i="1"/>
  <c r="O4025" i="1"/>
  <c r="O4024" i="1"/>
  <c r="O4023" i="1"/>
  <c r="O4022" i="1"/>
  <c r="O4021" i="1"/>
  <c r="O4020" i="1"/>
  <c r="O4019" i="1"/>
  <c r="O4018" i="1"/>
  <c r="O4017" i="1"/>
  <c r="O4016" i="1"/>
  <c r="O4015" i="1"/>
  <c r="O4014" i="1"/>
  <c r="O4013" i="1"/>
  <c r="O4012" i="1"/>
  <c r="O4011" i="1"/>
  <c r="O4010" i="1"/>
  <c r="O4009" i="1"/>
  <c r="O4008" i="1"/>
  <c r="O4007" i="1"/>
  <c r="O4006" i="1"/>
  <c r="O4005" i="1"/>
  <c r="O4004" i="1"/>
  <c r="O4003" i="1"/>
  <c r="O4002" i="1"/>
  <c r="O4001" i="1"/>
  <c r="O4000" i="1"/>
  <c r="O3999" i="1"/>
  <c r="O3998" i="1"/>
  <c r="O3997" i="1"/>
  <c r="O3996" i="1"/>
  <c r="O3995" i="1"/>
  <c r="O3994" i="1"/>
  <c r="O3993" i="1"/>
  <c r="O3992" i="1"/>
  <c r="O3991" i="1"/>
  <c r="O3990" i="1"/>
  <c r="O3989" i="1"/>
  <c r="O3988" i="1"/>
  <c r="O3987" i="1"/>
  <c r="O3986" i="1"/>
  <c r="O3985" i="1"/>
  <c r="O3984" i="1"/>
  <c r="O3983" i="1"/>
  <c r="O3982" i="1"/>
  <c r="O3981" i="1"/>
  <c r="O3980" i="1"/>
  <c r="O3979" i="1"/>
  <c r="O3978" i="1"/>
  <c r="O3977" i="1"/>
  <c r="O3976" i="1"/>
  <c r="O3975" i="1"/>
  <c r="O3974" i="1"/>
  <c r="O3973" i="1"/>
  <c r="O3972" i="1"/>
  <c r="O3971" i="1"/>
  <c r="O3970" i="1"/>
  <c r="O3969" i="1"/>
  <c r="O3968" i="1"/>
  <c r="O3967" i="1"/>
  <c r="O3966" i="1"/>
  <c r="O3965" i="1"/>
  <c r="O3964" i="1"/>
  <c r="O3963" i="1"/>
  <c r="O3962" i="1"/>
  <c r="O3961" i="1"/>
  <c r="O3960" i="1"/>
  <c r="O3959" i="1"/>
  <c r="O3958" i="1"/>
  <c r="O3957" i="1"/>
  <c r="O3956" i="1"/>
  <c r="O3955" i="1"/>
  <c r="O3954" i="1"/>
  <c r="O3953" i="1"/>
  <c r="O3952" i="1"/>
  <c r="O3951" i="1"/>
  <c r="O3950" i="1"/>
  <c r="O3949" i="1"/>
  <c r="O3948" i="1"/>
  <c r="O3947" i="1"/>
  <c r="O3946" i="1"/>
  <c r="O3945" i="1"/>
  <c r="O3944" i="1"/>
  <c r="O3943" i="1"/>
  <c r="O3942" i="1"/>
  <c r="O3941" i="1"/>
  <c r="O3940" i="1"/>
  <c r="O3939" i="1"/>
  <c r="O3938" i="1"/>
  <c r="O3937" i="1"/>
  <c r="O3936" i="1"/>
  <c r="O3935" i="1"/>
  <c r="O3934" i="1"/>
  <c r="O3933" i="1"/>
  <c r="O3932" i="1"/>
  <c r="O3931" i="1"/>
  <c r="O3930" i="1"/>
  <c r="O3929" i="1"/>
  <c r="O3928" i="1"/>
  <c r="O3927" i="1"/>
  <c r="O3926" i="1"/>
  <c r="O3925" i="1"/>
  <c r="O3924" i="1"/>
  <c r="O3923" i="1"/>
  <c r="O3922" i="1"/>
  <c r="O3921" i="1"/>
  <c r="O3920" i="1"/>
  <c r="O3919" i="1"/>
  <c r="O3918" i="1"/>
  <c r="O3917" i="1"/>
  <c r="O3916" i="1"/>
  <c r="O3915" i="1"/>
  <c r="O3914" i="1"/>
  <c r="O3913" i="1"/>
  <c r="O3912" i="1"/>
  <c r="O3911" i="1"/>
  <c r="O3910" i="1"/>
  <c r="O3909" i="1"/>
  <c r="O3908" i="1"/>
  <c r="O3907" i="1"/>
  <c r="O3906" i="1"/>
  <c r="O3905" i="1"/>
  <c r="O3904" i="1"/>
  <c r="O3903" i="1"/>
  <c r="O3902" i="1"/>
  <c r="O3901" i="1"/>
  <c r="O3900" i="1"/>
  <c r="O3899" i="1"/>
  <c r="O3898" i="1"/>
  <c r="O3897" i="1"/>
  <c r="O3896" i="1"/>
  <c r="O3895" i="1"/>
  <c r="O3894" i="1"/>
  <c r="O3893" i="1"/>
  <c r="O3892" i="1"/>
  <c r="O3891" i="1"/>
  <c r="O3890" i="1"/>
  <c r="O3889" i="1"/>
  <c r="O3888" i="1"/>
  <c r="O3887" i="1"/>
  <c r="O3886" i="1"/>
  <c r="O3885" i="1"/>
  <c r="O3884" i="1"/>
  <c r="O3883" i="1"/>
  <c r="O3882" i="1"/>
  <c r="O3881" i="1"/>
  <c r="O3880" i="1"/>
  <c r="O3879" i="1"/>
  <c r="O3878" i="1"/>
  <c r="O3877" i="1"/>
  <c r="O3876" i="1"/>
  <c r="O3875" i="1"/>
  <c r="O3874" i="1"/>
  <c r="O3873" i="1"/>
  <c r="O3872" i="1"/>
  <c r="O3871" i="1"/>
  <c r="O3870" i="1"/>
  <c r="O3869" i="1"/>
  <c r="O3868" i="1"/>
  <c r="O3867" i="1"/>
  <c r="O3866" i="1"/>
  <c r="O3865" i="1"/>
  <c r="O3864" i="1"/>
  <c r="O3863" i="1"/>
  <c r="O3862" i="1"/>
  <c r="O3861" i="1"/>
  <c r="O3860" i="1"/>
  <c r="O3859" i="1"/>
  <c r="O3858" i="1"/>
  <c r="O3857" i="1"/>
  <c r="O3856" i="1"/>
  <c r="O3855" i="1"/>
  <c r="O3854" i="1"/>
  <c r="O3853" i="1"/>
  <c r="O3852" i="1"/>
  <c r="O3851" i="1"/>
  <c r="O3850" i="1"/>
  <c r="O3849" i="1"/>
  <c r="O3848" i="1"/>
  <c r="O3847" i="1"/>
  <c r="O3846" i="1"/>
  <c r="O3845" i="1"/>
  <c r="O3844" i="1"/>
  <c r="O3843" i="1"/>
  <c r="O3842" i="1"/>
  <c r="O3841" i="1"/>
  <c r="O3840" i="1"/>
  <c r="O3839" i="1"/>
  <c r="O3838" i="1"/>
  <c r="O3837" i="1"/>
  <c r="O3836" i="1"/>
  <c r="O3835" i="1"/>
  <c r="O3834" i="1"/>
  <c r="O3833" i="1"/>
  <c r="O3832" i="1"/>
  <c r="O3831" i="1"/>
  <c r="O3830" i="1"/>
  <c r="O3829" i="1"/>
  <c r="O3828" i="1"/>
  <c r="O3827" i="1"/>
  <c r="O3826" i="1"/>
  <c r="O3825" i="1"/>
  <c r="O3824" i="1"/>
  <c r="O3823" i="1"/>
  <c r="O3822" i="1"/>
  <c r="O3821" i="1"/>
  <c r="O3820" i="1"/>
  <c r="O3819" i="1"/>
  <c r="O3818" i="1"/>
  <c r="O3817" i="1"/>
  <c r="O3816" i="1"/>
  <c r="O3815" i="1"/>
  <c r="O3814" i="1"/>
  <c r="O3813" i="1"/>
  <c r="O3812" i="1"/>
  <c r="O3811" i="1"/>
  <c r="O3810" i="1"/>
  <c r="O3809" i="1"/>
  <c r="O3808" i="1"/>
  <c r="O3807" i="1"/>
  <c r="O3806" i="1"/>
  <c r="O3805" i="1"/>
  <c r="O3804" i="1"/>
  <c r="O3803" i="1"/>
  <c r="O3802" i="1"/>
  <c r="O3801" i="1"/>
  <c r="O3800" i="1"/>
  <c r="O3799" i="1"/>
  <c r="O3798" i="1"/>
  <c r="O3797" i="1"/>
  <c r="O3796" i="1"/>
  <c r="O3795" i="1"/>
  <c r="O3794" i="1"/>
  <c r="O3793" i="1"/>
  <c r="O3792" i="1"/>
  <c r="O3791" i="1"/>
  <c r="O3790" i="1"/>
  <c r="O3789" i="1"/>
  <c r="O3788" i="1"/>
  <c r="O3787" i="1"/>
  <c r="O3786" i="1"/>
  <c r="O3785" i="1"/>
  <c r="O3784" i="1"/>
  <c r="O3783" i="1"/>
  <c r="O3782" i="1"/>
  <c r="O3781" i="1"/>
  <c r="O3780" i="1"/>
  <c r="O3779" i="1"/>
  <c r="O3778" i="1"/>
  <c r="O3777" i="1"/>
  <c r="O3776" i="1"/>
  <c r="O3775" i="1"/>
  <c r="O3774" i="1"/>
  <c r="O3773" i="1"/>
  <c r="O3772" i="1"/>
  <c r="O3771" i="1"/>
  <c r="O3770" i="1"/>
  <c r="O3769" i="1"/>
  <c r="O3768" i="1"/>
  <c r="O3767" i="1"/>
  <c r="O3766" i="1"/>
  <c r="O3765" i="1"/>
  <c r="O3764" i="1"/>
  <c r="O3763" i="1"/>
  <c r="O3762" i="1"/>
  <c r="O3761" i="1"/>
  <c r="O3760" i="1"/>
  <c r="O3759" i="1"/>
  <c r="O3758" i="1"/>
  <c r="O3757" i="1"/>
  <c r="O3756" i="1"/>
  <c r="O3755" i="1"/>
  <c r="O3754" i="1"/>
  <c r="O3753" i="1"/>
  <c r="O3752" i="1"/>
  <c r="O3751" i="1"/>
  <c r="O3750" i="1"/>
  <c r="O3749" i="1"/>
  <c r="O3748" i="1"/>
  <c r="O3747" i="1"/>
  <c r="O3746" i="1"/>
  <c r="O3745" i="1"/>
  <c r="O3744" i="1"/>
  <c r="O3743" i="1"/>
  <c r="O3742" i="1"/>
  <c r="O3741" i="1"/>
  <c r="O3740" i="1"/>
  <c r="O3739" i="1"/>
  <c r="O3738" i="1"/>
  <c r="O3737" i="1"/>
  <c r="O3736" i="1"/>
  <c r="O3735" i="1"/>
  <c r="O3734" i="1"/>
  <c r="O3733" i="1"/>
  <c r="O3732" i="1"/>
  <c r="O3731" i="1"/>
  <c r="O3730" i="1"/>
  <c r="O3729" i="1"/>
  <c r="O3728" i="1"/>
  <c r="O3727" i="1"/>
  <c r="O3726" i="1"/>
  <c r="O3725" i="1"/>
  <c r="O3724" i="1"/>
  <c r="O3723" i="1"/>
  <c r="O3722" i="1"/>
  <c r="O3721" i="1"/>
  <c r="O3720" i="1"/>
  <c r="O3719" i="1"/>
  <c r="O3718" i="1"/>
  <c r="O3717" i="1"/>
  <c r="O3716" i="1"/>
  <c r="O3715" i="1"/>
  <c r="O3714" i="1"/>
  <c r="O3713" i="1"/>
  <c r="O3712" i="1"/>
  <c r="O3711" i="1"/>
  <c r="O3710" i="1"/>
  <c r="O3709" i="1"/>
  <c r="O3708" i="1"/>
  <c r="O3707" i="1"/>
  <c r="O3706" i="1"/>
  <c r="O3705" i="1"/>
  <c r="O3704" i="1"/>
  <c r="O3703" i="1"/>
  <c r="O3702" i="1"/>
  <c r="O3701" i="1"/>
  <c r="O3700" i="1"/>
  <c r="O3699" i="1"/>
  <c r="O3698" i="1"/>
  <c r="O3697" i="1"/>
  <c r="O3696" i="1"/>
  <c r="O3695" i="1"/>
  <c r="O3694" i="1"/>
  <c r="O3693" i="1"/>
  <c r="O3692" i="1"/>
  <c r="O3691" i="1"/>
  <c r="O3690" i="1"/>
  <c r="O3689" i="1"/>
  <c r="O3688" i="1"/>
  <c r="O3687" i="1"/>
  <c r="O3686" i="1"/>
  <c r="O3685" i="1"/>
  <c r="O3684" i="1"/>
  <c r="O3683" i="1"/>
  <c r="O3682" i="1"/>
  <c r="O3681" i="1"/>
  <c r="O3680" i="1"/>
  <c r="O3679" i="1"/>
  <c r="O3678" i="1"/>
  <c r="O3677" i="1"/>
  <c r="O3676" i="1"/>
  <c r="O3675" i="1"/>
  <c r="O3674" i="1"/>
  <c r="O3673" i="1"/>
  <c r="O3672" i="1"/>
  <c r="O3671" i="1"/>
  <c r="O3670" i="1"/>
  <c r="O3669" i="1"/>
  <c r="O3668" i="1"/>
  <c r="O3667" i="1"/>
  <c r="O3666" i="1"/>
  <c r="O3665" i="1"/>
  <c r="O3664" i="1"/>
  <c r="O3663" i="1"/>
  <c r="O3662" i="1"/>
  <c r="O3661" i="1"/>
  <c r="O3660" i="1"/>
  <c r="O3659" i="1"/>
  <c r="O3658" i="1"/>
  <c r="O3657" i="1"/>
  <c r="O3656" i="1"/>
  <c r="O3655" i="1"/>
  <c r="O3654" i="1"/>
  <c r="O3653" i="1"/>
  <c r="O3652" i="1"/>
  <c r="O3651" i="1"/>
  <c r="O3650" i="1"/>
  <c r="O3649" i="1"/>
  <c r="O3648" i="1"/>
  <c r="O3647" i="1"/>
  <c r="O3646" i="1"/>
  <c r="O3645" i="1"/>
  <c r="O3644" i="1"/>
  <c r="O3643" i="1"/>
  <c r="O3642" i="1"/>
  <c r="O3641" i="1"/>
  <c r="O3640" i="1"/>
  <c r="O3639" i="1"/>
  <c r="O3638" i="1"/>
  <c r="O3637" i="1"/>
  <c r="O3636" i="1"/>
  <c r="O3635" i="1"/>
  <c r="O3634" i="1"/>
  <c r="O3633" i="1"/>
  <c r="O3632" i="1"/>
  <c r="O3631" i="1"/>
  <c r="O3630" i="1"/>
  <c r="O3629" i="1"/>
  <c r="O3628" i="1"/>
  <c r="O3627" i="1"/>
  <c r="O3626" i="1"/>
  <c r="O3625" i="1"/>
  <c r="O3624" i="1"/>
  <c r="O3623" i="1"/>
  <c r="O3622" i="1"/>
  <c r="O3621" i="1"/>
  <c r="O3620" i="1"/>
  <c r="O3619" i="1"/>
  <c r="O3618" i="1"/>
  <c r="O3617" i="1"/>
  <c r="O3616" i="1"/>
  <c r="O3615" i="1"/>
  <c r="O3614" i="1"/>
  <c r="O3613" i="1"/>
  <c r="O3612" i="1"/>
  <c r="O3611" i="1"/>
  <c r="O3610" i="1"/>
  <c r="O3609" i="1"/>
  <c r="O3608" i="1"/>
  <c r="O3607" i="1"/>
  <c r="O3606" i="1"/>
  <c r="O3605" i="1"/>
  <c r="O3604" i="1"/>
  <c r="O3603" i="1"/>
  <c r="O3602" i="1"/>
  <c r="O3601" i="1"/>
  <c r="O3600" i="1"/>
  <c r="O3599" i="1"/>
  <c r="O3598" i="1"/>
  <c r="O3597" i="1"/>
  <c r="O3596" i="1"/>
  <c r="O3595" i="1"/>
  <c r="O3594" i="1"/>
  <c r="O3593" i="1"/>
  <c r="O3592" i="1"/>
  <c r="O3591" i="1"/>
  <c r="O3590" i="1"/>
  <c r="O3589" i="1"/>
  <c r="O3588" i="1"/>
  <c r="O3587" i="1"/>
  <c r="O3586" i="1"/>
  <c r="O3585" i="1"/>
  <c r="O3584" i="1"/>
  <c r="O3583" i="1"/>
  <c r="O3582" i="1"/>
  <c r="O3581" i="1"/>
  <c r="O3580" i="1"/>
  <c r="O3579" i="1"/>
  <c r="O3578" i="1"/>
  <c r="O3577" i="1"/>
  <c r="O3576" i="1"/>
  <c r="O3575" i="1"/>
  <c r="O3574" i="1"/>
  <c r="O3573" i="1"/>
  <c r="O3572" i="1"/>
  <c r="O3571" i="1"/>
  <c r="O3570" i="1"/>
  <c r="O3569" i="1"/>
  <c r="O3568" i="1"/>
  <c r="O3567" i="1"/>
  <c r="O3566" i="1"/>
  <c r="O3565" i="1"/>
  <c r="O3564" i="1"/>
  <c r="O3563" i="1"/>
  <c r="O3562" i="1"/>
  <c r="O3561" i="1"/>
  <c r="O3560" i="1"/>
  <c r="O3559" i="1"/>
  <c r="O3558" i="1"/>
  <c r="O3557" i="1"/>
  <c r="O3556" i="1"/>
  <c r="O3555" i="1"/>
  <c r="O3554" i="1"/>
  <c r="O3553" i="1"/>
  <c r="O3552" i="1"/>
  <c r="O3551" i="1"/>
  <c r="O3550" i="1"/>
  <c r="O3549" i="1"/>
  <c r="O3548" i="1"/>
  <c r="O3547" i="1"/>
  <c r="O3546" i="1"/>
  <c r="O3545" i="1"/>
  <c r="O3544" i="1"/>
  <c r="O3543" i="1"/>
  <c r="O3542" i="1"/>
  <c r="O3541" i="1"/>
  <c r="O3540" i="1"/>
  <c r="O3539" i="1"/>
  <c r="O3538" i="1"/>
  <c r="O3537" i="1"/>
  <c r="O3536" i="1"/>
  <c r="O3535" i="1"/>
  <c r="O3534" i="1"/>
  <c r="O3533" i="1"/>
  <c r="O3532" i="1"/>
  <c r="O3531" i="1"/>
  <c r="O3530" i="1"/>
  <c r="O3529" i="1"/>
  <c r="O3528" i="1"/>
  <c r="O3527" i="1"/>
  <c r="O3526" i="1"/>
  <c r="O3525" i="1"/>
  <c r="O3524" i="1"/>
  <c r="O3523" i="1"/>
  <c r="O3522" i="1"/>
  <c r="O3521" i="1"/>
  <c r="O3520" i="1"/>
  <c r="O3519" i="1"/>
  <c r="O3518" i="1"/>
  <c r="O3517" i="1"/>
  <c r="O3516" i="1"/>
  <c r="O3515" i="1"/>
  <c r="O3514" i="1"/>
  <c r="O3513" i="1"/>
  <c r="O3512" i="1"/>
  <c r="O3511" i="1"/>
  <c r="O3510" i="1"/>
  <c r="O3509" i="1"/>
  <c r="O3508" i="1"/>
  <c r="O3507" i="1"/>
  <c r="O3506" i="1"/>
  <c r="O3505" i="1"/>
  <c r="O3504" i="1"/>
  <c r="O3503" i="1"/>
  <c r="O3502" i="1"/>
  <c r="O3501" i="1"/>
  <c r="O3500" i="1"/>
  <c r="O3499" i="1"/>
  <c r="O3498" i="1"/>
  <c r="O3497" i="1"/>
  <c r="O3496" i="1"/>
  <c r="O3495" i="1"/>
  <c r="O3494" i="1"/>
  <c r="O3493" i="1"/>
  <c r="O3492" i="1"/>
  <c r="O3491" i="1"/>
  <c r="O3490" i="1"/>
  <c r="O3489" i="1"/>
  <c r="O3488" i="1"/>
  <c r="O3487" i="1"/>
  <c r="O3486" i="1"/>
  <c r="O3485" i="1"/>
  <c r="O3484" i="1"/>
  <c r="O3483" i="1"/>
  <c r="O3482" i="1"/>
  <c r="O3481" i="1"/>
  <c r="O3480" i="1"/>
  <c r="O3479" i="1"/>
  <c r="O3478" i="1"/>
  <c r="O3477" i="1"/>
  <c r="O3476" i="1"/>
  <c r="O3475" i="1"/>
  <c r="O3474" i="1"/>
  <c r="O3473" i="1"/>
  <c r="O3472" i="1"/>
  <c r="O3471" i="1"/>
  <c r="O3470" i="1"/>
  <c r="O3469" i="1"/>
  <c r="O3468" i="1"/>
  <c r="O3467" i="1"/>
  <c r="O3466" i="1"/>
  <c r="O3465" i="1"/>
  <c r="O3464" i="1"/>
  <c r="O3463" i="1"/>
  <c r="O3462" i="1"/>
  <c r="O3461" i="1"/>
  <c r="O3460" i="1"/>
  <c r="O3459" i="1"/>
  <c r="O3458" i="1"/>
  <c r="O3457" i="1"/>
  <c r="O3456" i="1"/>
  <c r="O3455" i="1"/>
  <c r="O3454" i="1"/>
  <c r="O3453" i="1"/>
  <c r="O3452" i="1"/>
  <c r="O3451" i="1"/>
  <c r="O3450" i="1"/>
  <c r="O3449" i="1"/>
  <c r="O3448" i="1"/>
  <c r="O3447" i="1"/>
  <c r="O3446" i="1"/>
  <c r="O3445" i="1"/>
  <c r="O3444" i="1"/>
  <c r="O3443" i="1"/>
  <c r="O3442" i="1"/>
  <c r="O3441" i="1"/>
  <c r="O3440" i="1"/>
  <c r="O3439" i="1"/>
  <c r="O3438" i="1"/>
  <c r="O3437" i="1"/>
  <c r="O3436" i="1"/>
  <c r="O3435" i="1"/>
  <c r="O3434" i="1"/>
  <c r="O3433" i="1"/>
  <c r="O3432" i="1"/>
  <c r="O3431" i="1"/>
  <c r="O3430" i="1"/>
  <c r="O3429" i="1"/>
  <c r="O3428" i="1"/>
  <c r="O3427" i="1"/>
  <c r="O3426" i="1"/>
  <c r="O3425" i="1"/>
  <c r="O3424" i="1"/>
  <c r="O3423" i="1"/>
  <c r="O3422" i="1"/>
  <c r="O3421" i="1"/>
  <c r="O3420" i="1"/>
  <c r="O3419" i="1"/>
  <c r="O3418" i="1"/>
  <c r="O3417" i="1"/>
  <c r="O3416" i="1"/>
  <c r="O3415" i="1"/>
  <c r="O3414" i="1"/>
  <c r="O3413" i="1"/>
  <c r="O3412" i="1"/>
  <c r="O3411" i="1"/>
  <c r="O3410" i="1"/>
  <c r="O3409" i="1"/>
  <c r="O3408" i="1"/>
  <c r="O3407" i="1"/>
  <c r="O3406" i="1"/>
  <c r="O3405" i="1"/>
  <c r="O3404" i="1"/>
  <c r="O3403" i="1"/>
  <c r="O3402" i="1"/>
  <c r="O3401" i="1"/>
  <c r="O3400" i="1"/>
  <c r="O3399" i="1"/>
  <c r="O3398" i="1"/>
  <c r="O3397" i="1"/>
  <c r="O3396" i="1"/>
  <c r="O3395" i="1"/>
  <c r="O3394" i="1"/>
  <c r="O3393" i="1"/>
  <c r="O3392" i="1"/>
  <c r="O3391" i="1"/>
  <c r="O3390" i="1"/>
  <c r="O3389" i="1"/>
  <c r="O3388" i="1"/>
  <c r="O3387" i="1"/>
  <c r="O3386" i="1"/>
  <c r="O3385" i="1"/>
  <c r="O3384" i="1"/>
  <c r="O3383" i="1"/>
  <c r="O3382" i="1"/>
  <c r="O3381" i="1"/>
  <c r="O3380" i="1"/>
  <c r="O3379" i="1"/>
  <c r="O3378" i="1"/>
  <c r="O3377" i="1"/>
  <c r="O3376" i="1"/>
  <c r="O3375" i="1"/>
  <c r="O3374" i="1"/>
  <c r="O3373" i="1"/>
  <c r="O3372" i="1"/>
  <c r="O3371" i="1"/>
  <c r="O3370" i="1"/>
  <c r="O3369" i="1"/>
  <c r="O3368" i="1"/>
  <c r="O3367" i="1"/>
  <c r="O3366" i="1"/>
  <c r="O3365" i="1"/>
  <c r="O3364" i="1"/>
  <c r="O3363" i="1"/>
  <c r="O3362" i="1"/>
  <c r="O3361" i="1"/>
  <c r="O3360" i="1"/>
  <c r="O3359" i="1"/>
  <c r="O3358" i="1"/>
  <c r="O3357" i="1"/>
  <c r="O3356" i="1"/>
  <c r="O3355" i="1"/>
  <c r="O3354" i="1"/>
  <c r="O3353" i="1"/>
  <c r="O3352" i="1"/>
  <c r="O3351" i="1"/>
  <c r="O3350" i="1"/>
  <c r="O3349" i="1"/>
  <c r="O3348" i="1"/>
  <c r="O3347" i="1"/>
  <c r="O3346" i="1"/>
  <c r="O3345" i="1"/>
  <c r="O3344" i="1"/>
  <c r="O3343" i="1"/>
  <c r="O3342" i="1"/>
  <c r="O3341" i="1"/>
  <c r="O3340" i="1"/>
  <c r="O3339" i="1"/>
  <c r="O3338" i="1"/>
  <c r="O3337" i="1"/>
  <c r="O3336" i="1"/>
  <c r="O3335" i="1"/>
  <c r="O3334" i="1"/>
  <c r="O3333" i="1"/>
  <c r="O3332" i="1"/>
  <c r="O3331" i="1"/>
  <c r="O3330" i="1"/>
  <c r="O3329" i="1"/>
  <c r="O3328" i="1"/>
  <c r="O3327" i="1"/>
  <c r="O3326" i="1"/>
  <c r="O3325" i="1"/>
  <c r="O3324" i="1"/>
  <c r="O3323" i="1"/>
  <c r="O3322" i="1"/>
  <c r="O3321" i="1"/>
  <c r="O3320" i="1"/>
  <c r="O3319" i="1"/>
  <c r="O3318" i="1"/>
  <c r="O3317" i="1"/>
  <c r="O3316" i="1"/>
  <c r="O3315" i="1"/>
  <c r="O3314" i="1"/>
  <c r="O3313" i="1"/>
  <c r="O3312" i="1"/>
  <c r="O3311" i="1"/>
  <c r="O3310" i="1"/>
  <c r="O3309" i="1"/>
  <c r="O3308" i="1"/>
  <c r="O3307" i="1"/>
  <c r="O3306" i="1"/>
  <c r="O3305" i="1"/>
  <c r="O3304" i="1"/>
  <c r="O3303" i="1"/>
  <c r="O3302" i="1"/>
  <c r="O3301" i="1"/>
  <c r="O3300" i="1"/>
  <c r="O3299" i="1"/>
  <c r="O3298" i="1"/>
  <c r="O3297" i="1"/>
  <c r="O3296" i="1"/>
  <c r="O3295" i="1"/>
  <c r="O3294" i="1"/>
  <c r="O3293" i="1"/>
  <c r="O3292" i="1"/>
  <c r="O3291" i="1"/>
  <c r="O3290" i="1"/>
  <c r="O3289" i="1"/>
  <c r="O3288" i="1"/>
  <c r="O3287" i="1"/>
  <c r="O3286" i="1"/>
  <c r="O3285" i="1"/>
  <c r="O3284" i="1"/>
  <c r="O3283" i="1"/>
  <c r="O3282" i="1"/>
  <c r="O3281" i="1"/>
  <c r="O3280" i="1"/>
  <c r="O3279" i="1"/>
  <c r="O3278" i="1"/>
  <c r="O3277" i="1"/>
  <c r="O3276" i="1"/>
  <c r="O3275" i="1"/>
  <c r="O3274" i="1"/>
  <c r="O3273" i="1"/>
  <c r="O3272" i="1"/>
  <c r="O3271" i="1"/>
  <c r="O3270" i="1"/>
  <c r="O3269" i="1"/>
  <c r="O3268" i="1"/>
  <c r="O3267" i="1"/>
  <c r="O3266" i="1"/>
  <c r="O3265" i="1"/>
  <c r="O3264" i="1"/>
  <c r="O3263" i="1"/>
  <c r="O3262" i="1"/>
  <c r="O3261" i="1"/>
  <c r="O3260" i="1"/>
  <c r="O3259" i="1"/>
  <c r="O3258" i="1"/>
  <c r="O3257" i="1"/>
  <c r="O3256" i="1"/>
  <c r="O3255" i="1"/>
  <c r="O3254" i="1"/>
  <c r="O3253" i="1"/>
  <c r="O3252" i="1"/>
  <c r="O3251" i="1"/>
  <c r="O3250" i="1"/>
  <c r="O3249" i="1"/>
  <c r="O3248" i="1"/>
  <c r="O3247" i="1"/>
  <c r="O3246" i="1"/>
  <c r="O3245" i="1"/>
  <c r="O3244" i="1"/>
  <c r="O3243" i="1"/>
  <c r="O3242" i="1"/>
  <c r="O3241" i="1"/>
  <c r="O3240" i="1"/>
  <c r="O3239" i="1"/>
  <c r="O3238" i="1"/>
  <c r="O3237" i="1"/>
  <c r="O3236" i="1"/>
  <c r="O3235" i="1"/>
  <c r="O3234" i="1"/>
  <c r="O3233" i="1"/>
  <c r="O3232" i="1"/>
  <c r="O3231" i="1"/>
  <c r="O3230" i="1"/>
  <c r="O3229" i="1"/>
  <c r="O3228" i="1"/>
  <c r="O3227" i="1"/>
  <c r="O3226" i="1"/>
  <c r="O3225" i="1"/>
  <c r="O3224" i="1"/>
  <c r="O3223" i="1"/>
  <c r="O3222" i="1"/>
  <c r="O3221" i="1"/>
  <c r="O3220" i="1"/>
  <c r="O3219" i="1"/>
  <c r="O3218" i="1"/>
  <c r="O3217" i="1"/>
  <c r="O3216" i="1"/>
  <c r="O3215" i="1"/>
  <c r="O3214" i="1"/>
  <c r="O3213" i="1"/>
  <c r="O3212" i="1"/>
  <c r="O3211" i="1"/>
  <c r="O3210" i="1"/>
  <c r="O3209" i="1"/>
  <c r="O3208" i="1"/>
  <c r="O3207" i="1"/>
  <c r="O3206" i="1"/>
  <c r="O3205" i="1"/>
  <c r="O3204" i="1"/>
  <c r="O3203" i="1"/>
  <c r="O3202" i="1"/>
  <c r="O3201" i="1"/>
  <c r="O3200" i="1"/>
  <c r="O3199" i="1"/>
  <c r="O3198" i="1"/>
  <c r="O3197" i="1"/>
  <c r="O3196" i="1"/>
  <c r="O3195" i="1"/>
  <c r="O3194" i="1"/>
  <c r="O3193" i="1"/>
  <c r="O3192" i="1"/>
  <c r="O3191" i="1"/>
  <c r="O3190" i="1"/>
  <c r="O3189" i="1"/>
  <c r="O3188" i="1"/>
  <c r="O3187" i="1"/>
  <c r="O3186" i="1"/>
  <c r="O3185" i="1"/>
  <c r="O3184" i="1"/>
  <c r="O3183" i="1"/>
  <c r="O3182" i="1"/>
  <c r="O3181" i="1"/>
  <c r="O3180" i="1"/>
  <c r="O3179" i="1"/>
  <c r="O3178" i="1"/>
  <c r="O3177" i="1"/>
  <c r="O3176" i="1"/>
  <c r="O3175" i="1"/>
  <c r="O3174" i="1"/>
  <c r="O3173" i="1"/>
  <c r="O3172" i="1"/>
  <c r="O3171" i="1"/>
  <c r="O3170" i="1"/>
  <c r="O3169" i="1"/>
  <c r="O3168" i="1"/>
  <c r="O3167" i="1"/>
  <c r="O3166" i="1"/>
  <c r="O3165" i="1"/>
  <c r="O3164" i="1"/>
  <c r="O3163" i="1"/>
  <c r="O3162" i="1"/>
  <c r="O3161" i="1"/>
  <c r="O3160" i="1"/>
  <c r="O3159" i="1"/>
  <c r="O3158" i="1"/>
  <c r="O3157" i="1"/>
  <c r="O3156" i="1"/>
  <c r="O3155" i="1"/>
  <c r="O3154" i="1"/>
  <c r="O3153" i="1"/>
  <c r="O3152" i="1"/>
  <c r="O3151" i="1"/>
  <c r="O3150" i="1"/>
  <c r="O3149" i="1"/>
  <c r="O3148" i="1"/>
  <c r="O3147" i="1"/>
  <c r="O3146" i="1"/>
  <c r="O3145" i="1"/>
  <c r="O3144" i="1"/>
  <c r="O3143" i="1"/>
  <c r="O3142" i="1"/>
  <c r="O3141" i="1"/>
  <c r="O3140" i="1"/>
  <c r="O3139" i="1"/>
  <c r="O3138" i="1"/>
  <c r="O3137" i="1"/>
  <c r="O3136" i="1"/>
  <c r="O3135" i="1"/>
  <c r="O3134" i="1"/>
  <c r="O3133" i="1"/>
  <c r="O3132" i="1"/>
  <c r="O3131" i="1"/>
  <c r="O3130" i="1"/>
  <c r="O3129" i="1"/>
  <c r="O3128" i="1"/>
  <c r="O3127" i="1"/>
  <c r="O3126" i="1"/>
  <c r="O3125" i="1"/>
  <c r="O3124" i="1"/>
  <c r="O3123" i="1"/>
  <c r="O3122" i="1"/>
  <c r="O3121" i="1"/>
  <c r="O3120" i="1"/>
  <c r="O3119" i="1"/>
  <c r="O3118" i="1"/>
  <c r="O3117" i="1"/>
  <c r="O3116" i="1"/>
  <c r="O3115" i="1"/>
  <c r="O3114" i="1"/>
  <c r="O3113" i="1"/>
  <c r="O3112" i="1"/>
  <c r="O3111" i="1"/>
  <c r="O3110" i="1"/>
  <c r="O3109" i="1"/>
  <c r="O3108" i="1"/>
  <c r="O3107" i="1"/>
  <c r="O3106" i="1"/>
  <c r="O3105" i="1"/>
  <c r="O3104" i="1"/>
  <c r="O3103" i="1"/>
  <c r="O3102" i="1"/>
  <c r="O3101" i="1"/>
  <c r="O3100" i="1"/>
  <c r="O3099" i="1"/>
  <c r="O3098" i="1"/>
  <c r="O3097" i="1"/>
  <c r="O3096" i="1"/>
  <c r="O3095" i="1"/>
  <c r="O3094" i="1"/>
  <c r="O3093" i="1"/>
  <c r="O3092" i="1"/>
  <c r="O3091" i="1"/>
  <c r="O3090" i="1"/>
  <c r="O3089" i="1"/>
  <c r="O3088" i="1"/>
  <c r="O3087" i="1"/>
  <c r="O3086" i="1"/>
  <c r="O3085" i="1"/>
  <c r="O3084" i="1"/>
  <c r="O3083" i="1"/>
  <c r="O3082" i="1"/>
  <c r="O3081" i="1"/>
  <c r="O3080" i="1"/>
  <c r="O3079" i="1"/>
  <c r="O3078" i="1"/>
  <c r="O3077" i="1"/>
  <c r="O3076" i="1"/>
  <c r="O3075" i="1"/>
  <c r="O3074" i="1"/>
  <c r="O3073" i="1"/>
  <c r="O3072" i="1"/>
  <c r="O3071" i="1"/>
  <c r="O3070" i="1"/>
  <c r="O3069" i="1"/>
  <c r="O3068" i="1"/>
  <c r="O3067" i="1"/>
  <c r="O3066" i="1"/>
  <c r="O3065" i="1"/>
  <c r="O3064" i="1"/>
  <c r="O3063" i="1"/>
  <c r="O3062" i="1"/>
  <c r="O3061" i="1"/>
  <c r="O3060" i="1"/>
  <c r="O3059" i="1"/>
  <c r="O3058" i="1"/>
  <c r="O3057" i="1"/>
  <c r="O3056" i="1"/>
  <c r="O3055" i="1"/>
  <c r="O3054" i="1"/>
  <c r="O3053" i="1"/>
  <c r="O3052" i="1"/>
  <c r="O3051" i="1"/>
  <c r="O3050" i="1"/>
  <c r="O3049" i="1"/>
  <c r="O3048" i="1"/>
  <c r="O3047" i="1"/>
  <c r="O3046" i="1"/>
  <c r="O3045" i="1"/>
  <c r="O3044" i="1"/>
  <c r="O3043" i="1"/>
  <c r="O3042" i="1"/>
  <c r="O3041" i="1"/>
  <c r="O3040" i="1"/>
  <c r="O3039" i="1"/>
  <c r="O3038" i="1"/>
  <c r="O3037" i="1"/>
  <c r="O3036" i="1"/>
  <c r="O3035" i="1"/>
  <c r="O3034" i="1"/>
  <c r="O3033" i="1"/>
  <c r="O3032" i="1"/>
  <c r="O3031" i="1"/>
  <c r="O3030" i="1"/>
  <c r="O3029" i="1"/>
  <c r="O3028" i="1"/>
  <c r="O3027" i="1"/>
  <c r="O3026" i="1"/>
  <c r="O3025" i="1"/>
  <c r="O3024" i="1"/>
  <c r="O3023" i="1"/>
  <c r="O3022" i="1"/>
  <c r="O3021" i="1"/>
  <c r="O3020" i="1"/>
  <c r="O3019" i="1"/>
  <c r="O3018" i="1"/>
  <c r="O3017" i="1"/>
  <c r="O3016" i="1"/>
  <c r="O3015" i="1"/>
  <c r="O3014" i="1"/>
  <c r="O3013" i="1"/>
  <c r="O3012" i="1"/>
  <c r="O3011" i="1"/>
  <c r="O3010" i="1"/>
  <c r="O3009" i="1"/>
  <c r="O3008" i="1"/>
  <c r="O3007" i="1"/>
  <c r="O3006" i="1"/>
  <c r="O3005" i="1"/>
  <c r="O3004" i="1"/>
  <c r="O3003" i="1"/>
  <c r="O3002" i="1"/>
  <c r="O3001" i="1"/>
  <c r="O3000" i="1"/>
  <c r="O2999" i="1"/>
  <c r="O2998" i="1"/>
  <c r="O2997" i="1"/>
  <c r="O2996" i="1"/>
  <c r="O2995" i="1"/>
  <c r="O2994" i="1"/>
  <c r="O2993" i="1"/>
  <c r="O2992" i="1"/>
  <c r="O2991" i="1"/>
  <c r="O2990" i="1"/>
  <c r="O2989" i="1"/>
  <c r="O2988" i="1"/>
  <c r="O2987" i="1"/>
  <c r="O2986" i="1"/>
  <c r="O2985" i="1"/>
  <c r="O2984" i="1"/>
  <c r="O2983" i="1"/>
  <c r="O2982" i="1"/>
  <c r="O2981" i="1"/>
  <c r="O2980" i="1"/>
  <c r="O2979" i="1"/>
  <c r="O2978" i="1"/>
  <c r="O2977" i="1"/>
  <c r="O2976" i="1"/>
  <c r="O2975" i="1"/>
  <c r="O2974" i="1"/>
  <c r="O2973" i="1"/>
  <c r="O2972" i="1"/>
  <c r="O2971" i="1"/>
  <c r="O2970" i="1"/>
  <c r="O2969" i="1"/>
  <c r="O2968" i="1"/>
  <c r="O2967" i="1"/>
  <c r="O2966" i="1"/>
  <c r="O2965" i="1"/>
  <c r="O2964" i="1"/>
  <c r="O2963" i="1"/>
  <c r="O2962" i="1"/>
  <c r="O2961" i="1"/>
  <c r="O2960" i="1"/>
  <c r="O2959" i="1"/>
  <c r="O2958" i="1"/>
  <c r="O2957" i="1"/>
  <c r="O2956" i="1"/>
  <c r="O2955" i="1"/>
  <c r="O2954" i="1"/>
  <c r="O2953" i="1"/>
  <c r="O2952" i="1"/>
  <c r="O2951" i="1"/>
  <c r="O2950" i="1"/>
  <c r="O2949" i="1"/>
  <c r="O2948" i="1"/>
  <c r="O2947" i="1"/>
  <c r="O2946" i="1"/>
  <c r="O2945" i="1"/>
  <c r="O2944" i="1"/>
  <c r="O2943" i="1"/>
  <c r="O2942" i="1"/>
  <c r="O2941" i="1"/>
  <c r="O2940" i="1"/>
  <c r="O2939" i="1"/>
  <c r="O2938" i="1"/>
  <c r="O2937" i="1"/>
  <c r="O2936" i="1"/>
  <c r="O2935" i="1"/>
  <c r="O2934" i="1"/>
  <c r="O2933" i="1"/>
  <c r="O2932" i="1"/>
  <c r="O2931" i="1"/>
  <c r="O2930" i="1"/>
  <c r="O2929" i="1"/>
  <c r="O2928" i="1"/>
  <c r="O2927" i="1"/>
  <c r="O2926" i="1"/>
  <c r="O2925" i="1"/>
  <c r="O2924" i="1"/>
  <c r="O2923" i="1"/>
  <c r="O2922" i="1"/>
  <c r="O2921" i="1"/>
  <c r="O2920" i="1"/>
  <c r="O2919" i="1"/>
  <c r="O2918" i="1"/>
  <c r="O2917" i="1"/>
  <c r="O2916" i="1"/>
  <c r="O2915" i="1"/>
  <c r="O2914" i="1"/>
  <c r="O2913" i="1"/>
  <c r="O2912" i="1"/>
  <c r="O2911" i="1"/>
  <c r="O2910" i="1"/>
  <c r="O2909" i="1"/>
  <c r="O2908" i="1"/>
  <c r="O2907" i="1"/>
  <c r="O2906" i="1"/>
  <c r="O2905" i="1"/>
  <c r="O2904" i="1"/>
  <c r="O2903" i="1"/>
  <c r="O2902" i="1"/>
  <c r="O2901" i="1"/>
  <c r="O2900" i="1"/>
  <c r="O2899" i="1"/>
  <c r="O2898" i="1"/>
  <c r="O2897" i="1"/>
  <c r="O2896" i="1"/>
  <c r="O2895" i="1"/>
  <c r="O2894" i="1"/>
  <c r="O2893" i="1"/>
  <c r="O2892" i="1"/>
  <c r="O2891" i="1"/>
  <c r="O2890" i="1"/>
  <c r="O2889" i="1"/>
  <c r="O2888" i="1"/>
  <c r="O2887" i="1"/>
  <c r="O2886" i="1"/>
  <c r="O2885" i="1"/>
  <c r="O2884" i="1"/>
  <c r="O2883" i="1"/>
  <c r="O2882" i="1"/>
  <c r="O2881" i="1"/>
  <c r="O2880" i="1"/>
  <c r="O2879" i="1"/>
  <c r="O2878" i="1"/>
  <c r="O2877" i="1"/>
  <c r="O2876" i="1"/>
  <c r="O2875" i="1"/>
  <c r="O2874" i="1"/>
  <c r="O2873" i="1"/>
  <c r="O2872" i="1"/>
  <c r="O2871" i="1"/>
  <c r="O2870" i="1"/>
  <c r="O2869" i="1"/>
  <c r="O2868" i="1"/>
  <c r="O2867" i="1"/>
  <c r="O2866" i="1"/>
  <c r="O2865" i="1"/>
  <c r="O2864" i="1"/>
  <c r="O2863" i="1"/>
  <c r="O2862" i="1"/>
  <c r="O2861" i="1"/>
  <c r="O2860" i="1"/>
  <c r="O2859" i="1"/>
  <c r="O2858" i="1"/>
  <c r="O2857" i="1"/>
  <c r="O2856" i="1"/>
  <c r="O2855" i="1"/>
  <c r="O2854" i="1"/>
  <c r="O2853" i="1"/>
  <c r="O2852" i="1"/>
  <c r="O2851" i="1"/>
  <c r="O2850" i="1"/>
  <c r="O2849" i="1"/>
  <c r="O2848" i="1"/>
  <c r="O2847" i="1"/>
  <c r="O2846" i="1"/>
  <c r="O2845" i="1"/>
  <c r="O2844" i="1"/>
  <c r="O2843" i="1"/>
  <c r="O2842" i="1"/>
  <c r="O2841" i="1"/>
  <c r="O2840" i="1"/>
  <c r="O2839" i="1"/>
  <c r="O2838" i="1"/>
  <c r="O2837" i="1"/>
  <c r="O2836" i="1"/>
  <c r="O2835" i="1"/>
  <c r="O2834" i="1"/>
  <c r="O2833" i="1"/>
  <c r="O2832" i="1"/>
  <c r="O2831" i="1"/>
  <c r="O2830" i="1"/>
  <c r="O2829" i="1"/>
  <c r="O2828" i="1"/>
  <c r="O2827" i="1"/>
  <c r="O2826" i="1"/>
  <c r="O2825" i="1"/>
  <c r="O2824" i="1"/>
  <c r="O2823" i="1"/>
  <c r="O2822" i="1"/>
  <c r="O2821" i="1"/>
  <c r="O2820" i="1"/>
  <c r="O2819" i="1"/>
  <c r="O2818" i="1"/>
  <c r="O2817" i="1"/>
  <c r="O2816" i="1"/>
  <c r="O2815" i="1"/>
  <c r="O2814" i="1"/>
  <c r="O2813" i="1"/>
  <c r="O2812" i="1"/>
  <c r="O2811" i="1"/>
  <c r="O2810" i="1"/>
  <c r="O2809" i="1"/>
  <c r="O2808" i="1"/>
  <c r="O2807" i="1"/>
  <c r="O2806" i="1"/>
  <c r="O2805" i="1"/>
  <c r="O2804" i="1"/>
  <c r="O2803" i="1"/>
  <c r="O2802" i="1"/>
  <c r="O2801" i="1"/>
  <c r="O2800" i="1"/>
  <c r="O2799" i="1"/>
  <c r="O2798" i="1"/>
  <c r="O2797" i="1"/>
  <c r="O2796" i="1"/>
  <c r="O2795" i="1"/>
  <c r="O2794" i="1"/>
  <c r="O2793" i="1"/>
  <c r="O2792" i="1"/>
  <c r="O2791" i="1"/>
  <c r="O2790" i="1"/>
  <c r="O2789" i="1"/>
  <c r="O2788" i="1"/>
  <c r="O2787" i="1"/>
  <c r="O2786" i="1"/>
  <c r="O2785" i="1"/>
  <c r="O2784" i="1"/>
  <c r="O2783" i="1"/>
  <c r="O2782" i="1"/>
  <c r="O2781" i="1"/>
  <c r="O2780" i="1"/>
  <c r="O2779" i="1"/>
  <c r="O2778" i="1"/>
  <c r="O2777" i="1"/>
  <c r="O2776" i="1"/>
  <c r="O2775" i="1"/>
  <c r="O2774" i="1"/>
  <c r="O2773" i="1"/>
  <c r="O2772" i="1"/>
  <c r="O2771" i="1"/>
  <c r="O2770" i="1"/>
  <c r="O2769" i="1"/>
  <c r="O2768" i="1"/>
  <c r="O2767" i="1"/>
  <c r="O2766" i="1"/>
  <c r="O2765" i="1"/>
  <c r="O2764" i="1"/>
  <c r="O2763" i="1"/>
  <c r="O2762" i="1"/>
  <c r="O2761" i="1"/>
  <c r="O2760" i="1"/>
  <c r="O2759" i="1"/>
  <c r="O2758" i="1"/>
  <c r="O2757" i="1"/>
  <c r="O2756" i="1"/>
  <c r="O2755" i="1"/>
  <c r="O2754" i="1"/>
  <c r="O2753" i="1"/>
  <c r="O2752" i="1"/>
  <c r="O2751" i="1"/>
  <c r="O2750" i="1"/>
  <c r="O2749" i="1"/>
  <c r="O2748" i="1"/>
  <c r="O2747" i="1"/>
  <c r="O2746" i="1"/>
  <c r="O2745" i="1"/>
  <c r="O2744" i="1"/>
  <c r="O2743" i="1"/>
  <c r="O2742" i="1"/>
  <c r="O2741" i="1"/>
  <c r="O2740" i="1"/>
  <c r="O2739" i="1"/>
  <c r="O2738" i="1"/>
  <c r="O2737" i="1"/>
  <c r="O2736" i="1"/>
  <c r="O2735" i="1"/>
  <c r="O2734" i="1"/>
  <c r="O2733" i="1"/>
  <c r="O2732" i="1"/>
  <c r="O2731" i="1"/>
  <c r="O2730" i="1"/>
  <c r="O2729" i="1"/>
  <c r="O2728" i="1"/>
  <c r="O2727" i="1"/>
  <c r="O2726" i="1"/>
  <c r="O2725" i="1"/>
  <c r="O2724" i="1"/>
  <c r="O2723" i="1"/>
  <c r="O2722" i="1"/>
  <c r="O2721" i="1"/>
  <c r="O2720" i="1"/>
  <c r="O2719" i="1"/>
  <c r="O2718" i="1"/>
  <c r="O2717" i="1"/>
  <c r="O2716" i="1"/>
  <c r="O2715" i="1"/>
  <c r="O2714" i="1"/>
  <c r="O2713" i="1"/>
  <c r="O2712" i="1"/>
  <c r="O2711" i="1"/>
  <c r="O2710" i="1"/>
  <c r="O2709" i="1"/>
  <c r="O2708" i="1"/>
  <c r="O2707" i="1"/>
  <c r="O2706" i="1"/>
  <c r="O2705" i="1"/>
  <c r="O2704" i="1"/>
  <c r="O2703" i="1"/>
  <c r="O2702" i="1"/>
  <c r="O2701" i="1"/>
  <c r="O2700" i="1"/>
  <c r="O2699" i="1"/>
  <c r="O2698" i="1"/>
  <c r="O2697" i="1"/>
  <c r="O2696" i="1"/>
  <c r="O2695" i="1"/>
  <c r="O2694" i="1"/>
  <c r="O2693" i="1"/>
  <c r="O2692" i="1"/>
  <c r="O2691" i="1"/>
  <c r="O2690" i="1"/>
  <c r="O2689" i="1"/>
  <c r="O2688" i="1"/>
  <c r="O2687" i="1"/>
  <c r="O2686" i="1"/>
  <c r="O2685" i="1"/>
  <c r="O2684" i="1"/>
  <c r="O2683" i="1"/>
  <c r="O2682" i="1"/>
  <c r="O2681" i="1"/>
  <c r="O2680" i="1"/>
  <c r="O2679" i="1"/>
  <c r="O2678" i="1"/>
  <c r="O2677" i="1"/>
  <c r="O2676" i="1"/>
  <c r="O2675" i="1"/>
  <c r="O2674" i="1"/>
  <c r="O2673" i="1"/>
  <c r="O2672" i="1"/>
  <c r="O2671" i="1"/>
  <c r="O2670" i="1"/>
  <c r="O2669" i="1"/>
  <c r="O2668" i="1"/>
  <c r="O2667" i="1"/>
  <c r="O2666" i="1"/>
  <c r="O2665" i="1"/>
  <c r="O2664" i="1"/>
  <c r="O2663" i="1"/>
  <c r="O2662" i="1"/>
  <c r="O2661" i="1"/>
  <c r="O2660" i="1"/>
  <c r="O2659" i="1"/>
  <c r="O2658" i="1"/>
  <c r="O2657" i="1"/>
  <c r="O2656" i="1"/>
  <c r="O2655" i="1"/>
  <c r="O2654" i="1"/>
  <c r="O2653" i="1"/>
  <c r="O2652" i="1"/>
  <c r="O2651" i="1"/>
  <c r="O2650" i="1"/>
  <c r="O2649" i="1"/>
  <c r="O2648" i="1"/>
  <c r="O2647" i="1"/>
  <c r="O2646" i="1"/>
  <c r="O2645" i="1"/>
  <c r="O2644" i="1"/>
  <c r="O2643" i="1"/>
  <c r="O2642" i="1"/>
  <c r="O2641" i="1"/>
  <c r="O2640" i="1"/>
  <c r="O2639" i="1"/>
  <c r="O2638" i="1"/>
  <c r="O2637" i="1"/>
  <c r="O2636" i="1"/>
  <c r="O2635" i="1"/>
  <c r="O2634" i="1"/>
  <c r="O2633" i="1"/>
  <c r="O2632" i="1"/>
  <c r="O2631" i="1"/>
  <c r="O2630" i="1"/>
  <c r="O2629" i="1"/>
  <c r="O2628" i="1"/>
  <c r="O2627" i="1"/>
  <c r="O2626" i="1"/>
  <c r="O2625" i="1"/>
  <c r="O2624" i="1"/>
  <c r="O2623" i="1"/>
  <c r="O2622" i="1"/>
  <c r="O2621" i="1"/>
  <c r="O2620" i="1"/>
  <c r="O2619" i="1"/>
  <c r="O2618" i="1"/>
  <c r="O2617" i="1"/>
  <c r="O2616" i="1"/>
  <c r="O2615" i="1"/>
  <c r="O2614" i="1"/>
  <c r="O2613" i="1"/>
  <c r="O2612" i="1"/>
  <c r="O2611" i="1"/>
  <c r="O2610" i="1"/>
  <c r="O2609" i="1"/>
  <c r="O2608" i="1"/>
  <c r="O2607" i="1"/>
  <c r="O2606" i="1"/>
  <c r="O2605" i="1"/>
  <c r="O2604" i="1"/>
  <c r="O2603" i="1"/>
  <c r="O2602" i="1"/>
  <c r="O2601" i="1"/>
  <c r="O2600" i="1"/>
  <c r="O2599" i="1"/>
  <c r="O2598" i="1"/>
  <c r="O2597" i="1"/>
  <c r="O2596" i="1"/>
  <c r="O2595" i="1"/>
  <c r="O2594" i="1"/>
  <c r="O2593" i="1"/>
  <c r="O2592" i="1"/>
  <c r="O2591" i="1"/>
  <c r="O2590" i="1"/>
  <c r="O2589" i="1"/>
  <c r="O2588" i="1"/>
  <c r="O2587" i="1"/>
  <c r="O2586" i="1"/>
  <c r="O2585" i="1"/>
  <c r="O2584" i="1"/>
  <c r="O2583" i="1"/>
  <c r="O2582" i="1"/>
  <c r="O2581" i="1"/>
  <c r="O2580" i="1"/>
  <c r="O2579" i="1"/>
  <c r="O2578" i="1"/>
  <c r="O2577" i="1"/>
  <c r="O2576" i="1"/>
  <c r="O2575" i="1"/>
  <c r="O2574" i="1"/>
  <c r="O2573" i="1"/>
  <c r="O2572" i="1"/>
  <c r="O2571" i="1"/>
  <c r="O2570" i="1"/>
  <c r="O2569" i="1"/>
  <c r="O2568" i="1"/>
  <c r="O2567" i="1"/>
  <c r="O2566" i="1"/>
  <c r="O2565" i="1"/>
  <c r="O2564" i="1"/>
  <c r="O2563" i="1"/>
  <c r="O2562" i="1"/>
  <c r="O2561" i="1"/>
  <c r="O2560" i="1"/>
  <c r="O2559" i="1"/>
  <c r="O2558" i="1"/>
  <c r="O2557" i="1"/>
  <c r="O2556" i="1"/>
  <c r="O2555" i="1"/>
  <c r="O2554" i="1"/>
  <c r="O2553" i="1"/>
  <c r="O2552" i="1"/>
  <c r="O2551" i="1"/>
  <c r="O2550" i="1"/>
  <c r="O2549" i="1"/>
  <c r="O2548" i="1"/>
  <c r="O2547" i="1"/>
  <c r="O2546" i="1"/>
  <c r="O2545" i="1"/>
  <c r="O2544" i="1"/>
  <c r="O2543" i="1"/>
  <c r="O2542" i="1"/>
  <c r="O2541" i="1"/>
  <c r="O2540" i="1"/>
  <c r="O2539" i="1"/>
  <c r="O2538" i="1"/>
  <c r="O2537" i="1"/>
  <c r="O2536" i="1"/>
  <c r="O2535" i="1"/>
  <c r="O2534" i="1"/>
  <c r="O2533" i="1"/>
  <c r="O2532" i="1"/>
  <c r="O2531" i="1"/>
  <c r="O2530" i="1"/>
  <c r="O2529" i="1"/>
  <c r="O2528" i="1"/>
  <c r="O2527" i="1"/>
  <c r="O2526" i="1"/>
  <c r="O2525" i="1"/>
  <c r="O2524" i="1"/>
  <c r="O2523" i="1"/>
  <c r="O2522" i="1"/>
  <c r="O2521" i="1"/>
  <c r="O2520" i="1"/>
  <c r="O2519" i="1"/>
  <c r="O2518" i="1"/>
  <c r="O2517" i="1"/>
  <c r="O2516" i="1"/>
  <c r="O2515" i="1"/>
  <c r="O2514" i="1"/>
  <c r="O2513" i="1"/>
  <c r="O2512" i="1"/>
  <c r="O2511" i="1"/>
  <c r="O2510" i="1"/>
  <c r="O2509" i="1"/>
  <c r="O2508" i="1"/>
  <c r="O2507" i="1"/>
  <c r="O2506" i="1"/>
  <c r="O2505" i="1"/>
  <c r="O2504" i="1"/>
  <c r="O2503" i="1"/>
  <c r="O2502" i="1"/>
  <c r="O2501" i="1"/>
  <c r="O2500" i="1"/>
  <c r="O2499" i="1"/>
  <c r="O2498" i="1"/>
  <c r="O2497" i="1"/>
  <c r="O2496" i="1"/>
  <c r="O2495" i="1"/>
  <c r="O2494" i="1"/>
  <c r="O2493" i="1"/>
  <c r="O2492" i="1"/>
  <c r="O2491" i="1"/>
  <c r="O2490" i="1"/>
  <c r="O2489" i="1"/>
  <c r="O2488" i="1"/>
  <c r="O2487" i="1"/>
  <c r="O2486" i="1"/>
  <c r="O2485" i="1"/>
  <c r="O2484" i="1"/>
  <c r="O2483" i="1"/>
  <c r="O2482" i="1"/>
  <c r="O2481" i="1"/>
  <c r="O2480" i="1"/>
  <c r="O2479" i="1"/>
  <c r="O2478" i="1"/>
  <c r="O2477" i="1"/>
  <c r="O2476" i="1"/>
  <c r="O2475" i="1"/>
  <c r="O2474" i="1"/>
  <c r="O2473" i="1"/>
  <c r="O2472" i="1"/>
  <c r="O2471" i="1"/>
  <c r="O2470" i="1"/>
  <c r="O2469" i="1"/>
  <c r="O2468" i="1"/>
  <c r="O2467" i="1"/>
  <c r="O2466" i="1"/>
  <c r="O2465" i="1"/>
  <c r="O2464" i="1"/>
  <c r="O2463" i="1"/>
  <c r="O2462" i="1"/>
  <c r="O2461" i="1"/>
  <c r="O2460" i="1"/>
  <c r="O2459" i="1"/>
  <c r="O2458" i="1"/>
  <c r="O2457" i="1"/>
  <c r="O2456" i="1"/>
  <c r="O2455" i="1"/>
  <c r="O2454" i="1"/>
  <c r="O2453" i="1"/>
  <c r="O2452" i="1"/>
  <c r="O2451" i="1"/>
  <c r="O2450" i="1"/>
  <c r="O2449" i="1"/>
  <c r="O2448" i="1"/>
  <c r="O2447" i="1"/>
  <c r="O2446" i="1"/>
  <c r="O2445" i="1"/>
  <c r="O2444" i="1"/>
  <c r="O2443" i="1"/>
  <c r="O2442" i="1"/>
  <c r="O2441" i="1"/>
  <c r="O2440" i="1"/>
  <c r="O2439" i="1"/>
  <c r="O2438" i="1"/>
  <c r="O2437" i="1"/>
  <c r="O2436" i="1"/>
  <c r="O2435" i="1"/>
  <c r="O2434" i="1"/>
  <c r="O2433" i="1"/>
  <c r="O2432" i="1"/>
  <c r="O2431" i="1"/>
  <c r="O2430" i="1"/>
  <c r="O2429" i="1"/>
  <c r="O2428" i="1"/>
  <c r="O2427" i="1"/>
  <c r="O2426" i="1"/>
  <c r="O2425" i="1"/>
  <c r="O2424" i="1"/>
  <c r="O2423" i="1"/>
  <c r="O2422" i="1"/>
  <c r="O2421" i="1"/>
  <c r="O2420" i="1"/>
  <c r="O2419" i="1"/>
  <c r="O2418" i="1"/>
  <c r="O2417" i="1"/>
  <c r="O2416" i="1"/>
  <c r="O2415" i="1"/>
  <c r="O2414" i="1"/>
  <c r="O2413" i="1"/>
  <c r="O2412" i="1"/>
  <c r="O2411" i="1"/>
  <c r="O2410" i="1"/>
  <c r="O2409" i="1"/>
  <c r="O2408" i="1"/>
  <c r="O2407" i="1"/>
  <c r="O2406" i="1"/>
  <c r="O2405" i="1"/>
  <c r="O2404" i="1"/>
  <c r="O2403" i="1"/>
  <c r="O2402" i="1"/>
  <c r="O2401" i="1"/>
  <c r="O2400" i="1"/>
  <c r="O2399" i="1"/>
  <c r="O2398" i="1"/>
  <c r="O2397" i="1"/>
  <c r="O2396" i="1"/>
  <c r="O2395" i="1"/>
  <c r="O2394" i="1"/>
  <c r="O2393" i="1"/>
  <c r="O2392" i="1"/>
  <c r="O2391" i="1"/>
  <c r="O2390" i="1"/>
  <c r="O2389" i="1"/>
  <c r="O2388" i="1"/>
  <c r="O2387" i="1"/>
  <c r="O2386" i="1"/>
  <c r="O2385" i="1"/>
  <c r="O2384" i="1"/>
  <c r="O2383" i="1"/>
  <c r="O2382" i="1"/>
  <c r="O2381" i="1"/>
  <c r="O2380" i="1"/>
  <c r="O2379" i="1"/>
  <c r="O2378" i="1"/>
  <c r="O2377" i="1"/>
  <c r="O2376" i="1"/>
  <c r="O2375" i="1"/>
  <c r="O2374" i="1"/>
  <c r="O2373" i="1"/>
  <c r="O2372" i="1"/>
  <c r="O2371" i="1"/>
  <c r="O2370" i="1"/>
  <c r="O2369" i="1"/>
  <c r="O2368" i="1"/>
  <c r="O2367" i="1"/>
  <c r="O2366" i="1"/>
  <c r="O2365" i="1"/>
  <c r="O2364" i="1"/>
  <c r="O2363" i="1"/>
  <c r="O2362" i="1"/>
  <c r="O2361" i="1"/>
  <c r="O2360" i="1"/>
  <c r="O2359" i="1"/>
  <c r="O2358" i="1"/>
  <c r="O2357" i="1"/>
  <c r="O2356" i="1"/>
  <c r="O2355" i="1"/>
  <c r="O2354" i="1"/>
  <c r="O2353" i="1"/>
  <c r="O2352" i="1"/>
  <c r="O2351" i="1"/>
  <c r="O2350" i="1"/>
  <c r="O2349" i="1"/>
  <c r="O2348" i="1"/>
  <c r="O2347" i="1"/>
  <c r="O2346" i="1"/>
  <c r="O2345" i="1"/>
  <c r="O2344" i="1"/>
  <c r="O2343" i="1"/>
  <c r="O2342" i="1"/>
  <c r="O2341" i="1"/>
  <c r="O2340" i="1"/>
  <c r="O2339" i="1"/>
  <c r="O2338" i="1"/>
  <c r="O2337" i="1"/>
  <c r="O2336" i="1"/>
  <c r="O2335" i="1"/>
  <c r="O2334" i="1"/>
  <c r="O2333" i="1"/>
  <c r="O2332" i="1"/>
  <c r="O2331" i="1"/>
  <c r="O2330" i="1"/>
  <c r="O2329" i="1"/>
  <c r="O2328" i="1"/>
  <c r="O2327" i="1"/>
  <c r="O2326" i="1"/>
  <c r="O2325" i="1"/>
  <c r="O2324" i="1"/>
  <c r="O2323" i="1"/>
  <c r="O2322" i="1"/>
  <c r="O2321" i="1"/>
  <c r="O2320" i="1"/>
  <c r="O2319" i="1"/>
  <c r="O2318" i="1"/>
  <c r="O2317" i="1"/>
  <c r="O2316" i="1"/>
  <c r="O2315" i="1"/>
  <c r="O2314" i="1"/>
  <c r="O2313" i="1"/>
  <c r="O2312" i="1"/>
  <c r="O2311" i="1"/>
  <c r="O2310" i="1"/>
  <c r="O2309" i="1"/>
  <c r="O2308" i="1"/>
  <c r="O2307" i="1"/>
  <c r="O2306" i="1"/>
  <c r="O2305" i="1"/>
  <c r="O2304" i="1"/>
  <c r="O2303" i="1"/>
  <c r="O2302" i="1"/>
  <c r="O2301" i="1"/>
  <c r="O2300" i="1"/>
  <c r="O2299" i="1"/>
  <c r="O2298" i="1"/>
  <c r="O2297" i="1"/>
  <c r="O2296" i="1"/>
  <c r="O2295" i="1"/>
  <c r="O2294" i="1"/>
  <c r="O2293" i="1"/>
  <c r="O2292" i="1"/>
  <c r="O2291" i="1"/>
  <c r="O2290" i="1"/>
  <c r="O2289" i="1"/>
  <c r="O2288" i="1"/>
  <c r="O2287" i="1"/>
  <c r="O2286" i="1"/>
  <c r="O2285" i="1"/>
  <c r="O2284" i="1"/>
  <c r="O2283" i="1"/>
  <c r="O2282" i="1"/>
  <c r="O2281" i="1"/>
  <c r="O2280" i="1"/>
  <c r="O2279" i="1"/>
  <c r="O2278" i="1"/>
  <c r="O2277" i="1"/>
  <c r="O2276" i="1"/>
  <c r="O2275" i="1"/>
  <c r="O2274" i="1"/>
  <c r="O2273" i="1"/>
  <c r="O2272" i="1"/>
  <c r="O2271" i="1"/>
  <c r="O2270" i="1"/>
  <c r="O2269" i="1"/>
  <c r="O2268" i="1"/>
  <c r="O2267" i="1"/>
  <c r="O2266" i="1"/>
  <c r="O2265" i="1"/>
  <c r="O2264" i="1"/>
  <c r="O2263" i="1"/>
  <c r="O2262" i="1"/>
  <c r="O2261" i="1"/>
  <c r="O2260" i="1"/>
  <c r="O2259" i="1"/>
  <c r="O2258" i="1"/>
  <c r="O2257" i="1"/>
  <c r="O2256" i="1"/>
  <c r="O2255" i="1"/>
  <c r="O2254" i="1"/>
  <c r="O2253" i="1"/>
  <c r="O2252" i="1"/>
  <c r="O2251" i="1"/>
  <c r="O2250" i="1"/>
  <c r="O2249" i="1"/>
  <c r="O2248" i="1"/>
  <c r="O2247" i="1"/>
  <c r="O2246" i="1"/>
  <c r="O2245" i="1"/>
  <c r="O2244" i="1"/>
  <c r="O2243" i="1"/>
  <c r="O2242" i="1"/>
  <c r="O2241" i="1"/>
  <c r="O2240" i="1"/>
  <c r="O2239" i="1"/>
  <c r="O2238" i="1"/>
  <c r="O2237" i="1"/>
  <c r="O2236" i="1"/>
  <c r="O2235" i="1"/>
  <c r="O2234" i="1"/>
  <c r="O2233" i="1"/>
  <c r="O2232" i="1"/>
  <c r="O2231" i="1"/>
  <c r="O2230" i="1"/>
  <c r="O2229" i="1"/>
  <c r="O2228" i="1"/>
  <c r="O2227" i="1"/>
  <c r="O2226" i="1"/>
  <c r="O2225" i="1"/>
  <c r="O2224" i="1"/>
  <c r="O2223" i="1"/>
  <c r="O2222" i="1"/>
  <c r="O2221" i="1"/>
  <c r="O2220" i="1"/>
  <c r="O2219" i="1"/>
  <c r="O2218" i="1"/>
  <c r="O2217" i="1"/>
  <c r="O2216" i="1"/>
  <c r="O2215" i="1"/>
  <c r="O2214" i="1"/>
  <c r="O2213" i="1"/>
  <c r="O2212" i="1"/>
  <c r="O2211" i="1"/>
  <c r="O2210" i="1"/>
  <c r="O2209" i="1"/>
  <c r="O2208" i="1"/>
  <c r="O2207" i="1"/>
  <c r="O2206" i="1"/>
  <c r="O2205" i="1"/>
  <c r="O2204" i="1"/>
  <c r="O2203" i="1"/>
  <c r="O2202" i="1"/>
  <c r="O2201" i="1"/>
  <c r="O2200" i="1"/>
  <c r="O2199" i="1"/>
  <c r="O2198" i="1"/>
  <c r="O2197" i="1"/>
  <c r="O2196" i="1"/>
  <c r="O2195" i="1"/>
  <c r="O2194" i="1"/>
  <c r="O2193" i="1"/>
  <c r="O2192" i="1"/>
  <c r="O2191" i="1"/>
  <c r="O2190" i="1"/>
  <c r="O2189" i="1"/>
  <c r="O2188" i="1"/>
  <c r="O2187" i="1"/>
  <c r="O2186" i="1"/>
  <c r="O2185" i="1"/>
  <c r="O2184" i="1"/>
  <c r="O2183" i="1"/>
  <c r="O2182" i="1"/>
  <c r="O2181" i="1"/>
  <c r="O2180" i="1"/>
  <c r="O2179" i="1"/>
  <c r="O2178" i="1"/>
  <c r="O2177" i="1"/>
  <c r="O2176" i="1"/>
  <c r="O2175" i="1"/>
  <c r="O2174" i="1"/>
  <c r="O2173" i="1"/>
  <c r="O2172" i="1"/>
  <c r="O2171" i="1"/>
  <c r="O2170" i="1"/>
  <c r="O2169" i="1"/>
  <c r="O2168" i="1"/>
  <c r="O2167" i="1"/>
  <c r="O2166" i="1"/>
  <c r="O2165" i="1"/>
  <c r="O2164" i="1"/>
  <c r="O2163" i="1"/>
  <c r="O2162" i="1"/>
  <c r="O2161" i="1"/>
  <c r="O2160" i="1"/>
  <c r="O2159" i="1"/>
  <c r="O2158" i="1"/>
  <c r="O2157" i="1"/>
  <c r="O2156" i="1"/>
  <c r="O2155" i="1"/>
  <c r="O2154" i="1"/>
  <c r="O2153" i="1"/>
  <c r="O2152" i="1"/>
  <c r="O2151" i="1"/>
  <c r="O2150" i="1"/>
  <c r="O2149" i="1"/>
  <c r="O2148" i="1"/>
  <c r="O2147" i="1"/>
  <c r="O2146" i="1"/>
  <c r="O2145" i="1"/>
  <c r="O2144" i="1"/>
  <c r="O2143" i="1"/>
  <c r="O2142" i="1"/>
  <c r="O2141" i="1"/>
  <c r="O2140" i="1"/>
  <c r="O2139" i="1"/>
  <c r="O2138" i="1"/>
  <c r="O2137" i="1"/>
  <c r="O2136" i="1"/>
  <c r="O2135" i="1"/>
  <c r="O2134" i="1"/>
  <c r="O2133" i="1"/>
  <c r="O2132" i="1"/>
  <c r="O2131" i="1"/>
  <c r="O2130" i="1"/>
  <c r="O2129" i="1"/>
  <c r="O2128" i="1"/>
  <c r="O2127" i="1"/>
  <c r="O2126" i="1"/>
  <c r="O2125" i="1"/>
  <c r="O2124" i="1"/>
  <c r="O2123" i="1"/>
  <c r="O2122" i="1"/>
  <c r="O2121" i="1"/>
  <c r="O2120" i="1"/>
  <c r="O2119" i="1"/>
  <c r="O2118" i="1"/>
  <c r="O2117" i="1"/>
  <c r="O2116" i="1"/>
  <c r="O2115" i="1"/>
  <c r="O2114" i="1"/>
  <c r="O2113" i="1"/>
  <c r="O2112" i="1"/>
  <c r="O2111" i="1"/>
  <c r="O2110" i="1"/>
  <c r="O2109" i="1"/>
  <c r="O2108" i="1"/>
  <c r="O2107" i="1"/>
  <c r="O2106" i="1"/>
  <c r="O2105" i="1"/>
  <c r="O2104" i="1"/>
  <c r="O2103" i="1"/>
  <c r="O2102" i="1"/>
  <c r="O2101" i="1"/>
  <c r="O2100" i="1"/>
  <c r="O2099" i="1"/>
  <c r="O2098" i="1"/>
  <c r="O2097" i="1"/>
  <c r="O2096" i="1"/>
  <c r="O2095" i="1"/>
  <c r="O2094" i="1"/>
  <c r="O2093" i="1"/>
  <c r="O2092" i="1"/>
  <c r="O2091" i="1"/>
  <c r="O2090" i="1"/>
  <c r="O2089" i="1"/>
  <c r="O2088" i="1"/>
  <c r="O2087" i="1"/>
  <c r="O2086" i="1"/>
  <c r="O2085" i="1"/>
  <c r="O2084" i="1"/>
  <c r="O2083" i="1"/>
  <c r="O2082" i="1"/>
  <c r="O2081" i="1"/>
  <c r="O2080" i="1"/>
  <c r="O2079" i="1"/>
  <c r="O2078" i="1"/>
  <c r="O2077" i="1"/>
  <c r="O2076" i="1"/>
  <c r="O2075" i="1"/>
  <c r="O2074" i="1"/>
  <c r="O2073" i="1"/>
  <c r="O2072" i="1"/>
  <c r="O2071" i="1"/>
  <c r="O2070" i="1"/>
  <c r="O2069" i="1"/>
  <c r="O2068" i="1"/>
  <c r="O2067" i="1"/>
  <c r="O2066" i="1"/>
  <c r="O2065" i="1"/>
  <c r="O2064" i="1"/>
  <c r="O2063" i="1"/>
  <c r="O2062" i="1"/>
  <c r="O2061" i="1"/>
  <c r="O2060" i="1"/>
  <c r="O2059" i="1"/>
  <c r="O2058" i="1"/>
  <c r="O2057" i="1"/>
  <c r="O2056" i="1"/>
  <c r="O2055" i="1"/>
  <c r="O2054" i="1"/>
  <c r="O2053" i="1"/>
  <c r="O2052" i="1"/>
  <c r="O2051" i="1"/>
  <c r="O2050" i="1"/>
  <c r="O2049" i="1"/>
  <c r="O2048" i="1"/>
  <c r="O2047" i="1"/>
  <c r="O2046" i="1"/>
  <c r="O2045" i="1"/>
  <c r="O2044" i="1"/>
  <c r="O2043" i="1"/>
  <c r="O2042" i="1"/>
  <c r="O2041" i="1"/>
  <c r="O2040" i="1"/>
  <c r="O2039" i="1"/>
  <c r="O2038" i="1"/>
  <c r="O2037" i="1"/>
  <c r="O2036" i="1"/>
  <c r="O2035" i="1"/>
  <c r="O2034" i="1"/>
  <c r="O2033" i="1"/>
  <c r="O2032" i="1"/>
  <c r="O2031" i="1"/>
  <c r="O2030" i="1"/>
  <c r="O2029" i="1"/>
  <c r="O2028" i="1"/>
  <c r="O2027" i="1"/>
  <c r="O2026" i="1"/>
  <c r="O2025" i="1"/>
  <c r="O2024" i="1"/>
  <c r="O2023" i="1"/>
  <c r="O2022" i="1"/>
  <c r="O2021" i="1"/>
  <c r="O2020" i="1"/>
  <c r="O2019" i="1"/>
  <c r="O2018" i="1"/>
  <c r="O2017" i="1"/>
  <c r="O2016" i="1"/>
  <c r="O2015" i="1"/>
  <c r="O2014" i="1"/>
  <c r="O2013" i="1"/>
  <c r="O2012" i="1"/>
  <c r="O2011" i="1"/>
  <c r="O2010" i="1"/>
  <c r="O2009" i="1"/>
  <c r="O2008" i="1"/>
  <c r="O2007" i="1"/>
  <c r="O2006" i="1"/>
  <c r="O2005" i="1"/>
  <c r="O2004" i="1"/>
  <c r="O2003" i="1"/>
  <c r="O2002" i="1"/>
  <c r="O2001" i="1"/>
  <c r="O2000" i="1"/>
  <c r="O1999" i="1"/>
  <c r="O1998" i="1"/>
  <c r="O1997" i="1"/>
  <c r="O1996" i="1"/>
  <c r="O1995" i="1"/>
  <c r="O1994" i="1"/>
  <c r="O1993" i="1"/>
  <c r="O1992" i="1"/>
  <c r="O1991" i="1"/>
  <c r="O1990" i="1"/>
  <c r="O1989" i="1"/>
  <c r="O1988" i="1"/>
  <c r="O1987" i="1"/>
  <c r="O1986" i="1"/>
  <c r="O1985" i="1"/>
  <c r="O1984" i="1"/>
  <c r="O1983" i="1"/>
  <c r="O1982" i="1"/>
  <c r="O1981" i="1"/>
  <c r="O1980" i="1"/>
  <c r="O1979" i="1"/>
  <c r="O1978" i="1"/>
  <c r="O1977" i="1"/>
  <c r="O1976" i="1"/>
  <c r="O1975" i="1"/>
  <c r="O1974" i="1"/>
  <c r="O1973" i="1"/>
  <c r="O1972" i="1"/>
  <c r="O1971" i="1"/>
  <c r="O1970" i="1"/>
  <c r="O1969" i="1"/>
  <c r="O1968" i="1"/>
  <c r="O1967" i="1"/>
  <c r="O1966" i="1"/>
  <c r="O1965" i="1"/>
  <c r="O1964" i="1"/>
  <c r="O1963" i="1"/>
  <c r="O1962" i="1"/>
  <c r="O1961" i="1"/>
  <c r="O1960" i="1"/>
  <c r="O1959" i="1"/>
  <c r="O1958" i="1"/>
  <c r="O1957" i="1"/>
  <c r="O1956" i="1"/>
  <c r="O1955" i="1"/>
  <c r="O1954" i="1"/>
  <c r="O1953" i="1"/>
  <c r="O1952" i="1"/>
  <c r="O1951" i="1"/>
  <c r="O1950" i="1"/>
  <c r="O1949" i="1"/>
  <c r="O1948" i="1"/>
  <c r="O1947" i="1"/>
  <c r="O1946" i="1"/>
  <c r="O1945" i="1"/>
  <c r="O1944" i="1"/>
  <c r="O1943" i="1"/>
  <c r="O1942" i="1"/>
  <c r="O1941" i="1"/>
  <c r="O1940" i="1"/>
  <c r="O1939" i="1"/>
  <c r="O1938" i="1"/>
  <c r="O1937" i="1"/>
  <c r="O1936" i="1"/>
  <c r="O1935" i="1"/>
  <c r="O1934" i="1"/>
  <c r="O1933" i="1"/>
  <c r="O1932" i="1"/>
  <c r="O1931" i="1"/>
  <c r="O1930" i="1"/>
  <c r="O1929" i="1"/>
  <c r="O1928" i="1"/>
  <c r="O1927" i="1"/>
  <c r="O1926" i="1"/>
  <c r="O1925" i="1"/>
  <c r="O1924" i="1"/>
  <c r="O1923" i="1"/>
  <c r="O1922" i="1"/>
  <c r="O1921" i="1"/>
  <c r="O1920" i="1"/>
  <c r="O1919" i="1"/>
  <c r="O1918" i="1"/>
  <c r="O1917" i="1"/>
  <c r="O1916" i="1"/>
  <c r="O1915" i="1"/>
  <c r="O1914" i="1"/>
  <c r="O1913" i="1"/>
  <c r="O1912" i="1"/>
  <c r="O1911" i="1"/>
  <c r="O1910" i="1"/>
  <c r="O1909" i="1"/>
  <c r="O1908" i="1"/>
  <c r="O1907" i="1"/>
  <c r="O1906" i="1"/>
  <c r="O1905" i="1"/>
  <c r="O1904" i="1"/>
  <c r="O1903" i="1"/>
  <c r="O1902" i="1"/>
  <c r="O1901" i="1"/>
  <c r="O1900" i="1"/>
  <c r="O1899" i="1"/>
  <c r="O1898" i="1"/>
  <c r="O1897" i="1"/>
  <c r="O1896" i="1"/>
  <c r="O1895" i="1"/>
  <c r="O1894" i="1"/>
  <c r="O1893" i="1"/>
  <c r="O1892" i="1"/>
  <c r="O1891" i="1"/>
  <c r="O1890" i="1"/>
  <c r="O1889" i="1"/>
  <c r="O1888" i="1"/>
  <c r="O1887" i="1"/>
  <c r="O1886" i="1"/>
  <c r="O1885" i="1"/>
  <c r="O1884" i="1"/>
  <c r="O1883" i="1"/>
  <c r="O1882" i="1"/>
  <c r="O1881" i="1"/>
  <c r="O1880" i="1"/>
  <c r="O1879" i="1"/>
  <c r="O1878" i="1"/>
  <c r="O1877" i="1"/>
  <c r="O1876" i="1"/>
  <c r="O1875" i="1"/>
  <c r="O1874" i="1"/>
  <c r="O1873" i="1"/>
  <c r="O1872" i="1"/>
  <c r="O1871" i="1"/>
  <c r="O1870" i="1"/>
  <c r="O1869" i="1"/>
  <c r="O1868" i="1"/>
  <c r="O1867" i="1"/>
  <c r="O1866" i="1"/>
  <c r="O1865" i="1"/>
  <c r="O1864" i="1"/>
  <c r="O1863" i="1"/>
  <c r="O1862" i="1"/>
  <c r="O1861" i="1"/>
  <c r="O1860" i="1"/>
  <c r="O1859" i="1"/>
  <c r="O1858" i="1"/>
  <c r="O1857" i="1"/>
  <c r="O1856" i="1"/>
  <c r="O1855" i="1"/>
  <c r="O1854" i="1"/>
  <c r="O1853" i="1"/>
  <c r="O1852" i="1"/>
  <c r="O1851" i="1"/>
  <c r="O1850" i="1"/>
  <c r="O1849" i="1"/>
  <c r="O1848" i="1"/>
  <c r="O1847" i="1"/>
  <c r="O1846" i="1"/>
  <c r="O1845" i="1"/>
  <c r="O1844" i="1"/>
  <c r="O1843" i="1"/>
  <c r="O1842" i="1"/>
  <c r="O1841" i="1"/>
  <c r="O1840" i="1"/>
  <c r="O1839" i="1"/>
  <c r="O1838" i="1"/>
  <c r="O1837" i="1"/>
  <c r="O1836" i="1"/>
  <c r="O1835" i="1"/>
  <c r="O1834" i="1"/>
  <c r="O1833" i="1"/>
  <c r="O1832" i="1"/>
  <c r="O1831" i="1"/>
  <c r="O1830" i="1"/>
  <c r="O1829" i="1"/>
  <c r="O1828" i="1"/>
  <c r="O1827" i="1"/>
  <c r="O1826" i="1"/>
  <c r="O1825" i="1"/>
  <c r="O1824" i="1"/>
  <c r="O1823" i="1"/>
  <c r="O1822" i="1"/>
  <c r="O1821" i="1"/>
  <c r="O1820" i="1"/>
  <c r="O1819" i="1"/>
  <c r="O1818" i="1"/>
  <c r="O1817" i="1"/>
  <c r="O1816" i="1"/>
  <c r="O1815" i="1"/>
  <c r="O1814" i="1"/>
  <c r="O1813" i="1"/>
  <c r="O1812" i="1"/>
  <c r="O1811" i="1"/>
  <c r="O1810" i="1"/>
  <c r="O1809" i="1"/>
  <c r="O1808" i="1"/>
  <c r="O1807" i="1"/>
  <c r="O1806" i="1"/>
  <c r="O1805" i="1"/>
  <c r="O1804" i="1"/>
  <c r="O1803" i="1"/>
  <c r="O1802" i="1"/>
  <c r="O1801" i="1"/>
  <c r="O1800" i="1"/>
  <c r="O1799" i="1"/>
  <c r="O1798" i="1"/>
  <c r="O1797" i="1"/>
  <c r="O1796" i="1"/>
  <c r="O1795" i="1"/>
  <c r="O1794" i="1"/>
  <c r="O1793" i="1"/>
  <c r="O1792" i="1"/>
  <c r="O1791" i="1"/>
  <c r="O1790" i="1"/>
  <c r="O1789" i="1"/>
  <c r="O1788" i="1"/>
  <c r="O1787" i="1"/>
  <c r="O1786" i="1"/>
  <c r="O1785" i="1"/>
  <c r="O1784" i="1"/>
  <c r="O1783" i="1"/>
  <c r="O1782" i="1"/>
  <c r="O1781" i="1"/>
  <c r="O1780" i="1"/>
  <c r="O1779" i="1"/>
  <c r="O1778" i="1"/>
  <c r="O1777" i="1"/>
  <c r="O1776" i="1"/>
  <c r="O1775" i="1"/>
  <c r="O1774" i="1"/>
  <c r="O1773" i="1"/>
  <c r="O1772" i="1"/>
  <c r="O1771" i="1"/>
  <c r="O1770" i="1"/>
  <c r="O1769" i="1"/>
  <c r="O1768" i="1"/>
  <c r="O1767" i="1"/>
  <c r="O1766" i="1"/>
  <c r="O1765" i="1"/>
  <c r="O1764" i="1"/>
  <c r="O1763" i="1"/>
  <c r="O1762" i="1"/>
  <c r="O1761" i="1"/>
  <c r="O1760" i="1"/>
  <c r="O1759" i="1"/>
  <c r="O1758" i="1"/>
  <c r="O1757" i="1"/>
  <c r="O1756" i="1"/>
  <c r="O1755" i="1"/>
  <c r="O1754" i="1"/>
  <c r="O1753" i="1"/>
  <c r="O1752" i="1"/>
  <c r="O1751" i="1"/>
  <c r="O1750" i="1"/>
  <c r="O1749" i="1"/>
  <c r="O1748" i="1"/>
  <c r="O1747" i="1"/>
  <c r="O1746" i="1"/>
  <c r="O1745" i="1"/>
  <c r="O1744" i="1"/>
  <c r="O1743" i="1"/>
  <c r="O1742" i="1"/>
  <c r="O1741" i="1"/>
  <c r="O1740" i="1"/>
  <c r="O1739" i="1"/>
  <c r="O1738" i="1"/>
  <c r="O1737" i="1"/>
  <c r="O1736" i="1"/>
  <c r="O1735" i="1"/>
  <c r="O1734" i="1"/>
  <c r="O1733" i="1"/>
  <c r="O1732" i="1"/>
  <c r="O1731" i="1"/>
  <c r="O1730" i="1"/>
  <c r="O1729" i="1"/>
  <c r="O1728" i="1"/>
  <c r="O1727" i="1"/>
  <c r="O1726" i="1"/>
  <c r="O1725" i="1"/>
  <c r="O1724" i="1"/>
  <c r="O1723" i="1"/>
  <c r="O1722" i="1"/>
  <c r="O1721" i="1"/>
  <c r="O1720" i="1"/>
  <c r="O1719" i="1"/>
  <c r="O1718" i="1"/>
  <c r="O1717" i="1"/>
  <c r="O1716" i="1"/>
  <c r="O1715" i="1"/>
  <c r="O1714" i="1"/>
  <c r="O1713" i="1"/>
  <c r="O1712" i="1"/>
  <c r="O1711" i="1"/>
  <c r="O1710" i="1"/>
  <c r="O1709" i="1"/>
  <c r="O1708" i="1"/>
  <c r="O1707" i="1"/>
  <c r="O1706" i="1"/>
  <c r="O1705" i="1"/>
  <c r="O1704" i="1"/>
  <c r="O1703" i="1"/>
  <c r="O1702" i="1"/>
  <c r="O1701" i="1"/>
  <c r="O1700" i="1"/>
  <c r="O1699" i="1"/>
  <c r="O1698" i="1"/>
  <c r="O1697" i="1"/>
  <c r="O1696" i="1"/>
  <c r="O1695" i="1"/>
  <c r="O1694" i="1"/>
  <c r="O1693" i="1"/>
  <c r="O1692" i="1"/>
  <c r="O1691" i="1"/>
  <c r="O1690" i="1"/>
  <c r="O1689" i="1"/>
  <c r="O1688" i="1"/>
  <c r="O1687" i="1"/>
  <c r="O1686" i="1"/>
  <c r="O1685" i="1"/>
  <c r="O1684" i="1"/>
  <c r="O1683" i="1"/>
  <c r="O1682" i="1"/>
  <c r="O1681" i="1"/>
  <c r="O1680" i="1"/>
  <c r="O1679" i="1"/>
  <c r="O1678" i="1"/>
  <c r="O1677" i="1"/>
  <c r="O1676" i="1"/>
  <c r="O1675" i="1"/>
  <c r="O1674" i="1"/>
  <c r="O1673" i="1"/>
  <c r="O1672" i="1"/>
  <c r="O1671" i="1"/>
  <c r="O1670" i="1"/>
  <c r="O1669" i="1"/>
  <c r="O1668" i="1"/>
  <c r="O1667" i="1"/>
  <c r="O1666" i="1"/>
  <c r="O1665" i="1"/>
  <c r="O1664" i="1"/>
  <c r="O1663" i="1"/>
  <c r="O1662" i="1"/>
  <c r="O1661" i="1"/>
  <c r="O1660" i="1"/>
  <c r="O1659" i="1"/>
  <c r="O1658" i="1"/>
  <c r="O1657" i="1"/>
  <c r="O1656" i="1"/>
  <c r="O1655" i="1"/>
  <c r="O1654" i="1"/>
  <c r="O1653" i="1"/>
  <c r="O1652" i="1"/>
  <c r="O1651" i="1"/>
  <c r="O1650" i="1"/>
  <c r="O1649" i="1"/>
  <c r="O1648" i="1"/>
  <c r="O1647" i="1"/>
  <c r="O1646" i="1"/>
  <c r="O1645" i="1"/>
  <c r="O1644" i="1"/>
  <c r="O1643" i="1"/>
  <c r="O1642" i="1"/>
  <c r="O1641" i="1"/>
  <c r="O1640" i="1"/>
  <c r="O1639" i="1"/>
  <c r="O1638" i="1"/>
  <c r="O1637" i="1"/>
  <c r="O1636" i="1"/>
  <c r="O1635" i="1"/>
  <c r="O1634" i="1"/>
  <c r="O1633" i="1"/>
  <c r="O1632" i="1"/>
  <c r="O1631" i="1"/>
  <c r="O1630" i="1"/>
  <c r="O1629" i="1"/>
  <c r="O1628" i="1"/>
  <c r="O1627" i="1"/>
  <c r="O1626" i="1"/>
  <c r="O1625" i="1"/>
  <c r="O1624" i="1"/>
  <c r="O1623" i="1"/>
  <c r="O1622" i="1"/>
  <c r="O1621" i="1"/>
  <c r="O1620" i="1"/>
  <c r="O1619" i="1"/>
  <c r="O1618" i="1"/>
  <c r="O1617" i="1"/>
  <c r="O1616" i="1"/>
  <c r="O1615" i="1"/>
  <c r="O1614" i="1"/>
  <c r="O1613" i="1"/>
  <c r="O1612" i="1"/>
  <c r="O1611" i="1"/>
  <c r="O1610" i="1"/>
  <c r="O1609" i="1"/>
  <c r="O1608" i="1"/>
  <c r="O1607" i="1"/>
  <c r="O1606" i="1"/>
  <c r="O1605" i="1"/>
  <c r="O1604" i="1"/>
  <c r="O1603" i="1"/>
  <c r="O1602" i="1"/>
  <c r="O1601" i="1"/>
  <c r="O1600" i="1"/>
  <c r="O1599" i="1"/>
  <c r="O1598" i="1"/>
  <c r="O1597" i="1"/>
  <c r="O1596" i="1"/>
  <c r="O1595" i="1"/>
  <c r="O1594" i="1"/>
  <c r="O1593" i="1"/>
  <c r="O1592" i="1"/>
  <c r="O1591" i="1"/>
  <c r="O1590" i="1"/>
  <c r="O1589" i="1"/>
  <c r="O1588" i="1"/>
  <c r="O1587" i="1"/>
  <c r="O1586" i="1"/>
  <c r="O1585" i="1"/>
  <c r="O1584" i="1"/>
  <c r="O1583" i="1"/>
  <c r="O1582" i="1"/>
  <c r="O1581" i="1"/>
  <c r="O1580" i="1"/>
  <c r="O1579" i="1"/>
  <c r="O1578" i="1"/>
  <c r="O1577" i="1"/>
  <c r="O1576" i="1"/>
  <c r="O1575" i="1"/>
  <c r="O1574" i="1"/>
  <c r="O1573" i="1"/>
  <c r="O1572" i="1"/>
  <c r="O1571" i="1"/>
  <c r="O1570" i="1"/>
  <c r="O1569" i="1"/>
  <c r="O1568" i="1"/>
  <c r="O1567" i="1"/>
  <c r="O1566" i="1"/>
  <c r="O1565" i="1"/>
  <c r="O1564" i="1"/>
  <c r="O1563" i="1"/>
  <c r="O1562" i="1"/>
  <c r="O1561" i="1"/>
  <c r="O1560" i="1"/>
  <c r="O1559" i="1"/>
  <c r="O1558" i="1"/>
  <c r="O1557" i="1"/>
  <c r="O1556" i="1"/>
  <c r="O1555" i="1"/>
  <c r="O1554" i="1"/>
  <c r="O1553" i="1"/>
  <c r="O1552" i="1"/>
  <c r="O1551" i="1"/>
  <c r="O1550" i="1"/>
  <c r="O1549" i="1"/>
  <c r="O1548" i="1"/>
  <c r="O1547" i="1"/>
  <c r="O1546" i="1"/>
  <c r="O1545" i="1"/>
  <c r="O1544" i="1"/>
  <c r="O1543" i="1"/>
  <c r="O1542" i="1"/>
  <c r="O1541" i="1"/>
  <c r="O1540" i="1"/>
  <c r="O1539" i="1"/>
  <c r="O1538" i="1"/>
  <c r="O1537" i="1"/>
  <c r="O1536" i="1"/>
  <c r="O1535" i="1"/>
  <c r="O1534" i="1"/>
  <c r="O1533" i="1"/>
  <c r="O1532" i="1"/>
  <c r="O1531" i="1"/>
  <c r="O1530" i="1"/>
  <c r="O1529" i="1"/>
  <c r="O1528" i="1"/>
  <c r="O1527" i="1"/>
  <c r="O1526" i="1"/>
  <c r="O1525" i="1"/>
  <c r="O1524" i="1"/>
  <c r="O1523" i="1"/>
  <c r="O1522" i="1"/>
  <c r="O1521" i="1"/>
  <c r="O1520" i="1"/>
  <c r="O1519" i="1"/>
  <c r="O1518" i="1"/>
  <c r="O1517" i="1"/>
  <c r="O1516" i="1"/>
  <c r="O1515" i="1"/>
  <c r="O1514" i="1"/>
  <c r="O1513" i="1"/>
  <c r="O1512" i="1"/>
  <c r="O1511" i="1"/>
  <c r="O1510" i="1"/>
  <c r="O1509" i="1"/>
  <c r="O1508" i="1"/>
  <c r="O1507" i="1"/>
  <c r="O1506" i="1"/>
  <c r="O1505" i="1"/>
  <c r="O1504" i="1"/>
  <c r="O1503" i="1"/>
  <c r="O1502" i="1"/>
  <c r="O1501" i="1"/>
  <c r="O1500" i="1"/>
  <c r="O1499" i="1"/>
  <c r="O1498" i="1"/>
  <c r="O1497" i="1"/>
  <c r="O1496" i="1"/>
  <c r="O1495" i="1"/>
  <c r="O1494" i="1"/>
  <c r="O1493" i="1"/>
  <c r="O1492" i="1"/>
  <c r="O1491" i="1"/>
  <c r="O1490" i="1"/>
  <c r="O1489" i="1"/>
  <c r="O1488" i="1"/>
  <c r="O1487" i="1"/>
  <c r="O1486" i="1"/>
  <c r="O1485" i="1"/>
  <c r="O1484" i="1"/>
  <c r="O1483" i="1"/>
  <c r="O1482" i="1"/>
  <c r="O1481" i="1"/>
  <c r="O1480" i="1"/>
  <c r="O1479" i="1"/>
  <c r="O1478" i="1"/>
  <c r="O1477" i="1"/>
  <c r="O1476" i="1"/>
  <c r="O1475" i="1"/>
  <c r="O1474" i="1"/>
  <c r="O1473" i="1"/>
  <c r="O1472" i="1"/>
  <c r="O1471" i="1"/>
  <c r="O1470" i="1"/>
  <c r="O1469" i="1"/>
  <c r="O1468" i="1"/>
  <c r="O1467" i="1"/>
  <c r="O1466" i="1"/>
  <c r="O1465" i="1"/>
  <c r="O1464" i="1"/>
  <c r="O1463" i="1"/>
  <c r="O1462" i="1"/>
  <c r="O1461" i="1"/>
  <c r="O1460" i="1"/>
  <c r="O1459" i="1"/>
  <c r="O1458" i="1"/>
  <c r="O1457" i="1"/>
  <c r="O1456" i="1"/>
  <c r="O1455" i="1"/>
  <c r="O1454" i="1"/>
  <c r="O1453" i="1"/>
  <c r="O1452" i="1"/>
  <c r="O1451" i="1"/>
  <c r="O1450" i="1"/>
  <c r="O1449" i="1"/>
  <c r="O1448" i="1"/>
  <c r="O1447" i="1"/>
  <c r="O1446" i="1"/>
  <c r="O1445" i="1"/>
  <c r="O1444" i="1"/>
  <c r="O1443" i="1"/>
  <c r="O1442" i="1"/>
  <c r="O1441" i="1"/>
  <c r="O1440" i="1"/>
  <c r="O1439" i="1"/>
  <c r="O1438" i="1"/>
  <c r="O1437" i="1"/>
  <c r="O1436" i="1"/>
  <c r="O1435" i="1"/>
  <c r="O1434" i="1"/>
  <c r="O1433" i="1"/>
  <c r="O1432" i="1"/>
  <c r="O1431" i="1"/>
  <c r="O1430" i="1"/>
  <c r="O1429" i="1"/>
  <c r="O1428" i="1"/>
  <c r="O1427" i="1"/>
  <c r="O1426" i="1"/>
  <c r="O1425" i="1"/>
  <c r="O1424" i="1"/>
  <c r="O1423" i="1"/>
  <c r="O1422" i="1"/>
  <c r="O1421" i="1"/>
  <c r="O1420" i="1"/>
  <c r="O1419" i="1"/>
  <c r="O1418" i="1"/>
  <c r="O1417" i="1"/>
  <c r="O1416" i="1"/>
  <c r="O1415" i="1"/>
  <c r="O1414" i="1"/>
  <c r="O1413" i="1"/>
  <c r="O1412" i="1"/>
  <c r="O1411" i="1"/>
  <c r="O1410" i="1"/>
  <c r="O1409" i="1"/>
  <c r="O1408" i="1"/>
  <c r="O1407" i="1"/>
  <c r="O1406" i="1"/>
  <c r="O1405" i="1"/>
  <c r="O1404" i="1"/>
  <c r="O1403" i="1"/>
  <c r="O1402" i="1"/>
  <c r="O1401" i="1"/>
  <c r="O1400" i="1"/>
  <c r="O1399" i="1"/>
  <c r="O1398" i="1"/>
  <c r="O1397" i="1"/>
  <c r="O1396" i="1"/>
  <c r="O1395" i="1"/>
  <c r="O1394" i="1"/>
  <c r="O1393" i="1"/>
  <c r="O1392" i="1"/>
  <c r="O1391" i="1"/>
  <c r="O1390" i="1"/>
  <c r="O1389" i="1"/>
  <c r="O1388" i="1"/>
  <c r="O1387" i="1"/>
  <c r="O1386" i="1"/>
  <c r="O1385" i="1"/>
  <c r="O1384" i="1"/>
  <c r="O1383" i="1"/>
  <c r="O1382" i="1"/>
  <c r="O1381" i="1"/>
  <c r="O1380" i="1"/>
  <c r="O1379" i="1"/>
  <c r="O1378" i="1"/>
  <c r="O1377" i="1"/>
  <c r="O1376" i="1"/>
  <c r="O1375" i="1"/>
  <c r="O1374" i="1"/>
  <c r="O1373" i="1"/>
  <c r="O1372" i="1"/>
  <c r="O1371" i="1"/>
  <c r="O1370" i="1"/>
  <c r="O1369" i="1"/>
  <c r="O1368" i="1"/>
  <c r="O1367" i="1"/>
  <c r="O1366" i="1"/>
  <c r="O1365" i="1"/>
  <c r="O1364" i="1"/>
  <c r="O1363" i="1"/>
  <c r="O1362" i="1"/>
  <c r="O1361" i="1"/>
  <c r="O1360" i="1"/>
  <c r="O1359" i="1"/>
  <c r="O1358" i="1"/>
  <c r="O1357" i="1"/>
  <c r="O1356" i="1"/>
  <c r="O1355" i="1"/>
  <c r="O1354" i="1"/>
  <c r="O1353" i="1"/>
  <c r="O1352" i="1"/>
  <c r="O1351" i="1"/>
  <c r="O1350" i="1"/>
  <c r="O1349" i="1"/>
  <c r="O1348" i="1"/>
  <c r="O1347" i="1"/>
  <c r="O1346" i="1"/>
  <c r="O1345" i="1"/>
  <c r="O1344" i="1"/>
  <c r="O1343" i="1"/>
  <c r="O1342" i="1"/>
  <c r="O1341" i="1"/>
  <c r="O1340" i="1"/>
  <c r="O1339" i="1"/>
  <c r="O1338" i="1"/>
  <c r="O1337" i="1"/>
  <c r="O1336" i="1"/>
  <c r="O1335" i="1"/>
  <c r="O1334" i="1"/>
  <c r="O1333" i="1"/>
  <c r="O1332" i="1"/>
  <c r="O1331" i="1"/>
  <c r="O1330" i="1"/>
  <c r="O1329" i="1"/>
  <c r="O1328" i="1"/>
  <c r="O1327" i="1"/>
  <c r="O1326" i="1"/>
  <c r="O1325" i="1"/>
  <c r="O1324" i="1"/>
  <c r="O1323" i="1"/>
  <c r="O1322" i="1"/>
  <c r="O1321" i="1"/>
  <c r="O1320" i="1"/>
  <c r="O1319" i="1"/>
  <c r="O1318" i="1"/>
  <c r="O1317" i="1"/>
  <c r="O1316" i="1"/>
  <c r="O1315" i="1"/>
  <c r="O1314" i="1"/>
  <c r="O1313" i="1"/>
  <c r="O1312" i="1"/>
  <c r="O1311" i="1"/>
  <c r="O1310" i="1"/>
  <c r="O1309" i="1"/>
  <c r="O1308" i="1"/>
  <c r="O1307" i="1"/>
  <c r="O1306" i="1"/>
  <c r="O1305" i="1"/>
  <c r="O1304" i="1"/>
  <c r="O1303" i="1"/>
  <c r="O1302" i="1"/>
  <c r="O1301" i="1"/>
  <c r="O1300" i="1"/>
  <c r="O1299" i="1"/>
  <c r="O1298" i="1"/>
  <c r="O1297" i="1"/>
  <c r="O1296" i="1"/>
  <c r="O1295" i="1"/>
  <c r="O1294" i="1"/>
  <c r="O1293" i="1"/>
  <c r="O1292" i="1"/>
  <c r="O1291" i="1"/>
  <c r="O1290" i="1"/>
  <c r="O1289" i="1"/>
  <c r="O1288" i="1"/>
  <c r="O1287" i="1"/>
  <c r="O1286" i="1"/>
  <c r="O1285" i="1"/>
  <c r="O1284" i="1"/>
  <c r="O1283" i="1"/>
  <c r="O1282" i="1"/>
  <c r="O1281" i="1"/>
  <c r="O1280" i="1"/>
  <c r="O1279" i="1"/>
  <c r="O1278" i="1"/>
  <c r="O1277" i="1"/>
  <c r="O1276" i="1"/>
  <c r="O1275" i="1"/>
  <c r="O1274" i="1"/>
  <c r="O1273" i="1"/>
  <c r="O1272" i="1"/>
  <c r="O1271" i="1"/>
  <c r="O1270" i="1"/>
  <c r="O1269" i="1"/>
  <c r="O1268" i="1"/>
  <c r="O1267" i="1"/>
  <c r="O1266" i="1"/>
  <c r="O1265" i="1"/>
  <c r="O1264" i="1"/>
  <c r="O1263" i="1"/>
  <c r="O1262" i="1"/>
  <c r="O1261" i="1"/>
  <c r="O1260" i="1"/>
  <c r="O1259" i="1"/>
  <c r="O1258" i="1"/>
  <c r="O1257" i="1"/>
  <c r="O1256" i="1"/>
  <c r="O1255" i="1"/>
  <c r="O1254" i="1"/>
  <c r="O1253" i="1"/>
  <c r="O1252" i="1"/>
  <c r="O1251" i="1"/>
  <c r="O1250" i="1"/>
  <c r="O1249" i="1"/>
  <c r="O1248" i="1"/>
  <c r="O1247" i="1"/>
  <c r="O1246" i="1"/>
  <c r="O1245" i="1"/>
  <c r="O1244" i="1"/>
  <c r="O1243" i="1"/>
  <c r="O1242" i="1"/>
  <c r="O1241" i="1"/>
  <c r="O1240" i="1"/>
  <c r="O1239" i="1"/>
  <c r="O1238" i="1"/>
  <c r="O1237" i="1"/>
  <c r="O1236" i="1"/>
  <c r="O1235" i="1"/>
  <c r="O1234" i="1"/>
  <c r="O1233" i="1"/>
  <c r="O1232" i="1"/>
  <c r="O1231" i="1"/>
  <c r="O1230" i="1"/>
  <c r="O1229" i="1"/>
  <c r="O1228" i="1"/>
  <c r="O1227" i="1"/>
  <c r="O1226" i="1"/>
  <c r="O1225" i="1"/>
  <c r="O1224" i="1"/>
  <c r="O1223" i="1"/>
  <c r="O1222" i="1"/>
  <c r="O1221" i="1"/>
  <c r="O1220" i="1"/>
  <c r="O1219" i="1"/>
  <c r="O1218" i="1"/>
  <c r="O1217" i="1"/>
  <c r="O1216" i="1"/>
  <c r="O1215" i="1"/>
  <c r="O1214" i="1"/>
  <c r="O1213" i="1"/>
  <c r="O1212" i="1"/>
  <c r="O1211" i="1"/>
  <c r="O1210" i="1"/>
  <c r="O1209" i="1"/>
  <c r="O1208" i="1"/>
  <c r="O1207" i="1"/>
  <c r="O1206" i="1"/>
  <c r="O1205" i="1"/>
  <c r="O1204" i="1"/>
  <c r="O1203" i="1"/>
  <c r="O1202" i="1"/>
  <c r="O1201" i="1"/>
  <c r="O1200" i="1"/>
  <c r="O1199" i="1"/>
  <c r="O1198" i="1"/>
  <c r="O1197" i="1"/>
  <c r="O1196" i="1"/>
  <c r="O1195" i="1"/>
  <c r="O1194" i="1"/>
  <c r="O1193" i="1"/>
  <c r="O1192" i="1"/>
  <c r="O1191" i="1"/>
  <c r="O1190" i="1"/>
  <c r="O1189" i="1"/>
  <c r="O1188" i="1"/>
  <c r="O1187" i="1"/>
  <c r="O1186" i="1"/>
  <c r="O1185" i="1"/>
  <c r="O1184" i="1"/>
  <c r="O1183" i="1"/>
  <c r="O1182" i="1"/>
  <c r="O1181" i="1"/>
  <c r="O1180" i="1"/>
  <c r="O1179" i="1"/>
  <c r="O1178" i="1"/>
  <c r="O1177" i="1"/>
  <c r="O1176" i="1"/>
  <c r="O1175" i="1"/>
  <c r="O1174" i="1"/>
  <c r="O1173" i="1"/>
  <c r="O1172" i="1"/>
  <c r="O1171" i="1"/>
  <c r="O1170" i="1"/>
  <c r="O1169" i="1"/>
  <c r="O1168" i="1"/>
  <c r="O1167" i="1"/>
  <c r="O1166" i="1"/>
  <c r="O1165" i="1"/>
  <c r="O1164" i="1"/>
  <c r="O1163" i="1"/>
  <c r="O1162" i="1"/>
  <c r="O1161" i="1"/>
  <c r="O1160" i="1"/>
  <c r="O1159" i="1"/>
  <c r="O1158" i="1"/>
  <c r="O1157" i="1"/>
  <c r="O1156" i="1"/>
  <c r="O1155" i="1"/>
  <c r="O1154" i="1"/>
  <c r="O1153" i="1"/>
  <c r="O1152" i="1"/>
  <c r="O1151" i="1"/>
  <c r="O1150" i="1"/>
  <c r="O1149" i="1"/>
  <c r="O1148" i="1"/>
  <c r="O1147" i="1"/>
  <c r="O1146" i="1"/>
  <c r="O1145" i="1"/>
  <c r="O1144" i="1"/>
  <c r="O1143" i="1"/>
  <c r="O1142" i="1"/>
  <c r="O1141" i="1"/>
  <c r="O1140" i="1"/>
  <c r="O1139" i="1"/>
  <c r="O1138" i="1"/>
  <c r="O1137" i="1"/>
  <c r="O1136" i="1"/>
  <c r="O1135" i="1"/>
  <c r="O1134" i="1"/>
  <c r="O1133" i="1"/>
  <c r="O1132" i="1"/>
  <c r="O1131" i="1"/>
  <c r="O1130" i="1"/>
  <c r="O1129" i="1"/>
  <c r="O1128" i="1"/>
  <c r="O1127" i="1"/>
  <c r="O1126" i="1"/>
  <c r="O1125" i="1"/>
  <c r="O1124" i="1"/>
  <c r="O1123" i="1"/>
  <c r="O1122" i="1"/>
  <c r="O1121" i="1"/>
  <c r="O1120" i="1"/>
  <c r="O1119" i="1"/>
  <c r="O1118" i="1"/>
  <c r="O1117" i="1"/>
  <c r="O1116" i="1"/>
  <c r="O1115" i="1"/>
  <c r="O1114" i="1"/>
  <c r="O1113" i="1"/>
  <c r="O1112" i="1"/>
  <c r="O1111" i="1"/>
  <c r="O1110" i="1"/>
  <c r="O1109" i="1"/>
  <c r="O1108" i="1"/>
  <c r="O1107" i="1"/>
  <c r="O1106" i="1"/>
  <c r="O1105" i="1"/>
  <c r="O1104" i="1"/>
  <c r="O1103" i="1"/>
  <c r="O1102" i="1"/>
  <c r="O1101" i="1"/>
  <c r="O1100" i="1"/>
  <c r="O1099" i="1"/>
  <c r="O1098" i="1"/>
  <c r="O1097" i="1"/>
  <c r="O1096" i="1"/>
  <c r="O1095" i="1"/>
  <c r="O1094" i="1"/>
  <c r="O1093" i="1"/>
  <c r="O1092" i="1"/>
  <c r="O1091" i="1"/>
  <c r="O1090" i="1"/>
  <c r="O1089" i="1"/>
  <c r="O1088" i="1"/>
  <c r="O1087" i="1"/>
  <c r="O1086" i="1"/>
  <c r="O1085" i="1"/>
  <c r="O1084" i="1"/>
  <c r="O1083" i="1"/>
  <c r="O1082" i="1"/>
  <c r="O1081" i="1"/>
  <c r="O1080" i="1"/>
  <c r="O1079" i="1"/>
  <c r="O1078" i="1"/>
  <c r="O1077" i="1"/>
  <c r="O1076" i="1"/>
  <c r="O1075" i="1"/>
  <c r="O1074" i="1"/>
  <c r="O1073" i="1"/>
  <c r="O1072" i="1"/>
  <c r="O1071" i="1"/>
  <c r="O1070" i="1"/>
  <c r="O1069" i="1"/>
  <c r="O1068" i="1"/>
  <c r="O1067" i="1"/>
  <c r="O1066" i="1"/>
  <c r="O1065" i="1"/>
  <c r="O1064" i="1"/>
  <c r="O1063" i="1"/>
  <c r="O1062" i="1"/>
  <c r="O1061" i="1"/>
  <c r="O1060" i="1"/>
  <c r="O1059" i="1"/>
  <c r="O1058" i="1"/>
  <c r="O1057" i="1"/>
  <c r="O1056" i="1"/>
  <c r="O1055" i="1"/>
  <c r="O1054" i="1"/>
  <c r="O1053" i="1"/>
  <c r="O1052" i="1"/>
  <c r="O1051" i="1"/>
  <c r="O1050" i="1"/>
  <c r="O1049" i="1"/>
  <c r="O1048" i="1"/>
  <c r="O1047" i="1"/>
  <c r="O1046" i="1"/>
  <c r="O1045" i="1"/>
  <c r="O1044" i="1"/>
  <c r="O1043" i="1"/>
  <c r="O1042" i="1"/>
  <c r="O1041" i="1"/>
  <c r="O1040" i="1"/>
  <c r="O1039" i="1"/>
  <c r="O1038" i="1"/>
  <c r="O1037" i="1"/>
  <c r="O1036" i="1"/>
  <c r="O1035" i="1"/>
  <c r="O1034" i="1"/>
  <c r="O1033" i="1"/>
  <c r="O1032" i="1"/>
  <c r="O1031" i="1"/>
  <c r="O1030" i="1"/>
  <c r="O1029" i="1"/>
  <c r="O1028" i="1"/>
  <c r="O1027" i="1"/>
  <c r="O1026" i="1"/>
  <c r="O1025" i="1"/>
  <c r="O1024" i="1"/>
  <c r="O1023" i="1"/>
  <c r="O1022" i="1"/>
  <c r="O1021" i="1"/>
  <c r="O1020" i="1"/>
  <c r="O1019" i="1"/>
  <c r="O1018" i="1"/>
  <c r="O1017" i="1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  <c r="N4029" i="1"/>
  <c r="N4028" i="1"/>
  <c r="N4027" i="1"/>
  <c r="N4026" i="1"/>
  <c r="N4025" i="1"/>
  <c r="N4024" i="1"/>
  <c r="N4023" i="1"/>
  <c r="N4022" i="1"/>
  <c r="N4021" i="1"/>
  <c r="N4020" i="1"/>
  <c r="N4019" i="1"/>
  <c r="N4018" i="1"/>
  <c r="N4017" i="1"/>
  <c r="N4016" i="1"/>
  <c r="N4015" i="1"/>
  <c r="N4014" i="1"/>
  <c r="N4013" i="1"/>
  <c r="N4012" i="1"/>
  <c r="N4011" i="1"/>
  <c r="N4010" i="1"/>
  <c r="N4009" i="1"/>
  <c r="N4008" i="1"/>
  <c r="N4007" i="1"/>
  <c r="N4006" i="1"/>
  <c r="N4005" i="1"/>
  <c r="N4004" i="1"/>
  <c r="N4003" i="1"/>
  <c r="N4002" i="1"/>
  <c r="N4001" i="1"/>
  <c r="N4000" i="1"/>
  <c r="N3999" i="1"/>
  <c r="N3998" i="1"/>
  <c r="N3997" i="1"/>
  <c r="N3996" i="1"/>
  <c r="N3995" i="1"/>
  <c r="N3994" i="1"/>
  <c r="N3993" i="1"/>
  <c r="N3992" i="1"/>
  <c r="N3991" i="1"/>
  <c r="N3990" i="1"/>
  <c r="N3989" i="1"/>
  <c r="N3988" i="1"/>
  <c r="N3987" i="1"/>
  <c r="N3986" i="1"/>
  <c r="N3985" i="1"/>
  <c r="N3984" i="1"/>
  <c r="N3983" i="1"/>
  <c r="N3982" i="1"/>
  <c r="N3981" i="1"/>
  <c r="N3980" i="1"/>
  <c r="N3979" i="1"/>
  <c r="N3978" i="1"/>
  <c r="N3977" i="1"/>
  <c r="N3976" i="1"/>
  <c r="N3975" i="1"/>
  <c r="N3974" i="1"/>
  <c r="N3973" i="1"/>
  <c r="N3972" i="1"/>
  <c r="N3971" i="1"/>
  <c r="N3970" i="1"/>
  <c r="N3969" i="1"/>
  <c r="N3968" i="1"/>
  <c r="N3967" i="1"/>
  <c r="N3966" i="1"/>
  <c r="N3965" i="1"/>
  <c r="N3964" i="1"/>
  <c r="N3963" i="1"/>
  <c r="N3962" i="1"/>
  <c r="N3961" i="1"/>
  <c r="N3960" i="1"/>
  <c r="N3959" i="1"/>
  <c r="N3958" i="1"/>
  <c r="N3957" i="1"/>
  <c r="N3956" i="1"/>
  <c r="N3955" i="1"/>
  <c r="N3954" i="1"/>
  <c r="N3953" i="1"/>
  <c r="N3952" i="1"/>
  <c r="N3951" i="1"/>
  <c r="N3950" i="1"/>
  <c r="N3949" i="1"/>
  <c r="N3948" i="1"/>
  <c r="N3947" i="1"/>
  <c r="N3946" i="1"/>
  <c r="N3945" i="1"/>
  <c r="N3944" i="1"/>
  <c r="N3943" i="1"/>
  <c r="N3942" i="1"/>
  <c r="N3941" i="1"/>
  <c r="N3940" i="1"/>
  <c r="N3939" i="1"/>
  <c r="N3938" i="1"/>
  <c r="N3937" i="1"/>
  <c r="N3936" i="1"/>
  <c r="N3935" i="1"/>
  <c r="N3934" i="1"/>
  <c r="N3933" i="1"/>
  <c r="N3932" i="1"/>
  <c r="N3931" i="1"/>
  <c r="N3930" i="1"/>
  <c r="N3929" i="1"/>
  <c r="N3928" i="1"/>
  <c r="N3927" i="1"/>
  <c r="N3926" i="1"/>
  <c r="N3925" i="1"/>
  <c r="N3924" i="1"/>
  <c r="N3923" i="1"/>
  <c r="N3922" i="1"/>
  <c r="N3921" i="1"/>
  <c r="N3920" i="1"/>
  <c r="N3919" i="1"/>
  <c r="N3918" i="1"/>
  <c r="N3917" i="1"/>
  <c r="N3916" i="1"/>
  <c r="N3915" i="1"/>
  <c r="N3914" i="1"/>
  <c r="N3913" i="1"/>
  <c r="N3912" i="1"/>
  <c r="N3911" i="1"/>
  <c r="N3910" i="1"/>
  <c r="N3909" i="1"/>
  <c r="N3908" i="1"/>
  <c r="N3907" i="1"/>
  <c r="N3906" i="1"/>
  <c r="N3905" i="1"/>
  <c r="N3904" i="1"/>
  <c r="N3903" i="1"/>
  <c r="N3902" i="1"/>
  <c r="N3901" i="1"/>
  <c r="N3900" i="1"/>
  <c r="N3899" i="1"/>
  <c r="N3898" i="1"/>
  <c r="N3897" i="1"/>
  <c r="N3896" i="1"/>
  <c r="N3895" i="1"/>
  <c r="N3894" i="1"/>
  <c r="N3893" i="1"/>
  <c r="N3892" i="1"/>
  <c r="N3891" i="1"/>
  <c r="N3890" i="1"/>
  <c r="N3889" i="1"/>
  <c r="N3888" i="1"/>
  <c r="N3887" i="1"/>
  <c r="N3886" i="1"/>
  <c r="N3885" i="1"/>
  <c r="N3884" i="1"/>
  <c r="N3883" i="1"/>
  <c r="N3882" i="1"/>
  <c r="N3881" i="1"/>
  <c r="N3880" i="1"/>
  <c r="N3879" i="1"/>
  <c r="N3878" i="1"/>
  <c r="N3877" i="1"/>
  <c r="N3876" i="1"/>
  <c r="N3875" i="1"/>
  <c r="N3874" i="1"/>
  <c r="N3873" i="1"/>
  <c r="N3872" i="1"/>
  <c r="N3871" i="1"/>
  <c r="N3870" i="1"/>
  <c r="N3869" i="1"/>
  <c r="N3868" i="1"/>
  <c r="N3867" i="1"/>
  <c r="N3866" i="1"/>
  <c r="N3865" i="1"/>
  <c r="N3864" i="1"/>
  <c r="N3863" i="1"/>
  <c r="N3862" i="1"/>
  <c r="N3861" i="1"/>
  <c r="N3860" i="1"/>
  <c r="N3859" i="1"/>
  <c r="N3858" i="1"/>
  <c r="N3857" i="1"/>
  <c r="N3856" i="1"/>
  <c r="N3855" i="1"/>
  <c r="N3854" i="1"/>
  <c r="N3853" i="1"/>
  <c r="N3852" i="1"/>
  <c r="N3851" i="1"/>
  <c r="N3850" i="1"/>
  <c r="N3849" i="1"/>
  <c r="N3848" i="1"/>
  <c r="N3847" i="1"/>
  <c r="N3846" i="1"/>
  <c r="N3845" i="1"/>
  <c r="N3844" i="1"/>
  <c r="N3843" i="1"/>
  <c r="N3842" i="1"/>
  <c r="N3841" i="1"/>
  <c r="N3840" i="1"/>
  <c r="N3839" i="1"/>
  <c r="N3838" i="1"/>
  <c r="N3837" i="1"/>
  <c r="N3836" i="1"/>
  <c r="N3835" i="1"/>
  <c r="N3834" i="1"/>
  <c r="N3833" i="1"/>
  <c r="N3832" i="1"/>
  <c r="N3831" i="1"/>
  <c r="N3830" i="1"/>
  <c r="N3829" i="1"/>
  <c r="N3828" i="1"/>
  <c r="N3827" i="1"/>
  <c r="N3826" i="1"/>
  <c r="N3825" i="1"/>
  <c r="N3824" i="1"/>
  <c r="N3823" i="1"/>
  <c r="N3822" i="1"/>
  <c r="N3821" i="1"/>
  <c r="N3820" i="1"/>
  <c r="N3819" i="1"/>
  <c r="N3818" i="1"/>
  <c r="N3817" i="1"/>
  <c r="N3816" i="1"/>
  <c r="N3815" i="1"/>
  <c r="N3814" i="1"/>
  <c r="N3813" i="1"/>
  <c r="N3812" i="1"/>
  <c r="N3811" i="1"/>
  <c r="N3810" i="1"/>
  <c r="N3809" i="1"/>
  <c r="N3808" i="1"/>
  <c r="N3807" i="1"/>
  <c r="N3806" i="1"/>
  <c r="N3805" i="1"/>
  <c r="N3804" i="1"/>
  <c r="N3803" i="1"/>
  <c r="N3802" i="1"/>
  <c r="N3801" i="1"/>
  <c r="N3800" i="1"/>
  <c r="N3799" i="1"/>
  <c r="N3798" i="1"/>
  <c r="N3797" i="1"/>
  <c r="N3796" i="1"/>
  <c r="N3795" i="1"/>
  <c r="N3794" i="1"/>
  <c r="N3793" i="1"/>
  <c r="N3792" i="1"/>
  <c r="N3791" i="1"/>
  <c r="N3790" i="1"/>
  <c r="N3789" i="1"/>
  <c r="N3788" i="1"/>
  <c r="N3787" i="1"/>
  <c r="N3786" i="1"/>
  <c r="N3785" i="1"/>
  <c r="N3784" i="1"/>
  <c r="N3783" i="1"/>
  <c r="N3782" i="1"/>
  <c r="N3781" i="1"/>
  <c r="N3780" i="1"/>
  <c r="N3779" i="1"/>
  <c r="N3778" i="1"/>
  <c r="N3777" i="1"/>
  <c r="N3776" i="1"/>
  <c r="N3775" i="1"/>
  <c r="N3774" i="1"/>
  <c r="N3773" i="1"/>
  <c r="N3772" i="1"/>
  <c r="N3771" i="1"/>
  <c r="N3770" i="1"/>
  <c r="N3769" i="1"/>
  <c r="N3768" i="1"/>
  <c r="N3767" i="1"/>
  <c r="N3766" i="1"/>
  <c r="N3765" i="1"/>
  <c r="N3764" i="1"/>
  <c r="N3763" i="1"/>
  <c r="N3762" i="1"/>
  <c r="N3761" i="1"/>
  <c r="N3760" i="1"/>
  <c r="N3759" i="1"/>
  <c r="N3758" i="1"/>
  <c r="N3757" i="1"/>
  <c r="N3756" i="1"/>
  <c r="N3755" i="1"/>
  <c r="N3754" i="1"/>
  <c r="N3753" i="1"/>
  <c r="N3752" i="1"/>
  <c r="N3751" i="1"/>
  <c r="N3750" i="1"/>
  <c r="N3749" i="1"/>
  <c r="N3748" i="1"/>
  <c r="N3747" i="1"/>
  <c r="N3746" i="1"/>
  <c r="N3745" i="1"/>
  <c r="N3744" i="1"/>
  <c r="N3743" i="1"/>
  <c r="N3742" i="1"/>
  <c r="N3741" i="1"/>
  <c r="N3740" i="1"/>
  <c r="N3739" i="1"/>
  <c r="N3738" i="1"/>
  <c r="N3737" i="1"/>
  <c r="N3736" i="1"/>
  <c r="N3735" i="1"/>
  <c r="N3734" i="1"/>
  <c r="N3733" i="1"/>
  <c r="N3732" i="1"/>
  <c r="N3731" i="1"/>
  <c r="N3730" i="1"/>
  <c r="N3729" i="1"/>
  <c r="N3728" i="1"/>
  <c r="N3727" i="1"/>
  <c r="N3726" i="1"/>
  <c r="N3725" i="1"/>
  <c r="N3724" i="1"/>
  <c r="N3723" i="1"/>
  <c r="N3722" i="1"/>
  <c r="N3721" i="1"/>
  <c r="N3720" i="1"/>
  <c r="N3719" i="1"/>
  <c r="N3718" i="1"/>
  <c r="N3717" i="1"/>
  <c r="N3716" i="1"/>
  <c r="N3715" i="1"/>
  <c r="N3714" i="1"/>
  <c r="N3713" i="1"/>
  <c r="N3712" i="1"/>
  <c r="N3711" i="1"/>
  <c r="N3710" i="1"/>
  <c r="N3709" i="1"/>
  <c r="N3708" i="1"/>
  <c r="N3707" i="1"/>
  <c r="N3706" i="1"/>
  <c r="N3705" i="1"/>
  <c r="N3704" i="1"/>
  <c r="N3703" i="1"/>
  <c r="N3702" i="1"/>
  <c r="N3701" i="1"/>
  <c r="N3700" i="1"/>
  <c r="N3699" i="1"/>
  <c r="N3698" i="1"/>
  <c r="N3697" i="1"/>
  <c r="N3696" i="1"/>
  <c r="N3695" i="1"/>
  <c r="N3694" i="1"/>
  <c r="N3693" i="1"/>
  <c r="N3692" i="1"/>
  <c r="N3691" i="1"/>
  <c r="N3690" i="1"/>
  <c r="N3689" i="1"/>
  <c r="N3688" i="1"/>
  <c r="N3687" i="1"/>
  <c r="N3686" i="1"/>
  <c r="N3685" i="1"/>
  <c r="N3684" i="1"/>
  <c r="N3683" i="1"/>
  <c r="N3682" i="1"/>
  <c r="N3681" i="1"/>
  <c r="N3680" i="1"/>
  <c r="N3679" i="1"/>
  <c r="N3678" i="1"/>
  <c r="N3677" i="1"/>
  <c r="N3676" i="1"/>
  <c r="N3675" i="1"/>
  <c r="N3674" i="1"/>
  <c r="N3673" i="1"/>
  <c r="N3672" i="1"/>
  <c r="N3671" i="1"/>
  <c r="N3670" i="1"/>
  <c r="N3669" i="1"/>
  <c r="N3668" i="1"/>
  <c r="N3667" i="1"/>
  <c r="N3666" i="1"/>
  <c r="N3665" i="1"/>
  <c r="N3664" i="1"/>
  <c r="N3663" i="1"/>
  <c r="N3662" i="1"/>
  <c r="N3661" i="1"/>
  <c r="N3660" i="1"/>
  <c r="N3659" i="1"/>
  <c r="N3658" i="1"/>
  <c r="N3657" i="1"/>
  <c r="N3656" i="1"/>
  <c r="N3655" i="1"/>
  <c r="N3654" i="1"/>
  <c r="N3653" i="1"/>
  <c r="N3652" i="1"/>
  <c r="N3651" i="1"/>
  <c r="N3650" i="1"/>
  <c r="N3649" i="1"/>
  <c r="N3648" i="1"/>
  <c r="N3647" i="1"/>
  <c r="N3646" i="1"/>
  <c r="N3645" i="1"/>
  <c r="N3644" i="1"/>
  <c r="N3643" i="1"/>
  <c r="N3642" i="1"/>
  <c r="N3641" i="1"/>
  <c r="N3640" i="1"/>
  <c r="N3639" i="1"/>
  <c r="N3638" i="1"/>
  <c r="N3637" i="1"/>
  <c r="N3636" i="1"/>
  <c r="N3635" i="1"/>
  <c r="N3634" i="1"/>
  <c r="N3633" i="1"/>
  <c r="N3632" i="1"/>
  <c r="N3631" i="1"/>
  <c r="N3630" i="1"/>
  <c r="N3629" i="1"/>
  <c r="N3628" i="1"/>
  <c r="N3627" i="1"/>
  <c r="N3626" i="1"/>
  <c r="N3625" i="1"/>
  <c r="N3624" i="1"/>
  <c r="N3623" i="1"/>
  <c r="N3622" i="1"/>
  <c r="N3621" i="1"/>
  <c r="N3620" i="1"/>
  <c r="N3619" i="1"/>
  <c r="N3618" i="1"/>
  <c r="N3617" i="1"/>
  <c r="N3616" i="1"/>
  <c r="N3615" i="1"/>
  <c r="N3614" i="1"/>
  <c r="N3613" i="1"/>
  <c r="N3612" i="1"/>
  <c r="N3611" i="1"/>
  <c r="N3610" i="1"/>
  <c r="N3609" i="1"/>
  <c r="N3608" i="1"/>
  <c r="N3607" i="1"/>
  <c r="N3606" i="1"/>
  <c r="N3605" i="1"/>
  <c r="N3604" i="1"/>
  <c r="N3603" i="1"/>
  <c r="N3602" i="1"/>
  <c r="N3601" i="1"/>
  <c r="N3600" i="1"/>
  <c r="N3599" i="1"/>
  <c r="N3598" i="1"/>
  <c r="N3597" i="1"/>
  <c r="N3596" i="1"/>
  <c r="N3595" i="1"/>
  <c r="N3594" i="1"/>
  <c r="N3593" i="1"/>
  <c r="N3592" i="1"/>
  <c r="N3591" i="1"/>
  <c r="N3590" i="1"/>
  <c r="N3589" i="1"/>
  <c r="N3588" i="1"/>
  <c r="N3587" i="1"/>
  <c r="N3586" i="1"/>
  <c r="N3585" i="1"/>
  <c r="N3584" i="1"/>
  <c r="N3583" i="1"/>
  <c r="N3582" i="1"/>
  <c r="N3581" i="1"/>
  <c r="N3580" i="1"/>
  <c r="N3579" i="1"/>
  <c r="N3578" i="1"/>
  <c r="N3577" i="1"/>
  <c r="N3576" i="1"/>
  <c r="N3575" i="1"/>
  <c r="N3574" i="1"/>
  <c r="N3573" i="1"/>
  <c r="N3572" i="1"/>
  <c r="N3571" i="1"/>
  <c r="N3570" i="1"/>
  <c r="N3569" i="1"/>
  <c r="N3568" i="1"/>
  <c r="N3567" i="1"/>
  <c r="N3566" i="1"/>
  <c r="N3565" i="1"/>
  <c r="N3564" i="1"/>
  <c r="N3563" i="1"/>
  <c r="N3562" i="1"/>
  <c r="N3561" i="1"/>
  <c r="N3560" i="1"/>
  <c r="N3559" i="1"/>
  <c r="N3558" i="1"/>
  <c r="N3557" i="1"/>
  <c r="N3556" i="1"/>
  <c r="N3555" i="1"/>
  <c r="N3554" i="1"/>
  <c r="N3553" i="1"/>
  <c r="N3552" i="1"/>
  <c r="N3551" i="1"/>
  <c r="N3550" i="1"/>
  <c r="N3549" i="1"/>
  <c r="N3548" i="1"/>
  <c r="N3547" i="1"/>
  <c r="N3546" i="1"/>
  <c r="N3545" i="1"/>
  <c r="N3544" i="1"/>
  <c r="N3543" i="1"/>
  <c r="N3542" i="1"/>
  <c r="N3541" i="1"/>
  <c r="N3540" i="1"/>
  <c r="N3539" i="1"/>
  <c r="N3538" i="1"/>
  <c r="N3537" i="1"/>
  <c r="N3536" i="1"/>
  <c r="N3535" i="1"/>
  <c r="N3534" i="1"/>
  <c r="N3533" i="1"/>
  <c r="N3532" i="1"/>
  <c r="N3531" i="1"/>
  <c r="N3530" i="1"/>
  <c r="N3529" i="1"/>
  <c r="N3528" i="1"/>
  <c r="N3527" i="1"/>
  <c r="N3526" i="1"/>
  <c r="N3525" i="1"/>
  <c r="N3524" i="1"/>
  <c r="N3523" i="1"/>
  <c r="N3522" i="1"/>
  <c r="N3521" i="1"/>
  <c r="N3520" i="1"/>
  <c r="N3519" i="1"/>
  <c r="N3518" i="1"/>
  <c r="N3517" i="1"/>
  <c r="N3516" i="1"/>
  <c r="N3515" i="1"/>
  <c r="N3514" i="1"/>
  <c r="N3513" i="1"/>
  <c r="N3512" i="1"/>
  <c r="N3511" i="1"/>
  <c r="N3510" i="1"/>
  <c r="N3509" i="1"/>
  <c r="N3508" i="1"/>
  <c r="N3507" i="1"/>
  <c r="N3506" i="1"/>
  <c r="N3505" i="1"/>
  <c r="N3504" i="1"/>
  <c r="N3503" i="1"/>
  <c r="N3502" i="1"/>
  <c r="N3501" i="1"/>
  <c r="N3500" i="1"/>
  <c r="N3499" i="1"/>
  <c r="N3498" i="1"/>
  <c r="N3497" i="1"/>
  <c r="N3496" i="1"/>
  <c r="N3495" i="1"/>
  <c r="N3494" i="1"/>
  <c r="N3493" i="1"/>
  <c r="N3492" i="1"/>
  <c r="N3491" i="1"/>
  <c r="N3490" i="1"/>
  <c r="N3489" i="1"/>
  <c r="N3488" i="1"/>
  <c r="N3487" i="1"/>
  <c r="N3486" i="1"/>
  <c r="N3485" i="1"/>
  <c r="N3484" i="1"/>
  <c r="N3483" i="1"/>
  <c r="N3482" i="1"/>
  <c r="N3481" i="1"/>
  <c r="N3480" i="1"/>
  <c r="N3479" i="1"/>
  <c r="N3478" i="1"/>
  <c r="N3477" i="1"/>
  <c r="N3476" i="1"/>
  <c r="N3475" i="1"/>
  <c r="N3474" i="1"/>
  <c r="N3473" i="1"/>
  <c r="N3472" i="1"/>
  <c r="N3471" i="1"/>
  <c r="N3470" i="1"/>
  <c r="N3469" i="1"/>
  <c r="N3468" i="1"/>
  <c r="N3467" i="1"/>
  <c r="N3466" i="1"/>
  <c r="N3465" i="1"/>
  <c r="N3464" i="1"/>
  <c r="N3463" i="1"/>
  <c r="N3462" i="1"/>
  <c r="N3461" i="1"/>
  <c r="N3460" i="1"/>
  <c r="N3459" i="1"/>
  <c r="N3458" i="1"/>
  <c r="N3457" i="1"/>
  <c r="N3456" i="1"/>
  <c r="N3455" i="1"/>
  <c r="N3454" i="1"/>
  <c r="N3453" i="1"/>
  <c r="N3452" i="1"/>
  <c r="N3451" i="1"/>
  <c r="N3450" i="1"/>
  <c r="N3449" i="1"/>
  <c r="N3448" i="1"/>
  <c r="N3447" i="1"/>
  <c r="N3446" i="1"/>
  <c r="N3445" i="1"/>
  <c r="N3444" i="1"/>
  <c r="N3443" i="1"/>
  <c r="N3442" i="1"/>
  <c r="N3441" i="1"/>
  <c r="N3440" i="1"/>
  <c r="N3439" i="1"/>
  <c r="N3438" i="1"/>
  <c r="N3437" i="1"/>
  <c r="N3436" i="1"/>
  <c r="N3435" i="1"/>
  <c r="N3434" i="1"/>
  <c r="N3433" i="1"/>
  <c r="N3432" i="1"/>
  <c r="N3431" i="1"/>
  <c r="N3430" i="1"/>
  <c r="N3429" i="1"/>
  <c r="N3428" i="1"/>
  <c r="N3427" i="1"/>
  <c r="N3426" i="1"/>
  <c r="N3425" i="1"/>
  <c r="N3424" i="1"/>
  <c r="N3423" i="1"/>
  <c r="N3422" i="1"/>
  <c r="N3421" i="1"/>
  <c r="N3420" i="1"/>
  <c r="N3419" i="1"/>
  <c r="N3418" i="1"/>
  <c r="N3417" i="1"/>
  <c r="N3416" i="1"/>
  <c r="N3415" i="1"/>
  <c r="N3414" i="1"/>
  <c r="N3413" i="1"/>
  <c r="N3412" i="1"/>
  <c r="N3411" i="1"/>
  <c r="N3410" i="1"/>
  <c r="N3409" i="1"/>
  <c r="N3408" i="1"/>
  <c r="N3407" i="1"/>
  <c r="N3406" i="1"/>
  <c r="N3405" i="1"/>
  <c r="N3404" i="1"/>
  <c r="N3403" i="1"/>
  <c r="N3402" i="1"/>
  <c r="N3401" i="1"/>
  <c r="N3400" i="1"/>
  <c r="N3399" i="1"/>
  <c r="N3398" i="1"/>
  <c r="N3397" i="1"/>
  <c r="N3396" i="1"/>
  <c r="N3395" i="1"/>
  <c r="N3394" i="1"/>
  <c r="N3393" i="1"/>
  <c r="N3392" i="1"/>
  <c r="N3391" i="1"/>
  <c r="N3390" i="1"/>
  <c r="N3389" i="1"/>
  <c r="N3388" i="1"/>
  <c r="N3387" i="1"/>
  <c r="N3386" i="1"/>
  <c r="N3385" i="1"/>
  <c r="N3384" i="1"/>
  <c r="N3383" i="1"/>
  <c r="N3382" i="1"/>
  <c r="N3381" i="1"/>
  <c r="N3380" i="1"/>
  <c r="N3379" i="1"/>
  <c r="N3378" i="1"/>
  <c r="N3377" i="1"/>
  <c r="N3376" i="1"/>
  <c r="N3375" i="1"/>
  <c r="N3374" i="1"/>
  <c r="N3373" i="1"/>
  <c r="N3372" i="1"/>
  <c r="N3371" i="1"/>
  <c r="N3370" i="1"/>
  <c r="N3369" i="1"/>
  <c r="N3368" i="1"/>
  <c r="N3367" i="1"/>
  <c r="N3366" i="1"/>
  <c r="N3365" i="1"/>
  <c r="N3364" i="1"/>
  <c r="N3363" i="1"/>
  <c r="N3362" i="1"/>
  <c r="N3361" i="1"/>
  <c r="N3360" i="1"/>
  <c r="N3359" i="1"/>
  <c r="N3358" i="1"/>
  <c r="N3357" i="1"/>
  <c r="N3356" i="1"/>
  <c r="N3355" i="1"/>
  <c r="N3354" i="1"/>
  <c r="N3353" i="1"/>
  <c r="N3352" i="1"/>
  <c r="N3351" i="1"/>
  <c r="N3350" i="1"/>
  <c r="N3349" i="1"/>
  <c r="N3348" i="1"/>
  <c r="N3347" i="1"/>
  <c r="N3346" i="1"/>
  <c r="N3345" i="1"/>
  <c r="N3344" i="1"/>
  <c r="N3343" i="1"/>
  <c r="N3342" i="1"/>
  <c r="N3341" i="1"/>
  <c r="N3340" i="1"/>
  <c r="N3339" i="1"/>
  <c r="N3338" i="1"/>
  <c r="N3337" i="1"/>
  <c r="N3336" i="1"/>
  <c r="N3335" i="1"/>
  <c r="N3334" i="1"/>
  <c r="N3333" i="1"/>
  <c r="N3332" i="1"/>
  <c r="N3331" i="1"/>
  <c r="N3330" i="1"/>
  <c r="N3329" i="1"/>
  <c r="N3328" i="1"/>
  <c r="N3327" i="1"/>
  <c r="N3326" i="1"/>
  <c r="N3325" i="1"/>
  <c r="N3324" i="1"/>
  <c r="N3323" i="1"/>
  <c r="N3322" i="1"/>
  <c r="N3321" i="1"/>
  <c r="N3320" i="1"/>
  <c r="N3319" i="1"/>
  <c r="N3318" i="1"/>
  <c r="N3317" i="1"/>
  <c r="N3316" i="1"/>
  <c r="N3315" i="1"/>
  <c r="N3314" i="1"/>
  <c r="N3313" i="1"/>
  <c r="N3312" i="1"/>
  <c r="N3311" i="1"/>
  <c r="N3310" i="1"/>
  <c r="N3309" i="1"/>
  <c r="N3308" i="1"/>
  <c r="N3307" i="1"/>
  <c r="N3306" i="1"/>
  <c r="N3305" i="1"/>
  <c r="N3304" i="1"/>
  <c r="N3303" i="1"/>
  <c r="N3302" i="1"/>
  <c r="N3301" i="1"/>
  <c r="N3300" i="1"/>
  <c r="N3299" i="1"/>
  <c r="N3298" i="1"/>
  <c r="N3297" i="1"/>
  <c r="N3296" i="1"/>
  <c r="N3295" i="1"/>
  <c r="N3294" i="1"/>
  <c r="N3293" i="1"/>
  <c r="N3292" i="1"/>
  <c r="N3291" i="1"/>
  <c r="N3290" i="1"/>
  <c r="N3289" i="1"/>
  <c r="N3288" i="1"/>
  <c r="N3287" i="1"/>
  <c r="N3286" i="1"/>
  <c r="N3285" i="1"/>
  <c r="N3284" i="1"/>
  <c r="N3283" i="1"/>
  <c r="N3282" i="1"/>
  <c r="N3281" i="1"/>
  <c r="N3280" i="1"/>
  <c r="N3279" i="1"/>
  <c r="N3278" i="1"/>
  <c r="N3277" i="1"/>
  <c r="N3276" i="1"/>
  <c r="N3275" i="1"/>
  <c r="N3274" i="1"/>
  <c r="N3273" i="1"/>
  <c r="N3272" i="1"/>
  <c r="N3271" i="1"/>
  <c r="N3270" i="1"/>
  <c r="N3269" i="1"/>
  <c r="N3268" i="1"/>
  <c r="N3267" i="1"/>
  <c r="N3266" i="1"/>
  <c r="N3265" i="1"/>
  <c r="N3264" i="1"/>
  <c r="N3263" i="1"/>
  <c r="N3262" i="1"/>
  <c r="N3261" i="1"/>
  <c r="N3260" i="1"/>
  <c r="N3259" i="1"/>
  <c r="N3258" i="1"/>
  <c r="N3257" i="1"/>
  <c r="N3256" i="1"/>
  <c r="N3255" i="1"/>
  <c r="N3254" i="1"/>
  <c r="N3253" i="1"/>
  <c r="N3252" i="1"/>
  <c r="N3251" i="1"/>
  <c r="N3250" i="1"/>
  <c r="N3249" i="1"/>
  <c r="N3248" i="1"/>
  <c r="N3247" i="1"/>
  <c r="N3246" i="1"/>
  <c r="N3245" i="1"/>
  <c r="N3244" i="1"/>
  <c r="N3243" i="1"/>
  <c r="N3242" i="1"/>
  <c r="N3241" i="1"/>
  <c r="N3240" i="1"/>
  <c r="N3239" i="1"/>
  <c r="N3238" i="1"/>
  <c r="N3237" i="1"/>
  <c r="N3236" i="1"/>
  <c r="N3235" i="1"/>
  <c r="N3234" i="1"/>
  <c r="N3233" i="1"/>
  <c r="N3232" i="1"/>
  <c r="N3231" i="1"/>
  <c r="N3230" i="1"/>
  <c r="N3229" i="1"/>
  <c r="N3228" i="1"/>
  <c r="N3227" i="1"/>
  <c r="N3226" i="1"/>
  <c r="N3225" i="1"/>
  <c r="N3224" i="1"/>
  <c r="N3223" i="1"/>
  <c r="N3222" i="1"/>
  <c r="N3221" i="1"/>
  <c r="N3220" i="1"/>
  <c r="N3219" i="1"/>
  <c r="N3218" i="1"/>
  <c r="N3217" i="1"/>
  <c r="N3216" i="1"/>
  <c r="N3215" i="1"/>
  <c r="N3214" i="1"/>
  <c r="N3213" i="1"/>
  <c r="N3212" i="1"/>
  <c r="N3211" i="1"/>
  <c r="N3210" i="1"/>
  <c r="N3209" i="1"/>
  <c r="N3208" i="1"/>
  <c r="N3207" i="1"/>
  <c r="N3206" i="1"/>
  <c r="N3205" i="1"/>
  <c r="N3204" i="1"/>
  <c r="N3203" i="1"/>
  <c r="N3202" i="1"/>
  <c r="N3201" i="1"/>
  <c r="N3200" i="1"/>
  <c r="N3199" i="1"/>
  <c r="N3198" i="1"/>
  <c r="N3197" i="1"/>
  <c r="N3196" i="1"/>
  <c r="N3195" i="1"/>
  <c r="N3194" i="1"/>
  <c r="N3193" i="1"/>
  <c r="N3192" i="1"/>
  <c r="N3191" i="1"/>
  <c r="N3190" i="1"/>
  <c r="N3189" i="1"/>
  <c r="N3188" i="1"/>
  <c r="N3187" i="1"/>
  <c r="N3186" i="1"/>
  <c r="N3185" i="1"/>
  <c r="N3184" i="1"/>
  <c r="N3183" i="1"/>
  <c r="N3182" i="1"/>
  <c r="N3181" i="1"/>
  <c r="N3180" i="1"/>
  <c r="N3179" i="1"/>
  <c r="N3178" i="1"/>
  <c r="N3177" i="1"/>
  <c r="N3176" i="1"/>
  <c r="N3175" i="1"/>
  <c r="N3174" i="1"/>
  <c r="N3173" i="1"/>
  <c r="N3172" i="1"/>
  <c r="N3171" i="1"/>
  <c r="N3170" i="1"/>
  <c r="N3169" i="1"/>
  <c r="N3168" i="1"/>
  <c r="N3167" i="1"/>
  <c r="N3166" i="1"/>
  <c r="N3165" i="1"/>
  <c r="N3164" i="1"/>
  <c r="N3163" i="1"/>
  <c r="N3162" i="1"/>
  <c r="N3161" i="1"/>
  <c r="N3160" i="1"/>
  <c r="N3159" i="1"/>
  <c r="N3158" i="1"/>
  <c r="N3157" i="1"/>
  <c r="N3156" i="1"/>
  <c r="N3155" i="1"/>
  <c r="N3154" i="1"/>
  <c r="N3153" i="1"/>
  <c r="N3152" i="1"/>
  <c r="N3151" i="1"/>
  <c r="N3150" i="1"/>
  <c r="N3149" i="1"/>
  <c r="N3148" i="1"/>
  <c r="N3147" i="1"/>
  <c r="N3146" i="1"/>
  <c r="N3145" i="1"/>
  <c r="N3144" i="1"/>
  <c r="N3143" i="1"/>
  <c r="N3142" i="1"/>
  <c r="N3141" i="1"/>
  <c r="N3140" i="1"/>
  <c r="N3139" i="1"/>
  <c r="N3138" i="1"/>
  <c r="N3137" i="1"/>
  <c r="N3136" i="1"/>
  <c r="N3135" i="1"/>
  <c r="N3134" i="1"/>
  <c r="N3133" i="1"/>
  <c r="N3132" i="1"/>
  <c r="N3131" i="1"/>
  <c r="N3130" i="1"/>
  <c r="N3129" i="1"/>
  <c r="N3128" i="1"/>
  <c r="N3127" i="1"/>
  <c r="N3126" i="1"/>
  <c r="N3125" i="1"/>
  <c r="N3124" i="1"/>
  <c r="N3123" i="1"/>
  <c r="N3122" i="1"/>
  <c r="N3121" i="1"/>
  <c r="N3120" i="1"/>
  <c r="N3119" i="1"/>
  <c r="N3118" i="1"/>
  <c r="N3117" i="1"/>
  <c r="N3116" i="1"/>
  <c r="N3115" i="1"/>
  <c r="N3114" i="1"/>
  <c r="N3113" i="1"/>
  <c r="N3112" i="1"/>
  <c r="N3111" i="1"/>
  <c r="N3110" i="1"/>
  <c r="N3109" i="1"/>
  <c r="N3108" i="1"/>
  <c r="N3107" i="1"/>
  <c r="N3106" i="1"/>
  <c r="N3105" i="1"/>
  <c r="N3104" i="1"/>
  <c r="N3103" i="1"/>
  <c r="N3102" i="1"/>
  <c r="N3101" i="1"/>
  <c r="N3100" i="1"/>
  <c r="N3099" i="1"/>
  <c r="N3098" i="1"/>
  <c r="N3097" i="1"/>
  <c r="N3096" i="1"/>
  <c r="N3095" i="1"/>
  <c r="N3094" i="1"/>
  <c r="N3093" i="1"/>
  <c r="N3092" i="1"/>
  <c r="N3091" i="1"/>
  <c r="N3090" i="1"/>
  <c r="N3089" i="1"/>
  <c r="N3088" i="1"/>
  <c r="N3087" i="1"/>
  <c r="N3086" i="1"/>
  <c r="N3085" i="1"/>
  <c r="N3084" i="1"/>
  <c r="N3083" i="1"/>
  <c r="N3082" i="1"/>
  <c r="N3081" i="1"/>
  <c r="N3080" i="1"/>
  <c r="N3079" i="1"/>
  <c r="N3078" i="1"/>
  <c r="N3077" i="1"/>
  <c r="N3076" i="1"/>
  <c r="N3075" i="1"/>
  <c r="N3074" i="1"/>
  <c r="N3073" i="1"/>
  <c r="N3072" i="1"/>
  <c r="N3071" i="1"/>
  <c r="N3070" i="1"/>
  <c r="N3069" i="1"/>
  <c r="N3068" i="1"/>
  <c r="N3067" i="1"/>
  <c r="N3066" i="1"/>
  <c r="N3065" i="1"/>
  <c r="N3064" i="1"/>
  <c r="N3063" i="1"/>
  <c r="N3062" i="1"/>
  <c r="N3061" i="1"/>
  <c r="N3060" i="1"/>
  <c r="N3059" i="1"/>
  <c r="N3058" i="1"/>
  <c r="N3057" i="1"/>
  <c r="N3056" i="1"/>
  <c r="N3055" i="1"/>
  <c r="N3054" i="1"/>
  <c r="N3053" i="1"/>
  <c r="N3052" i="1"/>
  <c r="N3051" i="1"/>
  <c r="N3050" i="1"/>
  <c r="N3049" i="1"/>
  <c r="N3048" i="1"/>
  <c r="N3047" i="1"/>
  <c r="N3046" i="1"/>
  <c r="N3045" i="1"/>
  <c r="N3044" i="1"/>
  <c r="N3043" i="1"/>
  <c r="N3042" i="1"/>
  <c r="N3041" i="1"/>
  <c r="N3040" i="1"/>
  <c r="N3039" i="1"/>
  <c r="N3038" i="1"/>
  <c r="N3037" i="1"/>
  <c r="N3036" i="1"/>
  <c r="N3035" i="1"/>
  <c r="N3034" i="1"/>
  <c r="N3033" i="1"/>
  <c r="N3032" i="1"/>
  <c r="N3031" i="1"/>
  <c r="N3030" i="1"/>
  <c r="N3029" i="1"/>
  <c r="N3028" i="1"/>
  <c r="N3027" i="1"/>
  <c r="N3026" i="1"/>
  <c r="N3025" i="1"/>
  <c r="N3024" i="1"/>
  <c r="N3023" i="1"/>
  <c r="N3022" i="1"/>
  <c r="N3021" i="1"/>
  <c r="N3020" i="1"/>
  <c r="N3019" i="1"/>
  <c r="N3018" i="1"/>
  <c r="N3017" i="1"/>
  <c r="N3016" i="1"/>
  <c r="N3015" i="1"/>
  <c r="N3014" i="1"/>
  <c r="N3013" i="1"/>
  <c r="N3012" i="1"/>
  <c r="N3011" i="1"/>
  <c r="N3010" i="1"/>
  <c r="N3009" i="1"/>
  <c r="N3008" i="1"/>
  <c r="N3007" i="1"/>
  <c r="N3006" i="1"/>
  <c r="N3005" i="1"/>
  <c r="N3004" i="1"/>
  <c r="N3003" i="1"/>
  <c r="N3002" i="1"/>
  <c r="N3001" i="1"/>
  <c r="N3000" i="1"/>
  <c r="N2999" i="1"/>
  <c r="N2998" i="1"/>
  <c r="N2997" i="1"/>
  <c r="N2996" i="1"/>
  <c r="N2995" i="1"/>
  <c r="N2994" i="1"/>
  <c r="N2993" i="1"/>
  <c r="N2992" i="1"/>
  <c r="N2991" i="1"/>
  <c r="N2990" i="1"/>
  <c r="N2989" i="1"/>
  <c r="N2988" i="1"/>
  <c r="N2987" i="1"/>
  <c r="N2986" i="1"/>
  <c r="N2985" i="1"/>
  <c r="N2984" i="1"/>
  <c r="N2983" i="1"/>
  <c r="N2982" i="1"/>
  <c r="N2981" i="1"/>
  <c r="N2980" i="1"/>
  <c r="N2979" i="1"/>
  <c r="N2978" i="1"/>
  <c r="N2977" i="1"/>
  <c r="N2976" i="1"/>
  <c r="N2975" i="1"/>
  <c r="N2974" i="1"/>
  <c r="N2973" i="1"/>
  <c r="N2972" i="1"/>
  <c r="N2971" i="1"/>
  <c r="N2970" i="1"/>
  <c r="N2969" i="1"/>
  <c r="N2968" i="1"/>
  <c r="N2967" i="1"/>
  <c r="N2966" i="1"/>
  <c r="N2965" i="1"/>
  <c r="N2964" i="1"/>
  <c r="N2963" i="1"/>
  <c r="N2962" i="1"/>
  <c r="N2961" i="1"/>
  <c r="N2960" i="1"/>
  <c r="N2959" i="1"/>
  <c r="N2958" i="1"/>
  <c r="N2957" i="1"/>
  <c r="N2956" i="1"/>
  <c r="N2955" i="1"/>
  <c r="N2954" i="1"/>
  <c r="N2953" i="1"/>
  <c r="N2952" i="1"/>
  <c r="N2951" i="1"/>
  <c r="N2950" i="1"/>
  <c r="N2949" i="1"/>
  <c r="N2948" i="1"/>
  <c r="N2947" i="1"/>
  <c r="N2946" i="1"/>
  <c r="N2945" i="1"/>
  <c r="N2944" i="1"/>
  <c r="N2943" i="1"/>
  <c r="N2942" i="1"/>
  <c r="N2941" i="1"/>
  <c r="N2940" i="1"/>
  <c r="N2939" i="1"/>
  <c r="N2938" i="1"/>
  <c r="N2937" i="1"/>
  <c r="N2936" i="1"/>
  <c r="N2935" i="1"/>
  <c r="N2934" i="1"/>
  <c r="N2933" i="1"/>
  <c r="N2932" i="1"/>
  <c r="N2931" i="1"/>
  <c r="N2930" i="1"/>
  <c r="N2929" i="1"/>
  <c r="N2928" i="1"/>
  <c r="N2927" i="1"/>
  <c r="N2926" i="1"/>
  <c r="N2925" i="1"/>
  <c r="N2924" i="1"/>
  <c r="N2923" i="1"/>
  <c r="N2922" i="1"/>
  <c r="N2921" i="1"/>
  <c r="N2920" i="1"/>
  <c r="N2919" i="1"/>
  <c r="N2918" i="1"/>
  <c r="N2917" i="1"/>
  <c r="N2916" i="1"/>
  <c r="N2915" i="1"/>
  <c r="N2914" i="1"/>
  <c r="N2913" i="1"/>
  <c r="N2912" i="1"/>
  <c r="N2911" i="1"/>
  <c r="N2910" i="1"/>
  <c r="N2909" i="1"/>
  <c r="N2908" i="1"/>
  <c r="N2907" i="1"/>
  <c r="N2906" i="1"/>
  <c r="N2905" i="1"/>
  <c r="N2904" i="1"/>
  <c r="N2903" i="1"/>
  <c r="N2902" i="1"/>
  <c r="N2901" i="1"/>
  <c r="N2900" i="1"/>
  <c r="N2899" i="1"/>
  <c r="N2898" i="1"/>
  <c r="N2897" i="1"/>
  <c r="N2896" i="1"/>
  <c r="N2895" i="1"/>
  <c r="N2894" i="1"/>
  <c r="N2893" i="1"/>
  <c r="N2892" i="1"/>
  <c r="N2891" i="1"/>
  <c r="N2890" i="1"/>
  <c r="N2889" i="1"/>
  <c r="N2888" i="1"/>
  <c r="N2887" i="1"/>
  <c r="N2886" i="1"/>
  <c r="N2885" i="1"/>
  <c r="N2884" i="1"/>
  <c r="N2883" i="1"/>
  <c r="N2882" i="1"/>
  <c r="N2881" i="1"/>
  <c r="N2880" i="1"/>
  <c r="N2879" i="1"/>
  <c r="N2878" i="1"/>
  <c r="N2877" i="1"/>
  <c r="N2876" i="1"/>
  <c r="N2875" i="1"/>
  <c r="N2874" i="1"/>
  <c r="N2873" i="1"/>
  <c r="N2872" i="1"/>
  <c r="N2871" i="1"/>
  <c r="N2870" i="1"/>
  <c r="N2869" i="1"/>
  <c r="N2868" i="1"/>
  <c r="N2867" i="1"/>
  <c r="N2866" i="1"/>
  <c r="N2865" i="1"/>
  <c r="N2864" i="1"/>
  <c r="N2863" i="1"/>
  <c r="N2862" i="1"/>
  <c r="N2861" i="1"/>
  <c r="N2860" i="1"/>
  <c r="N2859" i="1"/>
  <c r="N2858" i="1"/>
  <c r="N2857" i="1"/>
  <c r="N2856" i="1"/>
  <c r="N2855" i="1"/>
  <c r="N2854" i="1"/>
  <c r="N2853" i="1"/>
  <c r="N2852" i="1"/>
  <c r="N2851" i="1"/>
  <c r="N2850" i="1"/>
  <c r="N2849" i="1"/>
  <c r="N2848" i="1"/>
  <c r="N2847" i="1"/>
  <c r="N2846" i="1"/>
  <c r="N2845" i="1"/>
  <c r="N2844" i="1"/>
  <c r="N2843" i="1"/>
  <c r="N2842" i="1"/>
  <c r="N2841" i="1"/>
  <c r="N2840" i="1"/>
  <c r="N2839" i="1"/>
  <c r="N2838" i="1"/>
  <c r="N2837" i="1"/>
  <c r="N2836" i="1"/>
  <c r="N2835" i="1"/>
  <c r="N2834" i="1"/>
  <c r="N2833" i="1"/>
  <c r="N2832" i="1"/>
  <c r="N2831" i="1"/>
  <c r="N2830" i="1"/>
  <c r="N2829" i="1"/>
  <c r="N2828" i="1"/>
  <c r="N2827" i="1"/>
  <c r="N2826" i="1"/>
  <c r="N2825" i="1"/>
  <c r="N2824" i="1"/>
  <c r="N2823" i="1"/>
  <c r="N2822" i="1"/>
  <c r="N2821" i="1"/>
  <c r="N2820" i="1"/>
  <c r="N2819" i="1"/>
  <c r="N2818" i="1"/>
  <c r="N2817" i="1"/>
  <c r="N2816" i="1"/>
  <c r="N2815" i="1"/>
  <c r="N2814" i="1"/>
  <c r="N2813" i="1"/>
  <c r="N2812" i="1"/>
  <c r="N2811" i="1"/>
  <c r="N2810" i="1"/>
  <c r="N2809" i="1"/>
  <c r="N2808" i="1"/>
  <c r="N2807" i="1"/>
  <c r="N2806" i="1"/>
  <c r="N2805" i="1"/>
  <c r="N2804" i="1"/>
  <c r="N2803" i="1"/>
  <c r="N2802" i="1"/>
  <c r="N2801" i="1"/>
  <c r="N2800" i="1"/>
  <c r="N2799" i="1"/>
  <c r="N2798" i="1"/>
  <c r="N2797" i="1"/>
  <c r="N2796" i="1"/>
  <c r="N2795" i="1"/>
  <c r="N2794" i="1"/>
  <c r="N2793" i="1"/>
  <c r="N2792" i="1"/>
  <c r="N2791" i="1"/>
  <c r="N2790" i="1"/>
  <c r="N2789" i="1"/>
  <c r="N2788" i="1"/>
  <c r="N2787" i="1"/>
  <c r="N2786" i="1"/>
  <c r="N2785" i="1"/>
  <c r="N2784" i="1"/>
  <c r="N2783" i="1"/>
  <c r="N2782" i="1"/>
  <c r="N2781" i="1"/>
  <c r="N2780" i="1"/>
  <c r="N2779" i="1"/>
  <c r="N2778" i="1"/>
  <c r="N2777" i="1"/>
  <c r="N2776" i="1"/>
  <c r="N2775" i="1"/>
  <c r="N2774" i="1"/>
  <c r="N2773" i="1"/>
  <c r="N2772" i="1"/>
  <c r="N2771" i="1"/>
  <c r="N2770" i="1"/>
  <c r="N2769" i="1"/>
  <c r="N2768" i="1"/>
  <c r="N2767" i="1"/>
  <c r="N2766" i="1"/>
  <c r="N2765" i="1"/>
  <c r="N2764" i="1"/>
  <c r="N2763" i="1"/>
  <c r="N2762" i="1"/>
  <c r="N2761" i="1"/>
  <c r="N2760" i="1"/>
  <c r="N2759" i="1"/>
  <c r="N2758" i="1"/>
  <c r="N2757" i="1"/>
  <c r="N2756" i="1"/>
  <c r="N2755" i="1"/>
  <c r="N2754" i="1"/>
  <c r="N2753" i="1"/>
  <c r="N2752" i="1"/>
  <c r="N2751" i="1"/>
  <c r="N2750" i="1"/>
  <c r="N2749" i="1"/>
  <c r="N2748" i="1"/>
  <c r="N2747" i="1"/>
  <c r="N2746" i="1"/>
  <c r="N2745" i="1"/>
  <c r="N2744" i="1"/>
  <c r="N2743" i="1"/>
  <c r="N2742" i="1"/>
  <c r="N2741" i="1"/>
  <c r="N2740" i="1"/>
  <c r="N2739" i="1"/>
  <c r="N2738" i="1"/>
  <c r="N2737" i="1"/>
  <c r="N2736" i="1"/>
  <c r="N2735" i="1"/>
  <c r="N2734" i="1"/>
  <c r="N2733" i="1"/>
  <c r="N2732" i="1"/>
  <c r="N2731" i="1"/>
  <c r="N2730" i="1"/>
  <c r="N2729" i="1"/>
  <c r="N2728" i="1"/>
  <c r="N2727" i="1"/>
  <c r="N2726" i="1"/>
  <c r="N2725" i="1"/>
  <c r="N2724" i="1"/>
  <c r="N2723" i="1"/>
  <c r="N2722" i="1"/>
  <c r="N2721" i="1"/>
  <c r="N2720" i="1"/>
  <c r="N2719" i="1"/>
  <c r="N2718" i="1"/>
  <c r="N2717" i="1"/>
  <c r="N2716" i="1"/>
  <c r="N2715" i="1"/>
  <c r="N2714" i="1"/>
  <c r="N2713" i="1"/>
  <c r="N2712" i="1"/>
  <c r="N2711" i="1"/>
  <c r="N2710" i="1"/>
  <c r="N2709" i="1"/>
  <c r="N2708" i="1"/>
  <c r="N2707" i="1"/>
  <c r="N2706" i="1"/>
  <c r="N2705" i="1"/>
  <c r="N2704" i="1"/>
  <c r="N2703" i="1"/>
  <c r="N2702" i="1"/>
  <c r="N2701" i="1"/>
  <c r="N2700" i="1"/>
  <c r="N2699" i="1"/>
  <c r="N2698" i="1"/>
  <c r="N2697" i="1"/>
  <c r="N2696" i="1"/>
  <c r="N2695" i="1"/>
  <c r="N2694" i="1"/>
  <c r="N2693" i="1"/>
  <c r="N2692" i="1"/>
  <c r="N2691" i="1"/>
  <c r="N2690" i="1"/>
  <c r="N2689" i="1"/>
  <c r="N2688" i="1"/>
  <c r="N2687" i="1"/>
  <c r="N2686" i="1"/>
  <c r="N2685" i="1"/>
  <c r="N2684" i="1"/>
  <c r="N2683" i="1"/>
  <c r="N2682" i="1"/>
  <c r="N2681" i="1"/>
  <c r="N2680" i="1"/>
  <c r="N2679" i="1"/>
  <c r="N2678" i="1"/>
  <c r="N2677" i="1"/>
  <c r="N2676" i="1"/>
  <c r="N2675" i="1"/>
  <c r="N2674" i="1"/>
  <c r="N2673" i="1"/>
  <c r="N2672" i="1"/>
  <c r="N2671" i="1"/>
  <c r="N2670" i="1"/>
  <c r="N2669" i="1"/>
  <c r="N2668" i="1"/>
  <c r="N2667" i="1"/>
  <c r="N2666" i="1"/>
  <c r="N2665" i="1"/>
  <c r="N2664" i="1"/>
  <c r="N2663" i="1"/>
  <c r="N2662" i="1"/>
  <c r="N2661" i="1"/>
  <c r="N2660" i="1"/>
  <c r="N2659" i="1"/>
  <c r="N2658" i="1"/>
  <c r="N2657" i="1"/>
  <c r="N2656" i="1"/>
  <c r="N2655" i="1"/>
  <c r="N2654" i="1"/>
  <c r="N2653" i="1"/>
  <c r="N2652" i="1"/>
  <c r="N2651" i="1"/>
  <c r="N2650" i="1"/>
  <c r="N2649" i="1"/>
  <c r="N2648" i="1"/>
  <c r="N2647" i="1"/>
  <c r="N2646" i="1"/>
  <c r="N2645" i="1"/>
  <c r="N2644" i="1"/>
  <c r="N2643" i="1"/>
  <c r="N2642" i="1"/>
  <c r="N2641" i="1"/>
  <c r="N2640" i="1"/>
  <c r="N2639" i="1"/>
  <c r="N2638" i="1"/>
  <c r="N2637" i="1"/>
  <c r="N2636" i="1"/>
  <c r="N2635" i="1"/>
  <c r="N2634" i="1"/>
  <c r="N2633" i="1"/>
  <c r="N2632" i="1"/>
  <c r="N2631" i="1"/>
  <c r="N2630" i="1"/>
  <c r="N2629" i="1"/>
  <c r="N2628" i="1"/>
  <c r="N2627" i="1"/>
  <c r="N2626" i="1"/>
  <c r="N2625" i="1"/>
  <c r="N2624" i="1"/>
  <c r="N2623" i="1"/>
  <c r="N2622" i="1"/>
  <c r="N2621" i="1"/>
  <c r="N2620" i="1"/>
  <c r="N2619" i="1"/>
  <c r="N2618" i="1"/>
  <c r="N2617" i="1"/>
  <c r="N2616" i="1"/>
  <c r="N2615" i="1"/>
  <c r="N2614" i="1"/>
  <c r="N2613" i="1"/>
  <c r="N2612" i="1"/>
  <c r="N2611" i="1"/>
  <c r="N2610" i="1"/>
  <c r="N2609" i="1"/>
  <c r="N2608" i="1"/>
  <c r="N2607" i="1"/>
  <c r="N2606" i="1"/>
  <c r="N2605" i="1"/>
  <c r="N2604" i="1"/>
  <c r="N2603" i="1"/>
  <c r="N2602" i="1"/>
  <c r="N2601" i="1"/>
  <c r="N2600" i="1"/>
  <c r="N2599" i="1"/>
  <c r="N2598" i="1"/>
  <c r="N2597" i="1"/>
  <c r="N2596" i="1"/>
  <c r="N2595" i="1"/>
  <c r="N2594" i="1"/>
  <c r="N2593" i="1"/>
  <c r="N2592" i="1"/>
  <c r="N2591" i="1"/>
  <c r="N2590" i="1"/>
  <c r="N2589" i="1"/>
  <c r="N2588" i="1"/>
  <c r="N2587" i="1"/>
  <c r="N2586" i="1"/>
  <c r="N2585" i="1"/>
  <c r="N2584" i="1"/>
  <c r="N2583" i="1"/>
  <c r="N2582" i="1"/>
  <c r="N2581" i="1"/>
  <c r="N2580" i="1"/>
  <c r="N2579" i="1"/>
  <c r="N2578" i="1"/>
  <c r="N2577" i="1"/>
  <c r="N2576" i="1"/>
  <c r="N2575" i="1"/>
  <c r="N2574" i="1"/>
  <c r="N2573" i="1"/>
  <c r="N2572" i="1"/>
  <c r="N2571" i="1"/>
  <c r="N2570" i="1"/>
  <c r="N2569" i="1"/>
  <c r="N2568" i="1"/>
  <c r="N2567" i="1"/>
  <c r="N2566" i="1"/>
  <c r="N2565" i="1"/>
  <c r="N2564" i="1"/>
  <c r="N2563" i="1"/>
  <c r="N2562" i="1"/>
  <c r="N2561" i="1"/>
  <c r="N2560" i="1"/>
  <c r="N2559" i="1"/>
  <c r="N2558" i="1"/>
  <c r="N2557" i="1"/>
  <c r="N2556" i="1"/>
  <c r="N2555" i="1"/>
  <c r="N2554" i="1"/>
  <c r="N2553" i="1"/>
  <c r="N2552" i="1"/>
  <c r="N2551" i="1"/>
  <c r="N2550" i="1"/>
  <c r="N2549" i="1"/>
  <c r="N2548" i="1"/>
  <c r="N2547" i="1"/>
  <c r="N2546" i="1"/>
  <c r="N2545" i="1"/>
  <c r="N2544" i="1"/>
  <c r="N2543" i="1"/>
  <c r="N2542" i="1"/>
  <c r="N2541" i="1"/>
  <c r="N2540" i="1"/>
  <c r="N2539" i="1"/>
  <c r="N2538" i="1"/>
  <c r="N2537" i="1"/>
  <c r="N2536" i="1"/>
  <c r="N2535" i="1"/>
  <c r="N2534" i="1"/>
  <c r="N2533" i="1"/>
  <c r="N2532" i="1"/>
  <c r="N2531" i="1"/>
  <c r="N2530" i="1"/>
  <c r="N2529" i="1"/>
  <c r="N2528" i="1"/>
  <c r="N2527" i="1"/>
  <c r="N2526" i="1"/>
  <c r="N2525" i="1"/>
  <c r="N2524" i="1"/>
  <c r="N2523" i="1"/>
  <c r="N2522" i="1"/>
  <c r="N2521" i="1"/>
  <c r="N2520" i="1"/>
  <c r="N2519" i="1"/>
  <c r="N2518" i="1"/>
  <c r="N2517" i="1"/>
  <c r="N2516" i="1"/>
  <c r="N2515" i="1"/>
  <c r="N2514" i="1"/>
  <c r="N2513" i="1"/>
  <c r="N2512" i="1"/>
  <c r="N2511" i="1"/>
  <c r="N2510" i="1"/>
  <c r="N2509" i="1"/>
  <c r="N2508" i="1"/>
  <c r="N2507" i="1"/>
  <c r="N2506" i="1"/>
  <c r="N2505" i="1"/>
  <c r="N2504" i="1"/>
  <c r="N2503" i="1"/>
  <c r="N2502" i="1"/>
  <c r="N2501" i="1"/>
  <c r="N2500" i="1"/>
  <c r="N2499" i="1"/>
  <c r="N2498" i="1"/>
  <c r="N2497" i="1"/>
  <c r="N2496" i="1"/>
  <c r="N2495" i="1"/>
  <c r="N2494" i="1"/>
  <c r="N2493" i="1"/>
  <c r="N2492" i="1"/>
  <c r="N2491" i="1"/>
  <c r="N2490" i="1"/>
  <c r="N2489" i="1"/>
  <c r="N2488" i="1"/>
  <c r="N2487" i="1"/>
  <c r="N2486" i="1"/>
  <c r="N2485" i="1"/>
  <c r="N2484" i="1"/>
  <c r="N2483" i="1"/>
  <c r="N2482" i="1"/>
  <c r="N2481" i="1"/>
  <c r="N2480" i="1"/>
  <c r="N2479" i="1"/>
  <c r="N2478" i="1"/>
  <c r="N2477" i="1"/>
  <c r="N2476" i="1"/>
  <c r="N2475" i="1"/>
  <c r="N2474" i="1"/>
  <c r="N2473" i="1"/>
  <c r="N2472" i="1"/>
  <c r="N2471" i="1"/>
  <c r="N2470" i="1"/>
  <c r="N2469" i="1"/>
  <c r="N2468" i="1"/>
  <c r="N2467" i="1"/>
  <c r="N2466" i="1"/>
  <c r="N2465" i="1"/>
  <c r="N2464" i="1"/>
  <c r="N2463" i="1"/>
  <c r="N2462" i="1"/>
  <c r="N2461" i="1"/>
  <c r="N2460" i="1"/>
  <c r="N2459" i="1"/>
  <c r="N2458" i="1"/>
  <c r="N2457" i="1"/>
  <c r="N2456" i="1"/>
  <c r="N2455" i="1"/>
  <c r="N2454" i="1"/>
  <c r="N2453" i="1"/>
  <c r="N2452" i="1"/>
  <c r="N2451" i="1"/>
  <c r="N2450" i="1"/>
  <c r="N2449" i="1"/>
  <c r="N2448" i="1"/>
  <c r="N2447" i="1"/>
  <c r="N2446" i="1"/>
  <c r="N2445" i="1"/>
  <c r="N2444" i="1"/>
  <c r="N2443" i="1"/>
  <c r="N2442" i="1"/>
  <c r="N2441" i="1"/>
  <c r="N2440" i="1"/>
  <c r="N2439" i="1"/>
  <c r="N2438" i="1"/>
  <c r="N2437" i="1"/>
  <c r="N2436" i="1"/>
  <c r="N2435" i="1"/>
  <c r="N2434" i="1"/>
  <c r="N2433" i="1"/>
  <c r="N2432" i="1"/>
  <c r="N2431" i="1"/>
  <c r="N2430" i="1"/>
  <c r="N2429" i="1"/>
  <c r="N2428" i="1"/>
  <c r="N2427" i="1"/>
  <c r="N2426" i="1"/>
  <c r="N2425" i="1"/>
  <c r="N2424" i="1"/>
  <c r="N2423" i="1"/>
  <c r="N2422" i="1"/>
  <c r="N2421" i="1"/>
  <c r="N2420" i="1"/>
  <c r="N2419" i="1"/>
  <c r="N2418" i="1"/>
  <c r="N2417" i="1"/>
  <c r="N2416" i="1"/>
  <c r="N2415" i="1"/>
  <c r="N2414" i="1"/>
  <c r="N2413" i="1"/>
  <c r="N2412" i="1"/>
  <c r="N2411" i="1"/>
  <c r="N2410" i="1"/>
  <c r="N2409" i="1"/>
  <c r="N2408" i="1"/>
  <c r="N2407" i="1"/>
  <c r="N2406" i="1"/>
  <c r="N2405" i="1"/>
  <c r="N2404" i="1"/>
  <c r="N2403" i="1"/>
  <c r="N2402" i="1"/>
  <c r="N2401" i="1"/>
  <c r="N2400" i="1"/>
  <c r="N2399" i="1"/>
  <c r="N2398" i="1"/>
  <c r="N2397" i="1"/>
  <c r="N2396" i="1"/>
  <c r="N2395" i="1"/>
  <c r="N2394" i="1"/>
  <c r="N2393" i="1"/>
  <c r="N2392" i="1"/>
  <c r="N2391" i="1"/>
  <c r="N2390" i="1"/>
  <c r="N2389" i="1"/>
  <c r="N2388" i="1"/>
  <c r="N2387" i="1"/>
  <c r="N2386" i="1"/>
  <c r="N2385" i="1"/>
  <c r="N2384" i="1"/>
  <c r="N2383" i="1"/>
  <c r="N2382" i="1"/>
  <c r="N2381" i="1"/>
  <c r="N2380" i="1"/>
  <c r="N2379" i="1"/>
  <c r="N2378" i="1"/>
  <c r="N2377" i="1"/>
  <c r="N2376" i="1"/>
  <c r="N2375" i="1"/>
  <c r="N2374" i="1"/>
  <c r="N2373" i="1"/>
  <c r="N2372" i="1"/>
  <c r="N2371" i="1"/>
  <c r="N2370" i="1"/>
  <c r="N2369" i="1"/>
  <c r="N2368" i="1"/>
  <c r="N2367" i="1"/>
  <c r="N2366" i="1"/>
  <c r="N2365" i="1"/>
  <c r="N2364" i="1"/>
  <c r="N2363" i="1"/>
  <c r="N2362" i="1"/>
  <c r="N2361" i="1"/>
  <c r="N2360" i="1"/>
  <c r="N2359" i="1"/>
  <c r="N2358" i="1"/>
  <c r="N2357" i="1"/>
  <c r="N2356" i="1"/>
  <c r="N2355" i="1"/>
  <c r="N2354" i="1"/>
  <c r="N2353" i="1"/>
  <c r="N2352" i="1"/>
  <c r="N2351" i="1"/>
  <c r="N2350" i="1"/>
  <c r="N2349" i="1"/>
  <c r="N2348" i="1"/>
  <c r="N2347" i="1"/>
  <c r="N2346" i="1"/>
  <c r="N2345" i="1"/>
  <c r="N2344" i="1"/>
  <c r="N2343" i="1"/>
  <c r="N2342" i="1"/>
  <c r="N2341" i="1"/>
  <c r="N2340" i="1"/>
  <c r="N2339" i="1"/>
  <c r="N2338" i="1"/>
  <c r="N2337" i="1"/>
  <c r="N2336" i="1"/>
  <c r="N2335" i="1"/>
  <c r="N2334" i="1"/>
  <c r="N2333" i="1"/>
  <c r="N2332" i="1"/>
  <c r="N2331" i="1"/>
  <c r="N2330" i="1"/>
  <c r="N2329" i="1"/>
  <c r="N2328" i="1"/>
  <c r="N2327" i="1"/>
  <c r="N2326" i="1"/>
  <c r="N2325" i="1"/>
  <c r="N2324" i="1"/>
  <c r="N2323" i="1"/>
  <c r="N2322" i="1"/>
  <c r="N2321" i="1"/>
  <c r="N2320" i="1"/>
  <c r="N2319" i="1"/>
  <c r="N2318" i="1"/>
  <c r="N2317" i="1"/>
  <c r="N2316" i="1"/>
  <c r="N2315" i="1"/>
  <c r="N2314" i="1"/>
  <c r="N2313" i="1"/>
  <c r="N2312" i="1"/>
  <c r="N2311" i="1"/>
  <c r="N2310" i="1"/>
  <c r="N2309" i="1"/>
  <c r="N2308" i="1"/>
  <c r="N2307" i="1"/>
  <c r="N2306" i="1"/>
  <c r="N2305" i="1"/>
  <c r="N2304" i="1"/>
  <c r="N2303" i="1"/>
  <c r="N2302" i="1"/>
  <c r="N2301" i="1"/>
  <c r="N2300" i="1"/>
  <c r="N2299" i="1"/>
  <c r="N2298" i="1"/>
  <c r="N2297" i="1"/>
  <c r="N2296" i="1"/>
  <c r="N2295" i="1"/>
  <c r="N2294" i="1"/>
  <c r="N2293" i="1"/>
  <c r="N2292" i="1"/>
  <c r="N2291" i="1"/>
  <c r="N2290" i="1"/>
  <c r="N2289" i="1"/>
  <c r="N2288" i="1"/>
  <c r="N2287" i="1"/>
  <c r="N2286" i="1"/>
  <c r="N2285" i="1"/>
  <c r="N2284" i="1"/>
  <c r="N2283" i="1"/>
  <c r="N2282" i="1"/>
  <c r="N2281" i="1"/>
  <c r="N2280" i="1"/>
  <c r="N2279" i="1"/>
  <c r="N2278" i="1"/>
  <c r="N2277" i="1"/>
  <c r="N2276" i="1"/>
  <c r="N2275" i="1"/>
  <c r="N2274" i="1"/>
  <c r="N2273" i="1"/>
  <c r="N2272" i="1"/>
  <c r="N2271" i="1"/>
  <c r="N2270" i="1"/>
  <c r="N2269" i="1"/>
  <c r="N2268" i="1"/>
  <c r="N2267" i="1"/>
  <c r="N2266" i="1"/>
  <c r="N2265" i="1"/>
  <c r="N2264" i="1"/>
  <c r="N2263" i="1"/>
  <c r="N2262" i="1"/>
  <c r="N2261" i="1"/>
  <c r="N2260" i="1"/>
  <c r="N2259" i="1"/>
  <c r="N2258" i="1"/>
  <c r="N2257" i="1"/>
  <c r="N2256" i="1"/>
  <c r="N2255" i="1"/>
  <c r="N2254" i="1"/>
  <c r="N2253" i="1"/>
  <c r="N2252" i="1"/>
  <c r="N2251" i="1"/>
  <c r="N2250" i="1"/>
  <c r="N2249" i="1"/>
  <c r="N2248" i="1"/>
  <c r="N2247" i="1"/>
  <c r="N2246" i="1"/>
  <c r="N2245" i="1"/>
  <c r="N2244" i="1"/>
  <c r="N2243" i="1"/>
  <c r="N2242" i="1"/>
  <c r="N2241" i="1"/>
  <c r="N2240" i="1"/>
  <c r="N2239" i="1"/>
  <c r="N2238" i="1"/>
  <c r="N2237" i="1"/>
  <c r="N2236" i="1"/>
  <c r="N2235" i="1"/>
  <c r="N2234" i="1"/>
  <c r="N2233" i="1"/>
  <c r="N2232" i="1"/>
  <c r="N2231" i="1"/>
  <c r="N2230" i="1"/>
  <c r="N2229" i="1"/>
  <c r="N2228" i="1"/>
  <c r="N2227" i="1"/>
  <c r="N2226" i="1"/>
  <c r="N2225" i="1"/>
  <c r="N2224" i="1"/>
  <c r="N2223" i="1"/>
  <c r="N2222" i="1"/>
  <c r="N2221" i="1"/>
  <c r="N2220" i="1"/>
  <c r="N2219" i="1"/>
  <c r="N2218" i="1"/>
  <c r="N2217" i="1"/>
  <c r="N2216" i="1"/>
  <c r="N2215" i="1"/>
  <c r="N2214" i="1"/>
  <c r="N2213" i="1"/>
  <c r="N2212" i="1"/>
  <c r="N2211" i="1"/>
  <c r="N2210" i="1"/>
  <c r="N2209" i="1"/>
  <c r="N2208" i="1"/>
  <c r="N2207" i="1"/>
  <c r="N2206" i="1"/>
  <c r="N2205" i="1"/>
  <c r="N2204" i="1"/>
  <c r="N2203" i="1"/>
  <c r="N2202" i="1"/>
  <c r="N2201" i="1"/>
  <c r="N2200" i="1"/>
  <c r="N2199" i="1"/>
  <c r="N2198" i="1"/>
  <c r="N2197" i="1"/>
  <c r="N2196" i="1"/>
  <c r="N2195" i="1"/>
  <c r="N2194" i="1"/>
  <c r="N2193" i="1"/>
  <c r="N2192" i="1"/>
  <c r="N2191" i="1"/>
  <c r="N2190" i="1"/>
  <c r="N2189" i="1"/>
  <c r="N2188" i="1"/>
  <c r="N2187" i="1"/>
  <c r="N2186" i="1"/>
  <c r="N2185" i="1"/>
  <c r="N2184" i="1"/>
  <c r="N2183" i="1"/>
  <c r="N2182" i="1"/>
  <c r="N2181" i="1"/>
  <c r="N2180" i="1"/>
  <c r="N2179" i="1"/>
  <c r="N2178" i="1"/>
  <c r="N2177" i="1"/>
  <c r="N2176" i="1"/>
  <c r="N2175" i="1"/>
  <c r="N2174" i="1"/>
  <c r="N2173" i="1"/>
  <c r="N2172" i="1"/>
  <c r="N2171" i="1"/>
  <c r="N2170" i="1"/>
  <c r="N2169" i="1"/>
  <c r="N2168" i="1"/>
  <c r="N2167" i="1"/>
  <c r="N2166" i="1"/>
  <c r="N2165" i="1"/>
  <c r="N2164" i="1"/>
  <c r="N2163" i="1"/>
  <c r="N2162" i="1"/>
  <c r="N2161" i="1"/>
  <c r="N2160" i="1"/>
  <c r="N2159" i="1"/>
  <c r="N2158" i="1"/>
  <c r="N2157" i="1"/>
  <c r="N2156" i="1"/>
  <c r="N2155" i="1"/>
  <c r="N2154" i="1"/>
  <c r="N2153" i="1"/>
  <c r="N2152" i="1"/>
  <c r="N2151" i="1"/>
  <c r="N2150" i="1"/>
  <c r="N2149" i="1"/>
  <c r="N2148" i="1"/>
  <c r="N2147" i="1"/>
  <c r="N2146" i="1"/>
  <c r="N2145" i="1"/>
  <c r="N2144" i="1"/>
  <c r="N2143" i="1"/>
  <c r="N2142" i="1"/>
  <c r="N2141" i="1"/>
  <c r="N2140" i="1"/>
  <c r="N2139" i="1"/>
  <c r="N2138" i="1"/>
  <c r="N2137" i="1"/>
  <c r="N2136" i="1"/>
  <c r="N2135" i="1"/>
  <c r="N2134" i="1"/>
  <c r="N2133" i="1"/>
  <c r="N2132" i="1"/>
  <c r="N2131" i="1"/>
  <c r="N2130" i="1"/>
  <c r="N2129" i="1"/>
  <c r="N2128" i="1"/>
  <c r="N2127" i="1"/>
  <c r="N2126" i="1"/>
  <c r="N2125" i="1"/>
  <c r="N2124" i="1"/>
  <c r="N2123" i="1"/>
  <c r="N2122" i="1"/>
  <c r="N2121" i="1"/>
  <c r="N2120" i="1"/>
  <c r="N2119" i="1"/>
  <c r="N2118" i="1"/>
  <c r="N2117" i="1"/>
  <c r="N2116" i="1"/>
  <c r="N2115" i="1"/>
  <c r="N2114" i="1"/>
  <c r="N2113" i="1"/>
  <c r="N2112" i="1"/>
  <c r="N2111" i="1"/>
  <c r="N2110" i="1"/>
  <c r="N2109" i="1"/>
  <c r="N2108" i="1"/>
  <c r="N2107" i="1"/>
  <c r="N2106" i="1"/>
  <c r="N2105" i="1"/>
  <c r="N2104" i="1"/>
  <c r="N2103" i="1"/>
  <c r="N2102" i="1"/>
  <c r="N2101" i="1"/>
  <c r="N2100" i="1"/>
  <c r="N2099" i="1"/>
  <c r="N2098" i="1"/>
  <c r="N2097" i="1"/>
  <c r="N2096" i="1"/>
  <c r="N2095" i="1"/>
  <c r="N2094" i="1"/>
  <c r="N2093" i="1"/>
  <c r="N2092" i="1"/>
  <c r="N2091" i="1"/>
  <c r="N2090" i="1"/>
  <c r="N2089" i="1"/>
  <c r="N2088" i="1"/>
  <c r="N2087" i="1"/>
  <c r="N2086" i="1"/>
  <c r="N2085" i="1"/>
  <c r="N2084" i="1"/>
  <c r="N2083" i="1"/>
  <c r="N2082" i="1"/>
  <c r="N2081" i="1"/>
  <c r="N2080" i="1"/>
  <c r="N2079" i="1"/>
  <c r="N2078" i="1"/>
  <c r="N2077" i="1"/>
  <c r="N2076" i="1"/>
  <c r="N2075" i="1"/>
  <c r="N2074" i="1"/>
  <c r="N2073" i="1"/>
  <c r="N2072" i="1"/>
  <c r="N2071" i="1"/>
  <c r="N2070" i="1"/>
  <c r="N2069" i="1"/>
  <c r="N2068" i="1"/>
  <c r="N2067" i="1"/>
  <c r="N2066" i="1"/>
  <c r="N2065" i="1"/>
  <c r="N2064" i="1"/>
  <c r="N2063" i="1"/>
  <c r="N2062" i="1"/>
  <c r="N2061" i="1"/>
  <c r="N2060" i="1"/>
  <c r="N2059" i="1"/>
  <c r="N2058" i="1"/>
  <c r="N2057" i="1"/>
  <c r="N2056" i="1"/>
  <c r="N2055" i="1"/>
  <c r="N2054" i="1"/>
  <c r="N2053" i="1"/>
  <c r="N2052" i="1"/>
  <c r="N2051" i="1"/>
  <c r="N2050" i="1"/>
  <c r="N2049" i="1"/>
  <c r="N2048" i="1"/>
  <c r="N2047" i="1"/>
  <c r="N2046" i="1"/>
  <c r="N2045" i="1"/>
  <c r="N2044" i="1"/>
  <c r="N2043" i="1"/>
  <c r="N2042" i="1"/>
  <c r="N2041" i="1"/>
  <c r="N2040" i="1"/>
  <c r="N2039" i="1"/>
  <c r="N2038" i="1"/>
  <c r="N2037" i="1"/>
  <c r="N2036" i="1"/>
  <c r="N2035" i="1"/>
  <c r="N2034" i="1"/>
  <c r="N2033" i="1"/>
  <c r="N2032" i="1"/>
  <c r="N2031" i="1"/>
  <c r="N2030" i="1"/>
  <c r="N2029" i="1"/>
  <c r="N2028" i="1"/>
  <c r="N2027" i="1"/>
  <c r="N2026" i="1"/>
  <c r="N2025" i="1"/>
  <c r="N2024" i="1"/>
  <c r="N2023" i="1"/>
  <c r="N2022" i="1"/>
  <c r="N2021" i="1"/>
  <c r="N2020" i="1"/>
  <c r="N2019" i="1"/>
  <c r="N2018" i="1"/>
  <c r="N2017" i="1"/>
  <c r="N2016" i="1"/>
  <c r="N2015" i="1"/>
  <c r="N2014" i="1"/>
  <c r="N2013" i="1"/>
  <c r="N2012" i="1"/>
  <c r="N2011" i="1"/>
  <c r="N2010" i="1"/>
  <c r="N2009" i="1"/>
  <c r="N2008" i="1"/>
  <c r="N2007" i="1"/>
  <c r="N2006" i="1"/>
  <c r="N2005" i="1"/>
  <c r="N2004" i="1"/>
  <c r="N2003" i="1"/>
  <c r="N2002" i="1"/>
  <c r="N2001" i="1"/>
  <c r="N2000" i="1"/>
  <c r="N1999" i="1"/>
  <c r="N1998" i="1"/>
  <c r="N1997" i="1"/>
  <c r="N1996" i="1"/>
  <c r="N1995" i="1"/>
  <c r="N1994" i="1"/>
  <c r="N1993" i="1"/>
  <c r="N1992" i="1"/>
  <c r="N1991" i="1"/>
  <c r="N1990" i="1"/>
  <c r="N1989" i="1"/>
  <c r="N1988" i="1"/>
  <c r="N1987" i="1"/>
  <c r="N1986" i="1"/>
  <c r="N1985" i="1"/>
  <c r="N1984" i="1"/>
  <c r="N1983" i="1"/>
  <c r="N1982" i="1"/>
  <c r="N1981" i="1"/>
  <c r="N1980" i="1"/>
  <c r="N1979" i="1"/>
  <c r="N1978" i="1"/>
  <c r="N1977" i="1"/>
  <c r="N1976" i="1"/>
  <c r="N1975" i="1"/>
  <c r="N1974" i="1"/>
  <c r="N1973" i="1"/>
  <c r="N1972" i="1"/>
  <c r="N1971" i="1"/>
  <c r="N1970" i="1"/>
  <c r="N1969" i="1"/>
  <c r="N1968" i="1"/>
  <c r="N1967" i="1"/>
  <c r="N1966" i="1"/>
  <c r="N1965" i="1"/>
  <c r="N1964" i="1"/>
  <c r="N1963" i="1"/>
  <c r="N1962" i="1"/>
  <c r="N1961" i="1"/>
  <c r="N1960" i="1"/>
  <c r="N1959" i="1"/>
  <c r="N1958" i="1"/>
  <c r="N1957" i="1"/>
  <c r="N1956" i="1"/>
  <c r="N1955" i="1"/>
  <c r="N1954" i="1"/>
  <c r="N1953" i="1"/>
  <c r="N1952" i="1"/>
  <c r="N1951" i="1"/>
  <c r="N1950" i="1"/>
  <c r="N1949" i="1"/>
  <c r="N1948" i="1"/>
  <c r="N1947" i="1"/>
  <c r="N1946" i="1"/>
  <c r="N1945" i="1"/>
  <c r="N1944" i="1"/>
  <c r="N1943" i="1"/>
  <c r="N1942" i="1"/>
  <c r="N1941" i="1"/>
  <c r="N1940" i="1"/>
  <c r="N1939" i="1"/>
  <c r="N1938" i="1"/>
  <c r="N1937" i="1"/>
  <c r="N1936" i="1"/>
  <c r="N1935" i="1"/>
  <c r="N1934" i="1"/>
  <c r="N1933" i="1"/>
  <c r="N1932" i="1"/>
  <c r="N1931" i="1"/>
  <c r="N1930" i="1"/>
  <c r="N1929" i="1"/>
  <c r="N1928" i="1"/>
  <c r="N1927" i="1"/>
  <c r="N1926" i="1"/>
  <c r="N1925" i="1"/>
  <c r="N1924" i="1"/>
  <c r="N1923" i="1"/>
  <c r="N1922" i="1"/>
  <c r="N1921" i="1"/>
  <c r="N1920" i="1"/>
  <c r="N1919" i="1"/>
  <c r="N1918" i="1"/>
  <c r="N1917" i="1"/>
  <c r="N1916" i="1"/>
  <c r="N1915" i="1"/>
  <c r="N1914" i="1"/>
  <c r="N1913" i="1"/>
  <c r="N1912" i="1"/>
  <c r="N1911" i="1"/>
  <c r="N1910" i="1"/>
  <c r="N1909" i="1"/>
  <c r="N1908" i="1"/>
  <c r="N1907" i="1"/>
  <c r="N1906" i="1"/>
  <c r="N1905" i="1"/>
  <c r="N1904" i="1"/>
  <c r="N1903" i="1"/>
  <c r="N1902" i="1"/>
  <c r="N1901" i="1"/>
  <c r="N1900" i="1"/>
  <c r="N1899" i="1"/>
  <c r="N1898" i="1"/>
  <c r="N1897" i="1"/>
  <c r="N1896" i="1"/>
  <c r="N1895" i="1"/>
  <c r="N1894" i="1"/>
  <c r="N1893" i="1"/>
  <c r="N1892" i="1"/>
  <c r="N1891" i="1"/>
  <c r="N1890" i="1"/>
  <c r="N1889" i="1"/>
  <c r="N1888" i="1"/>
  <c r="N1887" i="1"/>
  <c r="N1886" i="1"/>
  <c r="N1885" i="1"/>
  <c r="N1884" i="1"/>
  <c r="N1883" i="1"/>
  <c r="N1882" i="1"/>
  <c r="N1881" i="1"/>
  <c r="N1880" i="1"/>
  <c r="N1879" i="1"/>
  <c r="N1878" i="1"/>
  <c r="N1877" i="1"/>
  <c r="N1876" i="1"/>
  <c r="N1875" i="1"/>
  <c r="N1874" i="1"/>
  <c r="N1873" i="1"/>
  <c r="N1872" i="1"/>
  <c r="N1871" i="1"/>
  <c r="N1870" i="1"/>
  <c r="N1869" i="1"/>
  <c r="N1868" i="1"/>
  <c r="N1867" i="1"/>
  <c r="N1866" i="1"/>
  <c r="N1865" i="1"/>
  <c r="N1864" i="1"/>
  <c r="N1863" i="1"/>
  <c r="N1862" i="1"/>
  <c r="N1861" i="1"/>
  <c r="N1860" i="1"/>
  <c r="N1859" i="1"/>
  <c r="N1858" i="1"/>
  <c r="N1857" i="1"/>
  <c r="N1856" i="1"/>
  <c r="N1855" i="1"/>
  <c r="N1854" i="1"/>
  <c r="N1853" i="1"/>
  <c r="N1852" i="1"/>
  <c r="N1851" i="1"/>
  <c r="N1850" i="1"/>
  <c r="N1849" i="1"/>
  <c r="N1848" i="1"/>
  <c r="N1847" i="1"/>
  <c r="N1846" i="1"/>
  <c r="N1845" i="1"/>
  <c r="N1844" i="1"/>
  <c r="N1843" i="1"/>
  <c r="N1842" i="1"/>
  <c r="N1841" i="1"/>
  <c r="N1840" i="1"/>
  <c r="N1839" i="1"/>
  <c r="N1838" i="1"/>
  <c r="N1837" i="1"/>
  <c r="N1836" i="1"/>
  <c r="N1835" i="1"/>
  <c r="N1834" i="1"/>
  <c r="N1833" i="1"/>
  <c r="N1832" i="1"/>
  <c r="N1831" i="1"/>
  <c r="N1830" i="1"/>
  <c r="N1829" i="1"/>
  <c r="N1828" i="1"/>
  <c r="N1827" i="1"/>
  <c r="N1826" i="1"/>
  <c r="N1825" i="1"/>
  <c r="N1824" i="1"/>
  <c r="N1823" i="1"/>
  <c r="N1822" i="1"/>
  <c r="N1821" i="1"/>
  <c r="N1820" i="1"/>
  <c r="N1819" i="1"/>
  <c r="N1818" i="1"/>
  <c r="N1817" i="1"/>
  <c r="N1816" i="1"/>
  <c r="N1815" i="1"/>
  <c r="N1814" i="1"/>
  <c r="N1813" i="1"/>
  <c r="N1812" i="1"/>
  <c r="N1811" i="1"/>
  <c r="N1810" i="1"/>
  <c r="N1809" i="1"/>
  <c r="N1808" i="1"/>
  <c r="N1807" i="1"/>
  <c r="N1806" i="1"/>
  <c r="N1805" i="1"/>
  <c r="N1804" i="1"/>
  <c r="N1803" i="1"/>
  <c r="N1802" i="1"/>
  <c r="N1801" i="1"/>
  <c r="N1800" i="1"/>
  <c r="N1799" i="1"/>
  <c r="N1798" i="1"/>
  <c r="N1797" i="1"/>
  <c r="N1796" i="1"/>
  <c r="N1795" i="1"/>
  <c r="N1794" i="1"/>
  <c r="N1793" i="1"/>
  <c r="N1792" i="1"/>
  <c r="N1791" i="1"/>
  <c r="N1790" i="1"/>
  <c r="N1789" i="1"/>
  <c r="N1788" i="1"/>
  <c r="N1787" i="1"/>
  <c r="N1786" i="1"/>
  <c r="N1785" i="1"/>
  <c r="N1784" i="1"/>
  <c r="N1783" i="1"/>
  <c r="N1782" i="1"/>
  <c r="N1781" i="1"/>
  <c r="N1780" i="1"/>
  <c r="N1779" i="1"/>
  <c r="N1778" i="1"/>
  <c r="N1777" i="1"/>
  <c r="N1776" i="1"/>
  <c r="N1775" i="1"/>
  <c r="N1774" i="1"/>
  <c r="N1773" i="1"/>
  <c r="N1772" i="1"/>
  <c r="N1771" i="1"/>
  <c r="N1770" i="1"/>
  <c r="N1769" i="1"/>
  <c r="N1768" i="1"/>
  <c r="N1767" i="1"/>
  <c r="N1766" i="1"/>
  <c r="N1765" i="1"/>
  <c r="N1764" i="1"/>
  <c r="N1763" i="1"/>
  <c r="N1762" i="1"/>
  <c r="N1761" i="1"/>
  <c r="N1760" i="1"/>
  <c r="N1759" i="1"/>
  <c r="N1758" i="1"/>
  <c r="N1757" i="1"/>
  <c r="N1756" i="1"/>
  <c r="N1755" i="1"/>
  <c r="N1754" i="1"/>
  <c r="N1753" i="1"/>
  <c r="N1752" i="1"/>
  <c r="N1751" i="1"/>
  <c r="N1750" i="1"/>
  <c r="N1749" i="1"/>
  <c r="N1748" i="1"/>
  <c r="N1747" i="1"/>
  <c r="N1746" i="1"/>
  <c r="N1745" i="1"/>
  <c r="N1744" i="1"/>
  <c r="N1743" i="1"/>
  <c r="N1742" i="1"/>
  <c r="N1741" i="1"/>
  <c r="N1740" i="1"/>
  <c r="N1739" i="1"/>
  <c r="N1738" i="1"/>
  <c r="N1737" i="1"/>
  <c r="N1736" i="1"/>
  <c r="N1735" i="1"/>
  <c r="N1734" i="1"/>
  <c r="N1733" i="1"/>
  <c r="N1732" i="1"/>
  <c r="N1731" i="1"/>
  <c r="N1730" i="1"/>
  <c r="N1729" i="1"/>
  <c r="N1728" i="1"/>
  <c r="N1727" i="1"/>
  <c r="N1726" i="1"/>
  <c r="N1725" i="1"/>
  <c r="N1724" i="1"/>
  <c r="N1723" i="1"/>
  <c r="N1722" i="1"/>
  <c r="N1721" i="1"/>
  <c r="N1720" i="1"/>
  <c r="N1719" i="1"/>
  <c r="N1718" i="1"/>
  <c r="N1717" i="1"/>
  <c r="N1716" i="1"/>
  <c r="N1715" i="1"/>
  <c r="N1714" i="1"/>
  <c r="N1713" i="1"/>
  <c r="N1712" i="1"/>
  <c r="N1711" i="1"/>
  <c r="N1710" i="1"/>
  <c r="N1709" i="1"/>
  <c r="N1708" i="1"/>
  <c r="N1707" i="1"/>
  <c r="N1706" i="1"/>
  <c r="N1705" i="1"/>
  <c r="N1704" i="1"/>
  <c r="N1703" i="1"/>
  <c r="N1702" i="1"/>
  <c r="N1701" i="1"/>
  <c r="N1700" i="1"/>
  <c r="N1699" i="1"/>
  <c r="N1698" i="1"/>
  <c r="N1697" i="1"/>
  <c r="N1696" i="1"/>
  <c r="N1695" i="1"/>
  <c r="N1694" i="1"/>
  <c r="N1693" i="1"/>
  <c r="N1692" i="1"/>
  <c r="N1691" i="1"/>
  <c r="N1690" i="1"/>
  <c r="N1689" i="1"/>
  <c r="N1688" i="1"/>
  <c r="N1687" i="1"/>
  <c r="N1686" i="1"/>
  <c r="N1685" i="1"/>
  <c r="N1684" i="1"/>
  <c r="N1683" i="1"/>
  <c r="N1682" i="1"/>
  <c r="N1681" i="1"/>
  <c r="N1680" i="1"/>
  <c r="N1679" i="1"/>
  <c r="N1678" i="1"/>
  <c r="N1677" i="1"/>
  <c r="N1676" i="1"/>
  <c r="N1675" i="1"/>
  <c r="N1674" i="1"/>
  <c r="N1673" i="1"/>
  <c r="N1672" i="1"/>
  <c r="N1671" i="1"/>
  <c r="N1670" i="1"/>
  <c r="N1669" i="1"/>
  <c r="N1668" i="1"/>
  <c r="N1667" i="1"/>
  <c r="N1666" i="1"/>
  <c r="N1665" i="1"/>
  <c r="N1664" i="1"/>
  <c r="N1663" i="1"/>
  <c r="N1662" i="1"/>
  <c r="N1661" i="1"/>
  <c r="N1660" i="1"/>
  <c r="N1659" i="1"/>
  <c r="N1658" i="1"/>
  <c r="N1657" i="1"/>
  <c r="N1656" i="1"/>
  <c r="N1655" i="1"/>
  <c r="N1654" i="1"/>
  <c r="N1653" i="1"/>
  <c r="N1652" i="1"/>
  <c r="N1651" i="1"/>
  <c r="N1650" i="1"/>
  <c r="N1649" i="1"/>
  <c r="N1648" i="1"/>
  <c r="N1647" i="1"/>
  <c r="N1646" i="1"/>
  <c r="N1645" i="1"/>
  <c r="N1644" i="1"/>
  <c r="N1643" i="1"/>
  <c r="N1642" i="1"/>
  <c r="N1641" i="1"/>
  <c r="N1640" i="1"/>
  <c r="N1639" i="1"/>
  <c r="N1638" i="1"/>
  <c r="N1637" i="1"/>
  <c r="N1636" i="1"/>
  <c r="N1635" i="1"/>
  <c r="N1634" i="1"/>
  <c r="N1633" i="1"/>
  <c r="N1632" i="1"/>
  <c r="N1631" i="1"/>
  <c r="N1630" i="1"/>
  <c r="N1629" i="1"/>
  <c r="N1628" i="1"/>
  <c r="N1627" i="1"/>
  <c r="N1626" i="1"/>
  <c r="N1625" i="1"/>
  <c r="N1624" i="1"/>
  <c r="N1623" i="1"/>
  <c r="N1622" i="1"/>
  <c r="N1621" i="1"/>
  <c r="N1620" i="1"/>
  <c r="N1619" i="1"/>
  <c r="N1618" i="1"/>
  <c r="N1617" i="1"/>
  <c r="N1616" i="1"/>
  <c r="N1615" i="1"/>
  <c r="N1614" i="1"/>
  <c r="N1613" i="1"/>
  <c r="N1612" i="1"/>
  <c r="N1611" i="1"/>
  <c r="N1610" i="1"/>
  <c r="N1609" i="1"/>
  <c r="N1608" i="1"/>
  <c r="N1607" i="1"/>
  <c r="N1606" i="1"/>
  <c r="N1605" i="1"/>
  <c r="N1604" i="1"/>
  <c r="N1603" i="1"/>
  <c r="N1602" i="1"/>
  <c r="N1601" i="1"/>
  <c r="N1600" i="1"/>
  <c r="N1599" i="1"/>
  <c r="N1598" i="1"/>
  <c r="N1597" i="1"/>
  <c r="N1596" i="1"/>
  <c r="N1595" i="1"/>
  <c r="N1594" i="1"/>
  <c r="N1593" i="1"/>
  <c r="N1592" i="1"/>
  <c r="N1591" i="1"/>
  <c r="N1590" i="1"/>
  <c r="N1589" i="1"/>
  <c r="N1588" i="1"/>
  <c r="N1587" i="1"/>
  <c r="N1586" i="1"/>
  <c r="N1585" i="1"/>
  <c r="N1584" i="1"/>
  <c r="N1583" i="1"/>
  <c r="N1582" i="1"/>
  <c r="N1581" i="1"/>
  <c r="N1580" i="1"/>
  <c r="N1579" i="1"/>
  <c r="N1578" i="1"/>
  <c r="N1577" i="1"/>
  <c r="N1576" i="1"/>
  <c r="N1575" i="1"/>
  <c r="N1574" i="1"/>
  <c r="N1573" i="1"/>
  <c r="N1572" i="1"/>
  <c r="N1571" i="1"/>
  <c r="N1570" i="1"/>
  <c r="N1569" i="1"/>
  <c r="N1568" i="1"/>
  <c r="N1567" i="1"/>
  <c r="N1566" i="1"/>
  <c r="N1565" i="1"/>
  <c r="N1564" i="1"/>
  <c r="N1563" i="1"/>
  <c r="N1562" i="1"/>
  <c r="N1561" i="1"/>
  <c r="N1560" i="1"/>
  <c r="N1559" i="1"/>
  <c r="N1558" i="1"/>
  <c r="N1557" i="1"/>
  <c r="N1556" i="1"/>
  <c r="N1555" i="1"/>
  <c r="N1554" i="1"/>
  <c r="N1553" i="1"/>
  <c r="N1552" i="1"/>
  <c r="N1551" i="1"/>
  <c r="N1550" i="1"/>
  <c r="N1549" i="1"/>
  <c r="N1548" i="1"/>
  <c r="N1547" i="1"/>
  <c r="N1546" i="1"/>
  <c r="N1545" i="1"/>
  <c r="N1544" i="1"/>
  <c r="N1543" i="1"/>
  <c r="N1542" i="1"/>
  <c r="N1541" i="1"/>
  <c r="N1540" i="1"/>
  <c r="N1539" i="1"/>
  <c r="N1538" i="1"/>
  <c r="N1537" i="1"/>
  <c r="N1536" i="1"/>
  <c r="N1535" i="1"/>
  <c r="N1534" i="1"/>
  <c r="N1533" i="1"/>
  <c r="N1532" i="1"/>
  <c r="N1531" i="1"/>
  <c r="N1530" i="1"/>
  <c r="N1529" i="1"/>
  <c r="N1528" i="1"/>
  <c r="N1527" i="1"/>
  <c r="N1526" i="1"/>
  <c r="N1525" i="1"/>
  <c r="N1524" i="1"/>
  <c r="N1523" i="1"/>
  <c r="N1522" i="1"/>
  <c r="N1521" i="1"/>
  <c r="N1520" i="1"/>
  <c r="N1519" i="1"/>
  <c r="N1518" i="1"/>
  <c r="N1517" i="1"/>
  <c r="N1516" i="1"/>
  <c r="N1515" i="1"/>
  <c r="N1514" i="1"/>
  <c r="N1513" i="1"/>
  <c r="N1512" i="1"/>
  <c r="N1511" i="1"/>
  <c r="N1510" i="1"/>
  <c r="N1509" i="1"/>
  <c r="N1508" i="1"/>
  <c r="N1507" i="1"/>
  <c r="N1506" i="1"/>
  <c r="N1505" i="1"/>
  <c r="N1504" i="1"/>
  <c r="N1503" i="1"/>
  <c r="N1502" i="1"/>
  <c r="N1501" i="1"/>
  <c r="N1500" i="1"/>
  <c r="N1499" i="1"/>
  <c r="N1498" i="1"/>
  <c r="N1497" i="1"/>
  <c r="N1496" i="1"/>
  <c r="N1495" i="1"/>
  <c r="N1494" i="1"/>
  <c r="N1493" i="1"/>
  <c r="N1492" i="1"/>
  <c r="N1491" i="1"/>
  <c r="N1490" i="1"/>
  <c r="N1489" i="1"/>
  <c r="N1488" i="1"/>
  <c r="N1487" i="1"/>
  <c r="N1486" i="1"/>
  <c r="N1485" i="1"/>
  <c r="N1484" i="1"/>
  <c r="N1483" i="1"/>
  <c r="N1482" i="1"/>
  <c r="N1481" i="1"/>
  <c r="N1480" i="1"/>
  <c r="N1479" i="1"/>
  <c r="N1478" i="1"/>
  <c r="N1477" i="1"/>
  <c r="N1476" i="1"/>
  <c r="N1475" i="1"/>
  <c r="N1474" i="1"/>
  <c r="N1473" i="1"/>
  <c r="N1472" i="1"/>
  <c r="N1471" i="1"/>
  <c r="N1470" i="1"/>
  <c r="N1469" i="1"/>
  <c r="N1468" i="1"/>
  <c r="N1467" i="1"/>
  <c r="N1466" i="1"/>
  <c r="N1465" i="1"/>
  <c r="N1464" i="1"/>
  <c r="N1463" i="1"/>
  <c r="N1462" i="1"/>
  <c r="N1461" i="1"/>
  <c r="N1460" i="1"/>
  <c r="N1459" i="1"/>
  <c r="N1458" i="1"/>
  <c r="N1457" i="1"/>
  <c r="N1456" i="1"/>
  <c r="N1455" i="1"/>
  <c r="N1454" i="1"/>
  <c r="N1453" i="1"/>
  <c r="N1452" i="1"/>
  <c r="N1451" i="1"/>
  <c r="N1450" i="1"/>
  <c r="N1449" i="1"/>
  <c r="N1448" i="1"/>
  <c r="N1447" i="1"/>
  <c r="N1446" i="1"/>
  <c r="N1445" i="1"/>
  <c r="N1444" i="1"/>
  <c r="N1443" i="1"/>
  <c r="N1442" i="1"/>
  <c r="N1441" i="1"/>
  <c r="N1440" i="1"/>
  <c r="N1439" i="1"/>
  <c r="N1438" i="1"/>
  <c r="N1437" i="1"/>
  <c r="N1436" i="1"/>
  <c r="N1435" i="1"/>
  <c r="N1434" i="1"/>
  <c r="N1433" i="1"/>
  <c r="N1432" i="1"/>
  <c r="N1431" i="1"/>
  <c r="N1430" i="1"/>
  <c r="N1429" i="1"/>
  <c r="N1428" i="1"/>
  <c r="N1427" i="1"/>
  <c r="N1426" i="1"/>
  <c r="N1425" i="1"/>
  <c r="N1424" i="1"/>
  <c r="N1423" i="1"/>
  <c r="N1422" i="1"/>
  <c r="N1421" i="1"/>
  <c r="N1420" i="1"/>
  <c r="N1419" i="1"/>
  <c r="N1418" i="1"/>
  <c r="N1417" i="1"/>
  <c r="N1416" i="1"/>
  <c r="N1415" i="1"/>
  <c r="N1414" i="1"/>
  <c r="N1413" i="1"/>
  <c r="N1412" i="1"/>
  <c r="N1411" i="1"/>
  <c r="N1410" i="1"/>
  <c r="N1409" i="1"/>
  <c r="N1408" i="1"/>
  <c r="N1407" i="1"/>
  <c r="N1406" i="1"/>
  <c r="N1405" i="1"/>
  <c r="N1404" i="1"/>
  <c r="N1403" i="1"/>
  <c r="N1402" i="1"/>
  <c r="N1401" i="1"/>
  <c r="N1400" i="1"/>
  <c r="N1399" i="1"/>
  <c r="N1398" i="1"/>
  <c r="N1397" i="1"/>
  <c r="N1396" i="1"/>
  <c r="N1395" i="1"/>
  <c r="N1394" i="1"/>
  <c r="N1393" i="1"/>
  <c r="N1392" i="1"/>
  <c r="N1391" i="1"/>
  <c r="N1390" i="1"/>
  <c r="N1389" i="1"/>
  <c r="N1388" i="1"/>
  <c r="N1387" i="1"/>
  <c r="N1386" i="1"/>
  <c r="N1385" i="1"/>
  <c r="N1384" i="1"/>
  <c r="N1383" i="1"/>
  <c r="N1382" i="1"/>
  <c r="N1381" i="1"/>
  <c r="N1380" i="1"/>
  <c r="N1379" i="1"/>
  <c r="N1378" i="1"/>
  <c r="N1377" i="1"/>
  <c r="N1376" i="1"/>
  <c r="N1375" i="1"/>
  <c r="N1374" i="1"/>
  <c r="N1373" i="1"/>
  <c r="N1372" i="1"/>
  <c r="N1371" i="1"/>
  <c r="N1370" i="1"/>
  <c r="N1369" i="1"/>
  <c r="N1368" i="1"/>
  <c r="N1367" i="1"/>
  <c r="N1366" i="1"/>
  <c r="N1365" i="1"/>
  <c r="N1364" i="1"/>
  <c r="N1363" i="1"/>
  <c r="N1362" i="1"/>
  <c r="N1361" i="1"/>
  <c r="N1360" i="1"/>
  <c r="N1359" i="1"/>
  <c r="N1358" i="1"/>
  <c r="N1357" i="1"/>
  <c r="N1356" i="1"/>
  <c r="N1355" i="1"/>
  <c r="N1354" i="1"/>
  <c r="N1353" i="1"/>
  <c r="N1352" i="1"/>
  <c r="N1351" i="1"/>
  <c r="N1350" i="1"/>
  <c r="N1349" i="1"/>
  <c r="N1348" i="1"/>
  <c r="N1347" i="1"/>
  <c r="N1346" i="1"/>
  <c r="N1345" i="1"/>
  <c r="N1344" i="1"/>
  <c r="N1343" i="1"/>
  <c r="N1342" i="1"/>
  <c r="N1341" i="1"/>
  <c r="N1340" i="1"/>
  <c r="N1339" i="1"/>
  <c r="N1338" i="1"/>
  <c r="N1337" i="1"/>
  <c r="N1336" i="1"/>
  <c r="N1335" i="1"/>
  <c r="N1334" i="1"/>
  <c r="N1333" i="1"/>
  <c r="N1332" i="1"/>
  <c r="N1331" i="1"/>
  <c r="N1330" i="1"/>
  <c r="N1329" i="1"/>
  <c r="N1328" i="1"/>
  <c r="N1327" i="1"/>
  <c r="N1326" i="1"/>
  <c r="N1325" i="1"/>
  <c r="N1324" i="1"/>
  <c r="N1323" i="1"/>
  <c r="N1322" i="1"/>
  <c r="N1321" i="1"/>
  <c r="N1320" i="1"/>
  <c r="N1319" i="1"/>
  <c r="N1318" i="1"/>
  <c r="N1317" i="1"/>
  <c r="N1316" i="1"/>
  <c r="N1315" i="1"/>
  <c r="N1314" i="1"/>
  <c r="N1313" i="1"/>
  <c r="N1312" i="1"/>
  <c r="N1311" i="1"/>
  <c r="N1310" i="1"/>
  <c r="N1309" i="1"/>
  <c r="N1308" i="1"/>
  <c r="N1307" i="1"/>
  <c r="N1306" i="1"/>
  <c r="N1305" i="1"/>
  <c r="N1304" i="1"/>
  <c r="N1303" i="1"/>
  <c r="N1302" i="1"/>
  <c r="N1301" i="1"/>
  <c r="N1300" i="1"/>
  <c r="N1299" i="1"/>
  <c r="N1298" i="1"/>
  <c r="N1297" i="1"/>
  <c r="N1296" i="1"/>
  <c r="N1295" i="1"/>
  <c r="N1294" i="1"/>
  <c r="N1293" i="1"/>
  <c r="N1292" i="1"/>
  <c r="N1291" i="1"/>
  <c r="N1290" i="1"/>
  <c r="N1289" i="1"/>
  <c r="N1288" i="1"/>
  <c r="N1287" i="1"/>
  <c r="N1286" i="1"/>
  <c r="N1285" i="1"/>
  <c r="N1284" i="1"/>
  <c r="N1283" i="1"/>
  <c r="N1282" i="1"/>
  <c r="N1281" i="1"/>
  <c r="N1280" i="1"/>
  <c r="N1279" i="1"/>
  <c r="N1278" i="1"/>
  <c r="N1277" i="1"/>
  <c r="N1276" i="1"/>
  <c r="N1275" i="1"/>
  <c r="N1274" i="1"/>
  <c r="N1273" i="1"/>
  <c r="N1272" i="1"/>
  <c r="N1271" i="1"/>
  <c r="N1270" i="1"/>
  <c r="N1269" i="1"/>
  <c r="N1268" i="1"/>
  <c r="N1267" i="1"/>
  <c r="N1266" i="1"/>
  <c r="N1265" i="1"/>
  <c r="N1264" i="1"/>
  <c r="N1263" i="1"/>
  <c r="N1262" i="1"/>
  <c r="N1261" i="1"/>
  <c r="N1260" i="1"/>
  <c r="N1259" i="1"/>
  <c r="N1258" i="1"/>
  <c r="N1257" i="1"/>
  <c r="N1256" i="1"/>
  <c r="N1255" i="1"/>
  <c r="N1254" i="1"/>
  <c r="N1253" i="1"/>
  <c r="N1252" i="1"/>
  <c r="N1251" i="1"/>
  <c r="N1250" i="1"/>
  <c r="N1249" i="1"/>
  <c r="N1248" i="1"/>
  <c r="N1247" i="1"/>
  <c r="N1246" i="1"/>
  <c r="N1245" i="1"/>
  <c r="N1244" i="1"/>
  <c r="N1243" i="1"/>
  <c r="N1242" i="1"/>
  <c r="N1241" i="1"/>
  <c r="N1240" i="1"/>
  <c r="N1239" i="1"/>
  <c r="N1238" i="1"/>
  <c r="N1237" i="1"/>
  <c r="N1236" i="1"/>
  <c r="N1235" i="1"/>
  <c r="N1234" i="1"/>
  <c r="N1233" i="1"/>
  <c r="N1232" i="1"/>
  <c r="N1231" i="1"/>
  <c r="N1230" i="1"/>
  <c r="N1229" i="1"/>
  <c r="N1228" i="1"/>
  <c r="N1227" i="1"/>
  <c r="N1226" i="1"/>
  <c r="N1225" i="1"/>
  <c r="N1224" i="1"/>
  <c r="N1223" i="1"/>
  <c r="N1222" i="1"/>
  <c r="N1221" i="1"/>
  <c r="N1220" i="1"/>
  <c r="N1219" i="1"/>
  <c r="N1218" i="1"/>
  <c r="N1217" i="1"/>
  <c r="N1216" i="1"/>
  <c r="N1215" i="1"/>
  <c r="N1214" i="1"/>
  <c r="N1213" i="1"/>
  <c r="N1212" i="1"/>
  <c r="N1211" i="1"/>
  <c r="N1210" i="1"/>
  <c r="N1209" i="1"/>
  <c r="N1208" i="1"/>
  <c r="N1207" i="1"/>
  <c r="N1206" i="1"/>
  <c r="N1205" i="1"/>
  <c r="N1204" i="1"/>
  <c r="N1203" i="1"/>
  <c r="N1202" i="1"/>
  <c r="N1201" i="1"/>
  <c r="N1200" i="1"/>
  <c r="N1199" i="1"/>
  <c r="N1198" i="1"/>
  <c r="N1197" i="1"/>
  <c r="N1196" i="1"/>
  <c r="N1195" i="1"/>
  <c r="N1194" i="1"/>
  <c r="N1193" i="1"/>
  <c r="N1192" i="1"/>
  <c r="N1191" i="1"/>
  <c r="N1190" i="1"/>
  <c r="N1189" i="1"/>
  <c r="N1188" i="1"/>
  <c r="N1187" i="1"/>
  <c r="N1186" i="1"/>
  <c r="N1185" i="1"/>
  <c r="N1184" i="1"/>
  <c r="N1183" i="1"/>
  <c r="N1182" i="1"/>
  <c r="N1181" i="1"/>
  <c r="N1180" i="1"/>
  <c r="N1179" i="1"/>
  <c r="N1178" i="1"/>
  <c r="N1177" i="1"/>
  <c r="N1176" i="1"/>
  <c r="N1175" i="1"/>
  <c r="N1174" i="1"/>
  <c r="N1173" i="1"/>
  <c r="N1172" i="1"/>
  <c r="N1171" i="1"/>
  <c r="N1170" i="1"/>
  <c r="N1169" i="1"/>
  <c r="N1168" i="1"/>
  <c r="N1167" i="1"/>
  <c r="N1166" i="1"/>
  <c r="N1165" i="1"/>
  <c r="N1164" i="1"/>
  <c r="N1163" i="1"/>
  <c r="N1162" i="1"/>
  <c r="N1161" i="1"/>
  <c r="N1160" i="1"/>
  <c r="N1159" i="1"/>
  <c r="N1158" i="1"/>
  <c r="N1157" i="1"/>
  <c r="N1156" i="1"/>
  <c r="N1155" i="1"/>
  <c r="N1154" i="1"/>
  <c r="N1153" i="1"/>
  <c r="N1152" i="1"/>
  <c r="N1151" i="1"/>
  <c r="N1150" i="1"/>
  <c r="N1149" i="1"/>
  <c r="N1148" i="1"/>
  <c r="N1147" i="1"/>
  <c r="N1146" i="1"/>
  <c r="N1145" i="1"/>
  <c r="N1144" i="1"/>
  <c r="N1143" i="1"/>
  <c r="N1142" i="1"/>
  <c r="N1141" i="1"/>
  <c r="N1140" i="1"/>
  <c r="N1139" i="1"/>
  <c r="N1138" i="1"/>
  <c r="N1137" i="1"/>
  <c r="N1136" i="1"/>
  <c r="N1135" i="1"/>
  <c r="N1134" i="1"/>
  <c r="N1133" i="1"/>
  <c r="N1132" i="1"/>
  <c r="N1131" i="1"/>
  <c r="N1130" i="1"/>
  <c r="N1129" i="1"/>
  <c r="N1128" i="1"/>
  <c r="N1127" i="1"/>
  <c r="N1126" i="1"/>
  <c r="N1125" i="1"/>
  <c r="N1124" i="1"/>
  <c r="N1123" i="1"/>
  <c r="N1122" i="1"/>
  <c r="N1121" i="1"/>
  <c r="N1120" i="1"/>
  <c r="N1119" i="1"/>
  <c r="N1118" i="1"/>
  <c r="N1117" i="1"/>
  <c r="N1116" i="1"/>
  <c r="N1115" i="1"/>
  <c r="N1114" i="1"/>
  <c r="N1113" i="1"/>
  <c r="N1112" i="1"/>
  <c r="N1111" i="1"/>
  <c r="N1110" i="1"/>
  <c r="N1109" i="1"/>
  <c r="N1108" i="1"/>
  <c r="N1107" i="1"/>
  <c r="N1106" i="1"/>
  <c r="N1105" i="1"/>
  <c r="N1104" i="1"/>
  <c r="N1103" i="1"/>
  <c r="N1102" i="1"/>
  <c r="N1101" i="1"/>
  <c r="N1100" i="1"/>
  <c r="N1099" i="1"/>
  <c r="N1098" i="1"/>
  <c r="N1097" i="1"/>
  <c r="N1096" i="1"/>
  <c r="N1095" i="1"/>
  <c r="N1094" i="1"/>
  <c r="N1093" i="1"/>
  <c r="N1092" i="1"/>
  <c r="N1091" i="1"/>
  <c r="N1090" i="1"/>
  <c r="N1089" i="1"/>
  <c r="N1088" i="1"/>
  <c r="N1087" i="1"/>
  <c r="N1086" i="1"/>
  <c r="N1085" i="1"/>
  <c r="N1084" i="1"/>
  <c r="N1083" i="1"/>
  <c r="N1082" i="1"/>
  <c r="N1081" i="1"/>
  <c r="N1080" i="1"/>
  <c r="N1079" i="1"/>
  <c r="N1078" i="1"/>
  <c r="N1077" i="1"/>
  <c r="N1076" i="1"/>
  <c r="N1075" i="1"/>
  <c r="N1074" i="1"/>
  <c r="N1073" i="1"/>
  <c r="N1072" i="1"/>
  <c r="N1071" i="1"/>
  <c r="N1070" i="1"/>
  <c r="N1069" i="1"/>
  <c r="N1068" i="1"/>
  <c r="N1067" i="1"/>
  <c r="N1066" i="1"/>
  <c r="N1065" i="1"/>
  <c r="N1064" i="1"/>
  <c r="N1063" i="1"/>
  <c r="N1062" i="1"/>
  <c r="N1061" i="1"/>
  <c r="N1060" i="1"/>
  <c r="N1059" i="1"/>
  <c r="N1058" i="1"/>
  <c r="N1057" i="1"/>
  <c r="N1056" i="1"/>
  <c r="N1055" i="1"/>
  <c r="N1054" i="1"/>
  <c r="N1053" i="1"/>
  <c r="N1052" i="1"/>
  <c r="N1051" i="1"/>
  <c r="N1050" i="1"/>
  <c r="N1049" i="1"/>
  <c r="N1048" i="1"/>
  <c r="N1047" i="1"/>
  <c r="N1046" i="1"/>
  <c r="N1045" i="1"/>
  <c r="N1044" i="1"/>
  <c r="N1043" i="1"/>
  <c r="N1042" i="1"/>
  <c r="N1041" i="1"/>
  <c r="N1040" i="1"/>
  <c r="N1039" i="1"/>
  <c r="N1038" i="1"/>
  <c r="N1037" i="1"/>
  <c r="N1036" i="1"/>
  <c r="N1035" i="1"/>
  <c r="N1034" i="1"/>
  <c r="N1033" i="1"/>
  <c r="N1032" i="1"/>
  <c r="N1031" i="1"/>
  <c r="N1030" i="1"/>
  <c r="N1029" i="1"/>
  <c r="N1028" i="1"/>
  <c r="N1027" i="1"/>
  <c r="N1026" i="1"/>
  <c r="N1025" i="1"/>
  <c r="N1024" i="1"/>
  <c r="N1023" i="1"/>
  <c r="N1022" i="1"/>
  <c r="N1021" i="1"/>
  <c r="N1020" i="1"/>
  <c r="N1019" i="1"/>
  <c r="N1018" i="1"/>
  <c r="N1017" i="1"/>
  <c r="N1016" i="1"/>
  <c r="N1015" i="1"/>
  <c r="N1014" i="1"/>
  <c r="N1013" i="1"/>
  <c r="N1012" i="1"/>
  <c r="N1011" i="1"/>
  <c r="N1010" i="1"/>
  <c r="N1009" i="1"/>
  <c r="N1008" i="1"/>
  <c r="N1007" i="1"/>
  <c r="N1006" i="1"/>
  <c r="N1005" i="1"/>
  <c r="N1004" i="1"/>
  <c r="N1003" i="1"/>
  <c r="N1002" i="1"/>
  <c r="N1001" i="1"/>
  <c r="N1000" i="1"/>
  <c r="N999" i="1"/>
  <c r="N998" i="1"/>
  <c r="N997" i="1"/>
  <c r="N996" i="1"/>
  <c r="N995" i="1"/>
  <c r="N994" i="1"/>
  <c r="N993" i="1"/>
  <c r="N992" i="1"/>
  <c r="N991" i="1"/>
  <c r="N990" i="1"/>
  <c r="N989" i="1"/>
  <c r="N988" i="1"/>
  <c r="N987" i="1"/>
  <c r="N986" i="1"/>
  <c r="N985" i="1"/>
  <c r="N984" i="1"/>
  <c r="N983" i="1"/>
  <c r="N982" i="1"/>
  <c r="N981" i="1"/>
  <c r="N980" i="1"/>
  <c r="N979" i="1"/>
  <c r="N978" i="1"/>
  <c r="N977" i="1"/>
  <c r="N976" i="1"/>
  <c r="N975" i="1"/>
  <c r="N974" i="1"/>
  <c r="N973" i="1"/>
  <c r="N972" i="1"/>
  <c r="N971" i="1"/>
  <c r="N970" i="1"/>
  <c r="N969" i="1"/>
  <c r="N968" i="1"/>
  <c r="N967" i="1"/>
  <c r="N966" i="1"/>
  <c r="N965" i="1"/>
  <c r="N964" i="1"/>
  <c r="N963" i="1"/>
  <c r="N962" i="1"/>
  <c r="N961" i="1"/>
  <c r="N960" i="1"/>
  <c r="N959" i="1"/>
  <c r="N958" i="1"/>
  <c r="N957" i="1"/>
  <c r="N956" i="1"/>
  <c r="N955" i="1"/>
  <c r="N954" i="1"/>
  <c r="N953" i="1"/>
  <c r="N952" i="1"/>
  <c r="N951" i="1"/>
  <c r="N950" i="1"/>
  <c r="N949" i="1"/>
  <c r="N948" i="1"/>
  <c r="N947" i="1"/>
  <c r="N946" i="1"/>
  <c r="N945" i="1"/>
  <c r="N944" i="1"/>
  <c r="N943" i="1"/>
  <c r="N942" i="1"/>
  <c r="N941" i="1"/>
  <c r="N940" i="1"/>
  <c r="N939" i="1"/>
  <c r="N938" i="1"/>
  <c r="N937" i="1"/>
  <c r="N936" i="1"/>
  <c r="N935" i="1"/>
  <c r="N934" i="1"/>
  <c r="N933" i="1"/>
  <c r="N932" i="1"/>
  <c r="N931" i="1"/>
  <c r="N930" i="1"/>
  <c r="N929" i="1"/>
  <c r="N928" i="1"/>
  <c r="N927" i="1"/>
  <c r="N926" i="1"/>
  <c r="N925" i="1"/>
  <c r="N924" i="1"/>
  <c r="N923" i="1"/>
  <c r="N922" i="1"/>
  <c r="N921" i="1"/>
  <c r="N920" i="1"/>
  <c r="N919" i="1"/>
  <c r="N918" i="1"/>
  <c r="N917" i="1"/>
  <c r="N916" i="1"/>
  <c r="N915" i="1"/>
  <c r="N914" i="1"/>
  <c r="N913" i="1"/>
  <c r="N912" i="1"/>
  <c r="N911" i="1"/>
  <c r="N910" i="1"/>
  <c r="N909" i="1"/>
  <c r="N908" i="1"/>
  <c r="N907" i="1"/>
  <c r="N906" i="1"/>
  <c r="N905" i="1"/>
  <c r="N904" i="1"/>
  <c r="N903" i="1"/>
  <c r="N902" i="1"/>
  <c r="N901" i="1"/>
  <c r="N900" i="1"/>
  <c r="N899" i="1"/>
  <c r="N898" i="1"/>
  <c r="N897" i="1"/>
  <c r="N896" i="1"/>
  <c r="N895" i="1"/>
  <c r="N894" i="1"/>
  <c r="N893" i="1"/>
  <c r="N892" i="1"/>
  <c r="N891" i="1"/>
  <c r="N890" i="1"/>
  <c r="N889" i="1"/>
  <c r="N888" i="1"/>
  <c r="N887" i="1"/>
  <c r="N886" i="1"/>
  <c r="N885" i="1"/>
  <c r="N884" i="1"/>
  <c r="N883" i="1"/>
  <c r="N882" i="1"/>
  <c r="N881" i="1"/>
  <c r="N880" i="1"/>
  <c r="N879" i="1"/>
  <c r="N878" i="1"/>
  <c r="N877" i="1"/>
  <c r="N876" i="1"/>
  <c r="N875" i="1"/>
  <c r="N874" i="1"/>
  <c r="N873" i="1"/>
  <c r="N872" i="1"/>
  <c r="N871" i="1"/>
  <c r="N870" i="1"/>
  <c r="N869" i="1"/>
  <c r="N868" i="1"/>
  <c r="N867" i="1"/>
  <c r="N866" i="1"/>
  <c r="N865" i="1"/>
  <c r="N864" i="1"/>
  <c r="N863" i="1"/>
  <c r="N862" i="1"/>
  <c r="N861" i="1"/>
  <c r="N860" i="1"/>
  <c r="N859" i="1"/>
  <c r="N858" i="1"/>
  <c r="N857" i="1"/>
  <c r="N856" i="1"/>
  <c r="N855" i="1"/>
  <c r="N854" i="1"/>
  <c r="N853" i="1"/>
  <c r="N852" i="1"/>
  <c r="N851" i="1"/>
  <c r="N850" i="1"/>
  <c r="N849" i="1"/>
  <c r="N848" i="1"/>
  <c r="N847" i="1"/>
  <c r="N846" i="1"/>
  <c r="N845" i="1"/>
  <c r="N844" i="1"/>
  <c r="N843" i="1"/>
  <c r="N842" i="1"/>
  <c r="N841" i="1"/>
  <c r="N840" i="1"/>
  <c r="N839" i="1"/>
  <c r="N838" i="1"/>
  <c r="N837" i="1"/>
  <c r="N836" i="1"/>
  <c r="N835" i="1"/>
  <c r="N834" i="1"/>
  <c r="N833" i="1"/>
  <c r="N832" i="1"/>
  <c r="N831" i="1"/>
  <c r="N830" i="1"/>
  <c r="N829" i="1"/>
  <c r="N828" i="1"/>
  <c r="N827" i="1"/>
  <c r="N826" i="1"/>
  <c r="N825" i="1"/>
  <c r="N824" i="1"/>
  <c r="N823" i="1"/>
  <c r="N822" i="1"/>
  <c r="N821" i="1"/>
  <c r="N820" i="1"/>
  <c r="N819" i="1"/>
  <c r="N818" i="1"/>
  <c r="N817" i="1"/>
  <c r="N816" i="1"/>
  <c r="N815" i="1"/>
  <c r="N814" i="1"/>
  <c r="N813" i="1"/>
  <c r="N812" i="1"/>
  <c r="N811" i="1"/>
  <c r="N810" i="1"/>
  <c r="N809" i="1"/>
  <c r="N808" i="1"/>
  <c r="N807" i="1"/>
  <c r="N806" i="1"/>
  <c r="N805" i="1"/>
  <c r="N804" i="1"/>
  <c r="N803" i="1"/>
  <c r="N802" i="1"/>
  <c r="N801" i="1"/>
  <c r="N800" i="1"/>
  <c r="N799" i="1"/>
  <c r="N798" i="1"/>
  <c r="N797" i="1"/>
  <c r="N796" i="1"/>
  <c r="N795" i="1"/>
  <c r="N794" i="1"/>
  <c r="N793" i="1"/>
  <c r="N792" i="1"/>
  <c r="N791" i="1"/>
  <c r="N790" i="1"/>
  <c r="N789" i="1"/>
  <c r="N788" i="1"/>
  <c r="N787" i="1"/>
  <c r="N786" i="1"/>
  <c r="N785" i="1"/>
  <c r="N784" i="1"/>
  <c r="N783" i="1"/>
  <c r="N782" i="1"/>
  <c r="N781" i="1"/>
  <c r="N780" i="1"/>
  <c r="N779" i="1"/>
  <c r="N778" i="1"/>
  <c r="N777" i="1"/>
  <c r="N776" i="1"/>
  <c r="N775" i="1"/>
  <c r="N774" i="1"/>
  <c r="N773" i="1"/>
  <c r="N772" i="1"/>
  <c r="N771" i="1"/>
  <c r="N770" i="1"/>
  <c r="N769" i="1"/>
  <c r="N768" i="1"/>
  <c r="N767" i="1"/>
  <c r="N766" i="1"/>
  <c r="N765" i="1"/>
  <c r="N764" i="1"/>
  <c r="N763" i="1"/>
  <c r="N762" i="1"/>
  <c r="N761" i="1"/>
  <c r="N760" i="1"/>
  <c r="N759" i="1"/>
  <c r="N758" i="1"/>
  <c r="N757" i="1"/>
  <c r="N756" i="1"/>
  <c r="N755" i="1"/>
  <c r="N754" i="1"/>
  <c r="N753" i="1"/>
  <c r="N752" i="1"/>
  <c r="N751" i="1"/>
  <c r="N750" i="1"/>
  <c r="N749" i="1"/>
  <c r="N748" i="1"/>
  <c r="N747" i="1"/>
  <c r="N746" i="1"/>
  <c r="N745" i="1"/>
  <c r="N744" i="1"/>
  <c r="N743" i="1"/>
  <c r="N742" i="1"/>
  <c r="N741" i="1"/>
  <c r="N740" i="1"/>
  <c r="N739" i="1"/>
  <c r="N738" i="1"/>
  <c r="N737" i="1"/>
  <c r="N736" i="1"/>
  <c r="N735" i="1"/>
  <c r="N734" i="1"/>
  <c r="N733" i="1"/>
  <c r="N732" i="1"/>
  <c r="N731" i="1"/>
  <c r="N730" i="1"/>
  <c r="N729" i="1"/>
  <c r="N728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714" i="1"/>
  <c r="N713" i="1"/>
  <c r="N712" i="1"/>
  <c r="N711" i="1"/>
  <c r="N710" i="1"/>
  <c r="N709" i="1"/>
  <c r="N708" i="1"/>
  <c r="N707" i="1"/>
  <c r="N706" i="1"/>
  <c r="N705" i="1"/>
  <c r="N704" i="1"/>
  <c r="N703" i="1"/>
  <c r="N702" i="1"/>
  <c r="N701" i="1"/>
  <c r="N700" i="1"/>
  <c r="N699" i="1"/>
  <c r="N698" i="1"/>
  <c r="N697" i="1"/>
  <c r="N696" i="1"/>
  <c r="N695" i="1"/>
  <c r="N694" i="1"/>
  <c r="N693" i="1"/>
  <c r="N692" i="1"/>
  <c r="N691" i="1"/>
  <c r="N690" i="1"/>
  <c r="N689" i="1"/>
  <c r="N688" i="1"/>
  <c r="N687" i="1"/>
  <c r="N686" i="1"/>
  <c r="N685" i="1"/>
  <c r="N684" i="1"/>
  <c r="N683" i="1"/>
  <c r="N682" i="1"/>
  <c r="N681" i="1"/>
  <c r="N680" i="1"/>
  <c r="N679" i="1"/>
  <c r="N678" i="1"/>
  <c r="N677" i="1"/>
  <c r="N676" i="1"/>
  <c r="N675" i="1"/>
  <c r="N674" i="1"/>
  <c r="N673" i="1"/>
  <c r="N672" i="1"/>
  <c r="N671" i="1"/>
  <c r="N670" i="1"/>
  <c r="N669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491DFB-93E5-4011-B447-1EF8F72D8D8F}" keepAlive="1" name="Query - vlookup_table" description="Connection to the 'vlookup_table' query in the workbook." type="5" refreshedVersion="0" background="1">
    <dbPr connection="Provider=Microsoft.Mashup.OleDb.1;Data Source=$Workbook$;Location=vlookup_table;Extended Properties=&quot;&quot;" command="SELECT * FROM [vlookup_table]"/>
  </connection>
  <connection id="2" xr16:uid="{A5BAA542-2EE5-40F1-AC9A-C49190BD08DA}" keepAlive="1" name="Query - vlookup_table (2)" description="Connection to the 'vlookup_table (2)' query in the workbook." type="5" refreshedVersion="8" background="1" saveData="1">
    <dbPr connection="Provider=Microsoft.Mashup.OleDb.1;Data Source=$Workbook$;Location=&quot;vlookup_table (2)&quot;;Extended Properties=&quot;&quot;" command="SELECT * FROM [vlookup_table (2)]"/>
  </connection>
</connections>
</file>

<file path=xl/sharedStrings.xml><?xml version="1.0" encoding="utf-8"?>
<sst xmlns="http://schemas.openxmlformats.org/spreadsheetml/2006/main" count="19956" uniqueCount="100">
  <si>
    <t>CONTROLN</t>
  </si>
  <si>
    <t>STATE</t>
  </si>
  <si>
    <t>GENDER</t>
  </si>
  <si>
    <t>HV1</t>
  </si>
  <si>
    <t>IC1</t>
  </si>
  <si>
    <t>IC4</t>
  </si>
  <si>
    <t>HVP1</t>
  </si>
  <si>
    <t>IC5</t>
  </si>
  <si>
    <t>POBC1</t>
  </si>
  <si>
    <t>POBC2</t>
  </si>
  <si>
    <t>IC2</t>
  </si>
  <si>
    <t>IC3</t>
  </si>
  <si>
    <t>AVGGIFT</t>
  </si>
  <si>
    <t>FL</t>
  </si>
  <si>
    <t>M</t>
  </si>
  <si>
    <t>AAA896</t>
  </si>
  <si>
    <t>IL</t>
  </si>
  <si>
    <t>F</t>
  </si>
  <si>
    <t>NC</t>
  </si>
  <si>
    <t>AAA1095</t>
  </si>
  <si>
    <t>TX</t>
  </si>
  <si>
    <t>CA</t>
  </si>
  <si>
    <t>AAA2294</t>
  </si>
  <si>
    <t>NV</t>
  </si>
  <si>
    <t>AP</t>
  </si>
  <si>
    <t>KS</t>
  </si>
  <si>
    <t>MI</t>
  </si>
  <si>
    <t>U</t>
  </si>
  <si>
    <t>OK</t>
  </si>
  <si>
    <t>AR</t>
  </si>
  <si>
    <t>IN</t>
  </si>
  <si>
    <t>MT</t>
  </si>
  <si>
    <t>WI</t>
  </si>
  <si>
    <t>MO</t>
  </si>
  <si>
    <t>HI</t>
  </si>
  <si>
    <t>UT</t>
  </si>
  <si>
    <t>GA</t>
  </si>
  <si>
    <t>WA</t>
  </si>
  <si>
    <t>ID</t>
  </si>
  <si>
    <t>CT</t>
  </si>
  <si>
    <t>AL</t>
  </si>
  <si>
    <t>J</t>
  </si>
  <si>
    <t>ND</t>
  </si>
  <si>
    <t>SC</t>
  </si>
  <si>
    <t>IA</t>
  </si>
  <si>
    <t>CO</t>
  </si>
  <si>
    <t>LA</t>
  </si>
  <si>
    <t>OR</t>
  </si>
  <si>
    <t>SD</t>
  </si>
  <si>
    <t>TN</t>
  </si>
  <si>
    <t>NM</t>
  </si>
  <si>
    <t>AZ</t>
  </si>
  <si>
    <t>MN</t>
  </si>
  <si>
    <t>KY</t>
  </si>
  <si>
    <t>NJ</t>
  </si>
  <si>
    <t>NE</t>
  </si>
  <si>
    <t>MS</t>
  </si>
  <si>
    <t>NY</t>
  </si>
  <si>
    <t>WY</t>
  </si>
  <si>
    <t>MD</t>
  </si>
  <si>
    <t>AK</t>
  </si>
  <si>
    <t>VA</t>
  </si>
  <si>
    <t>AE</t>
  </si>
  <si>
    <t>AA</t>
  </si>
  <si>
    <t>PA</t>
  </si>
  <si>
    <t>VT</t>
  </si>
  <si>
    <t>A</t>
  </si>
  <si>
    <t>AAA1229</t>
  </si>
  <si>
    <t>WV</t>
  </si>
  <si>
    <t>AAA1305</t>
  </si>
  <si>
    <t>AAA1119</t>
  </si>
  <si>
    <t>GU</t>
  </si>
  <si>
    <t>AAA689</t>
  </si>
  <si>
    <t>AAA713</t>
  </si>
  <si>
    <t>TCODE</t>
  </si>
  <si>
    <t>DOB</t>
  </si>
  <si>
    <t>DOMAIN</t>
  </si>
  <si>
    <t>TARGET_D</t>
  </si>
  <si>
    <t>C2</t>
  </si>
  <si>
    <t>T2</t>
  </si>
  <si>
    <t>S2</t>
  </si>
  <si>
    <t>R2</t>
  </si>
  <si>
    <t>C1</t>
  </si>
  <si>
    <t>S1</t>
  </si>
  <si>
    <t>T1</t>
  </si>
  <si>
    <t>U1</t>
  </si>
  <si>
    <t/>
  </si>
  <si>
    <t>C3</t>
  </si>
  <si>
    <t>S3</t>
  </si>
  <si>
    <t>R3</t>
  </si>
  <si>
    <t>R1</t>
  </si>
  <si>
    <t>U3</t>
  </si>
  <si>
    <t>U4</t>
  </si>
  <si>
    <t>U2</t>
  </si>
  <si>
    <t>T3</t>
  </si>
  <si>
    <t>AGE</t>
  </si>
  <si>
    <t>Neighbourhood</t>
  </si>
  <si>
    <t xml:space="preserve"> F</t>
  </si>
  <si>
    <t>feaM</t>
  </si>
  <si>
    <t>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</si>
</sst>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3">
    <xf numFmtId="0" fontId="0" fillId="0" borderId="0"/>
    <xf numFmtId="0" fontId="2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0" xfId="1"/>
    <xf numFmtId="2" fontId="2" fillId="0" borderId="0" xfId="1" applyNumberFormat="1"/>
    <xf numFmtId="0" fontId="3" fillId="0" borderId="0" xfId="2"/>
    <xf numFmtId="1" fontId="2" fillId="0" borderId="0" xfId="1" applyNumberFormat="1"/>
    <xf numFmtId="0" fontId="0" fillId="0" borderId="0" xfId="0" applyNumberFormat="1"/>
    <xf numFmtId="0" fontId="2" fillId="0" borderId="0" xfId="1"/>
    <xf numFmtId="0" fontId="2" fillId="0" borderId="0" xfId="1"/>
    <xf numFmtId="0" fontId="2" fillId="0" borderId="0" xfId="1"/>
    <xf numFmtId="1" fontId="2" fillId="0" borderId="0" xfId="1" applyNumberForma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0" xfId="0" applyFont="1" applyFill="1" applyBorder="1"/>
  </cellXfs>
  <cellStyles count="3">
    <cellStyle name="Hyperlink" xfId="2" builtinId="8"/>
    <cellStyle name="Normal" xfId="0" builtinId="0"/>
    <cellStyle name="Normal 2" xfId="1" xr:uid="{E8A82DB8-AB74-4E7B-94ED-8D08E97BBA10}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2AADA06-6466-48DF-A4D5-5D83C015AFEE}" autoFormatId="16" applyNumberFormats="0" applyBorderFormats="0" applyFontFormats="0" applyPatternFormats="0" applyAlignmentFormats="0" applyWidthHeightFormats="0">
  <queryTableRefresh nextId="8">
    <queryTableFields count="6">
      <queryTableField id="1" name="TCODE" tableColumnId="1"/>
      <queryTableField id="2" name="STATE" tableColumnId="2"/>
      <queryTableField id="3" name="DOB" tableColumnId="3"/>
      <queryTableField id="4" name="DOMAIN" tableColumnId="4"/>
      <queryTableField id="5" name="GENDER" tableColumnId="5"/>
      <queryTableField id="7" name="TARGET_D" tableColumnId="7"/>
    </queryTableFields>
    <queryTableDeletedFields count="1">
      <deletedField name="CONTROLN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E60DF7-D0C2-49C5-BA00-126B65B8F84A}" name="vlookup_table__2" displayName="vlookup_table__2" ref="B1:G4001" tableType="queryTable" totalsRowShown="0">
  <autoFilter ref="B1:G4001" xr:uid="{D2E60DF7-D0C2-49C5-BA00-126B65B8F84A}"/>
  <tableColumns count="6">
    <tableColumn id="1" xr3:uid="{61CB2CCB-862C-495D-A3D8-30EEEB1FA22D}" uniqueName="1" name="TCODE" queryTableFieldId="1"/>
    <tableColumn id="2" xr3:uid="{681F6DCA-239A-4EE3-8A85-969D1CBAD4FF}" uniqueName="2" name="STATE" queryTableFieldId="2" dataDxfId="2"/>
    <tableColumn id="3" xr3:uid="{691A02D8-C078-4D80-A282-424F8679D98E}" uniqueName="3" name="DOB" queryTableFieldId="3"/>
    <tableColumn id="4" xr3:uid="{5506118D-D42D-41AE-AF14-3D970DBCD68B}" uniqueName="4" name="DOMAIN" queryTableFieldId="4" dataDxfId="1"/>
    <tableColumn id="5" xr3:uid="{CED4E32E-DE3B-4328-A491-AFE4A3B9206F}" uniqueName="5" name="GENDER" queryTableFieldId="5" dataDxfId="0"/>
    <tableColumn id="7" xr3:uid="{051C6CE5-B233-475C-B7FA-B8159CFD0FB2}" uniqueName="7" name="TARGET_D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10909@" TargetMode="External"/><Relationship Id="rId2" Type="http://schemas.openxmlformats.org/officeDocument/2006/relationships/hyperlink" Target="mailto:10909@" TargetMode="External"/><Relationship Id="rId1" Type="http://schemas.openxmlformats.org/officeDocument/2006/relationships/hyperlink" Target="mailto:10755@" TargetMode="External"/><Relationship Id="rId6" Type="http://schemas.openxmlformats.org/officeDocument/2006/relationships/hyperlink" Target="mailto:10909@" TargetMode="External"/><Relationship Id="rId5" Type="http://schemas.openxmlformats.org/officeDocument/2006/relationships/hyperlink" Target="mailto:10909@" TargetMode="External"/><Relationship Id="rId4" Type="http://schemas.openxmlformats.org/officeDocument/2006/relationships/hyperlink" Target="mailto:10909@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E0A65-54CB-47AF-B456-641F16DFE87D}">
  <dimension ref="A1:U4029"/>
  <sheetViews>
    <sheetView tabSelected="1" workbookViewId="0">
      <selection activeCell="M16" sqref="M16"/>
    </sheetView>
  </sheetViews>
  <sheetFormatPr defaultRowHeight="14.5" x14ac:dyDescent="0.35"/>
  <sheetData>
    <row r="1" spans="1:21" ht="1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0" t="s">
        <v>74</v>
      </c>
      <c r="O1" s="11" t="s">
        <v>1</v>
      </c>
      <c r="P1" s="11" t="s">
        <v>75</v>
      </c>
      <c r="Q1" s="11" t="s">
        <v>76</v>
      </c>
      <c r="R1" s="11" t="s">
        <v>2</v>
      </c>
      <c r="S1" s="12" t="s">
        <v>77</v>
      </c>
      <c r="T1" s="13" t="s">
        <v>95</v>
      </c>
      <c r="U1" s="13" t="s">
        <v>96</v>
      </c>
    </row>
    <row r="2" spans="1:21" ht="16" x14ac:dyDescent="0.4">
      <c r="A2" s="4">
        <v>44060</v>
      </c>
      <c r="B2" s="1" t="s">
        <v>13</v>
      </c>
      <c r="C2" s="1" t="s">
        <v>14</v>
      </c>
      <c r="D2" s="2" t="s">
        <v>15</v>
      </c>
      <c r="E2" s="1">
        <v>392</v>
      </c>
      <c r="F2" s="1">
        <v>520</v>
      </c>
      <c r="G2" s="1">
        <v>7</v>
      </c>
      <c r="H2" s="1">
        <v>21975</v>
      </c>
      <c r="I2" s="1">
        <v>6</v>
      </c>
      <c r="J2" s="1">
        <v>16</v>
      </c>
      <c r="K2" s="1">
        <v>430</v>
      </c>
      <c r="L2" s="1">
        <v>466</v>
      </c>
      <c r="M2" s="1">
        <v>28</v>
      </c>
      <c r="N2">
        <f>VLOOKUP(A2,vlookup_table!$A:$G,2,FALSE)</f>
        <v>1</v>
      </c>
      <c r="O2" t="str">
        <f>VLOOKUP(A2,vlookup_table!$A:$G,3,FALSE)</f>
        <v>FL</v>
      </c>
      <c r="P2">
        <f>VLOOKUP(A2,vlookup_table!$A:$G,4,FALSE)</f>
        <v>1901</v>
      </c>
      <c r="Q2" t="str">
        <f>VLOOKUP(A2,vlookup_table!$A:$G,5,FALSE)</f>
        <v>C2</v>
      </c>
      <c r="R2" t="str">
        <f>VLOOKUP(A2,vlookup_table!$A:$G,6,FALSE)</f>
        <v>M</v>
      </c>
      <c r="S2">
        <f>VLOOKUP(A2,vlookup_table!$A:$G,7,FALSE)</f>
        <v>100</v>
      </c>
      <c r="T2">
        <f>97-LEFT(P2,2)-IF(RIGHT(P2,2)&gt;6,1,0)</f>
        <v>77</v>
      </c>
      <c r="U2" t="str">
        <f>IF(LEFT(Q2,1)="C","Ciudad",IF(LEFT(Q2,1)="T","Pueblo",IF(LEFT(Q2,1)="R","Rural",IF(LEFT(Q2,1)="S","Suburbano",IF(LEFT(Q2,1)="U","Urbano","")))))</f>
        <v>Ciudad</v>
      </c>
    </row>
    <row r="3" spans="1:21" ht="16" x14ac:dyDescent="0.4">
      <c r="A3" s="4">
        <v>96093</v>
      </c>
      <c r="B3" s="1" t="s">
        <v>16</v>
      </c>
      <c r="C3" s="1" t="s">
        <v>14</v>
      </c>
      <c r="D3" s="2">
        <v>537</v>
      </c>
      <c r="E3" s="1">
        <v>365</v>
      </c>
      <c r="F3" s="1">
        <v>473</v>
      </c>
      <c r="G3" s="1">
        <v>0</v>
      </c>
      <c r="H3" s="1">
        <v>19387</v>
      </c>
      <c r="I3" s="1">
        <v>1</v>
      </c>
      <c r="J3" s="1">
        <v>89</v>
      </c>
      <c r="K3" s="1">
        <v>415</v>
      </c>
      <c r="L3" s="1">
        <v>410</v>
      </c>
      <c r="M3" s="1">
        <v>5.6666666670000003</v>
      </c>
      <c r="N3">
        <f>VLOOKUP(A3,vlookup_table!$A:$G,2,FALSE)</f>
        <v>0</v>
      </c>
      <c r="O3" t="str">
        <f>VLOOKUP(A3,vlookup_table!$A:$G,3,FALSE)</f>
        <v>IL</v>
      </c>
      <c r="P3">
        <f>VLOOKUP(A3,vlookup_table!$A:$G,4,FALSE)</f>
        <v>0</v>
      </c>
      <c r="Q3" t="str">
        <f>VLOOKUP(A3,vlookup_table!$A:$G,5,FALSE)</f>
        <v>T2</v>
      </c>
      <c r="R3" t="str">
        <f>VLOOKUP(A3,vlookup_table!$A:$G,6,FALSE)</f>
        <v>M</v>
      </c>
      <c r="S3">
        <f>VLOOKUP(A3,vlookup_table!$A:$G,7,FALSE)</f>
        <v>7</v>
      </c>
      <c r="T3">
        <f t="shared" ref="T3:T66" si="0">97-LEFT(P3,2)-IF(RIGHT(P3,2)&gt;6,1,0)</f>
        <v>96</v>
      </c>
      <c r="U3" t="str">
        <f t="shared" ref="U3:U66" si="1">IF(LEFT(Q3,1)="C","Ciudad",IF(LEFT(Q3,1)="T","Pueblo",IF(LEFT(Q3,1)="R","Rural",IF(LEFT(Q3,1)="S","Suburbano",IF(LEFT(Q3,1)="U","Urbano","")))))</f>
        <v>Pueblo</v>
      </c>
    </row>
    <row r="4" spans="1:21" ht="16" x14ac:dyDescent="0.4">
      <c r="A4" s="4">
        <v>43333</v>
      </c>
      <c r="B4" s="1" t="s">
        <v>13</v>
      </c>
      <c r="C4" s="1" t="s">
        <v>17</v>
      </c>
      <c r="D4" s="2">
        <v>725</v>
      </c>
      <c r="E4" s="1">
        <v>301</v>
      </c>
      <c r="F4" s="1">
        <v>436</v>
      </c>
      <c r="G4" s="1">
        <v>3</v>
      </c>
      <c r="H4" s="1">
        <v>18837</v>
      </c>
      <c r="I4" s="1">
        <v>11</v>
      </c>
      <c r="J4" s="1">
        <v>17</v>
      </c>
      <c r="K4" s="1">
        <v>340</v>
      </c>
      <c r="L4" s="1">
        <v>361</v>
      </c>
      <c r="M4" s="1">
        <v>4.1111111109999996</v>
      </c>
      <c r="N4">
        <f>VLOOKUP(A4,vlookup_table!$A:$G,2,FALSE)</f>
        <v>0</v>
      </c>
      <c r="O4" t="str">
        <f>VLOOKUP(A4,vlookup_table!$A:$G,3,FALSE)</f>
        <v>FL</v>
      </c>
      <c r="P4">
        <f>VLOOKUP(A4,vlookup_table!$A:$G,4,FALSE)</f>
        <v>2501</v>
      </c>
      <c r="Q4" t="str">
        <f>VLOOKUP(A4,vlookup_table!$A:$G,5,FALSE)</f>
        <v>C2</v>
      </c>
      <c r="R4" t="str">
        <f>VLOOKUP(A4,vlookup_table!$A:$G,6,FALSE)</f>
        <v>F</v>
      </c>
      <c r="S4">
        <f>VLOOKUP(A4,vlookup_table!$A:$G,7,FALSE)</f>
        <v>5</v>
      </c>
      <c r="T4">
        <f t="shared" si="0"/>
        <v>71</v>
      </c>
      <c r="U4" t="str">
        <f t="shared" si="1"/>
        <v>Ciudad</v>
      </c>
    </row>
    <row r="5" spans="1:21" ht="16" x14ac:dyDescent="0.4">
      <c r="A5" s="4">
        <v>21885</v>
      </c>
      <c r="B5" s="1" t="s">
        <v>18</v>
      </c>
      <c r="C5" s="1" t="s">
        <v>14</v>
      </c>
      <c r="D5" s="2" t="s">
        <v>19</v>
      </c>
      <c r="E5" s="1">
        <v>401</v>
      </c>
      <c r="F5" s="1">
        <v>413</v>
      </c>
      <c r="G5" s="1">
        <v>7</v>
      </c>
      <c r="H5" s="1">
        <v>14014</v>
      </c>
      <c r="I5" s="1">
        <v>1</v>
      </c>
      <c r="J5" s="1">
        <v>74</v>
      </c>
      <c r="K5" s="1">
        <v>407</v>
      </c>
      <c r="L5" s="1">
        <v>399</v>
      </c>
      <c r="M5" s="1">
        <v>27.277777780000001</v>
      </c>
      <c r="N5">
        <f>VLOOKUP(A5,vlookup_table!$A:$G,2,FALSE)</f>
        <v>0</v>
      </c>
      <c r="O5" t="str">
        <f>VLOOKUP(A5,vlookup_table!$A:$G,3,FALSE)</f>
        <v>NC</v>
      </c>
      <c r="P5">
        <f>VLOOKUP(A5,vlookup_table!$A:$G,4,FALSE)</f>
        <v>2208</v>
      </c>
      <c r="Q5" t="str">
        <f>VLOOKUP(A5,vlookup_table!$A:$G,5,FALSE)</f>
        <v>T2</v>
      </c>
      <c r="R5" t="str">
        <f>VLOOKUP(A5,vlookup_table!$A:$G,6,FALSE)</f>
        <v>M</v>
      </c>
      <c r="S5">
        <f>VLOOKUP(A5,vlookup_table!$A:$G,7,FALSE)</f>
        <v>38</v>
      </c>
      <c r="T5">
        <f t="shared" si="0"/>
        <v>74</v>
      </c>
      <c r="U5" t="str">
        <f t="shared" si="1"/>
        <v>Pueblo</v>
      </c>
    </row>
    <row r="6" spans="1:21" ht="16" x14ac:dyDescent="0.4">
      <c r="A6" s="4">
        <v>190108</v>
      </c>
      <c r="B6" s="1" t="s">
        <v>13</v>
      </c>
      <c r="C6" s="1" t="s">
        <v>17</v>
      </c>
      <c r="D6" s="2">
        <v>995</v>
      </c>
      <c r="E6" s="1">
        <v>252</v>
      </c>
      <c r="F6" s="1">
        <v>348</v>
      </c>
      <c r="G6" s="1">
        <v>0</v>
      </c>
      <c r="H6" s="1">
        <v>17991</v>
      </c>
      <c r="I6" s="1">
        <v>5</v>
      </c>
      <c r="J6" s="1">
        <v>6</v>
      </c>
      <c r="K6" s="1">
        <v>280</v>
      </c>
      <c r="L6" s="1">
        <v>316</v>
      </c>
      <c r="M6" s="1">
        <v>6</v>
      </c>
      <c r="N6">
        <f>VLOOKUP(A6,vlookup_table!$A:$G,2,FALSE)</f>
        <v>28</v>
      </c>
      <c r="O6" t="str">
        <f>VLOOKUP(A6,vlookup_table!$A:$G,3,FALSE)</f>
        <v>FL</v>
      </c>
      <c r="P6">
        <f>VLOOKUP(A6,vlookup_table!$A:$G,4,FALSE)</f>
        <v>0</v>
      </c>
      <c r="Q6" t="str">
        <f>VLOOKUP(A6,vlookup_table!$A:$G,5,FALSE)</f>
        <v>C2</v>
      </c>
      <c r="R6" t="str">
        <f>VLOOKUP(A6,vlookup_table!$A:$G,6,FALSE)</f>
        <v>F</v>
      </c>
      <c r="S6">
        <f>VLOOKUP(A6,vlookup_table!$A:$G,7,FALSE)</f>
        <v>5</v>
      </c>
      <c r="T6">
        <f t="shared" si="0"/>
        <v>96</v>
      </c>
      <c r="U6" t="str">
        <f t="shared" si="1"/>
        <v>Ciudad</v>
      </c>
    </row>
    <row r="7" spans="1:21" ht="16" x14ac:dyDescent="0.4">
      <c r="A7" s="4">
        <v>100640</v>
      </c>
      <c r="B7" s="1" t="s">
        <v>16</v>
      </c>
      <c r="C7" s="1" t="s">
        <v>14</v>
      </c>
      <c r="D7" s="2">
        <v>764</v>
      </c>
      <c r="E7" s="1">
        <v>457</v>
      </c>
      <c r="F7" s="1">
        <v>501</v>
      </c>
      <c r="G7" s="1">
        <v>1</v>
      </c>
      <c r="H7" s="1">
        <v>16022</v>
      </c>
      <c r="I7" s="1">
        <v>2</v>
      </c>
      <c r="J7" s="1">
        <v>75</v>
      </c>
      <c r="K7" s="1">
        <v>477</v>
      </c>
      <c r="L7" s="1">
        <v>480</v>
      </c>
      <c r="M7" s="1">
        <v>25.571428569999998</v>
      </c>
      <c r="N7">
        <f>VLOOKUP(A7,vlookup_table!$A:$G,2,FALSE)</f>
        <v>1</v>
      </c>
      <c r="O7" t="str">
        <f>VLOOKUP(A7,vlookup_table!$A:$G,3,FALSE)</f>
        <v>IL</v>
      </c>
      <c r="P7">
        <f>VLOOKUP(A7,vlookup_table!$A:$G,4,FALSE)</f>
        <v>6104</v>
      </c>
      <c r="Q7" t="str">
        <f>VLOOKUP(A7,vlookup_table!$A:$G,5,FALSE)</f>
        <v>S2</v>
      </c>
      <c r="R7" t="str">
        <f>VLOOKUP(A7,vlookup_table!$A:$G,6,FALSE)</f>
        <v>M</v>
      </c>
      <c r="S7">
        <f>VLOOKUP(A7,vlookup_table!$A:$G,7,FALSE)</f>
        <v>30</v>
      </c>
      <c r="T7">
        <f t="shared" si="0"/>
        <v>35</v>
      </c>
      <c r="U7" t="str">
        <f t="shared" si="1"/>
        <v>Suburbano</v>
      </c>
    </row>
    <row r="8" spans="1:21" ht="16" x14ac:dyDescent="0.4">
      <c r="A8" s="4">
        <v>18581</v>
      </c>
      <c r="B8" s="1" t="s">
        <v>18</v>
      </c>
      <c r="C8" s="1" t="s">
        <v>97</v>
      </c>
      <c r="D8" s="2">
        <v>775</v>
      </c>
      <c r="E8" s="1">
        <v>318</v>
      </c>
      <c r="F8" s="1">
        <v>419</v>
      </c>
      <c r="G8" s="1">
        <v>5</v>
      </c>
      <c r="H8" s="1">
        <v>13491</v>
      </c>
      <c r="I8" s="1">
        <v>0</v>
      </c>
      <c r="J8" s="1">
        <v>73</v>
      </c>
      <c r="K8" s="1">
        <v>364</v>
      </c>
      <c r="L8" s="1">
        <v>380</v>
      </c>
      <c r="M8" s="1">
        <v>4.625</v>
      </c>
      <c r="N8">
        <f>VLOOKUP(A8,vlookup_table!$A:$G,2,FALSE)</f>
        <v>0</v>
      </c>
      <c r="O8" t="str">
        <f>VLOOKUP(A8,vlookup_table!$A:$G,3,FALSE)</f>
        <v>NC</v>
      </c>
      <c r="P8">
        <f>VLOOKUP(A8,vlookup_table!$A:$G,4,FALSE)</f>
        <v>4407</v>
      </c>
      <c r="Q8" t="str">
        <f>VLOOKUP(A8,vlookup_table!$A:$G,5,FALSE)</f>
        <v>R2</v>
      </c>
      <c r="R8" t="str">
        <f>VLOOKUP(A8,vlookup_table!$A:$G,6,FALSE)</f>
        <v>F</v>
      </c>
      <c r="S8">
        <f>VLOOKUP(A8,vlookup_table!$A:$G,7,FALSE)</f>
        <v>12</v>
      </c>
      <c r="T8">
        <f t="shared" si="0"/>
        <v>52</v>
      </c>
      <c r="U8" t="str">
        <f t="shared" si="1"/>
        <v>Rural</v>
      </c>
    </row>
    <row r="9" spans="1:21" ht="16" x14ac:dyDescent="0.4">
      <c r="A9" s="4">
        <v>119038</v>
      </c>
      <c r="B9" s="1" t="s">
        <v>20</v>
      </c>
      <c r="C9" s="1" t="s">
        <v>14</v>
      </c>
      <c r="D9" s="2">
        <v>890</v>
      </c>
      <c r="E9" s="1">
        <v>519</v>
      </c>
      <c r="F9" s="1">
        <v>560</v>
      </c>
      <c r="G9" s="1">
        <v>0</v>
      </c>
      <c r="H9" s="1">
        <v>17872</v>
      </c>
      <c r="I9" s="1">
        <v>2</v>
      </c>
      <c r="J9" s="1">
        <v>46</v>
      </c>
      <c r="K9" s="1">
        <v>525</v>
      </c>
      <c r="L9" s="1">
        <v>551</v>
      </c>
      <c r="M9" s="1">
        <v>6.1749999999999998</v>
      </c>
      <c r="N9">
        <f>VLOOKUP(A9,vlookup_table!$A:$G,2,FALSE)</f>
        <v>1002</v>
      </c>
      <c r="O9" t="str">
        <f>VLOOKUP(A9,vlookup_table!$A:$G,3,FALSE)</f>
        <v>TX</v>
      </c>
      <c r="P9">
        <f>VLOOKUP(A9,vlookup_table!$A:$G,4,FALSE)</f>
        <v>0</v>
      </c>
      <c r="Q9" t="str">
        <f>VLOOKUP(A9,vlookup_table!$A:$G,5,FALSE)</f>
        <v>C1</v>
      </c>
      <c r="R9" t="str">
        <f>VLOOKUP(A9,vlookup_table!$A:$G,6,FALSE)</f>
        <v>M</v>
      </c>
      <c r="S9">
        <f>VLOOKUP(A9,vlookup_table!$A:$G,7,FALSE)</f>
        <v>7</v>
      </c>
      <c r="T9">
        <f t="shared" si="0"/>
        <v>96</v>
      </c>
      <c r="U9" t="str">
        <f t="shared" si="1"/>
        <v>Ciudad</v>
      </c>
    </row>
    <row r="10" spans="1:21" ht="16" x14ac:dyDescent="0.4">
      <c r="A10" s="4">
        <v>173223</v>
      </c>
      <c r="B10" s="1" t="s">
        <v>21</v>
      </c>
      <c r="C10" s="1" t="s">
        <v>17</v>
      </c>
      <c r="D10" s="2"/>
      <c r="E10" s="1">
        <v>184</v>
      </c>
      <c r="F10" s="1">
        <v>250</v>
      </c>
      <c r="G10" s="1">
        <v>0</v>
      </c>
      <c r="H10" s="1">
        <v>8708</v>
      </c>
      <c r="I10" s="1">
        <v>2</v>
      </c>
      <c r="J10" s="1">
        <v>63</v>
      </c>
      <c r="K10" s="1">
        <v>206</v>
      </c>
      <c r="L10" s="1">
        <v>235</v>
      </c>
      <c r="M10" s="1">
        <v>8.8181818179999993</v>
      </c>
      <c r="N10">
        <f>VLOOKUP(A10,vlookup_table!$A:$G,2,FALSE)</f>
        <v>0</v>
      </c>
      <c r="O10" t="str">
        <f>VLOOKUP(A10,vlookup_table!$A:$G,3,FALSE)</f>
        <v>CA</v>
      </c>
      <c r="P10">
        <f>VLOOKUP(A10,vlookup_table!$A:$G,4,FALSE)</f>
        <v>1801</v>
      </c>
      <c r="Q10" t="str">
        <f>VLOOKUP(A10,vlookup_table!$A:$G,5,FALSE)</f>
        <v>T2</v>
      </c>
      <c r="R10" t="str">
        <f>VLOOKUP(A10,vlookup_table!$A:$G,6,FALSE)</f>
        <v>F</v>
      </c>
      <c r="S10">
        <f>VLOOKUP(A10,vlookup_table!$A:$G,7,FALSE)</f>
        <v>10</v>
      </c>
      <c r="T10">
        <f t="shared" si="0"/>
        <v>78</v>
      </c>
      <c r="U10" t="str">
        <f t="shared" si="1"/>
        <v>Pueblo</v>
      </c>
    </row>
    <row r="11" spans="1:21" ht="16" x14ac:dyDescent="0.4">
      <c r="A11" s="4">
        <v>157988</v>
      </c>
      <c r="B11" s="1" t="s">
        <v>21</v>
      </c>
      <c r="C11" s="1" t="s">
        <v>17</v>
      </c>
      <c r="D11" s="2" t="s">
        <v>22</v>
      </c>
      <c r="E11" s="1">
        <v>593</v>
      </c>
      <c r="F11" s="1">
        <v>617</v>
      </c>
      <c r="G11" s="1">
        <v>61</v>
      </c>
      <c r="H11" s="1">
        <v>17838</v>
      </c>
      <c r="I11" s="1">
        <v>7</v>
      </c>
      <c r="J11" s="1">
        <v>62</v>
      </c>
      <c r="K11" s="1"/>
      <c r="L11" s="1">
        <v>619</v>
      </c>
      <c r="M11" s="1">
        <v>6.6666666670000003</v>
      </c>
      <c r="N11">
        <f>VLOOKUP(A11,vlookup_table!$A:$G,2,FALSE)</f>
        <v>28</v>
      </c>
      <c r="O11" t="str">
        <f>VLOOKUP(A11,vlookup_table!$A:$G,3,FALSE)</f>
        <v>CA</v>
      </c>
      <c r="P11">
        <f>VLOOKUP(A11,vlookup_table!$A:$G,4,FALSE)</f>
        <v>0</v>
      </c>
      <c r="Q11" t="str">
        <f>VLOOKUP(A11,vlookup_table!$A:$G,5,FALSE)</f>
        <v>S1</v>
      </c>
      <c r="R11" t="str">
        <f>VLOOKUP(A11,vlookup_table!$A:$G,6,FALSE)</f>
        <v>F</v>
      </c>
      <c r="S11">
        <f>VLOOKUP(A11,vlookup_table!$A:$G,7,FALSE)</f>
        <v>10</v>
      </c>
      <c r="T11">
        <f t="shared" si="0"/>
        <v>96</v>
      </c>
      <c r="U11" t="str">
        <f t="shared" si="1"/>
        <v>Suburbano</v>
      </c>
    </row>
    <row r="12" spans="1:21" ht="16" x14ac:dyDescent="0.4">
      <c r="A12" s="4">
        <v>141720</v>
      </c>
      <c r="B12" s="1" t="s">
        <v>23</v>
      </c>
      <c r="C12" s="1" t="s">
        <v>17</v>
      </c>
      <c r="D12" s="1">
        <v>1569</v>
      </c>
      <c r="E12" s="1">
        <v>673</v>
      </c>
      <c r="F12" s="1">
        <v>781</v>
      </c>
      <c r="G12" s="1">
        <v>22</v>
      </c>
      <c r="H12" s="1">
        <v>25775</v>
      </c>
      <c r="I12" s="1">
        <v>3</v>
      </c>
      <c r="J12" s="1">
        <v>44</v>
      </c>
      <c r="K12" s="1">
        <v>672</v>
      </c>
      <c r="L12" s="1">
        <v>785</v>
      </c>
      <c r="M12" s="1">
        <v>13</v>
      </c>
      <c r="N12">
        <f>VLOOKUP(A12,vlookup_table!$A:$G,2,FALSE)</f>
        <v>28</v>
      </c>
      <c r="O12" t="str">
        <f>VLOOKUP(A12,vlookup_table!$A:$G,3,FALSE)</f>
        <v>NV</v>
      </c>
      <c r="P12">
        <f>VLOOKUP(A12,vlookup_table!$A:$G,4,FALSE)</f>
        <v>5401</v>
      </c>
      <c r="Q12" t="str">
        <f>VLOOKUP(A12,vlookup_table!$A:$G,5,FALSE)</f>
        <v>T1</v>
      </c>
      <c r="R12" t="str">
        <f>VLOOKUP(A12,vlookup_table!$A:$G,6,FALSE)</f>
        <v>F</v>
      </c>
      <c r="S12">
        <f>VLOOKUP(A12,vlookup_table!$A:$G,7,FALSE)</f>
        <v>5</v>
      </c>
      <c r="T12">
        <f t="shared" si="0"/>
        <v>42</v>
      </c>
      <c r="U12" t="str">
        <f t="shared" si="1"/>
        <v>Pueblo</v>
      </c>
    </row>
    <row r="13" spans="1:21" ht="16" x14ac:dyDescent="0.4">
      <c r="A13" s="4">
        <v>186272</v>
      </c>
      <c r="B13" s="1" t="s">
        <v>21</v>
      </c>
      <c r="C13" s="1" t="s">
        <v>17</v>
      </c>
      <c r="D13" s="1">
        <v>3515</v>
      </c>
      <c r="E13" s="1">
        <v>521</v>
      </c>
      <c r="F13" s="1">
        <v>588</v>
      </c>
      <c r="G13" s="1">
        <v>97</v>
      </c>
      <c r="H13" s="1">
        <v>20068</v>
      </c>
      <c r="I13" s="1">
        <v>11</v>
      </c>
      <c r="J13" s="1">
        <v>54</v>
      </c>
      <c r="K13" s="1">
        <v>565</v>
      </c>
      <c r="L13" s="1">
        <v>549</v>
      </c>
      <c r="M13" s="1">
        <v>8.64</v>
      </c>
      <c r="N13">
        <f>VLOOKUP(A13,vlookup_table!$A:$G,2,FALSE)</f>
        <v>2</v>
      </c>
      <c r="O13" t="str">
        <f>VLOOKUP(A13,vlookup_table!$A:$G,3,FALSE)</f>
        <v>CA</v>
      </c>
      <c r="P13">
        <f>VLOOKUP(A13,vlookup_table!$A:$G,4,FALSE)</f>
        <v>3401</v>
      </c>
      <c r="Q13" t="str">
        <f>VLOOKUP(A13,vlookup_table!$A:$G,5,FALSE)</f>
        <v>U1</v>
      </c>
      <c r="R13" t="str">
        <f>VLOOKUP(A13,vlookup_table!$A:$G,6,FALSE)</f>
        <v>F</v>
      </c>
      <c r="S13">
        <f>VLOOKUP(A13,vlookup_table!$A:$G,7,FALSE)</f>
        <v>10</v>
      </c>
      <c r="T13">
        <f t="shared" si="0"/>
        <v>62</v>
      </c>
      <c r="U13" t="str">
        <f t="shared" si="1"/>
        <v>Urbano</v>
      </c>
    </row>
    <row r="14" spans="1:21" ht="16" x14ac:dyDescent="0.4">
      <c r="A14" s="4">
        <v>154301</v>
      </c>
      <c r="B14" s="1" t="s">
        <v>99</v>
      </c>
      <c r="C14" s="1" t="s">
        <v>17</v>
      </c>
      <c r="D14" s="1">
        <v>1026</v>
      </c>
      <c r="E14" s="1">
        <v>459</v>
      </c>
      <c r="F14" s="1">
        <v>496</v>
      </c>
      <c r="G14" s="1">
        <v>1</v>
      </c>
      <c r="H14" s="1">
        <v>13803</v>
      </c>
      <c r="I14" s="1">
        <v>12</v>
      </c>
      <c r="J14" s="1">
        <v>52</v>
      </c>
      <c r="K14" s="1">
        <v>470</v>
      </c>
      <c r="L14" s="1">
        <v>491</v>
      </c>
      <c r="M14" s="1">
        <v>11.25</v>
      </c>
      <c r="N14">
        <f>VLOOKUP(A14,vlookup_table!$A:$G,2,FALSE)</f>
        <v>2</v>
      </c>
      <c r="O14" t="str">
        <f>VLOOKUP(A14,vlookup_table!$A:$G,3,FALSE)</f>
        <v>CA</v>
      </c>
      <c r="P14">
        <f>VLOOKUP(A14,vlookup_table!$A:$G,4,FALSE)</f>
        <v>2801</v>
      </c>
      <c r="Q14" t="str">
        <f>VLOOKUP(A14,vlookup_table!$A:$G,5,FALSE)</f>
        <v>T2</v>
      </c>
      <c r="R14" t="str">
        <f>VLOOKUP(A14,vlookup_table!$A:$G,6,FALSE)</f>
        <v>F</v>
      </c>
      <c r="S14">
        <f>VLOOKUP(A14,vlookup_table!$A:$G,7,FALSE)</f>
        <v>10</v>
      </c>
      <c r="T14">
        <f t="shared" si="0"/>
        <v>68</v>
      </c>
      <c r="U14" t="str">
        <f t="shared" si="1"/>
        <v>Pueblo</v>
      </c>
    </row>
    <row r="15" spans="1:21" ht="16" x14ac:dyDescent="0.4">
      <c r="A15" s="4">
        <v>189722</v>
      </c>
      <c r="B15" s="1" t="s">
        <v>24</v>
      </c>
      <c r="C15" s="1" t="s">
        <v>14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5.7272727269999999</v>
      </c>
      <c r="N15">
        <f>VLOOKUP(A15,vlookup_table!$A:$G,2,FALSE)</f>
        <v>1</v>
      </c>
      <c r="O15" t="str">
        <f>VLOOKUP(A15,vlookup_table!$A:$G,3,FALSE)</f>
        <v>AP</v>
      </c>
      <c r="P15">
        <f>VLOOKUP(A15,vlookup_table!$A:$G,4,FALSE)</f>
        <v>0</v>
      </c>
      <c r="Q15" t="str">
        <f>VLOOKUP(A15,vlookup_table!$A:$G,5,FALSE)</f>
        <v/>
      </c>
      <c r="R15" t="str">
        <f>VLOOKUP(A15,vlookup_table!$A:$G,6,FALSE)</f>
        <v>M</v>
      </c>
      <c r="S15">
        <f>VLOOKUP(A15,vlookup_table!$A:$G,7,FALSE)</f>
        <v>6</v>
      </c>
      <c r="T15">
        <f t="shared" si="0"/>
        <v>96</v>
      </c>
      <c r="U15" t="str">
        <f t="shared" si="1"/>
        <v/>
      </c>
    </row>
    <row r="16" spans="1:21" ht="16" x14ac:dyDescent="0.4">
      <c r="A16" s="4">
        <v>188304</v>
      </c>
      <c r="B16" s="1" t="s">
        <v>25</v>
      </c>
      <c r="C16" s="1" t="s">
        <v>17</v>
      </c>
      <c r="D16" s="1">
        <v>376</v>
      </c>
      <c r="E16" s="1">
        <v>263</v>
      </c>
      <c r="F16" s="1">
        <v>316</v>
      </c>
      <c r="G16" s="1">
        <v>0</v>
      </c>
      <c r="H16" s="3">
        <v>10755</v>
      </c>
      <c r="I16" s="1">
        <v>1</v>
      </c>
      <c r="J16" s="1">
        <v>75</v>
      </c>
      <c r="K16" s="1">
        <v>303</v>
      </c>
      <c r="L16" s="1">
        <v>287</v>
      </c>
      <c r="M16" s="1">
        <v>10.55</v>
      </c>
      <c r="N16">
        <f>VLOOKUP(A16,vlookup_table!$A:$G,2,FALSE)</f>
        <v>0</v>
      </c>
      <c r="O16" t="str">
        <f>VLOOKUP(A16,vlookup_table!$A:$G,3,FALSE)</f>
        <v>KS</v>
      </c>
      <c r="P16">
        <f>VLOOKUP(A16,vlookup_table!$A:$G,4,FALSE)</f>
        <v>2405</v>
      </c>
      <c r="Q16" t="str">
        <f>VLOOKUP(A16,vlookup_table!$A:$G,5,FALSE)</f>
        <v>T2</v>
      </c>
      <c r="R16" t="str">
        <f>VLOOKUP(A16,vlookup_table!$A:$G,6,FALSE)</f>
        <v>F</v>
      </c>
      <c r="S16">
        <f>VLOOKUP(A16,vlookup_table!$A:$G,7,FALSE)</f>
        <v>10</v>
      </c>
      <c r="T16">
        <f t="shared" si="0"/>
        <v>72</v>
      </c>
      <c r="U16" t="str">
        <f t="shared" si="1"/>
        <v>Pueblo</v>
      </c>
    </row>
    <row r="17" spans="1:21" ht="16" x14ac:dyDescent="0.4">
      <c r="A17" s="4">
        <v>73699</v>
      </c>
      <c r="B17" s="1" t="s">
        <v>26</v>
      </c>
      <c r="C17" s="1"/>
      <c r="D17" s="1">
        <v>890</v>
      </c>
      <c r="E17" s="1">
        <v>463</v>
      </c>
      <c r="F17" s="1">
        <v>523</v>
      </c>
      <c r="G17" s="1">
        <v>1</v>
      </c>
      <c r="H17" s="1">
        <v>9493</v>
      </c>
      <c r="I17" s="1">
        <v>5</v>
      </c>
      <c r="J17" s="1">
        <v>53</v>
      </c>
      <c r="K17" s="1">
        <v>474</v>
      </c>
      <c r="L17" s="1">
        <v>512</v>
      </c>
      <c r="M17" s="1">
        <v>11.28571429</v>
      </c>
      <c r="N17">
        <f>VLOOKUP(A17,vlookup_table!$A:$G,2,FALSE)</f>
        <v>1</v>
      </c>
      <c r="O17" t="str">
        <f>VLOOKUP(A17,vlookup_table!$A:$G,3,FALSE)</f>
        <v>MI</v>
      </c>
      <c r="P17">
        <f>VLOOKUP(A17,vlookup_table!$A:$G,4,FALSE)</f>
        <v>5102</v>
      </c>
      <c r="Q17" t="str">
        <f>VLOOKUP(A17,vlookup_table!$A:$G,5,FALSE)</f>
        <v>S1</v>
      </c>
      <c r="R17" t="str">
        <f>VLOOKUP(A17,vlookup_table!$A:$G,6,FALSE)</f>
        <v/>
      </c>
      <c r="S17">
        <f>VLOOKUP(A17,vlookup_table!$A:$G,7,FALSE)</f>
        <v>15</v>
      </c>
      <c r="T17">
        <f t="shared" si="0"/>
        <v>45</v>
      </c>
      <c r="U17" t="str">
        <f t="shared" si="1"/>
        <v>Suburbano</v>
      </c>
    </row>
    <row r="18" spans="1:21" ht="16" x14ac:dyDescent="0.4">
      <c r="A18" s="4">
        <v>31977</v>
      </c>
      <c r="B18" s="1" t="s">
        <v>13</v>
      </c>
      <c r="C18" s="1" t="s">
        <v>17</v>
      </c>
      <c r="D18" s="1">
        <v>1513</v>
      </c>
      <c r="E18" s="1">
        <v>521</v>
      </c>
      <c r="F18" s="1">
        <v>702</v>
      </c>
      <c r="G18" s="1">
        <v>31</v>
      </c>
      <c r="H18" s="1">
        <v>28124</v>
      </c>
      <c r="I18" s="1">
        <v>3</v>
      </c>
      <c r="J18" s="1">
        <v>24</v>
      </c>
      <c r="K18" s="1">
        <v>599</v>
      </c>
      <c r="L18" s="1">
        <v>615</v>
      </c>
      <c r="M18" s="1">
        <v>18.5</v>
      </c>
      <c r="N18">
        <f>VLOOKUP(A18,vlookup_table!$A:$G,2,FALSE)</f>
        <v>2</v>
      </c>
      <c r="O18" t="str">
        <f>VLOOKUP(A18,vlookup_table!$A:$G,3,FALSE)</f>
        <v>FL</v>
      </c>
      <c r="P18">
        <f>VLOOKUP(A18,vlookup_table!$A:$G,4,FALSE)</f>
        <v>2701</v>
      </c>
      <c r="Q18" t="str">
        <f>VLOOKUP(A18,vlookup_table!$A:$G,5,FALSE)</f>
        <v>T1</v>
      </c>
      <c r="R18" t="str">
        <f>VLOOKUP(A18,vlookup_table!$A:$G,6,FALSE)</f>
        <v>F</v>
      </c>
      <c r="S18">
        <f>VLOOKUP(A18,vlookup_table!$A:$G,7,FALSE)</f>
        <v>28</v>
      </c>
      <c r="T18">
        <f t="shared" si="0"/>
        <v>69</v>
      </c>
      <c r="U18" t="str">
        <f t="shared" si="1"/>
        <v>Pueblo</v>
      </c>
    </row>
    <row r="19" spans="1:21" ht="16" x14ac:dyDescent="0.4">
      <c r="A19" s="4">
        <v>44336</v>
      </c>
      <c r="B19" s="1" t="s">
        <v>13</v>
      </c>
      <c r="C19" s="1" t="s">
        <v>17</v>
      </c>
      <c r="D19" s="1">
        <v>948</v>
      </c>
      <c r="E19" s="1">
        <v>330</v>
      </c>
      <c r="F19" s="1">
        <v>411</v>
      </c>
      <c r="G19" s="1">
        <v>4</v>
      </c>
      <c r="H19" s="1">
        <v>17728</v>
      </c>
      <c r="I19" s="1">
        <v>6</v>
      </c>
      <c r="J19" s="1">
        <v>8</v>
      </c>
      <c r="K19" s="1">
        <v>365</v>
      </c>
      <c r="L19" s="1">
        <v>368</v>
      </c>
      <c r="M19" s="1">
        <v>15</v>
      </c>
      <c r="N19">
        <f>VLOOKUP(A19,vlookup_table!$A:$G,2,FALSE)</f>
        <v>0</v>
      </c>
      <c r="O19" t="str">
        <f>VLOOKUP(A19,vlookup_table!$A:$G,3,FALSE)</f>
        <v>FL</v>
      </c>
      <c r="P19">
        <f>VLOOKUP(A19,vlookup_table!$A:$G,4,FALSE)</f>
        <v>6501</v>
      </c>
      <c r="Q19" t="str">
        <f>VLOOKUP(A19,vlookup_table!$A:$G,5,FALSE)</f>
        <v>C2</v>
      </c>
      <c r="R19" t="str">
        <f>VLOOKUP(A19,vlookup_table!$A:$G,6,FALSE)</f>
        <v>F</v>
      </c>
      <c r="S19">
        <f>VLOOKUP(A19,vlookup_table!$A:$G,7,FALSE)</f>
        <v>15</v>
      </c>
      <c r="T19">
        <f t="shared" si="0"/>
        <v>31</v>
      </c>
      <c r="U19" t="str">
        <f t="shared" si="1"/>
        <v>Ciudad</v>
      </c>
    </row>
    <row r="20" spans="1:21" ht="16" x14ac:dyDescent="0.4">
      <c r="A20" s="4">
        <v>127823</v>
      </c>
      <c r="B20" s="1" t="s">
        <v>20</v>
      </c>
      <c r="C20" s="1" t="s">
        <v>17</v>
      </c>
      <c r="D20" s="1">
        <v>258</v>
      </c>
      <c r="E20" s="1">
        <v>64</v>
      </c>
      <c r="F20" s="1">
        <v>74</v>
      </c>
      <c r="G20" s="1">
        <v>0</v>
      </c>
      <c r="H20" s="1">
        <v>4236</v>
      </c>
      <c r="I20" s="1">
        <v>0</v>
      </c>
      <c r="J20" s="1">
        <v>94</v>
      </c>
      <c r="K20" s="1">
        <v>60</v>
      </c>
      <c r="L20" s="1">
        <v>93</v>
      </c>
      <c r="M20" s="1">
        <v>5.45</v>
      </c>
      <c r="N20">
        <f>VLOOKUP(A20,vlookup_table!$A:$G,2,FALSE)</f>
        <v>2</v>
      </c>
      <c r="O20" t="str">
        <f>VLOOKUP(A20,vlookup_table!$A:$G,3,FALSE)</f>
        <v>TX</v>
      </c>
      <c r="P20">
        <f>VLOOKUP(A20,vlookup_table!$A:$G,4,FALSE)</f>
        <v>2301</v>
      </c>
      <c r="Q20" t="str">
        <f>VLOOKUP(A20,vlookup_table!$A:$G,5,FALSE)</f>
        <v>C3</v>
      </c>
      <c r="R20" t="str">
        <f>VLOOKUP(A20,vlookup_table!$A:$G,6,FALSE)</f>
        <v>F</v>
      </c>
      <c r="S20">
        <f>VLOOKUP(A20,vlookup_table!$A:$G,7,FALSE)</f>
        <v>6</v>
      </c>
      <c r="T20">
        <f t="shared" si="0"/>
        <v>73</v>
      </c>
      <c r="U20" t="str">
        <f t="shared" si="1"/>
        <v>Ciudad</v>
      </c>
    </row>
    <row r="21" spans="1:21" ht="16" x14ac:dyDescent="0.4">
      <c r="A21" s="4">
        <v>150739</v>
      </c>
      <c r="B21" s="1" t="s">
        <v>21</v>
      </c>
      <c r="C21" s="1" t="s">
        <v>27</v>
      </c>
      <c r="D21" s="1">
        <v>1951</v>
      </c>
      <c r="E21" s="1">
        <v>556</v>
      </c>
      <c r="F21" s="1">
        <v>625</v>
      </c>
      <c r="G21" s="1">
        <v>44</v>
      </c>
      <c r="H21" s="1">
        <v>17208</v>
      </c>
      <c r="I21" s="1">
        <v>10</v>
      </c>
      <c r="J21" s="1">
        <v>66</v>
      </c>
      <c r="K21" s="1">
        <v>578</v>
      </c>
      <c r="L21" s="1">
        <v>619</v>
      </c>
      <c r="M21" s="1">
        <v>9.6818181820000007</v>
      </c>
      <c r="N21">
        <f>VLOOKUP(A21,vlookup_table!$A:$G,2,FALSE)</f>
        <v>2</v>
      </c>
      <c r="O21" t="str">
        <f>VLOOKUP(A21,vlookup_table!$A:$G,3,FALSE)</f>
        <v>CA</v>
      </c>
      <c r="P21">
        <f>VLOOKUP(A21,vlookup_table!$A:$G,4,FALSE)</f>
        <v>5410</v>
      </c>
      <c r="Q21" t="str">
        <f>VLOOKUP(A21,vlookup_table!$A:$G,5,FALSE)</f>
        <v>S1</v>
      </c>
      <c r="R21" t="str">
        <f>VLOOKUP(A21,vlookup_table!$A:$G,6,FALSE)</f>
        <v>U</v>
      </c>
      <c r="S21">
        <f>VLOOKUP(A21,vlookup_table!$A:$G,7,FALSE)</f>
        <v>12</v>
      </c>
      <c r="T21">
        <f t="shared" si="0"/>
        <v>42</v>
      </c>
      <c r="U21" t="str">
        <f t="shared" si="1"/>
        <v>Suburbano</v>
      </c>
    </row>
    <row r="22" spans="1:21" ht="16" x14ac:dyDescent="0.4">
      <c r="A22" s="4">
        <v>41384</v>
      </c>
      <c r="B22" s="1" t="s">
        <v>13</v>
      </c>
      <c r="C22" s="1" t="s">
        <v>17</v>
      </c>
      <c r="D22" s="1">
        <v>556</v>
      </c>
      <c r="E22" s="1">
        <v>318</v>
      </c>
      <c r="F22" s="1"/>
      <c r="G22" s="1">
        <v>0</v>
      </c>
      <c r="H22" s="1">
        <v>11779</v>
      </c>
      <c r="I22" s="1">
        <v>16</v>
      </c>
      <c r="J22" s="1">
        <v>22</v>
      </c>
      <c r="K22" s="1">
        <v>358</v>
      </c>
      <c r="L22" s="1">
        <v>320</v>
      </c>
      <c r="M22" s="1">
        <v>9.4285714289999998</v>
      </c>
      <c r="N22">
        <f>VLOOKUP(A22,vlookup_table!$A:$G,2,FALSE)</f>
        <v>28</v>
      </c>
      <c r="O22" t="str">
        <f>VLOOKUP(A22,vlookup_table!$A:$G,3,FALSE)</f>
        <v>FL</v>
      </c>
      <c r="P22">
        <f>VLOOKUP(A22,vlookup_table!$A:$G,4,FALSE)</f>
        <v>5107</v>
      </c>
      <c r="Q22" t="str">
        <f>VLOOKUP(A22,vlookup_table!$A:$G,5,FALSE)</f>
        <v>S3</v>
      </c>
      <c r="R22" t="str">
        <f>VLOOKUP(A22,vlookup_table!$A:$G,6,FALSE)</f>
        <v>F</v>
      </c>
      <c r="S22">
        <f>VLOOKUP(A22,vlookup_table!$A:$G,7,FALSE)</f>
        <v>12</v>
      </c>
      <c r="T22">
        <f t="shared" si="0"/>
        <v>45</v>
      </c>
      <c r="U22" t="str">
        <f t="shared" si="1"/>
        <v>Suburbano</v>
      </c>
    </row>
    <row r="23" spans="1:21" ht="16" x14ac:dyDescent="0.4">
      <c r="A23" s="4">
        <v>114721</v>
      </c>
      <c r="B23" s="1" t="s">
        <v>28</v>
      </c>
      <c r="C23" s="1"/>
      <c r="D23" s="1">
        <v>1040</v>
      </c>
      <c r="E23" s="1">
        <v>472</v>
      </c>
      <c r="F23" s="1">
        <v>656</v>
      </c>
      <c r="G23" s="1">
        <v>0</v>
      </c>
      <c r="H23" s="1">
        <v>26962</v>
      </c>
      <c r="I23" s="1">
        <v>2</v>
      </c>
      <c r="J23" s="1">
        <v>56</v>
      </c>
      <c r="K23" s="1">
        <v>609</v>
      </c>
      <c r="L23" s="1">
        <v>579</v>
      </c>
      <c r="M23" s="1">
        <v>11.66666667</v>
      </c>
      <c r="N23">
        <f>VLOOKUP(A23,vlookup_table!$A:$G,2,FALSE)</f>
        <v>0</v>
      </c>
      <c r="O23" t="str">
        <f>VLOOKUP(A23,vlookup_table!$A:$G,3,FALSE)</f>
        <v>OK</v>
      </c>
      <c r="P23">
        <f>VLOOKUP(A23,vlookup_table!$A:$G,4,FALSE)</f>
        <v>0</v>
      </c>
      <c r="Q23" t="str">
        <f>VLOOKUP(A23,vlookup_table!$A:$G,5,FALSE)</f>
        <v>C2</v>
      </c>
      <c r="R23" t="str">
        <f>VLOOKUP(A23,vlookup_table!$A:$G,6,FALSE)</f>
        <v/>
      </c>
      <c r="S23">
        <f>VLOOKUP(A23,vlookup_table!$A:$G,7,FALSE)</f>
        <v>15</v>
      </c>
      <c r="T23">
        <f t="shared" si="0"/>
        <v>96</v>
      </c>
      <c r="U23" t="str">
        <f t="shared" si="1"/>
        <v>Ciudad</v>
      </c>
    </row>
    <row r="24" spans="1:21" ht="16" x14ac:dyDescent="0.4">
      <c r="A24" s="4">
        <v>111795</v>
      </c>
      <c r="B24" s="1" t="s">
        <v>29</v>
      </c>
      <c r="C24" s="1"/>
      <c r="D24" s="1">
        <v>603</v>
      </c>
      <c r="E24" s="1">
        <v>208</v>
      </c>
      <c r="F24" s="1">
        <v>341</v>
      </c>
      <c r="G24" s="1">
        <v>2</v>
      </c>
      <c r="H24" s="1">
        <v>12038</v>
      </c>
      <c r="I24" s="1">
        <v>1</v>
      </c>
      <c r="J24" s="1">
        <v>70</v>
      </c>
      <c r="K24" s="1">
        <v>264</v>
      </c>
      <c r="L24" s="1">
        <v>288</v>
      </c>
      <c r="M24" s="1">
        <v>5</v>
      </c>
      <c r="N24">
        <f>VLOOKUP(A24,vlookup_table!$A:$G,2,FALSE)</f>
        <v>0</v>
      </c>
      <c r="O24" t="str">
        <f>VLOOKUP(A24,vlookup_table!$A:$G,3,FALSE)</f>
        <v>AR</v>
      </c>
      <c r="P24">
        <f>VLOOKUP(A24,vlookup_table!$A:$G,4,FALSE)</f>
        <v>0</v>
      </c>
      <c r="Q24" t="str">
        <f>VLOOKUP(A24,vlookup_table!$A:$G,5,FALSE)</f>
        <v/>
      </c>
      <c r="R24" t="str">
        <f>VLOOKUP(A24,vlookup_table!$A:$G,6,FALSE)</f>
        <v/>
      </c>
      <c r="S24">
        <f>VLOOKUP(A24,vlookup_table!$A:$G,7,FALSE)</f>
        <v>5</v>
      </c>
      <c r="T24">
        <f t="shared" si="0"/>
        <v>96</v>
      </c>
      <c r="U24" t="str">
        <f t="shared" si="1"/>
        <v/>
      </c>
    </row>
    <row r="25" spans="1:21" ht="16" x14ac:dyDescent="0.4">
      <c r="A25" s="4">
        <v>64480</v>
      </c>
      <c r="B25" s="1" t="s">
        <v>30</v>
      </c>
      <c r="C25" s="1" t="s">
        <v>17</v>
      </c>
      <c r="D25" s="1">
        <v>526</v>
      </c>
      <c r="E25" s="1">
        <v>277</v>
      </c>
      <c r="F25" s="1">
        <v>370</v>
      </c>
      <c r="G25" s="1">
        <v>1</v>
      </c>
      <c r="H25" s="1">
        <v>12826</v>
      </c>
      <c r="I25" s="1">
        <v>1</v>
      </c>
      <c r="J25" s="1">
        <v>80</v>
      </c>
      <c r="K25" s="1">
        <v>336</v>
      </c>
      <c r="L25" s="1">
        <v>317</v>
      </c>
      <c r="M25" s="1">
        <v>7.1428571429999996</v>
      </c>
      <c r="N25">
        <f>VLOOKUP(A25,vlookup_table!$A:$G,2,FALSE)</f>
        <v>28</v>
      </c>
      <c r="O25" t="str">
        <f>VLOOKUP(A25,vlookup_table!$A:$G,3,FALSE)</f>
        <v>IN</v>
      </c>
      <c r="P25">
        <f>VLOOKUP(A25,vlookup_table!$A:$G,4,FALSE)</f>
        <v>0</v>
      </c>
      <c r="Q25" t="str">
        <f>VLOOKUP(A25,vlookup_table!$A:$G,5,FALSE)</f>
        <v>T2</v>
      </c>
      <c r="R25" t="str">
        <f>VLOOKUP(A25,vlookup_table!$A:$G,6,FALSE)</f>
        <v>F</v>
      </c>
      <c r="S25">
        <f>VLOOKUP(A25,vlookup_table!$A:$G,7,FALSE)</f>
        <v>10</v>
      </c>
      <c r="T25">
        <f t="shared" si="0"/>
        <v>96</v>
      </c>
      <c r="U25" t="str">
        <f t="shared" si="1"/>
        <v>Pueblo</v>
      </c>
    </row>
    <row r="26" spans="1:21" ht="16" x14ac:dyDescent="0.4">
      <c r="A26" s="4">
        <v>87259</v>
      </c>
      <c r="B26" s="1" t="s">
        <v>31</v>
      </c>
      <c r="C26" s="1" t="s">
        <v>14</v>
      </c>
      <c r="D26" s="1">
        <v>717</v>
      </c>
      <c r="E26" s="1">
        <v>302</v>
      </c>
      <c r="F26" s="1">
        <v>432</v>
      </c>
      <c r="G26" s="1">
        <v>1</v>
      </c>
      <c r="H26" s="1">
        <v>15614</v>
      </c>
      <c r="I26" s="1">
        <v>1</v>
      </c>
      <c r="J26" s="1">
        <v>53</v>
      </c>
      <c r="K26" s="1">
        <v>458</v>
      </c>
      <c r="L26" s="1">
        <v>349</v>
      </c>
      <c r="M26" s="1">
        <v>9.6999999999999993</v>
      </c>
      <c r="N26">
        <f>VLOOKUP(A26,vlookup_table!$A:$G,2,FALSE)</f>
        <v>2</v>
      </c>
      <c r="O26" t="str">
        <f>VLOOKUP(A26,vlookup_table!$A:$G,3,FALSE)</f>
        <v>MT</v>
      </c>
      <c r="P26">
        <f>VLOOKUP(A26,vlookup_table!$A:$G,4,FALSE)</f>
        <v>4304</v>
      </c>
      <c r="Q26" t="str">
        <f>VLOOKUP(A26,vlookup_table!$A:$G,5,FALSE)</f>
        <v>C1</v>
      </c>
      <c r="R26" t="str">
        <f>VLOOKUP(A26,vlookup_table!$A:$G,6,FALSE)</f>
        <v>M</v>
      </c>
      <c r="S26">
        <f>VLOOKUP(A26,vlookup_table!$A:$G,7,FALSE)</f>
        <v>25</v>
      </c>
      <c r="T26">
        <f t="shared" si="0"/>
        <v>53</v>
      </c>
      <c r="U26" t="str">
        <f t="shared" si="1"/>
        <v>Ciudad</v>
      </c>
    </row>
    <row r="27" spans="1:21" ht="16" x14ac:dyDescent="0.4">
      <c r="A27" s="4">
        <v>115823</v>
      </c>
      <c r="B27" s="1" t="s">
        <v>20</v>
      </c>
      <c r="C27" s="1" t="s">
        <v>14</v>
      </c>
      <c r="D27" s="1">
        <v>1011</v>
      </c>
      <c r="E27" s="1">
        <v>593</v>
      </c>
      <c r="F27" s="1">
        <v>650</v>
      </c>
      <c r="G27" s="1">
        <v>1</v>
      </c>
      <c r="H27" s="1">
        <v>17606</v>
      </c>
      <c r="I27" s="1">
        <v>5</v>
      </c>
      <c r="J27" s="1">
        <v>61</v>
      </c>
      <c r="K27" s="1">
        <v>588</v>
      </c>
      <c r="L27" s="1">
        <v>650</v>
      </c>
      <c r="M27" s="1">
        <v>6.5</v>
      </c>
      <c r="N27">
        <f>VLOOKUP(A27,vlookup_table!$A:$G,2,FALSE)</f>
        <v>0</v>
      </c>
      <c r="O27" t="str">
        <f>VLOOKUP(A27,vlookup_table!$A:$G,3,FALSE)</f>
        <v>TX</v>
      </c>
      <c r="P27">
        <f>VLOOKUP(A27,vlookup_table!$A:$G,4,FALSE)</f>
        <v>0</v>
      </c>
      <c r="Q27" t="str">
        <f>VLOOKUP(A27,vlookup_table!$A:$G,5,FALSE)</f>
        <v>S1</v>
      </c>
      <c r="R27" t="str">
        <f>VLOOKUP(A27,vlookup_table!$A:$G,6,FALSE)</f>
        <v>M</v>
      </c>
      <c r="S27">
        <f>VLOOKUP(A27,vlookup_table!$A:$G,7,FALSE)</f>
        <v>15</v>
      </c>
      <c r="T27">
        <f t="shared" si="0"/>
        <v>96</v>
      </c>
      <c r="U27" t="str">
        <f t="shared" si="1"/>
        <v>Suburbano</v>
      </c>
    </row>
    <row r="28" spans="1:21" ht="16" x14ac:dyDescent="0.4">
      <c r="A28" s="4">
        <v>95701</v>
      </c>
      <c r="B28" s="1" t="s">
        <v>16</v>
      </c>
      <c r="C28" s="1" t="s">
        <v>14</v>
      </c>
      <c r="D28" s="1">
        <v>1063</v>
      </c>
      <c r="E28" s="1">
        <v>255</v>
      </c>
      <c r="F28" s="1">
        <v>317</v>
      </c>
      <c r="G28" s="1">
        <v>3</v>
      </c>
      <c r="H28" s="1">
        <v>14023</v>
      </c>
      <c r="I28" s="1">
        <v>16</v>
      </c>
      <c r="J28" s="1">
        <v>53</v>
      </c>
      <c r="K28" s="1">
        <v>260</v>
      </c>
      <c r="L28" s="1">
        <v>312</v>
      </c>
      <c r="M28" s="1">
        <v>8.3727906979999993</v>
      </c>
      <c r="N28">
        <f>VLOOKUP(A28,vlookup_table!$A:$G,2,FALSE)</f>
        <v>1</v>
      </c>
      <c r="O28" t="str">
        <f>VLOOKUP(A28,vlookup_table!$A:$G,3,FALSE)</f>
        <v>IL</v>
      </c>
      <c r="P28">
        <f>VLOOKUP(A28,vlookup_table!$A:$G,4,FALSE)</f>
        <v>4406</v>
      </c>
      <c r="Q28" t="str">
        <f>VLOOKUP(A28,vlookup_table!$A:$G,5,FALSE)</f>
        <v>S2</v>
      </c>
      <c r="R28" t="str">
        <f>VLOOKUP(A28,vlookup_table!$A:$G,6,FALSE)</f>
        <v>M</v>
      </c>
      <c r="S28">
        <f>VLOOKUP(A28,vlookup_table!$A:$G,7,FALSE)</f>
        <v>5</v>
      </c>
      <c r="T28">
        <f t="shared" si="0"/>
        <v>52</v>
      </c>
      <c r="U28" t="str">
        <f t="shared" si="1"/>
        <v>Suburbano</v>
      </c>
    </row>
    <row r="29" spans="1:21" ht="16" x14ac:dyDescent="0.4">
      <c r="A29" s="4">
        <v>5172</v>
      </c>
      <c r="B29" s="1" t="s">
        <v>16</v>
      </c>
      <c r="C29" s="1" t="s">
        <v>14</v>
      </c>
      <c r="D29" s="1">
        <v>291</v>
      </c>
      <c r="E29" s="1">
        <v>136</v>
      </c>
      <c r="F29" s="1">
        <v>212</v>
      </c>
      <c r="G29" s="1">
        <v>0</v>
      </c>
      <c r="H29" s="1">
        <v>8370</v>
      </c>
      <c r="I29" s="1">
        <v>5</v>
      </c>
      <c r="J29" s="1">
        <v>67</v>
      </c>
      <c r="K29" s="1">
        <v>168</v>
      </c>
      <c r="L29" s="1">
        <v>180</v>
      </c>
      <c r="M29" s="1">
        <v>10.61111111</v>
      </c>
      <c r="N29">
        <f>VLOOKUP(A29,vlookup_table!$A:$G,2,FALSE)</f>
        <v>1</v>
      </c>
      <c r="O29" t="str">
        <f>VLOOKUP(A29,vlookup_table!$A:$G,3,FALSE)</f>
        <v>IL</v>
      </c>
      <c r="P29">
        <f>VLOOKUP(A29,vlookup_table!$A:$G,4,FALSE)</f>
        <v>6105</v>
      </c>
      <c r="Q29" t="str">
        <f>VLOOKUP(A29,vlookup_table!$A:$G,5,FALSE)</f>
        <v>R3</v>
      </c>
      <c r="R29" t="str">
        <f>VLOOKUP(A29,vlookup_table!$A:$G,6,FALSE)</f>
        <v>M</v>
      </c>
      <c r="S29">
        <f>VLOOKUP(A29,vlookup_table!$A:$G,7,FALSE)</f>
        <v>10</v>
      </c>
      <c r="T29">
        <f t="shared" si="0"/>
        <v>35</v>
      </c>
      <c r="U29" t="str">
        <f t="shared" si="1"/>
        <v>Rural</v>
      </c>
    </row>
    <row r="30" spans="1:21" ht="16" x14ac:dyDescent="0.4">
      <c r="A30" s="4">
        <v>152486</v>
      </c>
      <c r="B30" s="1" t="s">
        <v>21</v>
      </c>
      <c r="C30" s="1" t="s">
        <v>14</v>
      </c>
      <c r="D30" s="1">
        <v>1538</v>
      </c>
      <c r="E30" s="1">
        <v>271</v>
      </c>
      <c r="F30" s="1">
        <v>393</v>
      </c>
      <c r="G30" s="1">
        <v>11</v>
      </c>
      <c r="H30" s="1">
        <v>15627</v>
      </c>
      <c r="I30" s="1">
        <v>5</v>
      </c>
      <c r="J30" s="1">
        <v>49</v>
      </c>
      <c r="K30" s="1">
        <v>317</v>
      </c>
      <c r="L30" s="1">
        <v>342</v>
      </c>
      <c r="M30" s="1">
        <v>5.5</v>
      </c>
      <c r="N30">
        <f>VLOOKUP(A30,vlookup_table!$A:$G,2,FALSE)</f>
        <v>1</v>
      </c>
      <c r="O30" t="str">
        <f>VLOOKUP(A30,vlookup_table!$A:$G,3,FALSE)</f>
        <v>CA</v>
      </c>
      <c r="P30">
        <f>VLOOKUP(A30,vlookup_table!$A:$G,4,FALSE)</f>
        <v>2401</v>
      </c>
      <c r="Q30" t="str">
        <f>VLOOKUP(A30,vlookup_table!$A:$G,5,FALSE)</f>
        <v>S2</v>
      </c>
      <c r="R30" t="str">
        <f>VLOOKUP(A30,vlookup_table!$A:$G,6,FALSE)</f>
        <v>M</v>
      </c>
      <c r="S30">
        <f>VLOOKUP(A30,vlookup_table!$A:$G,7,FALSE)</f>
        <v>5</v>
      </c>
      <c r="T30">
        <f t="shared" si="0"/>
        <v>72</v>
      </c>
      <c r="U30" t="str">
        <f t="shared" si="1"/>
        <v>Suburbano</v>
      </c>
    </row>
    <row r="31" spans="1:21" ht="16" x14ac:dyDescent="0.4">
      <c r="A31" s="4">
        <v>153880</v>
      </c>
      <c r="B31" s="1" t="s">
        <v>32</v>
      </c>
      <c r="C31" s="1" t="s">
        <v>17</v>
      </c>
      <c r="D31" s="1">
        <v>592</v>
      </c>
      <c r="E31" s="1">
        <v>244</v>
      </c>
      <c r="F31" s="1">
        <v>392</v>
      </c>
      <c r="G31" s="1">
        <v>1</v>
      </c>
      <c r="H31" s="1">
        <v>12220</v>
      </c>
      <c r="I31" s="1">
        <v>3</v>
      </c>
      <c r="J31" s="1">
        <v>74</v>
      </c>
      <c r="K31" s="1">
        <v>341</v>
      </c>
      <c r="L31" s="1">
        <v>306</v>
      </c>
      <c r="M31" s="1">
        <v>12.5</v>
      </c>
      <c r="N31">
        <f>VLOOKUP(A31,vlookup_table!$A:$G,2,FALSE)</f>
        <v>2</v>
      </c>
      <c r="O31" t="str">
        <f>VLOOKUP(A31,vlookup_table!$A:$G,3,FALSE)</f>
        <v>WI</v>
      </c>
      <c r="P31">
        <f>VLOOKUP(A31,vlookup_table!$A:$G,4,FALSE)</f>
        <v>5001</v>
      </c>
      <c r="Q31" t="str">
        <f>VLOOKUP(A31,vlookup_table!$A:$G,5,FALSE)</f>
        <v>S1</v>
      </c>
      <c r="R31" t="str">
        <f>VLOOKUP(A31,vlookup_table!$A:$G,6,FALSE)</f>
        <v>F</v>
      </c>
      <c r="S31">
        <f>VLOOKUP(A31,vlookup_table!$A:$G,7,FALSE)</f>
        <v>5</v>
      </c>
      <c r="T31">
        <f t="shared" si="0"/>
        <v>46</v>
      </c>
      <c r="U31" t="str">
        <f t="shared" si="1"/>
        <v>Suburbano</v>
      </c>
    </row>
    <row r="32" spans="1:21" ht="16" x14ac:dyDescent="0.4">
      <c r="A32" s="4">
        <v>101855</v>
      </c>
      <c r="B32" s="1" t="s">
        <v>33</v>
      </c>
      <c r="C32" s="1" t="s">
        <v>14</v>
      </c>
      <c r="D32" s="1">
        <v>871</v>
      </c>
      <c r="E32" s="1">
        <v>340</v>
      </c>
      <c r="F32" s="1">
        <v>416</v>
      </c>
      <c r="G32" s="1">
        <v>6</v>
      </c>
      <c r="H32" s="1">
        <v>15336</v>
      </c>
      <c r="I32" s="1">
        <v>0</v>
      </c>
      <c r="J32" s="1">
        <v>71</v>
      </c>
      <c r="K32" s="1">
        <v>385</v>
      </c>
      <c r="L32" s="1">
        <v>365</v>
      </c>
      <c r="M32" s="1">
        <v>7.8571428570000004</v>
      </c>
      <c r="N32">
        <f>VLOOKUP(A32,vlookup_table!$A:$G,2,FALSE)</f>
        <v>1</v>
      </c>
      <c r="O32" t="str">
        <f>VLOOKUP(A32,vlookup_table!$A:$G,3,FALSE)</f>
        <v>MO</v>
      </c>
      <c r="P32">
        <f>VLOOKUP(A32,vlookup_table!$A:$G,4,FALSE)</f>
        <v>2401</v>
      </c>
      <c r="Q32" t="str">
        <f>VLOOKUP(A32,vlookup_table!$A:$G,5,FALSE)</f>
        <v>C2</v>
      </c>
      <c r="R32" t="str">
        <f>VLOOKUP(A32,vlookup_table!$A:$G,6,FALSE)</f>
        <v>M</v>
      </c>
      <c r="S32">
        <f>VLOOKUP(A32,vlookup_table!$A:$G,7,FALSE)</f>
        <v>10</v>
      </c>
      <c r="T32">
        <f t="shared" si="0"/>
        <v>72</v>
      </c>
      <c r="U32" t="str">
        <f t="shared" si="1"/>
        <v>Ciudad</v>
      </c>
    </row>
    <row r="33" spans="1:21" ht="16" x14ac:dyDescent="0.4">
      <c r="A33" s="4">
        <v>62932</v>
      </c>
      <c r="B33" s="1" t="s">
        <v>30</v>
      </c>
      <c r="C33" s="1" t="s">
        <v>14</v>
      </c>
      <c r="D33" s="1">
        <v>403</v>
      </c>
      <c r="E33" s="1">
        <v>174</v>
      </c>
      <c r="F33" s="1">
        <v>264</v>
      </c>
      <c r="G33" s="1">
        <v>1</v>
      </c>
      <c r="H33" s="1">
        <v>9704</v>
      </c>
      <c r="I33" s="1">
        <v>0</v>
      </c>
      <c r="J33" s="1">
        <v>45</v>
      </c>
      <c r="K33" s="1">
        <v>240</v>
      </c>
      <c r="L33" s="1">
        <v>201</v>
      </c>
      <c r="M33" s="1">
        <v>8</v>
      </c>
      <c r="N33">
        <f>VLOOKUP(A33,vlookup_table!$A:$G,2,FALSE)</f>
        <v>1</v>
      </c>
      <c r="O33" t="str">
        <f>VLOOKUP(A33,vlookup_table!$A:$G,3,FALSE)</f>
        <v>IN</v>
      </c>
      <c r="P33">
        <f>VLOOKUP(A33,vlookup_table!$A:$G,4,FALSE)</f>
        <v>0</v>
      </c>
      <c r="Q33" t="str">
        <f>VLOOKUP(A33,vlookup_table!$A:$G,5,FALSE)</f>
        <v>S3</v>
      </c>
      <c r="R33" t="str">
        <f>VLOOKUP(A33,vlookup_table!$A:$G,6,FALSE)</f>
        <v>M</v>
      </c>
      <c r="S33">
        <f>VLOOKUP(A33,vlookup_table!$A:$G,7,FALSE)</f>
        <v>10</v>
      </c>
      <c r="T33">
        <f t="shared" si="0"/>
        <v>96</v>
      </c>
      <c r="U33" t="str">
        <f t="shared" si="1"/>
        <v>Suburbano</v>
      </c>
    </row>
    <row r="34" spans="1:21" ht="16" x14ac:dyDescent="0.4">
      <c r="A34" s="4">
        <v>125930</v>
      </c>
      <c r="B34" s="1" t="s">
        <v>20</v>
      </c>
      <c r="C34" s="1" t="s">
        <v>17</v>
      </c>
      <c r="D34" s="1">
        <v>715</v>
      </c>
      <c r="E34" s="1">
        <v>339</v>
      </c>
      <c r="F34" s="1">
        <v>396</v>
      </c>
      <c r="G34" s="1">
        <v>1</v>
      </c>
      <c r="H34" s="1">
        <v>12617</v>
      </c>
      <c r="I34" s="1">
        <v>3</v>
      </c>
      <c r="J34" s="1">
        <v>88</v>
      </c>
      <c r="K34" s="1">
        <v>378</v>
      </c>
      <c r="L34" s="1">
        <v>371</v>
      </c>
      <c r="M34" s="1">
        <v>6</v>
      </c>
      <c r="N34">
        <f>VLOOKUP(A34,vlookup_table!$A:$G,2,FALSE)</f>
        <v>0</v>
      </c>
      <c r="O34" t="str">
        <f>VLOOKUP(A34,vlookup_table!$A:$G,3,FALSE)</f>
        <v>TX</v>
      </c>
      <c r="P34">
        <f>VLOOKUP(A34,vlookup_table!$A:$G,4,FALSE)</f>
        <v>4806</v>
      </c>
      <c r="Q34" t="str">
        <f>VLOOKUP(A34,vlookup_table!$A:$G,5,FALSE)</f>
        <v>R2</v>
      </c>
      <c r="R34" t="str">
        <f>VLOOKUP(A34,vlookup_table!$A:$G,6,FALSE)</f>
        <v>F</v>
      </c>
      <c r="S34">
        <f>VLOOKUP(A34,vlookup_table!$A:$G,7,FALSE)</f>
        <v>75</v>
      </c>
      <c r="T34">
        <f t="shared" si="0"/>
        <v>48</v>
      </c>
      <c r="U34" t="str">
        <f t="shared" si="1"/>
        <v>Rural</v>
      </c>
    </row>
    <row r="35" spans="1:21" ht="16" x14ac:dyDescent="0.4">
      <c r="A35" s="4">
        <v>173653</v>
      </c>
      <c r="B35" s="1" t="s">
        <v>34</v>
      </c>
      <c r="C35" s="1" t="s">
        <v>17</v>
      </c>
      <c r="D35" s="1">
        <v>2346</v>
      </c>
      <c r="E35" s="1">
        <v>420</v>
      </c>
      <c r="F35" s="1">
        <v>503</v>
      </c>
      <c r="G35" s="1">
        <v>67</v>
      </c>
      <c r="H35" s="1">
        <v>14552</v>
      </c>
      <c r="I35" s="1">
        <v>5</v>
      </c>
      <c r="J35" s="1">
        <v>78</v>
      </c>
      <c r="K35" s="1">
        <v>446</v>
      </c>
      <c r="L35" s="1">
        <v>468</v>
      </c>
      <c r="M35" s="1">
        <v>15.5</v>
      </c>
      <c r="N35">
        <f>VLOOKUP(A35,vlookup_table!$A:$G,2,FALSE)</f>
        <v>28</v>
      </c>
      <c r="O35" t="str">
        <f>VLOOKUP(A35,vlookup_table!$A:$G,3,FALSE)</f>
        <v>HI</v>
      </c>
      <c r="P35">
        <f>VLOOKUP(A35,vlookup_table!$A:$G,4,FALSE)</f>
        <v>2401</v>
      </c>
      <c r="Q35" t="str">
        <f>VLOOKUP(A35,vlookup_table!$A:$G,5,FALSE)</f>
        <v>C2</v>
      </c>
      <c r="R35" t="str">
        <f>VLOOKUP(A35,vlookup_table!$A:$G,6,FALSE)</f>
        <v>F</v>
      </c>
      <c r="S35">
        <f>VLOOKUP(A35,vlookup_table!$A:$G,7,FALSE)</f>
        <v>21</v>
      </c>
      <c r="T35">
        <f t="shared" si="0"/>
        <v>72</v>
      </c>
      <c r="U35" t="str">
        <f t="shared" si="1"/>
        <v>Ciudad</v>
      </c>
    </row>
    <row r="36" spans="1:21" ht="16" x14ac:dyDescent="0.4">
      <c r="A36" s="4">
        <v>11011</v>
      </c>
      <c r="B36" s="1" t="s">
        <v>13</v>
      </c>
      <c r="C36" s="1" t="s">
        <v>14</v>
      </c>
      <c r="D36" s="1">
        <v>559</v>
      </c>
      <c r="E36" s="1">
        <v>232</v>
      </c>
      <c r="F36" s="1">
        <v>269</v>
      </c>
      <c r="G36" s="1">
        <v>0</v>
      </c>
      <c r="H36" s="1">
        <v>10511</v>
      </c>
      <c r="I36" s="1">
        <v>11</v>
      </c>
      <c r="J36" s="1">
        <v>20</v>
      </c>
      <c r="K36" s="1">
        <v>270</v>
      </c>
      <c r="L36" s="1">
        <v>257</v>
      </c>
      <c r="M36" s="1">
        <v>12.61111111</v>
      </c>
      <c r="N36">
        <f>VLOOKUP(A36,vlookup_table!$A:$G,2,FALSE)</f>
        <v>1002</v>
      </c>
      <c r="O36" t="str">
        <f>VLOOKUP(A36,vlookup_table!$A:$G,3,FALSE)</f>
        <v>FL</v>
      </c>
      <c r="P36">
        <f>VLOOKUP(A36,vlookup_table!$A:$G,4,FALSE)</f>
        <v>2601</v>
      </c>
      <c r="Q36" t="str">
        <f>VLOOKUP(A36,vlookup_table!$A:$G,5,FALSE)</f>
        <v>S3</v>
      </c>
      <c r="R36" t="str">
        <f>VLOOKUP(A36,vlookup_table!$A:$G,6,FALSE)</f>
        <v>M</v>
      </c>
      <c r="S36">
        <f>VLOOKUP(A36,vlookup_table!$A:$G,7,FALSE)</f>
        <v>20</v>
      </c>
      <c r="T36">
        <f t="shared" si="0"/>
        <v>70</v>
      </c>
      <c r="U36" t="str">
        <f t="shared" si="1"/>
        <v>Suburbano</v>
      </c>
    </row>
    <row r="37" spans="1:21" ht="16" x14ac:dyDescent="0.4">
      <c r="A37" s="4">
        <v>116894</v>
      </c>
      <c r="B37" s="1" t="s">
        <v>20</v>
      </c>
      <c r="C37" s="1" t="s">
        <v>14</v>
      </c>
      <c r="D37" s="1"/>
      <c r="E37" s="1">
        <v>368</v>
      </c>
      <c r="F37" s="1">
        <v>531</v>
      </c>
      <c r="G37" s="1">
        <v>5</v>
      </c>
      <c r="H37" s="1">
        <v>33797</v>
      </c>
      <c r="I37" s="1">
        <v>2</v>
      </c>
      <c r="J37" s="1">
        <v>42</v>
      </c>
      <c r="K37" s="1">
        <v>457</v>
      </c>
      <c r="L37" s="1">
        <v>450</v>
      </c>
      <c r="M37" s="1">
        <v>12.25</v>
      </c>
      <c r="N37">
        <f>VLOOKUP(A37,vlookup_table!$A:$G,2,FALSE)</f>
        <v>1</v>
      </c>
      <c r="O37" t="str">
        <f>VLOOKUP(A37,vlookup_table!$A:$G,3,FALSE)</f>
        <v>TX</v>
      </c>
      <c r="P37">
        <f>VLOOKUP(A37,vlookup_table!$A:$G,4,FALSE)</f>
        <v>2201</v>
      </c>
      <c r="Q37" t="str">
        <f>VLOOKUP(A37,vlookup_table!$A:$G,5,FALSE)</f>
        <v>U1</v>
      </c>
      <c r="R37" t="str">
        <f>VLOOKUP(A37,vlookup_table!$A:$G,6,FALSE)</f>
        <v>M</v>
      </c>
      <c r="S37">
        <f>VLOOKUP(A37,vlookup_table!$A:$G,7,FALSE)</f>
        <v>20</v>
      </c>
      <c r="T37">
        <f t="shared" si="0"/>
        <v>74</v>
      </c>
      <c r="U37" t="str">
        <f t="shared" si="1"/>
        <v>Urbano</v>
      </c>
    </row>
    <row r="38" spans="1:21" ht="16" x14ac:dyDescent="0.4">
      <c r="A38" s="4">
        <v>154245</v>
      </c>
      <c r="B38" s="1" t="s">
        <v>21</v>
      </c>
      <c r="C38" s="1" t="s">
        <v>17</v>
      </c>
      <c r="D38" s="1">
        <v>596</v>
      </c>
      <c r="E38" s="1">
        <v>164</v>
      </c>
      <c r="F38" s="1">
        <v>190</v>
      </c>
      <c r="G38" s="1">
        <v>0</v>
      </c>
      <c r="H38" s="1">
        <v>5273</v>
      </c>
      <c r="I38" s="1">
        <v>23</v>
      </c>
      <c r="J38" s="1">
        <v>57</v>
      </c>
      <c r="K38" s="1">
        <v>168</v>
      </c>
      <c r="L38" s="1">
        <v>181</v>
      </c>
      <c r="M38" s="1">
        <v>16.5</v>
      </c>
      <c r="N38">
        <f>VLOOKUP(A38,vlookup_table!$A:$G,2,FALSE)</f>
        <v>2</v>
      </c>
      <c r="O38" t="str">
        <f>VLOOKUP(A38,vlookup_table!$A:$G,3,FALSE)</f>
        <v>CA</v>
      </c>
      <c r="P38">
        <f>VLOOKUP(A38,vlookup_table!$A:$G,4,FALSE)</f>
        <v>4304</v>
      </c>
      <c r="Q38" t="str">
        <f>VLOOKUP(A38,vlookup_table!$A:$G,5,FALSE)</f>
        <v>R1</v>
      </c>
      <c r="R38" t="str">
        <f>VLOOKUP(A38,vlookup_table!$A:$G,6,FALSE)</f>
        <v>F</v>
      </c>
      <c r="S38">
        <f>VLOOKUP(A38,vlookup_table!$A:$G,7,FALSE)</f>
        <v>15</v>
      </c>
      <c r="T38">
        <f t="shared" si="0"/>
        <v>53</v>
      </c>
      <c r="U38" t="str">
        <f t="shared" si="1"/>
        <v>Rural</v>
      </c>
    </row>
    <row r="39" spans="1:21" ht="16" x14ac:dyDescent="0.4">
      <c r="A39" s="4">
        <v>134773</v>
      </c>
      <c r="B39" s="1" t="s">
        <v>35</v>
      </c>
      <c r="C39" s="1" t="s">
        <v>14</v>
      </c>
      <c r="D39" s="1">
        <v>706</v>
      </c>
      <c r="E39" s="1">
        <v>362</v>
      </c>
      <c r="F39" s="1">
        <v>394</v>
      </c>
      <c r="G39" s="1">
        <v>1</v>
      </c>
      <c r="H39" s="1">
        <v>10420</v>
      </c>
      <c r="I39" s="1">
        <v>1</v>
      </c>
      <c r="J39" s="1">
        <v>82</v>
      </c>
      <c r="K39" s="1">
        <v>376</v>
      </c>
      <c r="L39" s="1">
        <v>379</v>
      </c>
      <c r="M39" s="1">
        <v>15</v>
      </c>
      <c r="N39">
        <f>VLOOKUP(A39,vlookup_table!$A:$G,2,FALSE)</f>
        <v>1</v>
      </c>
      <c r="O39" t="str">
        <f>VLOOKUP(A39,vlookup_table!$A:$G,3,FALSE)</f>
        <v>UT</v>
      </c>
      <c r="P39">
        <f>VLOOKUP(A39,vlookup_table!$A:$G,4,FALSE)</f>
        <v>3201</v>
      </c>
      <c r="Q39" t="str">
        <f>VLOOKUP(A39,vlookup_table!$A:$G,5,FALSE)</f>
        <v>C3</v>
      </c>
      <c r="R39" t="str">
        <f>VLOOKUP(A39,vlookup_table!$A:$G,6,FALSE)</f>
        <v>M</v>
      </c>
      <c r="S39">
        <f>VLOOKUP(A39,vlookup_table!$A:$G,7,FALSE)</f>
        <v>25</v>
      </c>
      <c r="T39">
        <f t="shared" si="0"/>
        <v>64</v>
      </c>
      <c r="U39" t="str">
        <f t="shared" si="1"/>
        <v>Ciudad</v>
      </c>
    </row>
    <row r="40" spans="1:21" ht="16" x14ac:dyDescent="0.4">
      <c r="A40" s="4">
        <v>26271</v>
      </c>
      <c r="B40" s="1" t="s">
        <v>36</v>
      </c>
      <c r="C40" s="1" t="s">
        <v>17</v>
      </c>
      <c r="D40" s="1">
        <v>878</v>
      </c>
      <c r="E40" s="1">
        <v>310</v>
      </c>
      <c r="F40" s="1">
        <v>588</v>
      </c>
      <c r="G40" s="1">
        <v>30</v>
      </c>
      <c r="H40" s="1">
        <v>22281</v>
      </c>
      <c r="I40" s="1">
        <v>4</v>
      </c>
      <c r="J40" s="1">
        <v>55</v>
      </c>
      <c r="K40" s="1">
        <v>517</v>
      </c>
      <c r="L40" s="1">
        <v>433</v>
      </c>
      <c r="M40" s="1">
        <v>10.133333329999999</v>
      </c>
      <c r="N40">
        <f>VLOOKUP(A40,vlookup_table!$A:$G,2,FALSE)</f>
        <v>28</v>
      </c>
      <c r="O40" t="str">
        <f>VLOOKUP(A40,vlookup_table!$A:$G,3,FALSE)</f>
        <v>GA</v>
      </c>
      <c r="P40">
        <f>VLOOKUP(A40,vlookup_table!$A:$G,4,FALSE)</f>
        <v>3701</v>
      </c>
      <c r="Q40" t="str">
        <f>VLOOKUP(A40,vlookup_table!$A:$G,5,FALSE)</f>
        <v>C2</v>
      </c>
      <c r="R40" t="str">
        <f>VLOOKUP(A40,vlookup_table!$A:$G,6,FALSE)</f>
        <v>F</v>
      </c>
      <c r="S40">
        <f>VLOOKUP(A40,vlookup_table!$A:$G,7,FALSE)</f>
        <v>16</v>
      </c>
      <c r="T40">
        <f t="shared" si="0"/>
        <v>59</v>
      </c>
      <c r="U40" t="str">
        <f t="shared" si="1"/>
        <v>Ciudad</v>
      </c>
    </row>
    <row r="41" spans="1:21" ht="16" x14ac:dyDescent="0.4">
      <c r="A41" s="4">
        <v>180292</v>
      </c>
      <c r="B41" s="1" t="s">
        <v>37</v>
      </c>
      <c r="C41" s="1" t="s">
        <v>17</v>
      </c>
      <c r="D41" s="1">
        <v>1275</v>
      </c>
      <c r="E41" s="1">
        <v>405</v>
      </c>
      <c r="F41" s="1">
        <v>545</v>
      </c>
      <c r="G41" s="1">
        <v>21</v>
      </c>
      <c r="H41" s="1">
        <v>20971</v>
      </c>
      <c r="I41" s="1">
        <v>6</v>
      </c>
      <c r="J41" s="1">
        <v>51</v>
      </c>
      <c r="K41" s="1">
        <v>453</v>
      </c>
      <c r="L41" s="1">
        <v>500</v>
      </c>
      <c r="M41" s="1">
        <v>6.6</v>
      </c>
      <c r="N41">
        <f>VLOOKUP(A41,vlookup_table!$A:$G,2,FALSE)</f>
        <v>28</v>
      </c>
      <c r="O41" t="str">
        <f>VLOOKUP(A41,vlookup_table!$A:$G,3,FALSE)</f>
        <v>WA</v>
      </c>
      <c r="P41">
        <f>VLOOKUP(A41,vlookup_table!$A:$G,4,FALSE)</f>
        <v>2105</v>
      </c>
      <c r="Q41" t="str">
        <f>VLOOKUP(A41,vlookup_table!$A:$G,5,FALSE)</f>
        <v>C2</v>
      </c>
      <c r="R41" t="str">
        <f>VLOOKUP(A41,vlookup_table!$A:$G,6,FALSE)</f>
        <v>F</v>
      </c>
      <c r="S41">
        <f>VLOOKUP(A41,vlookup_table!$A:$G,7,FALSE)</f>
        <v>10</v>
      </c>
      <c r="T41">
        <f t="shared" si="0"/>
        <v>75</v>
      </c>
      <c r="U41" t="str">
        <f t="shared" si="1"/>
        <v>Ciudad</v>
      </c>
    </row>
    <row r="42" spans="1:21" ht="16" x14ac:dyDescent="0.4">
      <c r="A42" s="4">
        <v>10145</v>
      </c>
      <c r="B42" s="1" t="s">
        <v>21</v>
      </c>
      <c r="C42" s="1" t="s">
        <v>17</v>
      </c>
      <c r="D42" s="1">
        <v>2362</v>
      </c>
      <c r="E42" s="1">
        <v>613</v>
      </c>
      <c r="F42" s="1">
        <v>678</v>
      </c>
      <c r="G42" s="1">
        <v>74</v>
      </c>
      <c r="H42" s="1">
        <v>21179</v>
      </c>
      <c r="I42" s="1">
        <v>9</v>
      </c>
      <c r="J42" s="1">
        <v>61</v>
      </c>
      <c r="K42" s="1">
        <v>632</v>
      </c>
      <c r="L42" s="1">
        <v>655</v>
      </c>
      <c r="M42" s="1">
        <v>8.9285714289999998</v>
      </c>
      <c r="N42">
        <f>VLOOKUP(A42,vlookup_table!$A:$G,2,FALSE)</f>
        <v>2</v>
      </c>
      <c r="O42" t="str">
        <f>VLOOKUP(A42,vlookup_table!$A:$G,3,FALSE)</f>
        <v>CA</v>
      </c>
      <c r="P42">
        <f>VLOOKUP(A42,vlookup_table!$A:$G,4,FALSE)</f>
        <v>5401</v>
      </c>
      <c r="Q42" t="str">
        <f>VLOOKUP(A42,vlookup_table!$A:$G,5,FALSE)</f>
        <v>C1</v>
      </c>
      <c r="R42" t="str">
        <f>VLOOKUP(A42,vlookup_table!$A:$G,6,FALSE)</f>
        <v>F</v>
      </c>
      <c r="S42">
        <f>VLOOKUP(A42,vlookup_table!$A:$G,7,FALSE)</f>
        <v>5</v>
      </c>
      <c r="T42">
        <f t="shared" si="0"/>
        <v>42</v>
      </c>
      <c r="U42" t="str">
        <f t="shared" si="1"/>
        <v>Ciudad</v>
      </c>
    </row>
    <row r="43" spans="1:21" ht="16" x14ac:dyDescent="0.4">
      <c r="A43" s="4">
        <v>133806</v>
      </c>
      <c r="B43" s="1" t="s">
        <v>38</v>
      </c>
      <c r="C43" s="1" t="s">
        <v>27</v>
      </c>
      <c r="D43" s="1">
        <v>718</v>
      </c>
      <c r="E43" s="1">
        <v>226</v>
      </c>
      <c r="F43" s="1">
        <v>357</v>
      </c>
      <c r="G43" s="1">
        <v>0</v>
      </c>
      <c r="H43" s="1">
        <v>17292</v>
      </c>
      <c r="I43" s="1">
        <v>0</v>
      </c>
      <c r="J43" s="1">
        <v>39</v>
      </c>
      <c r="K43" s="1">
        <v>280</v>
      </c>
      <c r="L43" s="1">
        <v>278</v>
      </c>
      <c r="M43" s="1">
        <v>20</v>
      </c>
      <c r="N43">
        <f>VLOOKUP(A43,vlookup_table!$A:$G,2,FALSE)</f>
        <v>0</v>
      </c>
      <c r="O43" t="str">
        <f>VLOOKUP(A43,vlookup_table!$A:$G,3,FALSE)</f>
        <v>ID</v>
      </c>
      <c r="P43">
        <f>VLOOKUP(A43,vlookup_table!$A:$G,4,FALSE)</f>
        <v>0</v>
      </c>
      <c r="Q43" t="str">
        <f>VLOOKUP(A43,vlookup_table!$A:$G,5,FALSE)</f>
        <v>T2</v>
      </c>
      <c r="R43" t="str">
        <f>VLOOKUP(A43,vlookup_table!$A:$G,6,FALSE)</f>
        <v>U</v>
      </c>
      <c r="S43">
        <f>VLOOKUP(A43,vlookup_table!$A:$G,7,FALSE)</f>
        <v>15</v>
      </c>
      <c r="T43">
        <f t="shared" si="0"/>
        <v>96</v>
      </c>
      <c r="U43" t="str">
        <f t="shared" si="1"/>
        <v>Pueblo</v>
      </c>
    </row>
    <row r="44" spans="1:21" ht="16" x14ac:dyDescent="0.4">
      <c r="A44" s="4">
        <v>112632</v>
      </c>
      <c r="B44" s="1" t="s">
        <v>39</v>
      </c>
      <c r="C44" s="1" t="s">
        <v>14</v>
      </c>
      <c r="D44" s="1">
        <v>2531</v>
      </c>
      <c r="E44" s="1">
        <v>669</v>
      </c>
      <c r="F44" s="1">
        <v>750</v>
      </c>
      <c r="G44" s="1">
        <v>77</v>
      </c>
      <c r="H44" s="1">
        <v>21094</v>
      </c>
      <c r="I44" s="1">
        <v>6</v>
      </c>
      <c r="J44" s="1">
        <v>51</v>
      </c>
      <c r="K44" s="1">
        <v>730</v>
      </c>
      <c r="L44" s="1">
        <v>696</v>
      </c>
      <c r="M44" s="1">
        <v>8.2727272729999992</v>
      </c>
      <c r="N44">
        <f>VLOOKUP(A44,vlookup_table!$A:$G,2,FALSE)</f>
        <v>2</v>
      </c>
      <c r="O44" t="str">
        <f>VLOOKUP(A44,vlookup_table!$A:$G,3,FALSE)</f>
        <v>CT</v>
      </c>
      <c r="P44">
        <f>VLOOKUP(A44,vlookup_table!$A:$G,4,FALSE)</f>
        <v>5001</v>
      </c>
      <c r="Q44" t="str">
        <f>VLOOKUP(A44,vlookup_table!$A:$G,5,FALSE)</f>
        <v/>
      </c>
      <c r="R44" t="str">
        <f>VLOOKUP(A44,vlookup_table!$A:$G,6,FALSE)</f>
        <v>M</v>
      </c>
      <c r="S44">
        <f>VLOOKUP(A44,vlookup_table!$A:$G,7,FALSE)</f>
        <v>11</v>
      </c>
      <c r="T44">
        <f t="shared" si="0"/>
        <v>46</v>
      </c>
      <c r="U44" t="str">
        <f t="shared" si="1"/>
        <v/>
      </c>
    </row>
    <row r="45" spans="1:21" ht="16" x14ac:dyDescent="0.4">
      <c r="A45" s="4">
        <v>143253</v>
      </c>
      <c r="B45" s="1" t="s">
        <v>21</v>
      </c>
      <c r="C45" s="1" t="s">
        <v>17</v>
      </c>
      <c r="D45" s="1">
        <v>2089</v>
      </c>
      <c r="E45" s="1">
        <v>275</v>
      </c>
      <c r="F45" s="1">
        <v>356</v>
      </c>
      <c r="G45" s="1">
        <v>56</v>
      </c>
      <c r="H45" s="1">
        <v>10484</v>
      </c>
      <c r="I45" s="1">
        <v>53</v>
      </c>
      <c r="J45" s="1">
        <v>36</v>
      </c>
      <c r="K45" s="1">
        <v>296</v>
      </c>
      <c r="L45" s="1">
        <v>322</v>
      </c>
      <c r="M45" s="1">
        <v>7.125</v>
      </c>
      <c r="N45">
        <f>VLOOKUP(A45,vlookup_table!$A:$G,2,FALSE)</f>
        <v>0</v>
      </c>
      <c r="O45" t="str">
        <f>VLOOKUP(A45,vlookup_table!$A:$G,3,FALSE)</f>
        <v>CA</v>
      </c>
      <c r="P45">
        <f>VLOOKUP(A45,vlookup_table!$A:$G,4,FALSE)</f>
        <v>2101</v>
      </c>
      <c r="Q45" t="str">
        <f>VLOOKUP(A45,vlookup_table!$A:$G,5,FALSE)</f>
        <v>U3</v>
      </c>
      <c r="R45" t="str">
        <f>VLOOKUP(A45,vlookup_table!$A:$G,6,FALSE)</f>
        <v>F</v>
      </c>
      <c r="S45">
        <f>VLOOKUP(A45,vlookup_table!$A:$G,7,FALSE)</f>
        <v>5</v>
      </c>
      <c r="T45">
        <f t="shared" si="0"/>
        <v>75</v>
      </c>
      <c r="U45" t="str">
        <f t="shared" si="1"/>
        <v>Urbano</v>
      </c>
    </row>
    <row r="46" spans="1:21" ht="16" x14ac:dyDescent="0.4">
      <c r="A46" s="4">
        <v>403</v>
      </c>
      <c r="B46" s="1" t="s">
        <v>40</v>
      </c>
      <c r="C46" s="1" t="s">
        <v>41</v>
      </c>
      <c r="D46" s="1">
        <v>765</v>
      </c>
      <c r="E46" s="1">
        <v>408</v>
      </c>
      <c r="F46" s="1">
        <v>472</v>
      </c>
      <c r="G46" s="1">
        <v>1</v>
      </c>
      <c r="H46" s="1">
        <v>15150</v>
      </c>
      <c r="I46" s="1">
        <v>1</v>
      </c>
      <c r="J46" s="1">
        <v>68</v>
      </c>
      <c r="K46" s="1">
        <v>430</v>
      </c>
      <c r="L46" s="1">
        <v>441</v>
      </c>
      <c r="M46" s="1">
        <v>33.5</v>
      </c>
      <c r="N46">
        <f>VLOOKUP(A46,vlookup_table!$A:$G,2,FALSE)</f>
        <v>0</v>
      </c>
      <c r="O46" t="str">
        <f>VLOOKUP(A46,vlookup_table!$A:$G,3,FALSE)</f>
        <v>AL</v>
      </c>
      <c r="P46">
        <f>VLOOKUP(A46,vlookup_table!$A:$G,4,FALSE)</f>
        <v>3901</v>
      </c>
      <c r="Q46" t="str">
        <f>VLOOKUP(A46,vlookup_table!$A:$G,5,FALSE)</f>
        <v/>
      </c>
      <c r="R46" t="str">
        <f>VLOOKUP(A46,vlookup_table!$A:$G,6,FALSE)</f>
        <v>J</v>
      </c>
      <c r="S46">
        <f>VLOOKUP(A46,vlookup_table!$A:$G,7,FALSE)</f>
        <v>35</v>
      </c>
      <c r="T46">
        <f t="shared" si="0"/>
        <v>57</v>
      </c>
      <c r="U46" t="str">
        <f t="shared" si="1"/>
        <v/>
      </c>
    </row>
    <row r="47" spans="1:21" ht="16" x14ac:dyDescent="0.4">
      <c r="A47" s="4">
        <v>189882</v>
      </c>
      <c r="B47" s="1" t="s">
        <v>42</v>
      </c>
      <c r="C47" s="1" t="s">
        <v>17</v>
      </c>
      <c r="D47" s="1">
        <v>832</v>
      </c>
      <c r="E47" s="1">
        <v>310</v>
      </c>
      <c r="F47" s="1">
        <v>376</v>
      </c>
      <c r="G47" s="1">
        <v>0</v>
      </c>
      <c r="H47" s="1">
        <v>11972</v>
      </c>
      <c r="I47" s="1">
        <v>1</v>
      </c>
      <c r="J47" s="1">
        <v>85</v>
      </c>
      <c r="K47" s="1">
        <v>338</v>
      </c>
      <c r="L47" s="1">
        <v>348</v>
      </c>
      <c r="M47" s="1">
        <v>10</v>
      </c>
      <c r="N47">
        <f>VLOOKUP(A47,vlookup_table!$A:$G,2,FALSE)</f>
        <v>0</v>
      </c>
      <c r="O47" t="str">
        <f>VLOOKUP(A47,vlookup_table!$A:$G,3,FALSE)</f>
        <v>ND</v>
      </c>
      <c r="P47">
        <f>VLOOKUP(A47,vlookup_table!$A:$G,4,FALSE)</f>
        <v>4201</v>
      </c>
      <c r="Q47" t="str">
        <f>VLOOKUP(A47,vlookup_table!$A:$G,5,FALSE)</f>
        <v>C2</v>
      </c>
      <c r="R47" t="str">
        <f>VLOOKUP(A47,vlookup_table!$A:$G,6,FALSE)</f>
        <v>F</v>
      </c>
      <c r="S47">
        <f>VLOOKUP(A47,vlookup_table!$A:$G,7,FALSE)</f>
        <v>10</v>
      </c>
      <c r="T47">
        <f t="shared" si="0"/>
        <v>54</v>
      </c>
      <c r="U47" t="str">
        <f t="shared" si="1"/>
        <v>Ciudad</v>
      </c>
    </row>
    <row r="48" spans="1:21" ht="16" x14ac:dyDescent="0.4">
      <c r="A48" s="4">
        <v>119570</v>
      </c>
      <c r="B48" s="1" t="s">
        <v>20</v>
      </c>
      <c r="C48" s="1" t="s">
        <v>14</v>
      </c>
      <c r="D48" s="1">
        <v>1458</v>
      </c>
      <c r="E48" s="1">
        <v>299</v>
      </c>
      <c r="F48" s="1">
        <v>446</v>
      </c>
      <c r="G48" s="1">
        <v>8</v>
      </c>
      <c r="H48" s="1">
        <v>19185</v>
      </c>
      <c r="I48" s="1">
        <v>4</v>
      </c>
      <c r="J48" s="1">
        <v>56</v>
      </c>
      <c r="K48" s="1">
        <v>354</v>
      </c>
      <c r="L48" s="1">
        <v>356</v>
      </c>
      <c r="M48" s="1">
        <v>6.1818181819999998</v>
      </c>
      <c r="N48">
        <f>VLOOKUP(A48,vlookup_table!$A:$G,2,FALSE)</f>
        <v>1</v>
      </c>
      <c r="O48" t="str">
        <f>VLOOKUP(A48,vlookup_table!$A:$G,3,FALSE)</f>
        <v>TX</v>
      </c>
      <c r="P48">
        <f>VLOOKUP(A48,vlookup_table!$A:$G,4,FALSE)</f>
        <v>5201</v>
      </c>
      <c r="Q48" t="str">
        <f>VLOOKUP(A48,vlookup_table!$A:$G,5,FALSE)</f>
        <v>S1</v>
      </c>
      <c r="R48" t="str">
        <f>VLOOKUP(A48,vlookup_table!$A:$G,6,FALSE)</f>
        <v>M</v>
      </c>
      <c r="S48">
        <f>VLOOKUP(A48,vlookup_table!$A:$G,7,FALSE)</f>
        <v>10</v>
      </c>
      <c r="T48">
        <f t="shared" si="0"/>
        <v>44</v>
      </c>
      <c r="U48" t="str">
        <f t="shared" si="1"/>
        <v>Suburbano</v>
      </c>
    </row>
    <row r="49" spans="1:21" ht="16" x14ac:dyDescent="0.4">
      <c r="A49" s="4">
        <v>144021</v>
      </c>
      <c r="B49" s="1" t="s">
        <v>21</v>
      </c>
      <c r="C49" s="1" t="s">
        <v>17</v>
      </c>
      <c r="D49" s="1">
        <v>1590</v>
      </c>
      <c r="E49" s="1">
        <v>240</v>
      </c>
      <c r="F49" s="1">
        <v>257</v>
      </c>
      <c r="G49" s="1">
        <v>25</v>
      </c>
      <c r="H49" s="1">
        <v>7559</v>
      </c>
      <c r="I49" s="1">
        <v>57</v>
      </c>
      <c r="J49" s="1">
        <v>34</v>
      </c>
      <c r="K49" s="1">
        <v>238</v>
      </c>
      <c r="L49" s="1">
        <v>262</v>
      </c>
      <c r="M49" s="1">
        <v>13.5</v>
      </c>
      <c r="N49">
        <f>VLOOKUP(A49,vlookup_table!$A:$G,2,FALSE)</f>
        <v>0</v>
      </c>
      <c r="O49" t="str">
        <f>VLOOKUP(A49,vlookup_table!$A:$G,3,FALSE)</f>
        <v>CA</v>
      </c>
      <c r="P49">
        <f>VLOOKUP(A49,vlookup_table!$A:$G,4,FALSE)</f>
        <v>4903</v>
      </c>
      <c r="Q49" t="str">
        <f>VLOOKUP(A49,vlookup_table!$A:$G,5,FALSE)</f>
        <v>U4</v>
      </c>
      <c r="R49" t="str">
        <f>VLOOKUP(A49,vlookup_table!$A:$G,6,FALSE)</f>
        <v>F</v>
      </c>
      <c r="S49">
        <f>VLOOKUP(A49,vlookup_table!$A:$G,7,FALSE)</f>
        <v>15</v>
      </c>
      <c r="T49">
        <f t="shared" si="0"/>
        <v>47</v>
      </c>
      <c r="U49" t="str">
        <f t="shared" si="1"/>
        <v>Urbano</v>
      </c>
    </row>
    <row r="50" spans="1:21" ht="16" x14ac:dyDescent="0.4">
      <c r="A50" s="4">
        <v>93356</v>
      </c>
      <c r="B50" s="1" t="s">
        <v>16</v>
      </c>
      <c r="C50" s="1" t="s">
        <v>17</v>
      </c>
      <c r="D50" s="1">
        <v>613</v>
      </c>
      <c r="E50" s="1">
        <v>212</v>
      </c>
      <c r="F50" s="1">
        <v>355</v>
      </c>
      <c r="G50" s="1">
        <v>0</v>
      </c>
      <c r="H50" s="1">
        <v>11792</v>
      </c>
      <c r="I50" s="1">
        <v>1</v>
      </c>
      <c r="J50" s="1">
        <v>60</v>
      </c>
      <c r="K50" s="1">
        <v>245</v>
      </c>
      <c r="L50" s="1">
        <v>294</v>
      </c>
      <c r="M50" s="1">
        <v>11.83333333</v>
      </c>
      <c r="N50">
        <f>VLOOKUP(A50,vlookup_table!$A:$G,2,FALSE)</f>
        <v>0</v>
      </c>
      <c r="O50" t="str">
        <f>VLOOKUP(A50,vlookup_table!$A:$G,3,FALSE)</f>
        <v>IL</v>
      </c>
      <c r="P50">
        <f>VLOOKUP(A50,vlookup_table!$A:$G,4,FALSE)</f>
        <v>3705</v>
      </c>
      <c r="Q50" t="str">
        <f>VLOOKUP(A50,vlookup_table!$A:$G,5,FALSE)</f>
        <v>U2</v>
      </c>
      <c r="R50" t="str">
        <f>VLOOKUP(A50,vlookup_table!$A:$G,6,FALSE)</f>
        <v>F</v>
      </c>
      <c r="S50">
        <f>VLOOKUP(A50,vlookup_table!$A:$G,7,FALSE)</f>
        <v>25</v>
      </c>
      <c r="T50">
        <f t="shared" si="0"/>
        <v>59</v>
      </c>
      <c r="U50" t="str">
        <f t="shared" si="1"/>
        <v>Urbano</v>
      </c>
    </row>
    <row r="51" spans="1:21" ht="16" x14ac:dyDescent="0.4">
      <c r="A51" s="4">
        <v>24711</v>
      </c>
      <c r="B51" s="1" t="s">
        <v>43</v>
      </c>
      <c r="C51" s="1" t="s">
        <v>17</v>
      </c>
      <c r="D51" s="1">
        <v>477</v>
      </c>
      <c r="E51" s="1">
        <v>256</v>
      </c>
      <c r="F51" s="1">
        <v>316</v>
      </c>
      <c r="G51" s="1">
        <v>0</v>
      </c>
      <c r="H51" s="1">
        <v>10621</v>
      </c>
      <c r="I51" s="1">
        <v>1</v>
      </c>
      <c r="J51" s="1">
        <v>80</v>
      </c>
      <c r="K51" s="1">
        <v>282</v>
      </c>
      <c r="L51" s="1">
        <v>292</v>
      </c>
      <c r="M51" s="1">
        <v>5.875</v>
      </c>
      <c r="N51">
        <f>VLOOKUP(A51,vlookup_table!$A:$G,2,FALSE)</f>
        <v>0</v>
      </c>
      <c r="O51" t="str">
        <f>VLOOKUP(A51,vlookup_table!$A:$G,3,FALSE)</f>
        <v>SC</v>
      </c>
      <c r="P51">
        <f>VLOOKUP(A51,vlookup_table!$A:$G,4,FALSE)</f>
        <v>0</v>
      </c>
      <c r="Q51" t="str">
        <f>VLOOKUP(A51,vlookup_table!$A:$G,5,FALSE)</f>
        <v>T2</v>
      </c>
      <c r="R51" t="str">
        <f>VLOOKUP(A51,vlookup_table!$A:$G,6,FALSE)</f>
        <v>F</v>
      </c>
      <c r="S51">
        <f>VLOOKUP(A51,vlookup_table!$A:$G,7,FALSE)</f>
        <v>10</v>
      </c>
      <c r="T51">
        <f t="shared" si="0"/>
        <v>96</v>
      </c>
      <c r="U51" t="str">
        <f t="shared" si="1"/>
        <v>Pueblo</v>
      </c>
    </row>
    <row r="52" spans="1:21" ht="16" x14ac:dyDescent="0.4">
      <c r="A52" s="4">
        <v>74914</v>
      </c>
      <c r="B52" s="1" t="s">
        <v>44</v>
      </c>
      <c r="C52" s="1" t="s">
        <v>17</v>
      </c>
      <c r="D52" s="1">
        <v>424</v>
      </c>
      <c r="E52" s="1">
        <v>192</v>
      </c>
      <c r="F52" s="1">
        <v>256</v>
      </c>
      <c r="G52" s="1">
        <v>0</v>
      </c>
      <c r="H52" s="1">
        <v>9497</v>
      </c>
      <c r="I52" s="1">
        <v>1</v>
      </c>
      <c r="J52" s="1">
        <v>78</v>
      </c>
      <c r="K52" s="1">
        <v>256</v>
      </c>
      <c r="L52" s="1">
        <v>230</v>
      </c>
      <c r="M52" s="1">
        <v>4.8636363640000004</v>
      </c>
      <c r="N52">
        <f>VLOOKUP(A52,vlookup_table!$A:$G,2,FALSE)</f>
        <v>0</v>
      </c>
      <c r="O52" t="str">
        <f>VLOOKUP(A52,vlookup_table!$A:$G,3,FALSE)</f>
        <v>IA</v>
      </c>
      <c r="P52">
        <f>VLOOKUP(A52,vlookup_table!$A:$G,4,FALSE)</f>
        <v>1501</v>
      </c>
      <c r="Q52" t="str">
        <f>VLOOKUP(A52,vlookup_table!$A:$G,5,FALSE)</f>
        <v>T2</v>
      </c>
      <c r="R52" t="str">
        <f>VLOOKUP(A52,vlookup_table!$A:$G,6,FALSE)</f>
        <v>F</v>
      </c>
      <c r="S52">
        <f>VLOOKUP(A52,vlookup_table!$A:$G,7,FALSE)</f>
        <v>6</v>
      </c>
      <c r="T52">
        <f t="shared" si="0"/>
        <v>81</v>
      </c>
      <c r="U52" t="str">
        <f t="shared" si="1"/>
        <v>Pueblo</v>
      </c>
    </row>
    <row r="53" spans="1:21" ht="16" x14ac:dyDescent="0.4">
      <c r="A53" s="4">
        <v>6909</v>
      </c>
      <c r="B53" s="1" t="s">
        <v>45</v>
      </c>
      <c r="C53" s="1" t="s">
        <v>14</v>
      </c>
      <c r="D53" s="1">
        <v>383</v>
      </c>
      <c r="E53" s="1">
        <v>252</v>
      </c>
      <c r="F53" s="1">
        <v>380</v>
      </c>
      <c r="G53" s="1">
        <v>0</v>
      </c>
      <c r="H53" s="1">
        <v>14045</v>
      </c>
      <c r="I53" s="1">
        <v>0</v>
      </c>
      <c r="J53" s="1">
        <v>78</v>
      </c>
      <c r="K53" s="1">
        <v>256</v>
      </c>
      <c r="L53" s="1">
        <v>359</v>
      </c>
      <c r="M53" s="1">
        <v>13.823529410000001</v>
      </c>
      <c r="N53">
        <f>VLOOKUP(A53,vlookup_table!$A:$G,2,FALSE)</f>
        <v>1</v>
      </c>
      <c r="O53" t="str">
        <f>VLOOKUP(A53,vlookup_table!$A:$G,3,FALSE)</f>
        <v>CO</v>
      </c>
      <c r="P53">
        <f>VLOOKUP(A53,vlookup_table!$A:$G,4,FALSE)</f>
        <v>2801</v>
      </c>
      <c r="Q53" t="str">
        <f>VLOOKUP(A53,vlookup_table!$A:$G,5,FALSE)</f>
        <v>R3</v>
      </c>
      <c r="R53" t="str">
        <f>VLOOKUP(A53,vlookup_table!$A:$G,6,FALSE)</f>
        <v>M</v>
      </c>
      <c r="S53">
        <f>VLOOKUP(A53,vlookup_table!$A:$G,7,FALSE)</f>
        <v>15</v>
      </c>
      <c r="T53">
        <f t="shared" si="0"/>
        <v>68</v>
      </c>
      <c r="U53" t="str">
        <f t="shared" si="1"/>
        <v>Rural</v>
      </c>
    </row>
    <row r="54" spans="1:21" ht="16" x14ac:dyDescent="0.4">
      <c r="A54" s="4">
        <v>124543</v>
      </c>
      <c r="B54" s="1" t="s">
        <v>20</v>
      </c>
      <c r="C54" s="1" t="s">
        <v>14</v>
      </c>
      <c r="D54" s="1">
        <v>688</v>
      </c>
      <c r="E54" s="1">
        <v>422</v>
      </c>
      <c r="F54" s="1">
        <v>490</v>
      </c>
      <c r="G54" s="1">
        <v>0</v>
      </c>
      <c r="H54" s="1">
        <v>16561</v>
      </c>
      <c r="I54" s="1">
        <v>0</v>
      </c>
      <c r="J54" s="1">
        <v>84</v>
      </c>
      <c r="K54" s="1">
        <v>466</v>
      </c>
      <c r="L54" s="1">
        <v>457</v>
      </c>
      <c r="M54" s="1">
        <v>11.06666667</v>
      </c>
      <c r="N54">
        <f>VLOOKUP(A54,vlookup_table!$A:$G,2,FALSE)</f>
        <v>1002</v>
      </c>
      <c r="O54" t="str">
        <f>VLOOKUP(A54,vlookup_table!$A:$G,3,FALSE)</f>
        <v>TX</v>
      </c>
      <c r="P54">
        <f>VLOOKUP(A54,vlookup_table!$A:$G,4,FALSE)</f>
        <v>5811</v>
      </c>
      <c r="Q54" t="str">
        <f>VLOOKUP(A54,vlookup_table!$A:$G,5,FALSE)</f>
        <v>T1</v>
      </c>
      <c r="R54" t="str">
        <f>VLOOKUP(A54,vlookup_table!$A:$G,6,FALSE)</f>
        <v>M</v>
      </c>
      <c r="S54">
        <f>VLOOKUP(A54,vlookup_table!$A:$G,7,FALSE)</f>
        <v>18</v>
      </c>
      <c r="T54">
        <f t="shared" si="0"/>
        <v>38</v>
      </c>
      <c r="U54" t="str">
        <f t="shared" si="1"/>
        <v>Pueblo</v>
      </c>
    </row>
    <row r="55" spans="1:21" ht="16" x14ac:dyDescent="0.4">
      <c r="A55" s="4">
        <v>163018</v>
      </c>
      <c r="B55" s="1" t="s">
        <v>21</v>
      </c>
      <c r="C55" s="1" t="s">
        <v>14</v>
      </c>
      <c r="D55" s="1">
        <v>3500</v>
      </c>
      <c r="E55" s="1">
        <v>351</v>
      </c>
      <c r="F55" s="1">
        <v>407</v>
      </c>
      <c r="G55" s="1">
        <v>57</v>
      </c>
      <c r="H55" s="1">
        <v>26034</v>
      </c>
      <c r="I55" s="1">
        <v>36</v>
      </c>
      <c r="J55" s="1">
        <v>28</v>
      </c>
      <c r="K55" s="1">
        <v>260</v>
      </c>
      <c r="L55" s="1">
        <v>463</v>
      </c>
      <c r="M55" s="1">
        <v>15.66666667</v>
      </c>
      <c r="N55">
        <f>VLOOKUP(A55,vlookup_table!$A:$G,2,FALSE)</f>
        <v>1</v>
      </c>
      <c r="O55" t="str">
        <f>VLOOKUP(A55,vlookup_table!$A:$G,3,FALSE)</f>
        <v>CA</v>
      </c>
      <c r="P55">
        <f>VLOOKUP(A55,vlookup_table!$A:$G,4,FALSE)</f>
        <v>0</v>
      </c>
      <c r="Q55" t="str">
        <f>VLOOKUP(A55,vlookup_table!$A:$G,5,FALSE)</f>
        <v>U1</v>
      </c>
      <c r="R55" t="str">
        <f>VLOOKUP(A55,vlookup_table!$A:$G,6,FALSE)</f>
        <v>M</v>
      </c>
      <c r="S55">
        <f>VLOOKUP(A55,vlookup_table!$A:$G,7,FALSE)</f>
        <v>24</v>
      </c>
      <c r="T55">
        <f t="shared" si="0"/>
        <v>96</v>
      </c>
      <c r="U55" t="str">
        <f t="shared" si="1"/>
        <v>Urbano</v>
      </c>
    </row>
    <row r="56" spans="1:21" ht="16" x14ac:dyDescent="0.4">
      <c r="A56" s="4">
        <v>190671</v>
      </c>
      <c r="B56" s="1" t="s">
        <v>21</v>
      </c>
      <c r="C56" s="1"/>
      <c r="D56" s="1">
        <v>2143</v>
      </c>
      <c r="E56" s="1">
        <v>280</v>
      </c>
      <c r="F56" s="1">
        <v>373</v>
      </c>
      <c r="G56" s="1">
        <v>63</v>
      </c>
      <c r="H56" s="1">
        <v>12935</v>
      </c>
      <c r="I56" s="1">
        <v>29</v>
      </c>
      <c r="J56" s="1">
        <v>36</v>
      </c>
      <c r="K56" s="1">
        <v>353</v>
      </c>
      <c r="L56" s="1">
        <v>328</v>
      </c>
      <c r="M56" s="1">
        <v>9.2608695650000001</v>
      </c>
      <c r="N56">
        <f>VLOOKUP(A56,vlookup_table!$A:$G,2,FALSE)</f>
        <v>0</v>
      </c>
      <c r="O56" t="str">
        <f>VLOOKUP(A56,vlookup_table!$A:$G,3,FALSE)</f>
        <v>CA</v>
      </c>
      <c r="P56">
        <f>VLOOKUP(A56,vlookup_table!$A:$G,4,FALSE)</f>
        <v>1901</v>
      </c>
      <c r="Q56" t="str">
        <f>VLOOKUP(A56,vlookup_table!$A:$G,5,FALSE)</f>
        <v/>
      </c>
      <c r="R56" t="str">
        <f>VLOOKUP(A56,vlookup_table!$A:$G,6,FALSE)</f>
        <v/>
      </c>
      <c r="S56">
        <f>VLOOKUP(A56,vlookup_table!$A:$G,7,FALSE)</f>
        <v>14</v>
      </c>
      <c r="T56">
        <f t="shared" si="0"/>
        <v>77</v>
      </c>
      <c r="U56" t="str">
        <f t="shared" si="1"/>
        <v/>
      </c>
    </row>
    <row r="57" spans="1:21" ht="16" x14ac:dyDescent="0.4">
      <c r="A57" s="4">
        <v>33356</v>
      </c>
      <c r="B57" s="1" t="s">
        <v>13</v>
      </c>
      <c r="C57" s="1" t="s">
        <v>17</v>
      </c>
      <c r="D57" s="1">
        <v>625</v>
      </c>
      <c r="E57" s="1">
        <v>246</v>
      </c>
      <c r="F57" s="1">
        <v>536</v>
      </c>
      <c r="G57" s="1">
        <v>3</v>
      </c>
      <c r="H57" s="1">
        <v>19102</v>
      </c>
      <c r="I57" s="1">
        <v>1</v>
      </c>
      <c r="J57" s="1">
        <v>47</v>
      </c>
      <c r="K57" s="1">
        <v>466</v>
      </c>
      <c r="L57" s="1">
        <v>362</v>
      </c>
      <c r="M57" s="1">
        <v>14.09090909</v>
      </c>
      <c r="N57">
        <f>VLOOKUP(A57,vlookup_table!$A:$G,2,FALSE)</f>
        <v>0</v>
      </c>
      <c r="O57" t="str">
        <f>VLOOKUP(A57,vlookup_table!$A:$G,3,FALSE)</f>
        <v>FL</v>
      </c>
      <c r="P57">
        <f>VLOOKUP(A57,vlookup_table!$A:$G,4,FALSE)</f>
        <v>1401</v>
      </c>
      <c r="Q57" t="str">
        <f>VLOOKUP(A57,vlookup_table!$A:$G,5,FALSE)</f>
        <v>S1</v>
      </c>
      <c r="R57" t="str">
        <f>VLOOKUP(A57,vlookup_table!$A:$G,6,FALSE)</f>
        <v>F</v>
      </c>
      <c r="S57">
        <f>VLOOKUP(A57,vlookup_table!$A:$G,7,FALSE)</f>
        <v>20</v>
      </c>
      <c r="T57">
        <f t="shared" si="0"/>
        <v>82</v>
      </c>
      <c r="U57" t="str">
        <f t="shared" si="1"/>
        <v>Suburbano</v>
      </c>
    </row>
    <row r="58" spans="1:21" ht="16" x14ac:dyDescent="0.4">
      <c r="A58" s="4">
        <v>151600</v>
      </c>
      <c r="B58" s="1" t="s">
        <v>99</v>
      </c>
      <c r="C58" s="1" t="s">
        <v>14</v>
      </c>
      <c r="D58" s="1">
        <v>1560</v>
      </c>
      <c r="E58" s="1">
        <v>500</v>
      </c>
      <c r="F58" s="1">
        <v>485</v>
      </c>
      <c r="G58" s="1">
        <v>5</v>
      </c>
      <c r="H58" s="1">
        <v>13816</v>
      </c>
      <c r="I58" s="1">
        <v>22</v>
      </c>
      <c r="J58" s="1">
        <v>38</v>
      </c>
      <c r="K58" s="1">
        <v>488</v>
      </c>
      <c r="L58" s="1">
        <v>487</v>
      </c>
      <c r="M58" s="1">
        <v>15</v>
      </c>
      <c r="N58">
        <f>VLOOKUP(A58,vlookup_table!$A:$G,2,FALSE)</f>
        <v>1</v>
      </c>
      <c r="O58" t="str">
        <f>VLOOKUP(A58,vlookup_table!$A:$G,3,FALSE)</f>
        <v>CA</v>
      </c>
      <c r="P58">
        <f>VLOOKUP(A58,vlookup_table!$A:$G,4,FALSE)</f>
        <v>6601</v>
      </c>
      <c r="Q58" t="str">
        <f>VLOOKUP(A58,vlookup_table!$A:$G,5,FALSE)</f>
        <v>S2</v>
      </c>
      <c r="R58" t="str">
        <f>VLOOKUP(A58,vlookup_table!$A:$G,6,FALSE)</f>
        <v>M</v>
      </c>
      <c r="S58">
        <f>VLOOKUP(A58,vlookup_table!$A:$G,7,FALSE)</f>
        <v>21</v>
      </c>
      <c r="T58">
        <f t="shared" si="0"/>
        <v>30</v>
      </c>
      <c r="U58" t="str">
        <f t="shared" si="1"/>
        <v>Suburbano</v>
      </c>
    </row>
    <row r="59" spans="1:21" ht="16" x14ac:dyDescent="0.4">
      <c r="A59" s="4">
        <v>21259</v>
      </c>
      <c r="B59" s="1" t="s">
        <v>18</v>
      </c>
      <c r="C59" s="1" t="s">
        <v>97</v>
      </c>
      <c r="D59" s="1">
        <v>716</v>
      </c>
      <c r="E59" s="1">
        <v>146</v>
      </c>
      <c r="F59" s="1">
        <v>382</v>
      </c>
      <c r="G59" s="1">
        <v>1</v>
      </c>
      <c r="H59" s="1">
        <v>11136</v>
      </c>
      <c r="I59" s="1">
        <v>2</v>
      </c>
      <c r="J59" s="1">
        <v>66</v>
      </c>
      <c r="K59" s="1">
        <v>339</v>
      </c>
      <c r="L59" s="1">
        <v>227</v>
      </c>
      <c r="M59" s="1">
        <v>12.47826087</v>
      </c>
      <c r="N59">
        <f>VLOOKUP(A59,vlookup_table!$A:$G,2,FALSE)</f>
        <v>0</v>
      </c>
      <c r="O59" t="str">
        <f>VLOOKUP(A59,vlookup_table!$A:$G,3,FALSE)</f>
        <v>NC</v>
      </c>
      <c r="P59">
        <f>VLOOKUP(A59,vlookup_table!$A:$G,4,FALSE)</f>
        <v>4001</v>
      </c>
      <c r="Q59" t="str">
        <f>VLOOKUP(A59,vlookup_table!$A:$G,5,FALSE)</f>
        <v>C2</v>
      </c>
      <c r="R59" t="str">
        <f>VLOOKUP(A59,vlookup_table!$A:$G,6,FALSE)</f>
        <v>F</v>
      </c>
      <c r="S59">
        <f>VLOOKUP(A59,vlookup_table!$A:$G,7,FALSE)</f>
        <v>15</v>
      </c>
      <c r="T59">
        <f t="shared" si="0"/>
        <v>56</v>
      </c>
      <c r="U59" t="str">
        <f t="shared" si="1"/>
        <v>Ciudad</v>
      </c>
    </row>
    <row r="60" spans="1:21" ht="16" x14ac:dyDescent="0.4">
      <c r="A60" s="4">
        <v>128987</v>
      </c>
      <c r="B60" s="1" t="s">
        <v>20</v>
      </c>
      <c r="C60" s="1" t="s">
        <v>17</v>
      </c>
      <c r="D60" s="1">
        <v>1247</v>
      </c>
      <c r="E60" s="1">
        <v>215</v>
      </c>
      <c r="F60" s="1">
        <v>444</v>
      </c>
      <c r="G60" s="1">
        <v>17</v>
      </c>
      <c r="H60" s="1">
        <v>16891</v>
      </c>
      <c r="I60" s="1">
        <v>16</v>
      </c>
      <c r="J60" s="1">
        <v>50</v>
      </c>
      <c r="K60" s="1">
        <v>313</v>
      </c>
      <c r="L60" s="1">
        <v>350</v>
      </c>
      <c r="M60" s="1">
        <v>26.333333329999999</v>
      </c>
      <c r="N60">
        <f>VLOOKUP(A60,vlookup_table!$A:$G,2,FALSE)</f>
        <v>28</v>
      </c>
      <c r="O60" t="str">
        <f>VLOOKUP(A60,vlookup_table!$A:$G,3,FALSE)</f>
        <v>TX</v>
      </c>
      <c r="P60">
        <f>VLOOKUP(A60,vlookup_table!$A:$G,4,FALSE)</f>
        <v>3912</v>
      </c>
      <c r="Q60" t="str">
        <f>VLOOKUP(A60,vlookup_table!$A:$G,5,FALSE)</f>
        <v>U1</v>
      </c>
      <c r="R60" t="str">
        <f>VLOOKUP(A60,vlookup_table!$A:$G,6,FALSE)</f>
        <v>F</v>
      </c>
      <c r="S60">
        <f>VLOOKUP(A60,vlookup_table!$A:$G,7,FALSE)</f>
        <v>41</v>
      </c>
      <c r="T60">
        <f t="shared" si="0"/>
        <v>57</v>
      </c>
      <c r="U60" t="str">
        <f t="shared" si="1"/>
        <v>Urbano</v>
      </c>
    </row>
    <row r="61" spans="1:21" ht="16" x14ac:dyDescent="0.4">
      <c r="A61" s="4">
        <v>108926</v>
      </c>
      <c r="B61" s="1" t="s">
        <v>46</v>
      </c>
      <c r="C61" s="1" t="s">
        <v>14</v>
      </c>
      <c r="D61" s="1">
        <v>611</v>
      </c>
      <c r="E61" s="1">
        <v>265</v>
      </c>
      <c r="F61" s="1">
        <v>337</v>
      </c>
      <c r="G61" s="1">
        <v>1</v>
      </c>
      <c r="H61" s="1">
        <v>12313</v>
      </c>
      <c r="I61" s="1">
        <v>4</v>
      </c>
      <c r="J61" s="1">
        <v>52</v>
      </c>
      <c r="K61" s="1">
        <v>323</v>
      </c>
      <c r="L61" s="1">
        <v>302</v>
      </c>
      <c r="M61" s="1">
        <v>15</v>
      </c>
      <c r="N61">
        <f>VLOOKUP(A61,vlookup_table!$A:$G,2,FALSE)</f>
        <v>1</v>
      </c>
      <c r="O61" t="str">
        <f>VLOOKUP(A61,vlookup_table!$A:$G,3,FALSE)</f>
        <v>LA</v>
      </c>
      <c r="P61">
        <f>VLOOKUP(A61,vlookup_table!$A:$G,4,FALSE)</f>
        <v>2601</v>
      </c>
      <c r="Q61" t="str">
        <f>VLOOKUP(A61,vlookup_table!$A:$G,5,FALSE)</f>
        <v>T2</v>
      </c>
      <c r="R61" t="str">
        <f>VLOOKUP(A61,vlookup_table!$A:$G,6,FALSE)</f>
        <v>M</v>
      </c>
      <c r="S61">
        <f>VLOOKUP(A61,vlookup_table!$A:$G,7,FALSE)</f>
        <v>20</v>
      </c>
      <c r="T61">
        <f t="shared" si="0"/>
        <v>70</v>
      </c>
      <c r="U61" t="str">
        <f t="shared" si="1"/>
        <v>Pueblo</v>
      </c>
    </row>
    <row r="62" spans="1:21" ht="16" x14ac:dyDescent="0.4">
      <c r="A62" s="4">
        <v>154709</v>
      </c>
      <c r="B62" s="1" t="s">
        <v>99</v>
      </c>
      <c r="C62" s="1" t="s">
        <v>17</v>
      </c>
      <c r="D62" s="1">
        <v>1431</v>
      </c>
      <c r="E62" s="1">
        <v>291</v>
      </c>
      <c r="F62" s="1">
        <v>376</v>
      </c>
      <c r="G62" s="1">
        <v>24</v>
      </c>
      <c r="H62" s="1">
        <v>10498</v>
      </c>
      <c r="I62" s="1">
        <v>18</v>
      </c>
      <c r="J62" s="1">
        <v>48</v>
      </c>
      <c r="K62" s="1">
        <v>390</v>
      </c>
      <c r="L62" s="1">
        <v>315</v>
      </c>
      <c r="M62" s="1">
        <v>13</v>
      </c>
      <c r="N62">
        <f>VLOOKUP(A62,vlookup_table!$A:$G,2,FALSE)</f>
        <v>0</v>
      </c>
      <c r="O62" t="str">
        <f>VLOOKUP(A62,vlookup_table!$A:$G,3,FALSE)</f>
        <v>CA</v>
      </c>
      <c r="P62">
        <f>VLOOKUP(A62,vlookup_table!$A:$G,4,FALSE)</f>
        <v>0</v>
      </c>
      <c r="Q62" t="str">
        <f>VLOOKUP(A62,vlookup_table!$A:$G,5,FALSE)</f>
        <v>S2</v>
      </c>
      <c r="R62" t="str">
        <f>VLOOKUP(A62,vlookup_table!$A:$G,6,FALSE)</f>
        <v>F</v>
      </c>
      <c r="S62">
        <f>VLOOKUP(A62,vlookup_table!$A:$G,7,FALSE)</f>
        <v>5</v>
      </c>
      <c r="T62">
        <f t="shared" si="0"/>
        <v>96</v>
      </c>
      <c r="U62" t="str">
        <f t="shared" si="1"/>
        <v>Suburbano</v>
      </c>
    </row>
    <row r="63" spans="1:21" ht="16" x14ac:dyDescent="0.4">
      <c r="A63" s="4">
        <v>108050</v>
      </c>
      <c r="B63" s="1" t="s">
        <v>46</v>
      </c>
      <c r="C63" s="1" t="s">
        <v>17</v>
      </c>
      <c r="D63" s="1">
        <v>1089</v>
      </c>
      <c r="E63" s="1">
        <v>431</v>
      </c>
      <c r="F63" s="1">
        <v>538</v>
      </c>
      <c r="G63" s="1">
        <v>1</v>
      </c>
      <c r="H63" s="1">
        <v>16777</v>
      </c>
      <c r="I63" s="1">
        <v>2</v>
      </c>
      <c r="J63" s="1">
        <v>64</v>
      </c>
      <c r="K63" s="1">
        <v>520</v>
      </c>
      <c r="L63" s="1">
        <v>480</v>
      </c>
      <c r="M63" s="1">
        <v>5.2</v>
      </c>
      <c r="N63">
        <f>VLOOKUP(A63,vlookup_table!$A:$G,2,FALSE)</f>
        <v>0</v>
      </c>
      <c r="O63" t="str">
        <f>VLOOKUP(A63,vlookup_table!$A:$G,3,FALSE)</f>
        <v>LA</v>
      </c>
      <c r="P63">
        <f>VLOOKUP(A63,vlookup_table!$A:$G,4,FALSE)</f>
        <v>1401</v>
      </c>
      <c r="Q63" t="str">
        <f>VLOOKUP(A63,vlookup_table!$A:$G,5,FALSE)</f>
        <v>T1</v>
      </c>
      <c r="R63" t="str">
        <f>VLOOKUP(A63,vlookup_table!$A:$G,6,FALSE)</f>
        <v>F</v>
      </c>
      <c r="S63">
        <f>VLOOKUP(A63,vlookup_table!$A:$G,7,FALSE)</f>
        <v>16</v>
      </c>
      <c r="T63">
        <f t="shared" si="0"/>
        <v>82</v>
      </c>
      <c r="U63" t="str">
        <f t="shared" si="1"/>
        <v>Pueblo</v>
      </c>
    </row>
    <row r="64" spans="1:21" ht="16" x14ac:dyDescent="0.4">
      <c r="A64" s="4">
        <v>187274</v>
      </c>
      <c r="B64" s="1" t="s">
        <v>44</v>
      </c>
      <c r="C64" s="1" t="s">
        <v>17</v>
      </c>
      <c r="D64" s="1">
        <v>435</v>
      </c>
      <c r="E64" s="1">
        <v>244</v>
      </c>
      <c r="F64" s="1">
        <v>329</v>
      </c>
      <c r="G64" s="1">
        <v>0</v>
      </c>
      <c r="H64" s="1">
        <v>10692</v>
      </c>
      <c r="I64" s="1">
        <v>2</v>
      </c>
      <c r="J64" s="1">
        <v>76</v>
      </c>
      <c r="K64" s="1">
        <v>298</v>
      </c>
      <c r="L64" s="1">
        <v>281</v>
      </c>
      <c r="M64" s="1">
        <v>15</v>
      </c>
      <c r="N64">
        <f>VLOOKUP(A64,vlookup_table!$A:$G,2,FALSE)</f>
        <v>0</v>
      </c>
      <c r="O64" t="str">
        <f>VLOOKUP(A64,vlookup_table!$A:$G,3,FALSE)</f>
        <v>IA</v>
      </c>
      <c r="P64">
        <f>VLOOKUP(A64,vlookup_table!$A:$G,4,FALSE)</f>
        <v>0</v>
      </c>
      <c r="Q64" t="str">
        <f>VLOOKUP(A64,vlookup_table!$A:$G,5,FALSE)</f>
        <v>R2</v>
      </c>
      <c r="R64" t="str">
        <f>VLOOKUP(A64,vlookup_table!$A:$G,6,FALSE)</f>
        <v>F</v>
      </c>
      <c r="S64">
        <f>VLOOKUP(A64,vlookup_table!$A:$G,7,FALSE)</f>
        <v>15</v>
      </c>
      <c r="T64">
        <f t="shared" si="0"/>
        <v>96</v>
      </c>
      <c r="U64" t="str">
        <f t="shared" si="1"/>
        <v>Rural</v>
      </c>
    </row>
    <row r="65" spans="1:21" ht="16" x14ac:dyDescent="0.4">
      <c r="A65" s="4">
        <v>171655</v>
      </c>
      <c r="B65" s="1" t="s">
        <v>99</v>
      </c>
      <c r="C65" s="1" t="s">
        <v>17</v>
      </c>
      <c r="D65" s="1">
        <v>1409</v>
      </c>
      <c r="E65" s="1">
        <v>321</v>
      </c>
      <c r="F65" s="1">
        <v>428</v>
      </c>
      <c r="G65" s="1">
        <v>21</v>
      </c>
      <c r="H65" s="1">
        <v>15611</v>
      </c>
      <c r="I65" s="1">
        <v>3</v>
      </c>
      <c r="J65" s="1">
        <v>57</v>
      </c>
      <c r="K65" s="1">
        <v>405</v>
      </c>
      <c r="L65" s="1">
        <v>377</v>
      </c>
      <c r="M65" s="1">
        <v>12.66666667</v>
      </c>
      <c r="N65">
        <f>VLOOKUP(A65,vlookup_table!$A:$G,2,FALSE)</f>
        <v>0</v>
      </c>
      <c r="O65" t="str">
        <f>VLOOKUP(A65,vlookup_table!$A:$G,3,FALSE)</f>
        <v>CA</v>
      </c>
      <c r="P65">
        <f>VLOOKUP(A65,vlookup_table!$A:$G,4,FALSE)</f>
        <v>0</v>
      </c>
      <c r="Q65" t="str">
        <f>VLOOKUP(A65,vlookup_table!$A:$G,5,FALSE)</f>
        <v>S3</v>
      </c>
      <c r="R65" t="str">
        <f>VLOOKUP(A65,vlookup_table!$A:$G,6,FALSE)</f>
        <v>F</v>
      </c>
      <c r="S65">
        <f>VLOOKUP(A65,vlookup_table!$A:$G,7,FALSE)</f>
        <v>12</v>
      </c>
      <c r="T65">
        <f t="shared" si="0"/>
        <v>96</v>
      </c>
      <c r="U65" t="str">
        <f t="shared" si="1"/>
        <v>Suburbano</v>
      </c>
    </row>
    <row r="66" spans="1:21" ht="16" x14ac:dyDescent="0.4">
      <c r="A66" s="4">
        <v>160488</v>
      </c>
      <c r="B66" s="1" t="s">
        <v>47</v>
      </c>
      <c r="C66" s="1" t="s">
        <v>14</v>
      </c>
      <c r="D66" s="1">
        <v>647</v>
      </c>
      <c r="E66" s="1">
        <v>369</v>
      </c>
      <c r="F66" s="1">
        <v>463</v>
      </c>
      <c r="G66" s="1">
        <v>0</v>
      </c>
      <c r="H66" s="1">
        <v>18492</v>
      </c>
      <c r="I66" s="1">
        <v>6</v>
      </c>
      <c r="J66" s="1">
        <v>34</v>
      </c>
      <c r="K66" s="1">
        <v>422</v>
      </c>
      <c r="L66" s="1">
        <v>401</v>
      </c>
      <c r="M66" s="1">
        <v>9.5</v>
      </c>
      <c r="N66">
        <f>VLOOKUP(A66,vlookup_table!$A:$G,2,FALSE)</f>
        <v>0</v>
      </c>
      <c r="O66" t="str">
        <f>VLOOKUP(A66,vlookup_table!$A:$G,3,FALSE)</f>
        <v>OR</v>
      </c>
      <c r="P66">
        <f>VLOOKUP(A66,vlookup_table!$A:$G,4,FALSE)</f>
        <v>0</v>
      </c>
      <c r="Q66" t="str">
        <f>VLOOKUP(A66,vlookup_table!$A:$G,5,FALSE)</f>
        <v>C2</v>
      </c>
      <c r="R66" t="str">
        <f>VLOOKUP(A66,vlookup_table!$A:$G,6,FALSE)</f>
        <v>M</v>
      </c>
      <c r="S66">
        <f>VLOOKUP(A66,vlookup_table!$A:$G,7,FALSE)</f>
        <v>10</v>
      </c>
      <c r="T66">
        <f t="shared" si="0"/>
        <v>96</v>
      </c>
      <c r="U66" t="str">
        <f t="shared" si="1"/>
        <v>Ciudad</v>
      </c>
    </row>
    <row r="67" spans="1:21" ht="16" x14ac:dyDescent="0.4">
      <c r="A67" s="4">
        <v>21305</v>
      </c>
      <c r="B67" s="1" t="s">
        <v>18</v>
      </c>
      <c r="C67" s="1" t="s">
        <v>14</v>
      </c>
      <c r="D67" s="1">
        <v>415</v>
      </c>
      <c r="E67" s="1">
        <v>199</v>
      </c>
      <c r="F67" s="1">
        <v>300</v>
      </c>
      <c r="G67" s="1">
        <v>0</v>
      </c>
      <c r="H67" s="1">
        <v>11449</v>
      </c>
      <c r="I67" s="1">
        <v>0</v>
      </c>
      <c r="J67" s="1">
        <v>86</v>
      </c>
      <c r="K67" s="1">
        <v>308</v>
      </c>
      <c r="L67" s="1">
        <v>242</v>
      </c>
      <c r="M67" s="1">
        <v>8.3333333330000006</v>
      </c>
      <c r="N67">
        <f>VLOOKUP(A67,vlookup_table!$A:$G,2,FALSE)</f>
        <v>1</v>
      </c>
      <c r="O67" t="str">
        <f>VLOOKUP(A67,vlookup_table!$A:$G,3,FALSE)</f>
        <v>NC</v>
      </c>
      <c r="P67">
        <f>VLOOKUP(A67,vlookup_table!$A:$G,4,FALSE)</f>
        <v>5601</v>
      </c>
      <c r="Q67" t="str">
        <f>VLOOKUP(A67,vlookup_table!$A:$G,5,FALSE)</f>
        <v>R2</v>
      </c>
      <c r="R67" t="str">
        <f>VLOOKUP(A67,vlookup_table!$A:$G,6,FALSE)</f>
        <v>M</v>
      </c>
      <c r="S67">
        <f>VLOOKUP(A67,vlookup_table!$A:$G,7,FALSE)</f>
        <v>10</v>
      </c>
      <c r="T67">
        <f t="shared" ref="T67:T130" si="2">97-LEFT(P67,2)-IF(RIGHT(P67,2)&gt;6,1,0)</f>
        <v>40</v>
      </c>
      <c r="U67" t="str">
        <f t="shared" ref="U67:U130" si="3">IF(LEFT(Q67,1)="C","Ciudad",IF(LEFT(Q67,1)="T","Pueblo",IF(LEFT(Q67,1)="R","Rural",IF(LEFT(Q67,1)="S","Suburbano",IF(LEFT(Q67,1)="U","Urbano","")))))</f>
        <v>Rural</v>
      </c>
    </row>
    <row r="68" spans="1:21" ht="16" x14ac:dyDescent="0.4">
      <c r="A68" s="4">
        <v>98470</v>
      </c>
      <c r="B68" s="1" t="s">
        <v>16</v>
      </c>
      <c r="C68" s="1" t="s">
        <v>17</v>
      </c>
      <c r="D68" s="1">
        <v>492</v>
      </c>
      <c r="E68" s="1">
        <v>172</v>
      </c>
      <c r="F68" s="1">
        <v>399</v>
      </c>
      <c r="G68" s="1">
        <v>0</v>
      </c>
      <c r="H68" s="1">
        <v>13218</v>
      </c>
      <c r="I68" s="1">
        <v>3</v>
      </c>
      <c r="J68" s="1">
        <v>85</v>
      </c>
      <c r="K68" s="1">
        <v>384</v>
      </c>
      <c r="L68" s="1">
        <v>276</v>
      </c>
      <c r="M68" s="1">
        <v>8.75</v>
      </c>
      <c r="N68">
        <f>VLOOKUP(A68,vlookup_table!$A:$G,2,FALSE)</f>
        <v>2</v>
      </c>
      <c r="O68" t="str">
        <f>VLOOKUP(A68,vlookup_table!$A:$G,3,FALSE)</f>
        <v>IL</v>
      </c>
      <c r="P68">
        <f>VLOOKUP(A68,vlookup_table!$A:$G,4,FALSE)</f>
        <v>1108</v>
      </c>
      <c r="Q68" t="str">
        <f>VLOOKUP(A68,vlookup_table!$A:$G,5,FALSE)</f>
        <v>T2</v>
      </c>
      <c r="R68" t="str">
        <f>VLOOKUP(A68,vlookup_table!$A:$G,6,FALSE)</f>
        <v>F</v>
      </c>
      <c r="S68">
        <f>VLOOKUP(A68,vlookup_table!$A:$G,7,FALSE)</f>
        <v>14</v>
      </c>
      <c r="T68">
        <f t="shared" si="2"/>
        <v>85</v>
      </c>
      <c r="U68" t="str">
        <f t="shared" si="3"/>
        <v>Pueblo</v>
      </c>
    </row>
    <row r="69" spans="1:21" ht="16" x14ac:dyDescent="0.4">
      <c r="A69" s="4">
        <v>140586</v>
      </c>
      <c r="B69" s="1" t="s">
        <v>20</v>
      </c>
      <c r="C69" s="1" t="s">
        <v>14</v>
      </c>
      <c r="D69" s="1">
        <v>1043</v>
      </c>
      <c r="E69" s="1">
        <v>610</v>
      </c>
      <c r="F69" s="1">
        <v>788</v>
      </c>
      <c r="G69" s="1">
        <v>13</v>
      </c>
      <c r="H69" s="1">
        <v>49744</v>
      </c>
      <c r="I69" s="1">
        <v>2</v>
      </c>
      <c r="J69" s="1">
        <v>70</v>
      </c>
      <c r="K69" s="1">
        <v>682</v>
      </c>
      <c r="L69" s="1">
        <v>731</v>
      </c>
      <c r="M69" s="1">
        <v>13.25</v>
      </c>
      <c r="N69">
        <f>VLOOKUP(A69,vlookup_table!$A:$G,2,FALSE)</f>
        <v>1</v>
      </c>
      <c r="O69" t="str">
        <f>VLOOKUP(A69,vlookup_table!$A:$G,3,FALSE)</f>
        <v>TX</v>
      </c>
      <c r="P69">
        <f>VLOOKUP(A69,vlookup_table!$A:$G,4,FALSE)</f>
        <v>0</v>
      </c>
      <c r="Q69" t="str">
        <f>VLOOKUP(A69,vlookup_table!$A:$G,5,FALSE)</f>
        <v>T1</v>
      </c>
      <c r="R69" t="str">
        <f>VLOOKUP(A69,vlookup_table!$A:$G,6,FALSE)</f>
        <v>M</v>
      </c>
      <c r="S69">
        <f>VLOOKUP(A69,vlookup_table!$A:$G,7,FALSE)</f>
        <v>20</v>
      </c>
      <c r="T69">
        <f t="shared" si="2"/>
        <v>96</v>
      </c>
      <c r="U69" t="str">
        <f t="shared" si="3"/>
        <v>Pueblo</v>
      </c>
    </row>
    <row r="70" spans="1:21" ht="16" x14ac:dyDescent="0.4">
      <c r="A70" s="4">
        <v>158101</v>
      </c>
      <c r="B70" s="1" t="s">
        <v>99</v>
      </c>
      <c r="C70" s="1" t="s">
        <v>14</v>
      </c>
      <c r="D70" s="1">
        <v>3668</v>
      </c>
      <c r="E70" s="1">
        <v>690</v>
      </c>
      <c r="F70" s="1">
        <v>780</v>
      </c>
      <c r="G70" s="1">
        <v>97</v>
      </c>
      <c r="H70" s="1">
        <v>32964</v>
      </c>
      <c r="I70" s="1">
        <v>10</v>
      </c>
      <c r="J70" s="1">
        <v>44</v>
      </c>
      <c r="K70" s="1">
        <v>693</v>
      </c>
      <c r="L70" s="1">
        <v>781</v>
      </c>
      <c r="M70" s="1">
        <v>15</v>
      </c>
      <c r="N70">
        <f>VLOOKUP(A70,vlookup_table!$A:$G,2,FALSE)</f>
        <v>1</v>
      </c>
      <c r="O70" t="str">
        <f>VLOOKUP(A70,vlookup_table!$A:$G,3,FALSE)</f>
        <v>CA</v>
      </c>
      <c r="P70">
        <f>VLOOKUP(A70,vlookup_table!$A:$G,4,FALSE)</f>
        <v>1701</v>
      </c>
      <c r="Q70" t="str">
        <f>VLOOKUP(A70,vlookup_table!$A:$G,5,FALSE)</f>
        <v>S1</v>
      </c>
      <c r="R70" t="str">
        <f>VLOOKUP(A70,vlookup_table!$A:$G,6,FALSE)</f>
        <v>M</v>
      </c>
      <c r="S70">
        <f>VLOOKUP(A70,vlookup_table!$A:$G,7,FALSE)</f>
        <v>15</v>
      </c>
      <c r="T70">
        <f t="shared" si="2"/>
        <v>79</v>
      </c>
      <c r="U70" t="str">
        <f t="shared" si="3"/>
        <v>Suburbano</v>
      </c>
    </row>
    <row r="71" spans="1:21" ht="16" x14ac:dyDescent="0.4">
      <c r="A71" s="4">
        <v>150043</v>
      </c>
      <c r="B71" s="1" t="s">
        <v>99</v>
      </c>
      <c r="C71" s="1" t="s">
        <v>14</v>
      </c>
      <c r="D71" s="1">
        <v>3491</v>
      </c>
      <c r="E71" s="1">
        <v>791</v>
      </c>
      <c r="F71" s="1">
        <v>903</v>
      </c>
      <c r="G71" s="1">
        <v>94</v>
      </c>
      <c r="H71" s="1">
        <v>32718</v>
      </c>
      <c r="I71" s="1">
        <v>18</v>
      </c>
      <c r="J71" s="1">
        <v>44</v>
      </c>
      <c r="K71" s="1">
        <v>828</v>
      </c>
      <c r="L71" s="1">
        <v>853</v>
      </c>
      <c r="M71" s="1">
        <v>20</v>
      </c>
      <c r="N71">
        <f>VLOOKUP(A71,vlookup_table!$A:$G,2,FALSE)</f>
        <v>1002</v>
      </c>
      <c r="O71" t="str">
        <f>VLOOKUP(A71,vlookup_table!$A:$G,3,FALSE)</f>
        <v>CA</v>
      </c>
      <c r="P71">
        <f>VLOOKUP(A71,vlookup_table!$A:$G,4,FALSE)</f>
        <v>3201</v>
      </c>
      <c r="Q71" t="str">
        <f>VLOOKUP(A71,vlookup_table!$A:$G,5,FALSE)</f>
        <v>S1</v>
      </c>
      <c r="R71" t="str">
        <f>VLOOKUP(A71,vlookup_table!$A:$G,6,FALSE)</f>
        <v>M</v>
      </c>
      <c r="S71">
        <f>VLOOKUP(A71,vlookup_table!$A:$G,7,FALSE)</f>
        <v>20</v>
      </c>
      <c r="T71">
        <f t="shared" si="2"/>
        <v>64</v>
      </c>
      <c r="U71" t="str">
        <f t="shared" si="3"/>
        <v>Suburbano</v>
      </c>
    </row>
    <row r="72" spans="1:21" ht="16" x14ac:dyDescent="0.4">
      <c r="A72" s="4">
        <v>96251</v>
      </c>
      <c r="B72" s="1" t="s">
        <v>16</v>
      </c>
      <c r="C72" s="1" t="s">
        <v>17</v>
      </c>
      <c r="D72" s="1">
        <v>192</v>
      </c>
      <c r="E72" s="1">
        <v>164</v>
      </c>
      <c r="F72" s="1">
        <v>224</v>
      </c>
      <c r="G72" s="1">
        <v>0</v>
      </c>
      <c r="H72" s="1">
        <v>7361</v>
      </c>
      <c r="I72" s="1">
        <v>3</v>
      </c>
      <c r="J72" s="1">
        <v>89</v>
      </c>
      <c r="K72" s="1">
        <v>211</v>
      </c>
      <c r="L72" s="1">
        <v>186</v>
      </c>
      <c r="M72" s="1">
        <v>5.8666666669999996</v>
      </c>
      <c r="N72">
        <f>VLOOKUP(A72,vlookup_table!$A:$G,2,FALSE)</f>
        <v>0</v>
      </c>
      <c r="O72" t="str">
        <f>VLOOKUP(A72,vlookup_table!$A:$G,3,FALSE)</f>
        <v>IL</v>
      </c>
      <c r="P72">
        <f>VLOOKUP(A72,vlookup_table!$A:$G,4,FALSE)</f>
        <v>4401</v>
      </c>
      <c r="Q72" t="str">
        <f>VLOOKUP(A72,vlookup_table!$A:$G,5,FALSE)</f>
        <v>T3</v>
      </c>
      <c r="R72" t="str">
        <f>VLOOKUP(A72,vlookup_table!$A:$G,6,FALSE)</f>
        <v>F</v>
      </c>
      <c r="S72">
        <f>VLOOKUP(A72,vlookup_table!$A:$G,7,FALSE)</f>
        <v>10</v>
      </c>
      <c r="T72">
        <f t="shared" si="2"/>
        <v>52</v>
      </c>
      <c r="U72" t="str">
        <f t="shared" si="3"/>
        <v>Pueblo</v>
      </c>
    </row>
    <row r="73" spans="1:21" ht="16" x14ac:dyDescent="0.4">
      <c r="A73" s="4">
        <v>188547</v>
      </c>
      <c r="B73" s="1" t="s">
        <v>99</v>
      </c>
      <c r="C73" s="1" t="s">
        <v>14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20.260869570000001</v>
      </c>
      <c r="N73">
        <f>VLOOKUP(A73,vlookup_table!$A:$G,2,FALSE)</f>
        <v>1</v>
      </c>
      <c r="O73" t="str">
        <f>VLOOKUP(A73,vlookup_table!$A:$G,3,FALSE)</f>
        <v>CA</v>
      </c>
      <c r="P73">
        <f>VLOOKUP(A73,vlookup_table!$A:$G,4,FALSE)</f>
        <v>0</v>
      </c>
      <c r="Q73" t="str">
        <f>VLOOKUP(A73,vlookup_table!$A:$G,5,FALSE)</f>
        <v>U4</v>
      </c>
      <c r="R73" t="str">
        <f>VLOOKUP(A73,vlookup_table!$A:$G,6,FALSE)</f>
        <v>M</v>
      </c>
      <c r="S73">
        <f>VLOOKUP(A73,vlookup_table!$A:$G,7,FALSE)</f>
        <v>25</v>
      </c>
      <c r="T73">
        <f t="shared" si="2"/>
        <v>96</v>
      </c>
      <c r="U73" t="str">
        <f t="shared" si="3"/>
        <v>Urbano</v>
      </c>
    </row>
    <row r="74" spans="1:21" ht="16" x14ac:dyDescent="0.4">
      <c r="A74" s="4">
        <v>180617</v>
      </c>
      <c r="B74" s="1" t="s">
        <v>37</v>
      </c>
      <c r="C74" s="1" t="s">
        <v>14</v>
      </c>
      <c r="D74" s="1">
        <v>824</v>
      </c>
      <c r="E74" s="1">
        <v>225</v>
      </c>
      <c r="F74" s="1">
        <v>383</v>
      </c>
      <c r="G74" s="1">
        <v>10</v>
      </c>
      <c r="H74" s="1">
        <v>13090</v>
      </c>
      <c r="I74" s="1">
        <v>7</v>
      </c>
      <c r="J74" s="1">
        <v>52</v>
      </c>
      <c r="K74" s="1">
        <v>308</v>
      </c>
      <c r="L74" s="1">
        <v>293</v>
      </c>
      <c r="M74" s="1">
        <v>7.483333333</v>
      </c>
      <c r="N74">
        <f>VLOOKUP(A74,vlookup_table!$A:$G,2,FALSE)</f>
        <v>1002</v>
      </c>
      <c r="O74" t="str">
        <f>VLOOKUP(A74,vlookup_table!$A:$G,3,FALSE)</f>
        <v>WA</v>
      </c>
      <c r="P74">
        <f>VLOOKUP(A74,vlookup_table!$A:$G,4,FALSE)</f>
        <v>2101</v>
      </c>
      <c r="Q74" t="str">
        <f>VLOOKUP(A74,vlookup_table!$A:$G,5,FALSE)</f>
        <v>C2</v>
      </c>
      <c r="R74" t="str">
        <f>VLOOKUP(A74,vlookup_table!$A:$G,6,FALSE)</f>
        <v>M</v>
      </c>
      <c r="S74">
        <f>VLOOKUP(A74,vlookup_table!$A:$G,7,FALSE)</f>
        <v>11</v>
      </c>
      <c r="T74">
        <f t="shared" si="2"/>
        <v>75</v>
      </c>
      <c r="U74" t="str">
        <f t="shared" si="3"/>
        <v>Ciudad</v>
      </c>
    </row>
    <row r="75" spans="1:21" ht="16" x14ac:dyDescent="0.4">
      <c r="A75" s="4">
        <v>86000</v>
      </c>
      <c r="B75" s="1" t="s">
        <v>48</v>
      </c>
      <c r="C75" s="1" t="s">
        <v>17</v>
      </c>
      <c r="D75" s="1">
        <v>428</v>
      </c>
      <c r="E75" s="1">
        <v>205</v>
      </c>
      <c r="F75" s="1">
        <v>309</v>
      </c>
      <c r="G75" s="1">
        <v>0</v>
      </c>
      <c r="H75" s="1">
        <v>11192</v>
      </c>
      <c r="I75" s="1">
        <v>2</v>
      </c>
      <c r="J75" s="1">
        <v>62</v>
      </c>
      <c r="K75" s="1">
        <v>318</v>
      </c>
      <c r="L75" s="1">
        <v>245</v>
      </c>
      <c r="M75" s="1">
        <v>11.25</v>
      </c>
      <c r="N75">
        <f>VLOOKUP(A75,vlookup_table!$A:$G,2,FALSE)</f>
        <v>0</v>
      </c>
      <c r="O75" t="str">
        <f>VLOOKUP(A75,vlookup_table!$A:$G,3,FALSE)</f>
        <v>SD</v>
      </c>
      <c r="P75">
        <f>VLOOKUP(A75,vlookup_table!$A:$G,4,FALSE)</f>
        <v>1201</v>
      </c>
      <c r="Q75" t="str">
        <f>VLOOKUP(A75,vlookup_table!$A:$G,5,FALSE)</f>
        <v>C2</v>
      </c>
      <c r="R75" t="str">
        <f>VLOOKUP(A75,vlookup_table!$A:$G,6,FALSE)</f>
        <v>F</v>
      </c>
      <c r="S75">
        <f>VLOOKUP(A75,vlookup_table!$A:$G,7,FALSE)</f>
        <v>10</v>
      </c>
      <c r="T75">
        <f t="shared" si="2"/>
        <v>84</v>
      </c>
      <c r="U75" t="str">
        <f t="shared" si="3"/>
        <v>Ciudad</v>
      </c>
    </row>
    <row r="76" spans="1:21" ht="16" x14ac:dyDescent="0.4">
      <c r="A76" s="4">
        <v>13265</v>
      </c>
      <c r="B76" s="1" t="s">
        <v>40</v>
      </c>
      <c r="C76" s="1" t="s">
        <v>17</v>
      </c>
      <c r="D76" s="1">
        <v>417</v>
      </c>
      <c r="E76" s="1">
        <v>122</v>
      </c>
      <c r="F76" s="1">
        <v>250</v>
      </c>
      <c r="G76" s="1">
        <v>0</v>
      </c>
      <c r="H76" s="1">
        <v>9715</v>
      </c>
      <c r="I76" s="1">
        <v>0</v>
      </c>
      <c r="J76" s="1">
        <v>64</v>
      </c>
      <c r="K76" s="1">
        <v>283</v>
      </c>
      <c r="L76" s="1">
        <v>160</v>
      </c>
      <c r="M76" s="1">
        <v>7.75</v>
      </c>
      <c r="N76">
        <f>VLOOKUP(A76,vlookup_table!$A:$G,2,FALSE)</f>
        <v>28</v>
      </c>
      <c r="O76" t="str">
        <f>VLOOKUP(A76,vlookup_table!$A:$G,3,FALSE)</f>
        <v>AL</v>
      </c>
      <c r="P76">
        <f>VLOOKUP(A76,vlookup_table!$A:$G,4,FALSE)</f>
        <v>1901</v>
      </c>
      <c r="Q76" t="str">
        <f>VLOOKUP(A76,vlookup_table!$A:$G,5,FALSE)</f>
        <v>C3</v>
      </c>
      <c r="R76" t="str">
        <f>VLOOKUP(A76,vlookup_table!$A:$G,6,FALSE)</f>
        <v>F</v>
      </c>
      <c r="S76">
        <f>VLOOKUP(A76,vlookup_table!$A:$G,7,FALSE)</f>
        <v>11</v>
      </c>
      <c r="T76">
        <f t="shared" si="2"/>
        <v>77</v>
      </c>
      <c r="U76" t="str">
        <f t="shared" si="3"/>
        <v>Ciudad</v>
      </c>
    </row>
    <row r="77" spans="1:21" ht="16" x14ac:dyDescent="0.4">
      <c r="A77" s="4">
        <v>71</v>
      </c>
      <c r="B77" s="1" t="s">
        <v>49</v>
      </c>
      <c r="C77" s="1" t="s">
        <v>17</v>
      </c>
      <c r="D77" s="1">
        <v>399</v>
      </c>
      <c r="E77" s="1">
        <v>307</v>
      </c>
      <c r="F77" s="1">
        <v>352</v>
      </c>
      <c r="G77" s="1">
        <v>0</v>
      </c>
      <c r="H77" s="1">
        <v>11428</v>
      </c>
      <c r="I77" s="1">
        <v>0</v>
      </c>
      <c r="J77" s="1">
        <v>85</v>
      </c>
      <c r="K77" s="1">
        <v>315</v>
      </c>
      <c r="L77" s="1">
        <v>336</v>
      </c>
      <c r="M77" s="1">
        <v>6.8181818180000002</v>
      </c>
      <c r="N77">
        <f>VLOOKUP(A77,vlookup_table!$A:$G,2,FALSE)</f>
        <v>0</v>
      </c>
      <c r="O77" t="str">
        <f>VLOOKUP(A77,vlookup_table!$A:$G,3,FALSE)</f>
        <v>TN</v>
      </c>
      <c r="P77">
        <f>VLOOKUP(A77,vlookup_table!$A:$G,4,FALSE)</f>
        <v>3401</v>
      </c>
      <c r="Q77" t="str">
        <f>VLOOKUP(A77,vlookup_table!$A:$G,5,FALSE)</f>
        <v>R2</v>
      </c>
      <c r="R77" t="str">
        <f>VLOOKUP(A77,vlookup_table!$A:$G,6,FALSE)</f>
        <v>F</v>
      </c>
      <c r="S77">
        <f>VLOOKUP(A77,vlookup_table!$A:$G,7,FALSE)</f>
        <v>16</v>
      </c>
      <c r="T77">
        <f t="shared" si="2"/>
        <v>62</v>
      </c>
      <c r="U77" t="str">
        <f t="shared" si="3"/>
        <v>Rural</v>
      </c>
    </row>
    <row r="78" spans="1:21" ht="16" x14ac:dyDescent="0.4">
      <c r="A78" s="4">
        <v>148969</v>
      </c>
      <c r="B78" s="1" t="s">
        <v>99</v>
      </c>
      <c r="C78" s="1" t="s">
        <v>17</v>
      </c>
      <c r="D78" s="1">
        <v>2377</v>
      </c>
      <c r="E78" s="1">
        <v>633</v>
      </c>
      <c r="F78" s="1">
        <v>663</v>
      </c>
      <c r="G78" s="1">
        <v>85</v>
      </c>
      <c r="H78" s="1">
        <v>19545</v>
      </c>
      <c r="I78" s="1">
        <v>13</v>
      </c>
      <c r="J78" s="1">
        <v>53</v>
      </c>
      <c r="K78" s="1">
        <v>637</v>
      </c>
      <c r="L78" s="1">
        <v>652</v>
      </c>
      <c r="M78" s="1">
        <v>9.1111111109999996</v>
      </c>
      <c r="N78">
        <f>VLOOKUP(A78,vlookup_table!$A:$G,2,FALSE)</f>
        <v>0</v>
      </c>
      <c r="O78" t="str">
        <f>VLOOKUP(A78,vlookup_table!$A:$G,3,FALSE)</f>
        <v>CA</v>
      </c>
      <c r="P78">
        <f>VLOOKUP(A78,vlookup_table!$A:$G,4,FALSE)</f>
        <v>0</v>
      </c>
      <c r="Q78" t="str">
        <f>VLOOKUP(A78,vlookup_table!$A:$G,5,FALSE)</f>
        <v>C1</v>
      </c>
      <c r="R78" t="str">
        <f>VLOOKUP(A78,vlookup_table!$A:$G,6,FALSE)</f>
        <v>F</v>
      </c>
      <c r="S78">
        <f>VLOOKUP(A78,vlookup_table!$A:$G,7,FALSE)</f>
        <v>10</v>
      </c>
      <c r="T78">
        <f t="shared" si="2"/>
        <v>96</v>
      </c>
      <c r="U78" t="str">
        <f t="shared" si="3"/>
        <v>Ciudad</v>
      </c>
    </row>
    <row r="79" spans="1:21" ht="16" x14ac:dyDescent="0.4">
      <c r="A79" s="4">
        <v>156324</v>
      </c>
      <c r="B79" s="1" t="s">
        <v>99</v>
      </c>
      <c r="C79" s="1"/>
      <c r="D79" s="1">
        <v>2016</v>
      </c>
      <c r="E79" s="1">
        <v>431</v>
      </c>
      <c r="F79" s="1">
        <v>497</v>
      </c>
      <c r="G79" s="1">
        <v>51</v>
      </c>
      <c r="H79" s="1">
        <v>17882</v>
      </c>
      <c r="I79" s="1">
        <v>11</v>
      </c>
      <c r="J79" s="1">
        <v>53</v>
      </c>
      <c r="K79" s="1">
        <v>465</v>
      </c>
      <c r="L79" s="1">
        <v>459</v>
      </c>
      <c r="M79" s="1">
        <v>8.75</v>
      </c>
      <c r="N79">
        <f>VLOOKUP(A79,vlookup_table!$A:$G,2,FALSE)</f>
        <v>0</v>
      </c>
      <c r="O79" t="str">
        <f>VLOOKUP(A79,vlookup_table!$A:$G,3,FALSE)</f>
        <v>CA</v>
      </c>
      <c r="P79">
        <f>VLOOKUP(A79,vlookup_table!$A:$G,4,FALSE)</f>
        <v>0</v>
      </c>
      <c r="Q79" t="str">
        <f>VLOOKUP(A79,vlookup_table!$A:$G,5,FALSE)</f>
        <v>S1</v>
      </c>
      <c r="R79" t="str">
        <f>VLOOKUP(A79,vlookup_table!$A:$G,6,FALSE)</f>
        <v/>
      </c>
      <c r="S79">
        <f>VLOOKUP(A79,vlookup_table!$A:$G,7,FALSE)</f>
        <v>15</v>
      </c>
      <c r="T79">
        <f t="shared" si="2"/>
        <v>96</v>
      </c>
      <c r="U79" t="str">
        <f t="shared" si="3"/>
        <v>Suburbano</v>
      </c>
    </row>
    <row r="80" spans="1:21" ht="16" x14ac:dyDescent="0.4">
      <c r="A80" s="4">
        <v>130976</v>
      </c>
      <c r="B80" s="1" t="s">
        <v>45</v>
      </c>
      <c r="C80" s="1" t="s">
        <v>17</v>
      </c>
      <c r="D80" s="1">
        <v>933</v>
      </c>
      <c r="E80" s="1">
        <v>289</v>
      </c>
      <c r="F80" s="1">
        <v>379</v>
      </c>
      <c r="G80" s="1">
        <v>0</v>
      </c>
      <c r="H80" s="1">
        <v>14104</v>
      </c>
      <c r="I80" s="1">
        <v>6</v>
      </c>
      <c r="J80" s="1">
        <v>42</v>
      </c>
      <c r="K80" s="1">
        <v>332</v>
      </c>
      <c r="L80" s="1">
        <v>349</v>
      </c>
      <c r="M80" s="1">
        <v>8.1428571430000005</v>
      </c>
      <c r="N80">
        <f>VLOOKUP(A80,vlookup_table!$A:$G,2,FALSE)</f>
        <v>2</v>
      </c>
      <c r="O80" t="str">
        <f>VLOOKUP(A80,vlookup_table!$A:$G,3,FALSE)</f>
        <v>CO</v>
      </c>
      <c r="P80">
        <f>VLOOKUP(A80,vlookup_table!$A:$G,4,FALSE)</f>
        <v>1412</v>
      </c>
      <c r="Q80" t="str">
        <f>VLOOKUP(A80,vlookup_table!$A:$G,5,FALSE)</f>
        <v>C2</v>
      </c>
      <c r="R80" t="str">
        <f>VLOOKUP(A80,vlookup_table!$A:$G,6,FALSE)</f>
        <v>F</v>
      </c>
      <c r="S80">
        <f>VLOOKUP(A80,vlookup_table!$A:$G,7,FALSE)</f>
        <v>7</v>
      </c>
      <c r="T80">
        <f t="shared" si="2"/>
        <v>82</v>
      </c>
      <c r="U80" t="str">
        <f t="shared" si="3"/>
        <v>Ciudad</v>
      </c>
    </row>
    <row r="81" spans="1:21" ht="16" x14ac:dyDescent="0.4">
      <c r="A81" s="4">
        <v>140141</v>
      </c>
      <c r="B81" s="1" t="s">
        <v>50</v>
      </c>
      <c r="C81" s="1" t="s">
        <v>17</v>
      </c>
      <c r="D81" s="1">
        <v>619</v>
      </c>
      <c r="E81" s="1">
        <v>215</v>
      </c>
      <c r="F81" s="1">
        <v>268</v>
      </c>
      <c r="G81" s="1">
        <v>4</v>
      </c>
      <c r="H81" s="1">
        <v>10427</v>
      </c>
      <c r="I81" s="1">
        <v>2</v>
      </c>
      <c r="J81" s="1">
        <v>50</v>
      </c>
      <c r="K81" s="1">
        <v>222</v>
      </c>
      <c r="L81" s="1">
        <v>260</v>
      </c>
      <c r="M81" s="1">
        <v>12.8</v>
      </c>
      <c r="N81">
        <f>VLOOKUP(A81,vlookup_table!$A:$G,2,FALSE)</f>
        <v>0</v>
      </c>
      <c r="O81" t="str">
        <f>VLOOKUP(A81,vlookup_table!$A:$G,3,FALSE)</f>
        <v>NM</v>
      </c>
      <c r="P81">
        <f>VLOOKUP(A81,vlookup_table!$A:$G,4,FALSE)</f>
        <v>4401</v>
      </c>
      <c r="Q81" t="str">
        <f>VLOOKUP(A81,vlookup_table!$A:$G,5,FALSE)</f>
        <v>R2</v>
      </c>
      <c r="R81" t="str">
        <f>VLOOKUP(A81,vlookup_table!$A:$G,6,FALSE)</f>
        <v>F</v>
      </c>
      <c r="S81">
        <f>VLOOKUP(A81,vlookup_table!$A:$G,7,FALSE)</f>
        <v>14</v>
      </c>
      <c r="T81">
        <f t="shared" si="2"/>
        <v>52</v>
      </c>
      <c r="U81" t="str">
        <f t="shared" si="3"/>
        <v>Rural</v>
      </c>
    </row>
    <row r="82" spans="1:21" ht="16" x14ac:dyDescent="0.4">
      <c r="A82" s="4">
        <v>85416</v>
      </c>
      <c r="B82" s="1" t="s">
        <v>99</v>
      </c>
      <c r="C82" s="1" t="s">
        <v>17</v>
      </c>
      <c r="D82" s="1">
        <v>3303</v>
      </c>
      <c r="E82" s="1">
        <v>533</v>
      </c>
      <c r="F82" s="1">
        <v>614</v>
      </c>
      <c r="G82" s="1">
        <v>94</v>
      </c>
      <c r="H82" s="1">
        <v>24251</v>
      </c>
      <c r="I82" s="1">
        <v>13</v>
      </c>
      <c r="J82" s="1">
        <v>45</v>
      </c>
      <c r="K82" s="1">
        <v>568</v>
      </c>
      <c r="L82" s="1">
        <v>586</v>
      </c>
      <c r="M82" s="1">
        <v>14</v>
      </c>
      <c r="N82">
        <f>VLOOKUP(A82,vlookup_table!$A:$G,2,FALSE)</f>
        <v>0</v>
      </c>
      <c r="O82" t="str">
        <f>VLOOKUP(A82,vlookup_table!$A:$G,3,FALSE)</f>
        <v>CA</v>
      </c>
      <c r="P82">
        <f>VLOOKUP(A82,vlookup_table!$A:$G,4,FALSE)</f>
        <v>0</v>
      </c>
      <c r="Q82" t="str">
        <f>VLOOKUP(A82,vlookup_table!$A:$G,5,FALSE)</f>
        <v>C2</v>
      </c>
      <c r="R82" t="str">
        <f>VLOOKUP(A82,vlookup_table!$A:$G,6,FALSE)</f>
        <v>F</v>
      </c>
      <c r="S82">
        <f>VLOOKUP(A82,vlookup_table!$A:$G,7,FALSE)</f>
        <v>25</v>
      </c>
      <c r="T82">
        <f t="shared" si="2"/>
        <v>96</v>
      </c>
      <c r="U82" t="str">
        <f t="shared" si="3"/>
        <v>Ciudad</v>
      </c>
    </row>
    <row r="83" spans="1:21" ht="16" x14ac:dyDescent="0.4">
      <c r="A83" s="4">
        <v>108150</v>
      </c>
      <c r="B83" s="1" t="s">
        <v>46</v>
      </c>
      <c r="C83" s="1" t="s">
        <v>17</v>
      </c>
      <c r="D83" s="1">
        <v>960</v>
      </c>
      <c r="E83" s="1">
        <v>479</v>
      </c>
      <c r="F83" s="1">
        <v>613</v>
      </c>
      <c r="G83" s="1">
        <v>0</v>
      </c>
      <c r="H83" s="1">
        <v>19518</v>
      </c>
      <c r="I83" s="1">
        <v>10</v>
      </c>
      <c r="J83" s="1">
        <v>57</v>
      </c>
      <c r="K83" s="1">
        <v>526</v>
      </c>
      <c r="L83" s="1">
        <v>548</v>
      </c>
      <c r="M83" s="1">
        <v>15.2</v>
      </c>
      <c r="N83">
        <f>VLOOKUP(A83,vlookup_table!$A:$G,2,FALSE)</f>
        <v>2</v>
      </c>
      <c r="O83" t="str">
        <f>VLOOKUP(A83,vlookup_table!$A:$G,3,FALSE)</f>
        <v>LA</v>
      </c>
      <c r="P83">
        <f>VLOOKUP(A83,vlookup_table!$A:$G,4,FALSE)</f>
        <v>6312</v>
      </c>
      <c r="Q83" t="str">
        <f>VLOOKUP(A83,vlookup_table!$A:$G,5,FALSE)</f>
        <v>S1</v>
      </c>
      <c r="R83" t="str">
        <f>VLOOKUP(A83,vlookup_table!$A:$G,6,FALSE)</f>
        <v>F</v>
      </c>
      <c r="S83">
        <f>VLOOKUP(A83,vlookup_table!$A:$G,7,FALSE)</f>
        <v>20</v>
      </c>
      <c r="T83">
        <f t="shared" si="2"/>
        <v>33</v>
      </c>
      <c r="U83" t="str">
        <f t="shared" si="3"/>
        <v>Suburbano</v>
      </c>
    </row>
    <row r="84" spans="1:21" ht="16" x14ac:dyDescent="0.4">
      <c r="A84" s="4">
        <v>129823</v>
      </c>
      <c r="B84" s="1" t="s">
        <v>45</v>
      </c>
      <c r="C84" s="1" t="s">
        <v>14</v>
      </c>
      <c r="D84" s="1">
        <v>1236</v>
      </c>
      <c r="E84" s="1">
        <v>622</v>
      </c>
      <c r="F84" s="1">
        <v>737</v>
      </c>
      <c r="G84" s="1">
        <v>13</v>
      </c>
      <c r="H84" s="1">
        <v>25882</v>
      </c>
      <c r="I84" s="1">
        <v>2</v>
      </c>
      <c r="J84" s="1">
        <v>29</v>
      </c>
      <c r="K84" s="1">
        <v>630</v>
      </c>
      <c r="L84" s="1">
        <v>727</v>
      </c>
      <c r="M84" s="1">
        <v>6.076923077</v>
      </c>
      <c r="N84">
        <f>VLOOKUP(A84,vlookup_table!$A:$G,2,FALSE)</f>
        <v>1002</v>
      </c>
      <c r="O84" t="str">
        <f>VLOOKUP(A84,vlookup_table!$A:$G,3,FALSE)</f>
        <v>CO</v>
      </c>
      <c r="P84">
        <f>VLOOKUP(A84,vlookup_table!$A:$G,4,FALSE)</f>
        <v>5601</v>
      </c>
      <c r="Q84" t="str">
        <f>VLOOKUP(A84,vlookup_table!$A:$G,5,FALSE)</f>
        <v>S1</v>
      </c>
      <c r="R84" t="str">
        <f>VLOOKUP(A84,vlookup_table!$A:$G,6,FALSE)</f>
        <v>M</v>
      </c>
      <c r="S84">
        <f>VLOOKUP(A84,vlookup_table!$A:$G,7,FALSE)</f>
        <v>10</v>
      </c>
      <c r="T84">
        <f t="shared" si="2"/>
        <v>40</v>
      </c>
      <c r="U84" t="str">
        <f t="shared" si="3"/>
        <v>Suburbano</v>
      </c>
    </row>
    <row r="85" spans="1:21" ht="16" x14ac:dyDescent="0.4">
      <c r="A85" s="4">
        <v>104413</v>
      </c>
      <c r="B85" s="1" t="s">
        <v>51</v>
      </c>
      <c r="C85" s="1" t="s">
        <v>14</v>
      </c>
      <c r="D85" s="1">
        <v>473</v>
      </c>
      <c r="E85" s="1">
        <v>164</v>
      </c>
      <c r="F85" s="1">
        <v>215</v>
      </c>
      <c r="G85" s="1">
        <v>1</v>
      </c>
      <c r="H85" s="1">
        <v>9819</v>
      </c>
      <c r="I85" s="1">
        <v>6</v>
      </c>
      <c r="J85" s="1">
        <v>23</v>
      </c>
      <c r="K85" s="1">
        <v>179</v>
      </c>
      <c r="L85" s="1">
        <v>207</v>
      </c>
      <c r="M85" s="1">
        <v>5.5</v>
      </c>
      <c r="N85">
        <f>VLOOKUP(A85,vlookup_table!$A:$G,2,FALSE)</f>
        <v>1</v>
      </c>
      <c r="O85" t="str">
        <f>VLOOKUP(A85,vlookup_table!$A:$G,3,FALSE)</f>
        <v>AZ</v>
      </c>
      <c r="P85">
        <f>VLOOKUP(A85,vlookup_table!$A:$G,4,FALSE)</f>
        <v>4201</v>
      </c>
      <c r="Q85" t="str">
        <f>VLOOKUP(A85,vlookup_table!$A:$G,5,FALSE)</f>
        <v>R2</v>
      </c>
      <c r="R85" t="str">
        <f>VLOOKUP(A85,vlookup_table!$A:$G,6,FALSE)</f>
        <v>M</v>
      </c>
      <c r="S85">
        <f>VLOOKUP(A85,vlookup_table!$A:$G,7,FALSE)</f>
        <v>6</v>
      </c>
      <c r="T85">
        <f t="shared" si="2"/>
        <v>54</v>
      </c>
      <c r="U85" t="str">
        <f t="shared" si="3"/>
        <v>Rural</v>
      </c>
    </row>
    <row r="86" spans="1:21" ht="16" x14ac:dyDescent="0.4">
      <c r="A86" s="4">
        <v>60512</v>
      </c>
      <c r="B86" s="1" t="s">
        <v>16</v>
      </c>
      <c r="C86" s="1"/>
      <c r="D86" s="1">
        <v>1055</v>
      </c>
      <c r="E86" s="1">
        <v>366</v>
      </c>
      <c r="F86" s="1">
        <v>400</v>
      </c>
      <c r="G86" s="1">
        <v>0</v>
      </c>
      <c r="H86" s="1">
        <v>11289</v>
      </c>
      <c r="I86" s="1">
        <v>8</v>
      </c>
      <c r="J86" s="1">
        <v>74</v>
      </c>
      <c r="K86" s="1">
        <v>462</v>
      </c>
      <c r="L86" s="1">
        <v>379</v>
      </c>
      <c r="M86" s="1">
        <v>20.8</v>
      </c>
      <c r="N86">
        <f>VLOOKUP(A86,vlookup_table!$A:$G,2,FALSE)</f>
        <v>2</v>
      </c>
      <c r="O86" t="str">
        <f>VLOOKUP(A86,vlookup_table!$A:$G,3,FALSE)</f>
        <v>IL</v>
      </c>
      <c r="P86">
        <f>VLOOKUP(A86,vlookup_table!$A:$G,4,FALSE)</f>
        <v>2801</v>
      </c>
      <c r="Q86" t="str">
        <f>VLOOKUP(A86,vlookup_table!$A:$G,5,FALSE)</f>
        <v>S2</v>
      </c>
      <c r="R86" t="str">
        <f>VLOOKUP(A86,vlookup_table!$A:$G,6,FALSE)</f>
        <v/>
      </c>
      <c r="S86">
        <f>VLOOKUP(A86,vlookup_table!$A:$G,7,FALSE)</f>
        <v>25</v>
      </c>
      <c r="T86">
        <f t="shared" si="2"/>
        <v>68</v>
      </c>
      <c r="U86" t="str">
        <f t="shared" si="3"/>
        <v>Suburbano</v>
      </c>
    </row>
    <row r="87" spans="1:21" ht="16" x14ac:dyDescent="0.4">
      <c r="A87" s="4">
        <v>90480</v>
      </c>
      <c r="B87" s="1" t="s">
        <v>16</v>
      </c>
      <c r="C87" s="1" t="s">
        <v>17</v>
      </c>
      <c r="D87" s="1">
        <v>1509</v>
      </c>
      <c r="E87" s="1">
        <v>545</v>
      </c>
      <c r="F87" s="1">
        <v>680</v>
      </c>
      <c r="G87" s="1">
        <v>19</v>
      </c>
      <c r="H87" s="1">
        <v>23170</v>
      </c>
      <c r="I87" s="1">
        <v>7</v>
      </c>
      <c r="J87" s="1">
        <v>75</v>
      </c>
      <c r="K87" s="1">
        <v>617</v>
      </c>
      <c r="L87" s="1">
        <v>599</v>
      </c>
      <c r="M87" s="1">
        <v>9</v>
      </c>
      <c r="N87">
        <f>VLOOKUP(A87,vlookup_table!$A:$G,2,FALSE)</f>
        <v>0</v>
      </c>
      <c r="O87" t="str">
        <f>VLOOKUP(A87,vlookup_table!$A:$G,3,FALSE)</f>
        <v>IL</v>
      </c>
      <c r="P87">
        <f>VLOOKUP(A87,vlookup_table!$A:$G,4,FALSE)</f>
        <v>4201</v>
      </c>
      <c r="Q87" t="str">
        <f>VLOOKUP(A87,vlookup_table!$A:$G,5,FALSE)</f>
        <v>C1</v>
      </c>
      <c r="R87" t="str">
        <f>VLOOKUP(A87,vlookup_table!$A:$G,6,FALSE)</f>
        <v>F</v>
      </c>
      <c r="S87">
        <f>VLOOKUP(A87,vlookup_table!$A:$G,7,FALSE)</f>
        <v>11</v>
      </c>
      <c r="T87">
        <f t="shared" si="2"/>
        <v>54</v>
      </c>
      <c r="U87" t="str">
        <f t="shared" si="3"/>
        <v>Ciudad</v>
      </c>
    </row>
    <row r="88" spans="1:21" ht="16" x14ac:dyDescent="0.4">
      <c r="A88" s="4">
        <v>148911</v>
      </c>
      <c r="B88" s="1" t="s">
        <v>99</v>
      </c>
      <c r="C88" s="1" t="s">
        <v>17</v>
      </c>
      <c r="D88" s="1">
        <v>1953</v>
      </c>
      <c r="E88" s="1">
        <v>454</v>
      </c>
      <c r="F88" s="1">
        <v>564</v>
      </c>
      <c r="G88" s="1">
        <v>47</v>
      </c>
      <c r="H88" s="1">
        <v>21667</v>
      </c>
      <c r="I88" s="1">
        <v>11</v>
      </c>
      <c r="J88" s="1">
        <v>47</v>
      </c>
      <c r="K88" s="1">
        <v>526</v>
      </c>
      <c r="L88" s="1">
        <v>478</v>
      </c>
      <c r="M88" s="1">
        <v>15.5</v>
      </c>
      <c r="N88">
        <f>VLOOKUP(A88,vlookup_table!$A:$G,2,FALSE)</f>
        <v>28</v>
      </c>
      <c r="O88" t="str">
        <f>VLOOKUP(A88,vlookup_table!$A:$G,3,FALSE)</f>
        <v>CA</v>
      </c>
      <c r="P88">
        <f>VLOOKUP(A88,vlookup_table!$A:$G,4,FALSE)</f>
        <v>7201</v>
      </c>
      <c r="Q88" t="str">
        <f>VLOOKUP(A88,vlookup_table!$A:$G,5,FALSE)</f>
        <v>C2</v>
      </c>
      <c r="R88" t="str">
        <f>VLOOKUP(A88,vlookup_table!$A:$G,6,FALSE)</f>
        <v>F</v>
      </c>
      <c r="S88">
        <f>VLOOKUP(A88,vlookup_table!$A:$G,7,FALSE)</f>
        <v>10</v>
      </c>
      <c r="T88">
        <f t="shared" si="2"/>
        <v>24</v>
      </c>
      <c r="U88" t="str">
        <f t="shared" si="3"/>
        <v>Ciudad</v>
      </c>
    </row>
    <row r="89" spans="1:21" ht="16" x14ac:dyDescent="0.4">
      <c r="A89" s="4">
        <v>52990</v>
      </c>
      <c r="B89" s="1" t="s">
        <v>49</v>
      </c>
      <c r="C89" s="1" t="s">
        <v>14</v>
      </c>
      <c r="D89" s="1">
        <v>927</v>
      </c>
      <c r="E89" s="1">
        <v>299</v>
      </c>
      <c r="F89" s="1">
        <v>410</v>
      </c>
      <c r="G89" s="1">
        <v>1</v>
      </c>
      <c r="H89" s="1">
        <v>14428</v>
      </c>
      <c r="I89" s="1">
        <v>1</v>
      </c>
      <c r="J89" s="1">
        <v>56</v>
      </c>
      <c r="K89" s="1">
        <v>322</v>
      </c>
      <c r="L89" s="1">
        <v>372</v>
      </c>
      <c r="M89" s="1">
        <v>5</v>
      </c>
      <c r="N89">
        <f>VLOOKUP(A89,vlookup_table!$A:$G,2,FALSE)</f>
        <v>1002</v>
      </c>
      <c r="O89" t="str">
        <f>VLOOKUP(A89,vlookup_table!$A:$G,3,FALSE)</f>
        <v>TN</v>
      </c>
      <c r="P89">
        <f>VLOOKUP(A89,vlookup_table!$A:$G,4,FALSE)</f>
        <v>3801</v>
      </c>
      <c r="Q89" t="str">
        <f>VLOOKUP(A89,vlookup_table!$A:$G,5,FALSE)</f>
        <v>T2</v>
      </c>
      <c r="R89" t="str">
        <f>VLOOKUP(A89,vlookup_table!$A:$G,6,FALSE)</f>
        <v>M</v>
      </c>
      <c r="S89">
        <f>VLOOKUP(A89,vlookup_table!$A:$G,7,FALSE)</f>
        <v>26</v>
      </c>
      <c r="T89">
        <f t="shared" si="2"/>
        <v>58</v>
      </c>
      <c r="U89" t="str">
        <f t="shared" si="3"/>
        <v>Pueblo</v>
      </c>
    </row>
    <row r="90" spans="1:21" ht="16" x14ac:dyDescent="0.4">
      <c r="A90" s="4">
        <v>148022</v>
      </c>
      <c r="B90" s="1" t="s">
        <v>99</v>
      </c>
      <c r="C90" s="1" t="s">
        <v>17</v>
      </c>
      <c r="D90" s="1">
        <v>2098</v>
      </c>
      <c r="E90" s="1">
        <v>305</v>
      </c>
      <c r="F90" s="1">
        <v>368</v>
      </c>
      <c r="G90" s="1">
        <v>56</v>
      </c>
      <c r="H90" s="1">
        <v>13564</v>
      </c>
      <c r="I90" s="1">
        <v>56</v>
      </c>
      <c r="J90" s="1">
        <v>25</v>
      </c>
      <c r="K90" s="1">
        <v>311</v>
      </c>
      <c r="L90" s="1">
        <v>352</v>
      </c>
      <c r="M90" s="1">
        <v>6.076923077</v>
      </c>
      <c r="N90">
        <f>VLOOKUP(A90,vlookup_table!$A:$G,2,FALSE)</f>
        <v>0</v>
      </c>
      <c r="O90" t="str">
        <f>VLOOKUP(A90,vlookup_table!$A:$G,3,FALSE)</f>
        <v>CA</v>
      </c>
      <c r="P90">
        <f>VLOOKUP(A90,vlookup_table!$A:$G,4,FALSE)</f>
        <v>4608</v>
      </c>
      <c r="Q90" t="str">
        <f>VLOOKUP(A90,vlookup_table!$A:$G,5,FALSE)</f>
        <v>U2</v>
      </c>
      <c r="R90" t="str">
        <f>VLOOKUP(A90,vlookup_table!$A:$G,6,FALSE)</f>
        <v>F</v>
      </c>
      <c r="S90">
        <f>VLOOKUP(A90,vlookup_table!$A:$G,7,FALSE)</f>
        <v>10</v>
      </c>
      <c r="T90">
        <f t="shared" si="2"/>
        <v>50</v>
      </c>
      <c r="U90" t="str">
        <f t="shared" si="3"/>
        <v>Urbano</v>
      </c>
    </row>
    <row r="91" spans="1:21" ht="16" x14ac:dyDescent="0.4">
      <c r="A91" s="4">
        <v>147406</v>
      </c>
      <c r="B91" s="1" t="s">
        <v>99</v>
      </c>
      <c r="C91" s="1" t="s">
        <v>14</v>
      </c>
      <c r="D91" s="1">
        <v>5209</v>
      </c>
      <c r="E91" s="1">
        <v>1054</v>
      </c>
      <c r="F91" s="1">
        <v>1128</v>
      </c>
      <c r="G91" s="1">
        <v>99</v>
      </c>
      <c r="H91" s="1">
        <v>52654</v>
      </c>
      <c r="I91" s="1">
        <v>7</v>
      </c>
      <c r="J91" s="1">
        <v>47</v>
      </c>
      <c r="K91" s="1">
        <v>1220</v>
      </c>
      <c r="L91" s="1">
        <v>1058</v>
      </c>
      <c r="M91" s="1">
        <v>30.941176469999998</v>
      </c>
      <c r="N91">
        <f>VLOOKUP(A91,vlookup_table!$A:$G,2,FALSE)</f>
        <v>1002</v>
      </c>
      <c r="O91" t="str">
        <f>VLOOKUP(A91,vlookup_table!$A:$G,3,FALSE)</f>
        <v>CA</v>
      </c>
      <c r="P91">
        <f>VLOOKUP(A91,vlookup_table!$A:$G,4,FALSE)</f>
        <v>2801</v>
      </c>
      <c r="Q91" t="str">
        <f>VLOOKUP(A91,vlookup_table!$A:$G,5,FALSE)</f>
        <v>U1</v>
      </c>
      <c r="R91" t="str">
        <f>VLOOKUP(A91,vlookup_table!$A:$G,6,FALSE)</f>
        <v>M</v>
      </c>
      <c r="S91">
        <f>VLOOKUP(A91,vlookup_table!$A:$G,7,FALSE)</f>
        <v>38</v>
      </c>
      <c r="T91">
        <f t="shared" si="2"/>
        <v>68</v>
      </c>
      <c r="U91" t="str">
        <f t="shared" si="3"/>
        <v>Urbano</v>
      </c>
    </row>
    <row r="92" spans="1:21" ht="16" x14ac:dyDescent="0.4">
      <c r="A92" s="4">
        <v>103468</v>
      </c>
      <c r="B92" s="1" t="s">
        <v>33</v>
      </c>
      <c r="C92" s="1" t="s">
        <v>17</v>
      </c>
      <c r="D92" s="1">
        <v>476</v>
      </c>
      <c r="E92" s="1">
        <v>219</v>
      </c>
      <c r="F92" s="1">
        <v>319</v>
      </c>
      <c r="G92" s="1">
        <v>0</v>
      </c>
      <c r="H92" s="1">
        <v>10966</v>
      </c>
      <c r="I92" s="1">
        <v>1</v>
      </c>
      <c r="J92" s="1">
        <v>74</v>
      </c>
      <c r="K92" s="1">
        <v>280</v>
      </c>
      <c r="L92" s="1">
        <v>272</v>
      </c>
      <c r="M92" s="1">
        <v>7.1</v>
      </c>
      <c r="N92">
        <f>VLOOKUP(A92,vlookup_table!$A:$G,2,FALSE)</f>
        <v>0</v>
      </c>
      <c r="O92" t="str">
        <f>VLOOKUP(A92,vlookup_table!$A:$G,3,FALSE)</f>
        <v>MO</v>
      </c>
      <c r="P92">
        <f>VLOOKUP(A92,vlookup_table!$A:$G,4,FALSE)</f>
        <v>4103</v>
      </c>
      <c r="Q92" t="str">
        <f>VLOOKUP(A92,vlookup_table!$A:$G,5,FALSE)</f>
        <v>T2</v>
      </c>
      <c r="R92" t="str">
        <f>VLOOKUP(A92,vlookup_table!$A:$G,6,FALSE)</f>
        <v>F</v>
      </c>
      <c r="S92">
        <f>VLOOKUP(A92,vlookup_table!$A:$G,7,FALSE)</f>
        <v>15</v>
      </c>
      <c r="T92">
        <f t="shared" si="2"/>
        <v>55</v>
      </c>
      <c r="U92" t="str">
        <f t="shared" si="3"/>
        <v>Pueblo</v>
      </c>
    </row>
    <row r="93" spans="1:21" ht="16" x14ac:dyDescent="0.4">
      <c r="A93" s="4">
        <v>84100</v>
      </c>
      <c r="B93" s="1" t="s">
        <v>52</v>
      </c>
      <c r="C93" s="1" t="s">
        <v>14</v>
      </c>
      <c r="D93" s="1">
        <v>1515</v>
      </c>
      <c r="E93" s="1">
        <v>648</v>
      </c>
      <c r="F93" s="1">
        <v>781</v>
      </c>
      <c r="G93" s="1">
        <v>17</v>
      </c>
      <c r="H93" s="1">
        <v>25787</v>
      </c>
      <c r="I93" s="1">
        <v>6</v>
      </c>
      <c r="J93" s="1">
        <v>63</v>
      </c>
      <c r="K93" s="1">
        <v>684</v>
      </c>
      <c r="L93" s="1">
        <v>717</v>
      </c>
      <c r="M93" s="1">
        <v>14</v>
      </c>
      <c r="N93">
        <f>VLOOKUP(A93,vlookup_table!$A:$G,2,FALSE)</f>
        <v>72</v>
      </c>
      <c r="O93" t="str">
        <f>VLOOKUP(A93,vlookup_table!$A:$G,3,FALSE)</f>
        <v>MN</v>
      </c>
      <c r="P93">
        <f>VLOOKUP(A93,vlookup_table!$A:$G,4,FALSE)</f>
        <v>3201</v>
      </c>
      <c r="Q93" t="str">
        <f>VLOOKUP(A93,vlookup_table!$A:$G,5,FALSE)</f>
        <v>S1</v>
      </c>
      <c r="R93" t="str">
        <f>VLOOKUP(A93,vlookup_table!$A:$G,6,FALSE)</f>
        <v>M</v>
      </c>
      <c r="S93">
        <f>VLOOKUP(A93,vlookup_table!$A:$G,7,FALSE)</f>
        <v>14</v>
      </c>
      <c r="T93">
        <f t="shared" si="2"/>
        <v>64</v>
      </c>
      <c r="U93" t="str">
        <f t="shared" si="3"/>
        <v>Suburbano</v>
      </c>
    </row>
    <row r="94" spans="1:21" ht="16" x14ac:dyDescent="0.4">
      <c r="A94" s="4">
        <v>137548</v>
      </c>
      <c r="B94" s="1" t="s">
        <v>51</v>
      </c>
      <c r="C94" s="1" t="s">
        <v>14</v>
      </c>
      <c r="D94" s="1">
        <v>2158</v>
      </c>
      <c r="E94" s="1">
        <v>411</v>
      </c>
      <c r="F94" s="1">
        <v>640</v>
      </c>
      <c r="G94" s="1">
        <v>54</v>
      </c>
      <c r="H94" s="1">
        <v>33235</v>
      </c>
      <c r="I94" s="1">
        <v>7</v>
      </c>
      <c r="J94" s="1">
        <v>12</v>
      </c>
      <c r="K94" s="1">
        <v>516</v>
      </c>
      <c r="L94" s="1">
        <v>535</v>
      </c>
      <c r="M94" s="1">
        <v>7.9333333330000002</v>
      </c>
      <c r="N94">
        <f>VLOOKUP(A94,vlookup_table!$A:$G,2,FALSE)</f>
        <v>0</v>
      </c>
      <c r="O94" t="str">
        <f>VLOOKUP(A94,vlookup_table!$A:$G,3,FALSE)</f>
        <v>AZ</v>
      </c>
      <c r="P94">
        <f>VLOOKUP(A94,vlookup_table!$A:$G,4,FALSE)</f>
        <v>2009</v>
      </c>
      <c r="Q94" t="str">
        <f>VLOOKUP(A94,vlookup_table!$A:$G,5,FALSE)</f>
        <v>C1</v>
      </c>
      <c r="R94" t="str">
        <f>VLOOKUP(A94,vlookup_table!$A:$G,6,FALSE)</f>
        <v>M</v>
      </c>
      <c r="S94">
        <f>VLOOKUP(A94,vlookup_table!$A:$G,7,FALSE)</f>
        <v>9</v>
      </c>
      <c r="T94">
        <f t="shared" si="2"/>
        <v>76</v>
      </c>
      <c r="U94" t="str">
        <f t="shared" si="3"/>
        <v>Ciudad</v>
      </c>
    </row>
    <row r="95" spans="1:21" ht="16" x14ac:dyDescent="0.4">
      <c r="A95" s="4">
        <v>6932</v>
      </c>
      <c r="B95" s="1" t="s">
        <v>33</v>
      </c>
      <c r="C95" s="1" t="s">
        <v>14</v>
      </c>
      <c r="D95" s="1">
        <v>1110</v>
      </c>
      <c r="E95" s="1">
        <v>460</v>
      </c>
      <c r="F95" s="1">
        <v>624</v>
      </c>
      <c r="G95" s="1">
        <v>5</v>
      </c>
      <c r="H95" s="1">
        <v>21875</v>
      </c>
      <c r="I95" s="1">
        <v>2</v>
      </c>
      <c r="J95" s="1">
        <v>58</v>
      </c>
      <c r="K95" s="1">
        <v>544</v>
      </c>
      <c r="L95" s="1">
        <v>538</v>
      </c>
      <c r="M95" s="1">
        <v>7.2647058820000003</v>
      </c>
      <c r="N95">
        <f>VLOOKUP(A95,vlookup_table!$A:$G,2,FALSE)</f>
        <v>1</v>
      </c>
      <c r="O95" t="str">
        <f>VLOOKUP(A95,vlookup_table!$A:$G,3,FALSE)</f>
        <v>MO</v>
      </c>
      <c r="P95">
        <f>VLOOKUP(A95,vlookup_table!$A:$G,4,FALSE)</f>
        <v>1708</v>
      </c>
      <c r="Q95" t="str">
        <f>VLOOKUP(A95,vlookup_table!$A:$G,5,FALSE)</f>
        <v>S1</v>
      </c>
      <c r="R95" t="str">
        <f>VLOOKUP(A95,vlookup_table!$A:$G,6,FALSE)</f>
        <v>M</v>
      </c>
      <c r="S95">
        <f>VLOOKUP(A95,vlookup_table!$A:$G,7,FALSE)</f>
        <v>10</v>
      </c>
      <c r="T95">
        <f t="shared" si="2"/>
        <v>79</v>
      </c>
      <c r="U95" t="str">
        <f t="shared" si="3"/>
        <v>Suburbano</v>
      </c>
    </row>
    <row r="96" spans="1:21" ht="16" x14ac:dyDescent="0.4">
      <c r="A96" s="4">
        <v>37118</v>
      </c>
      <c r="B96" s="1" t="s">
        <v>13</v>
      </c>
      <c r="C96" s="1"/>
      <c r="D96" s="1">
        <v>581</v>
      </c>
      <c r="E96" s="1">
        <v>349</v>
      </c>
      <c r="F96" s="1">
        <v>373</v>
      </c>
      <c r="G96" s="1">
        <v>0</v>
      </c>
      <c r="H96" s="1">
        <v>9667</v>
      </c>
      <c r="I96" s="1">
        <v>19</v>
      </c>
      <c r="J96" s="1">
        <v>53</v>
      </c>
      <c r="K96" s="1">
        <v>361</v>
      </c>
      <c r="L96" s="1">
        <v>359</v>
      </c>
      <c r="M96" s="1">
        <v>9.8571428569999995</v>
      </c>
      <c r="N96">
        <f>VLOOKUP(A96,vlookup_table!$A:$G,2,FALSE)</f>
        <v>0</v>
      </c>
      <c r="O96" t="str">
        <f>VLOOKUP(A96,vlookup_table!$A:$G,3,FALSE)</f>
        <v>FL</v>
      </c>
      <c r="P96">
        <f>VLOOKUP(A96,vlookup_table!$A:$G,4,FALSE)</f>
        <v>2607</v>
      </c>
      <c r="Q96" t="str">
        <f>VLOOKUP(A96,vlookup_table!$A:$G,5,FALSE)</f>
        <v>S2</v>
      </c>
      <c r="R96" t="str">
        <f>VLOOKUP(A96,vlookup_table!$A:$G,6,FALSE)</f>
        <v/>
      </c>
      <c r="S96">
        <f>VLOOKUP(A96,vlookup_table!$A:$G,7,FALSE)</f>
        <v>15</v>
      </c>
      <c r="T96">
        <f t="shared" si="2"/>
        <v>70</v>
      </c>
      <c r="U96" t="str">
        <f t="shared" si="3"/>
        <v>Suburbano</v>
      </c>
    </row>
    <row r="97" spans="1:21" ht="16" x14ac:dyDescent="0.4">
      <c r="A97" s="4">
        <v>109179</v>
      </c>
      <c r="B97" s="1" t="s">
        <v>46</v>
      </c>
      <c r="C97" s="1" t="s">
        <v>14</v>
      </c>
      <c r="D97" s="1">
        <v>563</v>
      </c>
      <c r="E97" s="1">
        <v>259</v>
      </c>
      <c r="F97" s="1">
        <v>342</v>
      </c>
      <c r="G97" s="1">
        <v>3</v>
      </c>
      <c r="H97" s="1">
        <v>10726</v>
      </c>
      <c r="I97" s="1">
        <v>1</v>
      </c>
      <c r="J97" s="1">
        <v>90</v>
      </c>
      <c r="K97" s="1">
        <v>301</v>
      </c>
      <c r="L97" s="1">
        <v>308</v>
      </c>
      <c r="M97" s="1">
        <v>10.18181818</v>
      </c>
      <c r="N97">
        <f>VLOOKUP(A97,vlookup_table!$A:$G,2,FALSE)</f>
        <v>0</v>
      </c>
      <c r="O97" t="str">
        <f>VLOOKUP(A97,vlookup_table!$A:$G,3,FALSE)</f>
        <v>LA</v>
      </c>
      <c r="P97">
        <f>VLOOKUP(A97,vlookup_table!$A:$G,4,FALSE)</f>
        <v>4201</v>
      </c>
      <c r="Q97" t="str">
        <f>VLOOKUP(A97,vlookup_table!$A:$G,5,FALSE)</f>
        <v>R2</v>
      </c>
      <c r="R97" t="str">
        <f>VLOOKUP(A97,vlookup_table!$A:$G,6,FALSE)</f>
        <v>M</v>
      </c>
      <c r="S97">
        <f>VLOOKUP(A97,vlookup_table!$A:$G,7,FALSE)</f>
        <v>14</v>
      </c>
      <c r="T97">
        <f t="shared" si="2"/>
        <v>54</v>
      </c>
      <c r="U97" t="str">
        <f t="shared" si="3"/>
        <v>Rural</v>
      </c>
    </row>
    <row r="98" spans="1:21" ht="16" x14ac:dyDescent="0.4">
      <c r="A98" s="4">
        <v>140642</v>
      </c>
      <c r="B98" s="1" t="s">
        <v>50</v>
      </c>
      <c r="C98" s="1" t="s">
        <v>17</v>
      </c>
      <c r="D98" s="1">
        <v>740</v>
      </c>
      <c r="E98" s="1">
        <v>240</v>
      </c>
      <c r="F98" s="1">
        <v>324</v>
      </c>
      <c r="G98" s="1">
        <v>2</v>
      </c>
      <c r="H98" s="1">
        <v>10701</v>
      </c>
      <c r="I98" s="1">
        <v>9</v>
      </c>
      <c r="J98" s="1">
        <v>26</v>
      </c>
      <c r="K98" s="1">
        <v>288</v>
      </c>
      <c r="L98" s="1">
        <v>294</v>
      </c>
      <c r="M98" s="1">
        <v>5</v>
      </c>
      <c r="N98">
        <f>VLOOKUP(A98,vlookup_table!$A:$G,2,FALSE)</f>
        <v>2</v>
      </c>
      <c r="O98" t="str">
        <f>VLOOKUP(A98,vlookup_table!$A:$G,3,FALSE)</f>
        <v>NM</v>
      </c>
      <c r="P98">
        <f>VLOOKUP(A98,vlookup_table!$A:$G,4,FALSE)</f>
        <v>2710</v>
      </c>
      <c r="Q98" t="str">
        <f>VLOOKUP(A98,vlookup_table!$A:$G,5,FALSE)</f>
        <v>T2</v>
      </c>
      <c r="R98" t="str">
        <f>VLOOKUP(A98,vlookup_table!$A:$G,6,FALSE)</f>
        <v>F</v>
      </c>
      <c r="S98">
        <f>VLOOKUP(A98,vlookup_table!$A:$G,7,FALSE)</f>
        <v>5</v>
      </c>
      <c r="T98">
        <f t="shared" si="2"/>
        <v>69</v>
      </c>
      <c r="U98" t="str">
        <f t="shared" si="3"/>
        <v>Pueblo</v>
      </c>
    </row>
    <row r="99" spans="1:21" ht="16" x14ac:dyDescent="0.4">
      <c r="A99" s="4">
        <v>77057</v>
      </c>
      <c r="B99" s="1" t="s">
        <v>44</v>
      </c>
      <c r="C99" s="1" t="s">
        <v>17</v>
      </c>
      <c r="D99" s="1">
        <v>516</v>
      </c>
      <c r="E99" s="1">
        <v>332</v>
      </c>
      <c r="F99" s="1">
        <v>379</v>
      </c>
      <c r="G99" s="1">
        <v>0</v>
      </c>
      <c r="H99" s="1">
        <v>13293</v>
      </c>
      <c r="I99" s="1">
        <v>2</v>
      </c>
      <c r="J99" s="1">
        <v>75</v>
      </c>
      <c r="K99" s="1">
        <v>378</v>
      </c>
      <c r="L99" s="1">
        <v>347</v>
      </c>
      <c r="M99" s="1">
        <v>12.33333333</v>
      </c>
      <c r="N99">
        <f>VLOOKUP(A99,vlookup_table!$A:$G,2,FALSE)</f>
        <v>0</v>
      </c>
      <c r="O99" t="str">
        <f>VLOOKUP(A99,vlookup_table!$A:$G,3,FALSE)</f>
        <v>IA</v>
      </c>
      <c r="P99">
        <f>VLOOKUP(A99,vlookup_table!$A:$G,4,FALSE)</f>
        <v>3601</v>
      </c>
      <c r="Q99" t="str">
        <f>VLOOKUP(A99,vlookup_table!$A:$G,5,FALSE)</f>
        <v>S2</v>
      </c>
      <c r="R99" t="str">
        <f>VLOOKUP(A99,vlookup_table!$A:$G,6,FALSE)</f>
        <v>F</v>
      </c>
      <c r="S99">
        <f>VLOOKUP(A99,vlookup_table!$A:$G,7,FALSE)</f>
        <v>15</v>
      </c>
      <c r="T99">
        <f t="shared" si="2"/>
        <v>60</v>
      </c>
      <c r="U99" t="str">
        <f t="shared" si="3"/>
        <v>Suburbano</v>
      </c>
    </row>
    <row r="100" spans="1:21" ht="16" x14ac:dyDescent="0.4">
      <c r="A100" s="4">
        <v>83131</v>
      </c>
      <c r="B100" s="1" t="s">
        <v>52</v>
      </c>
      <c r="C100" s="1" t="s">
        <v>14</v>
      </c>
      <c r="D100" s="1">
        <v>575</v>
      </c>
      <c r="E100" s="1">
        <v>249</v>
      </c>
      <c r="F100" s="1">
        <v>316</v>
      </c>
      <c r="G100" s="1">
        <v>0</v>
      </c>
      <c r="H100" s="1">
        <v>9843</v>
      </c>
      <c r="I100" s="1">
        <v>0</v>
      </c>
      <c r="J100" s="1">
        <v>86</v>
      </c>
      <c r="K100" s="1">
        <v>282</v>
      </c>
      <c r="L100" s="1">
        <v>290</v>
      </c>
      <c r="M100" s="1">
        <v>10</v>
      </c>
      <c r="N100">
        <f>VLOOKUP(A100,vlookup_table!$A:$G,2,FALSE)</f>
        <v>1</v>
      </c>
      <c r="O100" t="str">
        <f>VLOOKUP(A100,vlookup_table!$A:$G,3,FALSE)</f>
        <v>MN</v>
      </c>
      <c r="P100">
        <f>VLOOKUP(A100,vlookup_table!$A:$G,4,FALSE)</f>
        <v>0</v>
      </c>
      <c r="Q100" t="str">
        <f>VLOOKUP(A100,vlookup_table!$A:$G,5,FALSE)</f>
        <v>R2</v>
      </c>
      <c r="R100" t="str">
        <f>VLOOKUP(A100,vlookup_table!$A:$G,6,FALSE)</f>
        <v>M</v>
      </c>
      <c r="S100">
        <f>VLOOKUP(A100,vlookup_table!$A:$G,7,FALSE)</f>
        <v>20</v>
      </c>
      <c r="T100">
        <f t="shared" si="2"/>
        <v>96</v>
      </c>
      <c r="U100" t="str">
        <f t="shared" si="3"/>
        <v>Rural</v>
      </c>
    </row>
    <row r="101" spans="1:21" ht="16" x14ac:dyDescent="0.4">
      <c r="A101" s="4">
        <v>168078</v>
      </c>
      <c r="B101" s="1" t="s">
        <v>99</v>
      </c>
      <c r="C101" s="1" t="s">
        <v>14</v>
      </c>
      <c r="D101" s="1">
        <v>2357</v>
      </c>
      <c r="E101" s="1">
        <v>511</v>
      </c>
      <c r="F101" s="1">
        <v>609</v>
      </c>
      <c r="G101" s="1">
        <v>81</v>
      </c>
      <c r="H101" s="1">
        <v>23786</v>
      </c>
      <c r="I101" s="1">
        <v>26</v>
      </c>
      <c r="J101" s="1">
        <v>55</v>
      </c>
      <c r="K101" s="1">
        <v>540</v>
      </c>
      <c r="L101" s="1">
        <v>570</v>
      </c>
      <c r="M101" s="1">
        <v>13.66666667</v>
      </c>
      <c r="N101">
        <f>VLOOKUP(A101,vlookup_table!$A:$G,2,FALSE)</f>
        <v>1</v>
      </c>
      <c r="O101" t="str">
        <f>VLOOKUP(A101,vlookup_table!$A:$G,3,FALSE)</f>
        <v>CA</v>
      </c>
      <c r="P101">
        <f>VLOOKUP(A101,vlookup_table!$A:$G,4,FALSE)</f>
        <v>3501</v>
      </c>
      <c r="Q101" t="str">
        <f>VLOOKUP(A101,vlookup_table!$A:$G,5,FALSE)</f>
        <v>S1</v>
      </c>
      <c r="R101" t="str">
        <f>VLOOKUP(A101,vlookup_table!$A:$G,6,FALSE)</f>
        <v>M</v>
      </c>
      <c r="S101">
        <f>VLOOKUP(A101,vlookup_table!$A:$G,7,FALSE)</f>
        <v>19</v>
      </c>
      <c r="T101">
        <f t="shared" si="2"/>
        <v>61</v>
      </c>
      <c r="U101" t="str">
        <f t="shared" si="3"/>
        <v>Suburbano</v>
      </c>
    </row>
    <row r="102" spans="1:21" ht="16" x14ac:dyDescent="0.4">
      <c r="A102" s="4">
        <v>32975</v>
      </c>
      <c r="B102" s="1" t="s">
        <v>43</v>
      </c>
      <c r="C102" s="1" t="s">
        <v>14</v>
      </c>
      <c r="D102" s="1">
        <v>645</v>
      </c>
      <c r="E102" s="1">
        <v>304</v>
      </c>
      <c r="F102" s="1">
        <v>376</v>
      </c>
      <c r="G102" s="1">
        <v>0</v>
      </c>
      <c r="H102" s="1">
        <v>6826</v>
      </c>
      <c r="I102" s="1">
        <v>3</v>
      </c>
      <c r="J102" s="1">
        <v>15</v>
      </c>
      <c r="K102" s="1">
        <v>360</v>
      </c>
      <c r="L102" s="1">
        <v>306</v>
      </c>
      <c r="M102" s="1">
        <v>10.875</v>
      </c>
      <c r="N102">
        <f>VLOOKUP(A102,vlookup_table!$A:$G,2,FALSE)</f>
        <v>1</v>
      </c>
      <c r="O102" t="str">
        <f>VLOOKUP(A102,vlookup_table!$A:$G,3,FALSE)</f>
        <v>SC</v>
      </c>
      <c r="P102">
        <f>VLOOKUP(A102,vlookup_table!$A:$G,4,FALSE)</f>
        <v>5908</v>
      </c>
      <c r="Q102" t="str">
        <f>VLOOKUP(A102,vlookup_table!$A:$G,5,FALSE)</f>
        <v>S2</v>
      </c>
      <c r="R102" t="str">
        <f>VLOOKUP(A102,vlookup_table!$A:$G,6,FALSE)</f>
        <v>M</v>
      </c>
      <c r="S102">
        <f>VLOOKUP(A102,vlookup_table!$A:$G,7,FALSE)</f>
        <v>25</v>
      </c>
      <c r="T102">
        <f t="shared" si="2"/>
        <v>37</v>
      </c>
      <c r="U102" t="str">
        <f t="shared" si="3"/>
        <v>Suburbano</v>
      </c>
    </row>
    <row r="103" spans="1:21" ht="16" x14ac:dyDescent="0.4">
      <c r="A103" s="4">
        <v>37472</v>
      </c>
      <c r="B103" s="1" t="s">
        <v>13</v>
      </c>
      <c r="C103" s="1" t="s">
        <v>14</v>
      </c>
      <c r="D103" s="1">
        <v>825</v>
      </c>
      <c r="E103" s="1">
        <v>233</v>
      </c>
      <c r="F103" s="1">
        <v>301</v>
      </c>
      <c r="G103" s="1">
        <v>0</v>
      </c>
      <c r="H103" s="1">
        <v>9747</v>
      </c>
      <c r="I103" s="1">
        <v>63</v>
      </c>
      <c r="J103" s="1">
        <v>21</v>
      </c>
      <c r="K103" s="1">
        <v>239</v>
      </c>
      <c r="L103" s="1">
        <v>290</v>
      </c>
      <c r="M103" s="1">
        <v>20</v>
      </c>
      <c r="N103">
        <f>VLOOKUP(A103,vlookup_table!$A:$G,2,FALSE)</f>
        <v>1</v>
      </c>
      <c r="O103" t="str">
        <f>VLOOKUP(A103,vlookup_table!$A:$G,3,FALSE)</f>
        <v>FL</v>
      </c>
      <c r="P103">
        <f>VLOOKUP(A103,vlookup_table!$A:$G,4,FALSE)</f>
        <v>0</v>
      </c>
      <c r="Q103" t="str">
        <f>VLOOKUP(A103,vlookup_table!$A:$G,5,FALSE)</f>
        <v>C3</v>
      </c>
      <c r="R103" t="str">
        <f>VLOOKUP(A103,vlookup_table!$A:$G,6,FALSE)</f>
        <v>M</v>
      </c>
      <c r="S103">
        <f>VLOOKUP(A103,vlookup_table!$A:$G,7,FALSE)</f>
        <v>20</v>
      </c>
      <c r="T103">
        <f t="shared" si="2"/>
        <v>96</v>
      </c>
      <c r="U103" t="str">
        <f t="shared" si="3"/>
        <v>Ciudad</v>
      </c>
    </row>
    <row r="104" spans="1:21" ht="16" x14ac:dyDescent="0.4">
      <c r="A104" s="4">
        <v>63113</v>
      </c>
      <c r="B104" s="1" t="s">
        <v>30</v>
      </c>
      <c r="C104" s="1" t="s">
        <v>14</v>
      </c>
      <c r="D104" s="1">
        <v>531</v>
      </c>
      <c r="E104" s="1">
        <v>246</v>
      </c>
      <c r="F104" s="1">
        <v>290</v>
      </c>
      <c r="G104" s="1">
        <v>0</v>
      </c>
      <c r="H104" s="1">
        <v>10423</v>
      </c>
      <c r="I104" s="1">
        <v>2</v>
      </c>
      <c r="J104" s="1">
        <v>70</v>
      </c>
      <c r="K104" s="1">
        <v>278</v>
      </c>
      <c r="L104" s="1">
        <v>272</v>
      </c>
      <c r="M104" s="1">
        <v>5.375</v>
      </c>
      <c r="N104">
        <f>VLOOKUP(A104,vlookup_table!$A:$G,2,FALSE)</f>
        <v>0</v>
      </c>
      <c r="O104" t="str">
        <f>VLOOKUP(A104,vlookup_table!$A:$G,3,FALSE)</f>
        <v>IN</v>
      </c>
      <c r="P104">
        <f>VLOOKUP(A104,vlookup_table!$A:$G,4,FALSE)</f>
        <v>2805</v>
      </c>
      <c r="Q104" t="str">
        <f>VLOOKUP(A104,vlookup_table!$A:$G,5,FALSE)</f>
        <v>T2</v>
      </c>
      <c r="R104" t="str">
        <f>VLOOKUP(A104,vlookup_table!$A:$G,6,FALSE)</f>
        <v>M</v>
      </c>
      <c r="S104">
        <f>VLOOKUP(A104,vlookup_table!$A:$G,7,FALSE)</f>
        <v>5</v>
      </c>
      <c r="T104">
        <f t="shared" si="2"/>
        <v>68</v>
      </c>
      <c r="U104" t="str">
        <f t="shared" si="3"/>
        <v>Pueblo</v>
      </c>
    </row>
    <row r="105" spans="1:21" ht="16" x14ac:dyDescent="0.4">
      <c r="A105" s="4">
        <v>57039</v>
      </c>
      <c r="B105" s="1" t="s">
        <v>53</v>
      </c>
      <c r="C105" s="1" t="s">
        <v>17</v>
      </c>
      <c r="D105" s="1">
        <v>195</v>
      </c>
      <c r="E105" s="1">
        <v>131</v>
      </c>
      <c r="F105" s="1">
        <v>179</v>
      </c>
      <c r="G105" s="1">
        <v>0</v>
      </c>
      <c r="H105" s="1">
        <v>5727</v>
      </c>
      <c r="I105" s="1">
        <v>0</v>
      </c>
      <c r="J105" s="1">
        <v>94</v>
      </c>
      <c r="K105" s="1">
        <v>148</v>
      </c>
      <c r="L105" s="1">
        <v>159</v>
      </c>
      <c r="M105" s="1">
        <v>4.3023255809999998</v>
      </c>
      <c r="N105">
        <f>VLOOKUP(A105,vlookup_table!$A:$G,2,FALSE)</f>
        <v>0</v>
      </c>
      <c r="O105" t="str">
        <f>VLOOKUP(A105,vlookup_table!$A:$G,3,FALSE)</f>
        <v>KY</v>
      </c>
      <c r="P105">
        <f>VLOOKUP(A105,vlookup_table!$A:$G,4,FALSE)</f>
        <v>2911</v>
      </c>
      <c r="Q105" t="str">
        <f>VLOOKUP(A105,vlookup_table!$A:$G,5,FALSE)</f>
        <v>R3</v>
      </c>
      <c r="R105" t="str">
        <f>VLOOKUP(A105,vlookup_table!$A:$G,6,FALSE)</f>
        <v>F</v>
      </c>
      <c r="S105">
        <f>VLOOKUP(A105,vlookup_table!$A:$G,7,FALSE)</f>
        <v>5</v>
      </c>
      <c r="T105">
        <f t="shared" si="2"/>
        <v>67</v>
      </c>
      <c r="U105" t="str">
        <f t="shared" si="3"/>
        <v>Rural</v>
      </c>
    </row>
    <row r="106" spans="1:21" ht="16" x14ac:dyDescent="0.4">
      <c r="A106" s="4">
        <v>58786</v>
      </c>
      <c r="B106" s="1" t="s">
        <v>53</v>
      </c>
      <c r="C106" s="1" t="s">
        <v>17</v>
      </c>
      <c r="D106" s="1">
        <v>423</v>
      </c>
      <c r="E106" s="1">
        <v>293</v>
      </c>
      <c r="F106" s="1">
        <v>279</v>
      </c>
      <c r="G106" s="1">
        <v>0</v>
      </c>
      <c r="H106" s="1">
        <v>10343</v>
      </c>
      <c r="I106" s="1">
        <v>0</v>
      </c>
      <c r="J106" s="1">
        <v>82</v>
      </c>
      <c r="K106" s="1">
        <v>297</v>
      </c>
      <c r="L106" s="1">
        <v>274</v>
      </c>
      <c r="M106" s="1">
        <v>6.0555555559999998</v>
      </c>
      <c r="N106">
        <f>VLOOKUP(A106,vlookup_table!$A:$G,2,FALSE)</f>
        <v>0</v>
      </c>
      <c r="O106" t="str">
        <f>VLOOKUP(A106,vlookup_table!$A:$G,3,FALSE)</f>
        <v>KY</v>
      </c>
      <c r="P106">
        <f>VLOOKUP(A106,vlookup_table!$A:$G,4,FALSE)</f>
        <v>2701</v>
      </c>
      <c r="Q106" t="str">
        <f>VLOOKUP(A106,vlookup_table!$A:$G,5,FALSE)</f>
        <v>R2</v>
      </c>
      <c r="R106" t="str">
        <f>VLOOKUP(A106,vlookup_table!$A:$G,6,FALSE)</f>
        <v>F</v>
      </c>
      <c r="S106">
        <f>VLOOKUP(A106,vlookup_table!$A:$G,7,FALSE)</f>
        <v>20</v>
      </c>
      <c r="T106">
        <f t="shared" si="2"/>
        <v>69</v>
      </c>
      <c r="U106" t="str">
        <f t="shared" si="3"/>
        <v>Rural</v>
      </c>
    </row>
    <row r="107" spans="1:21" ht="16" x14ac:dyDescent="0.4">
      <c r="A107" s="4">
        <v>164306</v>
      </c>
      <c r="B107" s="1" t="s">
        <v>99</v>
      </c>
      <c r="C107" s="1" t="s">
        <v>17</v>
      </c>
      <c r="D107" s="1">
        <v>2725</v>
      </c>
      <c r="E107" s="1">
        <v>629</v>
      </c>
      <c r="F107" s="1">
        <v>734</v>
      </c>
      <c r="G107" s="1">
        <v>83</v>
      </c>
      <c r="H107" s="1">
        <v>24424</v>
      </c>
      <c r="I107" s="1">
        <v>9</v>
      </c>
      <c r="J107" s="1">
        <v>51</v>
      </c>
      <c r="K107" s="1">
        <v>684</v>
      </c>
      <c r="L107" s="1">
        <v>662</v>
      </c>
      <c r="M107" s="1">
        <v>15</v>
      </c>
      <c r="N107">
        <f>VLOOKUP(A107,vlookup_table!$A:$G,2,FALSE)</f>
        <v>0</v>
      </c>
      <c r="O107" t="str">
        <f>VLOOKUP(A107,vlookup_table!$A:$G,3,FALSE)</f>
        <v>CA</v>
      </c>
      <c r="P107">
        <f>VLOOKUP(A107,vlookup_table!$A:$G,4,FALSE)</f>
        <v>0</v>
      </c>
      <c r="Q107" t="str">
        <f>VLOOKUP(A107,vlookup_table!$A:$G,5,FALSE)</f>
        <v>S2</v>
      </c>
      <c r="R107" t="str">
        <f>VLOOKUP(A107,vlookup_table!$A:$G,6,FALSE)</f>
        <v>F</v>
      </c>
      <c r="S107">
        <f>VLOOKUP(A107,vlookup_table!$A:$G,7,FALSE)</f>
        <v>30</v>
      </c>
      <c r="T107">
        <f t="shared" si="2"/>
        <v>96</v>
      </c>
      <c r="U107" t="str">
        <f t="shared" si="3"/>
        <v>Suburbano</v>
      </c>
    </row>
    <row r="108" spans="1:21" ht="16" x14ac:dyDescent="0.4">
      <c r="A108" s="4">
        <v>113129</v>
      </c>
      <c r="B108" s="1" t="s">
        <v>28</v>
      </c>
      <c r="C108" s="1" t="s">
        <v>17</v>
      </c>
      <c r="D108" s="1">
        <v>359</v>
      </c>
      <c r="E108" s="1">
        <v>220</v>
      </c>
      <c r="F108" s="1">
        <v>299</v>
      </c>
      <c r="G108" s="1">
        <v>0</v>
      </c>
      <c r="H108" s="1">
        <v>13024</v>
      </c>
      <c r="I108" s="1">
        <v>0</v>
      </c>
      <c r="J108" s="1">
        <v>64</v>
      </c>
      <c r="K108" s="1">
        <v>247</v>
      </c>
      <c r="L108" s="1">
        <v>270</v>
      </c>
      <c r="M108" s="1">
        <v>20</v>
      </c>
      <c r="N108">
        <f>VLOOKUP(A108,vlookup_table!$A:$G,2,FALSE)</f>
        <v>0</v>
      </c>
      <c r="O108" t="str">
        <f>VLOOKUP(A108,vlookup_table!$A:$G,3,FALSE)</f>
        <v>OK</v>
      </c>
      <c r="P108">
        <f>VLOOKUP(A108,vlookup_table!$A:$G,4,FALSE)</f>
        <v>1501</v>
      </c>
      <c r="Q108" t="str">
        <f>VLOOKUP(A108,vlookup_table!$A:$G,5,FALSE)</f>
        <v>S1</v>
      </c>
      <c r="R108" t="str">
        <f>VLOOKUP(A108,vlookup_table!$A:$G,6,FALSE)</f>
        <v>F</v>
      </c>
      <c r="S108">
        <f>VLOOKUP(A108,vlookup_table!$A:$G,7,FALSE)</f>
        <v>20</v>
      </c>
      <c r="T108">
        <f t="shared" si="2"/>
        <v>81</v>
      </c>
      <c r="U108" t="str">
        <f t="shared" si="3"/>
        <v>Suburbano</v>
      </c>
    </row>
    <row r="109" spans="1:21" ht="16" x14ac:dyDescent="0.4">
      <c r="A109" s="4">
        <v>19094</v>
      </c>
      <c r="B109" s="1" t="s">
        <v>39</v>
      </c>
      <c r="C109" s="1" t="s">
        <v>17</v>
      </c>
      <c r="D109" s="1">
        <v>1373</v>
      </c>
      <c r="E109" s="1">
        <v>472</v>
      </c>
      <c r="F109" s="1">
        <v>517</v>
      </c>
      <c r="G109" s="1">
        <v>2</v>
      </c>
      <c r="H109" s="1">
        <v>17363</v>
      </c>
      <c r="I109" s="1">
        <v>5</v>
      </c>
      <c r="J109" s="1">
        <v>71</v>
      </c>
      <c r="K109" s="1">
        <v>463</v>
      </c>
      <c r="L109" s="1">
        <v>504</v>
      </c>
      <c r="M109" s="1">
        <v>28.333333329999999</v>
      </c>
      <c r="N109">
        <f>VLOOKUP(A109,vlookup_table!$A:$G,2,FALSE)</f>
        <v>28</v>
      </c>
      <c r="O109" t="str">
        <f>VLOOKUP(A109,vlookup_table!$A:$G,3,FALSE)</f>
        <v>CT</v>
      </c>
      <c r="P109">
        <f>VLOOKUP(A109,vlookup_table!$A:$G,4,FALSE)</f>
        <v>0</v>
      </c>
      <c r="Q109" t="str">
        <f>VLOOKUP(A109,vlookup_table!$A:$G,5,FALSE)</f>
        <v>T1</v>
      </c>
      <c r="R109" t="str">
        <f>VLOOKUP(A109,vlookup_table!$A:$G,6,FALSE)</f>
        <v>F</v>
      </c>
      <c r="S109">
        <f>VLOOKUP(A109,vlookup_table!$A:$G,7,FALSE)</f>
        <v>40</v>
      </c>
      <c r="T109">
        <f t="shared" si="2"/>
        <v>96</v>
      </c>
      <c r="U109" t="str">
        <f t="shared" si="3"/>
        <v>Pueblo</v>
      </c>
    </row>
    <row r="110" spans="1:21" ht="16" x14ac:dyDescent="0.4">
      <c r="A110" s="4">
        <v>102224</v>
      </c>
      <c r="B110" s="1" t="s">
        <v>54</v>
      </c>
      <c r="C110" s="1" t="s">
        <v>41</v>
      </c>
      <c r="D110" s="1">
        <v>1439</v>
      </c>
      <c r="E110" s="1">
        <v>370</v>
      </c>
      <c r="F110" s="1">
        <v>464</v>
      </c>
      <c r="G110" s="1">
        <v>3</v>
      </c>
      <c r="H110" s="1">
        <v>13353</v>
      </c>
      <c r="I110" s="1">
        <v>15</v>
      </c>
      <c r="J110" s="1">
        <v>61</v>
      </c>
      <c r="K110" s="1">
        <v>414</v>
      </c>
      <c r="L110" s="1">
        <v>417</v>
      </c>
      <c r="M110" s="1">
        <v>6.125</v>
      </c>
      <c r="N110">
        <f>VLOOKUP(A110,vlookup_table!$A:$G,2,FALSE)</f>
        <v>1002</v>
      </c>
      <c r="O110" t="str">
        <f>VLOOKUP(A110,vlookup_table!$A:$G,3,FALSE)</f>
        <v>NJ</v>
      </c>
      <c r="P110">
        <f>VLOOKUP(A110,vlookup_table!$A:$G,4,FALSE)</f>
        <v>0</v>
      </c>
      <c r="Q110" t="str">
        <f>VLOOKUP(A110,vlookup_table!$A:$G,5,FALSE)</f>
        <v>S1</v>
      </c>
      <c r="R110" t="str">
        <f>VLOOKUP(A110,vlookup_table!$A:$G,6,FALSE)</f>
        <v>J</v>
      </c>
      <c r="S110">
        <f>VLOOKUP(A110,vlookup_table!$A:$G,7,FALSE)</f>
        <v>6</v>
      </c>
      <c r="T110">
        <f t="shared" si="2"/>
        <v>96</v>
      </c>
      <c r="U110" t="str">
        <f t="shared" si="3"/>
        <v>Suburbano</v>
      </c>
    </row>
    <row r="111" spans="1:21" ht="16" x14ac:dyDescent="0.4">
      <c r="A111" s="4">
        <v>155375</v>
      </c>
      <c r="B111" s="1" t="s">
        <v>99</v>
      </c>
      <c r="C111" s="1" t="s">
        <v>17</v>
      </c>
      <c r="D111" s="1">
        <v>889</v>
      </c>
      <c r="E111" s="1">
        <v>398</v>
      </c>
      <c r="F111" s="1">
        <v>495</v>
      </c>
      <c r="G111" s="1">
        <v>0</v>
      </c>
      <c r="H111" s="1">
        <v>13782</v>
      </c>
      <c r="I111" s="1">
        <v>7</v>
      </c>
      <c r="J111" s="1">
        <v>68</v>
      </c>
      <c r="K111" s="1">
        <v>488</v>
      </c>
      <c r="L111" s="1">
        <v>450</v>
      </c>
      <c r="M111" s="1">
        <v>5.846153846</v>
      </c>
      <c r="N111">
        <f>VLOOKUP(A111,vlookup_table!$A:$G,2,FALSE)</f>
        <v>2</v>
      </c>
      <c r="O111" t="str">
        <f>VLOOKUP(A111,vlookup_table!$A:$G,3,FALSE)</f>
        <v>CA</v>
      </c>
      <c r="P111">
        <f>VLOOKUP(A111,vlookup_table!$A:$G,4,FALSE)</f>
        <v>2201</v>
      </c>
      <c r="Q111" t="str">
        <f>VLOOKUP(A111,vlookup_table!$A:$G,5,FALSE)</f>
        <v>S2</v>
      </c>
      <c r="R111" t="str">
        <f>VLOOKUP(A111,vlookup_table!$A:$G,6,FALSE)</f>
        <v>F</v>
      </c>
      <c r="S111">
        <f>VLOOKUP(A111,vlookup_table!$A:$G,7,FALSE)</f>
        <v>6</v>
      </c>
      <c r="T111">
        <f t="shared" si="2"/>
        <v>74</v>
      </c>
      <c r="U111" t="str">
        <f t="shared" si="3"/>
        <v>Suburbano</v>
      </c>
    </row>
    <row r="112" spans="1:21" ht="16" x14ac:dyDescent="0.4">
      <c r="A112" s="4">
        <v>185030</v>
      </c>
      <c r="B112" s="1" t="s">
        <v>13</v>
      </c>
      <c r="C112" s="1" t="s">
        <v>14</v>
      </c>
      <c r="D112" s="1">
        <v>824</v>
      </c>
      <c r="E112" s="1">
        <v>248</v>
      </c>
      <c r="F112" s="1">
        <v>326</v>
      </c>
      <c r="G112" s="1">
        <v>0</v>
      </c>
      <c r="H112" s="1">
        <v>15008</v>
      </c>
      <c r="I112" s="1">
        <v>15</v>
      </c>
      <c r="J112" s="1">
        <v>7</v>
      </c>
      <c r="K112" s="1">
        <v>274</v>
      </c>
      <c r="L112" s="1">
        <v>288</v>
      </c>
      <c r="M112" s="1">
        <v>10.15384615</v>
      </c>
      <c r="N112">
        <f>VLOOKUP(A112,vlookup_table!$A:$G,2,FALSE)</f>
        <v>0</v>
      </c>
      <c r="O112" t="str">
        <f>VLOOKUP(A112,vlookup_table!$A:$G,3,FALSE)</f>
        <v>FL</v>
      </c>
      <c r="P112">
        <f>VLOOKUP(A112,vlookup_table!$A:$G,4,FALSE)</f>
        <v>1704</v>
      </c>
      <c r="Q112" t="str">
        <f>VLOOKUP(A112,vlookup_table!$A:$G,5,FALSE)</f>
        <v>U1</v>
      </c>
      <c r="R112" t="str">
        <f>VLOOKUP(A112,vlookup_table!$A:$G,6,FALSE)</f>
        <v>M</v>
      </c>
      <c r="S112">
        <f>VLOOKUP(A112,vlookup_table!$A:$G,7,FALSE)</f>
        <v>10</v>
      </c>
      <c r="T112">
        <f t="shared" si="2"/>
        <v>79</v>
      </c>
      <c r="U112" t="str">
        <f t="shared" si="3"/>
        <v>Urbano</v>
      </c>
    </row>
    <row r="113" spans="1:21" ht="16" x14ac:dyDescent="0.4">
      <c r="A113" s="4">
        <v>149887</v>
      </c>
      <c r="B113" s="1" t="s">
        <v>99</v>
      </c>
      <c r="C113" s="1" t="s">
        <v>14</v>
      </c>
      <c r="D113" s="1">
        <v>1993</v>
      </c>
      <c r="E113" s="1">
        <v>442</v>
      </c>
      <c r="F113" s="1">
        <v>520</v>
      </c>
      <c r="G113" s="1">
        <v>49</v>
      </c>
      <c r="H113" s="1">
        <v>16427</v>
      </c>
      <c r="I113" s="1">
        <v>15</v>
      </c>
      <c r="J113" s="1">
        <v>53</v>
      </c>
      <c r="K113" s="1">
        <v>472</v>
      </c>
      <c r="L113" s="1">
        <v>484</v>
      </c>
      <c r="M113" s="1">
        <v>10.83333333</v>
      </c>
      <c r="N113">
        <f>VLOOKUP(A113,vlookup_table!$A:$G,2,FALSE)</f>
        <v>1</v>
      </c>
      <c r="O113" t="str">
        <f>VLOOKUP(A113,vlookup_table!$A:$G,3,FALSE)</f>
        <v>CA</v>
      </c>
      <c r="P113">
        <f>VLOOKUP(A113,vlookup_table!$A:$G,4,FALSE)</f>
        <v>0</v>
      </c>
      <c r="Q113" t="str">
        <f>VLOOKUP(A113,vlookup_table!$A:$G,5,FALSE)</f>
        <v>C3</v>
      </c>
      <c r="R113" t="str">
        <f>VLOOKUP(A113,vlookup_table!$A:$G,6,FALSE)</f>
        <v>M</v>
      </c>
      <c r="S113">
        <f>VLOOKUP(A113,vlookup_table!$A:$G,7,FALSE)</f>
        <v>15</v>
      </c>
      <c r="T113">
        <f t="shared" si="2"/>
        <v>96</v>
      </c>
      <c r="U113" t="str">
        <f t="shared" si="3"/>
        <v>Ciudad</v>
      </c>
    </row>
    <row r="114" spans="1:21" ht="16" x14ac:dyDescent="0.4">
      <c r="A114" s="4">
        <v>117216</v>
      </c>
      <c r="B114" s="1" t="s">
        <v>20</v>
      </c>
      <c r="C114" s="1" t="s">
        <v>17</v>
      </c>
      <c r="D114" s="1">
        <v>618</v>
      </c>
      <c r="E114" s="1">
        <v>233</v>
      </c>
      <c r="F114" s="1">
        <v>394</v>
      </c>
      <c r="G114" s="1">
        <v>0</v>
      </c>
      <c r="H114" s="1">
        <v>12864</v>
      </c>
      <c r="I114" s="1">
        <v>9</v>
      </c>
      <c r="J114" s="1">
        <v>75</v>
      </c>
      <c r="K114" s="1">
        <v>310</v>
      </c>
      <c r="L114" s="1">
        <v>302</v>
      </c>
      <c r="M114" s="1">
        <v>10.25</v>
      </c>
      <c r="N114">
        <f>VLOOKUP(A114,vlookup_table!$A:$G,2,FALSE)</f>
        <v>2</v>
      </c>
      <c r="O114" t="str">
        <f>VLOOKUP(A114,vlookup_table!$A:$G,3,FALSE)</f>
        <v>TX</v>
      </c>
      <c r="P114">
        <f>VLOOKUP(A114,vlookup_table!$A:$G,4,FALSE)</f>
        <v>6201</v>
      </c>
      <c r="Q114" t="str">
        <f>VLOOKUP(A114,vlookup_table!$A:$G,5,FALSE)</f>
        <v>S2</v>
      </c>
      <c r="R114" t="str">
        <f>VLOOKUP(A114,vlookup_table!$A:$G,6,FALSE)</f>
        <v>F</v>
      </c>
      <c r="S114">
        <f>VLOOKUP(A114,vlookup_table!$A:$G,7,FALSE)</f>
        <v>30</v>
      </c>
      <c r="T114">
        <f t="shared" si="2"/>
        <v>34</v>
      </c>
      <c r="U114" t="str">
        <f t="shared" si="3"/>
        <v>Suburbano</v>
      </c>
    </row>
    <row r="115" spans="1:21" ht="16" x14ac:dyDescent="0.4">
      <c r="A115" s="4">
        <v>167892</v>
      </c>
      <c r="B115" s="1" t="s">
        <v>99</v>
      </c>
      <c r="C115" s="1" t="s">
        <v>17</v>
      </c>
      <c r="D115" s="1">
        <v>3259</v>
      </c>
      <c r="E115" s="1">
        <v>267</v>
      </c>
      <c r="F115" s="1">
        <v>591</v>
      </c>
      <c r="G115" s="1">
        <v>83</v>
      </c>
      <c r="H115" s="1">
        <v>19399</v>
      </c>
      <c r="I115" s="1">
        <v>17</v>
      </c>
      <c r="J115" s="1">
        <v>49</v>
      </c>
      <c r="K115" s="1">
        <v>626</v>
      </c>
      <c r="L115" s="1">
        <v>508</v>
      </c>
      <c r="M115" s="1">
        <v>7.6666666670000003</v>
      </c>
      <c r="N115">
        <f>VLOOKUP(A115,vlookup_table!$A:$G,2,FALSE)</f>
        <v>0</v>
      </c>
      <c r="O115" t="str">
        <f>VLOOKUP(A115,vlookup_table!$A:$G,3,FALSE)</f>
        <v>CA</v>
      </c>
      <c r="P115">
        <f>VLOOKUP(A115,vlookup_table!$A:$G,4,FALSE)</f>
        <v>0</v>
      </c>
      <c r="Q115" t="str">
        <f>VLOOKUP(A115,vlookup_table!$A:$G,5,FALSE)</f>
        <v>U1</v>
      </c>
      <c r="R115" t="str">
        <f>VLOOKUP(A115,vlookup_table!$A:$G,6,FALSE)</f>
        <v>F</v>
      </c>
      <c r="S115">
        <f>VLOOKUP(A115,vlookup_table!$A:$G,7,FALSE)</f>
        <v>10</v>
      </c>
      <c r="T115">
        <f t="shared" si="2"/>
        <v>96</v>
      </c>
      <c r="U115" t="str">
        <f t="shared" si="3"/>
        <v>Urbano</v>
      </c>
    </row>
    <row r="116" spans="1:21" ht="16" x14ac:dyDescent="0.4">
      <c r="A116" s="4">
        <v>107618</v>
      </c>
      <c r="B116" s="1" t="s">
        <v>55</v>
      </c>
      <c r="C116" s="1" t="s">
        <v>17</v>
      </c>
      <c r="D116" s="1">
        <v>151</v>
      </c>
      <c r="E116" s="1">
        <v>180</v>
      </c>
      <c r="F116" s="1">
        <v>273</v>
      </c>
      <c r="G116" s="1">
        <v>0</v>
      </c>
      <c r="H116" s="1">
        <v>9138</v>
      </c>
      <c r="I116" s="1">
        <v>0</v>
      </c>
      <c r="J116" s="1">
        <v>68</v>
      </c>
      <c r="K116" s="1">
        <v>208</v>
      </c>
      <c r="L116" s="1">
        <v>230</v>
      </c>
      <c r="M116" s="1">
        <v>2.361111111</v>
      </c>
      <c r="N116">
        <f>VLOOKUP(A116,vlookup_table!$A:$G,2,FALSE)</f>
        <v>0</v>
      </c>
      <c r="O116" t="str">
        <f>VLOOKUP(A116,vlookup_table!$A:$G,3,FALSE)</f>
        <v>NE</v>
      </c>
      <c r="P116">
        <f>VLOOKUP(A116,vlookup_table!$A:$G,4,FALSE)</f>
        <v>1801</v>
      </c>
      <c r="Q116" t="str">
        <f>VLOOKUP(A116,vlookup_table!$A:$G,5,FALSE)</f>
        <v>R3</v>
      </c>
      <c r="R116" t="str">
        <f>VLOOKUP(A116,vlookup_table!$A:$G,6,FALSE)</f>
        <v>F</v>
      </c>
      <c r="S116">
        <f>VLOOKUP(A116,vlookup_table!$A:$G,7,FALSE)</f>
        <v>2</v>
      </c>
      <c r="T116">
        <f t="shared" si="2"/>
        <v>78</v>
      </c>
      <c r="U116" t="str">
        <f t="shared" si="3"/>
        <v>Rural</v>
      </c>
    </row>
    <row r="117" spans="1:21" ht="16" x14ac:dyDescent="0.4">
      <c r="A117" s="4">
        <v>72410</v>
      </c>
      <c r="B117" s="1" t="s">
        <v>26</v>
      </c>
      <c r="C117" s="1" t="s">
        <v>14</v>
      </c>
      <c r="D117" s="1">
        <v>492</v>
      </c>
      <c r="E117" s="1">
        <v>272</v>
      </c>
      <c r="F117" s="1">
        <v>402</v>
      </c>
      <c r="G117" s="1">
        <v>0</v>
      </c>
      <c r="H117" s="1">
        <v>14442</v>
      </c>
      <c r="I117" s="1">
        <v>1</v>
      </c>
      <c r="J117" s="1">
        <v>55</v>
      </c>
      <c r="K117" s="1">
        <v>370</v>
      </c>
      <c r="L117" s="1">
        <v>317</v>
      </c>
      <c r="M117" s="1">
        <v>14.57142857</v>
      </c>
      <c r="N117">
        <f>VLOOKUP(A117,vlookup_table!$A:$G,2,FALSE)</f>
        <v>0</v>
      </c>
      <c r="O117" t="str">
        <f>VLOOKUP(A117,vlookup_table!$A:$G,3,FALSE)</f>
        <v>MI</v>
      </c>
      <c r="P117">
        <f>VLOOKUP(A117,vlookup_table!$A:$G,4,FALSE)</f>
        <v>0</v>
      </c>
      <c r="Q117" t="str">
        <f>VLOOKUP(A117,vlookup_table!$A:$G,5,FALSE)</f>
        <v>T2</v>
      </c>
      <c r="R117" t="str">
        <f>VLOOKUP(A117,vlookup_table!$A:$G,6,FALSE)</f>
        <v>M</v>
      </c>
      <c r="S117">
        <f>VLOOKUP(A117,vlookup_table!$A:$G,7,FALSE)</f>
        <v>20</v>
      </c>
      <c r="T117">
        <f t="shared" si="2"/>
        <v>96</v>
      </c>
      <c r="U117" t="str">
        <f t="shared" si="3"/>
        <v>Pueblo</v>
      </c>
    </row>
    <row r="118" spans="1:21" ht="16" x14ac:dyDescent="0.4">
      <c r="A118" s="4">
        <v>112319</v>
      </c>
      <c r="B118" s="1" t="s">
        <v>29</v>
      </c>
      <c r="C118" s="1" t="s">
        <v>97</v>
      </c>
      <c r="D118" s="1">
        <v>892</v>
      </c>
      <c r="E118" s="1">
        <v>380</v>
      </c>
      <c r="F118" s="1">
        <v>468</v>
      </c>
      <c r="G118" s="1">
        <v>5</v>
      </c>
      <c r="H118" s="1">
        <v>19444</v>
      </c>
      <c r="I118" s="1">
        <v>2</v>
      </c>
      <c r="J118" s="1">
        <v>21</v>
      </c>
      <c r="K118" s="1">
        <v>406</v>
      </c>
      <c r="L118" s="1">
        <v>426</v>
      </c>
      <c r="M118" s="1">
        <v>17</v>
      </c>
      <c r="N118">
        <f>VLOOKUP(A118,vlookup_table!$A:$G,2,FALSE)</f>
        <v>2</v>
      </c>
      <c r="O118" t="str">
        <f>VLOOKUP(A118,vlookup_table!$A:$G,3,FALSE)</f>
        <v>AR</v>
      </c>
      <c r="P118">
        <f>VLOOKUP(A118,vlookup_table!$A:$G,4,FALSE)</f>
        <v>3201</v>
      </c>
      <c r="Q118" t="str">
        <f>VLOOKUP(A118,vlookup_table!$A:$G,5,FALSE)</f>
        <v>C1</v>
      </c>
      <c r="R118" t="str">
        <f>VLOOKUP(A118,vlookup_table!$A:$G,6,FALSE)</f>
        <v>F</v>
      </c>
      <c r="S118">
        <f>VLOOKUP(A118,vlookup_table!$A:$G,7,FALSE)</f>
        <v>30</v>
      </c>
      <c r="T118">
        <f t="shared" si="2"/>
        <v>64</v>
      </c>
      <c r="U118" t="str">
        <f t="shared" si="3"/>
        <v>Ciudad</v>
      </c>
    </row>
    <row r="119" spans="1:21" ht="16" x14ac:dyDescent="0.4">
      <c r="A119" s="4">
        <v>28061</v>
      </c>
      <c r="B119" s="1" t="s">
        <v>36</v>
      </c>
      <c r="C119" s="1" t="s">
        <v>17</v>
      </c>
      <c r="D119" s="1">
        <v>948</v>
      </c>
      <c r="E119" s="1">
        <v>531</v>
      </c>
      <c r="F119" s="1">
        <v>584</v>
      </c>
      <c r="G119" s="1">
        <v>1</v>
      </c>
      <c r="H119" s="1">
        <v>19537</v>
      </c>
      <c r="I119" s="1">
        <v>2</v>
      </c>
      <c r="J119" s="1">
        <v>65</v>
      </c>
      <c r="K119" s="1">
        <v>530</v>
      </c>
      <c r="L119" s="1">
        <v>585</v>
      </c>
      <c r="M119" s="1">
        <v>5.4848484849999997</v>
      </c>
      <c r="N119">
        <f>VLOOKUP(A119,vlookup_table!$A:$G,2,FALSE)</f>
        <v>0</v>
      </c>
      <c r="O119" t="str">
        <f>VLOOKUP(A119,vlookup_table!$A:$G,3,FALSE)</f>
        <v>GA</v>
      </c>
      <c r="P119">
        <f>VLOOKUP(A119,vlookup_table!$A:$G,4,FALSE)</f>
        <v>5902</v>
      </c>
      <c r="Q119" t="str">
        <f>VLOOKUP(A119,vlookup_table!$A:$G,5,FALSE)</f>
        <v>T2</v>
      </c>
      <c r="R119" t="str">
        <f>VLOOKUP(A119,vlookup_table!$A:$G,6,FALSE)</f>
        <v>F</v>
      </c>
      <c r="S119">
        <f>VLOOKUP(A119,vlookup_table!$A:$G,7,FALSE)</f>
        <v>5</v>
      </c>
      <c r="T119">
        <f t="shared" si="2"/>
        <v>37</v>
      </c>
      <c r="U119" t="str">
        <f t="shared" si="3"/>
        <v>Pueblo</v>
      </c>
    </row>
    <row r="120" spans="1:21" ht="16" x14ac:dyDescent="0.4">
      <c r="A120" s="4">
        <v>108371</v>
      </c>
      <c r="B120" s="1" t="s">
        <v>46</v>
      </c>
      <c r="C120" s="1" t="s">
        <v>17</v>
      </c>
      <c r="D120" s="1">
        <v>717</v>
      </c>
      <c r="E120" s="1">
        <v>190</v>
      </c>
      <c r="F120" s="1">
        <v>302</v>
      </c>
      <c r="G120" s="1">
        <v>0</v>
      </c>
      <c r="H120" s="1">
        <v>10888</v>
      </c>
      <c r="I120" s="1">
        <v>21</v>
      </c>
      <c r="J120" s="1">
        <v>62</v>
      </c>
      <c r="K120" s="1">
        <v>313</v>
      </c>
      <c r="L120" s="1">
        <v>235</v>
      </c>
      <c r="M120" s="1">
        <v>24.166666670000001</v>
      </c>
      <c r="N120">
        <f>VLOOKUP(A120,vlookup_table!$A:$G,2,FALSE)</f>
        <v>28</v>
      </c>
      <c r="O120" t="str">
        <f>VLOOKUP(A120,vlookup_table!$A:$G,3,FALSE)</f>
        <v>LA</v>
      </c>
      <c r="P120">
        <f>VLOOKUP(A120,vlookup_table!$A:$G,4,FALSE)</f>
        <v>1401</v>
      </c>
      <c r="Q120" t="str">
        <f>VLOOKUP(A120,vlookup_table!$A:$G,5,FALSE)</f>
        <v>U2</v>
      </c>
      <c r="R120" t="str">
        <f>VLOOKUP(A120,vlookup_table!$A:$G,6,FALSE)</f>
        <v>F</v>
      </c>
      <c r="S120">
        <f>VLOOKUP(A120,vlookup_table!$A:$G,7,FALSE)</f>
        <v>20</v>
      </c>
      <c r="T120">
        <f t="shared" si="2"/>
        <v>82</v>
      </c>
      <c r="U120" t="str">
        <f t="shared" si="3"/>
        <v>Urbano</v>
      </c>
    </row>
    <row r="121" spans="1:21" ht="16" x14ac:dyDescent="0.4">
      <c r="A121" s="4">
        <v>187807</v>
      </c>
      <c r="B121" s="1" t="s">
        <v>26</v>
      </c>
      <c r="C121" s="1" t="s">
        <v>14</v>
      </c>
      <c r="D121" s="1">
        <v>612</v>
      </c>
      <c r="E121" s="1">
        <v>330</v>
      </c>
      <c r="F121" s="1">
        <v>400</v>
      </c>
      <c r="G121" s="1">
        <v>1</v>
      </c>
      <c r="H121" s="1">
        <v>13162</v>
      </c>
      <c r="I121" s="1">
        <v>1</v>
      </c>
      <c r="J121" s="1">
        <v>27</v>
      </c>
      <c r="K121" s="1">
        <v>326</v>
      </c>
      <c r="L121" s="1">
        <v>392</v>
      </c>
      <c r="M121" s="1">
        <v>12.1</v>
      </c>
      <c r="N121">
        <f>VLOOKUP(A121,vlookup_table!$A:$G,2,FALSE)</f>
        <v>1</v>
      </c>
      <c r="O121" t="str">
        <f>VLOOKUP(A121,vlookup_table!$A:$G,3,FALSE)</f>
        <v>MI</v>
      </c>
      <c r="P121">
        <f>VLOOKUP(A121,vlookup_table!$A:$G,4,FALSE)</f>
        <v>8305</v>
      </c>
      <c r="Q121" t="str">
        <f>VLOOKUP(A121,vlookup_table!$A:$G,5,FALSE)</f>
        <v>R2</v>
      </c>
      <c r="R121" t="str">
        <f>VLOOKUP(A121,vlookup_table!$A:$G,6,FALSE)</f>
        <v>M</v>
      </c>
      <c r="S121">
        <f>VLOOKUP(A121,vlookup_table!$A:$G,7,FALSE)</f>
        <v>22</v>
      </c>
      <c r="T121">
        <f t="shared" si="2"/>
        <v>13</v>
      </c>
      <c r="U121" t="str">
        <f t="shared" si="3"/>
        <v>Rural</v>
      </c>
    </row>
    <row r="122" spans="1:21" ht="16" x14ac:dyDescent="0.4">
      <c r="A122" s="4">
        <v>180383</v>
      </c>
      <c r="B122" s="1" t="s">
        <v>37</v>
      </c>
      <c r="C122" s="1" t="s">
        <v>17</v>
      </c>
      <c r="D122" s="1">
        <v>919</v>
      </c>
      <c r="E122" s="1">
        <v>338</v>
      </c>
      <c r="F122" s="1">
        <v>346</v>
      </c>
      <c r="G122" s="1">
        <v>1</v>
      </c>
      <c r="H122" s="1">
        <v>12507</v>
      </c>
      <c r="I122" s="1">
        <v>5</v>
      </c>
      <c r="J122" s="1">
        <v>56</v>
      </c>
      <c r="K122" s="1">
        <v>337</v>
      </c>
      <c r="L122" s="1">
        <v>349</v>
      </c>
      <c r="M122" s="1">
        <v>8.2142857140000007</v>
      </c>
      <c r="N122">
        <f>VLOOKUP(A122,vlookup_table!$A:$G,2,FALSE)</f>
        <v>0</v>
      </c>
      <c r="O122" t="str">
        <f>VLOOKUP(A122,vlookup_table!$A:$G,3,FALSE)</f>
        <v>WA</v>
      </c>
      <c r="P122">
        <f>VLOOKUP(A122,vlookup_table!$A:$G,4,FALSE)</f>
        <v>609</v>
      </c>
      <c r="Q122" t="str">
        <f>VLOOKUP(A122,vlookup_table!$A:$G,5,FALSE)</f>
        <v>C3</v>
      </c>
      <c r="R122" t="str">
        <f>VLOOKUP(A122,vlookup_table!$A:$G,6,FALSE)</f>
        <v>F</v>
      </c>
      <c r="S122">
        <f>VLOOKUP(A122,vlookup_table!$A:$G,7,FALSE)</f>
        <v>11</v>
      </c>
      <c r="T122">
        <f t="shared" si="2"/>
        <v>36</v>
      </c>
      <c r="U122" t="str">
        <f t="shared" si="3"/>
        <v>Ciudad</v>
      </c>
    </row>
    <row r="123" spans="1:21" ht="16" x14ac:dyDescent="0.4">
      <c r="A123" s="4">
        <v>183013</v>
      </c>
      <c r="B123" s="1" t="s">
        <v>37</v>
      </c>
      <c r="C123" s="1" t="s">
        <v>14</v>
      </c>
      <c r="D123" s="1">
        <v>697</v>
      </c>
      <c r="E123" s="1">
        <v>317</v>
      </c>
      <c r="F123" s="1">
        <v>406</v>
      </c>
      <c r="G123" s="1">
        <v>0</v>
      </c>
      <c r="H123" s="1">
        <v>13561</v>
      </c>
      <c r="I123" s="1">
        <v>3</v>
      </c>
      <c r="J123" s="1">
        <v>34</v>
      </c>
      <c r="K123" s="1">
        <v>364</v>
      </c>
      <c r="L123" s="1">
        <v>337</v>
      </c>
      <c r="M123" s="1">
        <v>10</v>
      </c>
      <c r="N123">
        <f>VLOOKUP(A123,vlookup_table!$A:$G,2,FALSE)</f>
        <v>1</v>
      </c>
      <c r="O123" t="str">
        <f>VLOOKUP(A123,vlookup_table!$A:$G,3,FALSE)</f>
        <v>WA</v>
      </c>
      <c r="P123">
        <f>VLOOKUP(A123,vlookup_table!$A:$G,4,FALSE)</f>
        <v>3001</v>
      </c>
      <c r="Q123" t="str">
        <f>VLOOKUP(A123,vlookup_table!$A:$G,5,FALSE)</f>
        <v>S2</v>
      </c>
      <c r="R123" t="str">
        <f>VLOOKUP(A123,vlookup_table!$A:$G,6,FALSE)</f>
        <v>M</v>
      </c>
      <c r="S123">
        <f>VLOOKUP(A123,vlookup_table!$A:$G,7,FALSE)</f>
        <v>11</v>
      </c>
      <c r="T123">
        <f t="shared" si="2"/>
        <v>66</v>
      </c>
      <c r="U123" t="str">
        <f t="shared" si="3"/>
        <v>Suburbano</v>
      </c>
    </row>
    <row r="124" spans="1:21" ht="16" x14ac:dyDescent="0.4">
      <c r="A124" s="4">
        <v>187769</v>
      </c>
      <c r="B124" s="1" t="s">
        <v>99</v>
      </c>
      <c r="C124" s="1" t="s">
        <v>14</v>
      </c>
      <c r="D124" s="1">
        <v>5059</v>
      </c>
      <c r="E124" s="1">
        <v>693</v>
      </c>
      <c r="F124" s="1">
        <v>847</v>
      </c>
      <c r="G124" s="1">
        <v>99</v>
      </c>
      <c r="H124" s="1">
        <v>29368</v>
      </c>
      <c r="I124" s="1">
        <v>10</v>
      </c>
      <c r="J124" s="1">
        <v>48</v>
      </c>
      <c r="K124" s="1">
        <v>752</v>
      </c>
      <c r="L124" s="1">
        <v>751</v>
      </c>
      <c r="M124" s="1">
        <v>10.6</v>
      </c>
      <c r="N124">
        <f>VLOOKUP(A124,vlookup_table!$A:$G,2,FALSE)</f>
        <v>1</v>
      </c>
      <c r="O124" t="str">
        <f>VLOOKUP(A124,vlookup_table!$A:$G,3,FALSE)</f>
        <v>CA</v>
      </c>
      <c r="P124">
        <f>VLOOKUP(A124,vlookup_table!$A:$G,4,FALSE)</f>
        <v>5403</v>
      </c>
      <c r="Q124" t="str">
        <f>VLOOKUP(A124,vlookup_table!$A:$G,5,FALSE)</f>
        <v>S1</v>
      </c>
      <c r="R124" t="str">
        <f>VLOOKUP(A124,vlookup_table!$A:$G,6,FALSE)</f>
        <v>M</v>
      </c>
      <c r="S124">
        <f>VLOOKUP(A124,vlookup_table!$A:$G,7,FALSE)</f>
        <v>25</v>
      </c>
      <c r="T124">
        <f t="shared" si="2"/>
        <v>42</v>
      </c>
      <c r="U124" t="str">
        <f t="shared" si="3"/>
        <v>Suburbano</v>
      </c>
    </row>
    <row r="125" spans="1:21" ht="16" x14ac:dyDescent="0.4">
      <c r="A125" s="4">
        <v>191056</v>
      </c>
      <c r="B125" s="1" t="s">
        <v>99</v>
      </c>
      <c r="C125" s="1" t="s">
        <v>14</v>
      </c>
      <c r="D125" s="1">
        <v>5667</v>
      </c>
      <c r="E125" s="1">
        <v>492</v>
      </c>
      <c r="F125" s="1">
        <v>848</v>
      </c>
      <c r="G125" s="1">
        <v>98</v>
      </c>
      <c r="H125" s="1">
        <v>51280</v>
      </c>
      <c r="I125" s="1">
        <v>11</v>
      </c>
      <c r="J125" s="1">
        <v>35</v>
      </c>
      <c r="K125" s="1">
        <v>808</v>
      </c>
      <c r="L125" s="1">
        <v>594</v>
      </c>
      <c r="M125" s="1">
        <v>28.833333329999999</v>
      </c>
      <c r="N125">
        <f>VLOOKUP(A125,vlookup_table!$A:$G,2,FALSE)</f>
        <v>1</v>
      </c>
      <c r="O125" t="str">
        <f>VLOOKUP(A125,vlookup_table!$A:$G,3,FALSE)</f>
        <v>CA</v>
      </c>
      <c r="P125">
        <f>VLOOKUP(A125,vlookup_table!$A:$G,4,FALSE)</f>
        <v>801</v>
      </c>
      <c r="Q125" t="str">
        <f>VLOOKUP(A125,vlookup_table!$A:$G,5,FALSE)</f>
        <v>U1</v>
      </c>
      <c r="R125" t="str">
        <f>VLOOKUP(A125,vlookup_table!$A:$G,6,FALSE)</f>
        <v>M</v>
      </c>
      <c r="S125">
        <f>VLOOKUP(A125,vlookup_table!$A:$G,7,FALSE)</f>
        <v>47</v>
      </c>
      <c r="T125">
        <f t="shared" si="2"/>
        <v>16</v>
      </c>
      <c r="U125" t="str">
        <f t="shared" si="3"/>
        <v>Urbano</v>
      </c>
    </row>
    <row r="126" spans="1:21" ht="16" x14ac:dyDescent="0.4">
      <c r="A126" s="4">
        <v>151891</v>
      </c>
      <c r="B126" s="1" t="s">
        <v>99</v>
      </c>
      <c r="C126" s="1" t="s">
        <v>17</v>
      </c>
      <c r="D126" s="1">
        <v>2750</v>
      </c>
      <c r="E126" s="1">
        <v>668</v>
      </c>
      <c r="F126" s="1">
        <v>781</v>
      </c>
      <c r="G126" s="1">
        <v>91</v>
      </c>
      <c r="H126" s="1">
        <v>26199</v>
      </c>
      <c r="I126" s="1">
        <v>10</v>
      </c>
      <c r="J126" s="1">
        <v>44</v>
      </c>
      <c r="K126" s="1">
        <v>701</v>
      </c>
      <c r="L126" s="1">
        <v>717</v>
      </c>
      <c r="M126" s="1">
        <v>11.44444444</v>
      </c>
      <c r="N126">
        <f>VLOOKUP(A126,vlookup_table!$A:$G,2,FALSE)</f>
        <v>0</v>
      </c>
      <c r="O126" t="str">
        <f>VLOOKUP(A126,vlookup_table!$A:$G,3,FALSE)</f>
        <v>CA</v>
      </c>
      <c r="P126">
        <f>VLOOKUP(A126,vlookup_table!$A:$G,4,FALSE)</f>
        <v>0</v>
      </c>
      <c r="Q126" t="str">
        <f>VLOOKUP(A126,vlookup_table!$A:$G,5,FALSE)</f>
        <v>S2</v>
      </c>
      <c r="R126" t="str">
        <f>VLOOKUP(A126,vlookup_table!$A:$G,6,FALSE)</f>
        <v>F</v>
      </c>
      <c r="S126">
        <f>VLOOKUP(A126,vlookup_table!$A:$G,7,FALSE)</f>
        <v>15</v>
      </c>
      <c r="T126">
        <f t="shared" si="2"/>
        <v>96</v>
      </c>
      <c r="U126" t="str">
        <f t="shared" si="3"/>
        <v>Suburbano</v>
      </c>
    </row>
    <row r="127" spans="1:21" ht="16" x14ac:dyDescent="0.4">
      <c r="A127" s="4">
        <v>5822</v>
      </c>
      <c r="B127" s="1" t="s">
        <v>25</v>
      </c>
      <c r="C127" s="1" t="s">
        <v>17</v>
      </c>
      <c r="D127" s="1">
        <v>513</v>
      </c>
      <c r="E127" s="1">
        <v>400</v>
      </c>
      <c r="F127" s="1">
        <v>482</v>
      </c>
      <c r="G127" s="1">
        <v>0</v>
      </c>
      <c r="H127" s="1">
        <v>20842</v>
      </c>
      <c r="I127" s="1">
        <v>3</v>
      </c>
      <c r="J127" s="1">
        <v>66</v>
      </c>
      <c r="K127" s="1">
        <v>434</v>
      </c>
      <c r="L127" s="1">
        <v>436</v>
      </c>
      <c r="M127" s="1">
        <v>6.0767499999999997</v>
      </c>
      <c r="N127">
        <f>VLOOKUP(A127,vlookup_table!$A:$G,2,FALSE)</f>
        <v>2</v>
      </c>
      <c r="O127" t="str">
        <f>VLOOKUP(A127,vlookup_table!$A:$G,3,FALSE)</f>
        <v>KS</v>
      </c>
      <c r="P127">
        <f>VLOOKUP(A127,vlookup_table!$A:$G,4,FALSE)</f>
        <v>2901</v>
      </c>
      <c r="Q127" t="str">
        <f>VLOOKUP(A127,vlookup_table!$A:$G,5,FALSE)</f>
        <v>S2</v>
      </c>
      <c r="R127" t="str">
        <f>VLOOKUP(A127,vlookup_table!$A:$G,6,FALSE)</f>
        <v>F</v>
      </c>
      <c r="S127">
        <f>VLOOKUP(A127,vlookup_table!$A:$G,7,FALSE)</f>
        <v>11</v>
      </c>
      <c r="T127">
        <f t="shared" si="2"/>
        <v>67</v>
      </c>
      <c r="U127" t="str">
        <f t="shared" si="3"/>
        <v>Suburbano</v>
      </c>
    </row>
    <row r="128" spans="1:21" ht="16" x14ac:dyDescent="0.4">
      <c r="A128" s="4">
        <v>164969</v>
      </c>
      <c r="B128" s="1" t="s">
        <v>99</v>
      </c>
      <c r="C128" s="1" t="s">
        <v>17</v>
      </c>
      <c r="D128" s="1">
        <v>1848</v>
      </c>
      <c r="E128" s="1">
        <v>505</v>
      </c>
      <c r="F128" s="1">
        <v>581</v>
      </c>
      <c r="G128" s="1">
        <v>33</v>
      </c>
      <c r="H128" s="1">
        <v>19729</v>
      </c>
      <c r="I128" s="1">
        <v>28</v>
      </c>
      <c r="J128" s="1">
        <v>49</v>
      </c>
      <c r="K128" s="1">
        <v>515</v>
      </c>
      <c r="L128" s="1">
        <v>560</v>
      </c>
      <c r="M128" s="1">
        <v>5.6842105260000002</v>
      </c>
      <c r="N128">
        <f>VLOOKUP(A128,vlookup_table!$A:$G,2,FALSE)</f>
        <v>0</v>
      </c>
      <c r="O128" t="str">
        <f>VLOOKUP(A128,vlookup_table!$A:$G,3,FALSE)</f>
        <v>CA</v>
      </c>
      <c r="P128">
        <f>VLOOKUP(A128,vlookup_table!$A:$G,4,FALSE)</f>
        <v>6001</v>
      </c>
      <c r="Q128" t="str">
        <f>VLOOKUP(A128,vlookup_table!$A:$G,5,FALSE)</f>
        <v>S1</v>
      </c>
      <c r="R128" t="str">
        <f>VLOOKUP(A128,vlookup_table!$A:$G,6,FALSE)</f>
        <v>F</v>
      </c>
      <c r="S128">
        <f>VLOOKUP(A128,vlookup_table!$A:$G,7,FALSE)</f>
        <v>7</v>
      </c>
      <c r="T128">
        <f t="shared" si="2"/>
        <v>36</v>
      </c>
      <c r="U128" t="str">
        <f t="shared" si="3"/>
        <v>Suburbano</v>
      </c>
    </row>
    <row r="129" spans="1:21" ht="16" x14ac:dyDescent="0.4">
      <c r="A129" s="4">
        <v>172846</v>
      </c>
      <c r="B129" s="1" t="s">
        <v>99</v>
      </c>
      <c r="C129" s="1" t="s">
        <v>14</v>
      </c>
      <c r="D129" s="1">
        <v>1417</v>
      </c>
      <c r="E129" s="1">
        <v>406</v>
      </c>
      <c r="F129" s="1">
        <v>508</v>
      </c>
      <c r="G129" s="1">
        <v>18</v>
      </c>
      <c r="H129" s="1">
        <v>18590</v>
      </c>
      <c r="I129" s="1">
        <v>29</v>
      </c>
      <c r="J129" s="1">
        <v>49</v>
      </c>
      <c r="K129" s="1">
        <v>341</v>
      </c>
      <c r="L129" s="1">
        <v>519</v>
      </c>
      <c r="M129" s="1">
        <v>14.11111111</v>
      </c>
      <c r="N129">
        <f>VLOOKUP(A129,vlookup_table!$A:$G,2,FALSE)</f>
        <v>0</v>
      </c>
      <c r="O129" t="str">
        <f>VLOOKUP(A129,vlookup_table!$A:$G,3,FALSE)</f>
        <v>CA</v>
      </c>
      <c r="P129">
        <f>VLOOKUP(A129,vlookup_table!$A:$G,4,FALSE)</f>
        <v>4201</v>
      </c>
      <c r="Q129" t="str">
        <f>VLOOKUP(A129,vlookup_table!$A:$G,5,FALSE)</f>
        <v>C2</v>
      </c>
      <c r="R129" t="str">
        <f>VLOOKUP(A129,vlookup_table!$A:$G,6,FALSE)</f>
        <v>M</v>
      </c>
      <c r="S129">
        <f>VLOOKUP(A129,vlookup_table!$A:$G,7,FALSE)</f>
        <v>10</v>
      </c>
      <c r="T129">
        <f t="shared" si="2"/>
        <v>54</v>
      </c>
      <c r="U129" t="str">
        <f t="shared" si="3"/>
        <v>Ciudad</v>
      </c>
    </row>
    <row r="130" spans="1:21" ht="16" x14ac:dyDescent="0.4">
      <c r="A130" s="4">
        <v>95951</v>
      </c>
      <c r="B130" s="1" t="s">
        <v>16</v>
      </c>
      <c r="C130" s="1" t="s">
        <v>17</v>
      </c>
      <c r="D130" s="1">
        <v>347</v>
      </c>
      <c r="E130" s="1">
        <v>210</v>
      </c>
      <c r="F130" s="1">
        <v>286</v>
      </c>
      <c r="G130" s="1">
        <v>0</v>
      </c>
      <c r="H130" s="1">
        <v>10356</v>
      </c>
      <c r="I130" s="1">
        <v>6</v>
      </c>
      <c r="J130" s="1">
        <v>74</v>
      </c>
      <c r="K130" s="1">
        <v>255</v>
      </c>
      <c r="L130" s="1">
        <v>229</v>
      </c>
      <c r="M130" s="1">
        <v>8.076923077</v>
      </c>
      <c r="N130">
        <f>VLOOKUP(A130,vlookup_table!$A:$G,2,FALSE)</f>
        <v>0</v>
      </c>
      <c r="O130" t="str">
        <f>VLOOKUP(A130,vlookup_table!$A:$G,3,FALSE)</f>
        <v>IL</v>
      </c>
      <c r="P130">
        <f>VLOOKUP(A130,vlookup_table!$A:$G,4,FALSE)</f>
        <v>4804</v>
      </c>
      <c r="Q130" t="str">
        <f>VLOOKUP(A130,vlookup_table!$A:$G,5,FALSE)</f>
        <v>C3</v>
      </c>
      <c r="R130" t="str">
        <f>VLOOKUP(A130,vlookup_table!$A:$G,6,FALSE)</f>
        <v>F</v>
      </c>
      <c r="S130">
        <f>VLOOKUP(A130,vlookup_table!$A:$G,7,FALSE)</f>
        <v>20</v>
      </c>
      <c r="T130">
        <f t="shared" si="2"/>
        <v>48</v>
      </c>
      <c r="U130" t="str">
        <f t="shared" si="3"/>
        <v>Ciudad</v>
      </c>
    </row>
    <row r="131" spans="1:21" ht="16" x14ac:dyDescent="0.4">
      <c r="A131" s="4">
        <v>18089</v>
      </c>
      <c r="B131" s="1" t="s">
        <v>18</v>
      </c>
      <c r="C131" s="1" t="s">
        <v>14</v>
      </c>
      <c r="D131" s="1">
        <v>994</v>
      </c>
      <c r="E131" s="1">
        <v>404</v>
      </c>
      <c r="F131" s="1">
        <v>530</v>
      </c>
      <c r="G131" s="1">
        <v>2</v>
      </c>
      <c r="H131" s="1">
        <v>17420</v>
      </c>
      <c r="I131" s="1">
        <v>1</v>
      </c>
      <c r="J131" s="1">
        <v>70</v>
      </c>
      <c r="K131" s="1">
        <v>475</v>
      </c>
      <c r="L131" s="1">
        <v>485</v>
      </c>
      <c r="M131" s="1">
        <v>13.777777779999999</v>
      </c>
      <c r="N131">
        <f>VLOOKUP(A131,vlookup_table!$A:$G,2,FALSE)</f>
        <v>2</v>
      </c>
      <c r="O131" t="str">
        <f>VLOOKUP(A131,vlookup_table!$A:$G,3,FALSE)</f>
        <v>NC</v>
      </c>
      <c r="P131">
        <f>VLOOKUP(A131,vlookup_table!$A:$G,4,FALSE)</f>
        <v>5001</v>
      </c>
      <c r="Q131" t="str">
        <f>VLOOKUP(A131,vlookup_table!$A:$G,5,FALSE)</f>
        <v>C1</v>
      </c>
      <c r="R131" t="str">
        <f>VLOOKUP(A131,vlookup_table!$A:$G,6,FALSE)</f>
        <v>M</v>
      </c>
      <c r="S131">
        <f>VLOOKUP(A131,vlookup_table!$A:$G,7,FALSE)</f>
        <v>25</v>
      </c>
      <c r="T131">
        <f t="shared" ref="T131:T194" si="4">97-LEFT(P131,2)-IF(RIGHT(P131,2)&gt;6,1,0)</f>
        <v>46</v>
      </c>
      <c r="U131" t="str">
        <f t="shared" ref="U131:U194" si="5">IF(LEFT(Q131,1)="C","Ciudad",IF(LEFT(Q131,1)="T","Pueblo",IF(LEFT(Q131,1)="R","Rural",IF(LEFT(Q131,1)="S","Suburbano",IF(LEFT(Q131,1)="U","Urbano","")))))</f>
        <v>Ciudad</v>
      </c>
    </row>
    <row r="132" spans="1:21" ht="16" x14ac:dyDescent="0.4">
      <c r="A132" s="4">
        <v>35276</v>
      </c>
      <c r="B132" s="1" t="s">
        <v>13</v>
      </c>
      <c r="C132" s="1"/>
      <c r="D132" s="1">
        <v>3542</v>
      </c>
      <c r="E132" s="1">
        <v>642</v>
      </c>
      <c r="F132" s="1">
        <v>843</v>
      </c>
      <c r="G132" s="1">
        <v>76</v>
      </c>
      <c r="H132" s="1">
        <v>53131</v>
      </c>
      <c r="I132" s="1">
        <v>3</v>
      </c>
      <c r="J132" s="1">
        <v>31</v>
      </c>
      <c r="K132" s="1">
        <v>690</v>
      </c>
      <c r="L132" s="1">
        <v>807</v>
      </c>
      <c r="M132" s="1">
        <v>6.6428571429999996</v>
      </c>
      <c r="N132">
        <f>VLOOKUP(A132,vlookup_table!$A:$G,2,FALSE)</f>
        <v>2</v>
      </c>
      <c r="O132" t="str">
        <f>VLOOKUP(A132,vlookup_table!$A:$G,3,FALSE)</f>
        <v>FL</v>
      </c>
      <c r="P132">
        <f>VLOOKUP(A132,vlookup_table!$A:$G,4,FALSE)</f>
        <v>1701</v>
      </c>
      <c r="Q132" t="str">
        <f>VLOOKUP(A132,vlookup_table!$A:$G,5,FALSE)</f>
        <v>C1</v>
      </c>
      <c r="R132" t="str">
        <f>VLOOKUP(A132,vlookup_table!$A:$G,6,FALSE)</f>
        <v/>
      </c>
      <c r="S132">
        <f>VLOOKUP(A132,vlookup_table!$A:$G,7,FALSE)</f>
        <v>10</v>
      </c>
      <c r="T132">
        <f t="shared" si="4"/>
        <v>79</v>
      </c>
      <c r="U132" t="str">
        <f t="shared" si="5"/>
        <v>Ciudad</v>
      </c>
    </row>
    <row r="133" spans="1:21" ht="16" x14ac:dyDescent="0.4">
      <c r="A133" s="4">
        <v>18607</v>
      </c>
      <c r="B133" s="1" t="s">
        <v>18</v>
      </c>
      <c r="C133" s="1" t="s">
        <v>14</v>
      </c>
      <c r="D133" s="1">
        <v>797</v>
      </c>
      <c r="E133" s="1">
        <v>377</v>
      </c>
      <c r="F133" s="1">
        <v>451</v>
      </c>
      <c r="G133" s="1">
        <v>2</v>
      </c>
      <c r="H133" s="1">
        <v>16163</v>
      </c>
      <c r="I133" s="1">
        <v>0</v>
      </c>
      <c r="J133" s="1">
        <v>74</v>
      </c>
      <c r="K133" s="1">
        <v>418</v>
      </c>
      <c r="L133" s="1">
        <v>423</v>
      </c>
      <c r="M133" s="1">
        <v>7.769230769</v>
      </c>
      <c r="N133">
        <f>VLOOKUP(A133,vlookup_table!$A:$G,2,FALSE)</f>
        <v>1</v>
      </c>
      <c r="O133" t="str">
        <f>VLOOKUP(A133,vlookup_table!$A:$G,3,FALSE)</f>
        <v>NC</v>
      </c>
      <c r="P133">
        <f>VLOOKUP(A133,vlookup_table!$A:$G,4,FALSE)</f>
        <v>6001</v>
      </c>
      <c r="Q133" t="str">
        <f>VLOOKUP(A133,vlookup_table!$A:$G,5,FALSE)</f>
        <v>T2</v>
      </c>
      <c r="R133" t="str">
        <f>VLOOKUP(A133,vlookup_table!$A:$G,6,FALSE)</f>
        <v>M</v>
      </c>
      <c r="S133">
        <f>VLOOKUP(A133,vlookup_table!$A:$G,7,FALSE)</f>
        <v>23</v>
      </c>
      <c r="T133">
        <f t="shared" si="4"/>
        <v>36</v>
      </c>
      <c r="U133" t="str">
        <f t="shared" si="5"/>
        <v>Pueblo</v>
      </c>
    </row>
    <row r="134" spans="1:21" ht="16" x14ac:dyDescent="0.4">
      <c r="A134" s="4">
        <v>61275</v>
      </c>
      <c r="B134" s="1" t="s">
        <v>30</v>
      </c>
      <c r="C134" s="1" t="s">
        <v>14</v>
      </c>
      <c r="D134" s="1">
        <v>791</v>
      </c>
      <c r="E134" s="1">
        <v>361</v>
      </c>
      <c r="F134" s="1">
        <v>428</v>
      </c>
      <c r="G134" s="1">
        <v>1</v>
      </c>
      <c r="H134" s="1">
        <v>13805</v>
      </c>
      <c r="I134" s="1">
        <v>1</v>
      </c>
      <c r="J134" s="1">
        <v>74</v>
      </c>
      <c r="K134" s="1">
        <v>407</v>
      </c>
      <c r="L134" s="1">
        <v>390</v>
      </c>
      <c r="M134" s="1">
        <v>7.6363636359999996</v>
      </c>
      <c r="N134">
        <f>VLOOKUP(A134,vlookup_table!$A:$G,2,FALSE)</f>
        <v>1</v>
      </c>
      <c r="O134" t="str">
        <f>VLOOKUP(A134,vlookup_table!$A:$G,3,FALSE)</f>
        <v>IN</v>
      </c>
      <c r="P134">
        <f>VLOOKUP(A134,vlookup_table!$A:$G,4,FALSE)</f>
        <v>4801</v>
      </c>
      <c r="Q134" t="str">
        <f>VLOOKUP(A134,vlookup_table!$A:$G,5,FALSE)</f>
        <v>T2</v>
      </c>
      <c r="R134" t="str">
        <f>VLOOKUP(A134,vlookup_table!$A:$G,6,FALSE)</f>
        <v>M</v>
      </c>
      <c r="S134">
        <f>VLOOKUP(A134,vlookup_table!$A:$G,7,FALSE)</f>
        <v>12</v>
      </c>
      <c r="T134">
        <f t="shared" si="4"/>
        <v>48</v>
      </c>
      <c r="U134" t="str">
        <f t="shared" si="5"/>
        <v>Pueblo</v>
      </c>
    </row>
    <row r="135" spans="1:21" ht="16" x14ac:dyDescent="0.4">
      <c r="A135" s="4">
        <v>36141</v>
      </c>
      <c r="B135" s="1" t="s">
        <v>13</v>
      </c>
      <c r="C135" s="1" t="s">
        <v>17</v>
      </c>
      <c r="D135" s="1">
        <v>957</v>
      </c>
      <c r="E135" s="1">
        <v>408</v>
      </c>
      <c r="F135" s="1">
        <v>459</v>
      </c>
      <c r="G135" s="1">
        <v>16</v>
      </c>
      <c r="H135" s="1">
        <v>17718</v>
      </c>
      <c r="I135" s="1">
        <v>5</v>
      </c>
      <c r="J135" s="1">
        <v>17</v>
      </c>
      <c r="K135" s="1">
        <v>399</v>
      </c>
      <c r="L135" s="1">
        <v>450</v>
      </c>
      <c r="M135" s="1">
        <v>15</v>
      </c>
      <c r="N135">
        <f>VLOOKUP(A135,vlookup_table!$A:$G,2,FALSE)</f>
        <v>28</v>
      </c>
      <c r="O135" t="str">
        <f>VLOOKUP(A135,vlookup_table!$A:$G,3,FALSE)</f>
        <v>FL</v>
      </c>
      <c r="P135">
        <f>VLOOKUP(A135,vlookup_table!$A:$G,4,FALSE)</f>
        <v>2805</v>
      </c>
      <c r="Q135" t="str">
        <f>VLOOKUP(A135,vlookup_table!$A:$G,5,FALSE)</f>
        <v>C1</v>
      </c>
      <c r="R135" t="str">
        <f>VLOOKUP(A135,vlookup_table!$A:$G,6,FALSE)</f>
        <v>F</v>
      </c>
      <c r="S135">
        <f>VLOOKUP(A135,vlookup_table!$A:$G,7,FALSE)</f>
        <v>10</v>
      </c>
      <c r="T135">
        <f t="shared" si="4"/>
        <v>68</v>
      </c>
      <c r="U135" t="str">
        <f t="shared" si="5"/>
        <v>Ciudad</v>
      </c>
    </row>
    <row r="136" spans="1:21" ht="16" x14ac:dyDescent="0.4">
      <c r="A136" s="4">
        <v>85716</v>
      </c>
      <c r="B136" s="1" t="s">
        <v>52</v>
      </c>
      <c r="C136" s="1" t="s">
        <v>17</v>
      </c>
      <c r="D136" s="1">
        <v>357</v>
      </c>
      <c r="E136" s="1">
        <v>164</v>
      </c>
      <c r="F136" s="1">
        <v>254</v>
      </c>
      <c r="G136" s="1">
        <v>0</v>
      </c>
      <c r="H136" s="1">
        <v>8443</v>
      </c>
      <c r="I136" s="1">
        <v>1</v>
      </c>
      <c r="J136" s="1">
        <v>78</v>
      </c>
      <c r="K136" s="1">
        <v>214</v>
      </c>
      <c r="L136" s="1">
        <v>215</v>
      </c>
      <c r="M136" s="1">
        <v>25</v>
      </c>
      <c r="N136">
        <f>VLOOKUP(A136,vlookup_table!$A:$G,2,FALSE)</f>
        <v>0</v>
      </c>
      <c r="O136" t="str">
        <f>VLOOKUP(A136,vlookup_table!$A:$G,3,FALSE)</f>
        <v>MN</v>
      </c>
      <c r="P136">
        <f>VLOOKUP(A136,vlookup_table!$A:$G,4,FALSE)</f>
        <v>2401</v>
      </c>
      <c r="Q136" t="str">
        <f>VLOOKUP(A136,vlookup_table!$A:$G,5,FALSE)</f>
        <v>R3</v>
      </c>
      <c r="R136" t="str">
        <f>VLOOKUP(A136,vlookup_table!$A:$G,6,FALSE)</f>
        <v>F</v>
      </c>
      <c r="S136">
        <f>VLOOKUP(A136,vlookup_table!$A:$G,7,FALSE)</f>
        <v>25</v>
      </c>
      <c r="T136">
        <f t="shared" si="4"/>
        <v>72</v>
      </c>
      <c r="U136" t="str">
        <f t="shared" si="5"/>
        <v>Rural</v>
      </c>
    </row>
    <row r="137" spans="1:21" ht="16" x14ac:dyDescent="0.4">
      <c r="A137" s="4">
        <v>154195</v>
      </c>
      <c r="B137" s="1" t="s">
        <v>99</v>
      </c>
      <c r="C137" s="1" t="s">
        <v>17</v>
      </c>
      <c r="D137" s="1">
        <v>896</v>
      </c>
      <c r="E137" s="1">
        <v>336</v>
      </c>
      <c r="F137" s="1">
        <v>418</v>
      </c>
      <c r="G137" s="1">
        <v>2</v>
      </c>
      <c r="H137" s="1">
        <v>14513</v>
      </c>
      <c r="I137" s="1">
        <v>7</v>
      </c>
      <c r="J137" s="1">
        <v>46</v>
      </c>
      <c r="K137" s="1">
        <v>362</v>
      </c>
      <c r="L137" s="1">
        <v>389</v>
      </c>
      <c r="M137" s="1">
        <v>20</v>
      </c>
      <c r="N137">
        <f>VLOOKUP(A137,vlookup_table!$A:$G,2,FALSE)</f>
        <v>0</v>
      </c>
      <c r="O137" t="str">
        <f>VLOOKUP(A137,vlookup_table!$A:$G,3,FALSE)</f>
        <v>CA</v>
      </c>
      <c r="P137">
        <f>VLOOKUP(A137,vlookup_table!$A:$G,4,FALSE)</f>
        <v>0</v>
      </c>
      <c r="Q137" t="str">
        <f>VLOOKUP(A137,vlookup_table!$A:$G,5,FALSE)</f>
        <v>T2</v>
      </c>
      <c r="R137" t="str">
        <f>VLOOKUP(A137,vlookup_table!$A:$G,6,FALSE)</f>
        <v>F</v>
      </c>
      <c r="S137">
        <f>VLOOKUP(A137,vlookup_table!$A:$G,7,FALSE)</f>
        <v>20</v>
      </c>
      <c r="T137">
        <f t="shared" si="4"/>
        <v>96</v>
      </c>
      <c r="U137" t="str">
        <f t="shared" si="5"/>
        <v>Pueblo</v>
      </c>
    </row>
    <row r="138" spans="1:21" ht="16" x14ac:dyDescent="0.4">
      <c r="A138" s="4">
        <v>46755</v>
      </c>
      <c r="B138" s="1" t="s">
        <v>40</v>
      </c>
      <c r="C138" s="1" t="s">
        <v>17</v>
      </c>
      <c r="D138" s="1">
        <v>402</v>
      </c>
      <c r="E138" s="1">
        <v>232</v>
      </c>
      <c r="F138" s="1">
        <v>300</v>
      </c>
      <c r="G138" s="1">
        <v>0</v>
      </c>
      <c r="H138" s="1">
        <v>10540</v>
      </c>
      <c r="I138" s="1">
        <v>1</v>
      </c>
      <c r="J138" s="1">
        <v>86</v>
      </c>
      <c r="K138" s="1">
        <v>249</v>
      </c>
      <c r="L138" s="1">
        <v>276</v>
      </c>
      <c r="M138" s="1">
        <v>4.8333333329999997</v>
      </c>
      <c r="N138">
        <f>VLOOKUP(A138,vlookup_table!$A:$G,2,FALSE)</f>
        <v>0</v>
      </c>
      <c r="O138" t="str">
        <f>VLOOKUP(A138,vlookup_table!$A:$G,3,FALSE)</f>
        <v>AL</v>
      </c>
      <c r="P138">
        <f>VLOOKUP(A138,vlookup_table!$A:$G,4,FALSE)</f>
        <v>0</v>
      </c>
      <c r="Q138" t="str">
        <f>VLOOKUP(A138,vlookup_table!$A:$G,5,FALSE)</f>
        <v>R2</v>
      </c>
      <c r="R138" t="str">
        <f>VLOOKUP(A138,vlookup_table!$A:$G,6,FALSE)</f>
        <v>F</v>
      </c>
      <c r="S138">
        <f>VLOOKUP(A138,vlookup_table!$A:$G,7,FALSE)</f>
        <v>5</v>
      </c>
      <c r="T138">
        <f t="shared" si="4"/>
        <v>96</v>
      </c>
      <c r="U138" t="str">
        <f t="shared" si="5"/>
        <v>Rural</v>
      </c>
    </row>
    <row r="139" spans="1:21" ht="16" x14ac:dyDescent="0.4">
      <c r="A139" s="4">
        <v>13239</v>
      </c>
      <c r="B139" s="1" t="s">
        <v>13</v>
      </c>
      <c r="C139" s="1" t="s">
        <v>14</v>
      </c>
      <c r="D139" s="1">
        <v>3083</v>
      </c>
      <c r="E139" s="1">
        <v>166</v>
      </c>
      <c r="F139" s="1">
        <v>332</v>
      </c>
      <c r="G139" s="1">
        <v>52</v>
      </c>
      <c r="H139" s="1">
        <v>16019</v>
      </c>
      <c r="I139" s="1">
        <v>26</v>
      </c>
      <c r="J139" s="1">
        <v>3</v>
      </c>
      <c r="K139" s="1">
        <v>270</v>
      </c>
      <c r="L139" s="1">
        <v>233</v>
      </c>
      <c r="M139" s="1">
        <v>2.9166666669999999</v>
      </c>
      <c r="N139">
        <f>VLOOKUP(A139,vlookup_table!$A:$G,2,FALSE)</f>
        <v>1</v>
      </c>
      <c r="O139" t="str">
        <f>VLOOKUP(A139,vlookup_table!$A:$G,3,FALSE)</f>
        <v>FL</v>
      </c>
      <c r="P139">
        <f>VLOOKUP(A139,vlookup_table!$A:$G,4,FALSE)</f>
        <v>2901</v>
      </c>
      <c r="Q139" t="str">
        <f>VLOOKUP(A139,vlookup_table!$A:$G,5,FALSE)</f>
        <v>C1</v>
      </c>
      <c r="R139" t="str">
        <f>VLOOKUP(A139,vlookup_table!$A:$G,6,FALSE)</f>
        <v>M</v>
      </c>
      <c r="S139">
        <f>VLOOKUP(A139,vlookup_table!$A:$G,7,FALSE)</f>
        <v>3</v>
      </c>
      <c r="T139">
        <f t="shared" si="4"/>
        <v>67</v>
      </c>
      <c r="U139" t="str">
        <f t="shared" si="5"/>
        <v>Ciudad</v>
      </c>
    </row>
    <row r="140" spans="1:21" ht="16" x14ac:dyDescent="0.4">
      <c r="A140" s="4">
        <v>86068</v>
      </c>
      <c r="B140" s="1" t="s">
        <v>48</v>
      </c>
      <c r="C140" s="1" t="s">
        <v>17</v>
      </c>
      <c r="D140" s="1">
        <v>460</v>
      </c>
      <c r="E140" s="1">
        <v>247</v>
      </c>
      <c r="F140" s="1">
        <v>372</v>
      </c>
      <c r="G140" s="1">
        <v>0</v>
      </c>
      <c r="H140" s="1">
        <v>11245</v>
      </c>
      <c r="I140" s="1">
        <v>1</v>
      </c>
      <c r="J140" s="1">
        <v>69</v>
      </c>
      <c r="K140" s="1">
        <v>357</v>
      </c>
      <c r="L140" s="1">
        <v>300</v>
      </c>
      <c r="M140" s="1">
        <v>9.3636363639999995</v>
      </c>
      <c r="N140">
        <f>VLOOKUP(A140,vlookup_table!$A:$G,2,FALSE)</f>
        <v>0</v>
      </c>
      <c r="O140" t="str">
        <f>VLOOKUP(A140,vlookup_table!$A:$G,3,FALSE)</f>
        <v>SD</v>
      </c>
      <c r="P140">
        <f>VLOOKUP(A140,vlookup_table!$A:$G,4,FALSE)</f>
        <v>0</v>
      </c>
      <c r="Q140" t="str">
        <f>VLOOKUP(A140,vlookup_table!$A:$G,5,FALSE)</f>
        <v>R2</v>
      </c>
      <c r="R140" t="str">
        <f>VLOOKUP(A140,vlookup_table!$A:$G,6,FALSE)</f>
        <v>F</v>
      </c>
      <c r="S140">
        <f>VLOOKUP(A140,vlookup_table!$A:$G,7,FALSE)</f>
        <v>5</v>
      </c>
      <c r="T140">
        <f t="shared" si="4"/>
        <v>96</v>
      </c>
      <c r="U140" t="str">
        <f t="shared" si="5"/>
        <v>Rural</v>
      </c>
    </row>
    <row r="141" spans="1:21" ht="16" x14ac:dyDescent="0.4">
      <c r="A141" s="4">
        <v>67900</v>
      </c>
      <c r="B141" s="1" t="s">
        <v>26</v>
      </c>
      <c r="C141" s="1" t="s">
        <v>14</v>
      </c>
      <c r="D141" s="1">
        <v>294</v>
      </c>
      <c r="E141" s="1">
        <v>279</v>
      </c>
      <c r="F141" s="1">
        <v>404</v>
      </c>
      <c r="G141" s="1">
        <v>0</v>
      </c>
      <c r="H141" s="1">
        <v>10385</v>
      </c>
      <c r="I141" s="1">
        <v>2</v>
      </c>
      <c r="J141" s="1">
        <v>80</v>
      </c>
      <c r="K141" s="1">
        <v>355</v>
      </c>
      <c r="L141" s="1">
        <v>391</v>
      </c>
      <c r="M141" s="1">
        <v>17.5</v>
      </c>
      <c r="N141">
        <f>VLOOKUP(A141,vlookup_table!$A:$G,2,FALSE)</f>
        <v>1</v>
      </c>
      <c r="O141" t="str">
        <f>VLOOKUP(A141,vlookup_table!$A:$G,3,FALSE)</f>
        <v>MI</v>
      </c>
      <c r="P141">
        <f>VLOOKUP(A141,vlookup_table!$A:$G,4,FALSE)</f>
        <v>4801</v>
      </c>
      <c r="Q141" t="str">
        <f>VLOOKUP(A141,vlookup_table!$A:$G,5,FALSE)</f>
        <v>U4</v>
      </c>
      <c r="R141" t="str">
        <f>VLOOKUP(A141,vlookup_table!$A:$G,6,FALSE)</f>
        <v>M</v>
      </c>
      <c r="S141">
        <f>VLOOKUP(A141,vlookup_table!$A:$G,7,FALSE)</f>
        <v>20</v>
      </c>
      <c r="T141">
        <f t="shared" si="4"/>
        <v>48</v>
      </c>
      <c r="U141" t="str">
        <f t="shared" si="5"/>
        <v>Urbano</v>
      </c>
    </row>
    <row r="142" spans="1:21" ht="16" x14ac:dyDescent="0.4">
      <c r="A142" s="4">
        <v>59610</v>
      </c>
      <c r="B142" s="1" t="s">
        <v>30</v>
      </c>
      <c r="C142" s="1" t="s">
        <v>17</v>
      </c>
      <c r="D142" s="1">
        <v>1199</v>
      </c>
      <c r="E142" s="1">
        <v>547</v>
      </c>
      <c r="F142" s="1">
        <v>605</v>
      </c>
      <c r="G142" s="1">
        <v>2</v>
      </c>
      <c r="H142" s="1">
        <v>20694</v>
      </c>
      <c r="I142" s="1">
        <v>0</v>
      </c>
      <c r="J142" s="1">
        <v>69</v>
      </c>
      <c r="K142" s="1">
        <v>556</v>
      </c>
      <c r="L142" s="1">
        <v>597</v>
      </c>
      <c r="M142" s="1">
        <v>10</v>
      </c>
      <c r="N142">
        <f>VLOOKUP(A142,vlookup_table!$A:$G,2,FALSE)</f>
        <v>28</v>
      </c>
      <c r="O142" t="str">
        <f>VLOOKUP(A142,vlookup_table!$A:$G,3,FALSE)</f>
        <v>IN</v>
      </c>
      <c r="P142">
        <f>VLOOKUP(A142,vlookup_table!$A:$G,4,FALSE)</f>
        <v>2301</v>
      </c>
      <c r="Q142" t="str">
        <f>VLOOKUP(A142,vlookup_table!$A:$G,5,FALSE)</f>
        <v>T1</v>
      </c>
      <c r="R142" t="str">
        <f>VLOOKUP(A142,vlookup_table!$A:$G,6,FALSE)</f>
        <v>F</v>
      </c>
      <c r="S142">
        <f>VLOOKUP(A142,vlookup_table!$A:$G,7,FALSE)</f>
        <v>15</v>
      </c>
      <c r="T142">
        <f t="shared" si="4"/>
        <v>73</v>
      </c>
      <c r="U142" t="str">
        <f t="shared" si="5"/>
        <v>Pueblo</v>
      </c>
    </row>
    <row r="143" spans="1:21" ht="16" x14ac:dyDescent="0.4">
      <c r="A143" s="4">
        <v>13378</v>
      </c>
      <c r="B143" s="1" t="s">
        <v>21</v>
      </c>
      <c r="C143" s="1" t="s">
        <v>17</v>
      </c>
      <c r="D143" s="1">
        <v>1125</v>
      </c>
      <c r="E143" s="1">
        <v>280</v>
      </c>
      <c r="F143" s="1">
        <v>362</v>
      </c>
      <c r="G143" s="1">
        <v>15</v>
      </c>
      <c r="H143" s="1">
        <v>10857</v>
      </c>
      <c r="I143" s="1">
        <v>10</v>
      </c>
      <c r="J143" s="1">
        <v>51</v>
      </c>
      <c r="K143" s="1">
        <v>336</v>
      </c>
      <c r="L143" s="1">
        <v>305</v>
      </c>
      <c r="M143" s="1">
        <v>5.7142857139999998</v>
      </c>
      <c r="N143">
        <f>VLOOKUP(A143,vlookup_table!$A:$G,2,FALSE)</f>
        <v>0</v>
      </c>
      <c r="O143" t="str">
        <f>VLOOKUP(A143,vlookup_table!$A:$G,3,FALSE)</f>
        <v>CA</v>
      </c>
      <c r="P143">
        <f>VLOOKUP(A143,vlookup_table!$A:$G,4,FALSE)</f>
        <v>2401</v>
      </c>
      <c r="Q143" t="str">
        <f>VLOOKUP(A143,vlookup_table!$A:$G,5,FALSE)</f>
        <v>T2</v>
      </c>
      <c r="R143" t="str">
        <f>VLOOKUP(A143,vlookup_table!$A:$G,6,FALSE)</f>
        <v>F</v>
      </c>
      <c r="S143">
        <f>VLOOKUP(A143,vlookup_table!$A:$G,7,FALSE)</f>
        <v>7</v>
      </c>
      <c r="T143">
        <f t="shared" si="4"/>
        <v>72</v>
      </c>
      <c r="U143" t="str">
        <f t="shared" si="5"/>
        <v>Pueblo</v>
      </c>
    </row>
    <row r="144" spans="1:21" ht="16" x14ac:dyDescent="0.4">
      <c r="A144" s="4">
        <v>20752</v>
      </c>
      <c r="B144" s="1" t="s">
        <v>18</v>
      </c>
      <c r="C144" s="1" t="s">
        <v>14</v>
      </c>
      <c r="D144" s="1">
        <v>974</v>
      </c>
      <c r="E144" s="1">
        <v>252</v>
      </c>
      <c r="F144" s="1">
        <v>330</v>
      </c>
      <c r="G144" s="1">
        <v>3</v>
      </c>
      <c r="H144" s="1">
        <v>13321</v>
      </c>
      <c r="I144" s="1">
        <v>2</v>
      </c>
      <c r="J144" s="1">
        <v>32</v>
      </c>
      <c r="K144" s="1">
        <v>279</v>
      </c>
      <c r="L144" s="1">
        <v>300</v>
      </c>
      <c r="M144" s="1">
        <v>8.5333333329999999</v>
      </c>
      <c r="N144">
        <f>VLOOKUP(A144,vlookup_table!$A:$G,2,FALSE)</f>
        <v>2</v>
      </c>
      <c r="O144" t="str">
        <f>VLOOKUP(A144,vlookup_table!$A:$G,3,FALSE)</f>
        <v>NC</v>
      </c>
      <c r="P144">
        <f>VLOOKUP(A144,vlookup_table!$A:$G,4,FALSE)</f>
        <v>2001</v>
      </c>
      <c r="Q144" t="str">
        <f>VLOOKUP(A144,vlookup_table!$A:$G,5,FALSE)</f>
        <v>C2</v>
      </c>
      <c r="R144" t="str">
        <f>VLOOKUP(A144,vlookup_table!$A:$G,6,FALSE)</f>
        <v>M</v>
      </c>
      <c r="S144">
        <f>VLOOKUP(A144,vlookup_table!$A:$G,7,FALSE)</f>
        <v>13</v>
      </c>
      <c r="T144">
        <f t="shared" si="4"/>
        <v>76</v>
      </c>
      <c r="U144" t="str">
        <f t="shared" si="5"/>
        <v>Ciudad</v>
      </c>
    </row>
    <row r="145" spans="1:21" ht="16" x14ac:dyDescent="0.4">
      <c r="A145" s="4">
        <v>30934</v>
      </c>
      <c r="B145" s="1" t="s">
        <v>36</v>
      </c>
      <c r="C145" s="1" t="s">
        <v>14</v>
      </c>
      <c r="D145" s="1">
        <v>316</v>
      </c>
      <c r="E145" s="1">
        <v>213</v>
      </c>
      <c r="F145" s="1">
        <v>280</v>
      </c>
      <c r="G145" s="1">
        <v>0</v>
      </c>
      <c r="H145" s="1">
        <v>8956</v>
      </c>
      <c r="I145" s="1">
        <v>0</v>
      </c>
      <c r="J145" s="1">
        <v>79</v>
      </c>
      <c r="K145" s="1">
        <v>238</v>
      </c>
      <c r="L145" s="1">
        <v>254</v>
      </c>
      <c r="M145" s="1">
        <v>12.5</v>
      </c>
      <c r="N145">
        <f>VLOOKUP(A145,vlookup_table!$A:$G,2,FALSE)</f>
        <v>0</v>
      </c>
      <c r="O145" t="str">
        <f>VLOOKUP(A145,vlookup_table!$A:$G,3,FALSE)</f>
        <v>GA</v>
      </c>
      <c r="P145">
        <f>VLOOKUP(A145,vlookup_table!$A:$G,4,FALSE)</f>
        <v>905</v>
      </c>
      <c r="Q145" t="str">
        <f>VLOOKUP(A145,vlookup_table!$A:$G,5,FALSE)</f>
        <v>R2</v>
      </c>
      <c r="R145" t="str">
        <f>VLOOKUP(A145,vlookup_table!$A:$G,6,FALSE)</f>
        <v>M</v>
      </c>
      <c r="S145">
        <f>VLOOKUP(A145,vlookup_table!$A:$G,7,FALSE)</f>
        <v>15</v>
      </c>
      <c r="T145">
        <f t="shared" si="4"/>
        <v>6</v>
      </c>
      <c r="U145" t="str">
        <f t="shared" si="5"/>
        <v>Rural</v>
      </c>
    </row>
    <row r="146" spans="1:21" ht="16" x14ac:dyDescent="0.4">
      <c r="A146" s="4">
        <v>102163</v>
      </c>
      <c r="B146" s="1" t="s">
        <v>33</v>
      </c>
      <c r="C146" s="1" t="s">
        <v>17</v>
      </c>
      <c r="D146" s="1">
        <v>825</v>
      </c>
      <c r="E146" s="1">
        <v>401</v>
      </c>
      <c r="F146" s="1">
        <v>555</v>
      </c>
      <c r="G146" s="1">
        <v>1</v>
      </c>
      <c r="H146" s="1">
        <v>28003</v>
      </c>
      <c r="I146" s="1">
        <v>4</v>
      </c>
      <c r="J146" s="1">
        <v>49</v>
      </c>
      <c r="K146" s="1">
        <v>463</v>
      </c>
      <c r="L146" s="1">
        <v>464</v>
      </c>
      <c r="M146" s="1">
        <v>25</v>
      </c>
      <c r="N146">
        <f>VLOOKUP(A146,vlookup_table!$A:$G,2,FALSE)</f>
        <v>0</v>
      </c>
      <c r="O146" t="str">
        <f>VLOOKUP(A146,vlookup_table!$A:$G,3,FALSE)</f>
        <v>MO</v>
      </c>
      <c r="P146">
        <f>VLOOKUP(A146,vlookup_table!$A:$G,4,FALSE)</f>
        <v>4301</v>
      </c>
      <c r="Q146" t="str">
        <f>VLOOKUP(A146,vlookup_table!$A:$G,5,FALSE)</f>
        <v>C1</v>
      </c>
      <c r="R146" t="str">
        <f>VLOOKUP(A146,vlookup_table!$A:$G,6,FALSE)</f>
        <v>F</v>
      </c>
      <c r="S146">
        <f>VLOOKUP(A146,vlookup_table!$A:$G,7,FALSE)</f>
        <v>30</v>
      </c>
      <c r="T146">
        <f t="shared" si="4"/>
        <v>53</v>
      </c>
      <c r="U146" t="str">
        <f t="shared" si="5"/>
        <v>Ciudad</v>
      </c>
    </row>
    <row r="147" spans="1:21" ht="16" x14ac:dyDescent="0.4">
      <c r="A147" s="4">
        <v>128976</v>
      </c>
      <c r="B147" s="1" t="s">
        <v>20</v>
      </c>
      <c r="C147" s="1" t="s">
        <v>17</v>
      </c>
      <c r="D147" s="1">
        <v>642</v>
      </c>
      <c r="E147" s="1">
        <v>271</v>
      </c>
      <c r="F147" s="1">
        <v>312</v>
      </c>
      <c r="G147" s="1">
        <v>0</v>
      </c>
      <c r="H147" s="1">
        <v>9453</v>
      </c>
      <c r="I147" s="1">
        <v>12</v>
      </c>
      <c r="J147" s="1">
        <v>35</v>
      </c>
      <c r="K147" s="1">
        <v>284</v>
      </c>
      <c r="L147" s="1">
        <v>306</v>
      </c>
      <c r="M147" s="1">
        <v>6.1428571429999996</v>
      </c>
      <c r="N147">
        <f>VLOOKUP(A147,vlookup_table!$A:$G,2,FALSE)</f>
        <v>0</v>
      </c>
      <c r="O147" t="str">
        <f>VLOOKUP(A147,vlookup_table!$A:$G,3,FALSE)</f>
        <v>TX</v>
      </c>
      <c r="P147">
        <f>VLOOKUP(A147,vlookup_table!$A:$G,4,FALSE)</f>
        <v>7001</v>
      </c>
      <c r="Q147" t="str">
        <f>VLOOKUP(A147,vlookup_table!$A:$G,5,FALSE)</f>
        <v>S2</v>
      </c>
      <c r="R147" t="str">
        <f>VLOOKUP(A147,vlookup_table!$A:$G,6,FALSE)</f>
        <v>F</v>
      </c>
      <c r="S147">
        <f>VLOOKUP(A147,vlookup_table!$A:$G,7,FALSE)</f>
        <v>10</v>
      </c>
      <c r="T147">
        <f t="shared" si="4"/>
        <v>26</v>
      </c>
      <c r="U147" t="str">
        <f t="shared" si="5"/>
        <v>Suburbano</v>
      </c>
    </row>
    <row r="148" spans="1:21" ht="16" x14ac:dyDescent="0.4">
      <c r="A148" s="4">
        <v>44088</v>
      </c>
      <c r="B148" s="1" t="s">
        <v>30</v>
      </c>
      <c r="C148" s="1" t="s">
        <v>14</v>
      </c>
      <c r="D148" s="1">
        <v>1263</v>
      </c>
      <c r="E148" s="1">
        <v>468</v>
      </c>
      <c r="F148" s="1">
        <v>601</v>
      </c>
      <c r="G148" s="1">
        <v>21</v>
      </c>
      <c r="H148" s="1">
        <v>26265</v>
      </c>
      <c r="I148" s="1">
        <v>4</v>
      </c>
      <c r="J148" s="1">
        <v>58</v>
      </c>
      <c r="K148" s="1">
        <v>517</v>
      </c>
      <c r="L148" s="1">
        <v>548</v>
      </c>
      <c r="M148" s="1">
        <v>7.6875</v>
      </c>
      <c r="N148">
        <f>VLOOKUP(A148,vlookup_table!$A:$G,2,FALSE)</f>
        <v>1</v>
      </c>
      <c r="O148" t="str">
        <f>VLOOKUP(A148,vlookup_table!$A:$G,3,FALSE)</f>
        <v>IN</v>
      </c>
      <c r="P148">
        <f>VLOOKUP(A148,vlookup_table!$A:$G,4,FALSE)</f>
        <v>3602</v>
      </c>
      <c r="Q148" t="str">
        <f>VLOOKUP(A148,vlookup_table!$A:$G,5,FALSE)</f>
        <v>C1</v>
      </c>
      <c r="R148" t="str">
        <f>VLOOKUP(A148,vlookup_table!$A:$G,6,FALSE)</f>
        <v>M</v>
      </c>
      <c r="S148">
        <f>VLOOKUP(A148,vlookup_table!$A:$G,7,FALSE)</f>
        <v>10</v>
      </c>
      <c r="T148">
        <f t="shared" si="4"/>
        <v>60</v>
      </c>
      <c r="U148" t="str">
        <f t="shared" si="5"/>
        <v>Ciudad</v>
      </c>
    </row>
    <row r="149" spans="1:21" ht="16" x14ac:dyDescent="0.4">
      <c r="A149" s="4">
        <v>154931</v>
      </c>
      <c r="B149" s="1" t="s">
        <v>21</v>
      </c>
      <c r="C149" s="1" t="s">
        <v>17</v>
      </c>
      <c r="D149" s="1">
        <v>1809</v>
      </c>
      <c r="E149" s="1">
        <v>454</v>
      </c>
      <c r="F149" s="1">
        <v>543</v>
      </c>
      <c r="G149" s="1">
        <v>35</v>
      </c>
      <c r="H149" s="1">
        <v>15886</v>
      </c>
      <c r="I149" s="1">
        <v>12</v>
      </c>
      <c r="J149" s="1">
        <v>44</v>
      </c>
      <c r="K149" s="1">
        <v>466</v>
      </c>
      <c r="L149" s="1">
        <v>503</v>
      </c>
      <c r="M149" s="1">
        <v>8</v>
      </c>
      <c r="N149">
        <f>VLOOKUP(A149,vlookup_table!$A:$G,2,FALSE)</f>
        <v>28</v>
      </c>
      <c r="O149" t="str">
        <f>VLOOKUP(A149,vlookup_table!$A:$G,3,FALSE)</f>
        <v>CA</v>
      </c>
      <c r="P149">
        <f>VLOOKUP(A149,vlookup_table!$A:$G,4,FALSE)</f>
        <v>0</v>
      </c>
      <c r="Q149" t="str">
        <f>VLOOKUP(A149,vlookup_table!$A:$G,5,FALSE)</f>
        <v>C2</v>
      </c>
      <c r="R149" t="str">
        <f>VLOOKUP(A149,vlookup_table!$A:$G,6,FALSE)</f>
        <v>F</v>
      </c>
      <c r="S149">
        <f>VLOOKUP(A149,vlookup_table!$A:$G,7,FALSE)</f>
        <v>10</v>
      </c>
      <c r="T149">
        <f t="shared" si="4"/>
        <v>96</v>
      </c>
      <c r="U149" t="str">
        <f t="shared" si="5"/>
        <v>Ciudad</v>
      </c>
    </row>
    <row r="150" spans="1:21" ht="16" x14ac:dyDescent="0.4">
      <c r="A150" s="4">
        <v>87939</v>
      </c>
      <c r="B150" s="1" t="s">
        <v>16</v>
      </c>
      <c r="C150" s="1" t="s">
        <v>14</v>
      </c>
      <c r="D150" s="1">
        <v>5294</v>
      </c>
      <c r="E150" s="1">
        <v>1035</v>
      </c>
      <c r="F150" s="1">
        <v>1065</v>
      </c>
      <c r="G150" s="1">
        <v>96</v>
      </c>
      <c r="H150" s="1">
        <v>60053</v>
      </c>
      <c r="I150" s="1">
        <v>12</v>
      </c>
      <c r="J150" s="1">
        <v>57</v>
      </c>
      <c r="K150" s="1">
        <v>1165</v>
      </c>
      <c r="L150" s="1">
        <v>1012</v>
      </c>
      <c r="M150" s="1">
        <v>13</v>
      </c>
      <c r="N150">
        <f>VLOOKUP(A150,vlookup_table!$A:$G,2,FALSE)</f>
        <v>2</v>
      </c>
      <c r="O150" t="str">
        <f>VLOOKUP(A150,vlookup_table!$A:$G,3,FALSE)</f>
        <v>IL</v>
      </c>
      <c r="P150">
        <f>VLOOKUP(A150,vlookup_table!$A:$G,4,FALSE)</f>
        <v>901</v>
      </c>
      <c r="Q150" t="str">
        <f>VLOOKUP(A150,vlookup_table!$A:$G,5,FALSE)</f>
        <v>S1</v>
      </c>
      <c r="R150" t="str">
        <f>VLOOKUP(A150,vlookup_table!$A:$G,6,FALSE)</f>
        <v>M</v>
      </c>
      <c r="S150">
        <f>VLOOKUP(A150,vlookup_table!$A:$G,7,FALSE)</f>
        <v>30</v>
      </c>
      <c r="T150">
        <f t="shared" si="4"/>
        <v>6</v>
      </c>
      <c r="U150" t="str">
        <f t="shared" si="5"/>
        <v>Suburbano</v>
      </c>
    </row>
    <row r="151" spans="1:21" ht="16" x14ac:dyDescent="0.4">
      <c r="A151" s="4">
        <v>140779</v>
      </c>
      <c r="B151" s="1" t="s">
        <v>23</v>
      </c>
      <c r="C151" s="1" t="s">
        <v>17</v>
      </c>
      <c r="D151" s="1">
        <v>1161</v>
      </c>
      <c r="E151" s="1">
        <v>448</v>
      </c>
      <c r="F151" s="1">
        <v>570</v>
      </c>
      <c r="G151" s="1">
        <v>5</v>
      </c>
      <c r="H151" s="1">
        <v>20691</v>
      </c>
      <c r="I151" s="1">
        <v>8</v>
      </c>
      <c r="J151" s="1">
        <v>14</v>
      </c>
      <c r="K151" s="1">
        <v>484</v>
      </c>
      <c r="L151" s="1">
        <v>536</v>
      </c>
      <c r="M151" s="1">
        <v>5.75</v>
      </c>
      <c r="N151">
        <f>VLOOKUP(A151,vlookup_table!$A:$G,2,FALSE)</f>
        <v>0</v>
      </c>
      <c r="O151" t="str">
        <f>VLOOKUP(A151,vlookup_table!$A:$G,3,FALSE)</f>
        <v>NV</v>
      </c>
      <c r="P151">
        <f>VLOOKUP(A151,vlookup_table!$A:$G,4,FALSE)</f>
        <v>4601</v>
      </c>
      <c r="Q151" t="str">
        <f>VLOOKUP(A151,vlookup_table!$A:$G,5,FALSE)</f>
        <v>S1</v>
      </c>
      <c r="R151" t="str">
        <f>VLOOKUP(A151,vlookup_table!$A:$G,6,FALSE)</f>
        <v>F</v>
      </c>
      <c r="S151">
        <f>VLOOKUP(A151,vlookup_table!$A:$G,7,FALSE)</f>
        <v>6</v>
      </c>
      <c r="T151">
        <f t="shared" si="4"/>
        <v>50</v>
      </c>
      <c r="U151" t="str">
        <f t="shared" si="5"/>
        <v>Suburbano</v>
      </c>
    </row>
    <row r="152" spans="1:21" ht="16" x14ac:dyDescent="0.4">
      <c r="A152" s="4">
        <v>113838</v>
      </c>
      <c r="B152" s="1" t="s">
        <v>28</v>
      </c>
      <c r="C152" s="1" t="s">
        <v>17</v>
      </c>
      <c r="D152" s="1">
        <v>295</v>
      </c>
      <c r="E152" s="1">
        <v>150</v>
      </c>
      <c r="F152" s="1">
        <v>248</v>
      </c>
      <c r="G152" s="1">
        <v>0</v>
      </c>
      <c r="H152" s="1">
        <v>8962</v>
      </c>
      <c r="I152" s="1">
        <v>1</v>
      </c>
      <c r="J152" s="1">
        <v>62</v>
      </c>
      <c r="K152" s="1">
        <v>203</v>
      </c>
      <c r="L152" s="1">
        <v>195</v>
      </c>
      <c r="M152" s="1">
        <v>6.3333333329999997</v>
      </c>
      <c r="N152">
        <f>VLOOKUP(A152,vlookup_table!$A:$G,2,FALSE)</f>
        <v>2</v>
      </c>
      <c r="O152" t="str">
        <f>VLOOKUP(A152,vlookup_table!$A:$G,3,FALSE)</f>
        <v>OK</v>
      </c>
      <c r="P152">
        <f>VLOOKUP(A152,vlookup_table!$A:$G,4,FALSE)</f>
        <v>0</v>
      </c>
      <c r="Q152" t="str">
        <f>VLOOKUP(A152,vlookup_table!$A:$G,5,FALSE)</f>
        <v>R3</v>
      </c>
      <c r="R152" t="str">
        <f>VLOOKUP(A152,vlookup_table!$A:$G,6,FALSE)</f>
        <v>F</v>
      </c>
      <c r="S152">
        <f>VLOOKUP(A152,vlookup_table!$A:$G,7,FALSE)</f>
        <v>8</v>
      </c>
      <c r="T152">
        <f t="shared" si="4"/>
        <v>96</v>
      </c>
      <c r="U152" t="str">
        <f t="shared" si="5"/>
        <v>Rural</v>
      </c>
    </row>
    <row r="153" spans="1:21" ht="16" x14ac:dyDescent="0.4">
      <c r="A153" s="4">
        <v>156568</v>
      </c>
      <c r="B153" s="1" t="s">
        <v>21</v>
      </c>
      <c r="C153" s="1"/>
      <c r="D153" s="1">
        <v>3020</v>
      </c>
      <c r="E153" s="1">
        <v>756</v>
      </c>
      <c r="F153" s="1">
        <v>823</v>
      </c>
      <c r="G153" s="1">
        <v>95</v>
      </c>
      <c r="H153" s="1">
        <v>26135</v>
      </c>
      <c r="I153" s="1">
        <v>4</v>
      </c>
      <c r="J153" s="1">
        <v>46</v>
      </c>
      <c r="K153" s="1">
        <v>765</v>
      </c>
      <c r="L153" s="1">
        <v>809</v>
      </c>
      <c r="M153" s="1">
        <v>40.083333330000002</v>
      </c>
      <c r="N153">
        <f>VLOOKUP(A153,vlookup_table!$A:$G,2,FALSE)</f>
        <v>0</v>
      </c>
      <c r="O153" t="str">
        <f>VLOOKUP(A153,vlookup_table!$A:$G,3,FALSE)</f>
        <v>CA</v>
      </c>
      <c r="P153">
        <f>VLOOKUP(A153,vlookup_table!$A:$G,4,FALSE)</f>
        <v>4812</v>
      </c>
      <c r="Q153" t="str">
        <f>VLOOKUP(A153,vlookup_table!$A:$G,5,FALSE)</f>
        <v>S1</v>
      </c>
      <c r="R153" t="str">
        <f>VLOOKUP(A153,vlookup_table!$A:$G,6,FALSE)</f>
        <v/>
      </c>
      <c r="S153">
        <f>VLOOKUP(A153,vlookup_table!$A:$G,7,FALSE)</f>
        <v>75</v>
      </c>
      <c r="T153">
        <f t="shared" si="4"/>
        <v>48</v>
      </c>
      <c r="U153" t="str">
        <f t="shared" si="5"/>
        <v>Suburbano</v>
      </c>
    </row>
    <row r="154" spans="1:21" ht="16" x14ac:dyDescent="0.4">
      <c r="A154" s="4">
        <v>130485</v>
      </c>
      <c r="B154" s="1" t="s">
        <v>45</v>
      </c>
      <c r="C154" s="1" t="s">
        <v>17</v>
      </c>
      <c r="D154" s="1">
        <v>431</v>
      </c>
      <c r="E154" s="1">
        <v>258</v>
      </c>
      <c r="F154" s="1">
        <v>541</v>
      </c>
      <c r="G154" s="1">
        <v>0</v>
      </c>
      <c r="H154" s="1">
        <v>25828</v>
      </c>
      <c r="I154" s="1">
        <v>3</v>
      </c>
      <c r="J154" s="1">
        <v>32</v>
      </c>
      <c r="K154" s="1">
        <v>342</v>
      </c>
      <c r="L154" s="1">
        <v>386</v>
      </c>
      <c r="M154" s="1">
        <v>8.5714285710000002</v>
      </c>
      <c r="N154">
        <f>VLOOKUP(A154,vlookup_table!$A:$G,2,FALSE)</f>
        <v>0</v>
      </c>
      <c r="O154" t="str">
        <f>VLOOKUP(A154,vlookup_table!$A:$G,3,FALSE)</f>
        <v>CO</v>
      </c>
      <c r="P154">
        <f>VLOOKUP(A154,vlookup_table!$A:$G,4,FALSE)</f>
        <v>3001</v>
      </c>
      <c r="Q154" t="str">
        <f>VLOOKUP(A154,vlookup_table!$A:$G,5,FALSE)</f>
        <v>U2</v>
      </c>
      <c r="R154" t="str">
        <f>VLOOKUP(A154,vlookup_table!$A:$G,6,FALSE)</f>
        <v>F</v>
      </c>
      <c r="S154">
        <f>VLOOKUP(A154,vlookup_table!$A:$G,7,FALSE)</f>
        <v>16</v>
      </c>
      <c r="T154">
        <f t="shared" si="4"/>
        <v>66</v>
      </c>
      <c r="U154" t="str">
        <f t="shared" si="5"/>
        <v>Urbano</v>
      </c>
    </row>
    <row r="155" spans="1:21" ht="16" x14ac:dyDescent="0.4">
      <c r="A155" s="4">
        <v>101803</v>
      </c>
      <c r="B155" s="1" t="s">
        <v>33</v>
      </c>
      <c r="C155" s="1" t="s">
        <v>17</v>
      </c>
      <c r="D155" s="1">
        <v>544</v>
      </c>
      <c r="E155" s="1">
        <v>264</v>
      </c>
      <c r="F155" s="1">
        <v>340</v>
      </c>
      <c r="G155" s="1">
        <v>0</v>
      </c>
      <c r="H155" s="1">
        <v>16194</v>
      </c>
      <c r="I155" s="1">
        <v>1</v>
      </c>
      <c r="J155" s="1">
        <v>71</v>
      </c>
      <c r="K155" s="1">
        <v>283</v>
      </c>
      <c r="L155" s="1">
        <v>326</v>
      </c>
      <c r="M155" s="1">
        <v>11</v>
      </c>
      <c r="N155">
        <f>VLOOKUP(A155,vlookup_table!$A:$G,2,FALSE)</f>
        <v>0</v>
      </c>
      <c r="O155" t="str">
        <f>VLOOKUP(A155,vlookup_table!$A:$G,3,FALSE)</f>
        <v>MO</v>
      </c>
      <c r="P155">
        <f>VLOOKUP(A155,vlookup_table!$A:$G,4,FALSE)</f>
        <v>4701</v>
      </c>
      <c r="Q155" t="str">
        <f>VLOOKUP(A155,vlookup_table!$A:$G,5,FALSE)</f>
        <v>C3</v>
      </c>
      <c r="R155" t="str">
        <f>VLOOKUP(A155,vlookup_table!$A:$G,6,FALSE)</f>
        <v>F</v>
      </c>
      <c r="S155">
        <f>VLOOKUP(A155,vlookup_table!$A:$G,7,FALSE)</f>
        <v>25</v>
      </c>
      <c r="T155">
        <f t="shared" si="4"/>
        <v>49</v>
      </c>
      <c r="U155" t="str">
        <f t="shared" si="5"/>
        <v>Ciudad</v>
      </c>
    </row>
    <row r="156" spans="1:21" ht="16" x14ac:dyDescent="0.4">
      <c r="A156" s="4">
        <v>41899</v>
      </c>
      <c r="B156" s="1" t="s">
        <v>13</v>
      </c>
      <c r="C156" s="1" t="s">
        <v>14</v>
      </c>
      <c r="D156" s="1">
        <v>618</v>
      </c>
      <c r="E156" s="1">
        <v>223</v>
      </c>
      <c r="F156" s="1">
        <v>335</v>
      </c>
      <c r="G156" s="1">
        <v>2</v>
      </c>
      <c r="H156" s="1">
        <v>13341</v>
      </c>
      <c r="I156" s="1">
        <v>7</v>
      </c>
      <c r="J156" s="1">
        <v>22</v>
      </c>
      <c r="K156" s="1">
        <v>278</v>
      </c>
      <c r="L156" s="1">
        <v>278</v>
      </c>
      <c r="M156" s="1">
        <v>7.846153846</v>
      </c>
      <c r="N156">
        <f>VLOOKUP(A156,vlookup_table!$A:$G,2,FALSE)</f>
        <v>1002</v>
      </c>
      <c r="O156" t="str">
        <f>VLOOKUP(A156,vlookup_table!$A:$G,3,FALSE)</f>
        <v>FL</v>
      </c>
      <c r="P156">
        <f>VLOOKUP(A156,vlookup_table!$A:$G,4,FALSE)</f>
        <v>0</v>
      </c>
      <c r="Q156" t="str">
        <f>VLOOKUP(A156,vlookup_table!$A:$G,5,FALSE)</f>
        <v>U3</v>
      </c>
      <c r="R156" t="str">
        <f>VLOOKUP(A156,vlookup_table!$A:$G,6,FALSE)</f>
        <v>M</v>
      </c>
      <c r="S156">
        <f>VLOOKUP(A156,vlookup_table!$A:$G,7,FALSE)</f>
        <v>10</v>
      </c>
      <c r="T156">
        <f t="shared" si="4"/>
        <v>96</v>
      </c>
      <c r="U156" t="str">
        <f t="shared" si="5"/>
        <v>Urbano</v>
      </c>
    </row>
    <row r="157" spans="1:21" ht="16" x14ac:dyDescent="0.4">
      <c r="A157" s="4">
        <v>30795</v>
      </c>
      <c r="B157" s="1" t="s">
        <v>36</v>
      </c>
      <c r="C157" s="1" t="s">
        <v>14</v>
      </c>
      <c r="D157" s="1">
        <v>323</v>
      </c>
      <c r="E157" s="1">
        <v>183</v>
      </c>
      <c r="F157" s="1">
        <v>210</v>
      </c>
      <c r="G157" s="1">
        <v>2</v>
      </c>
      <c r="H157" s="1">
        <v>7139</v>
      </c>
      <c r="I157" s="1">
        <v>0</v>
      </c>
      <c r="J157" s="1">
        <v>77</v>
      </c>
      <c r="K157" s="1">
        <v>207</v>
      </c>
      <c r="L157" s="1">
        <v>201</v>
      </c>
      <c r="M157" s="1">
        <v>5.4444444440000002</v>
      </c>
      <c r="N157">
        <f>VLOOKUP(A157,vlookup_table!$A:$G,2,FALSE)</f>
        <v>2</v>
      </c>
      <c r="O157" t="str">
        <f>VLOOKUP(A157,vlookup_table!$A:$G,3,FALSE)</f>
        <v>GA</v>
      </c>
      <c r="P157">
        <f>VLOOKUP(A157,vlookup_table!$A:$G,4,FALSE)</f>
        <v>0</v>
      </c>
      <c r="Q157" t="str">
        <f>VLOOKUP(A157,vlookup_table!$A:$G,5,FALSE)</f>
        <v>T3</v>
      </c>
      <c r="R157" t="str">
        <f>VLOOKUP(A157,vlookup_table!$A:$G,6,FALSE)</f>
        <v>M</v>
      </c>
      <c r="S157">
        <f>VLOOKUP(A157,vlookup_table!$A:$G,7,FALSE)</f>
        <v>10</v>
      </c>
      <c r="T157">
        <f t="shared" si="4"/>
        <v>96</v>
      </c>
      <c r="U157" t="str">
        <f t="shared" si="5"/>
        <v>Pueblo</v>
      </c>
    </row>
    <row r="158" spans="1:21" ht="16" x14ac:dyDescent="0.4">
      <c r="A158" s="4">
        <v>133256</v>
      </c>
      <c r="B158" s="1" t="s">
        <v>38</v>
      </c>
      <c r="C158" s="1" t="s">
        <v>14</v>
      </c>
      <c r="D158" s="1">
        <v>1104</v>
      </c>
      <c r="E158" s="1">
        <v>511</v>
      </c>
      <c r="F158" s="1">
        <v>566</v>
      </c>
      <c r="G158" s="1">
        <v>7</v>
      </c>
      <c r="H158" s="1">
        <v>17366</v>
      </c>
      <c r="I158" s="1">
        <v>3</v>
      </c>
      <c r="J158" s="1">
        <v>50</v>
      </c>
      <c r="K158" s="1">
        <v>528</v>
      </c>
      <c r="L158" s="1">
        <v>534</v>
      </c>
      <c r="M158" s="1">
        <v>13</v>
      </c>
      <c r="N158">
        <f>VLOOKUP(A158,vlookup_table!$A:$G,2,FALSE)</f>
        <v>2</v>
      </c>
      <c r="O158" t="str">
        <f>VLOOKUP(A158,vlookup_table!$A:$G,3,FALSE)</f>
        <v>ID</v>
      </c>
      <c r="P158">
        <f>VLOOKUP(A158,vlookup_table!$A:$G,4,FALSE)</f>
        <v>2002</v>
      </c>
      <c r="Q158" t="str">
        <f>VLOOKUP(A158,vlookup_table!$A:$G,5,FALSE)</f>
        <v>C1</v>
      </c>
      <c r="R158" t="str">
        <f>VLOOKUP(A158,vlookup_table!$A:$G,6,FALSE)</f>
        <v>M</v>
      </c>
      <c r="S158">
        <f>VLOOKUP(A158,vlookup_table!$A:$G,7,FALSE)</f>
        <v>10</v>
      </c>
      <c r="T158">
        <f t="shared" si="4"/>
        <v>76</v>
      </c>
      <c r="U158" t="str">
        <f t="shared" si="5"/>
        <v>Ciudad</v>
      </c>
    </row>
    <row r="159" spans="1:21" ht="16" x14ac:dyDescent="0.4">
      <c r="A159" s="4">
        <v>151203</v>
      </c>
      <c r="B159" s="1" t="s">
        <v>21</v>
      </c>
      <c r="C159" s="1" t="s">
        <v>27</v>
      </c>
      <c r="D159" s="1">
        <v>2135</v>
      </c>
      <c r="E159" s="1">
        <v>417</v>
      </c>
      <c r="F159" s="1">
        <v>456</v>
      </c>
      <c r="G159" s="1">
        <v>58</v>
      </c>
      <c r="H159" s="1">
        <v>18907</v>
      </c>
      <c r="I159" s="1">
        <v>10</v>
      </c>
      <c r="J159" s="1">
        <v>55</v>
      </c>
      <c r="K159" s="1">
        <v>417</v>
      </c>
      <c r="L159" s="1">
        <v>433</v>
      </c>
      <c r="M159" s="1">
        <v>8.1999999999999993</v>
      </c>
      <c r="N159">
        <f>VLOOKUP(A159,vlookup_table!$A:$G,2,FALSE)</f>
        <v>0</v>
      </c>
      <c r="O159" t="str">
        <f>VLOOKUP(A159,vlookup_table!$A:$G,3,FALSE)</f>
        <v>CA</v>
      </c>
      <c r="P159">
        <f>VLOOKUP(A159,vlookup_table!$A:$G,4,FALSE)</f>
        <v>0</v>
      </c>
      <c r="Q159" t="str">
        <f>VLOOKUP(A159,vlookup_table!$A:$G,5,FALSE)</f>
        <v/>
      </c>
      <c r="R159" t="str">
        <f>VLOOKUP(A159,vlookup_table!$A:$G,6,FALSE)</f>
        <v>U</v>
      </c>
      <c r="S159">
        <f>VLOOKUP(A159,vlookup_table!$A:$G,7,FALSE)</f>
        <v>5</v>
      </c>
      <c r="T159">
        <f t="shared" si="4"/>
        <v>96</v>
      </c>
      <c r="U159" t="str">
        <f t="shared" si="5"/>
        <v/>
      </c>
    </row>
    <row r="160" spans="1:21" ht="16" x14ac:dyDescent="0.4">
      <c r="A160" s="4">
        <v>31425</v>
      </c>
      <c r="B160" s="1" t="s">
        <v>36</v>
      </c>
      <c r="C160" s="1" t="s">
        <v>14</v>
      </c>
      <c r="D160" s="1">
        <v>671</v>
      </c>
      <c r="E160" s="1">
        <v>287</v>
      </c>
      <c r="F160" s="1">
        <v>441</v>
      </c>
      <c r="G160" s="1">
        <v>3</v>
      </c>
      <c r="H160" s="1">
        <v>16517</v>
      </c>
      <c r="I160" s="1">
        <v>4</v>
      </c>
      <c r="J160" s="1">
        <v>70</v>
      </c>
      <c r="K160" s="1">
        <v>365</v>
      </c>
      <c r="L160" s="1">
        <v>372</v>
      </c>
      <c r="M160" s="1">
        <v>4.8888888890000004</v>
      </c>
      <c r="N160">
        <f>VLOOKUP(A160,vlookup_table!$A:$G,2,FALSE)</f>
        <v>0</v>
      </c>
      <c r="O160" t="str">
        <f>VLOOKUP(A160,vlookup_table!$A:$G,3,FALSE)</f>
        <v>GA</v>
      </c>
      <c r="P160">
        <f>VLOOKUP(A160,vlookup_table!$A:$G,4,FALSE)</f>
        <v>3901</v>
      </c>
      <c r="Q160" t="str">
        <f>VLOOKUP(A160,vlookup_table!$A:$G,5,FALSE)</f>
        <v>T3</v>
      </c>
      <c r="R160" t="str">
        <f>VLOOKUP(A160,vlookup_table!$A:$G,6,FALSE)</f>
        <v>M</v>
      </c>
      <c r="S160">
        <f>VLOOKUP(A160,vlookup_table!$A:$G,7,FALSE)</f>
        <v>16</v>
      </c>
      <c r="T160">
        <f t="shared" si="4"/>
        <v>57</v>
      </c>
      <c r="U160" t="str">
        <f t="shared" si="5"/>
        <v>Pueblo</v>
      </c>
    </row>
    <row r="161" spans="1:21" ht="16" x14ac:dyDescent="0.4">
      <c r="A161" s="4">
        <v>70524</v>
      </c>
      <c r="B161" s="1" t="s">
        <v>26</v>
      </c>
      <c r="C161" s="1" t="s">
        <v>17</v>
      </c>
      <c r="D161" s="1">
        <v>510</v>
      </c>
      <c r="E161" s="1">
        <v>228</v>
      </c>
      <c r="F161" s="1">
        <v>394</v>
      </c>
      <c r="G161" s="1">
        <v>0</v>
      </c>
      <c r="H161" s="1">
        <v>12576</v>
      </c>
      <c r="I161" s="1">
        <v>1</v>
      </c>
      <c r="J161" s="1">
        <v>80</v>
      </c>
      <c r="K161" s="1">
        <v>370</v>
      </c>
      <c r="L161" s="1">
        <v>324</v>
      </c>
      <c r="M161" s="1">
        <v>10.8</v>
      </c>
      <c r="N161">
        <f>VLOOKUP(A161,vlookup_table!$A:$G,2,FALSE)</f>
        <v>0</v>
      </c>
      <c r="O161" t="str">
        <f>VLOOKUP(A161,vlookup_table!$A:$G,3,FALSE)</f>
        <v>MI</v>
      </c>
      <c r="P161">
        <f>VLOOKUP(A161,vlookup_table!$A:$G,4,FALSE)</f>
        <v>3204</v>
      </c>
      <c r="Q161" t="str">
        <f>VLOOKUP(A161,vlookup_table!$A:$G,5,FALSE)</f>
        <v>R2</v>
      </c>
      <c r="R161" t="str">
        <f>VLOOKUP(A161,vlookup_table!$A:$G,6,FALSE)</f>
        <v>F</v>
      </c>
      <c r="S161">
        <f>VLOOKUP(A161,vlookup_table!$A:$G,7,FALSE)</f>
        <v>23</v>
      </c>
      <c r="T161">
        <f t="shared" si="4"/>
        <v>64</v>
      </c>
      <c r="U161" t="str">
        <f t="shared" si="5"/>
        <v>Rural</v>
      </c>
    </row>
    <row r="162" spans="1:21" ht="16" x14ac:dyDescent="0.4">
      <c r="A162" s="4">
        <v>161229</v>
      </c>
      <c r="B162" s="1" t="s">
        <v>21</v>
      </c>
      <c r="C162" s="1" t="s">
        <v>17</v>
      </c>
      <c r="D162" s="1">
        <v>650</v>
      </c>
      <c r="E162" s="1">
        <v>302</v>
      </c>
      <c r="F162" s="1">
        <v>318</v>
      </c>
      <c r="G162" s="1">
        <v>13</v>
      </c>
      <c r="H162" s="1">
        <v>7080</v>
      </c>
      <c r="I162" s="1">
        <v>43</v>
      </c>
      <c r="J162" s="1">
        <v>49</v>
      </c>
      <c r="K162" s="1">
        <v>302</v>
      </c>
      <c r="L162" s="1">
        <v>315</v>
      </c>
      <c r="M162" s="1">
        <v>8.6666666669999994</v>
      </c>
      <c r="N162">
        <f>VLOOKUP(A162,vlookup_table!$A:$G,2,FALSE)</f>
        <v>0</v>
      </c>
      <c r="O162" t="str">
        <f>VLOOKUP(A162,vlookup_table!$A:$G,3,FALSE)</f>
        <v>CA</v>
      </c>
      <c r="P162">
        <f>VLOOKUP(A162,vlookup_table!$A:$G,4,FALSE)</f>
        <v>4201</v>
      </c>
      <c r="Q162" t="str">
        <f>VLOOKUP(A162,vlookup_table!$A:$G,5,FALSE)</f>
        <v>R2</v>
      </c>
      <c r="R162" t="str">
        <f>VLOOKUP(A162,vlookup_table!$A:$G,6,FALSE)</f>
        <v>F</v>
      </c>
      <c r="S162">
        <f>VLOOKUP(A162,vlookup_table!$A:$G,7,FALSE)</f>
        <v>21</v>
      </c>
      <c r="T162">
        <f t="shared" si="4"/>
        <v>54</v>
      </c>
      <c r="U162" t="str">
        <f t="shared" si="5"/>
        <v>Rural</v>
      </c>
    </row>
    <row r="163" spans="1:21" ht="16" x14ac:dyDescent="0.4">
      <c r="A163" s="4">
        <v>83181</v>
      </c>
      <c r="B163" s="1" t="s">
        <v>52</v>
      </c>
      <c r="C163" s="1" t="s">
        <v>17</v>
      </c>
      <c r="D163" s="1">
        <v>487</v>
      </c>
      <c r="E163" s="1">
        <v>248</v>
      </c>
      <c r="F163" s="1">
        <v>327</v>
      </c>
      <c r="G163" s="1">
        <v>0</v>
      </c>
      <c r="H163" s="1">
        <v>10792</v>
      </c>
      <c r="I163" s="1">
        <v>1</v>
      </c>
      <c r="J163" s="1">
        <v>88</v>
      </c>
      <c r="K163" s="1">
        <v>287</v>
      </c>
      <c r="L163" s="1">
        <v>286</v>
      </c>
      <c r="M163" s="1">
        <v>12.727272729999999</v>
      </c>
      <c r="N163">
        <f>VLOOKUP(A163,vlookup_table!$A:$G,2,FALSE)</f>
        <v>0</v>
      </c>
      <c r="O163" t="str">
        <f>VLOOKUP(A163,vlookup_table!$A:$G,3,FALSE)</f>
        <v>MN</v>
      </c>
      <c r="P163">
        <f>VLOOKUP(A163,vlookup_table!$A:$G,4,FALSE)</f>
        <v>0</v>
      </c>
      <c r="Q163" t="str">
        <f>VLOOKUP(A163,vlookup_table!$A:$G,5,FALSE)</f>
        <v>R2</v>
      </c>
      <c r="R163" t="str">
        <f>VLOOKUP(A163,vlookup_table!$A:$G,6,FALSE)</f>
        <v>F</v>
      </c>
      <c r="S163">
        <f>VLOOKUP(A163,vlookup_table!$A:$G,7,FALSE)</f>
        <v>15</v>
      </c>
      <c r="T163">
        <f t="shared" si="4"/>
        <v>96</v>
      </c>
      <c r="U163" t="str">
        <f t="shared" si="5"/>
        <v>Rural</v>
      </c>
    </row>
    <row r="164" spans="1:21" ht="16" x14ac:dyDescent="0.4">
      <c r="A164" s="4">
        <v>143528</v>
      </c>
      <c r="B164" s="1" t="s">
        <v>21</v>
      </c>
      <c r="C164" s="1" t="s">
        <v>17</v>
      </c>
      <c r="D164" s="1">
        <v>2925</v>
      </c>
      <c r="E164" s="1">
        <v>288</v>
      </c>
      <c r="F164" s="1">
        <v>376</v>
      </c>
      <c r="G164" s="1">
        <v>83</v>
      </c>
      <c r="H164" s="1">
        <v>23046</v>
      </c>
      <c r="I164" s="1">
        <v>27</v>
      </c>
      <c r="J164" s="1">
        <v>21</v>
      </c>
      <c r="K164" s="1">
        <v>305</v>
      </c>
      <c r="L164" s="1">
        <v>353</v>
      </c>
      <c r="M164" s="1">
        <v>7.5238095239999998</v>
      </c>
      <c r="N164">
        <f>VLOOKUP(A164,vlookup_table!$A:$G,2,FALSE)</f>
        <v>0</v>
      </c>
      <c r="O164" t="str">
        <f>VLOOKUP(A164,vlookup_table!$A:$G,3,FALSE)</f>
        <v>CA</v>
      </c>
      <c r="P164">
        <f>VLOOKUP(A164,vlookup_table!$A:$G,4,FALSE)</f>
        <v>4905</v>
      </c>
      <c r="Q164" t="str">
        <f>VLOOKUP(A164,vlookup_table!$A:$G,5,FALSE)</f>
        <v>U1</v>
      </c>
      <c r="R164" t="str">
        <f>VLOOKUP(A164,vlookup_table!$A:$G,6,FALSE)</f>
        <v>F</v>
      </c>
      <c r="S164">
        <f>VLOOKUP(A164,vlookup_table!$A:$G,7,FALSE)</f>
        <v>10</v>
      </c>
      <c r="T164">
        <f t="shared" si="4"/>
        <v>47</v>
      </c>
      <c r="U164" t="str">
        <f t="shared" si="5"/>
        <v>Urbano</v>
      </c>
    </row>
    <row r="165" spans="1:21" ht="16" x14ac:dyDescent="0.4">
      <c r="A165" s="4">
        <v>42970</v>
      </c>
      <c r="B165" s="1" t="s">
        <v>13</v>
      </c>
      <c r="C165" s="1" t="s">
        <v>14</v>
      </c>
      <c r="D165" s="1">
        <v>884</v>
      </c>
      <c r="E165" s="1">
        <v>242</v>
      </c>
      <c r="F165" s="1">
        <v>313</v>
      </c>
      <c r="G165" s="1">
        <v>1</v>
      </c>
      <c r="H165" s="1">
        <v>13491</v>
      </c>
      <c r="I165" s="1">
        <v>6</v>
      </c>
      <c r="J165" s="1">
        <v>6</v>
      </c>
      <c r="K165" s="1">
        <v>268</v>
      </c>
      <c r="L165" s="1">
        <v>271</v>
      </c>
      <c r="M165" s="1">
        <v>4.4285714289999998</v>
      </c>
      <c r="N165">
        <f>VLOOKUP(A165,vlookup_table!$A:$G,2,FALSE)</f>
        <v>1</v>
      </c>
      <c r="O165" t="str">
        <f>VLOOKUP(A165,vlookup_table!$A:$G,3,FALSE)</f>
        <v>FL</v>
      </c>
      <c r="P165">
        <f>VLOOKUP(A165,vlookup_table!$A:$G,4,FALSE)</f>
        <v>0</v>
      </c>
      <c r="Q165" t="str">
        <f>VLOOKUP(A165,vlookup_table!$A:$G,5,FALSE)</f>
        <v>T2</v>
      </c>
      <c r="R165" t="str">
        <f>VLOOKUP(A165,vlookup_table!$A:$G,6,FALSE)</f>
        <v>M</v>
      </c>
      <c r="S165">
        <f>VLOOKUP(A165,vlookup_table!$A:$G,7,FALSE)</f>
        <v>3</v>
      </c>
      <c r="T165">
        <f t="shared" si="4"/>
        <v>96</v>
      </c>
      <c r="U165" t="str">
        <f t="shared" si="5"/>
        <v>Pueblo</v>
      </c>
    </row>
    <row r="166" spans="1:21" ht="16" x14ac:dyDescent="0.4">
      <c r="A166" s="4">
        <v>83708</v>
      </c>
      <c r="B166" s="1" t="s">
        <v>52</v>
      </c>
      <c r="C166" s="1" t="s">
        <v>17</v>
      </c>
      <c r="D166" s="1">
        <v>753</v>
      </c>
      <c r="E166" s="1">
        <v>341</v>
      </c>
      <c r="F166" s="1">
        <v>442</v>
      </c>
      <c r="G166" s="1">
        <v>0</v>
      </c>
      <c r="H166" s="1">
        <v>15502</v>
      </c>
      <c r="I166" s="1">
        <v>1</v>
      </c>
      <c r="J166" s="1">
        <v>80</v>
      </c>
      <c r="K166" s="1">
        <v>393</v>
      </c>
      <c r="L166" s="1">
        <v>373</v>
      </c>
      <c r="M166" s="1">
        <v>8.4</v>
      </c>
      <c r="N166">
        <f>VLOOKUP(A166,vlookup_table!$A:$G,2,FALSE)</f>
        <v>28</v>
      </c>
      <c r="O166" t="str">
        <f>VLOOKUP(A166,vlookup_table!$A:$G,3,FALSE)</f>
        <v>MN</v>
      </c>
      <c r="P166">
        <f>VLOOKUP(A166,vlookup_table!$A:$G,4,FALSE)</f>
        <v>5609</v>
      </c>
      <c r="Q166" t="str">
        <f>VLOOKUP(A166,vlookup_table!$A:$G,5,FALSE)</f>
        <v>S1</v>
      </c>
      <c r="R166" t="str">
        <f>VLOOKUP(A166,vlookup_table!$A:$G,6,FALSE)</f>
        <v>F</v>
      </c>
      <c r="S166">
        <f>VLOOKUP(A166,vlookup_table!$A:$G,7,FALSE)</f>
        <v>10</v>
      </c>
      <c r="T166">
        <f t="shared" si="4"/>
        <v>40</v>
      </c>
      <c r="U166" t="str">
        <f t="shared" si="5"/>
        <v>Suburbano</v>
      </c>
    </row>
    <row r="167" spans="1:21" ht="16" x14ac:dyDescent="0.4">
      <c r="A167" s="4">
        <v>101390</v>
      </c>
      <c r="B167" s="1" t="s">
        <v>33</v>
      </c>
      <c r="C167" s="1" t="s">
        <v>17</v>
      </c>
      <c r="D167" s="1">
        <v>594</v>
      </c>
      <c r="E167" s="1">
        <v>337</v>
      </c>
      <c r="F167" s="1">
        <v>347</v>
      </c>
      <c r="G167" s="1">
        <v>1</v>
      </c>
      <c r="H167" s="1">
        <v>13094</v>
      </c>
      <c r="I167" s="1">
        <v>0</v>
      </c>
      <c r="J167" s="1">
        <v>79</v>
      </c>
      <c r="K167" s="1">
        <v>350</v>
      </c>
      <c r="L167" s="1">
        <v>343</v>
      </c>
      <c r="M167" s="1">
        <v>2.5714285710000002</v>
      </c>
      <c r="N167">
        <f>VLOOKUP(A167,vlookup_table!$A:$G,2,FALSE)</f>
        <v>2</v>
      </c>
      <c r="O167" t="str">
        <f>VLOOKUP(A167,vlookup_table!$A:$G,3,FALSE)</f>
        <v>MO</v>
      </c>
      <c r="P167">
        <f>VLOOKUP(A167,vlookup_table!$A:$G,4,FALSE)</f>
        <v>5701</v>
      </c>
      <c r="Q167" t="str">
        <f>VLOOKUP(A167,vlookup_table!$A:$G,5,FALSE)</f>
        <v>C2</v>
      </c>
      <c r="R167" t="str">
        <f>VLOOKUP(A167,vlookup_table!$A:$G,6,FALSE)</f>
        <v>F</v>
      </c>
      <c r="S167">
        <f>VLOOKUP(A167,vlookup_table!$A:$G,7,FALSE)</f>
        <v>2</v>
      </c>
      <c r="T167">
        <f t="shared" si="4"/>
        <v>39</v>
      </c>
      <c r="U167" t="str">
        <f t="shared" si="5"/>
        <v>Ciudad</v>
      </c>
    </row>
    <row r="168" spans="1:21" ht="16" x14ac:dyDescent="0.4">
      <c r="A168" s="4">
        <v>77898</v>
      </c>
      <c r="B168" s="1" t="s">
        <v>32</v>
      </c>
      <c r="C168" s="1" t="s">
        <v>14</v>
      </c>
      <c r="D168" s="1">
        <v>627</v>
      </c>
      <c r="E168" s="1">
        <v>367</v>
      </c>
      <c r="F168" s="1">
        <v>444</v>
      </c>
      <c r="G168" s="1">
        <v>0</v>
      </c>
      <c r="H168" s="1">
        <v>15350</v>
      </c>
      <c r="I168" s="1">
        <v>6</v>
      </c>
      <c r="J168" s="1">
        <v>71</v>
      </c>
      <c r="K168" s="1">
        <v>427</v>
      </c>
      <c r="L168" s="1">
        <v>394</v>
      </c>
      <c r="M168" s="1">
        <v>7.5</v>
      </c>
      <c r="N168">
        <f>VLOOKUP(A168,vlookup_table!$A:$G,2,FALSE)</f>
        <v>1</v>
      </c>
      <c r="O168" t="str">
        <f>VLOOKUP(A168,vlookup_table!$A:$G,3,FALSE)</f>
        <v>WI</v>
      </c>
      <c r="P168">
        <f>VLOOKUP(A168,vlookup_table!$A:$G,4,FALSE)</f>
        <v>2808</v>
      </c>
      <c r="Q168" t="str">
        <f>VLOOKUP(A168,vlookup_table!$A:$G,5,FALSE)</f>
        <v>S2</v>
      </c>
      <c r="R168" t="str">
        <f>VLOOKUP(A168,vlookup_table!$A:$G,6,FALSE)</f>
        <v>M</v>
      </c>
      <c r="S168">
        <f>VLOOKUP(A168,vlookup_table!$A:$G,7,FALSE)</f>
        <v>10</v>
      </c>
      <c r="T168">
        <f t="shared" si="4"/>
        <v>68</v>
      </c>
      <c r="U168" t="str">
        <f t="shared" si="5"/>
        <v>Suburbano</v>
      </c>
    </row>
    <row r="169" spans="1:21" ht="16" x14ac:dyDescent="0.4">
      <c r="A169" s="4">
        <v>77345</v>
      </c>
      <c r="B169" s="1" t="s">
        <v>32</v>
      </c>
      <c r="C169" s="1" t="s">
        <v>14</v>
      </c>
      <c r="D169" s="1">
        <v>806</v>
      </c>
      <c r="E169" s="1">
        <v>331</v>
      </c>
      <c r="F169" s="1">
        <v>447</v>
      </c>
      <c r="G169" s="1">
        <v>0</v>
      </c>
      <c r="H169" s="1">
        <v>15120</v>
      </c>
      <c r="I169" s="1">
        <v>1</v>
      </c>
      <c r="J169" s="1">
        <v>85</v>
      </c>
      <c r="K169" s="1">
        <v>420</v>
      </c>
      <c r="L169" s="1">
        <v>382</v>
      </c>
      <c r="M169" s="1">
        <v>13.2</v>
      </c>
      <c r="N169">
        <f>VLOOKUP(A169,vlookup_table!$A:$G,2,FALSE)</f>
        <v>1</v>
      </c>
      <c r="O169" t="str">
        <f>VLOOKUP(A169,vlookup_table!$A:$G,3,FALSE)</f>
        <v>WI</v>
      </c>
      <c r="P169">
        <f>VLOOKUP(A169,vlookup_table!$A:$G,4,FALSE)</f>
        <v>0</v>
      </c>
      <c r="Q169" t="str">
        <f>VLOOKUP(A169,vlookup_table!$A:$G,5,FALSE)</f>
        <v>S1</v>
      </c>
      <c r="R169" t="str">
        <f>VLOOKUP(A169,vlookup_table!$A:$G,6,FALSE)</f>
        <v>M</v>
      </c>
      <c r="S169">
        <f>VLOOKUP(A169,vlookup_table!$A:$G,7,FALSE)</f>
        <v>16</v>
      </c>
      <c r="T169">
        <f t="shared" si="4"/>
        <v>96</v>
      </c>
      <c r="U169" t="str">
        <f t="shared" si="5"/>
        <v>Suburbano</v>
      </c>
    </row>
    <row r="170" spans="1:21" ht="16" x14ac:dyDescent="0.4">
      <c r="A170" s="4">
        <v>142579</v>
      </c>
      <c r="B170" s="1" t="s">
        <v>21</v>
      </c>
      <c r="C170" s="1" t="s">
        <v>17</v>
      </c>
      <c r="D170" s="1">
        <v>3149</v>
      </c>
      <c r="E170" s="1">
        <v>504</v>
      </c>
      <c r="F170" s="1">
        <v>672</v>
      </c>
      <c r="G170" s="1">
        <v>80</v>
      </c>
      <c r="H170" s="1">
        <v>22033</v>
      </c>
      <c r="I170" s="1">
        <v>8</v>
      </c>
      <c r="J170" s="1">
        <v>33</v>
      </c>
      <c r="K170" s="1">
        <v>601</v>
      </c>
      <c r="L170" s="1">
        <v>562</v>
      </c>
      <c r="M170" s="1">
        <v>10.71428571</v>
      </c>
      <c r="N170">
        <f>VLOOKUP(A170,vlookup_table!$A:$G,2,FALSE)</f>
        <v>0</v>
      </c>
      <c r="O170" t="str">
        <f>VLOOKUP(A170,vlookup_table!$A:$G,3,FALSE)</f>
        <v>CA</v>
      </c>
      <c r="P170">
        <f>VLOOKUP(A170,vlookup_table!$A:$G,4,FALSE)</f>
        <v>201</v>
      </c>
      <c r="Q170" t="str">
        <f>VLOOKUP(A170,vlookup_table!$A:$G,5,FALSE)</f>
        <v>U1</v>
      </c>
      <c r="R170" t="str">
        <f>VLOOKUP(A170,vlookup_table!$A:$G,6,FALSE)</f>
        <v>F</v>
      </c>
      <c r="S170">
        <f>VLOOKUP(A170,vlookup_table!$A:$G,7,FALSE)</f>
        <v>20</v>
      </c>
      <c r="T170">
        <f t="shared" si="4"/>
        <v>76</v>
      </c>
      <c r="U170" t="str">
        <f t="shared" si="5"/>
        <v>Urbano</v>
      </c>
    </row>
    <row r="171" spans="1:21" ht="16" x14ac:dyDescent="0.4">
      <c r="A171" s="4">
        <v>162209</v>
      </c>
      <c r="B171" s="1" t="s">
        <v>21</v>
      </c>
      <c r="C171" s="1" t="s">
        <v>17</v>
      </c>
      <c r="D171" s="1">
        <v>5266</v>
      </c>
      <c r="E171" s="1">
        <v>495</v>
      </c>
      <c r="F171" s="1">
        <v>785</v>
      </c>
      <c r="G171" s="1">
        <v>96</v>
      </c>
      <c r="H171" s="1">
        <v>43828</v>
      </c>
      <c r="I171" s="1">
        <v>17</v>
      </c>
      <c r="J171" s="1">
        <v>36</v>
      </c>
      <c r="K171" s="1">
        <v>675</v>
      </c>
      <c r="L171" s="1">
        <v>669</v>
      </c>
      <c r="M171" s="1">
        <v>9.1999999999999993</v>
      </c>
      <c r="N171">
        <f>VLOOKUP(A171,vlookup_table!$A:$G,2,FALSE)</f>
        <v>0</v>
      </c>
      <c r="O171" t="str">
        <f>VLOOKUP(A171,vlookup_table!$A:$G,3,FALSE)</f>
        <v>CA</v>
      </c>
      <c r="P171">
        <f>VLOOKUP(A171,vlookup_table!$A:$G,4,FALSE)</f>
        <v>2005</v>
      </c>
      <c r="Q171" t="str">
        <f>VLOOKUP(A171,vlookup_table!$A:$G,5,FALSE)</f>
        <v>S1</v>
      </c>
      <c r="R171" t="str">
        <f>VLOOKUP(A171,vlookup_table!$A:$G,6,FALSE)</f>
        <v>F</v>
      </c>
      <c r="S171">
        <f>VLOOKUP(A171,vlookup_table!$A:$G,7,FALSE)</f>
        <v>10</v>
      </c>
      <c r="T171">
        <f t="shared" si="4"/>
        <v>76</v>
      </c>
      <c r="U171" t="str">
        <f t="shared" si="5"/>
        <v>Suburbano</v>
      </c>
    </row>
    <row r="172" spans="1:21" ht="16" x14ac:dyDescent="0.4">
      <c r="A172" s="4">
        <v>171396</v>
      </c>
      <c r="B172" s="1" t="s">
        <v>21</v>
      </c>
      <c r="C172" s="1" t="s">
        <v>14</v>
      </c>
      <c r="D172" s="1">
        <v>1401</v>
      </c>
      <c r="E172" s="1">
        <v>441</v>
      </c>
      <c r="F172" s="1">
        <v>466</v>
      </c>
      <c r="G172" s="1">
        <v>1</v>
      </c>
      <c r="H172" s="1">
        <v>15438</v>
      </c>
      <c r="I172" s="1">
        <v>6</v>
      </c>
      <c r="J172" s="1">
        <v>49</v>
      </c>
      <c r="K172" s="1">
        <v>445</v>
      </c>
      <c r="L172" s="1">
        <v>462</v>
      </c>
      <c r="M172" s="1">
        <v>5</v>
      </c>
      <c r="N172">
        <f>VLOOKUP(A172,vlookup_table!$A:$G,2,FALSE)</f>
        <v>0</v>
      </c>
      <c r="O172" t="str">
        <f>VLOOKUP(A172,vlookup_table!$A:$G,3,FALSE)</f>
        <v>CA</v>
      </c>
      <c r="P172">
        <f>VLOOKUP(A172,vlookup_table!$A:$G,4,FALSE)</f>
        <v>0</v>
      </c>
      <c r="Q172" t="str">
        <f>VLOOKUP(A172,vlookup_table!$A:$G,5,FALSE)</f>
        <v>C2</v>
      </c>
      <c r="R172" t="str">
        <f>VLOOKUP(A172,vlookup_table!$A:$G,6,FALSE)</f>
        <v>M</v>
      </c>
      <c r="S172">
        <f>VLOOKUP(A172,vlookup_table!$A:$G,7,FALSE)</f>
        <v>6</v>
      </c>
      <c r="T172">
        <f t="shared" si="4"/>
        <v>96</v>
      </c>
      <c r="U172" t="str">
        <f t="shared" si="5"/>
        <v>Ciudad</v>
      </c>
    </row>
    <row r="173" spans="1:21" ht="16" x14ac:dyDescent="0.4">
      <c r="A173" s="4">
        <v>129530</v>
      </c>
      <c r="B173" s="1" t="s">
        <v>45</v>
      </c>
      <c r="C173" s="1" t="s">
        <v>14</v>
      </c>
      <c r="D173" s="1">
        <v>593</v>
      </c>
      <c r="E173" s="1">
        <v>163</v>
      </c>
      <c r="F173" s="1">
        <v>230</v>
      </c>
      <c r="G173" s="1">
        <v>0</v>
      </c>
      <c r="H173" s="1">
        <v>9520</v>
      </c>
      <c r="I173" s="1">
        <v>8</v>
      </c>
      <c r="J173" s="1">
        <v>33</v>
      </c>
      <c r="K173" s="1">
        <v>180</v>
      </c>
      <c r="L173" s="1">
        <v>207</v>
      </c>
      <c r="M173" s="1">
        <v>12.5</v>
      </c>
      <c r="N173">
        <f>VLOOKUP(A173,vlookup_table!$A:$G,2,FALSE)</f>
        <v>1</v>
      </c>
      <c r="O173" t="str">
        <f>VLOOKUP(A173,vlookup_table!$A:$G,3,FALSE)</f>
        <v>CO</v>
      </c>
      <c r="P173">
        <f>VLOOKUP(A173,vlookup_table!$A:$G,4,FALSE)</f>
        <v>5401</v>
      </c>
      <c r="Q173" t="str">
        <f>VLOOKUP(A173,vlookup_table!$A:$G,5,FALSE)</f>
        <v>S2</v>
      </c>
      <c r="R173" t="str">
        <f>VLOOKUP(A173,vlookup_table!$A:$G,6,FALSE)</f>
        <v>M</v>
      </c>
      <c r="S173">
        <f>VLOOKUP(A173,vlookup_table!$A:$G,7,FALSE)</f>
        <v>10</v>
      </c>
      <c r="T173">
        <f t="shared" si="4"/>
        <v>42</v>
      </c>
      <c r="U173" t="str">
        <f t="shared" si="5"/>
        <v>Suburbano</v>
      </c>
    </row>
    <row r="174" spans="1:21" ht="16" x14ac:dyDescent="0.4">
      <c r="A174" s="4">
        <v>33773</v>
      </c>
      <c r="B174" s="1" t="s">
        <v>13</v>
      </c>
      <c r="C174" s="1" t="s">
        <v>17</v>
      </c>
      <c r="D174" s="1">
        <v>915</v>
      </c>
      <c r="E174" s="1">
        <v>308</v>
      </c>
      <c r="F174" s="1">
        <v>438</v>
      </c>
      <c r="G174" s="1">
        <v>13</v>
      </c>
      <c r="H174" s="1">
        <v>17783</v>
      </c>
      <c r="I174" s="1">
        <v>8</v>
      </c>
      <c r="J174" s="1">
        <v>19</v>
      </c>
      <c r="K174" s="1">
        <v>357</v>
      </c>
      <c r="L174" s="1">
        <v>367</v>
      </c>
      <c r="M174" s="1">
        <v>13</v>
      </c>
      <c r="N174">
        <f>VLOOKUP(A174,vlookup_table!$A:$G,2,FALSE)</f>
        <v>0</v>
      </c>
      <c r="O174" t="str">
        <f>VLOOKUP(A174,vlookup_table!$A:$G,3,FALSE)</f>
        <v>FL</v>
      </c>
      <c r="P174">
        <f>VLOOKUP(A174,vlookup_table!$A:$G,4,FALSE)</f>
        <v>0</v>
      </c>
      <c r="Q174" t="str">
        <f>VLOOKUP(A174,vlookup_table!$A:$G,5,FALSE)</f>
        <v>R1</v>
      </c>
      <c r="R174" t="str">
        <f>VLOOKUP(A174,vlookup_table!$A:$G,6,FALSE)</f>
        <v>F</v>
      </c>
      <c r="S174">
        <f>VLOOKUP(A174,vlookup_table!$A:$G,7,FALSE)</f>
        <v>20</v>
      </c>
      <c r="T174">
        <f t="shared" si="4"/>
        <v>96</v>
      </c>
      <c r="U174" t="str">
        <f t="shared" si="5"/>
        <v>Rural</v>
      </c>
    </row>
    <row r="175" spans="1:21" ht="16" x14ac:dyDescent="0.4">
      <c r="A175" s="4">
        <v>10031</v>
      </c>
      <c r="B175" s="1" t="s">
        <v>55</v>
      </c>
      <c r="C175" s="1" t="s">
        <v>17</v>
      </c>
      <c r="D175" s="1">
        <v>456</v>
      </c>
      <c r="E175" s="1">
        <v>258</v>
      </c>
      <c r="F175" s="1">
        <v>381</v>
      </c>
      <c r="G175" s="1">
        <v>2</v>
      </c>
      <c r="H175" s="1">
        <v>13411</v>
      </c>
      <c r="I175" s="1">
        <v>2</v>
      </c>
      <c r="J175" s="1">
        <v>75</v>
      </c>
      <c r="K175" s="1">
        <v>311</v>
      </c>
      <c r="L175" s="1">
        <v>314</v>
      </c>
      <c r="M175" s="1">
        <v>7.2857142860000002</v>
      </c>
      <c r="N175">
        <f>VLOOKUP(A175,vlookup_table!$A:$G,2,FALSE)</f>
        <v>0</v>
      </c>
      <c r="O175" t="str">
        <f>VLOOKUP(A175,vlookup_table!$A:$G,3,FALSE)</f>
        <v>NE</v>
      </c>
      <c r="P175">
        <f>VLOOKUP(A175,vlookup_table!$A:$G,4,FALSE)</f>
        <v>3001</v>
      </c>
      <c r="Q175" t="str">
        <f>VLOOKUP(A175,vlookup_table!$A:$G,5,FALSE)</f>
        <v>T2</v>
      </c>
      <c r="R175" t="str">
        <f>VLOOKUP(A175,vlookup_table!$A:$G,6,FALSE)</f>
        <v>F</v>
      </c>
      <c r="S175">
        <f>VLOOKUP(A175,vlookup_table!$A:$G,7,FALSE)</f>
        <v>10</v>
      </c>
      <c r="T175">
        <f t="shared" si="4"/>
        <v>66</v>
      </c>
      <c r="U175" t="str">
        <f t="shared" si="5"/>
        <v>Pueblo</v>
      </c>
    </row>
    <row r="176" spans="1:21" ht="16" x14ac:dyDescent="0.4">
      <c r="A176" s="4">
        <v>62056</v>
      </c>
      <c r="B176" s="1" t="s">
        <v>30</v>
      </c>
      <c r="C176" s="1" t="s">
        <v>14</v>
      </c>
      <c r="D176" s="1">
        <v>610</v>
      </c>
      <c r="E176" s="1">
        <v>319</v>
      </c>
      <c r="F176" s="1">
        <v>407</v>
      </c>
      <c r="G176" s="1">
        <v>0</v>
      </c>
      <c r="H176" s="1">
        <v>11815</v>
      </c>
      <c r="I176" s="1">
        <v>0</v>
      </c>
      <c r="J176" s="1">
        <v>86</v>
      </c>
      <c r="K176" s="1">
        <v>336</v>
      </c>
      <c r="L176" s="1">
        <v>384</v>
      </c>
      <c r="M176" s="1">
        <v>4.625</v>
      </c>
      <c r="N176">
        <f>VLOOKUP(A176,vlookup_table!$A:$G,2,FALSE)</f>
        <v>0</v>
      </c>
      <c r="O176" t="str">
        <f>VLOOKUP(A176,vlookup_table!$A:$G,3,FALSE)</f>
        <v>IN</v>
      </c>
      <c r="P176">
        <f>VLOOKUP(A176,vlookup_table!$A:$G,4,FALSE)</f>
        <v>4601</v>
      </c>
      <c r="Q176" t="str">
        <f>VLOOKUP(A176,vlookup_table!$A:$G,5,FALSE)</f>
        <v>R2</v>
      </c>
      <c r="R176" t="str">
        <f>VLOOKUP(A176,vlookup_table!$A:$G,6,FALSE)</f>
        <v>M</v>
      </c>
      <c r="S176">
        <f>VLOOKUP(A176,vlookup_table!$A:$G,7,FALSE)</f>
        <v>7</v>
      </c>
      <c r="T176">
        <f t="shared" si="4"/>
        <v>50</v>
      </c>
      <c r="U176" t="str">
        <f t="shared" si="5"/>
        <v>Rural</v>
      </c>
    </row>
    <row r="177" spans="1:21" ht="16" x14ac:dyDescent="0.4">
      <c r="A177" s="4">
        <v>11494</v>
      </c>
      <c r="B177" s="1" t="s">
        <v>13</v>
      </c>
      <c r="C177" s="1" t="s">
        <v>14</v>
      </c>
      <c r="D177" s="1">
        <v>1229</v>
      </c>
      <c r="E177" s="1">
        <v>469</v>
      </c>
      <c r="F177" s="1">
        <v>544</v>
      </c>
      <c r="G177" s="1">
        <v>21</v>
      </c>
      <c r="H177" s="1">
        <v>17313</v>
      </c>
      <c r="I177" s="1">
        <v>2</v>
      </c>
      <c r="J177" s="1">
        <v>30</v>
      </c>
      <c r="K177" s="1">
        <v>502</v>
      </c>
      <c r="L177" s="1">
        <v>507</v>
      </c>
      <c r="M177" s="1">
        <v>8.4</v>
      </c>
      <c r="N177">
        <f>VLOOKUP(A177,vlookup_table!$A:$G,2,FALSE)</f>
        <v>2</v>
      </c>
      <c r="O177" t="str">
        <f>VLOOKUP(A177,vlookup_table!$A:$G,3,FALSE)</f>
        <v>FL</v>
      </c>
      <c r="P177">
        <f>VLOOKUP(A177,vlookup_table!$A:$G,4,FALSE)</f>
        <v>6501</v>
      </c>
      <c r="Q177" t="str">
        <f>VLOOKUP(A177,vlookup_table!$A:$G,5,FALSE)</f>
        <v>T1</v>
      </c>
      <c r="R177" t="str">
        <f>VLOOKUP(A177,vlookup_table!$A:$G,6,FALSE)</f>
        <v>M</v>
      </c>
      <c r="S177">
        <f>VLOOKUP(A177,vlookup_table!$A:$G,7,FALSE)</f>
        <v>5</v>
      </c>
      <c r="T177">
        <f t="shared" si="4"/>
        <v>31</v>
      </c>
      <c r="U177" t="str">
        <f t="shared" si="5"/>
        <v>Pueblo</v>
      </c>
    </row>
    <row r="178" spans="1:21" ht="16" x14ac:dyDescent="0.4">
      <c r="A178" s="4">
        <v>44847</v>
      </c>
      <c r="B178" s="1" t="s">
        <v>13</v>
      </c>
      <c r="C178" s="1" t="s">
        <v>14</v>
      </c>
      <c r="D178" s="1">
        <v>428</v>
      </c>
      <c r="E178" s="1">
        <v>140</v>
      </c>
      <c r="F178" s="1">
        <v>208</v>
      </c>
      <c r="G178" s="1">
        <v>1</v>
      </c>
      <c r="H178" s="1">
        <v>9064</v>
      </c>
      <c r="I178" s="1">
        <v>7</v>
      </c>
      <c r="J178" s="1">
        <v>35</v>
      </c>
      <c r="K178" s="1">
        <v>196</v>
      </c>
      <c r="L178" s="1">
        <v>171</v>
      </c>
      <c r="M178" s="1">
        <v>9.769230769</v>
      </c>
      <c r="N178">
        <f>VLOOKUP(A178,vlookup_table!$A:$G,2,FALSE)</f>
        <v>0</v>
      </c>
      <c r="O178" t="str">
        <f>VLOOKUP(A178,vlookup_table!$A:$G,3,FALSE)</f>
        <v>FL</v>
      </c>
      <c r="P178">
        <f>VLOOKUP(A178,vlookup_table!$A:$G,4,FALSE)</f>
        <v>5201</v>
      </c>
      <c r="Q178" t="str">
        <f>VLOOKUP(A178,vlookup_table!$A:$G,5,FALSE)</f>
        <v>T2</v>
      </c>
      <c r="R178" t="str">
        <f>VLOOKUP(A178,vlookup_table!$A:$G,6,FALSE)</f>
        <v>M</v>
      </c>
      <c r="S178">
        <f>VLOOKUP(A178,vlookup_table!$A:$G,7,FALSE)</f>
        <v>10</v>
      </c>
      <c r="T178">
        <f t="shared" si="4"/>
        <v>44</v>
      </c>
      <c r="U178" t="str">
        <f t="shared" si="5"/>
        <v>Pueblo</v>
      </c>
    </row>
    <row r="179" spans="1:21" ht="16" x14ac:dyDescent="0.4">
      <c r="A179" s="4">
        <v>94851</v>
      </c>
      <c r="B179" s="1" t="s">
        <v>16</v>
      </c>
      <c r="C179" s="1" t="s">
        <v>17</v>
      </c>
      <c r="D179" s="1">
        <v>2333</v>
      </c>
      <c r="E179" s="1">
        <v>316</v>
      </c>
      <c r="F179" s="1">
        <v>744</v>
      </c>
      <c r="G179" s="1">
        <v>61</v>
      </c>
      <c r="H179" s="1">
        <v>33535</v>
      </c>
      <c r="I179" s="1">
        <v>18</v>
      </c>
      <c r="J179" s="1">
        <v>45</v>
      </c>
      <c r="K179" s="1">
        <v>643</v>
      </c>
      <c r="L179" s="1">
        <v>420</v>
      </c>
      <c r="M179" s="1">
        <v>7.307692308</v>
      </c>
      <c r="N179">
        <f>VLOOKUP(A179,vlookup_table!$A:$G,2,FALSE)</f>
        <v>2</v>
      </c>
      <c r="O179" t="str">
        <f>VLOOKUP(A179,vlookup_table!$A:$G,3,FALSE)</f>
        <v>IL</v>
      </c>
      <c r="P179">
        <f>VLOOKUP(A179,vlookup_table!$A:$G,4,FALSE)</f>
        <v>1601</v>
      </c>
      <c r="Q179" t="str">
        <f>VLOOKUP(A179,vlookup_table!$A:$G,5,FALSE)</f>
        <v>U1</v>
      </c>
      <c r="R179" t="str">
        <f>VLOOKUP(A179,vlookup_table!$A:$G,6,FALSE)</f>
        <v>F</v>
      </c>
      <c r="S179">
        <f>VLOOKUP(A179,vlookup_table!$A:$G,7,FALSE)</f>
        <v>10</v>
      </c>
      <c r="T179">
        <f t="shared" si="4"/>
        <v>80</v>
      </c>
      <c r="U179" t="str">
        <f t="shared" si="5"/>
        <v>Urbano</v>
      </c>
    </row>
    <row r="180" spans="1:21" ht="16" x14ac:dyDescent="0.4">
      <c r="A180" s="4">
        <v>15668</v>
      </c>
      <c r="B180" s="1" t="s">
        <v>18</v>
      </c>
      <c r="C180" s="1" t="s">
        <v>14</v>
      </c>
      <c r="D180" s="1">
        <v>707</v>
      </c>
      <c r="E180" s="1">
        <v>383</v>
      </c>
      <c r="F180" s="1">
        <v>433</v>
      </c>
      <c r="G180" s="1">
        <v>0</v>
      </c>
      <c r="H180" s="1">
        <v>13852</v>
      </c>
      <c r="I180" s="1">
        <v>0</v>
      </c>
      <c r="J180" s="1">
        <v>84</v>
      </c>
      <c r="K180" s="1">
        <v>400</v>
      </c>
      <c r="L180" s="1">
        <v>398</v>
      </c>
      <c r="M180" s="1">
        <v>9.3333333330000006</v>
      </c>
      <c r="N180">
        <f>VLOOKUP(A180,vlookup_table!$A:$G,2,FALSE)</f>
        <v>0</v>
      </c>
      <c r="O180" t="str">
        <f>VLOOKUP(A180,vlookup_table!$A:$G,3,FALSE)</f>
        <v>NC</v>
      </c>
      <c r="P180">
        <f>VLOOKUP(A180,vlookup_table!$A:$G,4,FALSE)</f>
        <v>4101</v>
      </c>
      <c r="Q180" t="str">
        <f>VLOOKUP(A180,vlookup_table!$A:$G,5,FALSE)</f>
        <v>R2</v>
      </c>
      <c r="R180" t="str">
        <f>VLOOKUP(A180,vlookup_table!$A:$G,6,FALSE)</f>
        <v>M</v>
      </c>
      <c r="S180">
        <f>VLOOKUP(A180,vlookup_table!$A:$G,7,FALSE)</f>
        <v>45</v>
      </c>
      <c r="T180">
        <f t="shared" si="4"/>
        <v>55</v>
      </c>
      <c r="U180" t="str">
        <f t="shared" si="5"/>
        <v>Rural</v>
      </c>
    </row>
    <row r="181" spans="1:21" ht="16" x14ac:dyDescent="0.4">
      <c r="A181" s="4">
        <v>175579</v>
      </c>
      <c r="B181" s="1" t="s">
        <v>47</v>
      </c>
      <c r="C181" s="1" t="s">
        <v>17</v>
      </c>
      <c r="D181" s="1">
        <v>377</v>
      </c>
      <c r="E181" s="1">
        <v>171</v>
      </c>
      <c r="F181" s="1">
        <v>187</v>
      </c>
      <c r="G181" s="1">
        <v>0</v>
      </c>
      <c r="H181" s="1">
        <v>21980</v>
      </c>
      <c r="I181" s="1">
        <v>16</v>
      </c>
      <c r="J181" s="1">
        <v>42</v>
      </c>
      <c r="K181" s="1">
        <v>199</v>
      </c>
      <c r="L181" s="1">
        <v>219</v>
      </c>
      <c r="M181" s="1">
        <v>16.666666670000001</v>
      </c>
      <c r="N181">
        <f>VLOOKUP(A181,vlookup_table!$A:$G,2,FALSE)</f>
        <v>0</v>
      </c>
      <c r="O181" t="str">
        <f>VLOOKUP(A181,vlookup_table!$A:$G,3,FALSE)</f>
        <v>OR</v>
      </c>
      <c r="P181">
        <f>VLOOKUP(A181,vlookup_table!$A:$G,4,FALSE)</f>
        <v>4806</v>
      </c>
      <c r="Q181" t="str">
        <f>VLOOKUP(A181,vlookup_table!$A:$G,5,FALSE)</f>
        <v>U4</v>
      </c>
      <c r="R181" t="str">
        <f>VLOOKUP(A181,vlookup_table!$A:$G,6,FALSE)</f>
        <v>F</v>
      </c>
      <c r="S181">
        <f>VLOOKUP(A181,vlookup_table!$A:$G,7,FALSE)</f>
        <v>20</v>
      </c>
      <c r="T181">
        <f t="shared" si="4"/>
        <v>48</v>
      </c>
      <c r="U181" t="str">
        <f t="shared" si="5"/>
        <v>Urbano</v>
      </c>
    </row>
    <row r="182" spans="1:21" ht="16" x14ac:dyDescent="0.4">
      <c r="A182" s="4">
        <v>150534</v>
      </c>
      <c r="B182" s="1" t="s">
        <v>21</v>
      </c>
      <c r="C182" s="1" t="s">
        <v>27</v>
      </c>
      <c r="D182" s="1">
        <v>1624</v>
      </c>
      <c r="E182" s="1">
        <v>380</v>
      </c>
      <c r="F182" s="1">
        <v>408</v>
      </c>
      <c r="G182" s="1">
        <v>13</v>
      </c>
      <c r="H182" s="1">
        <v>9685</v>
      </c>
      <c r="I182" s="1">
        <v>38</v>
      </c>
      <c r="J182" s="1">
        <v>47</v>
      </c>
      <c r="K182" s="1">
        <v>382</v>
      </c>
      <c r="L182" s="1">
        <v>407</v>
      </c>
      <c r="M182" s="1">
        <v>5</v>
      </c>
      <c r="N182">
        <f>VLOOKUP(A182,vlookup_table!$A:$G,2,FALSE)</f>
        <v>980</v>
      </c>
      <c r="O182" t="str">
        <f>VLOOKUP(A182,vlookup_table!$A:$G,3,FALSE)</f>
        <v>CA</v>
      </c>
      <c r="P182">
        <f>VLOOKUP(A182,vlookup_table!$A:$G,4,FALSE)</f>
        <v>0</v>
      </c>
      <c r="Q182" t="str">
        <f>VLOOKUP(A182,vlookup_table!$A:$G,5,FALSE)</f>
        <v>U3</v>
      </c>
      <c r="R182" t="str">
        <f>VLOOKUP(A182,vlookup_table!$A:$G,6,FALSE)</f>
        <v>U</v>
      </c>
      <c r="S182">
        <f>VLOOKUP(A182,vlookup_table!$A:$G,7,FALSE)</f>
        <v>4</v>
      </c>
      <c r="T182">
        <f t="shared" si="4"/>
        <v>96</v>
      </c>
      <c r="U182" t="str">
        <f t="shared" si="5"/>
        <v>Urbano</v>
      </c>
    </row>
    <row r="183" spans="1:21" ht="16" x14ac:dyDescent="0.4">
      <c r="A183" s="4">
        <v>68441</v>
      </c>
      <c r="B183" s="1" t="s">
        <v>26</v>
      </c>
      <c r="C183" s="1" t="s">
        <v>17</v>
      </c>
      <c r="D183" s="1">
        <v>348</v>
      </c>
      <c r="E183" s="1">
        <v>184</v>
      </c>
      <c r="F183" s="1">
        <v>316</v>
      </c>
      <c r="G183" s="1">
        <v>0</v>
      </c>
      <c r="H183" s="1">
        <v>11686</v>
      </c>
      <c r="I183" s="1">
        <v>0</v>
      </c>
      <c r="J183" s="1">
        <v>71</v>
      </c>
      <c r="K183" s="1">
        <v>269</v>
      </c>
      <c r="L183" s="1">
        <v>264</v>
      </c>
      <c r="M183" s="1">
        <v>27.5</v>
      </c>
      <c r="N183">
        <f>VLOOKUP(A183,vlookup_table!$A:$G,2,FALSE)</f>
        <v>0</v>
      </c>
      <c r="O183" t="str">
        <f>VLOOKUP(A183,vlookup_table!$A:$G,3,FALSE)</f>
        <v>MI</v>
      </c>
      <c r="P183">
        <f>VLOOKUP(A183,vlookup_table!$A:$G,4,FALSE)</f>
        <v>4201</v>
      </c>
      <c r="Q183" t="str">
        <f>VLOOKUP(A183,vlookup_table!$A:$G,5,FALSE)</f>
        <v>U4</v>
      </c>
      <c r="R183" t="str">
        <f>VLOOKUP(A183,vlookup_table!$A:$G,6,FALSE)</f>
        <v>F</v>
      </c>
      <c r="S183">
        <f>VLOOKUP(A183,vlookup_table!$A:$G,7,FALSE)</f>
        <v>30</v>
      </c>
      <c r="T183">
        <f t="shared" si="4"/>
        <v>54</v>
      </c>
      <c r="U183" t="str">
        <f t="shared" si="5"/>
        <v>Urbano</v>
      </c>
    </row>
    <row r="184" spans="1:21" ht="16" x14ac:dyDescent="0.4">
      <c r="A184" s="4">
        <v>157185</v>
      </c>
      <c r="B184" s="1" t="s">
        <v>21</v>
      </c>
      <c r="C184" s="1" t="s">
        <v>17</v>
      </c>
      <c r="D184" s="1">
        <v>1878</v>
      </c>
      <c r="E184" s="1">
        <v>523</v>
      </c>
      <c r="F184" s="1">
        <v>566</v>
      </c>
      <c r="G184" s="1">
        <v>35</v>
      </c>
      <c r="H184" s="1">
        <v>16084</v>
      </c>
      <c r="I184" s="1">
        <v>8</v>
      </c>
      <c r="J184" s="1">
        <v>62</v>
      </c>
      <c r="K184" s="1">
        <v>526</v>
      </c>
      <c r="L184" s="1">
        <v>564</v>
      </c>
      <c r="M184" s="1">
        <v>6.785652174</v>
      </c>
      <c r="N184">
        <f>VLOOKUP(A184,vlookup_table!$A:$G,2,FALSE)</f>
        <v>0</v>
      </c>
      <c r="O184" t="str">
        <f>VLOOKUP(A184,vlookup_table!$A:$G,3,FALSE)</f>
        <v>CA</v>
      </c>
      <c r="P184">
        <f>VLOOKUP(A184,vlookup_table!$A:$G,4,FALSE)</f>
        <v>0</v>
      </c>
      <c r="Q184" t="str">
        <f>VLOOKUP(A184,vlookup_table!$A:$G,5,FALSE)</f>
        <v>C1</v>
      </c>
      <c r="R184" t="str">
        <f>VLOOKUP(A184,vlookup_table!$A:$G,6,FALSE)</f>
        <v>F</v>
      </c>
      <c r="S184">
        <f>VLOOKUP(A184,vlookup_table!$A:$G,7,FALSE)</f>
        <v>5</v>
      </c>
      <c r="T184">
        <f t="shared" si="4"/>
        <v>96</v>
      </c>
      <c r="U184" t="str">
        <f t="shared" si="5"/>
        <v>Ciudad</v>
      </c>
    </row>
    <row r="185" spans="1:21" ht="16" x14ac:dyDescent="0.4">
      <c r="A185" s="4">
        <v>90816</v>
      </c>
      <c r="B185" s="1" t="s">
        <v>16</v>
      </c>
      <c r="C185" s="1" t="s">
        <v>17</v>
      </c>
      <c r="D185" s="1">
        <v>777</v>
      </c>
      <c r="E185" s="1">
        <v>378</v>
      </c>
      <c r="F185" s="1">
        <v>423</v>
      </c>
      <c r="G185" s="1">
        <v>0</v>
      </c>
      <c r="H185" s="1">
        <v>14106</v>
      </c>
      <c r="I185" s="1">
        <v>6</v>
      </c>
      <c r="J185" s="1">
        <v>84</v>
      </c>
      <c r="K185" s="1">
        <v>386</v>
      </c>
      <c r="L185" s="1">
        <v>396</v>
      </c>
      <c r="M185" s="1">
        <v>17.8</v>
      </c>
      <c r="N185">
        <f>VLOOKUP(A185,vlookup_table!$A:$G,2,FALSE)</f>
        <v>0</v>
      </c>
      <c r="O185" t="str">
        <f>VLOOKUP(A185,vlookup_table!$A:$G,3,FALSE)</f>
        <v>IL</v>
      </c>
      <c r="P185">
        <f>VLOOKUP(A185,vlookup_table!$A:$G,4,FALSE)</f>
        <v>5309</v>
      </c>
      <c r="Q185" t="str">
        <f>VLOOKUP(A185,vlookup_table!$A:$G,5,FALSE)</f>
        <v>S2</v>
      </c>
      <c r="R185" t="str">
        <f>VLOOKUP(A185,vlookup_table!$A:$G,6,FALSE)</f>
        <v>F</v>
      </c>
      <c r="S185">
        <f>VLOOKUP(A185,vlookup_table!$A:$G,7,FALSE)</f>
        <v>20</v>
      </c>
      <c r="T185">
        <f t="shared" si="4"/>
        <v>43</v>
      </c>
      <c r="U185" t="str">
        <f t="shared" si="5"/>
        <v>Suburbano</v>
      </c>
    </row>
    <row r="186" spans="1:21" ht="16" x14ac:dyDescent="0.4">
      <c r="A186" s="4">
        <v>94915</v>
      </c>
      <c r="B186" s="1" t="s">
        <v>16</v>
      </c>
      <c r="C186" s="1" t="s">
        <v>17</v>
      </c>
      <c r="D186" s="1">
        <v>1463</v>
      </c>
      <c r="E186" s="1">
        <v>117</v>
      </c>
      <c r="F186" s="1">
        <v>523</v>
      </c>
      <c r="G186" s="1">
        <v>8</v>
      </c>
      <c r="H186" s="1">
        <v>13344</v>
      </c>
      <c r="I186" s="1">
        <v>26</v>
      </c>
      <c r="J186" s="1">
        <v>60</v>
      </c>
      <c r="K186" s="1">
        <v>439</v>
      </c>
      <c r="L186" s="1">
        <v>266</v>
      </c>
      <c r="M186" s="1">
        <v>12.16666667</v>
      </c>
      <c r="N186">
        <f>VLOOKUP(A186,vlookup_table!$A:$G,2,FALSE)</f>
        <v>0</v>
      </c>
      <c r="O186" t="str">
        <f>VLOOKUP(A186,vlookup_table!$A:$G,3,FALSE)</f>
        <v>IL</v>
      </c>
      <c r="P186">
        <f>VLOOKUP(A186,vlookup_table!$A:$G,4,FALSE)</f>
        <v>4309</v>
      </c>
      <c r="Q186" t="str">
        <f>VLOOKUP(A186,vlookup_table!$A:$G,5,FALSE)</f>
        <v>U1</v>
      </c>
      <c r="R186" t="str">
        <f>VLOOKUP(A186,vlookup_table!$A:$G,6,FALSE)</f>
        <v>F</v>
      </c>
      <c r="S186">
        <f>VLOOKUP(A186,vlookup_table!$A:$G,7,FALSE)</f>
        <v>15</v>
      </c>
      <c r="T186">
        <f t="shared" si="4"/>
        <v>53</v>
      </c>
      <c r="U186" t="str">
        <f t="shared" si="5"/>
        <v>Urbano</v>
      </c>
    </row>
    <row r="187" spans="1:21" ht="16" x14ac:dyDescent="0.4">
      <c r="A187" s="4">
        <v>118392</v>
      </c>
      <c r="B187" s="1" t="s">
        <v>20</v>
      </c>
      <c r="C187" s="1" t="s">
        <v>14</v>
      </c>
      <c r="D187" s="1">
        <v>375</v>
      </c>
      <c r="E187" s="1">
        <v>153</v>
      </c>
      <c r="F187" s="1">
        <v>248</v>
      </c>
      <c r="G187" s="1">
        <v>0</v>
      </c>
      <c r="H187" s="1">
        <v>7798</v>
      </c>
      <c r="I187" s="1">
        <v>1</v>
      </c>
      <c r="J187" s="1">
        <v>84</v>
      </c>
      <c r="K187" s="1">
        <v>214</v>
      </c>
      <c r="L187" s="1">
        <v>206</v>
      </c>
      <c r="M187" s="1">
        <v>5.3478260869999996</v>
      </c>
      <c r="N187">
        <f>VLOOKUP(A187,vlookup_table!$A:$G,2,FALSE)</f>
        <v>2</v>
      </c>
      <c r="O187" t="str">
        <f>VLOOKUP(A187,vlookup_table!$A:$G,3,FALSE)</f>
        <v>TX</v>
      </c>
      <c r="P187">
        <f>VLOOKUP(A187,vlookup_table!$A:$G,4,FALSE)</f>
        <v>1701</v>
      </c>
      <c r="Q187" t="str">
        <f>VLOOKUP(A187,vlookup_table!$A:$G,5,FALSE)</f>
        <v>R3</v>
      </c>
      <c r="R187" t="str">
        <f>VLOOKUP(A187,vlookup_table!$A:$G,6,FALSE)</f>
        <v>M</v>
      </c>
      <c r="S187">
        <f>VLOOKUP(A187,vlookup_table!$A:$G,7,FALSE)</f>
        <v>12</v>
      </c>
      <c r="T187">
        <f t="shared" si="4"/>
        <v>79</v>
      </c>
      <c r="U187" t="str">
        <f t="shared" si="5"/>
        <v>Rural</v>
      </c>
    </row>
    <row r="188" spans="1:21" ht="16" x14ac:dyDescent="0.4">
      <c r="A188" s="4">
        <v>187571</v>
      </c>
      <c r="B188" s="1" t="s">
        <v>30</v>
      </c>
      <c r="C188" s="1"/>
      <c r="D188" s="1">
        <v>561</v>
      </c>
      <c r="E188" s="1">
        <v>302</v>
      </c>
      <c r="F188" s="1">
        <v>331</v>
      </c>
      <c r="G188" s="1">
        <v>1</v>
      </c>
      <c r="H188" s="1">
        <v>10873</v>
      </c>
      <c r="I188" s="1">
        <v>0</v>
      </c>
      <c r="J188" s="1">
        <v>60</v>
      </c>
      <c r="K188" s="1">
        <v>301</v>
      </c>
      <c r="L188" s="1">
        <v>323</v>
      </c>
      <c r="M188" s="1">
        <v>19.666666670000001</v>
      </c>
      <c r="N188">
        <f>VLOOKUP(A188,vlookup_table!$A:$G,2,FALSE)</f>
        <v>0</v>
      </c>
      <c r="O188" t="str">
        <f>VLOOKUP(A188,vlookup_table!$A:$G,3,FALSE)</f>
        <v>IN</v>
      </c>
      <c r="P188">
        <f>VLOOKUP(A188,vlookup_table!$A:$G,4,FALSE)</f>
        <v>0</v>
      </c>
      <c r="Q188" t="str">
        <f>VLOOKUP(A188,vlookup_table!$A:$G,5,FALSE)</f>
        <v>R2</v>
      </c>
      <c r="R188" t="str">
        <f>VLOOKUP(A188,vlookup_table!$A:$G,6,FALSE)</f>
        <v/>
      </c>
      <c r="S188">
        <f>VLOOKUP(A188,vlookup_table!$A:$G,7,FALSE)</f>
        <v>26</v>
      </c>
      <c r="T188">
        <f t="shared" si="4"/>
        <v>96</v>
      </c>
      <c r="U188" t="str">
        <f t="shared" si="5"/>
        <v>Rural</v>
      </c>
    </row>
    <row r="189" spans="1:21" ht="16" x14ac:dyDescent="0.4">
      <c r="A189" s="4">
        <v>21659</v>
      </c>
      <c r="B189" s="1" t="s">
        <v>18</v>
      </c>
      <c r="C189" s="1" t="s">
        <v>14</v>
      </c>
      <c r="D189" s="1">
        <v>502</v>
      </c>
      <c r="E189" s="1">
        <v>199</v>
      </c>
      <c r="F189" s="1">
        <v>261</v>
      </c>
      <c r="G189" s="1">
        <v>1</v>
      </c>
      <c r="H189" s="1">
        <v>8726</v>
      </c>
      <c r="I189" s="1">
        <v>0</v>
      </c>
      <c r="J189" s="1">
        <v>85</v>
      </c>
      <c r="K189" s="1">
        <v>250</v>
      </c>
      <c r="L189" s="1">
        <v>229</v>
      </c>
      <c r="M189" s="1">
        <v>7.875</v>
      </c>
      <c r="N189">
        <f>VLOOKUP(A189,vlookup_table!$A:$G,2,FALSE)</f>
        <v>1002</v>
      </c>
      <c r="O189" t="str">
        <f>VLOOKUP(A189,vlookup_table!$A:$G,3,FALSE)</f>
        <v>NC</v>
      </c>
      <c r="P189">
        <f>VLOOKUP(A189,vlookup_table!$A:$G,4,FALSE)</f>
        <v>5401</v>
      </c>
      <c r="Q189" t="str">
        <f>VLOOKUP(A189,vlookup_table!$A:$G,5,FALSE)</f>
        <v>R2</v>
      </c>
      <c r="R189" t="str">
        <f>VLOOKUP(A189,vlookup_table!$A:$G,6,FALSE)</f>
        <v>M</v>
      </c>
      <c r="S189">
        <f>VLOOKUP(A189,vlookup_table!$A:$G,7,FALSE)</f>
        <v>10</v>
      </c>
      <c r="T189">
        <f t="shared" si="4"/>
        <v>42</v>
      </c>
      <c r="U189" t="str">
        <f t="shared" si="5"/>
        <v>Rural</v>
      </c>
    </row>
    <row r="190" spans="1:21" ht="16" x14ac:dyDescent="0.4">
      <c r="A190" s="4">
        <v>157672</v>
      </c>
      <c r="B190" s="1" t="s">
        <v>21</v>
      </c>
      <c r="C190" s="1" t="s">
        <v>14</v>
      </c>
      <c r="D190" s="1">
        <v>4206</v>
      </c>
      <c r="E190" s="1">
        <v>789</v>
      </c>
      <c r="F190" s="1">
        <v>850</v>
      </c>
      <c r="G190" s="1">
        <v>93</v>
      </c>
      <c r="H190" s="1">
        <v>37411</v>
      </c>
      <c r="I190" s="1">
        <v>19</v>
      </c>
      <c r="J190" s="1">
        <v>36</v>
      </c>
      <c r="K190" s="1">
        <v>804</v>
      </c>
      <c r="L190" s="1">
        <v>834</v>
      </c>
      <c r="M190" s="1">
        <v>12.66666667</v>
      </c>
      <c r="N190">
        <f>VLOOKUP(A190,vlookup_table!$A:$G,2,FALSE)</f>
        <v>2</v>
      </c>
      <c r="O190" t="str">
        <f>VLOOKUP(A190,vlookup_table!$A:$G,3,FALSE)</f>
        <v>CA</v>
      </c>
      <c r="P190">
        <f>VLOOKUP(A190,vlookup_table!$A:$G,4,FALSE)</f>
        <v>3101</v>
      </c>
      <c r="Q190" t="str">
        <f>VLOOKUP(A190,vlookup_table!$A:$G,5,FALSE)</f>
        <v>C1</v>
      </c>
      <c r="R190" t="str">
        <f>VLOOKUP(A190,vlookup_table!$A:$G,6,FALSE)</f>
        <v>M</v>
      </c>
      <c r="S190">
        <f>VLOOKUP(A190,vlookup_table!$A:$G,7,FALSE)</f>
        <v>10</v>
      </c>
      <c r="T190">
        <f t="shared" si="4"/>
        <v>65</v>
      </c>
      <c r="U190" t="str">
        <f t="shared" si="5"/>
        <v>Ciudad</v>
      </c>
    </row>
    <row r="191" spans="1:21" ht="16" x14ac:dyDescent="0.4">
      <c r="A191" s="4">
        <v>64166</v>
      </c>
      <c r="B191" s="1" t="s">
        <v>30</v>
      </c>
      <c r="C191" s="1" t="s">
        <v>14</v>
      </c>
      <c r="D191" s="1">
        <v>800</v>
      </c>
      <c r="E191" s="1">
        <v>283</v>
      </c>
      <c r="F191" s="1">
        <v>425</v>
      </c>
      <c r="G191" s="1">
        <v>4</v>
      </c>
      <c r="H191" s="1">
        <v>15160</v>
      </c>
      <c r="I191" s="1">
        <v>7</v>
      </c>
      <c r="J191" s="1">
        <v>60</v>
      </c>
      <c r="K191" s="1">
        <v>398</v>
      </c>
      <c r="L191" s="1">
        <v>338</v>
      </c>
      <c r="M191" s="1">
        <v>16.600000000000001</v>
      </c>
      <c r="N191">
        <f>VLOOKUP(A191,vlookup_table!$A:$G,2,FALSE)</f>
        <v>1</v>
      </c>
      <c r="O191" t="str">
        <f>VLOOKUP(A191,vlookup_table!$A:$G,3,FALSE)</f>
        <v>IN</v>
      </c>
      <c r="P191">
        <f>VLOOKUP(A191,vlookup_table!$A:$G,4,FALSE)</f>
        <v>1701</v>
      </c>
      <c r="Q191" t="str">
        <f>VLOOKUP(A191,vlookup_table!$A:$G,5,FALSE)</f>
        <v>T2</v>
      </c>
      <c r="R191" t="str">
        <f>VLOOKUP(A191,vlookup_table!$A:$G,6,FALSE)</f>
        <v>M</v>
      </c>
      <c r="S191">
        <f>VLOOKUP(A191,vlookup_table!$A:$G,7,FALSE)</f>
        <v>23</v>
      </c>
      <c r="T191">
        <f t="shared" si="4"/>
        <v>79</v>
      </c>
      <c r="U191" t="str">
        <f t="shared" si="5"/>
        <v>Pueblo</v>
      </c>
    </row>
    <row r="192" spans="1:21" ht="16" x14ac:dyDescent="0.4">
      <c r="A192" s="4">
        <v>185304</v>
      </c>
      <c r="B192" s="1" t="s">
        <v>45</v>
      </c>
      <c r="C192" s="1" t="s">
        <v>14</v>
      </c>
      <c r="D192" s="1">
        <v>1472</v>
      </c>
      <c r="E192" s="1">
        <v>625</v>
      </c>
      <c r="F192" s="1">
        <v>732</v>
      </c>
      <c r="G192" s="1">
        <v>27</v>
      </c>
      <c r="H192" s="1">
        <v>27469</v>
      </c>
      <c r="I192" s="1">
        <v>3</v>
      </c>
      <c r="J192" s="1">
        <v>24</v>
      </c>
      <c r="K192" s="1">
        <v>653</v>
      </c>
      <c r="L192" s="1">
        <v>687</v>
      </c>
      <c r="M192" s="1">
        <v>15.21428571</v>
      </c>
      <c r="N192">
        <f>VLOOKUP(A192,vlookup_table!$A:$G,2,FALSE)</f>
        <v>1</v>
      </c>
      <c r="O192" t="str">
        <f>VLOOKUP(A192,vlookup_table!$A:$G,3,FALSE)</f>
        <v>CO</v>
      </c>
      <c r="P192">
        <f>VLOOKUP(A192,vlookup_table!$A:$G,4,FALSE)</f>
        <v>2505</v>
      </c>
      <c r="Q192" t="str">
        <f>VLOOKUP(A192,vlookup_table!$A:$G,5,FALSE)</f>
        <v>T1</v>
      </c>
      <c r="R192" t="str">
        <f>VLOOKUP(A192,vlookup_table!$A:$G,6,FALSE)</f>
        <v>M</v>
      </c>
      <c r="S192">
        <f>VLOOKUP(A192,vlookup_table!$A:$G,7,FALSE)</f>
        <v>21</v>
      </c>
      <c r="T192">
        <f t="shared" si="4"/>
        <v>71</v>
      </c>
      <c r="U192" t="str">
        <f t="shared" si="5"/>
        <v>Pueblo</v>
      </c>
    </row>
    <row r="193" spans="1:21" ht="16" x14ac:dyDescent="0.4">
      <c r="A193" s="4">
        <v>57963</v>
      </c>
      <c r="B193" s="1" t="s">
        <v>53</v>
      </c>
      <c r="C193" s="1" t="s">
        <v>17</v>
      </c>
      <c r="D193" s="1">
        <v>492</v>
      </c>
      <c r="E193" s="1">
        <v>332</v>
      </c>
      <c r="F193" s="1">
        <v>471</v>
      </c>
      <c r="G193" s="1">
        <v>3</v>
      </c>
      <c r="H193" s="1">
        <v>21410</v>
      </c>
      <c r="I193" s="1">
        <v>0</v>
      </c>
      <c r="J193" s="1">
        <v>71</v>
      </c>
      <c r="K193" s="1">
        <v>450</v>
      </c>
      <c r="L193" s="1">
        <v>425</v>
      </c>
      <c r="M193" s="1">
        <v>8.4375</v>
      </c>
      <c r="N193">
        <f>VLOOKUP(A193,vlookup_table!$A:$G,2,FALSE)</f>
        <v>28</v>
      </c>
      <c r="O193" t="str">
        <f>VLOOKUP(A193,vlookup_table!$A:$G,3,FALSE)</f>
        <v>KY</v>
      </c>
      <c r="P193">
        <f>VLOOKUP(A193,vlookup_table!$A:$G,4,FALSE)</f>
        <v>2709</v>
      </c>
      <c r="Q193" t="str">
        <f>VLOOKUP(A193,vlookup_table!$A:$G,5,FALSE)</f>
        <v>C2</v>
      </c>
      <c r="R193" t="str">
        <f>VLOOKUP(A193,vlookup_table!$A:$G,6,FALSE)</f>
        <v>F</v>
      </c>
      <c r="S193">
        <f>VLOOKUP(A193,vlookup_table!$A:$G,7,FALSE)</f>
        <v>10</v>
      </c>
      <c r="T193">
        <f t="shared" si="4"/>
        <v>69</v>
      </c>
      <c r="U193" t="str">
        <f t="shared" si="5"/>
        <v>Ciudad</v>
      </c>
    </row>
    <row r="194" spans="1:21" ht="16" x14ac:dyDescent="0.4">
      <c r="A194" s="4">
        <v>98249</v>
      </c>
      <c r="B194" s="1" t="s">
        <v>16</v>
      </c>
      <c r="C194" s="1" t="s">
        <v>17</v>
      </c>
      <c r="D194" s="1">
        <v>609</v>
      </c>
      <c r="E194" s="1">
        <v>314</v>
      </c>
      <c r="F194" s="1">
        <v>385</v>
      </c>
      <c r="G194" s="1">
        <v>1</v>
      </c>
      <c r="H194" s="1">
        <v>11360</v>
      </c>
      <c r="I194" s="1">
        <v>0</v>
      </c>
      <c r="J194" s="1">
        <v>92</v>
      </c>
      <c r="K194" s="1">
        <v>347</v>
      </c>
      <c r="L194" s="1">
        <v>349</v>
      </c>
      <c r="M194" s="1">
        <v>6.6666666670000003</v>
      </c>
      <c r="N194">
        <f>VLOOKUP(A194,vlookup_table!$A:$G,2,FALSE)</f>
        <v>0</v>
      </c>
      <c r="O194" t="str">
        <f>VLOOKUP(A194,vlookup_table!$A:$G,3,FALSE)</f>
        <v>IL</v>
      </c>
      <c r="P194">
        <f>VLOOKUP(A194,vlookup_table!$A:$G,4,FALSE)</f>
        <v>0</v>
      </c>
      <c r="Q194" t="str">
        <f>VLOOKUP(A194,vlookup_table!$A:$G,5,FALSE)</f>
        <v>R2</v>
      </c>
      <c r="R194" t="str">
        <f>VLOOKUP(A194,vlookup_table!$A:$G,6,FALSE)</f>
        <v>F</v>
      </c>
      <c r="S194">
        <f>VLOOKUP(A194,vlookup_table!$A:$G,7,FALSE)</f>
        <v>10</v>
      </c>
      <c r="T194">
        <f t="shared" si="4"/>
        <v>96</v>
      </c>
      <c r="U194" t="str">
        <f t="shared" si="5"/>
        <v>Rural</v>
      </c>
    </row>
    <row r="195" spans="1:21" ht="16" x14ac:dyDescent="0.4">
      <c r="A195" s="4">
        <v>153689</v>
      </c>
      <c r="B195" s="1" t="s">
        <v>21</v>
      </c>
      <c r="C195" s="1" t="s">
        <v>17</v>
      </c>
      <c r="D195" s="1">
        <v>2430</v>
      </c>
      <c r="E195" s="1">
        <v>604</v>
      </c>
      <c r="F195" s="1">
        <v>669</v>
      </c>
      <c r="G195" s="1">
        <v>85</v>
      </c>
      <c r="H195" s="1">
        <v>20529</v>
      </c>
      <c r="I195" s="1">
        <v>11</v>
      </c>
      <c r="J195" s="1">
        <v>42</v>
      </c>
      <c r="K195" s="1">
        <v>610</v>
      </c>
      <c r="L195" s="1">
        <v>659</v>
      </c>
      <c r="M195" s="1">
        <v>9.5</v>
      </c>
      <c r="N195">
        <f>VLOOKUP(A195,vlookup_table!$A:$G,2,FALSE)</f>
        <v>0</v>
      </c>
      <c r="O195" t="str">
        <f>VLOOKUP(A195,vlookup_table!$A:$G,3,FALSE)</f>
        <v>CA</v>
      </c>
      <c r="P195">
        <f>VLOOKUP(A195,vlookup_table!$A:$G,4,FALSE)</f>
        <v>3001</v>
      </c>
      <c r="Q195" t="str">
        <f>VLOOKUP(A195,vlookup_table!$A:$G,5,FALSE)</f>
        <v>S1</v>
      </c>
      <c r="R195" t="str">
        <f>VLOOKUP(A195,vlookup_table!$A:$G,6,FALSE)</f>
        <v>F</v>
      </c>
      <c r="S195">
        <f>VLOOKUP(A195,vlookup_table!$A:$G,7,FALSE)</f>
        <v>20</v>
      </c>
      <c r="T195">
        <f t="shared" ref="T195:T258" si="6">97-LEFT(P195,2)-IF(RIGHT(P195,2)&gt;6,1,0)</f>
        <v>66</v>
      </c>
      <c r="U195" t="str">
        <f t="shared" ref="U195:U258" si="7">IF(LEFT(Q195,1)="C","Ciudad",IF(LEFT(Q195,1)="T","Pueblo",IF(LEFT(Q195,1)="R","Rural",IF(LEFT(Q195,1)="S","Suburbano",IF(LEFT(Q195,1)="U","Urbano","")))))</f>
        <v>Suburbano</v>
      </c>
    </row>
    <row r="196" spans="1:21" ht="16" x14ac:dyDescent="0.4">
      <c r="A196" s="4">
        <v>157807</v>
      </c>
      <c r="B196" s="1" t="s">
        <v>21</v>
      </c>
      <c r="C196" s="1" t="s">
        <v>14</v>
      </c>
      <c r="D196" s="1">
        <v>2559</v>
      </c>
      <c r="E196" s="1">
        <v>581</v>
      </c>
      <c r="F196" s="1">
        <v>651</v>
      </c>
      <c r="G196" s="1">
        <v>84</v>
      </c>
      <c r="H196" s="1">
        <v>21559</v>
      </c>
      <c r="I196" s="1">
        <v>13</v>
      </c>
      <c r="J196" s="1">
        <v>51</v>
      </c>
      <c r="K196" s="1">
        <v>591</v>
      </c>
      <c r="L196" s="1">
        <v>614</v>
      </c>
      <c r="M196" s="1">
        <v>10.25</v>
      </c>
      <c r="N196">
        <f>VLOOKUP(A196,vlookup_table!$A:$G,2,FALSE)</f>
        <v>1</v>
      </c>
      <c r="O196" t="str">
        <f>VLOOKUP(A196,vlookup_table!$A:$G,3,FALSE)</f>
        <v>CA</v>
      </c>
      <c r="P196">
        <f>VLOOKUP(A196,vlookup_table!$A:$G,4,FALSE)</f>
        <v>2401</v>
      </c>
      <c r="Q196" t="str">
        <f>VLOOKUP(A196,vlookup_table!$A:$G,5,FALSE)</f>
        <v>S1</v>
      </c>
      <c r="R196" t="str">
        <f>VLOOKUP(A196,vlookup_table!$A:$G,6,FALSE)</f>
        <v>M</v>
      </c>
      <c r="S196">
        <f>VLOOKUP(A196,vlookup_table!$A:$G,7,FALSE)</f>
        <v>16</v>
      </c>
      <c r="T196">
        <f t="shared" si="6"/>
        <v>72</v>
      </c>
      <c r="U196" t="str">
        <f t="shared" si="7"/>
        <v>Suburbano</v>
      </c>
    </row>
    <row r="197" spans="1:21" ht="16" x14ac:dyDescent="0.4">
      <c r="A197" s="4">
        <v>41715</v>
      </c>
      <c r="B197" s="1" t="s">
        <v>13</v>
      </c>
      <c r="C197" s="1"/>
      <c r="D197" s="1">
        <v>696</v>
      </c>
      <c r="E197" s="1">
        <v>272</v>
      </c>
      <c r="F197" s="1">
        <v>427</v>
      </c>
      <c r="G197" s="1">
        <v>7</v>
      </c>
      <c r="H197" s="1">
        <v>16474</v>
      </c>
      <c r="I197" s="1">
        <v>7</v>
      </c>
      <c r="J197" s="1">
        <v>22</v>
      </c>
      <c r="K197" s="1">
        <v>357</v>
      </c>
      <c r="L197" s="1">
        <v>358</v>
      </c>
      <c r="M197" s="1">
        <v>3.3</v>
      </c>
      <c r="N197">
        <f>VLOOKUP(A197,vlookup_table!$A:$G,2,FALSE)</f>
        <v>0</v>
      </c>
      <c r="O197" t="str">
        <f>VLOOKUP(A197,vlookup_table!$A:$G,3,FALSE)</f>
        <v>FL</v>
      </c>
      <c r="P197">
        <f>VLOOKUP(A197,vlookup_table!$A:$G,4,FALSE)</f>
        <v>0</v>
      </c>
      <c r="Q197" t="str">
        <f>VLOOKUP(A197,vlookup_table!$A:$G,5,FALSE)</f>
        <v>U3</v>
      </c>
      <c r="R197" t="str">
        <f>VLOOKUP(A197,vlookup_table!$A:$G,6,FALSE)</f>
        <v/>
      </c>
      <c r="S197">
        <f>VLOOKUP(A197,vlookup_table!$A:$G,7,FALSE)</f>
        <v>3</v>
      </c>
      <c r="T197">
        <f t="shared" si="6"/>
        <v>96</v>
      </c>
      <c r="U197" t="str">
        <f t="shared" si="7"/>
        <v>Urbano</v>
      </c>
    </row>
    <row r="198" spans="1:21" ht="16" x14ac:dyDescent="0.4">
      <c r="A198" s="4">
        <v>45356</v>
      </c>
      <c r="B198" s="1" t="s">
        <v>13</v>
      </c>
      <c r="C198" s="1" t="s">
        <v>14</v>
      </c>
      <c r="D198" s="1">
        <v>762</v>
      </c>
      <c r="E198" s="1">
        <v>254</v>
      </c>
      <c r="F198" s="1">
        <v>411</v>
      </c>
      <c r="G198" s="1">
        <v>7</v>
      </c>
      <c r="H198" s="1">
        <v>17458</v>
      </c>
      <c r="I198" s="1">
        <v>7</v>
      </c>
      <c r="J198" s="1">
        <v>13</v>
      </c>
      <c r="K198" s="1">
        <v>355</v>
      </c>
      <c r="L198" s="1">
        <v>327</v>
      </c>
      <c r="M198" s="1">
        <v>6.6086956519999998</v>
      </c>
      <c r="N198">
        <f>VLOOKUP(A198,vlookup_table!$A:$G,2,FALSE)</f>
        <v>1</v>
      </c>
      <c r="O198" t="str">
        <f>VLOOKUP(A198,vlookup_table!$A:$G,3,FALSE)</f>
        <v>FL</v>
      </c>
      <c r="P198">
        <f>VLOOKUP(A198,vlookup_table!$A:$G,4,FALSE)</f>
        <v>2006</v>
      </c>
      <c r="Q198" t="str">
        <f>VLOOKUP(A198,vlookup_table!$A:$G,5,FALSE)</f>
        <v>U2</v>
      </c>
      <c r="R198" t="str">
        <f>VLOOKUP(A198,vlookup_table!$A:$G,6,FALSE)</f>
        <v>M</v>
      </c>
      <c r="S198">
        <f>VLOOKUP(A198,vlookup_table!$A:$G,7,FALSE)</f>
        <v>8</v>
      </c>
      <c r="T198">
        <f t="shared" si="6"/>
        <v>76</v>
      </c>
      <c r="U198" t="str">
        <f t="shared" si="7"/>
        <v>Urbano</v>
      </c>
    </row>
    <row r="199" spans="1:21" ht="16" x14ac:dyDescent="0.4">
      <c r="A199" s="4">
        <v>163506</v>
      </c>
      <c r="B199" s="1" t="s">
        <v>21</v>
      </c>
      <c r="C199" s="1" t="s">
        <v>17</v>
      </c>
      <c r="D199" s="1">
        <v>3556</v>
      </c>
      <c r="E199" s="1">
        <v>735</v>
      </c>
      <c r="F199" s="1">
        <v>805</v>
      </c>
      <c r="G199" s="1">
        <v>98</v>
      </c>
      <c r="H199" s="1">
        <v>34382</v>
      </c>
      <c r="I199" s="1">
        <v>9</v>
      </c>
      <c r="J199" s="1">
        <v>55</v>
      </c>
      <c r="K199" s="1">
        <v>701</v>
      </c>
      <c r="L199" s="1">
        <v>838</v>
      </c>
      <c r="M199" s="1">
        <v>15.85714286</v>
      </c>
      <c r="N199">
        <f>VLOOKUP(A199,vlookup_table!$A:$G,2,FALSE)</f>
        <v>0</v>
      </c>
      <c r="O199" t="str">
        <f>VLOOKUP(A199,vlookup_table!$A:$G,3,FALSE)</f>
        <v>CA</v>
      </c>
      <c r="P199">
        <f>VLOOKUP(A199,vlookup_table!$A:$G,4,FALSE)</f>
        <v>0</v>
      </c>
      <c r="Q199" t="str">
        <f>VLOOKUP(A199,vlookup_table!$A:$G,5,FALSE)</f>
        <v>U1</v>
      </c>
      <c r="R199" t="str">
        <f>VLOOKUP(A199,vlookup_table!$A:$G,6,FALSE)</f>
        <v>F</v>
      </c>
      <c r="S199">
        <f>VLOOKUP(A199,vlookup_table!$A:$G,7,FALSE)</f>
        <v>15</v>
      </c>
      <c r="T199">
        <f t="shared" si="6"/>
        <v>96</v>
      </c>
      <c r="U199" t="str">
        <f t="shared" si="7"/>
        <v>Urbano</v>
      </c>
    </row>
    <row r="200" spans="1:21" ht="16" x14ac:dyDescent="0.4">
      <c r="A200" s="4">
        <v>107727</v>
      </c>
      <c r="B200" s="1" t="s">
        <v>55</v>
      </c>
      <c r="C200" s="1" t="s">
        <v>17</v>
      </c>
      <c r="D200" s="1">
        <v>441</v>
      </c>
      <c r="E200" s="1">
        <v>260</v>
      </c>
      <c r="F200" s="1">
        <v>353</v>
      </c>
      <c r="G200" s="1">
        <v>0</v>
      </c>
      <c r="H200" s="1">
        <v>12452</v>
      </c>
      <c r="I200" s="1">
        <v>1</v>
      </c>
      <c r="J200" s="1">
        <v>75</v>
      </c>
      <c r="K200" s="1">
        <v>321</v>
      </c>
      <c r="L200" s="1">
        <v>300</v>
      </c>
      <c r="M200" s="1">
        <v>5.2790697670000002</v>
      </c>
      <c r="N200">
        <f>VLOOKUP(A200,vlookup_table!$A:$G,2,FALSE)</f>
        <v>0</v>
      </c>
      <c r="O200" t="str">
        <f>VLOOKUP(A200,vlookup_table!$A:$G,3,FALSE)</f>
        <v>NE</v>
      </c>
      <c r="P200">
        <f>VLOOKUP(A200,vlookup_table!$A:$G,4,FALSE)</f>
        <v>4007</v>
      </c>
      <c r="Q200" t="str">
        <f>VLOOKUP(A200,vlookup_table!$A:$G,5,FALSE)</f>
        <v>T2</v>
      </c>
      <c r="R200" t="str">
        <f>VLOOKUP(A200,vlookup_table!$A:$G,6,FALSE)</f>
        <v>F</v>
      </c>
      <c r="S200">
        <f>VLOOKUP(A200,vlookup_table!$A:$G,7,FALSE)</f>
        <v>7</v>
      </c>
      <c r="T200">
        <f t="shared" si="6"/>
        <v>56</v>
      </c>
      <c r="U200" t="str">
        <f t="shared" si="7"/>
        <v>Pueblo</v>
      </c>
    </row>
    <row r="201" spans="1:21" ht="16" x14ac:dyDescent="0.4">
      <c r="A201" s="4">
        <v>64212</v>
      </c>
      <c r="B201" s="1" t="s">
        <v>30</v>
      </c>
      <c r="C201" s="1" t="s">
        <v>17</v>
      </c>
      <c r="D201" s="1">
        <v>502</v>
      </c>
      <c r="E201" s="1">
        <v>319</v>
      </c>
      <c r="F201" s="1">
        <v>388</v>
      </c>
      <c r="G201" s="1">
        <v>0</v>
      </c>
      <c r="H201" s="1">
        <v>12989</v>
      </c>
      <c r="I201" s="1">
        <v>1</v>
      </c>
      <c r="J201" s="1">
        <v>80</v>
      </c>
      <c r="K201" s="1">
        <v>363</v>
      </c>
      <c r="L201" s="1">
        <v>341</v>
      </c>
      <c r="M201" s="1">
        <v>15.66666667</v>
      </c>
      <c r="N201">
        <f>VLOOKUP(A201,vlookup_table!$A:$G,2,FALSE)</f>
        <v>0</v>
      </c>
      <c r="O201" t="str">
        <f>VLOOKUP(A201,vlookup_table!$A:$G,3,FALSE)</f>
        <v>IN</v>
      </c>
      <c r="P201">
        <f>VLOOKUP(A201,vlookup_table!$A:$G,4,FALSE)</f>
        <v>2601</v>
      </c>
      <c r="Q201" t="str">
        <f>VLOOKUP(A201,vlookup_table!$A:$G,5,FALSE)</f>
        <v>C2</v>
      </c>
      <c r="R201" t="str">
        <f>VLOOKUP(A201,vlookup_table!$A:$G,6,FALSE)</f>
        <v>F</v>
      </c>
      <c r="S201">
        <f>VLOOKUP(A201,vlookup_table!$A:$G,7,FALSE)</f>
        <v>20</v>
      </c>
      <c r="T201">
        <f t="shared" si="6"/>
        <v>70</v>
      </c>
      <c r="U201" t="str">
        <f t="shared" si="7"/>
        <v>Ciudad</v>
      </c>
    </row>
    <row r="202" spans="1:21" ht="16" x14ac:dyDescent="0.4">
      <c r="A202" s="4">
        <v>60252</v>
      </c>
      <c r="B202" s="1" t="s">
        <v>30</v>
      </c>
      <c r="C202" s="1" t="s">
        <v>14</v>
      </c>
      <c r="D202" s="1">
        <v>673</v>
      </c>
      <c r="E202" s="1">
        <v>284</v>
      </c>
      <c r="F202" s="1">
        <v>373</v>
      </c>
      <c r="G202" s="1">
        <v>0</v>
      </c>
      <c r="H202" s="1">
        <v>15149</v>
      </c>
      <c r="I202" s="1">
        <v>1</v>
      </c>
      <c r="J202" s="1">
        <v>67</v>
      </c>
      <c r="K202" s="1">
        <v>330</v>
      </c>
      <c r="L202" s="1">
        <v>335</v>
      </c>
      <c r="M202" s="1">
        <v>13.45454546</v>
      </c>
      <c r="N202">
        <f>VLOOKUP(A202,vlookup_table!$A:$G,2,FALSE)</f>
        <v>1</v>
      </c>
      <c r="O202" t="str">
        <f>VLOOKUP(A202,vlookup_table!$A:$G,3,FALSE)</f>
        <v>IN</v>
      </c>
      <c r="P202">
        <f>VLOOKUP(A202,vlookup_table!$A:$G,4,FALSE)</f>
        <v>0</v>
      </c>
      <c r="Q202" t="str">
        <f>VLOOKUP(A202,vlookup_table!$A:$G,5,FALSE)</f>
        <v>S2</v>
      </c>
      <c r="R202" t="str">
        <f>VLOOKUP(A202,vlookup_table!$A:$G,6,FALSE)</f>
        <v>M</v>
      </c>
      <c r="S202">
        <f>VLOOKUP(A202,vlookup_table!$A:$G,7,FALSE)</f>
        <v>15</v>
      </c>
      <c r="T202">
        <f t="shared" si="6"/>
        <v>96</v>
      </c>
      <c r="U202" t="str">
        <f t="shared" si="7"/>
        <v>Suburbano</v>
      </c>
    </row>
    <row r="203" spans="1:21" ht="16" x14ac:dyDescent="0.4">
      <c r="A203" s="4">
        <v>45101</v>
      </c>
      <c r="B203" s="1" t="s">
        <v>13</v>
      </c>
      <c r="C203" s="1" t="s">
        <v>17</v>
      </c>
      <c r="D203" s="1">
        <v>1173</v>
      </c>
      <c r="E203" s="1">
        <v>322</v>
      </c>
      <c r="F203" s="1">
        <v>494</v>
      </c>
      <c r="G203" s="1">
        <v>5</v>
      </c>
      <c r="H203" s="1">
        <v>18738</v>
      </c>
      <c r="I203" s="1">
        <v>7</v>
      </c>
      <c r="J203" s="1">
        <v>14</v>
      </c>
      <c r="K203" s="1">
        <v>424</v>
      </c>
      <c r="L203" s="1">
        <v>407</v>
      </c>
      <c r="M203" s="1">
        <v>4.125</v>
      </c>
      <c r="N203">
        <f>VLOOKUP(A203,vlookup_table!$A:$G,2,FALSE)</f>
        <v>2</v>
      </c>
      <c r="O203" t="str">
        <f>VLOOKUP(A203,vlookup_table!$A:$G,3,FALSE)</f>
        <v>FL</v>
      </c>
      <c r="P203">
        <f>VLOOKUP(A203,vlookup_table!$A:$G,4,FALSE)</f>
        <v>0</v>
      </c>
      <c r="Q203" t="str">
        <f>VLOOKUP(A203,vlookup_table!$A:$G,5,FALSE)</f>
        <v>C1</v>
      </c>
      <c r="R203" t="str">
        <f>VLOOKUP(A203,vlookup_table!$A:$G,6,FALSE)</f>
        <v>F</v>
      </c>
      <c r="S203">
        <f>VLOOKUP(A203,vlookup_table!$A:$G,7,FALSE)</f>
        <v>3</v>
      </c>
      <c r="T203">
        <f t="shared" si="6"/>
        <v>96</v>
      </c>
      <c r="U203" t="str">
        <f t="shared" si="7"/>
        <v>Ciudad</v>
      </c>
    </row>
    <row r="204" spans="1:21" ht="16" x14ac:dyDescent="0.4">
      <c r="A204" s="4">
        <v>36528</v>
      </c>
      <c r="B204" s="1" t="s">
        <v>13</v>
      </c>
      <c r="C204" s="1" t="s">
        <v>17</v>
      </c>
      <c r="D204" s="1">
        <v>934</v>
      </c>
      <c r="E204" s="1">
        <v>323</v>
      </c>
      <c r="F204" s="1">
        <v>400</v>
      </c>
      <c r="G204" s="1">
        <v>1</v>
      </c>
      <c r="H204" s="1">
        <v>9980</v>
      </c>
      <c r="I204" s="1">
        <v>73</v>
      </c>
      <c r="J204" s="1">
        <v>17</v>
      </c>
      <c r="K204" s="1">
        <v>373</v>
      </c>
      <c r="L204" s="1">
        <v>376</v>
      </c>
      <c r="M204" s="1">
        <v>25</v>
      </c>
      <c r="N204">
        <f>VLOOKUP(A204,vlookup_table!$A:$G,2,FALSE)</f>
        <v>0</v>
      </c>
      <c r="O204" t="str">
        <f>VLOOKUP(A204,vlookup_table!$A:$G,3,FALSE)</f>
        <v>FL</v>
      </c>
      <c r="P204">
        <f>VLOOKUP(A204,vlookup_table!$A:$G,4,FALSE)</f>
        <v>2303</v>
      </c>
      <c r="Q204" t="str">
        <f>VLOOKUP(A204,vlookup_table!$A:$G,5,FALSE)</f>
        <v>S2</v>
      </c>
      <c r="R204" t="str">
        <f>VLOOKUP(A204,vlookup_table!$A:$G,6,FALSE)</f>
        <v>F</v>
      </c>
      <c r="S204">
        <f>VLOOKUP(A204,vlookup_table!$A:$G,7,FALSE)</f>
        <v>25</v>
      </c>
      <c r="T204">
        <f t="shared" si="6"/>
        <v>73</v>
      </c>
      <c r="U204" t="str">
        <f t="shared" si="7"/>
        <v>Suburbano</v>
      </c>
    </row>
    <row r="205" spans="1:21" ht="16" x14ac:dyDescent="0.4">
      <c r="A205" s="4">
        <v>38820</v>
      </c>
      <c r="B205" s="1" t="s">
        <v>13</v>
      </c>
      <c r="C205" s="1" t="s">
        <v>14</v>
      </c>
      <c r="D205" s="1">
        <v>1332</v>
      </c>
      <c r="E205" s="1">
        <v>357</v>
      </c>
      <c r="F205" s="1">
        <v>497</v>
      </c>
      <c r="G205" s="1">
        <v>2</v>
      </c>
      <c r="H205" s="1">
        <v>21444</v>
      </c>
      <c r="I205" s="1">
        <v>14</v>
      </c>
      <c r="J205" s="1">
        <v>15</v>
      </c>
      <c r="K205" s="1">
        <v>411</v>
      </c>
      <c r="L205" s="1">
        <v>422</v>
      </c>
      <c r="M205" s="1">
        <v>9.576923077</v>
      </c>
      <c r="N205">
        <f>VLOOKUP(A205,vlookup_table!$A:$G,2,FALSE)</f>
        <v>2</v>
      </c>
      <c r="O205" t="str">
        <f>VLOOKUP(A205,vlookup_table!$A:$G,3,FALSE)</f>
        <v>FL</v>
      </c>
      <c r="P205">
        <f>VLOOKUP(A205,vlookup_table!$A:$G,4,FALSE)</f>
        <v>1306</v>
      </c>
      <c r="Q205" t="str">
        <f>VLOOKUP(A205,vlookup_table!$A:$G,5,FALSE)</f>
        <v>C1</v>
      </c>
      <c r="R205" t="str">
        <f>VLOOKUP(A205,vlookup_table!$A:$G,6,FALSE)</f>
        <v>M</v>
      </c>
      <c r="S205">
        <f>VLOOKUP(A205,vlookup_table!$A:$G,7,FALSE)</f>
        <v>20</v>
      </c>
      <c r="T205">
        <f t="shared" si="6"/>
        <v>83</v>
      </c>
      <c r="U205" t="str">
        <f t="shared" si="7"/>
        <v>Ciudad</v>
      </c>
    </row>
    <row r="206" spans="1:21" ht="16" x14ac:dyDescent="0.4">
      <c r="A206" s="4">
        <v>133906</v>
      </c>
      <c r="B206" s="1" t="s">
        <v>38</v>
      </c>
      <c r="C206" s="1" t="s">
        <v>17</v>
      </c>
      <c r="D206" s="1">
        <v>451</v>
      </c>
      <c r="E206" s="1">
        <v>225</v>
      </c>
      <c r="F206" s="1">
        <v>294</v>
      </c>
      <c r="G206" s="1">
        <v>1</v>
      </c>
      <c r="H206" s="1">
        <v>10244</v>
      </c>
      <c r="I206" s="1">
        <v>1</v>
      </c>
      <c r="J206" s="1">
        <v>43</v>
      </c>
      <c r="K206" s="1">
        <v>261</v>
      </c>
      <c r="L206" s="1">
        <v>262</v>
      </c>
      <c r="M206" s="1">
        <v>15</v>
      </c>
      <c r="N206">
        <f>VLOOKUP(A206,vlookup_table!$A:$G,2,FALSE)</f>
        <v>0</v>
      </c>
      <c r="O206" t="str">
        <f>VLOOKUP(A206,vlookup_table!$A:$G,3,FALSE)</f>
        <v>ID</v>
      </c>
      <c r="P206">
        <f>VLOOKUP(A206,vlookup_table!$A:$G,4,FALSE)</f>
        <v>0</v>
      </c>
      <c r="Q206" t="str">
        <f>VLOOKUP(A206,vlookup_table!$A:$G,5,FALSE)</f>
        <v>R2</v>
      </c>
      <c r="R206" t="str">
        <f>VLOOKUP(A206,vlookup_table!$A:$G,6,FALSE)</f>
        <v>F</v>
      </c>
      <c r="S206">
        <f>VLOOKUP(A206,vlookup_table!$A:$G,7,FALSE)</f>
        <v>10</v>
      </c>
      <c r="T206">
        <f t="shared" si="6"/>
        <v>96</v>
      </c>
      <c r="U206" t="str">
        <f t="shared" si="7"/>
        <v>Rural</v>
      </c>
    </row>
    <row r="207" spans="1:21" ht="16" x14ac:dyDescent="0.4">
      <c r="A207" s="4">
        <v>12226</v>
      </c>
      <c r="B207" s="1" t="s">
        <v>45</v>
      </c>
      <c r="C207" s="1" t="s">
        <v>17</v>
      </c>
      <c r="D207" s="1">
        <v>649</v>
      </c>
      <c r="E207" s="1">
        <v>238</v>
      </c>
      <c r="F207" s="1">
        <v>302</v>
      </c>
      <c r="G207" s="1">
        <v>0</v>
      </c>
      <c r="H207" s="1">
        <v>10417</v>
      </c>
      <c r="I207" s="1">
        <v>7</v>
      </c>
      <c r="J207" s="1">
        <v>60</v>
      </c>
      <c r="K207" s="1">
        <v>273</v>
      </c>
      <c r="L207" s="1">
        <v>272</v>
      </c>
      <c r="M207" s="1">
        <v>5.4117647059999996</v>
      </c>
      <c r="N207">
        <f>VLOOKUP(A207,vlookup_table!$A:$G,2,FALSE)</f>
        <v>0</v>
      </c>
      <c r="O207" t="str">
        <f>VLOOKUP(A207,vlookup_table!$A:$G,3,FALSE)</f>
        <v>CO</v>
      </c>
      <c r="P207">
        <f>VLOOKUP(A207,vlookup_table!$A:$G,4,FALSE)</f>
        <v>1301</v>
      </c>
      <c r="Q207" t="str">
        <f>VLOOKUP(A207,vlookup_table!$A:$G,5,FALSE)</f>
        <v>C2</v>
      </c>
      <c r="R207" t="str">
        <f>VLOOKUP(A207,vlookup_table!$A:$G,6,FALSE)</f>
        <v>F</v>
      </c>
      <c r="S207">
        <f>VLOOKUP(A207,vlookup_table!$A:$G,7,FALSE)</f>
        <v>8</v>
      </c>
      <c r="T207">
        <f t="shared" si="6"/>
        <v>83</v>
      </c>
      <c r="U207" t="str">
        <f t="shared" si="7"/>
        <v>Ciudad</v>
      </c>
    </row>
    <row r="208" spans="1:21" ht="16" x14ac:dyDescent="0.4">
      <c r="A208" s="4">
        <v>8696</v>
      </c>
      <c r="B208" s="1" t="s">
        <v>28</v>
      </c>
      <c r="C208" s="1" t="s">
        <v>17</v>
      </c>
      <c r="D208" s="1">
        <v>590</v>
      </c>
      <c r="E208" s="1">
        <v>410</v>
      </c>
      <c r="F208" s="1">
        <v>456</v>
      </c>
      <c r="G208" s="1">
        <v>0</v>
      </c>
      <c r="H208" s="1">
        <v>13115</v>
      </c>
      <c r="I208" s="1">
        <v>1</v>
      </c>
      <c r="J208" s="1">
        <v>65</v>
      </c>
      <c r="K208" s="1">
        <v>439</v>
      </c>
      <c r="L208" s="1">
        <v>433</v>
      </c>
      <c r="M208" s="1">
        <v>13</v>
      </c>
      <c r="N208">
        <f>VLOOKUP(A208,vlookup_table!$A:$G,2,FALSE)</f>
        <v>2</v>
      </c>
      <c r="O208" t="str">
        <f>VLOOKUP(A208,vlookup_table!$A:$G,3,FALSE)</f>
        <v>OK</v>
      </c>
      <c r="P208">
        <f>VLOOKUP(A208,vlookup_table!$A:$G,4,FALSE)</f>
        <v>0</v>
      </c>
      <c r="Q208" t="str">
        <f>VLOOKUP(A208,vlookup_table!$A:$G,5,FALSE)</f>
        <v>T2</v>
      </c>
      <c r="R208" t="str">
        <f>VLOOKUP(A208,vlookup_table!$A:$G,6,FALSE)</f>
        <v>F</v>
      </c>
      <c r="S208">
        <f>VLOOKUP(A208,vlookup_table!$A:$G,7,FALSE)</f>
        <v>11</v>
      </c>
      <c r="T208">
        <f t="shared" si="6"/>
        <v>96</v>
      </c>
      <c r="U208" t="str">
        <f t="shared" si="7"/>
        <v>Pueblo</v>
      </c>
    </row>
    <row r="209" spans="1:21" ht="16" x14ac:dyDescent="0.4">
      <c r="A209" s="4">
        <v>119368</v>
      </c>
      <c r="B209" s="1" t="s">
        <v>20</v>
      </c>
      <c r="C209" s="1" t="s">
        <v>17</v>
      </c>
      <c r="D209" s="1">
        <v>500</v>
      </c>
      <c r="E209" s="1">
        <v>291</v>
      </c>
      <c r="F209" s="1">
        <v>379</v>
      </c>
      <c r="G209" s="1">
        <v>0</v>
      </c>
      <c r="H209" s="1">
        <v>19609</v>
      </c>
      <c r="I209" s="1">
        <v>6</v>
      </c>
      <c r="J209" s="1">
        <v>50</v>
      </c>
      <c r="K209" s="1">
        <v>316</v>
      </c>
      <c r="L209" s="1">
        <v>314</v>
      </c>
      <c r="M209" s="1">
        <v>11.5</v>
      </c>
      <c r="N209">
        <f>VLOOKUP(A209,vlookup_table!$A:$G,2,FALSE)</f>
        <v>28</v>
      </c>
      <c r="O209" t="str">
        <f>VLOOKUP(A209,vlookup_table!$A:$G,3,FALSE)</f>
        <v>TX</v>
      </c>
      <c r="P209">
        <f>VLOOKUP(A209,vlookup_table!$A:$G,4,FALSE)</f>
        <v>4008</v>
      </c>
      <c r="Q209" t="str">
        <f>VLOOKUP(A209,vlookup_table!$A:$G,5,FALSE)</f>
        <v>C1</v>
      </c>
      <c r="R209" t="str">
        <f>VLOOKUP(A209,vlookup_table!$A:$G,6,FALSE)</f>
        <v>F</v>
      </c>
      <c r="S209">
        <f>VLOOKUP(A209,vlookup_table!$A:$G,7,FALSE)</f>
        <v>25</v>
      </c>
      <c r="T209">
        <f t="shared" si="6"/>
        <v>56</v>
      </c>
      <c r="U209" t="str">
        <f t="shared" si="7"/>
        <v>Ciudad</v>
      </c>
    </row>
    <row r="210" spans="1:21" ht="16" x14ac:dyDescent="0.4">
      <c r="A210" s="4">
        <v>14319</v>
      </c>
      <c r="B210" s="1" t="s">
        <v>13</v>
      </c>
      <c r="C210" s="1" t="s">
        <v>14</v>
      </c>
      <c r="D210" s="1">
        <v>368</v>
      </c>
      <c r="E210" s="1">
        <v>230</v>
      </c>
      <c r="F210" s="1">
        <v>295</v>
      </c>
      <c r="G210" s="1">
        <v>0</v>
      </c>
      <c r="H210" s="1">
        <v>9547</v>
      </c>
      <c r="I210" s="1">
        <v>0</v>
      </c>
      <c r="J210" s="1">
        <v>68</v>
      </c>
      <c r="K210" s="1">
        <v>271</v>
      </c>
      <c r="L210" s="1">
        <v>261</v>
      </c>
      <c r="M210" s="1">
        <v>10.7</v>
      </c>
      <c r="N210">
        <f>VLOOKUP(A210,vlookup_table!$A:$G,2,FALSE)</f>
        <v>1</v>
      </c>
      <c r="O210" t="str">
        <f>VLOOKUP(A210,vlookup_table!$A:$G,3,FALSE)</f>
        <v>FL</v>
      </c>
      <c r="P210">
        <f>VLOOKUP(A210,vlookup_table!$A:$G,4,FALSE)</f>
        <v>2601</v>
      </c>
      <c r="Q210" t="str">
        <f>VLOOKUP(A210,vlookup_table!$A:$G,5,FALSE)</f>
        <v>S3</v>
      </c>
      <c r="R210" t="str">
        <f>VLOOKUP(A210,vlookup_table!$A:$G,6,FALSE)</f>
        <v>M</v>
      </c>
      <c r="S210">
        <f>VLOOKUP(A210,vlookup_table!$A:$G,7,FALSE)</f>
        <v>19</v>
      </c>
      <c r="T210">
        <f t="shared" si="6"/>
        <v>70</v>
      </c>
      <c r="U210" t="str">
        <f t="shared" si="7"/>
        <v>Suburbano</v>
      </c>
    </row>
    <row r="211" spans="1:21" ht="16" x14ac:dyDescent="0.4">
      <c r="A211" s="4">
        <v>118408</v>
      </c>
      <c r="B211" s="1" t="s">
        <v>20</v>
      </c>
      <c r="C211" s="1" t="s">
        <v>14</v>
      </c>
      <c r="D211" s="1">
        <v>427</v>
      </c>
      <c r="E211" s="1">
        <v>315</v>
      </c>
      <c r="F211" s="1">
        <v>377</v>
      </c>
      <c r="G211" s="1">
        <v>0</v>
      </c>
      <c r="H211" s="1">
        <v>11299</v>
      </c>
      <c r="I211" s="1">
        <v>2</v>
      </c>
      <c r="J211" s="1">
        <v>86</v>
      </c>
      <c r="K211" s="1">
        <v>365</v>
      </c>
      <c r="L211" s="1">
        <v>340</v>
      </c>
      <c r="M211" s="1">
        <v>9</v>
      </c>
      <c r="N211">
        <f>VLOOKUP(A211,vlookup_table!$A:$G,2,FALSE)</f>
        <v>1</v>
      </c>
      <c r="O211" t="str">
        <f>VLOOKUP(A211,vlookup_table!$A:$G,3,FALSE)</f>
        <v>TX</v>
      </c>
      <c r="P211">
        <f>VLOOKUP(A211,vlookup_table!$A:$G,4,FALSE)</f>
        <v>2109</v>
      </c>
      <c r="Q211" t="str">
        <f>VLOOKUP(A211,vlookup_table!$A:$G,5,FALSE)</f>
        <v>R2</v>
      </c>
      <c r="R211" t="str">
        <f>VLOOKUP(A211,vlookup_table!$A:$G,6,FALSE)</f>
        <v>M</v>
      </c>
      <c r="S211">
        <f>VLOOKUP(A211,vlookup_table!$A:$G,7,FALSE)</f>
        <v>15</v>
      </c>
      <c r="T211">
        <f t="shared" si="6"/>
        <v>75</v>
      </c>
      <c r="U211" t="str">
        <f t="shared" si="7"/>
        <v>Rural</v>
      </c>
    </row>
    <row r="212" spans="1:21" ht="16" x14ac:dyDescent="0.4">
      <c r="A212" s="4">
        <v>146585</v>
      </c>
      <c r="B212" s="1" t="s">
        <v>21</v>
      </c>
      <c r="C212" s="1" t="s">
        <v>17</v>
      </c>
      <c r="D212" s="1">
        <v>1458</v>
      </c>
      <c r="E212" s="1">
        <v>173</v>
      </c>
      <c r="F212" s="1">
        <v>249</v>
      </c>
      <c r="G212" s="1">
        <v>7</v>
      </c>
      <c r="H212" s="1">
        <v>8381</v>
      </c>
      <c r="I212" s="1">
        <v>40</v>
      </c>
      <c r="J212" s="1">
        <v>38</v>
      </c>
      <c r="K212" s="1">
        <v>191</v>
      </c>
      <c r="L212" s="1">
        <v>220</v>
      </c>
      <c r="M212" s="1">
        <v>4.2432432430000002</v>
      </c>
      <c r="N212">
        <f>VLOOKUP(A212,vlookup_table!$A:$G,2,FALSE)</f>
        <v>0</v>
      </c>
      <c r="O212" t="str">
        <f>VLOOKUP(A212,vlookup_table!$A:$G,3,FALSE)</f>
        <v>CA</v>
      </c>
      <c r="P212">
        <f>VLOOKUP(A212,vlookup_table!$A:$G,4,FALSE)</f>
        <v>0</v>
      </c>
      <c r="Q212" t="str">
        <f>VLOOKUP(A212,vlookup_table!$A:$G,5,FALSE)</f>
        <v>U3</v>
      </c>
      <c r="R212" t="str">
        <f>VLOOKUP(A212,vlookup_table!$A:$G,6,FALSE)</f>
        <v>F</v>
      </c>
      <c r="S212">
        <f>VLOOKUP(A212,vlookup_table!$A:$G,7,FALSE)</f>
        <v>8</v>
      </c>
      <c r="T212">
        <f t="shared" si="6"/>
        <v>96</v>
      </c>
      <c r="U212" t="str">
        <f t="shared" si="7"/>
        <v>Urbano</v>
      </c>
    </row>
    <row r="213" spans="1:21" ht="16" x14ac:dyDescent="0.4">
      <c r="A213" s="4">
        <v>120115</v>
      </c>
      <c r="B213" s="1" t="s">
        <v>20</v>
      </c>
      <c r="C213" s="1" t="s">
        <v>14</v>
      </c>
      <c r="D213" s="1">
        <v>274</v>
      </c>
      <c r="E213" s="1">
        <v>154</v>
      </c>
      <c r="F213" s="1">
        <v>256</v>
      </c>
      <c r="G213" s="1">
        <v>1</v>
      </c>
      <c r="H213" s="1">
        <v>8881</v>
      </c>
      <c r="I213" s="1">
        <v>6</v>
      </c>
      <c r="J213" s="1">
        <v>84</v>
      </c>
      <c r="K213" s="1">
        <v>214</v>
      </c>
      <c r="L213" s="1">
        <v>199</v>
      </c>
      <c r="M213" s="1">
        <v>40.875</v>
      </c>
      <c r="N213">
        <f>VLOOKUP(A213,vlookup_table!$A:$G,2,FALSE)</f>
        <v>1</v>
      </c>
      <c r="O213" t="str">
        <f>VLOOKUP(A213,vlookup_table!$A:$G,3,FALSE)</f>
        <v>TX</v>
      </c>
      <c r="P213">
        <f>VLOOKUP(A213,vlookup_table!$A:$G,4,FALSE)</f>
        <v>701</v>
      </c>
      <c r="Q213" t="str">
        <f>VLOOKUP(A213,vlookup_table!$A:$G,5,FALSE)</f>
        <v>R3</v>
      </c>
      <c r="R213" t="str">
        <f>VLOOKUP(A213,vlookup_table!$A:$G,6,FALSE)</f>
        <v>M</v>
      </c>
      <c r="S213">
        <f>VLOOKUP(A213,vlookup_table!$A:$G,7,FALSE)</f>
        <v>200</v>
      </c>
      <c r="T213">
        <f t="shared" si="6"/>
        <v>26</v>
      </c>
      <c r="U213" t="str">
        <f t="shared" si="7"/>
        <v>Rural</v>
      </c>
    </row>
    <row r="214" spans="1:21" ht="16" x14ac:dyDescent="0.4">
      <c r="A214" s="4">
        <v>57463</v>
      </c>
      <c r="B214" s="1" t="s">
        <v>53</v>
      </c>
      <c r="C214" s="1" t="s">
        <v>17</v>
      </c>
      <c r="D214" s="1">
        <v>584</v>
      </c>
      <c r="E214" s="1">
        <v>274</v>
      </c>
      <c r="F214" s="1">
        <v>341</v>
      </c>
      <c r="G214" s="1">
        <v>0</v>
      </c>
      <c r="H214" s="1">
        <v>15105</v>
      </c>
      <c r="I214" s="1">
        <v>3</v>
      </c>
      <c r="J214" s="1">
        <v>62</v>
      </c>
      <c r="K214" s="1">
        <v>287</v>
      </c>
      <c r="L214" s="1">
        <v>336</v>
      </c>
      <c r="M214" s="1">
        <v>11.14285714</v>
      </c>
      <c r="N214">
        <f>VLOOKUP(A214,vlookup_table!$A:$G,2,FALSE)</f>
        <v>0</v>
      </c>
      <c r="O214" t="str">
        <f>VLOOKUP(A214,vlookup_table!$A:$G,3,FALSE)</f>
        <v>KY</v>
      </c>
      <c r="P214">
        <f>VLOOKUP(A214,vlookup_table!$A:$G,4,FALSE)</f>
        <v>2512</v>
      </c>
      <c r="Q214" t="str">
        <f>VLOOKUP(A214,vlookup_table!$A:$G,5,FALSE)</f>
        <v>S2</v>
      </c>
      <c r="R214" t="str">
        <f>VLOOKUP(A214,vlookup_table!$A:$G,6,FALSE)</f>
        <v>F</v>
      </c>
      <c r="S214">
        <f>VLOOKUP(A214,vlookup_table!$A:$G,7,FALSE)</f>
        <v>10</v>
      </c>
      <c r="T214">
        <f t="shared" si="6"/>
        <v>71</v>
      </c>
      <c r="U214" t="str">
        <f t="shared" si="7"/>
        <v>Suburbano</v>
      </c>
    </row>
    <row r="215" spans="1:21" ht="16" x14ac:dyDescent="0.4">
      <c r="A215" s="4">
        <v>94394</v>
      </c>
      <c r="B215" s="1" t="s">
        <v>16</v>
      </c>
      <c r="C215" s="1" t="s">
        <v>17</v>
      </c>
      <c r="D215" s="1">
        <v>553</v>
      </c>
      <c r="E215" s="1">
        <v>306</v>
      </c>
      <c r="F215" s="1">
        <v>348</v>
      </c>
      <c r="G215" s="1">
        <v>0</v>
      </c>
      <c r="H215" s="1">
        <v>9296</v>
      </c>
      <c r="I215" s="1">
        <v>2</v>
      </c>
      <c r="J215" s="1">
        <v>72</v>
      </c>
      <c r="K215" s="1">
        <v>309</v>
      </c>
      <c r="L215" s="1">
        <v>333</v>
      </c>
      <c r="M215" s="1">
        <v>8.9166666669999994</v>
      </c>
      <c r="N215">
        <f>VLOOKUP(A215,vlookup_table!$A:$G,2,FALSE)</f>
        <v>2</v>
      </c>
      <c r="O215" t="str">
        <f>VLOOKUP(A215,vlookup_table!$A:$G,3,FALSE)</f>
        <v>IL</v>
      </c>
      <c r="P215">
        <f>VLOOKUP(A215,vlookup_table!$A:$G,4,FALSE)</f>
        <v>3308</v>
      </c>
      <c r="Q215" t="str">
        <f>VLOOKUP(A215,vlookup_table!$A:$G,5,FALSE)</f>
        <v>U3</v>
      </c>
      <c r="R215" t="str">
        <f>VLOOKUP(A215,vlookup_table!$A:$G,6,FALSE)</f>
        <v>F</v>
      </c>
      <c r="S215">
        <f>VLOOKUP(A215,vlookup_table!$A:$G,7,FALSE)</f>
        <v>10</v>
      </c>
      <c r="T215">
        <f t="shared" si="6"/>
        <v>63</v>
      </c>
      <c r="U215" t="str">
        <f t="shared" si="7"/>
        <v>Urbano</v>
      </c>
    </row>
    <row r="216" spans="1:21" ht="16" x14ac:dyDescent="0.4">
      <c r="A216" s="4">
        <v>155135</v>
      </c>
      <c r="B216" s="1" t="s">
        <v>21</v>
      </c>
      <c r="C216" s="1" t="s">
        <v>14</v>
      </c>
      <c r="D216" s="1">
        <v>903</v>
      </c>
      <c r="E216" s="1">
        <v>321</v>
      </c>
      <c r="F216" s="1">
        <v>390</v>
      </c>
      <c r="G216" s="1">
        <v>0</v>
      </c>
      <c r="H216" s="1">
        <v>10985</v>
      </c>
      <c r="I216" s="1">
        <v>8</v>
      </c>
      <c r="J216" s="1">
        <v>54</v>
      </c>
      <c r="K216" s="1">
        <v>406</v>
      </c>
      <c r="L216" s="1">
        <v>358</v>
      </c>
      <c r="M216" s="1">
        <v>6.75</v>
      </c>
      <c r="N216">
        <f>VLOOKUP(A216,vlookup_table!$A:$G,2,FALSE)</f>
        <v>1</v>
      </c>
      <c r="O216" t="str">
        <f>VLOOKUP(A216,vlookup_table!$A:$G,3,FALSE)</f>
        <v>CA</v>
      </c>
      <c r="P216">
        <f>VLOOKUP(A216,vlookup_table!$A:$G,4,FALSE)</f>
        <v>3001</v>
      </c>
      <c r="Q216" t="str">
        <f>VLOOKUP(A216,vlookup_table!$A:$G,5,FALSE)</f>
        <v>S3</v>
      </c>
      <c r="R216" t="str">
        <f>VLOOKUP(A216,vlookup_table!$A:$G,6,FALSE)</f>
        <v>M</v>
      </c>
      <c r="S216">
        <f>VLOOKUP(A216,vlookup_table!$A:$G,7,FALSE)</f>
        <v>7</v>
      </c>
      <c r="T216">
        <f t="shared" si="6"/>
        <v>66</v>
      </c>
      <c r="U216" t="str">
        <f t="shared" si="7"/>
        <v>Suburbano</v>
      </c>
    </row>
    <row r="217" spans="1:21" ht="16" x14ac:dyDescent="0.4">
      <c r="A217" s="4">
        <v>149595</v>
      </c>
      <c r="B217" s="1" t="s">
        <v>21</v>
      </c>
      <c r="C217" s="1" t="s">
        <v>14</v>
      </c>
      <c r="D217" s="1">
        <v>2545</v>
      </c>
      <c r="E217" s="1">
        <v>361</v>
      </c>
      <c r="F217" s="1">
        <v>358</v>
      </c>
      <c r="G217" s="1">
        <v>80</v>
      </c>
      <c r="H217" s="1">
        <v>14300</v>
      </c>
      <c r="I217" s="1">
        <v>38</v>
      </c>
      <c r="J217" s="1">
        <v>37</v>
      </c>
      <c r="K217" s="1">
        <v>304</v>
      </c>
      <c r="L217" s="1">
        <v>386</v>
      </c>
      <c r="M217" s="1">
        <v>12.5</v>
      </c>
      <c r="N217">
        <f>VLOOKUP(A217,vlookup_table!$A:$G,2,FALSE)</f>
        <v>1</v>
      </c>
      <c r="O217" t="str">
        <f>VLOOKUP(A217,vlookup_table!$A:$G,3,FALSE)</f>
        <v>CA</v>
      </c>
      <c r="P217">
        <f>VLOOKUP(A217,vlookup_table!$A:$G,4,FALSE)</f>
        <v>6008</v>
      </c>
      <c r="Q217" t="str">
        <f>VLOOKUP(A217,vlookup_table!$A:$G,5,FALSE)</f>
        <v>S2</v>
      </c>
      <c r="R217" t="str">
        <f>VLOOKUP(A217,vlookup_table!$A:$G,6,FALSE)</f>
        <v>M</v>
      </c>
      <c r="S217">
        <f>VLOOKUP(A217,vlookup_table!$A:$G,7,FALSE)</f>
        <v>17</v>
      </c>
      <c r="T217">
        <f t="shared" si="6"/>
        <v>36</v>
      </c>
      <c r="U217" t="str">
        <f t="shared" si="7"/>
        <v>Suburbano</v>
      </c>
    </row>
    <row r="218" spans="1:21" ht="16" x14ac:dyDescent="0.4">
      <c r="A218" s="4">
        <v>166606</v>
      </c>
      <c r="B218" s="1" t="s">
        <v>21</v>
      </c>
      <c r="C218" s="1" t="s">
        <v>17</v>
      </c>
      <c r="D218" s="1">
        <v>1778</v>
      </c>
      <c r="E218" s="1">
        <v>411</v>
      </c>
      <c r="F218" s="1">
        <v>503</v>
      </c>
      <c r="G218" s="1">
        <v>27</v>
      </c>
      <c r="H218" s="1">
        <v>18236</v>
      </c>
      <c r="I218" s="1">
        <v>21</v>
      </c>
      <c r="J218" s="1">
        <v>41</v>
      </c>
      <c r="K218" s="1">
        <v>480</v>
      </c>
      <c r="L218" s="1">
        <v>439</v>
      </c>
      <c r="M218" s="1">
        <v>39.444444439999998</v>
      </c>
      <c r="N218">
        <f>VLOOKUP(A218,vlookup_table!$A:$G,2,FALSE)</f>
        <v>0</v>
      </c>
      <c r="O218" t="str">
        <f>VLOOKUP(A218,vlookup_table!$A:$G,3,FALSE)</f>
        <v>CA</v>
      </c>
      <c r="P218">
        <f>VLOOKUP(A218,vlookup_table!$A:$G,4,FALSE)</f>
        <v>3401</v>
      </c>
      <c r="Q218" t="str">
        <f>VLOOKUP(A218,vlookup_table!$A:$G,5,FALSE)</f>
        <v>U1</v>
      </c>
      <c r="R218" t="str">
        <f>VLOOKUP(A218,vlookup_table!$A:$G,6,FALSE)</f>
        <v>F</v>
      </c>
      <c r="S218">
        <f>VLOOKUP(A218,vlookup_table!$A:$G,7,FALSE)</f>
        <v>50</v>
      </c>
      <c r="T218">
        <f t="shared" si="6"/>
        <v>62</v>
      </c>
      <c r="U218" t="str">
        <f t="shared" si="7"/>
        <v>Urbano</v>
      </c>
    </row>
    <row r="219" spans="1:21" ht="16" x14ac:dyDescent="0.4">
      <c r="A219" s="4">
        <v>8240</v>
      </c>
      <c r="B219" s="1" t="s">
        <v>21</v>
      </c>
      <c r="C219" s="1"/>
      <c r="D219" s="1">
        <v>1187</v>
      </c>
      <c r="E219" s="1">
        <v>328</v>
      </c>
      <c r="F219" s="1">
        <v>428</v>
      </c>
      <c r="G219" s="1">
        <v>11</v>
      </c>
      <c r="H219" s="1">
        <v>13978</v>
      </c>
      <c r="I219" s="1">
        <v>11</v>
      </c>
      <c r="J219" s="1">
        <v>49</v>
      </c>
      <c r="K219" s="1">
        <v>366</v>
      </c>
      <c r="L219" s="1">
        <v>393</v>
      </c>
      <c r="M219" s="1">
        <v>10.81481482</v>
      </c>
      <c r="N219">
        <f>VLOOKUP(A219,vlookup_table!$A:$G,2,FALSE)</f>
        <v>1</v>
      </c>
      <c r="O219" t="str">
        <f>VLOOKUP(A219,vlookup_table!$A:$G,3,FALSE)</f>
        <v>CA</v>
      </c>
      <c r="P219">
        <f>VLOOKUP(A219,vlookup_table!$A:$G,4,FALSE)</f>
        <v>0</v>
      </c>
      <c r="Q219" t="str">
        <f>VLOOKUP(A219,vlookup_table!$A:$G,5,FALSE)</f>
        <v/>
      </c>
      <c r="R219" t="str">
        <f>VLOOKUP(A219,vlookup_table!$A:$G,6,FALSE)</f>
        <v/>
      </c>
      <c r="S219">
        <f>VLOOKUP(A219,vlookup_table!$A:$G,7,FALSE)</f>
        <v>10</v>
      </c>
      <c r="T219">
        <f t="shared" si="6"/>
        <v>96</v>
      </c>
      <c r="U219" t="str">
        <f t="shared" si="7"/>
        <v/>
      </c>
    </row>
    <row r="220" spans="1:21" ht="16" x14ac:dyDescent="0.4">
      <c r="A220" s="4">
        <v>185904</v>
      </c>
      <c r="B220" s="1" t="s">
        <v>20</v>
      </c>
      <c r="C220" s="1" t="s">
        <v>17</v>
      </c>
      <c r="D220" s="1">
        <v>1448</v>
      </c>
      <c r="E220" s="1">
        <v>651</v>
      </c>
      <c r="F220" s="1">
        <v>724</v>
      </c>
      <c r="G220" s="1">
        <v>18</v>
      </c>
      <c r="H220" s="1">
        <v>24736</v>
      </c>
      <c r="I220" s="1">
        <v>3</v>
      </c>
      <c r="J220" s="1">
        <v>49</v>
      </c>
      <c r="K220" s="1">
        <v>667</v>
      </c>
      <c r="L220" s="1">
        <v>698</v>
      </c>
      <c r="M220" s="1">
        <v>7.076923077</v>
      </c>
      <c r="N220">
        <f>VLOOKUP(A220,vlookup_table!$A:$G,2,FALSE)</f>
        <v>0</v>
      </c>
      <c r="O220" t="str">
        <f>VLOOKUP(A220,vlookup_table!$A:$G,3,FALSE)</f>
        <v>TX</v>
      </c>
      <c r="P220">
        <f>VLOOKUP(A220,vlookup_table!$A:$G,4,FALSE)</f>
        <v>5801</v>
      </c>
      <c r="Q220" t="str">
        <f>VLOOKUP(A220,vlookup_table!$A:$G,5,FALSE)</f>
        <v>S1</v>
      </c>
      <c r="R220" t="str">
        <f>VLOOKUP(A220,vlookup_table!$A:$G,6,FALSE)</f>
        <v>F</v>
      </c>
      <c r="S220">
        <f>VLOOKUP(A220,vlookup_table!$A:$G,7,FALSE)</f>
        <v>13</v>
      </c>
      <c r="T220">
        <f t="shared" si="6"/>
        <v>38</v>
      </c>
      <c r="U220" t="str">
        <f t="shared" si="7"/>
        <v>Suburbano</v>
      </c>
    </row>
    <row r="221" spans="1:21" ht="16" x14ac:dyDescent="0.4">
      <c r="A221" s="4">
        <v>49351</v>
      </c>
      <c r="B221" s="1" t="s">
        <v>40</v>
      </c>
      <c r="C221" s="1" t="s">
        <v>14</v>
      </c>
      <c r="D221" s="1">
        <v>712</v>
      </c>
      <c r="E221" s="1">
        <v>377</v>
      </c>
      <c r="F221" s="1">
        <v>472</v>
      </c>
      <c r="G221" s="1">
        <v>1</v>
      </c>
      <c r="H221" s="1">
        <v>15013</v>
      </c>
      <c r="I221" s="1">
        <v>0</v>
      </c>
      <c r="J221" s="1">
        <v>73</v>
      </c>
      <c r="K221" s="1">
        <v>398</v>
      </c>
      <c r="L221" s="1">
        <v>446</v>
      </c>
      <c r="M221" s="1">
        <v>14.2</v>
      </c>
      <c r="N221">
        <f>VLOOKUP(A221,vlookup_table!$A:$G,2,FALSE)</f>
        <v>1</v>
      </c>
      <c r="O221" t="str">
        <f>VLOOKUP(A221,vlookup_table!$A:$G,3,FALSE)</f>
        <v>AL</v>
      </c>
      <c r="P221">
        <f>VLOOKUP(A221,vlookup_table!$A:$G,4,FALSE)</f>
        <v>3401</v>
      </c>
      <c r="Q221" t="str">
        <f>VLOOKUP(A221,vlookup_table!$A:$G,5,FALSE)</f>
        <v>T2</v>
      </c>
      <c r="R221" t="str">
        <f>VLOOKUP(A221,vlookup_table!$A:$G,6,FALSE)</f>
        <v>M</v>
      </c>
      <c r="S221">
        <f>VLOOKUP(A221,vlookup_table!$A:$G,7,FALSE)</f>
        <v>15</v>
      </c>
      <c r="T221">
        <f t="shared" si="6"/>
        <v>62</v>
      </c>
      <c r="U221" t="str">
        <f t="shared" si="7"/>
        <v>Pueblo</v>
      </c>
    </row>
    <row r="222" spans="1:21" ht="16" x14ac:dyDescent="0.4">
      <c r="A222" s="4">
        <v>191779</v>
      </c>
      <c r="B222" s="1" t="s">
        <v>13</v>
      </c>
      <c r="C222" s="1" t="s">
        <v>14</v>
      </c>
      <c r="D222" s="1">
        <v>1432</v>
      </c>
      <c r="E222" s="1">
        <v>636</v>
      </c>
      <c r="F222" s="1">
        <v>772</v>
      </c>
      <c r="G222" s="1">
        <v>24</v>
      </c>
      <c r="H222" s="1">
        <v>35544</v>
      </c>
      <c r="I222" s="1">
        <v>0</v>
      </c>
      <c r="J222" s="1">
        <v>44</v>
      </c>
      <c r="K222" s="1">
        <v>693</v>
      </c>
      <c r="L222" s="1">
        <v>680</v>
      </c>
      <c r="M222" s="1">
        <v>25</v>
      </c>
      <c r="N222">
        <f>VLOOKUP(A222,vlookup_table!$A:$G,2,FALSE)</f>
        <v>1</v>
      </c>
      <c r="O222" t="str">
        <f>VLOOKUP(A222,vlookup_table!$A:$G,3,FALSE)</f>
        <v>FL</v>
      </c>
      <c r="P222">
        <f>VLOOKUP(A222,vlookup_table!$A:$G,4,FALSE)</f>
        <v>2701</v>
      </c>
      <c r="Q222" t="str">
        <f>VLOOKUP(A222,vlookup_table!$A:$G,5,FALSE)</f>
        <v/>
      </c>
      <c r="R222" t="str">
        <f>VLOOKUP(A222,vlookup_table!$A:$G,6,FALSE)</f>
        <v>M</v>
      </c>
      <c r="S222">
        <f>VLOOKUP(A222,vlookup_table!$A:$G,7,FALSE)</f>
        <v>150</v>
      </c>
      <c r="T222">
        <f t="shared" si="6"/>
        <v>69</v>
      </c>
      <c r="U222" t="str">
        <f t="shared" si="7"/>
        <v/>
      </c>
    </row>
    <row r="223" spans="1:21" ht="16" x14ac:dyDescent="0.4">
      <c r="A223" s="4">
        <v>169881</v>
      </c>
      <c r="B223" s="1" t="s">
        <v>21</v>
      </c>
      <c r="C223" s="1" t="s">
        <v>17</v>
      </c>
      <c r="D223" s="1">
        <v>2598</v>
      </c>
      <c r="E223" s="1">
        <v>470</v>
      </c>
      <c r="F223" s="1">
        <v>661</v>
      </c>
      <c r="G223" s="1">
        <v>74</v>
      </c>
      <c r="H223" s="1">
        <v>31631</v>
      </c>
      <c r="I223" s="1">
        <v>9</v>
      </c>
      <c r="J223" s="1">
        <v>36</v>
      </c>
      <c r="K223" s="1">
        <v>557</v>
      </c>
      <c r="L223" s="1">
        <v>562</v>
      </c>
      <c r="M223" s="1">
        <v>8.2222222219999992</v>
      </c>
      <c r="N223">
        <f>VLOOKUP(A223,vlookup_table!$A:$G,2,FALSE)</f>
        <v>0</v>
      </c>
      <c r="O223" t="str">
        <f>VLOOKUP(A223,vlookup_table!$A:$G,3,FALSE)</f>
        <v>CA</v>
      </c>
      <c r="P223">
        <f>VLOOKUP(A223,vlookup_table!$A:$G,4,FALSE)</f>
        <v>0</v>
      </c>
      <c r="Q223" t="str">
        <f>VLOOKUP(A223,vlookup_table!$A:$G,5,FALSE)</f>
        <v>C1</v>
      </c>
      <c r="R223" t="str">
        <f>VLOOKUP(A223,vlookup_table!$A:$G,6,FALSE)</f>
        <v>F</v>
      </c>
      <c r="S223">
        <f>VLOOKUP(A223,vlookup_table!$A:$G,7,FALSE)</f>
        <v>15</v>
      </c>
      <c r="T223">
        <f t="shared" si="6"/>
        <v>96</v>
      </c>
      <c r="U223" t="str">
        <f t="shared" si="7"/>
        <v>Ciudad</v>
      </c>
    </row>
    <row r="224" spans="1:21" ht="16" x14ac:dyDescent="0.4">
      <c r="A224" s="4">
        <v>144356</v>
      </c>
      <c r="B224" s="1" t="s">
        <v>21</v>
      </c>
      <c r="C224" s="1" t="s">
        <v>17</v>
      </c>
      <c r="D224" s="1">
        <v>2855</v>
      </c>
      <c r="E224" s="1">
        <v>311</v>
      </c>
      <c r="F224" s="1">
        <v>537</v>
      </c>
      <c r="G224" s="1">
        <v>78</v>
      </c>
      <c r="H224" s="1">
        <v>18525</v>
      </c>
      <c r="I224" s="1">
        <v>28</v>
      </c>
      <c r="J224" s="1">
        <v>47</v>
      </c>
      <c r="K224" s="1">
        <v>385</v>
      </c>
      <c r="L224" s="1">
        <v>484</v>
      </c>
      <c r="M224" s="1">
        <v>6.538461539</v>
      </c>
      <c r="N224">
        <f>VLOOKUP(A224,vlookup_table!$A:$G,2,FALSE)</f>
        <v>3</v>
      </c>
      <c r="O224" t="str">
        <f>VLOOKUP(A224,vlookup_table!$A:$G,3,FALSE)</f>
        <v>CA</v>
      </c>
      <c r="P224">
        <f>VLOOKUP(A224,vlookup_table!$A:$G,4,FALSE)</f>
        <v>0</v>
      </c>
      <c r="Q224" t="str">
        <f>VLOOKUP(A224,vlookup_table!$A:$G,5,FALSE)</f>
        <v>U2</v>
      </c>
      <c r="R224" t="str">
        <f>VLOOKUP(A224,vlookup_table!$A:$G,6,FALSE)</f>
        <v>F</v>
      </c>
      <c r="S224">
        <f>VLOOKUP(A224,vlookup_table!$A:$G,7,FALSE)</f>
        <v>20</v>
      </c>
      <c r="T224">
        <f t="shared" si="6"/>
        <v>96</v>
      </c>
      <c r="U224" t="str">
        <f t="shared" si="7"/>
        <v>Urbano</v>
      </c>
    </row>
    <row r="225" spans="1:21" ht="16" x14ac:dyDescent="0.4">
      <c r="A225" s="4">
        <v>186528</v>
      </c>
      <c r="B225" s="1" t="s">
        <v>20</v>
      </c>
      <c r="C225" s="1" t="s">
        <v>17</v>
      </c>
      <c r="D225" s="1">
        <v>535</v>
      </c>
      <c r="E225" s="1">
        <v>244</v>
      </c>
      <c r="F225" s="1">
        <v>402</v>
      </c>
      <c r="G225" s="1">
        <v>3</v>
      </c>
      <c r="H225" s="1">
        <v>17053</v>
      </c>
      <c r="I225" s="1">
        <v>8</v>
      </c>
      <c r="J225" s="1">
        <v>86</v>
      </c>
      <c r="K225" s="1">
        <v>437</v>
      </c>
      <c r="L225" s="1">
        <v>317</v>
      </c>
      <c r="M225" s="1">
        <v>9.8125</v>
      </c>
      <c r="N225">
        <f>VLOOKUP(A225,vlookup_table!$A:$G,2,FALSE)</f>
        <v>2</v>
      </c>
      <c r="O225" t="str">
        <f>VLOOKUP(A225,vlookup_table!$A:$G,3,FALSE)</f>
        <v>TX</v>
      </c>
      <c r="P225">
        <f>VLOOKUP(A225,vlookup_table!$A:$G,4,FALSE)</f>
        <v>2212</v>
      </c>
      <c r="Q225" t="str">
        <f>VLOOKUP(A225,vlookup_table!$A:$G,5,FALSE)</f>
        <v>C2</v>
      </c>
      <c r="R225" t="str">
        <f>VLOOKUP(A225,vlookup_table!$A:$G,6,FALSE)</f>
        <v>F</v>
      </c>
      <c r="S225">
        <f>VLOOKUP(A225,vlookup_table!$A:$G,7,FALSE)</f>
        <v>15</v>
      </c>
      <c r="T225">
        <f t="shared" si="6"/>
        <v>74</v>
      </c>
      <c r="U225" t="str">
        <f t="shared" si="7"/>
        <v>Ciudad</v>
      </c>
    </row>
    <row r="226" spans="1:21" ht="16" x14ac:dyDescent="0.4">
      <c r="A226" s="4">
        <v>14161</v>
      </c>
      <c r="B226" s="1" t="s">
        <v>37</v>
      </c>
      <c r="C226" s="1" t="s">
        <v>14</v>
      </c>
      <c r="D226" s="1">
        <v>703</v>
      </c>
      <c r="E226" s="1">
        <v>161</v>
      </c>
      <c r="F226" s="1">
        <v>232</v>
      </c>
      <c r="G226" s="1">
        <v>0</v>
      </c>
      <c r="H226" s="1">
        <v>8860</v>
      </c>
      <c r="I226" s="1">
        <v>2</v>
      </c>
      <c r="J226" s="1">
        <v>55</v>
      </c>
      <c r="K226" s="1">
        <v>206</v>
      </c>
      <c r="L226" s="1">
        <v>206</v>
      </c>
      <c r="M226" s="1">
        <v>7.8181818180000002</v>
      </c>
      <c r="N226">
        <f>VLOOKUP(A226,vlookup_table!$A:$G,2,FALSE)</f>
        <v>0</v>
      </c>
      <c r="O226" t="str">
        <f>VLOOKUP(A226,vlookup_table!$A:$G,3,FALSE)</f>
        <v>WA</v>
      </c>
      <c r="P226">
        <f>VLOOKUP(A226,vlookup_table!$A:$G,4,FALSE)</f>
        <v>2805</v>
      </c>
      <c r="Q226" t="str">
        <f>VLOOKUP(A226,vlookup_table!$A:$G,5,FALSE)</f>
        <v>T3</v>
      </c>
      <c r="R226" t="str">
        <f>VLOOKUP(A226,vlookup_table!$A:$G,6,FALSE)</f>
        <v>M</v>
      </c>
      <c r="S226">
        <f>VLOOKUP(A226,vlookup_table!$A:$G,7,FALSE)</f>
        <v>10</v>
      </c>
      <c r="T226">
        <f t="shared" si="6"/>
        <v>68</v>
      </c>
      <c r="U226" t="str">
        <f t="shared" si="7"/>
        <v>Pueblo</v>
      </c>
    </row>
    <row r="227" spans="1:21" ht="16" x14ac:dyDescent="0.4">
      <c r="A227" s="4">
        <v>190839</v>
      </c>
      <c r="B227" s="1" t="s">
        <v>16</v>
      </c>
      <c r="C227" s="1" t="s">
        <v>14</v>
      </c>
      <c r="D227" s="1">
        <v>662</v>
      </c>
      <c r="E227" s="1">
        <v>352</v>
      </c>
      <c r="F227" s="1">
        <v>456</v>
      </c>
      <c r="G227" s="1">
        <v>1</v>
      </c>
      <c r="H227" s="1">
        <v>13460</v>
      </c>
      <c r="I227" s="1">
        <v>17</v>
      </c>
      <c r="J227" s="1">
        <v>60</v>
      </c>
      <c r="K227" s="1">
        <v>406</v>
      </c>
      <c r="L227" s="1">
        <v>394</v>
      </c>
      <c r="M227" s="1">
        <v>12.5</v>
      </c>
      <c r="N227">
        <f>VLOOKUP(A227,vlookup_table!$A:$G,2,FALSE)</f>
        <v>1</v>
      </c>
      <c r="O227" t="str">
        <f>VLOOKUP(A227,vlookup_table!$A:$G,3,FALSE)</f>
        <v>IL</v>
      </c>
      <c r="P227">
        <f>VLOOKUP(A227,vlookup_table!$A:$G,4,FALSE)</f>
        <v>5601</v>
      </c>
      <c r="Q227" t="str">
        <f>VLOOKUP(A227,vlookup_table!$A:$G,5,FALSE)</f>
        <v>U3</v>
      </c>
      <c r="R227" t="str">
        <f>VLOOKUP(A227,vlookup_table!$A:$G,6,FALSE)</f>
        <v>M</v>
      </c>
      <c r="S227">
        <f>VLOOKUP(A227,vlookup_table!$A:$G,7,FALSE)</f>
        <v>15</v>
      </c>
      <c r="T227">
        <f t="shared" si="6"/>
        <v>40</v>
      </c>
      <c r="U227" t="str">
        <f t="shared" si="7"/>
        <v>Urbano</v>
      </c>
    </row>
    <row r="228" spans="1:21" ht="16" x14ac:dyDescent="0.4">
      <c r="A228" s="4">
        <v>146269</v>
      </c>
      <c r="B228" s="1" t="s">
        <v>21</v>
      </c>
      <c r="C228" s="1" t="s">
        <v>17</v>
      </c>
      <c r="D228" s="1">
        <v>2973</v>
      </c>
      <c r="E228" s="1">
        <v>576</v>
      </c>
      <c r="F228" s="1">
        <v>654</v>
      </c>
      <c r="G228" s="1">
        <v>85</v>
      </c>
      <c r="H228" s="1">
        <v>18497</v>
      </c>
      <c r="I228" s="1">
        <v>39</v>
      </c>
      <c r="J228" s="1">
        <v>41</v>
      </c>
      <c r="K228" s="1">
        <v>591</v>
      </c>
      <c r="L228" s="1">
        <v>624</v>
      </c>
      <c r="M228" s="1">
        <v>7.25</v>
      </c>
      <c r="N228">
        <f>VLOOKUP(A228,vlookup_table!$A:$G,2,FALSE)</f>
        <v>2</v>
      </c>
      <c r="O228" t="str">
        <f>VLOOKUP(A228,vlookup_table!$A:$G,3,FALSE)</f>
        <v>CA</v>
      </c>
      <c r="P228">
        <f>VLOOKUP(A228,vlookup_table!$A:$G,4,FALSE)</f>
        <v>4601</v>
      </c>
      <c r="Q228" t="str">
        <f>VLOOKUP(A228,vlookup_table!$A:$G,5,FALSE)</f>
        <v>U1</v>
      </c>
      <c r="R228" t="str">
        <f>VLOOKUP(A228,vlookup_table!$A:$G,6,FALSE)</f>
        <v>F</v>
      </c>
      <c r="S228">
        <f>VLOOKUP(A228,vlookup_table!$A:$G,7,FALSE)</f>
        <v>10</v>
      </c>
      <c r="T228">
        <f t="shared" si="6"/>
        <v>50</v>
      </c>
      <c r="U228" t="str">
        <f t="shared" si="7"/>
        <v>Urbano</v>
      </c>
    </row>
    <row r="229" spans="1:21" ht="16" x14ac:dyDescent="0.4">
      <c r="A229" s="4">
        <v>188507</v>
      </c>
      <c r="B229" s="1" t="s">
        <v>21</v>
      </c>
      <c r="C229" s="1" t="s">
        <v>17</v>
      </c>
      <c r="D229" s="1">
        <v>2289</v>
      </c>
      <c r="E229" s="1">
        <v>631</v>
      </c>
      <c r="F229" s="1">
        <v>679</v>
      </c>
      <c r="G229" s="1">
        <v>66</v>
      </c>
      <c r="H229" s="1">
        <v>22571</v>
      </c>
      <c r="I229" s="1">
        <v>8</v>
      </c>
      <c r="J229" s="1">
        <v>61</v>
      </c>
      <c r="K229" s="1">
        <v>647</v>
      </c>
      <c r="L229" s="1">
        <v>657</v>
      </c>
      <c r="M229" s="1">
        <v>9.769230769</v>
      </c>
      <c r="N229">
        <f>VLOOKUP(A229,vlookup_table!$A:$G,2,FALSE)</f>
        <v>2</v>
      </c>
      <c r="O229" t="str">
        <f>VLOOKUP(A229,vlookup_table!$A:$G,3,FALSE)</f>
        <v>CA</v>
      </c>
      <c r="P229">
        <f>VLOOKUP(A229,vlookup_table!$A:$G,4,FALSE)</f>
        <v>2601</v>
      </c>
      <c r="Q229" t="str">
        <f>VLOOKUP(A229,vlookup_table!$A:$G,5,FALSE)</f>
        <v>T1</v>
      </c>
      <c r="R229" t="str">
        <f>VLOOKUP(A229,vlookup_table!$A:$G,6,FALSE)</f>
        <v>F</v>
      </c>
      <c r="S229">
        <f>VLOOKUP(A229,vlookup_table!$A:$G,7,FALSE)</f>
        <v>10</v>
      </c>
      <c r="T229">
        <f t="shared" si="6"/>
        <v>70</v>
      </c>
      <c r="U229" t="str">
        <f t="shared" si="7"/>
        <v>Pueblo</v>
      </c>
    </row>
    <row r="230" spans="1:21" ht="16" x14ac:dyDescent="0.4">
      <c r="A230" s="4">
        <v>116251</v>
      </c>
      <c r="B230" s="1" t="s">
        <v>20</v>
      </c>
      <c r="C230" s="1" t="s">
        <v>17</v>
      </c>
      <c r="D230" s="1">
        <v>1274</v>
      </c>
      <c r="E230" s="1">
        <v>789</v>
      </c>
      <c r="F230" s="1">
        <v>825</v>
      </c>
      <c r="G230" s="1">
        <v>1</v>
      </c>
      <c r="H230" s="1">
        <v>26360</v>
      </c>
      <c r="I230" s="1">
        <v>4</v>
      </c>
      <c r="J230" s="1">
        <v>31</v>
      </c>
      <c r="K230" s="1">
        <v>798</v>
      </c>
      <c r="L230" s="1">
        <v>804</v>
      </c>
      <c r="M230" s="1">
        <v>6.4090909089999997</v>
      </c>
      <c r="N230">
        <f>VLOOKUP(A230,vlookup_table!$A:$G,2,FALSE)</f>
        <v>0</v>
      </c>
      <c r="O230" t="str">
        <f>VLOOKUP(A230,vlookup_table!$A:$G,3,FALSE)</f>
        <v>TX</v>
      </c>
      <c r="P230">
        <f>VLOOKUP(A230,vlookup_table!$A:$G,4,FALSE)</f>
        <v>505</v>
      </c>
      <c r="Q230" t="str">
        <f>VLOOKUP(A230,vlookup_table!$A:$G,5,FALSE)</f>
        <v>S1</v>
      </c>
      <c r="R230" t="str">
        <f>VLOOKUP(A230,vlookup_table!$A:$G,6,FALSE)</f>
        <v>F</v>
      </c>
      <c r="S230">
        <f>VLOOKUP(A230,vlookup_table!$A:$G,7,FALSE)</f>
        <v>10</v>
      </c>
      <c r="T230">
        <f t="shared" si="6"/>
        <v>46</v>
      </c>
      <c r="U230" t="str">
        <f t="shared" si="7"/>
        <v>Suburbano</v>
      </c>
    </row>
    <row r="231" spans="1:21" ht="16" x14ac:dyDescent="0.4">
      <c r="A231" s="4">
        <v>81945</v>
      </c>
      <c r="B231" s="1" t="s">
        <v>32</v>
      </c>
      <c r="C231" s="1" t="s">
        <v>14</v>
      </c>
      <c r="D231" s="1">
        <v>840</v>
      </c>
      <c r="E231" s="1">
        <v>458</v>
      </c>
      <c r="F231" s="1">
        <v>548</v>
      </c>
      <c r="G231" s="1">
        <v>11</v>
      </c>
      <c r="H231" s="1">
        <v>20327</v>
      </c>
      <c r="I231" s="1">
        <v>1</v>
      </c>
      <c r="J231" s="1">
        <v>79</v>
      </c>
      <c r="K231" s="1">
        <v>471</v>
      </c>
      <c r="L231" s="1">
        <v>513</v>
      </c>
      <c r="M231" s="1">
        <v>15</v>
      </c>
      <c r="N231">
        <f>VLOOKUP(A231,vlookup_table!$A:$G,2,FALSE)</f>
        <v>1</v>
      </c>
      <c r="O231" t="str">
        <f>VLOOKUP(A231,vlookup_table!$A:$G,3,FALSE)</f>
        <v>WI</v>
      </c>
      <c r="P231">
        <f>VLOOKUP(A231,vlookup_table!$A:$G,4,FALSE)</f>
        <v>6401</v>
      </c>
      <c r="Q231" t="str">
        <f>VLOOKUP(A231,vlookup_table!$A:$G,5,FALSE)</f>
        <v>S1</v>
      </c>
      <c r="R231" t="str">
        <f>VLOOKUP(A231,vlookup_table!$A:$G,6,FALSE)</f>
        <v>M</v>
      </c>
      <c r="S231">
        <f>VLOOKUP(A231,vlookup_table!$A:$G,7,FALSE)</f>
        <v>20</v>
      </c>
      <c r="T231">
        <f t="shared" si="6"/>
        <v>32</v>
      </c>
      <c r="U231" t="str">
        <f t="shared" si="7"/>
        <v>Suburbano</v>
      </c>
    </row>
    <row r="232" spans="1:21" ht="16" x14ac:dyDescent="0.4">
      <c r="A232" s="4">
        <v>8989</v>
      </c>
      <c r="B232" s="1" t="s">
        <v>37</v>
      </c>
      <c r="C232" s="1" t="s">
        <v>17</v>
      </c>
      <c r="D232" s="1">
        <v>1024</v>
      </c>
      <c r="E232" s="1">
        <v>441</v>
      </c>
      <c r="F232" s="1">
        <v>472</v>
      </c>
      <c r="G232" s="1">
        <v>5</v>
      </c>
      <c r="H232" s="1">
        <v>13462</v>
      </c>
      <c r="I232" s="1">
        <v>5</v>
      </c>
      <c r="J232" s="1">
        <v>46</v>
      </c>
      <c r="K232" s="1">
        <v>451</v>
      </c>
      <c r="L232" s="1">
        <v>446</v>
      </c>
      <c r="M232" s="1">
        <v>10.5</v>
      </c>
      <c r="N232">
        <f>VLOOKUP(A232,vlookup_table!$A:$G,2,FALSE)</f>
        <v>2</v>
      </c>
      <c r="O232" t="str">
        <f>VLOOKUP(A232,vlookup_table!$A:$G,3,FALSE)</f>
        <v>WA</v>
      </c>
      <c r="P232">
        <f>VLOOKUP(A232,vlookup_table!$A:$G,4,FALSE)</f>
        <v>1401</v>
      </c>
      <c r="Q232" t="str">
        <f>VLOOKUP(A232,vlookup_table!$A:$G,5,FALSE)</f>
        <v>T2</v>
      </c>
      <c r="R232" t="str">
        <f>VLOOKUP(A232,vlookup_table!$A:$G,6,FALSE)</f>
        <v>F</v>
      </c>
      <c r="S232">
        <f>VLOOKUP(A232,vlookup_table!$A:$G,7,FALSE)</f>
        <v>32</v>
      </c>
      <c r="T232">
        <f t="shared" si="6"/>
        <v>82</v>
      </c>
      <c r="U232" t="str">
        <f t="shared" si="7"/>
        <v>Pueblo</v>
      </c>
    </row>
    <row r="233" spans="1:21" ht="16" x14ac:dyDescent="0.4">
      <c r="A233" s="4">
        <v>47282</v>
      </c>
      <c r="B233" s="1" t="s">
        <v>40</v>
      </c>
      <c r="C233" s="1" t="s">
        <v>17</v>
      </c>
      <c r="D233" s="1">
        <v>558</v>
      </c>
      <c r="E233" s="1">
        <v>336</v>
      </c>
      <c r="F233" s="1">
        <v>398</v>
      </c>
      <c r="G233" s="1">
        <v>0</v>
      </c>
      <c r="H233" s="1">
        <v>13299</v>
      </c>
      <c r="I233" s="1">
        <v>2</v>
      </c>
      <c r="J233" s="1">
        <v>77</v>
      </c>
      <c r="K233" s="1">
        <v>354</v>
      </c>
      <c r="L233" s="1">
        <v>382</v>
      </c>
      <c r="M233" s="1">
        <v>7.5</v>
      </c>
      <c r="N233">
        <f>VLOOKUP(A233,vlookup_table!$A:$G,2,FALSE)</f>
        <v>0</v>
      </c>
      <c r="O233" t="str">
        <f>VLOOKUP(A233,vlookup_table!$A:$G,3,FALSE)</f>
        <v>AL</v>
      </c>
      <c r="P233">
        <f>VLOOKUP(A233,vlookup_table!$A:$G,4,FALSE)</f>
        <v>5701</v>
      </c>
      <c r="Q233" t="str">
        <f>VLOOKUP(A233,vlookup_table!$A:$G,5,FALSE)</f>
        <v>S2</v>
      </c>
      <c r="R233" t="str">
        <f>VLOOKUP(A233,vlookup_table!$A:$G,6,FALSE)</f>
        <v>F</v>
      </c>
      <c r="S233">
        <f>VLOOKUP(A233,vlookup_table!$A:$G,7,FALSE)</f>
        <v>15</v>
      </c>
      <c r="T233">
        <f t="shared" si="6"/>
        <v>39</v>
      </c>
      <c r="U233" t="str">
        <f t="shared" si="7"/>
        <v>Suburbano</v>
      </c>
    </row>
    <row r="234" spans="1:21" ht="16" x14ac:dyDescent="0.4">
      <c r="A234" s="4">
        <v>2950</v>
      </c>
      <c r="B234" s="1" t="s">
        <v>31</v>
      </c>
      <c r="C234" s="1" t="s">
        <v>14</v>
      </c>
      <c r="D234" s="1">
        <v>717</v>
      </c>
      <c r="E234" s="1">
        <v>306</v>
      </c>
      <c r="F234" s="1">
        <v>358</v>
      </c>
      <c r="G234" s="1">
        <v>1</v>
      </c>
      <c r="H234" s="1">
        <v>11279</v>
      </c>
      <c r="I234" s="1">
        <v>2</v>
      </c>
      <c r="J234" s="1">
        <v>37</v>
      </c>
      <c r="K234" s="1">
        <v>315</v>
      </c>
      <c r="L234" s="1">
        <v>333</v>
      </c>
      <c r="M234" s="1">
        <v>4.8499999999999996</v>
      </c>
      <c r="N234">
        <f>VLOOKUP(A234,vlookup_table!$A:$G,2,FALSE)</f>
        <v>0</v>
      </c>
      <c r="O234" t="str">
        <f>VLOOKUP(A234,vlookup_table!$A:$G,3,FALSE)</f>
        <v>MT</v>
      </c>
      <c r="P234">
        <f>VLOOKUP(A234,vlookup_table!$A:$G,4,FALSE)</f>
        <v>0</v>
      </c>
      <c r="Q234" t="str">
        <f>VLOOKUP(A234,vlookup_table!$A:$G,5,FALSE)</f>
        <v>R1</v>
      </c>
      <c r="R234" t="str">
        <f>VLOOKUP(A234,vlookup_table!$A:$G,6,FALSE)</f>
        <v>M</v>
      </c>
      <c r="S234">
        <f>VLOOKUP(A234,vlookup_table!$A:$G,7,FALSE)</f>
        <v>2</v>
      </c>
      <c r="T234">
        <f t="shared" si="6"/>
        <v>96</v>
      </c>
      <c r="U234" t="str">
        <f t="shared" si="7"/>
        <v>Rural</v>
      </c>
    </row>
    <row r="235" spans="1:21" ht="16" x14ac:dyDescent="0.4">
      <c r="A235" s="4">
        <v>87771</v>
      </c>
      <c r="B235" s="1" t="s">
        <v>16</v>
      </c>
      <c r="C235" s="1" t="s">
        <v>17</v>
      </c>
      <c r="D235" s="1">
        <v>1667</v>
      </c>
      <c r="E235" s="1">
        <v>541</v>
      </c>
      <c r="F235" s="1">
        <v>624</v>
      </c>
      <c r="G235" s="1">
        <v>26</v>
      </c>
      <c r="H235" s="1">
        <v>21458</v>
      </c>
      <c r="I235" s="1">
        <v>8</v>
      </c>
      <c r="J235" s="1">
        <v>65</v>
      </c>
      <c r="K235" s="1">
        <v>603</v>
      </c>
      <c r="L235" s="1">
        <v>592</v>
      </c>
      <c r="M235" s="1">
        <v>13.33333333</v>
      </c>
      <c r="N235">
        <f>VLOOKUP(A235,vlookup_table!$A:$G,2,FALSE)</f>
        <v>0</v>
      </c>
      <c r="O235" t="str">
        <f>VLOOKUP(A235,vlookup_table!$A:$G,3,FALSE)</f>
        <v>IL</v>
      </c>
      <c r="P235">
        <f>VLOOKUP(A235,vlookup_table!$A:$G,4,FALSE)</f>
        <v>6401</v>
      </c>
      <c r="Q235" t="str">
        <f>VLOOKUP(A235,vlookup_table!$A:$G,5,FALSE)</f>
        <v>U1</v>
      </c>
      <c r="R235" t="str">
        <f>VLOOKUP(A235,vlookup_table!$A:$G,6,FALSE)</f>
        <v>F</v>
      </c>
      <c r="S235">
        <f>VLOOKUP(A235,vlookup_table!$A:$G,7,FALSE)</f>
        <v>20</v>
      </c>
      <c r="T235">
        <f t="shared" si="6"/>
        <v>32</v>
      </c>
      <c r="U235" t="str">
        <f t="shared" si="7"/>
        <v>Urbano</v>
      </c>
    </row>
    <row r="236" spans="1:21" ht="16" x14ac:dyDescent="0.4">
      <c r="A236" s="4">
        <v>167934</v>
      </c>
      <c r="B236" s="1" t="s">
        <v>37</v>
      </c>
      <c r="C236" s="1" t="s">
        <v>17</v>
      </c>
      <c r="D236" s="1">
        <v>843</v>
      </c>
      <c r="E236" s="1">
        <v>423</v>
      </c>
      <c r="F236" s="1">
        <v>486</v>
      </c>
      <c r="G236" s="1">
        <v>5</v>
      </c>
      <c r="H236" s="1">
        <v>16476</v>
      </c>
      <c r="I236" s="1">
        <v>6</v>
      </c>
      <c r="J236" s="1">
        <v>32</v>
      </c>
      <c r="K236" s="1">
        <v>424</v>
      </c>
      <c r="L236" s="1">
        <v>475</v>
      </c>
      <c r="M236" s="1">
        <v>10.727272729999999</v>
      </c>
      <c r="N236">
        <f>VLOOKUP(A236,vlookup_table!$A:$G,2,FALSE)</f>
        <v>28</v>
      </c>
      <c r="O236" t="str">
        <f>VLOOKUP(A236,vlookup_table!$A:$G,3,FALSE)</f>
        <v>WA</v>
      </c>
      <c r="P236">
        <f>VLOOKUP(A236,vlookup_table!$A:$G,4,FALSE)</f>
        <v>3201</v>
      </c>
      <c r="Q236" t="str">
        <f>VLOOKUP(A236,vlookup_table!$A:$G,5,FALSE)</f>
        <v>S2</v>
      </c>
      <c r="R236" t="str">
        <f>VLOOKUP(A236,vlookup_table!$A:$G,6,FALSE)</f>
        <v>F</v>
      </c>
      <c r="S236">
        <f>VLOOKUP(A236,vlookup_table!$A:$G,7,FALSE)</f>
        <v>21</v>
      </c>
      <c r="T236">
        <f t="shared" si="6"/>
        <v>64</v>
      </c>
      <c r="U236" t="str">
        <f t="shared" si="7"/>
        <v>Suburbano</v>
      </c>
    </row>
    <row r="237" spans="1:21" ht="16" x14ac:dyDescent="0.4">
      <c r="A237" s="4">
        <v>26045</v>
      </c>
      <c r="B237" s="1" t="s">
        <v>36</v>
      </c>
      <c r="C237" s="1" t="s">
        <v>17</v>
      </c>
      <c r="D237" s="1">
        <v>583</v>
      </c>
      <c r="E237" s="1">
        <v>360</v>
      </c>
      <c r="F237" s="1">
        <v>434</v>
      </c>
      <c r="G237" s="1">
        <v>5</v>
      </c>
      <c r="H237" s="1">
        <v>24198</v>
      </c>
      <c r="I237" s="1">
        <v>4</v>
      </c>
      <c r="J237" s="1">
        <v>22</v>
      </c>
      <c r="K237" s="1">
        <v>374</v>
      </c>
      <c r="L237" s="1">
        <v>405</v>
      </c>
      <c r="M237" s="1">
        <v>9.6666666669999994</v>
      </c>
      <c r="N237">
        <f>VLOOKUP(A237,vlookup_table!$A:$G,2,FALSE)</f>
        <v>28</v>
      </c>
      <c r="O237" t="str">
        <f>VLOOKUP(A237,vlookup_table!$A:$G,3,FALSE)</f>
        <v>GA</v>
      </c>
      <c r="P237">
        <f>VLOOKUP(A237,vlookup_table!$A:$G,4,FALSE)</f>
        <v>4801</v>
      </c>
      <c r="Q237" t="str">
        <f>VLOOKUP(A237,vlookup_table!$A:$G,5,FALSE)</f>
        <v>C1</v>
      </c>
      <c r="R237" t="str">
        <f>VLOOKUP(A237,vlookup_table!$A:$G,6,FALSE)</f>
        <v>F</v>
      </c>
      <c r="S237">
        <f>VLOOKUP(A237,vlookup_table!$A:$G,7,FALSE)</f>
        <v>14</v>
      </c>
      <c r="T237">
        <f t="shared" si="6"/>
        <v>48</v>
      </c>
      <c r="U237" t="str">
        <f t="shared" si="7"/>
        <v>Ciudad</v>
      </c>
    </row>
    <row r="238" spans="1:21" ht="16" x14ac:dyDescent="0.4">
      <c r="A238" s="4">
        <v>661</v>
      </c>
      <c r="B238" s="1" t="s">
        <v>21</v>
      </c>
      <c r="C238" s="1" t="s">
        <v>14</v>
      </c>
      <c r="D238" s="1">
        <v>1801</v>
      </c>
      <c r="E238" s="1">
        <v>495</v>
      </c>
      <c r="F238" s="1">
        <v>525</v>
      </c>
      <c r="G238" s="1">
        <v>34</v>
      </c>
      <c r="H238" s="1">
        <v>18663</v>
      </c>
      <c r="I238" s="1">
        <v>3</v>
      </c>
      <c r="J238" s="1">
        <v>48</v>
      </c>
      <c r="K238" s="1">
        <v>534</v>
      </c>
      <c r="L238" s="1">
        <v>475</v>
      </c>
      <c r="M238" s="1">
        <v>19.470588240000001</v>
      </c>
      <c r="N238">
        <f>VLOOKUP(A238,vlookup_table!$A:$G,2,FALSE)</f>
        <v>0</v>
      </c>
      <c r="O238" t="str">
        <f>VLOOKUP(A238,vlookup_table!$A:$G,3,FALSE)</f>
        <v>CA</v>
      </c>
      <c r="P238">
        <f>VLOOKUP(A238,vlookup_table!$A:$G,4,FALSE)</f>
        <v>6509</v>
      </c>
      <c r="Q238" t="str">
        <f>VLOOKUP(A238,vlookup_table!$A:$G,5,FALSE)</f>
        <v>U2</v>
      </c>
      <c r="R238" t="str">
        <f>VLOOKUP(A238,vlookup_table!$A:$G,6,FALSE)</f>
        <v>M</v>
      </c>
      <c r="S238">
        <f>VLOOKUP(A238,vlookup_table!$A:$G,7,FALSE)</f>
        <v>20</v>
      </c>
      <c r="T238">
        <f t="shared" si="6"/>
        <v>31</v>
      </c>
      <c r="U238" t="str">
        <f t="shared" si="7"/>
        <v>Urbano</v>
      </c>
    </row>
    <row r="239" spans="1:21" ht="16" x14ac:dyDescent="0.4">
      <c r="A239" s="4">
        <v>47569</v>
      </c>
      <c r="B239" s="1" t="s">
        <v>40</v>
      </c>
      <c r="C239" s="1" t="s">
        <v>17</v>
      </c>
      <c r="D239" s="1">
        <v>863</v>
      </c>
      <c r="E239" s="1">
        <v>406</v>
      </c>
      <c r="F239" s="1">
        <v>562</v>
      </c>
      <c r="G239" s="1">
        <v>2</v>
      </c>
      <c r="H239" s="1">
        <v>19862</v>
      </c>
      <c r="I239" s="1">
        <v>3</v>
      </c>
      <c r="J239" s="1">
        <v>58</v>
      </c>
      <c r="K239" s="1">
        <v>527</v>
      </c>
      <c r="L239" s="1">
        <v>459</v>
      </c>
      <c r="M239" s="1">
        <v>9.153846154</v>
      </c>
      <c r="N239">
        <f>VLOOKUP(A239,vlookup_table!$A:$G,2,FALSE)</f>
        <v>0</v>
      </c>
      <c r="O239" t="str">
        <f>VLOOKUP(A239,vlookup_table!$A:$G,3,FALSE)</f>
        <v>AL</v>
      </c>
      <c r="P239">
        <f>VLOOKUP(A239,vlookup_table!$A:$G,4,FALSE)</f>
        <v>0</v>
      </c>
      <c r="Q239" t="str">
        <f>VLOOKUP(A239,vlookup_table!$A:$G,5,FALSE)</f>
        <v>C2</v>
      </c>
      <c r="R239" t="str">
        <f>VLOOKUP(A239,vlookup_table!$A:$G,6,FALSE)</f>
        <v>F</v>
      </c>
      <c r="S239">
        <f>VLOOKUP(A239,vlookup_table!$A:$G,7,FALSE)</f>
        <v>10</v>
      </c>
      <c r="T239">
        <f t="shared" si="6"/>
        <v>96</v>
      </c>
      <c r="U239" t="str">
        <f t="shared" si="7"/>
        <v>Ciudad</v>
      </c>
    </row>
    <row r="240" spans="1:21" ht="16" x14ac:dyDescent="0.4">
      <c r="A240" s="4">
        <v>176743</v>
      </c>
      <c r="B240" s="1" t="s">
        <v>47</v>
      </c>
      <c r="C240" s="1" t="s">
        <v>14</v>
      </c>
      <c r="D240" s="1">
        <v>335</v>
      </c>
      <c r="E240" s="1">
        <v>140</v>
      </c>
      <c r="F240" s="1">
        <v>170</v>
      </c>
      <c r="G240" s="1">
        <v>0</v>
      </c>
      <c r="H240" s="1">
        <v>6682</v>
      </c>
      <c r="I240" s="1">
        <v>7</v>
      </c>
      <c r="J240" s="1">
        <v>36</v>
      </c>
      <c r="K240" s="1">
        <v>157</v>
      </c>
      <c r="L240" s="1">
        <v>154</v>
      </c>
      <c r="M240" s="1">
        <v>4.8571428570000004</v>
      </c>
      <c r="N240">
        <f>VLOOKUP(A240,vlookup_table!$A:$G,2,FALSE)</f>
        <v>1</v>
      </c>
      <c r="O240" t="str">
        <f>VLOOKUP(A240,vlookup_table!$A:$G,3,FALSE)</f>
        <v>OR</v>
      </c>
      <c r="P240">
        <f>VLOOKUP(A240,vlookup_table!$A:$G,4,FALSE)</f>
        <v>201</v>
      </c>
      <c r="Q240" t="str">
        <f>VLOOKUP(A240,vlookup_table!$A:$G,5,FALSE)</f>
        <v>C3</v>
      </c>
      <c r="R240" t="str">
        <f>VLOOKUP(A240,vlookup_table!$A:$G,6,FALSE)</f>
        <v>M</v>
      </c>
      <c r="S240">
        <f>VLOOKUP(A240,vlookup_table!$A:$G,7,FALSE)</f>
        <v>7</v>
      </c>
      <c r="T240">
        <f t="shared" si="6"/>
        <v>76</v>
      </c>
      <c r="U240" t="str">
        <f t="shared" si="7"/>
        <v>Ciudad</v>
      </c>
    </row>
    <row r="241" spans="1:21" ht="16" x14ac:dyDescent="0.4">
      <c r="A241" s="4">
        <v>188164</v>
      </c>
      <c r="B241" s="1" t="s">
        <v>20</v>
      </c>
      <c r="C241" s="1"/>
      <c r="D241" s="1">
        <v>1362</v>
      </c>
      <c r="E241" s="1">
        <v>575</v>
      </c>
      <c r="F241" s="1">
        <v>718</v>
      </c>
      <c r="G241" s="1">
        <v>8</v>
      </c>
      <c r="H241" s="1">
        <v>21447</v>
      </c>
      <c r="I241" s="1">
        <v>4</v>
      </c>
      <c r="J241" s="1">
        <v>63</v>
      </c>
      <c r="K241" s="1">
        <v>645</v>
      </c>
      <c r="L241" s="1">
        <v>627</v>
      </c>
      <c r="M241" s="1">
        <v>8.5333333329999999</v>
      </c>
      <c r="N241">
        <f>VLOOKUP(A241,vlookup_table!$A:$G,2,FALSE)</f>
        <v>0</v>
      </c>
      <c r="O241" t="str">
        <f>VLOOKUP(A241,vlookup_table!$A:$G,3,FALSE)</f>
        <v>TX</v>
      </c>
      <c r="P241">
        <f>VLOOKUP(A241,vlookup_table!$A:$G,4,FALSE)</f>
        <v>0</v>
      </c>
      <c r="Q241" t="str">
        <f>VLOOKUP(A241,vlookup_table!$A:$G,5,FALSE)</f>
        <v>S1</v>
      </c>
      <c r="R241" t="str">
        <f>VLOOKUP(A241,vlookup_table!$A:$G,6,FALSE)</f>
        <v/>
      </c>
      <c r="S241">
        <f>VLOOKUP(A241,vlookup_table!$A:$G,7,FALSE)</f>
        <v>10</v>
      </c>
      <c r="T241">
        <f t="shared" si="6"/>
        <v>96</v>
      </c>
      <c r="U241" t="str">
        <f t="shared" si="7"/>
        <v>Suburbano</v>
      </c>
    </row>
    <row r="242" spans="1:21" ht="16" x14ac:dyDescent="0.4">
      <c r="A242" s="4">
        <v>134364</v>
      </c>
      <c r="B242" s="1" t="s">
        <v>35</v>
      </c>
      <c r="C242" s="1" t="s">
        <v>17</v>
      </c>
      <c r="D242" s="1">
        <v>700</v>
      </c>
      <c r="E242" s="1">
        <v>252</v>
      </c>
      <c r="F242" s="1">
        <v>302</v>
      </c>
      <c r="G242" s="1">
        <v>0</v>
      </c>
      <c r="H242" s="1">
        <v>12806</v>
      </c>
      <c r="I242" s="1">
        <v>6</v>
      </c>
      <c r="J242" s="1">
        <v>63</v>
      </c>
      <c r="K242" s="1">
        <v>257</v>
      </c>
      <c r="L242" s="1">
        <v>281</v>
      </c>
      <c r="M242" s="1">
        <v>20</v>
      </c>
      <c r="N242">
        <f>VLOOKUP(A242,vlookup_table!$A:$G,2,FALSE)</f>
        <v>0</v>
      </c>
      <c r="O242" t="str">
        <f>VLOOKUP(A242,vlookup_table!$A:$G,3,FALSE)</f>
        <v>UT</v>
      </c>
      <c r="P242">
        <f>VLOOKUP(A242,vlookup_table!$A:$G,4,FALSE)</f>
        <v>0</v>
      </c>
      <c r="Q242" t="str">
        <f>VLOOKUP(A242,vlookup_table!$A:$G,5,FALSE)</f>
        <v>U2</v>
      </c>
      <c r="R242" t="str">
        <f>VLOOKUP(A242,vlookup_table!$A:$G,6,FALSE)</f>
        <v>F</v>
      </c>
      <c r="S242">
        <f>VLOOKUP(A242,vlookup_table!$A:$G,7,FALSE)</f>
        <v>20</v>
      </c>
      <c r="T242">
        <f t="shared" si="6"/>
        <v>96</v>
      </c>
      <c r="U242" t="str">
        <f t="shared" si="7"/>
        <v>Urbano</v>
      </c>
    </row>
    <row r="243" spans="1:21" ht="16" x14ac:dyDescent="0.4">
      <c r="A243" s="4">
        <v>93742</v>
      </c>
      <c r="B243" s="1" t="s">
        <v>16</v>
      </c>
      <c r="C243" s="1" t="s">
        <v>17</v>
      </c>
      <c r="D243" s="1">
        <v>562</v>
      </c>
      <c r="E243" s="1">
        <v>360</v>
      </c>
      <c r="F243" s="1">
        <v>474</v>
      </c>
      <c r="G243" s="1">
        <v>0</v>
      </c>
      <c r="H243" s="1">
        <v>12391</v>
      </c>
      <c r="I243" s="1">
        <v>24</v>
      </c>
      <c r="J243" s="1">
        <v>69</v>
      </c>
      <c r="K243" s="1">
        <v>480</v>
      </c>
      <c r="L243" s="1">
        <v>388</v>
      </c>
      <c r="M243" s="1">
        <v>20</v>
      </c>
      <c r="N243">
        <f>VLOOKUP(A243,vlookup_table!$A:$G,2,FALSE)</f>
        <v>2</v>
      </c>
      <c r="O243" t="str">
        <f>VLOOKUP(A243,vlookup_table!$A:$G,3,FALSE)</f>
        <v>IL</v>
      </c>
      <c r="P243">
        <f>VLOOKUP(A243,vlookup_table!$A:$G,4,FALSE)</f>
        <v>3504</v>
      </c>
      <c r="Q243" t="str">
        <f>VLOOKUP(A243,vlookup_table!$A:$G,5,FALSE)</f>
        <v>U3</v>
      </c>
      <c r="R243" t="str">
        <f>VLOOKUP(A243,vlookup_table!$A:$G,6,FALSE)</f>
        <v>F</v>
      </c>
      <c r="S243">
        <f>VLOOKUP(A243,vlookup_table!$A:$G,7,FALSE)</f>
        <v>30</v>
      </c>
      <c r="T243">
        <f t="shared" si="6"/>
        <v>61</v>
      </c>
      <c r="U243" t="str">
        <f t="shared" si="7"/>
        <v>Urbano</v>
      </c>
    </row>
    <row r="244" spans="1:21" ht="16" x14ac:dyDescent="0.4">
      <c r="A244" s="4">
        <v>39479</v>
      </c>
      <c r="B244" s="1" t="s">
        <v>13</v>
      </c>
      <c r="C244" s="1" t="s">
        <v>14</v>
      </c>
      <c r="D244" s="1">
        <v>1287</v>
      </c>
      <c r="E244" s="1">
        <v>479</v>
      </c>
      <c r="F244" s="1">
        <v>616</v>
      </c>
      <c r="G244" s="1">
        <v>7</v>
      </c>
      <c r="H244" s="1">
        <v>20795</v>
      </c>
      <c r="I244" s="1">
        <v>15</v>
      </c>
      <c r="J244" s="1">
        <v>35</v>
      </c>
      <c r="K244" s="1">
        <v>508</v>
      </c>
      <c r="L244" s="1">
        <v>567</v>
      </c>
      <c r="M244" s="1">
        <v>4.105769231</v>
      </c>
      <c r="N244">
        <f>VLOOKUP(A244,vlookup_table!$A:$G,2,FALSE)</f>
        <v>2</v>
      </c>
      <c r="O244" t="str">
        <f>VLOOKUP(A244,vlookup_table!$A:$G,3,FALSE)</f>
        <v>FL</v>
      </c>
      <c r="P244">
        <f>VLOOKUP(A244,vlookup_table!$A:$G,4,FALSE)</f>
        <v>3306</v>
      </c>
      <c r="Q244" t="str">
        <f>VLOOKUP(A244,vlookup_table!$A:$G,5,FALSE)</f>
        <v>C2</v>
      </c>
      <c r="R244" t="str">
        <f>VLOOKUP(A244,vlookup_table!$A:$G,6,FALSE)</f>
        <v>M</v>
      </c>
      <c r="S244">
        <f>VLOOKUP(A244,vlookup_table!$A:$G,7,FALSE)</f>
        <v>4</v>
      </c>
      <c r="T244">
        <f t="shared" si="6"/>
        <v>63</v>
      </c>
      <c r="U244" t="str">
        <f t="shared" si="7"/>
        <v>Ciudad</v>
      </c>
    </row>
    <row r="245" spans="1:21" ht="16" x14ac:dyDescent="0.4">
      <c r="A245" s="4">
        <v>54142</v>
      </c>
      <c r="B245" s="1" t="s">
        <v>49</v>
      </c>
      <c r="C245" s="1" t="s">
        <v>17</v>
      </c>
      <c r="D245" s="1">
        <v>476</v>
      </c>
      <c r="E245" s="1">
        <v>210</v>
      </c>
      <c r="F245" s="1">
        <v>310</v>
      </c>
      <c r="G245" s="1">
        <v>0</v>
      </c>
      <c r="H245" s="1">
        <v>10171</v>
      </c>
      <c r="I245" s="1">
        <v>0</v>
      </c>
      <c r="J245" s="1">
        <v>55</v>
      </c>
      <c r="K245" s="1">
        <v>254</v>
      </c>
      <c r="L245" s="1">
        <v>272</v>
      </c>
      <c r="M245" s="1">
        <v>13</v>
      </c>
      <c r="N245">
        <f>VLOOKUP(A245,vlookup_table!$A:$G,2,FALSE)</f>
        <v>2</v>
      </c>
      <c r="O245" t="str">
        <f>VLOOKUP(A245,vlookup_table!$A:$G,3,FALSE)</f>
        <v>TN</v>
      </c>
      <c r="P245">
        <f>VLOOKUP(A245,vlookup_table!$A:$G,4,FALSE)</f>
        <v>4601</v>
      </c>
      <c r="Q245" t="str">
        <f>VLOOKUP(A245,vlookup_table!$A:$G,5,FALSE)</f>
        <v>R2</v>
      </c>
      <c r="R245" t="str">
        <f>VLOOKUP(A245,vlookup_table!$A:$G,6,FALSE)</f>
        <v>F</v>
      </c>
      <c r="S245">
        <f>VLOOKUP(A245,vlookup_table!$A:$G,7,FALSE)</f>
        <v>21</v>
      </c>
      <c r="T245">
        <f t="shared" si="6"/>
        <v>50</v>
      </c>
      <c r="U245" t="str">
        <f t="shared" si="7"/>
        <v>Rural</v>
      </c>
    </row>
    <row r="246" spans="1:21" ht="16" x14ac:dyDescent="0.4">
      <c r="A246" s="4">
        <v>168038</v>
      </c>
      <c r="B246" s="1" t="s">
        <v>21</v>
      </c>
      <c r="C246" s="1" t="s">
        <v>14</v>
      </c>
      <c r="D246" s="1">
        <v>5939</v>
      </c>
      <c r="E246" s="1">
        <v>1214</v>
      </c>
      <c r="F246" s="1">
        <v>1085</v>
      </c>
      <c r="G246" s="1">
        <v>99</v>
      </c>
      <c r="H246" s="1">
        <v>64833</v>
      </c>
      <c r="I246" s="1">
        <v>19</v>
      </c>
      <c r="J246" s="1">
        <v>42</v>
      </c>
      <c r="K246" s="1">
        <v>1211</v>
      </c>
      <c r="L246" s="1">
        <v>1080</v>
      </c>
      <c r="M246" s="1">
        <v>20</v>
      </c>
      <c r="N246">
        <f>VLOOKUP(A246,vlookup_table!$A:$G,2,FALSE)</f>
        <v>0</v>
      </c>
      <c r="O246" t="str">
        <f>VLOOKUP(A246,vlookup_table!$A:$G,3,FALSE)</f>
        <v>CA</v>
      </c>
      <c r="P246">
        <f>VLOOKUP(A246,vlookup_table!$A:$G,4,FALSE)</f>
        <v>4703</v>
      </c>
      <c r="Q246" t="str">
        <f>VLOOKUP(A246,vlookup_table!$A:$G,5,FALSE)</f>
        <v>S1</v>
      </c>
      <c r="R246" t="str">
        <f>VLOOKUP(A246,vlookup_table!$A:$G,6,FALSE)</f>
        <v>M</v>
      </c>
      <c r="S246">
        <f>VLOOKUP(A246,vlookup_table!$A:$G,7,FALSE)</f>
        <v>36</v>
      </c>
      <c r="T246">
        <f t="shared" si="6"/>
        <v>49</v>
      </c>
      <c r="U246" t="str">
        <f t="shared" si="7"/>
        <v>Suburbano</v>
      </c>
    </row>
    <row r="247" spans="1:21" ht="16" x14ac:dyDescent="0.4">
      <c r="A247" s="4">
        <v>48675</v>
      </c>
      <c r="B247" s="1" t="s">
        <v>40</v>
      </c>
      <c r="C247" s="1" t="s">
        <v>17</v>
      </c>
      <c r="D247" s="1">
        <v>648</v>
      </c>
      <c r="E247" s="1">
        <v>353</v>
      </c>
      <c r="F247" s="1">
        <v>453</v>
      </c>
      <c r="G247" s="1">
        <v>0</v>
      </c>
      <c r="H247" s="1">
        <v>16873</v>
      </c>
      <c r="I247" s="1">
        <v>0</v>
      </c>
      <c r="J247" s="1">
        <v>77</v>
      </c>
      <c r="K247" s="1">
        <v>418</v>
      </c>
      <c r="L247" s="1">
        <v>357</v>
      </c>
      <c r="M247" s="1">
        <v>7</v>
      </c>
      <c r="N247">
        <f>VLOOKUP(A247,vlookup_table!$A:$G,2,FALSE)</f>
        <v>0</v>
      </c>
      <c r="O247" t="str">
        <f>VLOOKUP(A247,vlookup_table!$A:$G,3,FALSE)</f>
        <v>AL</v>
      </c>
      <c r="P247">
        <f>VLOOKUP(A247,vlookup_table!$A:$G,4,FALSE)</f>
        <v>2601</v>
      </c>
      <c r="Q247" t="str">
        <f>VLOOKUP(A247,vlookup_table!$A:$G,5,FALSE)</f>
        <v>C1</v>
      </c>
      <c r="R247" t="str">
        <f>VLOOKUP(A247,vlookup_table!$A:$G,6,FALSE)</f>
        <v>F</v>
      </c>
      <c r="S247">
        <f>VLOOKUP(A247,vlookup_table!$A:$G,7,FALSE)</f>
        <v>5</v>
      </c>
      <c r="T247">
        <f t="shared" si="6"/>
        <v>70</v>
      </c>
      <c r="U247" t="str">
        <f t="shared" si="7"/>
        <v>Ciudad</v>
      </c>
    </row>
    <row r="248" spans="1:21" ht="16" x14ac:dyDescent="0.4">
      <c r="A248" s="4">
        <v>158980</v>
      </c>
      <c r="B248" s="1" t="s">
        <v>21</v>
      </c>
      <c r="C248" s="1" t="s">
        <v>14</v>
      </c>
      <c r="D248" s="1">
        <v>1862</v>
      </c>
      <c r="E248" s="1">
        <v>365</v>
      </c>
      <c r="F248" s="1">
        <v>425</v>
      </c>
      <c r="G248" s="1">
        <v>23</v>
      </c>
      <c r="H248" s="1">
        <v>10521</v>
      </c>
      <c r="I248" s="1">
        <v>25</v>
      </c>
      <c r="J248" s="1">
        <v>45</v>
      </c>
      <c r="K248" s="1">
        <v>372</v>
      </c>
      <c r="L248" s="1">
        <v>401</v>
      </c>
      <c r="M248" s="1">
        <v>17.85714286</v>
      </c>
      <c r="N248">
        <f>VLOOKUP(A248,vlookup_table!$A:$G,2,FALSE)</f>
        <v>0</v>
      </c>
      <c r="O248" t="str">
        <f>VLOOKUP(A248,vlookup_table!$A:$G,3,FALSE)</f>
        <v>CA</v>
      </c>
      <c r="P248">
        <f>VLOOKUP(A248,vlookup_table!$A:$G,4,FALSE)</f>
        <v>6201</v>
      </c>
      <c r="Q248" t="str">
        <f>VLOOKUP(A248,vlookup_table!$A:$G,5,FALSE)</f>
        <v>S2</v>
      </c>
      <c r="R248" t="str">
        <f>VLOOKUP(A248,vlookup_table!$A:$G,6,FALSE)</f>
        <v>M</v>
      </c>
      <c r="S248">
        <f>VLOOKUP(A248,vlookup_table!$A:$G,7,FALSE)</f>
        <v>20</v>
      </c>
      <c r="T248">
        <f t="shared" si="6"/>
        <v>34</v>
      </c>
      <c r="U248" t="str">
        <f t="shared" si="7"/>
        <v>Suburbano</v>
      </c>
    </row>
    <row r="249" spans="1:21" ht="16" x14ac:dyDescent="0.4">
      <c r="A249" s="4">
        <v>153888</v>
      </c>
      <c r="B249" s="1" t="s">
        <v>21</v>
      </c>
      <c r="C249" s="1" t="s">
        <v>17</v>
      </c>
      <c r="D249" s="1">
        <v>1843</v>
      </c>
      <c r="E249" s="1">
        <v>515</v>
      </c>
      <c r="F249" s="1">
        <v>582</v>
      </c>
      <c r="G249" s="1">
        <v>34</v>
      </c>
      <c r="H249" s="1">
        <v>23660</v>
      </c>
      <c r="I249" s="1">
        <v>15</v>
      </c>
      <c r="J249" s="1">
        <v>29</v>
      </c>
      <c r="K249" s="1">
        <v>511</v>
      </c>
      <c r="L249" s="1">
        <v>575</v>
      </c>
      <c r="M249" s="1">
        <v>19</v>
      </c>
      <c r="N249">
        <f>VLOOKUP(A249,vlookup_table!$A:$G,2,FALSE)</f>
        <v>0</v>
      </c>
      <c r="O249" t="str">
        <f>VLOOKUP(A249,vlookup_table!$A:$G,3,FALSE)</f>
        <v>CA</v>
      </c>
      <c r="P249">
        <f>VLOOKUP(A249,vlookup_table!$A:$G,4,FALSE)</f>
        <v>3801</v>
      </c>
      <c r="Q249" t="str">
        <f>VLOOKUP(A249,vlookup_table!$A:$G,5,FALSE)</f>
        <v>S1</v>
      </c>
      <c r="R249" t="str">
        <f>VLOOKUP(A249,vlookup_table!$A:$G,6,FALSE)</f>
        <v>F</v>
      </c>
      <c r="S249">
        <f>VLOOKUP(A249,vlookup_table!$A:$G,7,FALSE)</f>
        <v>10</v>
      </c>
      <c r="T249">
        <f t="shared" si="6"/>
        <v>58</v>
      </c>
      <c r="U249" t="str">
        <f t="shared" si="7"/>
        <v>Suburbano</v>
      </c>
    </row>
    <row r="250" spans="1:21" ht="16" x14ac:dyDescent="0.4">
      <c r="A250" s="4">
        <v>162300</v>
      </c>
      <c r="B250" s="1" t="s">
        <v>21</v>
      </c>
      <c r="C250" s="1" t="s">
        <v>14</v>
      </c>
      <c r="D250" s="1">
        <v>5190</v>
      </c>
      <c r="E250" s="1">
        <v>870</v>
      </c>
      <c r="F250" s="1">
        <v>918</v>
      </c>
      <c r="G250" s="1">
        <v>98</v>
      </c>
      <c r="H250" s="1">
        <v>39481</v>
      </c>
      <c r="I250" s="1">
        <v>10</v>
      </c>
      <c r="J250" s="1">
        <v>47</v>
      </c>
      <c r="K250" s="1">
        <v>892</v>
      </c>
      <c r="L250" s="1">
        <v>871</v>
      </c>
      <c r="M250" s="1">
        <v>9.8888888890000004</v>
      </c>
      <c r="N250">
        <f>VLOOKUP(A250,vlookup_table!$A:$G,2,FALSE)</f>
        <v>1002</v>
      </c>
      <c r="O250" t="str">
        <f>VLOOKUP(A250,vlookup_table!$A:$G,3,FALSE)</f>
        <v>CA</v>
      </c>
      <c r="P250">
        <f>VLOOKUP(A250,vlookup_table!$A:$G,4,FALSE)</f>
        <v>2001</v>
      </c>
      <c r="Q250" t="str">
        <f>VLOOKUP(A250,vlookup_table!$A:$G,5,FALSE)</f>
        <v>S1</v>
      </c>
      <c r="R250" t="str">
        <f>VLOOKUP(A250,vlookup_table!$A:$G,6,FALSE)</f>
        <v>M</v>
      </c>
      <c r="S250">
        <f>VLOOKUP(A250,vlookup_table!$A:$G,7,FALSE)</f>
        <v>20</v>
      </c>
      <c r="T250">
        <f t="shared" si="6"/>
        <v>76</v>
      </c>
      <c r="U250" t="str">
        <f t="shared" si="7"/>
        <v>Suburbano</v>
      </c>
    </row>
    <row r="251" spans="1:21" ht="16" x14ac:dyDescent="0.4">
      <c r="A251" s="4">
        <v>163081</v>
      </c>
      <c r="B251" s="1" t="s">
        <v>21</v>
      </c>
      <c r="C251" s="1" t="s">
        <v>14</v>
      </c>
      <c r="D251" s="1">
        <v>3912</v>
      </c>
      <c r="E251" s="1">
        <v>351</v>
      </c>
      <c r="F251" s="1">
        <v>454</v>
      </c>
      <c r="G251" s="1">
        <v>98</v>
      </c>
      <c r="H251" s="1">
        <v>19508</v>
      </c>
      <c r="I251" s="1">
        <v>22</v>
      </c>
      <c r="J251" s="1">
        <v>32</v>
      </c>
      <c r="K251" s="1">
        <v>410</v>
      </c>
      <c r="L251" s="1">
        <v>404</v>
      </c>
      <c r="M251" s="1">
        <v>6</v>
      </c>
      <c r="N251">
        <f>VLOOKUP(A251,vlookup_table!$A:$G,2,FALSE)</f>
        <v>1</v>
      </c>
      <c r="O251" t="str">
        <f>VLOOKUP(A251,vlookup_table!$A:$G,3,FALSE)</f>
        <v>CA</v>
      </c>
      <c r="P251">
        <f>VLOOKUP(A251,vlookup_table!$A:$G,4,FALSE)</f>
        <v>0</v>
      </c>
      <c r="Q251" t="str">
        <f>VLOOKUP(A251,vlookup_table!$A:$G,5,FALSE)</f>
        <v>U1</v>
      </c>
      <c r="R251" t="str">
        <f>VLOOKUP(A251,vlookup_table!$A:$G,6,FALSE)</f>
        <v>M</v>
      </c>
      <c r="S251">
        <f>VLOOKUP(A251,vlookup_table!$A:$G,7,FALSE)</f>
        <v>7</v>
      </c>
      <c r="T251">
        <f t="shared" si="6"/>
        <v>96</v>
      </c>
      <c r="U251" t="str">
        <f t="shared" si="7"/>
        <v>Urbano</v>
      </c>
    </row>
    <row r="252" spans="1:21" ht="16" x14ac:dyDescent="0.4">
      <c r="A252" s="4">
        <v>14000</v>
      </c>
      <c r="B252" s="1" t="s">
        <v>28</v>
      </c>
      <c r="C252" s="1" t="s">
        <v>17</v>
      </c>
      <c r="D252" s="1">
        <v>1537</v>
      </c>
      <c r="E252" s="1">
        <v>791</v>
      </c>
      <c r="F252" s="1">
        <v>949</v>
      </c>
      <c r="G252" s="1">
        <v>26</v>
      </c>
      <c r="H252" s="1">
        <v>32640</v>
      </c>
      <c r="I252" s="1">
        <v>2</v>
      </c>
      <c r="J252" s="1">
        <v>54</v>
      </c>
      <c r="K252" s="1">
        <v>783</v>
      </c>
      <c r="L252" s="1">
        <v>916</v>
      </c>
      <c r="M252" s="1">
        <v>11.0625</v>
      </c>
      <c r="N252">
        <f>VLOOKUP(A252,vlookup_table!$A:$G,2,FALSE)</f>
        <v>0</v>
      </c>
      <c r="O252" t="str">
        <f>VLOOKUP(A252,vlookup_table!$A:$G,3,FALSE)</f>
        <v>OK</v>
      </c>
      <c r="P252">
        <f>VLOOKUP(A252,vlookup_table!$A:$G,4,FALSE)</f>
        <v>2101</v>
      </c>
      <c r="Q252" t="str">
        <f>VLOOKUP(A252,vlookup_table!$A:$G,5,FALSE)</f>
        <v>S1</v>
      </c>
      <c r="R252" t="str">
        <f>VLOOKUP(A252,vlookup_table!$A:$G,6,FALSE)</f>
        <v>F</v>
      </c>
      <c r="S252">
        <f>VLOOKUP(A252,vlookup_table!$A:$G,7,FALSE)</f>
        <v>12</v>
      </c>
      <c r="T252">
        <f t="shared" si="6"/>
        <v>75</v>
      </c>
      <c r="U252" t="str">
        <f t="shared" si="7"/>
        <v>Suburbano</v>
      </c>
    </row>
    <row r="253" spans="1:21" ht="16" x14ac:dyDescent="0.4">
      <c r="A253" s="4">
        <v>6599</v>
      </c>
      <c r="B253" s="1" t="s">
        <v>37</v>
      </c>
      <c r="C253" s="1" t="s">
        <v>17</v>
      </c>
      <c r="D253" s="1">
        <v>719</v>
      </c>
      <c r="E253" s="1">
        <v>330</v>
      </c>
      <c r="F253" s="1">
        <v>416</v>
      </c>
      <c r="G253" s="1">
        <v>1</v>
      </c>
      <c r="H253" s="1">
        <v>14248</v>
      </c>
      <c r="I253" s="1">
        <v>3</v>
      </c>
      <c r="J253" s="1">
        <v>57</v>
      </c>
      <c r="K253" s="1">
        <v>340</v>
      </c>
      <c r="L253" s="1">
        <v>389</v>
      </c>
      <c r="M253" s="1">
        <v>10.866666670000001</v>
      </c>
      <c r="N253">
        <f>VLOOKUP(A253,vlookup_table!$A:$G,2,FALSE)</f>
        <v>0</v>
      </c>
      <c r="O253" t="str">
        <f>VLOOKUP(A253,vlookup_table!$A:$G,3,FALSE)</f>
        <v>WA</v>
      </c>
      <c r="P253">
        <f>VLOOKUP(A253,vlookup_table!$A:$G,4,FALSE)</f>
        <v>3601</v>
      </c>
      <c r="Q253" t="str">
        <f>VLOOKUP(A253,vlookup_table!$A:$G,5,FALSE)</f>
        <v>S2</v>
      </c>
      <c r="R253" t="str">
        <f>VLOOKUP(A253,vlookup_table!$A:$G,6,FALSE)</f>
        <v>F</v>
      </c>
      <c r="S253">
        <f>VLOOKUP(A253,vlookup_table!$A:$G,7,FALSE)</f>
        <v>11</v>
      </c>
      <c r="T253">
        <f t="shared" si="6"/>
        <v>60</v>
      </c>
      <c r="U253" t="str">
        <f t="shared" si="7"/>
        <v>Suburbano</v>
      </c>
    </row>
    <row r="254" spans="1:21" ht="16" x14ac:dyDescent="0.4">
      <c r="A254" s="4">
        <v>135454</v>
      </c>
      <c r="B254" s="1" t="s">
        <v>51</v>
      </c>
      <c r="C254" s="1" t="s">
        <v>14</v>
      </c>
      <c r="D254" s="1">
        <v>1074</v>
      </c>
      <c r="E254" s="1">
        <v>469</v>
      </c>
      <c r="F254" s="1">
        <v>516</v>
      </c>
      <c r="G254" s="1">
        <v>11</v>
      </c>
      <c r="H254" s="1">
        <v>18042</v>
      </c>
      <c r="I254" s="1">
        <v>2</v>
      </c>
      <c r="J254" s="1">
        <v>34</v>
      </c>
      <c r="K254" s="1">
        <v>472</v>
      </c>
      <c r="L254" s="1">
        <v>510</v>
      </c>
      <c r="M254" s="1">
        <v>8.8235294119999992</v>
      </c>
      <c r="N254">
        <f>VLOOKUP(A254,vlookup_table!$A:$G,2,FALSE)</f>
        <v>0</v>
      </c>
      <c r="O254" t="str">
        <f>VLOOKUP(A254,vlookup_table!$A:$G,3,FALSE)</f>
        <v>AZ</v>
      </c>
      <c r="P254">
        <f>VLOOKUP(A254,vlookup_table!$A:$G,4,FALSE)</f>
        <v>0</v>
      </c>
      <c r="Q254" t="str">
        <f>VLOOKUP(A254,vlookup_table!$A:$G,5,FALSE)</f>
        <v>T1</v>
      </c>
      <c r="R254" t="str">
        <f>VLOOKUP(A254,vlookup_table!$A:$G,6,FALSE)</f>
        <v>M</v>
      </c>
      <c r="S254">
        <f>VLOOKUP(A254,vlookup_table!$A:$G,7,FALSE)</f>
        <v>15</v>
      </c>
      <c r="T254">
        <f t="shared" si="6"/>
        <v>96</v>
      </c>
      <c r="U254" t="str">
        <f t="shared" si="7"/>
        <v>Pueblo</v>
      </c>
    </row>
    <row r="255" spans="1:21" ht="16" x14ac:dyDescent="0.4">
      <c r="A255" s="4">
        <v>128643</v>
      </c>
      <c r="B255" s="1" t="s">
        <v>20</v>
      </c>
      <c r="C255" s="1" t="s">
        <v>14</v>
      </c>
      <c r="D255" s="1">
        <v>298</v>
      </c>
      <c r="E255" s="1">
        <v>268</v>
      </c>
      <c r="F255" s="1">
        <v>303</v>
      </c>
      <c r="G255" s="1">
        <v>0</v>
      </c>
      <c r="H255" s="1">
        <v>9838</v>
      </c>
      <c r="I255" s="1">
        <v>3</v>
      </c>
      <c r="J255" s="1">
        <v>75</v>
      </c>
      <c r="K255" s="1">
        <v>281</v>
      </c>
      <c r="L255" s="1">
        <v>267</v>
      </c>
      <c r="M255" s="1">
        <v>6.625</v>
      </c>
      <c r="N255">
        <f>VLOOKUP(A255,vlookup_table!$A:$G,2,FALSE)</f>
        <v>1</v>
      </c>
      <c r="O255" t="str">
        <f>VLOOKUP(A255,vlookup_table!$A:$G,3,FALSE)</f>
        <v>TX</v>
      </c>
      <c r="P255">
        <f>VLOOKUP(A255,vlookup_table!$A:$G,4,FALSE)</f>
        <v>2809</v>
      </c>
      <c r="Q255" t="str">
        <f>VLOOKUP(A255,vlookup_table!$A:$G,5,FALSE)</f>
        <v>C3</v>
      </c>
      <c r="R255" t="str">
        <f>VLOOKUP(A255,vlookup_table!$A:$G,6,FALSE)</f>
        <v>M</v>
      </c>
      <c r="S255">
        <f>VLOOKUP(A255,vlookup_table!$A:$G,7,FALSE)</f>
        <v>4</v>
      </c>
      <c r="T255">
        <f t="shared" si="6"/>
        <v>68</v>
      </c>
      <c r="U255" t="str">
        <f t="shared" si="7"/>
        <v>Ciudad</v>
      </c>
    </row>
    <row r="256" spans="1:21" ht="16" x14ac:dyDescent="0.4">
      <c r="A256" s="4">
        <v>116420</v>
      </c>
      <c r="B256" s="1" t="s">
        <v>20</v>
      </c>
      <c r="C256" s="1" t="s">
        <v>14</v>
      </c>
      <c r="D256" s="1">
        <v>1951</v>
      </c>
      <c r="E256" s="1">
        <v>807</v>
      </c>
      <c r="F256" s="1">
        <v>896</v>
      </c>
      <c r="G256" s="1">
        <v>49</v>
      </c>
      <c r="H256" s="1">
        <v>31111</v>
      </c>
      <c r="I256" s="1">
        <v>6</v>
      </c>
      <c r="J256" s="1">
        <v>32</v>
      </c>
      <c r="K256" s="1">
        <v>838</v>
      </c>
      <c r="L256" s="1">
        <v>870</v>
      </c>
      <c r="M256" s="1">
        <v>9.3333333330000006</v>
      </c>
      <c r="N256">
        <f>VLOOKUP(A256,vlookup_table!$A:$G,2,FALSE)</f>
        <v>0</v>
      </c>
      <c r="O256" t="str">
        <f>VLOOKUP(A256,vlookup_table!$A:$G,3,FALSE)</f>
        <v>TX</v>
      </c>
      <c r="P256">
        <f>VLOOKUP(A256,vlookup_table!$A:$G,4,FALSE)</f>
        <v>0</v>
      </c>
      <c r="Q256" t="str">
        <f>VLOOKUP(A256,vlookup_table!$A:$G,5,FALSE)</f>
        <v>S1</v>
      </c>
      <c r="R256" t="str">
        <f>VLOOKUP(A256,vlookup_table!$A:$G,6,FALSE)</f>
        <v>M</v>
      </c>
      <c r="S256">
        <f>VLOOKUP(A256,vlookup_table!$A:$G,7,FALSE)</f>
        <v>20</v>
      </c>
      <c r="T256">
        <f t="shared" si="6"/>
        <v>96</v>
      </c>
      <c r="U256" t="str">
        <f t="shared" si="7"/>
        <v>Suburbano</v>
      </c>
    </row>
    <row r="257" spans="1:21" ht="16" x14ac:dyDescent="0.4">
      <c r="A257" s="4">
        <v>35101</v>
      </c>
      <c r="B257" s="1" t="s">
        <v>13</v>
      </c>
      <c r="C257" s="1" t="s">
        <v>14</v>
      </c>
      <c r="D257" s="1">
        <v>1434</v>
      </c>
      <c r="E257" s="1">
        <v>388</v>
      </c>
      <c r="F257" s="1">
        <v>577</v>
      </c>
      <c r="G257" s="1">
        <v>25</v>
      </c>
      <c r="H257" s="1">
        <v>18405</v>
      </c>
      <c r="I257" s="1">
        <v>3</v>
      </c>
      <c r="J257" s="1">
        <v>37</v>
      </c>
      <c r="K257" s="1">
        <v>479</v>
      </c>
      <c r="L257" s="1">
        <v>513</v>
      </c>
      <c r="M257" s="1">
        <v>18</v>
      </c>
      <c r="N257">
        <f>VLOOKUP(A257,vlookup_table!$A:$G,2,FALSE)</f>
        <v>1</v>
      </c>
      <c r="O257" t="str">
        <f>VLOOKUP(A257,vlookup_table!$A:$G,3,FALSE)</f>
        <v>FL</v>
      </c>
      <c r="P257">
        <f>VLOOKUP(A257,vlookup_table!$A:$G,4,FALSE)</f>
        <v>1911</v>
      </c>
      <c r="Q257" t="str">
        <f>VLOOKUP(A257,vlookup_table!$A:$G,5,FALSE)</f>
        <v>S1</v>
      </c>
      <c r="R257" t="str">
        <f>VLOOKUP(A257,vlookup_table!$A:$G,6,FALSE)</f>
        <v>M</v>
      </c>
      <c r="S257">
        <f>VLOOKUP(A257,vlookup_table!$A:$G,7,FALSE)</f>
        <v>20</v>
      </c>
      <c r="T257">
        <f t="shared" si="6"/>
        <v>77</v>
      </c>
      <c r="U257" t="str">
        <f t="shared" si="7"/>
        <v>Suburbano</v>
      </c>
    </row>
    <row r="258" spans="1:21" ht="16" x14ac:dyDescent="0.4">
      <c r="A258" s="4">
        <v>75474</v>
      </c>
      <c r="B258" s="1" t="s">
        <v>44</v>
      </c>
      <c r="C258" s="1" t="s">
        <v>14</v>
      </c>
      <c r="D258" s="1">
        <v>206</v>
      </c>
      <c r="E258" s="1">
        <v>229</v>
      </c>
      <c r="F258" s="1">
        <v>288</v>
      </c>
      <c r="G258" s="1">
        <v>0</v>
      </c>
      <c r="H258" s="1">
        <v>9248</v>
      </c>
      <c r="I258" s="1">
        <v>0</v>
      </c>
      <c r="J258" s="1">
        <v>86</v>
      </c>
      <c r="K258" s="1">
        <v>251</v>
      </c>
      <c r="L258" s="1">
        <v>267</v>
      </c>
      <c r="M258" s="1">
        <v>11.66666667</v>
      </c>
      <c r="N258">
        <f>VLOOKUP(A258,vlookup_table!$A:$G,2,FALSE)</f>
        <v>0</v>
      </c>
      <c r="O258" t="str">
        <f>VLOOKUP(A258,vlookup_table!$A:$G,3,FALSE)</f>
        <v>IA</v>
      </c>
      <c r="P258">
        <f>VLOOKUP(A258,vlookup_table!$A:$G,4,FALSE)</f>
        <v>0</v>
      </c>
      <c r="Q258" t="str">
        <f>VLOOKUP(A258,vlookup_table!$A:$G,5,FALSE)</f>
        <v>R3</v>
      </c>
      <c r="R258" t="str">
        <f>VLOOKUP(A258,vlookup_table!$A:$G,6,FALSE)</f>
        <v>M</v>
      </c>
      <c r="S258">
        <f>VLOOKUP(A258,vlookup_table!$A:$G,7,FALSE)</f>
        <v>15</v>
      </c>
      <c r="T258">
        <f t="shared" si="6"/>
        <v>96</v>
      </c>
      <c r="U258" t="str">
        <f t="shared" si="7"/>
        <v>Rural</v>
      </c>
    </row>
    <row r="259" spans="1:21" ht="16" x14ac:dyDescent="0.4">
      <c r="A259" s="4">
        <v>785</v>
      </c>
      <c r="B259" s="1" t="s">
        <v>26</v>
      </c>
      <c r="C259" s="1" t="s">
        <v>14</v>
      </c>
      <c r="D259" s="1">
        <v>613</v>
      </c>
      <c r="E259" s="1">
        <v>146</v>
      </c>
      <c r="F259" s="1">
        <v>349</v>
      </c>
      <c r="G259" s="1">
        <v>0</v>
      </c>
      <c r="H259" s="1">
        <v>13209</v>
      </c>
      <c r="I259" s="1">
        <v>39</v>
      </c>
      <c r="J259" s="1">
        <v>42</v>
      </c>
      <c r="K259" s="1">
        <v>267</v>
      </c>
      <c r="L259" s="1">
        <v>209</v>
      </c>
      <c r="M259" s="1">
        <v>17.5</v>
      </c>
      <c r="N259">
        <f>VLOOKUP(A259,vlookup_table!$A:$G,2,FALSE)</f>
        <v>0</v>
      </c>
      <c r="O259" t="str">
        <f>VLOOKUP(A259,vlookup_table!$A:$G,3,FALSE)</f>
        <v>MI</v>
      </c>
      <c r="P259">
        <f>VLOOKUP(A259,vlookup_table!$A:$G,4,FALSE)</f>
        <v>4507</v>
      </c>
      <c r="Q259" t="str">
        <f>VLOOKUP(A259,vlookup_table!$A:$G,5,FALSE)</f>
        <v>C1</v>
      </c>
      <c r="R259" t="str">
        <f>VLOOKUP(A259,vlookup_table!$A:$G,6,FALSE)</f>
        <v>M</v>
      </c>
      <c r="S259">
        <f>VLOOKUP(A259,vlookup_table!$A:$G,7,FALSE)</f>
        <v>18</v>
      </c>
      <c r="T259">
        <f t="shared" ref="T259:T322" si="8">97-LEFT(P259,2)-IF(RIGHT(P259,2)&gt;6,1,0)</f>
        <v>51</v>
      </c>
      <c r="U259" t="str">
        <f t="shared" ref="U259:U322" si="9">IF(LEFT(Q259,1)="C","Ciudad",IF(LEFT(Q259,1)="T","Pueblo",IF(LEFT(Q259,1)="R","Rural",IF(LEFT(Q259,1)="S","Suburbano",IF(LEFT(Q259,1)="U","Urbano","")))))</f>
        <v>Ciudad</v>
      </c>
    </row>
    <row r="260" spans="1:21" ht="16" x14ac:dyDescent="0.4">
      <c r="A260" s="4">
        <v>27624</v>
      </c>
      <c r="B260" s="1" t="s">
        <v>36</v>
      </c>
      <c r="C260" s="1" t="s">
        <v>17</v>
      </c>
      <c r="D260" s="1">
        <v>991</v>
      </c>
      <c r="E260" s="1">
        <v>493</v>
      </c>
      <c r="F260" s="1">
        <v>548</v>
      </c>
      <c r="G260" s="1">
        <v>3</v>
      </c>
      <c r="H260" s="1">
        <v>17344</v>
      </c>
      <c r="I260" s="1">
        <v>2</v>
      </c>
      <c r="J260" s="1">
        <v>46</v>
      </c>
      <c r="K260" s="1">
        <v>506</v>
      </c>
      <c r="L260" s="1">
        <v>532</v>
      </c>
      <c r="M260" s="1">
        <v>7.769230769</v>
      </c>
      <c r="N260">
        <f>VLOOKUP(A260,vlookup_table!$A:$G,2,FALSE)</f>
        <v>2</v>
      </c>
      <c r="O260" t="str">
        <f>VLOOKUP(A260,vlookup_table!$A:$G,3,FALSE)</f>
        <v>GA</v>
      </c>
      <c r="P260">
        <f>VLOOKUP(A260,vlookup_table!$A:$G,4,FALSE)</f>
        <v>3701</v>
      </c>
      <c r="Q260" t="str">
        <f>VLOOKUP(A260,vlookup_table!$A:$G,5,FALSE)</f>
        <v>T1</v>
      </c>
      <c r="R260" t="str">
        <f>VLOOKUP(A260,vlookup_table!$A:$G,6,FALSE)</f>
        <v>F</v>
      </c>
      <c r="S260">
        <f>VLOOKUP(A260,vlookup_table!$A:$G,7,FALSE)</f>
        <v>8</v>
      </c>
      <c r="T260">
        <f t="shared" si="8"/>
        <v>59</v>
      </c>
      <c r="U260" t="str">
        <f t="shared" si="9"/>
        <v>Pueblo</v>
      </c>
    </row>
    <row r="261" spans="1:21" ht="16" x14ac:dyDescent="0.4">
      <c r="A261" s="4">
        <v>73754</v>
      </c>
      <c r="B261" s="1" t="s">
        <v>26</v>
      </c>
      <c r="C261" s="1" t="s">
        <v>17</v>
      </c>
      <c r="D261" s="1">
        <v>900</v>
      </c>
      <c r="E261" s="1">
        <v>343</v>
      </c>
      <c r="F261" s="1">
        <v>465</v>
      </c>
      <c r="G261" s="1">
        <v>0</v>
      </c>
      <c r="H261" s="1">
        <v>16254</v>
      </c>
      <c r="I261" s="1">
        <v>3</v>
      </c>
      <c r="J261" s="1">
        <v>74</v>
      </c>
      <c r="K261" s="1">
        <v>420</v>
      </c>
      <c r="L261" s="1">
        <v>386</v>
      </c>
      <c r="M261" s="1">
        <v>13.31818182</v>
      </c>
      <c r="N261">
        <f>VLOOKUP(A261,vlookup_table!$A:$G,2,FALSE)</f>
        <v>0</v>
      </c>
      <c r="O261" t="str">
        <f>VLOOKUP(A261,vlookup_table!$A:$G,3,FALSE)</f>
        <v>MI</v>
      </c>
      <c r="P261">
        <f>VLOOKUP(A261,vlookup_table!$A:$G,4,FALSE)</f>
        <v>1801</v>
      </c>
      <c r="Q261" t="str">
        <f>VLOOKUP(A261,vlookup_table!$A:$G,5,FALSE)</f>
        <v>S1</v>
      </c>
      <c r="R261" t="str">
        <f>VLOOKUP(A261,vlookup_table!$A:$G,6,FALSE)</f>
        <v>F</v>
      </c>
      <c r="S261">
        <f>VLOOKUP(A261,vlookup_table!$A:$G,7,FALSE)</f>
        <v>25</v>
      </c>
      <c r="T261">
        <f t="shared" si="8"/>
        <v>78</v>
      </c>
      <c r="U261" t="str">
        <f t="shared" si="9"/>
        <v>Suburbano</v>
      </c>
    </row>
    <row r="262" spans="1:21" ht="16" x14ac:dyDescent="0.4">
      <c r="A262" s="4">
        <v>141189</v>
      </c>
      <c r="B262" s="1" t="s">
        <v>23</v>
      </c>
      <c r="C262" s="1" t="s">
        <v>17</v>
      </c>
      <c r="D262" s="1">
        <v>1163</v>
      </c>
      <c r="E262" s="1">
        <v>468</v>
      </c>
      <c r="F262" s="1">
        <v>548</v>
      </c>
      <c r="G262" s="1">
        <v>7</v>
      </c>
      <c r="H262" s="1">
        <v>18824</v>
      </c>
      <c r="I262" s="1">
        <v>3</v>
      </c>
      <c r="J262" s="1">
        <v>26</v>
      </c>
      <c r="K262" s="1">
        <v>493</v>
      </c>
      <c r="L262" s="1">
        <v>511</v>
      </c>
      <c r="M262" s="1">
        <v>53</v>
      </c>
      <c r="N262">
        <f>VLOOKUP(A262,vlookup_table!$A:$G,2,FALSE)</f>
        <v>0</v>
      </c>
      <c r="O262" t="str">
        <f>VLOOKUP(A262,vlookup_table!$A:$G,3,FALSE)</f>
        <v>NV</v>
      </c>
      <c r="P262">
        <f>VLOOKUP(A262,vlookup_table!$A:$G,4,FALSE)</f>
        <v>0</v>
      </c>
      <c r="Q262" t="str">
        <f>VLOOKUP(A262,vlookup_table!$A:$G,5,FALSE)</f>
        <v>S2</v>
      </c>
      <c r="R262" t="str">
        <f>VLOOKUP(A262,vlookup_table!$A:$G,6,FALSE)</f>
        <v>F</v>
      </c>
      <c r="S262">
        <f>VLOOKUP(A262,vlookup_table!$A:$G,7,FALSE)</f>
        <v>25</v>
      </c>
      <c r="T262">
        <f t="shared" si="8"/>
        <v>96</v>
      </c>
      <c r="U262" t="str">
        <f t="shared" si="9"/>
        <v>Suburbano</v>
      </c>
    </row>
    <row r="263" spans="1:21" ht="16" x14ac:dyDescent="0.4">
      <c r="A263" s="4">
        <v>1544</v>
      </c>
      <c r="B263" s="1" t="s">
        <v>34</v>
      </c>
      <c r="C263" s="1" t="s">
        <v>17</v>
      </c>
      <c r="D263" s="1">
        <v>3260</v>
      </c>
      <c r="E263" s="1">
        <v>509</v>
      </c>
      <c r="F263" s="1">
        <v>581</v>
      </c>
      <c r="G263" s="1">
        <v>87</v>
      </c>
      <c r="H263" s="1">
        <v>19165</v>
      </c>
      <c r="I263" s="1">
        <v>19</v>
      </c>
      <c r="J263" s="1">
        <v>52</v>
      </c>
      <c r="K263" s="1">
        <v>542</v>
      </c>
      <c r="L263" s="1">
        <v>552</v>
      </c>
      <c r="M263" s="1">
        <v>13</v>
      </c>
      <c r="N263">
        <f>VLOOKUP(A263,vlookup_table!$A:$G,2,FALSE)</f>
        <v>28</v>
      </c>
      <c r="O263" t="str">
        <f>VLOOKUP(A263,vlookup_table!$A:$G,3,FALSE)</f>
        <v>HI</v>
      </c>
      <c r="P263">
        <f>VLOOKUP(A263,vlookup_table!$A:$G,4,FALSE)</f>
        <v>5201</v>
      </c>
      <c r="Q263" t="str">
        <f>VLOOKUP(A263,vlookup_table!$A:$G,5,FALSE)</f>
        <v>S1</v>
      </c>
      <c r="R263" t="str">
        <f>VLOOKUP(A263,vlookup_table!$A:$G,6,FALSE)</f>
        <v>F</v>
      </c>
      <c r="S263">
        <f>VLOOKUP(A263,vlookup_table!$A:$G,7,FALSE)</f>
        <v>10</v>
      </c>
      <c r="T263">
        <f t="shared" si="8"/>
        <v>44</v>
      </c>
      <c r="U263" t="str">
        <f t="shared" si="9"/>
        <v>Suburbano</v>
      </c>
    </row>
    <row r="264" spans="1:21" ht="16" x14ac:dyDescent="0.4">
      <c r="A264" s="4">
        <v>124149</v>
      </c>
      <c r="B264" s="1" t="s">
        <v>20</v>
      </c>
      <c r="C264" s="1" t="s">
        <v>14</v>
      </c>
      <c r="D264" s="1">
        <v>430</v>
      </c>
      <c r="E264" s="1">
        <v>237</v>
      </c>
      <c r="F264" s="1">
        <v>320</v>
      </c>
      <c r="G264" s="1">
        <v>0</v>
      </c>
      <c r="H264" s="1">
        <v>10269</v>
      </c>
      <c r="I264" s="1">
        <v>1</v>
      </c>
      <c r="J264" s="1">
        <v>82</v>
      </c>
      <c r="K264" s="1">
        <v>283</v>
      </c>
      <c r="L264" s="1">
        <v>281</v>
      </c>
      <c r="M264" s="1">
        <v>12</v>
      </c>
      <c r="N264">
        <f>VLOOKUP(A264,vlookup_table!$A:$G,2,FALSE)</f>
        <v>0</v>
      </c>
      <c r="O264" t="str">
        <f>VLOOKUP(A264,vlookup_table!$A:$G,3,FALSE)</f>
        <v>TX</v>
      </c>
      <c r="P264">
        <f>VLOOKUP(A264,vlookup_table!$A:$G,4,FALSE)</f>
        <v>1801</v>
      </c>
      <c r="Q264" t="str">
        <f>VLOOKUP(A264,vlookup_table!$A:$G,5,FALSE)</f>
        <v>T2</v>
      </c>
      <c r="R264" t="str">
        <f>VLOOKUP(A264,vlookup_table!$A:$G,6,FALSE)</f>
        <v>M</v>
      </c>
      <c r="S264">
        <f>VLOOKUP(A264,vlookup_table!$A:$G,7,FALSE)</f>
        <v>14</v>
      </c>
      <c r="T264">
        <f t="shared" si="8"/>
        <v>78</v>
      </c>
      <c r="U264" t="str">
        <f t="shared" si="9"/>
        <v>Pueblo</v>
      </c>
    </row>
    <row r="265" spans="1:21" ht="16" x14ac:dyDescent="0.4">
      <c r="A265" s="4">
        <v>85890</v>
      </c>
      <c r="B265" s="1" t="s">
        <v>48</v>
      </c>
      <c r="C265" s="1" t="s">
        <v>17</v>
      </c>
      <c r="D265" s="1">
        <v>167</v>
      </c>
      <c r="E265" s="1">
        <v>214</v>
      </c>
      <c r="F265" s="1">
        <v>290</v>
      </c>
      <c r="G265" s="1">
        <v>0</v>
      </c>
      <c r="H265" s="1">
        <v>9452</v>
      </c>
      <c r="I265" s="1">
        <v>0</v>
      </c>
      <c r="J265" s="1">
        <v>85</v>
      </c>
      <c r="K265" s="1">
        <v>273</v>
      </c>
      <c r="L265" s="1">
        <v>247</v>
      </c>
      <c r="M265" s="1">
        <v>14.41176471</v>
      </c>
      <c r="N265">
        <f>VLOOKUP(A265,vlookup_table!$A:$G,2,FALSE)</f>
        <v>2</v>
      </c>
      <c r="O265" t="str">
        <f>VLOOKUP(A265,vlookup_table!$A:$G,3,FALSE)</f>
        <v>SD</v>
      </c>
      <c r="P265">
        <f>VLOOKUP(A265,vlookup_table!$A:$G,4,FALSE)</f>
        <v>0</v>
      </c>
      <c r="Q265" t="str">
        <f>VLOOKUP(A265,vlookup_table!$A:$G,5,FALSE)</f>
        <v>R3</v>
      </c>
      <c r="R265" t="str">
        <f>VLOOKUP(A265,vlookup_table!$A:$G,6,FALSE)</f>
        <v>F</v>
      </c>
      <c r="S265">
        <f>VLOOKUP(A265,vlookup_table!$A:$G,7,FALSE)</f>
        <v>20</v>
      </c>
      <c r="T265">
        <f t="shared" si="8"/>
        <v>96</v>
      </c>
      <c r="U265" t="str">
        <f t="shared" si="9"/>
        <v>Rural</v>
      </c>
    </row>
    <row r="266" spans="1:21" ht="16" x14ac:dyDescent="0.4">
      <c r="A266" s="4">
        <v>37005</v>
      </c>
      <c r="B266" s="1" t="s">
        <v>13</v>
      </c>
      <c r="C266" s="1" t="s">
        <v>17</v>
      </c>
      <c r="D266" s="1">
        <v>1380</v>
      </c>
      <c r="E266" s="1">
        <v>260</v>
      </c>
      <c r="F266" s="1">
        <v>371</v>
      </c>
      <c r="G266" s="1">
        <v>14</v>
      </c>
      <c r="H266" s="1">
        <v>13011</v>
      </c>
      <c r="I266" s="1">
        <v>8</v>
      </c>
      <c r="J266" s="1">
        <v>26</v>
      </c>
      <c r="K266" s="1">
        <v>325</v>
      </c>
      <c r="L266" s="1">
        <v>299</v>
      </c>
      <c r="M266" s="1">
        <v>7.875</v>
      </c>
      <c r="N266">
        <f>VLOOKUP(A266,vlookup_table!$A:$G,2,FALSE)</f>
        <v>0</v>
      </c>
      <c r="O266" t="str">
        <f>VLOOKUP(A266,vlookup_table!$A:$G,3,FALSE)</f>
        <v>FL</v>
      </c>
      <c r="P266">
        <f>VLOOKUP(A266,vlookup_table!$A:$G,4,FALSE)</f>
        <v>0</v>
      </c>
      <c r="Q266" t="str">
        <f>VLOOKUP(A266,vlookup_table!$A:$G,5,FALSE)</f>
        <v>T2</v>
      </c>
      <c r="R266" t="str">
        <f>VLOOKUP(A266,vlookup_table!$A:$G,6,FALSE)</f>
        <v>F</v>
      </c>
      <c r="S266">
        <f>VLOOKUP(A266,vlookup_table!$A:$G,7,FALSE)</f>
        <v>11</v>
      </c>
      <c r="T266">
        <f t="shared" si="8"/>
        <v>96</v>
      </c>
      <c r="U266" t="str">
        <f t="shared" si="9"/>
        <v>Pueblo</v>
      </c>
    </row>
    <row r="267" spans="1:21" ht="16" x14ac:dyDescent="0.4">
      <c r="A267" s="4">
        <v>166324</v>
      </c>
      <c r="B267" s="1" t="s">
        <v>21</v>
      </c>
      <c r="C267" s="1" t="s">
        <v>27</v>
      </c>
      <c r="D267" s="1">
        <v>3357</v>
      </c>
      <c r="E267" s="1">
        <v>284</v>
      </c>
      <c r="F267" s="1">
        <v>447</v>
      </c>
      <c r="G267" s="1">
        <v>73</v>
      </c>
      <c r="H267" s="1">
        <v>24240</v>
      </c>
      <c r="I267" s="1">
        <v>15</v>
      </c>
      <c r="J267" s="1">
        <v>33</v>
      </c>
      <c r="K267" s="1">
        <v>455</v>
      </c>
      <c r="L267" s="1">
        <v>343</v>
      </c>
      <c r="M267" s="1">
        <v>11.85714286</v>
      </c>
      <c r="N267">
        <f>VLOOKUP(A267,vlookup_table!$A:$G,2,FALSE)</f>
        <v>0</v>
      </c>
      <c r="O267" t="str">
        <f>VLOOKUP(A267,vlookup_table!$A:$G,3,FALSE)</f>
        <v>CA</v>
      </c>
      <c r="P267">
        <f>VLOOKUP(A267,vlookup_table!$A:$G,4,FALSE)</f>
        <v>0</v>
      </c>
      <c r="Q267" t="str">
        <f>VLOOKUP(A267,vlookup_table!$A:$G,5,FALSE)</f>
        <v>U1</v>
      </c>
      <c r="R267" t="str">
        <f>VLOOKUP(A267,vlookup_table!$A:$G,6,FALSE)</f>
        <v>U</v>
      </c>
      <c r="S267">
        <f>VLOOKUP(A267,vlookup_table!$A:$G,7,FALSE)</f>
        <v>19</v>
      </c>
      <c r="T267">
        <f t="shared" si="8"/>
        <v>96</v>
      </c>
      <c r="U267" t="str">
        <f t="shared" si="9"/>
        <v>Urbano</v>
      </c>
    </row>
    <row r="268" spans="1:21" ht="16" x14ac:dyDescent="0.4">
      <c r="A268" s="4">
        <v>13448</v>
      </c>
      <c r="B268" s="1" t="s">
        <v>21</v>
      </c>
      <c r="C268" s="1" t="s">
        <v>17</v>
      </c>
      <c r="D268" s="1">
        <v>1518</v>
      </c>
      <c r="E268" s="1">
        <v>150</v>
      </c>
      <c r="F268" s="1">
        <v>218</v>
      </c>
      <c r="G268" s="1">
        <v>13</v>
      </c>
      <c r="H268" s="1">
        <v>5043</v>
      </c>
      <c r="I268" s="1">
        <v>64</v>
      </c>
      <c r="J268" s="1">
        <v>27</v>
      </c>
      <c r="K268" s="1">
        <v>171</v>
      </c>
      <c r="L268" s="1">
        <v>208</v>
      </c>
      <c r="M268" s="1">
        <v>5.0555555559999998</v>
      </c>
      <c r="N268">
        <f>VLOOKUP(A268,vlookup_table!$A:$G,2,FALSE)</f>
        <v>28</v>
      </c>
      <c r="O268" t="str">
        <f>VLOOKUP(A268,vlookup_table!$A:$G,3,FALSE)</f>
        <v>CA</v>
      </c>
      <c r="P268">
        <f>VLOOKUP(A268,vlookup_table!$A:$G,4,FALSE)</f>
        <v>3001</v>
      </c>
      <c r="Q268" t="str">
        <f>VLOOKUP(A268,vlookup_table!$A:$G,5,FALSE)</f>
        <v>U4</v>
      </c>
      <c r="R268" t="str">
        <f>VLOOKUP(A268,vlookup_table!$A:$G,6,FALSE)</f>
        <v>F</v>
      </c>
      <c r="S268">
        <f>VLOOKUP(A268,vlookup_table!$A:$G,7,FALSE)</f>
        <v>5</v>
      </c>
      <c r="T268">
        <f t="shared" si="8"/>
        <v>66</v>
      </c>
      <c r="U268" t="str">
        <f t="shared" si="9"/>
        <v>Urbano</v>
      </c>
    </row>
    <row r="269" spans="1:21" ht="16" x14ac:dyDescent="0.4">
      <c r="A269" s="4">
        <v>180428</v>
      </c>
      <c r="B269" s="1" t="s">
        <v>37</v>
      </c>
      <c r="C269" s="1" t="s">
        <v>14</v>
      </c>
      <c r="D269" s="1">
        <v>1390</v>
      </c>
      <c r="E269" s="1">
        <v>426</v>
      </c>
      <c r="F269" s="1">
        <v>470</v>
      </c>
      <c r="G269" s="1">
        <v>12</v>
      </c>
      <c r="H269" s="1">
        <v>15022</v>
      </c>
      <c r="I269" s="1">
        <v>3</v>
      </c>
      <c r="J269" s="1">
        <v>63</v>
      </c>
      <c r="K269" s="1">
        <v>430</v>
      </c>
      <c r="L269" s="1">
        <v>463</v>
      </c>
      <c r="M269" s="1">
        <v>18</v>
      </c>
      <c r="N269">
        <f>VLOOKUP(A269,vlookup_table!$A:$G,2,FALSE)</f>
        <v>1</v>
      </c>
      <c r="O269" t="str">
        <f>VLOOKUP(A269,vlookup_table!$A:$G,3,FALSE)</f>
        <v>WA</v>
      </c>
      <c r="P269">
        <f>VLOOKUP(A269,vlookup_table!$A:$G,4,FALSE)</f>
        <v>4811</v>
      </c>
      <c r="Q269" t="str">
        <f>VLOOKUP(A269,vlookup_table!$A:$G,5,FALSE)</f>
        <v>T2</v>
      </c>
      <c r="R269" t="str">
        <f>VLOOKUP(A269,vlookup_table!$A:$G,6,FALSE)</f>
        <v>M</v>
      </c>
      <c r="S269">
        <f>VLOOKUP(A269,vlookup_table!$A:$G,7,FALSE)</f>
        <v>20</v>
      </c>
      <c r="T269">
        <f t="shared" si="8"/>
        <v>48</v>
      </c>
      <c r="U269" t="str">
        <f t="shared" si="9"/>
        <v>Pueblo</v>
      </c>
    </row>
    <row r="270" spans="1:21" ht="16" x14ac:dyDescent="0.4">
      <c r="A270" s="4">
        <v>12517</v>
      </c>
      <c r="B270" s="1" t="s">
        <v>33</v>
      </c>
      <c r="C270" s="1" t="s">
        <v>14</v>
      </c>
      <c r="D270" s="1">
        <v>1224</v>
      </c>
      <c r="E270" s="1">
        <v>575</v>
      </c>
      <c r="F270" s="1">
        <v>611</v>
      </c>
      <c r="G270" s="1">
        <v>7</v>
      </c>
      <c r="H270" s="1">
        <v>18029</v>
      </c>
      <c r="I270" s="1">
        <v>2</v>
      </c>
      <c r="J270" s="1">
        <v>77</v>
      </c>
      <c r="K270" s="1">
        <v>577</v>
      </c>
      <c r="L270" s="1">
        <v>608</v>
      </c>
      <c r="M270" s="1">
        <v>2.8125</v>
      </c>
      <c r="N270">
        <f>VLOOKUP(A270,vlookup_table!$A:$G,2,FALSE)</f>
        <v>1</v>
      </c>
      <c r="O270" t="str">
        <f>VLOOKUP(A270,vlookup_table!$A:$G,3,FALSE)</f>
        <v>MO</v>
      </c>
      <c r="P270">
        <f>VLOOKUP(A270,vlookup_table!$A:$G,4,FALSE)</f>
        <v>3201</v>
      </c>
      <c r="Q270" t="str">
        <f>VLOOKUP(A270,vlookup_table!$A:$G,5,FALSE)</f>
        <v>S1</v>
      </c>
      <c r="R270" t="str">
        <f>VLOOKUP(A270,vlookup_table!$A:$G,6,FALSE)</f>
        <v>M</v>
      </c>
      <c r="S270">
        <f>VLOOKUP(A270,vlookup_table!$A:$G,7,FALSE)</f>
        <v>1</v>
      </c>
      <c r="T270">
        <f t="shared" si="8"/>
        <v>64</v>
      </c>
      <c r="U270" t="str">
        <f t="shared" si="9"/>
        <v>Suburbano</v>
      </c>
    </row>
    <row r="271" spans="1:21" ht="16" x14ac:dyDescent="0.4">
      <c r="A271" s="4">
        <v>99246</v>
      </c>
      <c r="B271" s="1" t="s">
        <v>16</v>
      </c>
      <c r="C271" s="1" t="s">
        <v>17</v>
      </c>
      <c r="D271" s="1">
        <v>182</v>
      </c>
      <c r="E271" s="1">
        <v>171</v>
      </c>
      <c r="F271" s="1">
        <v>278</v>
      </c>
      <c r="G271" s="1">
        <v>0</v>
      </c>
      <c r="H271" s="1">
        <v>9240</v>
      </c>
      <c r="I271" s="1">
        <v>0</v>
      </c>
      <c r="J271" s="1">
        <v>64</v>
      </c>
      <c r="K271" s="1">
        <v>217</v>
      </c>
      <c r="L271" s="1">
        <v>242</v>
      </c>
      <c r="M271" s="1">
        <v>10.266666669999999</v>
      </c>
      <c r="N271">
        <f>VLOOKUP(A271,vlookup_table!$A:$G,2,FALSE)</f>
        <v>0</v>
      </c>
      <c r="O271" t="str">
        <f>VLOOKUP(A271,vlookup_table!$A:$G,3,FALSE)</f>
        <v>IL</v>
      </c>
      <c r="P271">
        <f>VLOOKUP(A271,vlookup_table!$A:$G,4,FALSE)</f>
        <v>2201</v>
      </c>
      <c r="Q271" t="str">
        <f>VLOOKUP(A271,vlookup_table!$A:$G,5,FALSE)</f>
        <v>R3</v>
      </c>
      <c r="R271" t="str">
        <f>VLOOKUP(A271,vlookup_table!$A:$G,6,FALSE)</f>
        <v>F</v>
      </c>
      <c r="S271">
        <f>VLOOKUP(A271,vlookup_table!$A:$G,7,FALSE)</f>
        <v>20</v>
      </c>
      <c r="T271">
        <f t="shared" si="8"/>
        <v>74</v>
      </c>
      <c r="U271" t="str">
        <f t="shared" si="9"/>
        <v>Rural</v>
      </c>
    </row>
    <row r="272" spans="1:21" ht="16" x14ac:dyDescent="0.4">
      <c r="A272" s="4">
        <v>174760</v>
      </c>
      <c r="B272" s="1" t="s">
        <v>47</v>
      </c>
      <c r="C272" s="1" t="s">
        <v>17</v>
      </c>
      <c r="D272" s="1">
        <v>786</v>
      </c>
      <c r="E272" s="1">
        <v>419</v>
      </c>
      <c r="F272" s="1">
        <v>466</v>
      </c>
      <c r="G272" s="1">
        <v>1</v>
      </c>
      <c r="H272" s="1">
        <v>15010</v>
      </c>
      <c r="I272" s="1">
        <v>1</v>
      </c>
      <c r="J272" s="1">
        <v>59</v>
      </c>
      <c r="K272" s="1">
        <v>452</v>
      </c>
      <c r="L272" s="1">
        <v>444</v>
      </c>
      <c r="M272" s="1">
        <v>4.5555555559999998</v>
      </c>
      <c r="N272">
        <f>VLOOKUP(A272,vlookup_table!$A:$G,2,FALSE)</f>
        <v>2</v>
      </c>
      <c r="O272" t="str">
        <f>VLOOKUP(A272,vlookup_table!$A:$G,3,FALSE)</f>
        <v>OR</v>
      </c>
      <c r="P272">
        <f>VLOOKUP(A272,vlookup_table!$A:$G,4,FALSE)</f>
        <v>2501</v>
      </c>
      <c r="Q272" t="str">
        <f>VLOOKUP(A272,vlookup_table!$A:$G,5,FALSE)</f>
        <v>T2</v>
      </c>
      <c r="R272" t="str">
        <f>VLOOKUP(A272,vlookup_table!$A:$G,6,FALSE)</f>
        <v>F</v>
      </c>
      <c r="S272">
        <f>VLOOKUP(A272,vlookup_table!$A:$G,7,FALSE)</f>
        <v>5</v>
      </c>
      <c r="T272">
        <f t="shared" si="8"/>
        <v>71</v>
      </c>
      <c r="U272" t="str">
        <f t="shared" si="9"/>
        <v>Pueblo</v>
      </c>
    </row>
    <row r="273" spans="1:21" ht="16" x14ac:dyDescent="0.4">
      <c r="A273" s="4">
        <v>124379</v>
      </c>
      <c r="B273" s="1" t="s">
        <v>20</v>
      </c>
      <c r="C273" s="1" t="s">
        <v>14</v>
      </c>
      <c r="D273" s="1">
        <v>308</v>
      </c>
      <c r="E273" s="1">
        <v>161</v>
      </c>
      <c r="F273" s="1">
        <v>219</v>
      </c>
      <c r="G273" s="1">
        <v>0</v>
      </c>
      <c r="H273" s="1">
        <v>6576</v>
      </c>
      <c r="I273" s="1">
        <v>10</v>
      </c>
      <c r="J273" s="1">
        <v>72</v>
      </c>
      <c r="K273" s="1">
        <v>186</v>
      </c>
      <c r="L273" s="1">
        <v>204</v>
      </c>
      <c r="M273" s="1">
        <v>4.5</v>
      </c>
      <c r="N273">
        <f>VLOOKUP(A273,vlookup_table!$A:$G,2,FALSE)</f>
        <v>1</v>
      </c>
      <c r="O273" t="str">
        <f>VLOOKUP(A273,vlookup_table!$A:$G,3,FALSE)</f>
        <v>TX</v>
      </c>
      <c r="P273">
        <f>VLOOKUP(A273,vlookup_table!$A:$G,4,FALSE)</f>
        <v>4401</v>
      </c>
      <c r="Q273" t="str">
        <f>VLOOKUP(A273,vlookup_table!$A:$G,5,FALSE)</f>
        <v/>
      </c>
      <c r="R273" t="str">
        <f>VLOOKUP(A273,vlookup_table!$A:$G,6,FALSE)</f>
        <v>M</v>
      </c>
      <c r="S273">
        <f>VLOOKUP(A273,vlookup_table!$A:$G,7,FALSE)</f>
        <v>5</v>
      </c>
      <c r="T273">
        <f t="shared" si="8"/>
        <v>52</v>
      </c>
      <c r="U273" t="str">
        <f t="shared" si="9"/>
        <v/>
      </c>
    </row>
    <row r="274" spans="1:21" ht="16" x14ac:dyDescent="0.4">
      <c r="A274" s="4">
        <v>176862</v>
      </c>
      <c r="B274" s="1" t="s">
        <v>47</v>
      </c>
      <c r="C274" s="1" t="s">
        <v>17</v>
      </c>
      <c r="D274" s="1">
        <v>1074</v>
      </c>
      <c r="E274" s="1">
        <v>232</v>
      </c>
      <c r="F274" s="1">
        <v>309</v>
      </c>
      <c r="G274" s="1">
        <v>15</v>
      </c>
      <c r="H274" s="1">
        <v>15070</v>
      </c>
      <c r="I274" s="1">
        <v>1</v>
      </c>
      <c r="J274" s="1">
        <v>18</v>
      </c>
      <c r="K274" s="1">
        <v>252</v>
      </c>
      <c r="L274" s="1">
        <v>294</v>
      </c>
      <c r="M274" s="1">
        <v>10.043478260000001</v>
      </c>
      <c r="N274">
        <f>VLOOKUP(A274,vlookup_table!$A:$G,2,FALSE)</f>
        <v>2</v>
      </c>
      <c r="O274" t="str">
        <f>VLOOKUP(A274,vlookup_table!$A:$G,3,FALSE)</f>
        <v>OR</v>
      </c>
      <c r="P274">
        <f>VLOOKUP(A274,vlookup_table!$A:$G,4,FALSE)</f>
        <v>0</v>
      </c>
      <c r="Q274" t="str">
        <f>VLOOKUP(A274,vlookup_table!$A:$G,5,FALSE)</f>
        <v>T2</v>
      </c>
      <c r="R274" t="str">
        <f>VLOOKUP(A274,vlookup_table!$A:$G,6,FALSE)</f>
        <v>F</v>
      </c>
      <c r="S274">
        <f>VLOOKUP(A274,vlookup_table!$A:$G,7,FALSE)</f>
        <v>20</v>
      </c>
      <c r="T274">
        <f t="shared" si="8"/>
        <v>96</v>
      </c>
      <c r="U274" t="str">
        <f t="shared" si="9"/>
        <v>Pueblo</v>
      </c>
    </row>
    <row r="275" spans="1:21" ht="16" x14ac:dyDescent="0.4">
      <c r="A275" s="4">
        <v>188986</v>
      </c>
      <c r="B275" s="1" t="s">
        <v>51</v>
      </c>
      <c r="C275" s="1" t="s">
        <v>14</v>
      </c>
      <c r="D275" s="1">
        <v>885</v>
      </c>
      <c r="E275" s="1">
        <v>367</v>
      </c>
      <c r="F275" s="1">
        <v>454</v>
      </c>
      <c r="G275" s="1">
        <v>12</v>
      </c>
      <c r="H275" s="1">
        <v>21767</v>
      </c>
      <c r="I275" s="1">
        <v>8</v>
      </c>
      <c r="J275" s="1">
        <v>1</v>
      </c>
      <c r="K275" s="1">
        <v>408</v>
      </c>
      <c r="L275" s="1">
        <v>417</v>
      </c>
      <c r="M275" s="1">
        <v>9.7142857140000007</v>
      </c>
      <c r="N275">
        <f>VLOOKUP(A275,vlookup_table!$A:$G,2,FALSE)</f>
        <v>1</v>
      </c>
      <c r="O275" t="str">
        <f>VLOOKUP(A275,vlookup_table!$A:$G,3,FALSE)</f>
        <v>AZ</v>
      </c>
      <c r="P275">
        <f>VLOOKUP(A275,vlookup_table!$A:$G,4,FALSE)</f>
        <v>2101</v>
      </c>
      <c r="Q275" t="str">
        <f>VLOOKUP(A275,vlookup_table!$A:$G,5,FALSE)</f>
        <v>C2</v>
      </c>
      <c r="R275" t="str">
        <f>VLOOKUP(A275,vlookup_table!$A:$G,6,FALSE)</f>
        <v>M</v>
      </c>
      <c r="S275">
        <f>VLOOKUP(A275,vlookup_table!$A:$G,7,FALSE)</f>
        <v>9</v>
      </c>
      <c r="T275">
        <f t="shared" si="8"/>
        <v>75</v>
      </c>
      <c r="U275" t="str">
        <f t="shared" si="9"/>
        <v>Ciudad</v>
      </c>
    </row>
    <row r="276" spans="1:21" ht="16" x14ac:dyDescent="0.4">
      <c r="A276" s="4">
        <v>148906</v>
      </c>
      <c r="B276" s="1" t="s">
        <v>21</v>
      </c>
      <c r="C276" s="1" t="s">
        <v>17</v>
      </c>
      <c r="D276" s="1">
        <v>2375</v>
      </c>
      <c r="E276" s="1">
        <v>371</v>
      </c>
      <c r="F276" s="1">
        <v>363</v>
      </c>
      <c r="G276" s="1">
        <v>71</v>
      </c>
      <c r="H276" s="1">
        <v>15361</v>
      </c>
      <c r="I276" s="1">
        <v>21</v>
      </c>
      <c r="J276" s="1">
        <v>39</v>
      </c>
      <c r="K276" s="1">
        <v>363</v>
      </c>
      <c r="L276" s="1">
        <v>411</v>
      </c>
      <c r="M276" s="1">
        <v>4.1428571429999996</v>
      </c>
      <c r="N276">
        <f>VLOOKUP(A276,vlookup_table!$A:$G,2,FALSE)</f>
        <v>0</v>
      </c>
      <c r="O276" t="str">
        <f>VLOOKUP(A276,vlookup_table!$A:$G,3,FALSE)</f>
        <v>CA</v>
      </c>
      <c r="P276">
        <f>VLOOKUP(A276,vlookup_table!$A:$G,4,FALSE)</f>
        <v>6201</v>
      </c>
      <c r="Q276" t="str">
        <f>VLOOKUP(A276,vlookup_table!$A:$G,5,FALSE)</f>
        <v>C2</v>
      </c>
      <c r="R276" t="str">
        <f>VLOOKUP(A276,vlookup_table!$A:$G,6,FALSE)</f>
        <v>F</v>
      </c>
      <c r="S276">
        <f>VLOOKUP(A276,vlookup_table!$A:$G,7,FALSE)</f>
        <v>6</v>
      </c>
      <c r="T276">
        <f t="shared" si="8"/>
        <v>34</v>
      </c>
      <c r="U276" t="str">
        <f t="shared" si="9"/>
        <v>Ciudad</v>
      </c>
    </row>
    <row r="277" spans="1:21" ht="16" x14ac:dyDescent="0.4">
      <c r="A277" s="4">
        <v>109646</v>
      </c>
      <c r="B277" s="1" t="s">
        <v>46</v>
      </c>
      <c r="C277" s="1" t="s">
        <v>14</v>
      </c>
      <c r="D277" s="1">
        <v>657</v>
      </c>
      <c r="E277" s="1">
        <v>265</v>
      </c>
      <c r="F277" s="1">
        <v>325</v>
      </c>
      <c r="G277" s="1">
        <v>3</v>
      </c>
      <c r="H277" s="1">
        <v>12509</v>
      </c>
      <c r="I277" s="1">
        <v>0</v>
      </c>
      <c r="J277" s="1">
        <v>87</v>
      </c>
      <c r="K277" s="1">
        <v>293</v>
      </c>
      <c r="L277" s="1">
        <v>303</v>
      </c>
      <c r="M277" s="1">
        <v>9.4722222219999992</v>
      </c>
      <c r="N277">
        <f>VLOOKUP(A277,vlookup_table!$A:$G,2,FALSE)</f>
        <v>1</v>
      </c>
      <c r="O277" t="str">
        <f>VLOOKUP(A277,vlookup_table!$A:$G,3,FALSE)</f>
        <v>LA</v>
      </c>
      <c r="P277">
        <f>VLOOKUP(A277,vlookup_table!$A:$G,4,FALSE)</f>
        <v>5201</v>
      </c>
      <c r="Q277" t="str">
        <f>VLOOKUP(A277,vlookup_table!$A:$G,5,FALSE)</f>
        <v>T3</v>
      </c>
      <c r="R277" t="str">
        <f>VLOOKUP(A277,vlookup_table!$A:$G,6,FALSE)</f>
        <v>M</v>
      </c>
      <c r="S277">
        <f>VLOOKUP(A277,vlookup_table!$A:$G,7,FALSE)</f>
        <v>10</v>
      </c>
      <c r="T277">
        <f t="shared" si="8"/>
        <v>44</v>
      </c>
      <c r="U277" t="str">
        <f t="shared" si="9"/>
        <v>Pueblo</v>
      </c>
    </row>
    <row r="278" spans="1:21" ht="16" x14ac:dyDescent="0.4">
      <c r="A278" s="4">
        <v>62295</v>
      </c>
      <c r="B278" s="1" t="s">
        <v>30</v>
      </c>
      <c r="C278" s="1" t="s">
        <v>17</v>
      </c>
      <c r="D278" s="1">
        <v>581</v>
      </c>
      <c r="E278" s="1">
        <v>369</v>
      </c>
      <c r="F278" s="1">
        <v>383</v>
      </c>
      <c r="G278" s="1">
        <v>0</v>
      </c>
      <c r="H278" s="1">
        <v>12835</v>
      </c>
      <c r="I278" s="1">
        <v>7</v>
      </c>
      <c r="J278" s="1">
        <v>70</v>
      </c>
      <c r="K278" s="1">
        <v>372</v>
      </c>
      <c r="L278" s="1">
        <v>369</v>
      </c>
      <c r="M278" s="1">
        <v>25.5</v>
      </c>
      <c r="N278">
        <f>VLOOKUP(A278,vlookup_table!$A:$G,2,FALSE)</f>
        <v>0</v>
      </c>
      <c r="O278" t="str">
        <f>VLOOKUP(A278,vlookup_table!$A:$G,3,FALSE)</f>
        <v>IN</v>
      </c>
      <c r="P278">
        <f>VLOOKUP(A278,vlookup_table!$A:$G,4,FALSE)</f>
        <v>5601</v>
      </c>
      <c r="Q278" t="str">
        <f>VLOOKUP(A278,vlookup_table!$A:$G,5,FALSE)</f>
        <v>C2</v>
      </c>
      <c r="R278" t="str">
        <f>VLOOKUP(A278,vlookup_table!$A:$G,6,FALSE)</f>
        <v>F</v>
      </c>
      <c r="S278">
        <f>VLOOKUP(A278,vlookup_table!$A:$G,7,FALSE)</f>
        <v>20</v>
      </c>
      <c r="T278">
        <f t="shared" si="8"/>
        <v>40</v>
      </c>
      <c r="U278" t="str">
        <f t="shared" si="9"/>
        <v>Ciudad</v>
      </c>
    </row>
    <row r="279" spans="1:21" ht="16" x14ac:dyDescent="0.4">
      <c r="A279" s="4">
        <v>162650</v>
      </c>
      <c r="B279" s="1" t="s">
        <v>21</v>
      </c>
      <c r="C279" s="1" t="s">
        <v>14</v>
      </c>
      <c r="D279" s="1">
        <v>3010</v>
      </c>
      <c r="E279" s="1">
        <v>410</v>
      </c>
      <c r="F279" s="1">
        <v>559</v>
      </c>
      <c r="G279" s="1">
        <v>93</v>
      </c>
      <c r="H279" s="1">
        <v>19149</v>
      </c>
      <c r="I279" s="1">
        <v>20</v>
      </c>
      <c r="J279" s="1">
        <v>56</v>
      </c>
      <c r="K279" s="1">
        <v>518</v>
      </c>
      <c r="L279" s="1">
        <v>431</v>
      </c>
      <c r="M279" s="1">
        <v>8.3333333330000006</v>
      </c>
      <c r="N279">
        <f>VLOOKUP(A279,vlookup_table!$A:$G,2,FALSE)</f>
        <v>1</v>
      </c>
      <c r="O279" t="str">
        <f>VLOOKUP(A279,vlookup_table!$A:$G,3,FALSE)</f>
        <v>CA</v>
      </c>
      <c r="P279">
        <f>VLOOKUP(A279,vlookup_table!$A:$G,4,FALSE)</f>
        <v>0</v>
      </c>
      <c r="Q279" t="str">
        <f>VLOOKUP(A279,vlookup_table!$A:$G,5,FALSE)</f>
        <v>S1</v>
      </c>
      <c r="R279" t="str">
        <f>VLOOKUP(A279,vlookup_table!$A:$G,6,FALSE)</f>
        <v>M</v>
      </c>
      <c r="S279">
        <f>VLOOKUP(A279,vlookup_table!$A:$G,7,FALSE)</f>
        <v>5</v>
      </c>
      <c r="T279">
        <f t="shared" si="8"/>
        <v>96</v>
      </c>
      <c r="U279" t="str">
        <f t="shared" si="9"/>
        <v>Suburbano</v>
      </c>
    </row>
    <row r="280" spans="1:21" ht="16" x14ac:dyDescent="0.4">
      <c r="A280" s="4">
        <v>99836</v>
      </c>
      <c r="B280" s="1" t="s">
        <v>33</v>
      </c>
      <c r="C280" s="1" t="s">
        <v>14</v>
      </c>
      <c r="D280" s="1">
        <v>548</v>
      </c>
      <c r="E280" s="1">
        <v>262</v>
      </c>
      <c r="F280" s="1">
        <v>342</v>
      </c>
      <c r="G280" s="1">
        <v>0</v>
      </c>
      <c r="H280" s="1">
        <v>12621</v>
      </c>
      <c r="I280" s="1">
        <v>0</v>
      </c>
      <c r="J280" s="1">
        <v>96</v>
      </c>
      <c r="K280" s="1">
        <v>355</v>
      </c>
      <c r="L280" s="1">
        <v>298</v>
      </c>
      <c r="M280" s="1">
        <v>15</v>
      </c>
      <c r="N280">
        <f>VLOOKUP(A280,vlookup_table!$A:$G,2,FALSE)</f>
        <v>1</v>
      </c>
      <c r="O280" t="str">
        <f>VLOOKUP(A280,vlookup_table!$A:$G,3,FALSE)</f>
        <v>MO</v>
      </c>
      <c r="P280">
        <f>VLOOKUP(A280,vlookup_table!$A:$G,4,FALSE)</f>
        <v>3101</v>
      </c>
      <c r="Q280" t="str">
        <f>VLOOKUP(A280,vlookup_table!$A:$G,5,FALSE)</f>
        <v>S3</v>
      </c>
      <c r="R280" t="str">
        <f>VLOOKUP(A280,vlookup_table!$A:$G,6,FALSE)</f>
        <v>M</v>
      </c>
      <c r="S280">
        <f>VLOOKUP(A280,vlookup_table!$A:$G,7,FALSE)</f>
        <v>21</v>
      </c>
      <c r="T280">
        <f t="shared" si="8"/>
        <v>65</v>
      </c>
      <c r="U280" t="str">
        <f t="shared" si="9"/>
        <v>Suburbano</v>
      </c>
    </row>
    <row r="281" spans="1:21" ht="16" x14ac:dyDescent="0.4">
      <c r="A281" s="4">
        <v>33994</v>
      </c>
      <c r="B281" s="1" t="s">
        <v>13</v>
      </c>
      <c r="C281" s="1" t="s">
        <v>14</v>
      </c>
      <c r="D281" s="1">
        <v>819</v>
      </c>
      <c r="E281" s="1">
        <v>348</v>
      </c>
      <c r="F281" s="1">
        <v>459</v>
      </c>
      <c r="G281" s="1">
        <v>3</v>
      </c>
      <c r="H281" s="1">
        <v>15958</v>
      </c>
      <c r="I281" s="1">
        <v>1</v>
      </c>
      <c r="J281" s="1">
        <v>47</v>
      </c>
      <c r="K281" s="1">
        <v>388</v>
      </c>
      <c r="L281" s="1">
        <v>421</v>
      </c>
      <c r="M281" s="1">
        <v>7.0909090910000003</v>
      </c>
      <c r="N281">
        <f>VLOOKUP(A281,vlookup_table!$A:$G,2,FALSE)</f>
        <v>1</v>
      </c>
      <c r="O281" t="str">
        <f>VLOOKUP(A281,vlookup_table!$A:$G,3,FALSE)</f>
        <v>FL</v>
      </c>
      <c r="P281">
        <f>VLOOKUP(A281,vlookup_table!$A:$G,4,FALSE)</f>
        <v>5304</v>
      </c>
      <c r="Q281" t="str">
        <f>VLOOKUP(A281,vlookup_table!$A:$G,5,FALSE)</f>
        <v>T2</v>
      </c>
      <c r="R281" t="str">
        <f>VLOOKUP(A281,vlookup_table!$A:$G,6,FALSE)</f>
        <v>M</v>
      </c>
      <c r="S281">
        <f>VLOOKUP(A281,vlookup_table!$A:$G,7,FALSE)</f>
        <v>6</v>
      </c>
      <c r="T281">
        <f t="shared" si="8"/>
        <v>43</v>
      </c>
      <c r="U281" t="str">
        <f t="shared" si="9"/>
        <v>Pueblo</v>
      </c>
    </row>
    <row r="282" spans="1:21" ht="16" x14ac:dyDescent="0.4">
      <c r="A282" s="4">
        <v>93432</v>
      </c>
      <c r="B282" s="1" t="s">
        <v>16</v>
      </c>
      <c r="C282" s="1" t="s">
        <v>17</v>
      </c>
      <c r="D282" s="1">
        <v>613</v>
      </c>
      <c r="E282" s="1">
        <v>212</v>
      </c>
      <c r="F282" s="1">
        <v>355</v>
      </c>
      <c r="G282" s="1">
        <v>0</v>
      </c>
      <c r="H282" s="1">
        <v>11792</v>
      </c>
      <c r="I282" s="1">
        <v>1</v>
      </c>
      <c r="J282" s="1">
        <v>60</v>
      </c>
      <c r="K282" s="1">
        <v>245</v>
      </c>
      <c r="L282" s="1">
        <v>294</v>
      </c>
      <c r="M282" s="1">
        <v>6</v>
      </c>
      <c r="N282">
        <f>VLOOKUP(A282,vlookup_table!$A:$G,2,FALSE)</f>
        <v>28</v>
      </c>
      <c r="O282" t="str">
        <f>VLOOKUP(A282,vlookup_table!$A:$G,3,FALSE)</f>
        <v>IL</v>
      </c>
      <c r="P282">
        <f>VLOOKUP(A282,vlookup_table!$A:$G,4,FALSE)</f>
        <v>0</v>
      </c>
      <c r="Q282" t="str">
        <f>VLOOKUP(A282,vlookup_table!$A:$G,5,FALSE)</f>
        <v>U3</v>
      </c>
      <c r="R282" t="str">
        <f>VLOOKUP(A282,vlookup_table!$A:$G,6,FALSE)</f>
        <v>F</v>
      </c>
      <c r="S282">
        <f>VLOOKUP(A282,vlookup_table!$A:$G,7,FALSE)</f>
        <v>11</v>
      </c>
      <c r="T282">
        <f t="shared" si="8"/>
        <v>96</v>
      </c>
      <c r="U282" t="str">
        <f t="shared" si="9"/>
        <v>Urbano</v>
      </c>
    </row>
    <row r="283" spans="1:21" ht="16" x14ac:dyDescent="0.4">
      <c r="A283" s="4">
        <v>62786</v>
      </c>
      <c r="B283" s="1" t="s">
        <v>30</v>
      </c>
      <c r="C283" s="1" t="s">
        <v>17</v>
      </c>
      <c r="D283" s="1">
        <v>431</v>
      </c>
      <c r="E283" s="1">
        <v>280</v>
      </c>
      <c r="F283" s="1">
        <v>347</v>
      </c>
      <c r="G283" s="1">
        <v>0</v>
      </c>
      <c r="H283" s="1">
        <v>11052</v>
      </c>
      <c r="I283" s="1">
        <v>0</v>
      </c>
      <c r="J283" s="1">
        <v>62</v>
      </c>
      <c r="K283" s="1">
        <v>314</v>
      </c>
      <c r="L283" s="1">
        <v>310</v>
      </c>
      <c r="M283" s="1">
        <v>8.2352941180000006</v>
      </c>
      <c r="N283">
        <f>VLOOKUP(A283,vlookup_table!$A:$G,2,FALSE)</f>
        <v>2</v>
      </c>
      <c r="O283" t="str">
        <f>VLOOKUP(A283,vlookup_table!$A:$G,3,FALSE)</f>
        <v>IN</v>
      </c>
      <c r="P283">
        <f>VLOOKUP(A283,vlookup_table!$A:$G,4,FALSE)</f>
        <v>3501</v>
      </c>
      <c r="Q283" t="str">
        <f>VLOOKUP(A283,vlookup_table!$A:$G,5,FALSE)</f>
        <v>R2</v>
      </c>
      <c r="R283" t="str">
        <f>VLOOKUP(A283,vlookup_table!$A:$G,6,FALSE)</f>
        <v>F</v>
      </c>
      <c r="S283">
        <f>VLOOKUP(A283,vlookup_table!$A:$G,7,FALSE)</f>
        <v>11</v>
      </c>
      <c r="T283">
        <f t="shared" si="8"/>
        <v>61</v>
      </c>
      <c r="U283" t="str">
        <f t="shared" si="9"/>
        <v>Rural</v>
      </c>
    </row>
    <row r="284" spans="1:21" ht="16" x14ac:dyDescent="0.4">
      <c r="A284" s="4">
        <v>44634</v>
      </c>
      <c r="B284" s="1" t="s">
        <v>13</v>
      </c>
      <c r="C284" s="1" t="s">
        <v>14</v>
      </c>
      <c r="D284" s="1">
        <v>710</v>
      </c>
      <c r="E284" s="1">
        <v>254</v>
      </c>
      <c r="F284" s="1">
        <v>391</v>
      </c>
      <c r="G284" s="1">
        <v>6</v>
      </c>
      <c r="H284" s="1">
        <v>15970</v>
      </c>
      <c r="I284" s="1">
        <v>4</v>
      </c>
      <c r="J284" s="1">
        <v>30</v>
      </c>
      <c r="K284" s="1">
        <v>287</v>
      </c>
      <c r="L284" s="1">
        <v>325</v>
      </c>
      <c r="M284" s="1">
        <v>7.2857142860000002</v>
      </c>
      <c r="N284">
        <f>VLOOKUP(A284,vlookup_table!$A:$G,2,FALSE)</f>
        <v>1</v>
      </c>
      <c r="O284" t="str">
        <f>VLOOKUP(A284,vlookup_table!$A:$G,3,FALSE)</f>
        <v>FL</v>
      </c>
      <c r="P284">
        <f>VLOOKUP(A284,vlookup_table!$A:$G,4,FALSE)</f>
        <v>3701</v>
      </c>
      <c r="Q284" t="str">
        <f>VLOOKUP(A284,vlookup_table!$A:$G,5,FALSE)</f>
        <v>C2</v>
      </c>
      <c r="R284" t="str">
        <f>VLOOKUP(A284,vlookup_table!$A:$G,6,FALSE)</f>
        <v>M</v>
      </c>
      <c r="S284">
        <f>VLOOKUP(A284,vlookup_table!$A:$G,7,FALSE)</f>
        <v>10</v>
      </c>
      <c r="T284">
        <f t="shared" si="8"/>
        <v>59</v>
      </c>
      <c r="U284" t="str">
        <f t="shared" si="9"/>
        <v>Ciudad</v>
      </c>
    </row>
    <row r="285" spans="1:21" ht="16" x14ac:dyDescent="0.4">
      <c r="A285" s="4">
        <v>146914</v>
      </c>
      <c r="B285" s="1" t="s">
        <v>21</v>
      </c>
      <c r="C285" s="1" t="s">
        <v>17</v>
      </c>
      <c r="D285" s="1">
        <v>3673</v>
      </c>
      <c r="E285" s="1">
        <v>515</v>
      </c>
      <c r="F285" s="1">
        <v>725</v>
      </c>
      <c r="G285" s="1">
        <v>97</v>
      </c>
      <c r="H285" s="1">
        <v>31773</v>
      </c>
      <c r="I285" s="1">
        <v>10</v>
      </c>
      <c r="J285" s="1">
        <v>39</v>
      </c>
      <c r="K285" s="1">
        <v>675</v>
      </c>
      <c r="L285" s="1">
        <v>589</v>
      </c>
      <c r="M285" s="1">
        <v>6.5</v>
      </c>
      <c r="N285">
        <f>VLOOKUP(A285,vlookup_table!$A:$G,2,FALSE)</f>
        <v>0</v>
      </c>
      <c r="O285" t="str">
        <f>VLOOKUP(A285,vlookup_table!$A:$G,3,FALSE)</f>
        <v>CA</v>
      </c>
      <c r="P285">
        <f>VLOOKUP(A285,vlookup_table!$A:$G,4,FALSE)</f>
        <v>5401</v>
      </c>
      <c r="Q285" t="str">
        <f>VLOOKUP(A285,vlookup_table!$A:$G,5,FALSE)</f>
        <v>U1</v>
      </c>
      <c r="R285" t="str">
        <f>VLOOKUP(A285,vlookup_table!$A:$G,6,FALSE)</f>
        <v>F</v>
      </c>
      <c r="S285">
        <f>VLOOKUP(A285,vlookup_table!$A:$G,7,FALSE)</f>
        <v>10</v>
      </c>
      <c r="T285">
        <f t="shared" si="8"/>
        <v>42</v>
      </c>
      <c r="U285" t="str">
        <f t="shared" si="9"/>
        <v>Urbano</v>
      </c>
    </row>
    <row r="286" spans="1:21" ht="16" x14ac:dyDescent="0.4">
      <c r="A286" s="4">
        <v>70079</v>
      </c>
      <c r="B286" s="1" t="s">
        <v>26</v>
      </c>
      <c r="C286" s="1" t="s">
        <v>17</v>
      </c>
      <c r="D286" s="1">
        <v>365</v>
      </c>
      <c r="E286" s="1">
        <v>98</v>
      </c>
      <c r="F286" s="1">
        <v>330</v>
      </c>
      <c r="G286" s="1">
        <v>0</v>
      </c>
      <c r="H286" s="1">
        <v>9470</v>
      </c>
      <c r="I286" s="1">
        <v>0</v>
      </c>
      <c r="J286" s="1">
        <v>53</v>
      </c>
      <c r="K286" s="1">
        <v>310</v>
      </c>
      <c r="L286" s="1">
        <v>221</v>
      </c>
      <c r="M286" s="1">
        <v>15</v>
      </c>
      <c r="N286">
        <f>VLOOKUP(A286,vlookup_table!$A:$G,2,FALSE)</f>
        <v>2</v>
      </c>
      <c r="O286" t="str">
        <f>VLOOKUP(A286,vlookup_table!$A:$G,3,FALSE)</f>
        <v>MI</v>
      </c>
      <c r="P286">
        <f>VLOOKUP(A286,vlookup_table!$A:$G,4,FALSE)</f>
        <v>4701</v>
      </c>
      <c r="Q286" t="str">
        <f>VLOOKUP(A286,vlookup_table!$A:$G,5,FALSE)</f>
        <v>C3</v>
      </c>
      <c r="R286" t="str">
        <f>VLOOKUP(A286,vlookup_table!$A:$G,6,FALSE)</f>
        <v>F</v>
      </c>
      <c r="S286">
        <f>VLOOKUP(A286,vlookup_table!$A:$G,7,FALSE)</f>
        <v>15</v>
      </c>
      <c r="T286">
        <f t="shared" si="8"/>
        <v>49</v>
      </c>
      <c r="U286" t="str">
        <f t="shared" si="9"/>
        <v>Ciudad</v>
      </c>
    </row>
    <row r="287" spans="1:21" ht="16" x14ac:dyDescent="0.4">
      <c r="A287" s="4">
        <v>24871</v>
      </c>
      <c r="B287" s="1" t="s">
        <v>43</v>
      </c>
      <c r="C287" s="1" t="s">
        <v>17</v>
      </c>
      <c r="D287" s="1">
        <v>682</v>
      </c>
      <c r="E287" s="1">
        <v>366</v>
      </c>
      <c r="F287" s="1">
        <v>498</v>
      </c>
      <c r="G287" s="1">
        <v>2</v>
      </c>
      <c r="H287" s="1">
        <v>14538</v>
      </c>
      <c r="I287" s="1">
        <v>3</v>
      </c>
      <c r="J287" s="1">
        <v>63</v>
      </c>
      <c r="K287" s="1">
        <v>464</v>
      </c>
      <c r="L287" s="1">
        <v>421</v>
      </c>
      <c r="M287" s="1">
        <v>9.6666666669999994</v>
      </c>
      <c r="N287">
        <f>VLOOKUP(A287,vlookup_table!$A:$G,2,FALSE)</f>
        <v>2</v>
      </c>
      <c r="O287" t="str">
        <f>VLOOKUP(A287,vlookup_table!$A:$G,3,FALSE)</f>
        <v>SC</v>
      </c>
      <c r="P287">
        <f>VLOOKUP(A287,vlookup_table!$A:$G,4,FALSE)</f>
        <v>4401</v>
      </c>
      <c r="Q287" t="str">
        <f>VLOOKUP(A287,vlookup_table!$A:$G,5,FALSE)</f>
        <v>T2</v>
      </c>
      <c r="R287" t="str">
        <f>VLOOKUP(A287,vlookup_table!$A:$G,6,FALSE)</f>
        <v>F</v>
      </c>
      <c r="S287">
        <f>VLOOKUP(A287,vlookup_table!$A:$G,7,FALSE)</f>
        <v>16</v>
      </c>
      <c r="T287">
        <f t="shared" si="8"/>
        <v>52</v>
      </c>
      <c r="U287" t="str">
        <f t="shared" si="9"/>
        <v>Pueblo</v>
      </c>
    </row>
    <row r="288" spans="1:21" ht="16" x14ac:dyDescent="0.4">
      <c r="A288" s="4">
        <v>150660</v>
      </c>
      <c r="B288" s="1" t="s">
        <v>35</v>
      </c>
      <c r="C288" s="1" t="s">
        <v>17</v>
      </c>
      <c r="D288" s="1">
        <v>901</v>
      </c>
      <c r="E288" s="1">
        <v>327</v>
      </c>
      <c r="F288" s="1">
        <v>437</v>
      </c>
      <c r="G288" s="1">
        <v>1</v>
      </c>
      <c r="H288" s="1">
        <v>17854</v>
      </c>
      <c r="I288" s="1">
        <v>8</v>
      </c>
      <c r="J288" s="1">
        <v>61</v>
      </c>
      <c r="K288" s="1">
        <v>336</v>
      </c>
      <c r="L288" s="1">
        <v>411</v>
      </c>
      <c r="M288" s="1">
        <v>10.20588235</v>
      </c>
      <c r="N288">
        <f>VLOOKUP(A288,vlookup_table!$A:$G,2,FALSE)</f>
        <v>0</v>
      </c>
      <c r="O288" t="str">
        <f>VLOOKUP(A288,vlookup_table!$A:$G,3,FALSE)</f>
        <v>UT</v>
      </c>
      <c r="P288">
        <f>VLOOKUP(A288,vlookup_table!$A:$G,4,FALSE)</f>
        <v>4601</v>
      </c>
      <c r="Q288" t="str">
        <f>VLOOKUP(A288,vlookup_table!$A:$G,5,FALSE)</f>
        <v>U1</v>
      </c>
      <c r="R288" t="str">
        <f>VLOOKUP(A288,vlookup_table!$A:$G,6,FALSE)</f>
        <v>F</v>
      </c>
      <c r="S288">
        <f>VLOOKUP(A288,vlookup_table!$A:$G,7,FALSE)</f>
        <v>12</v>
      </c>
      <c r="T288">
        <f t="shared" si="8"/>
        <v>50</v>
      </c>
      <c r="U288" t="str">
        <f t="shared" si="9"/>
        <v>Urbano</v>
      </c>
    </row>
    <row r="289" spans="1:21" ht="16" x14ac:dyDescent="0.4">
      <c r="A289" s="4">
        <v>169700</v>
      </c>
      <c r="B289" s="1" t="s">
        <v>21</v>
      </c>
      <c r="C289" s="1" t="s">
        <v>14</v>
      </c>
      <c r="D289" s="1">
        <v>1676</v>
      </c>
      <c r="E289" s="1">
        <v>371</v>
      </c>
      <c r="F289" s="1">
        <v>372</v>
      </c>
      <c r="G289" s="1">
        <v>9</v>
      </c>
      <c r="H289" s="1">
        <v>13231</v>
      </c>
      <c r="I289" s="1">
        <v>6</v>
      </c>
      <c r="J289" s="1">
        <v>69</v>
      </c>
      <c r="K289" s="1">
        <v>336</v>
      </c>
      <c r="L289" s="1">
        <v>398</v>
      </c>
      <c r="M289" s="1">
        <v>5.5714285710000002</v>
      </c>
      <c r="N289">
        <f>VLOOKUP(A289,vlookup_table!$A:$G,2,FALSE)</f>
        <v>1</v>
      </c>
      <c r="O289" t="str">
        <f>VLOOKUP(A289,vlookup_table!$A:$G,3,FALSE)</f>
        <v>CA</v>
      </c>
      <c r="P289">
        <f>VLOOKUP(A289,vlookup_table!$A:$G,4,FALSE)</f>
        <v>0</v>
      </c>
      <c r="Q289" t="str">
        <f>VLOOKUP(A289,vlookup_table!$A:$G,5,FALSE)</f>
        <v>C2</v>
      </c>
      <c r="R289" t="str">
        <f>VLOOKUP(A289,vlookup_table!$A:$G,6,FALSE)</f>
        <v>M</v>
      </c>
      <c r="S289">
        <f>VLOOKUP(A289,vlookup_table!$A:$G,7,FALSE)</f>
        <v>25</v>
      </c>
      <c r="T289">
        <f t="shared" si="8"/>
        <v>96</v>
      </c>
      <c r="U289" t="str">
        <f t="shared" si="9"/>
        <v>Ciudad</v>
      </c>
    </row>
    <row r="290" spans="1:21" ht="16" x14ac:dyDescent="0.4">
      <c r="A290" s="4">
        <v>63542</v>
      </c>
      <c r="B290" s="1" t="s">
        <v>30</v>
      </c>
      <c r="C290" s="1" t="s">
        <v>17</v>
      </c>
      <c r="D290" s="1">
        <v>445</v>
      </c>
      <c r="E290" s="1">
        <v>332</v>
      </c>
      <c r="F290" s="1">
        <v>423</v>
      </c>
      <c r="G290" s="1">
        <v>0</v>
      </c>
      <c r="H290" s="1">
        <v>13662</v>
      </c>
      <c r="I290" s="1">
        <v>0</v>
      </c>
      <c r="J290" s="1">
        <v>78</v>
      </c>
      <c r="K290" s="1">
        <v>398</v>
      </c>
      <c r="L290" s="1">
        <v>370</v>
      </c>
      <c r="M290" s="1">
        <v>14.55555556</v>
      </c>
      <c r="N290">
        <f>VLOOKUP(A290,vlookup_table!$A:$G,2,FALSE)</f>
        <v>0</v>
      </c>
      <c r="O290" t="str">
        <f>VLOOKUP(A290,vlookup_table!$A:$G,3,FALSE)</f>
        <v>IN</v>
      </c>
      <c r="P290">
        <f>VLOOKUP(A290,vlookup_table!$A:$G,4,FALSE)</f>
        <v>4801</v>
      </c>
      <c r="Q290" t="str">
        <f>VLOOKUP(A290,vlookup_table!$A:$G,5,FALSE)</f>
        <v>T2</v>
      </c>
      <c r="R290" t="str">
        <f>VLOOKUP(A290,vlookup_table!$A:$G,6,FALSE)</f>
        <v>F</v>
      </c>
      <c r="S290">
        <f>VLOOKUP(A290,vlookup_table!$A:$G,7,FALSE)</f>
        <v>26</v>
      </c>
      <c r="T290">
        <f t="shared" si="8"/>
        <v>48</v>
      </c>
      <c r="U290" t="str">
        <f t="shared" si="9"/>
        <v>Pueblo</v>
      </c>
    </row>
    <row r="291" spans="1:21" ht="16" x14ac:dyDescent="0.4">
      <c r="A291" s="4">
        <v>125164</v>
      </c>
      <c r="B291" s="1" t="s">
        <v>20</v>
      </c>
      <c r="C291" s="1" t="s">
        <v>17</v>
      </c>
      <c r="D291" s="1">
        <v>588</v>
      </c>
      <c r="E291" s="1">
        <v>316</v>
      </c>
      <c r="F291" s="1">
        <v>381</v>
      </c>
      <c r="G291" s="1">
        <v>0</v>
      </c>
      <c r="H291" s="1">
        <v>14293</v>
      </c>
      <c r="I291" s="1">
        <v>5</v>
      </c>
      <c r="J291" s="1">
        <v>85</v>
      </c>
      <c r="K291" s="1">
        <v>383</v>
      </c>
      <c r="L291" s="1">
        <v>344</v>
      </c>
      <c r="M291" s="1">
        <v>22.6</v>
      </c>
      <c r="N291">
        <f>VLOOKUP(A291,vlookup_table!$A:$G,2,FALSE)</f>
        <v>2</v>
      </c>
      <c r="O291" t="str">
        <f>VLOOKUP(A291,vlookup_table!$A:$G,3,FALSE)</f>
        <v>TX</v>
      </c>
      <c r="P291">
        <f>VLOOKUP(A291,vlookup_table!$A:$G,4,FALSE)</f>
        <v>1601</v>
      </c>
      <c r="Q291" t="str">
        <f>VLOOKUP(A291,vlookup_table!$A:$G,5,FALSE)</f>
        <v>S2</v>
      </c>
      <c r="R291" t="str">
        <f>VLOOKUP(A291,vlookup_table!$A:$G,6,FALSE)</f>
        <v>F</v>
      </c>
      <c r="S291">
        <f>VLOOKUP(A291,vlookup_table!$A:$G,7,FALSE)</f>
        <v>50</v>
      </c>
      <c r="T291">
        <f t="shared" si="8"/>
        <v>80</v>
      </c>
      <c r="U291" t="str">
        <f t="shared" si="9"/>
        <v>Suburbano</v>
      </c>
    </row>
    <row r="292" spans="1:21" ht="16" x14ac:dyDescent="0.4">
      <c r="A292" s="4">
        <v>65634</v>
      </c>
      <c r="B292" s="1" t="s">
        <v>26</v>
      </c>
      <c r="C292" s="1" t="s">
        <v>17</v>
      </c>
      <c r="D292" s="1">
        <v>413</v>
      </c>
      <c r="E292" s="1">
        <v>95</v>
      </c>
      <c r="F292" s="1">
        <v>231</v>
      </c>
      <c r="G292" s="1">
        <v>0</v>
      </c>
      <c r="H292" s="1">
        <v>9020</v>
      </c>
      <c r="I292" s="1">
        <v>12</v>
      </c>
      <c r="J292" s="1">
        <v>46</v>
      </c>
      <c r="K292" s="1">
        <v>171</v>
      </c>
      <c r="L292" s="1">
        <v>123</v>
      </c>
      <c r="M292" s="1">
        <v>10.16666667</v>
      </c>
      <c r="N292">
        <f>VLOOKUP(A292,vlookup_table!$A:$G,2,FALSE)</f>
        <v>0</v>
      </c>
      <c r="O292" t="str">
        <f>VLOOKUP(A292,vlookup_table!$A:$G,3,FALSE)</f>
        <v>MI</v>
      </c>
      <c r="P292">
        <f>VLOOKUP(A292,vlookup_table!$A:$G,4,FALSE)</f>
        <v>801</v>
      </c>
      <c r="Q292" t="str">
        <f>VLOOKUP(A292,vlookup_table!$A:$G,5,FALSE)</f>
        <v>C3</v>
      </c>
      <c r="R292" t="str">
        <f>VLOOKUP(A292,vlookup_table!$A:$G,6,FALSE)</f>
        <v>F</v>
      </c>
      <c r="S292">
        <f>VLOOKUP(A292,vlookup_table!$A:$G,7,FALSE)</f>
        <v>12</v>
      </c>
      <c r="T292">
        <f t="shared" si="8"/>
        <v>16</v>
      </c>
      <c r="U292" t="str">
        <f t="shared" si="9"/>
        <v>Ciudad</v>
      </c>
    </row>
    <row r="293" spans="1:21" ht="16" x14ac:dyDescent="0.4">
      <c r="A293" s="4">
        <v>59285</v>
      </c>
      <c r="B293" s="1" t="s">
        <v>30</v>
      </c>
      <c r="C293" s="1" t="s">
        <v>17</v>
      </c>
      <c r="D293" s="1">
        <v>522</v>
      </c>
      <c r="E293" s="1">
        <v>225</v>
      </c>
      <c r="F293" s="1">
        <v>403</v>
      </c>
      <c r="G293" s="1">
        <v>0</v>
      </c>
      <c r="H293" s="1">
        <v>13669</v>
      </c>
      <c r="I293" s="1">
        <v>1</v>
      </c>
      <c r="J293" s="1">
        <v>84</v>
      </c>
      <c r="K293" s="1">
        <v>349</v>
      </c>
      <c r="L293" s="1">
        <v>326</v>
      </c>
      <c r="M293" s="1">
        <v>12</v>
      </c>
      <c r="N293">
        <f>VLOOKUP(A293,vlookup_table!$A:$G,2,FALSE)</f>
        <v>2</v>
      </c>
      <c r="O293" t="str">
        <f>VLOOKUP(A293,vlookup_table!$A:$G,3,FALSE)</f>
        <v>IN</v>
      </c>
      <c r="P293">
        <f>VLOOKUP(A293,vlookup_table!$A:$G,4,FALSE)</f>
        <v>5101</v>
      </c>
      <c r="Q293" t="str">
        <f>VLOOKUP(A293,vlookup_table!$A:$G,5,FALSE)</f>
        <v>T3</v>
      </c>
      <c r="R293" t="str">
        <f>VLOOKUP(A293,vlookup_table!$A:$G,6,FALSE)</f>
        <v>F</v>
      </c>
      <c r="S293">
        <f>VLOOKUP(A293,vlookup_table!$A:$G,7,FALSE)</f>
        <v>10</v>
      </c>
      <c r="T293">
        <f t="shared" si="8"/>
        <v>45</v>
      </c>
      <c r="U293" t="str">
        <f t="shared" si="9"/>
        <v>Pueblo</v>
      </c>
    </row>
    <row r="294" spans="1:21" ht="16" x14ac:dyDescent="0.4">
      <c r="A294" s="4">
        <v>78802</v>
      </c>
      <c r="B294" s="1" t="s">
        <v>32</v>
      </c>
      <c r="C294" s="1" t="s">
        <v>41</v>
      </c>
      <c r="D294" s="1">
        <v>667</v>
      </c>
      <c r="E294" s="1">
        <v>293</v>
      </c>
      <c r="F294" s="1">
        <v>422</v>
      </c>
      <c r="G294" s="1">
        <v>0</v>
      </c>
      <c r="H294" s="1">
        <v>17527</v>
      </c>
      <c r="I294" s="1">
        <v>5</v>
      </c>
      <c r="J294" s="1">
        <v>68</v>
      </c>
      <c r="K294" s="1">
        <v>385</v>
      </c>
      <c r="L294" s="1">
        <v>334</v>
      </c>
      <c r="M294" s="1">
        <v>15</v>
      </c>
      <c r="N294">
        <f>VLOOKUP(A294,vlookup_table!$A:$G,2,FALSE)</f>
        <v>1002</v>
      </c>
      <c r="O294" t="str">
        <f>VLOOKUP(A294,vlookup_table!$A:$G,3,FALSE)</f>
        <v>WI</v>
      </c>
      <c r="P294">
        <f>VLOOKUP(A294,vlookup_table!$A:$G,4,FALSE)</f>
        <v>1301</v>
      </c>
      <c r="Q294" t="str">
        <f>VLOOKUP(A294,vlookup_table!$A:$G,5,FALSE)</f>
        <v>S2</v>
      </c>
      <c r="R294" t="str">
        <f>VLOOKUP(A294,vlookup_table!$A:$G,6,FALSE)</f>
        <v>J</v>
      </c>
      <c r="S294">
        <f>VLOOKUP(A294,vlookup_table!$A:$G,7,FALSE)</f>
        <v>15</v>
      </c>
      <c r="T294">
        <f t="shared" si="8"/>
        <v>83</v>
      </c>
      <c r="U294" t="str">
        <f t="shared" si="9"/>
        <v>Suburbano</v>
      </c>
    </row>
    <row r="295" spans="1:21" ht="16" x14ac:dyDescent="0.4">
      <c r="A295" s="4">
        <v>186460</v>
      </c>
      <c r="B295" s="1" t="s">
        <v>32</v>
      </c>
      <c r="C295" s="1" t="s">
        <v>17</v>
      </c>
      <c r="D295" s="1">
        <v>303</v>
      </c>
      <c r="E295" s="1">
        <v>175</v>
      </c>
      <c r="F295" s="1">
        <v>253</v>
      </c>
      <c r="G295" s="1">
        <v>0</v>
      </c>
      <c r="H295" s="1">
        <v>7115</v>
      </c>
      <c r="I295" s="1">
        <v>1</v>
      </c>
      <c r="J295" s="1">
        <v>76</v>
      </c>
      <c r="K295" s="1">
        <v>217</v>
      </c>
      <c r="L295" s="1">
        <v>219</v>
      </c>
      <c r="M295" s="1">
        <v>10.375</v>
      </c>
      <c r="N295">
        <f>VLOOKUP(A295,vlookup_table!$A:$G,2,FALSE)</f>
        <v>2</v>
      </c>
      <c r="O295" t="str">
        <f>VLOOKUP(A295,vlookup_table!$A:$G,3,FALSE)</f>
        <v>WI</v>
      </c>
      <c r="P295">
        <f>VLOOKUP(A295,vlookup_table!$A:$G,4,FALSE)</f>
        <v>0</v>
      </c>
      <c r="Q295" t="str">
        <f>VLOOKUP(A295,vlookup_table!$A:$G,5,FALSE)</f>
        <v>R3</v>
      </c>
      <c r="R295" t="str">
        <f>VLOOKUP(A295,vlookup_table!$A:$G,6,FALSE)</f>
        <v>F</v>
      </c>
      <c r="S295">
        <f>VLOOKUP(A295,vlookup_table!$A:$G,7,FALSE)</f>
        <v>20</v>
      </c>
      <c r="T295">
        <f t="shared" si="8"/>
        <v>96</v>
      </c>
      <c r="U295" t="str">
        <f t="shared" si="9"/>
        <v>Rural</v>
      </c>
    </row>
    <row r="296" spans="1:21" ht="16" x14ac:dyDescent="0.4">
      <c r="A296" s="4">
        <v>114579</v>
      </c>
      <c r="B296" s="1" t="s">
        <v>28</v>
      </c>
      <c r="C296" s="1" t="s">
        <v>14</v>
      </c>
      <c r="D296" s="1">
        <v>633</v>
      </c>
      <c r="E296" s="1">
        <v>399</v>
      </c>
      <c r="F296" s="1">
        <v>517</v>
      </c>
      <c r="G296" s="1">
        <v>0</v>
      </c>
      <c r="H296" s="1">
        <v>17637</v>
      </c>
      <c r="I296" s="1">
        <v>0</v>
      </c>
      <c r="J296" s="1">
        <v>63</v>
      </c>
      <c r="K296" s="1">
        <v>442</v>
      </c>
      <c r="L296" s="1">
        <v>439</v>
      </c>
      <c r="M296" s="1">
        <v>13.16666667</v>
      </c>
      <c r="N296">
        <f>VLOOKUP(A296,vlookup_table!$A:$G,2,FALSE)</f>
        <v>1</v>
      </c>
      <c r="O296" t="str">
        <f>VLOOKUP(A296,vlookup_table!$A:$G,3,FALSE)</f>
        <v>OK</v>
      </c>
      <c r="P296">
        <f>VLOOKUP(A296,vlookup_table!$A:$G,4,FALSE)</f>
        <v>2112</v>
      </c>
      <c r="Q296" t="str">
        <f>VLOOKUP(A296,vlookup_table!$A:$G,5,FALSE)</f>
        <v>C1</v>
      </c>
      <c r="R296" t="str">
        <f>VLOOKUP(A296,vlookup_table!$A:$G,6,FALSE)</f>
        <v>M</v>
      </c>
      <c r="S296">
        <f>VLOOKUP(A296,vlookup_table!$A:$G,7,FALSE)</f>
        <v>10</v>
      </c>
      <c r="T296">
        <f t="shared" si="8"/>
        <v>75</v>
      </c>
      <c r="U296" t="str">
        <f t="shared" si="9"/>
        <v>Ciudad</v>
      </c>
    </row>
    <row r="297" spans="1:21" ht="16" x14ac:dyDescent="0.4">
      <c r="A297" s="4">
        <v>23184</v>
      </c>
      <c r="B297" s="1" t="s">
        <v>43</v>
      </c>
      <c r="C297" s="1" t="s">
        <v>17</v>
      </c>
      <c r="D297" s="1">
        <v>391</v>
      </c>
      <c r="E297" s="1">
        <v>214</v>
      </c>
      <c r="F297" s="1">
        <v>269</v>
      </c>
      <c r="G297" s="1">
        <v>0</v>
      </c>
      <c r="H297" s="1">
        <v>9853</v>
      </c>
      <c r="I297" s="1">
        <v>0</v>
      </c>
      <c r="J297" s="1">
        <v>77</v>
      </c>
      <c r="K297" s="1">
        <v>243</v>
      </c>
      <c r="L297" s="1">
        <v>242</v>
      </c>
      <c r="M297" s="1">
        <v>14</v>
      </c>
      <c r="N297">
        <f>VLOOKUP(A297,vlookup_table!$A:$G,2,FALSE)</f>
        <v>0</v>
      </c>
      <c r="O297" t="str">
        <f>VLOOKUP(A297,vlookup_table!$A:$G,3,FALSE)</f>
        <v>SC</v>
      </c>
      <c r="P297">
        <f>VLOOKUP(A297,vlookup_table!$A:$G,4,FALSE)</f>
        <v>0</v>
      </c>
      <c r="Q297" t="str">
        <f>VLOOKUP(A297,vlookup_table!$A:$G,5,FALSE)</f>
        <v>C3</v>
      </c>
      <c r="R297" t="str">
        <f>VLOOKUP(A297,vlookup_table!$A:$G,6,FALSE)</f>
        <v>F</v>
      </c>
      <c r="S297">
        <f>VLOOKUP(A297,vlookup_table!$A:$G,7,FALSE)</f>
        <v>10</v>
      </c>
      <c r="T297">
        <f t="shared" si="8"/>
        <v>96</v>
      </c>
      <c r="U297" t="str">
        <f t="shared" si="9"/>
        <v>Ciudad</v>
      </c>
    </row>
    <row r="298" spans="1:21" ht="16" x14ac:dyDescent="0.4">
      <c r="A298" s="4">
        <v>125289</v>
      </c>
      <c r="B298" s="1" t="s">
        <v>20</v>
      </c>
      <c r="C298" s="1" t="s">
        <v>17</v>
      </c>
      <c r="D298" s="1">
        <v>707</v>
      </c>
      <c r="E298" s="1">
        <v>246</v>
      </c>
      <c r="F298" s="1">
        <v>327</v>
      </c>
      <c r="G298" s="1">
        <v>0</v>
      </c>
      <c r="H298" s="1">
        <v>15322</v>
      </c>
      <c r="I298" s="1">
        <v>13</v>
      </c>
      <c r="J298" s="1">
        <v>63</v>
      </c>
      <c r="K298" s="1">
        <v>283</v>
      </c>
      <c r="L298" s="1">
        <v>291</v>
      </c>
      <c r="M298" s="1">
        <v>5.25</v>
      </c>
      <c r="N298">
        <f>VLOOKUP(A298,vlookup_table!$A:$G,2,FALSE)</f>
        <v>0</v>
      </c>
      <c r="O298" t="str">
        <f>VLOOKUP(A298,vlookup_table!$A:$G,3,FALSE)</f>
        <v>TX</v>
      </c>
      <c r="P298">
        <f>VLOOKUP(A298,vlookup_table!$A:$G,4,FALSE)</f>
        <v>1802</v>
      </c>
      <c r="Q298" t="str">
        <f>VLOOKUP(A298,vlookup_table!$A:$G,5,FALSE)</f>
        <v>S2</v>
      </c>
      <c r="R298" t="str">
        <f>VLOOKUP(A298,vlookup_table!$A:$G,6,FALSE)</f>
        <v>F</v>
      </c>
      <c r="S298">
        <f>VLOOKUP(A298,vlookup_table!$A:$G,7,FALSE)</f>
        <v>7</v>
      </c>
      <c r="T298">
        <f t="shared" si="8"/>
        <v>78</v>
      </c>
      <c r="U298" t="str">
        <f t="shared" si="9"/>
        <v>Suburbano</v>
      </c>
    </row>
    <row r="299" spans="1:21" ht="16" x14ac:dyDescent="0.4">
      <c r="A299" s="4">
        <v>10502</v>
      </c>
      <c r="B299" s="1" t="s">
        <v>26</v>
      </c>
      <c r="C299" s="1" t="s">
        <v>14</v>
      </c>
      <c r="D299" s="1">
        <v>1179</v>
      </c>
      <c r="E299" s="1">
        <v>464</v>
      </c>
      <c r="F299" s="1">
        <v>501</v>
      </c>
      <c r="G299" s="1">
        <v>2</v>
      </c>
      <c r="H299" s="1">
        <v>15910</v>
      </c>
      <c r="I299" s="1">
        <v>2</v>
      </c>
      <c r="J299" s="1">
        <v>82</v>
      </c>
      <c r="K299" s="1">
        <v>496</v>
      </c>
      <c r="L299" s="1">
        <v>462</v>
      </c>
      <c r="M299" s="1">
        <v>13.46666667</v>
      </c>
      <c r="N299">
        <f>VLOOKUP(A299,vlookup_table!$A:$G,2,FALSE)</f>
        <v>0</v>
      </c>
      <c r="O299" t="str">
        <f>VLOOKUP(A299,vlookup_table!$A:$G,3,FALSE)</f>
        <v>MI</v>
      </c>
      <c r="P299">
        <f>VLOOKUP(A299,vlookup_table!$A:$G,4,FALSE)</f>
        <v>0</v>
      </c>
      <c r="Q299" t="str">
        <f>VLOOKUP(A299,vlookup_table!$A:$G,5,FALSE)</f>
        <v>T2</v>
      </c>
      <c r="R299" t="str">
        <f>VLOOKUP(A299,vlookup_table!$A:$G,6,FALSE)</f>
        <v>M</v>
      </c>
      <c r="S299">
        <f>VLOOKUP(A299,vlookup_table!$A:$G,7,FALSE)</f>
        <v>15</v>
      </c>
      <c r="T299">
        <f t="shared" si="8"/>
        <v>96</v>
      </c>
      <c r="U299" t="str">
        <f t="shared" si="9"/>
        <v>Pueblo</v>
      </c>
    </row>
    <row r="300" spans="1:21" ht="16" x14ac:dyDescent="0.4">
      <c r="A300" s="4">
        <v>46844</v>
      </c>
      <c r="B300" s="1" t="s">
        <v>40</v>
      </c>
      <c r="C300" s="1" t="s">
        <v>14</v>
      </c>
      <c r="D300" s="1">
        <v>453</v>
      </c>
      <c r="E300" s="1">
        <v>219</v>
      </c>
      <c r="F300" s="1">
        <v>299</v>
      </c>
      <c r="G300" s="1">
        <v>0</v>
      </c>
      <c r="H300" s="1">
        <v>9654</v>
      </c>
      <c r="I300" s="1">
        <v>0</v>
      </c>
      <c r="J300" s="1">
        <v>90</v>
      </c>
      <c r="K300" s="1">
        <v>264</v>
      </c>
      <c r="L300" s="1">
        <v>263</v>
      </c>
      <c r="M300" s="1">
        <v>7</v>
      </c>
      <c r="N300">
        <f>VLOOKUP(A300,vlookup_table!$A:$G,2,FALSE)</f>
        <v>0</v>
      </c>
      <c r="O300" t="str">
        <f>VLOOKUP(A300,vlookup_table!$A:$G,3,FALSE)</f>
        <v>AL</v>
      </c>
      <c r="P300">
        <f>VLOOKUP(A300,vlookup_table!$A:$G,4,FALSE)</f>
        <v>0</v>
      </c>
      <c r="Q300" t="str">
        <f>VLOOKUP(A300,vlookup_table!$A:$G,5,FALSE)</f>
        <v>R3</v>
      </c>
      <c r="R300" t="str">
        <f>VLOOKUP(A300,vlookup_table!$A:$G,6,FALSE)</f>
        <v>M</v>
      </c>
      <c r="S300">
        <f>VLOOKUP(A300,vlookup_table!$A:$G,7,FALSE)</f>
        <v>10</v>
      </c>
      <c r="T300">
        <f t="shared" si="8"/>
        <v>96</v>
      </c>
      <c r="U300" t="str">
        <f t="shared" si="9"/>
        <v>Rural</v>
      </c>
    </row>
    <row r="301" spans="1:21" ht="16" x14ac:dyDescent="0.4">
      <c r="A301" s="4">
        <v>162814</v>
      </c>
      <c r="B301" s="1" t="s">
        <v>21</v>
      </c>
      <c r="C301" s="1" t="s">
        <v>14</v>
      </c>
      <c r="D301" s="1">
        <v>3365</v>
      </c>
      <c r="E301" s="1">
        <v>544</v>
      </c>
      <c r="F301" s="1">
        <v>621</v>
      </c>
      <c r="G301" s="1">
        <v>94</v>
      </c>
      <c r="H301" s="1">
        <v>27608</v>
      </c>
      <c r="I301" s="1">
        <v>8</v>
      </c>
      <c r="J301" s="1">
        <v>59</v>
      </c>
      <c r="K301" s="1">
        <v>525</v>
      </c>
      <c r="L301" s="1">
        <v>655</v>
      </c>
      <c r="M301" s="1">
        <v>6.2</v>
      </c>
      <c r="N301">
        <f>VLOOKUP(A301,vlookup_table!$A:$G,2,FALSE)</f>
        <v>1</v>
      </c>
      <c r="O301" t="str">
        <f>VLOOKUP(A301,vlookup_table!$A:$G,3,FALSE)</f>
        <v>CA</v>
      </c>
      <c r="P301">
        <f>VLOOKUP(A301,vlookup_table!$A:$G,4,FALSE)</f>
        <v>3701</v>
      </c>
      <c r="Q301" t="str">
        <f>VLOOKUP(A301,vlookup_table!$A:$G,5,FALSE)</f>
        <v>U1</v>
      </c>
      <c r="R301" t="str">
        <f>VLOOKUP(A301,vlookup_table!$A:$G,6,FALSE)</f>
        <v>M</v>
      </c>
      <c r="S301">
        <f>VLOOKUP(A301,vlookup_table!$A:$G,7,FALSE)</f>
        <v>10</v>
      </c>
      <c r="T301">
        <f t="shared" si="8"/>
        <v>59</v>
      </c>
      <c r="U301" t="str">
        <f t="shared" si="9"/>
        <v>Urbano</v>
      </c>
    </row>
    <row r="302" spans="1:21" ht="16" x14ac:dyDescent="0.4">
      <c r="A302" s="4">
        <v>89653</v>
      </c>
      <c r="B302" s="1" t="s">
        <v>16</v>
      </c>
      <c r="C302" s="1" t="s">
        <v>14</v>
      </c>
      <c r="D302" s="1">
        <v>1315</v>
      </c>
      <c r="E302" s="1">
        <v>328</v>
      </c>
      <c r="F302" s="1">
        <v>472</v>
      </c>
      <c r="G302" s="1">
        <v>9</v>
      </c>
      <c r="H302" s="1">
        <v>15767</v>
      </c>
      <c r="I302" s="1">
        <v>5</v>
      </c>
      <c r="J302" s="1">
        <v>64</v>
      </c>
      <c r="K302" s="1">
        <v>384</v>
      </c>
      <c r="L302" s="1">
        <v>398</v>
      </c>
      <c r="M302" s="1">
        <v>4.8181818180000002</v>
      </c>
      <c r="N302">
        <f>VLOOKUP(A302,vlookup_table!$A:$G,2,FALSE)</f>
        <v>0</v>
      </c>
      <c r="O302" t="str">
        <f>VLOOKUP(A302,vlookup_table!$A:$G,3,FALSE)</f>
        <v>IL</v>
      </c>
      <c r="P302">
        <f>VLOOKUP(A302,vlookup_table!$A:$G,4,FALSE)</f>
        <v>1708</v>
      </c>
      <c r="Q302" t="str">
        <f>VLOOKUP(A302,vlookup_table!$A:$G,5,FALSE)</f>
        <v>C2</v>
      </c>
      <c r="R302" t="str">
        <f>VLOOKUP(A302,vlookup_table!$A:$G,6,FALSE)</f>
        <v>M</v>
      </c>
      <c r="S302">
        <f>VLOOKUP(A302,vlookup_table!$A:$G,7,FALSE)</f>
        <v>3</v>
      </c>
      <c r="T302">
        <f t="shared" si="8"/>
        <v>79</v>
      </c>
      <c r="U302" t="str">
        <f t="shared" si="9"/>
        <v>Ciudad</v>
      </c>
    </row>
    <row r="303" spans="1:21" ht="16" x14ac:dyDescent="0.4">
      <c r="A303" s="4">
        <v>170818</v>
      </c>
      <c r="B303" s="1" t="s">
        <v>21</v>
      </c>
      <c r="C303" s="1" t="s">
        <v>17</v>
      </c>
      <c r="D303" s="1">
        <v>668</v>
      </c>
      <c r="E303" s="1">
        <v>187</v>
      </c>
      <c r="F303" s="1">
        <v>240</v>
      </c>
      <c r="G303" s="1">
        <v>0</v>
      </c>
      <c r="H303" s="1">
        <v>6845</v>
      </c>
      <c r="I303" s="1">
        <v>32</v>
      </c>
      <c r="J303" s="1">
        <v>39</v>
      </c>
      <c r="K303" s="1">
        <v>191</v>
      </c>
      <c r="L303" s="1">
        <v>239</v>
      </c>
      <c r="M303" s="1">
        <v>6</v>
      </c>
      <c r="N303">
        <f>VLOOKUP(A303,vlookup_table!$A:$G,2,FALSE)</f>
        <v>2</v>
      </c>
      <c r="O303" t="str">
        <f>VLOOKUP(A303,vlookup_table!$A:$G,3,FALSE)</f>
        <v>CA</v>
      </c>
      <c r="P303">
        <f>VLOOKUP(A303,vlookup_table!$A:$G,4,FALSE)</f>
        <v>6209</v>
      </c>
      <c r="Q303" t="str">
        <f>VLOOKUP(A303,vlookup_table!$A:$G,5,FALSE)</f>
        <v>S1</v>
      </c>
      <c r="R303" t="str">
        <f>VLOOKUP(A303,vlookup_table!$A:$G,6,FALSE)</f>
        <v>F</v>
      </c>
      <c r="S303">
        <f>VLOOKUP(A303,vlookup_table!$A:$G,7,FALSE)</f>
        <v>10</v>
      </c>
      <c r="T303">
        <f t="shared" si="8"/>
        <v>34</v>
      </c>
      <c r="U303" t="str">
        <f t="shared" si="9"/>
        <v>Suburbano</v>
      </c>
    </row>
    <row r="304" spans="1:21" ht="16" x14ac:dyDescent="0.4">
      <c r="A304" s="4">
        <v>6147</v>
      </c>
      <c r="B304" s="1" t="s">
        <v>43</v>
      </c>
      <c r="C304" s="1" t="s">
        <v>14</v>
      </c>
      <c r="D304" s="1">
        <v>399</v>
      </c>
      <c r="E304" s="1">
        <v>221</v>
      </c>
      <c r="F304" s="1">
        <v>302</v>
      </c>
      <c r="G304" s="1">
        <v>0</v>
      </c>
      <c r="H304" s="1">
        <v>10150</v>
      </c>
      <c r="I304" s="1">
        <v>0</v>
      </c>
      <c r="J304" s="1">
        <v>88</v>
      </c>
      <c r="K304" s="1">
        <v>266</v>
      </c>
      <c r="L304" s="1">
        <v>259</v>
      </c>
      <c r="M304" s="1">
        <v>13.90909091</v>
      </c>
      <c r="N304">
        <f>VLOOKUP(A304,vlookup_table!$A:$G,2,FALSE)</f>
        <v>1</v>
      </c>
      <c r="O304" t="str">
        <f>VLOOKUP(A304,vlookup_table!$A:$G,3,FALSE)</f>
        <v>SC</v>
      </c>
      <c r="P304">
        <f>VLOOKUP(A304,vlookup_table!$A:$G,4,FALSE)</f>
        <v>2101</v>
      </c>
      <c r="Q304" t="str">
        <f>VLOOKUP(A304,vlookup_table!$A:$G,5,FALSE)</f>
        <v>T2</v>
      </c>
      <c r="R304" t="str">
        <f>VLOOKUP(A304,vlookup_table!$A:$G,6,FALSE)</f>
        <v>M</v>
      </c>
      <c r="S304">
        <f>VLOOKUP(A304,vlookup_table!$A:$G,7,FALSE)</f>
        <v>24</v>
      </c>
      <c r="T304">
        <f t="shared" si="8"/>
        <v>75</v>
      </c>
      <c r="U304" t="str">
        <f t="shared" si="9"/>
        <v>Pueblo</v>
      </c>
    </row>
    <row r="305" spans="1:21" ht="16" x14ac:dyDescent="0.4">
      <c r="A305" s="4">
        <v>14276</v>
      </c>
      <c r="B305" s="1" t="s">
        <v>21</v>
      </c>
      <c r="C305" s="1" t="s">
        <v>17</v>
      </c>
      <c r="D305" s="1">
        <v>3200</v>
      </c>
      <c r="E305" s="1">
        <v>267</v>
      </c>
      <c r="F305" s="1">
        <v>338</v>
      </c>
      <c r="G305" s="1">
        <v>87</v>
      </c>
      <c r="H305" s="1">
        <v>11115</v>
      </c>
      <c r="I305" s="1">
        <v>36</v>
      </c>
      <c r="J305" s="1">
        <v>43</v>
      </c>
      <c r="K305" s="1">
        <v>292</v>
      </c>
      <c r="L305" s="1">
        <v>325</v>
      </c>
      <c r="M305" s="1">
        <v>13.2</v>
      </c>
      <c r="N305">
        <f>VLOOKUP(A305,vlookup_table!$A:$G,2,FALSE)</f>
        <v>0</v>
      </c>
      <c r="O305" t="str">
        <f>VLOOKUP(A305,vlookup_table!$A:$G,3,FALSE)</f>
        <v>CA</v>
      </c>
      <c r="P305">
        <f>VLOOKUP(A305,vlookup_table!$A:$G,4,FALSE)</f>
        <v>2801</v>
      </c>
      <c r="Q305" t="str">
        <f>VLOOKUP(A305,vlookup_table!$A:$G,5,FALSE)</f>
        <v>U2</v>
      </c>
      <c r="R305" t="str">
        <f>VLOOKUP(A305,vlookup_table!$A:$G,6,FALSE)</f>
        <v>F</v>
      </c>
      <c r="S305">
        <f>VLOOKUP(A305,vlookup_table!$A:$G,7,FALSE)</f>
        <v>15</v>
      </c>
      <c r="T305">
        <f t="shared" si="8"/>
        <v>68</v>
      </c>
      <c r="U305" t="str">
        <f t="shared" si="9"/>
        <v>Urbano</v>
      </c>
    </row>
    <row r="306" spans="1:21" ht="16" x14ac:dyDescent="0.4">
      <c r="A306" s="4">
        <v>120166</v>
      </c>
      <c r="B306" s="1" t="s">
        <v>20</v>
      </c>
      <c r="C306" s="1" t="s">
        <v>17</v>
      </c>
      <c r="D306" s="1">
        <v>289</v>
      </c>
      <c r="E306" s="1">
        <v>171</v>
      </c>
      <c r="F306" s="1">
        <v>283</v>
      </c>
      <c r="G306" s="1">
        <v>0</v>
      </c>
      <c r="H306" s="1">
        <v>9765</v>
      </c>
      <c r="I306" s="1">
        <v>3</v>
      </c>
      <c r="J306" s="1">
        <v>83</v>
      </c>
      <c r="K306" s="1">
        <v>226</v>
      </c>
      <c r="L306" s="1">
        <v>224</v>
      </c>
      <c r="M306" s="1">
        <v>9.2142857140000007</v>
      </c>
      <c r="N306">
        <f>VLOOKUP(A306,vlookup_table!$A:$G,2,FALSE)</f>
        <v>28</v>
      </c>
      <c r="O306" t="str">
        <f>VLOOKUP(A306,vlookup_table!$A:$G,3,FALSE)</f>
        <v>TX</v>
      </c>
      <c r="P306">
        <f>VLOOKUP(A306,vlookup_table!$A:$G,4,FALSE)</f>
        <v>2608</v>
      </c>
      <c r="Q306" t="str">
        <f>VLOOKUP(A306,vlookup_table!$A:$G,5,FALSE)</f>
        <v>R3</v>
      </c>
      <c r="R306" t="str">
        <f>VLOOKUP(A306,vlookup_table!$A:$G,6,FALSE)</f>
        <v>F</v>
      </c>
      <c r="S306">
        <f>VLOOKUP(A306,vlookup_table!$A:$G,7,FALSE)</f>
        <v>12</v>
      </c>
      <c r="T306">
        <f t="shared" si="8"/>
        <v>70</v>
      </c>
      <c r="U306" t="str">
        <f t="shared" si="9"/>
        <v>Rural</v>
      </c>
    </row>
    <row r="307" spans="1:21" ht="16" x14ac:dyDescent="0.4">
      <c r="A307" s="4">
        <v>156817</v>
      </c>
      <c r="B307" s="1" t="s">
        <v>21</v>
      </c>
      <c r="C307" s="1" t="s">
        <v>17</v>
      </c>
      <c r="D307" s="1">
        <v>1796</v>
      </c>
      <c r="E307" s="1">
        <v>266</v>
      </c>
      <c r="F307" s="1">
        <v>337</v>
      </c>
      <c r="G307" s="1">
        <v>33</v>
      </c>
      <c r="H307" s="1">
        <v>10720</v>
      </c>
      <c r="I307" s="1">
        <v>48</v>
      </c>
      <c r="J307" s="1">
        <v>32</v>
      </c>
      <c r="K307" s="1">
        <v>271</v>
      </c>
      <c r="L307" s="1">
        <v>334</v>
      </c>
      <c r="M307" s="1">
        <v>20</v>
      </c>
      <c r="N307">
        <f>VLOOKUP(A307,vlookup_table!$A:$G,2,FALSE)</f>
        <v>0</v>
      </c>
      <c r="O307" t="str">
        <f>VLOOKUP(A307,vlookup_table!$A:$G,3,FALSE)</f>
        <v>CA</v>
      </c>
      <c r="P307">
        <f>VLOOKUP(A307,vlookup_table!$A:$G,4,FALSE)</f>
        <v>0</v>
      </c>
      <c r="Q307" t="str">
        <f>VLOOKUP(A307,vlookup_table!$A:$G,5,FALSE)</f>
        <v>U2</v>
      </c>
      <c r="R307" t="str">
        <f>VLOOKUP(A307,vlookup_table!$A:$G,6,FALSE)</f>
        <v>F</v>
      </c>
      <c r="S307">
        <f>VLOOKUP(A307,vlookup_table!$A:$G,7,FALSE)</f>
        <v>20</v>
      </c>
      <c r="T307">
        <f t="shared" si="8"/>
        <v>96</v>
      </c>
      <c r="U307" t="str">
        <f t="shared" si="9"/>
        <v>Urbano</v>
      </c>
    </row>
    <row r="308" spans="1:21" ht="16" x14ac:dyDescent="0.4">
      <c r="A308" s="4">
        <v>35476</v>
      </c>
      <c r="B308" s="1" t="s">
        <v>13</v>
      </c>
      <c r="C308" s="1" t="s">
        <v>14</v>
      </c>
      <c r="D308" s="1">
        <v>625</v>
      </c>
      <c r="E308" s="1">
        <v>259</v>
      </c>
      <c r="F308" s="1">
        <v>309</v>
      </c>
      <c r="G308" s="1">
        <v>0</v>
      </c>
      <c r="H308" s="1">
        <v>11072</v>
      </c>
      <c r="I308" s="1">
        <v>17</v>
      </c>
      <c r="J308" s="1">
        <v>16</v>
      </c>
      <c r="K308" s="1">
        <v>282</v>
      </c>
      <c r="L308" s="1">
        <v>299</v>
      </c>
      <c r="M308" s="1">
        <v>17.14285714</v>
      </c>
      <c r="N308">
        <f>VLOOKUP(A308,vlookup_table!$A:$G,2,FALSE)</f>
        <v>1</v>
      </c>
      <c r="O308" t="str">
        <f>VLOOKUP(A308,vlookup_table!$A:$G,3,FALSE)</f>
        <v>FL</v>
      </c>
      <c r="P308">
        <f>VLOOKUP(A308,vlookup_table!$A:$G,4,FALSE)</f>
        <v>3609</v>
      </c>
      <c r="Q308" t="str">
        <f>VLOOKUP(A308,vlookup_table!$A:$G,5,FALSE)</f>
        <v>C3</v>
      </c>
      <c r="R308" t="str">
        <f>VLOOKUP(A308,vlookup_table!$A:$G,6,FALSE)</f>
        <v>M</v>
      </c>
      <c r="S308">
        <f>VLOOKUP(A308,vlookup_table!$A:$G,7,FALSE)</f>
        <v>25</v>
      </c>
      <c r="T308">
        <f t="shared" si="8"/>
        <v>60</v>
      </c>
      <c r="U308" t="str">
        <f t="shared" si="9"/>
        <v>Ciudad</v>
      </c>
    </row>
    <row r="309" spans="1:21" ht="16" x14ac:dyDescent="0.4">
      <c r="A309" s="4">
        <v>155382</v>
      </c>
      <c r="B309" s="1" t="s">
        <v>21</v>
      </c>
      <c r="C309" s="1" t="s">
        <v>17</v>
      </c>
      <c r="D309" s="1">
        <v>978</v>
      </c>
      <c r="E309" s="1">
        <v>290</v>
      </c>
      <c r="F309" s="1">
        <v>381</v>
      </c>
      <c r="G309" s="1">
        <v>6</v>
      </c>
      <c r="H309" s="1">
        <v>13490</v>
      </c>
      <c r="I309" s="1">
        <v>9</v>
      </c>
      <c r="J309" s="1">
        <v>50</v>
      </c>
      <c r="K309" s="1">
        <v>324</v>
      </c>
      <c r="L309" s="1">
        <v>349</v>
      </c>
      <c r="M309" s="1">
        <v>15.85</v>
      </c>
      <c r="N309">
        <f>VLOOKUP(A309,vlookup_table!$A:$G,2,FALSE)</f>
        <v>0</v>
      </c>
      <c r="O309" t="str">
        <f>VLOOKUP(A309,vlookup_table!$A:$G,3,FALSE)</f>
        <v>CA</v>
      </c>
      <c r="P309">
        <f>VLOOKUP(A309,vlookup_table!$A:$G,4,FALSE)</f>
        <v>3301</v>
      </c>
      <c r="Q309" t="str">
        <f>VLOOKUP(A309,vlookup_table!$A:$G,5,FALSE)</f>
        <v>U2</v>
      </c>
      <c r="R309" t="str">
        <f>VLOOKUP(A309,vlookup_table!$A:$G,6,FALSE)</f>
        <v>F</v>
      </c>
      <c r="S309">
        <f>VLOOKUP(A309,vlookup_table!$A:$G,7,FALSE)</f>
        <v>30</v>
      </c>
      <c r="T309">
        <f t="shared" si="8"/>
        <v>63</v>
      </c>
      <c r="U309" t="str">
        <f t="shared" si="9"/>
        <v>Urbano</v>
      </c>
    </row>
    <row r="310" spans="1:21" ht="16" x14ac:dyDescent="0.4">
      <c r="A310" s="4">
        <v>104049</v>
      </c>
      <c r="B310" s="1" t="s">
        <v>33</v>
      </c>
      <c r="C310" s="1" t="s">
        <v>14</v>
      </c>
      <c r="D310" s="1">
        <v>367</v>
      </c>
      <c r="E310" s="1">
        <v>159</v>
      </c>
      <c r="F310" s="1">
        <v>222</v>
      </c>
      <c r="G310" s="1">
        <v>0</v>
      </c>
      <c r="H310" s="1">
        <v>8893</v>
      </c>
      <c r="I310" s="1">
        <v>0</v>
      </c>
      <c r="J310" s="1">
        <v>63</v>
      </c>
      <c r="K310" s="1">
        <v>186</v>
      </c>
      <c r="L310" s="1">
        <v>193</v>
      </c>
      <c r="M310" s="1">
        <v>3.1666666669999999</v>
      </c>
      <c r="N310">
        <f>VLOOKUP(A310,vlookup_table!$A:$G,2,FALSE)</f>
        <v>0</v>
      </c>
      <c r="O310" t="str">
        <f>VLOOKUP(A310,vlookup_table!$A:$G,3,FALSE)</f>
        <v>MO</v>
      </c>
      <c r="P310">
        <f>VLOOKUP(A310,vlookup_table!$A:$G,4,FALSE)</f>
        <v>0</v>
      </c>
      <c r="Q310" t="str">
        <f>VLOOKUP(A310,vlookup_table!$A:$G,5,FALSE)</f>
        <v>R3</v>
      </c>
      <c r="R310" t="str">
        <f>VLOOKUP(A310,vlookup_table!$A:$G,6,FALSE)</f>
        <v>M</v>
      </c>
      <c r="S310">
        <f>VLOOKUP(A310,vlookup_table!$A:$G,7,FALSE)</f>
        <v>3</v>
      </c>
      <c r="T310">
        <f t="shared" si="8"/>
        <v>96</v>
      </c>
      <c r="U310" t="str">
        <f t="shared" si="9"/>
        <v>Rural</v>
      </c>
    </row>
    <row r="311" spans="1:21" ht="16" x14ac:dyDescent="0.4">
      <c r="A311" s="4">
        <v>112461</v>
      </c>
      <c r="B311" s="1" t="s">
        <v>29</v>
      </c>
      <c r="C311" s="1" t="s">
        <v>14</v>
      </c>
      <c r="D311" s="1">
        <v>376</v>
      </c>
      <c r="E311" s="1">
        <v>178</v>
      </c>
      <c r="F311" s="1">
        <v>256</v>
      </c>
      <c r="G311" s="1">
        <v>3</v>
      </c>
      <c r="H311" s="1">
        <v>8246</v>
      </c>
      <c r="I311" s="1">
        <v>0</v>
      </c>
      <c r="J311" s="1">
        <v>57</v>
      </c>
      <c r="K311" s="1">
        <v>195</v>
      </c>
      <c r="L311" s="1">
        <v>231</v>
      </c>
      <c r="M311" s="1">
        <v>9.4117647059999996</v>
      </c>
      <c r="N311">
        <f>VLOOKUP(A311,vlookup_table!$A:$G,2,FALSE)</f>
        <v>1</v>
      </c>
      <c r="O311" t="str">
        <f>VLOOKUP(A311,vlookup_table!$A:$G,3,FALSE)</f>
        <v>AR</v>
      </c>
      <c r="P311">
        <f>VLOOKUP(A311,vlookup_table!$A:$G,4,FALSE)</f>
        <v>2401</v>
      </c>
      <c r="Q311" t="str">
        <f>VLOOKUP(A311,vlookup_table!$A:$G,5,FALSE)</f>
        <v>R3</v>
      </c>
      <c r="R311" t="str">
        <f>VLOOKUP(A311,vlookup_table!$A:$G,6,FALSE)</f>
        <v>M</v>
      </c>
      <c r="S311">
        <f>VLOOKUP(A311,vlookup_table!$A:$G,7,FALSE)</f>
        <v>10</v>
      </c>
      <c r="T311">
        <f t="shared" si="8"/>
        <v>72</v>
      </c>
      <c r="U311" t="str">
        <f t="shared" si="9"/>
        <v>Rural</v>
      </c>
    </row>
    <row r="312" spans="1:21" ht="16" x14ac:dyDescent="0.4">
      <c r="A312" s="4">
        <v>79580</v>
      </c>
      <c r="B312" s="1" t="s">
        <v>32</v>
      </c>
      <c r="C312" s="1" t="s">
        <v>17</v>
      </c>
      <c r="D312" s="1">
        <v>937</v>
      </c>
      <c r="E312" s="1">
        <v>321</v>
      </c>
      <c r="F312" s="1">
        <v>545</v>
      </c>
      <c r="G312" s="1">
        <v>7</v>
      </c>
      <c r="H312" s="1">
        <v>18567</v>
      </c>
      <c r="I312" s="1">
        <v>13</v>
      </c>
      <c r="J312" s="1">
        <v>52</v>
      </c>
      <c r="K312" s="1">
        <v>441</v>
      </c>
      <c r="L312" s="1">
        <v>433</v>
      </c>
      <c r="M312" s="1">
        <v>15</v>
      </c>
      <c r="N312">
        <f>VLOOKUP(A312,vlookup_table!$A:$G,2,FALSE)</f>
        <v>2</v>
      </c>
      <c r="O312" t="str">
        <f>VLOOKUP(A312,vlookup_table!$A:$G,3,FALSE)</f>
        <v>WI</v>
      </c>
      <c r="P312">
        <f>VLOOKUP(A312,vlookup_table!$A:$G,4,FALSE)</f>
        <v>201</v>
      </c>
      <c r="Q312" t="str">
        <f>VLOOKUP(A312,vlookup_table!$A:$G,5,FALSE)</f>
        <v>U1</v>
      </c>
      <c r="R312" t="str">
        <f>VLOOKUP(A312,vlookup_table!$A:$G,6,FALSE)</f>
        <v>F</v>
      </c>
      <c r="S312">
        <f>VLOOKUP(A312,vlookup_table!$A:$G,7,FALSE)</f>
        <v>21</v>
      </c>
      <c r="T312">
        <f t="shared" si="8"/>
        <v>76</v>
      </c>
      <c r="U312" t="str">
        <f t="shared" si="9"/>
        <v>Urbano</v>
      </c>
    </row>
    <row r="313" spans="1:21" ht="16" x14ac:dyDescent="0.4">
      <c r="A313" s="4">
        <v>86528</v>
      </c>
      <c r="B313" s="1" t="s">
        <v>42</v>
      </c>
      <c r="C313" s="1" t="s">
        <v>17</v>
      </c>
      <c r="D313" s="1">
        <v>675</v>
      </c>
      <c r="E313" s="1">
        <v>272</v>
      </c>
      <c r="F313" s="1">
        <v>358</v>
      </c>
      <c r="G313" s="1">
        <v>1</v>
      </c>
      <c r="H313" s="1">
        <v>13135</v>
      </c>
      <c r="I313" s="1">
        <v>1</v>
      </c>
      <c r="J313" s="1">
        <v>81</v>
      </c>
      <c r="K313" s="1">
        <v>310</v>
      </c>
      <c r="L313" s="1">
        <v>301</v>
      </c>
      <c r="M313" s="1">
        <v>3.0833333330000001</v>
      </c>
      <c r="N313">
        <f>VLOOKUP(A313,vlookup_table!$A:$G,2,FALSE)</f>
        <v>2</v>
      </c>
      <c r="O313" t="str">
        <f>VLOOKUP(A313,vlookup_table!$A:$G,3,FALSE)</f>
        <v>ND</v>
      </c>
      <c r="P313">
        <f>VLOOKUP(A313,vlookup_table!$A:$G,4,FALSE)</f>
        <v>0</v>
      </c>
      <c r="Q313" t="str">
        <f>VLOOKUP(A313,vlookup_table!$A:$G,5,FALSE)</f>
        <v>T2</v>
      </c>
      <c r="R313" t="str">
        <f>VLOOKUP(A313,vlookup_table!$A:$G,6,FALSE)</f>
        <v>F</v>
      </c>
      <c r="S313">
        <f>VLOOKUP(A313,vlookup_table!$A:$G,7,FALSE)</f>
        <v>3</v>
      </c>
      <c r="T313">
        <f t="shared" si="8"/>
        <v>96</v>
      </c>
      <c r="U313" t="str">
        <f t="shared" si="9"/>
        <v>Pueblo</v>
      </c>
    </row>
    <row r="314" spans="1:21" ht="16" x14ac:dyDescent="0.4">
      <c r="A314" s="4">
        <v>107658</v>
      </c>
      <c r="B314" s="1" t="s">
        <v>55</v>
      </c>
      <c r="C314" s="1" t="s">
        <v>17</v>
      </c>
      <c r="D314" s="1">
        <v>232</v>
      </c>
      <c r="E314" s="1">
        <v>197</v>
      </c>
      <c r="F314" s="1">
        <v>280</v>
      </c>
      <c r="G314" s="1">
        <v>0</v>
      </c>
      <c r="H314" s="1">
        <v>9480</v>
      </c>
      <c r="I314" s="1">
        <v>1</v>
      </c>
      <c r="J314" s="1">
        <v>81</v>
      </c>
      <c r="K314" s="1">
        <v>259</v>
      </c>
      <c r="L314" s="1">
        <v>229</v>
      </c>
      <c r="M314" s="1">
        <v>6.9285714289999998</v>
      </c>
      <c r="N314">
        <f>VLOOKUP(A314,vlookup_table!$A:$G,2,FALSE)</f>
        <v>28</v>
      </c>
      <c r="O314" t="str">
        <f>VLOOKUP(A314,vlookup_table!$A:$G,3,FALSE)</f>
        <v>NE</v>
      </c>
      <c r="P314">
        <f>VLOOKUP(A314,vlookup_table!$A:$G,4,FALSE)</f>
        <v>0</v>
      </c>
      <c r="Q314" t="str">
        <f>VLOOKUP(A314,vlookup_table!$A:$G,5,FALSE)</f>
        <v>R2</v>
      </c>
      <c r="R314" t="str">
        <f>VLOOKUP(A314,vlookup_table!$A:$G,6,FALSE)</f>
        <v>F</v>
      </c>
      <c r="S314">
        <f>VLOOKUP(A314,vlookup_table!$A:$G,7,FALSE)</f>
        <v>10</v>
      </c>
      <c r="T314">
        <f t="shared" si="8"/>
        <v>96</v>
      </c>
      <c r="U314" t="str">
        <f t="shared" si="9"/>
        <v>Rural</v>
      </c>
    </row>
    <row r="315" spans="1:21" ht="16" x14ac:dyDescent="0.4">
      <c r="A315" s="4">
        <v>69537</v>
      </c>
      <c r="B315" s="1" t="s">
        <v>26</v>
      </c>
      <c r="C315" s="1" t="s">
        <v>17</v>
      </c>
      <c r="D315" s="1">
        <v>545</v>
      </c>
      <c r="E315" s="1">
        <v>364</v>
      </c>
      <c r="F315" s="1">
        <v>416</v>
      </c>
      <c r="G315" s="1">
        <v>0</v>
      </c>
      <c r="H315" s="1">
        <v>11401</v>
      </c>
      <c r="I315" s="1">
        <v>2</v>
      </c>
      <c r="J315" s="1">
        <v>89</v>
      </c>
      <c r="K315" s="1">
        <v>382</v>
      </c>
      <c r="L315" s="1">
        <v>400</v>
      </c>
      <c r="M315" s="1">
        <v>8.6</v>
      </c>
      <c r="N315">
        <f>VLOOKUP(A315,vlookup_table!$A:$G,2,FALSE)</f>
        <v>0</v>
      </c>
      <c r="O315" t="str">
        <f>VLOOKUP(A315,vlookup_table!$A:$G,3,FALSE)</f>
        <v>MI</v>
      </c>
      <c r="P315">
        <f>VLOOKUP(A315,vlookup_table!$A:$G,4,FALSE)</f>
        <v>2801</v>
      </c>
      <c r="Q315" t="str">
        <f>VLOOKUP(A315,vlookup_table!$A:$G,5,FALSE)</f>
        <v>R2</v>
      </c>
      <c r="R315" t="str">
        <f>VLOOKUP(A315,vlookup_table!$A:$G,6,FALSE)</f>
        <v>F</v>
      </c>
      <c r="S315">
        <f>VLOOKUP(A315,vlookup_table!$A:$G,7,FALSE)</f>
        <v>15</v>
      </c>
      <c r="T315">
        <f t="shared" si="8"/>
        <v>68</v>
      </c>
      <c r="U315" t="str">
        <f t="shared" si="9"/>
        <v>Rural</v>
      </c>
    </row>
    <row r="316" spans="1:21" ht="16" x14ac:dyDescent="0.4">
      <c r="A316" s="4">
        <v>81284</v>
      </c>
      <c r="B316" s="1" t="s">
        <v>32</v>
      </c>
      <c r="C316" s="1" t="s">
        <v>17</v>
      </c>
      <c r="D316" s="1">
        <v>458</v>
      </c>
      <c r="E316" s="1">
        <v>228</v>
      </c>
      <c r="F316" s="1">
        <v>318</v>
      </c>
      <c r="G316" s="1">
        <v>0</v>
      </c>
      <c r="H316" s="1">
        <v>10731</v>
      </c>
      <c r="I316" s="1">
        <v>4</v>
      </c>
      <c r="J316" s="1">
        <v>82</v>
      </c>
      <c r="K316" s="1">
        <v>270</v>
      </c>
      <c r="L316" s="1">
        <v>276</v>
      </c>
      <c r="M316" s="1">
        <v>13.4</v>
      </c>
      <c r="N316">
        <f>VLOOKUP(A316,vlookup_table!$A:$G,2,FALSE)</f>
        <v>2</v>
      </c>
      <c r="O316" t="str">
        <f>VLOOKUP(A316,vlookup_table!$A:$G,3,FALSE)</f>
        <v>WI</v>
      </c>
      <c r="P316">
        <f>VLOOKUP(A316,vlookup_table!$A:$G,4,FALSE)</f>
        <v>4308</v>
      </c>
      <c r="Q316" t="str">
        <f>VLOOKUP(A316,vlookup_table!$A:$G,5,FALSE)</f>
        <v>C2</v>
      </c>
      <c r="R316" t="str">
        <f>VLOOKUP(A316,vlookup_table!$A:$G,6,FALSE)</f>
        <v>F</v>
      </c>
      <c r="S316">
        <f>VLOOKUP(A316,vlookup_table!$A:$G,7,FALSE)</f>
        <v>25</v>
      </c>
      <c r="T316">
        <f t="shared" si="8"/>
        <v>53</v>
      </c>
      <c r="U316" t="str">
        <f t="shared" si="9"/>
        <v>Ciudad</v>
      </c>
    </row>
    <row r="317" spans="1:21" ht="16" x14ac:dyDescent="0.4">
      <c r="A317" s="4">
        <v>32475</v>
      </c>
      <c r="B317" s="1" t="s">
        <v>13</v>
      </c>
      <c r="C317" s="1" t="s">
        <v>14</v>
      </c>
      <c r="D317" s="1">
        <v>814</v>
      </c>
      <c r="E317" s="1">
        <v>271</v>
      </c>
      <c r="F317" s="1">
        <v>324</v>
      </c>
      <c r="G317" s="1">
        <v>3</v>
      </c>
      <c r="H317" s="1">
        <v>10488</v>
      </c>
      <c r="I317" s="1">
        <v>2</v>
      </c>
      <c r="J317" s="1">
        <v>52</v>
      </c>
      <c r="K317" s="1">
        <v>268</v>
      </c>
      <c r="L317" s="1">
        <v>312</v>
      </c>
      <c r="M317" s="1">
        <v>16.399999999999999</v>
      </c>
      <c r="N317">
        <f>VLOOKUP(A317,vlookup_table!$A:$G,2,FALSE)</f>
        <v>1</v>
      </c>
      <c r="O317" t="str">
        <f>VLOOKUP(A317,vlookup_table!$A:$G,3,FALSE)</f>
        <v>FL</v>
      </c>
      <c r="P317">
        <f>VLOOKUP(A317,vlookup_table!$A:$G,4,FALSE)</f>
        <v>0</v>
      </c>
      <c r="Q317" t="str">
        <f>VLOOKUP(A317,vlookup_table!$A:$G,5,FALSE)</f>
        <v>T2</v>
      </c>
      <c r="R317" t="str">
        <f>VLOOKUP(A317,vlookup_table!$A:$G,6,FALSE)</f>
        <v>M</v>
      </c>
      <c r="S317">
        <f>VLOOKUP(A317,vlookup_table!$A:$G,7,FALSE)</f>
        <v>20</v>
      </c>
      <c r="T317">
        <f t="shared" si="8"/>
        <v>96</v>
      </c>
      <c r="U317" t="str">
        <f t="shared" si="9"/>
        <v>Pueblo</v>
      </c>
    </row>
    <row r="318" spans="1:21" ht="16" x14ac:dyDescent="0.4">
      <c r="A318" s="4">
        <v>104505</v>
      </c>
      <c r="B318" s="1" t="s">
        <v>25</v>
      </c>
      <c r="C318" s="1" t="s">
        <v>17</v>
      </c>
      <c r="D318" s="1">
        <v>671</v>
      </c>
      <c r="E318" s="1">
        <v>320</v>
      </c>
      <c r="F318" s="1">
        <v>376</v>
      </c>
      <c r="G318" s="1">
        <v>0</v>
      </c>
      <c r="H318" s="1">
        <v>12950</v>
      </c>
      <c r="I318" s="1">
        <v>0</v>
      </c>
      <c r="J318" s="1">
        <v>57</v>
      </c>
      <c r="K318" s="1">
        <v>340</v>
      </c>
      <c r="L318" s="1">
        <v>349</v>
      </c>
      <c r="M318" s="1">
        <v>10</v>
      </c>
      <c r="N318">
        <f>VLOOKUP(A318,vlookup_table!$A:$G,2,FALSE)</f>
        <v>2</v>
      </c>
      <c r="O318" t="str">
        <f>VLOOKUP(A318,vlookup_table!$A:$G,3,FALSE)</f>
        <v>KS</v>
      </c>
      <c r="P318">
        <f>VLOOKUP(A318,vlookup_table!$A:$G,4,FALSE)</f>
        <v>3801</v>
      </c>
      <c r="Q318" t="str">
        <f>VLOOKUP(A318,vlookup_table!$A:$G,5,FALSE)</f>
        <v>R2</v>
      </c>
      <c r="R318" t="str">
        <f>VLOOKUP(A318,vlookup_table!$A:$G,6,FALSE)</f>
        <v>F</v>
      </c>
      <c r="S318">
        <f>VLOOKUP(A318,vlookup_table!$A:$G,7,FALSE)</f>
        <v>25</v>
      </c>
      <c r="T318">
        <f t="shared" si="8"/>
        <v>58</v>
      </c>
      <c r="U318" t="str">
        <f t="shared" si="9"/>
        <v>Rural</v>
      </c>
    </row>
    <row r="319" spans="1:21" ht="16" x14ac:dyDescent="0.4">
      <c r="A319" s="4">
        <v>13483</v>
      </c>
      <c r="B319" s="1" t="s">
        <v>32</v>
      </c>
      <c r="C319" s="1" t="s">
        <v>17</v>
      </c>
      <c r="D319" s="1">
        <v>452</v>
      </c>
      <c r="E319" s="1">
        <v>293</v>
      </c>
      <c r="F319" s="1">
        <v>371</v>
      </c>
      <c r="G319" s="1">
        <v>0</v>
      </c>
      <c r="H319" s="1">
        <v>10979</v>
      </c>
      <c r="I319" s="1">
        <v>0</v>
      </c>
      <c r="J319" s="1">
        <v>91</v>
      </c>
      <c r="K319" s="1">
        <v>316</v>
      </c>
      <c r="L319" s="1">
        <v>339</v>
      </c>
      <c r="M319" s="1">
        <v>6.34</v>
      </c>
      <c r="N319">
        <f>VLOOKUP(A319,vlookup_table!$A:$G,2,FALSE)</f>
        <v>0</v>
      </c>
      <c r="O319" t="str">
        <f>VLOOKUP(A319,vlookup_table!$A:$G,3,FALSE)</f>
        <v>WI</v>
      </c>
      <c r="P319">
        <f>VLOOKUP(A319,vlookup_table!$A:$G,4,FALSE)</f>
        <v>0</v>
      </c>
      <c r="Q319" t="str">
        <f>VLOOKUP(A319,vlookup_table!$A:$G,5,FALSE)</f>
        <v>R3</v>
      </c>
      <c r="R319" t="str">
        <f>VLOOKUP(A319,vlookup_table!$A:$G,6,FALSE)</f>
        <v>F</v>
      </c>
      <c r="S319">
        <f>VLOOKUP(A319,vlookup_table!$A:$G,7,FALSE)</f>
        <v>17</v>
      </c>
      <c r="T319">
        <f t="shared" si="8"/>
        <v>96</v>
      </c>
      <c r="U319" t="str">
        <f t="shared" si="9"/>
        <v>Rural</v>
      </c>
    </row>
    <row r="320" spans="1:21" ht="16" x14ac:dyDescent="0.4">
      <c r="A320" s="4">
        <v>1042</v>
      </c>
      <c r="B320" s="1" t="s">
        <v>47</v>
      </c>
      <c r="C320" s="1" t="s">
        <v>14</v>
      </c>
      <c r="D320" s="1">
        <v>826</v>
      </c>
      <c r="E320" s="1">
        <v>314</v>
      </c>
      <c r="F320" s="1">
        <v>426</v>
      </c>
      <c r="G320" s="1">
        <v>7</v>
      </c>
      <c r="H320" s="1">
        <v>14958</v>
      </c>
      <c r="I320" s="1">
        <v>3</v>
      </c>
      <c r="J320" s="1">
        <v>34</v>
      </c>
      <c r="K320" s="1">
        <v>348</v>
      </c>
      <c r="L320" s="1">
        <v>390</v>
      </c>
      <c r="M320" s="1">
        <v>9.1875</v>
      </c>
      <c r="N320">
        <f>VLOOKUP(A320,vlookup_table!$A:$G,2,FALSE)</f>
        <v>1</v>
      </c>
      <c r="O320" t="str">
        <f>VLOOKUP(A320,vlookup_table!$A:$G,3,FALSE)</f>
        <v>OR</v>
      </c>
      <c r="P320">
        <f>VLOOKUP(A320,vlookup_table!$A:$G,4,FALSE)</f>
        <v>810</v>
      </c>
      <c r="Q320" t="str">
        <f>VLOOKUP(A320,vlookup_table!$A:$G,5,FALSE)</f>
        <v>T1</v>
      </c>
      <c r="R320" t="str">
        <f>VLOOKUP(A320,vlookup_table!$A:$G,6,FALSE)</f>
        <v>M</v>
      </c>
      <c r="S320">
        <f>VLOOKUP(A320,vlookup_table!$A:$G,7,FALSE)</f>
        <v>8</v>
      </c>
      <c r="T320">
        <f t="shared" si="8"/>
        <v>15</v>
      </c>
      <c r="U320" t="str">
        <f t="shared" si="9"/>
        <v>Pueblo</v>
      </c>
    </row>
    <row r="321" spans="1:21" ht="16" x14ac:dyDescent="0.4">
      <c r="A321" s="4">
        <v>28337</v>
      </c>
      <c r="B321" s="1" t="s">
        <v>36</v>
      </c>
      <c r="C321" s="1" t="s">
        <v>14</v>
      </c>
      <c r="D321" s="1">
        <v>860</v>
      </c>
      <c r="E321" s="1">
        <v>324</v>
      </c>
      <c r="F321" s="1">
        <v>375</v>
      </c>
      <c r="G321" s="1">
        <v>0</v>
      </c>
      <c r="H321" s="1">
        <v>15491</v>
      </c>
      <c r="I321" s="1">
        <v>15</v>
      </c>
      <c r="J321" s="1">
        <v>35</v>
      </c>
      <c r="K321" s="1">
        <v>351</v>
      </c>
      <c r="L321" s="1">
        <v>346</v>
      </c>
      <c r="M321" s="1">
        <v>11.33333333</v>
      </c>
      <c r="N321">
        <f>VLOOKUP(A321,vlookup_table!$A:$G,2,FALSE)</f>
        <v>1</v>
      </c>
      <c r="O321" t="str">
        <f>VLOOKUP(A321,vlookup_table!$A:$G,3,FALSE)</f>
        <v>GA</v>
      </c>
      <c r="P321">
        <f>VLOOKUP(A321,vlookup_table!$A:$G,4,FALSE)</f>
        <v>2801</v>
      </c>
      <c r="Q321" t="str">
        <f>VLOOKUP(A321,vlookup_table!$A:$G,5,FALSE)</f>
        <v>S2</v>
      </c>
      <c r="R321" t="str">
        <f>VLOOKUP(A321,vlookup_table!$A:$G,6,FALSE)</f>
        <v>M</v>
      </c>
      <c r="S321">
        <f>VLOOKUP(A321,vlookup_table!$A:$G,7,FALSE)</f>
        <v>20</v>
      </c>
      <c r="T321">
        <f t="shared" si="8"/>
        <v>68</v>
      </c>
      <c r="U321" t="str">
        <f t="shared" si="9"/>
        <v>Suburbano</v>
      </c>
    </row>
    <row r="322" spans="1:21" ht="16" x14ac:dyDescent="0.4">
      <c r="A322" s="4">
        <v>67808</v>
      </c>
      <c r="B322" s="1" t="s">
        <v>26</v>
      </c>
      <c r="C322" s="1" t="s">
        <v>17</v>
      </c>
      <c r="D322" s="1">
        <v>185</v>
      </c>
      <c r="E322" s="1">
        <v>277</v>
      </c>
      <c r="F322" s="1">
        <v>286</v>
      </c>
      <c r="G322" s="1">
        <v>0</v>
      </c>
      <c r="H322" s="1">
        <v>10788</v>
      </c>
      <c r="I322" s="1">
        <v>8</v>
      </c>
      <c r="J322" s="1">
        <v>63</v>
      </c>
      <c r="K322" s="1">
        <v>283</v>
      </c>
      <c r="L322" s="1">
        <v>312</v>
      </c>
      <c r="M322" s="1">
        <v>8.7878787880000004</v>
      </c>
      <c r="N322">
        <f>VLOOKUP(A322,vlookup_table!$A:$G,2,FALSE)</f>
        <v>0</v>
      </c>
      <c r="O322" t="str">
        <f>VLOOKUP(A322,vlookup_table!$A:$G,3,FALSE)</f>
        <v>MI</v>
      </c>
      <c r="P322">
        <f>VLOOKUP(A322,vlookup_table!$A:$G,4,FALSE)</f>
        <v>2207</v>
      </c>
      <c r="Q322" t="str">
        <f>VLOOKUP(A322,vlookup_table!$A:$G,5,FALSE)</f>
        <v>U4</v>
      </c>
      <c r="R322" t="str">
        <f>VLOOKUP(A322,vlookup_table!$A:$G,6,FALSE)</f>
        <v>F</v>
      </c>
      <c r="S322">
        <f>VLOOKUP(A322,vlookup_table!$A:$G,7,FALSE)</f>
        <v>10</v>
      </c>
      <c r="T322">
        <f t="shared" si="8"/>
        <v>74</v>
      </c>
      <c r="U322" t="str">
        <f t="shared" si="9"/>
        <v>Urbano</v>
      </c>
    </row>
    <row r="323" spans="1:21" ht="16" x14ac:dyDescent="0.4">
      <c r="A323" s="4">
        <v>35017</v>
      </c>
      <c r="B323" s="1" t="s">
        <v>13</v>
      </c>
      <c r="C323" s="1" t="s">
        <v>14</v>
      </c>
      <c r="D323" s="1">
        <v>576</v>
      </c>
      <c r="E323" s="1">
        <v>200</v>
      </c>
      <c r="F323" s="1">
        <v>324</v>
      </c>
      <c r="G323" s="1">
        <v>0</v>
      </c>
      <c r="H323" s="1">
        <v>12518</v>
      </c>
      <c r="I323" s="1">
        <v>8</v>
      </c>
      <c r="J323" s="1">
        <v>12</v>
      </c>
      <c r="K323" s="1">
        <v>280</v>
      </c>
      <c r="L323" s="1">
        <v>244</v>
      </c>
      <c r="M323" s="1">
        <v>12.90909091</v>
      </c>
      <c r="N323">
        <f>VLOOKUP(A323,vlookup_table!$A:$G,2,FALSE)</f>
        <v>2</v>
      </c>
      <c r="O323" t="str">
        <f>VLOOKUP(A323,vlookup_table!$A:$G,3,FALSE)</f>
        <v>FL</v>
      </c>
      <c r="P323">
        <f>VLOOKUP(A323,vlookup_table!$A:$G,4,FALSE)</f>
        <v>2101</v>
      </c>
      <c r="Q323" t="str">
        <f>VLOOKUP(A323,vlookup_table!$A:$G,5,FALSE)</f>
        <v>T2</v>
      </c>
      <c r="R323" t="str">
        <f>VLOOKUP(A323,vlookup_table!$A:$G,6,FALSE)</f>
        <v>M</v>
      </c>
      <c r="S323">
        <f>VLOOKUP(A323,vlookup_table!$A:$G,7,FALSE)</f>
        <v>10</v>
      </c>
      <c r="T323">
        <f t="shared" ref="T323:T386" si="10">97-LEFT(P323,2)-IF(RIGHT(P323,2)&gt;6,1,0)</f>
        <v>75</v>
      </c>
      <c r="U323" t="str">
        <f t="shared" ref="U323:U386" si="11">IF(LEFT(Q323,1)="C","Ciudad",IF(LEFT(Q323,1)="T","Pueblo",IF(LEFT(Q323,1)="R","Rural",IF(LEFT(Q323,1)="S","Suburbano",IF(LEFT(Q323,1)="U","Urbano","")))))</f>
        <v>Pueblo</v>
      </c>
    </row>
    <row r="324" spans="1:21" ht="16" x14ac:dyDescent="0.4">
      <c r="A324" s="4">
        <v>10973</v>
      </c>
      <c r="B324" s="1" t="s">
        <v>21</v>
      </c>
      <c r="C324" s="1" t="s">
        <v>14</v>
      </c>
      <c r="D324" s="1">
        <v>2431</v>
      </c>
      <c r="E324" s="1">
        <v>563</v>
      </c>
      <c r="F324" s="1">
        <v>660</v>
      </c>
      <c r="G324" s="1">
        <v>75</v>
      </c>
      <c r="H324" s="1">
        <v>24290</v>
      </c>
      <c r="I324" s="1">
        <v>8</v>
      </c>
      <c r="J324" s="1">
        <v>59</v>
      </c>
      <c r="K324" s="1">
        <v>579</v>
      </c>
      <c r="L324" s="1">
        <v>655</v>
      </c>
      <c r="M324" s="1">
        <v>10.89473684</v>
      </c>
      <c r="N324">
        <f>VLOOKUP(A324,vlookup_table!$A:$G,2,FALSE)</f>
        <v>1</v>
      </c>
      <c r="O324" t="str">
        <f>VLOOKUP(A324,vlookup_table!$A:$G,3,FALSE)</f>
        <v>CA</v>
      </c>
      <c r="P324">
        <f>VLOOKUP(A324,vlookup_table!$A:$G,4,FALSE)</f>
        <v>2305</v>
      </c>
      <c r="Q324" t="str">
        <f>VLOOKUP(A324,vlookup_table!$A:$G,5,FALSE)</f>
        <v>T1</v>
      </c>
      <c r="R324" t="str">
        <f>VLOOKUP(A324,vlookup_table!$A:$G,6,FALSE)</f>
        <v>M</v>
      </c>
      <c r="S324">
        <f>VLOOKUP(A324,vlookup_table!$A:$G,7,FALSE)</f>
        <v>12</v>
      </c>
      <c r="T324">
        <f t="shared" si="10"/>
        <v>73</v>
      </c>
      <c r="U324" t="str">
        <f t="shared" si="11"/>
        <v>Pueblo</v>
      </c>
    </row>
    <row r="325" spans="1:21" ht="16" x14ac:dyDescent="0.4">
      <c r="A325" s="4">
        <v>67030</v>
      </c>
      <c r="B325" s="1" t="s">
        <v>26</v>
      </c>
      <c r="C325" s="1" t="s">
        <v>14</v>
      </c>
      <c r="D325" s="1">
        <v>388</v>
      </c>
      <c r="E325" s="1">
        <v>364</v>
      </c>
      <c r="F325" s="1">
        <v>433</v>
      </c>
      <c r="G325" s="1">
        <v>0</v>
      </c>
      <c r="H325" s="1">
        <v>12601</v>
      </c>
      <c r="I325" s="1">
        <v>2</v>
      </c>
      <c r="J325" s="1">
        <v>70</v>
      </c>
      <c r="K325" s="1">
        <v>410</v>
      </c>
      <c r="L325" s="1">
        <v>413</v>
      </c>
      <c r="M325" s="1">
        <v>33.333333330000002</v>
      </c>
      <c r="N325">
        <f>VLOOKUP(A325,vlookup_table!$A:$G,2,FALSE)</f>
        <v>1</v>
      </c>
      <c r="O325" t="str">
        <f>VLOOKUP(A325,vlookup_table!$A:$G,3,FALSE)</f>
        <v>MI</v>
      </c>
      <c r="P325">
        <f>VLOOKUP(A325,vlookup_table!$A:$G,4,FALSE)</f>
        <v>0</v>
      </c>
      <c r="Q325" t="str">
        <f>VLOOKUP(A325,vlookup_table!$A:$G,5,FALSE)</f>
        <v>S3</v>
      </c>
      <c r="R325" t="str">
        <f>VLOOKUP(A325,vlookup_table!$A:$G,6,FALSE)</f>
        <v>M</v>
      </c>
      <c r="S325">
        <f>VLOOKUP(A325,vlookup_table!$A:$G,7,FALSE)</f>
        <v>50</v>
      </c>
      <c r="T325">
        <f t="shared" si="10"/>
        <v>96</v>
      </c>
      <c r="U325" t="str">
        <f t="shared" si="11"/>
        <v>Suburbano</v>
      </c>
    </row>
    <row r="326" spans="1:21" ht="16" x14ac:dyDescent="0.4">
      <c r="A326" s="4">
        <v>122279</v>
      </c>
      <c r="B326" s="1" t="s">
        <v>20</v>
      </c>
      <c r="C326" s="1" t="s">
        <v>17</v>
      </c>
      <c r="D326" s="1">
        <v>1680</v>
      </c>
      <c r="E326" s="1">
        <v>884</v>
      </c>
      <c r="F326" s="1">
        <v>935</v>
      </c>
      <c r="G326" s="1">
        <v>20</v>
      </c>
      <c r="H326" s="1">
        <v>27875</v>
      </c>
      <c r="I326" s="1">
        <v>7</v>
      </c>
      <c r="J326" s="1">
        <v>36</v>
      </c>
      <c r="K326" s="1">
        <v>878</v>
      </c>
      <c r="L326" s="1">
        <v>943</v>
      </c>
      <c r="M326" s="1">
        <v>5.076923077</v>
      </c>
      <c r="N326">
        <f>VLOOKUP(A326,vlookup_table!$A:$G,2,FALSE)</f>
        <v>2</v>
      </c>
      <c r="O326" t="str">
        <f>VLOOKUP(A326,vlookup_table!$A:$G,3,FALSE)</f>
        <v>TX</v>
      </c>
      <c r="P326">
        <f>VLOOKUP(A326,vlookup_table!$A:$G,4,FALSE)</f>
        <v>4903</v>
      </c>
      <c r="Q326" t="str">
        <f>VLOOKUP(A326,vlookup_table!$A:$G,5,FALSE)</f>
        <v>U4</v>
      </c>
      <c r="R326" t="str">
        <f>VLOOKUP(A326,vlookup_table!$A:$G,6,FALSE)</f>
        <v>F</v>
      </c>
      <c r="S326">
        <f>VLOOKUP(A326,vlookup_table!$A:$G,7,FALSE)</f>
        <v>5</v>
      </c>
      <c r="T326">
        <f t="shared" si="10"/>
        <v>47</v>
      </c>
      <c r="U326" t="str">
        <f t="shared" si="11"/>
        <v>Urbano</v>
      </c>
    </row>
    <row r="327" spans="1:21" ht="16" x14ac:dyDescent="0.4">
      <c r="A327" s="4">
        <v>18802</v>
      </c>
      <c r="B327" s="1" t="s">
        <v>18</v>
      </c>
      <c r="C327" s="1" t="s">
        <v>14</v>
      </c>
      <c r="D327" s="1">
        <v>1128</v>
      </c>
      <c r="E327" s="1">
        <v>409</v>
      </c>
      <c r="F327" s="1">
        <v>481</v>
      </c>
      <c r="G327" s="1">
        <v>3</v>
      </c>
      <c r="H327" s="1">
        <v>15936</v>
      </c>
      <c r="I327" s="1">
        <v>2</v>
      </c>
      <c r="J327" s="1">
        <v>67</v>
      </c>
      <c r="K327" s="1">
        <v>467</v>
      </c>
      <c r="L327" s="1">
        <v>442</v>
      </c>
      <c r="M327" s="1">
        <v>14.5</v>
      </c>
      <c r="N327">
        <f>VLOOKUP(A327,vlookup_table!$A:$G,2,FALSE)</f>
        <v>1</v>
      </c>
      <c r="O327" t="str">
        <f>VLOOKUP(A327,vlookup_table!$A:$G,3,FALSE)</f>
        <v>NC</v>
      </c>
      <c r="P327">
        <f>VLOOKUP(A327,vlookup_table!$A:$G,4,FALSE)</f>
        <v>5101</v>
      </c>
      <c r="Q327" t="str">
        <f>VLOOKUP(A327,vlookup_table!$A:$G,5,FALSE)</f>
        <v>T2</v>
      </c>
      <c r="R327" t="str">
        <f>VLOOKUP(A327,vlookup_table!$A:$G,6,FALSE)</f>
        <v>M</v>
      </c>
      <c r="S327">
        <f>VLOOKUP(A327,vlookup_table!$A:$G,7,FALSE)</f>
        <v>20</v>
      </c>
      <c r="T327">
        <f t="shared" si="10"/>
        <v>45</v>
      </c>
      <c r="U327" t="str">
        <f t="shared" si="11"/>
        <v>Pueblo</v>
      </c>
    </row>
    <row r="328" spans="1:21" ht="16" x14ac:dyDescent="0.4">
      <c r="A328" s="4">
        <v>90092</v>
      </c>
      <c r="B328" s="1" t="s">
        <v>16</v>
      </c>
      <c r="C328" s="1" t="s">
        <v>17</v>
      </c>
      <c r="D328" s="1">
        <v>916</v>
      </c>
      <c r="E328" s="1">
        <v>434</v>
      </c>
      <c r="F328" s="1">
        <v>457</v>
      </c>
      <c r="G328" s="1">
        <v>0</v>
      </c>
      <c r="H328" s="1">
        <v>12450</v>
      </c>
      <c r="I328" s="1">
        <v>7</v>
      </c>
      <c r="J328" s="1">
        <v>82</v>
      </c>
      <c r="K328" s="1">
        <v>421</v>
      </c>
      <c r="L328" s="1">
        <v>458</v>
      </c>
      <c r="M328" s="1">
        <v>18.46153846</v>
      </c>
      <c r="N328">
        <f>VLOOKUP(A328,vlookup_table!$A:$G,2,FALSE)</f>
        <v>2</v>
      </c>
      <c r="O328" t="str">
        <f>VLOOKUP(A328,vlookup_table!$A:$G,3,FALSE)</f>
        <v>IL</v>
      </c>
      <c r="P328">
        <f>VLOOKUP(A328,vlookup_table!$A:$G,4,FALSE)</f>
        <v>3905</v>
      </c>
      <c r="Q328" t="str">
        <f>VLOOKUP(A328,vlookup_table!$A:$G,5,FALSE)</f>
        <v>S2</v>
      </c>
      <c r="R328" t="str">
        <f>VLOOKUP(A328,vlookup_table!$A:$G,6,FALSE)</f>
        <v>F</v>
      </c>
      <c r="S328">
        <f>VLOOKUP(A328,vlookup_table!$A:$G,7,FALSE)</f>
        <v>10</v>
      </c>
      <c r="T328">
        <f t="shared" si="10"/>
        <v>57</v>
      </c>
      <c r="U328" t="str">
        <f t="shared" si="11"/>
        <v>Suburbano</v>
      </c>
    </row>
    <row r="329" spans="1:21" ht="16" x14ac:dyDescent="0.4">
      <c r="A329" s="4">
        <v>98821</v>
      </c>
      <c r="B329" s="1" t="s">
        <v>16</v>
      </c>
      <c r="C329" s="1" t="s">
        <v>17</v>
      </c>
      <c r="D329" s="1">
        <v>340</v>
      </c>
      <c r="E329" s="1">
        <v>185</v>
      </c>
      <c r="F329" s="1">
        <v>275</v>
      </c>
      <c r="G329" s="1">
        <v>0</v>
      </c>
      <c r="H329" s="1">
        <v>10719</v>
      </c>
      <c r="I329" s="1">
        <v>3</v>
      </c>
      <c r="J329" s="1">
        <v>78</v>
      </c>
      <c r="K329" s="1">
        <v>228</v>
      </c>
      <c r="L329" s="1">
        <v>235</v>
      </c>
      <c r="M329" s="1">
        <v>9</v>
      </c>
      <c r="N329">
        <f>VLOOKUP(A329,vlookup_table!$A:$G,2,FALSE)</f>
        <v>0</v>
      </c>
      <c r="O329" t="str">
        <f>VLOOKUP(A329,vlookup_table!$A:$G,3,FALSE)</f>
        <v>IL</v>
      </c>
      <c r="P329">
        <f>VLOOKUP(A329,vlookup_table!$A:$G,4,FALSE)</f>
        <v>2601</v>
      </c>
      <c r="Q329" t="str">
        <f>VLOOKUP(A329,vlookup_table!$A:$G,5,FALSE)</f>
        <v>T2</v>
      </c>
      <c r="R329" t="str">
        <f>VLOOKUP(A329,vlookup_table!$A:$G,6,FALSE)</f>
        <v>F</v>
      </c>
      <c r="S329">
        <f>VLOOKUP(A329,vlookup_table!$A:$G,7,FALSE)</f>
        <v>10</v>
      </c>
      <c r="T329">
        <f t="shared" si="10"/>
        <v>70</v>
      </c>
      <c r="U329" t="str">
        <f t="shared" si="11"/>
        <v>Pueblo</v>
      </c>
    </row>
    <row r="330" spans="1:21" ht="16" x14ac:dyDescent="0.4">
      <c r="A330" s="4">
        <v>116186</v>
      </c>
      <c r="B330" s="1" t="s">
        <v>20</v>
      </c>
      <c r="C330" s="1" t="s">
        <v>14</v>
      </c>
      <c r="D330" s="1">
        <v>711</v>
      </c>
      <c r="E330" s="1">
        <v>322</v>
      </c>
      <c r="F330" s="1">
        <v>378</v>
      </c>
      <c r="G330" s="1">
        <v>1</v>
      </c>
      <c r="H330" s="1">
        <v>12630</v>
      </c>
      <c r="I330" s="1">
        <v>1</v>
      </c>
      <c r="J330" s="1">
        <v>76</v>
      </c>
      <c r="K330" s="1">
        <v>353</v>
      </c>
      <c r="L330" s="1">
        <v>360</v>
      </c>
      <c r="M330" s="1">
        <v>11.95454546</v>
      </c>
      <c r="N330">
        <f>VLOOKUP(A330,vlookup_table!$A:$G,2,FALSE)</f>
        <v>1</v>
      </c>
      <c r="O330" t="str">
        <f>VLOOKUP(A330,vlookup_table!$A:$G,3,FALSE)</f>
        <v>TX</v>
      </c>
      <c r="P330">
        <f>VLOOKUP(A330,vlookup_table!$A:$G,4,FALSE)</f>
        <v>4212</v>
      </c>
      <c r="Q330" t="str">
        <f>VLOOKUP(A330,vlookup_table!$A:$G,5,FALSE)</f>
        <v>R2</v>
      </c>
      <c r="R330" t="str">
        <f>VLOOKUP(A330,vlookup_table!$A:$G,6,FALSE)</f>
        <v>M</v>
      </c>
      <c r="S330">
        <f>VLOOKUP(A330,vlookup_table!$A:$G,7,FALSE)</f>
        <v>10</v>
      </c>
      <c r="T330">
        <f t="shared" si="10"/>
        <v>54</v>
      </c>
      <c r="U330" t="str">
        <f t="shared" si="11"/>
        <v>Rural</v>
      </c>
    </row>
    <row r="331" spans="1:21" ht="16" x14ac:dyDescent="0.4">
      <c r="A331" s="4">
        <v>18359</v>
      </c>
      <c r="B331" s="1" t="s">
        <v>18</v>
      </c>
      <c r="C331" s="1" t="s">
        <v>97</v>
      </c>
      <c r="D331" s="1">
        <v>412</v>
      </c>
      <c r="E331" s="1">
        <v>215</v>
      </c>
      <c r="F331" s="1">
        <v>315</v>
      </c>
      <c r="G331" s="1">
        <v>0</v>
      </c>
      <c r="H331" s="1">
        <v>9706</v>
      </c>
      <c r="I331" s="1">
        <v>0</v>
      </c>
      <c r="J331" s="1">
        <v>94</v>
      </c>
      <c r="K331" s="1">
        <v>259</v>
      </c>
      <c r="L331" s="1">
        <v>271</v>
      </c>
      <c r="M331" s="1">
        <v>6.4444444440000002</v>
      </c>
      <c r="N331">
        <f>VLOOKUP(A331,vlookup_table!$A:$G,2,FALSE)</f>
        <v>28</v>
      </c>
      <c r="O331" t="str">
        <f>VLOOKUP(A331,vlookup_table!$A:$G,3,FALSE)</f>
        <v>NC</v>
      </c>
      <c r="P331">
        <f>VLOOKUP(A331,vlookup_table!$A:$G,4,FALSE)</f>
        <v>0</v>
      </c>
      <c r="Q331" t="str">
        <f>VLOOKUP(A331,vlookup_table!$A:$G,5,FALSE)</f>
        <v>R3</v>
      </c>
      <c r="R331" t="str">
        <f>VLOOKUP(A331,vlookup_table!$A:$G,6,FALSE)</f>
        <v>F</v>
      </c>
      <c r="S331">
        <f>VLOOKUP(A331,vlookup_table!$A:$G,7,FALSE)</f>
        <v>10</v>
      </c>
      <c r="T331">
        <f t="shared" si="10"/>
        <v>96</v>
      </c>
      <c r="U331" t="str">
        <f t="shared" si="11"/>
        <v>Rural</v>
      </c>
    </row>
    <row r="332" spans="1:21" ht="16" x14ac:dyDescent="0.4">
      <c r="A332" s="4">
        <v>128970</v>
      </c>
      <c r="B332" s="1" t="s">
        <v>20</v>
      </c>
      <c r="C332" s="1" t="s">
        <v>17</v>
      </c>
      <c r="D332" s="1">
        <v>893</v>
      </c>
      <c r="E332" s="1">
        <v>443</v>
      </c>
      <c r="F332" s="1">
        <v>527</v>
      </c>
      <c r="G332" s="1">
        <v>2</v>
      </c>
      <c r="H332" s="1">
        <v>17519</v>
      </c>
      <c r="I332" s="1">
        <v>6</v>
      </c>
      <c r="J332" s="1">
        <v>57</v>
      </c>
      <c r="K332" s="1">
        <v>463</v>
      </c>
      <c r="L332" s="1">
        <v>508</v>
      </c>
      <c r="M332" s="1">
        <v>9.25</v>
      </c>
      <c r="N332">
        <f>VLOOKUP(A332,vlookup_table!$A:$G,2,FALSE)</f>
        <v>28</v>
      </c>
      <c r="O332" t="str">
        <f>VLOOKUP(A332,vlookup_table!$A:$G,3,FALSE)</f>
        <v>TX</v>
      </c>
      <c r="P332">
        <f>VLOOKUP(A332,vlookup_table!$A:$G,4,FALSE)</f>
        <v>0</v>
      </c>
      <c r="Q332" t="str">
        <f>VLOOKUP(A332,vlookup_table!$A:$G,5,FALSE)</f>
        <v>S1</v>
      </c>
      <c r="R332" t="str">
        <f>VLOOKUP(A332,vlookup_table!$A:$G,6,FALSE)</f>
        <v>F</v>
      </c>
      <c r="S332">
        <f>VLOOKUP(A332,vlookup_table!$A:$G,7,FALSE)</f>
        <v>14</v>
      </c>
      <c r="T332">
        <f t="shared" si="10"/>
        <v>96</v>
      </c>
      <c r="U332" t="str">
        <f t="shared" si="11"/>
        <v>Suburbano</v>
      </c>
    </row>
    <row r="333" spans="1:21" ht="16" x14ac:dyDescent="0.4">
      <c r="A333" s="4">
        <v>172635</v>
      </c>
      <c r="B333" s="1" t="s">
        <v>21</v>
      </c>
      <c r="C333" s="1" t="s">
        <v>14</v>
      </c>
      <c r="D333" s="1">
        <v>644</v>
      </c>
      <c r="E333" s="1">
        <v>191</v>
      </c>
      <c r="F333" s="1">
        <v>272</v>
      </c>
      <c r="G333" s="1">
        <v>3</v>
      </c>
      <c r="H333" s="1">
        <v>9569</v>
      </c>
      <c r="I333" s="1">
        <v>8</v>
      </c>
      <c r="J333" s="1">
        <v>57</v>
      </c>
      <c r="K333" s="1">
        <v>222</v>
      </c>
      <c r="L333" s="1">
        <v>243</v>
      </c>
      <c r="M333" s="1">
        <v>11.44444444</v>
      </c>
      <c r="N333">
        <f>VLOOKUP(A333,vlookup_table!$A:$G,2,FALSE)</f>
        <v>0</v>
      </c>
      <c r="O333" t="str">
        <f>VLOOKUP(A333,vlookup_table!$A:$G,3,FALSE)</f>
        <v>CA</v>
      </c>
      <c r="P333">
        <f>VLOOKUP(A333,vlookup_table!$A:$G,4,FALSE)</f>
        <v>0</v>
      </c>
      <c r="Q333" t="str">
        <f>VLOOKUP(A333,vlookup_table!$A:$G,5,FALSE)</f>
        <v>T3</v>
      </c>
      <c r="R333" t="str">
        <f>VLOOKUP(A333,vlookup_table!$A:$G,6,FALSE)</f>
        <v>M</v>
      </c>
      <c r="S333">
        <f>VLOOKUP(A333,vlookup_table!$A:$G,7,FALSE)</f>
        <v>16</v>
      </c>
      <c r="T333">
        <f t="shared" si="10"/>
        <v>96</v>
      </c>
      <c r="U333" t="str">
        <f t="shared" si="11"/>
        <v>Pueblo</v>
      </c>
    </row>
    <row r="334" spans="1:21" ht="16" x14ac:dyDescent="0.4">
      <c r="A334" s="4">
        <v>106508</v>
      </c>
      <c r="B334" s="1" t="s">
        <v>25</v>
      </c>
      <c r="C334" s="1" t="s">
        <v>17</v>
      </c>
      <c r="D334" s="1">
        <v>440</v>
      </c>
      <c r="E334" s="1">
        <v>219</v>
      </c>
      <c r="F334" s="1">
        <v>288</v>
      </c>
      <c r="G334" s="1">
        <v>0</v>
      </c>
      <c r="H334" s="1">
        <v>10985</v>
      </c>
      <c r="I334" s="1">
        <v>9</v>
      </c>
      <c r="J334" s="1">
        <v>41</v>
      </c>
      <c r="K334" s="1">
        <v>261</v>
      </c>
      <c r="L334" s="1">
        <v>260</v>
      </c>
      <c r="M334" s="1">
        <v>12</v>
      </c>
      <c r="N334">
        <f>VLOOKUP(A334,vlookup_table!$A:$G,2,FALSE)</f>
        <v>2</v>
      </c>
      <c r="O334" t="str">
        <f>VLOOKUP(A334,vlookup_table!$A:$G,3,FALSE)</f>
        <v>KS</v>
      </c>
      <c r="P334">
        <f>VLOOKUP(A334,vlookup_table!$A:$G,4,FALSE)</f>
        <v>1401</v>
      </c>
      <c r="Q334" t="str">
        <f>VLOOKUP(A334,vlookup_table!$A:$G,5,FALSE)</f>
        <v>T1</v>
      </c>
      <c r="R334" t="str">
        <f>VLOOKUP(A334,vlookup_table!$A:$G,6,FALSE)</f>
        <v>F</v>
      </c>
      <c r="S334">
        <f>VLOOKUP(A334,vlookup_table!$A:$G,7,FALSE)</f>
        <v>20</v>
      </c>
      <c r="T334">
        <f t="shared" si="10"/>
        <v>82</v>
      </c>
      <c r="U334" t="str">
        <f t="shared" si="11"/>
        <v>Pueblo</v>
      </c>
    </row>
    <row r="335" spans="1:21" ht="16" x14ac:dyDescent="0.4">
      <c r="A335" s="4">
        <v>81067</v>
      </c>
      <c r="B335" s="1" t="s">
        <v>32</v>
      </c>
      <c r="C335" s="1" t="s">
        <v>17</v>
      </c>
      <c r="D335" s="1">
        <v>363</v>
      </c>
      <c r="E335" s="1">
        <v>76</v>
      </c>
      <c r="F335" s="1">
        <v>158</v>
      </c>
      <c r="G335" s="1">
        <v>0</v>
      </c>
      <c r="H335" s="1">
        <v>9086</v>
      </c>
      <c r="I335" s="1">
        <v>2</v>
      </c>
      <c r="J335" s="1">
        <v>67</v>
      </c>
      <c r="K335" s="1">
        <v>127</v>
      </c>
      <c r="L335" s="1">
        <v>115</v>
      </c>
      <c r="M335" s="1">
        <v>15</v>
      </c>
      <c r="N335">
        <f>VLOOKUP(A335,vlookup_table!$A:$G,2,FALSE)</f>
        <v>0</v>
      </c>
      <c r="O335" t="str">
        <f>VLOOKUP(A335,vlookup_table!$A:$G,3,FALSE)</f>
        <v>WI</v>
      </c>
      <c r="P335">
        <f>VLOOKUP(A335,vlookup_table!$A:$G,4,FALSE)</f>
        <v>0</v>
      </c>
      <c r="Q335" t="str">
        <f>VLOOKUP(A335,vlookup_table!$A:$G,5,FALSE)</f>
        <v>C3</v>
      </c>
      <c r="R335" t="str">
        <f>VLOOKUP(A335,vlookup_table!$A:$G,6,FALSE)</f>
        <v>F</v>
      </c>
      <c r="S335">
        <f>VLOOKUP(A335,vlookup_table!$A:$G,7,FALSE)</f>
        <v>15</v>
      </c>
      <c r="T335">
        <f t="shared" si="10"/>
        <v>96</v>
      </c>
      <c r="U335" t="str">
        <f t="shared" si="11"/>
        <v>Ciudad</v>
      </c>
    </row>
    <row r="336" spans="1:21" ht="16" x14ac:dyDescent="0.4">
      <c r="A336" s="4">
        <v>169106</v>
      </c>
      <c r="B336" s="1" t="s">
        <v>21</v>
      </c>
      <c r="C336" s="1" t="s">
        <v>17</v>
      </c>
      <c r="D336" s="1">
        <v>1745</v>
      </c>
      <c r="E336" s="1">
        <v>397</v>
      </c>
      <c r="F336" s="1">
        <v>521</v>
      </c>
      <c r="G336" s="1">
        <v>20</v>
      </c>
      <c r="H336" s="1">
        <v>18427</v>
      </c>
      <c r="I336" s="1">
        <v>9</v>
      </c>
      <c r="J336" s="1">
        <v>80</v>
      </c>
      <c r="K336" s="1">
        <v>512</v>
      </c>
      <c r="L336" s="1">
        <v>485</v>
      </c>
      <c r="M336" s="1">
        <v>8</v>
      </c>
      <c r="N336">
        <f>VLOOKUP(A336,vlookup_table!$A:$G,2,FALSE)</f>
        <v>2</v>
      </c>
      <c r="O336" t="str">
        <f>VLOOKUP(A336,vlookup_table!$A:$G,3,FALSE)</f>
        <v>CA</v>
      </c>
      <c r="P336">
        <f>VLOOKUP(A336,vlookup_table!$A:$G,4,FALSE)</f>
        <v>4501</v>
      </c>
      <c r="Q336" t="str">
        <f>VLOOKUP(A336,vlookup_table!$A:$G,5,FALSE)</f>
        <v>T2</v>
      </c>
      <c r="R336" t="str">
        <f>VLOOKUP(A336,vlookup_table!$A:$G,6,FALSE)</f>
        <v>F</v>
      </c>
      <c r="S336">
        <f>VLOOKUP(A336,vlookup_table!$A:$G,7,FALSE)</f>
        <v>5</v>
      </c>
      <c r="T336">
        <f t="shared" si="10"/>
        <v>51</v>
      </c>
      <c r="U336" t="str">
        <f t="shared" si="11"/>
        <v>Pueblo</v>
      </c>
    </row>
    <row r="337" spans="1:21" ht="16" x14ac:dyDescent="0.4">
      <c r="A337" s="4">
        <v>106898</v>
      </c>
      <c r="B337" s="1" t="s">
        <v>55</v>
      </c>
      <c r="C337" s="1" t="s">
        <v>17</v>
      </c>
      <c r="D337" s="1">
        <v>672</v>
      </c>
      <c r="E337" s="1">
        <v>302</v>
      </c>
      <c r="F337" s="1">
        <v>449</v>
      </c>
      <c r="G337" s="1">
        <v>0</v>
      </c>
      <c r="H337" s="1">
        <v>14981</v>
      </c>
      <c r="I337" s="1">
        <v>2</v>
      </c>
      <c r="J337" s="1">
        <v>58</v>
      </c>
      <c r="K337" s="1">
        <v>416</v>
      </c>
      <c r="L337" s="1">
        <v>348</v>
      </c>
      <c r="M337" s="1">
        <v>6.6315789470000004</v>
      </c>
      <c r="N337">
        <f>VLOOKUP(A337,vlookup_table!$A:$G,2,FALSE)</f>
        <v>0</v>
      </c>
      <c r="O337" t="str">
        <f>VLOOKUP(A337,vlookup_table!$A:$G,3,FALSE)</f>
        <v>NE</v>
      </c>
      <c r="P337">
        <f>VLOOKUP(A337,vlookup_table!$A:$G,4,FALSE)</f>
        <v>3801</v>
      </c>
      <c r="Q337" t="str">
        <f>VLOOKUP(A337,vlookup_table!$A:$G,5,FALSE)</f>
        <v>S2</v>
      </c>
      <c r="R337" t="str">
        <f>VLOOKUP(A337,vlookup_table!$A:$G,6,FALSE)</f>
        <v>F</v>
      </c>
      <c r="S337">
        <f>VLOOKUP(A337,vlookup_table!$A:$G,7,FALSE)</f>
        <v>5</v>
      </c>
      <c r="T337">
        <f t="shared" si="10"/>
        <v>58</v>
      </c>
      <c r="U337" t="str">
        <f t="shared" si="11"/>
        <v>Suburbano</v>
      </c>
    </row>
    <row r="338" spans="1:21" ht="16" x14ac:dyDescent="0.4">
      <c r="A338" s="4">
        <v>24747</v>
      </c>
      <c r="B338" s="1" t="s">
        <v>43</v>
      </c>
      <c r="C338" s="1" t="s">
        <v>17</v>
      </c>
      <c r="D338" s="1">
        <v>1419</v>
      </c>
      <c r="E338" s="1">
        <v>661</v>
      </c>
      <c r="F338" s="1">
        <v>741</v>
      </c>
      <c r="G338" s="1">
        <v>16</v>
      </c>
      <c r="H338" s="1">
        <v>23212</v>
      </c>
      <c r="I338" s="1">
        <v>4</v>
      </c>
      <c r="J338" s="1">
        <v>26</v>
      </c>
      <c r="K338" s="1">
        <v>697</v>
      </c>
      <c r="L338" s="1">
        <v>700</v>
      </c>
      <c r="M338" s="1">
        <v>9</v>
      </c>
      <c r="N338">
        <f>VLOOKUP(A338,vlookup_table!$A:$G,2,FALSE)</f>
        <v>0</v>
      </c>
      <c r="O338" t="str">
        <f>VLOOKUP(A338,vlookup_table!$A:$G,3,FALSE)</f>
        <v>SC</v>
      </c>
      <c r="P338">
        <f>VLOOKUP(A338,vlookup_table!$A:$G,4,FALSE)</f>
        <v>4405</v>
      </c>
      <c r="Q338" t="str">
        <f>VLOOKUP(A338,vlookup_table!$A:$G,5,FALSE)</f>
        <v>S1</v>
      </c>
      <c r="R338" t="str">
        <f>VLOOKUP(A338,vlookup_table!$A:$G,6,FALSE)</f>
        <v>F</v>
      </c>
      <c r="S338">
        <f>VLOOKUP(A338,vlookup_table!$A:$G,7,FALSE)</f>
        <v>15</v>
      </c>
      <c r="T338">
        <f t="shared" si="10"/>
        <v>52</v>
      </c>
      <c r="U338" t="str">
        <f t="shared" si="11"/>
        <v>Suburbano</v>
      </c>
    </row>
    <row r="339" spans="1:21" ht="16" x14ac:dyDescent="0.4">
      <c r="A339" s="4">
        <v>144906</v>
      </c>
      <c r="B339" s="1" t="s">
        <v>21</v>
      </c>
      <c r="C339" s="1" t="s">
        <v>27</v>
      </c>
      <c r="D339" s="1">
        <v>3781</v>
      </c>
      <c r="E339" s="1">
        <v>494</v>
      </c>
      <c r="F339" s="1">
        <v>606</v>
      </c>
      <c r="G339" s="1">
        <v>95</v>
      </c>
      <c r="H339" s="1">
        <v>22770</v>
      </c>
      <c r="I339" s="1">
        <v>10</v>
      </c>
      <c r="J339" s="1">
        <v>46</v>
      </c>
      <c r="K339" s="1">
        <v>609</v>
      </c>
      <c r="L339" s="1">
        <v>543</v>
      </c>
      <c r="M339" s="1">
        <v>20</v>
      </c>
      <c r="N339">
        <f>VLOOKUP(A339,vlookup_table!$A:$G,2,FALSE)</f>
        <v>1</v>
      </c>
      <c r="O339" t="str">
        <f>VLOOKUP(A339,vlookup_table!$A:$G,3,FALSE)</f>
        <v>CA</v>
      </c>
      <c r="P339">
        <f>VLOOKUP(A339,vlookup_table!$A:$G,4,FALSE)</f>
        <v>2501</v>
      </c>
      <c r="Q339" t="str">
        <f>VLOOKUP(A339,vlookup_table!$A:$G,5,FALSE)</f>
        <v>U1</v>
      </c>
      <c r="R339" t="str">
        <f>VLOOKUP(A339,vlookup_table!$A:$G,6,FALSE)</f>
        <v>U</v>
      </c>
      <c r="S339">
        <f>VLOOKUP(A339,vlookup_table!$A:$G,7,FALSE)</f>
        <v>20</v>
      </c>
      <c r="T339">
        <f t="shared" si="10"/>
        <v>71</v>
      </c>
      <c r="U339" t="str">
        <f t="shared" si="11"/>
        <v>Urbano</v>
      </c>
    </row>
    <row r="340" spans="1:21" ht="16" x14ac:dyDescent="0.4">
      <c r="A340" s="4">
        <v>40516</v>
      </c>
      <c r="B340" s="1" t="s">
        <v>13</v>
      </c>
      <c r="C340" s="1" t="s">
        <v>17</v>
      </c>
      <c r="D340" s="1">
        <v>1938</v>
      </c>
      <c r="E340" s="1">
        <v>483</v>
      </c>
      <c r="F340" s="1">
        <v>807</v>
      </c>
      <c r="G340" s="1">
        <v>48</v>
      </c>
      <c r="H340" s="1">
        <v>47363</v>
      </c>
      <c r="I340" s="1">
        <v>2</v>
      </c>
      <c r="J340" s="1">
        <v>4</v>
      </c>
      <c r="K340" s="1">
        <v>787</v>
      </c>
      <c r="L340" s="1">
        <v>629</v>
      </c>
      <c r="M340" s="1">
        <v>12.33333333</v>
      </c>
      <c r="N340">
        <f>VLOOKUP(A340,vlookup_table!$A:$G,2,FALSE)</f>
        <v>0</v>
      </c>
      <c r="O340" t="str">
        <f>VLOOKUP(A340,vlookup_table!$A:$G,3,FALSE)</f>
        <v>FL</v>
      </c>
      <c r="P340">
        <f>VLOOKUP(A340,vlookup_table!$A:$G,4,FALSE)</f>
        <v>1509</v>
      </c>
      <c r="Q340" t="str">
        <f>VLOOKUP(A340,vlookup_table!$A:$G,5,FALSE)</f>
        <v>C1</v>
      </c>
      <c r="R340" t="str">
        <f>VLOOKUP(A340,vlookup_table!$A:$G,6,FALSE)</f>
        <v>F</v>
      </c>
      <c r="S340">
        <f>VLOOKUP(A340,vlookup_table!$A:$G,7,FALSE)</f>
        <v>21</v>
      </c>
      <c r="T340">
        <f t="shared" si="10"/>
        <v>81</v>
      </c>
      <c r="U340" t="str">
        <f t="shared" si="11"/>
        <v>Ciudad</v>
      </c>
    </row>
    <row r="341" spans="1:21" ht="16" x14ac:dyDescent="0.4">
      <c r="A341" s="4">
        <v>172530</v>
      </c>
      <c r="B341" s="1" t="s">
        <v>21</v>
      </c>
      <c r="C341" s="1" t="s">
        <v>17</v>
      </c>
      <c r="D341" s="1">
        <v>1495</v>
      </c>
      <c r="E341" s="1">
        <v>323</v>
      </c>
      <c r="F341" s="1">
        <v>351</v>
      </c>
      <c r="G341" s="1">
        <v>22</v>
      </c>
      <c r="H341" s="1">
        <v>14923</v>
      </c>
      <c r="I341" s="1">
        <v>4</v>
      </c>
      <c r="J341" s="1">
        <v>57</v>
      </c>
      <c r="K341" s="1">
        <v>334</v>
      </c>
      <c r="L341" s="1">
        <v>348</v>
      </c>
      <c r="M341" s="1">
        <v>5.7142857139999998</v>
      </c>
      <c r="N341">
        <f>VLOOKUP(A341,vlookup_table!$A:$G,2,FALSE)</f>
        <v>0</v>
      </c>
      <c r="O341" t="str">
        <f>VLOOKUP(A341,vlookup_table!$A:$G,3,FALSE)</f>
        <v>CA</v>
      </c>
      <c r="P341">
        <f>VLOOKUP(A341,vlookup_table!$A:$G,4,FALSE)</f>
        <v>3601</v>
      </c>
      <c r="Q341" t="str">
        <f>VLOOKUP(A341,vlookup_table!$A:$G,5,FALSE)</f>
        <v>T1</v>
      </c>
      <c r="R341" t="str">
        <f>VLOOKUP(A341,vlookup_table!$A:$G,6,FALSE)</f>
        <v>F</v>
      </c>
      <c r="S341">
        <f>VLOOKUP(A341,vlookup_table!$A:$G,7,FALSE)</f>
        <v>7</v>
      </c>
      <c r="T341">
        <f t="shared" si="10"/>
        <v>60</v>
      </c>
      <c r="U341" t="str">
        <f t="shared" si="11"/>
        <v>Pueblo</v>
      </c>
    </row>
    <row r="342" spans="1:21" ht="16" x14ac:dyDescent="0.4">
      <c r="A342" s="4">
        <v>72438</v>
      </c>
      <c r="B342" s="1" t="s">
        <v>26</v>
      </c>
      <c r="C342" s="1" t="s">
        <v>14</v>
      </c>
      <c r="D342" s="1">
        <v>561</v>
      </c>
      <c r="E342" s="1">
        <v>351</v>
      </c>
      <c r="F342" s="1">
        <v>373</v>
      </c>
      <c r="G342" s="1">
        <v>0</v>
      </c>
      <c r="H342" s="1">
        <v>13150</v>
      </c>
      <c r="I342" s="1">
        <v>1</v>
      </c>
      <c r="J342" s="1">
        <v>89</v>
      </c>
      <c r="K342" s="1">
        <v>353</v>
      </c>
      <c r="L342" s="1">
        <v>368</v>
      </c>
      <c r="M342" s="1">
        <v>8.75</v>
      </c>
      <c r="N342">
        <f>VLOOKUP(A342,vlookup_table!$A:$G,2,FALSE)</f>
        <v>1</v>
      </c>
      <c r="O342" t="str">
        <f>VLOOKUP(A342,vlookup_table!$A:$G,3,FALSE)</f>
        <v>MI</v>
      </c>
      <c r="P342">
        <f>VLOOKUP(A342,vlookup_table!$A:$G,4,FALSE)</f>
        <v>1701</v>
      </c>
      <c r="Q342" t="str">
        <f>VLOOKUP(A342,vlookup_table!$A:$G,5,FALSE)</f>
        <v>T2</v>
      </c>
      <c r="R342" t="str">
        <f>VLOOKUP(A342,vlookup_table!$A:$G,6,FALSE)</f>
        <v>M</v>
      </c>
      <c r="S342">
        <f>VLOOKUP(A342,vlookup_table!$A:$G,7,FALSE)</f>
        <v>10</v>
      </c>
      <c r="T342">
        <f t="shared" si="10"/>
        <v>79</v>
      </c>
      <c r="U342" t="str">
        <f t="shared" si="11"/>
        <v>Pueblo</v>
      </c>
    </row>
    <row r="343" spans="1:21" ht="16" x14ac:dyDescent="0.4">
      <c r="A343" s="4">
        <v>144076</v>
      </c>
      <c r="B343" s="1" t="s">
        <v>21</v>
      </c>
      <c r="C343" s="1" t="s">
        <v>14</v>
      </c>
      <c r="D343" s="1">
        <v>5980</v>
      </c>
      <c r="E343" s="1">
        <v>1500</v>
      </c>
      <c r="F343" s="1">
        <v>1217</v>
      </c>
      <c r="G343" s="1">
        <v>99</v>
      </c>
      <c r="H343" s="1">
        <v>94863</v>
      </c>
      <c r="I343" s="1">
        <v>27</v>
      </c>
      <c r="J343" s="1">
        <v>41</v>
      </c>
      <c r="K343" s="1">
        <v>1500</v>
      </c>
      <c r="L343" s="1">
        <v>1124</v>
      </c>
      <c r="M343" s="1">
        <v>38.75</v>
      </c>
      <c r="N343">
        <f>VLOOKUP(A343,vlookup_table!$A:$G,2,FALSE)</f>
        <v>1</v>
      </c>
      <c r="O343" t="str">
        <f>VLOOKUP(A343,vlookup_table!$A:$G,3,FALSE)</f>
        <v>CA</v>
      </c>
      <c r="P343">
        <f>VLOOKUP(A343,vlookup_table!$A:$G,4,FALSE)</f>
        <v>1201</v>
      </c>
      <c r="Q343" t="str">
        <f>VLOOKUP(A343,vlookup_table!$A:$G,5,FALSE)</f>
        <v>S1</v>
      </c>
      <c r="R343" t="str">
        <f>VLOOKUP(A343,vlookup_table!$A:$G,6,FALSE)</f>
        <v>M</v>
      </c>
      <c r="S343">
        <f>VLOOKUP(A343,vlookup_table!$A:$G,7,FALSE)</f>
        <v>50</v>
      </c>
      <c r="T343">
        <f t="shared" si="10"/>
        <v>84</v>
      </c>
      <c r="U343" t="str">
        <f t="shared" si="11"/>
        <v>Suburbano</v>
      </c>
    </row>
    <row r="344" spans="1:21" ht="16" x14ac:dyDescent="0.4">
      <c r="A344" s="4">
        <v>130609</v>
      </c>
      <c r="B344" s="1" t="s">
        <v>45</v>
      </c>
      <c r="C344" s="1" t="s">
        <v>14</v>
      </c>
      <c r="D344" s="1">
        <v>1412</v>
      </c>
      <c r="E344" s="1">
        <v>499</v>
      </c>
      <c r="F344" s="1">
        <v>606</v>
      </c>
      <c r="G344" s="1">
        <v>14</v>
      </c>
      <c r="H344" s="1">
        <v>24758</v>
      </c>
      <c r="I344" s="1">
        <v>3</v>
      </c>
      <c r="J344" s="1">
        <v>46</v>
      </c>
      <c r="K344" s="1">
        <v>601</v>
      </c>
      <c r="L344" s="1">
        <v>538</v>
      </c>
      <c r="M344" s="1">
        <v>12</v>
      </c>
      <c r="N344">
        <f>VLOOKUP(A344,vlookup_table!$A:$G,2,FALSE)</f>
        <v>1</v>
      </c>
      <c r="O344" t="str">
        <f>VLOOKUP(A344,vlookup_table!$A:$G,3,FALSE)</f>
        <v>CO</v>
      </c>
      <c r="P344">
        <f>VLOOKUP(A344,vlookup_table!$A:$G,4,FALSE)</f>
        <v>1404</v>
      </c>
      <c r="Q344" t="str">
        <f>VLOOKUP(A344,vlookup_table!$A:$G,5,FALSE)</f>
        <v>S1</v>
      </c>
      <c r="R344" t="str">
        <f>VLOOKUP(A344,vlookup_table!$A:$G,6,FALSE)</f>
        <v>M</v>
      </c>
      <c r="S344">
        <f>VLOOKUP(A344,vlookup_table!$A:$G,7,FALSE)</f>
        <v>16</v>
      </c>
      <c r="T344">
        <f t="shared" si="10"/>
        <v>82</v>
      </c>
      <c r="U344" t="str">
        <f t="shared" si="11"/>
        <v>Suburbano</v>
      </c>
    </row>
    <row r="345" spans="1:21" ht="16" x14ac:dyDescent="0.4">
      <c r="A345" s="4">
        <v>43974</v>
      </c>
      <c r="B345" s="1" t="s">
        <v>13</v>
      </c>
      <c r="C345" s="1" t="s">
        <v>14</v>
      </c>
      <c r="D345" s="1">
        <v>1869</v>
      </c>
      <c r="E345" s="1">
        <v>452</v>
      </c>
      <c r="F345" s="1">
        <v>640</v>
      </c>
      <c r="G345" s="1">
        <v>44</v>
      </c>
      <c r="H345" s="1">
        <v>29990</v>
      </c>
      <c r="I345" s="1">
        <v>6</v>
      </c>
      <c r="J345" s="1">
        <v>9</v>
      </c>
      <c r="K345" s="1">
        <v>542</v>
      </c>
      <c r="L345" s="1">
        <v>553</v>
      </c>
      <c r="M345" s="1">
        <v>3.8181818179999998</v>
      </c>
      <c r="N345">
        <f>VLOOKUP(A345,vlookup_table!$A:$G,2,FALSE)</f>
        <v>2</v>
      </c>
      <c r="O345" t="str">
        <f>VLOOKUP(A345,vlookup_table!$A:$G,3,FALSE)</f>
        <v>FL</v>
      </c>
      <c r="P345">
        <f>VLOOKUP(A345,vlookup_table!$A:$G,4,FALSE)</f>
        <v>4601</v>
      </c>
      <c r="Q345" t="str">
        <f>VLOOKUP(A345,vlookup_table!$A:$G,5,FALSE)</f>
        <v>S2</v>
      </c>
      <c r="R345" t="str">
        <f>VLOOKUP(A345,vlookup_table!$A:$G,6,FALSE)</f>
        <v>M</v>
      </c>
      <c r="S345">
        <f>VLOOKUP(A345,vlookup_table!$A:$G,7,FALSE)</f>
        <v>5</v>
      </c>
      <c r="T345">
        <f t="shared" si="10"/>
        <v>50</v>
      </c>
      <c r="U345" t="str">
        <f t="shared" si="11"/>
        <v>Suburbano</v>
      </c>
    </row>
    <row r="346" spans="1:21" ht="16" x14ac:dyDescent="0.4">
      <c r="A346" s="4">
        <v>32709</v>
      </c>
      <c r="B346" s="1" t="s">
        <v>13</v>
      </c>
      <c r="C346" s="1" t="s">
        <v>17</v>
      </c>
      <c r="D346" s="1">
        <v>556</v>
      </c>
      <c r="E346" s="1">
        <v>229</v>
      </c>
      <c r="F346" s="1">
        <v>280</v>
      </c>
      <c r="G346" s="1">
        <v>0</v>
      </c>
      <c r="H346" s="1">
        <v>12960</v>
      </c>
      <c r="I346" s="1">
        <v>4</v>
      </c>
      <c r="J346" s="1">
        <v>39</v>
      </c>
      <c r="K346" s="1">
        <v>272</v>
      </c>
      <c r="L346" s="1">
        <v>258</v>
      </c>
      <c r="M346" s="1">
        <v>13.25</v>
      </c>
      <c r="N346">
        <f>VLOOKUP(A346,vlookup_table!$A:$G,2,FALSE)</f>
        <v>0</v>
      </c>
      <c r="O346" t="str">
        <f>VLOOKUP(A346,vlookup_table!$A:$G,3,FALSE)</f>
        <v>FL</v>
      </c>
      <c r="P346">
        <f>VLOOKUP(A346,vlookup_table!$A:$G,4,FALSE)</f>
        <v>5601</v>
      </c>
      <c r="Q346" t="str">
        <f>VLOOKUP(A346,vlookup_table!$A:$G,5,FALSE)</f>
        <v>C2</v>
      </c>
      <c r="R346" t="str">
        <f>VLOOKUP(A346,vlookup_table!$A:$G,6,FALSE)</f>
        <v>F</v>
      </c>
      <c r="S346">
        <f>VLOOKUP(A346,vlookup_table!$A:$G,7,FALSE)</f>
        <v>15</v>
      </c>
      <c r="T346">
        <f t="shared" si="10"/>
        <v>40</v>
      </c>
      <c r="U346" t="str">
        <f t="shared" si="11"/>
        <v>Ciudad</v>
      </c>
    </row>
    <row r="347" spans="1:21" ht="16" x14ac:dyDescent="0.4">
      <c r="A347" s="4">
        <v>187298</v>
      </c>
      <c r="B347" s="1" t="s">
        <v>43</v>
      </c>
      <c r="C347" s="1"/>
      <c r="D347" s="1">
        <v>1015</v>
      </c>
      <c r="E347" s="1">
        <v>478</v>
      </c>
      <c r="F347" s="1">
        <v>533</v>
      </c>
      <c r="G347" s="1">
        <v>0</v>
      </c>
      <c r="H347" s="1">
        <v>17763</v>
      </c>
      <c r="I347" s="1">
        <v>14</v>
      </c>
      <c r="J347" s="1">
        <v>40</v>
      </c>
      <c r="K347" s="1">
        <v>500</v>
      </c>
      <c r="L347" s="1">
        <v>516</v>
      </c>
      <c r="M347" s="1">
        <v>7</v>
      </c>
      <c r="N347">
        <f>VLOOKUP(A347,vlookup_table!$A:$G,2,FALSE)</f>
        <v>0</v>
      </c>
      <c r="O347" t="str">
        <f>VLOOKUP(A347,vlookup_table!$A:$G,3,FALSE)</f>
        <v>SC</v>
      </c>
      <c r="P347">
        <f>VLOOKUP(A347,vlookup_table!$A:$G,4,FALSE)</f>
        <v>0</v>
      </c>
      <c r="Q347" t="str">
        <f>VLOOKUP(A347,vlookup_table!$A:$G,5,FALSE)</f>
        <v>S1</v>
      </c>
      <c r="R347" t="str">
        <f>VLOOKUP(A347,vlookup_table!$A:$G,6,FALSE)</f>
        <v/>
      </c>
      <c r="S347">
        <f>VLOOKUP(A347,vlookup_table!$A:$G,7,FALSE)</f>
        <v>10</v>
      </c>
      <c r="T347">
        <f t="shared" si="10"/>
        <v>96</v>
      </c>
      <c r="U347" t="str">
        <f t="shared" si="11"/>
        <v>Suburbano</v>
      </c>
    </row>
    <row r="348" spans="1:21" ht="16" x14ac:dyDescent="0.4">
      <c r="A348" s="4">
        <v>50905</v>
      </c>
      <c r="B348" s="1" t="s">
        <v>49</v>
      </c>
      <c r="C348" s="1" t="s">
        <v>17</v>
      </c>
      <c r="D348" s="1">
        <v>736</v>
      </c>
      <c r="E348" s="1">
        <v>331</v>
      </c>
      <c r="F348" s="1">
        <v>432</v>
      </c>
      <c r="G348" s="1">
        <v>1</v>
      </c>
      <c r="H348" s="1">
        <v>16926</v>
      </c>
      <c r="I348" s="1">
        <v>1</v>
      </c>
      <c r="J348" s="1">
        <v>61</v>
      </c>
      <c r="K348" s="1">
        <v>390</v>
      </c>
      <c r="L348" s="1">
        <v>379</v>
      </c>
      <c r="M348" s="1">
        <v>8.6666666669999994</v>
      </c>
      <c r="N348">
        <f>VLOOKUP(A348,vlookup_table!$A:$G,2,FALSE)</f>
        <v>28</v>
      </c>
      <c r="O348" t="str">
        <f>VLOOKUP(A348,vlookup_table!$A:$G,3,FALSE)</f>
        <v>TN</v>
      </c>
      <c r="P348">
        <f>VLOOKUP(A348,vlookup_table!$A:$G,4,FALSE)</f>
        <v>2301</v>
      </c>
      <c r="Q348" t="str">
        <f>VLOOKUP(A348,vlookup_table!$A:$G,5,FALSE)</f>
        <v>S2</v>
      </c>
      <c r="R348" t="str">
        <f>VLOOKUP(A348,vlookup_table!$A:$G,6,FALSE)</f>
        <v>F</v>
      </c>
      <c r="S348">
        <f>VLOOKUP(A348,vlookup_table!$A:$G,7,FALSE)</f>
        <v>16</v>
      </c>
      <c r="T348">
        <f t="shared" si="10"/>
        <v>73</v>
      </c>
      <c r="U348" t="str">
        <f t="shared" si="11"/>
        <v>Suburbano</v>
      </c>
    </row>
    <row r="349" spans="1:21" ht="16" x14ac:dyDescent="0.4">
      <c r="A349" s="4">
        <v>55552</v>
      </c>
      <c r="B349" s="1" t="s">
        <v>56</v>
      </c>
      <c r="C349" s="1" t="s">
        <v>14</v>
      </c>
      <c r="D349" s="1">
        <v>363</v>
      </c>
      <c r="E349" s="1">
        <v>156</v>
      </c>
      <c r="F349" s="1">
        <v>244</v>
      </c>
      <c r="G349" s="1">
        <v>0</v>
      </c>
      <c r="H349" s="1">
        <v>7079</v>
      </c>
      <c r="I349" s="1">
        <v>0</v>
      </c>
      <c r="J349" s="1">
        <v>91</v>
      </c>
      <c r="K349" s="1">
        <v>193</v>
      </c>
      <c r="L349" s="1">
        <v>214</v>
      </c>
      <c r="M349" s="1">
        <v>8.4</v>
      </c>
      <c r="N349">
        <f>VLOOKUP(A349,vlookup_table!$A:$G,2,FALSE)</f>
        <v>2</v>
      </c>
      <c r="O349" t="str">
        <f>VLOOKUP(A349,vlookup_table!$A:$G,3,FALSE)</f>
        <v>MS</v>
      </c>
      <c r="P349">
        <f>VLOOKUP(A349,vlookup_table!$A:$G,4,FALSE)</f>
        <v>3203</v>
      </c>
      <c r="Q349" t="str">
        <f>VLOOKUP(A349,vlookup_table!$A:$G,5,FALSE)</f>
        <v>R3</v>
      </c>
      <c r="R349" t="str">
        <f>VLOOKUP(A349,vlookup_table!$A:$G,6,FALSE)</f>
        <v>M</v>
      </c>
      <c r="S349">
        <f>VLOOKUP(A349,vlookup_table!$A:$G,7,FALSE)</f>
        <v>20</v>
      </c>
      <c r="T349">
        <f t="shared" si="10"/>
        <v>64</v>
      </c>
      <c r="U349" t="str">
        <f t="shared" si="11"/>
        <v>Rural</v>
      </c>
    </row>
    <row r="350" spans="1:21" ht="16" x14ac:dyDescent="0.4">
      <c r="A350" s="4">
        <v>28550</v>
      </c>
      <c r="B350" s="1" t="s">
        <v>36</v>
      </c>
      <c r="C350" s="1" t="s">
        <v>17</v>
      </c>
      <c r="D350" s="1">
        <v>803</v>
      </c>
      <c r="E350" s="1">
        <v>423</v>
      </c>
      <c r="F350" s="1">
        <v>508</v>
      </c>
      <c r="G350" s="1">
        <v>0</v>
      </c>
      <c r="H350" s="1">
        <v>19029</v>
      </c>
      <c r="I350" s="1">
        <v>9</v>
      </c>
      <c r="J350" s="1">
        <v>51</v>
      </c>
      <c r="K350" s="1">
        <v>512</v>
      </c>
      <c r="L350" s="1">
        <v>467</v>
      </c>
      <c r="M350" s="1">
        <v>11.66666667</v>
      </c>
      <c r="N350">
        <f>VLOOKUP(A350,vlookup_table!$A:$G,2,FALSE)</f>
        <v>28</v>
      </c>
      <c r="O350" t="str">
        <f>VLOOKUP(A350,vlookup_table!$A:$G,3,FALSE)</f>
        <v>GA</v>
      </c>
      <c r="P350">
        <f>VLOOKUP(A350,vlookup_table!$A:$G,4,FALSE)</f>
        <v>5204</v>
      </c>
      <c r="Q350" t="str">
        <f>VLOOKUP(A350,vlookup_table!$A:$G,5,FALSE)</f>
        <v>S2</v>
      </c>
      <c r="R350" t="str">
        <f>VLOOKUP(A350,vlookup_table!$A:$G,6,FALSE)</f>
        <v>F</v>
      </c>
      <c r="S350">
        <f>VLOOKUP(A350,vlookup_table!$A:$G,7,FALSE)</f>
        <v>15</v>
      </c>
      <c r="T350">
        <f t="shared" si="10"/>
        <v>44</v>
      </c>
      <c r="U350" t="str">
        <f t="shared" si="11"/>
        <v>Suburbano</v>
      </c>
    </row>
    <row r="351" spans="1:21" ht="16" x14ac:dyDescent="0.4">
      <c r="A351" s="4">
        <v>158460</v>
      </c>
      <c r="B351" s="1" t="s">
        <v>21</v>
      </c>
      <c r="C351" s="1" t="s">
        <v>17</v>
      </c>
      <c r="D351" s="1">
        <v>1818</v>
      </c>
      <c r="E351" s="1">
        <v>258</v>
      </c>
      <c r="F351" s="1">
        <v>350</v>
      </c>
      <c r="G351" s="1">
        <v>28</v>
      </c>
      <c r="H351" s="1">
        <v>10324</v>
      </c>
      <c r="I351" s="1">
        <v>35</v>
      </c>
      <c r="J351" s="1">
        <v>36</v>
      </c>
      <c r="K351" s="1">
        <v>316</v>
      </c>
      <c r="L351" s="1">
        <v>299</v>
      </c>
      <c r="M351" s="1">
        <v>13.7</v>
      </c>
      <c r="N351">
        <f>VLOOKUP(A351,vlookup_table!$A:$G,2,FALSE)</f>
        <v>0</v>
      </c>
      <c r="O351" t="str">
        <f>VLOOKUP(A351,vlookup_table!$A:$G,3,FALSE)</f>
        <v>CA</v>
      </c>
      <c r="P351">
        <f>VLOOKUP(A351,vlookup_table!$A:$G,4,FALSE)</f>
        <v>2910</v>
      </c>
      <c r="Q351" t="str">
        <f>VLOOKUP(A351,vlookup_table!$A:$G,5,FALSE)</f>
        <v>U3</v>
      </c>
      <c r="R351" t="str">
        <f>VLOOKUP(A351,vlookup_table!$A:$G,6,FALSE)</f>
        <v>F</v>
      </c>
      <c r="S351">
        <f>VLOOKUP(A351,vlookup_table!$A:$G,7,FALSE)</f>
        <v>15</v>
      </c>
      <c r="T351">
        <f t="shared" si="10"/>
        <v>67</v>
      </c>
      <c r="U351" t="str">
        <f t="shared" si="11"/>
        <v>Urbano</v>
      </c>
    </row>
    <row r="352" spans="1:21" ht="16" x14ac:dyDescent="0.4">
      <c r="A352" s="4">
        <v>56449</v>
      </c>
      <c r="B352" s="1" t="s">
        <v>53</v>
      </c>
      <c r="C352" s="1" t="s">
        <v>17</v>
      </c>
      <c r="D352" s="1">
        <v>640</v>
      </c>
      <c r="E352" s="1">
        <v>381</v>
      </c>
      <c r="F352" s="1">
        <v>450</v>
      </c>
      <c r="G352" s="1">
        <v>0</v>
      </c>
      <c r="H352" s="1">
        <v>15499</v>
      </c>
      <c r="I352" s="1">
        <v>0</v>
      </c>
      <c r="J352" s="1">
        <v>82</v>
      </c>
      <c r="K352" s="1">
        <v>414</v>
      </c>
      <c r="L352" s="1">
        <v>403</v>
      </c>
      <c r="M352" s="1">
        <v>6.9285714289999998</v>
      </c>
      <c r="N352">
        <f>VLOOKUP(A352,vlookup_table!$A:$G,2,FALSE)</f>
        <v>0</v>
      </c>
      <c r="O352" t="str">
        <f>VLOOKUP(A352,vlookup_table!$A:$G,3,FALSE)</f>
        <v>KY</v>
      </c>
      <c r="P352">
        <f>VLOOKUP(A352,vlookup_table!$A:$G,4,FALSE)</f>
        <v>0</v>
      </c>
      <c r="Q352" t="str">
        <f>VLOOKUP(A352,vlookup_table!$A:$G,5,FALSE)</f>
        <v>R2</v>
      </c>
      <c r="R352" t="str">
        <f>VLOOKUP(A352,vlookup_table!$A:$G,6,FALSE)</f>
        <v>F</v>
      </c>
      <c r="S352">
        <f>VLOOKUP(A352,vlookup_table!$A:$G,7,FALSE)</f>
        <v>5</v>
      </c>
      <c r="T352">
        <f t="shared" si="10"/>
        <v>96</v>
      </c>
      <c r="U352" t="str">
        <f t="shared" si="11"/>
        <v>Rural</v>
      </c>
    </row>
    <row r="353" spans="1:21" ht="16" x14ac:dyDescent="0.4">
      <c r="A353" s="4">
        <v>133315</v>
      </c>
      <c r="B353" s="1" t="s">
        <v>37</v>
      </c>
      <c r="C353" s="1" t="s">
        <v>17</v>
      </c>
      <c r="D353" s="1">
        <v>698</v>
      </c>
      <c r="E353" s="1">
        <v>355</v>
      </c>
      <c r="F353" s="1">
        <v>416</v>
      </c>
      <c r="G353" s="1">
        <v>1</v>
      </c>
      <c r="H353" s="1">
        <v>13184</v>
      </c>
      <c r="I353" s="1">
        <v>1</v>
      </c>
      <c r="J353" s="1">
        <v>34</v>
      </c>
      <c r="K353" s="1">
        <v>377</v>
      </c>
      <c r="L353" s="1">
        <v>393</v>
      </c>
      <c r="M353" s="1">
        <v>8.5</v>
      </c>
      <c r="N353">
        <f>VLOOKUP(A353,vlookup_table!$A:$G,2,FALSE)</f>
        <v>0</v>
      </c>
      <c r="O353" t="str">
        <f>VLOOKUP(A353,vlookup_table!$A:$G,3,FALSE)</f>
        <v>WA</v>
      </c>
      <c r="P353">
        <f>VLOOKUP(A353,vlookup_table!$A:$G,4,FALSE)</f>
        <v>3603</v>
      </c>
      <c r="Q353" t="str">
        <f>VLOOKUP(A353,vlookup_table!$A:$G,5,FALSE)</f>
        <v>T2</v>
      </c>
      <c r="R353" t="str">
        <f>VLOOKUP(A353,vlookup_table!$A:$G,6,FALSE)</f>
        <v>F</v>
      </c>
      <c r="S353">
        <f>VLOOKUP(A353,vlookup_table!$A:$G,7,FALSE)</f>
        <v>10</v>
      </c>
      <c r="T353">
        <f t="shared" si="10"/>
        <v>60</v>
      </c>
      <c r="U353" t="str">
        <f t="shared" si="11"/>
        <v>Pueblo</v>
      </c>
    </row>
    <row r="354" spans="1:21" ht="16" x14ac:dyDescent="0.4">
      <c r="A354" s="4">
        <v>164251</v>
      </c>
      <c r="B354" s="1" t="s">
        <v>21</v>
      </c>
      <c r="C354" s="1" t="s">
        <v>17</v>
      </c>
      <c r="D354" s="1">
        <v>1449</v>
      </c>
      <c r="E354" s="1">
        <v>378</v>
      </c>
      <c r="F354" s="1">
        <v>470</v>
      </c>
      <c r="G354" s="1">
        <v>4</v>
      </c>
      <c r="H354" s="1">
        <v>16190</v>
      </c>
      <c r="I354" s="1">
        <v>6</v>
      </c>
      <c r="J354" s="1">
        <v>46</v>
      </c>
      <c r="K354" s="1">
        <v>439</v>
      </c>
      <c r="L354" s="1">
        <v>395</v>
      </c>
      <c r="M354" s="1">
        <v>15</v>
      </c>
      <c r="N354">
        <f>VLOOKUP(A354,vlookup_table!$A:$G,2,FALSE)</f>
        <v>0</v>
      </c>
      <c r="O354" t="str">
        <f>VLOOKUP(A354,vlookup_table!$A:$G,3,FALSE)</f>
        <v>CA</v>
      </c>
      <c r="P354">
        <f>VLOOKUP(A354,vlookup_table!$A:$G,4,FALSE)</f>
        <v>4001</v>
      </c>
      <c r="Q354" t="str">
        <f>VLOOKUP(A354,vlookup_table!$A:$G,5,FALSE)</f>
        <v>S2</v>
      </c>
      <c r="R354" t="str">
        <f>VLOOKUP(A354,vlookup_table!$A:$G,6,FALSE)</f>
        <v>F</v>
      </c>
      <c r="S354">
        <f>VLOOKUP(A354,vlookup_table!$A:$G,7,FALSE)</f>
        <v>5</v>
      </c>
      <c r="T354">
        <f t="shared" si="10"/>
        <v>56</v>
      </c>
      <c r="U354" t="str">
        <f t="shared" si="11"/>
        <v>Suburbano</v>
      </c>
    </row>
    <row r="355" spans="1:21" ht="16" x14ac:dyDescent="0.4">
      <c r="A355" s="4">
        <v>149626</v>
      </c>
      <c r="B355" s="1" t="s">
        <v>23</v>
      </c>
      <c r="C355" s="1"/>
      <c r="D355" s="1">
        <v>1557</v>
      </c>
      <c r="E355" s="1">
        <v>290</v>
      </c>
      <c r="F355" s="1">
        <v>361</v>
      </c>
      <c r="G355" s="1">
        <v>17</v>
      </c>
      <c r="H355" s="1">
        <v>13837</v>
      </c>
      <c r="I355" s="1">
        <v>5</v>
      </c>
      <c r="J355" s="1">
        <v>6</v>
      </c>
      <c r="K355" s="1">
        <v>311</v>
      </c>
      <c r="L355" s="1">
        <v>342</v>
      </c>
      <c r="M355" s="1">
        <v>10.5</v>
      </c>
      <c r="N355">
        <f>VLOOKUP(A355,vlookup_table!$A:$G,2,FALSE)</f>
        <v>0</v>
      </c>
      <c r="O355" t="str">
        <f>VLOOKUP(A355,vlookup_table!$A:$G,3,FALSE)</f>
        <v>NV</v>
      </c>
      <c r="P355">
        <f>VLOOKUP(A355,vlookup_table!$A:$G,4,FALSE)</f>
        <v>0</v>
      </c>
      <c r="Q355" t="str">
        <f>VLOOKUP(A355,vlookup_table!$A:$G,5,FALSE)</f>
        <v>S1</v>
      </c>
      <c r="R355" t="str">
        <f>VLOOKUP(A355,vlookup_table!$A:$G,6,FALSE)</f>
        <v/>
      </c>
      <c r="S355">
        <f>VLOOKUP(A355,vlookup_table!$A:$G,7,FALSE)</f>
        <v>10</v>
      </c>
      <c r="T355">
        <f t="shared" si="10"/>
        <v>96</v>
      </c>
      <c r="U355" t="str">
        <f t="shared" si="11"/>
        <v>Suburbano</v>
      </c>
    </row>
    <row r="356" spans="1:21" ht="16" x14ac:dyDescent="0.4">
      <c r="A356" s="4">
        <v>123805</v>
      </c>
      <c r="B356" s="1" t="s">
        <v>20</v>
      </c>
      <c r="C356" s="1" t="s">
        <v>17</v>
      </c>
      <c r="D356" s="1">
        <v>518</v>
      </c>
      <c r="E356" s="1">
        <v>223</v>
      </c>
      <c r="F356" s="1">
        <v>302</v>
      </c>
      <c r="G356" s="1">
        <v>1</v>
      </c>
      <c r="H356" s="1">
        <v>10041</v>
      </c>
      <c r="I356" s="1">
        <v>4</v>
      </c>
      <c r="J356" s="1">
        <v>70</v>
      </c>
      <c r="K356" s="1">
        <v>256</v>
      </c>
      <c r="L356" s="1">
        <v>273</v>
      </c>
      <c r="M356" s="1">
        <v>4.5833333329999997</v>
      </c>
      <c r="N356">
        <f>VLOOKUP(A356,vlookup_table!$A:$G,2,FALSE)</f>
        <v>2</v>
      </c>
      <c r="O356" t="str">
        <f>VLOOKUP(A356,vlookup_table!$A:$G,3,FALSE)</f>
        <v>TX</v>
      </c>
      <c r="P356">
        <f>VLOOKUP(A356,vlookup_table!$A:$G,4,FALSE)</f>
        <v>2801</v>
      </c>
      <c r="Q356" t="str">
        <f>VLOOKUP(A356,vlookup_table!$A:$G,5,FALSE)</f>
        <v>R2</v>
      </c>
      <c r="R356" t="str">
        <f>VLOOKUP(A356,vlookup_table!$A:$G,6,FALSE)</f>
        <v>F</v>
      </c>
      <c r="S356">
        <f>VLOOKUP(A356,vlookup_table!$A:$G,7,FALSE)</f>
        <v>7</v>
      </c>
      <c r="T356">
        <f t="shared" si="10"/>
        <v>68</v>
      </c>
      <c r="U356" t="str">
        <f t="shared" si="11"/>
        <v>Rural</v>
      </c>
    </row>
    <row r="357" spans="1:21" ht="16" x14ac:dyDescent="0.4">
      <c r="A357" s="4">
        <v>156077</v>
      </c>
      <c r="B357" s="1" t="s">
        <v>21</v>
      </c>
      <c r="C357" s="1" t="s">
        <v>17</v>
      </c>
      <c r="D357" s="1">
        <v>1180</v>
      </c>
      <c r="E357" s="1">
        <v>232</v>
      </c>
      <c r="F357" s="1">
        <v>307</v>
      </c>
      <c r="G357" s="1">
        <v>9</v>
      </c>
      <c r="H357" s="1">
        <v>7582</v>
      </c>
      <c r="I357" s="1">
        <v>20</v>
      </c>
      <c r="J357" s="1">
        <v>40</v>
      </c>
      <c r="K357" s="1">
        <v>248</v>
      </c>
      <c r="L357" s="1">
        <v>277</v>
      </c>
      <c r="M357" s="1">
        <v>9.6666666669999994</v>
      </c>
      <c r="N357">
        <f>VLOOKUP(A357,vlookup_table!$A:$G,2,FALSE)</f>
        <v>0</v>
      </c>
      <c r="O357" t="str">
        <f>VLOOKUP(A357,vlookup_table!$A:$G,3,FALSE)</f>
        <v>CA</v>
      </c>
      <c r="P357">
        <f>VLOOKUP(A357,vlookup_table!$A:$G,4,FALSE)</f>
        <v>5601</v>
      </c>
      <c r="Q357" t="str">
        <f>VLOOKUP(A357,vlookup_table!$A:$G,5,FALSE)</f>
        <v>T2</v>
      </c>
      <c r="R357" t="str">
        <f>VLOOKUP(A357,vlookup_table!$A:$G,6,FALSE)</f>
        <v>F</v>
      </c>
      <c r="S357">
        <f>VLOOKUP(A357,vlookup_table!$A:$G,7,FALSE)</f>
        <v>15</v>
      </c>
      <c r="T357">
        <f t="shared" si="10"/>
        <v>40</v>
      </c>
      <c r="U357" t="str">
        <f t="shared" si="11"/>
        <v>Pueblo</v>
      </c>
    </row>
    <row r="358" spans="1:21" ht="16" x14ac:dyDescent="0.4">
      <c r="A358" s="4">
        <v>183858</v>
      </c>
      <c r="B358" s="1" t="s">
        <v>37</v>
      </c>
      <c r="C358" s="1" t="s">
        <v>14</v>
      </c>
      <c r="D358" s="1">
        <v>511</v>
      </c>
      <c r="E358" s="1">
        <v>268</v>
      </c>
      <c r="F358" s="1">
        <v>354</v>
      </c>
      <c r="G358" s="1">
        <v>0</v>
      </c>
      <c r="H358" s="1">
        <v>12388</v>
      </c>
      <c r="I358" s="1">
        <v>2</v>
      </c>
      <c r="J358" s="1">
        <v>56</v>
      </c>
      <c r="K358" s="1">
        <v>309</v>
      </c>
      <c r="L358" s="1">
        <v>317</v>
      </c>
      <c r="M358" s="1">
        <v>16</v>
      </c>
      <c r="N358">
        <f>VLOOKUP(A358,vlookup_table!$A:$G,2,FALSE)</f>
        <v>1</v>
      </c>
      <c r="O358" t="str">
        <f>VLOOKUP(A358,vlookup_table!$A:$G,3,FALSE)</f>
        <v>WA</v>
      </c>
      <c r="P358">
        <f>VLOOKUP(A358,vlookup_table!$A:$G,4,FALSE)</f>
        <v>4801</v>
      </c>
      <c r="Q358" t="str">
        <f>VLOOKUP(A358,vlookup_table!$A:$G,5,FALSE)</f>
        <v>R2</v>
      </c>
      <c r="R358" t="str">
        <f>VLOOKUP(A358,vlookup_table!$A:$G,6,FALSE)</f>
        <v>M</v>
      </c>
      <c r="S358">
        <f>VLOOKUP(A358,vlookup_table!$A:$G,7,FALSE)</f>
        <v>25</v>
      </c>
      <c r="T358">
        <f t="shared" si="10"/>
        <v>48</v>
      </c>
      <c r="U358" t="str">
        <f t="shared" si="11"/>
        <v>Rural</v>
      </c>
    </row>
    <row r="359" spans="1:21" ht="16" x14ac:dyDescent="0.4">
      <c r="A359" s="4">
        <v>164217</v>
      </c>
      <c r="B359" s="1" t="s">
        <v>21</v>
      </c>
      <c r="C359" s="1" t="s">
        <v>14</v>
      </c>
      <c r="D359" s="1">
        <v>2869</v>
      </c>
      <c r="E359" s="1">
        <v>630</v>
      </c>
      <c r="F359" s="1">
        <v>745</v>
      </c>
      <c r="G359" s="1">
        <v>74</v>
      </c>
      <c r="H359" s="1">
        <v>24945</v>
      </c>
      <c r="I359" s="1">
        <v>6</v>
      </c>
      <c r="J359" s="1">
        <v>46</v>
      </c>
      <c r="K359" s="1">
        <v>668</v>
      </c>
      <c r="L359" s="1">
        <v>686</v>
      </c>
      <c r="M359" s="1">
        <v>14.16666667</v>
      </c>
      <c r="N359">
        <f>VLOOKUP(A359,vlookup_table!$A:$G,2,FALSE)</f>
        <v>0</v>
      </c>
      <c r="O359" t="str">
        <f>VLOOKUP(A359,vlookup_table!$A:$G,3,FALSE)</f>
        <v>CA</v>
      </c>
      <c r="P359">
        <f>VLOOKUP(A359,vlookup_table!$A:$G,4,FALSE)</f>
        <v>4011</v>
      </c>
      <c r="Q359" t="str">
        <f>VLOOKUP(A359,vlookup_table!$A:$G,5,FALSE)</f>
        <v>T1</v>
      </c>
      <c r="R359" t="str">
        <f>VLOOKUP(A359,vlookup_table!$A:$G,6,FALSE)</f>
        <v>M</v>
      </c>
      <c r="S359">
        <f>VLOOKUP(A359,vlookup_table!$A:$G,7,FALSE)</f>
        <v>25</v>
      </c>
      <c r="T359">
        <f t="shared" si="10"/>
        <v>56</v>
      </c>
      <c r="U359" t="str">
        <f t="shared" si="11"/>
        <v>Pueblo</v>
      </c>
    </row>
    <row r="360" spans="1:21" ht="16" x14ac:dyDescent="0.4">
      <c r="A360" s="4">
        <v>169973</v>
      </c>
      <c r="B360" s="1" t="s">
        <v>21</v>
      </c>
      <c r="C360" s="1" t="s">
        <v>17</v>
      </c>
      <c r="D360" s="1">
        <v>1514</v>
      </c>
      <c r="E360" s="1">
        <v>325</v>
      </c>
      <c r="F360" s="1">
        <v>517</v>
      </c>
      <c r="G360" s="1">
        <v>17</v>
      </c>
      <c r="H360" s="1">
        <v>18572</v>
      </c>
      <c r="I360" s="1">
        <v>3</v>
      </c>
      <c r="J360" s="1">
        <v>53</v>
      </c>
      <c r="K360" s="1">
        <v>451</v>
      </c>
      <c r="L360" s="1">
        <v>439</v>
      </c>
      <c r="M360" s="1">
        <v>11.4</v>
      </c>
      <c r="N360">
        <f>VLOOKUP(A360,vlookup_table!$A:$G,2,FALSE)</f>
        <v>2</v>
      </c>
      <c r="O360" t="str">
        <f>VLOOKUP(A360,vlookup_table!$A:$G,3,FALSE)</f>
        <v>CA</v>
      </c>
      <c r="P360">
        <f>VLOOKUP(A360,vlookup_table!$A:$G,4,FALSE)</f>
        <v>4001</v>
      </c>
      <c r="Q360" t="str">
        <f>VLOOKUP(A360,vlookup_table!$A:$G,5,FALSE)</f>
        <v>R1</v>
      </c>
      <c r="R360" t="str">
        <f>VLOOKUP(A360,vlookup_table!$A:$G,6,FALSE)</f>
        <v>F</v>
      </c>
      <c r="S360">
        <f>VLOOKUP(A360,vlookup_table!$A:$G,7,FALSE)</f>
        <v>15</v>
      </c>
      <c r="T360">
        <f t="shared" si="10"/>
        <v>56</v>
      </c>
      <c r="U360" t="str">
        <f t="shared" si="11"/>
        <v>Rural</v>
      </c>
    </row>
    <row r="361" spans="1:21" ht="16" x14ac:dyDescent="0.4">
      <c r="A361" s="4">
        <v>15066</v>
      </c>
      <c r="B361" s="1" t="s">
        <v>18</v>
      </c>
      <c r="C361" s="1" t="s">
        <v>97</v>
      </c>
      <c r="D361" s="1">
        <v>444</v>
      </c>
      <c r="E361" s="1">
        <v>260</v>
      </c>
      <c r="F361" s="1">
        <v>341</v>
      </c>
      <c r="G361" s="1">
        <v>0</v>
      </c>
      <c r="H361" s="1">
        <v>11387</v>
      </c>
      <c r="I361" s="1">
        <v>0</v>
      </c>
      <c r="J361" s="1">
        <v>87</v>
      </c>
      <c r="K361" s="1">
        <v>296</v>
      </c>
      <c r="L361" s="1">
        <v>288</v>
      </c>
      <c r="M361" s="1">
        <v>8.9583333330000006</v>
      </c>
      <c r="N361">
        <f>VLOOKUP(A361,vlookup_table!$A:$G,2,FALSE)</f>
        <v>2</v>
      </c>
      <c r="O361" t="str">
        <f>VLOOKUP(A361,vlookup_table!$A:$G,3,FALSE)</f>
        <v>NC</v>
      </c>
      <c r="P361">
        <f>VLOOKUP(A361,vlookup_table!$A:$G,4,FALSE)</f>
        <v>4601</v>
      </c>
      <c r="Q361" t="str">
        <f>VLOOKUP(A361,vlookup_table!$A:$G,5,FALSE)</f>
        <v>R3</v>
      </c>
      <c r="R361" t="str">
        <f>VLOOKUP(A361,vlookup_table!$A:$G,6,FALSE)</f>
        <v>F</v>
      </c>
      <c r="S361">
        <f>VLOOKUP(A361,vlookup_table!$A:$G,7,FALSE)</f>
        <v>10</v>
      </c>
      <c r="T361">
        <f t="shared" si="10"/>
        <v>50</v>
      </c>
      <c r="U361" t="str">
        <f t="shared" si="11"/>
        <v>Rural</v>
      </c>
    </row>
    <row r="362" spans="1:21" ht="16" x14ac:dyDescent="0.4">
      <c r="A362" s="4">
        <v>64467</v>
      </c>
      <c r="B362" s="1" t="s">
        <v>30</v>
      </c>
      <c r="C362" s="1" t="s">
        <v>17</v>
      </c>
      <c r="D362" s="1">
        <v>444</v>
      </c>
      <c r="E362" s="1">
        <v>270</v>
      </c>
      <c r="F362" s="1">
        <v>364</v>
      </c>
      <c r="G362" s="1">
        <v>0</v>
      </c>
      <c r="H362" s="1">
        <v>13896</v>
      </c>
      <c r="I362" s="1">
        <v>1</v>
      </c>
      <c r="J362" s="1">
        <v>39</v>
      </c>
      <c r="K362" s="1">
        <v>318</v>
      </c>
      <c r="L362" s="1">
        <v>310</v>
      </c>
      <c r="M362" s="1">
        <v>12.69230769</v>
      </c>
      <c r="N362">
        <f>VLOOKUP(A362,vlookup_table!$A:$G,2,FALSE)</f>
        <v>0</v>
      </c>
      <c r="O362" t="str">
        <f>VLOOKUP(A362,vlookup_table!$A:$G,3,FALSE)</f>
        <v>IN</v>
      </c>
      <c r="P362">
        <f>VLOOKUP(A362,vlookup_table!$A:$G,4,FALSE)</f>
        <v>4801</v>
      </c>
      <c r="Q362" t="str">
        <f>VLOOKUP(A362,vlookup_table!$A:$G,5,FALSE)</f>
        <v>R2</v>
      </c>
      <c r="R362" t="str">
        <f>VLOOKUP(A362,vlookup_table!$A:$G,6,FALSE)</f>
        <v>F</v>
      </c>
      <c r="S362">
        <f>VLOOKUP(A362,vlookup_table!$A:$G,7,FALSE)</f>
        <v>12</v>
      </c>
      <c r="T362">
        <f t="shared" si="10"/>
        <v>48</v>
      </c>
      <c r="U362" t="str">
        <f t="shared" si="11"/>
        <v>Rural</v>
      </c>
    </row>
    <row r="363" spans="1:21" ht="16" x14ac:dyDescent="0.4">
      <c r="A363" s="4">
        <v>133814</v>
      </c>
      <c r="B363" s="1" t="s">
        <v>38</v>
      </c>
      <c r="C363" s="1" t="s">
        <v>14</v>
      </c>
      <c r="D363" s="1">
        <v>654</v>
      </c>
      <c r="E363" s="1">
        <v>250</v>
      </c>
      <c r="F363" s="1">
        <v>366</v>
      </c>
      <c r="G363" s="1">
        <v>3</v>
      </c>
      <c r="H363" s="1">
        <v>13433</v>
      </c>
      <c r="I363" s="1">
        <v>2</v>
      </c>
      <c r="J363" s="1">
        <v>32</v>
      </c>
      <c r="K363" s="1">
        <v>306</v>
      </c>
      <c r="L363" s="1">
        <v>312</v>
      </c>
      <c r="M363" s="1">
        <v>18.714285709999999</v>
      </c>
      <c r="N363">
        <f>VLOOKUP(A363,vlookup_table!$A:$G,2,FALSE)</f>
        <v>2</v>
      </c>
      <c r="O363" t="str">
        <f>VLOOKUP(A363,vlookup_table!$A:$G,3,FALSE)</f>
        <v>ID</v>
      </c>
      <c r="P363">
        <f>VLOOKUP(A363,vlookup_table!$A:$G,4,FALSE)</f>
        <v>2412</v>
      </c>
      <c r="Q363" t="str">
        <f>VLOOKUP(A363,vlookup_table!$A:$G,5,FALSE)</f>
        <v>T2</v>
      </c>
      <c r="R363" t="str">
        <f>VLOOKUP(A363,vlookup_table!$A:$G,6,FALSE)</f>
        <v>M</v>
      </c>
      <c r="S363">
        <f>VLOOKUP(A363,vlookup_table!$A:$G,7,FALSE)</f>
        <v>25</v>
      </c>
      <c r="T363">
        <f t="shared" si="10"/>
        <v>72</v>
      </c>
      <c r="U363" t="str">
        <f t="shared" si="11"/>
        <v>Pueblo</v>
      </c>
    </row>
    <row r="364" spans="1:21" ht="16" x14ac:dyDescent="0.4">
      <c r="A364" s="4">
        <v>31852</v>
      </c>
      <c r="B364" s="1" t="s">
        <v>13</v>
      </c>
      <c r="C364" s="1" t="s">
        <v>17</v>
      </c>
      <c r="D364" s="1">
        <v>985</v>
      </c>
      <c r="E364" s="1">
        <v>480</v>
      </c>
      <c r="F364" s="1">
        <v>506</v>
      </c>
      <c r="G364" s="1">
        <v>0</v>
      </c>
      <c r="H364" s="1">
        <v>15195</v>
      </c>
      <c r="I364" s="1">
        <v>3</v>
      </c>
      <c r="J364" s="1">
        <v>25</v>
      </c>
      <c r="K364" s="1">
        <v>495</v>
      </c>
      <c r="L364" s="1">
        <v>487</v>
      </c>
      <c r="M364" s="1">
        <v>15.2</v>
      </c>
      <c r="N364">
        <f>VLOOKUP(A364,vlookup_table!$A:$G,2,FALSE)</f>
        <v>0</v>
      </c>
      <c r="O364" t="str">
        <f>VLOOKUP(A364,vlookup_table!$A:$G,3,FALSE)</f>
        <v>FL</v>
      </c>
      <c r="P364">
        <f>VLOOKUP(A364,vlookup_table!$A:$G,4,FALSE)</f>
        <v>4802</v>
      </c>
      <c r="Q364" t="str">
        <f>VLOOKUP(A364,vlookup_table!$A:$G,5,FALSE)</f>
        <v>S1</v>
      </c>
      <c r="R364" t="str">
        <f>VLOOKUP(A364,vlookup_table!$A:$G,6,FALSE)</f>
        <v>F</v>
      </c>
      <c r="S364">
        <f>VLOOKUP(A364,vlookup_table!$A:$G,7,FALSE)</f>
        <v>26</v>
      </c>
      <c r="T364">
        <f t="shared" si="10"/>
        <v>48</v>
      </c>
      <c r="U364" t="str">
        <f t="shared" si="11"/>
        <v>Suburbano</v>
      </c>
    </row>
    <row r="365" spans="1:21" ht="16" x14ac:dyDescent="0.4">
      <c r="A365" s="4">
        <v>82610</v>
      </c>
      <c r="B365" s="1" t="s">
        <v>52</v>
      </c>
      <c r="C365" s="1" t="s">
        <v>41</v>
      </c>
      <c r="D365" s="1">
        <v>280</v>
      </c>
      <c r="E365" s="1">
        <v>249</v>
      </c>
      <c r="F365" s="1">
        <v>304</v>
      </c>
      <c r="G365" s="1">
        <v>0</v>
      </c>
      <c r="H365" s="1">
        <v>10337</v>
      </c>
      <c r="I365" s="1">
        <v>0</v>
      </c>
      <c r="J365" s="1">
        <v>86</v>
      </c>
      <c r="K365" s="1">
        <v>282</v>
      </c>
      <c r="L365" s="1">
        <v>277</v>
      </c>
      <c r="M365" s="1">
        <v>3.6</v>
      </c>
      <c r="N365">
        <f>VLOOKUP(A365,vlookup_table!$A:$G,2,FALSE)</f>
        <v>0</v>
      </c>
      <c r="O365" t="str">
        <f>VLOOKUP(A365,vlookup_table!$A:$G,3,FALSE)</f>
        <v>MN</v>
      </c>
      <c r="P365">
        <f>VLOOKUP(A365,vlookup_table!$A:$G,4,FALSE)</f>
        <v>2308</v>
      </c>
      <c r="Q365" t="str">
        <f>VLOOKUP(A365,vlookup_table!$A:$G,5,FALSE)</f>
        <v>S2</v>
      </c>
      <c r="R365" t="str">
        <f>VLOOKUP(A365,vlookup_table!$A:$G,6,FALSE)</f>
        <v>J</v>
      </c>
      <c r="S365">
        <f>VLOOKUP(A365,vlookup_table!$A:$G,7,FALSE)</f>
        <v>5</v>
      </c>
      <c r="T365">
        <f t="shared" si="10"/>
        <v>73</v>
      </c>
      <c r="U365" t="str">
        <f t="shared" si="11"/>
        <v>Suburbano</v>
      </c>
    </row>
    <row r="366" spans="1:21" ht="16" x14ac:dyDescent="0.4">
      <c r="A366" s="4">
        <v>34319</v>
      </c>
      <c r="B366" s="1" t="s">
        <v>13</v>
      </c>
      <c r="C366" s="1" t="s">
        <v>14</v>
      </c>
      <c r="D366" s="1">
        <v>714</v>
      </c>
      <c r="E366" s="1">
        <v>390</v>
      </c>
      <c r="F366" s="1">
        <v>507</v>
      </c>
      <c r="G366" s="1">
        <v>0</v>
      </c>
      <c r="H366" s="1">
        <v>18391</v>
      </c>
      <c r="I366" s="1">
        <v>5</v>
      </c>
      <c r="J366" s="1">
        <v>30</v>
      </c>
      <c r="K366" s="1">
        <v>465</v>
      </c>
      <c r="L366" s="1">
        <v>437</v>
      </c>
      <c r="M366" s="1">
        <v>50</v>
      </c>
      <c r="N366">
        <f>VLOOKUP(A366,vlookup_table!$A:$G,2,FALSE)</f>
        <v>0</v>
      </c>
      <c r="O366" t="str">
        <f>VLOOKUP(A366,vlookup_table!$A:$G,3,FALSE)</f>
        <v>FL</v>
      </c>
      <c r="P366">
        <f>VLOOKUP(A366,vlookup_table!$A:$G,4,FALSE)</f>
        <v>3001</v>
      </c>
      <c r="Q366" t="str">
        <f>VLOOKUP(A366,vlookup_table!$A:$G,5,FALSE)</f>
        <v>C1</v>
      </c>
      <c r="R366" t="str">
        <f>VLOOKUP(A366,vlookup_table!$A:$G,6,FALSE)</f>
        <v>M</v>
      </c>
      <c r="S366">
        <f>VLOOKUP(A366,vlookup_table!$A:$G,7,FALSE)</f>
        <v>25</v>
      </c>
      <c r="T366">
        <f t="shared" si="10"/>
        <v>66</v>
      </c>
      <c r="U366" t="str">
        <f t="shared" si="11"/>
        <v>Ciudad</v>
      </c>
    </row>
    <row r="367" spans="1:21" ht="16" x14ac:dyDescent="0.4">
      <c r="A367" s="4">
        <v>152527</v>
      </c>
      <c r="B367" s="1" t="s">
        <v>21</v>
      </c>
      <c r="C367" s="1" t="s">
        <v>17</v>
      </c>
      <c r="D367" s="1">
        <v>1854</v>
      </c>
      <c r="E367" s="1">
        <v>289</v>
      </c>
      <c r="F367" s="1">
        <v>402</v>
      </c>
      <c r="G367" s="1">
        <v>37</v>
      </c>
      <c r="H367" s="1">
        <v>11567</v>
      </c>
      <c r="I367" s="1">
        <v>9</v>
      </c>
      <c r="J367" s="1">
        <v>50</v>
      </c>
      <c r="K367" s="1">
        <v>377</v>
      </c>
      <c r="L367" s="1">
        <v>339</v>
      </c>
      <c r="M367" s="1">
        <v>23</v>
      </c>
      <c r="N367">
        <f>VLOOKUP(A367,vlookup_table!$A:$G,2,FALSE)</f>
        <v>28</v>
      </c>
      <c r="O367" t="str">
        <f>VLOOKUP(A367,vlookup_table!$A:$G,3,FALSE)</f>
        <v>CA</v>
      </c>
      <c r="P367">
        <f>VLOOKUP(A367,vlookup_table!$A:$G,4,FALSE)</f>
        <v>4501</v>
      </c>
      <c r="Q367" t="str">
        <f>VLOOKUP(A367,vlookup_table!$A:$G,5,FALSE)</f>
        <v>C2</v>
      </c>
      <c r="R367" t="str">
        <f>VLOOKUP(A367,vlookup_table!$A:$G,6,FALSE)</f>
        <v>F</v>
      </c>
      <c r="S367">
        <f>VLOOKUP(A367,vlookup_table!$A:$G,7,FALSE)</f>
        <v>23</v>
      </c>
      <c r="T367">
        <f t="shared" si="10"/>
        <v>51</v>
      </c>
      <c r="U367" t="str">
        <f t="shared" si="11"/>
        <v>Ciudad</v>
      </c>
    </row>
    <row r="368" spans="1:21" ht="16" x14ac:dyDescent="0.4">
      <c r="A368" s="4">
        <v>178290</v>
      </c>
      <c r="B368" s="1" t="s">
        <v>37</v>
      </c>
      <c r="C368" s="1" t="s">
        <v>14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5.375</v>
      </c>
      <c r="N368">
        <f>VLOOKUP(A368,vlookup_table!$A:$G,2,FALSE)</f>
        <v>1</v>
      </c>
      <c r="O368" t="str">
        <f>VLOOKUP(A368,vlookup_table!$A:$G,3,FALSE)</f>
        <v>WA</v>
      </c>
      <c r="P368">
        <f>VLOOKUP(A368,vlookup_table!$A:$G,4,FALSE)</f>
        <v>0</v>
      </c>
      <c r="Q368" t="str">
        <f>VLOOKUP(A368,vlookup_table!$A:$G,5,FALSE)</f>
        <v>S1</v>
      </c>
      <c r="R368" t="str">
        <f>VLOOKUP(A368,vlookup_table!$A:$G,6,FALSE)</f>
        <v>M</v>
      </c>
      <c r="S368">
        <f>VLOOKUP(A368,vlookup_table!$A:$G,7,FALSE)</f>
        <v>6</v>
      </c>
      <c r="T368">
        <f t="shared" si="10"/>
        <v>96</v>
      </c>
      <c r="U368" t="str">
        <f t="shared" si="11"/>
        <v>Suburbano</v>
      </c>
    </row>
    <row r="369" spans="1:21" ht="16" x14ac:dyDescent="0.4">
      <c r="A369" s="4">
        <v>153818</v>
      </c>
      <c r="B369" s="1" t="s">
        <v>21</v>
      </c>
      <c r="C369" s="1" t="s">
        <v>17</v>
      </c>
      <c r="D369" s="1">
        <v>2780</v>
      </c>
      <c r="E369" s="1">
        <v>574</v>
      </c>
      <c r="F369" s="1">
        <v>677</v>
      </c>
      <c r="G369" s="1">
        <v>86</v>
      </c>
      <c r="H369" s="1">
        <v>29871</v>
      </c>
      <c r="I369" s="1">
        <v>5</v>
      </c>
      <c r="J369" s="1">
        <v>14</v>
      </c>
      <c r="K369" s="1">
        <v>587</v>
      </c>
      <c r="L369" s="1">
        <v>653</v>
      </c>
      <c r="M369" s="1">
        <v>9.8285714290000001</v>
      </c>
      <c r="N369">
        <f>VLOOKUP(A369,vlookup_table!$A:$G,2,FALSE)</f>
        <v>0</v>
      </c>
      <c r="O369" t="str">
        <f>VLOOKUP(A369,vlookup_table!$A:$G,3,FALSE)</f>
        <v>CA</v>
      </c>
      <c r="P369">
        <f>VLOOKUP(A369,vlookup_table!$A:$G,4,FALSE)</f>
        <v>0</v>
      </c>
      <c r="Q369" t="str">
        <f>VLOOKUP(A369,vlookup_table!$A:$G,5,FALSE)</f>
        <v>S1</v>
      </c>
      <c r="R369" t="str">
        <f>VLOOKUP(A369,vlookup_table!$A:$G,6,FALSE)</f>
        <v>F</v>
      </c>
      <c r="S369">
        <f>VLOOKUP(A369,vlookup_table!$A:$G,7,FALSE)</f>
        <v>10</v>
      </c>
      <c r="T369">
        <f t="shared" si="10"/>
        <v>96</v>
      </c>
      <c r="U369" t="str">
        <f t="shared" si="11"/>
        <v>Suburbano</v>
      </c>
    </row>
    <row r="370" spans="1:21" ht="16" x14ac:dyDescent="0.4">
      <c r="A370" s="4">
        <v>152641</v>
      </c>
      <c r="B370" s="1" t="s">
        <v>21</v>
      </c>
      <c r="C370" s="1" t="s">
        <v>17</v>
      </c>
      <c r="D370" s="1">
        <v>1538</v>
      </c>
      <c r="E370" s="1">
        <v>319</v>
      </c>
      <c r="F370" s="1">
        <v>351</v>
      </c>
      <c r="G370" s="1">
        <v>1</v>
      </c>
      <c r="H370" s="1">
        <v>11046</v>
      </c>
      <c r="I370" s="1">
        <v>11</v>
      </c>
      <c r="J370" s="1">
        <v>43</v>
      </c>
      <c r="K370" s="1">
        <v>305</v>
      </c>
      <c r="L370" s="1">
        <v>349</v>
      </c>
      <c r="M370" s="1">
        <v>30</v>
      </c>
      <c r="N370">
        <f>VLOOKUP(A370,vlookup_table!$A:$G,2,FALSE)</f>
        <v>0</v>
      </c>
      <c r="O370" t="str">
        <f>VLOOKUP(A370,vlookup_table!$A:$G,3,FALSE)</f>
        <v>CA</v>
      </c>
      <c r="P370">
        <f>VLOOKUP(A370,vlookup_table!$A:$G,4,FALSE)</f>
        <v>0</v>
      </c>
      <c r="Q370" t="str">
        <f>VLOOKUP(A370,vlookup_table!$A:$G,5,FALSE)</f>
        <v>S3</v>
      </c>
      <c r="R370" t="str">
        <f>VLOOKUP(A370,vlookup_table!$A:$G,6,FALSE)</f>
        <v>F</v>
      </c>
      <c r="S370">
        <f>VLOOKUP(A370,vlookup_table!$A:$G,7,FALSE)</f>
        <v>50</v>
      </c>
      <c r="T370">
        <f t="shared" si="10"/>
        <v>96</v>
      </c>
      <c r="U370" t="str">
        <f t="shared" si="11"/>
        <v>Suburbano</v>
      </c>
    </row>
    <row r="371" spans="1:21" ht="16" x14ac:dyDescent="0.4">
      <c r="A371" s="4">
        <v>161691</v>
      </c>
      <c r="B371" s="1" t="s">
        <v>21</v>
      </c>
      <c r="C371" s="1" t="s">
        <v>17</v>
      </c>
      <c r="D371" s="1">
        <v>1528</v>
      </c>
      <c r="E371" s="1">
        <v>327</v>
      </c>
      <c r="F371" s="1">
        <v>391</v>
      </c>
      <c r="G371" s="1">
        <v>8</v>
      </c>
      <c r="H371" s="1">
        <v>13190</v>
      </c>
      <c r="I371" s="1">
        <v>17</v>
      </c>
      <c r="J371" s="1">
        <v>51</v>
      </c>
      <c r="K371" s="1">
        <v>358</v>
      </c>
      <c r="L371" s="1">
        <v>370</v>
      </c>
      <c r="M371" s="1">
        <v>19.166666670000001</v>
      </c>
      <c r="N371">
        <f>VLOOKUP(A371,vlookup_table!$A:$G,2,FALSE)</f>
        <v>0</v>
      </c>
      <c r="O371" t="str">
        <f>VLOOKUP(A371,vlookup_table!$A:$G,3,FALSE)</f>
        <v>CA</v>
      </c>
      <c r="P371">
        <f>VLOOKUP(A371,vlookup_table!$A:$G,4,FALSE)</f>
        <v>3401</v>
      </c>
      <c r="Q371" t="str">
        <f>VLOOKUP(A371,vlookup_table!$A:$G,5,FALSE)</f>
        <v>C2</v>
      </c>
      <c r="R371" t="str">
        <f>VLOOKUP(A371,vlookup_table!$A:$G,6,FALSE)</f>
        <v>F</v>
      </c>
      <c r="S371">
        <f>VLOOKUP(A371,vlookup_table!$A:$G,7,FALSE)</f>
        <v>25</v>
      </c>
      <c r="T371">
        <f t="shared" si="10"/>
        <v>62</v>
      </c>
      <c r="U371" t="str">
        <f t="shared" si="11"/>
        <v>Ciudad</v>
      </c>
    </row>
    <row r="372" spans="1:21" ht="16" x14ac:dyDescent="0.4">
      <c r="A372" s="4">
        <v>8404</v>
      </c>
      <c r="B372" s="1" t="s">
        <v>20</v>
      </c>
      <c r="C372" s="1" t="s">
        <v>27</v>
      </c>
      <c r="D372" s="1">
        <v>605</v>
      </c>
      <c r="E372" s="1">
        <v>272</v>
      </c>
      <c r="F372" s="1">
        <v>364</v>
      </c>
      <c r="G372" s="1">
        <v>1</v>
      </c>
      <c r="H372" s="1">
        <v>10897</v>
      </c>
      <c r="I372" s="1">
        <v>5</v>
      </c>
      <c r="J372" s="1">
        <v>73</v>
      </c>
      <c r="K372" s="1">
        <v>313</v>
      </c>
      <c r="L372" s="1">
        <v>335</v>
      </c>
      <c r="M372" s="1">
        <v>37.200000000000003</v>
      </c>
      <c r="N372">
        <f>VLOOKUP(A372,vlookup_table!$A:$G,2,FALSE)</f>
        <v>0</v>
      </c>
      <c r="O372" t="str">
        <f>VLOOKUP(A372,vlookup_table!$A:$G,3,FALSE)</f>
        <v>TX</v>
      </c>
      <c r="P372">
        <f>VLOOKUP(A372,vlookup_table!$A:$G,4,FALSE)</f>
        <v>1501</v>
      </c>
      <c r="Q372" t="str">
        <f>VLOOKUP(A372,vlookup_table!$A:$G,5,FALSE)</f>
        <v>R2</v>
      </c>
      <c r="R372" t="str">
        <f>VLOOKUP(A372,vlookup_table!$A:$G,6,FALSE)</f>
        <v>U</v>
      </c>
      <c r="S372">
        <f>VLOOKUP(A372,vlookup_table!$A:$G,7,FALSE)</f>
        <v>10</v>
      </c>
      <c r="T372">
        <f t="shared" si="10"/>
        <v>81</v>
      </c>
      <c r="U372" t="str">
        <f t="shared" si="11"/>
        <v>Rural</v>
      </c>
    </row>
    <row r="373" spans="1:21" ht="16" x14ac:dyDescent="0.4">
      <c r="A373" s="4">
        <v>88119</v>
      </c>
      <c r="B373" s="1" t="s">
        <v>16</v>
      </c>
      <c r="C373" s="1" t="s">
        <v>17</v>
      </c>
      <c r="D373" s="1">
        <v>1165</v>
      </c>
      <c r="E373" s="1">
        <v>391</v>
      </c>
      <c r="F373" s="1">
        <v>533</v>
      </c>
      <c r="G373" s="1">
        <v>0</v>
      </c>
      <c r="H373" s="1">
        <v>22667</v>
      </c>
      <c r="I373" s="1">
        <v>3</v>
      </c>
      <c r="J373" s="1">
        <v>82</v>
      </c>
      <c r="K373" s="1">
        <v>518</v>
      </c>
      <c r="L373" s="1">
        <v>454</v>
      </c>
      <c r="M373" s="1">
        <v>7</v>
      </c>
      <c r="N373">
        <f>VLOOKUP(A373,vlookup_table!$A:$G,2,FALSE)</f>
        <v>28</v>
      </c>
      <c r="O373" t="str">
        <f>VLOOKUP(A373,vlookup_table!$A:$G,3,FALSE)</f>
        <v>IL</v>
      </c>
      <c r="P373">
        <f>VLOOKUP(A373,vlookup_table!$A:$G,4,FALSE)</f>
        <v>3001</v>
      </c>
      <c r="Q373" t="str">
        <f>VLOOKUP(A373,vlookup_table!$A:$G,5,FALSE)</f>
        <v>S1</v>
      </c>
      <c r="R373" t="str">
        <f>VLOOKUP(A373,vlookup_table!$A:$G,6,FALSE)</f>
        <v>F</v>
      </c>
      <c r="S373">
        <f>VLOOKUP(A373,vlookup_table!$A:$G,7,FALSE)</f>
        <v>10</v>
      </c>
      <c r="T373">
        <f t="shared" si="10"/>
        <v>66</v>
      </c>
      <c r="U373" t="str">
        <f t="shared" si="11"/>
        <v>Suburbano</v>
      </c>
    </row>
    <row r="374" spans="1:21" ht="16" x14ac:dyDescent="0.4">
      <c r="A374" s="4">
        <v>122167</v>
      </c>
      <c r="B374" s="1" t="s">
        <v>20</v>
      </c>
      <c r="C374" s="1" t="s">
        <v>17</v>
      </c>
      <c r="D374" s="1">
        <v>439</v>
      </c>
      <c r="E374" s="1">
        <v>255</v>
      </c>
      <c r="F374" s="1">
        <v>294</v>
      </c>
      <c r="G374" s="1">
        <v>0</v>
      </c>
      <c r="H374" s="1">
        <v>9346</v>
      </c>
      <c r="I374" s="1">
        <v>33</v>
      </c>
      <c r="J374" s="1">
        <v>49</v>
      </c>
      <c r="K374" s="1">
        <v>262</v>
      </c>
      <c r="L374" s="1">
        <v>303</v>
      </c>
      <c r="M374" s="1">
        <v>12.4</v>
      </c>
      <c r="N374">
        <f>VLOOKUP(A374,vlookup_table!$A:$G,2,FALSE)</f>
        <v>0</v>
      </c>
      <c r="O374" t="str">
        <f>VLOOKUP(A374,vlookup_table!$A:$G,3,FALSE)</f>
        <v>TX</v>
      </c>
      <c r="P374">
        <f>VLOOKUP(A374,vlookup_table!$A:$G,4,FALSE)</f>
        <v>0</v>
      </c>
      <c r="Q374" t="str">
        <f>VLOOKUP(A374,vlookup_table!$A:$G,5,FALSE)</f>
        <v>C2</v>
      </c>
      <c r="R374" t="str">
        <f>VLOOKUP(A374,vlookup_table!$A:$G,6,FALSE)</f>
        <v>F</v>
      </c>
      <c r="S374">
        <f>VLOOKUP(A374,vlookup_table!$A:$G,7,FALSE)</f>
        <v>10</v>
      </c>
      <c r="T374">
        <f t="shared" si="10"/>
        <v>96</v>
      </c>
      <c r="U374" t="str">
        <f t="shared" si="11"/>
        <v>Ciudad</v>
      </c>
    </row>
    <row r="375" spans="1:21" ht="16" x14ac:dyDescent="0.4">
      <c r="A375" s="4">
        <v>106639</v>
      </c>
      <c r="B375" s="1" t="s">
        <v>55</v>
      </c>
      <c r="C375" s="1" t="s">
        <v>17</v>
      </c>
      <c r="D375" s="1">
        <v>681</v>
      </c>
      <c r="E375" s="1">
        <v>387</v>
      </c>
      <c r="F375" s="1">
        <v>477</v>
      </c>
      <c r="G375" s="1">
        <v>0</v>
      </c>
      <c r="H375" s="1">
        <v>13753</v>
      </c>
      <c r="I375" s="1">
        <v>1</v>
      </c>
      <c r="J375" s="1">
        <v>47</v>
      </c>
      <c r="K375" s="1">
        <v>422</v>
      </c>
      <c r="L375" s="1">
        <v>428</v>
      </c>
      <c r="M375" s="1">
        <v>15</v>
      </c>
      <c r="N375">
        <f>VLOOKUP(A375,vlookup_table!$A:$G,2,FALSE)</f>
        <v>0</v>
      </c>
      <c r="O375" t="str">
        <f>VLOOKUP(A375,vlookup_table!$A:$G,3,FALSE)</f>
        <v>NE</v>
      </c>
      <c r="P375">
        <f>VLOOKUP(A375,vlookup_table!$A:$G,4,FALSE)</f>
        <v>2001</v>
      </c>
      <c r="Q375" t="str">
        <f>VLOOKUP(A375,vlookup_table!$A:$G,5,FALSE)</f>
        <v>S1</v>
      </c>
      <c r="R375" t="str">
        <f>VLOOKUP(A375,vlookup_table!$A:$G,6,FALSE)</f>
        <v>F</v>
      </c>
      <c r="S375">
        <f>VLOOKUP(A375,vlookup_table!$A:$G,7,FALSE)</f>
        <v>15</v>
      </c>
      <c r="T375">
        <f t="shared" si="10"/>
        <v>76</v>
      </c>
      <c r="U375" t="str">
        <f t="shared" si="11"/>
        <v>Suburbano</v>
      </c>
    </row>
    <row r="376" spans="1:21" ht="16" x14ac:dyDescent="0.4">
      <c r="A376" s="4">
        <v>153450</v>
      </c>
      <c r="B376" s="1" t="s">
        <v>21</v>
      </c>
      <c r="C376" s="1"/>
      <c r="D376" s="1">
        <v>1865</v>
      </c>
      <c r="E376" s="1">
        <v>256</v>
      </c>
      <c r="F376" s="1">
        <v>362</v>
      </c>
      <c r="G376" s="1">
        <v>44</v>
      </c>
      <c r="H376" s="1">
        <v>16069</v>
      </c>
      <c r="I376" s="1">
        <v>13</v>
      </c>
      <c r="J376" s="1">
        <v>36</v>
      </c>
      <c r="K376" s="1">
        <v>295</v>
      </c>
      <c r="L376" s="1">
        <v>317</v>
      </c>
      <c r="M376" s="1">
        <v>24.5</v>
      </c>
      <c r="N376">
        <f>VLOOKUP(A376,vlookup_table!$A:$G,2,FALSE)</f>
        <v>0</v>
      </c>
      <c r="O376" t="str">
        <f>VLOOKUP(A376,vlookup_table!$A:$G,3,FALSE)</f>
        <v>CA</v>
      </c>
      <c r="P376">
        <f>VLOOKUP(A376,vlookup_table!$A:$G,4,FALSE)</f>
        <v>0</v>
      </c>
      <c r="Q376" t="str">
        <f>VLOOKUP(A376,vlookup_table!$A:$G,5,FALSE)</f>
        <v>U3</v>
      </c>
      <c r="R376" t="str">
        <f>VLOOKUP(A376,vlookup_table!$A:$G,6,FALSE)</f>
        <v/>
      </c>
      <c r="S376">
        <f>VLOOKUP(A376,vlookup_table!$A:$G,7,FALSE)</f>
        <v>47</v>
      </c>
      <c r="T376">
        <f t="shared" si="10"/>
        <v>96</v>
      </c>
      <c r="U376" t="str">
        <f t="shared" si="11"/>
        <v>Urbano</v>
      </c>
    </row>
    <row r="377" spans="1:21" ht="16" x14ac:dyDescent="0.4">
      <c r="A377" s="4">
        <v>120107</v>
      </c>
      <c r="B377" s="1" t="s">
        <v>20</v>
      </c>
      <c r="C377" s="1" t="s">
        <v>14</v>
      </c>
      <c r="D377" s="1">
        <v>225</v>
      </c>
      <c r="E377" s="1">
        <v>157</v>
      </c>
      <c r="F377" s="1">
        <v>263</v>
      </c>
      <c r="G377" s="1">
        <v>0</v>
      </c>
      <c r="H377" s="1">
        <v>8947</v>
      </c>
      <c r="I377" s="1">
        <v>1</v>
      </c>
      <c r="J377" s="1">
        <v>81</v>
      </c>
      <c r="K377" s="1">
        <v>204</v>
      </c>
      <c r="L377" s="1">
        <v>217</v>
      </c>
      <c r="M377" s="1">
        <v>18.083333329999999</v>
      </c>
      <c r="N377">
        <f>VLOOKUP(A377,vlookup_table!$A:$G,2,FALSE)</f>
        <v>1</v>
      </c>
      <c r="O377" t="str">
        <f>VLOOKUP(A377,vlookup_table!$A:$G,3,FALSE)</f>
        <v>TX</v>
      </c>
      <c r="P377">
        <f>VLOOKUP(A377,vlookup_table!$A:$G,4,FALSE)</f>
        <v>1803</v>
      </c>
      <c r="Q377" t="str">
        <f>VLOOKUP(A377,vlookup_table!$A:$G,5,FALSE)</f>
        <v>R3</v>
      </c>
      <c r="R377" t="str">
        <f>VLOOKUP(A377,vlookup_table!$A:$G,6,FALSE)</f>
        <v>M</v>
      </c>
      <c r="S377">
        <f>VLOOKUP(A377,vlookup_table!$A:$G,7,FALSE)</f>
        <v>26</v>
      </c>
      <c r="T377">
        <f t="shared" si="10"/>
        <v>78</v>
      </c>
      <c r="U377" t="str">
        <f t="shared" si="11"/>
        <v>Rural</v>
      </c>
    </row>
    <row r="378" spans="1:21" ht="16" x14ac:dyDescent="0.4">
      <c r="A378" s="4">
        <v>72617</v>
      </c>
      <c r="B378" s="1" t="s">
        <v>26</v>
      </c>
      <c r="C378" s="1" t="s">
        <v>14</v>
      </c>
      <c r="D378" s="1">
        <v>258</v>
      </c>
      <c r="E378" s="1">
        <v>216</v>
      </c>
      <c r="F378" s="1">
        <v>274</v>
      </c>
      <c r="G378" s="1">
        <v>0</v>
      </c>
      <c r="H378" s="1">
        <v>8231</v>
      </c>
      <c r="I378" s="1">
        <v>0</v>
      </c>
      <c r="J378" s="1">
        <v>65</v>
      </c>
      <c r="K378" s="1">
        <v>244</v>
      </c>
      <c r="L378" s="1">
        <v>245</v>
      </c>
      <c r="M378" s="1">
        <v>5.4545454549999999</v>
      </c>
      <c r="N378">
        <f>VLOOKUP(A378,vlookup_table!$A:$G,2,FALSE)</f>
        <v>2</v>
      </c>
      <c r="O378" t="str">
        <f>VLOOKUP(A378,vlookup_table!$A:$G,3,FALSE)</f>
        <v>MI</v>
      </c>
      <c r="P378">
        <f>VLOOKUP(A378,vlookup_table!$A:$G,4,FALSE)</f>
        <v>0</v>
      </c>
      <c r="Q378" t="str">
        <f>VLOOKUP(A378,vlookup_table!$A:$G,5,FALSE)</f>
        <v>R3</v>
      </c>
      <c r="R378" t="str">
        <f>VLOOKUP(A378,vlookup_table!$A:$G,6,FALSE)</f>
        <v>M</v>
      </c>
      <c r="S378">
        <f>VLOOKUP(A378,vlookup_table!$A:$G,7,FALSE)</f>
        <v>9</v>
      </c>
      <c r="T378">
        <f t="shared" si="10"/>
        <v>96</v>
      </c>
      <c r="U378" t="str">
        <f t="shared" si="11"/>
        <v>Rural</v>
      </c>
    </row>
    <row r="379" spans="1:21" ht="16" x14ac:dyDescent="0.4">
      <c r="A379" s="4">
        <v>155541</v>
      </c>
      <c r="B379" s="1" t="s">
        <v>21</v>
      </c>
      <c r="C379" s="1" t="s">
        <v>14</v>
      </c>
      <c r="D379" s="1">
        <v>2236</v>
      </c>
      <c r="E379" s="1">
        <v>546</v>
      </c>
      <c r="F379" s="1">
        <v>620</v>
      </c>
      <c r="G379" s="1">
        <v>59</v>
      </c>
      <c r="H379" s="1">
        <v>19923</v>
      </c>
      <c r="I379" s="1">
        <v>9</v>
      </c>
      <c r="J379" s="1">
        <v>57</v>
      </c>
      <c r="K379" s="1">
        <v>563</v>
      </c>
      <c r="L379" s="1">
        <v>612</v>
      </c>
      <c r="M379" s="1">
        <v>9.7857142859999993</v>
      </c>
      <c r="N379">
        <f>VLOOKUP(A379,vlookup_table!$A:$G,2,FALSE)</f>
        <v>0</v>
      </c>
      <c r="O379" t="str">
        <f>VLOOKUP(A379,vlookup_table!$A:$G,3,FALSE)</f>
        <v>CA</v>
      </c>
      <c r="P379">
        <f>VLOOKUP(A379,vlookup_table!$A:$G,4,FALSE)</f>
        <v>3410</v>
      </c>
      <c r="Q379" t="str">
        <f>VLOOKUP(A379,vlookup_table!$A:$G,5,FALSE)</f>
        <v>T1</v>
      </c>
      <c r="R379" t="str">
        <f>VLOOKUP(A379,vlookup_table!$A:$G,6,FALSE)</f>
        <v>M</v>
      </c>
      <c r="S379">
        <f>VLOOKUP(A379,vlookup_table!$A:$G,7,FALSE)</f>
        <v>10</v>
      </c>
      <c r="T379">
        <f t="shared" si="10"/>
        <v>62</v>
      </c>
      <c r="U379" t="str">
        <f t="shared" si="11"/>
        <v>Pueblo</v>
      </c>
    </row>
    <row r="380" spans="1:21" ht="16" x14ac:dyDescent="0.4">
      <c r="A380" s="4">
        <v>77107</v>
      </c>
      <c r="B380" s="1" t="s">
        <v>32</v>
      </c>
      <c r="C380" s="1" t="s">
        <v>14</v>
      </c>
      <c r="D380" s="1">
        <v>1438</v>
      </c>
      <c r="E380" s="1">
        <v>619</v>
      </c>
      <c r="F380" s="1">
        <v>801</v>
      </c>
      <c r="G380" s="1">
        <v>19</v>
      </c>
      <c r="H380" s="1">
        <v>30386</v>
      </c>
      <c r="I380" s="1">
        <v>6</v>
      </c>
      <c r="J380" s="1">
        <v>67</v>
      </c>
      <c r="K380" s="1">
        <v>691</v>
      </c>
      <c r="L380" s="1">
        <v>744</v>
      </c>
      <c r="M380" s="1">
        <v>11.7</v>
      </c>
      <c r="N380">
        <f>VLOOKUP(A380,vlookup_table!$A:$G,2,FALSE)</f>
        <v>0</v>
      </c>
      <c r="O380" t="str">
        <f>VLOOKUP(A380,vlookup_table!$A:$G,3,FALSE)</f>
        <v>WI</v>
      </c>
      <c r="P380">
        <f>VLOOKUP(A380,vlookup_table!$A:$G,4,FALSE)</f>
        <v>4306</v>
      </c>
      <c r="Q380" t="str">
        <f>VLOOKUP(A380,vlookup_table!$A:$G,5,FALSE)</f>
        <v>S1</v>
      </c>
      <c r="R380" t="str">
        <f>VLOOKUP(A380,vlookup_table!$A:$G,6,FALSE)</f>
        <v>M</v>
      </c>
      <c r="S380">
        <f>VLOOKUP(A380,vlookup_table!$A:$G,7,FALSE)</f>
        <v>14</v>
      </c>
      <c r="T380">
        <f t="shared" si="10"/>
        <v>53</v>
      </c>
      <c r="U380" t="str">
        <f t="shared" si="11"/>
        <v>Suburbano</v>
      </c>
    </row>
    <row r="381" spans="1:21" ht="16" x14ac:dyDescent="0.4">
      <c r="A381" s="4">
        <v>186016</v>
      </c>
      <c r="B381" s="1" t="s">
        <v>49</v>
      </c>
      <c r="C381" s="1" t="s">
        <v>14</v>
      </c>
      <c r="D381" s="1">
        <v>403</v>
      </c>
      <c r="E381" s="1">
        <v>209</v>
      </c>
      <c r="F381" s="1">
        <v>244</v>
      </c>
      <c r="G381" s="1">
        <v>0</v>
      </c>
      <c r="H381" s="1">
        <v>9078</v>
      </c>
      <c r="I381" s="1">
        <v>0</v>
      </c>
      <c r="J381" s="1">
        <v>79</v>
      </c>
      <c r="K381" s="1">
        <v>223</v>
      </c>
      <c r="L381" s="1">
        <v>213</v>
      </c>
      <c r="M381" s="1">
        <v>8.6190476189999998</v>
      </c>
      <c r="N381">
        <f>VLOOKUP(A381,vlookup_table!$A:$G,2,FALSE)</f>
        <v>1</v>
      </c>
      <c r="O381" t="str">
        <f>VLOOKUP(A381,vlookup_table!$A:$G,3,FALSE)</f>
        <v>TN</v>
      </c>
      <c r="P381">
        <f>VLOOKUP(A381,vlookup_table!$A:$G,4,FALSE)</f>
        <v>0</v>
      </c>
      <c r="Q381" t="str">
        <f>VLOOKUP(A381,vlookup_table!$A:$G,5,FALSE)</f>
        <v>R2</v>
      </c>
      <c r="R381" t="str">
        <f>VLOOKUP(A381,vlookup_table!$A:$G,6,FALSE)</f>
        <v>M</v>
      </c>
      <c r="S381">
        <f>VLOOKUP(A381,vlookup_table!$A:$G,7,FALSE)</f>
        <v>10</v>
      </c>
      <c r="T381">
        <f t="shared" si="10"/>
        <v>96</v>
      </c>
      <c r="U381" t="str">
        <f t="shared" si="11"/>
        <v>Rural</v>
      </c>
    </row>
    <row r="382" spans="1:21" ht="16" x14ac:dyDescent="0.4">
      <c r="A382" s="4">
        <v>152053</v>
      </c>
      <c r="B382" s="1" t="s">
        <v>21</v>
      </c>
      <c r="C382" s="1" t="s">
        <v>17</v>
      </c>
      <c r="D382" s="1">
        <v>3071</v>
      </c>
      <c r="E382" s="1">
        <v>626</v>
      </c>
      <c r="F382" s="1">
        <v>746</v>
      </c>
      <c r="G382" s="1">
        <v>76</v>
      </c>
      <c r="H382" s="1">
        <v>24844</v>
      </c>
      <c r="I382" s="1">
        <v>3</v>
      </c>
      <c r="J382" s="1">
        <v>51</v>
      </c>
      <c r="K382" s="1">
        <v>694</v>
      </c>
      <c r="L382" s="1">
        <v>704</v>
      </c>
      <c r="M382" s="1">
        <v>12.53333333</v>
      </c>
      <c r="N382">
        <f>VLOOKUP(A382,vlookup_table!$A:$G,2,FALSE)</f>
        <v>2</v>
      </c>
      <c r="O382" t="str">
        <f>VLOOKUP(A382,vlookup_table!$A:$G,3,FALSE)</f>
        <v>CA</v>
      </c>
      <c r="P382">
        <f>VLOOKUP(A382,vlookup_table!$A:$G,4,FALSE)</f>
        <v>5305</v>
      </c>
      <c r="Q382" t="str">
        <f>VLOOKUP(A382,vlookup_table!$A:$G,5,FALSE)</f>
        <v>S1</v>
      </c>
      <c r="R382" t="str">
        <f>VLOOKUP(A382,vlookup_table!$A:$G,6,FALSE)</f>
        <v>F</v>
      </c>
      <c r="S382">
        <f>VLOOKUP(A382,vlookup_table!$A:$G,7,FALSE)</f>
        <v>25</v>
      </c>
      <c r="T382">
        <f t="shared" si="10"/>
        <v>43</v>
      </c>
      <c r="U382" t="str">
        <f t="shared" si="11"/>
        <v>Suburbano</v>
      </c>
    </row>
    <row r="383" spans="1:21" ht="16" x14ac:dyDescent="0.4">
      <c r="A383" s="4">
        <v>12880</v>
      </c>
      <c r="B383" s="1" t="s">
        <v>13</v>
      </c>
      <c r="C383" s="1" t="s">
        <v>14</v>
      </c>
      <c r="D383" s="1">
        <v>1442</v>
      </c>
      <c r="E383" s="1">
        <v>369</v>
      </c>
      <c r="F383" s="1">
        <v>488</v>
      </c>
      <c r="G383" s="1">
        <v>32</v>
      </c>
      <c r="H383" s="1">
        <v>26462</v>
      </c>
      <c r="I383" s="1">
        <v>7</v>
      </c>
      <c r="J383" s="1">
        <v>4</v>
      </c>
      <c r="K383" s="1">
        <v>394</v>
      </c>
      <c r="L383" s="1">
        <v>445</v>
      </c>
      <c r="M383" s="1">
        <v>7.846153846</v>
      </c>
      <c r="N383">
        <f>VLOOKUP(A383,vlookup_table!$A:$G,2,FALSE)</f>
        <v>1</v>
      </c>
      <c r="O383" t="str">
        <f>VLOOKUP(A383,vlookup_table!$A:$G,3,FALSE)</f>
        <v>FL</v>
      </c>
      <c r="P383">
        <f>VLOOKUP(A383,vlookup_table!$A:$G,4,FALSE)</f>
        <v>1401</v>
      </c>
      <c r="Q383" t="str">
        <f>VLOOKUP(A383,vlookup_table!$A:$G,5,FALSE)</f>
        <v>C1</v>
      </c>
      <c r="R383" t="str">
        <f>VLOOKUP(A383,vlookup_table!$A:$G,6,FALSE)</f>
        <v>M</v>
      </c>
      <c r="S383">
        <f>VLOOKUP(A383,vlookup_table!$A:$G,7,FALSE)</f>
        <v>10</v>
      </c>
      <c r="T383">
        <f t="shared" si="10"/>
        <v>82</v>
      </c>
      <c r="U383" t="str">
        <f t="shared" si="11"/>
        <v>Ciudad</v>
      </c>
    </row>
    <row r="384" spans="1:21" ht="16" x14ac:dyDescent="0.4">
      <c r="A384" s="4">
        <v>16099</v>
      </c>
      <c r="B384" s="1" t="s">
        <v>18</v>
      </c>
      <c r="C384" s="1" t="s">
        <v>97</v>
      </c>
      <c r="D384" s="1">
        <v>660</v>
      </c>
      <c r="E384" s="1">
        <v>282</v>
      </c>
      <c r="F384" s="1">
        <v>335</v>
      </c>
      <c r="G384" s="1">
        <v>1</v>
      </c>
      <c r="H384" s="1">
        <v>10743</v>
      </c>
      <c r="I384" s="1">
        <v>0</v>
      </c>
      <c r="J384" s="1">
        <v>81</v>
      </c>
      <c r="K384" s="1">
        <v>291</v>
      </c>
      <c r="L384" s="1">
        <v>327</v>
      </c>
      <c r="M384" s="1">
        <v>5.5</v>
      </c>
      <c r="N384">
        <f>VLOOKUP(A384,vlookup_table!$A:$G,2,FALSE)</f>
        <v>0</v>
      </c>
      <c r="O384" t="str">
        <f>VLOOKUP(A384,vlookup_table!$A:$G,3,FALSE)</f>
        <v>NC</v>
      </c>
      <c r="P384">
        <f>VLOOKUP(A384,vlookup_table!$A:$G,4,FALSE)</f>
        <v>2701</v>
      </c>
      <c r="Q384" t="str">
        <f>VLOOKUP(A384,vlookup_table!$A:$G,5,FALSE)</f>
        <v>R2</v>
      </c>
      <c r="R384" t="str">
        <f>VLOOKUP(A384,vlookup_table!$A:$G,6,FALSE)</f>
        <v>F</v>
      </c>
      <c r="S384">
        <f>VLOOKUP(A384,vlookup_table!$A:$G,7,FALSE)</f>
        <v>12</v>
      </c>
      <c r="T384">
        <f t="shared" si="10"/>
        <v>69</v>
      </c>
      <c r="U384" t="str">
        <f t="shared" si="11"/>
        <v>Rural</v>
      </c>
    </row>
    <row r="385" spans="1:21" ht="16" x14ac:dyDescent="0.4">
      <c r="A385" s="4">
        <v>166337</v>
      </c>
      <c r="B385" s="1" t="s">
        <v>21</v>
      </c>
      <c r="C385" s="1" t="s">
        <v>14</v>
      </c>
      <c r="D385" s="1">
        <v>5813</v>
      </c>
      <c r="E385" s="1">
        <v>1221</v>
      </c>
      <c r="F385" s="1">
        <v>1191</v>
      </c>
      <c r="G385" s="1">
        <v>98</v>
      </c>
      <c r="H385" s="1">
        <v>60492</v>
      </c>
      <c r="I385" s="1">
        <v>8</v>
      </c>
      <c r="J385" s="1">
        <v>52</v>
      </c>
      <c r="K385" s="1">
        <v>1302</v>
      </c>
      <c r="L385" s="1">
        <v>1077</v>
      </c>
      <c r="M385" s="1">
        <v>15</v>
      </c>
      <c r="N385">
        <f>VLOOKUP(A385,vlookup_table!$A:$G,2,FALSE)</f>
        <v>1002</v>
      </c>
      <c r="O385" t="str">
        <f>VLOOKUP(A385,vlookup_table!$A:$G,3,FALSE)</f>
        <v>CA</v>
      </c>
      <c r="P385">
        <f>VLOOKUP(A385,vlookup_table!$A:$G,4,FALSE)</f>
        <v>5401</v>
      </c>
      <c r="Q385" t="str">
        <f>VLOOKUP(A385,vlookup_table!$A:$G,5,FALSE)</f>
        <v>S1</v>
      </c>
      <c r="R385" t="str">
        <f>VLOOKUP(A385,vlookup_table!$A:$G,6,FALSE)</f>
        <v>M</v>
      </c>
      <c r="S385">
        <f>VLOOKUP(A385,vlookup_table!$A:$G,7,FALSE)</f>
        <v>15</v>
      </c>
      <c r="T385">
        <f t="shared" si="10"/>
        <v>42</v>
      </c>
      <c r="U385" t="str">
        <f t="shared" si="11"/>
        <v>Suburbano</v>
      </c>
    </row>
    <row r="386" spans="1:21" ht="16" x14ac:dyDescent="0.4">
      <c r="A386" s="4">
        <v>142495</v>
      </c>
      <c r="B386" s="1" t="s">
        <v>21</v>
      </c>
      <c r="C386" s="1" t="s">
        <v>17</v>
      </c>
      <c r="D386" s="1">
        <v>2250</v>
      </c>
      <c r="E386" s="1">
        <v>340</v>
      </c>
      <c r="F386" s="1">
        <v>444</v>
      </c>
      <c r="G386" s="1">
        <v>60</v>
      </c>
      <c r="H386" s="1">
        <v>19170</v>
      </c>
      <c r="I386" s="1">
        <v>35</v>
      </c>
      <c r="J386" s="1">
        <v>28</v>
      </c>
      <c r="K386" s="1">
        <v>375</v>
      </c>
      <c r="L386" s="1">
        <v>379</v>
      </c>
      <c r="M386" s="1">
        <v>11.4</v>
      </c>
      <c r="N386">
        <f>VLOOKUP(A386,vlookup_table!$A:$G,2,FALSE)</f>
        <v>28</v>
      </c>
      <c r="O386" t="str">
        <f>VLOOKUP(A386,vlookup_table!$A:$G,3,FALSE)</f>
        <v>CA</v>
      </c>
      <c r="P386">
        <f>VLOOKUP(A386,vlookup_table!$A:$G,4,FALSE)</f>
        <v>0</v>
      </c>
      <c r="Q386" t="str">
        <f>VLOOKUP(A386,vlookup_table!$A:$G,5,FALSE)</f>
        <v>U1</v>
      </c>
      <c r="R386" t="str">
        <f>VLOOKUP(A386,vlookup_table!$A:$G,6,FALSE)</f>
        <v>F</v>
      </c>
      <c r="S386">
        <f>VLOOKUP(A386,vlookup_table!$A:$G,7,FALSE)</f>
        <v>21</v>
      </c>
      <c r="T386">
        <f t="shared" si="10"/>
        <v>96</v>
      </c>
      <c r="U386" t="str">
        <f t="shared" si="11"/>
        <v>Urbano</v>
      </c>
    </row>
    <row r="387" spans="1:21" ht="16" x14ac:dyDescent="0.4">
      <c r="A387" s="4">
        <v>66891</v>
      </c>
      <c r="B387" s="1" t="s">
        <v>26</v>
      </c>
      <c r="C387" s="1" t="s">
        <v>27</v>
      </c>
      <c r="D387" s="1">
        <v>1115</v>
      </c>
      <c r="E387" s="1">
        <v>512</v>
      </c>
      <c r="F387" s="1">
        <v>619</v>
      </c>
      <c r="G387" s="1">
        <v>4</v>
      </c>
      <c r="H387" s="1">
        <v>20171</v>
      </c>
      <c r="I387" s="1">
        <v>3</v>
      </c>
      <c r="J387" s="1">
        <v>64</v>
      </c>
      <c r="K387" s="1">
        <v>582</v>
      </c>
      <c r="L387" s="1">
        <v>517</v>
      </c>
      <c r="M387" s="1">
        <v>3.8571428569999999</v>
      </c>
      <c r="N387">
        <f>VLOOKUP(A387,vlookup_table!$A:$G,2,FALSE)</f>
        <v>0</v>
      </c>
      <c r="O387" t="str">
        <f>VLOOKUP(A387,vlookup_table!$A:$G,3,FALSE)</f>
        <v>MI</v>
      </c>
      <c r="P387">
        <f>VLOOKUP(A387,vlookup_table!$A:$G,4,FALSE)</f>
        <v>0</v>
      </c>
      <c r="Q387" t="str">
        <f>VLOOKUP(A387,vlookup_table!$A:$G,5,FALSE)</f>
        <v>S1</v>
      </c>
      <c r="R387" t="str">
        <f>VLOOKUP(A387,vlookup_table!$A:$G,6,FALSE)</f>
        <v>U</v>
      </c>
      <c r="S387">
        <f>VLOOKUP(A387,vlookup_table!$A:$G,7,FALSE)</f>
        <v>5</v>
      </c>
      <c r="T387">
        <f t="shared" ref="T387:T450" si="12">97-LEFT(P387,2)-IF(RIGHT(P387,2)&gt;6,1,0)</f>
        <v>96</v>
      </c>
      <c r="U387" t="str">
        <f t="shared" ref="U387:U450" si="13">IF(LEFT(Q387,1)="C","Ciudad",IF(LEFT(Q387,1)="T","Pueblo",IF(LEFT(Q387,1)="R","Rural",IF(LEFT(Q387,1)="S","Suburbano",IF(LEFT(Q387,1)="U","Urbano","")))))</f>
        <v>Suburbano</v>
      </c>
    </row>
    <row r="388" spans="1:21" ht="16" x14ac:dyDescent="0.4">
      <c r="A388" s="4">
        <v>118673</v>
      </c>
      <c r="B388" s="1" t="s">
        <v>20</v>
      </c>
      <c r="C388" s="1" t="s">
        <v>17</v>
      </c>
      <c r="D388" s="1">
        <v>761</v>
      </c>
      <c r="E388" s="1">
        <v>321</v>
      </c>
      <c r="F388" s="1">
        <v>354</v>
      </c>
      <c r="G388" s="1">
        <v>2</v>
      </c>
      <c r="H388" s="1">
        <v>12145</v>
      </c>
      <c r="I388" s="1">
        <v>2</v>
      </c>
      <c r="J388" s="1">
        <v>76</v>
      </c>
      <c r="K388" s="1">
        <v>347</v>
      </c>
      <c r="L388" s="1">
        <v>351</v>
      </c>
      <c r="M388" s="1">
        <v>10.81818182</v>
      </c>
      <c r="N388">
        <f>VLOOKUP(A388,vlookup_table!$A:$G,2,FALSE)</f>
        <v>0</v>
      </c>
      <c r="O388" t="str">
        <f>VLOOKUP(A388,vlookup_table!$A:$G,3,FALSE)</f>
        <v>TX</v>
      </c>
      <c r="P388">
        <f>VLOOKUP(A388,vlookup_table!$A:$G,4,FALSE)</f>
        <v>0</v>
      </c>
      <c r="Q388" t="str">
        <f>VLOOKUP(A388,vlookup_table!$A:$G,5,FALSE)</f>
        <v>R2</v>
      </c>
      <c r="R388" t="str">
        <f>VLOOKUP(A388,vlookup_table!$A:$G,6,FALSE)</f>
        <v>F</v>
      </c>
      <c r="S388">
        <f>VLOOKUP(A388,vlookup_table!$A:$G,7,FALSE)</f>
        <v>10</v>
      </c>
      <c r="T388">
        <f t="shared" si="12"/>
        <v>96</v>
      </c>
      <c r="U388" t="str">
        <f t="shared" si="13"/>
        <v>Rural</v>
      </c>
    </row>
    <row r="389" spans="1:21" ht="16" x14ac:dyDescent="0.4">
      <c r="A389" s="4">
        <v>168389</v>
      </c>
      <c r="B389" s="1" t="s">
        <v>21</v>
      </c>
      <c r="C389" s="1" t="s">
        <v>17</v>
      </c>
      <c r="D389" s="1">
        <v>2930</v>
      </c>
      <c r="E389" s="1">
        <v>372</v>
      </c>
      <c r="F389" s="1">
        <v>491</v>
      </c>
      <c r="G389" s="1">
        <v>91</v>
      </c>
      <c r="H389" s="1">
        <v>24747</v>
      </c>
      <c r="I389" s="1">
        <v>19</v>
      </c>
      <c r="J389" s="1">
        <v>49</v>
      </c>
      <c r="K389" s="1">
        <v>454</v>
      </c>
      <c r="L389" s="1">
        <v>456</v>
      </c>
      <c r="M389" s="1">
        <v>15</v>
      </c>
      <c r="N389">
        <f>VLOOKUP(A389,vlookup_table!$A:$G,2,FALSE)</f>
        <v>28</v>
      </c>
      <c r="O389" t="str">
        <f>VLOOKUP(A389,vlookup_table!$A:$G,3,FALSE)</f>
        <v>CA</v>
      </c>
      <c r="P389">
        <f>VLOOKUP(A389,vlookup_table!$A:$G,4,FALSE)</f>
        <v>0</v>
      </c>
      <c r="Q389" t="str">
        <f>VLOOKUP(A389,vlookup_table!$A:$G,5,FALSE)</f>
        <v>U1</v>
      </c>
      <c r="R389" t="str">
        <f>VLOOKUP(A389,vlookup_table!$A:$G,6,FALSE)</f>
        <v>F</v>
      </c>
      <c r="S389">
        <f>VLOOKUP(A389,vlookup_table!$A:$G,7,FALSE)</f>
        <v>20</v>
      </c>
      <c r="T389">
        <f t="shared" si="12"/>
        <v>96</v>
      </c>
      <c r="U389" t="str">
        <f t="shared" si="13"/>
        <v>Urbano</v>
      </c>
    </row>
    <row r="390" spans="1:21" ht="16" x14ac:dyDescent="0.4">
      <c r="A390" s="4">
        <v>14982</v>
      </c>
      <c r="B390" s="1" t="s">
        <v>21</v>
      </c>
      <c r="C390" s="1" t="s">
        <v>17</v>
      </c>
      <c r="D390" s="1">
        <v>3370</v>
      </c>
      <c r="E390" s="1">
        <v>342</v>
      </c>
      <c r="F390" s="1">
        <v>401</v>
      </c>
      <c r="G390" s="1">
        <v>94</v>
      </c>
      <c r="H390" s="1">
        <v>15765</v>
      </c>
      <c r="I390" s="1">
        <v>22</v>
      </c>
      <c r="J390" s="1">
        <v>40</v>
      </c>
      <c r="K390" s="1">
        <v>346</v>
      </c>
      <c r="L390" s="1">
        <v>356</v>
      </c>
      <c r="M390" s="1">
        <v>16.06666667</v>
      </c>
      <c r="N390">
        <f>VLOOKUP(A390,vlookup_table!$A:$G,2,FALSE)</f>
        <v>0</v>
      </c>
      <c r="O390" t="str">
        <f>VLOOKUP(A390,vlookup_table!$A:$G,3,FALSE)</f>
        <v>CA</v>
      </c>
      <c r="P390">
        <f>VLOOKUP(A390,vlookup_table!$A:$G,4,FALSE)</f>
        <v>0</v>
      </c>
      <c r="Q390" t="str">
        <f>VLOOKUP(A390,vlookup_table!$A:$G,5,FALSE)</f>
        <v>U1</v>
      </c>
      <c r="R390" t="str">
        <f>VLOOKUP(A390,vlookup_table!$A:$G,6,FALSE)</f>
        <v>F</v>
      </c>
      <c r="S390">
        <f>VLOOKUP(A390,vlookup_table!$A:$G,7,FALSE)</f>
        <v>15</v>
      </c>
      <c r="T390">
        <f t="shared" si="12"/>
        <v>96</v>
      </c>
      <c r="U390" t="str">
        <f t="shared" si="13"/>
        <v>Urbano</v>
      </c>
    </row>
    <row r="391" spans="1:21" ht="16" x14ac:dyDescent="0.4">
      <c r="A391" s="4">
        <v>185925</v>
      </c>
      <c r="B391" s="1" t="s">
        <v>52</v>
      </c>
      <c r="C391" s="1" t="s">
        <v>14</v>
      </c>
      <c r="D391" s="1">
        <v>966</v>
      </c>
      <c r="E391" s="1">
        <v>418</v>
      </c>
      <c r="F391" s="1">
        <v>569</v>
      </c>
      <c r="G391" s="1">
        <v>3</v>
      </c>
      <c r="H391" s="1">
        <v>22845</v>
      </c>
      <c r="I391" s="1">
        <v>7</v>
      </c>
      <c r="J391" s="1">
        <v>58</v>
      </c>
      <c r="K391" s="1">
        <v>463</v>
      </c>
      <c r="L391" s="1">
        <v>479</v>
      </c>
      <c r="M391" s="1">
        <v>7.3636363640000004</v>
      </c>
      <c r="N391">
        <f>VLOOKUP(A391,vlookup_table!$A:$G,2,FALSE)</f>
        <v>1</v>
      </c>
      <c r="O391" t="str">
        <f>VLOOKUP(A391,vlookup_table!$A:$G,3,FALSE)</f>
        <v>MN</v>
      </c>
      <c r="P391">
        <f>VLOOKUP(A391,vlookup_table!$A:$G,4,FALSE)</f>
        <v>4701</v>
      </c>
      <c r="Q391" t="str">
        <f>VLOOKUP(A391,vlookup_table!$A:$G,5,FALSE)</f>
        <v>C1</v>
      </c>
      <c r="R391" t="str">
        <f>VLOOKUP(A391,vlookup_table!$A:$G,6,FALSE)</f>
        <v>M</v>
      </c>
      <c r="S391">
        <f>VLOOKUP(A391,vlookup_table!$A:$G,7,FALSE)</f>
        <v>10</v>
      </c>
      <c r="T391">
        <f t="shared" si="12"/>
        <v>49</v>
      </c>
      <c r="U391" t="str">
        <f t="shared" si="13"/>
        <v>Ciudad</v>
      </c>
    </row>
    <row r="392" spans="1:21" ht="16" x14ac:dyDescent="0.4">
      <c r="A392" s="4">
        <v>144393</v>
      </c>
      <c r="B392" s="1" t="s">
        <v>21</v>
      </c>
      <c r="C392" s="1" t="s">
        <v>17</v>
      </c>
      <c r="D392" s="1">
        <v>2024</v>
      </c>
      <c r="E392" s="1">
        <v>352</v>
      </c>
      <c r="F392" s="1">
        <v>427</v>
      </c>
      <c r="G392" s="1">
        <v>51</v>
      </c>
      <c r="H392" s="1">
        <v>11885</v>
      </c>
      <c r="I392" s="1">
        <v>24</v>
      </c>
      <c r="J392" s="1">
        <v>43</v>
      </c>
      <c r="K392" s="1">
        <v>400</v>
      </c>
      <c r="L392" s="1">
        <v>392</v>
      </c>
      <c r="M392" s="1">
        <v>8.6315789469999995</v>
      </c>
      <c r="N392">
        <f>VLOOKUP(A392,vlookup_table!$A:$G,2,FALSE)</f>
        <v>0</v>
      </c>
      <c r="O392" t="str">
        <f>VLOOKUP(A392,vlookup_table!$A:$G,3,FALSE)</f>
        <v>CA</v>
      </c>
      <c r="P392">
        <f>VLOOKUP(A392,vlookup_table!$A:$G,4,FALSE)</f>
        <v>1909</v>
      </c>
      <c r="Q392" t="str">
        <f>VLOOKUP(A392,vlookup_table!$A:$G,5,FALSE)</f>
        <v>U2</v>
      </c>
      <c r="R392" t="str">
        <f>VLOOKUP(A392,vlookup_table!$A:$G,6,FALSE)</f>
        <v>F</v>
      </c>
      <c r="S392">
        <f>VLOOKUP(A392,vlookup_table!$A:$G,7,FALSE)</f>
        <v>15</v>
      </c>
      <c r="T392">
        <f t="shared" si="12"/>
        <v>77</v>
      </c>
      <c r="U392" t="str">
        <f t="shared" si="13"/>
        <v>Urbano</v>
      </c>
    </row>
    <row r="393" spans="1:21" ht="16" x14ac:dyDescent="0.4">
      <c r="A393" s="4">
        <v>4907</v>
      </c>
      <c r="B393" s="1" t="s">
        <v>31</v>
      </c>
      <c r="C393" s="1" t="s">
        <v>97</v>
      </c>
      <c r="D393" s="1">
        <v>553</v>
      </c>
      <c r="E393" s="1">
        <v>238</v>
      </c>
      <c r="F393" s="1">
        <v>323</v>
      </c>
      <c r="G393" s="1">
        <v>0</v>
      </c>
      <c r="H393" s="1">
        <v>12885</v>
      </c>
      <c r="I393" s="1">
        <v>2</v>
      </c>
      <c r="J393" s="1">
        <v>56</v>
      </c>
      <c r="K393" s="1">
        <v>381</v>
      </c>
      <c r="L393" s="1">
        <v>270</v>
      </c>
      <c r="M393" s="1">
        <v>13.65909091</v>
      </c>
      <c r="N393">
        <f>VLOOKUP(A393,vlookup_table!$A:$G,2,FALSE)</f>
        <v>2</v>
      </c>
      <c r="O393" t="str">
        <f>VLOOKUP(A393,vlookup_table!$A:$G,3,FALSE)</f>
        <v>MT</v>
      </c>
      <c r="P393">
        <f>VLOOKUP(A393,vlookup_table!$A:$G,4,FALSE)</f>
        <v>0</v>
      </c>
      <c r="Q393" t="str">
        <f>VLOOKUP(A393,vlookup_table!$A:$G,5,FALSE)</f>
        <v>C2</v>
      </c>
      <c r="R393" t="str">
        <f>VLOOKUP(A393,vlookup_table!$A:$G,6,FALSE)</f>
        <v>F</v>
      </c>
      <c r="S393">
        <f>VLOOKUP(A393,vlookup_table!$A:$G,7,FALSE)</f>
        <v>22</v>
      </c>
      <c r="T393">
        <f t="shared" si="12"/>
        <v>96</v>
      </c>
      <c r="U393" t="str">
        <f t="shared" si="13"/>
        <v>Ciudad</v>
      </c>
    </row>
    <row r="394" spans="1:21" ht="16" x14ac:dyDescent="0.4">
      <c r="A394" s="4">
        <v>99298</v>
      </c>
      <c r="B394" s="1" t="s">
        <v>33</v>
      </c>
      <c r="C394" s="1" t="s">
        <v>14</v>
      </c>
      <c r="D394" s="1">
        <v>703</v>
      </c>
      <c r="E394" s="1">
        <v>314</v>
      </c>
      <c r="F394" s="1">
        <v>376</v>
      </c>
      <c r="G394" s="1">
        <v>0</v>
      </c>
      <c r="H394" s="1">
        <v>12799</v>
      </c>
      <c r="I394" s="1">
        <v>0</v>
      </c>
      <c r="J394" s="1">
        <v>78</v>
      </c>
      <c r="K394" s="1">
        <v>357</v>
      </c>
      <c r="L394" s="1">
        <v>350</v>
      </c>
      <c r="M394" s="1">
        <v>16.5</v>
      </c>
      <c r="N394">
        <f>VLOOKUP(A394,vlookup_table!$A:$G,2,FALSE)</f>
        <v>1</v>
      </c>
      <c r="O394" t="str">
        <f>VLOOKUP(A394,vlookup_table!$A:$G,3,FALSE)</f>
        <v>MO</v>
      </c>
      <c r="P394">
        <f>VLOOKUP(A394,vlookup_table!$A:$G,4,FALSE)</f>
        <v>4001</v>
      </c>
      <c r="Q394" t="str">
        <f>VLOOKUP(A394,vlookup_table!$A:$G,5,FALSE)</f>
        <v>S2</v>
      </c>
      <c r="R394" t="str">
        <f>VLOOKUP(A394,vlookup_table!$A:$G,6,FALSE)</f>
        <v>M</v>
      </c>
      <c r="S394">
        <f>VLOOKUP(A394,vlookup_table!$A:$G,7,FALSE)</f>
        <v>32</v>
      </c>
      <c r="T394">
        <f t="shared" si="12"/>
        <v>56</v>
      </c>
      <c r="U394" t="str">
        <f t="shared" si="13"/>
        <v>Suburbano</v>
      </c>
    </row>
    <row r="395" spans="1:21" ht="16" x14ac:dyDescent="0.4">
      <c r="A395" s="4">
        <v>187532</v>
      </c>
      <c r="B395" s="1" t="s">
        <v>13</v>
      </c>
      <c r="C395" s="1" t="s">
        <v>14</v>
      </c>
      <c r="D395" s="1">
        <v>1286</v>
      </c>
      <c r="E395" s="1">
        <v>500</v>
      </c>
      <c r="F395" s="1">
        <v>551</v>
      </c>
      <c r="G395" s="1">
        <v>9</v>
      </c>
      <c r="H395" s="1">
        <v>19082</v>
      </c>
      <c r="I395" s="1">
        <v>14</v>
      </c>
      <c r="J395" s="1">
        <v>8</v>
      </c>
      <c r="K395" s="1">
        <v>502</v>
      </c>
      <c r="L395" s="1">
        <v>542</v>
      </c>
      <c r="M395" s="1">
        <v>15</v>
      </c>
      <c r="N395">
        <f>VLOOKUP(A395,vlookup_table!$A:$G,2,FALSE)</f>
        <v>1</v>
      </c>
      <c r="O395" t="str">
        <f>VLOOKUP(A395,vlookup_table!$A:$G,3,FALSE)</f>
        <v>FL</v>
      </c>
      <c r="P395">
        <f>VLOOKUP(A395,vlookup_table!$A:$G,4,FALSE)</f>
        <v>0</v>
      </c>
      <c r="Q395" t="str">
        <f>VLOOKUP(A395,vlookup_table!$A:$G,5,FALSE)</f>
        <v>T1</v>
      </c>
      <c r="R395" t="str">
        <f>VLOOKUP(A395,vlookup_table!$A:$G,6,FALSE)</f>
        <v>M</v>
      </c>
      <c r="S395">
        <f>VLOOKUP(A395,vlookup_table!$A:$G,7,FALSE)</f>
        <v>15</v>
      </c>
      <c r="T395">
        <f t="shared" si="12"/>
        <v>96</v>
      </c>
      <c r="U395" t="str">
        <f t="shared" si="13"/>
        <v>Pueblo</v>
      </c>
    </row>
    <row r="396" spans="1:21" ht="16" x14ac:dyDescent="0.4">
      <c r="A396" s="4">
        <v>119496</v>
      </c>
      <c r="B396" s="1" t="s">
        <v>20</v>
      </c>
      <c r="C396" s="1" t="s">
        <v>17</v>
      </c>
      <c r="D396" s="1">
        <v>758</v>
      </c>
      <c r="E396" s="1">
        <v>390</v>
      </c>
      <c r="F396" s="1">
        <v>461</v>
      </c>
      <c r="G396" s="1">
        <v>4</v>
      </c>
      <c r="H396" s="1">
        <v>14397</v>
      </c>
      <c r="I396" s="1">
        <v>4</v>
      </c>
      <c r="J396" s="1">
        <v>56</v>
      </c>
      <c r="K396" s="1">
        <v>397</v>
      </c>
      <c r="L396" s="1">
        <v>448</v>
      </c>
      <c r="M396" s="1">
        <v>7.8571428570000004</v>
      </c>
      <c r="N396">
        <f>VLOOKUP(A396,vlookup_table!$A:$G,2,FALSE)</f>
        <v>0</v>
      </c>
      <c r="O396" t="str">
        <f>VLOOKUP(A396,vlookup_table!$A:$G,3,FALSE)</f>
        <v>TX</v>
      </c>
      <c r="P396">
        <f>VLOOKUP(A396,vlookup_table!$A:$G,4,FALSE)</f>
        <v>0</v>
      </c>
      <c r="Q396" t="str">
        <f>VLOOKUP(A396,vlookup_table!$A:$G,5,FALSE)</f>
        <v>S1</v>
      </c>
      <c r="R396" t="str">
        <f>VLOOKUP(A396,vlookup_table!$A:$G,6,FALSE)</f>
        <v>F</v>
      </c>
      <c r="S396">
        <f>VLOOKUP(A396,vlookup_table!$A:$G,7,FALSE)</f>
        <v>5</v>
      </c>
      <c r="T396">
        <f t="shared" si="12"/>
        <v>96</v>
      </c>
      <c r="U396" t="str">
        <f t="shared" si="13"/>
        <v>Suburbano</v>
      </c>
    </row>
    <row r="397" spans="1:21" ht="16" x14ac:dyDescent="0.4">
      <c r="A397" s="4">
        <v>169919</v>
      </c>
      <c r="B397" s="1" t="s">
        <v>21</v>
      </c>
      <c r="C397" s="1" t="s">
        <v>17</v>
      </c>
      <c r="D397" s="1">
        <v>657</v>
      </c>
      <c r="E397" s="1">
        <v>169</v>
      </c>
      <c r="F397" s="1">
        <v>254</v>
      </c>
      <c r="G397" s="1">
        <v>2</v>
      </c>
      <c r="H397" s="1">
        <v>9583</v>
      </c>
      <c r="I397" s="1">
        <v>3</v>
      </c>
      <c r="J397" s="1">
        <v>59</v>
      </c>
      <c r="K397" s="1">
        <v>216</v>
      </c>
      <c r="L397" s="1">
        <v>220</v>
      </c>
      <c r="M397" s="1">
        <v>8.6666666669999994</v>
      </c>
      <c r="N397">
        <f>VLOOKUP(A397,vlookup_table!$A:$G,2,FALSE)</f>
        <v>0</v>
      </c>
      <c r="O397" t="str">
        <f>VLOOKUP(A397,vlookup_table!$A:$G,3,FALSE)</f>
        <v>CA</v>
      </c>
      <c r="P397">
        <f>VLOOKUP(A397,vlookup_table!$A:$G,4,FALSE)</f>
        <v>4801</v>
      </c>
      <c r="Q397" t="str">
        <f>VLOOKUP(A397,vlookup_table!$A:$G,5,FALSE)</f>
        <v>T2</v>
      </c>
      <c r="R397" t="str">
        <f>VLOOKUP(A397,vlookup_table!$A:$G,6,FALSE)</f>
        <v>F</v>
      </c>
      <c r="S397">
        <f>VLOOKUP(A397,vlookup_table!$A:$G,7,FALSE)</f>
        <v>20</v>
      </c>
      <c r="T397">
        <f t="shared" si="12"/>
        <v>48</v>
      </c>
      <c r="U397" t="str">
        <f t="shared" si="13"/>
        <v>Pueblo</v>
      </c>
    </row>
    <row r="398" spans="1:21" ht="16" x14ac:dyDescent="0.4">
      <c r="A398" s="4">
        <v>106963</v>
      </c>
      <c r="B398" s="1" t="s">
        <v>55</v>
      </c>
      <c r="C398" s="1" t="s">
        <v>14</v>
      </c>
      <c r="D398" s="1">
        <v>581</v>
      </c>
      <c r="E398" s="1">
        <v>315</v>
      </c>
      <c r="F398" s="1">
        <v>411</v>
      </c>
      <c r="G398" s="1">
        <v>0</v>
      </c>
      <c r="H398" s="1">
        <v>16473</v>
      </c>
      <c r="I398" s="1">
        <v>1</v>
      </c>
      <c r="J398" s="1">
        <v>57</v>
      </c>
      <c r="K398" s="1">
        <v>368</v>
      </c>
      <c r="L398" s="1">
        <v>378</v>
      </c>
      <c r="M398" s="1">
        <v>10.85714286</v>
      </c>
      <c r="N398">
        <f>VLOOKUP(A398,vlookup_table!$A:$G,2,FALSE)</f>
        <v>1</v>
      </c>
      <c r="O398" t="str">
        <f>VLOOKUP(A398,vlookup_table!$A:$G,3,FALSE)</f>
        <v>NE</v>
      </c>
      <c r="P398">
        <f>VLOOKUP(A398,vlookup_table!$A:$G,4,FALSE)</f>
        <v>6102</v>
      </c>
      <c r="Q398" t="str">
        <f>VLOOKUP(A398,vlookup_table!$A:$G,5,FALSE)</f>
        <v>S2</v>
      </c>
      <c r="R398" t="str">
        <f>VLOOKUP(A398,vlookup_table!$A:$G,6,FALSE)</f>
        <v>M</v>
      </c>
      <c r="S398">
        <f>VLOOKUP(A398,vlookup_table!$A:$G,7,FALSE)</f>
        <v>15</v>
      </c>
      <c r="T398">
        <f t="shared" si="12"/>
        <v>35</v>
      </c>
      <c r="U398" t="str">
        <f t="shared" si="13"/>
        <v>Suburbano</v>
      </c>
    </row>
    <row r="399" spans="1:21" ht="16" x14ac:dyDescent="0.4">
      <c r="A399" s="4">
        <v>145838</v>
      </c>
      <c r="B399" s="1" t="s">
        <v>21</v>
      </c>
      <c r="C399" s="1" t="s">
        <v>27</v>
      </c>
      <c r="D399" s="1">
        <v>2019</v>
      </c>
      <c r="E399" s="1">
        <v>406</v>
      </c>
      <c r="F399" s="1">
        <v>512</v>
      </c>
      <c r="G399" s="1">
        <v>52</v>
      </c>
      <c r="H399" s="1">
        <v>12623</v>
      </c>
      <c r="I399" s="1">
        <v>29</v>
      </c>
      <c r="J399" s="1">
        <v>39</v>
      </c>
      <c r="K399" s="1">
        <v>423</v>
      </c>
      <c r="L399" s="1">
        <v>478</v>
      </c>
      <c r="M399" s="1">
        <v>20</v>
      </c>
      <c r="N399">
        <f>VLOOKUP(A399,vlookup_table!$A:$G,2,FALSE)</f>
        <v>0</v>
      </c>
      <c r="O399" t="str">
        <f>VLOOKUP(A399,vlookup_table!$A:$G,3,FALSE)</f>
        <v>CA</v>
      </c>
      <c r="P399">
        <f>VLOOKUP(A399,vlookup_table!$A:$G,4,FALSE)</f>
        <v>0</v>
      </c>
      <c r="Q399" t="str">
        <f>VLOOKUP(A399,vlookup_table!$A:$G,5,FALSE)</f>
        <v>S1</v>
      </c>
      <c r="R399" t="str">
        <f>VLOOKUP(A399,vlookup_table!$A:$G,6,FALSE)</f>
        <v>U</v>
      </c>
      <c r="S399">
        <f>VLOOKUP(A399,vlookup_table!$A:$G,7,FALSE)</f>
        <v>8</v>
      </c>
      <c r="T399">
        <f t="shared" si="12"/>
        <v>96</v>
      </c>
      <c r="U399" t="str">
        <f t="shared" si="13"/>
        <v>Suburbano</v>
      </c>
    </row>
    <row r="400" spans="1:21" ht="16" x14ac:dyDescent="0.4">
      <c r="A400" s="4">
        <v>150624</v>
      </c>
      <c r="B400" s="1" t="s">
        <v>21</v>
      </c>
      <c r="C400" s="1" t="s">
        <v>14</v>
      </c>
      <c r="D400" s="1">
        <v>1247</v>
      </c>
      <c r="E400" s="1">
        <v>321</v>
      </c>
      <c r="F400" s="1">
        <v>385</v>
      </c>
      <c r="G400" s="1">
        <v>8</v>
      </c>
      <c r="H400" s="1">
        <v>10994</v>
      </c>
      <c r="I400" s="1">
        <v>22</v>
      </c>
      <c r="J400" s="1">
        <v>48</v>
      </c>
      <c r="K400" s="1">
        <v>358</v>
      </c>
      <c r="L400" s="1">
        <v>357</v>
      </c>
      <c r="M400" s="1">
        <v>7.3764583330000004</v>
      </c>
      <c r="N400">
        <f>VLOOKUP(A400,vlookup_table!$A:$G,2,FALSE)</f>
        <v>1</v>
      </c>
      <c r="O400" t="str">
        <f>VLOOKUP(A400,vlookup_table!$A:$G,3,FALSE)</f>
        <v>CA</v>
      </c>
      <c r="P400">
        <f>VLOOKUP(A400,vlookup_table!$A:$G,4,FALSE)</f>
        <v>0</v>
      </c>
      <c r="Q400" t="str">
        <f>VLOOKUP(A400,vlookup_table!$A:$G,5,FALSE)</f>
        <v>S2</v>
      </c>
      <c r="R400" t="str">
        <f>VLOOKUP(A400,vlookup_table!$A:$G,6,FALSE)</f>
        <v>M</v>
      </c>
      <c r="S400">
        <f>VLOOKUP(A400,vlookup_table!$A:$G,7,FALSE)</f>
        <v>8</v>
      </c>
      <c r="T400">
        <f t="shared" si="12"/>
        <v>96</v>
      </c>
      <c r="U400" t="str">
        <f t="shared" si="13"/>
        <v>Suburbano</v>
      </c>
    </row>
    <row r="401" spans="1:21" ht="16" x14ac:dyDescent="0.4">
      <c r="A401" s="4">
        <v>182144</v>
      </c>
      <c r="B401" s="1" t="s">
        <v>13</v>
      </c>
      <c r="C401" s="1" t="s">
        <v>17</v>
      </c>
      <c r="D401" s="1">
        <v>559</v>
      </c>
      <c r="E401" s="1">
        <v>229</v>
      </c>
      <c r="F401" s="1">
        <v>278</v>
      </c>
      <c r="G401" s="1">
        <v>0</v>
      </c>
      <c r="H401" s="1">
        <v>8359</v>
      </c>
      <c r="I401" s="1">
        <v>1</v>
      </c>
      <c r="J401" s="1">
        <v>44</v>
      </c>
      <c r="K401" s="1">
        <v>277</v>
      </c>
      <c r="L401" s="1">
        <v>244</v>
      </c>
      <c r="M401" s="1">
        <v>7.1363636359999996</v>
      </c>
      <c r="N401">
        <f>VLOOKUP(A401,vlookup_table!$A:$G,2,FALSE)</f>
        <v>0</v>
      </c>
      <c r="O401" t="str">
        <f>VLOOKUP(A401,vlookup_table!$A:$G,3,FALSE)</f>
        <v>FL</v>
      </c>
      <c r="P401">
        <f>VLOOKUP(A401,vlookup_table!$A:$G,4,FALSE)</f>
        <v>5208</v>
      </c>
      <c r="Q401" t="str">
        <f>VLOOKUP(A401,vlookup_table!$A:$G,5,FALSE)</f>
        <v>S2</v>
      </c>
      <c r="R401" t="str">
        <f>VLOOKUP(A401,vlookup_table!$A:$G,6,FALSE)</f>
        <v>F</v>
      </c>
      <c r="S401">
        <f>VLOOKUP(A401,vlookup_table!$A:$G,7,FALSE)</f>
        <v>7</v>
      </c>
      <c r="T401">
        <f t="shared" si="12"/>
        <v>44</v>
      </c>
      <c r="U401" t="str">
        <f t="shared" si="13"/>
        <v>Suburbano</v>
      </c>
    </row>
    <row r="402" spans="1:21" ht="16" x14ac:dyDescent="0.4">
      <c r="A402" s="4">
        <v>135449</v>
      </c>
      <c r="B402" s="1" t="s">
        <v>51</v>
      </c>
      <c r="C402" s="1" t="s">
        <v>14</v>
      </c>
      <c r="D402" s="1">
        <v>687</v>
      </c>
      <c r="E402" s="1">
        <v>369</v>
      </c>
      <c r="F402" s="1">
        <v>403</v>
      </c>
      <c r="G402" s="1">
        <v>0</v>
      </c>
      <c r="H402" s="1">
        <v>9781</v>
      </c>
      <c r="I402" s="1">
        <v>6</v>
      </c>
      <c r="J402" s="1">
        <v>37</v>
      </c>
      <c r="K402" s="1">
        <v>375</v>
      </c>
      <c r="L402" s="1">
        <v>390</v>
      </c>
      <c r="M402" s="1">
        <v>7.1818181819999998</v>
      </c>
      <c r="N402">
        <f>VLOOKUP(A402,vlookup_table!$A:$G,2,FALSE)</f>
        <v>1</v>
      </c>
      <c r="O402" t="str">
        <f>VLOOKUP(A402,vlookup_table!$A:$G,3,FALSE)</f>
        <v>AZ</v>
      </c>
      <c r="P402">
        <f>VLOOKUP(A402,vlookup_table!$A:$G,4,FALSE)</f>
        <v>4801</v>
      </c>
      <c r="Q402" t="str">
        <f>VLOOKUP(A402,vlookup_table!$A:$G,5,FALSE)</f>
        <v>S2</v>
      </c>
      <c r="R402" t="str">
        <f>VLOOKUP(A402,vlookup_table!$A:$G,6,FALSE)</f>
        <v>M</v>
      </c>
      <c r="S402">
        <f>VLOOKUP(A402,vlookup_table!$A:$G,7,FALSE)</f>
        <v>10</v>
      </c>
      <c r="T402">
        <f t="shared" si="12"/>
        <v>48</v>
      </c>
      <c r="U402" t="str">
        <f t="shared" si="13"/>
        <v>Suburbano</v>
      </c>
    </row>
    <row r="403" spans="1:21" ht="16" x14ac:dyDescent="0.4">
      <c r="A403" s="4">
        <v>49743</v>
      </c>
      <c r="B403" s="1" t="s">
        <v>40</v>
      </c>
      <c r="C403" s="1" t="s">
        <v>14</v>
      </c>
      <c r="D403" s="1">
        <v>582</v>
      </c>
      <c r="E403" s="1">
        <v>217</v>
      </c>
      <c r="F403" s="1">
        <v>375</v>
      </c>
      <c r="G403" s="1">
        <v>2</v>
      </c>
      <c r="H403" s="1">
        <v>12588</v>
      </c>
      <c r="I403" s="1">
        <v>1</v>
      </c>
      <c r="J403" s="1">
        <v>59</v>
      </c>
      <c r="K403" s="1">
        <v>363</v>
      </c>
      <c r="L403" s="1">
        <v>275</v>
      </c>
      <c r="M403" s="1">
        <v>16</v>
      </c>
      <c r="N403">
        <f>VLOOKUP(A403,vlookup_table!$A:$G,2,FALSE)</f>
        <v>1</v>
      </c>
      <c r="O403" t="str">
        <f>VLOOKUP(A403,vlookup_table!$A:$G,3,FALSE)</f>
        <v>AL</v>
      </c>
      <c r="P403">
        <f>VLOOKUP(A403,vlookup_table!$A:$G,4,FALSE)</f>
        <v>1901</v>
      </c>
      <c r="Q403" t="str">
        <f>VLOOKUP(A403,vlookup_table!$A:$G,5,FALSE)</f>
        <v>T2</v>
      </c>
      <c r="R403" t="str">
        <f>VLOOKUP(A403,vlookup_table!$A:$G,6,FALSE)</f>
        <v>M</v>
      </c>
      <c r="S403">
        <f>VLOOKUP(A403,vlookup_table!$A:$G,7,FALSE)</f>
        <v>22</v>
      </c>
      <c r="T403">
        <f t="shared" si="12"/>
        <v>77</v>
      </c>
      <c r="U403" t="str">
        <f t="shared" si="13"/>
        <v>Pueblo</v>
      </c>
    </row>
    <row r="404" spans="1:21" ht="16" x14ac:dyDescent="0.4">
      <c r="A404" s="4">
        <v>65500</v>
      </c>
      <c r="B404" s="1" t="s">
        <v>26</v>
      </c>
      <c r="C404" s="1" t="s">
        <v>14</v>
      </c>
      <c r="D404" s="1">
        <v>690</v>
      </c>
      <c r="E404" s="1">
        <v>419</v>
      </c>
      <c r="F404" s="1">
        <v>490</v>
      </c>
      <c r="G404" s="1">
        <v>0</v>
      </c>
      <c r="H404" s="1">
        <v>15715</v>
      </c>
      <c r="I404" s="1">
        <v>1</v>
      </c>
      <c r="J404" s="1">
        <v>19</v>
      </c>
      <c r="K404" s="1">
        <v>451</v>
      </c>
      <c r="L404" s="1">
        <v>468</v>
      </c>
      <c r="M404" s="1">
        <v>12.33333333</v>
      </c>
      <c r="N404">
        <f>VLOOKUP(A404,vlookup_table!$A:$G,2,FALSE)</f>
        <v>1</v>
      </c>
      <c r="O404" t="str">
        <f>VLOOKUP(A404,vlookup_table!$A:$G,3,FALSE)</f>
        <v>MI</v>
      </c>
      <c r="P404">
        <f>VLOOKUP(A404,vlookup_table!$A:$G,4,FALSE)</f>
        <v>7001</v>
      </c>
      <c r="Q404" t="str">
        <f>VLOOKUP(A404,vlookup_table!$A:$G,5,FALSE)</f>
        <v>S1</v>
      </c>
      <c r="R404" t="str">
        <f>VLOOKUP(A404,vlookup_table!$A:$G,6,FALSE)</f>
        <v>M</v>
      </c>
      <c r="S404">
        <f>VLOOKUP(A404,vlookup_table!$A:$G,7,FALSE)</f>
        <v>15</v>
      </c>
      <c r="T404">
        <f t="shared" si="12"/>
        <v>26</v>
      </c>
      <c r="U404" t="str">
        <f t="shared" si="13"/>
        <v>Suburbano</v>
      </c>
    </row>
    <row r="405" spans="1:21" ht="16" x14ac:dyDescent="0.4">
      <c r="A405" s="4">
        <v>172420</v>
      </c>
      <c r="B405" s="1" t="s">
        <v>21</v>
      </c>
      <c r="C405" s="1" t="s">
        <v>17</v>
      </c>
      <c r="D405" s="1">
        <v>988</v>
      </c>
      <c r="E405" s="1">
        <v>169</v>
      </c>
      <c r="F405" s="1">
        <v>344</v>
      </c>
      <c r="G405" s="1">
        <v>9</v>
      </c>
      <c r="H405" s="1">
        <v>9190</v>
      </c>
      <c r="I405" s="1">
        <v>5</v>
      </c>
      <c r="J405" s="1">
        <v>67</v>
      </c>
      <c r="K405" s="1">
        <v>246</v>
      </c>
      <c r="L405" s="1">
        <v>247</v>
      </c>
      <c r="M405" s="1">
        <v>6.25</v>
      </c>
      <c r="N405">
        <f>VLOOKUP(A405,vlookup_table!$A:$G,2,FALSE)</f>
        <v>0</v>
      </c>
      <c r="O405" t="str">
        <f>VLOOKUP(A405,vlookup_table!$A:$G,3,FALSE)</f>
        <v>CA</v>
      </c>
      <c r="P405">
        <f>VLOOKUP(A405,vlookup_table!$A:$G,4,FALSE)</f>
        <v>6601</v>
      </c>
      <c r="Q405" t="str">
        <f>VLOOKUP(A405,vlookup_table!$A:$G,5,FALSE)</f>
        <v>C2</v>
      </c>
      <c r="R405" t="str">
        <f>VLOOKUP(A405,vlookup_table!$A:$G,6,FALSE)</f>
        <v>F</v>
      </c>
      <c r="S405">
        <f>VLOOKUP(A405,vlookup_table!$A:$G,7,FALSE)</f>
        <v>6</v>
      </c>
      <c r="T405">
        <f t="shared" si="12"/>
        <v>30</v>
      </c>
      <c r="U405" t="str">
        <f t="shared" si="13"/>
        <v>Ciudad</v>
      </c>
    </row>
    <row r="406" spans="1:21" ht="16" x14ac:dyDescent="0.4">
      <c r="A406" s="4">
        <v>7494</v>
      </c>
      <c r="B406" s="1" t="s">
        <v>21</v>
      </c>
      <c r="C406" s="1" t="s">
        <v>17</v>
      </c>
      <c r="D406" s="1">
        <v>1500</v>
      </c>
      <c r="E406" s="1">
        <v>282</v>
      </c>
      <c r="F406" s="1">
        <v>382</v>
      </c>
      <c r="G406" s="1">
        <v>4</v>
      </c>
      <c r="H406" s="1">
        <v>13859</v>
      </c>
      <c r="I406" s="1">
        <v>10</v>
      </c>
      <c r="J406" s="1">
        <v>42</v>
      </c>
      <c r="K406" s="1">
        <v>353</v>
      </c>
      <c r="L406" s="1">
        <v>332</v>
      </c>
      <c r="M406" s="1">
        <v>5.24</v>
      </c>
      <c r="N406">
        <f>VLOOKUP(A406,vlookup_table!$A:$G,2,FALSE)</f>
        <v>0</v>
      </c>
      <c r="O406" t="str">
        <f>VLOOKUP(A406,vlookup_table!$A:$G,3,FALSE)</f>
        <v>CA</v>
      </c>
      <c r="P406">
        <f>VLOOKUP(A406,vlookup_table!$A:$G,4,FALSE)</f>
        <v>2301</v>
      </c>
      <c r="Q406" t="str">
        <f>VLOOKUP(A406,vlookup_table!$A:$G,5,FALSE)</f>
        <v>C2</v>
      </c>
      <c r="R406" t="str">
        <f>VLOOKUP(A406,vlookup_table!$A:$G,6,FALSE)</f>
        <v>F</v>
      </c>
      <c r="S406">
        <f>VLOOKUP(A406,vlookup_table!$A:$G,7,FALSE)</f>
        <v>6</v>
      </c>
      <c r="T406">
        <f t="shared" si="12"/>
        <v>73</v>
      </c>
      <c r="U406" t="str">
        <f t="shared" si="13"/>
        <v>Ciudad</v>
      </c>
    </row>
    <row r="407" spans="1:21" ht="16" x14ac:dyDescent="0.4">
      <c r="A407" s="4">
        <v>149498</v>
      </c>
      <c r="B407" s="1" t="s">
        <v>21</v>
      </c>
      <c r="C407" s="1" t="s">
        <v>41</v>
      </c>
      <c r="D407" s="1">
        <v>5742</v>
      </c>
      <c r="E407" s="1">
        <v>1289</v>
      </c>
      <c r="F407" s="1">
        <v>1119</v>
      </c>
      <c r="G407" s="1">
        <v>99</v>
      </c>
      <c r="H407" s="1">
        <v>64190</v>
      </c>
      <c r="I407" s="1">
        <v>27</v>
      </c>
      <c r="J407" s="1">
        <v>35</v>
      </c>
      <c r="K407" s="1">
        <v>1369</v>
      </c>
      <c r="L407" s="1">
        <v>1085</v>
      </c>
      <c r="M407" s="1">
        <v>21.666666670000001</v>
      </c>
      <c r="N407">
        <f>VLOOKUP(A407,vlookup_table!$A:$G,2,FALSE)</f>
        <v>4002</v>
      </c>
      <c r="O407" t="str">
        <f>VLOOKUP(A407,vlookup_table!$A:$G,3,FALSE)</f>
        <v>CA</v>
      </c>
      <c r="P407">
        <f>VLOOKUP(A407,vlookup_table!$A:$G,4,FALSE)</f>
        <v>3803</v>
      </c>
      <c r="Q407" t="str">
        <f>VLOOKUP(A407,vlookup_table!$A:$G,5,FALSE)</f>
        <v>S1</v>
      </c>
      <c r="R407" t="str">
        <f>VLOOKUP(A407,vlookup_table!$A:$G,6,FALSE)</f>
        <v>J</v>
      </c>
      <c r="S407">
        <f>VLOOKUP(A407,vlookup_table!$A:$G,7,FALSE)</f>
        <v>20</v>
      </c>
      <c r="T407">
        <f t="shared" si="12"/>
        <v>58</v>
      </c>
      <c r="U407" t="str">
        <f t="shared" si="13"/>
        <v>Suburbano</v>
      </c>
    </row>
    <row r="408" spans="1:21" ht="16" x14ac:dyDescent="0.4">
      <c r="A408" s="4">
        <v>169780</v>
      </c>
      <c r="B408" s="1" t="s">
        <v>21</v>
      </c>
      <c r="C408" s="1"/>
      <c r="D408" s="1">
        <v>1650</v>
      </c>
      <c r="E408" s="1">
        <v>219</v>
      </c>
      <c r="F408" s="1">
        <v>319</v>
      </c>
      <c r="G408" s="1">
        <v>18</v>
      </c>
      <c r="H408" s="1">
        <v>12994</v>
      </c>
      <c r="I408" s="1">
        <v>18</v>
      </c>
      <c r="J408" s="1">
        <v>56</v>
      </c>
      <c r="K408" s="1">
        <v>225</v>
      </c>
      <c r="L408" s="1">
        <v>304</v>
      </c>
      <c r="M408" s="1">
        <v>12.5</v>
      </c>
      <c r="N408">
        <f>VLOOKUP(A408,vlookup_table!$A:$G,2,FALSE)</f>
        <v>0</v>
      </c>
      <c r="O408" t="str">
        <f>VLOOKUP(A408,vlookup_table!$A:$G,3,FALSE)</f>
        <v>CA</v>
      </c>
      <c r="P408">
        <f>VLOOKUP(A408,vlookup_table!$A:$G,4,FALSE)</f>
        <v>0</v>
      </c>
      <c r="Q408" t="str">
        <f>VLOOKUP(A408,vlookup_table!$A:$G,5,FALSE)</f>
        <v>C2</v>
      </c>
      <c r="R408" t="str">
        <f>VLOOKUP(A408,vlookup_table!$A:$G,6,FALSE)</f>
        <v/>
      </c>
      <c r="S408">
        <f>VLOOKUP(A408,vlookup_table!$A:$G,7,FALSE)</f>
        <v>10</v>
      </c>
      <c r="T408">
        <f t="shared" si="12"/>
        <v>96</v>
      </c>
      <c r="U408" t="str">
        <f t="shared" si="13"/>
        <v>Ciudad</v>
      </c>
    </row>
    <row r="409" spans="1:21" ht="16" x14ac:dyDescent="0.4">
      <c r="A409" s="4">
        <v>70944</v>
      </c>
      <c r="B409" s="1" t="s">
        <v>26</v>
      </c>
      <c r="C409" s="1" t="s">
        <v>17</v>
      </c>
      <c r="D409" s="1">
        <v>357</v>
      </c>
      <c r="E409" s="1">
        <v>205</v>
      </c>
      <c r="F409" s="1">
        <v>303</v>
      </c>
      <c r="G409" s="1">
        <v>0</v>
      </c>
      <c r="H409" s="1">
        <v>9192</v>
      </c>
      <c r="I409" s="1">
        <v>3</v>
      </c>
      <c r="J409" s="1">
        <v>81</v>
      </c>
      <c r="K409" s="1">
        <v>268</v>
      </c>
      <c r="L409" s="1">
        <v>260</v>
      </c>
      <c r="M409" s="1">
        <v>20</v>
      </c>
      <c r="N409">
        <f>VLOOKUP(A409,vlookup_table!$A:$G,2,FALSE)</f>
        <v>0</v>
      </c>
      <c r="O409" t="str">
        <f>VLOOKUP(A409,vlookup_table!$A:$G,3,FALSE)</f>
        <v>MI</v>
      </c>
      <c r="P409">
        <f>VLOOKUP(A409,vlookup_table!$A:$G,4,FALSE)</f>
        <v>7501</v>
      </c>
      <c r="Q409" t="str">
        <f>VLOOKUP(A409,vlookup_table!$A:$G,5,FALSE)</f>
        <v>T2</v>
      </c>
      <c r="R409" t="str">
        <f>VLOOKUP(A409,vlookup_table!$A:$G,6,FALSE)</f>
        <v>F</v>
      </c>
      <c r="S409">
        <f>VLOOKUP(A409,vlookup_table!$A:$G,7,FALSE)</f>
        <v>20</v>
      </c>
      <c r="T409">
        <f t="shared" si="12"/>
        <v>21</v>
      </c>
      <c r="U409" t="str">
        <f t="shared" si="13"/>
        <v>Pueblo</v>
      </c>
    </row>
    <row r="410" spans="1:21" ht="16" x14ac:dyDescent="0.4">
      <c r="A410" s="4">
        <v>117230</v>
      </c>
      <c r="B410" s="1" t="s">
        <v>20</v>
      </c>
      <c r="C410" s="1" t="s">
        <v>14</v>
      </c>
      <c r="D410" s="1">
        <v>406</v>
      </c>
      <c r="E410" s="1">
        <v>186</v>
      </c>
      <c r="F410" s="1">
        <v>203</v>
      </c>
      <c r="G410" s="1">
        <v>0</v>
      </c>
      <c r="H410" s="1">
        <v>8797</v>
      </c>
      <c r="I410" s="1">
        <v>8</v>
      </c>
      <c r="J410" s="1">
        <v>67</v>
      </c>
      <c r="K410" s="1">
        <v>226</v>
      </c>
      <c r="L410" s="1">
        <v>183</v>
      </c>
      <c r="M410" s="1">
        <v>5.7</v>
      </c>
      <c r="N410">
        <f>VLOOKUP(A410,vlookup_table!$A:$G,2,FALSE)</f>
        <v>1</v>
      </c>
      <c r="O410" t="str">
        <f>VLOOKUP(A410,vlookup_table!$A:$G,3,FALSE)</f>
        <v>TX</v>
      </c>
      <c r="P410">
        <f>VLOOKUP(A410,vlookup_table!$A:$G,4,FALSE)</f>
        <v>801</v>
      </c>
      <c r="Q410" t="str">
        <f>VLOOKUP(A410,vlookup_table!$A:$G,5,FALSE)</f>
        <v>C3</v>
      </c>
      <c r="R410" t="str">
        <f>VLOOKUP(A410,vlookup_table!$A:$G,6,FALSE)</f>
        <v>M</v>
      </c>
      <c r="S410">
        <f>VLOOKUP(A410,vlookup_table!$A:$G,7,FALSE)</f>
        <v>11</v>
      </c>
      <c r="T410">
        <f t="shared" si="12"/>
        <v>16</v>
      </c>
      <c r="U410" t="str">
        <f t="shared" si="13"/>
        <v>Ciudad</v>
      </c>
    </row>
    <row r="411" spans="1:21" ht="16" x14ac:dyDescent="0.4">
      <c r="A411" s="4">
        <v>50427</v>
      </c>
      <c r="B411" s="1" t="s">
        <v>49</v>
      </c>
      <c r="C411" s="1" t="s">
        <v>17</v>
      </c>
      <c r="D411" s="1">
        <v>871</v>
      </c>
      <c r="E411" s="1">
        <v>464</v>
      </c>
      <c r="F411" s="1">
        <v>539</v>
      </c>
      <c r="G411" s="1">
        <v>0</v>
      </c>
      <c r="H411" s="1">
        <v>18279</v>
      </c>
      <c r="I411" s="1">
        <v>3</v>
      </c>
      <c r="J411" s="1">
        <v>47</v>
      </c>
      <c r="K411" s="1">
        <v>501</v>
      </c>
      <c r="L411" s="1">
        <v>503</v>
      </c>
      <c r="M411" s="1">
        <v>9.1</v>
      </c>
      <c r="N411">
        <f>VLOOKUP(A411,vlookup_table!$A:$G,2,FALSE)</f>
        <v>28</v>
      </c>
      <c r="O411" t="str">
        <f>VLOOKUP(A411,vlookup_table!$A:$G,3,FALSE)</f>
        <v>TN</v>
      </c>
      <c r="P411">
        <f>VLOOKUP(A411,vlookup_table!$A:$G,4,FALSE)</f>
        <v>5406</v>
      </c>
      <c r="Q411" t="str">
        <f>VLOOKUP(A411,vlookup_table!$A:$G,5,FALSE)</f>
        <v>T2</v>
      </c>
      <c r="R411" t="str">
        <f>VLOOKUP(A411,vlookup_table!$A:$G,6,FALSE)</f>
        <v>F</v>
      </c>
      <c r="S411">
        <f>VLOOKUP(A411,vlookup_table!$A:$G,7,FALSE)</f>
        <v>15</v>
      </c>
      <c r="T411">
        <f t="shared" si="12"/>
        <v>42</v>
      </c>
      <c r="U411" t="str">
        <f t="shared" si="13"/>
        <v>Pueblo</v>
      </c>
    </row>
    <row r="412" spans="1:21" ht="16" x14ac:dyDescent="0.4">
      <c r="A412" s="4">
        <v>43998</v>
      </c>
      <c r="B412" s="1" t="s">
        <v>13</v>
      </c>
      <c r="C412" s="1" t="s">
        <v>14</v>
      </c>
      <c r="D412" s="1">
        <v>768</v>
      </c>
      <c r="E412" s="1">
        <v>256</v>
      </c>
      <c r="F412" s="1">
        <v>385</v>
      </c>
      <c r="G412" s="1">
        <v>4</v>
      </c>
      <c r="H412" s="1">
        <v>13696</v>
      </c>
      <c r="I412" s="1">
        <v>6</v>
      </c>
      <c r="J412" s="1">
        <v>22</v>
      </c>
      <c r="K412" s="1">
        <v>310</v>
      </c>
      <c r="L412" s="1">
        <v>323</v>
      </c>
      <c r="M412" s="1">
        <v>16.75</v>
      </c>
      <c r="N412">
        <f>VLOOKUP(A412,vlookup_table!$A:$G,2,FALSE)</f>
        <v>1</v>
      </c>
      <c r="O412" t="str">
        <f>VLOOKUP(A412,vlookup_table!$A:$G,3,FALSE)</f>
        <v>FL</v>
      </c>
      <c r="P412">
        <f>VLOOKUP(A412,vlookup_table!$A:$G,4,FALSE)</f>
        <v>2108</v>
      </c>
      <c r="Q412" t="str">
        <f>VLOOKUP(A412,vlookup_table!$A:$G,5,FALSE)</f>
        <v>C2</v>
      </c>
      <c r="R412" t="str">
        <f>VLOOKUP(A412,vlookup_table!$A:$G,6,FALSE)</f>
        <v>M</v>
      </c>
      <c r="S412">
        <f>VLOOKUP(A412,vlookup_table!$A:$G,7,FALSE)</f>
        <v>22</v>
      </c>
      <c r="T412">
        <f t="shared" si="12"/>
        <v>75</v>
      </c>
      <c r="U412" t="str">
        <f t="shared" si="13"/>
        <v>Ciudad</v>
      </c>
    </row>
    <row r="413" spans="1:21" ht="16" x14ac:dyDescent="0.4">
      <c r="A413" s="4">
        <v>71255</v>
      </c>
      <c r="B413" s="1" t="s">
        <v>26</v>
      </c>
      <c r="C413" s="1" t="s">
        <v>14</v>
      </c>
      <c r="D413" s="1">
        <v>458</v>
      </c>
      <c r="E413" s="1">
        <v>231</v>
      </c>
      <c r="F413" s="1">
        <v>323</v>
      </c>
      <c r="G413" s="1">
        <v>0</v>
      </c>
      <c r="H413" s="1">
        <v>12539</v>
      </c>
      <c r="I413" s="1">
        <v>4</v>
      </c>
      <c r="J413" s="1">
        <v>86</v>
      </c>
      <c r="K413" s="1">
        <v>241</v>
      </c>
      <c r="L413" s="1">
        <v>308</v>
      </c>
      <c r="M413" s="1">
        <v>12.16666667</v>
      </c>
      <c r="N413">
        <f>VLOOKUP(A413,vlookup_table!$A:$G,2,FALSE)</f>
        <v>2</v>
      </c>
      <c r="O413" t="str">
        <f>VLOOKUP(A413,vlookup_table!$A:$G,3,FALSE)</f>
        <v>MI</v>
      </c>
      <c r="P413">
        <f>VLOOKUP(A413,vlookup_table!$A:$G,4,FALSE)</f>
        <v>1511</v>
      </c>
      <c r="Q413" t="str">
        <f>VLOOKUP(A413,vlookup_table!$A:$G,5,FALSE)</f>
        <v>T1</v>
      </c>
      <c r="R413" t="str">
        <f>VLOOKUP(A413,vlookup_table!$A:$G,6,FALSE)</f>
        <v>M</v>
      </c>
      <c r="S413">
        <f>VLOOKUP(A413,vlookup_table!$A:$G,7,FALSE)</f>
        <v>13</v>
      </c>
      <c r="T413">
        <f t="shared" si="12"/>
        <v>81</v>
      </c>
      <c r="U413" t="str">
        <f t="shared" si="13"/>
        <v>Pueblo</v>
      </c>
    </row>
    <row r="414" spans="1:21" ht="16" x14ac:dyDescent="0.4">
      <c r="A414" s="4">
        <v>63308</v>
      </c>
      <c r="B414" s="1" t="s">
        <v>30</v>
      </c>
      <c r="C414" s="1" t="s">
        <v>14</v>
      </c>
      <c r="D414" s="1">
        <v>485</v>
      </c>
      <c r="E414" s="1">
        <v>344</v>
      </c>
      <c r="F414" s="1">
        <v>422</v>
      </c>
      <c r="G414" s="1">
        <v>0</v>
      </c>
      <c r="H414" s="1">
        <v>17697</v>
      </c>
      <c r="I414" s="1">
        <v>0</v>
      </c>
      <c r="J414" s="1">
        <v>76</v>
      </c>
      <c r="K414" s="1">
        <v>382</v>
      </c>
      <c r="L414" s="1">
        <v>402</v>
      </c>
      <c r="M414" s="1">
        <v>8</v>
      </c>
      <c r="N414">
        <f>VLOOKUP(A414,vlookup_table!$A:$G,2,FALSE)</f>
        <v>1</v>
      </c>
      <c r="O414" t="str">
        <f>VLOOKUP(A414,vlookup_table!$A:$G,3,FALSE)</f>
        <v>IN</v>
      </c>
      <c r="P414">
        <f>VLOOKUP(A414,vlookup_table!$A:$G,4,FALSE)</f>
        <v>2301</v>
      </c>
      <c r="Q414" t="str">
        <f>VLOOKUP(A414,vlookup_table!$A:$G,5,FALSE)</f>
        <v>C2</v>
      </c>
      <c r="R414" t="str">
        <f>VLOOKUP(A414,vlookup_table!$A:$G,6,FALSE)</f>
        <v>M</v>
      </c>
      <c r="S414">
        <f>VLOOKUP(A414,vlookup_table!$A:$G,7,FALSE)</f>
        <v>10</v>
      </c>
      <c r="T414">
        <f t="shared" si="12"/>
        <v>73</v>
      </c>
      <c r="U414" t="str">
        <f t="shared" si="13"/>
        <v>Ciudad</v>
      </c>
    </row>
    <row r="415" spans="1:21" ht="16" x14ac:dyDescent="0.4">
      <c r="A415" s="4">
        <v>82196</v>
      </c>
      <c r="B415" s="1" t="s">
        <v>52</v>
      </c>
      <c r="C415" s="1" t="s">
        <v>17</v>
      </c>
      <c r="D415" s="1">
        <v>405</v>
      </c>
      <c r="E415" s="1">
        <v>212</v>
      </c>
      <c r="F415" s="1">
        <v>309</v>
      </c>
      <c r="G415" s="1">
        <v>0</v>
      </c>
      <c r="H415" s="1">
        <v>9715</v>
      </c>
      <c r="I415" s="1">
        <v>1</v>
      </c>
      <c r="J415" s="1">
        <v>81</v>
      </c>
      <c r="K415" s="1">
        <v>267</v>
      </c>
      <c r="L415" s="1">
        <v>261</v>
      </c>
      <c r="M415" s="1">
        <v>5.923076923</v>
      </c>
      <c r="N415">
        <f>VLOOKUP(A415,vlookup_table!$A:$G,2,FALSE)</f>
        <v>0</v>
      </c>
      <c r="O415" t="str">
        <f>VLOOKUP(A415,vlookup_table!$A:$G,3,FALSE)</f>
        <v>MN</v>
      </c>
      <c r="P415">
        <f>VLOOKUP(A415,vlookup_table!$A:$G,4,FALSE)</f>
        <v>2001</v>
      </c>
      <c r="Q415" t="str">
        <f>VLOOKUP(A415,vlookup_table!$A:$G,5,FALSE)</f>
        <v>R2</v>
      </c>
      <c r="R415" t="str">
        <f>VLOOKUP(A415,vlookup_table!$A:$G,6,FALSE)</f>
        <v>F</v>
      </c>
      <c r="S415">
        <f>VLOOKUP(A415,vlookup_table!$A:$G,7,FALSE)</f>
        <v>5</v>
      </c>
      <c r="T415">
        <f t="shared" si="12"/>
        <v>76</v>
      </c>
      <c r="U415" t="str">
        <f t="shared" si="13"/>
        <v>Rural</v>
      </c>
    </row>
    <row r="416" spans="1:21" ht="16" x14ac:dyDescent="0.4">
      <c r="A416" s="4">
        <v>114820</v>
      </c>
      <c r="B416" s="1" t="s">
        <v>33</v>
      </c>
      <c r="C416" s="1" t="s">
        <v>17</v>
      </c>
      <c r="D416" s="1">
        <v>459</v>
      </c>
      <c r="E416" s="1">
        <v>240</v>
      </c>
      <c r="F416" s="1">
        <v>299</v>
      </c>
      <c r="G416" s="1">
        <v>1</v>
      </c>
      <c r="H416" s="1">
        <v>9637</v>
      </c>
      <c r="I416" s="1">
        <v>1</v>
      </c>
      <c r="J416" s="1">
        <v>71</v>
      </c>
      <c r="K416" s="1">
        <v>253</v>
      </c>
      <c r="L416" s="1">
        <v>272</v>
      </c>
      <c r="M416" s="1">
        <v>6.2941176470000002</v>
      </c>
      <c r="N416">
        <f>VLOOKUP(A416,vlookup_table!$A:$G,2,FALSE)</f>
        <v>28</v>
      </c>
      <c r="O416" t="str">
        <f>VLOOKUP(A416,vlookup_table!$A:$G,3,FALSE)</f>
        <v>MO</v>
      </c>
      <c r="P416">
        <f>VLOOKUP(A416,vlookup_table!$A:$G,4,FALSE)</f>
        <v>0</v>
      </c>
      <c r="Q416" t="str">
        <f>VLOOKUP(A416,vlookup_table!$A:$G,5,FALSE)</f>
        <v>T2</v>
      </c>
      <c r="R416" t="str">
        <f>VLOOKUP(A416,vlookup_table!$A:$G,6,FALSE)</f>
        <v>F</v>
      </c>
      <c r="S416">
        <f>VLOOKUP(A416,vlookup_table!$A:$G,7,FALSE)</f>
        <v>10</v>
      </c>
      <c r="T416">
        <f t="shared" si="12"/>
        <v>96</v>
      </c>
      <c r="U416" t="str">
        <f t="shared" si="13"/>
        <v>Pueblo</v>
      </c>
    </row>
    <row r="417" spans="1:21" ht="16" x14ac:dyDescent="0.4">
      <c r="A417" s="4">
        <v>176781</v>
      </c>
      <c r="B417" s="1" t="s">
        <v>47</v>
      </c>
      <c r="C417" s="1" t="s">
        <v>14</v>
      </c>
      <c r="D417" s="1">
        <v>811</v>
      </c>
      <c r="E417" s="1">
        <v>324</v>
      </c>
      <c r="F417" s="1">
        <v>463</v>
      </c>
      <c r="G417" s="1">
        <v>4</v>
      </c>
      <c r="H417" s="1">
        <v>16399</v>
      </c>
      <c r="I417" s="1">
        <v>5</v>
      </c>
      <c r="J417" s="1">
        <v>38</v>
      </c>
      <c r="K417" s="1">
        <v>394</v>
      </c>
      <c r="L417" s="1">
        <v>395</v>
      </c>
      <c r="M417" s="1">
        <v>8.75</v>
      </c>
      <c r="N417">
        <f>VLOOKUP(A417,vlookup_table!$A:$G,2,FALSE)</f>
        <v>0</v>
      </c>
      <c r="O417" t="str">
        <f>VLOOKUP(A417,vlookup_table!$A:$G,3,FALSE)</f>
        <v>OR</v>
      </c>
      <c r="P417">
        <f>VLOOKUP(A417,vlookup_table!$A:$G,4,FALSE)</f>
        <v>3101</v>
      </c>
      <c r="Q417" t="str">
        <f>VLOOKUP(A417,vlookup_table!$A:$G,5,FALSE)</f>
        <v>C1</v>
      </c>
      <c r="R417" t="str">
        <f>VLOOKUP(A417,vlookup_table!$A:$G,6,FALSE)</f>
        <v>M</v>
      </c>
      <c r="S417">
        <f>VLOOKUP(A417,vlookup_table!$A:$G,7,FALSE)</f>
        <v>10</v>
      </c>
      <c r="T417">
        <f t="shared" si="12"/>
        <v>65</v>
      </c>
      <c r="U417" t="str">
        <f t="shared" si="13"/>
        <v>Ciudad</v>
      </c>
    </row>
    <row r="418" spans="1:21" ht="16" x14ac:dyDescent="0.4">
      <c r="A418" s="4">
        <v>20438</v>
      </c>
      <c r="B418" s="1" t="s">
        <v>18</v>
      </c>
      <c r="C418" s="1" t="s">
        <v>14</v>
      </c>
      <c r="D418" s="1">
        <v>509</v>
      </c>
      <c r="E418" s="1">
        <v>248</v>
      </c>
      <c r="F418" s="1">
        <v>282</v>
      </c>
      <c r="G418" s="1">
        <v>0</v>
      </c>
      <c r="H418" s="1">
        <v>9114</v>
      </c>
      <c r="I418" s="1">
        <v>4</v>
      </c>
      <c r="J418" s="1">
        <v>38</v>
      </c>
      <c r="K418" s="1">
        <v>254</v>
      </c>
      <c r="L418" s="1">
        <v>288</v>
      </c>
      <c r="M418" s="1">
        <v>7.1428571429999996</v>
      </c>
      <c r="N418">
        <f>VLOOKUP(A418,vlookup_table!$A:$G,2,FALSE)</f>
        <v>1</v>
      </c>
      <c r="O418" t="str">
        <f>VLOOKUP(A418,vlookup_table!$A:$G,3,FALSE)</f>
        <v>NC</v>
      </c>
      <c r="P418">
        <f>VLOOKUP(A418,vlookup_table!$A:$G,4,FALSE)</f>
        <v>2601</v>
      </c>
      <c r="Q418" t="str">
        <f>VLOOKUP(A418,vlookup_table!$A:$G,5,FALSE)</f>
        <v>T2</v>
      </c>
      <c r="R418" t="str">
        <f>VLOOKUP(A418,vlookup_table!$A:$G,6,FALSE)</f>
        <v>M</v>
      </c>
      <c r="S418">
        <f>VLOOKUP(A418,vlookup_table!$A:$G,7,FALSE)</f>
        <v>10</v>
      </c>
      <c r="T418">
        <f t="shared" si="12"/>
        <v>70</v>
      </c>
      <c r="U418" t="str">
        <f t="shared" si="13"/>
        <v>Pueblo</v>
      </c>
    </row>
    <row r="419" spans="1:21" ht="16" x14ac:dyDescent="0.4">
      <c r="A419" s="4">
        <v>91879</v>
      </c>
      <c r="B419" s="1" t="s">
        <v>16</v>
      </c>
      <c r="C419" s="1" t="s">
        <v>17</v>
      </c>
      <c r="D419" s="1">
        <v>1030</v>
      </c>
      <c r="E419" s="1">
        <v>375</v>
      </c>
      <c r="F419" s="1">
        <v>585</v>
      </c>
      <c r="G419" s="1">
        <v>0</v>
      </c>
      <c r="H419" s="1">
        <v>17204</v>
      </c>
      <c r="I419" s="1">
        <v>5</v>
      </c>
      <c r="J419" s="1">
        <v>65</v>
      </c>
      <c r="K419" s="1">
        <v>553</v>
      </c>
      <c r="L419" s="1">
        <v>473</v>
      </c>
      <c r="M419" s="1">
        <v>12</v>
      </c>
      <c r="N419">
        <f>VLOOKUP(A419,vlookup_table!$A:$G,2,FALSE)</f>
        <v>0</v>
      </c>
      <c r="O419" t="str">
        <f>VLOOKUP(A419,vlookup_table!$A:$G,3,FALSE)</f>
        <v>IL</v>
      </c>
      <c r="P419">
        <f>VLOOKUP(A419,vlookup_table!$A:$G,4,FALSE)</f>
        <v>0</v>
      </c>
      <c r="Q419" t="str">
        <f>VLOOKUP(A419,vlookup_table!$A:$G,5,FALSE)</f>
        <v>S2</v>
      </c>
      <c r="R419" t="str">
        <f>VLOOKUP(A419,vlookup_table!$A:$G,6,FALSE)</f>
        <v>F</v>
      </c>
      <c r="S419">
        <f>VLOOKUP(A419,vlookup_table!$A:$G,7,FALSE)</f>
        <v>20</v>
      </c>
      <c r="T419">
        <f t="shared" si="12"/>
        <v>96</v>
      </c>
      <c r="U419" t="str">
        <f t="shared" si="13"/>
        <v>Suburbano</v>
      </c>
    </row>
    <row r="420" spans="1:21" ht="16" x14ac:dyDescent="0.4">
      <c r="A420" s="4">
        <v>92443</v>
      </c>
      <c r="B420" s="1" t="s">
        <v>16</v>
      </c>
      <c r="C420" s="1" t="s">
        <v>17</v>
      </c>
      <c r="D420" s="1">
        <v>881</v>
      </c>
      <c r="E420" s="1">
        <v>392</v>
      </c>
      <c r="F420" s="1">
        <v>437</v>
      </c>
      <c r="G420" s="1">
        <v>0</v>
      </c>
      <c r="H420" s="1">
        <v>14377</v>
      </c>
      <c r="I420" s="1">
        <v>3</v>
      </c>
      <c r="J420" s="1">
        <v>90</v>
      </c>
      <c r="K420" s="1">
        <v>393</v>
      </c>
      <c r="L420" s="1">
        <v>414</v>
      </c>
      <c r="M420" s="1">
        <v>6.153846154</v>
      </c>
      <c r="N420">
        <f>VLOOKUP(A420,vlookup_table!$A:$G,2,FALSE)</f>
        <v>2</v>
      </c>
      <c r="O420" t="str">
        <f>VLOOKUP(A420,vlookup_table!$A:$G,3,FALSE)</f>
        <v>IL</v>
      </c>
      <c r="P420">
        <f>VLOOKUP(A420,vlookup_table!$A:$G,4,FALSE)</f>
        <v>0</v>
      </c>
      <c r="Q420" t="str">
        <f>VLOOKUP(A420,vlookup_table!$A:$G,5,FALSE)</f>
        <v>S2</v>
      </c>
      <c r="R420" t="str">
        <f>VLOOKUP(A420,vlookup_table!$A:$G,6,FALSE)</f>
        <v>F</v>
      </c>
      <c r="S420">
        <f>VLOOKUP(A420,vlookup_table!$A:$G,7,FALSE)</f>
        <v>10</v>
      </c>
      <c r="T420">
        <f t="shared" si="12"/>
        <v>96</v>
      </c>
      <c r="U420" t="str">
        <f t="shared" si="13"/>
        <v>Suburbano</v>
      </c>
    </row>
    <row r="421" spans="1:21" ht="16" x14ac:dyDescent="0.4">
      <c r="A421" s="4">
        <v>168189</v>
      </c>
      <c r="B421" s="1" t="s">
        <v>21</v>
      </c>
      <c r="C421" s="1" t="s">
        <v>14</v>
      </c>
      <c r="D421" s="1">
        <v>2794</v>
      </c>
      <c r="E421" s="1">
        <v>637</v>
      </c>
      <c r="F421" s="1">
        <v>678</v>
      </c>
      <c r="G421" s="1">
        <v>93</v>
      </c>
      <c r="H421" s="1">
        <v>23035</v>
      </c>
      <c r="I421" s="1">
        <v>11</v>
      </c>
      <c r="J421" s="1">
        <v>54</v>
      </c>
      <c r="K421" s="1">
        <v>630</v>
      </c>
      <c r="L421" s="1">
        <v>671</v>
      </c>
      <c r="M421" s="1">
        <v>8</v>
      </c>
      <c r="N421">
        <f>VLOOKUP(A421,vlookup_table!$A:$G,2,FALSE)</f>
        <v>1</v>
      </c>
      <c r="O421" t="str">
        <f>VLOOKUP(A421,vlookup_table!$A:$G,3,FALSE)</f>
        <v>CA</v>
      </c>
      <c r="P421">
        <f>VLOOKUP(A421,vlookup_table!$A:$G,4,FALSE)</f>
        <v>5001</v>
      </c>
      <c r="Q421" t="str">
        <f>VLOOKUP(A421,vlookup_table!$A:$G,5,FALSE)</f>
        <v>U1</v>
      </c>
      <c r="R421" t="str">
        <f>VLOOKUP(A421,vlookup_table!$A:$G,6,FALSE)</f>
        <v>M</v>
      </c>
      <c r="S421">
        <f>VLOOKUP(A421,vlookup_table!$A:$G,7,FALSE)</f>
        <v>15</v>
      </c>
      <c r="T421">
        <f t="shared" si="12"/>
        <v>46</v>
      </c>
      <c r="U421" t="str">
        <f t="shared" si="13"/>
        <v>Urbano</v>
      </c>
    </row>
    <row r="422" spans="1:21" ht="16" x14ac:dyDescent="0.4">
      <c r="A422" s="4">
        <v>148998</v>
      </c>
      <c r="B422" s="1" t="s">
        <v>21</v>
      </c>
      <c r="C422" s="1"/>
      <c r="D422" s="1">
        <v>3233</v>
      </c>
      <c r="E422" s="1">
        <v>684</v>
      </c>
      <c r="F422" s="1">
        <v>781</v>
      </c>
      <c r="G422" s="1">
        <v>95</v>
      </c>
      <c r="H422" s="1">
        <v>26104</v>
      </c>
      <c r="I422" s="1">
        <v>8</v>
      </c>
      <c r="J422" s="1">
        <v>50</v>
      </c>
      <c r="K422" s="1">
        <v>753</v>
      </c>
      <c r="L422" s="1">
        <v>714</v>
      </c>
      <c r="M422" s="1">
        <v>16.81818182</v>
      </c>
      <c r="N422">
        <f>VLOOKUP(A422,vlookup_table!$A:$G,2,FALSE)</f>
        <v>1</v>
      </c>
      <c r="O422" t="str">
        <f>VLOOKUP(A422,vlookup_table!$A:$G,3,FALSE)</f>
        <v>CA</v>
      </c>
      <c r="P422">
        <f>VLOOKUP(A422,vlookup_table!$A:$G,4,FALSE)</f>
        <v>4709</v>
      </c>
      <c r="Q422" t="str">
        <f>VLOOKUP(A422,vlookup_table!$A:$G,5,FALSE)</f>
        <v>C1</v>
      </c>
      <c r="R422" t="str">
        <f>VLOOKUP(A422,vlookup_table!$A:$G,6,FALSE)</f>
        <v/>
      </c>
      <c r="S422">
        <f>VLOOKUP(A422,vlookup_table!$A:$G,7,FALSE)</f>
        <v>25</v>
      </c>
      <c r="T422">
        <f t="shared" si="12"/>
        <v>49</v>
      </c>
      <c r="U422" t="str">
        <f t="shared" si="13"/>
        <v>Ciudad</v>
      </c>
    </row>
    <row r="423" spans="1:21" ht="16" x14ac:dyDescent="0.4">
      <c r="A423" s="4">
        <v>186292</v>
      </c>
      <c r="B423" s="1" t="s">
        <v>21</v>
      </c>
      <c r="C423" s="1" t="s">
        <v>14</v>
      </c>
      <c r="D423" s="1">
        <v>931</v>
      </c>
      <c r="E423" s="1">
        <v>155</v>
      </c>
      <c r="F423" s="1">
        <v>222</v>
      </c>
      <c r="G423" s="1">
        <v>9</v>
      </c>
      <c r="H423" s="1">
        <v>7968</v>
      </c>
      <c r="I423" s="1">
        <v>20</v>
      </c>
      <c r="J423" s="1">
        <v>46</v>
      </c>
      <c r="K423" s="1">
        <v>192</v>
      </c>
      <c r="L423" s="1">
        <v>180</v>
      </c>
      <c r="M423" s="1">
        <v>5.5714285710000002</v>
      </c>
      <c r="N423">
        <f>VLOOKUP(A423,vlookup_table!$A:$G,2,FALSE)</f>
        <v>1</v>
      </c>
      <c r="O423" t="str">
        <f>VLOOKUP(A423,vlookup_table!$A:$G,3,FALSE)</f>
        <v>CA</v>
      </c>
      <c r="P423">
        <f>VLOOKUP(A423,vlookup_table!$A:$G,4,FALSE)</f>
        <v>509</v>
      </c>
      <c r="Q423" t="str">
        <f>VLOOKUP(A423,vlookup_table!$A:$G,5,FALSE)</f>
        <v>C2</v>
      </c>
      <c r="R423" t="str">
        <f>VLOOKUP(A423,vlookup_table!$A:$G,6,FALSE)</f>
        <v>M</v>
      </c>
      <c r="S423">
        <f>VLOOKUP(A423,vlookup_table!$A:$G,7,FALSE)</f>
        <v>10</v>
      </c>
      <c r="T423">
        <f t="shared" si="12"/>
        <v>46</v>
      </c>
      <c r="U423" t="str">
        <f t="shared" si="13"/>
        <v>Ciudad</v>
      </c>
    </row>
    <row r="424" spans="1:21" ht="16" x14ac:dyDescent="0.4">
      <c r="A424" s="4">
        <v>75180</v>
      </c>
      <c r="B424" s="1" t="s">
        <v>44</v>
      </c>
      <c r="C424" s="1" t="s">
        <v>17</v>
      </c>
      <c r="D424" s="1">
        <v>529</v>
      </c>
      <c r="E424" s="1">
        <v>317</v>
      </c>
      <c r="F424" s="1">
        <v>326</v>
      </c>
      <c r="G424" s="1">
        <v>0</v>
      </c>
      <c r="H424" s="1">
        <v>12494</v>
      </c>
      <c r="I424" s="1">
        <v>3</v>
      </c>
      <c r="J424" s="1">
        <v>76</v>
      </c>
      <c r="K424" s="1">
        <v>340</v>
      </c>
      <c r="L424" s="1">
        <v>319</v>
      </c>
      <c r="M424" s="1">
        <v>10.5</v>
      </c>
      <c r="N424">
        <f>VLOOKUP(A424,vlookup_table!$A:$G,2,FALSE)</f>
        <v>28</v>
      </c>
      <c r="O424" t="str">
        <f>VLOOKUP(A424,vlookup_table!$A:$G,3,FALSE)</f>
        <v>IA</v>
      </c>
      <c r="P424">
        <f>VLOOKUP(A424,vlookup_table!$A:$G,4,FALSE)</f>
        <v>4409</v>
      </c>
      <c r="Q424" t="str">
        <f>VLOOKUP(A424,vlookup_table!$A:$G,5,FALSE)</f>
        <v>C2</v>
      </c>
      <c r="R424" t="str">
        <f>VLOOKUP(A424,vlookup_table!$A:$G,6,FALSE)</f>
        <v>F</v>
      </c>
      <c r="S424">
        <f>VLOOKUP(A424,vlookup_table!$A:$G,7,FALSE)</f>
        <v>15</v>
      </c>
      <c r="T424">
        <f t="shared" si="12"/>
        <v>52</v>
      </c>
      <c r="U424" t="str">
        <f t="shared" si="13"/>
        <v>Ciudad</v>
      </c>
    </row>
    <row r="425" spans="1:21" ht="16" x14ac:dyDescent="0.4">
      <c r="A425" s="4">
        <v>88596</v>
      </c>
      <c r="B425" s="1" t="s">
        <v>16</v>
      </c>
      <c r="C425" s="1" t="s">
        <v>17</v>
      </c>
      <c r="D425" s="1">
        <v>1897</v>
      </c>
      <c r="E425" s="1">
        <v>406</v>
      </c>
      <c r="F425" s="1">
        <v>664</v>
      </c>
      <c r="G425" s="1">
        <v>44</v>
      </c>
      <c r="H425" s="1">
        <v>26951</v>
      </c>
      <c r="I425" s="1">
        <v>15</v>
      </c>
      <c r="J425" s="1">
        <v>67</v>
      </c>
      <c r="K425" s="1">
        <v>519</v>
      </c>
      <c r="L425" s="1">
        <v>476</v>
      </c>
      <c r="M425" s="1">
        <v>10</v>
      </c>
      <c r="N425">
        <f>VLOOKUP(A425,vlookup_table!$A:$G,2,FALSE)</f>
        <v>28</v>
      </c>
      <c r="O425" t="str">
        <f>VLOOKUP(A425,vlookup_table!$A:$G,3,FALSE)</f>
        <v>IL</v>
      </c>
      <c r="P425">
        <f>VLOOKUP(A425,vlookup_table!$A:$G,4,FALSE)</f>
        <v>912</v>
      </c>
      <c r="Q425" t="str">
        <f>VLOOKUP(A425,vlookup_table!$A:$G,5,FALSE)</f>
        <v>U1</v>
      </c>
      <c r="R425" t="str">
        <f>VLOOKUP(A425,vlookup_table!$A:$G,6,FALSE)</f>
        <v>F</v>
      </c>
      <c r="S425">
        <f>VLOOKUP(A425,vlookup_table!$A:$G,7,FALSE)</f>
        <v>14</v>
      </c>
      <c r="T425">
        <f t="shared" si="12"/>
        <v>5</v>
      </c>
      <c r="U425" t="str">
        <f t="shared" si="13"/>
        <v>Urbano</v>
      </c>
    </row>
    <row r="426" spans="1:21" ht="16" x14ac:dyDescent="0.4">
      <c r="A426" s="4">
        <v>155266</v>
      </c>
      <c r="B426" s="1" t="s">
        <v>21</v>
      </c>
      <c r="C426" s="1" t="s">
        <v>17</v>
      </c>
      <c r="D426" s="1">
        <v>641</v>
      </c>
      <c r="E426" s="1">
        <v>123</v>
      </c>
      <c r="F426" s="1">
        <v>279</v>
      </c>
      <c r="G426" s="1">
        <v>3</v>
      </c>
      <c r="H426" s="1">
        <v>8046</v>
      </c>
      <c r="I426" s="1">
        <v>37</v>
      </c>
      <c r="J426" s="1">
        <v>38</v>
      </c>
      <c r="K426" s="1">
        <v>168</v>
      </c>
      <c r="L426" s="1">
        <v>236</v>
      </c>
      <c r="M426" s="1">
        <v>9.4629629630000007</v>
      </c>
      <c r="N426">
        <f>VLOOKUP(A426,vlookup_table!$A:$G,2,FALSE)</f>
        <v>0</v>
      </c>
      <c r="O426" t="str">
        <f>VLOOKUP(A426,vlookup_table!$A:$G,3,FALSE)</f>
        <v>CA</v>
      </c>
      <c r="P426">
        <f>VLOOKUP(A426,vlookup_table!$A:$G,4,FALSE)</f>
        <v>0</v>
      </c>
      <c r="Q426" t="str">
        <f>VLOOKUP(A426,vlookup_table!$A:$G,5,FALSE)</f>
        <v>C3</v>
      </c>
      <c r="R426" t="str">
        <f>VLOOKUP(A426,vlookup_table!$A:$G,6,FALSE)</f>
        <v>F</v>
      </c>
      <c r="S426">
        <f>VLOOKUP(A426,vlookup_table!$A:$G,7,FALSE)</f>
        <v>11</v>
      </c>
      <c r="T426">
        <f t="shared" si="12"/>
        <v>96</v>
      </c>
      <c r="U426" t="str">
        <f t="shared" si="13"/>
        <v>Ciudad</v>
      </c>
    </row>
    <row r="427" spans="1:21" ht="16" x14ac:dyDescent="0.4">
      <c r="A427" s="4">
        <v>13622</v>
      </c>
      <c r="B427" s="1" t="s">
        <v>13</v>
      </c>
      <c r="C427" s="1" t="s">
        <v>14</v>
      </c>
      <c r="D427" s="1">
        <v>715</v>
      </c>
      <c r="E427" s="1">
        <v>247</v>
      </c>
      <c r="F427" s="1">
        <v>342</v>
      </c>
      <c r="G427" s="1">
        <v>2</v>
      </c>
      <c r="H427" s="1">
        <v>15360</v>
      </c>
      <c r="I427" s="1">
        <v>4</v>
      </c>
      <c r="J427" s="1">
        <v>11</v>
      </c>
      <c r="K427" s="1">
        <v>283</v>
      </c>
      <c r="L427" s="1">
        <v>317</v>
      </c>
      <c r="M427" s="1">
        <v>14.866666670000001</v>
      </c>
      <c r="N427">
        <f>VLOOKUP(A427,vlookup_table!$A:$G,2,FALSE)</f>
        <v>0</v>
      </c>
      <c r="O427" t="str">
        <f>VLOOKUP(A427,vlookup_table!$A:$G,3,FALSE)</f>
        <v>FL</v>
      </c>
      <c r="P427">
        <f>VLOOKUP(A427,vlookup_table!$A:$G,4,FALSE)</f>
        <v>3201</v>
      </c>
      <c r="Q427" t="str">
        <f>VLOOKUP(A427,vlookup_table!$A:$G,5,FALSE)</f>
        <v>S2</v>
      </c>
      <c r="R427" t="str">
        <f>VLOOKUP(A427,vlookup_table!$A:$G,6,FALSE)</f>
        <v>M</v>
      </c>
      <c r="S427">
        <f>VLOOKUP(A427,vlookup_table!$A:$G,7,FALSE)</f>
        <v>10</v>
      </c>
      <c r="T427">
        <f t="shared" si="12"/>
        <v>64</v>
      </c>
      <c r="U427" t="str">
        <f t="shared" si="13"/>
        <v>Suburbano</v>
      </c>
    </row>
    <row r="428" spans="1:21" ht="16" x14ac:dyDescent="0.4">
      <c r="A428" s="4">
        <v>189853</v>
      </c>
      <c r="B428" s="1" t="s">
        <v>56</v>
      </c>
      <c r="C428" s="1" t="s">
        <v>97</v>
      </c>
      <c r="D428" s="1">
        <v>440</v>
      </c>
      <c r="E428" s="1">
        <v>205</v>
      </c>
      <c r="F428" s="1">
        <v>280</v>
      </c>
      <c r="G428" s="1">
        <v>0</v>
      </c>
      <c r="H428" s="1">
        <v>8314</v>
      </c>
      <c r="I428" s="1">
        <v>0</v>
      </c>
      <c r="J428" s="1">
        <v>63</v>
      </c>
      <c r="K428" s="1">
        <v>238</v>
      </c>
      <c r="L428" s="1">
        <v>249</v>
      </c>
      <c r="M428" s="1">
        <v>7.1666666670000003</v>
      </c>
      <c r="N428">
        <f>VLOOKUP(A428,vlookup_table!$A:$G,2,FALSE)</f>
        <v>1002</v>
      </c>
      <c r="O428" t="str">
        <f>VLOOKUP(A428,vlookup_table!$A:$G,3,FALSE)</f>
        <v>MS</v>
      </c>
      <c r="P428">
        <f>VLOOKUP(A428,vlookup_table!$A:$G,4,FALSE)</f>
        <v>4306</v>
      </c>
      <c r="Q428" t="str">
        <f>VLOOKUP(A428,vlookup_table!$A:$G,5,FALSE)</f>
        <v/>
      </c>
      <c r="R428" t="str">
        <f>VLOOKUP(A428,vlookup_table!$A:$G,6,FALSE)</f>
        <v>F</v>
      </c>
      <c r="S428">
        <f>VLOOKUP(A428,vlookup_table!$A:$G,7,FALSE)</f>
        <v>8</v>
      </c>
      <c r="T428">
        <f t="shared" si="12"/>
        <v>53</v>
      </c>
      <c r="U428" t="str">
        <f t="shared" si="13"/>
        <v/>
      </c>
    </row>
    <row r="429" spans="1:21" ht="16" x14ac:dyDescent="0.4">
      <c r="A429" s="4">
        <v>175708</v>
      </c>
      <c r="B429" s="1" t="s">
        <v>47</v>
      </c>
      <c r="C429" s="1" t="s">
        <v>14</v>
      </c>
      <c r="D429" s="1">
        <v>532</v>
      </c>
      <c r="E429" s="1">
        <v>436</v>
      </c>
      <c r="F429" s="1">
        <v>428</v>
      </c>
      <c r="G429" s="1">
        <v>0</v>
      </c>
      <c r="H429" s="1">
        <v>12734</v>
      </c>
      <c r="I429" s="1">
        <v>0</v>
      </c>
      <c r="J429" s="1">
        <v>42</v>
      </c>
      <c r="K429" s="1">
        <v>436</v>
      </c>
      <c r="L429" s="1">
        <v>486</v>
      </c>
      <c r="M429" s="1">
        <v>25</v>
      </c>
      <c r="N429">
        <f>VLOOKUP(A429,vlookup_table!$A:$G,2,FALSE)</f>
        <v>1</v>
      </c>
      <c r="O429" t="str">
        <f>VLOOKUP(A429,vlookup_table!$A:$G,3,FALSE)</f>
        <v>OR</v>
      </c>
      <c r="P429">
        <f>VLOOKUP(A429,vlookup_table!$A:$G,4,FALSE)</f>
        <v>4201</v>
      </c>
      <c r="Q429" t="str">
        <f>VLOOKUP(A429,vlookup_table!$A:$G,5,FALSE)</f>
        <v>S2</v>
      </c>
      <c r="R429" t="str">
        <f>VLOOKUP(A429,vlookup_table!$A:$G,6,FALSE)</f>
        <v>M</v>
      </c>
      <c r="S429">
        <f>VLOOKUP(A429,vlookup_table!$A:$G,7,FALSE)</f>
        <v>30</v>
      </c>
      <c r="T429">
        <f t="shared" si="12"/>
        <v>54</v>
      </c>
      <c r="U429" t="str">
        <f t="shared" si="13"/>
        <v>Suburbano</v>
      </c>
    </row>
    <row r="430" spans="1:21" ht="16" x14ac:dyDescent="0.4">
      <c r="A430" s="4">
        <v>182243</v>
      </c>
      <c r="B430" s="1" t="s">
        <v>37</v>
      </c>
      <c r="C430" s="1" t="s">
        <v>17</v>
      </c>
      <c r="D430" s="1">
        <v>876</v>
      </c>
      <c r="E430" s="1">
        <v>335</v>
      </c>
      <c r="F430" s="1">
        <v>481</v>
      </c>
      <c r="G430" s="1">
        <v>18</v>
      </c>
      <c r="H430" s="1">
        <v>15179</v>
      </c>
      <c r="I430" s="1">
        <v>6</v>
      </c>
      <c r="J430" s="1">
        <v>31</v>
      </c>
      <c r="K430" s="1">
        <v>409</v>
      </c>
      <c r="L430" s="1">
        <v>426</v>
      </c>
      <c r="M430" s="1">
        <v>8.3000000000000007</v>
      </c>
      <c r="N430">
        <f>VLOOKUP(A430,vlookup_table!$A:$G,2,FALSE)</f>
        <v>0</v>
      </c>
      <c r="O430" t="str">
        <f>VLOOKUP(A430,vlookup_table!$A:$G,3,FALSE)</f>
        <v>WA</v>
      </c>
      <c r="P430">
        <f>VLOOKUP(A430,vlookup_table!$A:$G,4,FALSE)</f>
        <v>3605</v>
      </c>
      <c r="Q430" t="str">
        <f>VLOOKUP(A430,vlookup_table!$A:$G,5,FALSE)</f>
        <v>S2</v>
      </c>
      <c r="R430" t="str">
        <f>VLOOKUP(A430,vlookup_table!$A:$G,6,FALSE)</f>
        <v>F</v>
      </c>
      <c r="S430">
        <f>VLOOKUP(A430,vlookup_table!$A:$G,7,FALSE)</f>
        <v>10</v>
      </c>
      <c r="T430">
        <f t="shared" si="12"/>
        <v>60</v>
      </c>
      <c r="U430" t="str">
        <f t="shared" si="13"/>
        <v>Suburbano</v>
      </c>
    </row>
    <row r="431" spans="1:21" ht="16" x14ac:dyDescent="0.4">
      <c r="A431" s="4">
        <v>171566</v>
      </c>
      <c r="B431" s="1" t="s">
        <v>21</v>
      </c>
      <c r="C431" s="1" t="s">
        <v>14</v>
      </c>
      <c r="D431" s="1">
        <v>1175</v>
      </c>
      <c r="E431" s="1">
        <v>272</v>
      </c>
      <c r="F431" s="1">
        <v>396</v>
      </c>
      <c r="G431" s="1">
        <v>7</v>
      </c>
      <c r="H431" s="1">
        <v>12987</v>
      </c>
      <c r="I431" s="1">
        <v>4</v>
      </c>
      <c r="J431" s="1">
        <v>68</v>
      </c>
      <c r="K431" s="1">
        <v>318</v>
      </c>
      <c r="L431" s="1">
        <v>376</v>
      </c>
      <c r="M431" s="1">
        <v>10.25</v>
      </c>
      <c r="N431">
        <f>VLOOKUP(A431,vlookup_table!$A:$G,2,FALSE)</f>
        <v>1</v>
      </c>
      <c r="O431" t="str">
        <f>VLOOKUP(A431,vlookup_table!$A:$G,3,FALSE)</f>
        <v>CA</v>
      </c>
      <c r="P431">
        <f>VLOOKUP(A431,vlookup_table!$A:$G,4,FALSE)</f>
        <v>2201</v>
      </c>
      <c r="Q431" t="str">
        <f>VLOOKUP(A431,vlookup_table!$A:$G,5,FALSE)</f>
        <v>T2</v>
      </c>
      <c r="R431" t="str">
        <f>VLOOKUP(A431,vlookup_table!$A:$G,6,FALSE)</f>
        <v>M</v>
      </c>
      <c r="S431">
        <f>VLOOKUP(A431,vlookup_table!$A:$G,7,FALSE)</f>
        <v>15</v>
      </c>
      <c r="T431">
        <f t="shared" si="12"/>
        <v>74</v>
      </c>
      <c r="U431" t="str">
        <f t="shared" si="13"/>
        <v>Pueblo</v>
      </c>
    </row>
    <row r="432" spans="1:21" ht="16" x14ac:dyDescent="0.4">
      <c r="A432" s="4">
        <v>156266</v>
      </c>
      <c r="B432" s="1" t="s">
        <v>21</v>
      </c>
      <c r="C432" s="1" t="s">
        <v>17</v>
      </c>
      <c r="D432" s="1">
        <v>3921</v>
      </c>
      <c r="E432" s="1">
        <v>413</v>
      </c>
      <c r="F432" s="1">
        <v>583</v>
      </c>
      <c r="G432" s="1">
        <v>87</v>
      </c>
      <c r="H432" s="1">
        <v>21648</v>
      </c>
      <c r="I432" s="1">
        <v>10</v>
      </c>
      <c r="J432" s="1">
        <v>55</v>
      </c>
      <c r="K432" s="1">
        <v>410</v>
      </c>
      <c r="L432" s="1">
        <v>575</v>
      </c>
      <c r="M432" s="1">
        <v>13.57142857</v>
      </c>
      <c r="N432">
        <f>VLOOKUP(A432,vlookup_table!$A:$G,2,FALSE)</f>
        <v>0</v>
      </c>
      <c r="O432" t="str">
        <f>VLOOKUP(A432,vlookup_table!$A:$G,3,FALSE)</f>
        <v>CA</v>
      </c>
      <c r="P432">
        <f>VLOOKUP(A432,vlookup_table!$A:$G,4,FALSE)</f>
        <v>3701</v>
      </c>
      <c r="Q432" t="str">
        <f>VLOOKUP(A432,vlookup_table!$A:$G,5,FALSE)</f>
        <v>R1</v>
      </c>
      <c r="R432" t="str">
        <f>VLOOKUP(A432,vlookup_table!$A:$G,6,FALSE)</f>
        <v>F</v>
      </c>
      <c r="S432">
        <f>VLOOKUP(A432,vlookup_table!$A:$G,7,FALSE)</f>
        <v>20</v>
      </c>
      <c r="T432">
        <f t="shared" si="12"/>
        <v>59</v>
      </c>
      <c r="U432" t="str">
        <f t="shared" si="13"/>
        <v>Rural</v>
      </c>
    </row>
    <row r="433" spans="1:21" ht="16" x14ac:dyDescent="0.4">
      <c r="A433" s="4">
        <v>41604</v>
      </c>
      <c r="B433" s="1" t="s">
        <v>13</v>
      </c>
      <c r="C433" s="1" t="s">
        <v>17</v>
      </c>
      <c r="D433" s="1">
        <v>919</v>
      </c>
      <c r="E433" s="1">
        <v>413</v>
      </c>
      <c r="F433" s="1">
        <v>532</v>
      </c>
      <c r="G433" s="1">
        <v>0</v>
      </c>
      <c r="H433" s="1">
        <v>17653</v>
      </c>
      <c r="I433" s="1">
        <v>14</v>
      </c>
      <c r="J433" s="1">
        <v>26</v>
      </c>
      <c r="K433" s="1">
        <v>538</v>
      </c>
      <c r="L433" s="1">
        <v>446</v>
      </c>
      <c r="M433" s="1">
        <v>8.307692308</v>
      </c>
      <c r="N433">
        <f>VLOOKUP(A433,vlookup_table!$A:$G,2,FALSE)</f>
        <v>0</v>
      </c>
      <c r="O433" t="str">
        <f>VLOOKUP(A433,vlookup_table!$A:$G,3,FALSE)</f>
        <v>FL</v>
      </c>
      <c r="P433">
        <f>VLOOKUP(A433,vlookup_table!$A:$G,4,FALSE)</f>
        <v>2401</v>
      </c>
      <c r="Q433" t="str">
        <f>VLOOKUP(A433,vlookup_table!$A:$G,5,FALSE)</f>
        <v>S1</v>
      </c>
      <c r="R433" t="str">
        <f>VLOOKUP(A433,vlookup_table!$A:$G,6,FALSE)</f>
        <v>F</v>
      </c>
      <c r="S433">
        <f>VLOOKUP(A433,vlookup_table!$A:$G,7,FALSE)</f>
        <v>10</v>
      </c>
      <c r="T433">
        <f t="shared" si="12"/>
        <v>72</v>
      </c>
      <c r="U433" t="str">
        <f t="shared" si="13"/>
        <v>Suburbano</v>
      </c>
    </row>
    <row r="434" spans="1:21" ht="16" x14ac:dyDescent="0.4">
      <c r="A434" s="4">
        <v>187678</v>
      </c>
      <c r="B434" s="1" t="s">
        <v>57</v>
      </c>
      <c r="C434" s="1" t="s">
        <v>17</v>
      </c>
      <c r="D434" s="1">
        <v>625</v>
      </c>
      <c r="E434" s="1">
        <v>266</v>
      </c>
      <c r="F434" s="1">
        <v>330</v>
      </c>
      <c r="G434" s="1">
        <v>0</v>
      </c>
      <c r="H434" s="1">
        <v>10031</v>
      </c>
      <c r="I434" s="1">
        <v>2</v>
      </c>
      <c r="J434" s="1">
        <v>68</v>
      </c>
      <c r="K434" s="1">
        <v>276</v>
      </c>
      <c r="L434" s="1">
        <v>316</v>
      </c>
      <c r="M434" s="1">
        <v>5.2222222220000001</v>
      </c>
      <c r="N434">
        <f>VLOOKUP(A434,vlookup_table!$A:$G,2,FALSE)</f>
        <v>0</v>
      </c>
      <c r="O434" t="str">
        <f>VLOOKUP(A434,vlookup_table!$A:$G,3,FALSE)</f>
        <v>NY</v>
      </c>
      <c r="P434">
        <f>VLOOKUP(A434,vlookup_table!$A:$G,4,FALSE)</f>
        <v>0</v>
      </c>
      <c r="Q434" t="str">
        <f>VLOOKUP(A434,vlookup_table!$A:$G,5,FALSE)</f>
        <v>S2</v>
      </c>
      <c r="R434" t="str">
        <f>VLOOKUP(A434,vlookup_table!$A:$G,6,FALSE)</f>
        <v>F</v>
      </c>
      <c r="S434">
        <f>VLOOKUP(A434,vlookup_table!$A:$G,7,FALSE)</f>
        <v>5</v>
      </c>
      <c r="T434">
        <f t="shared" si="12"/>
        <v>96</v>
      </c>
      <c r="U434" t="str">
        <f t="shared" si="13"/>
        <v>Suburbano</v>
      </c>
    </row>
    <row r="435" spans="1:21" ht="16" x14ac:dyDescent="0.4">
      <c r="A435" s="4">
        <v>42165</v>
      </c>
      <c r="B435" s="1" t="s">
        <v>13</v>
      </c>
      <c r="C435" s="1" t="s">
        <v>14</v>
      </c>
      <c r="D435" s="1">
        <v>734</v>
      </c>
      <c r="E435" s="1">
        <v>310</v>
      </c>
      <c r="F435" s="1">
        <v>399</v>
      </c>
      <c r="G435" s="1">
        <v>1</v>
      </c>
      <c r="H435" s="1">
        <v>12868</v>
      </c>
      <c r="I435" s="1">
        <v>3</v>
      </c>
      <c r="J435" s="1">
        <v>45</v>
      </c>
      <c r="K435" s="1">
        <v>348</v>
      </c>
      <c r="L435" s="1">
        <v>365</v>
      </c>
      <c r="M435" s="1">
        <v>16.5</v>
      </c>
      <c r="N435">
        <f>VLOOKUP(A435,vlookup_table!$A:$G,2,FALSE)</f>
        <v>0</v>
      </c>
      <c r="O435" t="str">
        <f>VLOOKUP(A435,vlookup_table!$A:$G,3,FALSE)</f>
        <v>FL</v>
      </c>
      <c r="P435">
        <f>VLOOKUP(A435,vlookup_table!$A:$G,4,FALSE)</f>
        <v>0</v>
      </c>
      <c r="Q435" t="str">
        <f>VLOOKUP(A435,vlookup_table!$A:$G,5,FALSE)</f>
        <v>T2</v>
      </c>
      <c r="R435" t="str">
        <f>VLOOKUP(A435,vlookup_table!$A:$G,6,FALSE)</f>
        <v>M</v>
      </c>
      <c r="S435">
        <f>VLOOKUP(A435,vlookup_table!$A:$G,7,FALSE)</f>
        <v>10</v>
      </c>
      <c r="T435">
        <f t="shared" si="12"/>
        <v>96</v>
      </c>
      <c r="U435" t="str">
        <f t="shared" si="13"/>
        <v>Pueblo</v>
      </c>
    </row>
    <row r="436" spans="1:21" ht="16" x14ac:dyDescent="0.4">
      <c r="A436" s="4">
        <v>24507</v>
      </c>
      <c r="B436" s="1" t="s">
        <v>43</v>
      </c>
      <c r="C436" s="1" t="s">
        <v>14</v>
      </c>
      <c r="D436" s="1">
        <v>468</v>
      </c>
      <c r="E436" s="1">
        <v>228</v>
      </c>
      <c r="F436" s="1">
        <v>326</v>
      </c>
      <c r="G436" s="1">
        <v>0</v>
      </c>
      <c r="H436" s="1">
        <v>10910</v>
      </c>
      <c r="I436" s="1">
        <v>1</v>
      </c>
      <c r="J436" s="1">
        <v>84</v>
      </c>
      <c r="K436" s="1">
        <v>300</v>
      </c>
      <c r="L436" s="1">
        <v>278</v>
      </c>
      <c r="M436" s="1">
        <v>21.5</v>
      </c>
      <c r="N436">
        <f>VLOOKUP(A436,vlookup_table!$A:$G,2,FALSE)</f>
        <v>1</v>
      </c>
      <c r="O436" t="str">
        <f>VLOOKUP(A436,vlookup_table!$A:$G,3,FALSE)</f>
        <v>SC</v>
      </c>
      <c r="P436">
        <f>VLOOKUP(A436,vlookup_table!$A:$G,4,FALSE)</f>
        <v>3411</v>
      </c>
      <c r="Q436" t="str">
        <f>VLOOKUP(A436,vlookup_table!$A:$G,5,FALSE)</f>
        <v>R2</v>
      </c>
      <c r="R436" t="str">
        <f>VLOOKUP(A436,vlookup_table!$A:$G,6,FALSE)</f>
        <v>M</v>
      </c>
      <c r="S436">
        <f>VLOOKUP(A436,vlookup_table!$A:$G,7,FALSE)</f>
        <v>25</v>
      </c>
      <c r="T436">
        <f t="shared" si="12"/>
        <v>62</v>
      </c>
      <c r="U436" t="str">
        <f t="shared" si="13"/>
        <v>Rural</v>
      </c>
    </row>
    <row r="437" spans="1:21" ht="16" x14ac:dyDescent="0.4">
      <c r="A437" s="4">
        <v>44657</v>
      </c>
      <c r="B437" s="1" t="s">
        <v>13</v>
      </c>
      <c r="C437" s="1" t="s">
        <v>14</v>
      </c>
      <c r="D437" s="1">
        <v>583</v>
      </c>
      <c r="E437" s="1">
        <v>302</v>
      </c>
      <c r="F437" s="1">
        <v>362</v>
      </c>
      <c r="G437" s="1">
        <v>0</v>
      </c>
      <c r="H437" s="1">
        <v>13351</v>
      </c>
      <c r="I437" s="1">
        <v>9</v>
      </c>
      <c r="J437" s="1">
        <v>32</v>
      </c>
      <c r="K437" s="1">
        <v>317</v>
      </c>
      <c r="L437" s="1">
        <v>343</v>
      </c>
      <c r="M437" s="1">
        <v>4</v>
      </c>
      <c r="N437">
        <f>VLOOKUP(A437,vlookup_table!$A:$G,2,FALSE)</f>
        <v>1002</v>
      </c>
      <c r="O437" t="str">
        <f>VLOOKUP(A437,vlookup_table!$A:$G,3,FALSE)</f>
        <v>FL</v>
      </c>
      <c r="P437">
        <f>VLOOKUP(A437,vlookup_table!$A:$G,4,FALSE)</f>
        <v>4201</v>
      </c>
      <c r="Q437" t="str">
        <f>VLOOKUP(A437,vlookup_table!$A:$G,5,FALSE)</f>
        <v>T2</v>
      </c>
      <c r="R437" t="str">
        <f>VLOOKUP(A437,vlookup_table!$A:$G,6,FALSE)</f>
        <v>M</v>
      </c>
      <c r="S437">
        <f>VLOOKUP(A437,vlookup_table!$A:$G,7,FALSE)</f>
        <v>5</v>
      </c>
      <c r="T437">
        <f t="shared" si="12"/>
        <v>54</v>
      </c>
      <c r="U437" t="str">
        <f t="shared" si="13"/>
        <v>Pueblo</v>
      </c>
    </row>
    <row r="438" spans="1:21" ht="16" x14ac:dyDescent="0.4">
      <c r="A438" s="4">
        <v>10554</v>
      </c>
      <c r="B438" s="1" t="s">
        <v>16</v>
      </c>
      <c r="C438" s="1" t="s">
        <v>14</v>
      </c>
      <c r="D438" s="1">
        <v>314</v>
      </c>
      <c r="E438" s="1">
        <v>206</v>
      </c>
      <c r="F438" s="1">
        <v>280</v>
      </c>
      <c r="G438" s="1">
        <v>0</v>
      </c>
      <c r="H438" s="1">
        <v>10245</v>
      </c>
      <c r="I438" s="1">
        <v>0</v>
      </c>
      <c r="J438" s="1">
        <v>90</v>
      </c>
      <c r="K438" s="1">
        <v>224</v>
      </c>
      <c r="L438" s="1">
        <v>236</v>
      </c>
      <c r="M438" s="1">
        <v>13.33333333</v>
      </c>
      <c r="N438">
        <f>VLOOKUP(A438,vlookup_table!$A:$G,2,FALSE)</f>
        <v>2</v>
      </c>
      <c r="O438" t="str">
        <f>VLOOKUP(A438,vlookup_table!$A:$G,3,FALSE)</f>
        <v>IL</v>
      </c>
      <c r="P438">
        <f>VLOOKUP(A438,vlookup_table!$A:$G,4,FALSE)</f>
        <v>0</v>
      </c>
      <c r="Q438" t="str">
        <f>VLOOKUP(A438,vlookup_table!$A:$G,5,FALSE)</f>
        <v>R3</v>
      </c>
      <c r="R438" t="str">
        <f>VLOOKUP(A438,vlookup_table!$A:$G,6,FALSE)</f>
        <v>M</v>
      </c>
      <c r="S438">
        <f>VLOOKUP(A438,vlookup_table!$A:$G,7,FALSE)</f>
        <v>20</v>
      </c>
      <c r="T438">
        <f t="shared" si="12"/>
        <v>96</v>
      </c>
      <c r="U438" t="str">
        <f t="shared" si="13"/>
        <v>Rural</v>
      </c>
    </row>
    <row r="439" spans="1:21" ht="16" x14ac:dyDescent="0.4">
      <c r="A439" s="4">
        <v>33192</v>
      </c>
      <c r="B439" s="1" t="s">
        <v>13</v>
      </c>
      <c r="C439" s="1" t="s">
        <v>17</v>
      </c>
      <c r="D439" s="1">
        <v>671</v>
      </c>
      <c r="E439" s="1">
        <v>341</v>
      </c>
      <c r="F439" s="1">
        <v>385</v>
      </c>
      <c r="G439" s="1">
        <v>0</v>
      </c>
      <c r="H439" s="1">
        <v>12982</v>
      </c>
      <c r="I439" s="1">
        <v>2</v>
      </c>
      <c r="J439" s="1">
        <v>39</v>
      </c>
      <c r="K439" s="1">
        <v>354</v>
      </c>
      <c r="L439" s="1">
        <v>363</v>
      </c>
      <c r="M439" s="1">
        <v>6.25</v>
      </c>
      <c r="N439">
        <f>VLOOKUP(A439,vlookup_table!$A:$G,2,FALSE)</f>
        <v>0</v>
      </c>
      <c r="O439" t="str">
        <f>VLOOKUP(A439,vlookup_table!$A:$G,3,FALSE)</f>
        <v>FL</v>
      </c>
      <c r="P439">
        <f>VLOOKUP(A439,vlookup_table!$A:$G,4,FALSE)</f>
        <v>3501</v>
      </c>
      <c r="Q439" t="str">
        <f>VLOOKUP(A439,vlookup_table!$A:$G,5,FALSE)</f>
        <v>C2</v>
      </c>
      <c r="R439" t="str">
        <f>VLOOKUP(A439,vlookup_table!$A:$G,6,FALSE)</f>
        <v>F</v>
      </c>
      <c r="S439">
        <f>VLOOKUP(A439,vlookup_table!$A:$G,7,FALSE)</f>
        <v>10</v>
      </c>
      <c r="T439">
        <f t="shared" si="12"/>
        <v>61</v>
      </c>
      <c r="U439" t="str">
        <f t="shared" si="13"/>
        <v>Ciudad</v>
      </c>
    </row>
    <row r="440" spans="1:21" ht="16" x14ac:dyDescent="0.4">
      <c r="A440" s="4">
        <v>76470</v>
      </c>
      <c r="B440" s="1" t="s">
        <v>44</v>
      </c>
      <c r="C440" s="1" t="s">
        <v>14</v>
      </c>
      <c r="D440" s="1">
        <v>550</v>
      </c>
      <c r="E440" s="1">
        <v>288</v>
      </c>
      <c r="F440" s="1">
        <v>349</v>
      </c>
      <c r="G440" s="1">
        <v>0</v>
      </c>
      <c r="H440" s="1">
        <v>13538</v>
      </c>
      <c r="I440" s="1">
        <v>1</v>
      </c>
      <c r="J440" s="1">
        <v>82</v>
      </c>
      <c r="K440" s="1">
        <v>344</v>
      </c>
      <c r="L440" s="1">
        <v>303</v>
      </c>
      <c r="M440" s="1">
        <v>9.6428571430000005</v>
      </c>
      <c r="N440">
        <f>VLOOKUP(A440,vlookup_table!$A:$G,2,FALSE)</f>
        <v>1002</v>
      </c>
      <c r="O440" t="str">
        <f>VLOOKUP(A440,vlookup_table!$A:$G,3,FALSE)</f>
        <v>IA</v>
      </c>
      <c r="P440">
        <f>VLOOKUP(A440,vlookup_table!$A:$G,4,FALSE)</f>
        <v>3307</v>
      </c>
      <c r="Q440" t="str">
        <f>VLOOKUP(A440,vlookup_table!$A:$G,5,FALSE)</f>
        <v>T2</v>
      </c>
      <c r="R440" t="str">
        <f>VLOOKUP(A440,vlookup_table!$A:$G,6,FALSE)</f>
        <v>M</v>
      </c>
      <c r="S440">
        <f>VLOOKUP(A440,vlookup_table!$A:$G,7,FALSE)</f>
        <v>10</v>
      </c>
      <c r="T440">
        <f t="shared" si="12"/>
        <v>63</v>
      </c>
      <c r="U440" t="str">
        <f t="shared" si="13"/>
        <v>Pueblo</v>
      </c>
    </row>
    <row r="441" spans="1:21" ht="16" x14ac:dyDescent="0.4">
      <c r="A441" s="4">
        <v>67075</v>
      </c>
      <c r="B441" s="1" t="s">
        <v>26</v>
      </c>
      <c r="C441" s="1" t="s">
        <v>17</v>
      </c>
      <c r="D441" s="1">
        <v>609</v>
      </c>
      <c r="E441" s="1">
        <v>410</v>
      </c>
      <c r="F441" s="1">
        <v>540</v>
      </c>
      <c r="G441" s="1">
        <v>0</v>
      </c>
      <c r="H441" s="1">
        <v>23275</v>
      </c>
      <c r="I441" s="1">
        <v>1</v>
      </c>
      <c r="J441" s="1">
        <v>72</v>
      </c>
      <c r="K441" s="1">
        <v>551</v>
      </c>
      <c r="L441" s="1">
        <v>490</v>
      </c>
      <c r="M441" s="1">
        <v>13.23076923</v>
      </c>
      <c r="N441">
        <f>VLOOKUP(A441,vlookup_table!$A:$G,2,FALSE)</f>
        <v>2</v>
      </c>
      <c r="O441" t="str">
        <f>VLOOKUP(A441,vlookup_table!$A:$G,3,FALSE)</f>
        <v>MI</v>
      </c>
      <c r="P441">
        <f>VLOOKUP(A441,vlookup_table!$A:$G,4,FALSE)</f>
        <v>4601</v>
      </c>
      <c r="Q441" t="str">
        <f>VLOOKUP(A441,vlookup_table!$A:$G,5,FALSE)</f>
        <v>S2</v>
      </c>
      <c r="R441" t="str">
        <f>VLOOKUP(A441,vlookup_table!$A:$G,6,FALSE)</f>
        <v>F</v>
      </c>
      <c r="S441">
        <f>VLOOKUP(A441,vlookup_table!$A:$G,7,FALSE)</f>
        <v>18</v>
      </c>
      <c r="T441">
        <f t="shared" si="12"/>
        <v>50</v>
      </c>
      <c r="U441" t="str">
        <f t="shared" si="13"/>
        <v>Suburbano</v>
      </c>
    </row>
    <row r="442" spans="1:21" ht="16" x14ac:dyDescent="0.4">
      <c r="A442" s="4">
        <v>169827</v>
      </c>
      <c r="B442" s="1" t="s">
        <v>21</v>
      </c>
      <c r="C442" s="1" t="s">
        <v>17</v>
      </c>
      <c r="D442" s="1">
        <v>1650</v>
      </c>
      <c r="E442" s="1">
        <v>397</v>
      </c>
      <c r="F442" s="1">
        <v>479</v>
      </c>
      <c r="G442" s="1">
        <v>19</v>
      </c>
      <c r="H442" s="1">
        <v>15002</v>
      </c>
      <c r="I442" s="1">
        <v>14</v>
      </c>
      <c r="J442" s="1">
        <v>60</v>
      </c>
      <c r="K442" s="1">
        <v>404</v>
      </c>
      <c r="L442" s="1">
        <v>477</v>
      </c>
      <c r="M442" s="1">
        <v>15</v>
      </c>
      <c r="N442">
        <f>VLOOKUP(A442,vlookup_table!$A:$G,2,FALSE)</f>
        <v>0</v>
      </c>
      <c r="O442" t="str">
        <f>VLOOKUP(A442,vlookup_table!$A:$G,3,FALSE)</f>
        <v>CA</v>
      </c>
      <c r="P442">
        <f>VLOOKUP(A442,vlookup_table!$A:$G,4,FALSE)</f>
        <v>4801</v>
      </c>
      <c r="Q442" t="str">
        <f>VLOOKUP(A442,vlookup_table!$A:$G,5,FALSE)</f>
        <v>S2</v>
      </c>
      <c r="R442" t="str">
        <f>VLOOKUP(A442,vlookup_table!$A:$G,6,FALSE)</f>
        <v>F</v>
      </c>
      <c r="S442">
        <f>VLOOKUP(A442,vlookup_table!$A:$G,7,FALSE)</f>
        <v>21</v>
      </c>
      <c r="T442">
        <f t="shared" si="12"/>
        <v>48</v>
      </c>
      <c r="U442" t="str">
        <f t="shared" si="13"/>
        <v>Suburbano</v>
      </c>
    </row>
    <row r="443" spans="1:21" ht="16" x14ac:dyDescent="0.4">
      <c r="A443" s="4">
        <v>38734</v>
      </c>
      <c r="B443" s="1" t="s">
        <v>13</v>
      </c>
      <c r="C443" s="1" t="s">
        <v>17</v>
      </c>
      <c r="D443" s="1">
        <v>1979</v>
      </c>
      <c r="E443" s="1">
        <v>350</v>
      </c>
      <c r="F443" s="1">
        <v>738</v>
      </c>
      <c r="G443" s="1">
        <v>50</v>
      </c>
      <c r="H443" s="1">
        <v>42356</v>
      </c>
      <c r="I443" s="1">
        <v>22</v>
      </c>
      <c r="J443" s="1">
        <v>6</v>
      </c>
      <c r="K443" s="1">
        <v>640</v>
      </c>
      <c r="L443" s="1">
        <v>526</v>
      </c>
      <c r="M443" s="1">
        <v>16</v>
      </c>
      <c r="N443">
        <f>VLOOKUP(A443,vlookup_table!$A:$G,2,FALSE)</f>
        <v>0</v>
      </c>
      <c r="O443" t="str">
        <f>VLOOKUP(A443,vlookup_table!$A:$G,3,FALSE)</f>
        <v>FL</v>
      </c>
      <c r="P443">
        <f>VLOOKUP(A443,vlookup_table!$A:$G,4,FALSE)</f>
        <v>709</v>
      </c>
      <c r="Q443" t="str">
        <f>VLOOKUP(A443,vlookup_table!$A:$G,5,FALSE)</f>
        <v>C1</v>
      </c>
      <c r="R443" t="str">
        <f>VLOOKUP(A443,vlookup_table!$A:$G,6,FALSE)</f>
        <v>F</v>
      </c>
      <c r="S443">
        <f>VLOOKUP(A443,vlookup_table!$A:$G,7,FALSE)</f>
        <v>26</v>
      </c>
      <c r="T443">
        <f t="shared" si="12"/>
        <v>26</v>
      </c>
      <c r="U443" t="str">
        <f t="shared" si="13"/>
        <v>Ciudad</v>
      </c>
    </row>
    <row r="444" spans="1:21" ht="16" x14ac:dyDescent="0.4">
      <c r="A444" s="4">
        <v>65245</v>
      </c>
      <c r="B444" s="1" t="s">
        <v>26</v>
      </c>
      <c r="C444" s="1" t="s">
        <v>17</v>
      </c>
      <c r="D444" s="1">
        <v>473</v>
      </c>
      <c r="E444" s="1">
        <v>302</v>
      </c>
      <c r="F444" s="1">
        <v>409</v>
      </c>
      <c r="G444" s="1">
        <v>0</v>
      </c>
      <c r="H444" s="1">
        <v>13445</v>
      </c>
      <c r="I444" s="1">
        <v>8</v>
      </c>
      <c r="J444" s="1">
        <v>82</v>
      </c>
      <c r="K444" s="1">
        <v>364</v>
      </c>
      <c r="L444" s="1">
        <v>319</v>
      </c>
      <c r="M444" s="1">
        <v>10.83333333</v>
      </c>
      <c r="N444">
        <f>VLOOKUP(A444,vlookup_table!$A:$G,2,FALSE)</f>
        <v>2</v>
      </c>
      <c r="O444" t="str">
        <f>VLOOKUP(A444,vlookup_table!$A:$G,3,FALSE)</f>
        <v>MI</v>
      </c>
      <c r="P444">
        <f>VLOOKUP(A444,vlookup_table!$A:$G,4,FALSE)</f>
        <v>3101</v>
      </c>
      <c r="Q444" t="str">
        <f>VLOOKUP(A444,vlookup_table!$A:$G,5,FALSE)</f>
        <v>U3</v>
      </c>
      <c r="R444" t="str">
        <f>VLOOKUP(A444,vlookup_table!$A:$G,6,FALSE)</f>
        <v>F</v>
      </c>
      <c r="S444">
        <f>VLOOKUP(A444,vlookup_table!$A:$G,7,FALSE)</f>
        <v>10</v>
      </c>
      <c r="T444">
        <f t="shared" si="12"/>
        <v>65</v>
      </c>
      <c r="U444" t="str">
        <f t="shared" si="13"/>
        <v>Urbano</v>
      </c>
    </row>
    <row r="445" spans="1:21" ht="16" x14ac:dyDescent="0.4">
      <c r="A445" s="4">
        <v>186396</v>
      </c>
      <c r="B445" s="1" t="s">
        <v>40</v>
      </c>
      <c r="C445" s="1" t="s">
        <v>14</v>
      </c>
      <c r="D445" s="1">
        <v>679</v>
      </c>
      <c r="E445" s="1">
        <v>277</v>
      </c>
      <c r="F445" s="1">
        <v>347</v>
      </c>
      <c r="G445" s="1">
        <v>0</v>
      </c>
      <c r="H445" s="1">
        <v>13133</v>
      </c>
      <c r="I445" s="1">
        <v>4</v>
      </c>
      <c r="J445" s="1">
        <v>50</v>
      </c>
      <c r="K445" s="1">
        <v>295</v>
      </c>
      <c r="L445" s="1">
        <v>317</v>
      </c>
      <c r="M445" s="1">
        <v>13.14285714</v>
      </c>
      <c r="N445">
        <f>VLOOKUP(A445,vlookup_table!$A:$G,2,FALSE)</f>
        <v>0</v>
      </c>
      <c r="O445" t="str">
        <f>VLOOKUP(A445,vlookup_table!$A:$G,3,FALSE)</f>
        <v>AL</v>
      </c>
      <c r="P445">
        <f>VLOOKUP(A445,vlookup_table!$A:$G,4,FALSE)</f>
        <v>4311</v>
      </c>
      <c r="Q445" t="str">
        <f>VLOOKUP(A445,vlookup_table!$A:$G,5,FALSE)</f>
        <v>T2</v>
      </c>
      <c r="R445" t="str">
        <f>VLOOKUP(A445,vlookup_table!$A:$G,6,FALSE)</f>
        <v>M</v>
      </c>
      <c r="S445">
        <f>VLOOKUP(A445,vlookup_table!$A:$G,7,FALSE)</f>
        <v>20</v>
      </c>
      <c r="T445">
        <f t="shared" si="12"/>
        <v>53</v>
      </c>
      <c r="U445" t="str">
        <f t="shared" si="13"/>
        <v>Pueblo</v>
      </c>
    </row>
    <row r="446" spans="1:21" ht="16" x14ac:dyDescent="0.4">
      <c r="A446" s="4">
        <v>54160</v>
      </c>
      <c r="B446" s="1" t="s">
        <v>49</v>
      </c>
      <c r="C446" s="1" t="s">
        <v>17</v>
      </c>
      <c r="D446" s="1">
        <v>475</v>
      </c>
      <c r="E446" s="1">
        <v>226</v>
      </c>
      <c r="F446" s="1">
        <v>261</v>
      </c>
      <c r="G446" s="1">
        <v>0</v>
      </c>
      <c r="H446" s="1">
        <v>8709</v>
      </c>
      <c r="I446" s="1">
        <v>0</v>
      </c>
      <c r="J446" s="1">
        <v>73</v>
      </c>
      <c r="K446" s="1">
        <v>260</v>
      </c>
      <c r="L446" s="1">
        <v>241</v>
      </c>
      <c r="M446" s="1">
        <v>15</v>
      </c>
      <c r="N446">
        <f>VLOOKUP(A446,vlookup_table!$A:$G,2,FALSE)</f>
        <v>0</v>
      </c>
      <c r="O446" t="str">
        <f>VLOOKUP(A446,vlookup_table!$A:$G,3,FALSE)</f>
        <v>TN</v>
      </c>
      <c r="P446">
        <f>VLOOKUP(A446,vlookup_table!$A:$G,4,FALSE)</f>
        <v>2801</v>
      </c>
      <c r="Q446" t="str">
        <f>VLOOKUP(A446,vlookup_table!$A:$G,5,FALSE)</f>
        <v>R3</v>
      </c>
      <c r="R446" t="str">
        <f>VLOOKUP(A446,vlookup_table!$A:$G,6,FALSE)</f>
        <v>F</v>
      </c>
      <c r="S446">
        <f>VLOOKUP(A446,vlookup_table!$A:$G,7,FALSE)</f>
        <v>10</v>
      </c>
      <c r="T446">
        <f t="shared" si="12"/>
        <v>68</v>
      </c>
      <c r="U446" t="str">
        <f t="shared" si="13"/>
        <v>Rural</v>
      </c>
    </row>
    <row r="447" spans="1:21" ht="16" x14ac:dyDescent="0.4">
      <c r="A447" s="4">
        <v>178826</v>
      </c>
      <c r="B447" s="1" t="s">
        <v>45</v>
      </c>
      <c r="C447" s="1"/>
      <c r="D447" s="1">
        <v>872</v>
      </c>
      <c r="E447" s="1">
        <v>418</v>
      </c>
      <c r="F447" s="1">
        <v>482</v>
      </c>
      <c r="G447" s="1">
        <v>1</v>
      </c>
      <c r="H447" s="1">
        <v>15287</v>
      </c>
      <c r="I447" s="1">
        <v>5</v>
      </c>
      <c r="J447" s="1">
        <v>40</v>
      </c>
      <c r="K447" s="1">
        <v>424</v>
      </c>
      <c r="L447" s="1">
        <v>458</v>
      </c>
      <c r="M447" s="1">
        <v>10.83333333</v>
      </c>
      <c r="N447">
        <f>VLOOKUP(A447,vlookup_table!$A:$G,2,FALSE)</f>
        <v>0</v>
      </c>
      <c r="O447" t="str">
        <f>VLOOKUP(A447,vlookup_table!$A:$G,3,FALSE)</f>
        <v>CO</v>
      </c>
      <c r="P447">
        <f>VLOOKUP(A447,vlookup_table!$A:$G,4,FALSE)</f>
        <v>5102</v>
      </c>
      <c r="Q447" t="str">
        <f>VLOOKUP(A447,vlookup_table!$A:$G,5,FALSE)</f>
        <v>S1</v>
      </c>
      <c r="R447" t="str">
        <f>VLOOKUP(A447,vlookup_table!$A:$G,6,FALSE)</f>
        <v/>
      </c>
      <c r="S447">
        <f>VLOOKUP(A447,vlookup_table!$A:$G,7,FALSE)</f>
        <v>20</v>
      </c>
      <c r="T447">
        <f t="shared" si="12"/>
        <v>45</v>
      </c>
      <c r="U447" t="str">
        <f t="shared" si="13"/>
        <v>Suburbano</v>
      </c>
    </row>
    <row r="448" spans="1:21" ht="16" x14ac:dyDescent="0.4">
      <c r="A448" s="4">
        <v>7507</v>
      </c>
      <c r="B448" s="1" t="s">
        <v>16</v>
      </c>
      <c r="C448" s="1" t="s">
        <v>14</v>
      </c>
      <c r="D448" s="1">
        <v>1075</v>
      </c>
      <c r="E448" s="1">
        <v>366</v>
      </c>
      <c r="F448" s="1">
        <v>455</v>
      </c>
      <c r="G448" s="1">
        <v>0</v>
      </c>
      <c r="H448" s="1">
        <v>14394</v>
      </c>
      <c r="I448" s="1">
        <v>1</v>
      </c>
      <c r="J448" s="1">
        <v>90</v>
      </c>
      <c r="K448" s="1">
        <v>449</v>
      </c>
      <c r="L448" s="1">
        <v>373</v>
      </c>
      <c r="M448" s="1">
        <v>10.10526316</v>
      </c>
      <c r="N448">
        <f>VLOOKUP(A448,vlookup_table!$A:$G,2,FALSE)</f>
        <v>1</v>
      </c>
      <c r="O448" t="str">
        <f>VLOOKUP(A448,vlookup_table!$A:$G,3,FALSE)</f>
        <v>IL</v>
      </c>
      <c r="P448">
        <f>VLOOKUP(A448,vlookup_table!$A:$G,4,FALSE)</f>
        <v>2504</v>
      </c>
      <c r="Q448" t="str">
        <f>VLOOKUP(A448,vlookup_table!$A:$G,5,FALSE)</f>
        <v>S2</v>
      </c>
      <c r="R448" t="str">
        <f>VLOOKUP(A448,vlookup_table!$A:$G,6,FALSE)</f>
        <v>M</v>
      </c>
      <c r="S448">
        <f>VLOOKUP(A448,vlookup_table!$A:$G,7,FALSE)</f>
        <v>10</v>
      </c>
      <c r="T448">
        <f t="shared" si="12"/>
        <v>71</v>
      </c>
      <c r="U448" t="str">
        <f t="shared" si="13"/>
        <v>Suburbano</v>
      </c>
    </row>
    <row r="449" spans="1:21" ht="16" x14ac:dyDescent="0.4">
      <c r="A449" s="4">
        <v>4150</v>
      </c>
      <c r="B449" s="1" t="s">
        <v>33</v>
      </c>
      <c r="C449" s="1" t="s">
        <v>17</v>
      </c>
      <c r="D449" s="1">
        <v>580</v>
      </c>
      <c r="E449" s="1">
        <v>310</v>
      </c>
      <c r="F449" s="1">
        <v>374</v>
      </c>
      <c r="G449" s="1">
        <v>0</v>
      </c>
      <c r="H449" s="1">
        <v>12273</v>
      </c>
      <c r="I449" s="1">
        <v>2</v>
      </c>
      <c r="J449" s="1">
        <v>75</v>
      </c>
      <c r="K449" s="1">
        <v>322</v>
      </c>
      <c r="L449" s="1">
        <v>347</v>
      </c>
      <c r="M449" s="1">
        <v>10.75</v>
      </c>
      <c r="N449">
        <f>VLOOKUP(A449,vlookup_table!$A:$G,2,FALSE)</f>
        <v>0</v>
      </c>
      <c r="O449" t="str">
        <f>VLOOKUP(A449,vlookup_table!$A:$G,3,FALSE)</f>
        <v>MO</v>
      </c>
      <c r="P449">
        <f>VLOOKUP(A449,vlookup_table!$A:$G,4,FALSE)</f>
        <v>4412</v>
      </c>
      <c r="Q449" t="str">
        <f>VLOOKUP(A449,vlookup_table!$A:$G,5,FALSE)</f>
        <v>C2</v>
      </c>
      <c r="R449" t="str">
        <f>VLOOKUP(A449,vlookup_table!$A:$G,6,FALSE)</f>
        <v>F</v>
      </c>
      <c r="S449">
        <f>VLOOKUP(A449,vlookup_table!$A:$G,7,FALSE)</f>
        <v>14</v>
      </c>
      <c r="T449">
        <f t="shared" si="12"/>
        <v>52</v>
      </c>
      <c r="U449" t="str">
        <f t="shared" si="13"/>
        <v>Ciudad</v>
      </c>
    </row>
    <row r="450" spans="1:21" ht="16" x14ac:dyDescent="0.4">
      <c r="A450" s="4">
        <v>120041</v>
      </c>
      <c r="B450" s="1" t="s">
        <v>20</v>
      </c>
      <c r="C450" s="1" t="s">
        <v>17</v>
      </c>
      <c r="D450" s="1">
        <v>442</v>
      </c>
      <c r="E450" s="1">
        <v>252</v>
      </c>
      <c r="F450" s="1">
        <v>390</v>
      </c>
      <c r="G450" s="1">
        <v>0</v>
      </c>
      <c r="H450" s="1">
        <v>12929</v>
      </c>
      <c r="I450" s="1">
        <v>2</v>
      </c>
      <c r="J450" s="1">
        <v>69</v>
      </c>
      <c r="K450" s="1">
        <v>341</v>
      </c>
      <c r="L450" s="1">
        <v>325</v>
      </c>
      <c r="M450" s="1">
        <v>6.2857142860000002</v>
      </c>
      <c r="N450">
        <f>VLOOKUP(A450,vlookup_table!$A:$G,2,FALSE)</f>
        <v>2</v>
      </c>
      <c r="O450" t="str">
        <f>VLOOKUP(A450,vlookup_table!$A:$G,3,FALSE)</f>
        <v>TX</v>
      </c>
      <c r="P450">
        <f>VLOOKUP(A450,vlookup_table!$A:$G,4,FALSE)</f>
        <v>5901</v>
      </c>
      <c r="Q450" t="str">
        <f>VLOOKUP(A450,vlookup_table!$A:$G,5,FALSE)</f>
        <v>T2</v>
      </c>
      <c r="R450" t="str">
        <f>VLOOKUP(A450,vlookup_table!$A:$G,6,FALSE)</f>
        <v>F</v>
      </c>
      <c r="S450">
        <f>VLOOKUP(A450,vlookup_table!$A:$G,7,FALSE)</f>
        <v>8</v>
      </c>
      <c r="T450">
        <f t="shared" si="12"/>
        <v>37</v>
      </c>
      <c r="U450" t="str">
        <f t="shared" si="13"/>
        <v>Pueblo</v>
      </c>
    </row>
    <row r="451" spans="1:21" ht="16" x14ac:dyDescent="0.4">
      <c r="A451" s="4">
        <v>51486</v>
      </c>
      <c r="B451" s="1" t="s">
        <v>49</v>
      </c>
      <c r="C451" s="1" t="s">
        <v>14</v>
      </c>
      <c r="D451" s="1">
        <v>325</v>
      </c>
      <c r="E451" s="1">
        <v>119</v>
      </c>
      <c r="F451" s="1">
        <v>210</v>
      </c>
      <c r="G451" s="1">
        <v>0</v>
      </c>
      <c r="H451" s="1">
        <v>8856</v>
      </c>
      <c r="I451" s="1">
        <v>2</v>
      </c>
      <c r="J451" s="1">
        <v>78</v>
      </c>
      <c r="K451" s="1">
        <v>133</v>
      </c>
      <c r="L451" s="1">
        <v>188</v>
      </c>
      <c r="M451" s="1">
        <v>6.3636363640000004</v>
      </c>
      <c r="N451">
        <f>VLOOKUP(A451,vlookup_table!$A:$G,2,FALSE)</f>
        <v>2</v>
      </c>
      <c r="O451" t="str">
        <f>VLOOKUP(A451,vlookup_table!$A:$G,3,FALSE)</f>
        <v>TN</v>
      </c>
      <c r="P451">
        <f>VLOOKUP(A451,vlookup_table!$A:$G,4,FALSE)</f>
        <v>2805</v>
      </c>
      <c r="Q451" t="str">
        <f>VLOOKUP(A451,vlookup_table!$A:$G,5,FALSE)</f>
        <v>C3</v>
      </c>
      <c r="R451" t="str">
        <f>VLOOKUP(A451,vlookup_table!$A:$G,6,FALSE)</f>
        <v>M</v>
      </c>
      <c r="S451">
        <f>VLOOKUP(A451,vlookup_table!$A:$G,7,FALSE)</f>
        <v>6</v>
      </c>
      <c r="T451">
        <f t="shared" ref="T451:T514" si="14">97-LEFT(P451,2)-IF(RIGHT(P451,2)&gt;6,1,0)</f>
        <v>68</v>
      </c>
      <c r="U451" t="str">
        <f t="shared" ref="U451:U514" si="15">IF(LEFT(Q451,1)="C","Ciudad",IF(LEFT(Q451,1)="T","Pueblo",IF(LEFT(Q451,1)="R","Rural",IF(LEFT(Q451,1)="S","Suburbano",IF(LEFT(Q451,1)="U","Urbano","")))))</f>
        <v>Ciudad</v>
      </c>
    </row>
    <row r="452" spans="1:21" ht="16" x14ac:dyDescent="0.4">
      <c r="A452" s="4">
        <v>173348</v>
      </c>
      <c r="B452" s="1" t="s">
        <v>21</v>
      </c>
      <c r="C452" s="1" t="s">
        <v>14</v>
      </c>
      <c r="D452" s="1">
        <v>1276</v>
      </c>
      <c r="E452" s="1">
        <v>423</v>
      </c>
      <c r="F452" s="1">
        <v>521</v>
      </c>
      <c r="G452" s="1">
        <v>7</v>
      </c>
      <c r="H452" s="1">
        <v>17032</v>
      </c>
      <c r="I452" s="1">
        <v>5</v>
      </c>
      <c r="J452" s="1">
        <v>51</v>
      </c>
      <c r="K452" s="1">
        <v>524</v>
      </c>
      <c r="L452" s="1">
        <v>497</v>
      </c>
      <c r="M452" s="1">
        <v>5.5</v>
      </c>
      <c r="N452">
        <f>VLOOKUP(A452,vlookup_table!$A:$G,2,FALSE)</f>
        <v>28</v>
      </c>
      <c r="O452" t="str">
        <f>VLOOKUP(A452,vlookup_table!$A:$G,3,FALSE)</f>
        <v>CA</v>
      </c>
      <c r="P452">
        <f>VLOOKUP(A452,vlookup_table!$A:$G,4,FALSE)</f>
        <v>2701</v>
      </c>
      <c r="Q452" t="str">
        <f>VLOOKUP(A452,vlookup_table!$A:$G,5,FALSE)</f>
        <v>T2</v>
      </c>
      <c r="R452" t="str">
        <f>VLOOKUP(A452,vlookup_table!$A:$G,6,FALSE)</f>
        <v>M</v>
      </c>
      <c r="S452">
        <f>VLOOKUP(A452,vlookup_table!$A:$G,7,FALSE)</f>
        <v>8</v>
      </c>
      <c r="T452">
        <f t="shared" si="14"/>
        <v>69</v>
      </c>
      <c r="U452" t="str">
        <f t="shared" si="15"/>
        <v>Pueblo</v>
      </c>
    </row>
    <row r="453" spans="1:21" ht="16" x14ac:dyDescent="0.4">
      <c r="A453" s="4">
        <v>74669</v>
      </c>
      <c r="B453" s="1" t="s">
        <v>26</v>
      </c>
      <c r="C453" s="1" t="s">
        <v>17</v>
      </c>
      <c r="D453" s="1">
        <v>438</v>
      </c>
      <c r="E453" s="1">
        <v>267</v>
      </c>
      <c r="F453" s="1">
        <v>314</v>
      </c>
      <c r="G453" s="1">
        <v>0</v>
      </c>
      <c r="H453" s="1">
        <v>10329</v>
      </c>
      <c r="I453" s="1">
        <v>1</v>
      </c>
      <c r="J453" s="1">
        <v>75</v>
      </c>
      <c r="K453" s="1">
        <v>302</v>
      </c>
      <c r="L453" s="1">
        <v>287</v>
      </c>
      <c r="M453" s="1">
        <v>12.25</v>
      </c>
      <c r="N453">
        <f>VLOOKUP(A453,vlookup_table!$A:$G,2,FALSE)</f>
        <v>0</v>
      </c>
      <c r="O453" t="str">
        <f>VLOOKUP(A453,vlookup_table!$A:$G,3,FALSE)</f>
        <v>MI</v>
      </c>
      <c r="P453">
        <f>VLOOKUP(A453,vlookup_table!$A:$G,4,FALSE)</f>
        <v>0</v>
      </c>
      <c r="Q453" t="str">
        <f>VLOOKUP(A453,vlookup_table!$A:$G,5,FALSE)</f>
        <v>R2</v>
      </c>
      <c r="R453" t="str">
        <f>VLOOKUP(A453,vlookup_table!$A:$G,6,FALSE)</f>
        <v>F</v>
      </c>
      <c r="S453">
        <f>VLOOKUP(A453,vlookup_table!$A:$G,7,FALSE)</f>
        <v>20</v>
      </c>
      <c r="T453">
        <f t="shared" si="14"/>
        <v>96</v>
      </c>
      <c r="U453" t="str">
        <f t="shared" si="15"/>
        <v>Rural</v>
      </c>
    </row>
    <row r="454" spans="1:21" ht="16" x14ac:dyDescent="0.4">
      <c r="A454" s="4">
        <v>64430</v>
      </c>
      <c r="B454" s="1" t="s">
        <v>30</v>
      </c>
      <c r="C454" s="1" t="s">
        <v>17</v>
      </c>
      <c r="D454" s="1">
        <v>386</v>
      </c>
      <c r="E454" s="1">
        <v>258</v>
      </c>
      <c r="F454" s="1">
        <v>358</v>
      </c>
      <c r="G454" s="1">
        <v>1</v>
      </c>
      <c r="H454" s="1">
        <v>12513</v>
      </c>
      <c r="I454" s="1">
        <v>0</v>
      </c>
      <c r="J454" s="1">
        <v>75</v>
      </c>
      <c r="K454" s="1">
        <v>301</v>
      </c>
      <c r="L454" s="1">
        <v>313</v>
      </c>
      <c r="M454" s="1">
        <v>11.66666667</v>
      </c>
      <c r="N454">
        <f>VLOOKUP(A454,vlookup_table!$A:$G,2,FALSE)</f>
        <v>0</v>
      </c>
      <c r="O454" t="str">
        <f>VLOOKUP(A454,vlookup_table!$A:$G,3,FALSE)</f>
        <v>IN</v>
      </c>
      <c r="P454">
        <f>VLOOKUP(A454,vlookup_table!$A:$G,4,FALSE)</f>
        <v>0</v>
      </c>
      <c r="Q454" t="str">
        <f>VLOOKUP(A454,vlookup_table!$A:$G,5,FALSE)</f>
        <v>R2</v>
      </c>
      <c r="R454" t="str">
        <f>VLOOKUP(A454,vlookup_table!$A:$G,6,FALSE)</f>
        <v>F</v>
      </c>
      <c r="S454">
        <f>VLOOKUP(A454,vlookup_table!$A:$G,7,FALSE)</f>
        <v>13</v>
      </c>
      <c r="T454">
        <f t="shared" si="14"/>
        <v>96</v>
      </c>
      <c r="U454" t="str">
        <f t="shared" si="15"/>
        <v>Rural</v>
      </c>
    </row>
    <row r="455" spans="1:21" ht="16" x14ac:dyDescent="0.4">
      <c r="A455" s="4">
        <v>156485</v>
      </c>
      <c r="B455" s="1" t="s">
        <v>21</v>
      </c>
      <c r="C455" s="1" t="s">
        <v>17</v>
      </c>
      <c r="D455" s="1">
        <v>2433</v>
      </c>
      <c r="E455" s="1">
        <v>403</v>
      </c>
      <c r="F455" s="1">
        <v>502</v>
      </c>
      <c r="G455" s="1">
        <v>86</v>
      </c>
      <c r="H455" s="1">
        <v>18284</v>
      </c>
      <c r="I455" s="1">
        <v>18</v>
      </c>
      <c r="J455" s="1">
        <v>41</v>
      </c>
      <c r="K455" s="1">
        <v>459</v>
      </c>
      <c r="L455" s="1">
        <v>449</v>
      </c>
      <c r="M455" s="1">
        <v>6.266666667</v>
      </c>
      <c r="N455">
        <f>VLOOKUP(A455,vlookup_table!$A:$G,2,FALSE)</f>
        <v>0</v>
      </c>
      <c r="O455" t="str">
        <f>VLOOKUP(A455,vlookup_table!$A:$G,3,FALSE)</f>
        <v>CA</v>
      </c>
      <c r="P455">
        <f>VLOOKUP(A455,vlookup_table!$A:$G,4,FALSE)</f>
        <v>4101</v>
      </c>
      <c r="Q455" t="str">
        <f>VLOOKUP(A455,vlookup_table!$A:$G,5,FALSE)</f>
        <v>U1</v>
      </c>
      <c r="R455" t="str">
        <f>VLOOKUP(A455,vlookup_table!$A:$G,6,FALSE)</f>
        <v>F</v>
      </c>
      <c r="S455">
        <f>VLOOKUP(A455,vlookup_table!$A:$G,7,FALSE)</f>
        <v>10</v>
      </c>
      <c r="T455">
        <f t="shared" si="14"/>
        <v>55</v>
      </c>
      <c r="U455" t="str">
        <f t="shared" si="15"/>
        <v>Urbano</v>
      </c>
    </row>
    <row r="456" spans="1:21" ht="16" x14ac:dyDescent="0.4">
      <c r="A456" s="4">
        <v>39935</v>
      </c>
      <c r="B456" s="1" t="s">
        <v>13</v>
      </c>
      <c r="C456" s="1" t="s">
        <v>14</v>
      </c>
      <c r="D456" s="1">
        <v>1464</v>
      </c>
      <c r="E456" s="1">
        <v>305</v>
      </c>
      <c r="F456" s="1">
        <v>472</v>
      </c>
      <c r="G456" s="1">
        <v>7</v>
      </c>
      <c r="H456" s="1">
        <v>22648</v>
      </c>
      <c r="I456" s="1">
        <v>11</v>
      </c>
      <c r="J456" s="1">
        <v>13</v>
      </c>
      <c r="K456" s="1">
        <v>413</v>
      </c>
      <c r="L456" s="1">
        <v>377</v>
      </c>
      <c r="M456" s="1">
        <v>4</v>
      </c>
      <c r="N456">
        <f>VLOOKUP(A456,vlookup_table!$A:$G,2,FALSE)</f>
        <v>0</v>
      </c>
      <c r="O456" t="str">
        <f>VLOOKUP(A456,vlookup_table!$A:$G,3,FALSE)</f>
        <v>FL</v>
      </c>
      <c r="P456">
        <f>VLOOKUP(A456,vlookup_table!$A:$G,4,FALSE)</f>
        <v>6001</v>
      </c>
      <c r="Q456" t="str">
        <f>VLOOKUP(A456,vlookup_table!$A:$G,5,FALSE)</f>
        <v>C3</v>
      </c>
      <c r="R456" t="str">
        <f>VLOOKUP(A456,vlookup_table!$A:$G,6,FALSE)</f>
        <v>M</v>
      </c>
      <c r="S456">
        <f>VLOOKUP(A456,vlookup_table!$A:$G,7,FALSE)</f>
        <v>4</v>
      </c>
      <c r="T456">
        <f t="shared" si="14"/>
        <v>36</v>
      </c>
      <c r="U456" t="str">
        <f t="shared" si="15"/>
        <v>Ciudad</v>
      </c>
    </row>
    <row r="457" spans="1:21" ht="16" x14ac:dyDescent="0.4">
      <c r="A457" s="4">
        <v>50187</v>
      </c>
      <c r="B457" s="1" t="s">
        <v>49</v>
      </c>
      <c r="C457" s="1" t="s">
        <v>27</v>
      </c>
      <c r="D457" s="1">
        <v>1052</v>
      </c>
      <c r="E457" s="1">
        <v>482</v>
      </c>
      <c r="F457" s="1">
        <v>541</v>
      </c>
      <c r="G457" s="1">
        <v>9</v>
      </c>
      <c r="H457" s="1">
        <v>20492</v>
      </c>
      <c r="I457" s="1">
        <v>1</v>
      </c>
      <c r="J457" s="1">
        <v>44</v>
      </c>
      <c r="K457" s="1">
        <v>499</v>
      </c>
      <c r="L457" s="1">
        <v>516</v>
      </c>
      <c r="M457" s="1">
        <v>20</v>
      </c>
      <c r="N457">
        <f>VLOOKUP(A457,vlookup_table!$A:$G,2,FALSE)</f>
        <v>0</v>
      </c>
      <c r="O457" t="str">
        <f>VLOOKUP(A457,vlookup_table!$A:$G,3,FALSE)</f>
        <v>TN</v>
      </c>
      <c r="P457">
        <f>VLOOKUP(A457,vlookup_table!$A:$G,4,FALSE)</f>
        <v>0</v>
      </c>
      <c r="Q457" t="str">
        <f>VLOOKUP(A457,vlookup_table!$A:$G,5,FALSE)</f>
        <v>C1</v>
      </c>
      <c r="R457" t="str">
        <f>VLOOKUP(A457,vlookup_table!$A:$G,6,FALSE)</f>
        <v>U</v>
      </c>
      <c r="S457">
        <f>VLOOKUP(A457,vlookup_table!$A:$G,7,FALSE)</f>
        <v>20</v>
      </c>
      <c r="T457">
        <f t="shared" si="14"/>
        <v>96</v>
      </c>
      <c r="U457" t="str">
        <f t="shared" si="15"/>
        <v>Ciudad</v>
      </c>
    </row>
    <row r="458" spans="1:21" ht="16" x14ac:dyDescent="0.4">
      <c r="A458" s="4">
        <v>26254</v>
      </c>
      <c r="B458" s="1" t="s">
        <v>36</v>
      </c>
      <c r="C458" s="1" t="s">
        <v>17</v>
      </c>
      <c r="D458" s="1">
        <v>998</v>
      </c>
      <c r="E458" s="1">
        <v>488</v>
      </c>
      <c r="F458" s="1">
        <v>602</v>
      </c>
      <c r="G458" s="1">
        <v>21</v>
      </c>
      <c r="H458" s="1">
        <v>29540</v>
      </c>
      <c r="I458" s="1">
        <v>5</v>
      </c>
      <c r="J458" s="1">
        <v>51</v>
      </c>
      <c r="K458" s="1">
        <v>550</v>
      </c>
      <c r="L458" s="1">
        <v>581</v>
      </c>
      <c r="M458" s="1">
        <v>6.25</v>
      </c>
      <c r="N458">
        <f>VLOOKUP(A458,vlookup_table!$A:$G,2,FALSE)</f>
        <v>0</v>
      </c>
      <c r="O458" t="str">
        <f>VLOOKUP(A458,vlookup_table!$A:$G,3,FALSE)</f>
        <v>GA</v>
      </c>
      <c r="P458">
        <f>VLOOKUP(A458,vlookup_table!$A:$G,4,FALSE)</f>
        <v>6801</v>
      </c>
      <c r="Q458" t="str">
        <f>VLOOKUP(A458,vlookup_table!$A:$G,5,FALSE)</f>
        <v>C1</v>
      </c>
      <c r="R458" t="str">
        <f>VLOOKUP(A458,vlookup_table!$A:$G,6,FALSE)</f>
        <v>F</v>
      </c>
      <c r="S458">
        <f>VLOOKUP(A458,vlookup_table!$A:$G,7,FALSE)</f>
        <v>10</v>
      </c>
      <c r="T458">
        <f t="shared" si="14"/>
        <v>28</v>
      </c>
      <c r="U458" t="str">
        <f t="shared" si="15"/>
        <v>Ciudad</v>
      </c>
    </row>
    <row r="459" spans="1:21" ht="16" x14ac:dyDescent="0.4">
      <c r="A459" s="4">
        <v>30433</v>
      </c>
      <c r="B459" s="1" t="s">
        <v>36</v>
      </c>
      <c r="C459" s="1" t="s">
        <v>17</v>
      </c>
      <c r="D459" s="1">
        <v>821</v>
      </c>
      <c r="E459" s="1">
        <v>390</v>
      </c>
      <c r="F459" s="1">
        <v>526</v>
      </c>
      <c r="G459" s="1">
        <v>1</v>
      </c>
      <c r="H459" s="1">
        <v>19734</v>
      </c>
      <c r="I459" s="1">
        <v>2</v>
      </c>
      <c r="J459" s="1">
        <v>58</v>
      </c>
      <c r="K459" s="1">
        <v>475</v>
      </c>
      <c r="L459" s="1">
        <v>425</v>
      </c>
      <c r="M459" s="1">
        <v>17.1875</v>
      </c>
      <c r="N459">
        <f>VLOOKUP(A459,vlookup_table!$A:$G,2,FALSE)</f>
        <v>28</v>
      </c>
      <c r="O459" t="str">
        <f>VLOOKUP(A459,vlookup_table!$A:$G,3,FALSE)</f>
        <v>GA</v>
      </c>
      <c r="P459">
        <f>VLOOKUP(A459,vlookup_table!$A:$G,4,FALSE)</f>
        <v>2201</v>
      </c>
      <c r="Q459" t="str">
        <f>VLOOKUP(A459,vlookup_table!$A:$G,5,FALSE)</f>
        <v>C1</v>
      </c>
      <c r="R459" t="str">
        <f>VLOOKUP(A459,vlookup_table!$A:$G,6,FALSE)</f>
        <v>F</v>
      </c>
      <c r="S459">
        <f>VLOOKUP(A459,vlookup_table!$A:$G,7,FALSE)</f>
        <v>15</v>
      </c>
      <c r="T459">
        <f t="shared" si="14"/>
        <v>74</v>
      </c>
      <c r="U459" t="str">
        <f t="shared" si="15"/>
        <v>Ciudad</v>
      </c>
    </row>
    <row r="460" spans="1:21" ht="16" x14ac:dyDescent="0.4">
      <c r="A460" s="4">
        <v>189373</v>
      </c>
      <c r="B460" s="1" t="s">
        <v>21</v>
      </c>
      <c r="C460" s="1" t="s">
        <v>17</v>
      </c>
      <c r="D460" s="1">
        <v>2300</v>
      </c>
      <c r="E460" s="1">
        <v>311</v>
      </c>
      <c r="F460" s="1">
        <v>375</v>
      </c>
      <c r="G460" s="1">
        <v>68</v>
      </c>
      <c r="H460" s="1">
        <v>16133</v>
      </c>
      <c r="I460" s="1">
        <v>27</v>
      </c>
      <c r="J460" s="1">
        <v>42</v>
      </c>
      <c r="K460" s="1">
        <v>345</v>
      </c>
      <c r="L460" s="1">
        <v>350</v>
      </c>
      <c r="M460" s="1">
        <v>5.5333333329999999</v>
      </c>
      <c r="N460">
        <f>VLOOKUP(A460,vlookup_table!$A:$G,2,FALSE)</f>
        <v>0</v>
      </c>
      <c r="O460" t="str">
        <f>VLOOKUP(A460,vlookup_table!$A:$G,3,FALSE)</f>
        <v>CA</v>
      </c>
      <c r="P460">
        <f>VLOOKUP(A460,vlookup_table!$A:$G,4,FALSE)</f>
        <v>1804</v>
      </c>
      <c r="Q460" t="str">
        <f>VLOOKUP(A460,vlookup_table!$A:$G,5,FALSE)</f>
        <v>U2</v>
      </c>
      <c r="R460" t="str">
        <f>VLOOKUP(A460,vlookup_table!$A:$G,6,FALSE)</f>
        <v>F</v>
      </c>
      <c r="S460">
        <f>VLOOKUP(A460,vlookup_table!$A:$G,7,FALSE)</f>
        <v>15</v>
      </c>
      <c r="T460">
        <f t="shared" si="14"/>
        <v>78</v>
      </c>
      <c r="U460" t="str">
        <f t="shared" si="15"/>
        <v>Urbano</v>
      </c>
    </row>
    <row r="461" spans="1:21" ht="16" x14ac:dyDescent="0.4">
      <c r="A461" s="4">
        <v>91756</v>
      </c>
      <c r="B461" s="1" t="s">
        <v>16</v>
      </c>
      <c r="C461" s="1" t="s">
        <v>14</v>
      </c>
      <c r="D461" s="1">
        <v>1852</v>
      </c>
      <c r="E461" s="1">
        <v>550</v>
      </c>
      <c r="F461" s="1">
        <v>614</v>
      </c>
      <c r="G461" s="1">
        <v>34</v>
      </c>
      <c r="H461" s="1">
        <v>17690</v>
      </c>
      <c r="I461" s="1">
        <v>7</v>
      </c>
      <c r="J461" s="1">
        <v>86</v>
      </c>
      <c r="K461" s="1">
        <v>561</v>
      </c>
      <c r="L461" s="1">
        <v>602</v>
      </c>
      <c r="M461" s="1">
        <v>7.3684210529999996</v>
      </c>
      <c r="N461">
        <f>VLOOKUP(A461,vlookup_table!$A:$G,2,FALSE)</f>
        <v>2</v>
      </c>
      <c r="O461" t="str">
        <f>VLOOKUP(A461,vlookup_table!$A:$G,3,FALSE)</f>
        <v>IL</v>
      </c>
      <c r="P461">
        <f>VLOOKUP(A461,vlookup_table!$A:$G,4,FALSE)</f>
        <v>5810</v>
      </c>
      <c r="Q461" t="str">
        <f>VLOOKUP(A461,vlookup_table!$A:$G,5,FALSE)</f>
        <v>T1</v>
      </c>
      <c r="R461" t="str">
        <f>VLOOKUP(A461,vlookup_table!$A:$G,6,FALSE)</f>
        <v>M</v>
      </c>
      <c r="S461">
        <f>VLOOKUP(A461,vlookup_table!$A:$G,7,FALSE)</f>
        <v>7</v>
      </c>
      <c r="T461">
        <f t="shared" si="14"/>
        <v>38</v>
      </c>
      <c r="U461" t="str">
        <f t="shared" si="15"/>
        <v>Pueblo</v>
      </c>
    </row>
    <row r="462" spans="1:21" ht="16" x14ac:dyDescent="0.4">
      <c r="A462" s="4">
        <v>182279</v>
      </c>
      <c r="B462" s="1" t="s">
        <v>37</v>
      </c>
      <c r="C462" s="1" t="s">
        <v>17</v>
      </c>
      <c r="D462" s="1">
        <v>663</v>
      </c>
      <c r="E462" s="1">
        <v>205</v>
      </c>
      <c r="F462" s="1">
        <v>277</v>
      </c>
      <c r="G462" s="1">
        <v>0</v>
      </c>
      <c r="H462" s="1">
        <v>10959</v>
      </c>
      <c r="I462" s="1">
        <v>12</v>
      </c>
      <c r="J462" s="1">
        <v>41</v>
      </c>
      <c r="K462" s="1">
        <v>220</v>
      </c>
      <c r="L462" s="1">
        <v>234</v>
      </c>
      <c r="M462" s="1">
        <v>13.24</v>
      </c>
      <c r="N462">
        <f>VLOOKUP(A462,vlookup_table!$A:$G,2,FALSE)</f>
        <v>0</v>
      </c>
      <c r="O462" t="str">
        <f>VLOOKUP(A462,vlookup_table!$A:$G,3,FALSE)</f>
        <v>WA</v>
      </c>
      <c r="P462">
        <f>VLOOKUP(A462,vlookup_table!$A:$G,4,FALSE)</f>
        <v>6201</v>
      </c>
      <c r="Q462" t="str">
        <f>VLOOKUP(A462,vlookup_table!$A:$G,5,FALSE)</f>
        <v>C3</v>
      </c>
      <c r="R462" t="str">
        <f>VLOOKUP(A462,vlookup_table!$A:$G,6,FALSE)</f>
        <v>F</v>
      </c>
      <c r="S462">
        <f>VLOOKUP(A462,vlookup_table!$A:$G,7,FALSE)</f>
        <v>20</v>
      </c>
      <c r="T462">
        <f t="shared" si="14"/>
        <v>34</v>
      </c>
      <c r="U462" t="str">
        <f t="shared" si="15"/>
        <v>Ciudad</v>
      </c>
    </row>
    <row r="463" spans="1:21" ht="16" x14ac:dyDescent="0.4">
      <c r="A463" s="4">
        <v>122465</v>
      </c>
      <c r="B463" s="1" t="s">
        <v>20</v>
      </c>
      <c r="C463" s="1" t="s">
        <v>17</v>
      </c>
      <c r="D463" s="1">
        <v>2056</v>
      </c>
      <c r="E463" s="1">
        <v>906</v>
      </c>
      <c r="F463" s="1">
        <v>957</v>
      </c>
      <c r="G463" s="1">
        <v>52</v>
      </c>
      <c r="H463" s="1">
        <v>29903</v>
      </c>
      <c r="I463" s="1">
        <v>4</v>
      </c>
      <c r="J463" s="1">
        <v>28</v>
      </c>
      <c r="K463" s="1">
        <v>924</v>
      </c>
      <c r="L463" s="1">
        <v>931</v>
      </c>
      <c r="M463" s="1">
        <v>7.2</v>
      </c>
      <c r="N463">
        <f>VLOOKUP(A463,vlookup_table!$A:$G,2,FALSE)</f>
        <v>0</v>
      </c>
      <c r="O463" t="str">
        <f>VLOOKUP(A463,vlookup_table!$A:$G,3,FALSE)</f>
        <v>TX</v>
      </c>
      <c r="P463">
        <f>VLOOKUP(A463,vlookup_table!$A:$G,4,FALSE)</f>
        <v>4501</v>
      </c>
      <c r="Q463" t="str">
        <f>VLOOKUP(A463,vlookup_table!$A:$G,5,FALSE)</f>
        <v>C1</v>
      </c>
      <c r="R463" t="str">
        <f>VLOOKUP(A463,vlookup_table!$A:$G,6,FALSE)</f>
        <v>F</v>
      </c>
      <c r="S463">
        <f>VLOOKUP(A463,vlookup_table!$A:$G,7,FALSE)</f>
        <v>8</v>
      </c>
      <c r="T463">
        <f t="shared" si="14"/>
        <v>51</v>
      </c>
      <c r="U463" t="str">
        <f t="shared" si="15"/>
        <v>Ciudad</v>
      </c>
    </row>
    <row r="464" spans="1:21" ht="16" x14ac:dyDescent="0.4">
      <c r="A464" s="4">
        <v>24666</v>
      </c>
      <c r="B464" s="1" t="s">
        <v>43</v>
      </c>
      <c r="C464" s="1" t="s">
        <v>14</v>
      </c>
      <c r="D464" s="1">
        <v>916</v>
      </c>
      <c r="E464" s="1">
        <v>416</v>
      </c>
      <c r="F464" s="1">
        <v>468</v>
      </c>
      <c r="G464" s="1">
        <v>2</v>
      </c>
      <c r="H464" s="1">
        <v>14496</v>
      </c>
      <c r="I464" s="1">
        <v>1</v>
      </c>
      <c r="J464" s="1">
        <v>72</v>
      </c>
      <c r="K464" s="1">
        <v>435</v>
      </c>
      <c r="L464" s="1">
        <v>444</v>
      </c>
      <c r="M464" s="1">
        <v>10.9</v>
      </c>
      <c r="N464">
        <f>VLOOKUP(A464,vlookup_table!$A:$G,2,FALSE)</f>
        <v>1</v>
      </c>
      <c r="O464" t="str">
        <f>VLOOKUP(A464,vlookup_table!$A:$G,3,FALSE)</f>
        <v>SC</v>
      </c>
      <c r="P464">
        <f>VLOOKUP(A464,vlookup_table!$A:$G,4,FALSE)</f>
        <v>5201</v>
      </c>
      <c r="Q464" t="str">
        <f>VLOOKUP(A464,vlookup_table!$A:$G,5,FALSE)</f>
        <v>T2</v>
      </c>
      <c r="R464" t="str">
        <f>VLOOKUP(A464,vlookup_table!$A:$G,6,FALSE)</f>
        <v>M</v>
      </c>
      <c r="S464">
        <f>VLOOKUP(A464,vlookup_table!$A:$G,7,FALSE)</f>
        <v>15</v>
      </c>
      <c r="T464">
        <f t="shared" si="14"/>
        <v>44</v>
      </c>
      <c r="U464" t="str">
        <f t="shared" si="15"/>
        <v>Pueblo</v>
      </c>
    </row>
    <row r="465" spans="1:21" ht="16" x14ac:dyDescent="0.4">
      <c r="A465" s="4">
        <v>19664</v>
      </c>
      <c r="B465" s="1" t="s">
        <v>18</v>
      </c>
      <c r="C465" s="1" t="s">
        <v>14</v>
      </c>
      <c r="D465" s="1">
        <v>2282</v>
      </c>
      <c r="E465" s="1">
        <v>908</v>
      </c>
      <c r="F465" s="1">
        <v>980</v>
      </c>
      <c r="G465" s="1">
        <v>62</v>
      </c>
      <c r="H465" s="1">
        <v>42236</v>
      </c>
      <c r="I465" s="1">
        <v>12</v>
      </c>
      <c r="J465" s="1">
        <v>34</v>
      </c>
      <c r="K465" s="1">
        <v>945</v>
      </c>
      <c r="L465" s="1">
        <v>938</v>
      </c>
      <c r="M465" s="1">
        <v>18</v>
      </c>
      <c r="N465">
        <f>VLOOKUP(A465,vlookup_table!$A:$G,2,FALSE)</f>
        <v>1</v>
      </c>
      <c r="O465" t="str">
        <f>VLOOKUP(A465,vlookup_table!$A:$G,3,FALSE)</f>
        <v>NC</v>
      </c>
      <c r="P465">
        <f>VLOOKUP(A465,vlookup_table!$A:$G,4,FALSE)</f>
        <v>2301</v>
      </c>
      <c r="Q465" t="str">
        <f>VLOOKUP(A465,vlookup_table!$A:$G,5,FALSE)</f>
        <v>S1</v>
      </c>
      <c r="R465" t="str">
        <f>VLOOKUP(A465,vlookup_table!$A:$G,6,FALSE)</f>
        <v>M</v>
      </c>
      <c r="S465">
        <f>VLOOKUP(A465,vlookup_table!$A:$G,7,FALSE)</f>
        <v>10</v>
      </c>
      <c r="T465">
        <f t="shared" si="14"/>
        <v>73</v>
      </c>
      <c r="U465" t="str">
        <f t="shared" si="15"/>
        <v>Suburbano</v>
      </c>
    </row>
    <row r="466" spans="1:21" ht="16" x14ac:dyDescent="0.4">
      <c r="A466" s="4">
        <v>162228</v>
      </c>
      <c r="B466" s="1" t="s">
        <v>21</v>
      </c>
      <c r="C466" s="1" t="s">
        <v>17</v>
      </c>
      <c r="D466" s="1">
        <v>2883</v>
      </c>
      <c r="E466" s="1">
        <v>501</v>
      </c>
      <c r="F466" s="1">
        <v>649</v>
      </c>
      <c r="G466" s="1">
        <v>89</v>
      </c>
      <c r="H466" s="1">
        <v>34012</v>
      </c>
      <c r="I466" s="1">
        <v>25</v>
      </c>
      <c r="J466" s="1">
        <v>28</v>
      </c>
      <c r="K466" s="1">
        <v>532</v>
      </c>
      <c r="L466" s="1">
        <v>588</v>
      </c>
      <c r="M466" s="1">
        <v>13.33333333</v>
      </c>
      <c r="N466">
        <f>VLOOKUP(A466,vlookup_table!$A:$G,2,FALSE)</f>
        <v>0</v>
      </c>
      <c r="O466" t="str">
        <f>VLOOKUP(A466,vlookup_table!$A:$G,3,FALSE)</f>
        <v>CA</v>
      </c>
      <c r="P466">
        <f>VLOOKUP(A466,vlookup_table!$A:$G,4,FALSE)</f>
        <v>0</v>
      </c>
      <c r="Q466" t="str">
        <f>VLOOKUP(A466,vlookup_table!$A:$G,5,FALSE)</f>
        <v>U1</v>
      </c>
      <c r="R466" t="str">
        <f>VLOOKUP(A466,vlookup_table!$A:$G,6,FALSE)</f>
        <v>F</v>
      </c>
      <c r="S466">
        <f>VLOOKUP(A466,vlookup_table!$A:$G,7,FALSE)</f>
        <v>25</v>
      </c>
      <c r="T466">
        <f t="shared" si="14"/>
        <v>96</v>
      </c>
      <c r="U466" t="str">
        <f t="shared" si="15"/>
        <v>Urbano</v>
      </c>
    </row>
    <row r="467" spans="1:21" ht="16" x14ac:dyDescent="0.4">
      <c r="A467" s="4">
        <v>76578</v>
      </c>
      <c r="B467" s="1" t="s">
        <v>44</v>
      </c>
      <c r="C467" s="1" t="s">
        <v>14</v>
      </c>
      <c r="D467" s="1">
        <v>637</v>
      </c>
      <c r="E467" s="1">
        <v>379</v>
      </c>
      <c r="F467" s="1">
        <v>407</v>
      </c>
      <c r="G467" s="1">
        <v>0</v>
      </c>
      <c r="H467" s="1">
        <v>12275</v>
      </c>
      <c r="I467" s="1">
        <v>1</v>
      </c>
      <c r="J467" s="1">
        <v>75</v>
      </c>
      <c r="K467" s="1">
        <v>425</v>
      </c>
      <c r="L467" s="1">
        <v>355</v>
      </c>
      <c r="M467" s="1">
        <v>8.615384615</v>
      </c>
      <c r="N467">
        <f>VLOOKUP(A467,vlookup_table!$A:$G,2,FALSE)</f>
        <v>1</v>
      </c>
      <c r="O467" t="str">
        <f>VLOOKUP(A467,vlookup_table!$A:$G,3,FALSE)</f>
        <v>IA</v>
      </c>
      <c r="P467">
        <f>VLOOKUP(A467,vlookup_table!$A:$G,4,FALSE)</f>
        <v>5602</v>
      </c>
      <c r="Q467" t="str">
        <f>VLOOKUP(A467,vlookup_table!$A:$G,5,FALSE)</f>
        <v>C2</v>
      </c>
      <c r="R467" t="str">
        <f>VLOOKUP(A467,vlookup_table!$A:$G,6,FALSE)</f>
        <v>M</v>
      </c>
      <c r="S467">
        <f>VLOOKUP(A467,vlookup_table!$A:$G,7,FALSE)</f>
        <v>9</v>
      </c>
      <c r="T467">
        <f t="shared" si="14"/>
        <v>40</v>
      </c>
      <c r="U467" t="str">
        <f t="shared" si="15"/>
        <v>Ciudad</v>
      </c>
    </row>
    <row r="468" spans="1:21" ht="16" x14ac:dyDescent="0.4">
      <c r="A468" s="4">
        <v>52740</v>
      </c>
      <c r="B468" s="1" t="s">
        <v>49</v>
      </c>
      <c r="C468" s="1" t="s">
        <v>17</v>
      </c>
      <c r="D468" s="1">
        <v>273</v>
      </c>
      <c r="E468" s="1">
        <v>138</v>
      </c>
      <c r="F468" s="1">
        <v>163</v>
      </c>
      <c r="G468" s="1">
        <v>0</v>
      </c>
      <c r="H468" s="1">
        <v>7089</v>
      </c>
      <c r="I468" s="1">
        <v>0</v>
      </c>
      <c r="J468" s="1">
        <v>75</v>
      </c>
      <c r="K468" s="1">
        <v>150</v>
      </c>
      <c r="L468" s="1">
        <v>152</v>
      </c>
      <c r="M468" s="1">
        <v>7.6046511629999998</v>
      </c>
      <c r="N468">
        <f>VLOOKUP(A468,vlookup_table!$A:$G,2,FALSE)</f>
        <v>0</v>
      </c>
      <c r="O468" t="str">
        <f>VLOOKUP(A468,vlookup_table!$A:$G,3,FALSE)</f>
        <v>TN</v>
      </c>
      <c r="P468">
        <f>VLOOKUP(A468,vlookup_table!$A:$G,4,FALSE)</f>
        <v>1604</v>
      </c>
      <c r="Q468" t="str">
        <f>VLOOKUP(A468,vlookup_table!$A:$G,5,FALSE)</f>
        <v>C3</v>
      </c>
      <c r="R468" t="str">
        <f>VLOOKUP(A468,vlookup_table!$A:$G,6,FALSE)</f>
        <v>F</v>
      </c>
      <c r="S468">
        <f>VLOOKUP(A468,vlookup_table!$A:$G,7,FALSE)</f>
        <v>8</v>
      </c>
      <c r="T468">
        <f t="shared" si="14"/>
        <v>80</v>
      </c>
      <c r="U468" t="str">
        <f t="shared" si="15"/>
        <v>Ciudad</v>
      </c>
    </row>
    <row r="469" spans="1:21" ht="16" x14ac:dyDescent="0.4">
      <c r="A469" s="4">
        <v>159174</v>
      </c>
      <c r="B469" s="1" t="s">
        <v>21</v>
      </c>
      <c r="C469" s="1" t="s">
        <v>17</v>
      </c>
      <c r="D469" s="1">
        <v>1709</v>
      </c>
      <c r="E469" s="1">
        <v>368</v>
      </c>
      <c r="F469" s="1">
        <v>454</v>
      </c>
      <c r="G469" s="1">
        <v>13</v>
      </c>
      <c r="H469" s="1">
        <v>14118</v>
      </c>
      <c r="I469" s="1">
        <v>23</v>
      </c>
      <c r="J469" s="1">
        <v>48</v>
      </c>
      <c r="K469" s="1">
        <v>422</v>
      </c>
      <c r="L469" s="1">
        <v>408</v>
      </c>
      <c r="M469" s="1">
        <v>7.1764705879999999</v>
      </c>
      <c r="N469">
        <f>VLOOKUP(A469,vlookup_table!$A:$G,2,FALSE)</f>
        <v>0</v>
      </c>
      <c r="O469" t="str">
        <f>VLOOKUP(A469,vlookup_table!$A:$G,3,FALSE)</f>
        <v>CA</v>
      </c>
      <c r="P469">
        <f>VLOOKUP(A469,vlookup_table!$A:$G,4,FALSE)</f>
        <v>1504</v>
      </c>
      <c r="Q469" t="str">
        <f>VLOOKUP(A469,vlookup_table!$A:$G,5,FALSE)</f>
        <v>C2</v>
      </c>
      <c r="R469" t="str">
        <f>VLOOKUP(A469,vlookup_table!$A:$G,6,FALSE)</f>
        <v>F</v>
      </c>
      <c r="S469">
        <f>VLOOKUP(A469,vlookup_table!$A:$G,7,FALSE)</f>
        <v>10</v>
      </c>
      <c r="T469">
        <f t="shared" si="14"/>
        <v>81</v>
      </c>
      <c r="U469" t="str">
        <f t="shared" si="15"/>
        <v>Ciudad</v>
      </c>
    </row>
    <row r="470" spans="1:21" ht="16" x14ac:dyDescent="0.4">
      <c r="A470" s="4">
        <v>156903</v>
      </c>
      <c r="B470" s="1" t="s">
        <v>21</v>
      </c>
      <c r="C470" s="1" t="s">
        <v>14</v>
      </c>
      <c r="D470" s="1">
        <v>2307</v>
      </c>
      <c r="E470" s="1">
        <v>477</v>
      </c>
      <c r="F470" s="1">
        <v>499</v>
      </c>
      <c r="G470" s="1">
        <v>83</v>
      </c>
      <c r="H470" s="1">
        <v>14345</v>
      </c>
      <c r="I470" s="1">
        <v>13</v>
      </c>
      <c r="J470" s="1">
        <v>58</v>
      </c>
      <c r="K470" s="1">
        <v>478</v>
      </c>
      <c r="L470" s="1">
        <v>490</v>
      </c>
      <c r="M470" s="1">
        <v>3.2142857139999998</v>
      </c>
      <c r="N470">
        <f>VLOOKUP(A470,vlookup_table!$A:$G,2,FALSE)</f>
        <v>1</v>
      </c>
      <c r="O470" t="str">
        <f>VLOOKUP(A470,vlookup_table!$A:$G,3,FALSE)</f>
        <v>CA</v>
      </c>
      <c r="P470">
        <f>VLOOKUP(A470,vlookup_table!$A:$G,4,FALSE)</f>
        <v>3901</v>
      </c>
      <c r="Q470" t="str">
        <f>VLOOKUP(A470,vlookup_table!$A:$G,5,FALSE)</f>
        <v>U2</v>
      </c>
      <c r="R470" t="str">
        <f>VLOOKUP(A470,vlookup_table!$A:$G,6,FALSE)</f>
        <v>M</v>
      </c>
      <c r="S470">
        <f>VLOOKUP(A470,vlookup_table!$A:$G,7,FALSE)</f>
        <v>3</v>
      </c>
      <c r="T470">
        <f t="shared" si="14"/>
        <v>57</v>
      </c>
      <c r="U470" t="str">
        <f t="shared" si="15"/>
        <v>Urbano</v>
      </c>
    </row>
    <row r="471" spans="1:21" ht="16" x14ac:dyDescent="0.4">
      <c r="A471" s="4">
        <v>177926</v>
      </c>
      <c r="B471" s="1" t="s">
        <v>47</v>
      </c>
      <c r="C471" s="1" t="s">
        <v>14</v>
      </c>
      <c r="D471" s="1">
        <v>691</v>
      </c>
      <c r="E471" s="1">
        <v>263</v>
      </c>
      <c r="F471" s="1">
        <v>360</v>
      </c>
      <c r="G471" s="1">
        <v>2</v>
      </c>
      <c r="H471" s="1">
        <v>12166</v>
      </c>
      <c r="I471" s="1">
        <v>2</v>
      </c>
      <c r="J471" s="1">
        <v>50</v>
      </c>
      <c r="K471" s="1">
        <v>308</v>
      </c>
      <c r="L471" s="1">
        <v>327</v>
      </c>
      <c r="M471" s="1">
        <v>9.8666666670000005</v>
      </c>
      <c r="N471">
        <f>VLOOKUP(A471,vlookup_table!$A:$G,2,FALSE)</f>
        <v>1</v>
      </c>
      <c r="O471" t="str">
        <f>VLOOKUP(A471,vlookup_table!$A:$G,3,FALSE)</f>
        <v>OR</v>
      </c>
      <c r="P471">
        <f>VLOOKUP(A471,vlookup_table!$A:$G,4,FALSE)</f>
        <v>2604</v>
      </c>
      <c r="Q471" t="str">
        <f>VLOOKUP(A471,vlookup_table!$A:$G,5,FALSE)</f>
        <v>R2</v>
      </c>
      <c r="R471" t="str">
        <f>VLOOKUP(A471,vlookup_table!$A:$G,6,FALSE)</f>
        <v>M</v>
      </c>
      <c r="S471">
        <f>VLOOKUP(A471,vlookup_table!$A:$G,7,FALSE)</f>
        <v>15</v>
      </c>
      <c r="T471">
        <f t="shared" si="14"/>
        <v>70</v>
      </c>
      <c r="U471" t="str">
        <f t="shared" si="15"/>
        <v>Rural</v>
      </c>
    </row>
    <row r="472" spans="1:21" ht="16" x14ac:dyDescent="0.4">
      <c r="A472" s="4">
        <v>142057</v>
      </c>
      <c r="B472" s="1" t="s">
        <v>23</v>
      </c>
      <c r="C472" s="1"/>
      <c r="D472" s="1">
        <v>2479</v>
      </c>
      <c r="E472" s="1">
        <v>409</v>
      </c>
      <c r="F472" s="1">
        <v>557</v>
      </c>
      <c r="G472" s="1">
        <v>63</v>
      </c>
      <c r="H472" s="1">
        <v>23023</v>
      </c>
      <c r="I472" s="1">
        <v>7</v>
      </c>
      <c r="J472" s="1">
        <v>10</v>
      </c>
      <c r="K472" s="1">
        <v>456</v>
      </c>
      <c r="L472" s="1">
        <v>500</v>
      </c>
      <c r="M472" s="1">
        <v>11.6</v>
      </c>
      <c r="N472">
        <f>VLOOKUP(A472,vlookup_table!$A:$G,2,FALSE)</f>
        <v>0</v>
      </c>
      <c r="O472" t="str">
        <f>VLOOKUP(A472,vlookup_table!$A:$G,3,FALSE)</f>
        <v>NV</v>
      </c>
      <c r="P472">
        <f>VLOOKUP(A472,vlookup_table!$A:$G,4,FALSE)</f>
        <v>904</v>
      </c>
      <c r="Q472" t="str">
        <f>VLOOKUP(A472,vlookup_table!$A:$G,5,FALSE)</f>
        <v>T1</v>
      </c>
      <c r="R472" t="str">
        <f>VLOOKUP(A472,vlookup_table!$A:$G,6,FALSE)</f>
        <v/>
      </c>
      <c r="S472">
        <f>VLOOKUP(A472,vlookup_table!$A:$G,7,FALSE)</f>
        <v>15</v>
      </c>
      <c r="T472">
        <f t="shared" si="14"/>
        <v>6</v>
      </c>
      <c r="U472" t="str">
        <f t="shared" si="15"/>
        <v>Pueblo</v>
      </c>
    </row>
    <row r="473" spans="1:21" ht="16" x14ac:dyDescent="0.4">
      <c r="A473" s="4">
        <v>175637</v>
      </c>
      <c r="B473" s="1" t="s">
        <v>47</v>
      </c>
      <c r="C473" s="1" t="s">
        <v>14</v>
      </c>
      <c r="D473" s="1">
        <v>858</v>
      </c>
      <c r="E473" s="1">
        <v>502</v>
      </c>
      <c r="F473" s="1">
        <v>574</v>
      </c>
      <c r="G473" s="1">
        <v>7</v>
      </c>
      <c r="H473" s="1">
        <v>20867</v>
      </c>
      <c r="I473" s="1">
        <v>6</v>
      </c>
      <c r="J473" s="1">
        <v>52</v>
      </c>
      <c r="K473" s="1">
        <v>505</v>
      </c>
      <c r="L473" s="1">
        <v>555</v>
      </c>
      <c r="M473" s="1">
        <v>15</v>
      </c>
      <c r="N473">
        <f>VLOOKUP(A473,vlookup_table!$A:$G,2,FALSE)</f>
        <v>1</v>
      </c>
      <c r="O473" t="str">
        <f>VLOOKUP(A473,vlookup_table!$A:$G,3,FALSE)</f>
        <v>OR</v>
      </c>
      <c r="P473">
        <f>VLOOKUP(A473,vlookup_table!$A:$G,4,FALSE)</f>
        <v>4501</v>
      </c>
      <c r="Q473" t="str">
        <f>VLOOKUP(A473,vlookup_table!$A:$G,5,FALSE)</f>
        <v>S1</v>
      </c>
      <c r="R473" t="str">
        <f>VLOOKUP(A473,vlookup_table!$A:$G,6,FALSE)</f>
        <v>M</v>
      </c>
      <c r="S473">
        <f>VLOOKUP(A473,vlookup_table!$A:$G,7,FALSE)</f>
        <v>20</v>
      </c>
      <c r="T473">
        <f t="shared" si="14"/>
        <v>51</v>
      </c>
      <c r="U473" t="str">
        <f t="shared" si="15"/>
        <v>Suburbano</v>
      </c>
    </row>
    <row r="474" spans="1:21" ht="16" x14ac:dyDescent="0.4">
      <c r="A474" s="4">
        <v>32096</v>
      </c>
      <c r="B474" s="1" t="s">
        <v>13</v>
      </c>
      <c r="C474" s="1" t="s">
        <v>14</v>
      </c>
      <c r="D474" s="1">
        <v>351</v>
      </c>
      <c r="E474" s="1">
        <v>205</v>
      </c>
      <c r="F474" s="1">
        <v>254</v>
      </c>
      <c r="G474" s="1">
        <v>0</v>
      </c>
      <c r="H474" s="1">
        <v>8456</v>
      </c>
      <c r="I474" s="1">
        <v>1</v>
      </c>
      <c r="J474" s="1">
        <v>76</v>
      </c>
      <c r="K474" s="1">
        <v>225</v>
      </c>
      <c r="L474" s="1">
        <v>238</v>
      </c>
      <c r="M474" s="1">
        <v>13</v>
      </c>
      <c r="N474">
        <f>VLOOKUP(A474,vlookup_table!$A:$G,2,FALSE)</f>
        <v>1</v>
      </c>
      <c r="O474" t="str">
        <f>VLOOKUP(A474,vlookup_table!$A:$G,3,FALSE)</f>
        <v>FL</v>
      </c>
      <c r="P474">
        <f>VLOOKUP(A474,vlookup_table!$A:$G,4,FALSE)</f>
        <v>4501</v>
      </c>
      <c r="Q474" t="str">
        <f>VLOOKUP(A474,vlookup_table!$A:$G,5,FALSE)</f>
        <v>R3</v>
      </c>
      <c r="R474" t="str">
        <f>VLOOKUP(A474,vlookup_table!$A:$G,6,FALSE)</f>
        <v>M</v>
      </c>
      <c r="S474">
        <f>VLOOKUP(A474,vlookup_table!$A:$G,7,FALSE)</f>
        <v>16</v>
      </c>
      <c r="T474">
        <f t="shared" si="14"/>
        <v>51</v>
      </c>
      <c r="U474" t="str">
        <f t="shared" si="15"/>
        <v>Rural</v>
      </c>
    </row>
    <row r="475" spans="1:21" ht="16" x14ac:dyDescent="0.4">
      <c r="A475" s="4">
        <v>26946</v>
      </c>
      <c r="B475" s="1" t="s">
        <v>36</v>
      </c>
      <c r="C475" s="1" t="s">
        <v>17</v>
      </c>
      <c r="D475" s="1">
        <v>1672</v>
      </c>
      <c r="E475" s="1">
        <v>722</v>
      </c>
      <c r="F475" s="1">
        <v>770</v>
      </c>
      <c r="G475" s="1">
        <v>17</v>
      </c>
      <c r="H475" s="1">
        <v>29286</v>
      </c>
      <c r="I475" s="1">
        <v>6</v>
      </c>
      <c r="J475" s="1">
        <v>31</v>
      </c>
      <c r="K475" s="1">
        <v>732</v>
      </c>
      <c r="L475" s="1">
        <v>765</v>
      </c>
      <c r="M475" s="1">
        <v>23</v>
      </c>
      <c r="N475">
        <f>VLOOKUP(A475,vlookup_table!$A:$G,2,FALSE)</f>
        <v>0</v>
      </c>
      <c r="O475" t="str">
        <f>VLOOKUP(A475,vlookup_table!$A:$G,3,FALSE)</f>
        <v>GA</v>
      </c>
      <c r="P475">
        <f>VLOOKUP(A475,vlookup_table!$A:$G,4,FALSE)</f>
        <v>7001</v>
      </c>
      <c r="Q475" t="str">
        <f>VLOOKUP(A475,vlookup_table!$A:$G,5,FALSE)</f>
        <v/>
      </c>
      <c r="R475" t="str">
        <f>VLOOKUP(A475,vlookup_table!$A:$G,6,FALSE)</f>
        <v>F</v>
      </c>
      <c r="S475">
        <f>VLOOKUP(A475,vlookup_table!$A:$G,7,FALSE)</f>
        <v>30</v>
      </c>
      <c r="T475">
        <f t="shared" si="14"/>
        <v>26</v>
      </c>
      <c r="U475" t="str">
        <f t="shared" si="15"/>
        <v/>
      </c>
    </row>
    <row r="476" spans="1:21" ht="16" x14ac:dyDescent="0.4">
      <c r="A476" s="4">
        <v>160863</v>
      </c>
      <c r="B476" s="1" t="s">
        <v>21</v>
      </c>
      <c r="C476" s="1" t="s">
        <v>41</v>
      </c>
      <c r="D476" s="1">
        <v>1069</v>
      </c>
      <c r="E476" s="1">
        <v>267</v>
      </c>
      <c r="F476" s="1">
        <v>369</v>
      </c>
      <c r="G476" s="1">
        <v>0</v>
      </c>
      <c r="H476" s="1">
        <v>11849</v>
      </c>
      <c r="I476" s="1">
        <v>11</v>
      </c>
      <c r="J476" s="1">
        <v>59</v>
      </c>
      <c r="K476" s="1">
        <v>320</v>
      </c>
      <c r="L476" s="1">
        <v>318</v>
      </c>
      <c r="M476" s="1">
        <v>8.2222222219999992</v>
      </c>
      <c r="N476">
        <f>VLOOKUP(A476,vlookup_table!$A:$G,2,FALSE)</f>
        <v>1002</v>
      </c>
      <c r="O476" t="str">
        <f>VLOOKUP(A476,vlookup_table!$A:$G,3,FALSE)</f>
        <v>CA</v>
      </c>
      <c r="P476">
        <f>VLOOKUP(A476,vlookup_table!$A:$G,4,FALSE)</f>
        <v>0</v>
      </c>
      <c r="Q476" t="str">
        <f>VLOOKUP(A476,vlookup_table!$A:$G,5,FALSE)</f>
        <v>C2</v>
      </c>
      <c r="R476" t="str">
        <f>VLOOKUP(A476,vlookup_table!$A:$G,6,FALSE)</f>
        <v>J</v>
      </c>
      <c r="S476">
        <f>VLOOKUP(A476,vlookup_table!$A:$G,7,FALSE)</f>
        <v>10</v>
      </c>
      <c r="T476">
        <f t="shared" si="14"/>
        <v>96</v>
      </c>
      <c r="U476" t="str">
        <f t="shared" si="15"/>
        <v>Ciudad</v>
      </c>
    </row>
    <row r="477" spans="1:21" ht="16" x14ac:dyDescent="0.4">
      <c r="A477" s="4">
        <v>57162</v>
      </c>
      <c r="B477" s="1" t="s">
        <v>53</v>
      </c>
      <c r="C477" s="1" t="s">
        <v>17</v>
      </c>
      <c r="D477" s="1">
        <v>463</v>
      </c>
      <c r="E477" s="1">
        <v>249</v>
      </c>
      <c r="F477" s="1">
        <v>298</v>
      </c>
      <c r="G477" s="1">
        <v>0</v>
      </c>
      <c r="H477" s="1">
        <v>11621</v>
      </c>
      <c r="I477" s="1">
        <v>1</v>
      </c>
      <c r="J477" s="1">
        <v>88</v>
      </c>
      <c r="K477" s="1">
        <v>265</v>
      </c>
      <c r="L477" s="1">
        <v>308</v>
      </c>
      <c r="M477" s="1">
        <v>11.5</v>
      </c>
      <c r="N477">
        <f>VLOOKUP(A477,vlookup_table!$A:$G,2,FALSE)</f>
        <v>0</v>
      </c>
      <c r="O477" t="str">
        <f>VLOOKUP(A477,vlookup_table!$A:$G,3,FALSE)</f>
        <v>KY</v>
      </c>
      <c r="P477">
        <f>VLOOKUP(A477,vlookup_table!$A:$G,4,FALSE)</f>
        <v>5501</v>
      </c>
      <c r="Q477" t="str">
        <f>VLOOKUP(A477,vlookup_table!$A:$G,5,FALSE)</f>
        <v>T2</v>
      </c>
      <c r="R477" t="str">
        <f>VLOOKUP(A477,vlookup_table!$A:$G,6,FALSE)</f>
        <v>F</v>
      </c>
      <c r="S477">
        <f>VLOOKUP(A477,vlookup_table!$A:$G,7,FALSE)</f>
        <v>20</v>
      </c>
      <c r="T477">
        <f t="shared" si="14"/>
        <v>41</v>
      </c>
      <c r="U477" t="str">
        <f t="shared" si="15"/>
        <v>Pueblo</v>
      </c>
    </row>
    <row r="478" spans="1:21" ht="16" x14ac:dyDescent="0.4">
      <c r="A478" s="4">
        <v>12220</v>
      </c>
      <c r="B478" s="1" t="s">
        <v>49</v>
      </c>
      <c r="C478" s="1" t="s">
        <v>14</v>
      </c>
      <c r="D478" s="1">
        <v>470</v>
      </c>
      <c r="E478" s="1">
        <v>245</v>
      </c>
      <c r="F478" s="1">
        <v>348</v>
      </c>
      <c r="G478" s="1">
        <v>0</v>
      </c>
      <c r="H478" s="1">
        <v>12519</v>
      </c>
      <c r="I478" s="1">
        <v>0</v>
      </c>
      <c r="J478" s="1">
        <v>73</v>
      </c>
      <c r="K478" s="1">
        <v>273</v>
      </c>
      <c r="L478" s="1">
        <v>314</v>
      </c>
      <c r="M478" s="1">
        <v>6.5555555559999998</v>
      </c>
      <c r="N478">
        <f>VLOOKUP(A478,vlookup_table!$A:$G,2,FALSE)</f>
        <v>0</v>
      </c>
      <c r="O478" t="str">
        <f>VLOOKUP(A478,vlookup_table!$A:$G,3,FALSE)</f>
        <v>TN</v>
      </c>
      <c r="P478">
        <f>VLOOKUP(A478,vlookup_table!$A:$G,4,FALSE)</f>
        <v>5301</v>
      </c>
      <c r="Q478" t="str">
        <f>VLOOKUP(A478,vlookup_table!$A:$G,5,FALSE)</f>
        <v>T2</v>
      </c>
      <c r="R478" t="str">
        <f>VLOOKUP(A478,vlookup_table!$A:$G,6,FALSE)</f>
        <v>M</v>
      </c>
      <c r="S478">
        <f>VLOOKUP(A478,vlookup_table!$A:$G,7,FALSE)</f>
        <v>5</v>
      </c>
      <c r="T478">
        <f t="shared" si="14"/>
        <v>43</v>
      </c>
      <c r="U478" t="str">
        <f t="shared" si="15"/>
        <v>Pueblo</v>
      </c>
    </row>
    <row r="479" spans="1:21" ht="16" x14ac:dyDescent="0.4">
      <c r="A479" s="4">
        <v>170563</v>
      </c>
      <c r="B479" s="1" t="s">
        <v>21</v>
      </c>
      <c r="C479" s="1" t="s">
        <v>17</v>
      </c>
      <c r="D479" s="1">
        <v>1248</v>
      </c>
      <c r="E479" s="1">
        <v>289</v>
      </c>
      <c r="F479" s="1">
        <v>379</v>
      </c>
      <c r="G479" s="1">
        <v>1</v>
      </c>
      <c r="H479" s="1">
        <v>17282</v>
      </c>
      <c r="I479" s="1">
        <v>6</v>
      </c>
      <c r="J479" s="1">
        <v>47</v>
      </c>
      <c r="K479" s="1">
        <v>348</v>
      </c>
      <c r="L479" s="1">
        <v>346</v>
      </c>
      <c r="M479" s="1">
        <v>7.5</v>
      </c>
      <c r="N479">
        <f>VLOOKUP(A479,vlookup_table!$A:$G,2,FALSE)</f>
        <v>0</v>
      </c>
      <c r="O479" t="str">
        <f>VLOOKUP(A479,vlookup_table!$A:$G,3,FALSE)</f>
        <v>CA</v>
      </c>
      <c r="P479">
        <f>VLOOKUP(A479,vlookup_table!$A:$G,4,FALSE)</f>
        <v>3201</v>
      </c>
      <c r="Q479" t="str">
        <f>VLOOKUP(A479,vlookup_table!$A:$G,5,FALSE)</f>
        <v>U3</v>
      </c>
      <c r="R479" t="str">
        <f>VLOOKUP(A479,vlookup_table!$A:$G,6,FALSE)</f>
        <v>F</v>
      </c>
      <c r="S479">
        <f>VLOOKUP(A479,vlookup_table!$A:$G,7,FALSE)</f>
        <v>5</v>
      </c>
      <c r="T479">
        <f t="shared" si="14"/>
        <v>64</v>
      </c>
      <c r="U479" t="str">
        <f t="shared" si="15"/>
        <v>Urbano</v>
      </c>
    </row>
    <row r="480" spans="1:21" ht="16" x14ac:dyDescent="0.4">
      <c r="A480" s="4">
        <v>79389</v>
      </c>
      <c r="B480" s="1" t="s">
        <v>32</v>
      </c>
      <c r="C480" s="1" t="s">
        <v>14</v>
      </c>
      <c r="D480" s="1">
        <v>492</v>
      </c>
      <c r="E480" s="1">
        <v>316</v>
      </c>
      <c r="F480" s="1">
        <v>339</v>
      </c>
      <c r="G480" s="1">
        <v>0</v>
      </c>
      <c r="H480" s="1">
        <v>12451</v>
      </c>
      <c r="I480" s="1">
        <v>1</v>
      </c>
      <c r="J480" s="1">
        <v>80</v>
      </c>
      <c r="K480" s="1">
        <v>349</v>
      </c>
      <c r="L480" s="1">
        <v>304</v>
      </c>
      <c r="M480" s="1">
        <v>10.14285714</v>
      </c>
      <c r="N480">
        <f>VLOOKUP(A480,vlookup_table!$A:$G,2,FALSE)</f>
        <v>0</v>
      </c>
      <c r="O480" t="str">
        <f>VLOOKUP(A480,vlookup_table!$A:$G,3,FALSE)</f>
        <v>WI</v>
      </c>
      <c r="P480">
        <f>VLOOKUP(A480,vlookup_table!$A:$G,4,FALSE)</f>
        <v>3101</v>
      </c>
      <c r="Q480" t="str">
        <f>VLOOKUP(A480,vlookup_table!$A:$G,5,FALSE)</f>
        <v>T2</v>
      </c>
      <c r="R480" t="str">
        <f>VLOOKUP(A480,vlookup_table!$A:$G,6,FALSE)</f>
        <v>M</v>
      </c>
      <c r="S480">
        <f>VLOOKUP(A480,vlookup_table!$A:$G,7,FALSE)</f>
        <v>11</v>
      </c>
      <c r="T480">
        <f t="shared" si="14"/>
        <v>65</v>
      </c>
      <c r="U480" t="str">
        <f t="shared" si="15"/>
        <v>Pueblo</v>
      </c>
    </row>
    <row r="481" spans="1:21" ht="16" x14ac:dyDescent="0.4">
      <c r="A481" s="4">
        <v>180752</v>
      </c>
      <c r="B481" s="1" t="s">
        <v>37</v>
      </c>
      <c r="C481" s="1" t="s">
        <v>14</v>
      </c>
      <c r="D481" s="1">
        <v>2800</v>
      </c>
      <c r="E481" s="1">
        <v>368</v>
      </c>
      <c r="F481" s="1">
        <v>528</v>
      </c>
      <c r="G481" s="1">
        <v>62</v>
      </c>
      <c r="H481" s="1">
        <v>25386</v>
      </c>
      <c r="I481" s="1">
        <v>9</v>
      </c>
      <c r="J481" s="1">
        <v>34</v>
      </c>
      <c r="K481" s="1">
        <v>438</v>
      </c>
      <c r="L481" s="1">
        <v>500</v>
      </c>
      <c r="M481" s="1">
        <v>6.1666666670000003</v>
      </c>
      <c r="N481">
        <f>VLOOKUP(A481,vlookup_table!$A:$G,2,FALSE)</f>
        <v>1</v>
      </c>
      <c r="O481" t="str">
        <f>VLOOKUP(A481,vlookup_table!$A:$G,3,FALSE)</f>
        <v>WA</v>
      </c>
      <c r="P481">
        <f>VLOOKUP(A481,vlookup_table!$A:$G,4,FALSE)</f>
        <v>3901</v>
      </c>
      <c r="Q481" t="str">
        <f>VLOOKUP(A481,vlookup_table!$A:$G,5,FALSE)</f>
        <v>C1</v>
      </c>
      <c r="R481" t="str">
        <f>VLOOKUP(A481,vlookup_table!$A:$G,6,FALSE)</f>
        <v>M</v>
      </c>
      <c r="S481">
        <f>VLOOKUP(A481,vlookup_table!$A:$G,7,FALSE)</f>
        <v>8</v>
      </c>
      <c r="T481">
        <f t="shared" si="14"/>
        <v>57</v>
      </c>
      <c r="U481" t="str">
        <f t="shared" si="15"/>
        <v>Ciudad</v>
      </c>
    </row>
    <row r="482" spans="1:21" ht="16" x14ac:dyDescent="0.4">
      <c r="A482" s="4">
        <v>82701</v>
      </c>
      <c r="B482" s="1" t="s">
        <v>52</v>
      </c>
      <c r="C482" s="1" t="s">
        <v>17</v>
      </c>
      <c r="D482" s="1">
        <v>994</v>
      </c>
      <c r="E482" s="1">
        <v>437</v>
      </c>
      <c r="F482" s="1">
        <v>540</v>
      </c>
      <c r="G482" s="1">
        <v>11</v>
      </c>
      <c r="H482" s="1">
        <v>18133</v>
      </c>
      <c r="I482" s="1">
        <v>4</v>
      </c>
      <c r="J482" s="1">
        <v>72</v>
      </c>
      <c r="K482" s="1">
        <v>488</v>
      </c>
      <c r="L482" s="1">
        <v>491</v>
      </c>
      <c r="M482" s="1">
        <v>10</v>
      </c>
      <c r="N482">
        <f>VLOOKUP(A482,vlookup_table!$A:$G,2,FALSE)</f>
        <v>2</v>
      </c>
      <c r="O482" t="str">
        <f>VLOOKUP(A482,vlookup_table!$A:$G,3,FALSE)</f>
        <v>MN</v>
      </c>
      <c r="P482">
        <f>VLOOKUP(A482,vlookup_table!$A:$G,4,FALSE)</f>
        <v>6001</v>
      </c>
      <c r="Q482" t="str">
        <f>VLOOKUP(A482,vlookup_table!$A:$G,5,FALSE)</f>
        <v>S1</v>
      </c>
      <c r="R482" t="str">
        <f>VLOOKUP(A482,vlookup_table!$A:$G,6,FALSE)</f>
        <v>F</v>
      </c>
      <c r="S482">
        <f>VLOOKUP(A482,vlookup_table!$A:$G,7,FALSE)</f>
        <v>25</v>
      </c>
      <c r="T482">
        <f t="shared" si="14"/>
        <v>36</v>
      </c>
      <c r="U482" t="str">
        <f t="shared" si="15"/>
        <v>Suburbano</v>
      </c>
    </row>
    <row r="483" spans="1:21" ht="16" x14ac:dyDescent="0.4">
      <c r="A483" s="4">
        <v>158506</v>
      </c>
      <c r="B483" s="1" t="s">
        <v>21</v>
      </c>
      <c r="C483" s="1" t="s">
        <v>17</v>
      </c>
      <c r="D483" s="1">
        <v>1654</v>
      </c>
      <c r="E483" s="1">
        <v>159</v>
      </c>
      <c r="F483" s="1">
        <v>313</v>
      </c>
      <c r="G483" s="1">
        <v>20</v>
      </c>
      <c r="H483" s="1">
        <v>8018</v>
      </c>
      <c r="I483" s="1">
        <v>32</v>
      </c>
      <c r="J483" s="1">
        <v>44</v>
      </c>
      <c r="K483" s="1">
        <v>203</v>
      </c>
      <c r="L483" s="1">
        <v>266</v>
      </c>
      <c r="M483" s="1">
        <v>10</v>
      </c>
      <c r="N483">
        <f>VLOOKUP(A483,vlookup_table!$A:$G,2,FALSE)</f>
        <v>28</v>
      </c>
      <c r="O483" t="str">
        <f>VLOOKUP(A483,vlookup_table!$A:$G,3,FALSE)</f>
        <v>CA</v>
      </c>
      <c r="P483">
        <f>VLOOKUP(A483,vlookup_table!$A:$G,4,FALSE)</f>
        <v>5201</v>
      </c>
      <c r="Q483" t="str">
        <f>VLOOKUP(A483,vlookup_table!$A:$G,5,FALSE)</f>
        <v>U3</v>
      </c>
      <c r="R483" t="str">
        <f>VLOOKUP(A483,vlookup_table!$A:$G,6,FALSE)</f>
        <v>F</v>
      </c>
      <c r="S483">
        <f>VLOOKUP(A483,vlookup_table!$A:$G,7,FALSE)</f>
        <v>15</v>
      </c>
      <c r="T483">
        <f t="shared" si="14"/>
        <v>44</v>
      </c>
      <c r="U483" t="str">
        <f t="shared" si="15"/>
        <v>Urbano</v>
      </c>
    </row>
    <row r="484" spans="1:21" ht="16" x14ac:dyDescent="0.4">
      <c r="A484" s="4">
        <v>84708</v>
      </c>
      <c r="B484" s="1" t="s">
        <v>52</v>
      </c>
      <c r="C484" s="1" t="s">
        <v>17</v>
      </c>
      <c r="D484" s="1">
        <v>653</v>
      </c>
      <c r="E484" s="1">
        <v>327</v>
      </c>
      <c r="F484" s="1">
        <v>395</v>
      </c>
      <c r="G484" s="1">
        <v>0</v>
      </c>
      <c r="H484" s="1">
        <v>13079</v>
      </c>
      <c r="I484" s="1">
        <v>0</v>
      </c>
      <c r="J484" s="1">
        <v>25</v>
      </c>
      <c r="K484" s="1">
        <v>364</v>
      </c>
      <c r="L484" s="1">
        <v>350</v>
      </c>
      <c r="M484" s="1">
        <v>17</v>
      </c>
      <c r="N484">
        <f>VLOOKUP(A484,vlookup_table!$A:$G,2,FALSE)</f>
        <v>28</v>
      </c>
      <c r="O484" t="str">
        <f>VLOOKUP(A484,vlookup_table!$A:$G,3,FALSE)</f>
        <v>MN</v>
      </c>
      <c r="P484">
        <f>VLOOKUP(A484,vlookup_table!$A:$G,4,FALSE)</f>
        <v>3801</v>
      </c>
      <c r="Q484" t="str">
        <f>VLOOKUP(A484,vlookup_table!$A:$G,5,FALSE)</f>
        <v>T2</v>
      </c>
      <c r="R484" t="str">
        <f>VLOOKUP(A484,vlookup_table!$A:$G,6,FALSE)</f>
        <v>F</v>
      </c>
      <c r="S484">
        <f>VLOOKUP(A484,vlookup_table!$A:$G,7,FALSE)</f>
        <v>25</v>
      </c>
      <c r="T484">
        <f t="shared" si="14"/>
        <v>58</v>
      </c>
      <c r="U484" t="str">
        <f t="shared" si="15"/>
        <v>Pueblo</v>
      </c>
    </row>
    <row r="485" spans="1:21" ht="16" x14ac:dyDescent="0.4">
      <c r="A485" s="4">
        <v>103543</v>
      </c>
      <c r="B485" s="1" t="s">
        <v>33</v>
      </c>
      <c r="C485" s="1" t="s">
        <v>14</v>
      </c>
      <c r="D485" s="1">
        <v>402</v>
      </c>
      <c r="E485" s="1">
        <v>162</v>
      </c>
      <c r="F485" s="1">
        <v>241</v>
      </c>
      <c r="G485" s="1">
        <v>0</v>
      </c>
      <c r="H485" s="1">
        <v>9434</v>
      </c>
      <c r="I485" s="1">
        <v>0</v>
      </c>
      <c r="J485" s="1">
        <v>65</v>
      </c>
      <c r="K485" s="1">
        <v>192</v>
      </c>
      <c r="L485" s="1">
        <v>210</v>
      </c>
      <c r="M485" s="1">
        <v>9.2142857140000007</v>
      </c>
      <c r="N485">
        <f>VLOOKUP(A485,vlookup_table!$A:$G,2,FALSE)</f>
        <v>1</v>
      </c>
      <c r="O485" t="str">
        <f>VLOOKUP(A485,vlookup_table!$A:$G,3,FALSE)</f>
        <v>MO</v>
      </c>
      <c r="P485">
        <f>VLOOKUP(A485,vlookup_table!$A:$G,4,FALSE)</f>
        <v>1908</v>
      </c>
      <c r="Q485" t="str">
        <f>VLOOKUP(A485,vlookup_table!$A:$G,5,FALSE)</f>
        <v>R3</v>
      </c>
      <c r="R485" t="str">
        <f>VLOOKUP(A485,vlookup_table!$A:$G,6,FALSE)</f>
        <v>M</v>
      </c>
      <c r="S485">
        <f>VLOOKUP(A485,vlookup_table!$A:$G,7,FALSE)</f>
        <v>11</v>
      </c>
      <c r="T485">
        <f t="shared" si="14"/>
        <v>77</v>
      </c>
      <c r="U485" t="str">
        <f t="shared" si="15"/>
        <v>Rural</v>
      </c>
    </row>
    <row r="486" spans="1:21" ht="16" x14ac:dyDescent="0.4">
      <c r="A486" s="4">
        <v>164175</v>
      </c>
      <c r="B486" s="1" t="s">
        <v>21</v>
      </c>
      <c r="C486" s="1" t="s">
        <v>17</v>
      </c>
      <c r="D486" s="1">
        <v>1914</v>
      </c>
      <c r="E486" s="1">
        <v>351</v>
      </c>
      <c r="F486" s="1">
        <v>437</v>
      </c>
      <c r="G486" s="1">
        <v>46</v>
      </c>
      <c r="H486" s="1">
        <v>18951</v>
      </c>
      <c r="I486" s="1">
        <v>6</v>
      </c>
      <c r="J486" s="1">
        <v>51</v>
      </c>
      <c r="K486" s="1">
        <v>399</v>
      </c>
      <c r="L486" s="1">
        <v>392</v>
      </c>
      <c r="M486" s="1">
        <v>9.0909090910000003</v>
      </c>
      <c r="N486">
        <f>VLOOKUP(A486,vlookup_table!$A:$G,2,FALSE)</f>
        <v>2</v>
      </c>
      <c r="O486" t="str">
        <f>VLOOKUP(A486,vlookup_table!$A:$G,3,FALSE)</f>
        <v>CA</v>
      </c>
      <c r="P486">
        <f>VLOOKUP(A486,vlookup_table!$A:$G,4,FALSE)</f>
        <v>0</v>
      </c>
      <c r="Q486" t="str">
        <f>VLOOKUP(A486,vlookup_table!$A:$G,5,FALSE)</f>
        <v>R2</v>
      </c>
      <c r="R486" t="str">
        <f>VLOOKUP(A486,vlookup_table!$A:$G,6,FALSE)</f>
        <v>F</v>
      </c>
      <c r="S486">
        <f>VLOOKUP(A486,vlookup_table!$A:$G,7,FALSE)</f>
        <v>15</v>
      </c>
      <c r="T486">
        <f t="shared" si="14"/>
        <v>96</v>
      </c>
      <c r="U486" t="str">
        <f t="shared" si="15"/>
        <v>Rural</v>
      </c>
    </row>
    <row r="487" spans="1:21" ht="16" x14ac:dyDescent="0.4">
      <c r="A487" s="4">
        <v>145120</v>
      </c>
      <c r="B487" s="1" t="s">
        <v>21</v>
      </c>
      <c r="C487" s="1" t="s">
        <v>17</v>
      </c>
      <c r="D487" s="1">
        <v>5619</v>
      </c>
      <c r="E487" s="1">
        <v>572</v>
      </c>
      <c r="F487" s="1">
        <v>995</v>
      </c>
      <c r="G487" s="1">
        <v>97</v>
      </c>
      <c r="H487" s="1">
        <v>43978</v>
      </c>
      <c r="I487" s="1">
        <v>6</v>
      </c>
      <c r="J487" s="1">
        <v>33</v>
      </c>
      <c r="K487" s="1">
        <v>942</v>
      </c>
      <c r="L487" s="1">
        <v>649</v>
      </c>
      <c r="M487" s="1">
        <v>12.545454550000001</v>
      </c>
      <c r="N487">
        <f>VLOOKUP(A487,vlookup_table!$A:$G,2,FALSE)</f>
        <v>28</v>
      </c>
      <c r="O487" t="str">
        <f>VLOOKUP(A487,vlookup_table!$A:$G,3,FALSE)</f>
        <v>CA</v>
      </c>
      <c r="P487">
        <f>VLOOKUP(A487,vlookup_table!$A:$G,4,FALSE)</f>
        <v>3707</v>
      </c>
      <c r="Q487" t="str">
        <f>VLOOKUP(A487,vlookup_table!$A:$G,5,FALSE)</f>
        <v>U1</v>
      </c>
      <c r="R487" t="str">
        <f>VLOOKUP(A487,vlookup_table!$A:$G,6,FALSE)</f>
        <v>F</v>
      </c>
      <c r="S487">
        <f>VLOOKUP(A487,vlookup_table!$A:$G,7,FALSE)</f>
        <v>10</v>
      </c>
      <c r="T487">
        <f t="shared" si="14"/>
        <v>59</v>
      </c>
      <c r="U487" t="str">
        <f t="shared" si="15"/>
        <v>Urbano</v>
      </c>
    </row>
    <row r="488" spans="1:21" ht="16" x14ac:dyDescent="0.4">
      <c r="A488" s="4">
        <v>55358</v>
      </c>
      <c r="B488" s="1" t="s">
        <v>56</v>
      </c>
      <c r="C488" s="1" t="s">
        <v>97</v>
      </c>
      <c r="D488" s="1">
        <v>426</v>
      </c>
      <c r="E488" s="1">
        <v>139</v>
      </c>
      <c r="F488" s="1">
        <v>156</v>
      </c>
      <c r="G488" s="1">
        <v>2</v>
      </c>
      <c r="H488" s="1">
        <v>4437</v>
      </c>
      <c r="I488" s="1">
        <v>1</v>
      </c>
      <c r="J488" s="1">
        <v>94</v>
      </c>
      <c r="K488" s="1">
        <v>130</v>
      </c>
      <c r="L488" s="1">
        <v>169</v>
      </c>
      <c r="M488" s="1">
        <v>15.83333333</v>
      </c>
      <c r="N488">
        <f>VLOOKUP(A488,vlookup_table!$A:$G,2,FALSE)</f>
        <v>0</v>
      </c>
      <c r="O488" t="str">
        <f>VLOOKUP(A488,vlookup_table!$A:$G,3,FALSE)</f>
        <v>MS</v>
      </c>
      <c r="P488">
        <f>VLOOKUP(A488,vlookup_table!$A:$G,4,FALSE)</f>
        <v>4808</v>
      </c>
      <c r="Q488" t="str">
        <f>VLOOKUP(A488,vlookup_table!$A:$G,5,FALSE)</f>
        <v>C3</v>
      </c>
      <c r="R488" t="str">
        <f>VLOOKUP(A488,vlookup_table!$A:$G,6,FALSE)</f>
        <v>F</v>
      </c>
      <c r="S488">
        <f>VLOOKUP(A488,vlookup_table!$A:$G,7,FALSE)</f>
        <v>30</v>
      </c>
      <c r="T488">
        <f t="shared" si="14"/>
        <v>48</v>
      </c>
      <c r="U488" t="str">
        <f t="shared" si="15"/>
        <v>Ciudad</v>
      </c>
    </row>
    <row r="489" spans="1:21" ht="16" x14ac:dyDescent="0.4">
      <c r="A489" s="4">
        <v>26665</v>
      </c>
      <c r="B489" s="1" t="s">
        <v>36</v>
      </c>
      <c r="C489" s="1" t="s">
        <v>14</v>
      </c>
      <c r="D489" s="1">
        <v>670</v>
      </c>
      <c r="E489" s="1">
        <v>268</v>
      </c>
      <c r="F489" s="1">
        <v>383</v>
      </c>
      <c r="G489" s="1">
        <v>3</v>
      </c>
      <c r="H489" s="1">
        <v>13147</v>
      </c>
      <c r="I489" s="1">
        <v>1</v>
      </c>
      <c r="J489" s="1">
        <v>76</v>
      </c>
      <c r="K489" s="1">
        <v>321</v>
      </c>
      <c r="L489" s="1">
        <v>336</v>
      </c>
      <c r="M489" s="1">
        <v>7.375</v>
      </c>
      <c r="N489">
        <f>VLOOKUP(A489,vlookup_table!$A:$G,2,FALSE)</f>
        <v>1</v>
      </c>
      <c r="O489" t="str">
        <f>VLOOKUP(A489,vlookup_table!$A:$G,3,FALSE)</f>
        <v>GA</v>
      </c>
      <c r="P489">
        <f>VLOOKUP(A489,vlookup_table!$A:$G,4,FALSE)</f>
        <v>0</v>
      </c>
      <c r="Q489" t="str">
        <f>VLOOKUP(A489,vlookup_table!$A:$G,5,FALSE)</f>
        <v>T3</v>
      </c>
      <c r="R489" t="str">
        <f>VLOOKUP(A489,vlookup_table!$A:$G,6,FALSE)</f>
        <v>M</v>
      </c>
      <c r="S489">
        <f>VLOOKUP(A489,vlookup_table!$A:$G,7,FALSE)</f>
        <v>30</v>
      </c>
      <c r="T489">
        <f t="shared" si="14"/>
        <v>96</v>
      </c>
      <c r="U489" t="str">
        <f t="shared" si="15"/>
        <v>Pueblo</v>
      </c>
    </row>
    <row r="490" spans="1:21" ht="16" x14ac:dyDescent="0.4">
      <c r="A490" s="4">
        <v>42279</v>
      </c>
      <c r="B490" s="1" t="s">
        <v>13</v>
      </c>
      <c r="C490" s="1" t="s">
        <v>17</v>
      </c>
      <c r="D490" s="1">
        <v>400</v>
      </c>
      <c r="E490" s="1">
        <v>216</v>
      </c>
      <c r="F490" s="1">
        <v>279</v>
      </c>
      <c r="G490" s="1">
        <v>1</v>
      </c>
      <c r="H490" s="1">
        <v>9840</v>
      </c>
      <c r="I490" s="1">
        <v>4</v>
      </c>
      <c r="J490" s="1">
        <v>36</v>
      </c>
      <c r="K490" s="1">
        <v>242</v>
      </c>
      <c r="L490" s="1">
        <v>247</v>
      </c>
      <c r="M490" s="1">
        <v>5.6</v>
      </c>
      <c r="N490">
        <f>VLOOKUP(A490,vlookup_table!$A:$G,2,FALSE)</f>
        <v>28</v>
      </c>
      <c r="O490" t="str">
        <f>VLOOKUP(A490,vlookup_table!$A:$G,3,FALSE)</f>
        <v>FL</v>
      </c>
      <c r="P490">
        <f>VLOOKUP(A490,vlookup_table!$A:$G,4,FALSE)</f>
        <v>3301</v>
      </c>
      <c r="Q490" t="str">
        <f>VLOOKUP(A490,vlookup_table!$A:$G,5,FALSE)</f>
        <v>T3</v>
      </c>
      <c r="R490" t="str">
        <f>VLOOKUP(A490,vlookup_table!$A:$G,6,FALSE)</f>
        <v>F</v>
      </c>
      <c r="S490">
        <f>VLOOKUP(A490,vlookup_table!$A:$G,7,FALSE)</f>
        <v>5</v>
      </c>
      <c r="T490">
        <f t="shared" si="14"/>
        <v>63</v>
      </c>
      <c r="U490" t="str">
        <f t="shared" si="15"/>
        <v>Pueblo</v>
      </c>
    </row>
    <row r="491" spans="1:21" ht="16" x14ac:dyDescent="0.4">
      <c r="A491" s="4">
        <v>148354</v>
      </c>
      <c r="B491" s="1" t="s">
        <v>21</v>
      </c>
      <c r="C491" s="1"/>
      <c r="D491" s="1">
        <v>2206</v>
      </c>
      <c r="E491" s="1">
        <v>574</v>
      </c>
      <c r="F491" s="1">
        <v>562</v>
      </c>
      <c r="G491" s="1">
        <v>72</v>
      </c>
      <c r="H491" s="1">
        <v>12225</v>
      </c>
      <c r="I491" s="1">
        <v>39</v>
      </c>
      <c r="J491" s="1">
        <v>40</v>
      </c>
      <c r="K491" s="1">
        <v>567</v>
      </c>
      <c r="L491" s="1">
        <v>583</v>
      </c>
      <c r="M491" s="1">
        <v>8.4285714289999998</v>
      </c>
      <c r="N491">
        <f>VLOOKUP(A491,vlookup_table!$A:$G,2,FALSE)</f>
        <v>0</v>
      </c>
      <c r="O491" t="str">
        <f>VLOOKUP(A491,vlookup_table!$A:$G,3,FALSE)</f>
        <v>CA</v>
      </c>
      <c r="P491">
        <f>VLOOKUP(A491,vlookup_table!$A:$G,4,FALSE)</f>
        <v>0</v>
      </c>
      <c r="Q491" t="str">
        <f>VLOOKUP(A491,vlookup_table!$A:$G,5,FALSE)</f>
        <v>S1</v>
      </c>
      <c r="R491" t="str">
        <f>VLOOKUP(A491,vlookup_table!$A:$G,6,FALSE)</f>
        <v/>
      </c>
      <c r="S491">
        <f>VLOOKUP(A491,vlookup_table!$A:$G,7,FALSE)</f>
        <v>8</v>
      </c>
      <c r="T491">
        <f t="shared" si="14"/>
        <v>96</v>
      </c>
      <c r="U491" t="str">
        <f t="shared" si="15"/>
        <v>Suburbano</v>
      </c>
    </row>
    <row r="492" spans="1:21" ht="16" x14ac:dyDescent="0.4">
      <c r="A492" s="4">
        <v>123822</v>
      </c>
      <c r="B492" s="1" t="s">
        <v>49</v>
      </c>
      <c r="C492" s="1" t="s">
        <v>17</v>
      </c>
      <c r="D492" s="1">
        <v>535</v>
      </c>
      <c r="E492" s="1">
        <v>269</v>
      </c>
      <c r="F492" s="1">
        <v>375</v>
      </c>
      <c r="G492" s="1">
        <v>1</v>
      </c>
      <c r="H492" s="1">
        <v>14661</v>
      </c>
      <c r="I492" s="1">
        <v>1</v>
      </c>
      <c r="J492" s="1">
        <v>72</v>
      </c>
      <c r="K492" s="1">
        <v>318</v>
      </c>
      <c r="L492" s="1">
        <v>328</v>
      </c>
      <c r="M492" s="1">
        <v>7.6</v>
      </c>
      <c r="N492">
        <f>VLOOKUP(A492,vlookup_table!$A:$G,2,FALSE)</f>
        <v>0</v>
      </c>
      <c r="O492" t="str">
        <f>VLOOKUP(A492,vlookup_table!$A:$G,3,FALSE)</f>
        <v>TN</v>
      </c>
      <c r="P492">
        <f>VLOOKUP(A492,vlookup_table!$A:$G,4,FALSE)</f>
        <v>0</v>
      </c>
      <c r="Q492" t="str">
        <f>VLOOKUP(A492,vlookup_table!$A:$G,5,FALSE)</f>
        <v>S1</v>
      </c>
      <c r="R492" t="str">
        <f>VLOOKUP(A492,vlookup_table!$A:$G,6,FALSE)</f>
        <v>F</v>
      </c>
      <c r="S492">
        <f>VLOOKUP(A492,vlookup_table!$A:$G,7,FALSE)</f>
        <v>10</v>
      </c>
      <c r="T492">
        <f t="shared" si="14"/>
        <v>96</v>
      </c>
      <c r="U492" t="str">
        <f t="shared" si="15"/>
        <v>Suburbano</v>
      </c>
    </row>
    <row r="493" spans="1:21" ht="16" x14ac:dyDescent="0.4">
      <c r="A493" s="4">
        <v>22038</v>
      </c>
      <c r="B493" s="1" t="s">
        <v>18</v>
      </c>
      <c r="C493" s="1" t="s">
        <v>14</v>
      </c>
      <c r="D493" s="1">
        <v>444</v>
      </c>
      <c r="E493" s="1">
        <v>222</v>
      </c>
      <c r="F493" s="1">
        <v>291</v>
      </c>
      <c r="G493" s="1">
        <v>1</v>
      </c>
      <c r="H493" s="1">
        <v>10074</v>
      </c>
      <c r="I493" s="1">
        <v>1</v>
      </c>
      <c r="J493" s="1">
        <v>73</v>
      </c>
      <c r="K493" s="1">
        <v>259</v>
      </c>
      <c r="L493" s="1">
        <v>259</v>
      </c>
      <c r="M493" s="1">
        <v>9.9499999999999993</v>
      </c>
      <c r="N493">
        <f>VLOOKUP(A493,vlookup_table!$A:$G,2,FALSE)</f>
        <v>1</v>
      </c>
      <c r="O493" t="str">
        <f>VLOOKUP(A493,vlookup_table!$A:$G,3,FALSE)</f>
        <v>NC</v>
      </c>
      <c r="P493">
        <f>VLOOKUP(A493,vlookup_table!$A:$G,4,FALSE)</f>
        <v>4401</v>
      </c>
      <c r="Q493" t="str">
        <f>VLOOKUP(A493,vlookup_table!$A:$G,5,FALSE)</f>
        <v>R3</v>
      </c>
      <c r="R493" t="str">
        <f>VLOOKUP(A493,vlookup_table!$A:$G,6,FALSE)</f>
        <v>M</v>
      </c>
      <c r="S493">
        <f>VLOOKUP(A493,vlookup_table!$A:$G,7,FALSE)</f>
        <v>10</v>
      </c>
      <c r="T493">
        <f t="shared" si="14"/>
        <v>52</v>
      </c>
      <c r="U493" t="str">
        <f t="shared" si="15"/>
        <v>Rural</v>
      </c>
    </row>
    <row r="494" spans="1:21" ht="16" x14ac:dyDescent="0.4">
      <c r="A494" s="4">
        <v>185024</v>
      </c>
      <c r="B494" s="1" t="s">
        <v>52</v>
      </c>
      <c r="C494" s="1" t="s">
        <v>17</v>
      </c>
      <c r="D494" s="1">
        <v>476</v>
      </c>
      <c r="E494" s="1">
        <v>202</v>
      </c>
      <c r="F494" s="1">
        <v>304</v>
      </c>
      <c r="G494" s="1">
        <v>0</v>
      </c>
      <c r="H494" s="1">
        <v>10581</v>
      </c>
      <c r="I494" s="1">
        <v>2</v>
      </c>
      <c r="J494" s="1">
        <v>80</v>
      </c>
      <c r="K494" s="1">
        <v>274</v>
      </c>
      <c r="L494" s="1">
        <v>236</v>
      </c>
      <c r="M494" s="1">
        <v>23.852941179999998</v>
      </c>
      <c r="N494">
        <f>VLOOKUP(A494,vlookup_table!$A:$G,2,FALSE)</f>
        <v>0</v>
      </c>
      <c r="O494" t="str">
        <f>VLOOKUP(A494,vlookup_table!$A:$G,3,FALSE)</f>
        <v>MN</v>
      </c>
      <c r="P494">
        <f>VLOOKUP(A494,vlookup_table!$A:$G,4,FALSE)</f>
        <v>605</v>
      </c>
      <c r="Q494" t="str">
        <f>VLOOKUP(A494,vlookup_table!$A:$G,5,FALSE)</f>
        <v>R2</v>
      </c>
      <c r="R494" t="str">
        <f>VLOOKUP(A494,vlookup_table!$A:$G,6,FALSE)</f>
        <v>F</v>
      </c>
      <c r="S494">
        <f>VLOOKUP(A494,vlookup_table!$A:$G,7,FALSE)</f>
        <v>8</v>
      </c>
      <c r="T494">
        <f t="shared" si="14"/>
        <v>36</v>
      </c>
      <c r="U494" t="str">
        <f t="shared" si="15"/>
        <v>Rural</v>
      </c>
    </row>
    <row r="495" spans="1:21" ht="16" x14ac:dyDescent="0.4">
      <c r="A495" s="4">
        <v>129600</v>
      </c>
      <c r="B495" s="1" t="s">
        <v>45</v>
      </c>
      <c r="C495" s="1" t="s">
        <v>17</v>
      </c>
      <c r="D495" s="1">
        <v>593</v>
      </c>
      <c r="E495" s="1">
        <v>256</v>
      </c>
      <c r="F495" s="1">
        <v>399</v>
      </c>
      <c r="G495" s="1">
        <v>0</v>
      </c>
      <c r="H495" s="1">
        <v>37734</v>
      </c>
      <c r="I495" s="1">
        <v>7</v>
      </c>
      <c r="J495" s="1">
        <v>55</v>
      </c>
      <c r="K495" s="1">
        <v>298</v>
      </c>
      <c r="L495" s="1">
        <v>336</v>
      </c>
      <c r="M495" s="1">
        <v>13</v>
      </c>
      <c r="N495">
        <f>VLOOKUP(A495,vlookup_table!$A:$G,2,FALSE)</f>
        <v>0</v>
      </c>
      <c r="O495" t="str">
        <f>VLOOKUP(A495,vlookup_table!$A:$G,3,FALSE)</f>
        <v>CO</v>
      </c>
      <c r="P495">
        <f>VLOOKUP(A495,vlookup_table!$A:$G,4,FALSE)</f>
        <v>3705</v>
      </c>
      <c r="Q495" t="str">
        <f>VLOOKUP(A495,vlookup_table!$A:$G,5,FALSE)</f>
        <v>U4</v>
      </c>
      <c r="R495" t="str">
        <f>VLOOKUP(A495,vlookup_table!$A:$G,6,FALSE)</f>
        <v>F</v>
      </c>
      <c r="S495">
        <f>VLOOKUP(A495,vlookup_table!$A:$G,7,FALSE)</f>
        <v>20</v>
      </c>
      <c r="T495">
        <f t="shared" si="14"/>
        <v>59</v>
      </c>
      <c r="U495" t="str">
        <f t="shared" si="15"/>
        <v>Urbano</v>
      </c>
    </row>
    <row r="496" spans="1:21" ht="16" x14ac:dyDescent="0.4">
      <c r="A496" s="4">
        <v>107613</v>
      </c>
      <c r="B496" s="1" t="s">
        <v>21</v>
      </c>
      <c r="C496" s="1" t="s">
        <v>14</v>
      </c>
      <c r="D496" s="1">
        <v>2238</v>
      </c>
      <c r="E496" s="1">
        <v>580</v>
      </c>
      <c r="F496" s="1">
        <v>605</v>
      </c>
      <c r="G496" s="1">
        <v>75</v>
      </c>
      <c r="H496" s="1">
        <v>18247</v>
      </c>
      <c r="I496" s="1">
        <v>9</v>
      </c>
      <c r="J496" s="1">
        <v>50</v>
      </c>
      <c r="K496" s="1">
        <v>602</v>
      </c>
      <c r="L496" s="1">
        <v>587</v>
      </c>
      <c r="M496" s="1">
        <v>3.25</v>
      </c>
      <c r="N496">
        <f>VLOOKUP(A496,vlookup_table!$A:$G,2,FALSE)</f>
        <v>0</v>
      </c>
      <c r="O496" t="str">
        <f>VLOOKUP(A496,vlookup_table!$A:$G,3,FALSE)</f>
        <v>CA</v>
      </c>
      <c r="P496">
        <f>VLOOKUP(A496,vlookup_table!$A:$G,4,FALSE)</f>
        <v>0</v>
      </c>
      <c r="Q496" t="str">
        <f>VLOOKUP(A496,vlookup_table!$A:$G,5,FALSE)</f>
        <v>R2</v>
      </c>
      <c r="R496" t="str">
        <f>VLOOKUP(A496,vlookup_table!$A:$G,6,FALSE)</f>
        <v>M</v>
      </c>
      <c r="S496">
        <f>VLOOKUP(A496,vlookup_table!$A:$G,7,FALSE)</f>
        <v>7</v>
      </c>
      <c r="T496">
        <f t="shared" si="14"/>
        <v>96</v>
      </c>
      <c r="U496" t="str">
        <f t="shared" si="15"/>
        <v>Rural</v>
      </c>
    </row>
    <row r="497" spans="1:21" ht="16" x14ac:dyDescent="0.4">
      <c r="A497" s="4">
        <v>165302</v>
      </c>
      <c r="B497" s="1" t="s">
        <v>21</v>
      </c>
      <c r="C497" s="1"/>
      <c r="D497" s="1">
        <v>2811</v>
      </c>
      <c r="E497" s="1">
        <v>524</v>
      </c>
      <c r="F497" s="1">
        <v>645</v>
      </c>
      <c r="G497" s="1">
        <v>72</v>
      </c>
      <c r="H497" s="1">
        <v>23861</v>
      </c>
      <c r="I497" s="1">
        <v>8</v>
      </c>
      <c r="J497" s="1">
        <v>60</v>
      </c>
      <c r="K497" s="1">
        <v>577</v>
      </c>
      <c r="L497" s="1">
        <v>599</v>
      </c>
      <c r="M497" s="1">
        <v>11.08333333</v>
      </c>
      <c r="N497">
        <f>VLOOKUP(A497,vlookup_table!$A:$G,2,FALSE)</f>
        <v>0</v>
      </c>
      <c r="O497" t="str">
        <f>VLOOKUP(A497,vlookup_table!$A:$G,3,FALSE)</f>
        <v>CA</v>
      </c>
      <c r="P497">
        <f>VLOOKUP(A497,vlookup_table!$A:$G,4,FALSE)</f>
        <v>2207</v>
      </c>
      <c r="Q497" t="str">
        <f>VLOOKUP(A497,vlookup_table!$A:$G,5,FALSE)</f>
        <v>C1</v>
      </c>
      <c r="R497" t="str">
        <f>VLOOKUP(A497,vlookup_table!$A:$G,6,FALSE)</f>
        <v/>
      </c>
      <c r="S497">
        <f>VLOOKUP(A497,vlookup_table!$A:$G,7,FALSE)</f>
        <v>20</v>
      </c>
      <c r="T497">
        <f t="shared" si="14"/>
        <v>74</v>
      </c>
      <c r="U497" t="str">
        <f t="shared" si="15"/>
        <v>Ciudad</v>
      </c>
    </row>
    <row r="498" spans="1:21" ht="16" x14ac:dyDescent="0.4">
      <c r="A498" s="4">
        <v>152990</v>
      </c>
      <c r="B498" s="1" t="s">
        <v>21</v>
      </c>
      <c r="C498" s="1" t="s">
        <v>17</v>
      </c>
      <c r="D498" s="1">
        <v>1775</v>
      </c>
      <c r="E498" s="1">
        <v>445</v>
      </c>
      <c r="F498" s="1">
        <v>469</v>
      </c>
      <c r="G498" s="1">
        <v>14</v>
      </c>
      <c r="H498" s="1">
        <v>15256</v>
      </c>
      <c r="I498" s="1">
        <v>13</v>
      </c>
      <c r="J498" s="1">
        <v>46</v>
      </c>
      <c r="K498" s="1">
        <v>443</v>
      </c>
      <c r="L498" s="1">
        <v>490</v>
      </c>
      <c r="M498" s="1">
        <v>10</v>
      </c>
      <c r="N498">
        <f>VLOOKUP(A498,vlookup_table!$A:$G,2,FALSE)</f>
        <v>0</v>
      </c>
      <c r="O498" t="str">
        <f>VLOOKUP(A498,vlookup_table!$A:$G,3,FALSE)</f>
        <v>CA</v>
      </c>
      <c r="P498">
        <f>VLOOKUP(A498,vlookup_table!$A:$G,4,FALSE)</f>
        <v>6101</v>
      </c>
      <c r="Q498" t="str">
        <f>VLOOKUP(A498,vlookup_table!$A:$G,5,FALSE)</f>
        <v>C2</v>
      </c>
      <c r="R498" t="str">
        <f>VLOOKUP(A498,vlookup_table!$A:$G,6,FALSE)</f>
        <v>F</v>
      </c>
      <c r="S498">
        <f>VLOOKUP(A498,vlookup_table!$A:$G,7,FALSE)</f>
        <v>20</v>
      </c>
      <c r="T498">
        <f t="shared" si="14"/>
        <v>35</v>
      </c>
      <c r="U498" t="str">
        <f t="shared" si="15"/>
        <v>Ciudad</v>
      </c>
    </row>
    <row r="499" spans="1:21" ht="16" x14ac:dyDescent="0.4">
      <c r="A499" s="4">
        <v>88766</v>
      </c>
      <c r="B499" s="1" t="s">
        <v>16</v>
      </c>
      <c r="C499" s="1" t="s">
        <v>14</v>
      </c>
      <c r="D499" s="1">
        <v>2549</v>
      </c>
      <c r="E499" s="1">
        <v>715</v>
      </c>
      <c r="F499" s="1">
        <v>839</v>
      </c>
      <c r="G499" s="1">
        <v>69</v>
      </c>
      <c r="H499" s="1">
        <v>28878</v>
      </c>
      <c r="I499" s="1">
        <v>15</v>
      </c>
      <c r="J499" s="1">
        <v>70</v>
      </c>
      <c r="K499" s="1">
        <v>757</v>
      </c>
      <c r="L499" s="1">
        <v>786</v>
      </c>
      <c r="M499" s="1">
        <v>11</v>
      </c>
      <c r="N499">
        <f>VLOOKUP(A499,vlookup_table!$A:$G,2,FALSE)</f>
        <v>1</v>
      </c>
      <c r="O499" t="str">
        <f>VLOOKUP(A499,vlookup_table!$A:$G,3,FALSE)</f>
        <v>IL</v>
      </c>
      <c r="P499">
        <f>VLOOKUP(A499,vlookup_table!$A:$G,4,FALSE)</f>
        <v>4709</v>
      </c>
      <c r="Q499" t="str">
        <f>VLOOKUP(A499,vlookup_table!$A:$G,5,FALSE)</f>
        <v>S1</v>
      </c>
      <c r="R499" t="str">
        <f>VLOOKUP(A499,vlookup_table!$A:$G,6,FALSE)</f>
        <v>M</v>
      </c>
      <c r="S499">
        <f>VLOOKUP(A499,vlookup_table!$A:$G,7,FALSE)</f>
        <v>15</v>
      </c>
      <c r="T499">
        <f t="shared" si="14"/>
        <v>49</v>
      </c>
      <c r="U499" t="str">
        <f t="shared" si="15"/>
        <v>Suburbano</v>
      </c>
    </row>
    <row r="500" spans="1:21" ht="16" x14ac:dyDescent="0.4">
      <c r="A500" s="4">
        <v>4522</v>
      </c>
      <c r="B500" s="1" t="s">
        <v>21</v>
      </c>
      <c r="C500" s="1" t="s">
        <v>14</v>
      </c>
      <c r="D500" s="1">
        <v>2356</v>
      </c>
      <c r="E500" s="1">
        <v>523</v>
      </c>
      <c r="F500" s="1">
        <v>615</v>
      </c>
      <c r="G500" s="1">
        <v>83</v>
      </c>
      <c r="H500" s="1">
        <v>21871</v>
      </c>
      <c r="I500" s="1">
        <v>8</v>
      </c>
      <c r="J500" s="1">
        <v>49</v>
      </c>
      <c r="K500" s="1">
        <v>560</v>
      </c>
      <c r="L500" s="1">
        <v>560</v>
      </c>
      <c r="M500" s="1">
        <v>16.09090909</v>
      </c>
      <c r="N500">
        <f>VLOOKUP(A500,vlookup_table!$A:$G,2,FALSE)</f>
        <v>1</v>
      </c>
      <c r="O500" t="str">
        <f>VLOOKUP(A500,vlookup_table!$A:$G,3,FALSE)</f>
        <v>CA</v>
      </c>
      <c r="P500">
        <f>VLOOKUP(A500,vlookup_table!$A:$G,4,FALSE)</f>
        <v>1402</v>
      </c>
      <c r="Q500" t="str">
        <f>VLOOKUP(A500,vlookup_table!$A:$G,5,FALSE)</f>
        <v>S1</v>
      </c>
      <c r="R500" t="str">
        <f>VLOOKUP(A500,vlookup_table!$A:$G,6,FALSE)</f>
        <v>M</v>
      </c>
      <c r="S500">
        <f>VLOOKUP(A500,vlookup_table!$A:$G,7,FALSE)</f>
        <v>20</v>
      </c>
      <c r="T500">
        <f t="shared" si="14"/>
        <v>82</v>
      </c>
      <c r="U500" t="str">
        <f t="shared" si="15"/>
        <v>Suburbano</v>
      </c>
    </row>
    <row r="501" spans="1:21" ht="16" x14ac:dyDescent="0.4">
      <c r="A501" s="4">
        <v>32350</v>
      </c>
      <c r="B501" s="1" t="s">
        <v>13</v>
      </c>
      <c r="C501" s="1" t="s">
        <v>14</v>
      </c>
      <c r="D501" s="1">
        <v>913</v>
      </c>
      <c r="E501" s="1">
        <v>256</v>
      </c>
      <c r="F501" s="1">
        <v>338</v>
      </c>
      <c r="G501" s="1">
        <v>5</v>
      </c>
      <c r="H501" s="1">
        <v>14424</v>
      </c>
      <c r="I501" s="1">
        <v>7</v>
      </c>
      <c r="J501" s="1">
        <v>16</v>
      </c>
      <c r="K501" s="1">
        <v>289</v>
      </c>
      <c r="L501" s="1">
        <v>309</v>
      </c>
      <c r="M501" s="1">
        <v>13</v>
      </c>
      <c r="N501">
        <f>VLOOKUP(A501,vlookup_table!$A:$G,2,FALSE)</f>
        <v>0</v>
      </c>
      <c r="O501" t="str">
        <f>VLOOKUP(A501,vlookup_table!$A:$G,3,FALSE)</f>
        <v>FL</v>
      </c>
      <c r="P501">
        <f>VLOOKUP(A501,vlookup_table!$A:$G,4,FALSE)</f>
        <v>1809</v>
      </c>
      <c r="Q501" t="str">
        <f>VLOOKUP(A501,vlookup_table!$A:$G,5,FALSE)</f>
        <v>R1</v>
      </c>
      <c r="R501" t="str">
        <f>VLOOKUP(A501,vlookup_table!$A:$G,6,FALSE)</f>
        <v>M</v>
      </c>
      <c r="S501">
        <f>VLOOKUP(A501,vlookup_table!$A:$G,7,FALSE)</f>
        <v>20</v>
      </c>
      <c r="T501">
        <f t="shared" si="14"/>
        <v>78</v>
      </c>
      <c r="U501" t="str">
        <f t="shared" si="15"/>
        <v>Rural</v>
      </c>
    </row>
    <row r="502" spans="1:21" ht="16" x14ac:dyDescent="0.4">
      <c r="A502" s="4">
        <v>74774</v>
      </c>
      <c r="B502" s="1" t="s">
        <v>29</v>
      </c>
      <c r="C502" s="1" t="s">
        <v>14</v>
      </c>
      <c r="D502" s="1">
        <v>500</v>
      </c>
      <c r="E502" s="1">
        <v>245</v>
      </c>
      <c r="F502" s="1">
        <v>314</v>
      </c>
      <c r="G502" s="1">
        <v>3</v>
      </c>
      <c r="H502" s="1">
        <v>12271</v>
      </c>
      <c r="I502" s="1">
        <v>1</v>
      </c>
      <c r="J502" s="1">
        <v>81</v>
      </c>
      <c r="K502" s="1">
        <v>308</v>
      </c>
      <c r="L502" s="1">
        <v>304</v>
      </c>
      <c r="M502" s="1">
        <v>15</v>
      </c>
      <c r="N502">
        <f>VLOOKUP(A502,vlookup_table!$A:$G,2,FALSE)</f>
        <v>0</v>
      </c>
      <c r="O502" t="str">
        <f>VLOOKUP(A502,vlookup_table!$A:$G,3,FALSE)</f>
        <v>AR</v>
      </c>
      <c r="P502">
        <f>VLOOKUP(A502,vlookup_table!$A:$G,4,FALSE)</f>
        <v>0</v>
      </c>
      <c r="Q502" t="str">
        <f>VLOOKUP(A502,vlookup_table!$A:$G,5,FALSE)</f>
        <v>C1</v>
      </c>
      <c r="R502" t="str">
        <f>VLOOKUP(A502,vlookup_table!$A:$G,6,FALSE)</f>
        <v>M</v>
      </c>
      <c r="S502">
        <f>VLOOKUP(A502,vlookup_table!$A:$G,7,FALSE)</f>
        <v>21</v>
      </c>
      <c r="T502">
        <f t="shared" si="14"/>
        <v>96</v>
      </c>
      <c r="U502" t="str">
        <f t="shared" si="15"/>
        <v>Ciudad</v>
      </c>
    </row>
    <row r="503" spans="1:21" ht="16" x14ac:dyDescent="0.4">
      <c r="A503" s="4">
        <v>67475</v>
      </c>
      <c r="B503" s="1" t="s">
        <v>26</v>
      </c>
      <c r="C503" s="1" t="s">
        <v>17</v>
      </c>
      <c r="D503" s="1">
        <v>687</v>
      </c>
      <c r="E503" s="1">
        <v>111</v>
      </c>
      <c r="F503" s="1">
        <v>172</v>
      </c>
      <c r="G503" s="1">
        <v>0</v>
      </c>
      <c r="H503" s="1">
        <v>6615</v>
      </c>
      <c r="I503" s="1">
        <v>7</v>
      </c>
      <c r="J503" s="1">
        <v>65</v>
      </c>
      <c r="K503" s="1">
        <v>90</v>
      </c>
      <c r="L503" s="1">
        <v>171</v>
      </c>
      <c r="M503" s="1">
        <v>5.2222222220000001</v>
      </c>
      <c r="N503">
        <f>VLOOKUP(A503,vlookup_table!$A:$G,2,FALSE)</f>
        <v>28</v>
      </c>
      <c r="O503" t="str">
        <f>VLOOKUP(A503,vlookup_table!$A:$G,3,FALSE)</f>
        <v>MI</v>
      </c>
      <c r="P503">
        <f>VLOOKUP(A503,vlookup_table!$A:$G,4,FALSE)</f>
        <v>6201</v>
      </c>
      <c r="Q503" t="str">
        <f>VLOOKUP(A503,vlookup_table!$A:$G,5,FALSE)</f>
        <v>C3</v>
      </c>
      <c r="R503" t="str">
        <f>VLOOKUP(A503,vlookup_table!$A:$G,6,FALSE)</f>
        <v>F</v>
      </c>
      <c r="S503">
        <f>VLOOKUP(A503,vlookup_table!$A:$G,7,FALSE)</f>
        <v>5</v>
      </c>
      <c r="T503">
        <f t="shared" si="14"/>
        <v>34</v>
      </c>
      <c r="U503" t="str">
        <f t="shared" si="15"/>
        <v>Ciudad</v>
      </c>
    </row>
    <row r="504" spans="1:21" ht="16" x14ac:dyDescent="0.4">
      <c r="A504" s="4">
        <v>104267</v>
      </c>
      <c r="B504" s="1" t="s">
        <v>25</v>
      </c>
      <c r="C504" s="1" t="s">
        <v>14</v>
      </c>
      <c r="D504" s="1">
        <v>284</v>
      </c>
      <c r="E504" s="1">
        <v>231</v>
      </c>
      <c r="F504" s="1">
        <v>299</v>
      </c>
      <c r="G504" s="1">
        <v>0</v>
      </c>
      <c r="H504" s="1">
        <v>9838</v>
      </c>
      <c r="I504" s="1">
        <v>0</v>
      </c>
      <c r="J504" s="1">
        <v>83</v>
      </c>
      <c r="K504" s="1">
        <v>258</v>
      </c>
      <c r="L504" s="1">
        <v>269</v>
      </c>
      <c r="M504" s="1">
        <v>4.4375</v>
      </c>
      <c r="N504">
        <f>VLOOKUP(A504,vlookup_table!$A:$G,2,FALSE)</f>
        <v>0</v>
      </c>
      <c r="O504" t="str">
        <f>VLOOKUP(A504,vlookup_table!$A:$G,3,FALSE)</f>
        <v>KS</v>
      </c>
      <c r="P504">
        <f>VLOOKUP(A504,vlookup_table!$A:$G,4,FALSE)</f>
        <v>0</v>
      </c>
      <c r="Q504" t="str">
        <f>VLOOKUP(A504,vlookup_table!$A:$G,5,FALSE)</f>
        <v>R2</v>
      </c>
      <c r="R504" t="str">
        <f>VLOOKUP(A504,vlookup_table!$A:$G,6,FALSE)</f>
        <v>M</v>
      </c>
      <c r="S504">
        <f>VLOOKUP(A504,vlookup_table!$A:$G,7,FALSE)</f>
        <v>5</v>
      </c>
      <c r="T504">
        <f t="shared" si="14"/>
        <v>96</v>
      </c>
      <c r="U504" t="str">
        <f t="shared" si="15"/>
        <v>Rural</v>
      </c>
    </row>
    <row r="505" spans="1:21" ht="16" x14ac:dyDescent="0.4">
      <c r="A505" s="4">
        <v>131031</v>
      </c>
      <c r="B505" s="1" t="s">
        <v>45</v>
      </c>
      <c r="C505" s="1" t="s">
        <v>17</v>
      </c>
      <c r="D505" s="1">
        <v>678</v>
      </c>
      <c r="E505" s="1">
        <v>155</v>
      </c>
      <c r="F505" s="1">
        <v>306</v>
      </c>
      <c r="G505" s="1">
        <v>0</v>
      </c>
      <c r="H505" s="1">
        <v>8675</v>
      </c>
      <c r="I505" s="1">
        <v>3</v>
      </c>
      <c r="J505" s="1">
        <v>34</v>
      </c>
      <c r="K505" s="1">
        <v>242</v>
      </c>
      <c r="L505" s="1">
        <v>196</v>
      </c>
      <c r="M505" s="1">
        <v>8.1052631579999996</v>
      </c>
      <c r="N505">
        <f>VLOOKUP(A505,vlookup_table!$A:$G,2,FALSE)</f>
        <v>2</v>
      </c>
      <c r="O505" t="str">
        <f>VLOOKUP(A505,vlookup_table!$A:$G,3,FALSE)</f>
        <v>CO</v>
      </c>
      <c r="P505">
        <f>VLOOKUP(A505,vlookup_table!$A:$G,4,FALSE)</f>
        <v>604</v>
      </c>
      <c r="Q505" t="str">
        <f>VLOOKUP(A505,vlookup_table!$A:$G,5,FALSE)</f>
        <v>C2</v>
      </c>
      <c r="R505" t="str">
        <f>VLOOKUP(A505,vlookup_table!$A:$G,6,FALSE)</f>
        <v>F</v>
      </c>
      <c r="S505">
        <f>VLOOKUP(A505,vlookup_table!$A:$G,7,FALSE)</f>
        <v>18</v>
      </c>
      <c r="T505">
        <f t="shared" si="14"/>
        <v>36</v>
      </c>
      <c r="U505" t="str">
        <f t="shared" si="15"/>
        <v>Ciudad</v>
      </c>
    </row>
    <row r="506" spans="1:21" ht="16" x14ac:dyDescent="0.4">
      <c r="A506" s="4">
        <v>158058</v>
      </c>
      <c r="B506" s="1" t="s">
        <v>21</v>
      </c>
      <c r="C506" s="1" t="s">
        <v>14</v>
      </c>
      <c r="D506" s="1">
        <v>1685</v>
      </c>
      <c r="E506" s="1">
        <v>430</v>
      </c>
      <c r="F506" s="1">
        <v>540</v>
      </c>
      <c r="G506" s="1">
        <v>16</v>
      </c>
      <c r="H506" s="1">
        <v>15765</v>
      </c>
      <c r="I506" s="1">
        <v>19</v>
      </c>
      <c r="J506" s="1">
        <v>33</v>
      </c>
      <c r="K506" s="1">
        <v>479</v>
      </c>
      <c r="L506" s="1">
        <v>449</v>
      </c>
      <c r="M506" s="1">
        <v>7.6111111109999996</v>
      </c>
      <c r="N506">
        <f>VLOOKUP(A506,vlookup_table!$A:$G,2,FALSE)</f>
        <v>0</v>
      </c>
      <c r="O506" t="str">
        <f>VLOOKUP(A506,vlookup_table!$A:$G,3,FALSE)</f>
        <v>CA</v>
      </c>
      <c r="P506">
        <f>VLOOKUP(A506,vlookup_table!$A:$G,4,FALSE)</f>
        <v>4307</v>
      </c>
      <c r="Q506" t="str">
        <f>VLOOKUP(A506,vlookup_table!$A:$G,5,FALSE)</f>
        <v>U3</v>
      </c>
      <c r="R506" t="str">
        <f>VLOOKUP(A506,vlookup_table!$A:$G,6,FALSE)</f>
        <v>M</v>
      </c>
      <c r="S506">
        <f>VLOOKUP(A506,vlookup_table!$A:$G,7,FALSE)</f>
        <v>5</v>
      </c>
      <c r="T506">
        <f t="shared" si="14"/>
        <v>53</v>
      </c>
      <c r="U506" t="str">
        <f t="shared" si="15"/>
        <v>Urbano</v>
      </c>
    </row>
    <row r="507" spans="1:21" ht="16" x14ac:dyDescent="0.4">
      <c r="A507" s="4">
        <v>181755</v>
      </c>
      <c r="B507" s="1" t="s">
        <v>37</v>
      </c>
      <c r="C507" s="1" t="s">
        <v>17</v>
      </c>
      <c r="D507" s="1">
        <v>1461</v>
      </c>
      <c r="E507" s="1">
        <v>313</v>
      </c>
      <c r="F507" s="1">
        <v>464</v>
      </c>
      <c r="G507" s="1">
        <v>20</v>
      </c>
      <c r="H507" s="1">
        <v>20659</v>
      </c>
      <c r="I507" s="1">
        <v>7</v>
      </c>
      <c r="J507" s="1">
        <v>31</v>
      </c>
      <c r="K507" s="1">
        <v>342</v>
      </c>
      <c r="L507" s="1">
        <v>411</v>
      </c>
      <c r="M507" s="1">
        <v>5</v>
      </c>
      <c r="N507">
        <f>VLOOKUP(A507,vlookup_table!$A:$G,2,FALSE)</f>
        <v>2</v>
      </c>
      <c r="O507" t="str">
        <f>VLOOKUP(A507,vlookup_table!$A:$G,3,FALSE)</f>
        <v>WA</v>
      </c>
      <c r="P507">
        <f>VLOOKUP(A507,vlookup_table!$A:$G,4,FALSE)</f>
        <v>0</v>
      </c>
      <c r="Q507" t="str">
        <f>VLOOKUP(A507,vlookup_table!$A:$G,5,FALSE)</f>
        <v>C1</v>
      </c>
      <c r="R507" t="str">
        <f>VLOOKUP(A507,vlookup_table!$A:$G,6,FALSE)</f>
        <v>F</v>
      </c>
      <c r="S507">
        <f>VLOOKUP(A507,vlookup_table!$A:$G,7,FALSE)</f>
        <v>5</v>
      </c>
      <c r="T507">
        <f t="shared" si="14"/>
        <v>96</v>
      </c>
      <c r="U507" t="str">
        <f t="shared" si="15"/>
        <v>Ciudad</v>
      </c>
    </row>
    <row r="508" spans="1:21" ht="16" x14ac:dyDescent="0.4">
      <c r="A508" s="4">
        <v>181412</v>
      </c>
      <c r="B508" s="1" t="s">
        <v>37</v>
      </c>
      <c r="C508" s="1" t="s">
        <v>14</v>
      </c>
      <c r="D508" s="1">
        <v>538</v>
      </c>
      <c r="E508" s="1">
        <v>227</v>
      </c>
      <c r="F508" s="1">
        <v>308</v>
      </c>
      <c r="G508" s="1">
        <v>1</v>
      </c>
      <c r="H508" s="1">
        <v>10590</v>
      </c>
      <c r="I508" s="1">
        <v>1</v>
      </c>
      <c r="J508" s="1">
        <v>61</v>
      </c>
      <c r="K508" s="1">
        <v>252</v>
      </c>
      <c r="L508" s="1">
        <v>278</v>
      </c>
      <c r="M508" s="1">
        <v>5</v>
      </c>
      <c r="N508">
        <f>VLOOKUP(A508,vlookup_table!$A:$G,2,FALSE)</f>
        <v>1</v>
      </c>
      <c r="O508" t="str">
        <f>VLOOKUP(A508,vlookup_table!$A:$G,3,FALSE)</f>
        <v>WA</v>
      </c>
      <c r="P508">
        <f>VLOOKUP(A508,vlookup_table!$A:$G,4,FALSE)</f>
        <v>3301</v>
      </c>
      <c r="Q508" t="str">
        <f>VLOOKUP(A508,vlookup_table!$A:$G,5,FALSE)</f>
        <v>R2</v>
      </c>
      <c r="R508" t="str">
        <f>VLOOKUP(A508,vlookup_table!$A:$G,6,FALSE)</f>
        <v>M</v>
      </c>
      <c r="S508">
        <f>VLOOKUP(A508,vlookup_table!$A:$G,7,FALSE)</f>
        <v>5</v>
      </c>
      <c r="T508">
        <f t="shared" si="14"/>
        <v>63</v>
      </c>
      <c r="U508" t="str">
        <f t="shared" si="15"/>
        <v>Rural</v>
      </c>
    </row>
    <row r="509" spans="1:21" ht="16" x14ac:dyDescent="0.4">
      <c r="A509" s="4">
        <v>185602</v>
      </c>
      <c r="B509" s="1" t="s">
        <v>32</v>
      </c>
      <c r="C509" s="1" t="s">
        <v>17</v>
      </c>
      <c r="D509" s="1">
        <v>400</v>
      </c>
      <c r="E509" s="1">
        <v>232</v>
      </c>
      <c r="F509" s="1">
        <v>315</v>
      </c>
      <c r="G509" s="1">
        <v>0</v>
      </c>
      <c r="H509" s="1">
        <v>10504</v>
      </c>
      <c r="I509" s="1">
        <v>1</v>
      </c>
      <c r="J509" s="1">
        <v>86</v>
      </c>
      <c r="K509" s="1">
        <v>279</v>
      </c>
      <c r="L509" s="1">
        <v>264</v>
      </c>
      <c r="M509" s="1">
        <v>9.5333333329999999</v>
      </c>
      <c r="N509">
        <f>VLOOKUP(A509,vlookup_table!$A:$G,2,FALSE)</f>
        <v>28</v>
      </c>
      <c r="O509" t="str">
        <f>VLOOKUP(A509,vlookup_table!$A:$G,3,FALSE)</f>
        <v>WI</v>
      </c>
      <c r="P509">
        <f>VLOOKUP(A509,vlookup_table!$A:$G,4,FALSE)</f>
        <v>0</v>
      </c>
      <c r="Q509" t="str">
        <f>VLOOKUP(A509,vlookup_table!$A:$G,5,FALSE)</f>
        <v>R2</v>
      </c>
      <c r="R509" t="str">
        <f>VLOOKUP(A509,vlookup_table!$A:$G,6,FALSE)</f>
        <v>F</v>
      </c>
      <c r="S509">
        <f>VLOOKUP(A509,vlookup_table!$A:$G,7,FALSE)</f>
        <v>10</v>
      </c>
      <c r="T509">
        <f t="shared" si="14"/>
        <v>96</v>
      </c>
      <c r="U509" t="str">
        <f t="shared" si="15"/>
        <v>Rural</v>
      </c>
    </row>
    <row r="510" spans="1:21" ht="16" x14ac:dyDescent="0.4">
      <c r="A510" s="4">
        <v>23603</v>
      </c>
      <c r="B510" s="1" t="s">
        <v>43</v>
      </c>
      <c r="C510" s="1" t="s">
        <v>14</v>
      </c>
      <c r="D510" s="1">
        <v>824</v>
      </c>
      <c r="E510" s="1">
        <v>348</v>
      </c>
      <c r="F510" s="1">
        <v>400</v>
      </c>
      <c r="G510" s="1">
        <v>0</v>
      </c>
      <c r="H510" s="1">
        <v>14663</v>
      </c>
      <c r="I510" s="1">
        <v>2</v>
      </c>
      <c r="J510" s="1">
        <v>40</v>
      </c>
      <c r="K510" s="1">
        <v>371</v>
      </c>
      <c r="L510" s="1">
        <v>365</v>
      </c>
      <c r="M510" s="1">
        <v>12.5</v>
      </c>
      <c r="N510">
        <f>VLOOKUP(A510,vlookup_table!$A:$G,2,FALSE)</f>
        <v>1</v>
      </c>
      <c r="O510" t="str">
        <f>VLOOKUP(A510,vlookup_table!$A:$G,3,FALSE)</f>
        <v>SC</v>
      </c>
      <c r="P510">
        <f>VLOOKUP(A510,vlookup_table!$A:$G,4,FALSE)</f>
        <v>5801</v>
      </c>
      <c r="Q510" t="str">
        <f>VLOOKUP(A510,vlookup_table!$A:$G,5,FALSE)</f>
        <v>S2</v>
      </c>
      <c r="R510" t="str">
        <f>VLOOKUP(A510,vlookup_table!$A:$G,6,FALSE)</f>
        <v>M</v>
      </c>
      <c r="S510">
        <f>VLOOKUP(A510,vlookup_table!$A:$G,7,FALSE)</f>
        <v>25</v>
      </c>
      <c r="T510">
        <f t="shared" si="14"/>
        <v>38</v>
      </c>
      <c r="U510" t="str">
        <f t="shared" si="15"/>
        <v>Suburbano</v>
      </c>
    </row>
    <row r="511" spans="1:21" ht="16" x14ac:dyDescent="0.4">
      <c r="A511" s="4">
        <v>112943</v>
      </c>
      <c r="B511" s="1" t="s">
        <v>28</v>
      </c>
      <c r="C511" s="1" t="s">
        <v>17</v>
      </c>
      <c r="D511" s="1">
        <v>855</v>
      </c>
      <c r="E511" s="1">
        <v>345</v>
      </c>
      <c r="F511" s="1">
        <v>560</v>
      </c>
      <c r="G511" s="1">
        <v>10</v>
      </c>
      <c r="H511" s="1">
        <v>17869</v>
      </c>
      <c r="I511" s="1">
        <v>2</v>
      </c>
      <c r="J511" s="1">
        <v>64</v>
      </c>
      <c r="K511" s="1">
        <v>384</v>
      </c>
      <c r="L511" s="1">
        <v>508</v>
      </c>
      <c r="M511" s="1">
        <v>8.7291666669999994</v>
      </c>
      <c r="N511">
        <f>VLOOKUP(A511,vlookup_table!$A:$G,2,FALSE)</f>
        <v>2</v>
      </c>
      <c r="O511" t="str">
        <f>VLOOKUP(A511,vlookup_table!$A:$G,3,FALSE)</f>
        <v>OK</v>
      </c>
      <c r="P511">
        <f>VLOOKUP(A511,vlookup_table!$A:$G,4,FALSE)</f>
        <v>3601</v>
      </c>
      <c r="Q511" t="str">
        <f>VLOOKUP(A511,vlookup_table!$A:$G,5,FALSE)</f>
        <v>T1</v>
      </c>
      <c r="R511" t="str">
        <f>VLOOKUP(A511,vlookup_table!$A:$G,6,FALSE)</f>
        <v>F</v>
      </c>
      <c r="S511">
        <f>VLOOKUP(A511,vlookup_table!$A:$G,7,FALSE)</f>
        <v>12</v>
      </c>
      <c r="T511">
        <f t="shared" si="14"/>
        <v>60</v>
      </c>
      <c r="U511" t="str">
        <f t="shared" si="15"/>
        <v>Pueblo</v>
      </c>
    </row>
    <row r="512" spans="1:21" ht="16" x14ac:dyDescent="0.4">
      <c r="A512" s="4">
        <v>44853</v>
      </c>
      <c r="B512" s="1" t="s">
        <v>13</v>
      </c>
      <c r="C512" s="1" t="s">
        <v>14</v>
      </c>
      <c r="D512" s="1">
        <v>578</v>
      </c>
      <c r="E512" s="1">
        <v>246</v>
      </c>
      <c r="F512" s="1">
        <v>323</v>
      </c>
      <c r="G512" s="1">
        <v>0</v>
      </c>
      <c r="H512" s="1">
        <v>14121</v>
      </c>
      <c r="I512" s="1">
        <v>3</v>
      </c>
      <c r="J512" s="1">
        <v>13</v>
      </c>
      <c r="K512" s="1">
        <v>323</v>
      </c>
      <c r="L512" s="1">
        <v>275</v>
      </c>
      <c r="M512" s="1">
        <v>10.64285714</v>
      </c>
      <c r="N512">
        <f>VLOOKUP(A512,vlookup_table!$A:$G,2,FALSE)</f>
        <v>1</v>
      </c>
      <c r="O512" t="str">
        <f>VLOOKUP(A512,vlookup_table!$A:$G,3,FALSE)</f>
        <v>FL</v>
      </c>
      <c r="P512">
        <f>VLOOKUP(A512,vlookup_table!$A:$G,4,FALSE)</f>
        <v>2912</v>
      </c>
      <c r="Q512" t="str">
        <f>VLOOKUP(A512,vlookup_table!$A:$G,5,FALSE)</f>
        <v>C3</v>
      </c>
      <c r="R512" t="str">
        <f>VLOOKUP(A512,vlookup_table!$A:$G,6,FALSE)</f>
        <v>M</v>
      </c>
      <c r="S512">
        <f>VLOOKUP(A512,vlookup_table!$A:$G,7,FALSE)</f>
        <v>12</v>
      </c>
      <c r="T512">
        <f t="shared" si="14"/>
        <v>67</v>
      </c>
      <c r="U512" t="str">
        <f t="shared" si="15"/>
        <v>Ciudad</v>
      </c>
    </row>
    <row r="513" spans="1:21" ht="16" x14ac:dyDescent="0.4">
      <c r="A513" s="4">
        <v>83094</v>
      </c>
      <c r="B513" s="1" t="s">
        <v>52</v>
      </c>
      <c r="C513" s="1" t="s">
        <v>17</v>
      </c>
      <c r="D513" s="1">
        <v>699</v>
      </c>
      <c r="E513" s="1">
        <v>246</v>
      </c>
      <c r="F513" s="1">
        <v>319</v>
      </c>
      <c r="G513" s="1">
        <v>0</v>
      </c>
      <c r="H513" s="1">
        <v>11020</v>
      </c>
      <c r="I513" s="1">
        <v>1</v>
      </c>
      <c r="J513" s="1">
        <v>81</v>
      </c>
      <c r="K513" s="1">
        <v>254</v>
      </c>
      <c r="L513" s="1">
        <v>304</v>
      </c>
      <c r="M513" s="1">
        <v>13.6</v>
      </c>
      <c r="N513">
        <f>VLOOKUP(A513,vlookup_table!$A:$G,2,FALSE)</f>
        <v>0</v>
      </c>
      <c r="O513" t="str">
        <f>VLOOKUP(A513,vlookup_table!$A:$G,3,FALSE)</f>
        <v>MN</v>
      </c>
      <c r="P513">
        <f>VLOOKUP(A513,vlookup_table!$A:$G,4,FALSE)</f>
        <v>1211</v>
      </c>
      <c r="Q513" t="str">
        <f>VLOOKUP(A513,vlookup_table!$A:$G,5,FALSE)</f>
        <v>T2</v>
      </c>
      <c r="R513" t="str">
        <f>VLOOKUP(A513,vlookup_table!$A:$G,6,FALSE)</f>
        <v>F</v>
      </c>
      <c r="S513">
        <f>VLOOKUP(A513,vlookup_table!$A:$G,7,FALSE)</f>
        <v>20</v>
      </c>
      <c r="T513">
        <f t="shared" si="14"/>
        <v>84</v>
      </c>
      <c r="U513" t="str">
        <f t="shared" si="15"/>
        <v>Pueblo</v>
      </c>
    </row>
    <row r="514" spans="1:21" ht="16" x14ac:dyDescent="0.4">
      <c r="A514" s="4">
        <v>148166</v>
      </c>
      <c r="B514" s="1" t="s">
        <v>21</v>
      </c>
      <c r="C514" s="1" t="s">
        <v>17</v>
      </c>
      <c r="D514" s="1">
        <v>5372</v>
      </c>
      <c r="E514" s="1">
        <v>673</v>
      </c>
      <c r="F514" s="1">
        <v>892</v>
      </c>
      <c r="G514" s="1">
        <v>97</v>
      </c>
      <c r="H514" s="1">
        <v>44570</v>
      </c>
      <c r="I514" s="1">
        <v>16</v>
      </c>
      <c r="J514" s="1">
        <v>42</v>
      </c>
      <c r="K514" s="1">
        <v>845</v>
      </c>
      <c r="L514" s="1">
        <v>801</v>
      </c>
      <c r="M514" s="1">
        <v>18.75</v>
      </c>
      <c r="N514">
        <f>VLOOKUP(A514,vlookup_table!$A:$G,2,FALSE)</f>
        <v>0</v>
      </c>
      <c r="O514" t="str">
        <f>VLOOKUP(A514,vlookup_table!$A:$G,3,FALSE)</f>
        <v>CA</v>
      </c>
      <c r="P514">
        <f>VLOOKUP(A514,vlookup_table!$A:$G,4,FALSE)</f>
        <v>0</v>
      </c>
      <c r="Q514" t="str">
        <f>VLOOKUP(A514,vlookup_table!$A:$G,5,FALSE)</f>
        <v>S1</v>
      </c>
      <c r="R514" t="str">
        <f>VLOOKUP(A514,vlookup_table!$A:$G,6,FALSE)</f>
        <v>F</v>
      </c>
      <c r="S514">
        <f>VLOOKUP(A514,vlookup_table!$A:$G,7,FALSE)</f>
        <v>20</v>
      </c>
      <c r="T514">
        <f t="shared" si="14"/>
        <v>96</v>
      </c>
      <c r="U514" t="str">
        <f t="shared" si="15"/>
        <v>Suburbano</v>
      </c>
    </row>
    <row r="515" spans="1:21" ht="16" x14ac:dyDescent="0.4">
      <c r="A515" s="4">
        <v>101113</v>
      </c>
      <c r="B515" s="1" t="s">
        <v>33</v>
      </c>
      <c r="C515" s="1" t="s">
        <v>17</v>
      </c>
      <c r="D515" s="1">
        <v>839</v>
      </c>
      <c r="E515" s="1">
        <v>456</v>
      </c>
      <c r="F515" s="1">
        <v>485</v>
      </c>
      <c r="G515" s="1">
        <v>2</v>
      </c>
      <c r="H515" s="1">
        <v>14713</v>
      </c>
      <c r="I515" s="1">
        <v>1</v>
      </c>
      <c r="J515" s="1">
        <v>65</v>
      </c>
      <c r="K515" s="1">
        <v>465</v>
      </c>
      <c r="L515" s="1">
        <v>475</v>
      </c>
      <c r="M515" s="1">
        <v>9.625</v>
      </c>
      <c r="N515">
        <f>VLOOKUP(A515,vlookup_table!$A:$G,2,FALSE)</f>
        <v>0</v>
      </c>
      <c r="O515" t="str">
        <f>VLOOKUP(A515,vlookup_table!$A:$G,3,FALSE)</f>
        <v>MO</v>
      </c>
      <c r="P515">
        <f>VLOOKUP(A515,vlookup_table!$A:$G,4,FALSE)</f>
        <v>5801</v>
      </c>
      <c r="Q515" t="str">
        <f>VLOOKUP(A515,vlookup_table!$A:$G,5,FALSE)</f>
        <v>C2</v>
      </c>
      <c r="R515" t="str">
        <f>VLOOKUP(A515,vlookup_table!$A:$G,6,FALSE)</f>
        <v>F</v>
      </c>
      <c r="S515">
        <f>VLOOKUP(A515,vlookup_table!$A:$G,7,FALSE)</f>
        <v>10</v>
      </c>
      <c r="T515">
        <f t="shared" ref="T515:T578" si="16">97-LEFT(P515,2)-IF(RIGHT(P515,2)&gt;6,1,0)</f>
        <v>38</v>
      </c>
      <c r="U515" t="str">
        <f t="shared" ref="U515:U578" si="17">IF(LEFT(Q515,1)="C","Ciudad",IF(LEFT(Q515,1)="T","Pueblo",IF(LEFT(Q515,1)="R","Rural",IF(LEFT(Q515,1)="S","Suburbano",IF(LEFT(Q515,1)="U","Urbano","")))))</f>
        <v>Ciudad</v>
      </c>
    </row>
    <row r="516" spans="1:21" ht="16" x14ac:dyDescent="0.4">
      <c r="A516" s="4">
        <v>101889</v>
      </c>
      <c r="B516" s="1" t="s">
        <v>33</v>
      </c>
      <c r="C516" s="1" t="s">
        <v>17</v>
      </c>
      <c r="D516" s="1">
        <v>662</v>
      </c>
      <c r="E516" s="1">
        <v>424</v>
      </c>
      <c r="F516" s="1">
        <v>456</v>
      </c>
      <c r="G516" s="1">
        <v>0</v>
      </c>
      <c r="H516" s="1">
        <v>13377</v>
      </c>
      <c r="I516" s="1">
        <v>0</v>
      </c>
      <c r="J516" s="1">
        <v>79</v>
      </c>
      <c r="K516" s="1">
        <v>436</v>
      </c>
      <c r="L516" s="1">
        <v>444</v>
      </c>
      <c r="M516" s="1">
        <v>13.5</v>
      </c>
      <c r="N516">
        <f>VLOOKUP(A516,vlookup_table!$A:$G,2,FALSE)</f>
        <v>0</v>
      </c>
      <c r="O516" t="str">
        <f>VLOOKUP(A516,vlookup_table!$A:$G,3,FALSE)</f>
        <v>MO</v>
      </c>
      <c r="P516">
        <f>VLOOKUP(A516,vlookup_table!$A:$G,4,FALSE)</f>
        <v>5111</v>
      </c>
      <c r="Q516" t="str">
        <f>VLOOKUP(A516,vlookup_table!$A:$G,5,FALSE)</f>
        <v>S2</v>
      </c>
      <c r="R516" t="str">
        <f>VLOOKUP(A516,vlookup_table!$A:$G,6,FALSE)</f>
        <v>F</v>
      </c>
      <c r="S516">
        <f>VLOOKUP(A516,vlookup_table!$A:$G,7,FALSE)</f>
        <v>16</v>
      </c>
      <c r="T516">
        <f t="shared" si="16"/>
        <v>45</v>
      </c>
      <c r="U516" t="str">
        <f t="shared" si="17"/>
        <v>Suburbano</v>
      </c>
    </row>
    <row r="517" spans="1:21" ht="16" x14ac:dyDescent="0.4">
      <c r="A517" s="4">
        <v>58808</v>
      </c>
      <c r="B517" s="1" t="s">
        <v>53</v>
      </c>
      <c r="C517" s="1" t="s">
        <v>17</v>
      </c>
      <c r="D517" s="1">
        <v>575</v>
      </c>
      <c r="E517" s="1">
        <v>228</v>
      </c>
      <c r="F517" s="1">
        <v>327</v>
      </c>
      <c r="G517" s="1">
        <v>1</v>
      </c>
      <c r="H517" s="1">
        <v>12600</v>
      </c>
      <c r="I517" s="1">
        <v>0</v>
      </c>
      <c r="J517" s="1">
        <v>72</v>
      </c>
      <c r="K517" s="1">
        <v>299</v>
      </c>
      <c r="L517" s="1">
        <v>261</v>
      </c>
      <c r="M517" s="1">
        <v>10.5</v>
      </c>
      <c r="N517">
        <f>VLOOKUP(A517,vlookup_table!$A:$G,2,FALSE)</f>
        <v>0</v>
      </c>
      <c r="O517" t="str">
        <f>VLOOKUP(A517,vlookup_table!$A:$G,3,FALSE)</f>
        <v>KY</v>
      </c>
      <c r="P517">
        <f>VLOOKUP(A517,vlookup_table!$A:$G,4,FALSE)</f>
        <v>1401</v>
      </c>
      <c r="Q517" t="str">
        <f>VLOOKUP(A517,vlookup_table!$A:$G,5,FALSE)</f>
        <v>T2</v>
      </c>
      <c r="R517" t="str">
        <f>VLOOKUP(A517,vlookup_table!$A:$G,6,FALSE)</f>
        <v>F</v>
      </c>
      <c r="S517">
        <f>VLOOKUP(A517,vlookup_table!$A:$G,7,FALSE)</f>
        <v>10</v>
      </c>
      <c r="T517">
        <f t="shared" si="16"/>
        <v>82</v>
      </c>
      <c r="U517" t="str">
        <f t="shared" si="17"/>
        <v>Pueblo</v>
      </c>
    </row>
    <row r="518" spans="1:21" ht="16" x14ac:dyDescent="0.4">
      <c r="A518" s="4">
        <v>85498</v>
      </c>
      <c r="B518" s="1" t="s">
        <v>52</v>
      </c>
      <c r="C518" s="1" t="s">
        <v>17</v>
      </c>
      <c r="D518" s="1">
        <v>281</v>
      </c>
      <c r="E518" s="1">
        <v>176</v>
      </c>
      <c r="F518" s="1">
        <v>235</v>
      </c>
      <c r="G518" s="1">
        <v>0</v>
      </c>
      <c r="H518" s="1">
        <v>7683</v>
      </c>
      <c r="I518" s="1">
        <v>0</v>
      </c>
      <c r="J518" s="1">
        <v>86</v>
      </c>
      <c r="K518" s="1">
        <v>207</v>
      </c>
      <c r="L518" s="1">
        <v>208</v>
      </c>
      <c r="M518" s="1">
        <v>5.9090909089999997</v>
      </c>
      <c r="N518">
        <f>VLOOKUP(A518,vlookup_table!$A:$G,2,FALSE)</f>
        <v>0</v>
      </c>
      <c r="O518" t="str">
        <f>VLOOKUP(A518,vlookup_table!$A:$G,3,FALSE)</f>
        <v>MN</v>
      </c>
      <c r="P518">
        <f>VLOOKUP(A518,vlookup_table!$A:$G,4,FALSE)</f>
        <v>0</v>
      </c>
      <c r="Q518" t="str">
        <f>VLOOKUP(A518,vlookup_table!$A:$G,5,FALSE)</f>
        <v>R3</v>
      </c>
      <c r="R518" t="str">
        <f>VLOOKUP(A518,vlookup_table!$A:$G,6,FALSE)</f>
        <v>F</v>
      </c>
      <c r="S518">
        <f>VLOOKUP(A518,vlookup_table!$A:$G,7,FALSE)</f>
        <v>10</v>
      </c>
      <c r="T518">
        <f t="shared" si="16"/>
        <v>96</v>
      </c>
      <c r="U518" t="str">
        <f t="shared" si="17"/>
        <v>Rural</v>
      </c>
    </row>
    <row r="519" spans="1:21" ht="16" x14ac:dyDescent="0.4">
      <c r="A519" s="4">
        <v>153864</v>
      </c>
      <c r="B519" s="1" t="s">
        <v>21</v>
      </c>
      <c r="C519" s="1" t="s">
        <v>17</v>
      </c>
      <c r="D519" s="1">
        <v>3370</v>
      </c>
      <c r="E519" s="1">
        <v>763</v>
      </c>
      <c r="F519" s="1">
        <v>871</v>
      </c>
      <c r="G519" s="1">
        <v>88</v>
      </c>
      <c r="H519" s="1">
        <v>32072</v>
      </c>
      <c r="I519" s="1">
        <v>16</v>
      </c>
      <c r="J519" s="1">
        <v>33</v>
      </c>
      <c r="K519" s="1">
        <v>824</v>
      </c>
      <c r="L519" s="1">
        <v>824</v>
      </c>
      <c r="M519" s="1">
        <v>9.8888888890000004</v>
      </c>
      <c r="N519">
        <f>VLOOKUP(A519,vlookup_table!$A:$G,2,FALSE)</f>
        <v>0</v>
      </c>
      <c r="O519" t="str">
        <f>VLOOKUP(A519,vlookup_table!$A:$G,3,FALSE)</f>
        <v>CA</v>
      </c>
      <c r="P519">
        <f>VLOOKUP(A519,vlookup_table!$A:$G,4,FALSE)</f>
        <v>5201</v>
      </c>
      <c r="Q519" t="str">
        <f>VLOOKUP(A519,vlookup_table!$A:$G,5,FALSE)</f>
        <v>S1</v>
      </c>
      <c r="R519" t="str">
        <f>VLOOKUP(A519,vlookup_table!$A:$G,6,FALSE)</f>
        <v>F</v>
      </c>
      <c r="S519">
        <f>VLOOKUP(A519,vlookup_table!$A:$G,7,FALSE)</f>
        <v>20</v>
      </c>
      <c r="T519">
        <f t="shared" si="16"/>
        <v>44</v>
      </c>
      <c r="U519" t="str">
        <f t="shared" si="17"/>
        <v>Suburbano</v>
      </c>
    </row>
    <row r="520" spans="1:21" ht="16" x14ac:dyDescent="0.4">
      <c r="A520" s="4">
        <v>145496</v>
      </c>
      <c r="B520" s="1" t="s">
        <v>21</v>
      </c>
      <c r="C520" s="1" t="s">
        <v>14</v>
      </c>
      <c r="D520" s="1">
        <v>2803</v>
      </c>
      <c r="E520" s="1">
        <v>555</v>
      </c>
      <c r="F520" s="1">
        <v>620</v>
      </c>
      <c r="G520" s="1">
        <v>88</v>
      </c>
      <c r="H520" s="1">
        <v>17655</v>
      </c>
      <c r="I520" s="1">
        <v>15</v>
      </c>
      <c r="J520" s="1">
        <v>52</v>
      </c>
      <c r="K520" s="1">
        <v>616</v>
      </c>
      <c r="L520" s="1">
        <v>546</v>
      </c>
      <c r="M520" s="1">
        <v>12.2</v>
      </c>
      <c r="N520">
        <f>VLOOKUP(A520,vlookup_table!$A:$G,2,FALSE)</f>
        <v>1</v>
      </c>
      <c r="O520" t="str">
        <f>VLOOKUP(A520,vlookup_table!$A:$G,3,FALSE)</f>
        <v>CA</v>
      </c>
      <c r="P520">
        <f>VLOOKUP(A520,vlookup_table!$A:$G,4,FALSE)</f>
        <v>5111</v>
      </c>
      <c r="Q520" t="str">
        <f>VLOOKUP(A520,vlookup_table!$A:$G,5,FALSE)</f>
        <v>U1</v>
      </c>
      <c r="R520" t="str">
        <f>VLOOKUP(A520,vlookup_table!$A:$G,6,FALSE)</f>
        <v>M</v>
      </c>
      <c r="S520">
        <f>VLOOKUP(A520,vlookup_table!$A:$G,7,FALSE)</f>
        <v>22</v>
      </c>
      <c r="T520">
        <f t="shared" si="16"/>
        <v>45</v>
      </c>
      <c r="U520" t="str">
        <f t="shared" si="17"/>
        <v>Urbano</v>
      </c>
    </row>
    <row r="521" spans="1:21" ht="16" x14ac:dyDescent="0.4">
      <c r="A521" s="4">
        <v>27566</v>
      </c>
      <c r="B521" s="1" t="s">
        <v>36</v>
      </c>
      <c r="C521" s="1" t="s">
        <v>14</v>
      </c>
      <c r="D521" s="1">
        <v>601</v>
      </c>
      <c r="E521" s="1">
        <v>249</v>
      </c>
      <c r="F521" s="1">
        <v>306</v>
      </c>
      <c r="G521" s="1">
        <v>1</v>
      </c>
      <c r="H521" s="1">
        <v>11235</v>
      </c>
      <c r="I521" s="1">
        <v>4</v>
      </c>
      <c r="J521" s="1">
        <v>67</v>
      </c>
      <c r="K521" s="1">
        <v>274</v>
      </c>
      <c r="L521" s="1">
        <v>286</v>
      </c>
      <c r="M521" s="1">
        <v>15</v>
      </c>
      <c r="N521">
        <f>VLOOKUP(A521,vlookup_table!$A:$G,2,FALSE)</f>
        <v>0</v>
      </c>
      <c r="O521" t="str">
        <f>VLOOKUP(A521,vlookup_table!$A:$G,3,FALSE)</f>
        <v>GA</v>
      </c>
      <c r="P521">
        <f>VLOOKUP(A521,vlookup_table!$A:$G,4,FALSE)</f>
        <v>0</v>
      </c>
      <c r="Q521" t="str">
        <f>VLOOKUP(A521,vlookup_table!$A:$G,5,FALSE)</f>
        <v>C3</v>
      </c>
      <c r="R521" t="str">
        <f>VLOOKUP(A521,vlookup_table!$A:$G,6,FALSE)</f>
        <v>M</v>
      </c>
      <c r="S521">
        <f>VLOOKUP(A521,vlookup_table!$A:$G,7,FALSE)</f>
        <v>30</v>
      </c>
      <c r="T521">
        <f t="shared" si="16"/>
        <v>96</v>
      </c>
      <c r="U521" t="str">
        <f t="shared" si="17"/>
        <v>Ciudad</v>
      </c>
    </row>
    <row r="522" spans="1:21" ht="16" x14ac:dyDescent="0.4">
      <c r="A522" s="4">
        <v>38031</v>
      </c>
      <c r="B522" s="1" t="s">
        <v>13</v>
      </c>
      <c r="C522" s="1" t="s">
        <v>14</v>
      </c>
      <c r="D522" s="1">
        <v>828</v>
      </c>
      <c r="E522" s="1">
        <v>401</v>
      </c>
      <c r="F522" s="1">
        <v>451</v>
      </c>
      <c r="G522" s="1">
        <v>0</v>
      </c>
      <c r="H522" s="1">
        <v>13716</v>
      </c>
      <c r="I522" s="1">
        <v>31</v>
      </c>
      <c r="J522" s="1">
        <v>31</v>
      </c>
      <c r="K522" s="1">
        <v>396</v>
      </c>
      <c r="L522" s="1">
        <v>451</v>
      </c>
      <c r="M522" s="1">
        <v>12.5</v>
      </c>
      <c r="N522">
        <f>VLOOKUP(A522,vlookup_table!$A:$G,2,FALSE)</f>
        <v>1</v>
      </c>
      <c r="O522" t="str">
        <f>VLOOKUP(A522,vlookup_table!$A:$G,3,FALSE)</f>
        <v>FL</v>
      </c>
      <c r="P522">
        <f>VLOOKUP(A522,vlookup_table!$A:$G,4,FALSE)</f>
        <v>5801</v>
      </c>
      <c r="Q522" t="str">
        <f>VLOOKUP(A522,vlookup_table!$A:$G,5,FALSE)</f>
        <v>S2</v>
      </c>
      <c r="R522" t="str">
        <f>VLOOKUP(A522,vlookup_table!$A:$G,6,FALSE)</f>
        <v>M</v>
      </c>
      <c r="S522">
        <f>VLOOKUP(A522,vlookup_table!$A:$G,7,FALSE)</f>
        <v>10</v>
      </c>
      <c r="T522">
        <f t="shared" si="16"/>
        <v>38</v>
      </c>
      <c r="U522" t="str">
        <f t="shared" si="17"/>
        <v>Suburbano</v>
      </c>
    </row>
    <row r="523" spans="1:21" ht="16" x14ac:dyDescent="0.4">
      <c r="A523" s="4">
        <v>130756</v>
      </c>
      <c r="B523" s="1" t="s">
        <v>45</v>
      </c>
      <c r="C523" s="1"/>
      <c r="D523" s="1">
        <v>2408</v>
      </c>
      <c r="E523" s="1">
        <v>906</v>
      </c>
      <c r="F523" s="1">
        <v>961</v>
      </c>
      <c r="G523" s="1">
        <v>65</v>
      </c>
      <c r="H523" s="1">
        <v>42897</v>
      </c>
      <c r="I523" s="1">
        <v>5</v>
      </c>
      <c r="J523" s="1">
        <v>25</v>
      </c>
      <c r="K523" s="1">
        <v>952</v>
      </c>
      <c r="L523" s="1">
        <v>924</v>
      </c>
      <c r="M523" s="1">
        <v>15</v>
      </c>
      <c r="N523">
        <f>VLOOKUP(A523,vlookup_table!$A:$G,2,FALSE)</f>
        <v>0</v>
      </c>
      <c r="O523" t="str">
        <f>VLOOKUP(A523,vlookup_table!$A:$G,3,FALSE)</f>
        <v>CO</v>
      </c>
      <c r="P523">
        <f>VLOOKUP(A523,vlookup_table!$A:$G,4,FALSE)</f>
        <v>4701</v>
      </c>
      <c r="Q523" t="str">
        <f>VLOOKUP(A523,vlookup_table!$A:$G,5,FALSE)</f>
        <v>T1</v>
      </c>
      <c r="R523" t="str">
        <f>VLOOKUP(A523,vlookup_table!$A:$G,6,FALSE)</f>
        <v/>
      </c>
      <c r="S523">
        <f>VLOOKUP(A523,vlookup_table!$A:$G,7,FALSE)</f>
        <v>20</v>
      </c>
      <c r="T523">
        <f t="shared" si="16"/>
        <v>49</v>
      </c>
      <c r="U523" t="str">
        <f t="shared" si="17"/>
        <v>Pueblo</v>
      </c>
    </row>
    <row r="524" spans="1:21" ht="16" x14ac:dyDescent="0.4">
      <c r="A524" s="4">
        <v>87281</v>
      </c>
      <c r="B524" s="1" t="s">
        <v>31</v>
      </c>
      <c r="C524" s="1"/>
      <c r="D524" s="1">
        <v>445</v>
      </c>
      <c r="E524" s="1">
        <v>192</v>
      </c>
      <c r="F524" s="1">
        <v>275</v>
      </c>
      <c r="G524" s="1">
        <v>0</v>
      </c>
      <c r="H524" s="1">
        <v>9747</v>
      </c>
      <c r="I524" s="1">
        <v>1</v>
      </c>
      <c r="J524" s="1">
        <v>57</v>
      </c>
      <c r="K524" s="1">
        <v>242</v>
      </c>
      <c r="L524" s="1">
        <v>244</v>
      </c>
      <c r="M524" s="1">
        <v>7.3</v>
      </c>
      <c r="N524">
        <f>VLOOKUP(A524,vlookup_table!$A:$G,2,FALSE)</f>
        <v>0</v>
      </c>
      <c r="O524" t="str">
        <f>VLOOKUP(A524,vlookup_table!$A:$G,3,FALSE)</f>
        <v>MT</v>
      </c>
      <c r="P524">
        <f>VLOOKUP(A524,vlookup_table!$A:$G,4,FALSE)</f>
        <v>0</v>
      </c>
      <c r="Q524" t="str">
        <f>VLOOKUP(A524,vlookup_table!$A:$G,5,FALSE)</f>
        <v>R2</v>
      </c>
      <c r="R524" t="str">
        <f>VLOOKUP(A524,vlookup_table!$A:$G,6,FALSE)</f>
        <v/>
      </c>
      <c r="S524">
        <f>VLOOKUP(A524,vlookup_table!$A:$G,7,FALSE)</f>
        <v>8</v>
      </c>
      <c r="T524">
        <f t="shared" si="16"/>
        <v>96</v>
      </c>
      <c r="U524" t="str">
        <f t="shared" si="17"/>
        <v>Rural</v>
      </c>
    </row>
    <row r="525" spans="1:21" ht="16" x14ac:dyDescent="0.4">
      <c r="A525" s="4">
        <v>16863</v>
      </c>
      <c r="B525" s="1" t="s">
        <v>18</v>
      </c>
      <c r="C525" s="1" t="s">
        <v>97</v>
      </c>
      <c r="D525" s="1">
        <v>951</v>
      </c>
      <c r="E525" s="1">
        <v>307</v>
      </c>
      <c r="F525" s="1">
        <v>487</v>
      </c>
      <c r="G525" s="1">
        <v>11</v>
      </c>
      <c r="H525" s="1">
        <v>17187</v>
      </c>
      <c r="I525" s="1">
        <v>6</v>
      </c>
      <c r="J525" s="1">
        <v>39</v>
      </c>
      <c r="K525" s="1">
        <v>427</v>
      </c>
      <c r="L525" s="1">
        <v>370</v>
      </c>
      <c r="M525" s="1">
        <v>15</v>
      </c>
      <c r="N525">
        <f>VLOOKUP(A525,vlookup_table!$A:$G,2,FALSE)</f>
        <v>2</v>
      </c>
      <c r="O525" t="str">
        <f>VLOOKUP(A525,vlookup_table!$A:$G,3,FALSE)</f>
        <v>NC</v>
      </c>
      <c r="P525">
        <f>VLOOKUP(A525,vlookup_table!$A:$G,4,FALSE)</f>
        <v>3301</v>
      </c>
      <c r="Q525" t="str">
        <f>VLOOKUP(A525,vlookup_table!$A:$G,5,FALSE)</f>
        <v>C1</v>
      </c>
      <c r="R525" t="str">
        <f>VLOOKUP(A525,vlookup_table!$A:$G,6,FALSE)</f>
        <v>F</v>
      </c>
      <c r="S525">
        <f>VLOOKUP(A525,vlookup_table!$A:$G,7,FALSE)</f>
        <v>50</v>
      </c>
      <c r="T525">
        <f t="shared" si="16"/>
        <v>63</v>
      </c>
      <c r="U525" t="str">
        <f t="shared" si="17"/>
        <v>Ciudad</v>
      </c>
    </row>
    <row r="526" spans="1:21" ht="16" x14ac:dyDescent="0.4">
      <c r="A526" s="4">
        <v>20065</v>
      </c>
      <c r="B526" s="1" t="s">
        <v>18</v>
      </c>
      <c r="C526" s="1"/>
      <c r="D526" s="1">
        <v>722</v>
      </c>
      <c r="E526" s="1">
        <v>327</v>
      </c>
      <c r="F526" s="1">
        <v>371</v>
      </c>
      <c r="G526" s="1">
        <v>0</v>
      </c>
      <c r="H526" s="1">
        <v>13168</v>
      </c>
      <c r="I526" s="1">
        <v>6</v>
      </c>
      <c r="J526" s="1">
        <v>25</v>
      </c>
      <c r="K526" s="1">
        <v>325</v>
      </c>
      <c r="L526" s="1">
        <v>374</v>
      </c>
      <c r="M526" s="1">
        <v>20.85714286</v>
      </c>
      <c r="N526">
        <f>VLOOKUP(A526,vlookup_table!$A:$G,2,FALSE)</f>
        <v>28</v>
      </c>
      <c r="O526" t="str">
        <f>VLOOKUP(A526,vlookup_table!$A:$G,3,FALSE)</f>
        <v>NC</v>
      </c>
      <c r="P526">
        <f>VLOOKUP(A526,vlookup_table!$A:$G,4,FALSE)</f>
        <v>5301</v>
      </c>
      <c r="Q526" t="str">
        <f>VLOOKUP(A526,vlookup_table!$A:$G,5,FALSE)</f>
        <v>T2</v>
      </c>
      <c r="R526" t="str">
        <f>VLOOKUP(A526,vlookup_table!$A:$G,6,FALSE)</f>
        <v/>
      </c>
      <c r="S526">
        <f>VLOOKUP(A526,vlookup_table!$A:$G,7,FALSE)</f>
        <v>40</v>
      </c>
      <c r="T526">
        <f t="shared" si="16"/>
        <v>43</v>
      </c>
      <c r="U526" t="str">
        <f t="shared" si="17"/>
        <v>Pueblo</v>
      </c>
    </row>
    <row r="527" spans="1:21" ht="16" x14ac:dyDescent="0.4">
      <c r="A527" s="4">
        <v>142554</v>
      </c>
      <c r="B527" s="1" t="s">
        <v>21</v>
      </c>
      <c r="C527" s="1" t="s">
        <v>14</v>
      </c>
      <c r="D527" s="1">
        <v>1811</v>
      </c>
      <c r="E527" s="1">
        <v>350</v>
      </c>
      <c r="F527" s="1">
        <v>466</v>
      </c>
      <c r="G527" s="1">
        <v>33</v>
      </c>
      <c r="H527" s="1">
        <v>18591</v>
      </c>
      <c r="I527" s="1">
        <v>12</v>
      </c>
      <c r="J527" s="1">
        <v>52</v>
      </c>
      <c r="K527" s="1">
        <v>405</v>
      </c>
      <c r="L527" s="1">
        <v>440</v>
      </c>
      <c r="M527" s="1">
        <v>13.75</v>
      </c>
      <c r="N527">
        <f>VLOOKUP(A527,vlookup_table!$A:$G,2,FALSE)</f>
        <v>0</v>
      </c>
      <c r="O527" t="str">
        <f>VLOOKUP(A527,vlookup_table!$A:$G,3,FALSE)</f>
        <v>CA</v>
      </c>
      <c r="P527">
        <f>VLOOKUP(A527,vlookup_table!$A:$G,4,FALSE)</f>
        <v>1601</v>
      </c>
      <c r="Q527" t="str">
        <f>VLOOKUP(A527,vlookup_table!$A:$G,5,FALSE)</f>
        <v>U2</v>
      </c>
      <c r="R527" t="str">
        <f>VLOOKUP(A527,vlookup_table!$A:$G,6,FALSE)</f>
        <v>M</v>
      </c>
      <c r="S527">
        <f>VLOOKUP(A527,vlookup_table!$A:$G,7,FALSE)</f>
        <v>15</v>
      </c>
      <c r="T527">
        <f t="shared" si="16"/>
        <v>80</v>
      </c>
      <c r="U527" t="str">
        <f t="shared" si="17"/>
        <v>Urbano</v>
      </c>
    </row>
    <row r="528" spans="1:21" ht="16" x14ac:dyDescent="0.4">
      <c r="A528" s="4">
        <v>10789</v>
      </c>
      <c r="B528" s="1" t="s">
        <v>52</v>
      </c>
      <c r="C528" s="1" t="s">
        <v>17</v>
      </c>
      <c r="D528" s="1">
        <v>534</v>
      </c>
      <c r="E528" s="1">
        <v>284</v>
      </c>
      <c r="F528" s="1">
        <v>351</v>
      </c>
      <c r="G528" s="1">
        <v>0</v>
      </c>
      <c r="H528" s="1">
        <v>11303</v>
      </c>
      <c r="I528" s="1">
        <v>2</v>
      </c>
      <c r="J528" s="1">
        <v>83</v>
      </c>
      <c r="K528" s="1">
        <v>321</v>
      </c>
      <c r="L528" s="1">
        <v>308</v>
      </c>
      <c r="M528" s="1">
        <v>5.2903225809999999</v>
      </c>
      <c r="N528">
        <f>VLOOKUP(A528,vlookup_table!$A:$G,2,FALSE)</f>
        <v>2</v>
      </c>
      <c r="O528" t="str">
        <f>VLOOKUP(A528,vlookup_table!$A:$G,3,FALSE)</f>
        <v>MN</v>
      </c>
      <c r="P528">
        <f>VLOOKUP(A528,vlookup_table!$A:$G,4,FALSE)</f>
        <v>2309</v>
      </c>
      <c r="Q528" t="str">
        <f>VLOOKUP(A528,vlookup_table!$A:$G,5,FALSE)</f>
        <v>R2</v>
      </c>
      <c r="R528" t="str">
        <f>VLOOKUP(A528,vlookup_table!$A:$G,6,FALSE)</f>
        <v>F</v>
      </c>
      <c r="S528">
        <f>VLOOKUP(A528,vlookup_table!$A:$G,7,FALSE)</f>
        <v>3</v>
      </c>
      <c r="T528">
        <f t="shared" si="16"/>
        <v>73</v>
      </c>
      <c r="U528" t="str">
        <f t="shared" si="17"/>
        <v>Rural</v>
      </c>
    </row>
    <row r="529" spans="1:21" ht="16" x14ac:dyDescent="0.4">
      <c r="A529" s="4">
        <v>64224</v>
      </c>
      <c r="B529" s="1" t="s">
        <v>30</v>
      </c>
      <c r="C529" s="1" t="s">
        <v>17</v>
      </c>
      <c r="D529" s="1">
        <v>866</v>
      </c>
      <c r="E529" s="1">
        <v>443</v>
      </c>
      <c r="F529" s="1">
        <v>472</v>
      </c>
      <c r="G529" s="1">
        <v>3</v>
      </c>
      <c r="H529" s="1">
        <v>10484</v>
      </c>
      <c r="I529" s="1">
        <v>1</v>
      </c>
      <c r="J529" s="1">
        <v>57</v>
      </c>
      <c r="K529" s="1">
        <v>453</v>
      </c>
      <c r="L529" s="1">
        <v>454</v>
      </c>
      <c r="M529" s="1">
        <v>12.83333333</v>
      </c>
      <c r="N529">
        <f>VLOOKUP(A529,vlookup_table!$A:$G,2,FALSE)</f>
        <v>0</v>
      </c>
      <c r="O529" t="str">
        <f>VLOOKUP(A529,vlookup_table!$A:$G,3,FALSE)</f>
        <v>IN</v>
      </c>
      <c r="P529">
        <f>VLOOKUP(A529,vlookup_table!$A:$G,4,FALSE)</f>
        <v>3811</v>
      </c>
      <c r="Q529" t="str">
        <f>VLOOKUP(A529,vlookup_table!$A:$G,5,FALSE)</f>
        <v>T1</v>
      </c>
      <c r="R529" t="str">
        <f>VLOOKUP(A529,vlookup_table!$A:$G,6,FALSE)</f>
        <v>F</v>
      </c>
      <c r="S529">
        <f>VLOOKUP(A529,vlookup_table!$A:$G,7,FALSE)</f>
        <v>20</v>
      </c>
      <c r="T529">
        <f t="shared" si="16"/>
        <v>58</v>
      </c>
      <c r="U529" t="str">
        <f t="shared" si="17"/>
        <v>Pueblo</v>
      </c>
    </row>
    <row r="530" spans="1:21" ht="16" x14ac:dyDescent="0.4">
      <c r="A530" s="4">
        <v>6695</v>
      </c>
      <c r="B530" s="1" t="s">
        <v>16</v>
      </c>
      <c r="C530" s="1" t="s">
        <v>14</v>
      </c>
      <c r="D530" s="1">
        <v>471</v>
      </c>
      <c r="E530" s="1">
        <v>299</v>
      </c>
      <c r="F530" s="1">
        <v>347</v>
      </c>
      <c r="G530" s="1">
        <v>0</v>
      </c>
      <c r="H530" s="1">
        <v>14658</v>
      </c>
      <c r="I530" s="1">
        <v>0</v>
      </c>
      <c r="J530" s="1">
        <v>87</v>
      </c>
      <c r="K530" s="1">
        <v>334</v>
      </c>
      <c r="L530" s="1">
        <v>303</v>
      </c>
      <c r="M530" s="1">
        <v>5.6470588240000001</v>
      </c>
      <c r="N530">
        <f>VLOOKUP(A530,vlookup_table!$A:$G,2,FALSE)</f>
        <v>0</v>
      </c>
      <c r="O530" t="str">
        <f>VLOOKUP(A530,vlookup_table!$A:$G,3,FALSE)</f>
        <v>IL</v>
      </c>
      <c r="P530">
        <f>VLOOKUP(A530,vlookup_table!$A:$G,4,FALSE)</f>
        <v>6609</v>
      </c>
      <c r="Q530" t="str">
        <f>VLOOKUP(A530,vlookup_table!$A:$G,5,FALSE)</f>
        <v>C2</v>
      </c>
      <c r="R530" t="str">
        <f>VLOOKUP(A530,vlookup_table!$A:$G,6,FALSE)</f>
        <v>M</v>
      </c>
      <c r="S530">
        <f>VLOOKUP(A530,vlookup_table!$A:$G,7,FALSE)</f>
        <v>6</v>
      </c>
      <c r="T530">
        <f t="shared" si="16"/>
        <v>30</v>
      </c>
      <c r="U530" t="str">
        <f t="shared" si="17"/>
        <v>Ciudad</v>
      </c>
    </row>
    <row r="531" spans="1:21" ht="16" x14ac:dyDescent="0.4">
      <c r="A531" s="4">
        <v>139799</v>
      </c>
      <c r="B531" s="1" t="s">
        <v>50</v>
      </c>
      <c r="C531" s="1" t="s">
        <v>17</v>
      </c>
      <c r="D531" s="1">
        <v>987</v>
      </c>
      <c r="E531" s="1">
        <v>405</v>
      </c>
      <c r="F531" s="1">
        <v>599</v>
      </c>
      <c r="G531" s="1">
        <v>4</v>
      </c>
      <c r="H531" s="1">
        <v>20940</v>
      </c>
      <c r="I531" s="1">
        <v>8</v>
      </c>
      <c r="J531" s="1">
        <v>42</v>
      </c>
      <c r="K531" s="1">
        <v>544</v>
      </c>
      <c r="L531" s="1">
        <v>490</v>
      </c>
      <c r="M531" s="1">
        <v>25</v>
      </c>
      <c r="N531">
        <f>VLOOKUP(A531,vlookup_table!$A:$G,2,FALSE)</f>
        <v>0</v>
      </c>
      <c r="O531" t="str">
        <f>VLOOKUP(A531,vlookup_table!$A:$G,3,FALSE)</f>
        <v>NM</v>
      </c>
      <c r="P531">
        <f>VLOOKUP(A531,vlookup_table!$A:$G,4,FALSE)</f>
        <v>5301</v>
      </c>
      <c r="Q531" t="str">
        <f>VLOOKUP(A531,vlookup_table!$A:$G,5,FALSE)</f>
        <v>T1</v>
      </c>
      <c r="R531" t="str">
        <f>VLOOKUP(A531,vlookup_table!$A:$G,6,FALSE)</f>
        <v>F</v>
      </c>
      <c r="S531">
        <f>VLOOKUP(A531,vlookup_table!$A:$G,7,FALSE)</f>
        <v>25</v>
      </c>
      <c r="T531">
        <f t="shared" si="16"/>
        <v>43</v>
      </c>
      <c r="U531" t="str">
        <f t="shared" si="17"/>
        <v>Pueblo</v>
      </c>
    </row>
    <row r="532" spans="1:21" ht="16" x14ac:dyDescent="0.4">
      <c r="A532" s="4">
        <v>1254</v>
      </c>
      <c r="B532" s="1" t="s">
        <v>20</v>
      </c>
      <c r="C532" s="1" t="s">
        <v>14</v>
      </c>
      <c r="D532" s="1">
        <v>1102</v>
      </c>
      <c r="E532" s="1">
        <v>613</v>
      </c>
      <c r="F532" s="1">
        <v>676</v>
      </c>
      <c r="G532" s="1">
        <v>0</v>
      </c>
      <c r="H532" s="1">
        <v>20557</v>
      </c>
      <c r="I532" s="1">
        <v>4</v>
      </c>
      <c r="J532" s="1">
        <v>46</v>
      </c>
      <c r="K532" s="1">
        <v>639</v>
      </c>
      <c r="L532" s="1">
        <v>648</v>
      </c>
      <c r="M532" s="1">
        <v>25</v>
      </c>
      <c r="N532">
        <f>VLOOKUP(A532,vlookup_table!$A:$G,2,FALSE)</f>
        <v>1</v>
      </c>
      <c r="O532" t="str">
        <f>VLOOKUP(A532,vlookup_table!$A:$G,3,FALSE)</f>
        <v>TX</v>
      </c>
      <c r="P532">
        <f>VLOOKUP(A532,vlookup_table!$A:$G,4,FALSE)</f>
        <v>4801</v>
      </c>
      <c r="Q532" t="str">
        <f>VLOOKUP(A532,vlookup_table!$A:$G,5,FALSE)</f>
        <v>S1</v>
      </c>
      <c r="R532" t="str">
        <f>VLOOKUP(A532,vlookup_table!$A:$G,6,FALSE)</f>
        <v>M</v>
      </c>
      <c r="S532">
        <f>VLOOKUP(A532,vlookup_table!$A:$G,7,FALSE)</f>
        <v>30</v>
      </c>
      <c r="T532">
        <f t="shared" si="16"/>
        <v>48</v>
      </c>
      <c r="U532" t="str">
        <f t="shared" si="17"/>
        <v>Suburbano</v>
      </c>
    </row>
    <row r="533" spans="1:21" ht="16" x14ac:dyDescent="0.4">
      <c r="A533" s="4">
        <v>1549</v>
      </c>
      <c r="B533" s="1" t="s">
        <v>21</v>
      </c>
      <c r="C533" s="1" t="s">
        <v>14</v>
      </c>
      <c r="D533" s="1">
        <v>5863</v>
      </c>
      <c r="E533" s="1">
        <v>1500</v>
      </c>
      <c r="F533" s="1">
        <v>1150</v>
      </c>
      <c r="G533" s="1">
        <v>98</v>
      </c>
      <c r="H533" s="1">
        <v>174523</v>
      </c>
      <c r="I533" s="1">
        <v>20</v>
      </c>
      <c r="J533" s="1">
        <v>40</v>
      </c>
      <c r="K533" s="1">
        <v>1500</v>
      </c>
      <c r="L533" s="1">
        <v>1146</v>
      </c>
      <c r="M533" s="1">
        <v>50</v>
      </c>
      <c r="N533">
        <f>VLOOKUP(A533,vlookup_table!$A:$G,2,FALSE)</f>
        <v>0</v>
      </c>
      <c r="O533" t="str">
        <f>VLOOKUP(A533,vlookup_table!$A:$G,3,FALSE)</f>
        <v>CA</v>
      </c>
      <c r="P533">
        <f>VLOOKUP(A533,vlookup_table!$A:$G,4,FALSE)</f>
        <v>1604</v>
      </c>
      <c r="Q533" t="str">
        <f>VLOOKUP(A533,vlookup_table!$A:$G,5,FALSE)</f>
        <v>S1</v>
      </c>
      <c r="R533" t="str">
        <f>VLOOKUP(A533,vlookup_table!$A:$G,6,FALSE)</f>
        <v>M</v>
      </c>
      <c r="S533">
        <f>VLOOKUP(A533,vlookup_table!$A:$G,7,FALSE)</f>
        <v>50</v>
      </c>
      <c r="T533">
        <f t="shared" si="16"/>
        <v>80</v>
      </c>
      <c r="U533" t="str">
        <f t="shared" si="17"/>
        <v>Suburbano</v>
      </c>
    </row>
    <row r="534" spans="1:21" ht="16" x14ac:dyDescent="0.4">
      <c r="A534" s="4">
        <v>2159</v>
      </c>
      <c r="B534" s="1" t="s">
        <v>48</v>
      </c>
      <c r="C534" s="1" t="s">
        <v>17</v>
      </c>
      <c r="D534" s="1">
        <v>198</v>
      </c>
      <c r="E534" s="1">
        <v>193</v>
      </c>
      <c r="F534" s="1">
        <v>256</v>
      </c>
      <c r="G534" s="1">
        <v>0</v>
      </c>
      <c r="H534" s="1">
        <v>8898</v>
      </c>
      <c r="I534" s="1">
        <v>1</v>
      </c>
      <c r="J534" s="1">
        <v>48</v>
      </c>
      <c r="K534" s="1">
        <v>211</v>
      </c>
      <c r="L534" s="1">
        <v>237</v>
      </c>
      <c r="M534" s="1">
        <v>9.2666666670000009</v>
      </c>
      <c r="N534">
        <f>VLOOKUP(A534,vlookup_table!$A:$G,2,FALSE)</f>
        <v>2</v>
      </c>
      <c r="O534" t="str">
        <f>VLOOKUP(A534,vlookup_table!$A:$G,3,FALSE)</f>
        <v>SD</v>
      </c>
      <c r="P534">
        <f>VLOOKUP(A534,vlookup_table!$A:$G,4,FALSE)</f>
        <v>1901</v>
      </c>
      <c r="Q534" t="str">
        <f>VLOOKUP(A534,vlookup_table!$A:$G,5,FALSE)</f>
        <v>R2</v>
      </c>
      <c r="R534" t="str">
        <f>VLOOKUP(A534,vlookup_table!$A:$G,6,FALSE)</f>
        <v>F</v>
      </c>
      <c r="S534">
        <f>VLOOKUP(A534,vlookup_table!$A:$G,7,FALSE)</f>
        <v>9</v>
      </c>
      <c r="T534">
        <f t="shared" si="16"/>
        <v>77</v>
      </c>
      <c r="U534" t="str">
        <f t="shared" si="17"/>
        <v>Rural</v>
      </c>
    </row>
    <row r="535" spans="1:21" ht="16" x14ac:dyDescent="0.4">
      <c r="A535" s="4">
        <v>80903</v>
      </c>
      <c r="B535" s="1" t="s">
        <v>32</v>
      </c>
      <c r="C535" s="1" t="s">
        <v>14</v>
      </c>
      <c r="D535" s="1">
        <v>658</v>
      </c>
      <c r="E535" s="1">
        <v>305</v>
      </c>
      <c r="F535" s="1">
        <v>376</v>
      </c>
      <c r="G535" s="1">
        <v>3</v>
      </c>
      <c r="H535" s="1">
        <v>13284</v>
      </c>
      <c r="I535" s="1">
        <v>0</v>
      </c>
      <c r="J535" s="1">
        <v>74</v>
      </c>
      <c r="K535" s="1">
        <v>318</v>
      </c>
      <c r="L535" s="1">
        <v>353</v>
      </c>
      <c r="M535" s="1">
        <v>6.3181818180000002</v>
      </c>
      <c r="N535">
        <f>VLOOKUP(A535,vlookup_table!$A:$G,2,FALSE)</f>
        <v>1002</v>
      </c>
      <c r="O535" t="str">
        <f>VLOOKUP(A535,vlookup_table!$A:$G,3,FALSE)</f>
        <v>WI</v>
      </c>
      <c r="P535">
        <f>VLOOKUP(A535,vlookup_table!$A:$G,4,FALSE)</f>
        <v>6206</v>
      </c>
      <c r="Q535" t="str">
        <f>VLOOKUP(A535,vlookup_table!$A:$G,5,FALSE)</f>
        <v>T1</v>
      </c>
      <c r="R535" t="str">
        <f>VLOOKUP(A535,vlookup_table!$A:$G,6,FALSE)</f>
        <v>M</v>
      </c>
      <c r="S535">
        <f>VLOOKUP(A535,vlookup_table!$A:$G,7,FALSE)</f>
        <v>15</v>
      </c>
      <c r="T535">
        <f t="shared" si="16"/>
        <v>34</v>
      </c>
      <c r="U535" t="str">
        <f t="shared" si="17"/>
        <v>Pueblo</v>
      </c>
    </row>
    <row r="536" spans="1:21" ht="16" x14ac:dyDescent="0.4">
      <c r="A536" s="4">
        <v>186731</v>
      </c>
      <c r="B536" s="1" t="s">
        <v>13</v>
      </c>
      <c r="C536" s="1" t="s">
        <v>17</v>
      </c>
      <c r="D536" s="1">
        <v>512</v>
      </c>
      <c r="E536" s="1">
        <v>175</v>
      </c>
      <c r="F536" s="1">
        <v>236</v>
      </c>
      <c r="G536" s="1">
        <v>0</v>
      </c>
      <c r="H536" s="1">
        <v>12221</v>
      </c>
      <c r="I536" s="1">
        <v>14</v>
      </c>
      <c r="J536" s="1">
        <v>11</v>
      </c>
      <c r="K536" s="1">
        <v>198</v>
      </c>
      <c r="L536" s="1">
        <v>208</v>
      </c>
      <c r="M536" s="1">
        <v>11.125</v>
      </c>
      <c r="N536">
        <f>VLOOKUP(A536,vlookup_table!$A:$G,2,FALSE)</f>
        <v>28</v>
      </c>
      <c r="O536" t="str">
        <f>VLOOKUP(A536,vlookup_table!$A:$G,3,FALSE)</f>
        <v>FL</v>
      </c>
      <c r="P536">
        <f>VLOOKUP(A536,vlookup_table!$A:$G,4,FALSE)</f>
        <v>3407</v>
      </c>
      <c r="Q536" t="str">
        <f>VLOOKUP(A536,vlookup_table!$A:$G,5,FALSE)</f>
        <v/>
      </c>
      <c r="R536" t="str">
        <f>VLOOKUP(A536,vlookup_table!$A:$G,6,FALSE)</f>
        <v>F</v>
      </c>
      <c r="S536">
        <f>VLOOKUP(A536,vlookup_table!$A:$G,7,FALSE)</f>
        <v>15</v>
      </c>
      <c r="T536">
        <f t="shared" si="16"/>
        <v>62</v>
      </c>
      <c r="U536" t="str">
        <f t="shared" si="17"/>
        <v/>
      </c>
    </row>
    <row r="537" spans="1:21" ht="16" x14ac:dyDescent="0.4">
      <c r="A537" s="4">
        <v>67342</v>
      </c>
      <c r="B537" s="1" t="s">
        <v>26</v>
      </c>
      <c r="C537" s="1" t="s">
        <v>14</v>
      </c>
      <c r="D537" s="1">
        <v>886</v>
      </c>
      <c r="E537" s="1">
        <v>367</v>
      </c>
      <c r="F537" s="1">
        <v>497</v>
      </c>
      <c r="G537" s="1">
        <v>9</v>
      </c>
      <c r="H537" s="1">
        <v>17984</v>
      </c>
      <c r="I537" s="1">
        <v>6</v>
      </c>
      <c r="J537" s="1">
        <v>74</v>
      </c>
      <c r="K537" s="1">
        <v>458</v>
      </c>
      <c r="L537" s="1">
        <v>433</v>
      </c>
      <c r="M537" s="1">
        <v>11.28571429</v>
      </c>
      <c r="N537">
        <f>VLOOKUP(A537,vlookup_table!$A:$G,2,FALSE)</f>
        <v>1</v>
      </c>
      <c r="O537" t="str">
        <f>VLOOKUP(A537,vlookup_table!$A:$G,3,FALSE)</f>
        <v>MI</v>
      </c>
      <c r="P537">
        <f>VLOOKUP(A537,vlookup_table!$A:$G,4,FALSE)</f>
        <v>1312</v>
      </c>
      <c r="Q537" t="str">
        <f>VLOOKUP(A537,vlookup_table!$A:$G,5,FALSE)</f>
        <v>S2</v>
      </c>
      <c r="R537" t="str">
        <f>VLOOKUP(A537,vlookup_table!$A:$G,6,FALSE)</f>
        <v>M</v>
      </c>
      <c r="S537">
        <f>VLOOKUP(A537,vlookup_table!$A:$G,7,FALSE)</f>
        <v>30</v>
      </c>
      <c r="T537">
        <f t="shared" si="16"/>
        <v>83</v>
      </c>
      <c r="U537" t="str">
        <f t="shared" si="17"/>
        <v>Suburbano</v>
      </c>
    </row>
    <row r="538" spans="1:21" ht="16" x14ac:dyDescent="0.4">
      <c r="A538" s="4">
        <v>30366</v>
      </c>
      <c r="B538" s="1" t="s">
        <v>28</v>
      </c>
      <c r="C538" s="1" t="s">
        <v>14</v>
      </c>
      <c r="D538" s="1">
        <v>1429</v>
      </c>
      <c r="E538" s="1">
        <v>724</v>
      </c>
      <c r="F538" s="1">
        <v>813</v>
      </c>
      <c r="G538" s="1">
        <v>12</v>
      </c>
      <c r="H538" s="1">
        <v>34070</v>
      </c>
      <c r="I538" s="1">
        <v>4</v>
      </c>
      <c r="J538" s="1">
        <v>48</v>
      </c>
      <c r="K538" s="1">
        <v>759</v>
      </c>
      <c r="L538" s="1">
        <v>755</v>
      </c>
      <c r="M538" s="1">
        <v>5.1875</v>
      </c>
      <c r="N538">
        <f>VLOOKUP(A538,vlookup_table!$A:$G,2,FALSE)</f>
        <v>2</v>
      </c>
      <c r="O538" t="str">
        <f>VLOOKUP(A538,vlookup_table!$A:$G,3,FALSE)</f>
        <v>OK</v>
      </c>
      <c r="P538">
        <f>VLOOKUP(A538,vlookup_table!$A:$G,4,FALSE)</f>
        <v>3601</v>
      </c>
      <c r="Q538" t="str">
        <f>VLOOKUP(A538,vlookup_table!$A:$G,5,FALSE)</f>
        <v>C1</v>
      </c>
      <c r="R538" t="str">
        <f>VLOOKUP(A538,vlookup_table!$A:$G,6,FALSE)</f>
        <v>M</v>
      </c>
      <c r="S538">
        <f>VLOOKUP(A538,vlookup_table!$A:$G,7,FALSE)</f>
        <v>6</v>
      </c>
      <c r="T538">
        <f t="shared" si="16"/>
        <v>60</v>
      </c>
      <c r="U538" t="str">
        <f t="shared" si="17"/>
        <v>Ciudad</v>
      </c>
    </row>
    <row r="539" spans="1:21" ht="16" x14ac:dyDescent="0.4">
      <c r="A539" s="4">
        <v>64441</v>
      </c>
      <c r="B539" s="1" t="s">
        <v>30</v>
      </c>
      <c r="C539" s="1" t="s">
        <v>14</v>
      </c>
      <c r="D539" s="1">
        <v>386</v>
      </c>
      <c r="E539" s="1">
        <v>258</v>
      </c>
      <c r="F539" s="1">
        <v>358</v>
      </c>
      <c r="G539" s="1">
        <v>1</v>
      </c>
      <c r="H539" s="1">
        <v>12513</v>
      </c>
      <c r="I539" s="1">
        <v>0</v>
      </c>
      <c r="J539" s="1">
        <v>75</v>
      </c>
      <c r="K539" s="1">
        <v>301</v>
      </c>
      <c r="L539" s="1">
        <v>313</v>
      </c>
      <c r="M539" s="1">
        <v>5.4285714289999998</v>
      </c>
      <c r="N539">
        <f>VLOOKUP(A539,vlookup_table!$A:$G,2,FALSE)</f>
        <v>1</v>
      </c>
      <c r="O539" t="str">
        <f>VLOOKUP(A539,vlookup_table!$A:$G,3,FALSE)</f>
        <v>IN</v>
      </c>
      <c r="P539">
        <f>VLOOKUP(A539,vlookup_table!$A:$G,4,FALSE)</f>
        <v>5401</v>
      </c>
      <c r="Q539" t="str">
        <f>VLOOKUP(A539,vlookup_table!$A:$G,5,FALSE)</f>
        <v>R3</v>
      </c>
      <c r="R539" t="str">
        <f>VLOOKUP(A539,vlookup_table!$A:$G,6,FALSE)</f>
        <v>M</v>
      </c>
      <c r="S539">
        <f>VLOOKUP(A539,vlookup_table!$A:$G,7,FALSE)</f>
        <v>10</v>
      </c>
      <c r="T539">
        <f t="shared" si="16"/>
        <v>42</v>
      </c>
      <c r="U539" t="str">
        <f t="shared" si="17"/>
        <v>Rural</v>
      </c>
    </row>
    <row r="540" spans="1:21" ht="16" x14ac:dyDescent="0.4">
      <c r="A540" s="4">
        <v>175155</v>
      </c>
      <c r="B540" s="1" t="s">
        <v>47</v>
      </c>
      <c r="C540" s="1" t="s">
        <v>17</v>
      </c>
      <c r="D540" s="1">
        <v>740</v>
      </c>
      <c r="E540" s="1">
        <v>211</v>
      </c>
      <c r="F540" s="1">
        <v>312</v>
      </c>
      <c r="G540" s="1">
        <v>3</v>
      </c>
      <c r="H540" s="1">
        <v>12165</v>
      </c>
      <c r="I540" s="1">
        <v>3</v>
      </c>
      <c r="J540" s="1">
        <v>46</v>
      </c>
      <c r="K540" s="1">
        <v>259</v>
      </c>
      <c r="L540" s="1">
        <v>257</v>
      </c>
      <c r="M540" s="1">
        <v>10</v>
      </c>
      <c r="N540">
        <f>VLOOKUP(A540,vlookup_table!$A:$G,2,FALSE)</f>
        <v>28</v>
      </c>
      <c r="O540" t="str">
        <f>VLOOKUP(A540,vlookup_table!$A:$G,3,FALSE)</f>
        <v>OR</v>
      </c>
      <c r="P540">
        <f>VLOOKUP(A540,vlookup_table!$A:$G,4,FALSE)</f>
        <v>4801</v>
      </c>
      <c r="Q540" t="str">
        <f>VLOOKUP(A540,vlookup_table!$A:$G,5,FALSE)</f>
        <v>R2</v>
      </c>
      <c r="R540" t="str">
        <f>VLOOKUP(A540,vlookup_table!$A:$G,6,FALSE)</f>
        <v>F</v>
      </c>
      <c r="S540">
        <f>VLOOKUP(A540,vlookup_table!$A:$G,7,FALSE)</f>
        <v>21</v>
      </c>
      <c r="T540">
        <f t="shared" si="16"/>
        <v>48</v>
      </c>
      <c r="U540" t="str">
        <f t="shared" si="17"/>
        <v>Rural</v>
      </c>
    </row>
    <row r="541" spans="1:21" ht="16" x14ac:dyDescent="0.4">
      <c r="A541" s="4">
        <v>82015</v>
      </c>
      <c r="B541" s="1" t="s">
        <v>32</v>
      </c>
      <c r="C541" s="1" t="s">
        <v>17</v>
      </c>
      <c r="D541" s="1">
        <v>543</v>
      </c>
      <c r="E541" s="1">
        <v>306</v>
      </c>
      <c r="F541" s="1">
        <v>337</v>
      </c>
      <c r="G541" s="1">
        <v>0</v>
      </c>
      <c r="H541" s="1">
        <v>11140</v>
      </c>
      <c r="I541" s="1">
        <v>0</v>
      </c>
      <c r="J541" s="1">
        <v>94</v>
      </c>
      <c r="K541" s="1">
        <v>314</v>
      </c>
      <c r="L541" s="1">
        <v>321</v>
      </c>
      <c r="M541" s="1">
        <v>10.91666667</v>
      </c>
      <c r="N541">
        <f>VLOOKUP(A541,vlookup_table!$A:$G,2,FALSE)</f>
        <v>2</v>
      </c>
      <c r="O541" t="str">
        <f>VLOOKUP(A541,vlookup_table!$A:$G,3,FALSE)</f>
        <v>WI</v>
      </c>
      <c r="P541">
        <f>VLOOKUP(A541,vlookup_table!$A:$G,4,FALSE)</f>
        <v>2812</v>
      </c>
      <c r="Q541" t="str">
        <f>VLOOKUP(A541,vlookup_table!$A:$G,5,FALSE)</f>
        <v>R2</v>
      </c>
      <c r="R541" t="str">
        <f>VLOOKUP(A541,vlookup_table!$A:$G,6,FALSE)</f>
        <v>F</v>
      </c>
      <c r="S541">
        <f>VLOOKUP(A541,vlookup_table!$A:$G,7,FALSE)</f>
        <v>18</v>
      </c>
      <c r="T541">
        <f t="shared" si="16"/>
        <v>68</v>
      </c>
      <c r="U541" t="str">
        <f t="shared" si="17"/>
        <v>Rural</v>
      </c>
    </row>
    <row r="542" spans="1:21" ht="16" x14ac:dyDescent="0.4">
      <c r="A542" s="4">
        <v>170912</v>
      </c>
      <c r="B542" s="1" t="s">
        <v>21</v>
      </c>
      <c r="C542" s="1" t="s">
        <v>14</v>
      </c>
      <c r="D542" s="1">
        <v>1896</v>
      </c>
      <c r="E542" s="1">
        <v>502</v>
      </c>
      <c r="F542" s="1">
        <v>555</v>
      </c>
      <c r="G542" s="1">
        <v>45</v>
      </c>
      <c r="H542" s="1">
        <v>17405</v>
      </c>
      <c r="I542" s="1">
        <v>6</v>
      </c>
      <c r="J542" s="1">
        <v>56</v>
      </c>
      <c r="K542" s="1">
        <v>511</v>
      </c>
      <c r="L542" s="1">
        <v>548</v>
      </c>
      <c r="M542" s="1">
        <v>15</v>
      </c>
      <c r="N542">
        <f>VLOOKUP(A542,vlookup_table!$A:$G,2,FALSE)</f>
        <v>0</v>
      </c>
      <c r="O542" t="str">
        <f>VLOOKUP(A542,vlookup_table!$A:$G,3,FALSE)</f>
        <v>CA</v>
      </c>
      <c r="P542">
        <f>VLOOKUP(A542,vlookup_table!$A:$G,4,FALSE)</f>
        <v>4401</v>
      </c>
      <c r="Q542" t="str">
        <f>VLOOKUP(A542,vlookup_table!$A:$G,5,FALSE)</f>
        <v>S1</v>
      </c>
      <c r="R542" t="str">
        <f>VLOOKUP(A542,vlookup_table!$A:$G,6,FALSE)</f>
        <v>M</v>
      </c>
      <c r="S542">
        <f>VLOOKUP(A542,vlookup_table!$A:$G,7,FALSE)</f>
        <v>20</v>
      </c>
      <c r="T542">
        <f t="shared" si="16"/>
        <v>52</v>
      </c>
      <c r="U542" t="str">
        <f t="shared" si="17"/>
        <v>Suburbano</v>
      </c>
    </row>
    <row r="543" spans="1:21" ht="16" x14ac:dyDescent="0.4">
      <c r="A543" s="4">
        <v>183055</v>
      </c>
      <c r="B543" s="1" t="s">
        <v>37</v>
      </c>
      <c r="C543" s="1" t="s">
        <v>17</v>
      </c>
      <c r="D543" s="1">
        <v>876</v>
      </c>
      <c r="E543" s="1">
        <v>337</v>
      </c>
      <c r="F543" s="1">
        <v>439</v>
      </c>
      <c r="G543" s="1">
        <v>3</v>
      </c>
      <c r="H543" s="1">
        <v>15017</v>
      </c>
      <c r="I543" s="1">
        <v>4</v>
      </c>
      <c r="J543" s="1">
        <v>37</v>
      </c>
      <c r="K543" s="1">
        <v>353</v>
      </c>
      <c r="L543" s="1">
        <v>403</v>
      </c>
      <c r="M543" s="1">
        <v>7.875</v>
      </c>
      <c r="N543">
        <f>VLOOKUP(A543,vlookup_table!$A:$G,2,FALSE)</f>
        <v>2</v>
      </c>
      <c r="O543" t="str">
        <f>VLOOKUP(A543,vlookup_table!$A:$G,3,FALSE)</f>
        <v>WA</v>
      </c>
      <c r="P543">
        <f>VLOOKUP(A543,vlookup_table!$A:$G,4,FALSE)</f>
        <v>3704</v>
      </c>
      <c r="Q543" t="str">
        <f>VLOOKUP(A543,vlookup_table!$A:$G,5,FALSE)</f>
        <v>S2</v>
      </c>
      <c r="R543" t="str">
        <f>VLOOKUP(A543,vlookup_table!$A:$G,6,FALSE)</f>
        <v>F</v>
      </c>
      <c r="S543">
        <f>VLOOKUP(A543,vlookup_table!$A:$G,7,FALSE)</f>
        <v>10</v>
      </c>
      <c r="T543">
        <f t="shared" si="16"/>
        <v>59</v>
      </c>
      <c r="U543" t="str">
        <f t="shared" si="17"/>
        <v>Suburbano</v>
      </c>
    </row>
    <row r="544" spans="1:21" ht="16" x14ac:dyDescent="0.4">
      <c r="A544" s="4">
        <v>134032</v>
      </c>
      <c r="B544" s="1" t="s">
        <v>35</v>
      </c>
      <c r="C544" s="1" t="s">
        <v>17</v>
      </c>
      <c r="D544" s="1">
        <v>575</v>
      </c>
      <c r="E544" s="1">
        <v>305</v>
      </c>
      <c r="F544" s="1">
        <v>368</v>
      </c>
      <c r="G544" s="1">
        <v>0</v>
      </c>
      <c r="H544" s="1">
        <v>9906</v>
      </c>
      <c r="I544" s="1">
        <v>1</v>
      </c>
      <c r="J544" s="1">
        <v>80</v>
      </c>
      <c r="K544" s="1">
        <v>349</v>
      </c>
      <c r="L544" s="1">
        <v>326</v>
      </c>
      <c r="M544" s="1">
        <v>15</v>
      </c>
      <c r="N544">
        <f>VLOOKUP(A544,vlookup_table!$A:$G,2,FALSE)</f>
        <v>2</v>
      </c>
      <c r="O544" t="str">
        <f>VLOOKUP(A544,vlookup_table!$A:$G,3,FALSE)</f>
        <v>UT</v>
      </c>
      <c r="P544">
        <f>VLOOKUP(A544,vlookup_table!$A:$G,4,FALSE)</f>
        <v>0</v>
      </c>
      <c r="Q544" t="str">
        <f>VLOOKUP(A544,vlookup_table!$A:$G,5,FALSE)</f>
        <v>R2</v>
      </c>
      <c r="R544" t="str">
        <f>VLOOKUP(A544,vlookup_table!$A:$G,6,FALSE)</f>
        <v>F</v>
      </c>
      <c r="S544">
        <f>VLOOKUP(A544,vlookup_table!$A:$G,7,FALSE)</f>
        <v>10</v>
      </c>
      <c r="T544">
        <f t="shared" si="16"/>
        <v>96</v>
      </c>
      <c r="U544" t="str">
        <f t="shared" si="17"/>
        <v>Rural</v>
      </c>
    </row>
    <row r="545" spans="1:21" ht="16" x14ac:dyDescent="0.4">
      <c r="A545" s="4">
        <v>186573</v>
      </c>
      <c r="B545" s="1" t="s">
        <v>32</v>
      </c>
      <c r="C545" s="1" t="s">
        <v>17</v>
      </c>
      <c r="D545" s="1">
        <v>900</v>
      </c>
      <c r="E545" s="1">
        <v>488</v>
      </c>
      <c r="F545" s="1">
        <v>563</v>
      </c>
      <c r="G545" s="1">
        <v>2</v>
      </c>
      <c r="H545" s="1">
        <v>18369</v>
      </c>
      <c r="I545" s="1">
        <v>1</v>
      </c>
      <c r="J545" s="1">
        <v>84</v>
      </c>
      <c r="K545" s="1">
        <v>524</v>
      </c>
      <c r="L545" s="1">
        <v>537</v>
      </c>
      <c r="M545" s="1">
        <v>7.692307692</v>
      </c>
      <c r="N545">
        <f>VLOOKUP(A545,vlookup_table!$A:$G,2,FALSE)</f>
        <v>0</v>
      </c>
      <c r="O545" t="str">
        <f>VLOOKUP(A545,vlookup_table!$A:$G,3,FALSE)</f>
        <v>WI</v>
      </c>
      <c r="P545">
        <f>VLOOKUP(A545,vlookup_table!$A:$G,4,FALSE)</f>
        <v>0</v>
      </c>
      <c r="Q545" t="str">
        <f>VLOOKUP(A545,vlookup_table!$A:$G,5,FALSE)</f>
        <v>T2</v>
      </c>
      <c r="R545" t="str">
        <f>VLOOKUP(A545,vlookup_table!$A:$G,6,FALSE)</f>
        <v>F</v>
      </c>
      <c r="S545">
        <f>VLOOKUP(A545,vlookup_table!$A:$G,7,FALSE)</f>
        <v>3</v>
      </c>
      <c r="T545">
        <f t="shared" si="16"/>
        <v>96</v>
      </c>
      <c r="U545" t="str">
        <f t="shared" si="17"/>
        <v>Pueblo</v>
      </c>
    </row>
    <row r="546" spans="1:21" ht="16" x14ac:dyDescent="0.4">
      <c r="A546" s="4">
        <v>37299</v>
      </c>
      <c r="B546" s="1" t="s">
        <v>13</v>
      </c>
      <c r="C546" s="1" t="s">
        <v>17</v>
      </c>
      <c r="D546" s="1">
        <v>1171</v>
      </c>
      <c r="E546" s="1">
        <v>272</v>
      </c>
      <c r="F546" s="1">
        <v>383</v>
      </c>
      <c r="G546" s="1">
        <v>4</v>
      </c>
      <c r="H546" s="1">
        <v>14539</v>
      </c>
      <c r="I546" s="1">
        <v>17</v>
      </c>
      <c r="J546" s="1">
        <v>15</v>
      </c>
      <c r="K546" s="1">
        <v>323</v>
      </c>
      <c r="L546" s="1">
        <v>329</v>
      </c>
      <c r="M546" s="1">
        <v>9.8888888890000004</v>
      </c>
      <c r="N546">
        <f>VLOOKUP(A546,vlookup_table!$A:$G,2,FALSE)</f>
        <v>2</v>
      </c>
      <c r="O546" t="str">
        <f>VLOOKUP(A546,vlookup_table!$A:$G,3,FALSE)</f>
        <v>FL</v>
      </c>
      <c r="P546">
        <f>VLOOKUP(A546,vlookup_table!$A:$G,4,FALSE)</f>
        <v>5502</v>
      </c>
      <c r="Q546" t="str">
        <f>VLOOKUP(A546,vlookup_table!$A:$G,5,FALSE)</f>
        <v>C2</v>
      </c>
      <c r="R546" t="str">
        <f>VLOOKUP(A546,vlookup_table!$A:$G,6,FALSE)</f>
        <v>F</v>
      </c>
      <c r="S546">
        <f>VLOOKUP(A546,vlookup_table!$A:$G,7,FALSE)</f>
        <v>15</v>
      </c>
      <c r="T546">
        <f t="shared" si="16"/>
        <v>41</v>
      </c>
      <c r="U546" t="str">
        <f t="shared" si="17"/>
        <v>Ciudad</v>
      </c>
    </row>
    <row r="547" spans="1:21" ht="16" x14ac:dyDescent="0.4">
      <c r="A547" s="4">
        <v>165746</v>
      </c>
      <c r="B547" s="1" t="s">
        <v>21</v>
      </c>
      <c r="C547" s="1" t="s">
        <v>14</v>
      </c>
      <c r="D547" s="1">
        <v>1429</v>
      </c>
      <c r="E547" s="1">
        <v>492</v>
      </c>
      <c r="F547" s="1">
        <v>508</v>
      </c>
      <c r="G547" s="1">
        <v>1</v>
      </c>
      <c r="H547" s="1">
        <v>14106</v>
      </c>
      <c r="I547" s="1">
        <v>15</v>
      </c>
      <c r="J547" s="1">
        <v>48</v>
      </c>
      <c r="K547" s="1">
        <v>497</v>
      </c>
      <c r="L547" s="1">
        <v>507</v>
      </c>
      <c r="M547" s="1">
        <v>4.75</v>
      </c>
      <c r="N547">
        <f>VLOOKUP(A547,vlookup_table!$A:$G,2,FALSE)</f>
        <v>0</v>
      </c>
      <c r="O547" t="str">
        <f>VLOOKUP(A547,vlookup_table!$A:$G,3,FALSE)</f>
        <v>CA</v>
      </c>
      <c r="P547">
        <f>VLOOKUP(A547,vlookup_table!$A:$G,4,FALSE)</f>
        <v>703</v>
      </c>
      <c r="Q547" t="str">
        <f>VLOOKUP(A547,vlookup_table!$A:$G,5,FALSE)</f>
        <v>C2</v>
      </c>
      <c r="R547" t="str">
        <f>VLOOKUP(A547,vlookup_table!$A:$G,6,FALSE)</f>
        <v>M</v>
      </c>
      <c r="S547">
        <f>VLOOKUP(A547,vlookup_table!$A:$G,7,FALSE)</f>
        <v>10</v>
      </c>
      <c r="T547">
        <f t="shared" si="16"/>
        <v>26</v>
      </c>
      <c r="U547" t="str">
        <f t="shared" si="17"/>
        <v>Ciudad</v>
      </c>
    </row>
    <row r="548" spans="1:21" ht="16" x14ac:dyDescent="0.4">
      <c r="A548" s="4">
        <v>189520</v>
      </c>
      <c r="B548" s="1" t="s">
        <v>21</v>
      </c>
      <c r="C548" s="1" t="s">
        <v>14</v>
      </c>
      <c r="D548" s="1">
        <v>4143</v>
      </c>
      <c r="E548" s="1">
        <v>617</v>
      </c>
      <c r="F548" s="1">
        <v>755</v>
      </c>
      <c r="G548" s="1">
        <v>97</v>
      </c>
      <c r="H548" s="1">
        <v>25985</v>
      </c>
      <c r="I548" s="1">
        <v>9</v>
      </c>
      <c r="J548" s="1">
        <v>59</v>
      </c>
      <c r="K548" s="1">
        <v>690</v>
      </c>
      <c r="L548" s="1">
        <v>704</v>
      </c>
      <c r="M548" s="1">
        <v>13.727272729999999</v>
      </c>
      <c r="N548">
        <f>VLOOKUP(A548,vlookup_table!$A:$G,2,FALSE)</f>
        <v>1</v>
      </c>
      <c r="O548" t="str">
        <f>VLOOKUP(A548,vlookup_table!$A:$G,3,FALSE)</f>
        <v>CA</v>
      </c>
      <c r="P548">
        <f>VLOOKUP(A548,vlookup_table!$A:$G,4,FALSE)</f>
        <v>1902</v>
      </c>
      <c r="Q548" t="str">
        <f>VLOOKUP(A548,vlookup_table!$A:$G,5,FALSE)</f>
        <v>S1</v>
      </c>
      <c r="R548" t="str">
        <f>VLOOKUP(A548,vlookup_table!$A:$G,6,FALSE)</f>
        <v>M</v>
      </c>
      <c r="S548">
        <f>VLOOKUP(A548,vlookup_table!$A:$G,7,FALSE)</f>
        <v>20</v>
      </c>
      <c r="T548">
        <f t="shared" si="16"/>
        <v>77</v>
      </c>
      <c r="U548" t="str">
        <f t="shared" si="17"/>
        <v>Suburbano</v>
      </c>
    </row>
    <row r="549" spans="1:21" ht="16" x14ac:dyDescent="0.4">
      <c r="A549" s="4">
        <v>26579</v>
      </c>
      <c r="B549" s="1" t="s">
        <v>36</v>
      </c>
      <c r="C549" s="1" t="s">
        <v>17</v>
      </c>
      <c r="D549" s="1">
        <v>858</v>
      </c>
      <c r="E549" s="1">
        <v>388</v>
      </c>
      <c r="F549" s="1">
        <v>494</v>
      </c>
      <c r="G549" s="1">
        <v>7</v>
      </c>
      <c r="H549" s="1">
        <v>19457</v>
      </c>
      <c r="I549" s="1">
        <v>0</v>
      </c>
      <c r="J549" s="1">
        <v>75</v>
      </c>
      <c r="K549" s="1">
        <v>418</v>
      </c>
      <c r="L549" s="1">
        <v>429</v>
      </c>
      <c r="M549" s="1">
        <v>7.7857142860000002</v>
      </c>
      <c r="N549">
        <f>VLOOKUP(A549,vlookup_table!$A:$G,2,FALSE)</f>
        <v>0</v>
      </c>
      <c r="O549" t="str">
        <f>VLOOKUP(A549,vlookup_table!$A:$G,3,FALSE)</f>
        <v>GA</v>
      </c>
      <c r="P549">
        <f>VLOOKUP(A549,vlookup_table!$A:$G,4,FALSE)</f>
        <v>4301</v>
      </c>
      <c r="Q549" t="str">
        <f>VLOOKUP(A549,vlookup_table!$A:$G,5,FALSE)</f>
        <v>T2</v>
      </c>
      <c r="R549" t="str">
        <f>VLOOKUP(A549,vlookup_table!$A:$G,6,FALSE)</f>
        <v>F</v>
      </c>
      <c r="S549">
        <f>VLOOKUP(A549,vlookup_table!$A:$G,7,FALSE)</f>
        <v>10</v>
      </c>
      <c r="T549">
        <f t="shared" si="16"/>
        <v>53</v>
      </c>
      <c r="U549" t="str">
        <f t="shared" si="17"/>
        <v>Pueblo</v>
      </c>
    </row>
    <row r="550" spans="1:21" ht="16" x14ac:dyDescent="0.4">
      <c r="A550" s="4">
        <v>109583</v>
      </c>
      <c r="B550" s="1" t="s">
        <v>46</v>
      </c>
      <c r="C550" s="1" t="s">
        <v>17</v>
      </c>
      <c r="D550" s="1">
        <v>582</v>
      </c>
      <c r="E550" s="1">
        <v>301</v>
      </c>
      <c r="F550" s="1">
        <v>354</v>
      </c>
      <c r="G550" s="1">
        <v>1</v>
      </c>
      <c r="H550" s="1">
        <v>11139</v>
      </c>
      <c r="I550" s="1">
        <v>0</v>
      </c>
      <c r="J550" s="1">
        <v>80</v>
      </c>
      <c r="K550" s="1">
        <v>325</v>
      </c>
      <c r="L550" s="1">
        <v>321</v>
      </c>
      <c r="M550" s="1">
        <v>4</v>
      </c>
      <c r="N550">
        <f>VLOOKUP(A550,vlookup_table!$A:$G,2,FALSE)</f>
        <v>0</v>
      </c>
      <c r="O550" t="str">
        <f>VLOOKUP(A550,vlookup_table!$A:$G,3,FALSE)</f>
        <v>LA</v>
      </c>
      <c r="P550">
        <f>VLOOKUP(A550,vlookup_table!$A:$G,4,FALSE)</f>
        <v>4501</v>
      </c>
      <c r="Q550" t="str">
        <f>VLOOKUP(A550,vlookup_table!$A:$G,5,FALSE)</f>
        <v>T2</v>
      </c>
      <c r="R550" t="str">
        <f>VLOOKUP(A550,vlookup_table!$A:$G,6,FALSE)</f>
        <v>F</v>
      </c>
      <c r="S550">
        <f>VLOOKUP(A550,vlookup_table!$A:$G,7,FALSE)</f>
        <v>5</v>
      </c>
      <c r="T550">
        <f t="shared" si="16"/>
        <v>51</v>
      </c>
      <c r="U550" t="str">
        <f t="shared" si="17"/>
        <v>Pueblo</v>
      </c>
    </row>
    <row r="551" spans="1:21" ht="16" x14ac:dyDescent="0.4">
      <c r="A551" s="4">
        <v>40341</v>
      </c>
      <c r="B551" s="1" t="s">
        <v>13</v>
      </c>
      <c r="C551" s="1" t="s">
        <v>17</v>
      </c>
      <c r="D551" s="1">
        <v>902</v>
      </c>
      <c r="E551" s="1">
        <v>410</v>
      </c>
      <c r="F551" s="1">
        <v>461</v>
      </c>
      <c r="G551" s="1">
        <v>4</v>
      </c>
      <c r="H551" s="1">
        <v>15332</v>
      </c>
      <c r="I551" s="1">
        <v>13</v>
      </c>
      <c r="J551" s="1">
        <v>28</v>
      </c>
      <c r="K551" s="1">
        <v>413</v>
      </c>
      <c r="L551" s="1">
        <v>460</v>
      </c>
      <c r="M551" s="1">
        <v>10</v>
      </c>
      <c r="N551">
        <f>VLOOKUP(A551,vlookup_table!$A:$G,2,FALSE)</f>
        <v>2</v>
      </c>
      <c r="O551" t="str">
        <f>VLOOKUP(A551,vlookup_table!$A:$G,3,FALSE)</f>
        <v>FL</v>
      </c>
      <c r="P551">
        <f>VLOOKUP(A551,vlookup_table!$A:$G,4,FALSE)</f>
        <v>2401</v>
      </c>
      <c r="Q551" t="str">
        <f>VLOOKUP(A551,vlookup_table!$A:$G,5,FALSE)</f>
        <v>S2</v>
      </c>
      <c r="R551" t="str">
        <f>VLOOKUP(A551,vlookup_table!$A:$G,6,FALSE)</f>
        <v>F</v>
      </c>
      <c r="S551">
        <f>VLOOKUP(A551,vlookup_table!$A:$G,7,FALSE)</f>
        <v>15</v>
      </c>
      <c r="T551">
        <f t="shared" si="16"/>
        <v>72</v>
      </c>
      <c r="U551" t="str">
        <f t="shared" si="17"/>
        <v>Suburbano</v>
      </c>
    </row>
    <row r="552" spans="1:21" ht="16" x14ac:dyDescent="0.4">
      <c r="A552" s="4">
        <v>111615</v>
      </c>
      <c r="B552" s="1" t="s">
        <v>29</v>
      </c>
      <c r="C552" s="1" t="s">
        <v>97</v>
      </c>
      <c r="D552" s="1">
        <v>356</v>
      </c>
      <c r="E552" s="1">
        <v>229</v>
      </c>
      <c r="F552" s="1">
        <v>225</v>
      </c>
      <c r="G552" s="1">
        <v>0</v>
      </c>
      <c r="H552" s="1">
        <v>8075</v>
      </c>
      <c r="I552" s="1">
        <v>0</v>
      </c>
      <c r="J552" s="1">
        <v>85</v>
      </c>
      <c r="K552" s="1">
        <v>236</v>
      </c>
      <c r="L552" s="1">
        <v>219</v>
      </c>
      <c r="M552" s="1">
        <v>12.33333333</v>
      </c>
      <c r="N552">
        <f>VLOOKUP(A552,vlookup_table!$A:$G,2,FALSE)</f>
        <v>0</v>
      </c>
      <c r="O552" t="str">
        <f>VLOOKUP(A552,vlookup_table!$A:$G,3,FALSE)</f>
        <v>AR</v>
      </c>
      <c r="P552">
        <f>VLOOKUP(A552,vlookup_table!$A:$G,4,FALSE)</f>
        <v>5306</v>
      </c>
      <c r="Q552" t="str">
        <f>VLOOKUP(A552,vlookup_table!$A:$G,5,FALSE)</f>
        <v>C3</v>
      </c>
      <c r="R552" t="str">
        <f>VLOOKUP(A552,vlookup_table!$A:$G,6,FALSE)</f>
        <v>F</v>
      </c>
      <c r="S552">
        <f>VLOOKUP(A552,vlookup_table!$A:$G,7,FALSE)</f>
        <v>25</v>
      </c>
      <c r="T552">
        <f t="shared" si="16"/>
        <v>43</v>
      </c>
      <c r="U552" t="str">
        <f t="shared" si="17"/>
        <v>Ciudad</v>
      </c>
    </row>
    <row r="553" spans="1:21" ht="16" x14ac:dyDescent="0.4">
      <c r="A553" s="4">
        <v>93397</v>
      </c>
      <c r="B553" s="1" t="s">
        <v>16</v>
      </c>
      <c r="C553" s="1" t="s">
        <v>17</v>
      </c>
      <c r="D553" s="1">
        <v>582</v>
      </c>
      <c r="E553" s="1">
        <v>288</v>
      </c>
      <c r="F553" s="1">
        <v>279</v>
      </c>
      <c r="G553" s="1">
        <v>0</v>
      </c>
      <c r="H553" s="1">
        <v>8165</v>
      </c>
      <c r="I553" s="1">
        <v>0</v>
      </c>
      <c r="J553" s="1">
        <v>75</v>
      </c>
      <c r="K553" s="1">
        <v>288</v>
      </c>
      <c r="L553" s="1">
        <v>286</v>
      </c>
      <c r="M553" s="1">
        <v>20</v>
      </c>
      <c r="N553">
        <f>VLOOKUP(A553,vlookup_table!$A:$G,2,FALSE)</f>
        <v>0</v>
      </c>
      <c r="O553" t="str">
        <f>VLOOKUP(A553,vlookup_table!$A:$G,3,FALSE)</f>
        <v>IL</v>
      </c>
      <c r="P553">
        <f>VLOOKUP(A553,vlookup_table!$A:$G,4,FALSE)</f>
        <v>0</v>
      </c>
      <c r="Q553" t="str">
        <f>VLOOKUP(A553,vlookup_table!$A:$G,5,FALSE)</f>
        <v>U3</v>
      </c>
      <c r="R553" t="str">
        <f>VLOOKUP(A553,vlookup_table!$A:$G,6,FALSE)</f>
        <v>F</v>
      </c>
      <c r="S553">
        <f>VLOOKUP(A553,vlookup_table!$A:$G,7,FALSE)</f>
        <v>20</v>
      </c>
      <c r="T553">
        <f t="shared" si="16"/>
        <v>96</v>
      </c>
      <c r="U553" t="str">
        <f t="shared" si="17"/>
        <v>Urbano</v>
      </c>
    </row>
    <row r="554" spans="1:21" ht="16" x14ac:dyDescent="0.4">
      <c r="A554" s="4">
        <v>5881</v>
      </c>
      <c r="B554" s="1" t="s">
        <v>21</v>
      </c>
      <c r="C554" s="1" t="s">
        <v>14</v>
      </c>
      <c r="D554" s="1">
        <v>2469</v>
      </c>
      <c r="E554" s="1">
        <v>340</v>
      </c>
      <c r="F554" s="1">
        <v>522</v>
      </c>
      <c r="G554" s="1">
        <v>71</v>
      </c>
      <c r="H554" s="1">
        <v>23188</v>
      </c>
      <c r="I554" s="1">
        <v>5</v>
      </c>
      <c r="J554" s="1">
        <v>54</v>
      </c>
      <c r="K554" s="1">
        <v>411</v>
      </c>
      <c r="L554" s="1">
        <v>475</v>
      </c>
      <c r="M554" s="1">
        <v>13.25</v>
      </c>
      <c r="N554">
        <f>VLOOKUP(A554,vlookup_table!$A:$G,2,FALSE)</f>
        <v>1</v>
      </c>
      <c r="O554" t="str">
        <f>VLOOKUP(A554,vlookup_table!$A:$G,3,FALSE)</f>
        <v>CA</v>
      </c>
      <c r="P554">
        <f>VLOOKUP(A554,vlookup_table!$A:$G,4,FALSE)</f>
        <v>1701</v>
      </c>
      <c r="Q554" t="str">
        <f>VLOOKUP(A554,vlookup_table!$A:$G,5,FALSE)</f>
        <v>U1</v>
      </c>
      <c r="R554" t="str">
        <f>VLOOKUP(A554,vlookup_table!$A:$G,6,FALSE)</f>
        <v>M</v>
      </c>
      <c r="S554">
        <f>VLOOKUP(A554,vlookup_table!$A:$G,7,FALSE)</f>
        <v>12</v>
      </c>
      <c r="T554">
        <f t="shared" si="16"/>
        <v>79</v>
      </c>
      <c r="U554" t="str">
        <f t="shared" si="17"/>
        <v>Urbano</v>
      </c>
    </row>
    <row r="555" spans="1:21" ht="16" x14ac:dyDescent="0.4">
      <c r="A555" s="4">
        <v>93184</v>
      </c>
      <c r="B555" s="1" t="s">
        <v>16</v>
      </c>
      <c r="C555" s="1" t="s">
        <v>17</v>
      </c>
      <c r="D555" s="1">
        <v>0</v>
      </c>
      <c r="E555" s="1">
        <v>315</v>
      </c>
      <c r="F555" s="1">
        <v>581</v>
      </c>
      <c r="G555" s="1">
        <v>0</v>
      </c>
      <c r="H555" s="1">
        <v>34143</v>
      </c>
      <c r="I555" s="1">
        <v>5</v>
      </c>
      <c r="J555" s="1">
        <v>46</v>
      </c>
      <c r="K555" s="1">
        <v>423</v>
      </c>
      <c r="L555" s="1">
        <v>417</v>
      </c>
      <c r="M555" s="1">
        <v>5.4375</v>
      </c>
      <c r="N555">
        <f>VLOOKUP(A555,vlookup_table!$A:$G,2,FALSE)</f>
        <v>0</v>
      </c>
      <c r="O555" t="str">
        <f>VLOOKUP(A555,vlookup_table!$A:$G,3,FALSE)</f>
        <v>IL</v>
      </c>
      <c r="P555">
        <f>VLOOKUP(A555,vlookup_table!$A:$G,4,FALSE)</f>
        <v>1708</v>
      </c>
      <c r="Q555" t="str">
        <f>VLOOKUP(A555,vlookup_table!$A:$G,5,FALSE)</f>
        <v>U1</v>
      </c>
      <c r="R555" t="str">
        <f>VLOOKUP(A555,vlookup_table!$A:$G,6,FALSE)</f>
        <v>F</v>
      </c>
      <c r="S555">
        <f>VLOOKUP(A555,vlookup_table!$A:$G,7,FALSE)</f>
        <v>10</v>
      </c>
      <c r="T555">
        <f t="shared" si="16"/>
        <v>79</v>
      </c>
      <c r="U555" t="str">
        <f t="shared" si="17"/>
        <v>Urbano</v>
      </c>
    </row>
    <row r="556" spans="1:21" ht="16" x14ac:dyDescent="0.4">
      <c r="A556" s="4">
        <v>9946</v>
      </c>
      <c r="B556" s="1" t="s">
        <v>16</v>
      </c>
      <c r="C556" s="1" t="s">
        <v>17</v>
      </c>
      <c r="D556" s="1">
        <v>1107</v>
      </c>
      <c r="E556" s="1">
        <v>428</v>
      </c>
      <c r="F556" s="1">
        <v>497</v>
      </c>
      <c r="G556" s="1">
        <v>0</v>
      </c>
      <c r="H556" s="1">
        <v>15788</v>
      </c>
      <c r="I556" s="1">
        <v>4</v>
      </c>
      <c r="J556" s="1">
        <v>80</v>
      </c>
      <c r="K556" s="1">
        <v>476</v>
      </c>
      <c r="L556" s="1">
        <v>432</v>
      </c>
      <c r="M556" s="1">
        <v>7.7647058820000003</v>
      </c>
      <c r="N556">
        <f>VLOOKUP(A556,vlookup_table!$A:$G,2,FALSE)</f>
        <v>2</v>
      </c>
      <c r="O556" t="str">
        <f>VLOOKUP(A556,vlookup_table!$A:$G,3,FALSE)</f>
        <v>IL</v>
      </c>
      <c r="P556">
        <f>VLOOKUP(A556,vlookup_table!$A:$G,4,FALSE)</f>
        <v>2605</v>
      </c>
      <c r="Q556" t="str">
        <f>VLOOKUP(A556,vlookup_table!$A:$G,5,FALSE)</f>
        <v>U2</v>
      </c>
      <c r="R556" t="str">
        <f>VLOOKUP(A556,vlookup_table!$A:$G,6,FALSE)</f>
        <v>F</v>
      </c>
      <c r="S556">
        <f>VLOOKUP(A556,vlookup_table!$A:$G,7,FALSE)</f>
        <v>5</v>
      </c>
      <c r="T556">
        <f t="shared" si="16"/>
        <v>70</v>
      </c>
      <c r="U556" t="str">
        <f t="shared" si="17"/>
        <v>Urbano</v>
      </c>
    </row>
    <row r="557" spans="1:21" ht="16" x14ac:dyDescent="0.4">
      <c r="A557" s="4">
        <v>46671</v>
      </c>
      <c r="B557" s="1" t="s">
        <v>40</v>
      </c>
      <c r="C557" s="1" t="s">
        <v>14</v>
      </c>
      <c r="D557" s="1">
        <v>746</v>
      </c>
      <c r="E557" s="1">
        <v>366</v>
      </c>
      <c r="F557" s="1">
        <v>433</v>
      </c>
      <c r="G557" s="1">
        <v>1</v>
      </c>
      <c r="H557" s="1">
        <v>13901</v>
      </c>
      <c r="I557" s="1">
        <v>1</v>
      </c>
      <c r="J557" s="1">
        <v>73</v>
      </c>
      <c r="K557" s="1">
        <v>409</v>
      </c>
      <c r="L557" s="1">
        <v>399</v>
      </c>
      <c r="M557" s="1">
        <v>9.8181818179999993</v>
      </c>
      <c r="N557">
        <f>VLOOKUP(A557,vlookup_table!$A:$G,2,FALSE)</f>
        <v>0</v>
      </c>
      <c r="O557" t="str">
        <f>VLOOKUP(A557,vlookup_table!$A:$G,3,FALSE)</f>
        <v>AL</v>
      </c>
      <c r="P557">
        <f>VLOOKUP(A557,vlookup_table!$A:$G,4,FALSE)</f>
        <v>5701</v>
      </c>
      <c r="Q557" t="str">
        <f>VLOOKUP(A557,vlookup_table!$A:$G,5,FALSE)</f>
        <v>T1</v>
      </c>
      <c r="R557" t="str">
        <f>VLOOKUP(A557,vlookup_table!$A:$G,6,FALSE)</f>
        <v>M</v>
      </c>
      <c r="S557">
        <f>VLOOKUP(A557,vlookup_table!$A:$G,7,FALSE)</f>
        <v>10</v>
      </c>
      <c r="T557">
        <f t="shared" si="16"/>
        <v>39</v>
      </c>
      <c r="U557" t="str">
        <f t="shared" si="17"/>
        <v>Pueblo</v>
      </c>
    </row>
    <row r="558" spans="1:21" ht="16" x14ac:dyDescent="0.4">
      <c r="A558" s="4">
        <v>172750</v>
      </c>
      <c r="B558" s="1" t="s">
        <v>21</v>
      </c>
      <c r="C558" s="1" t="s">
        <v>14</v>
      </c>
      <c r="D558" s="1">
        <v>967</v>
      </c>
      <c r="E558" s="1">
        <v>300</v>
      </c>
      <c r="F558" s="1">
        <v>412</v>
      </c>
      <c r="G558" s="1">
        <v>11</v>
      </c>
      <c r="H558" s="1">
        <v>13399</v>
      </c>
      <c r="I558" s="1">
        <v>6</v>
      </c>
      <c r="J558" s="1">
        <v>58</v>
      </c>
      <c r="K558" s="1">
        <v>348</v>
      </c>
      <c r="L558" s="1">
        <v>342</v>
      </c>
      <c r="M558" s="1">
        <v>18.666666670000001</v>
      </c>
      <c r="N558">
        <f>VLOOKUP(A558,vlookup_table!$A:$G,2,FALSE)</f>
        <v>1</v>
      </c>
      <c r="O558" t="str">
        <f>VLOOKUP(A558,vlookup_table!$A:$G,3,FALSE)</f>
        <v>CA</v>
      </c>
      <c r="P558">
        <f>VLOOKUP(A558,vlookup_table!$A:$G,4,FALSE)</f>
        <v>5401</v>
      </c>
      <c r="Q558" t="str">
        <f>VLOOKUP(A558,vlookup_table!$A:$G,5,FALSE)</f>
        <v>C2</v>
      </c>
      <c r="R558" t="str">
        <f>VLOOKUP(A558,vlookup_table!$A:$G,6,FALSE)</f>
        <v>M</v>
      </c>
      <c r="S558">
        <f>VLOOKUP(A558,vlookup_table!$A:$G,7,FALSE)</f>
        <v>25</v>
      </c>
      <c r="T558">
        <f t="shared" si="16"/>
        <v>42</v>
      </c>
      <c r="U558" t="str">
        <f t="shared" si="17"/>
        <v>Ciudad</v>
      </c>
    </row>
    <row r="559" spans="1:21" ht="16" x14ac:dyDescent="0.4">
      <c r="A559" s="4">
        <v>22264</v>
      </c>
      <c r="B559" s="1" t="s">
        <v>18</v>
      </c>
      <c r="C559" s="1" t="s">
        <v>14</v>
      </c>
      <c r="D559" s="1">
        <v>1250</v>
      </c>
      <c r="E559" s="1">
        <v>319</v>
      </c>
      <c r="F559" s="1">
        <v>540</v>
      </c>
      <c r="G559" s="1">
        <v>8</v>
      </c>
      <c r="H559" s="1">
        <v>25660</v>
      </c>
      <c r="I559" s="1">
        <v>3</v>
      </c>
      <c r="J559" s="1">
        <v>33</v>
      </c>
      <c r="K559" s="1">
        <v>411</v>
      </c>
      <c r="L559" s="1">
        <v>429</v>
      </c>
      <c r="M559" s="1">
        <v>22.5</v>
      </c>
      <c r="N559">
        <f>VLOOKUP(A559,vlookup_table!$A:$G,2,FALSE)</f>
        <v>1</v>
      </c>
      <c r="O559" t="str">
        <f>VLOOKUP(A559,vlookup_table!$A:$G,3,FALSE)</f>
        <v>NC</v>
      </c>
      <c r="P559">
        <f>VLOOKUP(A559,vlookup_table!$A:$G,4,FALSE)</f>
        <v>3001</v>
      </c>
      <c r="Q559" t="str">
        <f>VLOOKUP(A559,vlookup_table!$A:$G,5,FALSE)</f>
        <v>C1</v>
      </c>
      <c r="R559" t="str">
        <f>VLOOKUP(A559,vlookup_table!$A:$G,6,FALSE)</f>
        <v>M</v>
      </c>
      <c r="S559">
        <f>VLOOKUP(A559,vlookup_table!$A:$G,7,FALSE)</f>
        <v>10</v>
      </c>
      <c r="T559">
        <f t="shared" si="16"/>
        <v>66</v>
      </c>
      <c r="U559" t="str">
        <f t="shared" si="17"/>
        <v>Ciudad</v>
      </c>
    </row>
    <row r="560" spans="1:21" ht="16" x14ac:dyDescent="0.4">
      <c r="A560" s="4">
        <v>56479</v>
      </c>
      <c r="B560" s="1" t="s">
        <v>53</v>
      </c>
      <c r="C560" s="1" t="s">
        <v>17</v>
      </c>
      <c r="D560" s="1">
        <v>139</v>
      </c>
      <c r="E560" s="1">
        <v>63</v>
      </c>
      <c r="F560" s="1">
        <v>137</v>
      </c>
      <c r="G560" s="1">
        <v>0</v>
      </c>
      <c r="H560" s="1">
        <v>5159</v>
      </c>
      <c r="I560" s="1">
        <v>0</v>
      </c>
      <c r="J560" s="1">
        <v>77</v>
      </c>
      <c r="K560" s="1">
        <v>106</v>
      </c>
      <c r="L560" s="1">
        <v>92</v>
      </c>
      <c r="M560" s="1">
        <v>3.3125</v>
      </c>
      <c r="N560">
        <f>VLOOKUP(A560,vlookup_table!$A:$G,2,FALSE)</f>
        <v>2</v>
      </c>
      <c r="O560" t="str">
        <f>VLOOKUP(A560,vlookup_table!$A:$G,3,FALSE)</f>
        <v>KY</v>
      </c>
      <c r="P560">
        <f>VLOOKUP(A560,vlookup_table!$A:$G,4,FALSE)</f>
        <v>2601</v>
      </c>
      <c r="Q560" t="str">
        <f>VLOOKUP(A560,vlookup_table!$A:$G,5,FALSE)</f>
        <v>U4</v>
      </c>
      <c r="R560" t="str">
        <f>VLOOKUP(A560,vlookup_table!$A:$G,6,FALSE)</f>
        <v>F</v>
      </c>
      <c r="S560">
        <f>VLOOKUP(A560,vlookup_table!$A:$G,7,FALSE)</f>
        <v>4</v>
      </c>
      <c r="T560">
        <f t="shared" si="16"/>
        <v>70</v>
      </c>
      <c r="U560" t="str">
        <f t="shared" si="17"/>
        <v>Urbano</v>
      </c>
    </row>
    <row r="561" spans="1:21" ht="16" x14ac:dyDescent="0.4">
      <c r="A561" s="4">
        <v>164372</v>
      </c>
      <c r="B561" s="1" t="s">
        <v>21</v>
      </c>
      <c r="C561" s="1" t="s">
        <v>14</v>
      </c>
      <c r="D561" s="1">
        <v>1861</v>
      </c>
      <c r="E561" s="1">
        <v>402</v>
      </c>
      <c r="F561" s="1">
        <v>527</v>
      </c>
      <c r="G561" s="1">
        <v>38</v>
      </c>
      <c r="H561" s="1">
        <v>22794</v>
      </c>
      <c r="I561" s="1">
        <v>12</v>
      </c>
      <c r="J561" s="1">
        <v>49</v>
      </c>
      <c r="K561" s="1">
        <v>499</v>
      </c>
      <c r="L561" s="1">
        <v>461</v>
      </c>
      <c r="M561" s="1">
        <v>14</v>
      </c>
      <c r="N561">
        <f>VLOOKUP(A561,vlookup_table!$A:$G,2,FALSE)</f>
        <v>1</v>
      </c>
      <c r="O561" t="str">
        <f>VLOOKUP(A561,vlookup_table!$A:$G,3,FALSE)</f>
        <v>CA</v>
      </c>
      <c r="P561">
        <f>VLOOKUP(A561,vlookup_table!$A:$G,4,FALSE)</f>
        <v>5501</v>
      </c>
      <c r="Q561" t="str">
        <f>VLOOKUP(A561,vlookup_table!$A:$G,5,FALSE)</f>
        <v>S1</v>
      </c>
      <c r="R561" t="str">
        <f>VLOOKUP(A561,vlookup_table!$A:$G,6,FALSE)</f>
        <v>M</v>
      </c>
      <c r="S561">
        <f>VLOOKUP(A561,vlookup_table!$A:$G,7,FALSE)</f>
        <v>25</v>
      </c>
      <c r="T561">
        <f t="shared" si="16"/>
        <v>41</v>
      </c>
      <c r="U561" t="str">
        <f t="shared" si="17"/>
        <v>Suburbano</v>
      </c>
    </row>
    <row r="562" spans="1:21" ht="16" x14ac:dyDescent="0.4">
      <c r="A562" s="4">
        <v>5140</v>
      </c>
      <c r="B562" s="1" t="s">
        <v>21</v>
      </c>
      <c r="C562" s="1" t="s">
        <v>14</v>
      </c>
      <c r="D562" s="1">
        <v>3247</v>
      </c>
      <c r="E562" s="1">
        <v>653</v>
      </c>
      <c r="F562" s="1">
        <v>732</v>
      </c>
      <c r="G562" s="1">
        <v>94</v>
      </c>
      <c r="H562" s="1">
        <v>24693</v>
      </c>
      <c r="I562" s="1">
        <v>5</v>
      </c>
      <c r="J562" s="1">
        <v>63</v>
      </c>
      <c r="K562" s="1">
        <v>666</v>
      </c>
      <c r="L562" s="1">
        <v>722</v>
      </c>
      <c r="M562" s="1">
        <v>6.1470588240000001</v>
      </c>
      <c r="N562">
        <f>VLOOKUP(A562,vlookup_table!$A:$G,2,FALSE)</f>
        <v>1</v>
      </c>
      <c r="O562" t="str">
        <f>VLOOKUP(A562,vlookup_table!$A:$G,3,FALSE)</f>
        <v>CA</v>
      </c>
      <c r="P562">
        <f>VLOOKUP(A562,vlookup_table!$A:$G,4,FALSE)</f>
        <v>2201</v>
      </c>
      <c r="Q562" t="str">
        <f>VLOOKUP(A562,vlookup_table!$A:$G,5,FALSE)</f>
        <v>S1</v>
      </c>
      <c r="R562" t="str">
        <f>VLOOKUP(A562,vlookup_table!$A:$G,6,FALSE)</f>
        <v>M</v>
      </c>
      <c r="S562">
        <f>VLOOKUP(A562,vlookup_table!$A:$G,7,FALSE)</f>
        <v>7</v>
      </c>
      <c r="T562">
        <f t="shared" si="16"/>
        <v>74</v>
      </c>
      <c r="U562" t="str">
        <f t="shared" si="17"/>
        <v>Suburbano</v>
      </c>
    </row>
    <row r="563" spans="1:21" ht="16" x14ac:dyDescent="0.4">
      <c r="A563" s="4">
        <v>32198</v>
      </c>
      <c r="B563" s="1" t="s">
        <v>13</v>
      </c>
      <c r="C563" s="1" t="s">
        <v>17</v>
      </c>
      <c r="D563" s="1">
        <v>1146</v>
      </c>
      <c r="E563" s="1">
        <v>384</v>
      </c>
      <c r="F563" s="1">
        <v>504</v>
      </c>
      <c r="G563" s="1">
        <v>20</v>
      </c>
      <c r="H563" s="1">
        <v>24850</v>
      </c>
      <c r="I563" s="1">
        <v>10</v>
      </c>
      <c r="J563" s="1">
        <v>9</v>
      </c>
      <c r="K563" s="1">
        <v>435</v>
      </c>
      <c r="L563" s="1">
        <v>447</v>
      </c>
      <c r="M563" s="1">
        <v>7.5</v>
      </c>
      <c r="N563">
        <f>VLOOKUP(A563,vlookup_table!$A:$G,2,FALSE)</f>
        <v>0</v>
      </c>
      <c r="O563" t="str">
        <f>VLOOKUP(A563,vlookup_table!$A:$G,3,FALSE)</f>
        <v>FL</v>
      </c>
      <c r="P563">
        <f>VLOOKUP(A563,vlookup_table!$A:$G,4,FALSE)</f>
        <v>4401</v>
      </c>
      <c r="Q563" t="str">
        <f>VLOOKUP(A563,vlookup_table!$A:$G,5,FALSE)</f>
        <v>C1</v>
      </c>
      <c r="R563" t="str">
        <f>VLOOKUP(A563,vlookup_table!$A:$G,6,FALSE)</f>
        <v>F</v>
      </c>
      <c r="S563">
        <f>VLOOKUP(A563,vlookup_table!$A:$G,7,FALSE)</f>
        <v>9</v>
      </c>
      <c r="T563">
        <f t="shared" si="16"/>
        <v>52</v>
      </c>
      <c r="U563" t="str">
        <f t="shared" si="17"/>
        <v>Ciudad</v>
      </c>
    </row>
    <row r="564" spans="1:21" ht="16" x14ac:dyDescent="0.4">
      <c r="A564" s="4">
        <v>113607</v>
      </c>
      <c r="B564" s="1" t="s">
        <v>28</v>
      </c>
      <c r="C564" s="1" t="s">
        <v>17</v>
      </c>
      <c r="D564" s="1">
        <v>415</v>
      </c>
      <c r="E564" s="1">
        <v>212</v>
      </c>
      <c r="F564" s="1">
        <v>325</v>
      </c>
      <c r="G564" s="1">
        <v>1</v>
      </c>
      <c r="H564" s="1">
        <v>11659</v>
      </c>
      <c r="I564" s="1">
        <v>1</v>
      </c>
      <c r="J564" s="1">
        <v>71</v>
      </c>
      <c r="K564" s="1">
        <v>262</v>
      </c>
      <c r="L564" s="1">
        <v>281</v>
      </c>
      <c r="M564" s="1">
        <v>9.3333333330000006</v>
      </c>
      <c r="N564">
        <f>VLOOKUP(A564,vlookup_table!$A:$G,2,FALSE)</f>
        <v>0</v>
      </c>
      <c r="O564" t="str">
        <f>VLOOKUP(A564,vlookup_table!$A:$G,3,FALSE)</f>
        <v>OK</v>
      </c>
      <c r="P564">
        <f>VLOOKUP(A564,vlookup_table!$A:$G,4,FALSE)</f>
        <v>0</v>
      </c>
      <c r="Q564" t="str">
        <f>VLOOKUP(A564,vlookup_table!$A:$G,5,FALSE)</f>
        <v>T2</v>
      </c>
      <c r="R564" t="str">
        <f>VLOOKUP(A564,vlookup_table!$A:$G,6,FALSE)</f>
        <v>F</v>
      </c>
      <c r="S564">
        <f>VLOOKUP(A564,vlookup_table!$A:$G,7,FALSE)</f>
        <v>15</v>
      </c>
      <c r="T564">
        <f t="shared" si="16"/>
        <v>96</v>
      </c>
      <c r="U564" t="str">
        <f t="shared" si="17"/>
        <v>Pueblo</v>
      </c>
    </row>
    <row r="565" spans="1:21" ht="16" x14ac:dyDescent="0.4">
      <c r="A565" s="4">
        <v>19499</v>
      </c>
      <c r="B565" s="1" t="s">
        <v>18</v>
      </c>
      <c r="C565" s="1" t="s">
        <v>97</v>
      </c>
      <c r="D565" s="1">
        <v>854</v>
      </c>
      <c r="E565" s="1">
        <v>382</v>
      </c>
      <c r="F565" s="1">
        <v>419</v>
      </c>
      <c r="G565" s="1">
        <v>3</v>
      </c>
      <c r="H565" s="1">
        <v>14002</v>
      </c>
      <c r="I565" s="1">
        <v>3</v>
      </c>
      <c r="J565" s="1">
        <v>52</v>
      </c>
      <c r="K565" s="1">
        <v>407</v>
      </c>
      <c r="L565" s="1">
        <v>406</v>
      </c>
      <c r="M565" s="1">
        <v>22.5</v>
      </c>
      <c r="N565">
        <f>VLOOKUP(A565,vlookup_table!$A:$G,2,FALSE)</f>
        <v>0</v>
      </c>
      <c r="O565" t="str">
        <f>VLOOKUP(A565,vlookup_table!$A:$G,3,FALSE)</f>
        <v>NC</v>
      </c>
      <c r="P565">
        <f>VLOOKUP(A565,vlookup_table!$A:$G,4,FALSE)</f>
        <v>0</v>
      </c>
      <c r="Q565" t="str">
        <f>VLOOKUP(A565,vlookup_table!$A:$G,5,FALSE)</f>
        <v>C1</v>
      </c>
      <c r="R565" t="str">
        <f>VLOOKUP(A565,vlookup_table!$A:$G,6,FALSE)</f>
        <v>F</v>
      </c>
      <c r="S565">
        <f>VLOOKUP(A565,vlookup_table!$A:$G,7,FALSE)</f>
        <v>20</v>
      </c>
      <c r="T565">
        <f t="shared" si="16"/>
        <v>96</v>
      </c>
      <c r="U565" t="str">
        <f t="shared" si="17"/>
        <v>Ciudad</v>
      </c>
    </row>
    <row r="566" spans="1:21" ht="16" x14ac:dyDescent="0.4">
      <c r="A566" s="4">
        <v>73028</v>
      </c>
      <c r="B566" s="1" t="s">
        <v>26</v>
      </c>
      <c r="C566" s="1" t="s">
        <v>14</v>
      </c>
      <c r="D566" s="1">
        <v>496</v>
      </c>
      <c r="E566" s="1">
        <v>301</v>
      </c>
      <c r="F566" s="1">
        <v>372</v>
      </c>
      <c r="G566" s="1">
        <v>0</v>
      </c>
      <c r="H566" s="1">
        <v>11714</v>
      </c>
      <c r="I566" s="1">
        <v>2</v>
      </c>
      <c r="J566" s="1">
        <v>84</v>
      </c>
      <c r="K566" s="1">
        <v>317</v>
      </c>
      <c r="L566" s="1">
        <v>351</v>
      </c>
      <c r="M566" s="1">
        <v>8.8333333330000006</v>
      </c>
      <c r="N566">
        <f>VLOOKUP(A566,vlookup_table!$A:$G,2,FALSE)</f>
        <v>1</v>
      </c>
      <c r="O566" t="str">
        <f>VLOOKUP(A566,vlookup_table!$A:$G,3,FALSE)</f>
        <v>MI</v>
      </c>
      <c r="P566">
        <f>VLOOKUP(A566,vlookup_table!$A:$G,4,FALSE)</f>
        <v>4704</v>
      </c>
      <c r="Q566" t="str">
        <f>VLOOKUP(A566,vlookup_table!$A:$G,5,FALSE)</f>
        <v>R2</v>
      </c>
      <c r="R566" t="str">
        <f>VLOOKUP(A566,vlookup_table!$A:$G,6,FALSE)</f>
        <v>M</v>
      </c>
      <c r="S566">
        <f>VLOOKUP(A566,vlookup_table!$A:$G,7,FALSE)</f>
        <v>9</v>
      </c>
      <c r="T566">
        <f t="shared" si="16"/>
        <v>49</v>
      </c>
      <c r="U566" t="str">
        <f t="shared" si="17"/>
        <v>Rural</v>
      </c>
    </row>
    <row r="567" spans="1:21" ht="16" x14ac:dyDescent="0.4">
      <c r="A567" s="4">
        <v>35553</v>
      </c>
      <c r="B567" s="1" t="s">
        <v>13</v>
      </c>
      <c r="C567" s="1" t="s">
        <v>17</v>
      </c>
      <c r="D567" s="1">
        <v>726</v>
      </c>
      <c r="E567" s="1">
        <v>302</v>
      </c>
      <c r="F567" s="1">
        <v>363</v>
      </c>
      <c r="G567" s="1">
        <v>0</v>
      </c>
      <c r="H567" s="1">
        <v>12484</v>
      </c>
      <c r="I567" s="1">
        <v>5</v>
      </c>
      <c r="J567" s="1">
        <v>33</v>
      </c>
      <c r="K567" s="1">
        <v>334</v>
      </c>
      <c r="L567" s="1">
        <v>326</v>
      </c>
      <c r="M567" s="1">
        <v>10.66666667</v>
      </c>
      <c r="N567">
        <f>VLOOKUP(A567,vlookup_table!$A:$G,2,FALSE)</f>
        <v>2</v>
      </c>
      <c r="O567" t="str">
        <f>VLOOKUP(A567,vlookup_table!$A:$G,3,FALSE)</f>
        <v>FL</v>
      </c>
      <c r="P567">
        <f>VLOOKUP(A567,vlookup_table!$A:$G,4,FALSE)</f>
        <v>0</v>
      </c>
      <c r="Q567" t="str">
        <f>VLOOKUP(A567,vlookup_table!$A:$G,5,FALSE)</f>
        <v>S2</v>
      </c>
      <c r="R567" t="str">
        <f>VLOOKUP(A567,vlookup_table!$A:$G,6,FALSE)</f>
        <v>F</v>
      </c>
      <c r="S567">
        <f>VLOOKUP(A567,vlookup_table!$A:$G,7,FALSE)</f>
        <v>20</v>
      </c>
      <c r="T567">
        <f t="shared" si="16"/>
        <v>96</v>
      </c>
      <c r="U567" t="str">
        <f t="shared" si="17"/>
        <v>Suburbano</v>
      </c>
    </row>
    <row r="568" spans="1:21" ht="16" x14ac:dyDescent="0.4">
      <c r="A568" s="4">
        <v>35463</v>
      </c>
      <c r="B568" s="1" t="s">
        <v>13</v>
      </c>
      <c r="C568" s="1" t="s">
        <v>14</v>
      </c>
      <c r="D568" s="1">
        <v>1028</v>
      </c>
      <c r="E568" s="1">
        <v>394</v>
      </c>
      <c r="F568" s="1">
        <v>584</v>
      </c>
      <c r="G568" s="1">
        <v>19</v>
      </c>
      <c r="H568" s="1">
        <v>25787</v>
      </c>
      <c r="I568" s="1">
        <v>3</v>
      </c>
      <c r="J568" s="1">
        <v>31</v>
      </c>
      <c r="K568" s="1">
        <v>493</v>
      </c>
      <c r="L568" s="1">
        <v>483</v>
      </c>
      <c r="M568" s="1">
        <v>20</v>
      </c>
      <c r="N568">
        <f>VLOOKUP(A568,vlookup_table!$A:$G,2,FALSE)</f>
        <v>0</v>
      </c>
      <c r="O568" t="str">
        <f>VLOOKUP(A568,vlookup_table!$A:$G,3,FALSE)</f>
        <v>FL</v>
      </c>
      <c r="P568">
        <f>VLOOKUP(A568,vlookup_table!$A:$G,4,FALSE)</f>
        <v>3701</v>
      </c>
      <c r="Q568" t="str">
        <f>VLOOKUP(A568,vlookup_table!$A:$G,5,FALSE)</f>
        <v>C1</v>
      </c>
      <c r="R568" t="str">
        <f>VLOOKUP(A568,vlookup_table!$A:$G,6,FALSE)</f>
        <v>M</v>
      </c>
      <c r="S568">
        <f>VLOOKUP(A568,vlookup_table!$A:$G,7,FALSE)</f>
        <v>30</v>
      </c>
      <c r="T568">
        <f t="shared" si="16"/>
        <v>59</v>
      </c>
      <c r="U568" t="str">
        <f t="shared" si="17"/>
        <v>Ciudad</v>
      </c>
    </row>
    <row r="569" spans="1:21" ht="16" x14ac:dyDescent="0.4">
      <c r="A569" s="4">
        <v>91591</v>
      </c>
      <c r="B569" s="1" t="s">
        <v>16</v>
      </c>
      <c r="C569" s="1" t="s">
        <v>14</v>
      </c>
      <c r="D569" s="1">
        <v>1464</v>
      </c>
      <c r="E569" s="1">
        <v>256</v>
      </c>
      <c r="F569" s="1">
        <v>457</v>
      </c>
      <c r="G569" s="1">
        <v>23</v>
      </c>
      <c r="H569" s="1">
        <v>22015</v>
      </c>
      <c r="I569" s="1">
        <v>9</v>
      </c>
      <c r="J569" s="1">
        <v>84</v>
      </c>
      <c r="K569" s="1">
        <v>413</v>
      </c>
      <c r="L569" s="1">
        <v>294</v>
      </c>
      <c r="M569" s="1">
        <v>9.8571428569999995</v>
      </c>
      <c r="N569">
        <f>VLOOKUP(A569,vlookup_table!$A:$G,2,FALSE)</f>
        <v>1</v>
      </c>
      <c r="O569" t="str">
        <f>VLOOKUP(A569,vlookup_table!$A:$G,3,FALSE)</f>
        <v>IL</v>
      </c>
      <c r="P569">
        <f>VLOOKUP(A569,vlookup_table!$A:$G,4,FALSE)</f>
        <v>0</v>
      </c>
      <c r="Q569" t="str">
        <f>VLOOKUP(A569,vlookup_table!$A:$G,5,FALSE)</f>
        <v>C1</v>
      </c>
      <c r="R569" t="str">
        <f>VLOOKUP(A569,vlookup_table!$A:$G,6,FALSE)</f>
        <v>M</v>
      </c>
      <c r="S569">
        <f>VLOOKUP(A569,vlookup_table!$A:$G,7,FALSE)</f>
        <v>10</v>
      </c>
      <c r="T569">
        <f t="shared" si="16"/>
        <v>96</v>
      </c>
      <c r="U569" t="str">
        <f t="shared" si="17"/>
        <v>Ciudad</v>
      </c>
    </row>
    <row r="570" spans="1:21" ht="16" x14ac:dyDescent="0.4">
      <c r="A570" s="4">
        <v>109099</v>
      </c>
      <c r="B570" s="1" t="s">
        <v>46</v>
      </c>
      <c r="C570" s="1" t="s">
        <v>17</v>
      </c>
      <c r="D570" s="1">
        <v>719</v>
      </c>
      <c r="E570" s="1">
        <v>313</v>
      </c>
      <c r="F570" s="1">
        <v>391</v>
      </c>
      <c r="G570" s="1">
        <v>2</v>
      </c>
      <c r="H570" s="1">
        <v>12333</v>
      </c>
      <c r="I570" s="1">
        <v>0</v>
      </c>
      <c r="J570" s="1">
        <v>84</v>
      </c>
      <c r="K570" s="1">
        <v>337</v>
      </c>
      <c r="L570" s="1">
        <v>373</v>
      </c>
      <c r="M570" s="1">
        <v>6.4285714289999998</v>
      </c>
      <c r="N570">
        <f>VLOOKUP(A570,vlookup_table!$A:$G,2,FALSE)</f>
        <v>0</v>
      </c>
      <c r="O570" t="str">
        <f>VLOOKUP(A570,vlookup_table!$A:$G,3,FALSE)</f>
        <v>LA</v>
      </c>
      <c r="P570">
        <f>VLOOKUP(A570,vlookup_table!$A:$G,4,FALSE)</f>
        <v>5701</v>
      </c>
      <c r="Q570" t="str">
        <f>VLOOKUP(A570,vlookup_table!$A:$G,5,FALSE)</f>
        <v>T2</v>
      </c>
      <c r="R570" t="str">
        <f>VLOOKUP(A570,vlookup_table!$A:$G,6,FALSE)</f>
        <v>F</v>
      </c>
      <c r="S570">
        <f>VLOOKUP(A570,vlookup_table!$A:$G,7,FALSE)</f>
        <v>6</v>
      </c>
      <c r="T570">
        <f t="shared" si="16"/>
        <v>39</v>
      </c>
      <c r="U570" t="str">
        <f t="shared" si="17"/>
        <v>Pueblo</v>
      </c>
    </row>
    <row r="571" spans="1:21" ht="16" x14ac:dyDescent="0.4">
      <c r="A571" s="4">
        <v>174182</v>
      </c>
      <c r="B571" s="1" t="s">
        <v>34</v>
      </c>
      <c r="C571" s="1" t="s">
        <v>17</v>
      </c>
      <c r="D571" s="1">
        <v>3063</v>
      </c>
      <c r="E571" s="1">
        <v>337</v>
      </c>
      <c r="F571" s="1">
        <v>506</v>
      </c>
      <c r="G571" s="1">
        <v>78</v>
      </c>
      <c r="H571" s="1">
        <v>21051</v>
      </c>
      <c r="I571" s="1">
        <v>22</v>
      </c>
      <c r="J571" s="1">
        <v>41</v>
      </c>
      <c r="K571" s="1">
        <v>429</v>
      </c>
      <c r="L571" s="1">
        <v>418</v>
      </c>
      <c r="M571" s="1">
        <v>20</v>
      </c>
      <c r="N571">
        <f>VLOOKUP(A571,vlookup_table!$A:$G,2,FALSE)</f>
        <v>0</v>
      </c>
      <c r="O571" t="str">
        <f>VLOOKUP(A571,vlookup_table!$A:$G,3,FALSE)</f>
        <v>HI</v>
      </c>
      <c r="P571">
        <f>VLOOKUP(A571,vlookup_table!$A:$G,4,FALSE)</f>
        <v>3201</v>
      </c>
      <c r="Q571" t="str">
        <f>VLOOKUP(A571,vlookup_table!$A:$G,5,FALSE)</f>
        <v>U1</v>
      </c>
      <c r="R571" t="str">
        <f>VLOOKUP(A571,vlookup_table!$A:$G,6,FALSE)</f>
        <v>F</v>
      </c>
      <c r="S571">
        <f>VLOOKUP(A571,vlookup_table!$A:$G,7,FALSE)</f>
        <v>20</v>
      </c>
      <c r="T571">
        <f t="shared" si="16"/>
        <v>64</v>
      </c>
      <c r="U571" t="str">
        <f t="shared" si="17"/>
        <v>Urbano</v>
      </c>
    </row>
    <row r="572" spans="1:21" ht="16" x14ac:dyDescent="0.4">
      <c r="A572" s="4">
        <v>183722</v>
      </c>
      <c r="B572" s="1" t="s">
        <v>37</v>
      </c>
      <c r="C572" s="1" t="s">
        <v>17</v>
      </c>
      <c r="D572" s="1">
        <v>684</v>
      </c>
      <c r="E572" s="1">
        <v>280</v>
      </c>
      <c r="F572" s="1">
        <v>355</v>
      </c>
      <c r="G572" s="1">
        <v>1</v>
      </c>
      <c r="H572" s="1">
        <v>11763</v>
      </c>
      <c r="I572" s="1">
        <v>2</v>
      </c>
      <c r="J572" s="1">
        <v>57</v>
      </c>
      <c r="K572" s="1">
        <v>311</v>
      </c>
      <c r="L572" s="1">
        <v>326</v>
      </c>
      <c r="M572" s="1">
        <v>12.2</v>
      </c>
      <c r="N572">
        <f>VLOOKUP(A572,vlookup_table!$A:$G,2,FALSE)</f>
        <v>0</v>
      </c>
      <c r="O572" t="str">
        <f>VLOOKUP(A572,vlookup_table!$A:$G,3,FALSE)</f>
        <v>WA</v>
      </c>
      <c r="P572">
        <f>VLOOKUP(A572,vlookup_table!$A:$G,4,FALSE)</f>
        <v>4808</v>
      </c>
      <c r="Q572" t="str">
        <f>VLOOKUP(A572,vlookup_table!$A:$G,5,FALSE)</f>
        <v>R2</v>
      </c>
      <c r="R572" t="str">
        <f>VLOOKUP(A572,vlookup_table!$A:$G,6,FALSE)</f>
        <v>F</v>
      </c>
      <c r="S572">
        <f>VLOOKUP(A572,vlookup_table!$A:$G,7,FALSE)</f>
        <v>20</v>
      </c>
      <c r="T572">
        <f t="shared" si="16"/>
        <v>48</v>
      </c>
      <c r="U572" t="str">
        <f t="shared" si="17"/>
        <v>Rural</v>
      </c>
    </row>
    <row r="573" spans="1:21" ht="16" x14ac:dyDescent="0.4">
      <c r="A573" s="4">
        <v>98374</v>
      </c>
      <c r="B573" s="1" t="s">
        <v>16</v>
      </c>
      <c r="C573" s="1" t="s">
        <v>17</v>
      </c>
      <c r="D573" s="1">
        <v>376</v>
      </c>
      <c r="E573" s="1">
        <v>268</v>
      </c>
      <c r="F573" s="1">
        <v>344</v>
      </c>
      <c r="G573" s="1">
        <v>0</v>
      </c>
      <c r="H573" s="1">
        <v>11979</v>
      </c>
      <c r="I573" s="1">
        <v>0</v>
      </c>
      <c r="J573" s="1">
        <v>86</v>
      </c>
      <c r="K573" s="1">
        <v>339</v>
      </c>
      <c r="L573" s="1">
        <v>304</v>
      </c>
      <c r="M573" s="1">
        <v>6.2173913040000004</v>
      </c>
      <c r="N573">
        <f>VLOOKUP(A573,vlookup_table!$A:$G,2,FALSE)</f>
        <v>0</v>
      </c>
      <c r="O573" t="str">
        <f>VLOOKUP(A573,vlookup_table!$A:$G,3,FALSE)</f>
        <v>IL</v>
      </c>
      <c r="P573">
        <f>VLOOKUP(A573,vlookup_table!$A:$G,4,FALSE)</f>
        <v>2008</v>
      </c>
      <c r="Q573" t="str">
        <f>VLOOKUP(A573,vlookup_table!$A:$G,5,FALSE)</f>
        <v>C2</v>
      </c>
      <c r="R573" t="str">
        <f>VLOOKUP(A573,vlookup_table!$A:$G,6,FALSE)</f>
        <v>F</v>
      </c>
      <c r="S573">
        <f>VLOOKUP(A573,vlookup_table!$A:$G,7,FALSE)</f>
        <v>15</v>
      </c>
      <c r="T573">
        <f t="shared" si="16"/>
        <v>76</v>
      </c>
      <c r="U573" t="str">
        <f t="shared" si="17"/>
        <v>Ciudad</v>
      </c>
    </row>
    <row r="574" spans="1:21" ht="16" x14ac:dyDescent="0.4">
      <c r="A574" s="4">
        <v>126681</v>
      </c>
      <c r="B574" s="1" t="s">
        <v>20</v>
      </c>
      <c r="C574" s="1" t="s">
        <v>17</v>
      </c>
      <c r="D574" s="1">
        <v>927</v>
      </c>
      <c r="E574" s="1">
        <v>386</v>
      </c>
      <c r="F574" s="1">
        <v>484</v>
      </c>
      <c r="G574" s="1">
        <v>5</v>
      </c>
      <c r="H574" s="1">
        <v>16777</v>
      </c>
      <c r="I574" s="1">
        <v>2</v>
      </c>
      <c r="J574" s="1">
        <v>57</v>
      </c>
      <c r="K574" s="1">
        <v>417</v>
      </c>
      <c r="L574" s="1">
        <v>448</v>
      </c>
      <c r="M574" s="1">
        <v>9.7333333329999991</v>
      </c>
      <c r="N574">
        <f>VLOOKUP(A574,vlookup_table!$A:$G,2,FALSE)</f>
        <v>28</v>
      </c>
      <c r="O574" t="str">
        <f>VLOOKUP(A574,vlookup_table!$A:$G,3,FALSE)</f>
        <v>TX</v>
      </c>
      <c r="P574">
        <f>VLOOKUP(A574,vlookup_table!$A:$G,4,FALSE)</f>
        <v>3911</v>
      </c>
      <c r="Q574" t="str">
        <f>VLOOKUP(A574,vlookup_table!$A:$G,5,FALSE)</f>
        <v>R2</v>
      </c>
      <c r="R574" t="str">
        <f>VLOOKUP(A574,vlookup_table!$A:$G,6,FALSE)</f>
        <v>F</v>
      </c>
      <c r="S574">
        <f>VLOOKUP(A574,vlookup_table!$A:$G,7,FALSE)</f>
        <v>15</v>
      </c>
      <c r="T574">
        <f t="shared" si="16"/>
        <v>57</v>
      </c>
      <c r="U574" t="str">
        <f t="shared" si="17"/>
        <v>Rural</v>
      </c>
    </row>
    <row r="575" spans="1:21" ht="16" x14ac:dyDescent="0.4">
      <c r="A575" s="4">
        <v>147936</v>
      </c>
      <c r="B575" s="1" t="s">
        <v>21</v>
      </c>
      <c r="C575" s="1" t="s">
        <v>14</v>
      </c>
      <c r="D575" s="1">
        <v>3511</v>
      </c>
      <c r="E575" s="1">
        <v>373</v>
      </c>
      <c r="F575" s="1">
        <v>491</v>
      </c>
      <c r="G575" s="1">
        <v>92</v>
      </c>
      <c r="H575" s="1">
        <v>23187</v>
      </c>
      <c r="I575" s="1">
        <v>44</v>
      </c>
      <c r="J575" s="1">
        <v>25</v>
      </c>
      <c r="K575" s="1">
        <v>452</v>
      </c>
      <c r="L575" s="1">
        <v>421</v>
      </c>
      <c r="M575" s="1">
        <v>5.4666666670000001</v>
      </c>
      <c r="N575">
        <f>VLOOKUP(A575,vlookup_table!$A:$G,2,FALSE)</f>
        <v>1</v>
      </c>
      <c r="O575" t="str">
        <f>VLOOKUP(A575,vlookup_table!$A:$G,3,FALSE)</f>
        <v>CA</v>
      </c>
      <c r="P575">
        <f>VLOOKUP(A575,vlookup_table!$A:$G,4,FALSE)</f>
        <v>901</v>
      </c>
      <c r="Q575" t="str">
        <f>VLOOKUP(A575,vlookup_table!$A:$G,5,FALSE)</f>
        <v>U1</v>
      </c>
      <c r="R575" t="str">
        <f>VLOOKUP(A575,vlookup_table!$A:$G,6,FALSE)</f>
        <v>M</v>
      </c>
      <c r="S575">
        <f>VLOOKUP(A575,vlookup_table!$A:$G,7,FALSE)</f>
        <v>5</v>
      </c>
      <c r="T575">
        <f t="shared" si="16"/>
        <v>6</v>
      </c>
      <c r="U575" t="str">
        <f t="shared" si="17"/>
        <v>Urbano</v>
      </c>
    </row>
    <row r="576" spans="1:21" ht="16" x14ac:dyDescent="0.4">
      <c r="A576" s="4">
        <v>152133</v>
      </c>
      <c r="B576" s="1" t="s">
        <v>21</v>
      </c>
      <c r="C576" s="1" t="s">
        <v>17</v>
      </c>
      <c r="D576" s="1">
        <v>1185</v>
      </c>
      <c r="E576" s="1">
        <v>354</v>
      </c>
      <c r="F576" s="1">
        <v>383</v>
      </c>
      <c r="G576" s="1">
        <v>0</v>
      </c>
      <c r="H576" s="1">
        <v>11061</v>
      </c>
      <c r="I576" s="1">
        <v>16</v>
      </c>
      <c r="J576" s="1">
        <v>48</v>
      </c>
      <c r="K576" s="1">
        <v>373</v>
      </c>
      <c r="L576" s="1">
        <v>369</v>
      </c>
      <c r="M576" s="1">
        <v>21.666666670000001</v>
      </c>
      <c r="N576">
        <f>VLOOKUP(A576,vlookup_table!$A:$G,2,FALSE)</f>
        <v>28</v>
      </c>
      <c r="O576" t="str">
        <f>VLOOKUP(A576,vlookup_table!$A:$G,3,FALSE)</f>
        <v>CA</v>
      </c>
      <c r="P576">
        <f>VLOOKUP(A576,vlookup_table!$A:$G,4,FALSE)</f>
        <v>0</v>
      </c>
      <c r="Q576" t="str">
        <f>VLOOKUP(A576,vlookup_table!$A:$G,5,FALSE)</f>
        <v>S3</v>
      </c>
      <c r="R576" t="str">
        <f>VLOOKUP(A576,vlookup_table!$A:$G,6,FALSE)</f>
        <v>F</v>
      </c>
      <c r="S576">
        <f>VLOOKUP(A576,vlookup_table!$A:$G,7,FALSE)</f>
        <v>5</v>
      </c>
      <c r="T576">
        <f t="shared" si="16"/>
        <v>96</v>
      </c>
      <c r="U576" t="str">
        <f t="shared" si="17"/>
        <v>Suburbano</v>
      </c>
    </row>
    <row r="577" spans="1:21" ht="16" x14ac:dyDescent="0.4">
      <c r="A577" s="4">
        <v>57929</v>
      </c>
      <c r="B577" s="1" t="s">
        <v>53</v>
      </c>
      <c r="C577" s="1" t="s">
        <v>17</v>
      </c>
      <c r="D577" s="1">
        <v>453</v>
      </c>
      <c r="E577" s="1">
        <v>215</v>
      </c>
      <c r="F577" s="1">
        <v>302</v>
      </c>
      <c r="G577" s="1">
        <v>1</v>
      </c>
      <c r="H577" s="1">
        <v>9722</v>
      </c>
      <c r="I577" s="1">
        <v>0</v>
      </c>
      <c r="J577" s="1">
        <v>82</v>
      </c>
      <c r="K577" s="1">
        <v>260</v>
      </c>
      <c r="L577" s="1">
        <v>266</v>
      </c>
      <c r="M577" s="1">
        <v>8.307692308</v>
      </c>
      <c r="N577">
        <f>VLOOKUP(A577,vlookup_table!$A:$G,2,FALSE)</f>
        <v>2</v>
      </c>
      <c r="O577" t="str">
        <f>VLOOKUP(A577,vlookup_table!$A:$G,3,FALSE)</f>
        <v>KY</v>
      </c>
      <c r="P577">
        <f>VLOOKUP(A577,vlookup_table!$A:$G,4,FALSE)</f>
        <v>3503</v>
      </c>
      <c r="Q577" t="str">
        <f>VLOOKUP(A577,vlookup_table!$A:$G,5,FALSE)</f>
        <v>R3</v>
      </c>
      <c r="R577" t="str">
        <f>VLOOKUP(A577,vlookup_table!$A:$G,6,FALSE)</f>
        <v>F</v>
      </c>
      <c r="S577">
        <f>VLOOKUP(A577,vlookup_table!$A:$G,7,FALSE)</f>
        <v>10</v>
      </c>
      <c r="T577">
        <f t="shared" si="16"/>
        <v>61</v>
      </c>
      <c r="U577" t="str">
        <f t="shared" si="17"/>
        <v>Rural</v>
      </c>
    </row>
    <row r="578" spans="1:21" ht="16" x14ac:dyDescent="0.4">
      <c r="A578" s="4">
        <v>15697</v>
      </c>
      <c r="B578" s="1" t="s">
        <v>18</v>
      </c>
      <c r="C578" s="1" t="s">
        <v>27</v>
      </c>
      <c r="D578" s="1">
        <v>535</v>
      </c>
      <c r="E578" s="1">
        <v>283</v>
      </c>
      <c r="F578" s="1">
        <v>336</v>
      </c>
      <c r="G578" s="1">
        <v>1</v>
      </c>
      <c r="H578" s="1">
        <v>12206</v>
      </c>
      <c r="I578" s="1">
        <v>3</v>
      </c>
      <c r="J578" s="1">
        <v>77</v>
      </c>
      <c r="K578" s="1">
        <v>307</v>
      </c>
      <c r="L578" s="1">
        <v>306</v>
      </c>
      <c r="M578" s="1">
        <v>14</v>
      </c>
      <c r="N578">
        <f>VLOOKUP(A578,vlookup_table!$A:$G,2,FALSE)</f>
        <v>0</v>
      </c>
      <c r="O578" t="str">
        <f>VLOOKUP(A578,vlookup_table!$A:$G,3,FALSE)</f>
        <v>NC</v>
      </c>
      <c r="P578">
        <f>VLOOKUP(A578,vlookup_table!$A:$G,4,FALSE)</f>
        <v>0</v>
      </c>
      <c r="Q578" t="str">
        <f>VLOOKUP(A578,vlookup_table!$A:$G,5,FALSE)</f>
        <v>R2</v>
      </c>
      <c r="R578" t="str">
        <f>VLOOKUP(A578,vlookup_table!$A:$G,6,FALSE)</f>
        <v>U</v>
      </c>
      <c r="S578">
        <f>VLOOKUP(A578,vlookup_table!$A:$G,7,FALSE)</f>
        <v>20</v>
      </c>
      <c r="T578">
        <f t="shared" si="16"/>
        <v>96</v>
      </c>
      <c r="U578" t="str">
        <f t="shared" si="17"/>
        <v>Rural</v>
      </c>
    </row>
    <row r="579" spans="1:21" ht="16" x14ac:dyDescent="0.4">
      <c r="A579" s="4">
        <v>92814</v>
      </c>
      <c r="B579" s="1" t="s">
        <v>16</v>
      </c>
      <c r="C579" s="1" t="s">
        <v>17</v>
      </c>
      <c r="D579" s="1">
        <v>747</v>
      </c>
      <c r="E579" s="1">
        <v>458</v>
      </c>
      <c r="F579" s="1">
        <v>503</v>
      </c>
      <c r="G579" s="1">
        <v>0</v>
      </c>
      <c r="H579" s="1">
        <v>14965</v>
      </c>
      <c r="I579" s="1">
        <v>13</v>
      </c>
      <c r="J579" s="1">
        <v>63</v>
      </c>
      <c r="K579" s="1">
        <v>489</v>
      </c>
      <c r="L579" s="1">
        <v>475</v>
      </c>
      <c r="M579" s="1">
        <v>10</v>
      </c>
      <c r="N579">
        <f>VLOOKUP(A579,vlookup_table!$A:$G,2,FALSE)</f>
        <v>0</v>
      </c>
      <c r="O579" t="str">
        <f>VLOOKUP(A579,vlookup_table!$A:$G,3,FALSE)</f>
        <v>IL</v>
      </c>
      <c r="P579">
        <f>VLOOKUP(A579,vlookup_table!$A:$G,4,FALSE)</f>
        <v>6401</v>
      </c>
      <c r="Q579" t="str">
        <f>VLOOKUP(A579,vlookup_table!$A:$G,5,FALSE)</f>
        <v>U1</v>
      </c>
      <c r="R579" t="str">
        <f>VLOOKUP(A579,vlookup_table!$A:$G,6,FALSE)</f>
        <v>F</v>
      </c>
      <c r="S579">
        <f>VLOOKUP(A579,vlookup_table!$A:$G,7,FALSE)</f>
        <v>25</v>
      </c>
      <c r="T579">
        <f t="shared" ref="T579:T642" si="18">97-LEFT(P579,2)-IF(RIGHT(P579,2)&gt;6,1,0)</f>
        <v>32</v>
      </c>
      <c r="U579" t="str">
        <f t="shared" ref="U579:U642" si="19">IF(LEFT(Q579,1)="C","Ciudad",IF(LEFT(Q579,1)="T","Pueblo",IF(LEFT(Q579,1)="R","Rural",IF(LEFT(Q579,1)="S","Suburbano",IF(LEFT(Q579,1)="U","Urbano","")))))</f>
        <v>Urbano</v>
      </c>
    </row>
    <row r="580" spans="1:21" ht="16" x14ac:dyDescent="0.4">
      <c r="A580" s="4">
        <v>98282</v>
      </c>
      <c r="B580" s="1" t="s">
        <v>16</v>
      </c>
      <c r="C580" s="1" t="s">
        <v>14</v>
      </c>
      <c r="D580" s="1">
        <v>439</v>
      </c>
      <c r="E580" s="1">
        <v>362</v>
      </c>
      <c r="F580" s="1">
        <v>404</v>
      </c>
      <c r="G580" s="1">
        <v>0</v>
      </c>
      <c r="H580" s="1">
        <v>13570</v>
      </c>
      <c r="I580" s="1">
        <v>1</v>
      </c>
      <c r="J580" s="1">
        <v>89</v>
      </c>
      <c r="K580" s="1">
        <v>388</v>
      </c>
      <c r="L580" s="1">
        <v>371</v>
      </c>
      <c r="M580" s="1">
        <v>10.6</v>
      </c>
      <c r="N580">
        <f>VLOOKUP(A580,vlookup_table!$A:$G,2,FALSE)</f>
        <v>0</v>
      </c>
      <c r="O580" t="str">
        <f>VLOOKUP(A580,vlookup_table!$A:$G,3,FALSE)</f>
        <v>IL</v>
      </c>
      <c r="P580">
        <f>VLOOKUP(A580,vlookup_table!$A:$G,4,FALSE)</f>
        <v>3505</v>
      </c>
      <c r="Q580" t="str">
        <f>VLOOKUP(A580,vlookup_table!$A:$G,5,FALSE)</f>
        <v>R2</v>
      </c>
      <c r="R580" t="str">
        <f>VLOOKUP(A580,vlookup_table!$A:$G,6,FALSE)</f>
        <v>M</v>
      </c>
      <c r="S580">
        <f>VLOOKUP(A580,vlookup_table!$A:$G,7,FALSE)</f>
        <v>15</v>
      </c>
      <c r="T580">
        <f t="shared" si="18"/>
        <v>61</v>
      </c>
      <c r="U580" t="str">
        <f t="shared" si="19"/>
        <v>Rural</v>
      </c>
    </row>
    <row r="581" spans="1:21" ht="16" x14ac:dyDescent="0.4">
      <c r="A581" s="4">
        <v>27798</v>
      </c>
      <c r="B581" s="1" t="s">
        <v>36</v>
      </c>
      <c r="C581" s="1" t="s">
        <v>17</v>
      </c>
      <c r="D581" s="1">
        <v>935</v>
      </c>
      <c r="E581" s="1">
        <v>419</v>
      </c>
      <c r="F581" s="1">
        <v>541</v>
      </c>
      <c r="G581" s="1">
        <v>8</v>
      </c>
      <c r="H581" s="1">
        <v>16922</v>
      </c>
      <c r="I581" s="1">
        <v>1</v>
      </c>
      <c r="J581" s="1">
        <v>61</v>
      </c>
      <c r="K581" s="1">
        <v>439</v>
      </c>
      <c r="L581" s="1">
        <v>510</v>
      </c>
      <c r="M581" s="1">
        <v>11.21428571</v>
      </c>
      <c r="N581">
        <f>VLOOKUP(A581,vlookup_table!$A:$G,2,FALSE)</f>
        <v>0</v>
      </c>
      <c r="O581" t="str">
        <f>VLOOKUP(A581,vlookup_table!$A:$G,3,FALSE)</f>
        <v>GA</v>
      </c>
      <c r="P581">
        <f>VLOOKUP(A581,vlookup_table!$A:$G,4,FALSE)</f>
        <v>4301</v>
      </c>
      <c r="Q581" t="str">
        <f>VLOOKUP(A581,vlookup_table!$A:$G,5,FALSE)</f>
        <v>T2</v>
      </c>
      <c r="R581" t="str">
        <f>VLOOKUP(A581,vlookup_table!$A:$G,6,FALSE)</f>
        <v>F</v>
      </c>
      <c r="S581">
        <f>VLOOKUP(A581,vlookup_table!$A:$G,7,FALSE)</f>
        <v>10</v>
      </c>
      <c r="T581">
        <f t="shared" si="18"/>
        <v>53</v>
      </c>
      <c r="U581" t="str">
        <f t="shared" si="19"/>
        <v>Pueblo</v>
      </c>
    </row>
    <row r="582" spans="1:21" ht="16" x14ac:dyDescent="0.4">
      <c r="A582" s="4">
        <v>45503</v>
      </c>
      <c r="B582" s="1" t="s">
        <v>13</v>
      </c>
      <c r="C582" s="1" t="s">
        <v>14</v>
      </c>
      <c r="D582" s="1">
        <v>616</v>
      </c>
      <c r="E582" s="1">
        <v>212</v>
      </c>
      <c r="F582" s="1">
        <v>282</v>
      </c>
      <c r="G582" s="1">
        <v>1</v>
      </c>
      <c r="H582" s="1">
        <v>11912</v>
      </c>
      <c r="I582" s="1">
        <v>5</v>
      </c>
      <c r="J582" s="1">
        <v>16</v>
      </c>
      <c r="K582" s="1">
        <v>234</v>
      </c>
      <c r="L582" s="1">
        <v>248</v>
      </c>
      <c r="M582" s="1">
        <v>5.1333333330000004</v>
      </c>
      <c r="N582">
        <f>VLOOKUP(A582,vlookup_table!$A:$G,2,FALSE)</f>
        <v>1</v>
      </c>
      <c r="O582" t="str">
        <f>VLOOKUP(A582,vlookup_table!$A:$G,3,FALSE)</f>
        <v>FL</v>
      </c>
      <c r="P582">
        <f>VLOOKUP(A582,vlookup_table!$A:$G,4,FALSE)</f>
        <v>3709</v>
      </c>
      <c r="Q582" t="str">
        <f>VLOOKUP(A582,vlookup_table!$A:$G,5,FALSE)</f>
        <v>C3</v>
      </c>
      <c r="R582" t="str">
        <f>VLOOKUP(A582,vlookup_table!$A:$G,6,FALSE)</f>
        <v>M</v>
      </c>
      <c r="S582">
        <f>VLOOKUP(A582,vlookup_table!$A:$G,7,FALSE)</f>
        <v>5</v>
      </c>
      <c r="T582">
        <f t="shared" si="18"/>
        <v>59</v>
      </c>
      <c r="U582" t="str">
        <f t="shared" si="19"/>
        <v>Ciudad</v>
      </c>
    </row>
    <row r="583" spans="1:21" ht="16" x14ac:dyDescent="0.4">
      <c r="A583" s="4">
        <v>6006</v>
      </c>
      <c r="B583" s="1" t="s">
        <v>45</v>
      </c>
      <c r="C583" s="1" t="s">
        <v>17</v>
      </c>
      <c r="D583" s="1">
        <v>947</v>
      </c>
      <c r="E583" s="1">
        <v>300</v>
      </c>
      <c r="F583" s="1">
        <v>469</v>
      </c>
      <c r="G583" s="1">
        <v>3</v>
      </c>
      <c r="H583" s="1">
        <v>17986</v>
      </c>
      <c r="I583" s="1">
        <v>2</v>
      </c>
      <c r="J583" s="1">
        <v>43</v>
      </c>
      <c r="K583" s="1">
        <v>360</v>
      </c>
      <c r="L583" s="1">
        <v>342</v>
      </c>
      <c r="M583" s="1">
        <v>85</v>
      </c>
      <c r="N583">
        <f>VLOOKUP(A583,vlookup_table!$A:$G,2,FALSE)</f>
        <v>0</v>
      </c>
      <c r="O583" t="str">
        <f>VLOOKUP(A583,vlookup_table!$A:$G,3,FALSE)</f>
        <v>CO</v>
      </c>
      <c r="P583">
        <f>VLOOKUP(A583,vlookup_table!$A:$G,4,FALSE)</f>
        <v>1602</v>
      </c>
      <c r="Q583" t="str">
        <f>VLOOKUP(A583,vlookup_table!$A:$G,5,FALSE)</f>
        <v>C1</v>
      </c>
      <c r="R583" t="str">
        <f>VLOOKUP(A583,vlookup_table!$A:$G,6,FALSE)</f>
        <v>F</v>
      </c>
      <c r="S583">
        <f>VLOOKUP(A583,vlookup_table!$A:$G,7,FALSE)</f>
        <v>100</v>
      </c>
      <c r="T583">
        <f t="shared" si="18"/>
        <v>80</v>
      </c>
      <c r="U583" t="str">
        <f t="shared" si="19"/>
        <v>Ciudad</v>
      </c>
    </row>
    <row r="584" spans="1:21" ht="16" x14ac:dyDescent="0.4">
      <c r="A584" s="4">
        <v>138182</v>
      </c>
      <c r="B584" s="1" t="s">
        <v>51</v>
      </c>
      <c r="C584" s="1" t="s">
        <v>97</v>
      </c>
      <c r="D584" s="1">
        <v>572</v>
      </c>
      <c r="E584" s="1">
        <v>204</v>
      </c>
      <c r="F584" s="1">
        <v>253</v>
      </c>
      <c r="G584" s="1">
        <v>1</v>
      </c>
      <c r="H584" s="1">
        <v>10858</v>
      </c>
      <c r="I584" s="1">
        <v>7</v>
      </c>
      <c r="J584" s="1">
        <v>36</v>
      </c>
      <c r="K584" s="1">
        <v>242</v>
      </c>
      <c r="L584" s="1">
        <v>238</v>
      </c>
      <c r="M584" s="1">
        <v>6</v>
      </c>
      <c r="N584">
        <f>VLOOKUP(A584,vlookup_table!$A:$G,2,FALSE)</f>
        <v>28</v>
      </c>
      <c r="O584" t="str">
        <f>VLOOKUP(A584,vlookup_table!$A:$G,3,FALSE)</f>
        <v>AZ</v>
      </c>
      <c r="P584">
        <f>VLOOKUP(A584,vlookup_table!$A:$G,4,FALSE)</f>
        <v>2911</v>
      </c>
      <c r="Q584" t="str">
        <f>VLOOKUP(A584,vlookup_table!$A:$G,5,FALSE)</f>
        <v>C2</v>
      </c>
      <c r="R584" t="str">
        <f>VLOOKUP(A584,vlookup_table!$A:$G,6,FALSE)</f>
        <v>F</v>
      </c>
      <c r="S584">
        <f>VLOOKUP(A584,vlookup_table!$A:$G,7,FALSE)</f>
        <v>5</v>
      </c>
      <c r="T584">
        <f t="shared" si="18"/>
        <v>67</v>
      </c>
      <c r="U584" t="str">
        <f t="shared" si="19"/>
        <v>Ciudad</v>
      </c>
    </row>
    <row r="585" spans="1:21" ht="16" x14ac:dyDescent="0.4">
      <c r="A585" s="4">
        <v>144714</v>
      </c>
      <c r="B585" s="1" t="s">
        <v>21</v>
      </c>
      <c r="C585" s="1" t="s">
        <v>17</v>
      </c>
      <c r="D585" s="1">
        <v>5014</v>
      </c>
      <c r="E585" s="1">
        <v>756</v>
      </c>
      <c r="F585" s="1">
        <v>770</v>
      </c>
      <c r="G585" s="1">
        <v>98</v>
      </c>
      <c r="H585" s="1">
        <v>31694</v>
      </c>
      <c r="I585" s="1">
        <v>6</v>
      </c>
      <c r="J585" s="1">
        <v>55</v>
      </c>
      <c r="K585" s="1">
        <v>664</v>
      </c>
      <c r="L585" s="1">
        <v>765</v>
      </c>
      <c r="M585" s="1">
        <v>13</v>
      </c>
      <c r="N585">
        <f>VLOOKUP(A585,vlookup_table!$A:$G,2,FALSE)</f>
        <v>0</v>
      </c>
      <c r="O585" t="str">
        <f>VLOOKUP(A585,vlookup_table!$A:$G,3,FALSE)</f>
        <v>CA</v>
      </c>
      <c r="P585">
        <f>VLOOKUP(A585,vlookup_table!$A:$G,4,FALSE)</f>
        <v>0</v>
      </c>
      <c r="Q585" t="str">
        <f>VLOOKUP(A585,vlookup_table!$A:$G,5,FALSE)</f>
        <v>S1</v>
      </c>
      <c r="R585" t="str">
        <f>VLOOKUP(A585,vlookup_table!$A:$G,6,FALSE)</f>
        <v>F</v>
      </c>
      <c r="S585">
        <f>VLOOKUP(A585,vlookup_table!$A:$G,7,FALSE)</f>
        <v>16</v>
      </c>
      <c r="T585">
        <f t="shared" si="18"/>
        <v>96</v>
      </c>
      <c r="U585" t="str">
        <f t="shared" si="19"/>
        <v>Suburbano</v>
      </c>
    </row>
    <row r="586" spans="1:21" ht="16" x14ac:dyDescent="0.4">
      <c r="A586" s="4">
        <v>10001</v>
      </c>
      <c r="B586" s="1" t="s">
        <v>16</v>
      </c>
      <c r="C586" s="1" t="s">
        <v>14</v>
      </c>
      <c r="D586" s="1">
        <v>675</v>
      </c>
      <c r="E586" s="1">
        <v>278</v>
      </c>
      <c r="F586" s="1">
        <v>409</v>
      </c>
      <c r="G586" s="1">
        <v>0</v>
      </c>
      <c r="H586" s="1">
        <v>22221</v>
      </c>
      <c r="I586" s="1">
        <v>0</v>
      </c>
      <c r="J586" s="1">
        <v>65</v>
      </c>
      <c r="K586" s="1">
        <v>298</v>
      </c>
      <c r="L586" s="1">
        <v>341</v>
      </c>
      <c r="M586" s="1">
        <v>11.222222220000001</v>
      </c>
      <c r="N586">
        <f>VLOOKUP(A586,vlookup_table!$A:$G,2,FALSE)</f>
        <v>1</v>
      </c>
      <c r="O586" t="str">
        <f>VLOOKUP(A586,vlookup_table!$A:$G,3,FALSE)</f>
        <v>IL</v>
      </c>
      <c r="P586">
        <f>VLOOKUP(A586,vlookup_table!$A:$G,4,FALSE)</f>
        <v>5508</v>
      </c>
      <c r="Q586" t="str">
        <f>VLOOKUP(A586,vlookup_table!$A:$G,5,FALSE)</f>
        <v>C1</v>
      </c>
      <c r="R586" t="str">
        <f>VLOOKUP(A586,vlookup_table!$A:$G,6,FALSE)</f>
        <v>M</v>
      </c>
      <c r="S586">
        <f>VLOOKUP(A586,vlookup_table!$A:$G,7,FALSE)</f>
        <v>16</v>
      </c>
      <c r="T586">
        <f t="shared" si="18"/>
        <v>41</v>
      </c>
      <c r="U586" t="str">
        <f t="shared" si="19"/>
        <v>Ciudad</v>
      </c>
    </row>
    <row r="587" spans="1:21" ht="16" x14ac:dyDescent="0.4">
      <c r="A587" s="4">
        <v>157860</v>
      </c>
      <c r="B587" s="1" t="s">
        <v>21</v>
      </c>
      <c r="C587" s="1" t="s">
        <v>14</v>
      </c>
      <c r="D587" s="1">
        <v>3663</v>
      </c>
      <c r="E587" s="1">
        <v>749</v>
      </c>
      <c r="F587" s="1">
        <v>818</v>
      </c>
      <c r="G587" s="1">
        <v>87</v>
      </c>
      <c r="H587" s="1">
        <v>27400</v>
      </c>
      <c r="I587" s="1">
        <v>14</v>
      </c>
      <c r="J587" s="1">
        <v>52</v>
      </c>
      <c r="K587" s="1">
        <v>777</v>
      </c>
      <c r="L587" s="1">
        <v>784</v>
      </c>
      <c r="M587" s="1">
        <v>4.2857142860000002</v>
      </c>
      <c r="N587">
        <f>VLOOKUP(A587,vlookup_table!$A:$G,2,FALSE)</f>
        <v>1002</v>
      </c>
      <c r="O587" t="str">
        <f>VLOOKUP(A587,vlookup_table!$A:$G,3,FALSE)</f>
        <v>CA</v>
      </c>
      <c r="P587">
        <f>VLOOKUP(A587,vlookup_table!$A:$G,4,FALSE)</f>
        <v>5701</v>
      </c>
      <c r="Q587" t="str">
        <f>VLOOKUP(A587,vlookup_table!$A:$G,5,FALSE)</f>
        <v>S1</v>
      </c>
      <c r="R587" t="str">
        <f>VLOOKUP(A587,vlookup_table!$A:$G,6,FALSE)</f>
        <v>M</v>
      </c>
      <c r="S587">
        <f>VLOOKUP(A587,vlookup_table!$A:$G,7,FALSE)</f>
        <v>4</v>
      </c>
      <c r="T587">
        <f t="shared" si="18"/>
        <v>39</v>
      </c>
      <c r="U587" t="str">
        <f t="shared" si="19"/>
        <v>Suburbano</v>
      </c>
    </row>
    <row r="588" spans="1:21" ht="16" x14ac:dyDescent="0.4">
      <c r="A588" s="4">
        <v>58351</v>
      </c>
      <c r="B588" s="1" t="s">
        <v>53</v>
      </c>
      <c r="C588" s="1" t="s">
        <v>14</v>
      </c>
      <c r="D588" s="1">
        <v>269</v>
      </c>
      <c r="E588" s="1">
        <v>224</v>
      </c>
      <c r="F588" s="1">
        <v>284</v>
      </c>
      <c r="G588" s="1">
        <v>0</v>
      </c>
      <c r="H588" s="1">
        <v>8172</v>
      </c>
      <c r="I588" s="1">
        <v>0</v>
      </c>
      <c r="J588" s="1">
        <v>77</v>
      </c>
      <c r="K588" s="1">
        <v>256</v>
      </c>
      <c r="L588" s="1">
        <v>250</v>
      </c>
      <c r="M588" s="1">
        <v>7.75</v>
      </c>
      <c r="N588">
        <f>VLOOKUP(A588,vlookup_table!$A:$G,2,FALSE)</f>
        <v>1</v>
      </c>
      <c r="O588" t="str">
        <f>VLOOKUP(A588,vlookup_table!$A:$G,3,FALSE)</f>
        <v>KY</v>
      </c>
      <c r="P588">
        <f>VLOOKUP(A588,vlookup_table!$A:$G,4,FALSE)</f>
        <v>2801</v>
      </c>
      <c r="Q588" t="str">
        <f>VLOOKUP(A588,vlookup_table!$A:$G,5,FALSE)</f>
        <v>R3</v>
      </c>
      <c r="R588" t="str">
        <f>VLOOKUP(A588,vlookup_table!$A:$G,6,FALSE)</f>
        <v>M</v>
      </c>
      <c r="S588">
        <f>VLOOKUP(A588,vlookup_table!$A:$G,7,FALSE)</f>
        <v>9</v>
      </c>
      <c r="T588">
        <f t="shared" si="18"/>
        <v>68</v>
      </c>
      <c r="U588" t="str">
        <f t="shared" si="19"/>
        <v>Rural</v>
      </c>
    </row>
    <row r="589" spans="1:21" ht="16" x14ac:dyDescent="0.4">
      <c r="A589" s="4">
        <v>97552</v>
      </c>
      <c r="B589" s="1" t="s">
        <v>16</v>
      </c>
      <c r="C589" s="1" t="s">
        <v>17</v>
      </c>
      <c r="D589" s="1">
        <v>226</v>
      </c>
      <c r="E589" s="1">
        <v>183</v>
      </c>
      <c r="F589" s="1">
        <v>263</v>
      </c>
      <c r="G589" s="1">
        <v>0</v>
      </c>
      <c r="H589" s="1">
        <v>8763</v>
      </c>
      <c r="I589" s="1">
        <v>1</v>
      </c>
      <c r="J589" s="1">
        <v>54</v>
      </c>
      <c r="K589" s="1">
        <v>288</v>
      </c>
      <c r="L589" s="1">
        <v>228</v>
      </c>
      <c r="M589" s="1">
        <v>14</v>
      </c>
      <c r="N589">
        <f>VLOOKUP(A589,vlookup_table!$A:$G,2,FALSE)</f>
        <v>0</v>
      </c>
      <c r="O589" t="str">
        <f>VLOOKUP(A589,vlookup_table!$A:$G,3,FALSE)</f>
        <v>IL</v>
      </c>
      <c r="P589">
        <f>VLOOKUP(A589,vlookup_table!$A:$G,4,FALSE)</f>
        <v>2801</v>
      </c>
      <c r="Q589" t="str">
        <f>VLOOKUP(A589,vlookup_table!$A:$G,5,FALSE)</f>
        <v>C3</v>
      </c>
      <c r="R589" t="str">
        <f>VLOOKUP(A589,vlookup_table!$A:$G,6,FALSE)</f>
        <v>F</v>
      </c>
      <c r="S589">
        <f>VLOOKUP(A589,vlookup_table!$A:$G,7,FALSE)</f>
        <v>50</v>
      </c>
      <c r="T589">
        <f t="shared" si="18"/>
        <v>68</v>
      </c>
      <c r="U589" t="str">
        <f t="shared" si="19"/>
        <v>Ciudad</v>
      </c>
    </row>
    <row r="590" spans="1:21" ht="16" x14ac:dyDescent="0.4">
      <c r="A590" s="4">
        <v>85920</v>
      </c>
      <c r="B590" s="1" t="s">
        <v>48</v>
      </c>
      <c r="C590" s="1" t="s">
        <v>14</v>
      </c>
      <c r="D590" s="1">
        <v>278</v>
      </c>
      <c r="E590" s="1">
        <v>199</v>
      </c>
      <c r="F590" s="1">
        <v>270</v>
      </c>
      <c r="G590" s="1">
        <v>0</v>
      </c>
      <c r="H590" s="1">
        <v>9994</v>
      </c>
      <c r="I590" s="1">
        <v>1</v>
      </c>
      <c r="J590" s="1">
        <v>80</v>
      </c>
      <c r="K590" s="1">
        <v>244</v>
      </c>
      <c r="L590" s="1">
        <v>238</v>
      </c>
      <c r="M590" s="1">
        <v>9.7777777780000008</v>
      </c>
      <c r="N590">
        <f>VLOOKUP(A590,vlookup_table!$A:$G,2,FALSE)</f>
        <v>1</v>
      </c>
      <c r="O590" t="str">
        <f>VLOOKUP(A590,vlookup_table!$A:$G,3,FALSE)</f>
        <v>SD</v>
      </c>
      <c r="P590">
        <f>VLOOKUP(A590,vlookup_table!$A:$G,4,FALSE)</f>
        <v>0</v>
      </c>
      <c r="Q590" t="str">
        <f>VLOOKUP(A590,vlookup_table!$A:$G,5,FALSE)</f>
        <v/>
      </c>
      <c r="R590" t="str">
        <f>VLOOKUP(A590,vlookup_table!$A:$G,6,FALSE)</f>
        <v>M</v>
      </c>
      <c r="S590">
        <f>VLOOKUP(A590,vlookup_table!$A:$G,7,FALSE)</f>
        <v>20</v>
      </c>
      <c r="T590">
        <f t="shared" si="18"/>
        <v>96</v>
      </c>
      <c r="U590" t="str">
        <f t="shared" si="19"/>
        <v/>
      </c>
    </row>
    <row r="591" spans="1:21" ht="16" x14ac:dyDescent="0.4">
      <c r="A591" s="4">
        <v>29401</v>
      </c>
      <c r="B591" s="1" t="s">
        <v>36</v>
      </c>
      <c r="C591" s="1" t="s">
        <v>14</v>
      </c>
      <c r="D591" s="1">
        <v>471</v>
      </c>
      <c r="E591" s="1">
        <v>282</v>
      </c>
      <c r="F591" s="1">
        <v>298</v>
      </c>
      <c r="G591" s="1">
        <v>0</v>
      </c>
      <c r="H591" s="1">
        <v>9015</v>
      </c>
      <c r="I591" s="1">
        <v>1</v>
      </c>
      <c r="J591" s="1">
        <v>77</v>
      </c>
      <c r="K591" s="1">
        <v>307</v>
      </c>
      <c r="L591" s="1">
        <v>273</v>
      </c>
      <c r="M591" s="1">
        <v>10.33333333</v>
      </c>
      <c r="N591">
        <f>VLOOKUP(A591,vlookup_table!$A:$G,2,FALSE)</f>
        <v>1</v>
      </c>
      <c r="O591" t="str">
        <f>VLOOKUP(A591,vlookup_table!$A:$G,3,FALSE)</f>
        <v>GA</v>
      </c>
      <c r="P591">
        <f>VLOOKUP(A591,vlookup_table!$A:$G,4,FALSE)</f>
        <v>3410</v>
      </c>
      <c r="Q591" t="str">
        <f>VLOOKUP(A591,vlookup_table!$A:$G,5,FALSE)</f>
        <v>T2</v>
      </c>
      <c r="R591" t="str">
        <f>VLOOKUP(A591,vlookup_table!$A:$G,6,FALSE)</f>
        <v>M</v>
      </c>
      <c r="S591">
        <f>VLOOKUP(A591,vlookup_table!$A:$G,7,FALSE)</f>
        <v>15</v>
      </c>
      <c r="T591">
        <f t="shared" si="18"/>
        <v>62</v>
      </c>
      <c r="U591" t="str">
        <f t="shared" si="19"/>
        <v>Pueblo</v>
      </c>
    </row>
    <row r="592" spans="1:21" ht="16" x14ac:dyDescent="0.4">
      <c r="A592" s="4">
        <v>12715</v>
      </c>
      <c r="B592" s="1" t="s">
        <v>40</v>
      </c>
      <c r="C592" s="1" t="s">
        <v>14</v>
      </c>
      <c r="D592" s="1">
        <v>604</v>
      </c>
      <c r="E592" s="1">
        <v>314</v>
      </c>
      <c r="F592" s="1">
        <v>327</v>
      </c>
      <c r="G592" s="1">
        <v>0</v>
      </c>
      <c r="H592" s="1">
        <v>16211</v>
      </c>
      <c r="I592" s="1">
        <v>0</v>
      </c>
      <c r="J592" s="1">
        <v>68</v>
      </c>
      <c r="K592" s="1">
        <v>337</v>
      </c>
      <c r="L592" s="1">
        <v>304</v>
      </c>
      <c r="M592" s="1">
        <v>15</v>
      </c>
      <c r="N592">
        <f>VLOOKUP(A592,vlookup_table!$A:$G,2,FALSE)</f>
        <v>1</v>
      </c>
      <c r="O592" t="str">
        <f>VLOOKUP(A592,vlookup_table!$A:$G,3,FALSE)</f>
        <v>AL</v>
      </c>
      <c r="P592">
        <f>VLOOKUP(A592,vlookup_table!$A:$G,4,FALSE)</f>
        <v>1201</v>
      </c>
      <c r="Q592" t="str">
        <f>VLOOKUP(A592,vlookup_table!$A:$G,5,FALSE)</f>
        <v>C1</v>
      </c>
      <c r="R592" t="str">
        <f>VLOOKUP(A592,vlookup_table!$A:$G,6,FALSE)</f>
        <v>M</v>
      </c>
      <c r="S592">
        <f>VLOOKUP(A592,vlookup_table!$A:$G,7,FALSE)</f>
        <v>15</v>
      </c>
      <c r="T592">
        <f t="shared" si="18"/>
        <v>84</v>
      </c>
      <c r="U592" t="str">
        <f t="shared" si="19"/>
        <v>Ciudad</v>
      </c>
    </row>
    <row r="593" spans="1:21" ht="16" x14ac:dyDescent="0.4">
      <c r="A593" s="4">
        <v>90031</v>
      </c>
      <c r="B593" s="1" t="s">
        <v>16</v>
      </c>
      <c r="C593" s="1" t="s">
        <v>17</v>
      </c>
      <c r="D593" s="1">
        <v>1219</v>
      </c>
      <c r="E593" s="1">
        <v>417</v>
      </c>
      <c r="F593" s="1">
        <v>540</v>
      </c>
      <c r="G593" s="1">
        <v>2</v>
      </c>
      <c r="H593" s="1">
        <v>21371</v>
      </c>
      <c r="I593" s="1">
        <v>11</v>
      </c>
      <c r="J593" s="1">
        <v>71</v>
      </c>
      <c r="K593" s="1">
        <v>472</v>
      </c>
      <c r="L593" s="1">
        <v>494</v>
      </c>
      <c r="M593" s="1">
        <v>3.7222222220000001</v>
      </c>
      <c r="N593">
        <f>VLOOKUP(A593,vlookup_table!$A:$G,2,FALSE)</f>
        <v>2</v>
      </c>
      <c r="O593" t="str">
        <f>VLOOKUP(A593,vlookup_table!$A:$G,3,FALSE)</f>
        <v>IL</v>
      </c>
      <c r="P593">
        <f>VLOOKUP(A593,vlookup_table!$A:$G,4,FALSE)</f>
        <v>1601</v>
      </c>
      <c r="Q593" t="str">
        <f>VLOOKUP(A593,vlookup_table!$A:$G,5,FALSE)</f>
        <v>C1</v>
      </c>
      <c r="R593" t="str">
        <f>VLOOKUP(A593,vlookup_table!$A:$G,6,FALSE)</f>
        <v>F</v>
      </c>
      <c r="S593">
        <f>VLOOKUP(A593,vlookup_table!$A:$G,7,FALSE)</f>
        <v>3</v>
      </c>
      <c r="T593">
        <f t="shared" si="18"/>
        <v>80</v>
      </c>
      <c r="U593" t="str">
        <f t="shared" si="19"/>
        <v>Ciudad</v>
      </c>
    </row>
    <row r="594" spans="1:21" ht="16" x14ac:dyDescent="0.4">
      <c r="A594" s="4">
        <v>55442</v>
      </c>
      <c r="B594" s="1" t="s">
        <v>56</v>
      </c>
      <c r="C594" s="1" t="s">
        <v>14</v>
      </c>
      <c r="D594" s="1">
        <v>382</v>
      </c>
      <c r="E594" s="1">
        <v>142</v>
      </c>
      <c r="F594" s="1">
        <v>240</v>
      </c>
      <c r="G594" s="1">
        <v>0</v>
      </c>
      <c r="H594" s="1">
        <v>9374</v>
      </c>
      <c r="I594" s="1">
        <v>1</v>
      </c>
      <c r="J594" s="1">
        <v>89</v>
      </c>
      <c r="K594" s="1">
        <v>181</v>
      </c>
      <c r="L594" s="1">
        <v>205</v>
      </c>
      <c r="M594" s="1">
        <v>9.1666666669999994</v>
      </c>
      <c r="N594">
        <f>VLOOKUP(A594,vlookup_table!$A:$G,2,FALSE)</f>
        <v>0</v>
      </c>
      <c r="O594" t="str">
        <f>VLOOKUP(A594,vlookup_table!$A:$G,3,FALSE)</f>
        <v>MS</v>
      </c>
      <c r="P594">
        <f>VLOOKUP(A594,vlookup_table!$A:$G,4,FALSE)</f>
        <v>2504</v>
      </c>
      <c r="Q594" t="str">
        <f>VLOOKUP(A594,vlookup_table!$A:$G,5,FALSE)</f>
        <v>R3</v>
      </c>
      <c r="R594" t="str">
        <f>VLOOKUP(A594,vlookup_table!$A:$G,6,FALSE)</f>
        <v>M</v>
      </c>
      <c r="S594">
        <f>VLOOKUP(A594,vlookup_table!$A:$G,7,FALSE)</f>
        <v>25</v>
      </c>
      <c r="T594">
        <f t="shared" si="18"/>
        <v>71</v>
      </c>
      <c r="U594" t="str">
        <f t="shared" si="19"/>
        <v>Rural</v>
      </c>
    </row>
    <row r="595" spans="1:21" ht="16" x14ac:dyDescent="0.4">
      <c r="A595" s="4">
        <v>105984</v>
      </c>
      <c r="B595" s="1" t="s">
        <v>25</v>
      </c>
      <c r="C595" s="1" t="s">
        <v>17</v>
      </c>
      <c r="D595" s="1">
        <v>1699</v>
      </c>
      <c r="E595" s="1">
        <v>462</v>
      </c>
      <c r="F595" s="1">
        <v>787</v>
      </c>
      <c r="G595" s="1">
        <v>35</v>
      </c>
      <c r="H595" s="1">
        <v>35636</v>
      </c>
      <c r="I595" s="1">
        <v>6</v>
      </c>
      <c r="J595" s="1">
        <v>47</v>
      </c>
      <c r="K595" s="1">
        <v>657</v>
      </c>
      <c r="L595" s="1">
        <v>581</v>
      </c>
      <c r="M595" s="1">
        <v>12.16666667</v>
      </c>
      <c r="N595">
        <f>VLOOKUP(A595,vlookup_table!$A:$G,2,FALSE)</f>
        <v>0</v>
      </c>
      <c r="O595" t="str">
        <f>VLOOKUP(A595,vlookup_table!$A:$G,3,FALSE)</f>
        <v>KS</v>
      </c>
      <c r="P595">
        <f>VLOOKUP(A595,vlookup_table!$A:$G,4,FALSE)</f>
        <v>5711</v>
      </c>
      <c r="Q595" t="str">
        <f>VLOOKUP(A595,vlookup_table!$A:$G,5,FALSE)</f>
        <v>S1</v>
      </c>
      <c r="R595" t="str">
        <f>VLOOKUP(A595,vlookup_table!$A:$G,6,FALSE)</f>
        <v>F</v>
      </c>
      <c r="S595">
        <f>VLOOKUP(A595,vlookup_table!$A:$G,7,FALSE)</f>
        <v>10</v>
      </c>
      <c r="T595">
        <f t="shared" si="18"/>
        <v>39</v>
      </c>
      <c r="U595" t="str">
        <f t="shared" si="19"/>
        <v>Suburbano</v>
      </c>
    </row>
    <row r="596" spans="1:21" ht="16" x14ac:dyDescent="0.4">
      <c r="A596" s="4">
        <v>188035</v>
      </c>
      <c r="B596" s="1" t="s">
        <v>51</v>
      </c>
      <c r="C596" s="1"/>
      <c r="D596" s="1">
        <v>1165</v>
      </c>
      <c r="E596" s="1">
        <v>489</v>
      </c>
      <c r="F596" s="1">
        <v>539</v>
      </c>
      <c r="G596" s="1">
        <v>9</v>
      </c>
      <c r="H596" s="1">
        <v>19234</v>
      </c>
      <c r="I596" s="1">
        <v>6</v>
      </c>
      <c r="J596" s="1">
        <v>18</v>
      </c>
      <c r="K596" s="1">
        <v>514</v>
      </c>
      <c r="L596" s="1">
        <v>519</v>
      </c>
      <c r="M596" s="1">
        <v>11.5</v>
      </c>
      <c r="N596">
        <f>VLOOKUP(A596,vlookup_table!$A:$G,2,FALSE)</f>
        <v>1</v>
      </c>
      <c r="O596" t="str">
        <f>VLOOKUP(A596,vlookup_table!$A:$G,3,FALSE)</f>
        <v>AZ</v>
      </c>
      <c r="P596">
        <f>VLOOKUP(A596,vlookup_table!$A:$G,4,FALSE)</f>
        <v>0</v>
      </c>
      <c r="Q596" t="str">
        <f>VLOOKUP(A596,vlookup_table!$A:$G,5,FALSE)</f>
        <v>S1</v>
      </c>
      <c r="R596" t="str">
        <f>VLOOKUP(A596,vlookup_table!$A:$G,6,FALSE)</f>
        <v/>
      </c>
      <c r="S596">
        <f>VLOOKUP(A596,vlookup_table!$A:$G,7,FALSE)</f>
        <v>23</v>
      </c>
      <c r="T596">
        <f t="shared" si="18"/>
        <v>96</v>
      </c>
      <c r="U596" t="str">
        <f t="shared" si="19"/>
        <v>Suburbano</v>
      </c>
    </row>
    <row r="597" spans="1:21" ht="16" x14ac:dyDescent="0.4">
      <c r="A597" s="4">
        <v>101665</v>
      </c>
      <c r="B597" s="1" t="s">
        <v>33</v>
      </c>
      <c r="C597" s="1" t="s">
        <v>17</v>
      </c>
      <c r="D597" s="1">
        <v>803</v>
      </c>
      <c r="E597" s="1">
        <v>413</v>
      </c>
      <c r="F597" s="1">
        <v>473</v>
      </c>
      <c r="G597" s="1">
        <v>0</v>
      </c>
      <c r="H597" s="1">
        <v>15002</v>
      </c>
      <c r="I597" s="1">
        <v>1</v>
      </c>
      <c r="J597" s="1">
        <v>58</v>
      </c>
      <c r="K597" s="1">
        <v>429</v>
      </c>
      <c r="L597" s="1">
        <v>447</v>
      </c>
      <c r="M597" s="1">
        <v>4.0697674419999998</v>
      </c>
      <c r="N597">
        <f>VLOOKUP(A597,vlookup_table!$A:$G,2,FALSE)</f>
        <v>0</v>
      </c>
      <c r="O597" t="str">
        <f>VLOOKUP(A597,vlookup_table!$A:$G,3,FALSE)</f>
        <v>MO</v>
      </c>
      <c r="P597">
        <f>VLOOKUP(A597,vlookup_table!$A:$G,4,FALSE)</f>
        <v>7308</v>
      </c>
      <c r="Q597" t="str">
        <f>VLOOKUP(A597,vlookup_table!$A:$G,5,FALSE)</f>
        <v>T2</v>
      </c>
      <c r="R597" t="str">
        <f>VLOOKUP(A597,vlookup_table!$A:$G,6,FALSE)</f>
        <v>F</v>
      </c>
      <c r="S597">
        <f>VLOOKUP(A597,vlookup_table!$A:$G,7,FALSE)</f>
        <v>5</v>
      </c>
      <c r="T597">
        <f t="shared" si="18"/>
        <v>23</v>
      </c>
      <c r="U597" t="str">
        <f t="shared" si="19"/>
        <v>Pueblo</v>
      </c>
    </row>
    <row r="598" spans="1:21" ht="16" x14ac:dyDescent="0.4">
      <c r="A598" s="4">
        <v>70774</v>
      </c>
      <c r="B598" s="1" t="s">
        <v>26</v>
      </c>
      <c r="C598" s="1" t="s">
        <v>17</v>
      </c>
      <c r="D598" s="1">
        <v>394</v>
      </c>
      <c r="E598" s="1">
        <v>229</v>
      </c>
      <c r="F598" s="1">
        <v>308</v>
      </c>
      <c r="G598" s="1">
        <v>0</v>
      </c>
      <c r="H598" s="1">
        <v>9859</v>
      </c>
      <c r="I598" s="1">
        <v>0</v>
      </c>
      <c r="J598" s="1">
        <v>92</v>
      </c>
      <c r="K598" s="1">
        <v>293</v>
      </c>
      <c r="L598" s="1">
        <v>264</v>
      </c>
      <c r="M598" s="1">
        <v>3.7</v>
      </c>
      <c r="N598">
        <f>VLOOKUP(A598,vlookup_table!$A:$G,2,FALSE)</f>
        <v>2</v>
      </c>
      <c r="O598" t="str">
        <f>VLOOKUP(A598,vlookup_table!$A:$G,3,FALSE)</f>
        <v>MI</v>
      </c>
      <c r="P598">
        <f>VLOOKUP(A598,vlookup_table!$A:$G,4,FALSE)</f>
        <v>5601</v>
      </c>
      <c r="Q598" t="str">
        <f>VLOOKUP(A598,vlookup_table!$A:$G,5,FALSE)</f>
        <v>R2</v>
      </c>
      <c r="R598" t="str">
        <f>VLOOKUP(A598,vlookup_table!$A:$G,6,FALSE)</f>
        <v>F</v>
      </c>
      <c r="S598">
        <f>VLOOKUP(A598,vlookup_table!$A:$G,7,FALSE)</f>
        <v>4</v>
      </c>
      <c r="T598">
        <f t="shared" si="18"/>
        <v>40</v>
      </c>
      <c r="U598" t="str">
        <f t="shared" si="19"/>
        <v>Rural</v>
      </c>
    </row>
    <row r="599" spans="1:21" ht="16" x14ac:dyDescent="0.4">
      <c r="A599" s="4">
        <v>23263</v>
      </c>
      <c r="B599" s="1" t="s">
        <v>43</v>
      </c>
      <c r="C599" s="1" t="s">
        <v>17</v>
      </c>
      <c r="D599" s="1">
        <v>490</v>
      </c>
      <c r="E599" s="1">
        <v>328</v>
      </c>
      <c r="F599" s="1">
        <v>373</v>
      </c>
      <c r="G599" s="1">
        <v>0</v>
      </c>
      <c r="H599" s="1">
        <v>11313</v>
      </c>
      <c r="I599" s="1">
        <v>2</v>
      </c>
      <c r="J599" s="1">
        <v>76</v>
      </c>
      <c r="K599" s="1">
        <v>341</v>
      </c>
      <c r="L599" s="1">
        <v>336</v>
      </c>
      <c r="M599" s="1">
        <v>19.600000000000001</v>
      </c>
      <c r="N599">
        <f>VLOOKUP(A599,vlookup_table!$A:$G,2,FALSE)</f>
        <v>0</v>
      </c>
      <c r="O599" t="str">
        <f>VLOOKUP(A599,vlookup_table!$A:$G,3,FALSE)</f>
        <v>SC</v>
      </c>
      <c r="P599">
        <f>VLOOKUP(A599,vlookup_table!$A:$G,4,FALSE)</f>
        <v>3304</v>
      </c>
      <c r="Q599" t="str">
        <f>VLOOKUP(A599,vlookup_table!$A:$G,5,FALSE)</f>
        <v>R2</v>
      </c>
      <c r="R599" t="str">
        <f>VLOOKUP(A599,vlookup_table!$A:$G,6,FALSE)</f>
        <v>F</v>
      </c>
      <c r="S599">
        <f>VLOOKUP(A599,vlookup_table!$A:$G,7,FALSE)</f>
        <v>30</v>
      </c>
      <c r="T599">
        <f t="shared" si="18"/>
        <v>63</v>
      </c>
      <c r="U599" t="str">
        <f t="shared" si="19"/>
        <v>Rural</v>
      </c>
    </row>
    <row r="600" spans="1:21" ht="16" x14ac:dyDescent="0.4">
      <c r="A600" s="4">
        <v>166475</v>
      </c>
      <c r="B600" s="1" t="s">
        <v>21</v>
      </c>
      <c r="C600" s="1" t="s">
        <v>27</v>
      </c>
      <c r="D600" s="1">
        <v>949</v>
      </c>
      <c r="E600" s="1">
        <v>264</v>
      </c>
      <c r="F600" s="1">
        <v>411</v>
      </c>
      <c r="G600" s="1">
        <v>1</v>
      </c>
      <c r="H600" s="1">
        <v>12784</v>
      </c>
      <c r="I600" s="1">
        <v>10</v>
      </c>
      <c r="J600" s="1">
        <v>52</v>
      </c>
      <c r="K600" s="1">
        <v>371</v>
      </c>
      <c r="L600" s="1">
        <v>321</v>
      </c>
      <c r="M600" s="1">
        <v>12.5</v>
      </c>
      <c r="N600">
        <f>VLOOKUP(A600,vlookup_table!$A:$G,2,FALSE)</f>
        <v>0</v>
      </c>
      <c r="O600" t="str">
        <f>VLOOKUP(A600,vlookup_table!$A:$G,3,FALSE)</f>
        <v>CA</v>
      </c>
      <c r="P600">
        <f>VLOOKUP(A600,vlookup_table!$A:$G,4,FALSE)</f>
        <v>4201</v>
      </c>
      <c r="Q600" t="str">
        <f>VLOOKUP(A600,vlookup_table!$A:$G,5,FALSE)</f>
        <v>C1</v>
      </c>
      <c r="R600" t="str">
        <f>VLOOKUP(A600,vlookup_table!$A:$G,6,FALSE)</f>
        <v>U</v>
      </c>
      <c r="S600">
        <f>VLOOKUP(A600,vlookup_table!$A:$G,7,FALSE)</f>
        <v>10</v>
      </c>
      <c r="T600">
        <f t="shared" si="18"/>
        <v>54</v>
      </c>
      <c r="U600" t="str">
        <f t="shared" si="19"/>
        <v>Ciudad</v>
      </c>
    </row>
    <row r="601" spans="1:21" ht="16" x14ac:dyDescent="0.4">
      <c r="A601" s="4">
        <v>83042</v>
      </c>
      <c r="B601" s="1" t="s">
        <v>52</v>
      </c>
      <c r="C601" s="1" t="s">
        <v>14</v>
      </c>
      <c r="D601" s="1">
        <v>849</v>
      </c>
      <c r="E601" s="1">
        <v>344</v>
      </c>
      <c r="F601" s="1">
        <v>428</v>
      </c>
      <c r="G601" s="1">
        <v>0</v>
      </c>
      <c r="H601" s="1">
        <v>12940</v>
      </c>
      <c r="I601" s="1">
        <v>1</v>
      </c>
      <c r="J601" s="1">
        <v>77</v>
      </c>
      <c r="K601" s="1">
        <v>368</v>
      </c>
      <c r="L601" s="1">
        <v>398</v>
      </c>
      <c r="M601" s="1">
        <v>17.85714286</v>
      </c>
      <c r="N601">
        <f>VLOOKUP(A601,vlookup_table!$A:$G,2,FALSE)</f>
        <v>1</v>
      </c>
      <c r="O601" t="str">
        <f>VLOOKUP(A601,vlookup_table!$A:$G,3,FALSE)</f>
        <v>MN</v>
      </c>
      <c r="P601">
        <f>VLOOKUP(A601,vlookup_table!$A:$G,4,FALSE)</f>
        <v>4005</v>
      </c>
      <c r="Q601" t="str">
        <f>VLOOKUP(A601,vlookup_table!$A:$G,5,FALSE)</f>
        <v>T2</v>
      </c>
      <c r="R601" t="str">
        <f>VLOOKUP(A601,vlookup_table!$A:$G,6,FALSE)</f>
        <v>M</v>
      </c>
      <c r="S601">
        <f>VLOOKUP(A601,vlookup_table!$A:$G,7,FALSE)</f>
        <v>10</v>
      </c>
      <c r="T601">
        <f t="shared" si="18"/>
        <v>56</v>
      </c>
      <c r="U601" t="str">
        <f t="shared" si="19"/>
        <v>Pueblo</v>
      </c>
    </row>
    <row r="602" spans="1:21" ht="16" x14ac:dyDescent="0.4">
      <c r="A602" s="4">
        <v>149970</v>
      </c>
      <c r="B602" s="1" t="s">
        <v>21</v>
      </c>
      <c r="C602" s="1" t="s">
        <v>17</v>
      </c>
      <c r="D602" s="1">
        <v>1372</v>
      </c>
      <c r="E602" s="1">
        <v>385</v>
      </c>
      <c r="F602" s="1">
        <v>449</v>
      </c>
      <c r="G602" s="1">
        <v>8</v>
      </c>
      <c r="H602" s="1">
        <v>13902</v>
      </c>
      <c r="I602" s="1">
        <v>15</v>
      </c>
      <c r="J602" s="1">
        <v>58</v>
      </c>
      <c r="K602" s="1">
        <v>419</v>
      </c>
      <c r="L602" s="1">
        <v>421</v>
      </c>
      <c r="M602" s="1">
        <v>15</v>
      </c>
      <c r="N602">
        <f>VLOOKUP(A602,vlookup_table!$A:$G,2,FALSE)</f>
        <v>0</v>
      </c>
      <c r="O602" t="str">
        <f>VLOOKUP(A602,vlookup_table!$A:$G,3,FALSE)</f>
        <v>CA</v>
      </c>
      <c r="P602">
        <f>VLOOKUP(A602,vlookup_table!$A:$G,4,FALSE)</f>
        <v>0</v>
      </c>
      <c r="Q602" t="str">
        <f>VLOOKUP(A602,vlookup_table!$A:$G,5,FALSE)</f>
        <v>S2</v>
      </c>
      <c r="R602" t="str">
        <f>VLOOKUP(A602,vlookup_table!$A:$G,6,FALSE)</f>
        <v>F</v>
      </c>
      <c r="S602">
        <f>VLOOKUP(A602,vlookup_table!$A:$G,7,FALSE)</f>
        <v>15</v>
      </c>
      <c r="T602">
        <f t="shared" si="18"/>
        <v>96</v>
      </c>
      <c r="U602" t="str">
        <f t="shared" si="19"/>
        <v>Suburbano</v>
      </c>
    </row>
    <row r="603" spans="1:21" ht="16" x14ac:dyDescent="0.4">
      <c r="A603" s="4">
        <v>13863</v>
      </c>
      <c r="B603" s="1" t="s">
        <v>20</v>
      </c>
      <c r="C603" s="1" t="s">
        <v>17</v>
      </c>
      <c r="D603" s="1">
        <v>358</v>
      </c>
      <c r="E603" s="1">
        <v>307</v>
      </c>
      <c r="F603" s="1">
        <v>379</v>
      </c>
      <c r="G603" s="1">
        <v>0</v>
      </c>
      <c r="H603" s="1">
        <v>12507</v>
      </c>
      <c r="I603" s="1">
        <v>2</v>
      </c>
      <c r="J603" s="1">
        <v>78</v>
      </c>
      <c r="K603" s="1">
        <v>325</v>
      </c>
      <c r="L603" s="1">
        <v>342</v>
      </c>
      <c r="M603" s="1">
        <v>6.9333333330000002</v>
      </c>
      <c r="N603">
        <f>VLOOKUP(A603,vlookup_table!$A:$G,2,FALSE)</f>
        <v>0</v>
      </c>
      <c r="O603" t="str">
        <f>VLOOKUP(A603,vlookup_table!$A:$G,3,FALSE)</f>
        <v>TX</v>
      </c>
      <c r="P603">
        <f>VLOOKUP(A603,vlookup_table!$A:$G,4,FALSE)</f>
        <v>3001</v>
      </c>
      <c r="Q603" t="str">
        <f>VLOOKUP(A603,vlookup_table!$A:$G,5,FALSE)</f>
        <v>R2</v>
      </c>
      <c r="R603" t="str">
        <f>VLOOKUP(A603,vlookup_table!$A:$G,6,FALSE)</f>
        <v>F</v>
      </c>
      <c r="S603">
        <f>VLOOKUP(A603,vlookup_table!$A:$G,7,FALSE)</f>
        <v>6</v>
      </c>
      <c r="T603">
        <f t="shared" si="18"/>
        <v>66</v>
      </c>
      <c r="U603" t="str">
        <f t="shared" si="19"/>
        <v>Rural</v>
      </c>
    </row>
    <row r="604" spans="1:21" ht="16" x14ac:dyDescent="0.4">
      <c r="A604" s="4">
        <v>64074</v>
      </c>
      <c r="B604" s="1" t="s">
        <v>30</v>
      </c>
      <c r="C604" s="1" t="s">
        <v>17</v>
      </c>
      <c r="D604" s="1">
        <v>325</v>
      </c>
      <c r="E604" s="1">
        <v>144</v>
      </c>
      <c r="F604" s="1">
        <v>190</v>
      </c>
      <c r="G604" s="1">
        <v>0</v>
      </c>
      <c r="H604" s="1">
        <v>4578</v>
      </c>
      <c r="I604" s="1">
        <v>0</v>
      </c>
      <c r="J604" s="1">
        <v>68</v>
      </c>
      <c r="K604" s="1">
        <v>231</v>
      </c>
      <c r="L604" s="1">
        <v>178</v>
      </c>
      <c r="M604" s="1">
        <v>15</v>
      </c>
      <c r="N604">
        <f>VLOOKUP(A604,vlookup_table!$A:$G,2,FALSE)</f>
        <v>0</v>
      </c>
      <c r="O604" t="str">
        <f>VLOOKUP(A604,vlookup_table!$A:$G,3,FALSE)</f>
        <v>IN</v>
      </c>
      <c r="P604">
        <f>VLOOKUP(A604,vlookup_table!$A:$G,4,FALSE)</f>
        <v>0</v>
      </c>
      <c r="Q604" t="str">
        <f>VLOOKUP(A604,vlookup_table!$A:$G,5,FALSE)</f>
        <v>C3</v>
      </c>
      <c r="R604" t="str">
        <f>VLOOKUP(A604,vlookup_table!$A:$G,6,FALSE)</f>
        <v>F</v>
      </c>
      <c r="S604">
        <f>VLOOKUP(A604,vlookup_table!$A:$G,7,FALSE)</f>
        <v>10</v>
      </c>
      <c r="T604">
        <f t="shared" si="18"/>
        <v>96</v>
      </c>
      <c r="U604" t="str">
        <f t="shared" si="19"/>
        <v>Ciudad</v>
      </c>
    </row>
    <row r="605" spans="1:21" ht="16" x14ac:dyDescent="0.4">
      <c r="A605" s="4">
        <v>42096</v>
      </c>
      <c r="B605" s="1" t="s">
        <v>13</v>
      </c>
      <c r="C605" s="1" t="s">
        <v>17</v>
      </c>
      <c r="D605" s="1">
        <v>355</v>
      </c>
      <c r="E605" s="1">
        <v>208</v>
      </c>
      <c r="F605" s="1">
        <v>244</v>
      </c>
      <c r="G605" s="1">
        <v>0</v>
      </c>
      <c r="H605" s="1">
        <v>9881</v>
      </c>
      <c r="I605" s="1">
        <v>5</v>
      </c>
      <c r="J605" s="1">
        <v>34</v>
      </c>
      <c r="K605" s="1">
        <v>224</v>
      </c>
      <c r="L605" s="1">
        <v>229</v>
      </c>
      <c r="M605" s="1">
        <v>20</v>
      </c>
      <c r="N605">
        <f>VLOOKUP(A605,vlookup_table!$A:$G,2,FALSE)</f>
        <v>0</v>
      </c>
      <c r="O605" t="str">
        <f>VLOOKUP(A605,vlookup_table!$A:$G,3,FALSE)</f>
        <v>FL</v>
      </c>
      <c r="P605">
        <f>VLOOKUP(A605,vlookup_table!$A:$G,4,FALSE)</f>
        <v>0</v>
      </c>
      <c r="Q605" t="str">
        <f>VLOOKUP(A605,vlookup_table!$A:$G,5,FALSE)</f>
        <v>C3</v>
      </c>
      <c r="R605" t="str">
        <f>VLOOKUP(A605,vlookup_table!$A:$G,6,FALSE)</f>
        <v>F</v>
      </c>
      <c r="S605">
        <f>VLOOKUP(A605,vlookup_table!$A:$G,7,FALSE)</f>
        <v>20</v>
      </c>
      <c r="T605">
        <f t="shared" si="18"/>
        <v>96</v>
      </c>
      <c r="U605" t="str">
        <f t="shared" si="19"/>
        <v>Ciudad</v>
      </c>
    </row>
    <row r="606" spans="1:21" ht="16" x14ac:dyDescent="0.4">
      <c r="A606" s="4">
        <v>169188</v>
      </c>
      <c r="B606" s="1" t="s">
        <v>21</v>
      </c>
      <c r="C606" s="1" t="s">
        <v>17</v>
      </c>
      <c r="D606" s="1">
        <v>713</v>
      </c>
      <c r="E606" s="1">
        <v>176</v>
      </c>
      <c r="F606" s="1">
        <v>321</v>
      </c>
      <c r="G606" s="1">
        <v>3</v>
      </c>
      <c r="H606" s="1">
        <v>11467</v>
      </c>
      <c r="I606" s="1">
        <v>1</v>
      </c>
      <c r="J606" s="1">
        <v>68</v>
      </c>
      <c r="K606" s="1">
        <v>259</v>
      </c>
      <c r="L606" s="1">
        <v>267</v>
      </c>
      <c r="M606" s="1">
        <v>7</v>
      </c>
      <c r="N606">
        <f>VLOOKUP(A606,vlookup_table!$A:$G,2,FALSE)</f>
        <v>2</v>
      </c>
      <c r="O606" t="str">
        <f>VLOOKUP(A606,vlookup_table!$A:$G,3,FALSE)</f>
        <v>CA</v>
      </c>
      <c r="P606">
        <f>VLOOKUP(A606,vlookup_table!$A:$G,4,FALSE)</f>
        <v>0</v>
      </c>
      <c r="Q606" t="str">
        <f>VLOOKUP(A606,vlookup_table!$A:$G,5,FALSE)</f>
        <v>R2</v>
      </c>
      <c r="R606" t="str">
        <f>VLOOKUP(A606,vlookup_table!$A:$G,6,FALSE)</f>
        <v>F</v>
      </c>
      <c r="S606">
        <f>VLOOKUP(A606,vlookup_table!$A:$G,7,FALSE)</f>
        <v>10</v>
      </c>
      <c r="T606">
        <f t="shared" si="18"/>
        <v>96</v>
      </c>
      <c r="U606" t="str">
        <f t="shared" si="19"/>
        <v>Rural</v>
      </c>
    </row>
    <row r="607" spans="1:21" ht="16" x14ac:dyDescent="0.4">
      <c r="A607" s="4">
        <v>18609</v>
      </c>
      <c r="B607" s="1" t="s">
        <v>18</v>
      </c>
      <c r="C607" s="1" t="s">
        <v>97</v>
      </c>
      <c r="D607" s="1">
        <v>1208</v>
      </c>
      <c r="E607" s="1">
        <v>439</v>
      </c>
      <c r="F607" s="1">
        <v>587</v>
      </c>
      <c r="G607" s="1">
        <v>20</v>
      </c>
      <c r="H607" s="1">
        <v>19955</v>
      </c>
      <c r="I607" s="1">
        <v>2</v>
      </c>
      <c r="J607" s="1">
        <v>60</v>
      </c>
      <c r="K607" s="1">
        <v>494</v>
      </c>
      <c r="L607" s="1">
        <v>516</v>
      </c>
      <c r="M607" s="1">
        <v>14</v>
      </c>
      <c r="N607">
        <f>VLOOKUP(A607,vlookup_table!$A:$G,2,FALSE)</f>
        <v>0</v>
      </c>
      <c r="O607" t="str">
        <f>VLOOKUP(A607,vlookup_table!$A:$G,3,FALSE)</f>
        <v>NC</v>
      </c>
      <c r="P607">
        <f>VLOOKUP(A607,vlookup_table!$A:$G,4,FALSE)</f>
        <v>4901</v>
      </c>
      <c r="Q607" t="str">
        <f>VLOOKUP(A607,vlookup_table!$A:$G,5,FALSE)</f>
        <v>T1</v>
      </c>
      <c r="R607" t="str">
        <f>VLOOKUP(A607,vlookup_table!$A:$G,6,FALSE)</f>
        <v>F</v>
      </c>
      <c r="S607">
        <f>VLOOKUP(A607,vlookup_table!$A:$G,7,FALSE)</f>
        <v>10</v>
      </c>
      <c r="T607">
        <f t="shared" si="18"/>
        <v>47</v>
      </c>
      <c r="U607" t="str">
        <f t="shared" si="19"/>
        <v>Pueblo</v>
      </c>
    </row>
    <row r="608" spans="1:21" ht="16" x14ac:dyDescent="0.4">
      <c r="A608" s="4">
        <v>109536</v>
      </c>
      <c r="B608" s="1" t="s">
        <v>46</v>
      </c>
      <c r="C608" s="1" t="s">
        <v>14</v>
      </c>
      <c r="D608" s="1">
        <v>550</v>
      </c>
      <c r="E608" s="1">
        <v>294</v>
      </c>
      <c r="F608" s="1">
        <v>319</v>
      </c>
      <c r="G608" s="1">
        <v>1</v>
      </c>
      <c r="H608" s="1">
        <v>9540</v>
      </c>
      <c r="I608" s="1">
        <v>0</v>
      </c>
      <c r="J608" s="1">
        <v>71</v>
      </c>
      <c r="K608" s="1">
        <v>313</v>
      </c>
      <c r="L608" s="1">
        <v>303</v>
      </c>
      <c r="M608" s="1">
        <v>7.2916666670000003</v>
      </c>
      <c r="N608">
        <f>VLOOKUP(A608,vlookup_table!$A:$G,2,FALSE)</f>
        <v>1</v>
      </c>
      <c r="O608" t="str">
        <f>VLOOKUP(A608,vlookup_table!$A:$G,3,FALSE)</f>
        <v>LA</v>
      </c>
      <c r="P608">
        <f>VLOOKUP(A608,vlookup_table!$A:$G,4,FALSE)</f>
        <v>3401</v>
      </c>
      <c r="Q608" t="str">
        <f>VLOOKUP(A608,vlookup_table!$A:$G,5,FALSE)</f>
        <v>T2</v>
      </c>
      <c r="R608" t="str">
        <f>VLOOKUP(A608,vlookup_table!$A:$G,6,FALSE)</f>
        <v>M</v>
      </c>
      <c r="S608">
        <f>VLOOKUP(A608,vlookup_table!$A:$G,7,FALSE)</f>
        <v>7</v>
      </c>
      <c r="T608">
        <f t="shared" si="18"/>
        <v>62</v>
      </c>
      <c r="U608" t="str">
        <f t="shared" si="19"/>
        <v>Pueblo</v>
      </c>
    </row>
    <row r="609" spans="1:21" ht="16" x14ac:dyDescent="0.4">
      <c r="A609" s="4">
        <v>9348</v>
      </c>
      <c r="B609" s="1" t="s">
        <v>28</v>
      </c>
      <c r="C609" s="1" t="s">
        <v>14</v>
      </c>
      <c r="D609" s="1">
        <v>450</v>
      </c>
      <c r="E609" s="1">
        <v>378</v>
      </c>
      <c r="F609" s="1">
        <v>432</v>
      </c>
      <c r="G609" s="1">
        <v>0</v>
      </c>
      <c r="H609" s="1">
        <v>15711</v>
      </c>
      <c r="I609" s="1">
        <v>0</v>
      </c>
      <c r="J609" s="1">
        <v>57</v>
      </c>
      <c r="K609" s="1">
        <v>391</v>
      </c>
      <c r="L609" s="1">
        <v>391</v>
      </c>
      <c r="M609" s="1">
        <v>11.68181818</v>
      </c>
      <c r="N609">
        <f>VLOOKUP(A609,vlookup_table!$A:$G,2,FALSE)</f>
        <v>0</v>
      </c>
      <c r="O609" t="str">
        <f>VLOOKUP(A609,vlookup_table!$A:$G,3,FALSE)</f>
        <v>OK</v>
      </c>
      <c r="P609">
        <f>VLOOKUP(A609,vlookup_table!$A:$G,4,FALSE)</f>
        <v>1401</v>
      </c>
      <c r="Q609" t="str">
        <f>VLOOKUP(A609,vlookup_table!$A:$G,5,FALSE)</f>
        <v>T1</v>
      </c>
      <c r="R609" t="str">
        <f>VLOOKUP(A609,vlookup_table!$A:$G,6,FALSE)</f>
        <v>M</v>
      </c>
      <c r="S609">
        <f>VLOOKUP(A609,vlookup_table!$A:$G,7,FALSE)</f>
        <v>10</v>
      </c>
      <c r="T609">
        <f t="shared" si="18"/>
        <v>82</v>
      </c>
      <c r="U609" t="str">
        <f t="shared" si="19"/>
        <v>Pueblo</v>
      </c>
    </row>
    <row r="610" spans="1:21" ht="16" x14ac:dyDescent="0.4">
      <c r="A610" s="4">
        <v>136790</v>
      </c>
      <c r="B610" s="1" t="s">
        <v>51</v>
      </c>
      <c r="C610" s="1" t="s">
        <v>14</v>
      </c>
      <c r="D610" s="1">
        <v>1460</v>
      </c>
      <c r="E610" s="1">
        <v>629</v>
      </c>
      <c r="F610" s="1">
        <v>663</v>
      </c>
      <c r="G610" s="1">
        <v>10</v>
      </c>
      <c r="H610" s="1">
        <v>21821</v>
      </c>
      <c r="I610" s="1">
        <v>6</v>
      </c>
      <c r="J610" s="1">
        <v>29</v>
      </c>
      <c r="K610" s="1">
        <v>633</v>
      </c>
      <c r="L610" s="1">
        <v>659</v>
      </c>
      <c r="M610" s="1">
        <v>4</v>
      </c>
      <c r="N610">
        <f>VLOOKUP(A610,vlookup_table!$A:$G,2,FALSE)</f>
        <v>0</v>
      </c>
      <c r="O610" t="str">
        <f>VLOOKUP(A610,vlookup_table!$A:$G,3,FALSE)</f>
        <v>AZ</v>
      </c>
      <c r="P610">
        <f>VLOOKUP(A610,vlookup_table!$A:$G,4,FALSE)</f>
        <v>2001</v>
      </c>
      <c r="Q610" t="str">
        <f>VLOOKUP(A610,vlookup_table!$A:$G,5,FALSE)</f>
        <v>S1</v>
      </c>
      <c r="R610" t="str">
        <f>VLOOKUP(A610,vlookup_table!$A:$G,6,FALSE)</f>
        <v>M</v>
      </c>
      <c r="S610">
        <f>VLOOKUP(A610,vlookup_table!$A:$G,7,FALSE)</f>
        <v>5</v>
      </c>
      <c r="T610">
        <f t="shared" si="18"/>
        <v>76</v>
      </c>
      <c r="U610" t="str">
        <f t="shared" si="19"/>
        <v>Suburbano</v>
      </c>
    </row>
    <row r="611" spans="1:21" ht="16" x14ac:dyDescent="0.4">
      <c r="A611" s="4">
        <v>71332</v>
      </c>
      <c r="B611" s="1" t="s">
        <v>26</v>
      </c>
      <c r="C611" s="1" t="s">
        <v>14</v>
      </c>
      <c r="D611" s="1">
        <v>478</v>
      </c>
      <c r="E611" s="1">
        <v>316</v>
      </c>
      <c r="F611" s="1">
        <v>374</v>
      </c>
      <c r="G611" s="1">
        <v>0</v>
      </c>
      <c r="H611" s="1">
        <v>11298</v>
      </c>
      <c r="I611" s="1">
        <v>0</v>
      </c>
      <c r="J611" s="1">
        <v>92</v>
      </c>
      <c r="K611" s="1">
        <v>337</v>
      </c>
      <c r="L611" s="1">
        <v>352</v>
      </c>
      <c r="M611" s="1">
        <v>7.3125</v>
      </c>
      <c r="N611">
        <f>VLOOKUP(A611,vlookup_table!$A:$G,2,FALSE)</f>
        <v>2</v>
      </c>
      <c r="O611" t="str">
        <f>VLOOKUP(A611,vlookup_table!$A:$G,3,FALSE)</f>
        <v>MI</v>
      </c>
      <c r="P611">
        <f>VLOOKUP(A611,vlookup_table!$A:$G,4,FALSE)</f>
        <v>3601</v>
      </c>
      <c r="Q611" t="str">
        <f>VLOOKUP(A611,vlookup_table!$A:$G,5,FALSE)</f>
        <v>R2</v>
      </c>
      <c r="R611" t="str">
        <f>VLOOKUP(A611,vlookup_table!$A:$G,6,FALSE)</f>
        <v>M</v>
      </c>
      <c r="S611">
        <f>VLOOKUP(A611,vlookup_table!$A:$G,7,FALSE)</f>
        <v>7</v>
      </c>
      <c r="T611">
        <f t="shared" si="18"/>
        <v>60</v>
      </c>
      <c r="U611" t="str">
        <f t="shared" si="19"/>
        <v>Rural</v>
      </c>
    </row>
    <row r="612" spans="1:21" ht="16" x14ac:dyDescent="0.4">
      <c r="A612" s="4">
        <v>135430</v>
      </c>
      <c r="B612" s="1" t="s">
        <v>51</v>
      </c>
      <c r="C612" s="1" t="s">
        <v>97</v>
      </c>
      <c r="D612" s="1">
        <v>1165</v>
      </c>
      <c r="E612" s="1">
        <v>489</v>
      </c>
      <c r="F612" s="1">
        <v>539</v>
      </c>
      <c r="G612" s="1">
        <v>9</v>
      </c>
      <c r="H612" s="1">
        <v>19234</v>
      </c>
      <c r="I612" s="1">
        <v>6</v>
      </c>
      <c r="J612" s="1">
        <v>18</v>
      </c>
      <c r="K612" s="1">
        <v>514</v>
      </c>
      <c r="L612" s="1">
        <v>519</v>
      </c>
      <c r="M612" s="1">
        <v>12.14285714</v>
      </c>
      <c r="N612">
        <f>VLOOKUP(A612,vlookup_table!$A:$G,2,FALSE)</f>
        <v>2</v>
      </c>
      <c r="O612" t="str">
        <f>VLOOKUP(A612,vlookup_table!$A:$G,3,FALSE)</f>
        <v>AZ</v>
      </c>
      <c r="P612">
        <f>VLOOKUP(A612,vlookup_table!$A:$G,4,FALSE)</f>
        <v>3408</v>
      </c>
      <c r="Q612" t="str">
        <f>VLOOKUP(A612,vlookup_table!$A:$G,5,FALSE)</f>
        <v>S1</v>
      </c>
      <c r="R612" t="str">
        <f>VLOOKUP(A612,vlookup_table!$A:$G,6,FALSE)</f>
        <v>F</v>
      </c>
      <c r="S612">
        <f>VLOOKUP(A612,vlookup_table!$A:$G,7,FALSE)</f>
        <v>25</v>
      </c>
      <c r="T612">
        <f t="shared" si="18"/>
        <v>62</v>
      </c>
      <c r="U612" t="str">
        <f t="shared" si="19"/>
        <v>Suburbano</v>
      </c>
    </row>
    <row r="613" spans="1:21" ht="16" x14ac:dyDescent="0.4">
      <c r="A613" s="4">
        <v>124484</v>
      </c>
      <c r="B613" s="1" t="s">
        <v>20</v>
      </c>
      <c r="C613" s="1" t="s">
        <v>17</v>
      </c>
      <c r="D613" s="1">
        <v>846</v>
      </c>
      <c r="E613" s="1">
        <v>330</v>
      </c>
      <c r="F613" s="1">
        <v>513</v>
      </c>
      <c r="G613" s="1">
        <v>5</v>
      </c>
      <c r="H613" s="1">
        <v>16752</v>
      </c>
      <c r="I613" s="1">
        <v>5</v>
      </c>
      <c r="J613" s="1">
        <v>64</v>
      </c>
      <c r="K613" s="1">
        <v>459</v>
      </c>
      <c r="L613" s="1">
        <v>399</v>
      </c>
      <c r="M613" s="1">
        <v>8.25</v>
      </c>
      <c r="N613">
        <f>VLOOKUP(A613,vlookup_table!$A:$G,2,FALSE)</f>
        <v>0</v>
      </c>
      <c r="O613" t="str">
        <f>VLOOKUP(A613,vlookup_table!$A:$G,3,FALSE)</f>
        <v>TX</v>
      </c>
      <c r="P613">
        <f>VLOOKUP(A613,vlookup_table!$A:$G,4,FALSE)</f>
        <v>0</v>
      </c>
      <c r="Q613" t="str">
        <f>VLOOKUP(A613,vlookup_table!$A:$G,5,FALSE)</f>
        <v>T1</v>
      </c>
      <c r="R613" t="str">
        <f>VLOOKUP(A613,vlookup_table!$A:$G,6,FALSE)</f>
        <v>F</v>
      </c>
      <c r="S613">
        <f>VLOOKUP(A613,vlookup_table!$A:$G,7,FALSE)</f>
        <v>8</v>
      </c>
      <c r="T613">
        <f t="shared" si="18"/>
        <v>96</v>
      </c>
      <c r="U613" t="str">
        <f t="shared" si="19"/>
        <v>Pueblo</v>
      </c>
    </row>
    <row r="614" spans="1:21" ht="16" x14ac:dyDescent="0.4">
      <c r="A614" s="4">
        <v>184098</v>
      </c>
      <c r="B614" s="1" t="s">
        <v>37</v>
      </c>
      <c r="C614" s="1" t="s">
        <v>17</v>
      </c>
      <c r="D614" s="1">
        <v>694</v>
      </c>
      <c r="E614" s="1">
        <v>319</v>
      </c>
      <c r="F614" s="1">
        <v>362</v>
      </c>
      <c r="G614" s="1">
        <v>0</v>
      </c>
      <c r="H614" s="1">
        <v>11517</v>
      </c>
      <c r="I614" s="1">
        <v>9</v>
      </c>
      <c r="J614" s="1">
        <v>54</v>
      </c>
      <c r="K614" s="1">
        <v>321</v>
      </c>
      <c r="L614" s="1">
        <v>342</v>
      </c>
      <c r="M614" s="1">
        <v>7.6666666670000003</v>
      </c>
      <c r="N614">
        <f>VLOOKUP(A614,vlookup_table!$A:$G,2,FALSE)</f>
        <v>0</v>
      </c>
      <c r="O614" t="str">
        <f>VLOOKUP(A614,vlookup_table!$A:$G,3,FALSE)</f>
        <v>WA</v>
      </c>
      <c r="P614">
        <f>VLOOKUP(A614,vlookup_table!$A:$G,4,FALSE)</f>
        <v>0</v>
      </c>
      <c r="Q614" t="str">
        <f>VLOOKUP(A614,vlookup_table!$A:$G,5,FALSE)</f>
        <v>C3</v>
      </c>
      <c r="R614" t="str">
        <f>VLOOKUP(A614,vlookup_table!$A:$G,6,FALSE)</f>
        <v>F</v>
      </c>
      <c r="S614">
        <f>VLOOKUP(A614,vlookup_table!$A:$G,7,FALSE)</f>
        <v>9</v>
      </c>
      <c r="T614">
        <f t="shared" si="18"/>
        <v>96</v>
      </c>
      <c r="U614" t="str">
        <f t="shared" si="19"/>
        <v>Ciudad</v>
      </c>
    </row>
    <row r="615" spans="1:21" ht="16" x14ac:dyDescent="0.4">
      <c r="A615" s="4">
        <v>144850</v>
      </c>
      <c r="B615" s="1" t="s">
        <v>21</v>
      </c>
      <c r="C615" s="1" t="s">
        <v>17</v>
      </c>
      <c r="D615" s="1">
        <v>4183</v>
      </c>
      <c r="E615" s="1">
        <v>631</v>
      </c>
      <c r="F615" s="1">
        <v>738</v>
      </c>
      <c r="G615" s="1">
        <v>97</v>
      </c>
      <c r="H615" s="1">
        <v>29875</v>
      </c>
      <c r="I615" s="1">
        <v>39</v>
      </c>
      <c r="J615" s="1">
        <v>21</v>
      </c>
      <c r="K615" s="1">
        <v>704</v>
      </c>
      <c r="L615" s="1">
        <v>671</v>
      </c>
      <c r="M615" s="1">
        <v>5.4285714289999998</v>
      </c>
      <c r="N615">
        <f>VLOOKUP(A615,vlookup_table!$A:$G,2,FALSE)</f>
        <v>0</v>
      </c>
      <c r="O615" t="str">
        <f>VLOOKUP(A615,vlookup_table!$A:$G,3,FALSE)</f>
        <v>CA</v>
      </c>
      <c r="P615">
        <f>VLOOKUP(A615,vlookup_table!$A:$G,4,FALSE)</f>
        <v>4301</v>
      </c>
      <c r="Q615" t="str">
        <f>VLOOKUP(A615,vlookup_table!$A:$G,5,FALSE)</f>
        <v/>
      </c>
      <c r="R615" t="str">
        <f>VLOOKUP(A615,vlookup_table!$A:$G,6,FALSE)</f>
        <v>F</v>
      </c>
      <c r="S615">
        <f>VLOOKUP(A615,vlookup_table!$A:$G,7,FALSE)</f>
        <v>5</v>
      </c>
      <c r="T615">
        <f t="shared" si="18"/>
        <v>53</v>
      </c>
      <c r="U615" t="str">
        <f t="shared" si="19"/>
        <v/>
      </c>
    </row>
    <row r="616" spans="1:21" ht="16" x14ac:dyDescent="0.4">
      <c r="A616" s="4">
        <v>188519</v>
      </c>
      <c r="B616" s="1" t="s">
        <v>30</v>
      </c>
      <c r="C616" s="1" t="s">
        <v>17</v>
      </c>
      <c r="D616" s="1">
        <v>744</v>
      </c>
      <c r="E616" s="1">
        <v>396</v>
      </c>
      <c r="F616" s="1">
        <v>492</v>
      </c>
      <c r="G616" s="1">
        <v>0</v>
      </c>
      <c r="H616" s="1">
        <v>15863</v>
      </c>
      <c r="I616" s="1">
        <v>2</v>
      </c>
      <c r="J616" s="1">
        <v>68</v>
      </c>
      <c r="K616" s="1">
        <v>457</v>
      </c>
      <c r="L616" s="1">
        <v>432</v>
      </c>
      <c r="M616" s="1">
        <v>8</v>
      </c>
      <c r="N616">
        <f>VLOOKUP(A616,vlookup_table!$A:$G,2,FALSE)</f>
        <v>28</v>
      </c>
      <c r="O616" t="str">
        <f>VLOOKUP(A616,vlookup_table!$A:$G,3,FALSE)</f>
        <v>IN</v>
      </c>
      <c r="P616">
        <f>VLOOKUP(A616,vlookup_table!$A:$G,4,FALSE)</f>
        <v>2401</v>
      </c>
      <c r="Q616" t="str">
        <f>VLOOKUP(A616,vlookup_table!$A:$G,5,FALSE)</f>
        <v>S1</v>
      </c>
      <c r="R616" t="str">
        <f>VLOOKUP(A616,vlookup_table!$A:$G,6,FALSE)</f>
        <v>F</v>
      </c>
      <c r="S616">
        <f>VLOOKUP(A616,vlookup_table!$A:$G,7,FALSE)</f>
        <v>5</v>
      </c>
      <c r="T616">
        <f t="shared" si="18"/>
        <v>72</v>
      </c>
      <c r="U616" t="str">
        <f t="shared" si="19"/>
        <v>Suburbano</v>
      </c>
    </row>
    <row r="617" spans="1:21" ht="16" x14ac:dyDescent="0.4">
      <c r="A617" s="4">
        <v>164367</v>
      </c>
      <c r="B617" s="1" t="s">
        <v>21</v>
      </c>
      <c r="C617" s="1" t="s">
        <v>17</v>
      </c>
      <c r="D617" s="1">
        <v>875</v>
      </c>
      <c r="E617" s="1">
        <v>280</v>
      </c>
      <c r="F617" s="1">
        <v>398</v>
      </c>
      <c r="G617" s="1">
        <v>0</v>
      </c>
      <c r="H617" s="1">
        <v>18252</v>
      </c>
      <c r="I617" s="1">
        <v>4</v>
      </c>
      <c r="J617" s="1">
        <v>38</v>
      </c>
      <c r="K617" s="1">
        <v>330</v>
      </c>
      <c r="L617" s="1">
        <v>326</v>
      </c>
      <c r="M617" s="1">
        <v>11.75</v>
      </c>
      <c r="N617">
        <f>VLOOKUP(A617,vlookup_table!$A:$G,2,FALSE)</f>
        <v>28</v>
      </c>
      <c r="O617" t="str">
        <f>VLOOKUP(A617,vlookup_table!$A:$G,3,FALSE)</f>
        <v>CA</v>
      </c>
      <c r="P617">
        <f>VLOOKUP(A617,vlookup_table!$A:$G,4,FALSE)</f>
        <v>0</v>
      </c>
      <c r="Q617" t="str">
        <f>VLOOKUP(A617,vlookup_table!$A:$G,5,FALSE)</f>
        <v>S1</v>
      </c>
      <c r="R617" t="str">
        <f>VLOOKUP(A617,vlookup_table!$A:$G,6,FALSE)</f>
        <v>F</v>
      </c>
      <c r="S617">
        <f>VLOOKUP(A617,vlookup_table!$A:$G,7,FALSE)</f>
        <v>20</v>
      </c>
      <c r="T617">
        <f t="shared" si="18"/>
        <v>96</v>
      </c>
      <c r="U617" t="str">
        <f t="shared" si="19"/>
        <v>Suburbano</v>
      </c>
    </row>
    <row r="618" spans="1:21" ht="16" x14ac:dyDescent="0.4">
      <c r="A618" s="4">
        <v>75992</v>
      </c>
      <c r="B618" s="1" t="s">
        <v>44</v>
      </c>
      <c r="C618" s="1" t="s">
        <v>17</v>
      </c>
      <c r="D618" s="1">
        <v>354</v>
      </c>
      <c r="E618" s="1">
        <v>222</v>
      </c>
      <c r="F618" s="1">
        <v>269</v>
      </c>
      <c r="G618" s="1">
        <v>0</v>
      </c>
      <c r="H618" s="1">
        <v>9579</v>
      </c>
      <c r="I618" s="1">
        <v>2</v>
      </c>
      <c r="J618" s="1">
        <v>65</v>
      </c>
      <c r="K618" s="1">
        <v>248</v>
      </c>
      <c r="L618" s="1">
        <v>253</v>
      </c>
      <c r="M618" s="1">
        <v>7.8</v>
      </c>
      <c r="N618">
        <f>VLOOKUP(A618,vlookup_table!$A:$G,2,FALSE)</f>
        <v>28</v>
      </c>
      <c r="O618" t="str">
        <f>VLOOKUP(A618,vlookup_table!$A:$G,3,FALSE)</f>
        <v>IA</v>
      </c>
      <c r="P618">
        <f>VLOOKUP(A618,vlookup_table!$A:$G,4,FALSE)</f>
        <v>5601</v>
      </c>
      <c r="Q618" t="str">
        <f>VLOOKUP(A618,vlookup_table!$A:$G,5,FALSE)</f>
        <v>S3</v>
      </c>
      <c r="R618" t="str">
        <f>VLOOKUP(A618,vlookup_table!$A:$G,6,FALSE)</f>
        <v>F</v>
      </c>
      <c r="S618">
        <f>VLOOKUP(A618,vlookup_table!$A:$G,7,FALSE)</f>
        <v>8</v>
      </c>
      <c r="T618">
        <f t="shared" si="18"/>
        <v>40</v>
      </c>
      <c r="U618" t="str">
        <f t="shared" si="19"/>
        <v>Suburbano</v>
      </c>
    </row>
    <row r="619" spans="1:21" ht="16" x14ac:dyDescent="0.4">
      <c r="A619" s="4">
        <v>34957</v>
      </c>
      <c r="B619" s="1" t="s">
        <v>13</v>
      </c>
      <c r="C619" s="1" t="s">
        <v>17</v>
      </c>
      <c r="D619" s="1">
        <v>1675</v>
      </c>
      <c r="E619" s="1">
        <v>336</v>
      </c>
      <c r="F619" s="1">
        <v>568</v>
      </c>
      <c r="G619" s="1">
        <v>36</v>
      </c>
      <c r="H619" s="1">
        <v>25558</v>
      </c>
      <c r="I619" s="1">
        <v>10</v>
      </c>
      <c r="J619" s="1">
        <v>19</v>
      </c>
      <c r="K619" s="1">
        <v>505</v>
      </c>
      <c r="L619" s="1">
        <v>441</v>
      </c>
      <c r="M619" s="1">
        <v>20</v>
      </c>
      <c r="N619">
        <f>VLOOKUP(A619,vlookup_table!$A:$G,2,FALSE)</f>
        <v>28</v>
      </c>
      <c r="O619" t="str">
        <f>VLOOKUP(A619,vlookup_table!$A:$G,3,FALSE)</f>
        <v>FL</v>
      </c>
      <c r="P619">
        <f>VLOOKUP(A619,vlookup_table!$A:$G,4,FALSE)</f>
        <v>2401</v>
      </c>
      <c r="Q619" t="str">
        <f>VLOOKUP(A619,vlookup_table!$A:$G,5,FALSE)</f>
        <v>C1</v>
      </c>
      <c r="R619" t="str">
        <f>VLOOKUP(A619,vlookup_table!$A:$G,6,FALSE)</f>
        <v>F</v>
      </c>
      <c r="S619">
        <f>VLOOKUP(A619,vlookup_table!$A:$G,7,FALSE)</f>
        <v>10</v>
      </c>
      <c r="T619">
        <f t="shared" si="18"/>
        <v>72</v>
      </c>
      <c r="U619" t="str">
        <f t="shared" si="19"/>
        <v>Ciudad</v>
      </c>
    </row>
    <row r="620" spans="1:21" ht="16" x14ac:dyDescent="0.4">
      <c r="A620" s="4">
        <v>110094</v>
      </c>
      <c r="B620" s="1" t="s">
        <v>46</v>
      </c>
      <c r="C620" s="1" t="s">
        <v>17</v>
      </c>
      <c r="D620" s="1">
        <v>421</v>
      </c>
      <c r="E620" s="1">
        <v>194</v>
      </c>
      <c r="F620" s="1">
        <v>247</v>
      </c>
      <c r="G620" s="1">
        <v>0</v>
      </c>
      <c r="H620" s="1">
        <v>7421</v>
      </c>
      <c r="I620" s="1">
        <v>0</v>
      </c>
      <c r="J620" s="1">
        <v>85</v>
      </c>
      <c r="K620" s="1">
        <v>233</v>
      </c>
      <c r="L620" s="1">
        <v>202</v>
      </c>
      <c r="M620" s="1">
        <v>10</v>
      </c>
      <c r="N620">
        <f>VLOOKUP(A620,vlookup_table!$A:$G,2,FALSE)</f>
        <v>2</v>
      </c>
      <c r="O620" t="str">
        <f>VLOOKUP(A620,vlookup_table!$A:$G,3,FALSE)</f>
        <v>LA</v>
      </c>
      <c r="P620">
        <f>VLOOKUP(A620,vlookup_table!$A:$G,4,FALSE)</f>
        <v>5305</v>
      </c>
      <c r="Q620" t="str">
        <f>VLOOKUP(A620,vlookup_table!$A:$G,5,FALSE)</f>
        <v>C3</v>
      </c>
      <c r="R620" t="str">
        <f>VLOOKUP(A620,vlookup_table!$A:$G,6,FALSE)</f>
        <v>F</v>
      </c>
      <c r="S620">
        <f>VLOOKUP(A620,vlookup_table!$A:$G,7,FALSE)</f>
        <v>18</v>
      </c>
      <c r="T620">
        <f t="shared" si="18"/>
        <v>43</v>
      </c>
      <c r="U620" t="str">
        <f t="shared" si="19"/>
        <v>Ciudad</v>
      </c>
    </row>
    <row r="621" spans="1:21" ht="16" x14ac:dyDescent="0.4">
      <c r="A621" s="4">
        <v>121590</v>
      </c>
      <c r="B621" s="1" t="s">
        <v>20</v>
      </c>
      <c r="C621" s="1" t="s">
        <v>17</v>
      </c>
      <c r="D621" s="1">
        <v>782</v>
      </c>
      <c r="E621" s="1">
        <v>524</v>
      </c>
      <c r="F621" s="1">
        <v>545</v>
      </c>
      <c r="G621" s="1">
        <v>0</v>
      </c>
      <c r="H621" s="1">
        <v>14635</v>
      </c>
      <c r="I621" s="1">
        <v>29</v>
      </c>
      <c r="J621" s="1">
        <v>35</v>
      </c>
      <c r="K621" s="1">
        <v>469</v>
      </c>
      <c r="L621" s="1">
        <v>565</v>
      </c>
      <c r="M621" s="1">
        <v>10.73684211</v>
      </c>
      <c r="N621">
        <f>VLOOKUP(A621,vlookup_table!$A:$G,2,FALSE)</f>
        <v>0</v>
      </c>
      <c r="O621" t="str">
        <f>VLOOKUP(A621,vlookup_table!$A:$G,3,FALSE)</f>
        <v>TX</v>
      </c>
      <c r="P621">
        <f>VLOOKUP(A621,vlookup_table!$A:$G,4,FALSE)</f>
        <v>6410</v>
      </c>
      <c r="Q621" t="str">
        <f>VLOOKUP(A621,vlookup_table!$A:$G,5,FALSE)</f>
        <v>U1</v>
      </c>
      <c r="R621" t="str">
        <f>VLOOKUP(A621,vlookup_table!$A:$G,6,FALSE)</f>
        <v>F</v>
      </c>
      <c r="S621">
        <f>VLOOKUP(A621,vlookup_table!$A:$G,7,FALSE)</f>
        <v>10</v>
      </c>
      <c r="T621">
        <f t="shared" si="18"/>
        <v>32</v>
      </c>
      <c r="U621" t="str">
        <f t="shared" si="19"/>
        <v>Urbano</v>
      </c>
    </row>
    <row r="622" spans="1:21" ht="16" x14ac:dyDescent="0.4">
      <c r="A622" s="4">
        <v>140652</v>
      </c>
      <c r="B622" s="1" t="s">
        <v>50</v>
      </c>
      <c r="C622" s="1" t="s">
        <v>17</v>
      </c>
      <c r="D622" s="1">
        <v>574</v>
      </c>
      <c r="E622" s="1">
        <v>212</v>
      </c>
      <c r="F622" s="1">
        <v>300</v>
      </c>
      <c r="G622" s="1">
        <v>2</v>
      </c>
      <c r="H622" s="1">
        <v>10315</v>
      </c>
      <c r="I622" s="1">
        <v>2</v>
      </c>
      <c r="J622" s="1">
        <v>56</v>
      </c>
      <c r="K622" s="1">
        <v>268</v>
      </c>
      <c r="L622" s="1">
        <v>256</v>
      </c>
      <c r="M622" s="1">
        <v>20</v>
      </c>
      <c r="N622">
        <f>VLOOKUP(A622,vlookup_table!$A:$G,2,FALSE)</f>
        <v>0</v>
      </c>
      <c r="O622" t="str">
        <f>VLOOKUP(A622,vlookup_table!$A:$G,3,FALSE)</f>
        <v>NM</v>
      </c>
      <c r="P622">
        <f>VLOOKUP(A622,vlookup_table!$A:$G,4,FALSE)</f>
        <v>3101</v>
      </c>
      <c r="Q622" t="str">
        <f>VLOOKUP(A622,vlookup_table!$A:$G,5,FALSE)</f>
        <v>R2</v>
      </c>
      <c r="R622" t="str">
        <f>VLOOKUP(A622,vlookup_table!$A:$G,6,FALSE)</f>
        <v>F</v>
      </c>
      <c r="S622">
        <f>VLOOKUP(A622,vlookup_table!$A:$G,7,FALSE)</f>
        <v>20</v>
      </c>
      <c r="T622">
        <f t="shared" si="18"/>
        <v>65</v>
      </c>
      <c r="U622" t="str">
        <f t="shared" si="19"/>
        <v>Rural</v>
      </c>
    </row>
    <row r="623" spans="1:21" ht="16" x14ac:dyDescent="0.4">
      <c r="A623" s="4">
        <v>134319</v>
      </c>
      <c r="B623" s="1" t="s">
        <v>35</v>
      </c>
      <c r="C623" s="1" t="s">
        <v>17</v>
      </c>
      <c r="D623" s="1">
        <v>742</v>
      </c>
      <c r="E623" s="1">
        <v>246</v>
      </c>
      <c r="F623" s="1">
        <v>393</v>
      </c>
      <c r="G623" s="1">
        <v>0</v>
      </c>
      <c r="H623" s="1">
        <v>14377</v>
      </c>
      <c r="I623" s="1">
        <v>1</v>
      </c>
      <c r="J623" s="1">
        <v>56</v>
      </c>
      <c r="K623" s="1">
        <v>361</v>
      </c>
      <c r="L623" s="1">
        <v>287</v>
      </c>
      <c r="M623" s="1">
        <v>12</v>
      </c>
      <c r="N623">
        <f>VLOOKUP(A623,vlookup_table!$A:$G,2,FALSE)</f>
        <v>0</v>
      </c>
      <c r="O623" t="str">
        <f>VLOOKUP(A623,vlookup_table!$A:$G,3,FALSE)</f>
        <v>UT</v>
      </c>
      <c r="P623">
        <f>VLOOKUP(A623,vlookup_table!$A:$G,4,FALSE)</f>
        <v>0</v>
      </c>
      <c r="Q623" t="str">
        <f>VLOOKUP(A623,vlookup_table!$A:$G,5,FALSE)</f>
        <v>S1</v>
      </c>
      <c r="R623" t="str">
        <f>VLOOKUP(A623,vlookup_table!$A:$G,6,FALSE)</f>
        <v>F</v>
      </c>
      <c r="S623">
        <f>VLOOKUP(A623,vlookup_table!$A:$G,7,FALSE)</f>
        <v>13</v>
      </c>
      <c r="T623">
        <f t="shared" si="18"/>
        <v>96</v>
      </c>
      <c r="U623" t="str">
        <f t="shared" si="19"/>
        <v>Suburbano</v>
      </c>
    </row>
    <row r="624" spans="1:21" ht="16" x14ac:dyDescent="0.4">
      <c r="A624" s="4">
        <v>27921</v>
      </c>
      <c r="B624" s="1" t="s">
        <v>36</v>
      </c>
      <c r="C624" s="1" t="s">
        <v>17</v>
      </c>
      <c r="D624" s="1">
        <v>1067</v>
      </c>
      <c r="E624" s="1">
        <v>481</v>
      </c>
      <c r="F624" s="1">
        <v>580</v>
      </c>
      <c r="G624" s="1">
        <v>5</v>
      </c>
      <c r="H624" s="1">
        <v>17607</v>
      </c>
      <c r="I624" s="1">
        <v>5</v>
      </c>
      <c r="J624" s="1">
        <v>33</v>
      </c>
      <c r="K624" s="1">
        <v>529</v>
      </c>
      <c r="L624" s="1">
        <v>534</v>
      </c>
      <c r="M624" s="1">
        <v>11.25</v>
      </c>
      <c r="N624">
        <f>VLOOKUP(A624,vlookup_table!$A:$G,2,FALSE)</f>
        <v>0</v>
      </c>
      <c r="O624" t="str">
        <f>VLOOKUP(A624,vlookup_table!$A:$G,3,FALSE)</f>
        <v>GA</v>
      </c>
      <c r="P624">
        <f>VLOOKUP(A624,vlookup_table!$A:$G,4,FALSE)</f>
        <v>0</v>
      </c>
      <c r="Q624" t="str">
        <f>VLOOKUP(A624,vlookup_table!$A:$G,5,FALSE)</f>
        <v>T1</v>
      </c>
      <c r="R624" t="str">
        <f>VLOOKUP(A624,vlookup_table!$A:$G,6,FALSE)</f>
        <v>F</v>
      </c>
      <c r="S624">
        <f>VLOOKUP(A624,vlookup_table!$A:$G,7,FALSE)</f>
        <v>14</v>
      </c>
      <c r="T624">
        <f t="shared" si="18"/>
        <v>96</v>
      </c>
      <c r="U624" t="str">
        <f t="shared" si="19"/>
        <v>Pueblo</v>
      </c>
    </row>
    <row r="625" spans="1:21" ht="16" x14ac:dyDescent="0.4">
      <c r="A625" s="4">
        <v>29373</v>
      </c>
      <c r="B625" s="1" t="s">
        <v>36</v>
      </c>
      <c r="C625" s="1" t="s">
        <v>17</v>
      </c>
      <c r="D625" s="1">
        <v>860</v>
      </c>
      <c r="E625" s="1">
        <v>468</v>
      </c>
      <c r="F625" s="1">
        <v>507</v>
      </c>
      <c r="G625" s="1">
        <v>0</v>
      </c>
      <c r="H625" s="1">
        <v>15986</v>
      </c>
      <c r="I625" s="1">
        <v>1</v>
      </c>
      <c r="J625" s="1">
        <v>65</v>
      </c>
      <c r="K625" s="1">
        <v>490</v>
      </c>
      <c r="L625" s="1">
        <v>464</v>
      </c>
      <c r="M625" s="1">
        <v>14.88888889</v>
      </c>
      <c r="N625">
        <f>VLOOKUP(A625,vlookup_table!$A:$G,2,FALSE)</f>
        <v>0</v>
      </c>
      <c r="O625" t="str">
        <f>VLOOKUP(A625,vlookup_table!$A:$G,3,FALSE)</f>
        <v>GA</v>
      </c>
      <c r="P625">
        <f>VLOOKUP(A625,vlookup_table!$A:$G,4,FALSE)</f>
        <v>5401</v>
      </c>
      <c r="Q625" t="str">
        <f>VLOOKUP(A625,vlookup_table!$A:$G,5,FALSE)</f>
        <v>T1</v>
      </c>
      <c r="R625" t="str">
        <f>VLOOKUP(A625,vlookup_table!$A:$G,6,FALSE)</f>
        <v>F</v>
      </c>
      <c r="S625">
        <f>VLOOKUP(A625,vlookup_table!$A:$G,7,FALSE)</f>
        <v>20</v>
      </c>
      <c r="T625">
        <f t="shared" si="18"/>
        <v>42</v>
      </c>
      <c r="U625" t="str">
        <f t="shared" si="19"/>
        <v>Pueblo</v>
      </c>
    </row>
    <row r="626" spans="1:21" ht="16" x14ac:dyDescent="0.4">
      <c r="A626" s="4">
        <v>130684</v>
      </c>
      <c r="B626" s="1" t="s">
        <v>40</v>
      </c>
      <c r="C626" s="1"/>
      <c r="D626" s="1">
        <v>1175</v>
      </c>
      <c r="E626" s="1">
        <v>586</v>
      </c>
      <c r="F626" s="1">
        <v>662</v>
      </c>
      <c r="G626" s="1">
        <v>8</v>
      </c>
      <c r="H626" s="1">
        <v>22215</v>
      </c>
      <c r="I626" s="1">
        <v>4</v>
      </c>
      <c r="J626" s="1">
        <v>38</v>
      </c>
      <c r="K626" s="1">
        <v>619</v>
      </c>
      <c r="L626" s="1">
        <v>626</v>
      </c>
      <c r="M626" s="1">
        <v>4.5</v>
      </c>
      <c r="N626">
        <f>VLOOKUP(A626,vlookup_table!$A:$G,2,FALSE)</f>
        <v>980</v>
      </c>
      <c r="O626" t="str">
        <f>VLOOKUP(A626,vlookup_table!$A:$G,3,FALSE)</f>
        <v>AL</v>
      </c>
      <c r="P626">
        <f>VLOOKUP(A626,vlookup_table!$A:$G,4,FALSE)</f>
        <v>0</v>
      </c>
      <c r="Q626" t="str">
        <f>VLOOKUP(A626,vlookup_table!$A:$G,5,FALSE)</f>
        <v>T1</v>
      </c>
      <c r="R626" t="str">
        <f>VLOOKUP(A626,vlookup_table!$A:$G,6,FALSE)</f>
        <v/>
      </c>
      <c r="S626">
        <f>VLOOKUP(A626,vlookup_table!$A:$G,7,FALSE)</f>
        <v>6</v>
      </c>
      <c r="T626">
        <f t="shared" si="18"/>
        <v>96</v>
      </c>
      <c r="U626" t="str">
        <f t="shared" si="19"/>
        <v>Pueblo</v>
      </c>
    </row>
    <row r="627" spans="1:21" ht="16" x14ac:dyDescent="0.4">
      <c r="A627" s="4">
        <v>190920</v>
      </c>
      <c r="B627" s="1" t="s">
        <v>21</v>
      </c>
      <c r="C627" s="1" t="s">
        <v>14</v>
      </c>
      <c r="D627" s="1">
        <v>916</v>
      </c>
      <c r="E627" s="1">
        <v>242</v>
      </c>
      <c r="F627" s="1">
        <v>369</v>
      </c>
      <c r="G627" s="1">
        <v>5</v>
      </c>
      <c r="H627" s="1">
        <v>10719</v>
      </c>
      <c r="I627" s="1">
        <v>19</v>
      </c>
      <c r="J627" s="1">
        <v>51</v>
      </c>
      <c r="K627" s="1">
        <v>321</v>
      </c>
      <c r="L627" s="1">
        <v>293</v>
      </c>
      <c r="M627" s="1">
        <v>22</v>
      </c>
      <c r="N627">
        <f>VLOOKUP(A627,vlookup_table!$A:$G,2,FALSE)</f>
        <v>1</v>
      </c>
      <c r="O627" t="str">
        <f>VLOOKUP(A627,vlookup_table!$A:$G,3,FALSE)</f>
        <v>CA</v>
      </c>
      <c r="P627">
        <f>VLOOKUP(A627,vlookup_table!$A:$G,4,FALSE)</f>
        <v>0</v>
      </c>
      <c r="Q627" t="str">
        <f>VLOOKUP(A627,vlookup_table!$A:$G,5,FALSE)</f>
        <v>S2</v>
      </c>
      <c r="R627" t="str">
        <f>VLOOKUP(A627,vlookup_table!$A:$G,6,FALSE)</f>
        <v>M</v>
      </c>
      <c r="S627">
        <f>VLOOKUP(A627,vlookup_table!$A:$G,7,FALSE)</f>
        <v>20</v>
      </c>
      <c r="T627">
        <f t="shared" si="18"/>
        <v>96</v>
      </c>
      <c r="U627" t="str">
        <f t="shared" si="19"/>
        <v>Suburbano</v>
      </c>
    </row>
    <row r="628" spans="1:21" ht="16" x14ac:dyDescent="0.4">
      <c r="A628" s="4">
        <v>187259</v>
      </c>
      <c r="B628" s="1" t="s">
        <v>21</v>
      </c>
      <c r="C628" s="1" t="s">
        <v>17</v>
      </c>
      <c r="D628" s="1">
        <v>4259</v>
      </c>
      <c r="E628" s="1">
        <v>435</v>
      </c>
      <c r="F628" s="1">
        <v>661</v>
      </c>
      <c r="G628" s="1">
        <v>95</v>
      </c>
      <c r="H628" s="1">
        <v>31730</v>
      </c>
      <c r="I628" s="1">
        <v>16</v>
      </c>
      <c r="J628" s="1">
        <v>34</v>
      </c>
      <c r="K628" s="1">
        <v>498</v>
      </c>
      <c r="L628" s="1">
        <v>573</v>
      </c>
      <c r="M628" s="1">
        <v>15</v>
      </c>
      <c r="N628">
        <f>VLOOKUP(A628,vlookup_table!$A:$G,2,FALSE)</f>
        <v>0</v>
      </c>
      <c r="O628" t="str">
        <f>VLOOKUP(A628,vlookup_table!$A:$G,3,FALSE)</f>
        <v>CA</v>
      </c>
      <c r="P628">
        <f>VLOOKUP(A628,vlookup_table!$A:$G,4,FALSE)</f>
        <v>0</v>
      </c>
      <c r="Q628" t="str">
        <f>VLOOKUP(A628,vlookup_table!$A:$G,5,FALSE)</f>
        <v>S1</v>
      </c>
      <c r="R628" t="str">
        <f>VLOOKUP(A628,vlookup_table!$A:$G,6,FALSE)</f>
        <v>F</v>
      </c>
      <c r="S628">
        <f>VLOOKUP(A628,vlookup_table!$A:$G,7,FALSE)</f>
        <v>15</v>
      </c>
      <c r="T628">
        <f t="shared" si="18"/>
        <v>96</v>
      </c>
      <c r="U628" t="str">
        <f t="shared" si="19"/>
        <v>Suburbano</v>
      </c>
    </row>
    <row r="629" spans="1:21" ht="16" x14ac:dyDescent="0.4">
      <c r="A629" s="4">
        <v>45666</v>
      </c>
      <c r="B629" s="1" t="s">
        <v>13</v>
      </c>
      <c r="C629" s="1" t="s">
        <v>17</v>
      </c>
      <c r="D629" s="1">
        <v>566</v>
      </c>
      <c r="E629" s="1">
        <v>218</v>
      </c>
      <c r="F629" s="1">
        <v>272</v>
      </c>
      <c r="G629" s="1">
        <v>0</v>
      </c>
      <c r="H629" s="1">
        <v>11438</v>
      </c>
      <c r="I629" s="1">
        <v>9</v>
      </c>
      <c r="J629" s="1">
        <v>8</v>
      </c>
      <c r="K629" s="1">
        <v>242</v>
      </c>
      <c r="L629" s="1">
        <v>249</v>
      </c>
      <c r="M629" s="1">
        <v>5.6</v>
      </c>
      <c r="N629">
        <f>VLOOKUP(A629,vlookup_table!$A:$G,2,FALSE)</f>
        <v>28</v>
      </c>
      <c r="O629" t="str">
        <f>VLOOKUP(A629,vlookup_table!$A:$G,3,FALSE)</f>
        <v>FL</v>
      </c>
      <c r="P629">
        <f>VLOOKUP(A629,vlookup_table!$A:$G,4,FALSE)</f>
        <v>4001</v>
      </c>
      <c r="Q629" t="str">
        <f>VLOOKUP(A629,vlookup_table!$A:$G,5,FALSE)</f>
        <v>C3</v>
      </c>
      <c r="R629" t="str">
        <f>VLOOKUP(A629,vlookup_table!$A:$G,6,FALSE)</f>
        <v>F</v>
      </c>
      <c r="S629">
        <f>VLOOKUP(A629,vlookup_table!$A:$G,7,FALSE)</f>
        <v>5</v>
      </c>
      <c r="T629">
        <f t="shared" si="18"/>
        <v>56</v>
      </c>
      <c r="U629" t="str">
        <f t="shared" si="19"/>
        <v>Ciudad</v>
      </c>
    </row>
    <row r="630" spans="1:21" ht="16" x14ac:dyDescent="0.4">
      <c r="A630" s="4">
        <v>21335</v>
      </c>
      <c r="B630" s="1" t="s">
        <v>18</v>
      </c>
      <c r="C630" s="1" t="s">
        <v>14</v>
      </c>
      <c r="D630" s="1">
        <v>525</v>
      </c>
      <c r="E630" s="1">
        <v>333</v>
      </c>
      <c r="F630" s="1">
        <v>399</v>
      </c>
      <c r="G630" s="1">
        <v>1</v>
      </c>
      <c r="H630" s="1">
        <v>12885</v>
      </c>
      <c r="I630" s="1">
        <v>0</v>
      </c>
      <c r="J630" s="1">
        <v>86</v>
      </c>
      <c r="K630" s="1">
        <v>346</v>
      </c>
      <c r="L630" s="1">
        <v>364</v>
      </c>
      <c r="M630" s="1">
        <v>6.923076923</v>
      </c>
      <c r="N630">
        <f>VLOOKUP(A630,vlookup_table!$A:$G,2,FALSE)</f>
        <v>2</v>
      </c>
      <c r="O630" t="str">
        <f>VLOOKUP(A630,vlookup_table!$A:$G,3,FALSE)</f>
        <v>NC</v>
      </c>
      <c r="P630">
        <f>VLOOKUP(A630,vlookup_table!$A:$G,4,FALSE)</f>
        <v>0</v>
      </c>
      <c r="Q630" t="str">
        <f>VLOOKUP(A630,vlookup_table!$A:$G,5,FALSE)</f>
        <v>T2</v>
      </c>
      <c r="R630" t="str">
        <f>VLOOKUP(A630,vlookup_table!$A:$G,6,FALSE)</f>
        <v>M</v>
      </c>
      <c r="S630">
        <f>VLOOKUP(A630,vlookup_table!$A:$G,7,FALSE)</f>
        <v>10</v>
      </c>
      <c r="T630">
        <f t="shared" si="18"/>
        <v>96</v>
      </c>
      <c r="U630" t="str">
        <f t="shared" si="19"/>
        <v>Pueblo</v>
      </c>
    </row>
    <row r="631" spans="1:21" ht="16" x14ac:dyDescent="0.4">
      <c r="A631" s="4">
        <v>160424</v>
      </c>
      <c r="B631" s="1" t="s">
        <v>21</v>
      </c>
      <c r="C631" s="1" t="s">
        <v>14</v>
      </c>
      <c r="D631" s="1">
        <v>1582</v>
      </c>
      <c r="E631" s="1">
        <v>299</v>
      </c>
      <c r="F631" s="1">
        <v>359</v>
      </c>
      <c r="G631" s="1">
        <v>21</v>
      </c>
      <c r="H631" s="1">
        <v>12976</v>
      </c>
      <c r="I631" s="1">
        <v>12</v>
      </c>
      <c r="J631" s="1">
        <v>58</v>
      </c>
      <c r="K631" s="1">
        <v>335</v>
      </c>
      <c r="L631" s="1">
        <v>330</v>
      </c>
      <c r="M631" s="1">
        <v>14.25</v>
      </c>
      <c r="N631">
        <f>VLOOKUP(A631,vlookup_table!$A:$G,2,FALSE)</f>
        <v>1</v>
      </c>
      <c r="O631" t="str">
        <f>VLOOKUP(A631,vlookup_table!$A:$G,3,FALSE)</f>
        <v>CA</v>
      </c>
      <c r="P631">
        <f>VLOOKUP(A631,vlookup_table!$A:$G,4,FALSE)</f>
        <v>3201</v>
      </c>
      <c r="Q631" t="str">
        <f>VLOOKUP(A631,vlookup_table!$A:$G,5,FALSE)</f>
        <v>T2</v>
      </c>
      <c r="R631" t="str">
        <f>VLOOKUP(A631,vlookup_table!$A:$G,6,FALSE)</f>
        <v>M</v>
      </c>
      <c r="S631">
        <f>VLOOKUP(A631,vlookup_table!$A:$G,7,FALSE)</f>
        <v>20</v>
      </c>
      <c r="T631">
        <f t="shared" si="18"/>
        <v>64</v>
      </c>
      <c r="U631" t="str">
        <f t="shared" si="19"/>
        <v>Pueblo</v>
      </c>
    </row>
    <row r="632" spans="1:21" ht="16" x14ac:dyDescent="0.4">
      <c r="A632" s="4">
        <v>2194</v>
      </c>
      <c r="B632" s="1" t="s">
        <v>13</v>
      </c>
      <c r="C632" s="1" t="s">
        <v>14</v>
      </c>
      <c r="D632" s="1">
        <v>1006</v>
      </c>
      <c r="E632" s="1">
        <v>282</v>
      </c>
      <c r="F632" s="1">
        <v>452</v>
      </c>
      <c r="G632" s="1">
        <v>6</v>
      </c>
      <c r="H632" s="1">
        <v>19466</v>
      </c>
      <c r="I632" s="1">
        <v>5</v>
      </c>
      <c r="J632" s="1">
        <v>21</v>
      </c>
      <c r="K632" s="1">
        <v>398</v>
      </c>
      <c r="L632" s="1">
        <v>383</v>
      </c>
      <c r="M632" s="1">
        <v>4.0666666669999998</v>
      </c>
      <c r="N632">
        <f>VLOOKUP(A632,vlookup_table!$A:$G,2,FALSE)</f>
        <v>0</v>
      </c>
      <c r="O632" t="str">
        <f>VLOOKUP(A632,vlookup_table!$A:$G,3,FALSE)</f>
        <v>FL</v>
      </c>
      <c r="P632">
        <f>VLOOKUP(A632,vlookup_table!$A:$G,4,FALSE)</f>
        <v>6008</v>
      </c>
      <c r="Q632" t="str">
        <f>VLOOKUP(A632,vlookup_table!$A:$G,5,FALSE)</f>
        <v/>
      </c>
      <c r="R632" t="str">
        <f>VLOOKUP(A632,vlookup_table!$A:$G,6,FALSE)</f>
        <v>M</v>
      </c>
      <c r="S632">
        <f>VLOOKUP(A632,vlookup_table!$A:$G,7,FALSE)</f>
        <v>4</v>
      </c>
      <c r="T632">
        <f t="shared" si="18"/>
        <v>36</v>
      </c>
      <c r="U632" t="str">
        <f t="shared" si="19"/>
        <v/>
      </c>
    </row>
    <row r="633" spans="1:21" ht="16" x14ac:dyDescent="0.4">
      <c r="A633" s="4">
        <v>53151</v>
      </c>
      <c r="B633" s="1" t="s">
        <v>49</v>
      </c>
      <c r="C633" s="1" t="s">
        <v>14</v>
      </c>
      <c r="D633" s="1">
        <v>345</v>
      </c>
      <c r="E633" s="1">
        <v>159</v>
      </c>
      <c r="F633" s="1">
        <v>277</v>
      </c>
      <c r="G633" s="1">
        <v>0</v>
      </c>
      <c r="H633" s="1">
        <v>9775</v>
      </c>
      <c r="I633" s="1">
        <v>0</v>
      </c>
      <c r="J633" s="1">
        <v>85</v>
      </c>
      <c r="K633" s="1">
        <v>197</v>
      </c>
      <c r="L633" s="1">
        <v>233</v>
      </c>
      <c r="M633" s="1">
        <v>20</v>
      </c>
      <c r="N633">
        <f>VLOOKUP(A633,vlookup_table!$A:$G,2,FALSE)</f>
        <v>0</v>
      </c>
      <c r="O633" t="str">
        <f>VLOOKUP(A633,vlookup_table!$A:$G,3,FALSE)</f>
        <v>TN</v>
      </c>
      <c r="P633">
        <f>VLOOKUP(A633,vlookup_table!$A:$G,4,FALSE)</f>
        <v>0</v>
      </c>
      <c r="Q633" t="str">
        <f>VLOOKUP(A633,vlookup_table!$A:$G,5,FALSE)</f>
        <v>R3</v>
      </c>
      <c r="R633" t="str">
        <f>VLOOKUP(A633,vlookup_table!$A:$G,6,FALSE)</f>
        <v>M</v>
      </c>
      <c r="S633">
        <f>VLOOKUP(A633,vlookup_table!$A:$G,7,FALSE)</f>
        <v>40</v>
      </c>
      <c r="T633">
        <f t="shared" si="18"/>
        <v>96</v>
      </c>
      <c r="U633" t="str">
        <f t="shared" si="19"/>
        <v>Rural</v>
      </c>
    </row>
    <row r="634" spans="1:21" ht="16" x14ac:dyDescent="0.4">
      <c r="A634" s="4">
        <v>126069</v>
      </c>
      <c r="B634" s="1" t="s">
        <v>20</v>
      </c>
      <c r="C634" s="1" t="s">
        <v>17</v>
      </c>
      <c r="D634" s="1">
        <v>362</v>
      </c>
      <c r="E634" s="1">
        <v>204</v>
      </c>
      <c r="F634" s="1">
        <v>262</v>
      </c>
      <c r="G634" s="1">
        <v>0</v>
      </c>
      <c r="H634" s="1">
        <v>7285</v>
      </c>
      <c r="I634" s="1">
        <v>2</v>
      </c>
      <c r="J634" s="1">
        <v>94</v>
      </c>
      <c r="K634" s="1">
        <v>216</v>
      </c>
      <c r="L634" s="1">
        <v>246</v>
      </c>
      <c r="M634" s="1">
        <v>5.08</v>
      </c>
      <c r="N634">
        <f>VLOOKUP(A634,vlookup_table!$A:$G,2,FALSE)</f>
        <v>2</v>
      </c>
      <c r="O634" t="str">
        <f>VLOOKUP(A634,vlookup_table!$A:$G,3,FALSE)</f>
        <v>TX</v>
      </c>
      <c r="P634">
        <f>VLOOKUP(A634,vlookup_table!$A:$G,4,FALSE)</f>
        <v>903</v>
      </c>
      <c r="Q634" t="str">
        <f>VLOOKUP(A634,vlookup_table!$A:$G,5,FALSE)</f>
        <v>R2</v>
      </c>
      <c r="R634" t="str">
        <f>VLOOKUP(A634,vlookup_table!$A:$G,6,FALSE)</f>
        <v>F</v>
      </c>
      <c r="S634">
        <f>VLOOKUP(A634,vlookup_table!$A:$G,7,FALSE)</f>
        <v>5</v>
      </c>
      <c r="T634">
        <f t="shared" si="18"/>
        <v>6</v>
      </c>
      <c r="U634" t="str">
        <f t="shared" si="19"/>
        <v>Rural</v>
      </c>
    </row>
    <row r="635" spans="1:21" ht="16" x14ac:dyDescent="0.4">
      <c r="A635" s="4">
        <v>176292</v>
      </c>
      <c r="B635" s="1" t="s">
        <v>47</v>
      </c>
      <c r="C635" s="1" t="s">
        <v>14</v>
      </c>
      <c r="D635" s="1">
        <v>431</v>
      </c>
      <c r="E635" s="1">
        <v>213</v>
      </c>
      <c r="F635" s="1">
        <v>266</v>
      </c>
      <c r="G635" s="1">
        <v>0</v>
      </c>
      <c r="H635" s="1">
        <v>10611</v>
      </c>
      <c r="I635" s="1">
        <v>2</v>
      </c>
      <c r="J635" s="1">
        <v>53</v>
      </c>
      <c r="K635" s="1">
        <v>260</v>
      </c>
      <c r="L635" s="1">
        <v>242</v>
      </c>
      <c r="M635" s="1">
        <v>9</v>
      </c>
      <c r="N635">
        <f>VLOOKUP(A635,vlookup_table!$A:$G,2,FALSE)</f>
        <v>1</v>
      </c>
      <c r="O635" t="str">
        <f>VLOOKUP(A635,vlookup_table!$A:$G,3,FALSE)</f>
        <v>OR</v>
      </c>
      <c r="P635">
        <f>VLOOKUP(A635,vlookup_table!$A:$G,4,FALSE)</f>
        <v>0</v>
      </c>
      <c r="Q635" t="str">
        <f>VLOOKUP(A635,vlookup_table!$A:$G,5,FALSE)</f>
        <v>C3</v>
      </c>
      <c r="R635" t="str">
        <f>VLOOKUP(A635,vlookup_table!$A:$G,6,FALSE)</f>
        <v>M</v>
      </c>
      <c r="S635">
        <f>VLOOKUP(A635,vlookup_table!$A:$G,7,FALSE)</f>
        <v>25</v>
      </c>
      <c r="T635">
        <f t="shared" si="18"/>
        <v>96</v>
      </c>
      <c r="U635" t="str">
        <f t="shared" si="19"/>
        <v>Ciudad</v>
      </c>
    </row>
    <row r="636" spans="1:21" ht="16" x14ac:dyDescent="0.4">
      <c r="A636" s="4">
        <v>151518</v>
      </c>
      <c r="B636" s="1" t="s">
        <v>21</v>
      </c>
      <c r="C636" s="1" t="s">
        <v>17</v>
      </c>
      <c r="D636" s="1">
        <v>2457</v>
      </c>
      <c r="E636" s="1">
        <v>381</v>
      </c>
      <c r="F636" s="1">
        <v>531</v>
      </c>
      <c r="G636" s="1">
        <v>69</v>
      </c>
      <c r="H636" s="1">
        <v>17557</v>
      </c>
      <c r="I636" s="1">
        <v>5</v>
      </c>
      <c r="J636" s="1">
        <v>52</v>
      </c>
      <c r="K636" s="1">
        <v>445</v>
      </c>
      <c r="L636" s="1">
        <v>472</v>
      </c>
      <c r="M636" s="1">
        <v>12.5</v>
      </c>
      <c r="N636">
        <f>VLOOKUP(A636,vlookup_table!$A:$G,2,FALSE)</f>
        <v>0</v>
      </c>
      <c r="O636" t="str">
        <f>VLOOKUP(A636,vlookup_table!$A:$G,3,FALSE)</f>
        <v>CA</v>
      </c>
      <c r="P636">
        <f>VLOOKUP(A636,vlookup_table!$A:$G,4,FALSE)</f>
        <v>4401</v>
      </c>
      <c r="Q636" t="str">
        <f>VLOOKUP(A636,vlookup_table!$A:$G,5,FALSE)</f>
        <v>T2</v>
      </c>
      <c r="R636" t="str">
        <f>VLOOKUP(A636,vlookup_table!$A:$G,6,FALSE)</f>
        <v>F</v>
      </c>
      <c r="S636">
        <f>VLOOKUP(A636,vlookup_table!$A:$G,7,FALSE)</f>
        <v>15</v>
      </c>
      <c r="T636">
        <f t="shared" si="18"/>
        <v>52</v>
      </c>
      <c r="U636" t="str">
        <f t="shared" si="19"/>
        <v>Pueblo</v>
      </c>
    </row>
    <row r="637" spans="1:21" ht="16" x14ac:dyDescent="0.4">
      <c r="A637" s="4">
        <v>173872</v>
      </c>
      <c r="B637" s="1" t="s">
        <v>34</v>
      </c>
      <c r="C637" s="1" t="s">
        <v>17</v>
      </c>
      <c r="D637" s="1">
        <v>2789</v>
      </c>
      <c r="E637" s="1">
        <v>463</v>
      </c>
      <c r="F637" s="1">
        <v>551</v>
      </c>
      <c r="G637" s="1">
        <v>82</v>
      </c>
      <c r="H637" s="1">
        <v>22012</v>
      </c>
      <c r="I637" s="1">
        <v>8</v>
      </c>
      <c r="J637" s="1">
        <v>54</v>
      </c>
      <c r="K637" s="1">
        <v>488</v>
      </c>
      <c r="L637" s="1">
        <v>524</v>
      </c>
      <c r="M637" s="1">
        <v>15</v>
      </c>
      <c r="N637">
        <f>VLOOKUP(A637,vlookup_table!$A:$G,2,FALSE)</f>
        <v>28</v>
      </c>
      <c r="O637" t="str">
        <f>VLOOKUP(A637,vlookup_table!$A:$G,3,FALSE)</f>
        <v>HI</v>
      </c>
      <c r="P637">
        <f>VLOOKUP(A637,vlookup_table!$A:$G,4,FALSE)</f>
        <v>0</v>
      </c>
      <c r="Q637" t="str">
        <f>VLOOKUP(A637,vlookup_table!$A:$G,5,FALSE)</f>
        <v>S1</v>
      </c>
      <c r="R637" t="str">
        <f>VLOOKUP(A637,vlookup_table!$A:$G,6,FALSE)</f>
        <v>F</v>
      </c>
      <c r="S637">
        <f>VLOOKUP(A637,vlookup_table!$A:$G,7,FALSE)</f>
        <v>15</v>
      </c>
      <c r="T637">
        <f t="shared" si="18"/>
        <v>96</v>
      </c>
      <c r="U637" t="str">
        <f t="shared" si="19"/>
        <v>Suburbano</v>
      </c>
    </row>
    <row r="638" spans="1:21" ht="16" x14ac:dyDescent="0.4">
      <c r="A638" s="4">
        <v>117726</v>
      </c>
      <c r="B638" s="1" t="s">
        <v>20</v>
      </c>
      <c r="C638" s="1" t="s">
        <v>17</v>
      </c>
      <c r="D638" s="1">
        <v>385</v>
      </c>
      <c r="E638" s="1">
        <v>185</v>
      </c>
      <c r="F638" s="1">
        <v>348</v>
      </c>
      <c r="G638" s="1">
        <v>1</v>
      </c>
      <c r="H638" s="1">
        <v>11857</v>
      </c>
      <c r="I638" s="1">
        <v>2</v>
      </c>
      <c r="J638" s="1">
        <v>83</v>
      </c>
      <c r="K638" s="1">
        <v>231</v>
      </c>
      <c r="L638" s="1">
        <v>288</v>
      </c>
      <c r="M638" s="1">
        <v>8.6666666669999994</v>
      </c>
      <c r="N638">
        <f>VLOOKUP(A638,vlookup_table!$A:$G,2,FALSE)</f>
        <v>0</v>
      </c>
      <c r="O638" t="str">
        <f>VLOOKUP(A638,vlookup_table!$A:$G,3,FALSE)</f>
        <v>TX</v>
      </c>
      <c r="P638">
        <f>VLOOKUP(A638,vlookup_table!$A:$G,4,FALSE)</f>
        <v>0</v>
      </c>
      <c r="Q638" t="str">
        <f>VLOOKUP(A638,vlookup_table!$A:$G,5,FALSE)</f>
        <v>R3</v>
      </c>
      <c r="R638" t="str">
        <f>VLOOKUP(A638,vlookup_table!$A:$G,6,FALSE)</f>
        <v>F</v>
      </c>
      <c r="S638">
        <f>VLOOKUP(A638,vlookup_table!$A:$G,7,FALSE)</f>
        <v>10</v>
      </c>
      <c r="T638">
        <f t="shared" si="18"/>
        <v>96</v>
      </c>
      <c r="U638" t="str">
        <f t="shared" si="19"/>
        <v>Rural</v>
      </c>
    </row>
    <row r="639" spans="1:21" ht="16" x14ac:dyDescent="0.4">
      <c r="A639" s="4">
        <v>18948</v>
      </c>
      <c r="B639" s="1" t="s">
        <v>18</v>
      </c>
      <c r="C639" s="1" t="s">
        <v>41</v>
      </c>
      <c r="D639" s="1">
        <v>1136</v>
      </c>
      <c r="E639" s="1">
        <v>505</v>
      </c>
      <c r="F639" s="1">
        <v>579</v>
      </c>
      <c r="G639" s="1">
        <v>6</v>
      </c>
      <c r="H639" s="1">
        <v>19283</v>
      </c>
      <c r="I639" s="1">
        <v>0</v>
      </c>
      <c r="J639" s="1">
        <v>65</v>
      </c>
      <c r="K639" s="1">
        <v>512</v>
      </c>
      <c r="L639" s="1">
        <v>553</v>
      </c>
      <c r="M639" s="1">
        <v>13.4</v>
      </c>
      <c r="N639">
        <f>VLOOKUP(A639,vlookup_table!$A:$G,2,FALSE)</f>
        <v>0</v>
      </c>
      <c r="O639" t="str">
        <f>VLOOKUP(A639,vlookup_table!$A:$G,3,FALSE)</f>
        <v>NC</v>
      </c>
      <c r="P639">
        <f>VLOOKUP(A639,vlookup_table!$A:$G,4,FALSE)</f>
        <v>5601</v>
      </c>
      <c r="Q639" t="str">
        <f>VLOOKUP(A639,vlookup_table!$A:$G,5,FALSE)</f>
        <v>S1</v>
      </c>
      <c r="R639" t="str">
        <f>VLOOKUP(A639,vlookup_table!$A:$G,6,FALSE)</f>
        <v>J</v>
      </c>
      <c r="S639">
        <f>VLOOKUP(A639,vlookup_table!$A:$G,7,FALSE)</f>
        <v>17</v>
      </c>
      <c r="T639">
        <f t="shared" si="18"/>
        <v>40</v>
      </c>
      <c r="U639" t="str">
        <f t="shared" si="19"/>
        <v>Suburbano</v>
      </c>
    </row>
    <row r="640" spans="1:21" ht="16" x14ac:dyDescent="0.4">
      <c r="A640" s="4">
        <v>7330</v>
      </c>
      <c r="B640" s="1" t="s">
        <v>16</v>
      </c>
      <c r="C640" s="1" t="s">
        <v>17</v>
      </c>
      <c r="D640" s="1">
        <v>623</v>
      </c>
      <c r="E640" s="1">
        <v>255</v>
      </c>
      <c r="F640" s="1">
        <v>285</v>
      </c>
      <c r="G640" s="1">
        <v>3</v>
      </c>
      <c r="H640" s="1">
        <v>11108</v>
      </c>
      <c r="I640" s="1">
        <v>7</v>
      </c>
      <c r="J640" s="1">
        <v>77</v>
      </c>
      <c r="K640" s="1">
        <v>294</v>
      </c>
      <c r="L640" s="1">
        <v>283</v>
      </c>
      <c r="M640" s="1">
        <v>4.4166666670000003</v>
      </c>
      <c r="N640">
        <f>VLOOKUP(A640,vlookup_table!$A:$G,2,FALSE)</f>
        <v>2</v>
      </c>
      <c r="O640" t="str">
        <f>VLOOKUP(A640,vlookup_table!$A:$G,3,FALSE)</f>
        <v>IL</v>
      </c>
      <c r="P640">
        <f>VLOOKUP(A640,vlookup_table!$A:$G,4,FALSE)</f>
        <v>2007</v>
      </c>
      <c r="Q640" t="str">
        <f>VLOOKUP(A640,vlookup_table!$A:$G,5,FALSE)</f>
        <v>T2</v>
      </c>
      <c r="R640" t="str">
        <f>VLOOKUP(A640,vlookup_table!$A:$G,6,FALSE)</f>
        <v>F</v>
      </c>
      <c r="S640">
        <f>VLOOKUP(A640,vlookup_table!$A:$G,7,FALSE)</f>
        <v>6</v>
      </c>
      <c r="T640">
        <f t="shared" si="18"/>
        <v>76</v>
      </c>
      <c r="U640" t="str">
        <f t="shared" si="19"/>
        <v>Pueblo</v>
      </c>
    </row>
    <row r="641" spans="1:21" ht="16" x14ac:dyDescent="0.4">
      <c r="A641" s="4">
        <v>160576</v>
      </c>
      <c r="B641" s="1" t="s">
        <v>21</v>
      </c>
      <c r="C641" s="1" t="s">
        <v>14</v>
      </c>
      <c r="D641" s="1">
        <v>5470</v>
      </c>
      <c r="E641" s="1">
        <v>661</v>
      </c>
      <c r="F641" s="1">
        <v>778</v>
      </c>
      <c r="G641" s="1">
        <v>98</v>
      </c>
      <c r="H641" s="1">
        <v>35092</v>
      </c>
      <c r="I641" s="1">
        <v>15</v>
      </c>
      <c r="J641" s="1">
        <v>47</v>
      </c>
      <c r="K641" s="1">
        <v>664</v>
      </c>
      <c r="L641" s="1">
        <v>781</v>
      </c>
      <c r="M641" s="1">
        <v>9.75</v>
      </c>
      <c r="N641">
        <f>VLOOKUP(A641,vlookup_table!$A:$G,2,FALSE)</f>
        <v>1002</v>
      </c>
      <c r="O641" t="str">
        <f>VLOOKUP(A641,vlookup_table!$A:$G,3,FALSE)</f>
        <v>CA</v>
      </c>
      <c r="P641">
        <f>VLOOKUP(A641,vlookup_table!$A:$G,4,FALSE)</f>
        <v>4012</v>
      </c>
      <c r="Q641" t="str">
        <f>VLOOKUP(A641,vlookup_table!$A:$G,5,FALSE)</f>
        <v>T1</v>
      </c>
      <c r="R641" t="str">
        <f>VLOOKUP(A641,vlookup_table!$A:$G,6,FALSE)</f>
        <v>M</v>
      </c>
      <c r="S641">
        <f>VLOOKUP(A641,vlookup_table!$A:$G,7,FALSE)</f>
        <v>15</v>
      </c>
      <c r="T641">
        <f t="shared" si="18"/>
        <v>56</v>
      </c>
      <c r="U641" t="str">
        <f t="shared" si="19"/>
        <v>Pueblo</v>
      </c>
    </row>
    <row r="642" spans="1:21" ht="16" x14ac:dyDescent="0.4">
      <c r="A642" s="4">
        <v>72190</v>
      </c>
      <c r="B642" s="1" t="s">
        <v>26</v>
      </c>
      <c r="C642" s="1" t="s">
        <v>14</v>
      </c>
      <c r="D642" s="1">
        <v>673</v>
      </c>
      <c r="E642" s="1">
        <v>354</v>
      </c>
      <c r="F642" s="1">
        <v>438</v>
      </c>
      <c r="G642" s="1">
        <v>0</v>
      </c>
      <c r="H642" s="1">
        <v>14995</v>
      </c>
      <c r="I642" s="1">
        <v>4</v>
      </c>
      <c r="J642" s="1">
        <v>79</v>
      </c>
      <c r="K642" s="1">
        <v>394</v>
      </c>
      <c r="L642" s="1">
        <v>406</v>
      </c>
      <c r="M642" s="1">
        <v>5.7391304349999999</v>
      </c>
      <c r="N642">
        <f>VLOOKUP(A642,vlookup_table!$A:$G,2,FALSE)</f>
        <v>2</v>
      </c>
      <c r="O642" t="str">
        <f>VLOOKUP(A642,vlookup_table!$A:$G,3,FALSE)</f>
        <v>MI</v>
      </c>
      <c r="P642">
        <f>VLOOKUP(A642,vlookup_table!$A:$G,4,FALSE)</f>
        <v>1312</v>
      </c>
      <c r="Q642" t="str">
        <f>VLOOKUP(A642,vlookup_table!$A:$G,5,FALSE)</f>
        <v>T1</v>
      </c>
      <c r="R642" t="str">
        <f>VLOOKUP(A642,vlookup_table!$A:$G,6,FALSE)</f>
        <v>M</v>
      </c>
      <c r="S642">
        <f>VLOOKUP(A642,vlookup_table!$A:$G,7,FALSE)</f>
        <v>13</v>
      </c>
      <c r="T642">
        <f t="shared" si="18"/>
        <v>83</v>
      </c>
      <c r="U642" t="str">
        <f t="shared" si="19"/>
        <v>Pueblo</v>
      </c>
    </row>
    <row r="643" spans="1:21" ht="16" x14ac:dyDescent="0.4">
      <c r="A643" s="4">
        <v>13292</v>
      </c>
      <c r="B643" s="1" t="s">
        <v>53</v>
      </c>
      <c r="C643" s="1" t="s">
        <v>17</v>
      </c>
      <c r="D643" s="1">
        <v>582</v>
      </c>
      <c r="E643" s="1">
        <v>254</v>
      </c>
      <c r="F643" s="1">
        <v>364</v>
      </c>
      <c r="G643" s="1">
        <v>0</v>
      </c>
      <c r="H643" s="1">
        <v>12981</v>
      </c>
      <c r="I643" s="1">
        <v>0</v>
      </c>
      <c r="J643" s="1">
        <v>75</v>
      </c>
      <c r="K643" s="1">
        <v>359</v>
      </c>
      <c r="L643" s="1">
        <v>297</v>
      </c>
      <c r="M643" s="1">
        <v>6.3571428570000004</v>
      </c>
      <c r="N643">
        <f>VLOOKUP(A643,vlookup_table!$A:$G,2,FALSE)</f>
        <v>0</v>
      </c>
      <c r="O643" t="str">
        <f>VLOOKUP(A643,vlookup_table!$A:$G,3,FALSE)</f>
        <v>KY</v>
      </c>
      <c r="P643">
        <f>VLOOKUP(A643,vlookup_table!$A:$G,4,FALSE)</f>
        <v>0</v>
      </c>
      <c r="Q643" t="str">
        <f>VLOOKUP(A643,vlookup_table!$A:$G,5,FALSE)</f>
        <v>T2</v>
      </c>
      <c r="R643" t="str">
        <f>VLOOKUP(A643,vlookup_table!$A:$G,6,FALSE)</f>
        <v>F</v>
      </c>
      <c r="S643">
        <f>VLOOKUP(A643,vlookup_table!$A:$G,7,FALSE)</f>
        <v>10</v>
      </c>
      <c r="T643">
        <f t="shared" ref="T643:T706" si="20">97-LEFT(P643,2)-IF(RIGHT(P643,2)&gt;6,1,0)</f>
        <v>96</v>
      </c>
      <c r="U643" t="str">
        <f t="shared" ref="U643:U706" si="21">IF(LEFT(Q643,1)="C","Ciudad",IF(LEFT(Q643,1)="T","Pueblo",IF(LEFT(Q643,1)="R","Rural",IF(LEFT(Q643,1)="S","Suburbano",IF(LEFT(Q643,1)="U","Urbano","")))))</f>
        <v>Pueblo</v>
      </c>
    </row>
    <row r="644" spans="1:21" ht="16" x14ac:dyDescent="0.4">
      <c r="A644" s="4">
        <v>13551</v>
      </c>
      <c r="B644" s="1" t="s">
        <v>21</v>
      </c>
      <c r="C644" s="1" t="s">
        <v>17</v>
      </c>
      <c r="D644" s="1">
        <v>4392</v>
      </c>
      <c r="E644" s="1">
        <v>516</v>
      </c>
      <c r="F644" s="1">
        <v>549</v>
      </c>
      <c r="G644" s="1">
        <v>98</v>
      </c>
      <c r="H644" s="1">
        <v>21857</v>
      </c>
      <c r="I644" s="1">
        <v>11</v>
      </c>
      <c r="J644" s="1">
        <v>57</v>
      </c>
      <c r="K644" s="1">
        <v>539</v>
      </c>
      <c r="L644" s="1">
        <v>509</v>
      </c>
      <c r="M644" s="1">
        <v>28.92307692</v>
      </c>
      <c r="N644">
        <f>VLOOKUP(A644,vlookup_table!$A:$G,2,FALSE)</f>
        <v>0</v>
      </c>
      <c r="O644" t="str">
        <f>VLOOKUP(A644,vlookup_table!$A:$G,3,FALSE)</f>
        <v>CA</v>
      </c>
      <c r="P644">
        <f>VLOOKUP(A644,vlookup_table!$A:$G,4,FALSE)</f>
        <v>6201</v>
      </c>
      <c r="Q644" t="str">
        <f>VLOOKUP(A644,vlookup_table!$A:$G,5,FALSE)</f>
        <v/>
      </c>
      <c r="R644" t="str">
        <f>VLOOKUP(A644,vlookup_table!$A:$G,6,FALSE)</f>
        <v>F</v>
      </c>
      <c r="S644">
        <f>VLOOKUP(A644,vlookup_table!$A:$G,7,FALSE)</f>
        <v>10</v>
      </c>
      <c r="T644">
        <f t="shared" si="20"/>
        <v>34</v>
      </c>
      <c r="U644" t="str">
        <f t="shared" si="21"/>
        <v/>
      </c>
    </row>
    <row r="645" spans="1:21" ht="16" x14ac:dyDescent="0.4">
      <c r="A645" s="4">
        <v>170935</v>
      </c>
      <c r="B645" s="1" t="s">
        <v>21</v>
      </c>
      <c r="C645" s="1" t="s">
        <v>17</v>
      </c>
      <c r="D645" s="1">
        <v>1468</v>
      </c>
      <c r="E645" s="1">
        <v>365</v>
      </c>
      <c r="F645" s="1">
        <v>371</v>
      </c>
      <c r="G645" s="1">
        <v>18</v>
      </c>
      <c r="H645" s="1">
        <v>13469</v>
      </c>
      <c r="I645" s="1">
        <v>4</v>
      </c>
      <c r="J645" s="1">
        <v>68</v>
      </c>
      <c r="K645" s="1">
        <v>363</v>
      </c>
      <c r="L645" s="1">
        <v>361</v>
      </c>
      <c r="M645" s="1">
        <v>10.66666667</v>
      </c>
      <c r="N645">
        <f>VLOOKUP(A645,vlookup_table!$A:$G,2,FALSE)</f>
        <v>0</v>
      </c>
      <c r="O645" t="str">
        <f>VLOOKUP(A645,vlookup_table!$A:$G,3,FALSE)</f>
        <v>CA</v>
      </c>
      <c r="P645">
        <f>VLOOKUP(A645,vlookup_table!$A:$G,4,FALSE)</f>
        <v>0</v>
      </c>
      <c r="Q645" t="str">
        <f>VLOOKUP(A645,vlookup_table!$A:$G,5,FALSE)</f>
        <v>R2</v>
      </c>
      <c r="R645" t="str">
        <f>VLOOKUP(A645,vlookup_table!$A:$G,6,FALSE)</f>
        <v>F</v>
      </c>
      <c r="S645">
        <f>VLOOKUP(A645,vlookup_table!$A:$G,7,FALSE)</f>
        <v>10</v>
      </c>
      <c r="T645">
        <f t="shared" si="20"/>
        <v>96</v>
      </c>
      <c r="U645" t="str">
        <f t="shared" si="21"/>
        <v>Rural</v>
      </c>
    </row>
    <row r="646" spans="1:21" ht="16" x14ac:dyDescent="0.4">
      <c r="A646" s="4">
        <v>126888</v>
      </c>
      <c r="B646" s="1" t="s">
        <v>20</v>
      </c>
      <c r="C646" s="1" t="s">
        <v>14</v>
      </c>
      <c r="D646" s="1">
        <v>764</v>
      </c>
      <c r="E646" s="1">
        <v>320</v>
      </c>
      <c r="F646" s="1">
        <v>406</v>
      </c>
      <c r="G646" s="1">
        <v>1</v>
      </c>
      <c r="H646" s="1">
        <v>11242</v>
      </c>
      <c r="I646" s="1">
        <v>1</v>
      </c>
      <c r="J646" s="1">
        <v>77</v>
      </c>
      <c r="K646" s="1">
        <v>363</v>
      </c>
      <c r="L646" s="1">
        <v>377</v>
      </c>
      <c r="M646" s="1">
        <v>20</v>
      </c>
      <c r="N646">
        <f>VLOOKUP(A646,vlookup_table!$A:$G,2,FALSE)</f>
        <v>1</v>
      </c>
      <c r="O646" t="str">
        <f>VLOOKUP(A646,vlookup_table!$A:$G,3,FALSE)</f>
        <v>TX</v>
      </c>
      <c r="P646">
        <f>VLOOKUP(A646,vlookup_table!$A:$G,4,FALSE)</f>
        <v>5601</v>
      </c>
      <c r="Q646" t="str">
        <f>VLOOKUP(A646,vlookup_table!$A:$G,5,FALSE)</f>
        <v>T2</v>
      </c>
      <c r="R646" t="str">
        <f>VLOOKUP(A646,vlookup_table!$A:$G,6,FALSE)</f>
        <v>M</v>
      </c>
      <c r="S646">
        <f>VLOOKUP(A646,vlookup_table!$A:$G,7,FALSE)</f>
        <v>20</v>
      </c>
      <c r="T646">
        <f t="shared" si="20"/>
        <v>40</v>
      </c>
      <c r="U646" t="str">
        <f t="shared" si="21"/>
        <v>Pueblo</v>
      </c>
    </row>
    <row r="647" spans="1:21" ht="16" x14ac:dyDescent="0.4">
      <c r="A647" s="4">
        <v>170215</v>
      </c>
      <c r="B647" s="1" t="s">
        <v>21</v>
      </c>
      <c r="C647" s="1" t="s">
        <v>17</v>
      </c>
      <c r="D647" s="1">
        <v>1274</v>
      </c>
      <c r="E647" s="1">
        <v>405</v>
      </c>
      <c r="F647" s="1">
        <v>439</v>
      </c>
      <c r="G647" s="1">
        <v>9</v>
      </c>
      <c r="H647" s="1">
        <v>12537</v>
      </c>
      <c r="I647" s="1">
        <v>9</v>
      </c>
      <c r="J647" s="1">
        <v>67</v>
      </c>
      <c r="K647" s="1">
        <v>462</v>
      </c>
      <c r="L647" s="1">
        <v>404</v>
      </c>
      <c r="M647" s="1">
        <v>4.4545454549999999</v>
      </c>
      <c r="N647">
        <f>VLOOKUP(A647,vlookup_table!$A:$G,2,FALSE)</f>
        <v>0</v>
      </c>
      <c r="O647" t="str">
        <f>VLOOKUP(A647,vlookup_table!$A:$G,3,FALSE)</f>
        <v>CA</v>
      </c>
      <c r="P647">
        <f>VLOOKUP(A647,vlookup_table!$A:$G,4,FALSE)</f>
        <v>2001</v>
      </c>
      <c r="Q647" t="str">
        <f>VLOOKUP(A647,vlookup_table!$A:$G,5,FALSE)</f>
        <v>T2</v>
      </c>
      <c r="R647" t="str">
        <f>VLOOKUP(A647,vlookup_table!$A:$G,6,FALSE)</f>
        <v>F</v>
      </c>
      <c r="S647">
        <f>VLOOKUP(A647,vlookup_table!$A:$G,7,FALSE)</f>
        <v>8</v>
      </c>
      <c r="T647">
        <f t="shared" si="20"/>
        <v>76</v>
      </c>
      <c r="U647" t="str">
        <f t="shared" si="21"/>
        <v>Pueblo</v>
      </c>
    </row>
    <row r="648" spans="1:21" ht="16" x14ac:dyDescent="0.4">
      <c r="A648" s="4">
        <v>168574</v>
      </c>
      <c r="B648" s="1" t="s">
        <v>21</v>
      </c>
      <c r="C648" s="1" t="s">
        <v>14</v>
      </c>
      <c r="D648" s="1">
        <v>1749</v>
      </c>
      <c r="E648" s="1">
        <v>234</v>
      </c>
      <c r="F648" s="1">
        <v>327</v>
      </c>
      <c r="G648" s="1">
        <v>21</v>
      </c>
      <c r="H648" s="1">
        <v>14571</v>
      </c>
      <c r="I648" s="1">
        <v>15</v>
      </c>
      <c r="J648" s="1">
        <v>49</v>
      </c>
      <c r="K648" s="1">
        <v>281</v>
      </c>
      <c r="L648" s="1">
        <v>291</v>
      </c>
      <c r="M648" s="1">
        <v>27.5</v>
      </c>
      <c r="N648">
        <f>VLOOKUP(A648,vlookup_table!$A:$G,2,FALSE)</f>
        <v>1</v>
      </c>
      <c r="O648" t="str">
        <f>VLOOKUP(A648,vlookup_table!$A:$G,3,FALSE)</f>
        <v>CA</v>
      </c>
      <c r="P648">
        <f>VLOOKUP(A648,vlookup_table!$A:$G,4,FALSE)</f>
        <v>0</v>
      </c>
      <c r="Q648" t="str">
        <f>VLOOKUP(A648,vlookup_table!$A:$G,5,FALSE)</f>
        <v>U3</v>
      </c>
      <c r="R648" t="str">
        <f>VLOOKUP(A648,vlookup_table!$A:$G,6,FALSE)</f>
        <v>M</v>
      </c>
      <c r="S648">
        <f>VLOOKUP(A648,vlookup_table!$A:$G,7,FALSE)</f>
        <v>100</v>
      </c>
      <c r="T648">
        <f t="shared" si="20"/>
        <v>96</v>
      </c>
      <c r="U648" t="str">
        <f t="shared" si="21"/>
        <v>Urbano</v>
      </c>
    </row>
    <row r="649" spans="1:21" ht="16" x14ac:dyDescent="0.4">
      <c r="A649" s="4">
        <v>90482</v>
      </c>
      <c r="B649" s="1" t="s">
        <v>16</v>
      </c>
      <c r="C649" s="1" t="s">
        <v>14</v>
      </c>
      <c r="D649" s="1">
        <v>1509</v>
      </c>
      <c r="E649" s="1">
        <v>545</v>
      </c>
      <c r="F649" s="1">
        <v>680</v>
      </c>
      <c r="G649" s="1">
        <v>19</v>
      </c>
      <c r="H649" s="1">
        <v>23170</v>
      </c>
      <c r="I649" s="1">
        <v>7</v>
      </c>
      <c r="J649" s="1">
        <v>75</v>
      </c>
      <c r="K649" s="1">
        <v>617</v>
      </c>
      <c r="L649" s="1">
        <v>599</v>
      </c>
      <c r="M649" s="1">
        <v>11.125</v>
      </c>
      <c r="N649">
        <f>VLOOKUP(A649,vlookup_table!$A:$G,2,FALSE)</f>
        <v>1</v>
      </c>
      <c r="O649" t="str">
        <f>VLOOKUP(A649,vlookup_table!$A:$G,3,FALSE)</f>
        <v>IL</v>
      </c>
      <c r="P649">
        <f>VLOOKUP(A649,vlookup_table!$A:$G,4,FALSE)</f>
        <v>5003</v>
      </c>
      <c r="Q649" t="str">
        <f>VLOOKUP(A649,vlookup_table!$A:$G,5,FALSE)</f>
        <v>C1</v>
      </c>
      <c r="R649" t="str">
        <f>VLOOKUP(A649,vlookup_table!$A:$G,6,FALSE)</f>
        <v>M</v>
      </c>
      <c r="S649">
        <f>VLOOKUP(A649,vlookup_table!$A:$G,7,FALSE)</f>
        <v>20</v>
      </c>
      <c r="T649">
        <f t="shared" si="20"/>
        <v>46</v>
      </c>
      <c r="U649" t="str">
        <f t="shared" si="21"/>
        <v>Ciudad</v>
      </c>
    </row>
    <row r="650" spans="1:21" ht="16" x14ac:dyDescent="0.4">
      <c r="A650" s="4">
        <v>18896</v>
      </c>
      <c r="B650" s="1" t="s">
        <v>18</v>
      </c>
      <c r="C650" s="1" t="s">
        <v>14</v>
      </c>
      <c r="D650" s="1">
        <v>816</v>
      </c>
      <c r="E650" s="1">
        <v>357</v>
      </c>
      <c r="F650" s="1">
        <v>458</v>
      </c>
      <c r="G650" s="1">
        <v>5</v>
      </c>
      <c r="H650" s="1">
        <v>17434</v>
      </c>
      <c r="I650" s="1">
        <v>0</v>
      </c>
      <c r="J650" s="1">
        <v>76</v>
      </c>
      <c r="K650" s="1">
        <v>384</v>
      </c>
      <c r="L650" s="1">
        <v>413</v>
      </c>
      <c r="M650" s="1">
        <v>11.6</v>
      </c>
      <c r="N650">
        <f>VLOOKUP(A650,vlookup_table!$A:$G,2,FALSE)</f>
        <v>1002</v>
      </c>
      <c r="O650" t="str">
        <f>VLOOKUP(A650,vlookup_table!$A:$G,3,FALSE)</f>
        <v>NC</v>
      </c>
      <c r="P650">
        <f>VLOOKUP(A650,vlookup_table!$A:$G,4,FALSE)</f>
        <v>3501</v>
      </c>
      <c r="Q650" t="str">
        <f>VLOOKUP(A650,vlookup_table!$A:$G,5,FALSE)</f>
        <v>T2</v>
      </c>
      <c r="R650" t="str">
        <f>VLOOKUP(A650,vlookup_table!$A:$G,6,FALSE)</f>
        <v>M</v>
      </c>
      <c r="S650">
        <f>VLOOKUP(A650,vlookup_table!$A:$G,7,FALSE)</f>
        <v>20</v>
      </c>
      <c r="T650">
        <f t="shared" si="20"/>
        <v>61</v>
      </c>
      <c r="U650" t="str">
        <f t="shared" si="21"/>
        <v>Pueblo</v>
      </c>
    </row>
    <row r="651" spans="1:21" ht="16" x14ac:dyDescent="0.4">
      <c r="A651" s="4">
        <v>161335</v>
      </c>
      <c r="B651" s="1" t="s">
        <v>21</v>
      </c>
      <c r="C651" s="1" t="s">
        <v>17</v>
      </c>
      <c r="D651" s="1">
        <v>905</v>
      </c>
      <c r="E651" s="1">
        <v>223</v>
      </c>
      <c r="F651" s="1">
        <v>263</v>
      </c>
      <c r="G651" s="1">
        <v>3</v>
      </c>
      <c r="H651" s="1">
        <v>8614</v>
      </c>
      <c r="I651" s="1">
        <v>6</v>
      </c>
      <c r="J651" s="1">
        <v>57</v>
      </c>
      <c r="K651" s="1">
        <v>241</v>
      </c>
      <c r="L651" s="1">
        <v>244</v>
      </c>
      <c r="M651" s="1">
        <v>6.1111111109999996</v>
      </c>
      <c r="N651">
        <f>VLOOKUP(A651,vlookup_table!$A:$G,2,FALSE)</f>
        <v>0</v>
      </c>
      <c r="O651" t="str">
        <f>VLOOKUP(A651,vlookup_table!$A:$G,3,FALSE)</f>
        <v>CA</v>
      </c>
      <c r="P651">
        <f>VLOOKUP(A651,vlookup_table!$A:$G,4,FALSE)</f>
        <v>2601</v>
      </c>
      <c r="Q651" t="str">
        <f>VLOOKUP(A651,vlookup_table!$A:$G,5,FALSE)</f>
        <v>R2</v>
      </c>
      <c r="R651" t="str">
        <f>VLOOKUP(A651,vlookup_table!$A:$G,6,FALSE)</f>
        <v>F</v>
      </c>
      <c r="S651">
        <f>VLOOKUP(A651,vlookup_table!$A:$G,7,FALSE)</f>
        <v>1392</v>
      </c>
      <c r="T651">
        <f t="shared" si="20"/>
        <v>70</v>
      </c>
      <c r="U651" t="str">
        <f t="shared" si="21"/>
        <v>Rural</v>
      </c>
    </row>
    <row r="652" spans="1:21" ht="16" x14ac:dyDescent="0.4">
      <c r="A652" s="4">
        <v>82141</v>
      </c>
      <c r="B652" s="1" t="s">
        <v>52</v>
      </c>
      <c r="C652" s="1" t="s">
        <v>17</v>
      </c>
      <c r="D652" s="1">
        <v>1027</v>
      </c>
      <c r="E652" s="1">
        <v>444</v>
      </c>
      <c r="F652" s="1">
        <v>475</v>
      </c>
      <c r="G652" s="1">
        <v>0</v>
      </c>
      <c r="H652" s="1">
        <v>14926</v>
      </c>
      <c r="I652" s="1">
        <v>1</v>
      </c>
      <c r="J652" s="1">
        <v>69</v>
      </c>
      <c r="K652" s="1">
        <v>451</v>
      </c>
      <c r="L652" s="1">
        <v>475</v>
      </c>
      <c r="M652" s="1">
        <v>8.5</v>
      </c>
      <c r="N652">
        <f>VLOOKUP(A652,vlookup_table!$A:$G,2,FALSE)</f>
        <v>2</v>
      </c>
      <c r="O652" t="str">
        <f>VLOOKUP(A652,vlookup_table!$A:$G,3,FALSE)</f>
        <v>MN</v>
      </c>
      <c r="P652">
        <f>VLOOKUP(A652,vlookup_table!$A:$G,4,FALSE)</f>
        <v>3801</v>
      </c>
      <c r="Q652" t="str">
        <f>VLOOKUP(A652,vlookup_table!$A:$G,5,FALSE)</f>
        <v>S2</v>
      </c>
      <c r="R652" t="str">
        <f>VLOOKUP(A652,vlookup_table!$A:$G,6,FALSE)</f>
        <v>F</v>
      </c>
      <c r="S652">
        <f>VLOOKUP(A652,vlookup_table!$A:$G,7,FALSE)</f>
        <v>10</v>
      </c>
      <c r="T652">
        <f t="shared" si="20"/>
        <v>58</v>
      </c>
      <c r="U652" t="str">
        <f t="shared" si="21"/>
        <v>Suburbano</v>
      </c>
    </row>
    <row r="653" spans="1:21" ht="16" x14ac:dyDescent="0.4">
      <c r="A653" s="4">
        <v>187659</v>
      </c>
      <c r="B653" s="1" t="s">
        <v>49</v>
      </c>
      <c r="C653" s="1" t="s">
        <v>17</v>
      </c>
      <c r="D653" s="1">
        <v>871</v>
      </c>
      <c r="E653" s="1">
        <v>464</v>
      </c>
      <c r="F653" s="1">
        <v>539</v>
      </c>
      <c r="G653" s="1">
        <v>0</v>
      </c>
      <c r="H653" s="1">
        <v>18279</v>
      </c>
      <c r="I653" s="1">
        <v>3</v>
      </c>
      <c r="J653" s="1">
        <v>47</v>
      </c>
      <c r="K653" s="1">
        <v>501</v>
      </c>
      <c r="L653" s="1">
        <v>503</v>
      </c>
      <c r="M653" s="1">
        <v>9</v>
      </c>
      <c r="N653">
        <f>VLOOKUP(A653,vlookup_table!$A:$G,2,FALSE)</f>
        <v>0</v>
      </c>
      <c r="O653" t="str">
        <f>VLOOKUP(A653,vlookup_table!$A:$G,3,FALSE)</f>
        <v>TN</v>
      </c>
      <c r="P653">
        <f>VLOOKUP(A653,vlookup_table!$A:$G,4,FALSE)</f>
        <v>0</v>
      </c>
      <c r="Q653" t="str">
        <f>VLOOKUP(A653,vlookup_table!$A:$G,5,FALSE)</f>
        <v>T2</v>
      </c>
      <c r="R653" t="str">
        <f>VLOOKUP(A653,vlookup_table!$A:$G,6,FALSE)</f>
        <v>F</v>
      </c>
      <c r="S653">
        <f>VLOOKUP(A653,vlookup_table!$A:$G,7,FALSE)</f>
        <v>15</v>
      </c>
      <c r="T653">
        <f t="shared" si="20"/>
        <v>96</v>
      </c>
      <c r="U653" t="str">
        <f t="shared" si="21"/>
        <v>Pueblo</v>
      </c>
    </row>
    <row r="654" spans="1:21" ht="16" x14ac:dyDescent="0.4">
      <c r="A654" s="4">
        <v>143523</v>
      </c>
      <c r="B654" s="1" t="s">
        <v>21</v>
      </c>
      <c r="C654" s="1" t="s">
        <v>17</v>
      </c>
      <c r="D654" s="1">
        <v>2833</v>
      </c>
      <c r="E654" s="1">
        <v>207</v>
      </c>
      <c r="F654" s="1">
        <v>278</v>
      </c>
      <c r="G654" s="1">
        <v>77</v>
      </c>
      <c r="H654" s="1">
        <v>15398</v>
      </c>
      <c r="I654" s="1">
        <v>60</v>
      </c>
      <c r="J654" s="1">
        <v>12</v>
      </c>
      <c r="K654" s="1">
        <v>172</v>
      </c>
      <c r="L654" s="1">
        <v>282</v>
      </c>
      <c r="M654" s="1">
        <v>3.7058823529999998</v>
      </c>
      <c r="N654">
        <f>VLOOKUP(A654,vlookup_table!$A:$G,2,FALSE)</f>
        <v>0</v>
      </c>
      <c r="O654" t="str">
        <f>VLOOKUP(A654,vlookup_table!$A:$G,3,FALSE)</f>
        <v>CA</v>
      </c>
      <c r="P654">
        <f>VLOOKUP(A654,vlookup_table!$A:$G,4,FALSE)</f>
        <v>1901</v>
      </c>
      <c r="Q654" t="str">
        <f>VLOOKUP(A654,vlookup_table!$A:$G,5,FALSE)</f>
        <v>U2</v>
      </c>
      <c r="R654" t="str">
        <f>VLOOKUP(A654,vlookup_table!$A:$G,6,FALSE)</f>
        <v>F</v>
      </c>
      <c r="S654">
        <f>VLOOKUP(A654,vlookup_table!$A:$G,7,FALSE)</f>
        <v>3</v>
      </c>
      <c r="T654">
        <f t="shared" si="20"/>
        <v>77</v>
      </c>
      <c r="U654" t="str">
        <f t="shared" si="21"/>
        <v>Urbano</v>
      </c>
    </row>
    <row r="655" spans="1:21" ht="16" x14ac:dyDescent="0.4">
      <c r="A655" s="4">
        <v>64442</v>
      </c>
      <c r="B655" s="1" t="s">
        <v>30</v>
      </c>
      <c r="C655" s="1" t="s">
        <v>14</v>
      </c>
      <c r="D655" s="1">
        <v>428</v>
      </c>
      <c r="E655" s="1">
        <v>240</v>
      </c>
      <c r="F655" s="1">
        <v>324</v>
      </c>
      <c r="G655" s="1">
        <v>0</v>
      </c>
      <c r="H655" s="1">
        <v>10020</v>
      </c>
      <c r="I655" s="1">
        <v>0</v>
      </c>
      <c r="J655" s="1">
        <v>78</v>
      </c>
      <c r="K655" s="1">
        <v>319</v>
      </c>
      <c r="L655" s="1">
        <v>268</v>
      </c>
      <c r="M655" s="1">
        <v>8</v>
      </c>
      <c r="N655">
        <f>VLOOKUP(A655,vlookup_table!$A:$G,2,FALSE)</f>
        <v>1</v>
      </c>
      <c r="O655" t="str">
        <f>VLOOKUP(A655,vlookup_table!$A:$G,3,FALSE)</f>
        <v>IN</v>
      </c>
      <c r="P655">
        <f>VLOOKUP(A655,vlookup_table!$A:$G,4,FALSE)</f>
        <v>5201</v>
      </c>
      <c r="Q655" t="str">
        <f>VLOOKUP(A655,vlookup_table!$A:$G,5,FALSE)</f>
        <v>R2</v>
      </c>
      <c r="R655" t="str">
        <f>VLOOKUP(A655,vlookup_table!$A:$G,6,FALSE)</f>
        <v>M</v>
      </c>
      <c r="S655">
        <f>VLOOKUP(A655,vlookup_table!$A:$G,7,FALSE)</f>
        <v>8</v>
      </c>
      <c r="T655">
        <f t="shared" si="20"/>
        <v>44</v>
      </c>
      <c r="U655" t="str">
        <f t="shared" si="21"/>
        <v>Rural</v>
      </c>
    </row>
    <row r="656" spans="1:21" ht="16" x14ac:dyDescent="0.4">
      <c r="A656" s="4">
        <v>151902</v>
      </c>
      <c r="B656" s="1" t="s">
        <v>21</v>
      </c>
      <c r="C656" s="1" t="s">
        <v>14</v>
      </c>
      <c r="D656" s="1">
        <v>1088</v>
      </c>
      <c r="E656" s="1">
        <v>278</v>
      </c>
      <c r="F656" s="1">
        <v>380</v>
      </c>
      <c r="G656" s="1">
        <v>19</v>
      </c>
      <c r="H656" s="1">
        <v>15011</v>
      </c>
      <c r="I656" s="1">
        <v>18</v>
      </c>
      <c r="J656" s="1">
        <v>35</v>
      </c>
      <c r="K656" s="1">
        <v>308</v>
      </c>
      <c r="L656" s="1">
        <v>335</v>
      </c>
      <c r="M656" s="1">
        <v>7.2857142860000002</v>
      </c>
      <c r="N656">
        <f>VLOOKUP(A656,vlookup_table!$A:$G,2,FALSE)</f>
        <v>1</v>
      </c>
      <c r="O656" t="str">
        <f>VLOOKUP(A656,vlookup_table!$A:$G,3,FALSE)</f>
        <v>CA</v>
      </c>
      <c r="P656">
        <f>VLOOKUP(A656,vlookup_table!$A:$G,4,FALSE)</f>
        <v>5001</v>
      </c>
      <c r="Q656" t="str">
        <f>VLOOKUP(A656,vlookup_table!$A:$G,5,FALSE)</f>
        <v>C2</v>
      </c>
      <c r="R656" t="str">
        <f>VLOOKUP(A656,vlookup_table!$A:$G,6,FALSE)</f>
        <v>M</v>
      </c>
      <c r="S656">
        <f>VLOOKUP(A656,vlookup_table!$A:$G,7,FALSE)</f>
        <v>10</v>
      </c>
      <c r="T656">
        <f t="shared" si="20"/>
        <v>46</v>
      </c>
      <c r="U656" t="str">
        <f t="shared" si="21"/>
        <v>Ciudad</v>
      </c>
    </row>
    <row r="657" spans="1:21" ht="16" x14ac:dyDescent="0.4">
      <c r="A657" s="4">
        <v>140027</v>
      </c>
      <c r="B657" s="1" t="s">
        <v>50</v>
      </c>
      <c r="C657" s="1" t="s">
        <v>17</v>
      </c>
      <c r="D657" s="1">
        <v>1304</v>
      </c>
      <c r="E657" s="1">
        <v>205</v>
      </c>
      <c r="F657" s="1">
        <v>330</v>
      </c>
      <c r="G657" s="1">
        <v>19</v>
      </c>
      <c r="H657" s="1">
        <v>19336</v>
      </c>
      <c r="I657" s="1">
        <v>4</v>
      </c>
      <c r="J657" s="1">
        <v>24</v>
      </c>
      <c r="K657" s="1">
        <v>222</v>
      </c>
      <c r="L657" s="1">
        <v>288</v>
      </c>
      <c r="M657" s="1">
        <v>17.09090909</v>
      </c>
      <c r="N657">
        <f>VLOOKUP(A657,vlookup_table!$A:$G,2,FALSE)</f>
        <v>0</v>
      </c>
      <c r="O657" t="str">
        <f>VLOOKUP(A657,vlookup_table!$A:$G,3,FALSE)</f>
        <v>NM</v>
      </c>
      <c r="P657">
        <f>VLOOKUP(A657,vlookup_table!$A:$G,4,FALSE)</f>
        <v>0</v>
      </c>
      <c r="Q657" t="str">
        <f>VLOOKUP(A657,vlookup_table!$A:$G,5,FALSE)</f>
        <v>T2</v>
      </c>
      <c r="R657" t="str">
        <f>VLOOKUP(A657,vlookup_table!$A:$G,6,FALSE)</f>
        <v>F</v>
      </c>
      <c r="S657">
        <f>VLOOKUP(A657,vlookup_table!$A:$G,7,FALSE)</f>
        <v>25</v>
      </c>
      <c r="T657">
        <f t="shared" si="20"/>
        <v>96</v>
      </c>
      <c r="U657" t="str">
        <f t="shared" si="21"/>
        <v>Pueblo</v>
      </c>
    </row>
    <row r="658" spans="1:21" ht="16" x14ac:dyDescent="0.4">
      <c r="A658" s="4">
        <v>147636</v>
      </c>
      <c r="B658" s="1" t="s">
        <v>21</v>
      </c>
      <c r="C658" s="1" t="s">
        <v>14</v>
      </c>
      <c r="D658" s="1">
        <v>1859</v>
      </c>
      <c r="E658" s="1">
        <v>420</v>
      </c>
      <c r="F658" s="1">
        <v>461</v>
      </c>
      <c r="G658" s="1">
        <v>34</v>
      </c>
      <c r="H658" s="1">
        <v>12512</v>
      </c>
      <c r="I658" s="1">
        <v>22</v>
      </c>
      <c r="J658" s="1">
        <v>41</v>
      </c>
      <c r="K658" s="1">
        <v>407</v>
      </c>
      <c r="L658" s="1">
        <v>465</v>
      </c>
      <c r="M658" s="1">
        <v>4.2727272730000001</v>
      </c>
      <c r="N658">
        <f>VLOOKUP(A658,vlookup_table!$A:$G,2,FALSE)</f>
        <v>1</v>
      </c>
      <c r="O658" t="str">
        <f>VLOOKUP(A658,vlookup_table!$A:$G,3,FALSE)</f>
        <v>CA</v>
      </c>
      <c r="P658">
        <f>VLOOKUP(A658,vlookup_table!$A:$G,4,FALSE)</f>
        <v>1601</v>
      </c>
      <c r="Q658" t="str">
        <f>VLOOKUP(A658,vlookup_table!$A:$G,5,FALSE)</f>
        <v>S2</v>
      </c>
      <c r="R658" t="str">
        <f>VLOOKUP(A658,vlookup_table!$A:$G,6,FALSE)</f>
        <v>M</v>
      </c>
      <c r="S658">
        <f>VLOOKUP(A658,vlookup_table!$A:$G,7,FALSE)</f>
        <v>11</v>
      </c>
      <c r="T658">
        <f t="shared" si="20"/>
        <v>80</v>
      </c>
      <c r="U658" t="str">
        <f t="shared" si="21"/>
        <v>Suburbano</v>
      </c>
    </row>
    <row r="659" spans="1:21" ht="16" x14ac:dyDescent="0.4">
      <c r="A659" s="4">
        <v>85010</v>
      </c>
      <c r="B659" s="1" t="s">
        <v>52</v>
      </c>
      <c r="C659" s="1" t="s">
        <v>14</v>
      </c>
      <c r="D659" s="1">
        <v>595</v>
      </c>
      <c r="E659" s="1">
        <v>339</v>
      </c>
      <c r="F659" s="1">
        <v>386</v>
      </c>
      <c r="G659" s="1">
        <v>0</v>
      </c>
      <c r="H659" s="1">
        <v>11471</v>
      </c>
      <c r="I659" s="1">
        <v>0</v>
      </c>
      <c r="J659" s="1">
        <v>84</v>
      </c>
      <c r="K659" s="1">
        <v>363</v>
      </c>
      <c r="L659" s="1">
        <v>363</v>
      </c>
      <c r="M659" s="1">
        <v>5.9545454549999999</v>
      </c>
      <c r="N659">
        <f>VLOOKUP(A659,vlookup_table!$A:$G,2,FALSE)</f>
        <v>1</v>
      </c>
      <c r="O659" t="str">
        <f>VLOOKUP(A659,vlookup_table!$A:$G,3,FALSE)</f>
        <v>MN</v>
      </c>
      <c r="P659">
        <f>VLOOKUP(A659,vlookup_table!$A:$G,4,FALSE)</f>
        <v>4406</v>
      </c>
      <c r="Q659" t="str">
        <f>VLOOKUP(A659,vlookup_table!$A:$G,5,FALSE)</f>
        <v>T2</v>
      </c>
      <c r="R659" t="str">
        <f>VLOOKUP(A659,vlookup_table!$A:$G,6,FALSE)</f>
        <v>M</v>
      </c>
      <c r="S659">
        <f>VLOOKUP(A659,vlookup_table!$A:$G,7,FALSE)</f>
        <v>9</v>
      </c>
      <c r="T659">
        <f t="shared" si="20"/>
        <v>52</v>
      </c>
      <c r="U659" t="str">
        <f t="shared" si="21"/>
        <v>Pueblo</v>
      </c>
    </row>
    <row r="660" spans="1:21" ht="16" x14ac:dyDescent="0.4">
      <c r="A660" s="4">
        <v>12454</v>
      </c>
      <c r="B660" s="1" t="s">
        <v>16</v>
      </c>
      <c r="C660" s="1" t="s">
        <v>14</v>
      </c>
      <c r="D660" s="1">
        <v>3017</v>
      </c>
      <c r="E660" s="1">
        <v>740</v>
      </c>
      <c r="F660" s="1">
        <v>985</v>
      </c>
      <c r="G660" s="1">
        <v>90</v>
      </c>
      <c r="H660" s="1">
        <v>62084</v>
      </c>
      <c r="I660" s="1">
        <v>12</v>
      </c>
      <c r="J660" s="1">
        <v>70</v>
      </c>
      <c r="K660" s="1">
        <v>962</v>
      </c>
      <c r="L660" s="1">
        <v>867</v>
      </c>
      <c r="M660" s="1">
        <v>9</v>
      </c>
      <c r="N660">
        <f>VLOOKUP(A660,vlookup_table!$A:$G,2,FALSE)</f>
        <v>1</v>
      </c>
      <c r="O660" t="str">
        <f>VLOOKUP(A660,vlookup_table!$A:$G,3,FALSE)</f>
        <v>IL</v>
      </c>
      <c r="P660">
        <f>VLOOKUP(A660,vlookup_table!$A:$G,4,FALSE)</f>
        <v>0</v>
      </c>
      <c r="Q660" t="str">
        <f>VLOOKUP(A660,vlookup_table!$A:$G,5,FALSE)</f>
        <v>S1</v>
      </c>
      <c r="R660" t="str">
        <f>VLOOKUP(A660,vlookup_table!$A:$G,6,FALSE)</f>
        <v>M</v>
      </c>
      <c r="S660">
        <f>VLOOKUP(A660,vlookup_table!$A:$G,7,FALSE)</f>
        <v>15</v>
      </c>
      <c r="T660">
        <f t="shared" si="20"/>
        <v>96</v>
      </c>
      <c r="U660" t="str">
        <f t="shared" si="21"/>
        <v>Suburbano</v>
      </c>
    </row>
    <row r="661" spans="1:21" ht="16" x14ac:dyDescent="0.4">
      <c r="A661" s="4">
        <v>118166</v>
      </c>
      <c r="B661" s="1" t="s">
        <v>20</v>
      </c>
      <c r="C661" s="1" t="s">
        <v>17</v>
      </c>
      <c r="D661" s="1">
        <v>396</v>
      </c>
      <c r="E661" s="1">
        <v>195</v>
      </c>
      <c r="F661" s="1">
        <v>287</v>
      </c>
      <c r="G661" s="1">
        <v>1</v>
      </c>
      <c r="H661" s="1">
        <v>9318</v>
      </c>
      <c r="I661" s="1">
        <v>3</v>
      </c>
      <c r="J661" s="1">
        <v>82</v>
      </c>
      <c r="K661" s="1">
        <v>249</v>
      </c>
      <c r="L661" s="1">
        <v>246</v>
      </c>
      <c r="M661" s="1">
        <v>13.33333333</v>
      </c>
      <c r="N661">
        <f>VLOOKUP(A661,vlookup_table!$A:$G,2,FALSE)</f>
        <v>0</v>
      </c>
      <c r="O661" t="str">
        <f>VLOOKUP(A661,vlookup_table!$A:$G,3,FALSE)</f>
        <v>TX</v>
      </c>
      <c r="P661">
        <f>VLOOKUP(A661,vlookup_table!$A:$G,4,FALSE)</f>
        <v>0</v>
      </c>
      <c r="Q661" t="str">
        <f>VLOOKUP(A661,vlookup_table!$A:$G,5,FALSE)</f>
        <v>R2</v>
      </c>
      <c r="R661" t="str">
        <f>VLOOKUP(A661,vlookup_table!$A:$G,6,FALSE)</f>
        <v>F</v>
      </c>
      <c r="S661">
        <f>VLOOKUP(A661,vlookup_table!$A:$G,7,FALSE)</f>
        <v>10</v>
      </c>
      <c r="T661">
        <f t="shared" si="20"/>
        <v>96</v>
      </c>
      <c r="U661" t="str">
        <f t="shared" si="21"/>
        <v>Rural</v>
      </c>
    </row>
    <row r="662" spans="1:21" ht="16" x14ac:dyDescent="0.4">
      <c r="A662" s="4">
        <v>64165</v>
      </c>
      <c r="B662" s="1" t="s">
        <v>51</v>
      </c>
      <c r="C662" s="1" t="s">
        <v>97</v>
      </c>
      <c r="D662" s="1">
        <v>594</v>
      </c>
      <c r="E662" s="1">
        <v>155</v>
      </c>
      <c r="F662" s="1">
        <v>228</v>
      </c>
      <c r="G662" s="1">
        <v>0</v>
      </c>
      <c r="H662" s="1">
        <v>7939</v>
      </c>
      <c r="I662" s="1">
        <v>9</v>
      </c>
      <c r="J662" s="1">
        <v>42</v>
      </c>
      <c r="K662" s="1">
        <v>186</v>
      </c>
      <c r="L662" s="1">
        <v>206</v>
      </c>
      <c r="M662" s="1">
        <v>7.8</v>
      </c>
      <c r="N662">
        <f>VLOOKUP(A662,vlookup_table!$A:$G,2,FALSE)</f>
        <v>0</v>
      </c>
      <c r="O662" t="str">
        <f>VLOOKUP(A662,vlookup_table!$A:$G,3,FALSE)</f>
        <v>AZ</v>
      </c>
      <c r="P662">
        <f>VLOOKUP(A662,vlookup_table!$A:$G,4,FALSE)</f>
        <v>6401</v>
      </c>
      <c r="Q662" t="str">
        <f>VLOOKUP(A662,vlookup_table!$A:$G,5,FALSE)</f>
        <v>T2</v>
      </c>
      <c r="R662" t="str">
        <f>VLOOKUP(A662,vlookup_table!$A:$G,6,FALSE)</f>
        <v>F</v>
      </c>
      <c r="S662">
        <f>VLOOKUP(A662,vlookup_table!$A:$G,7,FALSE)</f>
        <v>20</v>
      </c>
      <c r="T662">
        <f t="shared" si="20"/>
        <v>32</v>
      </c>
      <c r="U662" t="str">
        <f t="shared" si="21"/>
        <v>Pueblo</v>
      </c>
    </row>
    <row r="663" spans="1:21" ht="16" x14ac:dyDescent="0.4">
      <c r="A663" s="4">
        <v>191663</v>
      </c>
      <c r="B663" s="1" t="s">
        <v>47</v>
      </c>
      <c r="C663" s="1" t="s">
        <v>14</v>
      </c>
      <c r="D663" s="1">
        <v>538</v>
      </c>
      <c r="E663" s="1">
        <v>121</v>
      </c>
      <c r="F663" s="1">
        <v>222</v>
      </c>
      <c r="G663" s="1">
        <v>0</v>
      </c>
      <c r="H663" s="1">
        <v>9299</v>
      </c>
      <c r="I663" s="1">
        <v>6</v>
      </c>
      <c r="J663" s="1">
        <v>31</v>
      </c>
      <c r="K663" s="1">
        <v>173</v>
      </c>
      <c r="L663" s="1">
        <v>169</v>
      </c>
      <c r="M663" s="1">
        <v>9.307692308</v>
      </c>
      <c r="N663">
        <f>VLOOKUP(A663,vlookup_table!$A:$G,2,FALSE)</f>
        <v>2</v>
      </c>
      <c r="O663" t="str">
        <f>VLOOKUP(A663,vlookup_table!$A:$G,3,FALSE)</f>
        <v>OR</v>
      </c>
      <c r="P663">
        <f>VLOOKUP(A663,vlookup_table!$A:$G,4,FALSE)</f>
        <v>2708</v>
      </c>
      <c r="Q663" t="str">
        <f>VLOOKUP(A663,vlookup_table!$A:$G,5,FALSE)</f>
        <v>S1</v>
      </c>
      <c r="R663" t="str">
        <f>VLOOKUP(A663,vlookup_table!$A:$G,6,FALSE)</f>
        <v>M</v>
      </c>
      <c r="S663">
        <f>VLOOKUP(A663,vlookup_table!$A:$G,7,FALSE)</f>
        <v>10</v>
      </c>
      <c r="T663">
        <f t="shared" si="20"/>
        <v>69</v>
      </c>
      <c r="U663" t="str">
        <f t="shared" si="21"/>
        <v>Suburbano</v>
      </c>
    </row>
    <row r="664" spans="1:21" ht="16" x14ac:dyDescent="0.4">
      <c r="A664" s="4">
        <v>111021</v>
      </c>
      <c r="B664" s="1" t="s">
        <v>29</v>
      </c>
      <c r="C664" s="1" t="s">
        <v>97</v>
      </c>
      <c r="D664" s="1">
        <v>332</v>
      </c>
      <c r="E664" s="1">
        <v>170</v>
      </c>
      <c r="F664" s="1">
        <v>269</v>
      </c>
      <c r="G664" s="1">
        <v>0</v>
      </c>
      <c r="H664" s="1">
        <v>8725</v>
      </c>
      <c r="I664" s="1">
        <v>1</v>
      </c>
      <c r="J664" s="1">
        <v>57</v>
      </c>
      <c r="K664" s="1">
        <v>222</v>
      </c>
      <c r="L664" s="1">
        <v>233</v>
      </c>
      <c r="M664" s="1">
        <v>12.5</v>
      </c>
      <c r="N664">
        <f>VLOOKUP(A664,vlookup_table!$A:$G,2,FALSE)</f>
        <v>0</v>
      </c>
      <c r="O664" t="str">
        <f>VLOOKUP(A664,vlookup_table!$A:$G,3,FALSE)</f>
        <v>AR</v>
      </c>
      <c r="P664">
        <f>VLOOKUP(A664,vlookup_table!$A:$G,4,FALSE)</f>
        <v>0</v>
      </c>
      <c r="Q664" t="str">
        <f>VLOOKUP(A664,vlookup_table!$A:$G,5,FALSE)</f>
        <v>R3</v>
      </c>
      <c r="R664" t="str">
        <f>VLOOKUP(A664,vlookup_table!$A:$G,6,FALSE)</f>
        <v>F</v>
      </c>
      <c r="S664">
        <f>VLOOKUP(A664,vlookup_table!$A:$G,7,FALSE)</f>
        <v>10</v>
      </c>
      <c r="T664">
        <f t="shared" si="20"/>
        <v>96</v>
      </c>
      <c r="U664" t="str">
        <f t="shared" si="21"/>
        <v>Rural</v>
      </c>
    </row>
    <row r="665" spans="1:21" ht="16" x14ac:dyDescent="0.4">
      <c r="A665" s="4">
        <v>169280</v>
      </c>
      <c r="B665" s="1" t="s">
        <v>21</v>
      </c>
      <c r="C665" s="1" t="s">
        <v>17</v>
      </c>
      <c r="D665" s="1">
        <v>1875</v>
      </c>
      <c r="E665" s="1">
        <v>68</v>
      </c>
      <c r="F665" s="1">
        <v>138</v>
      </c>
      <c r="G665" s="1">
        <v>0</v>
      </c>
      <c r="H665" s="1">
        <v>9127</v>
      </c>
      <c r="I665" s="1">
        <v>0</v>
      </c>
      <c r="J665" s="1">
        <v>6</v>
      </c>
      <c r="K665" s="1">
        <v>138</v>
      </c>
      <c r="L665" s="1">
        <v>96</v>
      </c>
      <c r="M665" s="1">
        <v>8.3333333330000006</v>
      </c>
      <c r="N665">
        <f>VLOOKUP(A665,vlookup_table!$A:$G,2,FALSE)</f>
        <v>0</v>
      </c>
      <c r="O665" t="str">
        <f>VLOOKUP(A665,vlookup_table!$A:$G,3,FALSE)</f>
        <v>CA</v>
      </c>
      <c r="P665">
        <f>VLOOKUP(A665,vlookup_table!$A:$G,4,FALSE)</f>
        <v>7001</v>
      </c>
      <c r="Q665" t="str">
        <f>VLOOKUP(A665,vlookup_table!$A:$G,5,FALSE)</f>
        <v>S2</v>
      </c>
      <c r="R665" t="str">
        <f>VLOOKUP(A665,vlookup_table!$A:$G,6,FALSE)</f>
        <v>F</v>
      </c>
      <c r="S665">
        <f>VLOOKUP(A665,vlookup_table!$A:$G,7,FALSE)</f>
        <v>10</v>
      </c>
      <c r="T665">
        <f t="shared" si="20"/>
        <v>26</v>
      </c>
      <c r="U665" t="str">
        <f t="shared" si="21"/>
        <v>Suburbano</v>
      </c>
    </row>
    <row r="666" spans="1:21" ht="16" x14ac:dyDescent="0.4">
      <c r="A666" s="4">
        <v>138590</v>
      </c>
      <c r="B666" s="1" t="s">
        <v>51</v>
      </c>
      <c r="C666" s="1" t="s">
        <v>98</v>
      </c>
      <c r="D666" s="1">
        <v>1094</v>
      </c>
      <c r="E666" s="1">
        <v>463</v>
      </c>
      <c r="F666" s="1">
        <v>543</v>
      </c>
      <c r="G666" s="1">
        <v>5</v>
      </c>
      <c r="H666" s="1">
        <v>16974</v>
      </c>
      <c r="I666" s="1">
        <v>2</v>
      </c>
      <c r="J666" s="1">
        <v>30</v>
      </c>
      <c r="K666" s="1">
        <v>486</v>
      </c>
      <c r="L666" s="1">
        <v>517</v>
      </c>
      <c r="M666" s="1">
        <v>12</v>
      </c>
      <c r="N666">
        <f>VLOOKUP(A666,vlookup_table!$A:$G,2,FALSE)</f>
        <v>0</v>
      </c>
      <c r="O666" t="str">
        <f>VLOOKUP(A666,vlookup_table!$A:$G,3,FALSE)</f>
        <v>AZ</v>
      </c>
      <c r="P666">
        <f>VLOOKUP(A666,vlookup_table!$A:$G,4,FALSE)</f>
        <v>5307</v>
      </c>
      <c r="Q666" t="str">
        <f>VLOOKUP(A666,vlookup_table!$A:$G,5,FALSE)</f>
        <v>S1</v>
      </c>
      <c r="R666" t="str">
        <f>VLOOKUP(A666,vlookup_table!$A:$G,6,FALSE)</f>
        <v>F</v>
      </c>
      <c r="S666">
        <f>VLOOKUP(A666,vlookup_table!$A:$G,7,FALSE)</f>
        <v>30</v>
      </c>
      <c r="T666">
        <f t="shared" si="20"/>
        <v>43</v>
      </c>
      <c r="U666" t="str">
        <f t="shared" si="21"/>
        <v>Suburbano</v>
      </c>
    </row>
    <row r="667" spans="1:21" ht="16" x14ac:dyDescent="0.4">
      <c r="A667" s="4">
        <v>123386</v>
      </c>
      <c r="B667" s="1" t="s">
        <v>20</v>
      </c>
      <c r="C667" s="1" t="s">
        <v>14</v>
      </c>
      <c r="D667" s="1">
        <v>386</v>
      </c>
      <c r="E667" s="1">
        <v>213</v>
      </c>
      <c r="F667" s="1">
        <v>327</v>
      </c>
      <c r="G667" s="1">
        <v>0</v>
      </c>
      <c r="H667" s="1">
        <v>10988</v>
      </c>
      <c r="I667" s="1">
        <v>9</v>
      </c>
      <c r="J667" s="1">
        <v>68</v>
      </c>
      <c r="K667" s="1">
        <v>287</v>
      </c>
      <c r="L667" s="1">
        <v>275</v>
      </c>
      <c r="M667" s="1">
        <v>17.399999999999999</v>
      </c>
      <c r="N667">
        <f>VLOOKUP(A667,vlookup_table!$A:$G,2,FALSE)</f>
        <v>1</v>
      </c>
      <c r="O667" t="str">
        <f>VLOOKUP(A667,vlookup_table!$A:$G,3,FALSE)</f>
        <v>TX</v>
      </c>
      <c r="P667">
        <f>VLOOKUP(A667,vlookup_table!$A:$G,4,FALSE)</f>
        <v>4201</v>
      </c>
      <c r="Q667" t="str">
        <f>VLOOKUP(A667,vlookup_table!$A:$G,5,FALSE)</f>
        <v>R2</v>
      </c>
      <c r="R667" t="str">
        <f>VLOOKUP(A667,vlookup_table!$A:$G,6,FALSE)</f>
        <v>M</v>
      </c>
      <c r="S667">
        <f>VLOOKUP(A667,vlookup_table!$A:$G,7,FALSE)</f>
        <v>22</v>
      </c>
      <c r="T667">
        <f t="shared" si="20"/>
        <v>54</v>
      </c>
      <c r="U667" t="str">
        <f t="shared" si="21"/>
        <v>Rural</v>
      </c>
    </row>
    <row r="668" spans="1:21" ht="16" x14ac:dyDescent="0.4">
      <c r="A668" s="4">
        <v>121759</v>
      </c>
      <c r="B668" s="1" t="s">
        <v>20</v>
      </c>
      <c r="C668" s="1" t="s">
        <v>14</v>
      </c>
      <c r="D668" s="1">
        <v>1565</v>
      </c>
      <c r="E668" s="1">
        <v>713</v>
      </c>
      <c r="F668" s="1">
        <v>905</v>
      </c>
      <c r="G668" s="1">
        <v>28</v>
      </c>
      <c r="H668" s="1">
        <v>39534</v>
      </c>
      <c r="I668" s="1">
        <v>1</v>
      </c>
      <c r="J668" s="1">
        <v>40</v>
      </c>
      <c r="K668" s="1">
        <v>741</v>
      </c>
      <c r="L668" s="1">
        <v>838</v>
      </c>
      <c r="M668" s="1">
        <v>12.4</v>
      </c>
      <c r="N668">
        <f>VLOOKUP(A668,vlookup_table!$A:$G,2,FALSE)</f>
        <v>1</v>
      </c>
      <c r="O668" t="str">
        <f>VLOOKUP(A668,vlookup_table!$A:$G,3,FALSE)</f>
        <v>TX</v>
      </c>
      <c r="P668">
        <f>VLOOKUP(A668,vlookup_table!$A:$G,4,FALSE)</f>
        <v>5601</v>
      </c>
      <c r="Q668" t="str">
        <f>VLOOKUP(A668,vlookup_table!$A:$G,5,FALSE)</f>
        <v>C1</v>
      </c>
      <c r="R668" t="str">
        <f>VLOOKUP(A668,vlookup_table!$A:$G,6,FALSE)</f>
        <v>M</v>
      </c>
      <c r="S668">
        <f>VLOOKUP(A668,vlookup_table!$A:$G,7,FALSE)</f>
        <v>20</v>
      </c>
      <c r="T668">
        <f t="shared" si="20"/>
        <v>40</v>
      </c>
      <c r="U668" t="str">
        <f t="shared" si="21"/>
        <v>Ciudad</v>
      </c>
    </row>
    <row r="669" spans="1:21" ht="16" x14ac:dyDescent="0.4">
      <c r="A669" s="4">
        <v>73534</v>
      </c>
      <c r="B669" s="1" t="s">
        <v>26</v>
      </c>
      <c r="C669" s="1" t="s">
        <v>14</v>
      </c>
      <c r="D669" s="1">
        <v>246</v>
      </c>
      <c r="E669" s="1">
        <v>161</v>
      </c>
      <c r="F669" s="1">
        <v>226</v>
      </c>
      <c r="G669" s="1">
        <v>0</v>
      </c>
      <c r="H669" s="1">
        <v>7228</v>
      </c>
      <c r="I669" s="1">
        <v>0</v>
      </c>
      <c r="J669" s="1">
        <v>76</v>
      </c>
      <c r="K669" s="1">
        <v>174</v>
      </c>
      <c r="L669" s="1">
        <v>205</v>
      </c>
      <c r="M669" s="1">
        <v>5.0999999999999996</v>
      </c>
      <c r="N669">
        <f>VLOOKUP(A669,vlookup_table!$A:$G,2,FALSE)</f>
        <v>1</v>
      </c>
      <c r="O669" t="str">
        <f>VLOOKUP(A669,vlookup_table!$A:$G,3,FALSE)</f>
        <v>MI</v>
      </c>
      <c r="P669">
        <f>VLOOKUP(A669,vlookup_table!$A:$G,4,FALSE)</f>
        <v>3301</v>
      </c>
      <c r="Q669" t="str">
        <f>VLOOKUP(A669,vlookup_table!$A:$G,5,FALSE)</f>
        <v>R3</v>
      </c>
      <c r="R669" t="str">
        <f>VLOOKUP(A669,vlookup_table!$A:$G,6,FALSE)</f>
        <v>M</v>
      </c>
      <c r="S669">
        <f>VLOOKUP(A669,vlookup_table!$A:$G,7,FALSE)</f>
        <v>6</v>
      </c>
      <c r="T669">
        <f t="shared" si="20"/>
        <v>63</v>
      </c>
      <c r="U669" t="str">
        <f t="shared" si="21"/>
        <v>Rural</v>
      </c>
    </row>
    <row r="670" spans="1:21" ht="16" x14ac:dyDescent="0.4">
      <c r="A670" s="4">
        <v>168423</v>
      </c>
      <c r="B670" s="1" t="s">
        <v>21</v>
      </c>
      <c r="C670" s="1" t="s">
        <v>17</v>
      </c>
      <c r="D670" s="1">
        <v>3325</v>
      </c>
      <c r="E670" s="1">
        <v>597</v>
      </c>
      <c r="F670" s="1">
        <v>600</v>
      </c>
      <c r="G670" s="1">
        <v>96</v>
      </c>
      <c r="H670" s="1">
        <v>18694</v>
      </c>
      <c r="I670" s="1">
        <v>29</v>
      </c>
      <c r="J670" s="1">
        <v>37</v>
      </c>
      <c r="K670" s="1">
        <v>603</v>
      </c>
      <c r="L670" s="1">
        <v>611</v>
      </c>
      <c r="M670" s="1">
        <v>20</v>
      </c>
      <c r="N670">
        <f>VLOOKUP(A670,vlookup_table!$A:$G,2,FALSE)</f>
        <v>0</v>
      </c>
      <c r="O670" t="str">
        <f>VLOOKUP(A670,vlookup_table!$A:$G,3,FALSE)</f>
        <v>CA</v>
      </c>
      <c r="P670">
        <f>VLOOKUP(A670,vlookup_table!$A:$G,4,FALSE)</f>
        <v>0</v>
      </c>
      <c r="Q670" t="str">
        <f>VLOOKUP(A670,vlookup_table!$A:$G,5,FALSE)</f>
        <v>U1</v>
      </c>
      <c r="R670" t="str">
        <f>VLOOKUP(A670,vlookup_table!$A:$G,6,FALSE)</f>
        <v>F</v>
      </c>
      <c r="S670">
        <f>VLOOKUP(A670,vlookup_table!$A:$G,7,FALSE)</f>
        <v>25</v>
      </c>
      <c r="T670">
        <f t="shared" si="20"/>
        <v>96</v>
      </c>
      <c r="U670" t="str">
        <f t="shared" si="21"/>
        <v>Urbano</v>
      </c>
    </row>
    <row r="671" spans="1:21" ht="16" x14ac:dyDescent="0.4">
      <c r="A671" s="4">
        <v>169605</v>
      </c>
      <c r="B671" s="1" t="s">
        <v>21</v>
      </c>
      <c r="C671" s="1"/>
      <c r="D671" s="1">
        <v>1185</v>
      </c>
      <c r="E671" s="1">
        <v>338</v>
      </c>
      <c r="F671" s="1">
        <v>445</v>
      </c>
      <c r="G671" s="1">
        <v>3</v>
      </c>
      <c r="H671" s="1">
        <v>14193</v>
      </c>
      <c r="I671" s="1">
        <v>4</v>
      </c>
      <c r="J671" s="1">
        <v>65</v>
      </c>
      <c r="K671" s="1">
        <v>368</v>
      </c>
      <c r="L671" s="1">
        <v>402</v>
      </c>
      <c r="M671" s="1">
        <v>6.6666666670000003</v>
      </c>
      <c r="N671">
        <f>VLOOKUP(A671,vlookup_table!$A:$G,2,FALSE)</f>
        <v>0</v>
      </c>
      <c r="O671" t="str">
        <f>VLOOKUP(A671,vlookup_table!$A:$G,3,FALSE)</f>
        <v>CA</v>
      </c>
      <c r="P671">
        <f>VLOOKUP(A671,vlookup_table!$A:$G,4,FALSE)</f>
        <v>0</v>
      </c>
      <c r="Q671" t="str">
        <f>VLOOKUP(A671,vlookup_table!$A:$G,5,FALSE)</f>
        <v>C3</v>
      </c>
      <c r="R671" t="str">
        <f>VLOOKUP(A671,vlookup_table!$A:$G,6,FALSE)</f>
        <v/>
      </c>
      <c r="S671">
        <f>VLOOKUP(A671,vlookup_table!$A:$G,7,FALSE)</f>
        <v>7</v>
      </c>
      <c r="T671">
        <f t="shared" si="20"/>
        <v>96</v>
      </c>
      <c r="U671" t="str">
        <f t="shared" si="21"/>
        <v>Ciudad</v>
      </c>
    </row>
    <row r="672" spans="1:21" ht="16" x14ac:dyDescent="0.4">
      <c r="A672" s="4">
        <v>157573</v>
      </c>
      <c r="B672" s="1" t="s">
        <v>21</v>
      </c>
      <c r="C672" s="1"/>
      <c r="D672" s="1">
        <v>2438</v>
      </c>
      <c r="E672" s="1">
        <v>540</v>
      </c>
      <c r="F672" s="1">
        <v>687</v>
      </c>
      <c r="G672" s="1">
        <v>84</v>
      </c>
      <c r="H672" s="1">
        <v>30429</v>
      </c>
      <c r="I672" s="1">
        <v>7</v>
      </c>
      <c r="J672" s="1">
        <v>39</v>
      </c>
      <c r="K672" s="1">
        <v>672</v>
      </c>
      <c r="L672" s="1">
        <v>588</v>
      </c>
      <c r="M672" s="1">
        <v>40.75</v>
      </c>
      <c r="N672">
        <f>VLOOKUP(A672,vlookup_table!$A:$G,2,FALSE)</f>
        <v>0</v>
      </c>
      <c r="O672" t="str">
        <f>VLOOKUP(A672,vlookup_table!$A:$G,3,FALSE)</f>
        <v>CA</v>
      </c>
      <c r="P672">
        <f>VLOOKUP(A672,vlookup_table!$A:$G,4,FALSE)</f>
        <v>0</v>
      </c>
      <c r="Q672" t="str">
        <f>VLOOKUP(A672,vlookup_table!$A:$G,5,FALSE)</f>
        <v>S1</v>
      </c>
      <c r="R672" t="str">
        <f>VLOOKUP(A672,vlookup_table!$A:$G,6,FALSE)</f>
        <v/>
      </c>
      <c r="S672">
        <f>VLOOKUP(A672,vlookup_table!$A:$G,7,FALSE)</f>
        <v>47</v>
      </c>
      <c r="T672">
        <f t="shared" si="20"/>
        <v>96</v>
      </c>
      <c r="U672" t="str">
        <f t="shared" si="21"/>
        <v>Suburbano</v>
      </c>
    </row>
    <row r="673" spans="1:21" ht="16" x14ac:dyDescent="0.4">
      <c r="A673" s="4">
        <v>23706</v>
      </c>
      <c r="B673" s="1" t="s">
        <v>43</v>
      </c>
      <c r="C673" s="1" t="s">
        <v>14</v>
      </c>
      <c r="D673" s="1">
        <v>728</v>
      </c>
      <c r="E673" s="1">
        <v>172</v>
      </c>
      <c r="F673" s="1">
        <v>252</v>
      </c>
      <c r="G673" s="1">
        <v>7</v>
      </c>
      <c r="H673" s="1">
        <v>8494</v>
      </c>
      <c r="I673" s="1">
        <v>1</v>
      </c>
      <c r="J673" s="1">
        <v>76</v>
      </c>
      <c r="K673" s="1">
        <v>188</v>
      </c>
      <c r="L673" s="1">
        <v>230</v>
      </c>
      <c r="M673" s="1">
        <v>12.5</v>
      </c>
      <c r="N673">
        <f>VLOOKUP(A673,vlookup_table!$A:$G,2,FALSE)</f>
        <v>0</v>
      </c>
      <c r="O673" t="str">
        <f>VLOOKUP(A673,vlookup_table!$A:$G,3,FALSE)</f>
        <v>SC</v>
      </c>
      <c r="P673">
        <f>VLOOKUP(A673,vlookup_table!$A:$G,4,FALSE)</f>
        <v>0</v>
      </c>
      <c r="Q673" t="str">
        <f>VLOOKUP(A673,vlookup_table!$A:$G,5,FALSE)</f>
        <v>R2</v>
      </c>
      <c r="R673" t="str">
        <f>VLOOKUP(A673,vlookup_table!$A:$G,6,FALSE)</f>
        <v>M</v>
      </c>
      <c r="S673">
        <f>VLOOKUP(A673,vlookup_table!$A:$G,7,FALSE)</f>
        <v>15</v>
      </c>
      <c r="T673">
        <f t="shared" si="20"/>
        <v>96</v>
      </c>
      <c r="U673" t="str">
        <f t="shared" si="21"/>
        <v>Rural</v>
      </c>
    </row>
    <row r="674" spans="1:21" ht="16" x14ac:dyDescent="0.4">
      <c r="A674" s="4">
        <v>21855</v>
      </c>
      <c r="B674" s="1" t="s">
        <v>18</v>
      </c>
      <c r="C674" s="1" t="s">
        <v>97</v>
      </c>
      <c r="D674" s="1">
        <v>824</v>
      </c>
      <c r="E674" s="1">
        <v>285</v>
      </c>
      <c r="F674" s="1">
        <v>356</v>
      </c>
      <c r="G674" s="1">
        <v>3</v>
      </c>
      <c r="H674" s="1">
        <v>13339</v>
      </c>
      <c r="I674" s="1">
        <v>2</v>
      </c>
      <c r="J674" s="1">
        <v>59</v>
      </c>
      <c r="K674" s="1">
        <v>305</v>
      </c>
      <c r="L674" s="1">
        <v>333</v>
      </c>
      <c r="M674" s="1">
        <v>20</v>
      </c>
      <c r="N674">
        <f>VLOOKUP(A674,vlookup_table!$A:$G,2,FALSE)</f>
        <v>0</v>
      </c>
      <c r="O674" t="str">
        <f>VLOOKUP(A674,vlookup_table!$A:$G,3,FALSE)</f>
        <v>NC</v>
      </c>
      <c r="P674">
        <f>VLOOKUP(A674,vlookup_table!$A:$G,4,FALSE)</f>
        <v>0</v>
      </c>
      <c r="Q674" t="str">
        <f>VLOOKUP(A674,vlookup_table!$A:$G,5,FALSE)</f>
        <v>R2</v>
      </c>
      <c r="R674" t="str">
        <f>VLOOKUP(A674,vlookup_table!$A:$G,6,FALSE)</f>
        <v>F</v>
      </c>
      <c r="S674">
        <f>VLOOKUP(A674,vlookup_table!$A:$G,7,FALSE)</f>
        <v>20</v>
      </c>
      <c r="T674">
        <f t="shared" si="20"/>
        <v>96</v>
      </c>
      <c r="U674" t="str">
        <f t="shared" si="21"/>
        <v>Rural</v>
      </c>
    </row>
    <row r="675" spans="1:21" ht="16" x14ac:dyDescent="0.4">
      <c r="A675" s="4">
        <v>148511</v>
      </c>
      <c r="B675" s="1" t="s">
        <v>21</v>
      </c>
      <c r="C675" s="1" t="s">
        <v>17</v>
      </c>
      <c r="D675" s="1">
        <v>3231</v>
      </c>
      <c r="E675" s="1">
        <v>339</v>
      </c>
      <c r="F675" s="1">
        <v>627</v>
      </c>
      <c r="G675" s="1">
        <v>92</v>
      </c>
      <c r="H675" s="1">
        <v>22508</v>
      </c>
      <c r="I675" s="1">
        <v>18</v>
      </c>
      <c r="J675" s="1">
        <v>39</v>
      </c>
      <c r="K675" s="1">
        <v>536</v>
      </c>
      <c r="L675" s="1">
        <v>444</v>
      </c>
      <c r="M675" s="1">
        <v>11.75</v>
      </c>
      <c r="N675">
        <f>VLOOKUP(A675,vlookup_table!$A:$G,2,FALSE)</f>
        <v>0</v>
      </c>
      <c r="O675" t="str">
        <f>VLOOKUP(A675,vlookup_table!$A:$G,3,FALSE)</f>
        <v>CA</v>
      </c>
      <c r="P675">
        <f>VLOOKUP(A675,vlookup_table!$A:$G,4,FALSE)</f>
        <v>0</v>
      </c>
      <c r="Q675" t="str">
        <f>VLOOKUP(A675,vlookup_table!$A:$G,5,FALSE)</f>
        <v>S1</v>
      </c>
      <c r="R675" t="str">
        <f>VLOOKUP(A675,vlookup_table!$A:$G,6,FALSE)</f>
        <v>F</v>
      </c>
      <c r="S675">
        <f>VLOOKUP(A675,vlookup_table!$A:$G,7,FALSE)</f>
        <v>20</v>
      </c>
      <c r="T675">
        <f t="shared" si="20"/>
        <v>96</v>
      </c>
      <c r="U675" t="str">
        <f t="shared" si="21"/>
        <v>Suburbano</v>
      </c>
    </row>
    <row r="676" spans="1:21" ht="16" x14ac:dyDescent="0.4">
      <c r="A676" s="4">
        <v>3579</v>
      </c>
      <c r="B676" s="1" t="s">
        <v>21</v>
      </c>
      <c r="C676" s="1" t="s">
        <v>14</v>
      </c>
      <c r="D676" s="1">
        <v>3937</v>
      </c>
      <c r="E676" s="1">
        <v>450</v>
      </c>
      <c r="F676" s="1">
        <v>680</v>
      </c>
      <c r="G676" s="1">
        <v>93</v>
      </c>
      <c r="H676" s="1">
        <v>29888</v>
      </c>
      <c r="I676" s="1">
        <v>12</v>
      </c>
      <c r="J676" s="1">
        <v>40</v>
      </c>
      <c r="K676" s="1">
        <v>581</v>
      </c>
      <c r="L676" s="1">
        <v>578</v>
      </c>
      <c r="M676" s="1">
        <v>15.33333333</v>
      </c>
      <c r="N676">
        <f>VLOOKUP(A676,vlookup_table!$A:$G,2,FALSE)</f>
        <v>9</v>
      </c>
      <c r="O676" t="str">
        <f>VLOOKUP(A676,vlookup_table!$A:$G,3,FALSE)</f>
        <v>CA</v>
      </c>
      <c r="P676">
        <f>VLOOKUP(A676,vlookup_table!$A:$G,4,FALSE)</f>
        <v>6001</v>
      </c>
      <c r="Q676" t="str">
        <f>VLOOKUP(A676,vlookup_table!$A:$G,5,FALSE)</f>
        <v>T1</v>
      </c>
      <c r="R676" t="str">
        <f>VLOOKUP(A676,vlookup_table!$A:$G,6,FALSE)</f>
        <v>M</v>
      </c>
      <c r="S676">
        <f>VLOOKUP(A676,vlookup_table!$A:$G,7,FALSE)</f>
        <v>18</v>
      </c>
      <c r="T676">
        <f t="shared" si="20"/>
        <v>36</v>
      </c>
      <c r="U676" t="str">
        <f t="shared" si="21"/>
        <v>Pueblo</v>
      </c>
    </row>
    <row r="677" spans="1:21" ht="16" x14ac:dyDescent="0.4">
      <c r="A677" s="4">
        <v>542</v>
      </c>
      <c r="B677" s="1" t="s">
        <v>32</v>
      </c>
      <c r="C677" s="1" t="s">
        <v>14</v>
      </c>
      <c r="D677" s="1">
        <v>535</v>
      </c>
      <c r="E677" s="1">
        <v>192</v>
      </c>
      <c r="F677" s="1">
        <v>374</v>
      </c>
      <c r="G677" s="1">
        <v>2</v>
      </c>
      <c r="H677" s="1">
        <v>11878</v>
      </c>
      <c r="I677" s="1">
        <v>1</v>
      </c>
      <c r="J677" s="1">
        <v>81</v>
      </c>
      <c r="K677" s="1">
        <v>303</v>
      </c>
      <c r="L677" s="1">
        <v>263</v>
      </c>
      <c r="M677" s="1">
        <v>6.2857142860000002</v>
      </c>
      <c r="N677">
        <f>VLOOKUP(A677,vlookup_table!$A:$G,2,FALSE)</f>
        <v>0</v>
      </c>
      <c r="O677" t="str">
        <f>VLOOKUP(A677,vlookup_table!$A:$G,3,FALSE)</f>
        <v>WI</v>
      </c>
      <c r="P677">
        <f>VLOOKUP(A677,vlookup_table!$A:$G,4,FALSE)</f>
        <v>0</v>
      </c>
      <c r="Q677" t="str">
        <f>VLOOKUP(A677,vlookup_table!$A:$G,5,FALSE)</f>
        <v>T2</v>
      </c>
      <c r="R677" t="str">
        <f>VLOOKUP(A677,vlookup_table!$A:$G,6,FALSE)</f>
        <v>M</v>
      </c>
      <c r="S677">
        <f>VLOOKUP(A677,vlookup_table!$A:$G,7,FALSE)</f>
        <v>10</v>
      </c>
      <c r="T677">
        <f t="shared" si="20"/>
        <v>96</v>
      </c>
      <c r="U677" t="str">
        <f t="shared" si="21"/>
        <v>Pueblo</v>
      </c>
    </row>
    <row r="678" spans="1:21" ht="16" x14ac:dyDescent="0.4">
      <c r="A678" s="4">
        <v>92079</v>
      </c>
      <c r="B678" s="1" t="s">
        <v>16</v>
      </c>
      <c r="C678" s="1" t="s">
        <v>14</v>
      </c>
      <c r="D678" s="1">
        <v>1008</v>
      </c>
      <c r="E678" s="1">
        <v>450</v>
      </c>
      <c r="F678" s="1">
        <v>540</v>
      </c>
      <c r="G678" s="1">
        <v>1</v>
      </c>
      <c r="H678" s="1">
        <v>19493</v>
      </c>
      <c r="I678" s="1">
        <v>8</v>
      </c>
      <c r="J678" s="1">
        <v>64</v>
      </c>
      <c r="K678" s="1">
        <v>496</v>
      </c>
      <c r="L678" s="1">
        <v>463</v>
      </c>
      <c r="M678" s="1">
        <v>12.30769231</v>
      </c>
      <c r="N678">
        <f>VLOOKUP(A678,vlookup_table!$A:$G,2,FALSE)</f>
        <v>2</v>
      </c>
      <c r="O678" t="str">
        <f>VLOOKUP(A678,vlookup_table!$A:$G,3,FALSE)</f>
        <v>IL</v>
      </c>
      <c r="P678">
        <f>VLOOKUP(A678,vlookup_table!$A:$G,4,FALSE)</f>
        <v>1503</v>
      </c>
      <c r="Q678" t="str">
        <f>VLOOKUP(A678,vlookup_table!$A:$G,5,FALSE)</f>
        <v>S1</v>
      </c>
      <c r="R678" t="str">
        <f>VLOOKUP(A678,vlookup_table!$A:$G,6,FALSE)</f>
        <v>M</v>
      </c>
      <c r="S678">
        <f>VLOOKUP(A678,vlookup_table!$A:$G,7,FALSE)</f>
        <v>15</v>
      </c>
      <c r="T678">
        <f t="shared" si="20"/>
        <v>81</v>
      </c>
      <c r="U678" t="str">
        <f t="shared" si="21"/>
        <v>Suburbano</v>
      </c>
    </row>
    <row r="679" spans="1:21" ht="16" x14ac:dyDescent="0.4">
      <c r="A679" s="4">
        <v>50967</v>
      </c>
      <c r="B679" s="1" t="s">
        <v>49</v>
      </c>
      <c r="C679" s="1" t="s">
        <v>17</v>
      </c>
      <c r="D679" s="1">
        <v>848</v>
      </c>
      <c r="E679" s="1">
        <v>466</v>
      </c>
      <c r="F679" s="1">
        <v>527</v>
      </c>
      <c r="G679" s="1">
        <v>0</v>
      </c>
      <c r="H679" s="1">
        <v>21110</v>
      </c>
      <c r="I679" s="1">
        <v>2</v>
      </c>
      <c r="J679" s="1">
        <v>41</v>
      </c>
      <c r="K679" s="1">
        <v>488</v>
      </c>
      <c r="L679" s="1">
        <v>509</v>
      </c>
      <c r="M679" s="1">
        <v>10</v>
      </c>
      <c r="N679">
        <f>VLOOKUP(A679,vlookup_table!$A:$G,2,FALSE)</f>
        <v>28</v>
      </c>
      <c r="O679" t="str">
        <f>VLOOKUP(A679,vlookup_table!$A:$G,3,FALSE)</f>
        <v>TN</v>
      </c>
      <c r="P679">
        <f>VLOOKUP(A679,vlookup_table!$A:$G,4,FALSE)</f>
        <v>2401</v>
      </c>
      <c r="Q679" t="str">
        <f>VLOOKUP(A679,vlookup_table!$A:$G,5,FALSE)</f>
        <v>S1</v>
      </c>
      <c r="R679" t="str">
        <f>VLOOKUP(A679,vlookup_table!$A:$G,6,FALSE)</f>
        <v>F</v>
      </c>
      <c r="S679">
        <f>VLOOKUP(A679,vlookup_table!$A:$G,7,FALSE)</f>
        <v>15</v>
      </c>
      <c r="T679">
        <f t="shared" si="20"/>
        <v>72</v>
      </c>
      <c r="U679" t="str">
        <f t="shared" si="21"/>
        <v>Suburbano</v>
      </c>
    </row>
    <row r="680" spans="1:21" ht="16" x14ac:dyDescent="0.4">
      <c r="A680" s="4">
        <v>160997</v>
      </c>
      <c r="B680" s="1" t="s">
        <v>21</v>
      </c>
      <c r="C680" s="1" t="s">
        <v>14</v>
      </c>
      <c r="D680" s="1">
        <v>1158</v>
      </c>
      <c r="E680" s="1">
        <v>369</v>
      </c>
      <c r="F680" s="1">
        <v>386</v>
      </c>
      <c r="G680" s="1">
        <v>3</v>
      </c>
      <c r="H680" s="1">
        <v>11592</v>
      </c>
      <c r="I680" s="1">
        <v>3</v>
      </c>
      <c r="J680" s="1">
        <v>64</v>
      </c>
      <c r="K680" s="1">
        <v>398</v>
      </c>
      <c r="L680" s="1">
        <v>373</v>
      </c>
      <c r="M680" s="1">
        <v>5.75</v>
      </c>
      <c r="N680">
        <f>VLOOKUP(A680,vlookup_table!$A:$G,2,FALSE)</f>
        <v>1</v>
      </c>
      <c r="O680" t="str">
        <f>VLOOKUP(A680,vlookup_table!$A:$G,3,FALSE)</f>
        <v>CA</v>
      </c>
      <c r="P680">
        <f>VLOOKUP(A680,vlookup_table!$A:$G,4,FALSE)</f>
        <v>0</v>
      </c>
      <c r="Q680" t="str">
        <f>VLOOKUP(A680,vlookup_table!$A:$G,5,FALSE)</f>
        <v>R2</v>
      </c>
      <c r="R680" t="str">
        <f>VLOOKUP(A680,vlookup_table!$A:$G,6,FALSE)</f>
        <v>M</v>
      </c>
      <c r="S680">
        <f>VLOOKUP(A680,vlookup_table!$A:$G,7,FALSE)</f>
        <v>10</v>
      </c>
      <c r="T680">
        <f t="shared" si="20"/>
        <v>96</v>
      </c>
      <c r="U680" t="str">
        <f t="shared" si="21"/>
        <v>Rural</v>
      </c>
    </row>
    <row r="681" spans="1:21" ht="16" x14ac:dyDescent="0.4">
      <c r="A681" s="4">
        <v>121718</v>
      </c>
      <c r="B681" s="1" t="s">
        <v>20</v>
      </c>
      <c r="C681" s="1" t="s">
        <v>14</v>
      </c>
      <c r="D681" s="1">
        <v>1139</v>
      </c>
      <c r="E681" s="1">
        <v>303</v>
      </c>
      <c r="F681" s="1">
        <v>633</v>
      </c>
      <c r="G681" s="1">
        <v>0</v>
      </c>
      <c r="H681" s="1">
        <v>19525</v>
      </c>
      <c r="I681" s="1">
        <v>16</v>
      </c>
      <c r="J681" s="1">
        <v>30</v>
      </c>
      <c r="K681" s="1">
        <v>566</v>
      </c>
      <c r="L681" s="1">
        <v>455</v>
      </c>
      <c r="M681" s="1">
        <v>17.5</v>
      </c>
      <c r="N681">
        <f>VLOOKUP(A681,vlookup_table!$A:$G,2,FALSE)</f>
        <v>1</v>
      </c>
      <c r="O681" t="str">
        <f>VLOOKUP(A681,vlookup_table!$A:$G,3,FALSE)</f>
        <v>TX</v>
      </c>
      <c r="P681">
        <f>VLOOKUP(A681,vlookup_table!$A:$G,4,FALSE)</f>
        <v>2101</v>
      </c>
      <c r="Q681" t="str">
        <f>VLOOKUP(A681,vlookup_table!$A:$G,5,FALSE)</f>
        <v>C1</v>
      </c>
      <c r="R681" t="str">
        <f>VLOOKUP(A681,vlookup_table!$A:$G,6,FALSE)</f>
        <v>M</v>
      </c>
      <c r="S681">
        <f>VLOOKUP(A681,vlookup_table!$A:$G,7,FALSE)</f>
        <v>30</v>
      </c>
      <c r="T681">
        <f t="shared" si="20"/>
        <v>75</v>
      </c>
      <c r="U681" t="str">
        <f t="shared" si="21"/>
        <v>Ciudad</v>
      </c>
    </row>
    <row r="682" spans="1:21" ht="16" x14ac:dyDescent="0.4">
      <c r="A682" s="4">
        <v>68807</v>
      </c>
      <c r="B682" s="1" t="s">
        <v>20</v>
      </c>
      <c r="C682" s="1" t="s">
        <v>17</v>
      </c>
      <c r="D682" s="1">
        <v>3741</v>
      </c>
      <c r="E682" s="1">
        <v>1376</v>
      </c>
      <c r="F682" s="1">
        <v>1183</v>
      </c>
      <c r="G682" s="1">
        <v>96</v>
      </c>
      <c r="H682" s="1">
        <v>57103</v>
      </c>
      <c r="I682" s="1">
        <v>8</v>
      </c>
      <c r="J682" s="1">
        <v>25</v>
      </c>
      <c r="K682" s="1">
        <v>1469</v>
      </c>
      <c r="L682" s="1">
        <v>1157</v>
      </c>
      <c r="M682" s="1">
        <v>9</v>
      </c>
      <c r="N682">
        <f>VLOOKUP(A682,vlookup_table!$A:$G,2,FALSE)</f>
        <v>28</v>
      </c>
      <c r="O682" t="str">
        <f>VLOOKUP(A682,vlookup_table!$A:$G,3,FALSE)</f>
        <v>TX</v>
      </c>
      <c r="P682">
        <f>VLOOKUP(A682,vlookup_table!$A:$G,4,FALSE)</f>
        <v>0</v>
      </c>
      <c r="Q682" t="str">
        <f>VLOOKUP(A682,vlookup_table!$A:$G,5,FALSE)</f>
        <v>S1</v>
      </c>
      <c r="R682" t="str">
        <f>VLOOKUP(A682,vlookup_table!$A:$G,6,FALSE)</f>
        <v>F</v>
      </c>
      <c r="S682">
        <f>VLOOKUP(A682,vlookup_table!$A:$G,7,FALSE)</f>
        <v>15</v>
      </c>
      <c r="T682">
        <f t="shared" si="20"/>
        <v>96</v>
      </c>
      <c r="U682" t="str">
        <f t="shared" si="21"/>
        <v>Suburbano</v>
      </c>
    </row>
    <row r="683" spans="1:21" ht="16" x14ac:dyDescent="0.4">
      <c r="A683" s="4">
        <v>155045</v>
      </c>
      <c r="B683" s="1" t="s">
        <v>20</v>
      </c>
      <c r="C683" s="1" t="s">
        <v>14</v>
      </c>
      <c r="D683" s="1">
        <v>468</v>
      </c>
      <c r="E683" s="1">
        <v>254</v>
      </c>
      <c r="F683" s="1">
        <v>337</v>
      </c>
      <c r="G683" s="1">
        <v>1</v>
      </c>
      <c r="H683" s="1">
        <v>11472</v>
      </c>
      <c r="I683" s="1">
        <v>5</v>
      </c>
      <c r="J683" s="1">
        <v>71</v>
      </c>
      <c r="K683" s="1">
        <v>295</v>
      </c>
      <c r="L683" s="1">
        <v>306</v>
      </c>
      <c r="M683" s="1">
        <v>8</v>
      </c>
      <c r="N683">
        <f>VLOOKUP(A683,vlookup_table!$A:$G,2,FALSE)</f>
        <v>1</v>
      </c>
      <c r="O683" t="str">
        <f>VLOOKUP(A683,vlookup_table!$A:$G,3,FALSE)</f>
        <v>TX</v>
      </c>
      <c r="P683">
        <f>VLOOKUP(A683,vlookup_table!$A:$G,4,FALSE)</f>
        <v>0</v>
      </c>
      <c r="Q683" t="str">
        <f>VLOOKUP(A683,vlookup_table!$A:$G,5,FALSE)</f>
        <v>R3</v>
      </c>
      <c r="R683" t="str">
        <f>VLOOKUP(A683,vlookup_table!$A:$G,6,FALSE)</f>
        <v>M</v>
      </c>
      <c r="S683">
        <f>VLOOKUP(A683,vlookup_table!$A:$G,7,FALSE)</f>
        <v>10</v>
      </c>
      <c r="T683">
        <f t="shared" si="20"/>
        <v>96</v>
      </c>
      <c r="U683" t="str">
        <f t="shared" si="21"/>
        <v>Rural</v>
      </c>
    </row>
    <row r="684" spans="1:21" ht="16" x14ac:dyDescent="0.4">
      <c r="A684" s="4">
        <v>146703</v>
      </c>
      <c r="B684" s="1" t="s">
        <v>21</v>
      </c>
      <c r="C684" s="1"/>
      <c r="D684" s="1">
        <v>675</v>
      </c>
      <c r="E684" s="1">
        <v>172</v>
      </c>
      <c r="F684" s="1">
        <v>405</v>
      </c>
      <c r="G684" s="1">
        <v>2</v>
      </c>
      <c r="H684" s="1">
        <v>17897</v>
      </c>
      <c r="I684" s="1">
        <v>12</v>
      </c>
      <c r="J684" s="1">
        <v>6</v>
      </c>
      <c r="K684" s="1">
        <v>379</v>
      </c>
      <c r="L684" s="1">
        <v>242</v>
      </c>
      <c r="M684" s="1">
        <v>12.5</v>
      </c>
      <c r="N684">
        <f>VLOOKUP(A684,vlookup_table!$A:$G,2,FALSE)</f>
        <v>1</v>
      </c>
      <c r="O684" t="str">
        <f>VLOOKUP(A684,vlookup_table!$A:$G,3,FALSE)</f>
        <v>CA</v>
      </c>
      <c r="P684">
        <f>VLOOKUP(A684,vlookup_table!$A:$G,4,FALSE)</f>
        <v>0</v>
      </c>
      <c r="Q684" t="str">
        <f>VLOOKUP(A684,vlookup_table!$A:$G,5,FALSE)</f>
        <v>C3</v>
      </c>
      <c r="R684" t="str">
        <f>VLOOKUP(A684,vlookup_table!$A:$G,6,FALSE)</f>
        <v/>
      </c>
      <c r="S684">
        <f>VLOOKUP(A684,vlookup_table!$A:$G,7,FALSE)</f>
        <v>15</v>
      </c>
      <c r="T684">
        <f t="shared" si="20"/>
        <v>96</v>
      </c>
      <c r="U684" t="str">
        <f t="shared" si="21"/>
        <v>Ciudad</v>
      </c>
    </row>
    <row r="685" spans="1:21" ht="16" x14ac:dyDescent="0.4">
      <c r="A685" s="4">
        <v>81298</v>
      </c>
      <c r="B685" s="1" t="s">
        <v>32</v>
      </c>
      <c r="C685" s="1" t="s">
        <v>41</v>
      </c>
      <c r="D685" s="1">
        <v>533</v>
      </c>
      <c r="E685" s="1">
        <v>324</v>
      </c>
      <c r="F685" s="1">
        <v>348</v>
      </c>
      <c r="G685" s="1">
        <v>0</v>
      </c>
      <c r="H685" s="1">
        <v>12238</v>
      </c>
      <c r="I685" s="1">
        <v>0</v>
      </c>
      <c r="J685" s="1">
        <v>87</v>
      </c>
      <c r="K685" s="1">
        <v>336</v>
      </c>
      <c r="L685" s="1">
        <v>337</v>
      </c>
      <c r="M685" s="1">
        <v>9.6896551720000001</v>
      </c>
      <c r="N685">
        <f>VLOOKUP(A685,vlookup_table!$A:$G,2,FALSE)</f>
        <v>1002</v>
      </c>
      <c r="O685" t="str">
        <f>VLOOKUP(A685,vlookup_table!$A:$G,3,FALSE)</f>
        <v>WI</v>
      </c>
      <c r="P685">
        <f>VLOOKUP(A685,vlookup_table!$A:$G,4,FALSE)</f>
        <v>4612</v>
      </c>
      <c r="Q685" t="str">
        <f>VLOOKUP(A685,vlookup_table!$A:$G,5,FALSE)</f>
        <v>C2</v>
      </c>
      <c r="R685" t="str">
        <f>VLOOKUP(A685,vlookup_table!$A:$G,6,FALSE)</f>
        <v>J</v>
      </c>
      <c r="S685">
        <f>VLOOKUP(A685,vlookup_table!$A:$G,7,FALSE)</f>
        <v>10</v>
      </c>
      <c r="T685">
        <f t="shared" si="20"/>
        <v>50</v>
      </c>
      <c r="U685" t="str">
        <f t="shared" si="21"/>
        <v>Ciudad</v>
      </c>
    </row>
    <row r="686" spans="1:21" ht="16" x14ac:dyDescent="0.4">
      <c r="A686" s="4">
        <v>172301</v>
      </c>
      <c r="B686" s="1" t="s">
        <v>21</v>
      </c>
      <c r="C686" s="1" t="s">
        <v>14</v>
      </c>
      <c r="D686" s="1">
        <v>1486</v>
      </c>
      <c r="E686" s="1">
        <v>361</v>
      </c>
      <c r="F686" s="1">
        <v>528</v>
      </c>
      <c r="G686" s="1">
        <v>14</v>
      </c>
      <c r="H686" s="1">
        <v>17774</v>
      </c>
      <c r="I686" s="1">
        <v>7</v>
      </c>
      <c r="J686" s="1">
        <v>46</v>
      </c>
      <c r="K686" s="1">
        <v>406</v>
      </c>
      <c r="L686" s="1">
        <v>489</v>
      </c>
      <c r="M686" s="1">
        <v>12.75</v>
      </c>
      <c r="N686">
        <f>VLOOKUP(A686,vlookup_table!$A:$G,2,FALSE)</f>
        <v>2</v>
      </c>
      <c r="O686" t="str">
        <f>VLOOKUP(A686,vlookup_table!$A:$G,3,FALSE)</f>
        <v>CA</v>
      </c>
      <c r="P686">
        <f>VLOOKUP(A686,vlookup_table!$A:$G,4,FALSE)</f>
        <v>2301</v>
      </c>
      <c r="Q686" t="str">
        <f>VLOOKUP(A686,vlookup_table!$A:$G,5,FALSE)</f>
        <v>U1</v>
      </c>
      <c r="R686" t="str">
        <f>VLOOKUP(A686,vlookup_table!$A:$G,6,FALSE)</f>
        <v>M</v>
      </c>
      <c r="S686">
        <f>VLOOKUP(A686,vlookup_table!$A:$G,7,FALSE)</f>
        <v>23</v>
      </c>
      <c r="T686">
        <f t="shared" si="20"/>
        <v>73</v>
      </c>
      <c r="U686" t="str">
        <f t="shared" si="21"/>
        <v>Urbano</v>
      </c>
    </row>
    <row r="687" spans="1:21" ht="16" x14ac:dyDescent="0.4">
      <c r="A687" s="4">
        <v>92241</v>
      </c>
      <c r="B687" s="1" t="s">
        <v>16</v>
      </c>
      <c r="C687" s="1" t="s">
        <v>14</v>
      </c>
      <c r="D687" s="1">
        <v>1250</v>
      </c>
      <c r="E687" s="1">
        <v>537</v>
      </c>
      <c r="F687" s="1">
        <v>598</v>
      </c>
      <c r="G687" s="1">
        <v>12</v>
      </c>
      <c r="H687" s="1">
        <v>17954</v>
      </c>
      <c r="I687" s="1">
        <v>5</v>
      </c>
      <c r="J687" s="1">
        <v>78</v>
      </c>
      <c r="K687" s="1">
        <v>576</v>
      </c>
      <c r="L687" s="1">
        <v>572</v>
      </c>
      <c r="M687" s="1">
        <v>7.6190476189999998</v>
      </c>
      <c r="N687">
        <f>VLOOKUP(A687,vlookup_table!$A:$G,2,FALSE)</f>
        <v>0</v>
      </c>
      <c r="O687" t="str">
        <f>VLOOKUP(A687,vlookup_table!$A:$G,3,FALSE)</f>
        <v>IL</v>
      </c>
      <c r="P687">
        <f>VLOOKUP(A687,vlookup_table!$A:$G,4,FALSE)</f>
        <v>3312</v>
      </c>
      <c r="Q687" t="str">
        <f>VLOOKUP(A687,vlookup_table!$A:$G,5,FALSE)</f>
        <v>C1</v>
      </c>
      <c r="R687" t="str">
        <f>VLOOKUP(A687,vlookup_table!$A:$G,6,FALSE)</f>
        <v>M</v>
      </c>
      <c r="S687">
        <f>VLOOKUP(A687,vlookup_table!$A:$G,7,FALSE)</f>
        <v>20</v>
      </c>
      <c r="T687">
        <f t="shared" si="20"/>
        <v>63</v>
      </c>
      <c r="U687" t="str">
        <f t="shared" si="21"/>
        <v>Ciudad</v>
      </c>
    </row>
    <row r="688" spans="1:21" ht="16" x14ac:dyDescent="0.4">
      <c r="A688" s="4">
        <v>116930</v>
      </c>
      <c r="B688" s="1" t="s">
        <v>20</v>
      </c>
      <c r="C688" s="1" t="s">
        <v>17</v>
      </c>
      <c r="D688" s="1">
        <v>3760</v>
      </c>
      <c r="E688" s="1">
        <v>705</v>
      </c>
      <c r="F688" s="1">
        <v>862</v>
      </c>
      <c r="G688" s="1">
        <v>91</v>
      </c>
      <c r="H688" s="1">
        <v>47863</v>
      </c>
      <c r="I688" s="1">
        <v>2</v>
      </c>
      <c r="J688" s="1">
        <v>71</v>
      </c>
      <c r="K688" s="1">
        <v>761</v>
      </c>
      <c r="L688" s="1">
        <v>800</v>
      </c>
      <c r="M688" s="1">
        <v>11.9</v>
      </c>
      <c r="N688">
        <f>VLOOKUP(A688,vlookup_table!$A:$G,2,FALSE)</f>
        <v>0</v>
      </c>
      <c r="O688" t="str">
        <f>VLOOKUP(A688,vlookup_table!$A:$G,3,FALSE)</f>
        <v>TX</v>
      </c>
      <c r="P688">
        <f>VLOOKUP(A688,vlookup_table!$A:$G,4,FALSE)</f>
        <v>2207</v>
      </c>
      <c r="Q688" t="str">
        <f>VLOOKUP(A688,vlookup_table!$A:$G,5,FALSE)</f>
        <v>U1</v>
      </c>
      <c r="R688" t="str">
        <f>VLOOKUP(A688,vlookup_table!$A:$G,6,FALSE)</f>
        <v>F</v>
      </c>
      <c r="S688">
        <f>VLOOKUP(A688,vlookup_table!$A:$G,7,FALSE)</f>
        <v>20</v>
      </c>
      <c r="T688">
        <f t="shared" si="20"/>
        <v>74</v>
      </c>
      <c r="U688" t="str">
        <f t="shared" si="21"/>
        <v>Urbano</v>
      </c>
    </row>
    <row r="689" spans="1:21" ht="16" x14ac:dyDescent="0.4">
      <c r="A689" s="4">
        <v>20338</v>
      </c>
      <c r="B689" s="1" t="s">
        <v>18</v>
      </c>
      <c r="C689" s="1" t="s">
        <v>14</v>
      </c>
      <c r="D689" s="1">
        <v>1991</v>
      </c>
      <c r="E689" s="1">
        <v>478</v>
      </c>
      <c r="F689" s="1">
        <v>692</v>
      </c>
      <c r="G689" s="1">
        <v>50</v>
      </c>
      <c r="H689" s="1">
        <v>34641</v>
      </c>
      <c r="I689" s="1">
        <v>5</v>
      </c>
      <c r="J689" s="1">
        <v>25</v>
      </c>
      <c r="K689" s="1">
        <v>538</v>
      </c>
      <c r="L689" s="1">
        <v>615</v>
      </c>
      <c r="M689" s="1">
        <v>8.6363636360000005</v>
      </c>
      <c r="N689">
        <f>VLOOKUP(A689,vlookup_table!$A:$G,2,FALSE)</f>
        <v>0</v>
      </c>
      <c r="O689" t="str">
        <f>VLOOKUP(A689,vlookup_table!$A:$G,3,FALSE)</f>
        <v>NC</v>
      </c>
      <c r="P689">
        <f>VLOOKUP(A689,vlookup_table!$A:$G,4,FALSE)</f>
        <v>2301</v>
      </c>
      <c r="Q689" t="str">
        <f>VLOOKUP(A689,vlookup_table!$A:$G,5,FALSE)</f>
        <v>C1</v>
      </c>
      <c r="R689" t="str">
        <f>VLOOKUP(A689,vlookup_table!$A:$G,6,FALSE)</f>
        <v>M</v>
      </c>
      <c r="S689">
        <f>VLOOKUP(A689,vlookup_table!$A:$G,7,FALSE)</f>
        <v>125</v>
      </c>
      <c r="T689">
        <f t="shared" si="20"/>
        <v>73</v>
      </c>
      <c r="U689" t="str">
        <f t="shared" si="21"/>
        <v>Ciudad</v>
      </c>
    </row>
    <row r="690" spans="1:21" ht="16" x14ac:dyDescent="0.4">
      <c r="A690" s="4">
        <v>177113</v>
      </c>
      <c r="B690" s="1" t="s">
        <v>47</v>
      </c>
      <c r="C690" s="1" t="s">
        <v>17</v>
      </c>
      <c r="D690" s="1">
        <v>404</v>
      </c>
      <c r="E690" s="1">
        <v>199</v>
      </c>
      <c r="F690" s="1">
        <v>293</v>
      </c>
      <c r="G690" s="1">
        <v>0</v>
      </c>
      <c r="H690" s="1">
        <v>10342</v>
      </c>
      <c r="I690" s="1">
        <v>1</v>
      </c>
      <c r="J690" s="1">
        <v>56</v>
      </c>
      <c r="K690" s="1">
        <v>258</v>
      </c>
      <c r="L690" s="1">
        <v>250</v>
      </c>
      <c r="M690" s="1">
        <v>10</v>
      </c>
      <c r="N690">
        <f>VLOOKUP(A690,vlookup_table!$A:$G,2,FALSE)</f>
        <v>2</v>
      </c>
      <c r="O690" t="str">
        <f>VLOOKUP(A690,vlookup_table!$A:$G,3,FALSE)</f>
        <v>OR</v>
      </c>
      <c r="P690">
        <f>VLOOKUP(A690,vlookup_table!$A:$G,4,FALSE)</f>
        <v>0</v>
      </c>
      <c r="Q690" t="str">
        <f>VLOOKUP(A690,vlookup_table!$A:$G,5,FALSE)</f>
        <v>R3</v>
      </c>
      <c r="R690" t="str">
        <f>VLOOKUP(A690,vlookup_table!$A:$G,6,FALSE)</f>
        <v>F</v>
      </c>
      <c r="S690">
        <f>VLOOKUP(A690,vlookup_table!$A:$G,7,FALSE)</f>
        <v>14</v>
      </c>
      <c r="T690">
        <f t="shared" si="20"/>
        <v>96</v>
      </c>
      <c r="U690" t="str">
        <f t="shared" si="21"/>
        <v>Rural</v>
      </c>
    </row>
    <row r="691" spans="1:21" ht="16" x14ac:dyDescent="0.4">
      <c r="A691" s="4">
        <v>46687</v>
      </c>
      <c r="B691" s="1" t="s">
        <v>40</v>
      </c>
      <c r="C691" s="1" t="s">
        <v>17</v>
      </c>
      <c r="D691" s="1">
        <v>413</v>
      </c>
      <c r="E691" s="1">
        <v>72</v>
      </c>
      <c r="F691" s="1">
        <v>246</v>
      </c>
      <c r="G691" s="1">
        <v>0</v>
      </c>
      <c r="H691" s="1">
        <v>7241</v>
      </c>
      <c r="I691" s="1">
        <v>0</v>
      </c>
      <c r="J691" s="1">
        <v>88</v>
      </c>
      <c r="K691" s="1">
        <v>306</v>
      </c>
      <c r="L691" s="1">
        <v>132</v>
      </c>
      <c r="M691" s="1">
        <v>5.115384615</v>
      </c>
      <c r="N691">
        <f>VLOOKUP(A691,vlookup_table!$A:$G,2,FALSE)</f>
        <v>0</v>
      </c>
      <c r="O691" t="str">
        <f>VLOOKUP(A691,vlookup_table!$A:$G,3,FALSE)</f>
        <v>AL</v>
      </c>
      <c r="P691">
        <f>VLOOKUP(A691,vlookup_table!$A:$G,4,FALSE)</f>
        <v>0</v>
      </c>
      <c r="Q691" t="str">
        <f>VLOOKUP(A691,vlookup_table!$A:$G,5,FALSE)</f>
        <v>T2</v>
      </c>
      <c r="R691" t="str">
        <f>VLOOKUP(A691,vlookup_table!$A:$G,6,FALSE)</f>
        <v>F</v>
      </c>
      <c r="S691">
        <f>VLOOKUP(A691,vlookup_table!$A:$G,7,FALSE)</f>
        <v>10</v>
      </c>
      <c r="T691">
        <f t="shared" si="20"/>
        <v>96</v>
      </c>
      <c r="U691" t="str">
        <f t="shared" si="21"/>
        <v>Pueblo</v>
      </c>
    </row>
    <row r="692" spans="1:21" ht="16" x14ac:dyDescent="0.4">
      <c r="A692" s="4">
        <v>171137</v>
      </c>
      <c r="B692" s="1" t="s">
        <v>21</v>
      </c>
      <c r="C692" s="1" t="s">
        <v>14</v>
      </c>
      <c r="D692" s="1">
        <v>2094</v>
      </c>
      <c r="E692" s="1">
        <v>600</v>
      </c>
      <c r="F692" s="1">
        <v>654</v>
      </c>
      <c r="G692" s="1">
        <v>54</v>
      </c>
      <c r="H692" s="1">
        <v>22914</v>
      </c>
      <c r="I692" s="1">
        <v>3</v>
      </c>
      <c r="J692" s="1">
        <v>66</v>
      </c>
      <c r="K692" s="1">
        <v>606</v>
      </c>
      <c r="L692" s="1">
        <v>639</v>
      </c>
      <c r="M692" s="1">
        <v>11.46153846</v>
      </c>
      <c r="N692">
        <f>VLOOKUP(A692,vlookup_table!$A:$G,2,FALSE)</f>
        <v>1</v>
      </c>
      <c r="O692" t="str">
        <f>VLOOKUP(A692,vlookup_table!$A:$G,3,FALSE)</f>
        <v>CA</v>
      </c>
      <c r="P692">
        <f>VLOOKUP(A692,vlookup_table!$A:$G,4,FALSE)</f>
        <v>2607</v>
      </c>
      <c r="Q692" t="str">
        <f>VLOOKUP(A692,vlookup_table!$A:$G,5,FALSE)</f>
        <v>T1</v>
      </c>
      <c r="R692" t="str">
        <f>VLOOKUP(A692,vlookup_table!$A:$G,6,FALSE)</f>
        <v>M</v>
      </c>
      <c r="S692">
        <f>VLOOKUP(A692,vlookup_table!$A:$G,7,FALSE)</f>
        <v>14</v>
      </c>
      <c r="T692">
        <f t="shared" si="20"/>
        <v>70</v>
      </c>
      <c r="U692" t="str">
        <f t="shared" si="21"/>
        <v>Pueblo</v>
      </c>
    </row>
    <row r="693" spans="1:21" ht="16" x14ac:dyDescent="0.4">
      <c r="A693" s="4">
        <v>2499</v>
      </c>
      <c r="B693" s="1" t="s">
        <v>30</v>
      </c>
      <c r="C693" s="1" t="s">
        <v>17</v>
      </c>
      <c r="D693" s="1">
        <v>818</v>
      </c>
      <c r="E693" s="1">
        <v>302</v>
      </c>
      <c r="F693" s="1">
        <v>444</v>
      </c>
      <c r="G693" s="1">
        <v>3</v>
      </c>
      <c r="H693" s="1">
        <v>15112</v>
      </c>
      <c r="I693" s="1">
        <v>1</v>
      </c>
      <c r="J693" s="1">
        <v>69</v>
      </c>
      <c r="K693" s="1">
        <v>397</v>
      </c>
      <c r="L693" s="1">
        <v>345</v>
      </c>
      <c r="M693" s="1">
        <v>5.6428571429999996</v>
      </c>
      <c r="N693">
        <f>VLOOKUP(A693,vlookup_table!$A:$G,2,FALSE)</f>
        <v>0</v>
      </c>
      <c r="O693" t="str">
        <f>VLOOKUP(A693,vlookup_table!$A:$G,3,FALSE)</f>
        <v>IN</v>
      </c>
      <c r="P693">
        <f>VLOOKUP(A693,vlookup_table!$A:$G,4,FALSE)</f>
        <v>0</v>
      </c>
      <c r="Q693" t="str">
        <f>VLOOKUP(A693,vlookup_table!$A:$G,5,FALSE)</f>
        <v>T2</v>
      </c>
      <c r="R693" t="str">
        <f>VLOOKUP(A693,vlookup_table!$A:$G,6,FALSE)</f>
        <v>F</v>
      </c>
      <c r="S693">
        <f>VLOOKUP(A693,vlookup_table!$A:$G,7,FALSE)</f>
        <v>5</v>
      </c>
      <c r="T693">
        <f t="shared" si="20"/>
        <v>96</v>
      </c>
      <c r="U693" t="str">
        <f t="shared" si="21"/>
        <v>Pueblo</v>
      </c>
    </row>
    <row r="694" spans="1:21" ht="16" x14ac:dyDescent="0.4">
      <c r="A694" s="4">
        <v>149644</v>
      </c>
      <c r="B694" s="1" t="s">
        <v>21</v>
      </c>
      <c r="C694" s="1" t="s">
        <v>17</v>
      </c>
      <c r="D694" s="1">
        <v>3206</v>
      </c>
      <c r="E694" s="1">
        <v>313</v>
      </c>
      <c r="F694" s="1">
        <v>465</v>
      </c>
      <c r="G694" s="1">
        <v>91</v>
      </c>
      <c r="H694" s="1">
        <v>18730</v>
      </c>
      <c r="I694" s="1">
        <v>17</v>
      </c>
      <c r="J694" s="1">
        <v>42</v>
      </c>
      <c r="K694" s="1">
        <v>399</v>
      </c>
      <c r="L694" s="1">
        <v>383</v>
      </c>
      <c r="M694" s="1">
        <v>20</v>
      </c>
      <c r="N694">
        <f>VLOOKUP(A694,vlookup_table!$A:$G,2,FALSE)</f>
        <v>0</v>
      </c>
      <c r="O694" t="str">
        <f>VLOOKUP(A694,vlookup_table!$A:$G,3,FALSE)</f>
        <v>CA</v>
      </c>
      <c r="P694">
        <f>VLOOKUP(A694,vlookup_table!$A:$G,4,FALSE)</f>
        <v>0</v>
      </c>
      <c r="Q694" t="str">
        <f>VLOOKUP(A694,vlookup_table!$A:$G,5,FALSE)</f>
        <v>U1</v>
      </c>
      <c r="R694" t="str">
        <f>VLOOKUP(A694,vlookup_table!$A:$G,6,FALSE)</f>
        <v>F</v>
      </c>
      <c r="S694">
        <f>VLOOKUP(A694,vlookup_table!$A:$G,7,FALSE)</f>
        <v>20</v>
      </c>
      <c r="T694">
        <f t="shared" si="20"/>
        <v>96</v>
      </c>
      <c r="U694" t="str">
        <f t="shared" si="21"/>
        <v>Urbano</v>
      </c>
    </row>
    <row r="695" spans="1:21" ht="16" x14ac:dyDescent="0.4">
      <c r="A695" s="4">
        <v>18584</v>
      </c>
      <c r="B695" s="1" t="s">
        <v>18</v>
      </c>
      <c r="C695" s="1" t="s">
        <v>97</v>
      </c>
      <c r="D695" s="1">
        <v>671</v>
      </c>
      <c r="E695" s="1">
        <v>261</v>
      </c>
      <c r="F695" s="1">
        <v>346</v>
      </c>
      <c r="G695" s="1">
        <v>1</v>
      </c>
      <c r="H695" s="1">
        <v>13238</v>
      </c>
      <c r="I695" s="1">
        <v>0</v>
      </c>
      <c r="J695" s="1">
        <v>80</v>
      </c>
      <c r="K695" s="1">
        <v>325</v>
      </c>
      <c r="L695" s="1">
        <v>307</v>
      </c>
      <c r="M695" s="1">
        <v>10.6</v>
      </c>
      <c r="N695">
        <f>VLOOKUP(A695,vlookup_table!$A:$G,2,FALSE)</f>
        <v>0</v>
      </c>
      <c r="O695" t="str">
        <f>VLOOKUP(A695,vlookup_table!$A:$G,3,FALSE)</f>
        <v>NC</v>
      </c>
      <c r="P695">
        <f>VLOOKUP(A695,vlookup_table!$A:$G,4,FALSE)</f>
        <v>2211</v>
      </c>
      <c r="Q695" t="str">
        <f>VLOOKUP(A695,vlookup_table!$A:$G,5,FALSE)</f>
        <v>C2</v>
      </c>
      <c r="R695" t="str">
        <f>VLOOKUP(A695,vlookup_table!$A:$G,6,FALSE)</f>
        <v>F</v>
      </c>
      <c r="S695">
        <f>VLOOKUP(A695,vlookup_table!$A:$G,7,FALSE)</f>
        <v>12</v>
      </c>
      <c r="T695">
        <f t="shared" si="20"/>
        <v>74</v>
      </c>
      <c r="U695" t="str">
        <f t="shared" si="21"/>
        <v>Ciudad</v>
      </c>
    </row>
    <row r="696" spans="1:21" ht="16" x14ac:dyDescent="0.4">
      <c r="A696" s="4">
        <v>186486</v>
      </c>
      <c r="B696" s="1" t="s">
        <v>21</v>
      </c>
      <c r="C696" s="1" t="s">
        <v>17</v>
      </c>
      <c r="D696" s="1">
        <v>5045</v>
      </c>
      <c r="E696" s="1">
        <v>604</v>
      </c>
      <c r="F696" s="1">
        <v>797</v>
      </c>
      <c r="G696" s="1">
        <v>95</v>
      </c>
      <c r="H696" s="1">
        <v>42488</v>
      </c>
      <c r="I696" s="1">
        <v>11</v>
      </c>
      <c r="J696" s="1">
        <v>41</v>
      </c>
      <c r="K696" s="1">
        <v>663</v>
      </c>
      <c r="L696" s="1">
        <v>703</v>
      </c>
      <c r="M696" s="1">
        <v>5.5</v>
      </c>
      <c r="N696">
        <f>VLOOKUP(A696,vlookup_table!$A:$G,2,FALSE)</f>
        <v>0</v>
      </c>
      <c r="O696" t="str">
        <f>VLOOKUP(A696,vlookup_table!$A:$G,3,FALSE)</f>
        <v>CA</v>
      </c>
      <c r="P696">
        <f>VLOOKUP(A696,vlookup_table!$A:$G,4,FALSE)</f>
        <v>0</v>
      </c>
      <c r="Q696" t="str">
        <f>VLOOKUP(A696,vlookup_table!$A:$G,5,FALSE)</f>
        <v>U1</v>
      </c>
      <c r="R696" t="str">
        <f>VLOOKUP(A696,vlookup_table!$A:$G,6,FALSE)</f>
        <v>F</v>
      </c>
      <c r="S696">
        <f>VLOOKUP(A696,vlookup_table!$A:$G,7,FALSE)</f>
        <v>3</v>
      </c>
      <c r="T696">
        <f t="shared" si="20"/>
        <v>96</v>
      </c>
      <c r="U696" t="str">
        <f t="shared" si="21"/>
        <v>Urbano</v>
      </c>
    </row>
    <row r="697" spans="1:21" ht="16" x14ac:dyDescent="0.4">
      <c r="A697" s="4">
        <v>148544</v>
      </c>
      <c r="B697" s="1" t="s">
        <v>21</v>
      </c>
      <c r="C697" s="1" t="s">
        <v>17</v>
      </c>
      <c r="D697" s="1">
        <v>4286</v>
      </c>
      <c r="E697" s="1">
        <v>811</v>
      </c>
      <c r="F697" s="1">
        <v>947</v>
      </c>
      <c r="G697" s="1">
        <v>95</v>
      </c>
      <c r="H697" s="1">
        <v>33614</v>
      </c>
      <c r="I697" s="1">
        <v>24</v>
      </c>
      <c r="J697" s="1">
        <v>41</v>
      </c>
      <c r="K697" s="1">
        <v>910</v>
      </c>
      <c r="L697" s="1">
        <v>883</v>
      </c>
      <c r="M697" s="1">
        <v>13.6</v>
      </c>
      <c r="N697">
        <f>VLOOKUP(A697,vlookup_table!$A:$G,2,FALSE)</f>
        <v>2</v>
      </c>
      <c r="O697" t="str">
        <f>VLOOKUP(A697,vlookup_table!$A:$G,3,FALSE)</f>
        <v>CA</v>
      </c>
      <c r="P697">
        <f>VLOOKUP(A697,vlookup_table!$A:$G,4,FALSE)</f>
        <v>3908</v>
      </c>
      <c r="Q697" t="str">
        <f>VLOOKUP(A697,vlookup_table!$A:$G,5,FALSE)</f>
        <v>S1</v>
      </c>
      <c r="R697" t="str">
        <f>VLOOKUP(A697,vlookup_table!$A:$G,6,FALSE)</f>
        <v>F</v>
      </c>
      <c r="S697">
        <f>VLOOKUP(A697,vlookup_table!$A:$G,7,FALSE)</f>
        <v>10</v>
      </c>
      <c r="T697">
        <f t="shared" si="20"/>
        <v>57</v>
      </c>
      <c r="U697" t="str">
        <f t="shared" si="21"/>
        <v>Suburbano</v>
      </c>
    </row>
    <row r="698" spans="1:21" ht="16" x14ac:dyDescent="0.4">
      <c r="A698" s="4">
        <v>17217</v>
      </c>
      <c r="B698" s="1" t="s">
        <v>18</v>
      </c>
      <c r="C698" s="1" t="s">
        <v>14</v>
      </c>
      <c r="D698" s="1">
        <v>621</v>
      </c>
      <c r="E698" s="1">
        <v>300</v>
      </c>
      <c r="F698" s="1">
        <v>351</v>
      </c>
      <c r="G698" s="1">
        <v>0</v>
      </c>
      <c r="H698" s="1">
        <v>10470</v>
      </c>
      <c r="I698" s="1">
        <v>0</v>
      </c>
      <c r="J698" s="1">
        <v>86</v>
      </c>
      <c r="K698" s="1">
        <v>342</v>
      </c>
      <c r="L698" s="1">
        <v>299</v>
      </c>
      <c r="M698" s="1">
        <v>6.7058823529999998</v>
      </c>
      <c r="N698">
        <f>VLOOKUP(A698,vlookup_table!$A:$G,2,FALSE)</f>
        <v>0</v>
      </c>
      <c r="O698" t="str">
        <f>VLOOKUP(A698,vlookup_table!$A:$G,3,FALSE)</f>
        <v>NC</v>
      </c>
      <c r="P698">
        <f>VLOOKUP(A698,vlookup_table!$A:$G,4,FALSE)</f>
        <v>3001</v>
      </c>
      <c r="Q698" t="str">
        <f>VLOOKUP(A698,vlookup_table!$A:$G,5,FALSE)</f>
        <v>R2</v>
      </c>
      <c r="R698" t="str">
        <f>VLOOKUP(A698,vlookup_table!$A:$G,6,FALSE)</f>
        <v>M</v>
      </c>
      <c r="S698">
        <f>VLOOKUP(A698,vlookup_table!$A:$G,7,FALSE)</f>
        <v>10</v>
      </c>
      <c r="T698">
        <f t="shared" si="20"/>
        <v>66</v>
      </c>
      <c r="U698" t="str">
        <f t="shared" si="21"/>
        <v>Rural</v>
      </c>
    </row>
    <row r="699" spans="1:21" ht="16" x14ac:dyDescent="0.4">
      <c r="A699" s="4">
        <v>111833</v>
      </c>
      <c r="B699" s="1" t="s">
        <v>29</v>
      </c>
      <c r="C699" s="1" t="s">
        <v>97</v>
      </c>
      <c r="D699" s="1">
        <v>377</v>
      </c>
      <c r="E699" s="1">
        <v>173</v>
      </c>
      <c r="F699" s="1">
        <v>261</v>
      </c>
      <c r="G699" s="1">
        <v>0</v>
      </c>
      <c r="H699" s="1">
        <v>8169</v>
      </c>
      <c r="I699" s="1">
        <v>0</v>
      </c>
      <c r="J699" s="1">
        <v>75</v>
      </c>
      <c r="K699" s="1">
        <v>212</v>
      </c>
      <c r="L699" s="1">
        <v>225</v>
      </c>
      <c r="M699" s="1">
        <v>5</v>
      </c>
      <c r="N699">
        <f>VLOOKUP(A699,vlookup_table!$A:$G,2,FALSE)</f>
        <v>2</v>
      </c>
      <c r="O699" t="str">
        <f>VLOOKUP(A699,vlookup_table!$A:$G,3,FALSE)</f>
        <v>AR</v>
      </c>
      <c r="P699">
        <f>VLOOKUP(A699,vlookup_table!$A:$G,4,FALSE)</f>
        <v>0</v>
      </c>
      <c r="Q699" t="str">
        <f>VLOOKUP(A699,vlookup_table!$A:$G,5,FALSE)</f>
        <v>T3</v>
      </c>
      <c r="R699" t="str">
        <f>VLOOKUP(A699,vlookup_table!$A:$G,6,FALSE)</f>
        <v>F</v>
      </c>
      <c r="S699">
        <f>VLOOKUP(A699,vlookup_table!$A:$G,7,FALSE)</f>
        <v>5</v>
      </c>
      <c r="T699">
        <f t="shared" si="20"/>
        <v>96</v>
      </c>
      <c r="U699" t="str">
        <f t="shared" si="21"/>
        <v>Pueblo</v>
      </c>
    </row>
    <row r="700" spans="1:21" ht="16" x14ac:dyDescent="0.4">
      <c r="A700" s="4">
        <v>158245</v>
      </c>
      <c r="B700" s="1" t="s">
        <v>21</v>
      </c>
      <c r="C700" s="1" t="s">
        <v>14</v>
      </c>
      <c r="D700" s="1">
        <v>1993</v>
      </c>
      <c r="E700" s="1">
        <v>442</v>
      </c>
      <c r="F700" s="1">
        <v>520</v>
      </c>
      <c r="G700" s="1">
        <v>49</v>
      </c>
      <c r="H700" s="1">
        <v>16427</v>
      </c>
      <c r="I700" s="1">
        <v>15</v>
      </c>
      <c r="J700" s="1">
        <v>53</v>
      </c>
      <c r="K700" s="1">
        <v>472</v>
      </c>
      <c r="L700" s="1">
        <v>484</v>
      </c>
      <c r="M700" s="1">
        <v>4.5</v>
      </c>
      <c r="N700">
        <f>VLOOKUP(A700,vlookup_table!$A:$G,2,FALSE)</f>
        <v>0</v>
      </c>
      <c r="O700" t="str">
        <f>VLOOKUP(A700,vlookup_table!$A:$G,3,FALSE)</f>
        <v>CA</v>
      </c>
      <c r="P700">
        <f>VLOOKUP(A700,vlookup_table!$A:$G,4,FALSE)</f>
        <v>0</v>
      </c>
      <c r="Q700" t="str">
        <f>VLOOKUP(A700,vlookup_table!$A:$G,5,FALSE)</f>
        <v>S3</v>
      </c>
      <c r="R700" t="str">
        <f>VLOOKUP(A700,vlookup_table!$A:$G,6,FALSE)</f>
        <v>M</v>
      </c>
      <c r="S700">
        <f>VLOOKUP(A700,vlookup_table!$A:$G,7,FALSE)</f>
        <v>5</v>
      </c>
      <c r="T700">
        <f t="shared" si="20"/>
        <v>96</v>
      </c>
      <c r="U700" t="str">
        <f t="shared" si="21"/>
        <v>Suburbano</v>
      </c>
    </row>
    <row r="701" spans="1:21" ht="16" x14ac:dyDescent="0.4">
      <c r="A701" s="4">
        <v>179776</v>
      </c>
      <c r="B701" s="1" t="s">
        <v>37</v>
      </c>
      <c r="C701" s="1" t="s">
        <v>17</v>
      </c>
      <c r="D701" s="1">
        <v>1493</v>
      </c>
      <c r="E701" s="1">
        <v>248</v>
      </c>
      <c r="F701" s="1">
        <v>293</v>
      </c>
      <c r="G701" s="1">
        <v>11</v>
      </c>
      <c r="H701" s="1">
        <v>16982</v>
      </c>
      <c r="I701" s="1">
        <v>5</v>
      </c>
      <c r="J701" s="1">
        <v>54</v>
      </c>
      <c r="K701" s="1">
        <v>240</v>
      </c>
      <c r="L701" s="1">
        <v>317</v>
      </c>
      <c r="M701" s="1">
        <v>14</v>
      </c>
      <c r="N701">
        <f>VLOOKUP(A701,vlookup_table!$A:$G,2,FALSE)</f>
        <v>2</v>
      </c>
      <c r="O701" t="str">
        <f>VLOOKUP(A701,vlookup_table!$A:$G,3,FALSE)</f>
        <v>WA</v>
      </c>
      <c r="P701">
        <f>VLOOKUP(A701,vlookup_table!$A:$G,4,FALSE)</f>
        <v>3102</v>
      </c>
      <c r="Q701" t="str">
        <f>VLOOKUP(A701,vlookup_table!$A:$G,5,FALSE)</f>
        <v>S1</v>
      </c>
      <c r="R701" t="str">
        <f>VLOOKUP(A701,vlookup_table!$A:$G,6,FALSE)</f>
        <v>F</v>
      </c>
      <c r="S701">
        <f>VLOOKUP(A701,vlookup_table!$A:$G,7,FALSE)</f>
        <v>10</v>
      </c>
      <c r="T701">
        <f t="shared" si="20"/>
        <v>65</v>
      </c>
      <c r="U701" t="str">
        <f t="shared" si="21"/>
        <v>Suburbano</v>
      </c>
    </row>
    <row r="702" spans="1:21" ht="16" x14ac:dyDescent="0.4">
      <c r="A702" s="4">
        <v>165102</v>
      </c>
      <c r="B702" s="1" t="s">
        <v>21</v>
      </c>
      <c r="C702" s="1" t="s">
        <v>14</v>
      </c>
      <c r="D702" s="1">
        <v>2973</v>
      </c>
      <c r="E702" s="1">
        <v>614</v>
      </c>
      <c r="F702" s="1">
        <v>721</v>
      </c>
      <c r="G702" s="1">
        <v>82</v>
      </c>
      <c r="H702" s="1">
        <v>30483</v>
      </c>
      <c r="I702" s="1">
        <v>6</v>
      </c>
      <c r="J702" s="1">
        <v>51</v>
      </c>
      <c r="K702" s="1">
        <v>674</v>
      </c>
      <c r="L702" s="1">
        <v>656</v>
      </c>
      <c r="M702" s="1">
        <v>25</v>
      </c>
      <c r="N702">
        <f>VLOOKUP(A702,vlookup_table!$A:$G,2,FALSE)</f>
        <v>1</v>
      </c>
      <c r="O702" t="str">
        <f>VLOOKUP(A702,vlookup_table!$A:$G,3,FALSE)</f>
        <v>CA</v>
      </c>
      <c r="P702">
        <f>VLOOKUP(A702,vlookup_table!$A:$G,4,FALSE)</f>
        <v>2201</v>
      </c>
      <c r="Q702" t="str">
        <f>VLOOKUP(A702,vlookup_table!$A:$G,5,FALSE)</f>
        <v>S1</v>
      </c>
      <c r="R702" t="str">
        <f>VLOOKUP(A702,vlookup_table!$A:$G,6,FALSE)</f>
        <v>M</v>
      </c>
      <c r="S702">
        <f>VLOOKUP(A702,vlookup_table!$A:$G,7,FALSE)</f>
        <v>25</v>
      </c>
      <c r="T702">
        <f t="shared" si="20"/>
        <v>74</v>
      </c>
      <c r="U702" t="str">
        <f t="shared" si="21"/>
        <v>Suburbano</v>
      </c>
    </row>
    <row r="703" spans="1:21" ht="16" x14ac:dyDescent="0.4">
      <c r="A703" s="4">
        <v>95341</v>
      </c>
      <c r="B703" s="1" t="s">
        <v>16</v>
      </c>
      <c r="C703" s="1" t="s">
        <v>17</v>
      </c>
      <c r="D703" s="1">
        <v>1028</v>
      </c>
      <c r="E703" s="1">
        <v>208</v>
      </c>
      <c r="F703" s="1">
        <v>263</v>
      </c>
      <c r="G703" s="1">
        <v>0</v>
      </c>
      <c r="H703" s="1">
        <v>10716</v>
      </c>
      <c r="I703" s="1">
        <v>1</v>
      </c>
      <c r="J703" s="1">
        <v>76</v>
      </c>
      <c r="K703" s="1">
        <v>234</v>
      </c>
      <c r="L703" s="1">
        <v>220</v>
      </c>
      <c r="M703" s="1">
        <v>21.09090909</v>
      </c>
      <c r="N703">
        <f>VLOOKUP(A703,vlookup_table!$A:$G,2,FALSE)</f>
        <v>28</v>
      </c>
      <c r="O703" t="str">
        <f>VLOOKUP(A703,vlookup_table!$A:$G,3,FALSE)</f>
        <v>IL</v>
      </c>
      <c r="P703">
        <f>VLOOKUP(A703,vlookup_table!$A:$G,4,FALSE)</f>
        <v>0</v>
      </c>
      <c r="Q703" t="str">
        <f>VLOOKUP(A703,vlookup_table!$A:$G,5,FALSE)</f>
        <v>T2</v>
      </c>
      <c r="R703" t="str">
        <f>VLOOKUP(A703,vlookup_table!$A:$G,6,FALSE)</f>
        <v>F</v>
      </c>
      <c r="S703">
        <f>VLOOKUP(A703,vlookup_table!$A:$G,7,FALSE)</f>
        <v>10</v>
      </c>
      <c r="T703">
        <f t="shared" si="20"/>
        <v>96</v>
      </c>
      <c r="U703" t="str">
        <f t="shared" si="21"/>
        <v>Pueblo</v>
      </c>
    </row>
    <row r="704" spans="1:21" ht="16" x14ac:dyDescent="0.4">
      <c r="A704" s="4">
        <v>166375</v>
      </c>
      <c r="B704" s="1" t="s">
        <v>21</v>
      </c>
      <c r="C704" s="1" t="s">
        <v>17</v>
      </c>
      <c r="D704" s="1">
        <v>3373</v>
      </c>
      <c r="E704" s="1">
        <v>546</v>
      </c>
      <c r="F704" s="1">
        <v>752</v>
      </c>
      <c r="G704" s="1">
        <v>93</v>
      </c>
      <c r="H704" s="1">
        <v>32474</v>
      </c>
      <c r="I704" s="1">
        <v>11</v>
      </c>
      <c r="J704" s="1">
        <v>50</v>
      </c>
      <c r="K704" s="1">
        <v>670</v>
      </c>
      <c r="L704" s="1">
        <v>633</v>
      </c>
      <c r="M704" s="1">
        <v>7</v>
      </c>
      <c r="N704">
        <f>VLOOKUP(A704,vlookup_table!$A:$G,2,FALSE)</f>
        <v>0</v>
      </c>
      <c r="O704" t="str">
        <f>VLOOKUP(A704,vlookup_table!$A:$G,3,FALSE)</f>
        <v>CA</v>
      </c>
      <c r="P704">
        <f>VLOOKUP(A704,vlookup_table!$A:$G,4,FALSE)</f>
        <v>2901</v>
      </c>
      <c r="Q704" t="str">
        <f>VLOOKUP(A704,vlookup_table!$A:$G,5,FALSE)</f>
        <v>S1</v>
      </c>
      <c r="R704" t="str">
        <f>VLOOKUP(A704,vlookup_table!$A:$G,6,FALSE)</f>
        <v>F</v>
      </c>
      <c r="S704">
        <f>VLOOKUP(A704,vlookup_table!$A:$G,7,FALSE)</f>
        <v>11</v>
      </c>
      <c r="T704">
        <f t="shared" si="20"/>
        <v>67</v>
      </c>
      <c r="U704" t="str">
        <f t="shared" si="21"/>
        <v>Suburbano</v>
      </c>
    </row>
    <row r="705" spans="1:21" ht="16" x14ac:dyDescent="0.4">
      <c r="A705" s="4">
        <v>69577</v>
      </c>
      <c r="B705" s="1" t="s">
        <v>26</v>
      </c>
      <c r="C705" s="1" t="s">
        <v>14</v>
      </c>
      <c r="D705" s="1">
        <v>973</v>
      </c>
      <c r="E705" s="1">
        <v>506</v>
      </c>
      <c r="F705" s="1">
        <v>571</v>
      </c>
      <c r="G705" s="1">
        <v>7</v>
      </c>
      <c r="H705" s="1">
        <v>17806</v>
      </c>
      <c r="I705" s="1">
        <v>1</v>
      </c>
      <c r="J705" s="1">
        <v>81</v>
      </c>
      <c r="K705" s="1">
        <v>521</v>
      </c>
      <c r="L705" s="1">
        <v>549</v>
      </c>
      <c r="M705" s="1">
        <v>7.2</v>
      </c>
      <c r="N705">
        <f>VLOOKUP(A705,vlookup_table!$A:$G,2,FALSE)</f>
        <v>1</v>
      </c>
      <c r="O705" t="str">
        <f>VLOOKUP(A705,vlookup_table!$A:$G,3,FALSE)</f>
        <v>MI</v>
      </c>
      <c r="P705">
        <f>VLOOKUP(A705,vlookup_table!$A:$G,4,FALSE)</f>
        <v>6001</v>
      </c>
      <c r="Q705" t="str">
        <f>VLOOKUP(A705,vlookup_table!$A:$G,5,FALSE)</f>
        <v>R2</v>
      </c>
      <c r="R705" t="str">
        <f>VLOOKUP(A705,vlookup_table!$A:$G,6,FALSE)</f>
        <v>M</v>
      </c>
      <c r="S705">
        <f>VLOOKUP(A705,vlookup_table!$A:$G,7,FALSE)</f>
        <v>8</v>
      </c>
      <c r="T705">
        <f t="shared" si="20"/>
        <v>36</v>
      </c>
      <c r="U705" t="str">
        <f t="shared" si="21"/>
        <v>Rural</v>
      </c>
    </row>
    <row r="706" spans="1:21" ht="16" x14ac:dyDescent="0.4">
      <c r="A706" s="4">
        <v>29785</v>
      </c>
      <c r="B706" s="1" t="s">
        <v>36</v>
      </c>
      <c r="C706" s="1" t="s">
        <v>17</v>
      </c>
      <c r="D706" s="1">
        <v>505</v>
      </c>
      <c r="E706" s="1">
        <v>185</v>
      </c>
      <c r="F706" s="1">
        <v>276</v>
      </c>
      <c r="G706" s="1">
        <v>0</v>
      </c>
      <c r="H706" s="1">
        <v>9368</v>
      </c>
      <c r="I706" s="1">
        <v>0</v>
      </c>
      <c r="J706" s="1">
        <v>70</v>
      </c>
      <c r="K706" s="1">
        <v>236</v>
      </c>
      <c r="L706" s="1">
        <v>227</v>
      </c>
      <c r="M706" s="1">
        <v>12.5</v>
      </c>
      <c r="N706">
        <f>VLOOKUP(A706,vlookup_table!$A:$G,2,FALSE)</f>
        <v>0</v>
      </c>
      <c r="O706" t="str">
        <f>VLOOKUP(A706,vlookup_table!$A:$G,3,FALSE)</f>
        <v>GA</v>
      </c>
      <c r="P706">
        <f>VLOOKUP(A706,vlookup_table!$A:$G,4,FALSE)</f>
        <v>2501</v>
      </c>
      <c r="Q706" t="str">
        <f>VLOOKUP(A706,vlookup_table!$A:$G,5,FALSE)</f>
        <v>C2</v>
      </c>
      <c r="R706" t="str">
        <f>VLOOKUP(A706,vlookup_table!$A:$G,6,FALSE)</f>
        <v>F</v>
      </c>
      <c r="S706">
        <f>VLOOKUP(A706,vlookup_table!$A:$G,7,FALSE)</f>
        <v>15</v>
      </c>
      <c r="T706">
        <f t="shared" si="20"/>
        <v>71</v>
      </c>
      <c r="U706" t="str">
        <f t="shared" si="21"/>
        <v>Ciudad</v>
      </c>
    </row>
    <row r="707" spans="1:21" ht="16" x14ac:dyDescent="0.4">
      <c r="A707" s="4">
        <v>188279</v>
      </c>
      <c r="B707" s="1" t="s">
        <v>26</v>
      </c>
      <c r="C707" s="1" t="s">
        <v>14</v>
      </c>
      <c r="D707" s="1">
        <v>524</v>
      </c>
      <c r="E707" s="1">
        <v>259</v>
      </c>
      <c r="F707" s="1">
        <v>353</v>
      </c>
      <c r="G707" s="1">
        <v>0</v>
      </c>
      <c r="H707" s="1">
        <v>12714</v>
      </c>
      <c r="I707" s="1">
        <v>8</v>
      </c>
      <c r="J707" s="1">
        <v>72</v>
      </c>
      <c r="K707" s="1">
        <v>296</v>
      </c>
      <c r="L707" s="1">
        <v>276</v>
      </c>
      <c r="M707" s="1">
        <v>8.6666666669999994</v>
      </c>
      <c r="N707">
        <f>VLOOKUP(A707,vlookup_table!$A:$G,2,FALSE)</f>
        <v>1</v>
      </c>
      <c r="O707" t="str">
        <f>VLOOKUP(A707,vlookup_table!$A:$G,3,FALSE)</f>
        <v>MI</v>
      </c>
      <c r="P707">
        <f>VLOOKUP(A707,vlookup_table!$A:$G,4,FALSE)</f>
        <v>3501</v>
      </c>
      <c r="Q707" t="str">
        <f>VLOOKUP(A707,vlookup_table!$A:$G,5,FALSE)</f>
        <v>S2</v>
      </c>
      <c r="R707" t="str">
        <f>VLOOKUP(A707,vlookup_table!$A:$G,6,FALSE)</f>
        <v>M</v>
      </c>
      <c r="S707">
        <f>VLOOKUP(A707,vlookup_table!$A:$G,7,FALSE)</f>
        <v>10</v>
      </c>
      <c r="T707">
        <f t="shared" ref="T707:T770" si="22">97-LEFT(P707,2)-IF(RIGHT(P707,2)&gt;6,1,0)</f>
        <v>61</v>
      </c>
      <c r="U707" t="str">
        <f t="shared" ref="U707:U770" si="23">IF(LEFT(Q707,1)="C","Ciudad",IF(LEFT(Q707,1)="T","Pueblo",IF(LEFT(Q707,1)="R","Rural",IF(LEFT(Q707,1)="S","Suburbano",IF(LEFT(Q707,1)="U","Urbano","")))))</f>
        <v>Suburbano</v>
      </c>
    </row>
    <row r="708" spans="1:21" ht="16" x14ac:dyDescent="0.4">
      <c r="A708" s="4">
        <v>150970</v>
      </c>
      <c r="B708" s="1" t="s">
        <v>21</v>
      </c>
      <c r="C708" s="1" t="s">
        <v>17</v>
      </c>
      <c r="D708" s="1">
        <v>1851</v>
      </c>
      <c r="E708" s="1">
        <v>472</v>
      </c>
      <c r="F708" s="1">
        <v>563</v>
      </c>
      <c r="G708" s="1">
        <v>39</v>
      </c>
      <c r="H708" s="1">
        <v>17217</v>
      </c>
      <c r="I708" s="1">
        <v>31</v>
      </c>
      <c r="J708" s="1">
        <v>52</v>
      </c>
      <c r="K708" s="1">
        <v>531</v>
      </c>
      <c r="L708" s="1">
        <v>530</v>
      </c>
      <c r="M708" s="1">
        <v>20</v>
      </c>
      <c r="N708">
        <f>VLOOKUP(A708,vlookup_table!$A:$G,2,FALSE)</f>
        <v>2</v>
      </c>
      <c r="O708" t="str">
        <f>VLOOKUP(A708,vlookup_table!$A:$G,3,FALSE)</f>
        <v>CA</v>
      </c>
      <c r="P708">
        <f>VLOOKUP(A708,vlookup_table!$A:$G,4,FALSE)</f>
        <v>4601</v>
      </c>
      <c r="Q708" t="str">
        <f>VLOOKUP(A708,vlookup_table!$A:$G,5,FALSE)</f>
        <v>U2</v>
      </c>
      <c r="R708" t="str">
        <f>VLOOKUP(A708,vlookup_table!$A:$G,6,FALSE)</f>
        <v>F</v>
      </c>
      <c r="S708">
        <f>VLOOKUP(A708,vlookup_table!$A:$G,7,FALSE)</f>
        <v>20</v>
      </c>
      <c r="T708">
        <f t="shared" si="22"/>
        <v>50</v>
      </c>
      <c r="U708" t="str">
        <f t="shared" si="23"/>
        <v>Urbano</v>
      </c>
    </row>
    <row r="709" spans="1:21" ht="16" x14ac:dyDescent="0.4">
      <c r="A709" s="4">
        <v>77799</v>
      </c>
      <c r="B709" s="1" t="s">
        <v>32</v>
      </c>
      <c r="C709" s="1" t="s">
        <v>14</v>
      </c>
      <c r="D709" s="1">
        <v>923</v>
      </c>
      <c r="E709" s="1">
        <v>373</v>
      </c>
      <c r="F709" s="1">
        <v>497</v>
      </c>
      <c r="G709" s="1">
        <v>0</v>
      </c>
      <c r="H709" s="1">
        <v>16271</v>
      </c>
      <c r="I709" s="1">
        <v>3</v>
      </c>
      <c r="J709" s="1">
        <v>80</v>
      </c>
      <c r="K709" s="1">
        <v>481</v>
      </c>
      <c r="L709" s="1">
        <v>402</v>
      </c>
      <c r="M709" s="1">
        <v>6.8181818180000002</v>
      </c>
      <c r="N709">
        <f>VLOOKUP(A709,vlookup_table!$A:$G,2,FALSE)</f>
        <v>0</v>
      </c>
      <c r="O709" t="str">
        <f>VLOOKUP(A709,vlookup_table!$A:$G,3,FALSE)</f>
        <v>WI</v>
      </c>
      <c r="P709">
        <f>VLOOKUP(A709,vlookup_table!$A:$G,4,FALSE)</f>
        <v>3703</v>
      </c>
      <c r="Q709" t="str">
        <f>VLOOKUP(A709,vlookup_table!$A:$G,5,FALSE)</f>
        <v>S1</v>
      </c>
      <c r="R709" t="str">
        <f>VLOOKUP(A709,vlookup_table!$A:$G,6,FALSE)</f>
        <v>M</v>
      </c>
      <c r="S709">
        <f>VLOOKUP(A709,vlookup_table!$A:$G,7,FALSE)</f>
        <v>10</v>
      </c>
      <c r="T709">
        <f t="shared" si="22"/>
        <v>59</v>
      </c>
      <c r="U709" t="str">
        <f t="shared" si="23"/>
        <v>Suburbano</v>
      </c>
    </row>
    <row r="710" spans="1:21" ht="16" x14ac:dyDescent="0.4">
      <c r="A710" s="4">
        <v>90694</v>
      </c>
      <c r="B710" s="1" t="s">
        <v>16</v>
      </c>
      <c r="C710" s="1" t="s">
        <v>17</v>
      </c>
      <c r="D710" s="1">
        <v>1401</v>
      </c>
      <c r="E710" s="1">
        <v>420</v>
      </c>
      <c r="F710" s="1">
        <v>508</v>
      </c>
      <c r="G710" s="1">
        <v>9</v>
      </c>
      <c r="H710" s="1">
        <v>17973</v>
      </c>
      <c r="I710" s="1">
        <v>3</v>
      </c>
      <c r="J710" s="1">
        <v>70</v>
      </c>
      <c r="K710" s="1">
        <v>474</v>
      </c>
      <c r="L710" s="1">
        <v>466</v>
      </c>
      <c r="M710" s="1">
        <v>19.399999999999999</v>
      </c>
      <c r="N710">
        <f>VLOOKUP(A710,vlookup_table!$A:$G,2,FALSE)</f>
        <v>28</v>
      </c>
      <c r="O710" t="str">
        <f>VLOOKUP(A710,vlookup_table!$A:$G,3,FALSE)</f>
        <v>IL</v>
      </c>
      <c r="P710">
        <f>VLOOKUP(A710,vlookup_table!$A:$G,4,FALSE)</f>
        <v>1501</v>
      </c>
      <c r="Q710" t="str">
        <f>VLOOKUP(A710,vlookup_table!$A:$G,5,FALSE)</f>
        <v>U1</v>
      </c>
      <c r="R710" t="str">
        <f>VLOOKUP(A710,vlookup_table!$A:$G,6,FALSE)</f>
        <v>F</v>
      </c>
      <c r="S710">
        <f>VLOOKUP(A710,vlookup_table!$A:$G,7,FALSE)</f>
        <v>30</v>
      </c>
      <c r="T710">
        <f t="shared" si="22"/>
        <v>81</v>
      </c>
      <c r="U710" t="str">
        <f t="shared" si="23"/>
        <v>Urbano</v>
      </c>
    </row>
    <row r="711" spans="1:21" ht="16" x14ac:dyDescent="0.4">
      <c r="A711" s="4">
        <v>173508</v>
      </c>
      <c r="B711" s="1" t="s">
        <v>34</v>
      </c>
      <c r="C711" s="1" t="s">
        <v>14</v>
      </c>
      <c r="D711" s="1">
        <v>3952</v>
      </c>
      <c r="E711" s="1">
        <v>696</v>
      </c>
      <c r="F711" s="1">
        <v>786</v>
      </c>
      <c r="G711" s="1">
        <v>96</v>
      </c>
      <c r="H711" s="1">
        <v>24913</v>
      </c>
      <c r="I711" s="1">
        <v>8</v>
      </c>
      <c r="J711" s="1">
        <v>73</v>
      </c>
      <c r="K711" s="1">
        <v>715</v>
      </c>
      <c r="L711" s="1">
        <v>774</v>
      </c>
      <c r="M711" s="1">
        <v>15</v>
      </c>
      <c r="N711">
        <f>VLOOKUP(A711,vlookup_table!$A:$G,2,FALSE)</f>
        <v>1</v>
      </c>
      <c r="O711" t="str">
        <f>VLOOKUP(A711,vlookup_table!$A:$G,3,FALSE)</f>
        <v>HI</v>
      </c>
      <c r="P711">
        <f>VLOOKUP(A711,vlookup_table!$A:$G,4,FALSE)</f>
        <v>0</v>
      </c>
      <c r="Q711" t="str">
        <f>VLOOKUP(A711,vlookup_table!$A:$G,5,FALSE)</f>
        <v>S1</v>
      </c>
      <c r="R711" t="str">
        <f>VLOOKUP(A711,vlookup_table!$A:$G,6,FALSE)</f>
        <v>M</v>
      </c>
      <c r="S711">
        <f>VLOOKUP(A711,vlookup_table!$A:$G,7,FALSE)</f>
        <v>25</v>
      </c>
      <c r="T711">
        <f t="shared" si="22"/>
        <v>96</v>
      </c>
      <c r="U711" t="str">
        <f t="shared" si="23"/>
        <v>Suburbano</v>
      </c>
    </row>
    <row r="712" spans="1:21" ht="16" x14ac:dyDescent="0.4">
      <c r="A712" s="4">
        <v>102775</v>
      </c>
      <c r="B712" s="1" t="s">
        <v>38</v>
      </c>
      <c r="C712" s="1" t="s">
        <v>17</v>
      </c>
      <c r="D712" s="1">
        <v>1250</v>
      </c>
      <c r="E712" s="1">
        <v>367</v>
      </c>
      <c r="F712" s="1">
        <v>478</v>
      </c>
      <c r="G712" s="1">
        <v>16</v>
      </c>
      <c r="H712" s="1">
        <v>19095</v>
      </c>
      <c r="I712" s="1">
        <v>3</v>
      </c>
      <c r="J712" s="1">
        <v>34</v>
      </c>
      <c r="K712" s="1">
        <v>430</v>
      </c>
      <c r="L712" s="1">
        <v>404</v>
      </c>
      <c r="M712" s="1">
        <v>16.454545459999999</v>
      </c>
      <c r="N712">
        <f>VLOOKUP(A712,vlookup_table!$A:$G,2,FALSE)</f>
        <v>0</v>
      </c>
      <c r="O712" t="str">
        <f>VLOOKUP(A712,vlookup_table!$A:$G,3,FALSE)</f>
        <v>ID</v>
      </c>
      <c r="P712">
        <f>VLOOKUP(A712,vlookup_table!$A:$G,4,FALSE)</f>
        <v>0</v>
      </c>
      <c r="Q712" t="str">
        <f>VLOOKUP(A712,vlookup_table!$A:$G,5,FALSE)</f>
        <v>R2</v>
      </c>
      <c r="R712" t="str">
        <f>VLOOKUP(A712,vlookup_table!$A:$G,6,FALSE)</f>
        <v>F</v>
      </c>
      <c r="S712">
        <f>VLOOKUP(A712,vlookup_table!$A:$G,7,FALSE)</f>
        <v>20</v>
      </c>
      <c r="T712">
        <f t="shared" si="22"/>
        <v>96</v>
      </c>
      <c r="U712" t="str">
        <f t="shared" si="23"/>
        <v>Rural</v>
      </c>
    </row>
    <row r="713" spans="1:21" ht="16" x14ac:dyDescent="0.4">
      <c r="A713" s="4">
        <v>117255</v>
      </c>
      <c r="B713" s="1" t="s">
        <v>20</v>
      </c>
      <c r="C713" s="1" t="s">
        <v>17</v>
      </c>
      <c r="D713" s="1">
        <v>740</v>
      </c>
      <c r="E713" s="1">
        <v>388</v>
      </c>
      <c r="F713" s="1">
        <v>569</v>
      </c>
      <c r="G713" s="1">
        <v>7</v>
      </c>
      <c r="H713" s="1">
        <v>22630</v>
      </c>
      <c r="I713" s="1">
        <v>4</v>
      </c>
      <c r="J713" s="1">
        <v>64</v>
      </c>
      <c r="K713" s="1">
        <v>422</v>
      </c>
      <c r="L713" s="1">
        <v>487</v>
      </c>
      <c r="M713" s="1">
        <v>8.7142857140000007</v>
      </c>
      <c r="N713">
        <f>VLOOKUP(A713,vlookup_table!$A:$G,2,FALSE)</f>
        <v>2</v>
      </c>
      <c r="O713" t="str">
        <f>VLOOKUP(A713,vlookup_table!$A:$G,3,FALSE)</f>
        <v>TX</v>
      </c>
      <c r="P713">
        <f>VLOOKUP(A713,vlookup_table!$A:$G,4,FALSE)</f>
        <v>1701</v>
      </c>
      <c r="Q713" t="str">
        <f>VLOOKUP(A713,vlookup_table!$A:$G,5,FALSE)</f>
        <v>U1</v>
      </c>
      <c r="R713" t="str">
        <f>VLOOKUP(A713,vlookup_table!$A:$G,6,FALSE)</f>
        <v>F</v>
      </c>
      <c r="S713">
        <f>VLOOKUP(A713,vlookup_table!$A:$G,7,FALSE)</f>
        <v>10</v>
      </c>
      <c r="T713">
        <f t="shared" si="22"/>
        <v>79</v>
      </c>
      <c r="U713" t="str">
        <f t="shared" si="23"/>
        <v>Urbano</v>
      </c>
    </row>
    <row r="714" spans="1:21" ht="16" x14ac:dyDescent="0.4">
      <c r="A714" s="4">
        <v>145392</v>
      </c>
      <c r="B714" s="1" t="s">
        <v>21</v>
      </c>
      <c r="C714" s="1" t="s">
        <v>27</v>
      </c>
      <c r="D714" s="1">
        <v>3570</v>
      </c>
      <c r="E714" s="1">
        <v>471</v>
      </c>
      <c r="F714" s="1">
        <v>628</v>
      </c>
      <c r="G714" s="1">
        <v>91</v>
      </c>
      <c r="H714" s="1">
        <v>19152</v>
      </c>
      <c r="I714" s="1">
        <v>32</v>
      </c>
      <c r="J714" s="1">
        <v>45</v>
      </c>
      <c r="K714" s="1">
        <v>561</v>
      </c>
      <c r="L714" s="1">
        <v>561</v>
      </c>
      <c r="M714" s="1">
        <v>8.2727272729999992</v>
      </c>
      <c r="N714">
        <f>VLOOKUP(A714,vlookup_table!$A:$G,2,FALSE)</f>
        <v>2</v>
      </c>
      <c r="O714" t="str">
        <f>VLOOKUP(A714,vlookup_table!$A:$G,3,FALSE)</f>
        <v>CA</v>
      </c>
      <c r="P714">
        <f>VLOOKUP(A714,vlookup_table!$A:$G,4,FALSE)</f>
        <v>3102</v>
      </c>
      <c r="Q714" t="str">
        <f>VLOOKUP(A714,vlookup_table!$A:$G,5,FALSE)</f>
        <v>S1</v>
      </c>
      <c r="R714" t="str">
        <f>VLOOKUP(A714,vlookup_table!$A:$G,6,FALSE)</f>
        <v>U</v>
      </c>
      <c r="S714">
        <f>VLOOKUP(A714,vlookup_table!$A:$G,7,FALSE)</f>
        <v>15</v>
      </c>
      <c r="T714">
        <f t="shared" si="22"/>
        <v>65</v>
      </c>
      <c r="U714" t="str">
        <f t="shared" si="23"/>
        <v>Suburbano</v>
      </c>
    </row>
    <row r="715" spans="1:21" ht="16" x14ac:dyDescent="0.4">
      <c r="A715" s="4">
        <v>185052</v>
      </c>
      <c r="B715" s="1" t="s">
        <v>20</v>
      </c>
      <c r="C715" s="1" t="s">
        <v>14</v>
      </c>
      <c r="D715" s="1">
        <v>2442</v>
      </c>
      <c r="E715" s="1">
        <v>641</v>
      </c>
      <c r="F715" s="1">
        <v>931</v>
      </c>
      <c r="G715" s="1">
        <v>75</v>
      </c>
      <c r="H715" s="1">
        <v>38212</v>
      </c>
      <c r="I715" s="1">
        <v>2</v>
      </c>
      <c r="J715" s="1">
        <v>48</v>
      </c>
      <c r="K715" s="1">
        <v>993</v>
      </c>
      <c r="L715" s="1">
        <v>764</v>
      </c>
      <c r="M715" s="1">
        <v>89.444444439999998</v>
      </c>
      <c r="N715">
        <f>VLOOKUP(A715,vlookup_table!$A:$G,2,FALSE)</f>
        <v>1</v>
      </c>
      <c r="O715" t="str">
        <f>VLOOKUP(A715,vlookup_table!$A:$G,3,FALSE)</f>
        <v>TX</v>
      </c>
      <c r="P715">
        <f>VLOOKUP(A715,vlookup_table!$A:$G,4,FALSE)</f>
        <v>5001</v>
      </c>
      <c r="Q715" t="str">
        <f>VLOOKUP(A715,vlookup_table!$A:$G,5,FALSE)</f>
        <v>U1</v>
      </c>
      <c r="R715" t="str">
        <f>VLOOKUP(A715,vlookup_table!$A:$G,6,FALSE)</f>
        <v>M</v>
      </c>
      <c r="S715">
        <f>VLOOKUP(A715,vlookup_table!$A:$G,7,FALSE)</f>
        <v>100</v>
      </c>
      <c r="T715">
        <f t="shared" si="22"/>
        <v>46</v>
      </c>
      <c r="U715" t="str">
        <f t="shared" si="23"/>
        <v>Urbano</v>
      </c>
    </row>
    <row r="716" spans="1:21" ht="16" x14ac:dyDescent="0.4">
      <c r="A716" s="4">
        <v>179423</v>
      </c>
      <c r="B716" s="1" t="s">
        <v>37</v>
      </c>
      <c r="C716" s="1" t="s">
        <v>17</v>
      </c>
      <c r="D716" s="1">
        <v>1654</v>
      </c>
      <c r="E716" s="1">
        <v>305</v>
      </c>
      <c r="F716" s="1">
        <v>457</v>
      </c>
      <c r="G716" s="1">
        <v>29</v>
      </c>
      <c r="H716" s="1">
        <v>18438</v>
      </c>
      <c r="I716" s="1">
        <v>10</v>
      </c>
      <c r="J716" s="1">
        <v>40</v>
      </c>
      <c r="K716" s="1">
        <v>343</v>
      </c>
      <c r="L716" s="1">
        <v>377</v>
      </c>
      <c r="M716" s="1">
        <v>20</v>
      </c>
      <c r="N716">
        <f>VLOOKUP(A716,vlookup_table!$A:$G,2,FALSE)</f>
        <v>0</v>
      </c>
      <c r="O716" t="str">
        <f>VLOOKUP(A716,vlookup_table!$A:$G,3,FALSE)</f>
        <v>WA</v>
      </c>
      <c r="P716">
        <f>VLOOKUP(A716,vlookup_table!$A:$G,4,FALSE)</f>
        <v>1501</v>
      </c>
      <c r="Q716" t="str">
        <f>VLOOKUP(A716,vlookup_table!$A:$G,5,FALSE)</f>
        <v>U1</v>
      </c>
      <c r="R716" t="str">
        <f>VLOOKUP(A716,vlookup_table!$A:$G,6,FALSE)</f>
        <v>F</v>
      </c>
      <c r="S716">
        <f>VLOOKUP(A716,vlookup_table!$A:$G,7,FALSE)</f>
        <v>20</v>
      </c>
      <c r="T716">
        <f t="shared" si="22"/>
        <v>81</v>
      </c>
      <c r="U716" t="str">
        <f t="shared" si="23"/>
        <v>Urbano</v>
      </c>
    </row>
    <row r="717" spans="1:21" ht="16" x14ac:dyDescent="0.4">
      <c r="A717" s="4">
        <v>6304</v>
      </c>
      <c r="B717" s="1" t="s">
        <v>25</v>
      </c>
      <c r="C717" s="1" t="s">
        <v>14</v>
      </c>
      <c r="D717" s="1">
        <v>500</v>
      </c>
      <c r="E717" s="1">
        <v>272</v>
      </c>
      <c r="F717" s="1">
        <v>451</v>
      </c>
      <c r="G717" s="1">
        <v>0</v>
      </c>
      <c r="H717" s="1">
        <v>30968</v>
      </c>
      <c r="I717" s="1">
        <v>0</v>
      </c>
      <c r="J717" s="1">
        <v>35</v>
      </c>
      <c r="K717" s="1">
        <v>438</v>
      </c>
      <c r="L717" s="1">
        <v>381</v>
      </c>
      <c r="M717" s="1">
        <v>12.05555556</v>
      </c>
      <c r="N717">
        <f>VLOOKUP(A717,vlookup_table!$A:$G,2,FALSE)</f>
        <v>1</v>
      </c>
      <c r="O717" t="str">
        <f>VLOOKUP(A717,vlookup_table!$A:$G,3,FALSE)</f>
        <v>KS</v>
      </c>
      <c r="P717">
        <f>VLOOKUP(A717,vlookup_table!$A:$G,4,FALSE)</f>
        <v>1202</v>
      </c>
      <c r="Q717" t="str">
        <f>VLOOKUP(A717,vlookup_table!$A:$G,5,FALSE)</f>
        <v>R2</v>
      </c>
      <c r="R717" t="str">
        <f>VLOOKUP(A717,vlookup_table!$A:$G,6,FALSE)</f>
        <v>M</v>
      </c>
      <c r="S717">
        <f>VLOOKUP(A717,vlookup_table!$A:$G,7,FALSE)</f>
        <v>20</v>
      </c>
      <c r="T717">
        <f t="shared" si="22"/>
        <v>84</v>
      </c>
      <c r="U717" t="str">
        <f t="shared" si="23"/>
        <v>Rural</v>
      </c>
    </row>
    <row r="718" spans="1:21" ht="16" x14ac:dyDescent="0.4">
      <c r="A718" s="4">
        <v>3631</v>
      </c>
      <c r="B718" s="1" t="s">
        <v>47</v>
      </c>
      <c r="C718" s="1" t="s">
        <v>14</v>
      </c>
      <c r="D718" s="1">
        <v>642</v>
      </c>
      <c r="E718" s="1">
        <v>323</v>
      </c>
      <c r="F718" s="1">
        <v>384</v>
      </c>
      <c r="G718" s="1">
        <v>0</v>
      </c>
      <c r="H718" s="1">
        <v>14420</v>
      </c>
      <c r="I718" s="1">
        <v>3</v>
      </c>
      <c r="J718" s="1">
        <v>58</v>
      </c>
      <c r="K718" s="1">
        <v>355</v>
      </c>
      <c r="L718" s="1">
        <v>356</v>
      </c>
      <c r="M718" s="1">
        <v>13.11111111</v>
      </c>
      <c r="N718">
        <f>VLOOKUP(A718,vlookup_table!$A:$G,2,FALSE)</f>
        <v>1</v>
      </c>
      <c r="O718" t="str">
        <f>VLOOKUP(A718,vlookup_table!$A:$G,3,FALSE)</f>
        <v>OR</v>
      </c>
      <c r="P718">
        <f>VLOOKUP(A718,vlookup_table!$A:$G,4,FALSE)</f>
        <v>0</v>
      </c>
      <c r="Q718" t="str">
        <f>VLOOKUP(A718,vlookup_table!$A:$G,5,FALSE)</f>
        <v>S2</v>
      </c>
      <c r="R718" t="str">
        <f>VLOOKUP(A718,vlookup_table!$A:$G,6,FALSE)</f>
        <v>M</v>
      </c>
      <c r="S718">
        <f>VLOOKUP(A718,vlookup_table!$A:$G,7,FALSE)</f>
        <v>13</v>
      </c>
      <c r="T718">
        <f t="shared" si="22"/>
        <v>96</v>
      </c>
      <c r="U718" t="str">
        <f t="shared" si="23"/>
        <v>Suburbano</v>
      </c>
    </row>
    <row r="719" spans="1:21" ht="16" x14ac:dyDescent="0.4">
      <c r="A719" s="4">
        <v>78199</v>
      </c>
      <c r="B719" s="1" t="s">
        <v>32</v>
      </c>
      <c r="C719" s="1" t="s">
        <v>14</v>
      </c>
      <c r="D719" s="1">
        <v>0</v>
      </c>
      <c r="E719" s="1">
        <v>0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9.6999999999999993</v>
      </c>
      <c r="N719">
        <f>VLOOKUP(A719,vlookup_table!$A:$G,2,FALSE)</f>
        <v>1</v>
      </c>
      <c r="O719" t="str">
        <f>VLOOKUP(A719,vlookup_table!$A:$G,3,FALSE)</f>
        <v>WI</v>
      </c>
      <c r="P719">
        <f>VLOOKUP(A719,vlookup_table!$A:$G,4,FALSE)</f>
        <v>4610</v>
      </c>
      <c r="Q719" t="str">
        <f>VLOOKUP(A719,vlookup_table!$A:$G,5,FALSE)</f>
        <v>C1</v>
      </c>
      <c r="R719" t="str">
        <f>VLOOKUP(A719,vlookup_table!$A:$G,6,FALSE)</f>
        <v>M</v>
      </c>
      <c r="S719">
        <f>VLOOKUP(A719,vlookup_table!$A:$G,7,FALSE)</f>
        <v>15</v>
      </c>
      <c r="T719">
        <f t="shared" si="22"/>
        <v>50</v>
      </c>
      <c r="U719" t="str">
        <f t="shared" si="23"/>
        <v>Ciudad</v>
      </c>
    </row>
    <row r="720" spans="1:21" ht="16" x14ac:dyDescent="0.4">
      <c r="A720" s="4">
        <v>128496</v>
      </c>
      <c r="B720" s="1" t="s">
        <v>20</v>
      </c>
      <c r="C720" s="1" t="s">
        <v>14</v>
      </c>
      <c r="D720" s="1">
        <v>430</v>
      </c>
      <c r="E720" s="1">
        <v>210</v>
      </c>
      <c r="F720" s="1">
        <v>311</v>
      </c>
      <c r="G720" s="1">
        <v>1</v>
      </c>
      <c r="H720" s="1">
        <v>11608</v>
      </c>
      <c r="I720" s="1">
        <v>1</v>
      </c>
      <c r="J720" s="1">
        <v>78</v>
      </c>
      <c r="K720" s="1">
        <v>256</v>
      </c>
      <c r="L720" s="1">
        <v>264</v>
      </c>
      <c r="M720" s="1">
        <v>8.6666666669999994</v>
      </c>
      <c r="N720">
        <f>VLOOKUP(A720,vlookup_table!$A:$G,2,FALSE)</f>
        <v>2</v>
      </c>
      <c r="O720" t="str">
        <f>VLOOKUP(A720,vlookup_table!$A:$G,3,FALSE)</f>
        <v>TX</v>
      </c>
      <c r="P720">
        <f>VLOOKUP(A720,vlookup_table!$A:$G,4,FALSE)</f>
        <v>0</v>
      </c>
      <c r="Q720" t="str">
        <f>VLOOKUP(A720,vlookup_table!$A:$G,5,FALSE)</f>
        <v>T3</v>
      </c>
      <c r="R720" t="str">
        <f>VLOOKUP(A720,vlookup_table!$A:$G,6,FALSE)</f>
        <v>M</v>
      </c>
      <c r="S720">
        <f>VLOOKUP(A720,vlookup_table!$A:$G,7,FALSE)</f>
        <v>6</v>
      </c>
      <c r="T720">
        <f t="shared" si="22"/>
        <v>96</v>
      </c>
      <c r="U720" t="str">
        <f t="shared" si="23"/>
        <v>Pueblo</v>
      </c>
    </row>
    <row r="721" spans="1:21" ht="16" x14ac:dyDescent="0.4">
      <c r="A721" s="4">
        <v>1292</v>
      </c>
      <c r="B721" s="1" t="s">
        <v>13</v>
      </c>
      <c r="C721" s="1" t="s">
        <v>14</v>
      </c>
      <c r="D721" s="1">
        <v>692</v>
      </c>
      <c r="E721" s="1">
        <v>203</v>
      </c>
      <c r="F721" s="1">
        <v>304</v>
      </c>
      <c r="G721" s="1">
        <v>1</v>
      </c>
      <c r="H721" s="1">
        <v>14602</v>
      </c>
      <c r="I721" s="1">
        <v>6</v>
      </c>
      <c r="J721" s="1">
        <v>3</v>
      </c>
      <c r="K721" s="1">
        <v>266</v>
      </c>
      <c r="L721" s="1">
        <v>249</v>
      </c>
      <c r="M721" s="1">
        <v>7.6</v>
      </c>
      <c r="N721">
        <f>VLOOKUP(A721,vlookup_table!$A:$G,2,FALSE)</f>
        <v>1</v>
      </c>
      <c r="O721" t="str">
        <f>VLOOKUP(A721,vlookup_table!$A:$G,3,FALSE)</f>
        <v>FL</v>
      </c>
      <c r="P721">
        <f>VLOOKUP(A721,vlookup_table!$A:$G,4,FALSE)</f>
        <v>5001</v>
      </c>
      <c r="Q721" t="str">
        <f>VLOOKUP(A721,vlookup_table!$A:$G,5,FALSE)</f>
        <v>C2</v>
      </c>
      <c r="R721" t="str">
        <f>VLOOKUP(A721,vlookup_table!$A:$G,6,FALSE)</f>
        <v>M</v>
      </c>
      <c r="S721">
        <f>VLOOKUP(A721,vlookup_table!$A:$G,7,FALSE)</f>
        <v>15</v>
      </c>
      <c r="T721">
        <f t="shared" si="22"/>
        <v>46</v>
      </c>
      <c r="U721" t="str">
        <f t="shared" si="23"/>
        <v>Ciudad</v>
      </c>
    </row>
    <row r="722" spans="1:21" ht="16" x14ac:dyDescent="0.4">
      <c r="A722" s="4">
        <v>114676</v>
      </c>
      <c r="B722" s="1" t="s">
        <v>28</v>
      </c>
      <c r="C722" s="1"/>
      <c r="D722" s="1">
        <v>1062</v>
      </c>
      <c r="E722" s="1">
        <v>486</v>
      </c>
      <c r="F722" s="1">
        <v>584</v>
      </c>
      <c r="G722" s="1">
        <v>4</v>
      </c>
      <c r="H722" s="1">
        <v>17908</v>
      </c>
      <c r="I722" s="1">
        <v>2</v>
      </c>
      <c r="J722" s="1">
        <v>60</v>
      </c>
      <c r="K722" s="1">
        <v>550</v>
      </c>
      <c r="L722" s="1">
        <v>555</v>
      </c>
      <c r="M722" s="1">
        <v>15.33333333</v>
      </c>
      <c r="N722">
        <f>VLOOKUP(A722,vlookup_table!$A:$G,2,FALSE)</f>
        <v>0</v>
      </c>
      <c r="O722" t="str">
        <f>VLOOKUP(A722,vlookup_table!$A:$G,3,FALSE)</f>
        <v>OK</v>
      </c>
      <c r="P722">
        <f>VLOOKUP(A722,vlookup_table!$A:$G,4,FALSE)</f>
        <v>5201</v>
      </c>
      <c r="Q722" t="str">
        <f>VLOOKUP(A722,vlookup_table!$A:$G,5,FALSE)</f>
        <v>T1</v>
      </c>
      <c r="R722" t="str">
        <f>VLOOKUP(A722,vlookup_table!$A:$G,6,FALSE)</f>
        <v/>
      </c>
      <c r="S722">
        <f>VLOOKUP(A722,vlookup_table!$A:$G,7,FALSE)</f>
        <v>20</v>
      </c>
      <c r="T722">
        <f t="shared" si="22"/>
        <v>44</v>
      </c>
      <c r="U722" t="str">
        <f t="shared" si="23"/>
        <v>Pueblo</v>
      </c>
    </row>
    <row r="723" spans="1:21" ht="16" x14ac:dyDescent="0.4">
      <c r="A723" s="4">
        <v>93065</v>
      </c>
      <c r="B723" s="1" t="s">
        <v>16</v>
      </c>
      <c r="C723" s="1" t="s">
        <v>14</v>
      </c>
      <c r="D723" s="1">
        <v>1375</v>
      </c>
      <c r="E723" s="1">
        <v>353</v>
      </c>
      <c r="F723" s="1">
        <v>475</v>
      </c>
      <c r="G723" s="1">
        <v>0</v>
      </c>
      <c r="H723" s="1">
        <v>16388</v>
      </c>
      <c r="I723" s="1">
        <v>9</v>
      </c>
      <c r="J723" s="1">
        <v>53</v>
      </c>
      <c r="K723" s="1">
        <v>383</v>
      </c>
      <c r="L723" s="1">
        <v>362</v>
      </c>
      <c r="M723" s="1">
        <v>9.5625</v>
      </c>
      <c r="N723">
        <f>VLOOKUP(A723,vlookup_table!$A:$G,2,FALSE)</f>
        <v>1</v>
      </c>
      <c r="O723" t="str">
        <f>VLOOKUP(A723,vlookup_table!$A:$G,3,FALSE)</f>
        <v>IL</v>
      </c>
      <c r="P723">
        <f>VLOOKUP(A723,vlookup_table!$A:$G,4,FALSE)</f>
        <v>0</v>
      </c>
      <c r="Q723" t="str">
        <f>VLOOKUP(A723,vlookup_table!$A:$G,5,FALSE)</f>
        <v>U1</v>
      </c>
      <c r="R723" t="str">
        <f>VLOOKUP(A723,vlookup_table!$A:$G,6,FALSE)</f>
        <v>M</v>
      </c>
      <c r="S723">
        <f>VLOOKUP(A723,vlookup_table!$A:$G,7,FALSE)</f>
        <v>10</v>
      </c>
      <c r="T723">
        <f t="shared" si="22"/>
        <v>96</v>
      </c>
      <c r="U723" t="str">
        <f t="shared" si="23"/>
        <v>Urbano</v>
      </c>
    </row>
    <row r="724" spans="1:21" ht="16" x14ac:dyDescent="0.4">
      <c r="A724" s="4">
        <v>125181</v>
      </c>
      <c r="B724" s="1" t="s">
        <v>20</v>
      </c>
      <c r="C724" s="1" t="s">
        <v>17</v>
      </c>
      <c r="D724" s="1">
        <v>2469</v>
      </c>
      <c r="E724" s="1">
        <v>346</v>
      </c>
      <c r="F724" s="1">
        <v>835</v>
      </c>
      <c r="G724" s="1">
        <v>61</v>
      </c>
      <c r="H724" s="1">
        <v>47151</v>
      </c>
      <c r="I724" s="1">
        <v>4</v>
      </c>
      <c r="J724" s="1">
        <v>64</v>
      </c>
      <c r="K724" s="1">
        <v>767</v>
      </c>
      <c r="L724" s="1">
        <v>559</v>
      </c>
      <c r="M724" s="1">
        <v>7.5</v>
      </c>
      <c r="N724">
        <f>VLOOKUP(A724,vlookup_table!$A:$G,2,FALSE)</f>
        <v>1</v>
      </c>
      <c r="O724" t="str">
        <f>VLOOKUP(A724,vlookup_table!$A:$G,3,FALSE)</f>
        <v>TX</v>
      </c>
      <c r="P724">
        <f>VLOOKUP(A724,vlookup_table!$A:$G,4,FALSE)</f>
        <v>1201</v>
      </c>
      <c r="Q724" t="str">
        <f>VLOOKUP(A724,vlookup_table!$A:$G,5,FALSE)</f>
        <v>S1</v>
      </c>
      <c r="R724" t="str">
        <f>VLOOKUP(A724,vlookup_table!$A:$G,6,FALSE)</f>
        <v>F</v>
      </c>
      <c r="S724">
        <f>VLOOKUP(A724,vlookup_table!$A:$G,7,FALSE)</f>
        <v>8</v>
      </c>
      <c r="T724">
        <f t="shared" si="22"/>
        <v>84</v>
      </c>
      <c r="U724" t="str">
        <f t="shared" si="23"/>
        <v>Suburbano</v>
      </c>
    </row>
    <row r="725" spans="1:21" ht="16" x14ac:dyDescent="0.4">
      <c r="A725" s="4">
        <v>157204</v>
      </c>
      <c r="B725" s="1" t="s">
        <v>21</v>
      </c>
      <c r="C725" s="1" t="s">
        <v>17</v>
      </c>
      <c r="D725" s="1">
        <v>2400</v>
      </c>
      <c r="E725" s="1">
        <v>451</v>
      </c>
      <c r="F725" s="1">
        <v>569</v>
      </c>
      <c r="G725" s="1">
        <v>70</v>
      </c>
      <c r="H725" s="1">
        <v>17470</v>
      </c>
      <c r="I725" s="1">
        <v>15</v>
      </c>
      <c r="J725" s="1">
        <v>50</v>
      </c>
      <c r="K725" s="1">
        <v>526</v>
      </c>
      <c r="L725" s="1">
        <v>481</v>
      </c>
      <c r="M725" s="1">
        <v>13.14285714</v>
      </c>
      <c r="N725">
        <f>VLOOKUP(A725,vlookup_table!$A:$G,2,FALSE)</f>
        <v>0</v>
      </c>
      <c r="O725" t="str">
        <f>VLOOKUP(A725,vlookup_table!$A:$G,3,FALSE)</f>
        <v>CA</v>
      </c>
      <c r="P725">
        <f>VLOOKUP(A725,vlookup_table!$A:$G,4,FALSE)</f>
        <v>4204</v>
      </c>
      <c r="Q725" t="str">
        <f>VLOOKUP(A725,vlookup_table!$A:$G,5,FALSE)</f>
        <v>U1</v>
      </c>
      <c r="R725" t="str">
        <f>VLOOKUP(A725,vlookup_table!$A:$G,6,FALSE)</f>
        <v>F</v>
      </c>
      <c r="S725">
        <f>VLOOKUP(A725,vlookup_table!$A:$G,7,FALSE)</f>
        <v>20</v>
      </c>
      <c r="T725">
        <f t="shared" si="22"/>
        <v>54</v>
      </c>
      <c r="U725" t="str">
        <f t="shared" si="23"/>
        <v>Urbano</v>
      </c>
    </row>
    <row r="726" spans="1:21" ht="16" x14ac:dyDescent="0.4">
      <c r="A726" s="4">
        <v>69445</v>
      </c>
      <c r="B726" s="1" t="s">
        <v>26</v>
      </c>
      <c r="C726" s="1" t="s">
        <v>14</v>
      </c>
      <c r="D726" s="1">
        <v>1472</v>
      </c>
      <c r="E726" s="1">
        <v>532</v>
      </c>
      <c r="F726" s="1">
        <v>634</v>
      </c>
      <c r="G726" s="1">
        <v>18</v>
      </c>
      <c r="H726" s="1">
        <v>20135</v>
      </c>
      <c r="I726" s="1">
        <v>3</v>
      </c>
      <c r="J726" s="1">
        <v>83</v>
      </c>
      <c r="K726" s="1">
        <v>580</v>
      </c>
      <c r="L726" s="1">
        <v>583</v>
      </c>
      <c r="M726" s="1">
        <v>20</v>
      </c>
      <c r="N726">
        <f>VLOOKUP(A726,vlookup_table!$A:$G,2,FALSE)</f>
        <v>1</v>
      </c>
      <c r="O726" t="str">
        <f>VLOOKUP(A726,vlookup_table!$A:$G,3,FALSE)</f>
        <v>MI</v>
      </c>
      <c r="P726">
        <f>VLOOKUP(A726,vlookup_table!$A:$G,4,FALSE)</f>
        <v>5701</v>
      </c>
      <c r="Q726" t="str">
        <f>VLOOKUP(A726,vlookup_table!$A:$G,5,FALSE)</f>
        <v>T1</v>
      </c>
      <c r="R726" t="str">
        <f>VLOOKUP(A726,vlookup_table!$A:$G,6,FALSE)</f>
        <v>M</v>
      </c>
      <c r="S726">
        <f>VLOOKUP(A726,vlookup_table!$A:$G,7,FALSE)</f>
        <v>10</v>
      </c>
      <c r="T726">
        <f t="shared" si="22"/>
        <v>39</v>
      </c>
      <c r="U726" t="str">
        <f t="shared" si="23"/>
        <v>Pueblo</v>
      </c>
    </row>
    <row r="727" spans="1:21" ht="16" x14ac:dyDescent="0.4">
      <c r="A727" s="4">
        <v>14370</v>
      </c>
      <c r="B727" s="1" t="s">
        <v>13</v>
      </c>
      <c r="C727" s="1" t="s">
        <v>17</v>
      </c>
      <c r="D727" s="1">
        <v>637</v>
      </c>
      <c r="E727" s="1">
        <v>339</v>
      </c>
      <c r="F727" s="1">
        <v>411</v>
      </c>
      <c r="G727" s="1">
        <v>0</v>
      </c>
      <c r="H727" s="1">
        <v>13370</v>
      </c>
      <c r="I727" s="1">
        <v>1</v>
      </c>
      <c r="J727" s="1">
        <v>56</v>
      </c>
      <c r="K727" s="1">
        <v>394</v>
      </c>
      <c r="L727" s="1">
        <v>380</v>
      </c>
      <c r="M727" s="1">
        <v>4.5</v>
      </c>
      <c r="N727">
        <f>VLOOKUP(A727,vlookup_table!$A:$G,2,FALSE)</f>
        <v>2</v>
      </c>
      <c r="O727" t="str">
        <f>VLOOKUP(A727,vlookup_table!$A:$G,3,FALSE)</f>
        <v>FL</v>
      </c>
      <c r="P727">
        <f>VLOOKUP(A727,vlookup_table!$A:$G,4,FALSE)</f>
        <v>4306</v>
      </c>
      <c r="Q727" t="str">
        <f>VLOOKUP(A727,vlookup_table!$A:$G,5,FALSE)</f>
        <v>S2</v>
      </c>
      <c r="R727" t="str">
        <f>VLOOKUP(A727,vlookup_table!$A:$G,6,FALSE)</f>
        <v>F</v>
      </c>
      <c r="S727">
        <f>VLOOKUP(A727,vlookup_table!$A:$G,7,FALSE)</f>
        <v>5</v>
      </c>
      <c r="T727">
        <f t="shared" si="22"/>
        <v>53</v>
      </c>
      <c r="U727" t="str">
        <f t="shared" si="23"/>
        <v>Suburbano</v>
      </c>
    </row>
    <row r="728" spans="1:21" ht="16" x14ac:dyDescent="0.4">
      <c r="A728" s="4">
        <v>10092</v>
      </c>
      <c r="B728" s="1" t="s">
        <v>23</v>
      </c>
      <c r="C728" s="1" t="s">
        <v>14</v>
      </c>
      <c r="D728" s="1">
        <v>1557</v>
      </c>
      <c r="E728" s="1">
        <v>290</v>
      </c>
      <c r="F728" s="1">
        <v>361</v>
      </c>
      <c r="G728" s="1">
        <v>17</v>
      </c>
      <c r="H728" s="1">
        <v>13837</v>
      </c>
      <c r="I728" s="1">
        <v>5</v>
      </c>
      <c r="J728" s="1">
        <v>6</v>
      </c>
      <c r="K728" s="1">
        <v>311</v>
      </c>
      <c r="L728" s="1">
        <v>342</v>
      </c>
      <c r="M728" s="1">
        <v>9.4285714289999998</v>
      </c>
      <c r="N728">
        <f>VLOOKUP(A728,vlookup_table!$A:$G,2,FALSE)</f>
        <v>1</v>
      </c>
      <c r="O728" t="str">
        <f>VLOOKUP(A728,vlookup_table!$A:$G,3,FALSE)</f>
        <v>NV</v>
      </c>
      <c r="P728">
        <f>VLOOKUP(A728,vlookup_table!$A:$G,4,FALSE)</f>
        <v>3106</v>
      </c>
      <c r="Q728" t="str">
        <f>VLOOKUP(A728,vlookup_table!$A:$G,5,FALSE)</f>
        <v>T2</v>
      </c>
      <c r="R728" t="str">
        <f>VLOOKUP(A728,vlookup_table!$A:$G,6,FALSE)</f>
        <v>M</v>
      </c>
      <c r="S728">
        <f>VLOOKUP(A728,vlookup_table!$A:$G,7,FALSE)</f>
        <v>10</v>
      </c>
      <c r="T728">
        <f t="shared" si="22"/>
        <v>65</v>
      </c>
      <c r="U728" t="str">
        <f t="shared" si="23"/>
        <v>Pueblo</v>
      </c>
    </row>
    <row r="729" spans="1:21" ht="16" x14ac:dyDescent="0.4">
      <c r="A729" s="4">
        <v>58883</v>
      </c>
      <c r="B729" s="1" t="s">
        <v>20</v>
      </c>
      <c r="C729" s="1" t="s">
        <v>17</v>
      </c>
      <c r="D729" s="1">
        <v>1072</v>
      </c>
      <c r="E729" s="1">
        <v>529</v>
      </c>
      <c r="F729" s="1">
        <v>663</v>
      </c>
      <c r="G729" s="1">
        <v>1</v>
      </c>
      <c r="H729" s="1">
        <v>26712</v>
      </c>
      <c r="I729" s="1">
        <v>0</v>
      </c>
      <c r="J729" s="1">
        <v>42</v>
      </c>
      <c r="K729" s="1">
        <v>647</v>
      </c>
      <c r="L729" s="1">
        <v>579</v>
      </c>
      <c r="M729" s="1">
        <v>7.8333333329999997</v>
      </c>
      <c r="N729">
        <f>VLOOKUP(A729,vlookup_table!$A:$G,2,FALSE)</f>
        <v>0</v>
      </c>
      <c r="O729" t="str">
        <f>VLOOKUP(A729,vlookup_table!$A:$G,3,FALSE)</f>
        <v>TX</v>
      </c>
      <c r="P729">
        <f>VLOOKUP(A729,vlookup_table!$A:$G,4,FALSE)</f>
        <v>0</v>
      </c>
      <c r="Q729" t="str">
        <f>VLOOKUP(A729,vlookup_table!$A:$G,5,FALSE)</f>
        <v>R3</v>
      </c>
      <c r="R729" t="str">
        <f>VLOOKUP(A729,vlookup_table!$A:$G,6,FALSE)</f>
        <v>F</v>
      </c>
      <c r="S729">
        <f>VLOOKUP(A729,vlookup_table!$A:$G,7,FALSE)</f>
        <v>5</v>
      </c>
      <c r="T729">
        <f t="shared" si="22"/>
        <v>96</v>
      </c>
      <c r="U729" t="str">
        <f t="shared" si="23"/>
        <v>Rural</v>
      </c>
    </row>
    <row r="730" spans="1:21" ht="16" x14ac:dyDescent="0.4">
      <c r="A730" s="4">
        <v>99136</v>
      </c>
      <c r="B730" s="1" t="s">
        <v>16</v>
      </c>
      <c r="C730" s="1" t="s">
        <v>14</v>
      </c>
      <c r="D730" s="1">
        <v>326</v>
      </c>
      <c r="E730" s="1">
        <v>184</v>
      </c>
      <c r="F730" s="1">
        <v>292</v>
      </c>
      <c r="G730" s="1">
        <v>0</v>
      </c>
      <c r="H730" s="1">
        <v>11372</v>
      </c>
      <c r="I730" s="1">
        <v>0</v>
      </c>
      <c r="J730" s="1">
        <v>79</v>
      </c>
      <c r="K730" s="1">
        <v>256</v>
      </c>
      <c r="L730" s="1">
        <v>242</v>
      </c>
      <c r="M730" s="1">
        <v>11.4</v>
      </c>
      <c r="N730">
        <f>VLOOKUP(A730,vlookup_table!$A:$G,2,FALSE)</f>
        <v>1</v>
      </c>
      <c r="O730" t="str">
        <f>VLOOKUP(A730,vlookup_table!$A:$G,3,FALSE)</f>
        <v>IL</v>
      </c>
      <c r="P730">
        <f>VLOOKUP(A730,vlookup_table!$A:$G,4,FALSE)</f>
        <v>1701</v>
      </c>
      <c r="Q730" t="str">
        <f>VLOOKUP(A730,vlookup_table!$A:$G,5,FALSE)</f>
        <v>T2</v>
      </c>
      <c r="R730" t="str">
        <f>VLOOKUP(A730,vlookup_table!$A:$G,6,FALSE)</f>
        <v>M</v>
      </c>
      <c r="S730">
        <f>VLOOKUP(A730,vlookup_table!$A:$G,7,FALSE)</f>
        <v>12</v>
      </c>
      <c r="T730">
        <f t="shared" si="22"/>
        <v>79</v>
      </c>
      <c r="U730" t="str">
        <f t="shared" si="23"/>
        <v>Pueblo</v>
      </c>
    </row>
    <row r="731" spans="1:21" ht="16" x14ac:dyDescent="0.4">
      <c r="A731" s="4">
        <v>187142</v>
      </c>
      <c r="B731" s="1" t="s">
        <v>21</v>
      </c>
      <c r="C731" s="1" t="s">
        <v>14</v>
      </c>
      <c r="D731" s="1">
        <v>1277</v>
      </c>
      <c r="E731" s="1">
        <v>220</v>
      </c>
      <c r="F731" s="1">
        <v>285</v>
      </c>
      <c r="G731" s="1">
        <v>5</v>
      </c>
      <c r="H731" s="1">
        <v>9182</v>
      </c>
      <c r="I731" s="1">
        <v>31</v>
      </c>
      <c r="J731" s="1">
        <v>36</v>
      </c>
      <c r="K731" s="1">
        <v>245</v>
      </c>
      <c r="L731" s="1">
        <v>274</v>
      </c>
      <c r="M731" s="1">
        <v>18.058823530000002</v>
      </c>
      <c r="N731">
        <f>VLOOKUP(A731,vlookup_table!$A:$G,2,FALSE)</f>
        <v>1</v>
      </c>
      <c r="O731" t="str">
        <f>VLOOKUP(A731,vlookup_table!$A:$G,3,FALSE)</f>
        <v>CA</v>
      </c>
      <c r="P731">
        <f>VLOOKUP(A731,vlookup_table!$A:$G,4,FALSE)</f>
        <v>1307</v>
      </c>
      <c r="Q731" t="str">
        <f>VLOOKUP(A731,vlookup_table!$A:$G,5,FALSE)</f>
        <v>C3</v>
      </c>
      <c r="R731" t="str">
        <f>VLOOKUP(A731,vlookup_table!$A:$G,6,FALSE)</f>
        <v>M</v>
      </c>
      <c r="S731">
        <f>VLOOKUP(A731,vlookup_table!$A:$G,7,FALSE)</f>
        <v>24</v>
      </c>
      <c r="T731">
        <f t="shared" si="22"/>
        <v>83</v>
      </c>
      <c r="U731" t="str">
        <f t="shared" si="23"/>
        <v>Ciudad</v>
      </c>
    </row>
    <row r="732" spans="1:21" ht="16" x14ac:dyDescent="0.4">
      <c r="A732" s="4">
        <v>53893</v>
      </c>
      <c r="B732" s="1" t="s">
        <v>49</v>
      </c>
      <c r="C732" s="1" t="s">
        <v>14</v>
      </c>
      <c r="D732" s="1">
        <v>593</v>
      </c>
      <c r="E732" s="1">
        <v>367</v>
      </c>
      <c r="F732" s="1">
        <v>446</v>
      </c>
      <c r="G732" s="1">
        <v>0</v>
      </c>
      <c r="H732" s="1">
        <v>14435</v>
      </c>
      <c r="I732" s="1">
        <v>0</v>
      </c>
      <c r="J732" s="1">
        <v>81</v>
      </c>
      <c r="K732" s="1">
        <v>458</v>
      </c>
      <c r="L732" s="1">
        <v>375</v>
      </c>
      <c r="M732" s="1">
        <v>25</v>
      </c>
      <c r="N732">
        <f>VLOOKUP(A732,vlookup_table!$A:$G,2,FALSE)</f>
        <v>1</v>
      </c>
      <c r="O732" t="str">
        <f>VLOOKUP(A732,vlookup_table!$A:$G,3,FALSE)</f>
        <v>TN</v>
      </c>
      <c r="P732">
        <f>VLOOKUP(A732,vlookup_table!$A:$G,4,FALSE)</f>
        <v>3201</v>
      </c>
      <c r="Q732" t="str">
        <f>VLOOKUP(A732,vlookup_table!$A:$G,5,FALSE)</f>
        <v>T2</v>
      </c>
      <c r="R732" t="str">
        <f>VLOOKUP(A732,vlookup_table!$A:$G,6,FALSE)</f>
        <v>M</v>
      </c>
      <c r="S732">
        <f>VLOOKUP(A732,vlookup_table!$A:$G,7,FALSE)</f>
        <v>25</v>
      </c>
      <c r="T732">
        <f t="shared" si="22"/>
        <v>64</v>
      </c>
      <c r="U732" t="str">
        <f t="shared" si="23"/>
        <v>Pueblo</v>
      </c>
    </row>
    <row r="733" spans="1:21" ht="16" x14ac:dyDescent="0.4">
      <c r="A733" s="4">
        <v>161980</v>
      </c>
      <c r="B733" s="1" t="s">
        <v>21</v>
      </c>
      <c r="C733" s="1" t="s">
        <v>14</v>
      </c>
      <c r="D733" s="1">
        <v>3197</v>
      </c>
      <c r="E733" s="1">
        <v>296</v>
      </c>
      <c r="F733" s="1">
        <v>380</v>
      </c>
      <c r="G733" s="1">
        <v>95</v>
      </c>
      <c r="H733" s="1">
        <v>13818</v>
      </c>
      <c r="I733" s="1">
        <v>41</v>
      </c>
      <c r="J733" s="1">
        <v>33</v>
      </c>
      <c r="K733" s="1">
        <v>347</v>
      </c>
      <c r="L733" s="1">
        <v>328</v>
      </c>
      <c r="M733" s="1">
        <v>4.1111111109999996</v>
      </c>
      <c r="N733">
        <f>VLOOKUP(A733,vlookup_table!$A:$G,2,FALSE)</f>
        <v>0</v>
      </c>
      <c r="O733" t="str">
        <f>VLOOKUP(A733,vlookup_table!$A:$G,3,FALSE)</f>
        <v>CA</v>
      </c>
      <c r="P733">
        <f>VLOOKUP(A733,vlookup_table!$A:$G,4,FALSE)</f>
        <v>0</v>
      </c>
      <c r="Q733" t="str">
        <f>VLOOKUP(A733,vlookup_table!$A:$G,5,FALSE)</f>
        <v>S1</v>
      </c>
      <c r="R733" t="str">
        <f>VLOOKUP(A733,vlookup_table!$A:$G,6,FALSE)</f>
        <v>M</v>
      </c>
      <c r="S733">
        <f>VLOOKUP(A733,vlookup_table!$A:$G,7,FALSE)</f>
        <v>4</v>
      </c>
      <c r="T733">
        <f t="shared" si="22"/>
        <v>96</v>
      </c>
      <c r="U733" t="str">
        <f t="shared" si="23"/>
        <v>Suburbano</v>
      </c>
    </row>
    <row r="734" spans="1:21" ht="16" x14ac:dyDescent="0.4">
      <c r="A734" s="4">
        <v>23027</v>
      </c>
      <c r="B734" s="1" t="s">
        <v>43</v>
      </c>
      <c r="C734" s="1" t="s">
        <v>14</v>
      </c>
      <c r="D734" s="1">
        <v>685</v>
      </c>
      <c r="E734" s="1">
        <v>435</v>
      </c>
      <c r="F734" s="1">
        <v>441</v>
      </c>
      <c r="G734" s="1">
        <v>0</v>
      </c>
      <c r="H734" s="1">
        <v>14810</v>
      </c>
      <c r="I734" s="1">
        <v>7</v>
      </c>
      <c r="J734" s="1">
        <v>72</v>
      </c>
      <c r="K734" s="1">
        <v>465</v>
      </c>
      <c r="L734" s="1">
        <v>425</v>
      </c>
      <c r="M734" s="1">
        <v>14.88888889</v>
      </c>
      <c r="N734">
        <f>VLOOKUP(A734,vlookup_table!$A:$G,2,FALSE)</f>
        <v>1</v>
      </c>
      <c r="O734" t="str">
        <f>VLOOKUP(A734,vlookup_table!$A:$G,3,FALSE)</f>
        <v>SC</v>
      </c>
      <c r="P734">
        <f>VLOOKUP(A734,vlookup_table!$A:$G,4,FALSE)</f>
        <v>3108</v>
      </c>
      <c r="Q734" t="str">
        <f>VLOOKUP(A734,vlookup_table!$A:$G,5,FALSE)</f>
        <v>S1</v>
      </c>
      <c r="R734" t="str">
        <f>VLOOKUP(A734,vlookup_table!$A:$G,6,FALSE)</f>
        <v>M</v>
      </c>
      <c r="S734">
        <f>VLOOKUP(A734,vlookup_table!$A:$G,7,FALSE)</f>
        <v>15</v>
      </c>
      <c r="T734">
        <f t="shared" si="22"/>
        <v>65</v>
      </c>
      <c r="U734" t="str">
        <f t="shared" si="23"/>
        <v>Suburbano</v>
      </c>
    </row>
    <row r="735" spans="1:21" ht="16" x14ac:dyDescent="0.4">
      <c r="A735" s="4">
        <v>128963</v>
      </c>
      <c r="B735" s="1" t="s">
        <v>20</v>
      </c>
      <c r="C735" s="1" t="s">
        <v>14</v>
      </c>
      <c r="D735" s="1">
        <v>458</v>
      </c>
      <c r="E735" s="1">
        <v>199</v>
      </c>
      <c r="F735" s="1">
        <v>268</v>
      </c>
      <c r="G735" s="1">
        <v>0</v>
      </c>
      <c r="H735" s="1">
        <v>7438</v>
      </c>
      <c r="I735" s="1">
        <v>28</v>
      </c>
      <c r="J735" s="1">
        <v>53</v>
      </c>
      <c r="K735" s="1">
        <v>238</v>
      </c>
      <c r="L735" s="1">
        <v>250</v>
      </c>
      <c r="M735" s="1">
        <v>7.778333333</v>
      </c>
      <c r="N735">
        <f>VLOOKUP(A735,vlookup_table!$A:$G,2,FALSE)</f>
        <v>1</v>
      </c>
      <c r="O735" t="str">
        <f>VLOOKUP(A735,vlookup_table!$A:$G,3,FALSE)</f>
        <v>TX</v>
      </c>
      <c r="P735">
        <f>VLOOKUP(A735,vlookup_table!$A:$G,4,FALSE)</f>
        <v>2601</v>
      </c>
      <c r="Q735" t="str">
        <f>VLOOKUP(A735,vlookup_table!$A:$G,5,FALSE)</f>
        <v>C3</v>
      </c>
      <c r="R735" t="str">
        <f>VLOOKUP(A735,vlookup_table!$A:$G,6,FALSE)</f>
        <v>M</v>
      </c>
      <c r="S735">
        <f>VLOOKUP(A735,vlookup_table!$A:$G,7,FALSE)</f>
        <v>10</v>
      </c>
      <c r="T735">
        <f t="shared" si="22"/>
        <v>70</v>
      </c>
      <c r="U735" t="str">
        <f t="shared" si="23"/>
        <v>Ciudad</v>
      </c>
    </row>
    <row r="736" spans="1:21" ht="16" x14ac:dyDescent="0.4">
      <c r="A736" s="4">
        <v>7917</v>
      </c>
      <c r="B736" s="1" t="s">
        <v>21</v>
      </c>
      <c r="C736" s="1" t="s">
        <v>14</v>
      </c>
      <c r="D736" s="1">
        <v>5332</v>
      </c>
      <c r="E736" s="1">
        <v>522</v>
      </c>
      <c r="F736" s="1">
        <v>744</v>
      </c>
      <c r="G736" s="1">
        <v>98</v>
      </c>
      <c r="H736" s="1">
        <v>35022</v>
      </c>
      <c r="I736" s="1">
        <v>35</v>
      </c>
      <c r="J736" s="1">
        <v>27</v>
      </c>
      <c r="K736" s="1">
        <v>546</v>
      </c>
      <c r="L736" s="1">
        <v>677</v>
      </c>
      <c r="M736" s="1">
        <v>4.8148148150000001</v>
      </c>
      <c r="N736">
        <f>VLOOKUP(A736,vlookup_table!$A:$G,2,FALSE)</f>
        <v>1</v>
      </c>
      <c r="O736" t="str">
        <f>VLOOKUP(A736,vlookup_table!$A:$G,3,FALSE)</f>
        <v>CA</v>
      </c>
      <c r="P736">
        <f>VLOOKUP(A736,vlookup_table!$A:$G,4,FALSE)</f>
        <v>6001</v>
      </c>
      <c r="Q736" t="str">
        <f>VLOOKUP(A736,vlookup_table!$A:$G,5,FALSE)</f>
        <v>U1</v>
      </c>
      <c r="R736" t="str">
        <f>VLOOKUP(A736,vlookup_table!$A:$G,6,FALSE)</f>
        <v>M</v>
      </c>
      <c r="S736">
        <f>VLOOKUP(A736,vlookup_table!$A:$G,7,FALSE)</f>
        <v>3</v>
      </c>
      <c r="T736">
        <f t="shared" si="22"/>
        <v>36</v>
      </c>
      <c r="U736" t="str">
        <f t="shared" si="23"/>
        <v>Urbano</v>
      </c>
    </row>
    <row r="737" spans="1:21" ht="16" x14ac:dyDescent="0.4">
      <c r="A737" s="4">
        <v>190562</v>
      </c>
      <c r="B737" s="1" t="s">
        <v>13</v>
      </c>
      <c r="C737" s="1" t="s">
        <v>17</v>
      </c>
      <c r="D737" s="1">
        <v>695</v>
      </c>
      <c r="E737" s="1">
        <v>283</v>
      </c>
      <c r="F737" s="1">
        <v>377</v>
      </c>
      <c r="G737" s="1">
        <v>2</v>
      </c>
      <c r="H737" s="1">
        <v>13044</v>
      </c>
      <c r="I737" s="1">
        <v>0</v>
      </c>
      <c r="J737" s="1">
        <v>41</v>
      </c>
      <c r="K737" s="1">
        <v>305</v>
      </c>
      <c r="L737" s="1">
        <v>337</v>
      </c>
      <c r="M737" s="1">
        <v>5.9375</v>
      </c>
      <c r="N737">
        <f>VLOOKUP(A737,vlookup_table!$A:$G,2,FALSE)</f>
        <v>0</v>
      </c>
      <c r="O737" t="str">
        <f>VLOOKUP(A737,vlookup_table!$A:$G,3,FALSE)</f>
        <v>FL</v>
      </c>
      <c r="P737">
        <f>VLOOKUP(A737,vlookup_table!$A:$G,4,FALSE)</f>
        <v>1801</v>
      </c>
      <c r="Q737" t="str">
        <f>VLOOKUP(A737,vlookup_table!$A:$G,5,FALSE)</f>
        <v/>
      </c>
      <c r="R737" t="str">
        <f>VLOOKUP(A737,vlookup_table!$A:$G,6,FALSE)</f>
        <v>F</v>
      </c>
      <c r="S737">
        <f>VLOOKUP(A737,vlookup_table!$A:$G,7,FALSE)</f>
        <v>10</v>
      </c>
      <c r="T737">
        <f t="shared" si="22"/>
        <v>78</v>
      </c>
      <c r="U737" t="str">
        <f t="shared" si="23"/>
        <v/>
      </c>
    </row>
    <row r="738" spans="1:21" ht="16" x14ac:dyDescent="0.4">
      <c r="A738" s="4">
        <v>168234</v>
      </c>
      <c r="B738" s="1" t="s">
        <v>21</v>
      </c>
      <c r="C738" s="1" t="s">
        <v>17</v>
      </c>
      <c r="D738" s="1">
        <v>3514</v>
      </c>
      <c r="E738" s="1">
        <v>531</v>
      </c>
      <c r="F738" s="1">
        <v>833</v>
      </c>
      <c r="G738" s="1">
        <v>96</v>
      </c>
      <c r="H738" s="1">
        <v>38075</v>
      </c>
      <c r="I738" s="1">
        <v>13</v>
      </c>
      <c r="J738" s="1">
        <v>50</v>
      </c>
      <c r="K738" s="1">
        <v>682</v>
      </c>
      <c r="L738" s="1">
        <v>625</v>
      </c>
      <c r="M738" s="1">
        <v>23</v>
      </c>
      <c r="N738">
        <f>VLOOKUP(A738,vlookup_table!$A:$G,2,FALSE)</f>
        <v>0</v>
      </c>
      <c r="O738" t="str">
        <f>VLOOKUP(A738,vlookup_table!$A:$G,3,FALSE)</f>
        <v>CA</v>
      </c>
      <c r="P738">
        <f>VLOOKUP(A738,vlookup_table!$A:$G,4,FALSE)</f>
        <v>0</v>
      </c>
      <c r="Q738" t="str">
        <f>VLOOKUP(A738,vlookup_table!$A:$G,5,FALSE)</f>
        <v>U1</v>
      </c>
      <c r="R738" t="str">
        <f>VLOOKUP(A738,vlookup_table!$A:$G,6,FALSE)</f>
        <v>F</v>
      </c>
      <c r="S738">
        <f>VLOOKUP(A738,vlookup_table!$A:$G,7,FALSE)</f>
        <v>23</v>
      </c>
      <c r="T738">
        <f t="shared" si="22"/>
        <v>96</v>
      </c>
      <c r="U738" t="str">
        <f t="shared" si="23"/>
        <v>Urbano</v>
      </c>
    </row>
    <row r="739" spans="1:21" ht="16" x14ac:dyDescent="0.4">
      <c r="A739" s="4">
        <v>41089</v>
      </c>
      <c r="B739" s="1" t="s">
        <v>13</v>
      </c>
      <c r="C739" s="1" t="s">
        <v>17</v>
      </c>
      <c r="D739" s="1">
        <v>883</v>
      </c>
      <c r="E739" s="1">
        <v>374</v>
      </c>
      <c r="F739" s="1">
        <v>466</v>
      </c>
      <c r="G739" s="1">
        <v>1</v>
      </c>
      <c r="H739" s="1">
        <v>19246</v>
      </c>
      <c r="I739" s="1">
        <v>5</v>
      </c>
      <c r="J739" s="1">
        <v>23</v>
      </c>
      <c r="K739" s="1">
        <v>421</v>
      </c>
      <c r="L739" s="1">
        <v>417</v>
      </c>
      <c r="M739" s="1">
        <v>7.0833333329999997</v>
      </c>
      <c r="N739">
        <f>VLOOKUP(A739,vlookup_table!$A:$G,2,FALSE)</f>
        <v>0</v>
      </c>
      <c r="O739" t="str">
        <f>VLOOKUP(A739,vlookup_table!$A:$G,3,FALSE)</f>
        <v>FL</v>
      </c>
      <c r="P739">
        <f>VLOOKUP(A739,vlookup_table!$A:$G,4,FALSE)</f>
        <v>2112</v>
      </c>
      <c r="Q739" t="str">
        <f>VLOOKUP(A739,vlookup_table!$A:$G,5,FALSE)</f>
        <v>C2</v>
      </c>
      <c r="R739" t="str">
        <f>VLOOKUP(A739,vlookup_table!$A:$G,6,FALSE)</f>
        <v>F</v>
      </c>
      <c r="S739">
        <f>VLOOKUP(A739,vlookup_table!$A:$G,7,FALSE)</f>
        <v>5</v>
      </c>
      <c r="T739">
        <f t="shared" si="22"/>
        <v>75</v>
      </c>
      <c r="U739" t="str">
        <f t="shared" si="23"/>
        <v>Ciudad</v>
      </c>
    </row>
    <row r="740" spans="1:21" ht="16" x14ac:dyDescent="0.4">
      <c r="A740" s="4">
        <v>174803</v>
      </c>
      <c r="B740" s="1" t="s">
        <v>47</v>
      </c>
      <c r="C740" s="1" t="s">
        <v>14</v>
      </c>
      <c r="D740" s="1">
        <v>672</v>
      </c>
      <c r="E740" s="1">
        <v>366</v>
      </c>
      <c r="F740" s="1">
        <v>455</v>
      </c>
      <c r="G740" s="1">
        <v>1</v>
      </c>
      <c r="H740" s="1">
        <v>15505</v>
      </c>
      <c r="I740" s="1">
        <v>0</v>
      </c>
      <c r="J740" s="1">
        <v>53</v>
      </c>
      <c r="K740" s="1">
        <v>383</v>
      </c>
      <c r="L740" s="1">
        <v>422</v>
      </c>
      <c r="M740" s="1">
        <v>7.8947368420000004</v>
      </c>
      <c r="N740">
        <f>VLOOKUP(A740,vlookup_table!$A:$G,2,FALSE)</f>
        <v>1</v>
      </c>
      <c r="O740" t="str">
        <f>VLOOKUP(A740,vlookup_table!$A:$G,3,FALSE)</f>
        <v>OR</v>
      </c>
      <c r="P740">
        <f>VLOOKUP(A740,vlookup_table!$A:$G,4,FALSE)</f>
        <v>4307</v>
      </c>
      <c r="Q740" t="str">
        <f>VLOOKUP(A740,vlookup_table!$A:$G,5,FALSE)</f>
        <v>T1</v>
      </c>
      <c r="R740" t="str">
        <f>VLOOKUP(A740,vlookup_table!$A:$G,6,FALSE)</f>
        <v>M</v>
      </c>
      <c r="S740">
        <f>VLOOKUP(A740,vlookup_table!$A:$G,7,FALSE)</f>
        <v>10</v>
      </c>
      <c r="T740">
        <f t="shared" si="22"/>
        <v>53</v>
      </c>
      <c r="U740" t="str">
        <f t="shared" si="23"/>
        <v>Pueblo</v>
      </c>
    </row>
    <row r="741" spans="1:21" ht="16" x14ac:dyDescent="0.4">
      <c r="A741" s="4">
        <v>162208</v>
      </c>
      <c r="B741" s="1" t="s">
        <v>21</v>
      </c>
      <c r="C741" s="1" t="s">
        <v>14</v>
      </c>
      <c r="D741" s="1">
        <v>5791</v>
      </c>
      <c r="E741" s="1">
        <v>782</v>
      </c>
      <c r="F741" s="1">
        <v>867</v>
      </c>
      <c r="G741" s="1">
        <v>98</v>
      </c>
      <c r="H741" s="1">
        <v>34593</v>
      </c>
      <c r="I741" s="1">
        <v>10</v>
      </c>
      <c r="J741" s="1">
        <v>46</v>
      </c>
      <c r="K741" s="1">
        <v>835</v>
      </c>
      <c r="L741" s="1">
        <v>814</v>
      </c>
      <c r="M741" s="1">
        <v>9.846153846</v>
      </c>
      <c r="N741">
        <f>VLOOKUP(A741,vlookup_table!$A:$G,2,FALSE)</f>
        <v>1</v>
      </c>
      <c r="O741" t="str">
        <f>VLOOKUP(A741,vlookup_table!$A:$G,3,FALSE)</f>
        <v>CA</v>
      </c>
      <c r="P741">
        <f>VLOOKUP(A741,vlookup_table!$A:$G,4,FALSE)</f>
        <v>2001</v>
      </c>
      <c r="Q741" t="str">
        <f>VLOOKUP(A741,vlookup_table!$A:$G,5,FALSE)</f>
        <v>S1</v>
      </c>
      <c r="R741" t="str">
        <f>VLOOKUP(A741,vlookup_table!$A:$G,6,FALSE)</f>
        <v>M</v>
      </c>
      <c r="S741">
        <f>VLOOKUP(A741,vlookup_table!$A:$G,7,FALSE)</f>
        <v>10</v>
      </c>
      <c r="T741">
        <f t="shared" si="22"/>
        <v>76</v>
      </c>
      <c r="U741" t="str">
        <f t="shared" si="23"/>
        <v>Suburbano</v>
      </c>
    </row>
    <row r="742" spans="1:21" ht="16" x14ac:dyDescent="0.4">
      <c r="A742" s="4">
        <v>113045</v>
      </c>
      <c r="B742" s="1" t="s">
        <v>28</v>
      </c>
      <c r="C742" s="1"/>
      <c r="D742" s="1">
        <v>699</v>
      </c>
      <c r="E742" s="1">
        <v>393</v>
      </c>
      <c r="F742" s="1">
        <v>487</v>
      </c>
      <c r="G742" s="1">
        <v>0</v>
      </c>
      <c r="H742" s="1">
        <v>14925</v>
      </c>
      <c r="I742" s="1">
        <v>2</v>
      </c>
      <c r="J742" s="1">
        <v>61</v>
      </c>
      <c r="K742" s="1">
        <v>477</v>
      </c>
      <c r="L742" s="1">
        <v>430</v>
      </c>
      <c r="M742" s="1">
        <v>16.666666670000001</v>
      </c>
      <c r="N742">
        <f>VLOOKUP(A742,vlookup_table!$A:$G,2,FALSE)</f>
        <v>0</v>
      </c>
      <c r="O742" t="str">
        <f>VLOOKUP(A742,vlookup_table!$A:$G,3,FALSE)</f>
        <v>OK</v>
      </c>
      <c r="P742">
        <f>VLOOKUP(A742,vlookup_table!$A:$G,4,FALSE)</f>
        <v>0</v>
      </c>
      <c r="Q742" t="str">
        <f>VLOOKUP(A742,vlookup_table!$A:$G,5,FALSE)</f>
        <v>T2</v>
      </c>
      <c r="R742" t="str">
        <f>VLOOKUP(A742,vlookup_table!$A:$G,6,FALSE)</f>
        <v/>
      </c>
      <c r="S742">
        <f>VLOOKUP(A742,vlookup_table!$A:$G,7,FALSE)</f>
        <v>25</v>
      </c>
      <c r="T742">
        <f t="shared" si="22"/>
        <v>96</v>
      </c>
      <c r="U742" t="str">
        <f t="shared" si="23"/>
        <v>Pueblo</v>
      </c>
    </row>
    <row r="743" spans="1:21" ht="16" x14ac:dyDescent="0.4">
      <c r="A743" s="4">
        <v>182105</v>
      </c>
      <c r="B743" s="1" t="s">
        <v>37</v>
      </c>
      <c r="C743" s="1" t="s">
        <v>17</v>
      </c>
      <c r="D743" s="1">
        <v>877</v>
      </c>
      <c r="E743" s="1">
        <v>415</v>
      </c>
      <c r="F743" s="1">
        <v>459</v>
      </c>
      <c r="G743" s="1">
        <v>1</v>
      </c>
      <c r="H743" s="1">
        <v>14758</v>
      </c>
      <c r="I743" s="1">
        <v>3</v>
      </c>
      <c r="J743" s="1">
        <v>59</v>
      </c>
      <c r="K743" s="1">
        <v>430</v>
      </c>
      <c r="L743" s="1">
        <v>446</v>
      </c>
      <c r="M743" s="1">
        <v>11.28571429</v>
      </c>
      <c r="N743">
        <f>VLOOKUP(A743,vlookup_table!$A:$G,2,FALSE)</f>
        <v>2</v>
      </c>
      <c r="O743" t="str">
        <f>VLOOKUP(A743,vlookup_table!$A:$G,3,FALSE)</f>
        <v>WA</v>
      </c>
      <c r="P743">
        <f>VLOOKUP(A743,vlookup_table!$A:$G,4,FALSE)</f>
        <v>3104</v>
      </c>
      <c r="Q743" t="str">
        <f>VLOOKUP(A743,vlookup_table!$A:$G,5,FALSE)</f>
        <v>S2</v>
      </c>
      <c r="R743" t="str">
        <f>VLOOKUP(A743,vlookup_table!$A:$G,6,FALSE)</f>
        <v>F</v>
      </c>
      <c r="S743">
        <f>VLOOKUP(A743,vlookup_table!$A:$G,7,FALSE)</f>
        <v>10</v>
      </c>
      <c r="T743">
        <f t="shared" si="22"/>
        <v>65</v>
      </c>
      <c r="U743" t="str">
        <f t="shared" si="23"/>
        <v>Suburbano</v>
      </c>
    </row>
    <row r="744" spans="1:21" ht="16" x14ac:dyDescent="0.4">
      <c r="A744" s="4">
        <v>19323</v>
      </c>
      <c r="B744" s="1" t="s">
        <v>18</v>
      </c>
      <c r="C744" s="1" t="s">
        <v>14</v>
      </c>
      <c r="D744" s="1">
        <v>740</v>
      </c>
      <c r="E744" s="1">
        <v>279</v>
      </c>
      <c r="F744" s="1">
        <v>398</v>
      </c>
      <c r="G744" s="1">
        <v>1</v>
      </c>
      <c r="H744" s="1">
        <v>12653</v>
      </c>
      <c r="I744" s="1">
        <v>3</v>
      </c>
      <c r="J744" s="1">
        <v>38</v>
      </c>
      <c r="K744" s="1">
        <v>295</v>
      </c>
      <c r="L744" s="1">
        <v>358</v>
      </c>
      <c r="M744" s="1">
        <v>31.75</v>
      </c>
      <c r="N744">
        <f>VLOOKUP(A744,vlookup_table!$A:$G,2,FALSE)</f>
        <v>0</v>
      </c>
      <c r="O744" t="str">
        <f>VLOOKUP(A744,vlookup_table!$A:$G,3,FALSE)</f>
        <v>NC</v>
      </c>
      <c r="P744">
        <f>VLOOKUP(A744,vlookup_table!$A:$G,4,FALSE)</f>
        <v>2401</v>
      </c>
      <c r="Q744" t="str">
        <f>VLOOKUP(A744,vlookup_table!$A:$G,5,FALSE)</f>
        <v>R1</v>
      </c>
      <c r="R744" t="str">
        <f>VLOOKUP(A744,vlookup_table!$A:$G,6,FALSE)</f>
        <v>M</v>
      </c>
      <c r="S744">
        <f>VLOOKUP(A744,vlookup_table!$A:$G,7,FALSE)</f>
        <v>1687</v>
      </c>
      <c r="T744">
        <f t="shared" si="22"/>
        <v>72</v>
      </c>
      <c r="U744" t="str">
        <f t="shared" si="23"/>
        <v>Rural</v>
      </c>
    </row>
    <row r="745" spans="1:21" ht="16" x14ac:dyDescent="0.4">
      <c r="A745" s="4">
        <v>124683</v>
      </c>
      <c r="B745" s="1" t="s">
        <v>20</v>
      </c>
      <c r="C745" s="1" t="s">
        <v>14</v>
      </c>
      <c r="D745" s="1">
        <v>1074</v>
      </c>
      <c r="E745" s="1">
        <v>481</v>
      </c>
      <c r="F745" s="1">
        <v>590</v>
      </c>
      <c r="G745" s="1">
        <v>10</v>
      </c>
      <c r="H745" s="1">
        <v>18586</v>
      </c>
      <c r="I745" s="1">
        <v>5</v>
      </c>
      <c r="J745" s="1">
        <v>74</v>
      </c>
      <c r="K745" s="1">
        <v>504</v>
      </c>
      <c r="L745" s="1">
        <v>560</v>
      </c>
      <c r="M745" s="1">
        <v>7</v>
      </c>
      <c r="N745">
        <f>VLOOKUP(A745,vlookup_table!$A:$G,2,FALSE)</f>
        <v>0</v>
      </c>
      <c r="O745" t="str">
        <f>VLOOKUP(A745,vlookup_table!$A:$G,3,FALSE)</f>
        <v>TX</v>
      </c>
      <c r="P745">
        <f>VLOOKUP(A745,vlookup_table!$A:$G,4,FALSE)</f>
        <v>2401</v>
      </c>
      <c r="Q745" t="str">
        <f>VLOOKUP(A745,vlookup_table!$A:$G,5,FALSE)</f>
        <v>T1</v>
      </c>
      <c r="R745" t="str">
        <f>VLOOKUP(A745,vlookup_table!$A:$G,6,FALSE)</f>
        <v>M</v>
      </c>
      <c r="S745">
        <f>VLOOKUP(A745,vlookup_table!$A:$G,7,FALSE)</f>
        <v>12</v>
      </c>
      <c r="T745">
        <f t="shared" si="22"/>
        <v>72</v>
      </c>
      <c r="U745" t="str">
        <f t="shared" si="23"/>
        <v>Pueblo</v>
      </c>
    </row>
    <row r="746" spans="1:21" ht="16" x14ac:dyDescent="0.4">
      <c r="A746" s="4">
        <v>25641</v>
      </c>
      <c r="B746" s="1" t="s">
        <v>36</v>
      </c>
      <c r="C746" s="1" t="s">
        <v>14</v>
      </c>
      <c r="D746" s="1">
        <v>685</v>
      </c>
      <c r="E746" s="1">
        <v>409</v>
      </c>
      <c r="F746" s="1">
        <v>463</v>
      </c>
      <c r="G746" s="1">
        <v>0</v>
      </c>
      <c r="H746" s="1">
        <v>12546</v>
      </c>
      <c r="I746" s="1">
        <v>1</v>
      </c>
      <c r="J746" s="1">
        <v>71</v>
      </c>
      <c r="K746" s="1">
        <v>422</v>
      </c>
      <c r="L746" s="1">
        <v>436</v>
      </c>
      <c r="M746" s="1">
        <v>9.4</v>
      </c>
      <c r="N746">
        <f>VLOOKUP(A746,vlookup_table!$A:$G,2,FALSE)</f>
        <v>1</v>
      </c>
      <c r="O746" t="str">
        <f>VLOOKUP(A746,vlookup_table!$A:$G,3,FALSE)</f>
        <v>GA</v>
      </c>
      <c r="P746">
        <f>VLOOKUP(A746,vlookup_table!$A:$G,4,FALSE)</f>
        <v>2410</v>
      </c>
      <c r="Q746" t="str">
        <f>VLOOKUP(A746,vlookup_table!$A:$G,5,FALSE)</f>
        <v>S2</v>
      </c>
      <c r="R746" t="str">
        <f>VLOOKUP(A746,vlookup_table!$A:$G,6,FALSE)</f>
        <v>M</v>
      </c>
      <c r="S746">
        <f>VLOOKUP(A746,vlookup_table!$A:$G,7,FALSE)</f>
        <v>10</v>
      </c>
      <c r="T746">
        <f t="shared" si="22"/>
        <v>72</v>
      </c>
      <c r="U746" t="str">
        <f t="shared" si="23"/>
        <v>Suburbano</v>
      </c>
    </row>
    <row r="747" spans="1:21" ht="16" x14ac:dyDescent="0.4">
      <c r="A747" s="4">
        <v>165440</v>
      </c>
      <c r="B747" s="1" t="s">
        <v>21</v>
      </c>
      <c r="C747" s="1" t="s">
        <v>17</v>
      </c>
      <c r="D747" s="1">
        <v>1403</v>
      </c>
      <c r="E747" s="1">
        <v>419</v>
      </c>
      <c r="F747" s="1">
        <v>505</v>
      </c>
      <c r="G747" s="1">
        <v>2</v>
      </c>
      <c r="H747" s="1">
        <v>20395</v>
      </c>
      <c r="I747" s="1">
        <v>16</v>
      </c>
      <c r="J747" s="1">
        <v>53</v>
      </c>
      <c r="K747" s="1">
        <v>430</v>
      </c>
      <c r="L747" s="1">
        <v>480</v>
      </c>
      <c r="M747" s="1">
        <v>9.4</v>
      </c>
      <c r="N747">
        <f>VLOOKUP(A747,vlookup_table!$A:$G,2,FALSE)</f>
        <v>28</v>
      </c>
      <c r="O747" t="str">
        <f>VLOOKUP(A747,vlookup_table!$A:$G,3,FALSE)</f>
        <v>CA</v>
      </c>
      <c r="P747">
        <f>VLOOKUP(A747,vlookup_table!$A:$G,4,FALSE)</f>
        <v>6209</v>
      </c>
      <c r="Q747" t="str">
        <f>VLOOKUP(A747,vlookup_table!$A:$G,5,FALSE)</f>
        <v>C2</v>
      </c>
      <c r="R747" t="str">
        <f>VLOOKUP(A747,vlookup_table!$A:$G,6,FALSE)</f>
        <v>F</v>
      </c>
      <c r="S747">
        <f>VLOOKUP(A747,vlookup_table!$A:$G,7,FALSE)</f>
        <v>20</v>
      </c>
      <c r="T747">
        <f t="shared" si="22"/>
        <v>34</v>
      </c>
      <c r="U747" t="str">
        <f t="shared" si="23"/>
        <v>Ciudad</v>
      </c>
    </row>
    <row r="748" spans="1:21" ht="16" x14ac:dyDescent="0.4">
      <c r="A748" s="4">
        <v>124395</v>
      </c>
      <c r="B748" s="1" t="s">
        <v>20</v>
      </c>
      <c r="C748" s="1" t="s">
        <v>14</v>
      </c>
      <c r="D748" s="1">
        <v>838</v>
      </c>
      <c r="E748" s="1">
        <v>337</v>
      </c>
      <c r="F748" s="1">
        <v>496</v>
      </c>
      <c r="G748" s="1">
        <v>4</v>
      </c>
      <c r="H748" s="1">
        <v>18277</v>
      </c>
      <c r="I748" s="1">
        <v>0</v>
      </c>
      <c r="J748" s="1">
        <v>88</v>
      </c>
      <c r="K748" s="1">
        <v>366</v>
      </c>
      <c r="L748" s="1">
        <v>441</v>
      </c>
      <c r="M748" s="1">
        <v>8.8888888890000004</v>
      </c>
      <c r="N748">
        <f>VLOOKUP(A748,vlookup_table!$A:$G,2,FALSE)</f>
        <v>1</v>
      </c>
      <c r="O748" t="str">
        <f>VLOOKUP(A748,vlookup_table!$A:$G,3,FALSE)</f>
        <v>TX</v>
      </c>
      <c r="P748">
        <f>VLOOKUP(A748,vlookup_table!$A:$G,4,FALSE)</f>
        <v>1907</v>
      </c>
      <c r="Q748" t="str">
        <f>VLOOKUP(A748,vlookup_table!$A:$G,5,FALSE)</f>
        <v>T2</v>
      </c>
      <c r="R748" t="str">
        <f>VLOOKUP(A748,vlookup_table!$A:$G,6,FALSE)</f>
        <v>M</v>
      </c>
      <c r="S748">
        <f>VLOOKUP(A748,vlookup_table!$A:$G,7,FALSE)</f>
        <v>20</v>
      </c>
      <c r="T748">
        <f t="shared" si="22"/>
        <v>77</v>
      </c>
      <c r="U748" t="str">
        <f t="shared" si="23"/>
        <v>Pueblo</v>
      </c>
    </row>
    <row r="749" spans="1:21" ht="16" x14ac:dyDescent="0.4">
      <c r="A749" s="4">
        <v>73504</v>
      </c>
      <c r="B749" s="1" t="s">
        <v>26</v>
      </c>
      <c r="C749" s="1" t="s">
        <v>17</v>
      </c>
      <c r="D749" s="1">
        <v>460</v>
      </c>
      <c r="E749" s="1">
        <v>237</v>
      </c>
      <c r="F749" s="1">
        <v>315</v>
      </c>
      <c r="G749" s="1">
        <v>1</v>
      </c>
      <c r="H749" s="1">
        <v>10728</v>
      </c>
      <c r="I749" s="1">
        <v>1</v>
      </c>
      <c r="J749" s="1">
        <v>82</v>
      </c>
      <c r="K749" s="1">
        <v>279</v>
      </c>
      <c r="L749" s="1">
        <v>281</v>
      </c>
      <c r="M749" s="1">
        <v>13.85714286</v>
      </c>
      <c r="N749">
        <f>VLOOKUP(A749,vlookup_table!$A:$G,2,FALSE)</f>
        <v>0</v>
      </c>
      <c r="O749" t="str">
        <f>VLOOKUP(A749,vlookup_table!$A:$G,3,FALSE)</f>
        <v>MI</v>
      </c>
      <c r="P749">
        <f>VLOOKUP(A749,vlookup_table!$A:$G,4,FALSE)</f>
        <v>3902</v>
      </c>
      <c r="Q749" t="str">
        <f>VLOOKUP(A749,vlookup_table!$A:$G,5,FALSE)</f>
        <v>R2</v>
      </c>
      <c r="R749" t="str">
        <f>VLOOKUP(A749,vlookup_table!$A:$G,6,FALSE)</f>
        <v>F</v>
      </c>
      <c r="S749">
        <f>VLOOKUP(A749,vlookup_table!$A:$G,7,FALSE)</f>
        <v>20</v>
      </c>
      <c r="T749">
        <f t="shared" si="22"/>
        <v>57</v>
      </c>
      <c r="U749" t="str">
        <f t="shared" si="23"/>
        <v>Rural</v>
      </c>
    </row>
    <row r="750" spans="1:21" ht="16" x14ac:dyDescent="0.4">
      <c r="A750" s="4">
        <v>188439</v>
      </c>
      <c r="B750" s="1" t="s">
        <v>21</v>
      </c>
      <c r="C750" s="1" t="s">
        <v>17</v>
      </c>
      <c r="D750" s="1">
        <v>1578</v>
      </c>
      <c r="E750" s="1">
        <v>306</v>
      </c>
      <c r="F750" s="1">
        <v>337</v>
      </c>
      <c r="G750" s="1">
        <v>12</v>
      </c>
      <c r="H750" s="1">
        <v>7046</v>
      </c>
      <c r="I750" s="1">
        <v>50</v>
      </c>
      <c r="J750" s="1">
        <v>33</v>
      </c>
      <c r="K750" s="1">
        <v>304</v>
      </c>
      <c r="L750" s="1">
        <v>342</v>
      </c>
      <c r="M750" s="1">
        <v>9.1182352939999998</v>
      </c>
      <c r="N750">
        <f>VLOOKUP(A750,vlookup_table!$A:$G,2,FALSE)</f>
        <v>0</v>
      </c>
      <c r="O750" t="str">
        <f>VLOOKUP(A750,vlookup_table!$A:$G,3,FALSE)</f>
        <v>CA</v>
      </c>
      <c r="P750">
        <f>VLOOKUP(A750,vlookup_table!$A:$G,4,FALSE)</f>
        <v>0</v>
      </c>
      <c r="Q750" t="str">
        <f>VLOOKUP(A750,vlookup_table!$A:$G,5,FALSE)</f>
        <v/>
      </c>
      <c r="R750" t="str">
        <f>VLOOKUP(A750,vlookup_table!$A:$G,6,FALSE)</f>
        <v>F</v>
      </c>
      <c r="S750">
        <f>VLOOKUP(A750,vlookup_table!$A:$G,7,FALSE)</f>
        <v>14</v>
      </c>
      <c r="T750">
        <f t="shared" si="22"/>
        <v>96</v>
      </c>
      <c r="U750" t="str">
        <f t="shared" si="23"/>
        <v/>
      </c>
    </row>
    <row r="751" spans="1:21" ht="16" x14ac:dyDescent="0.4">
      <c r="A751" s="4">
        <v>187518</v>
      </c>
      <c r="B751" s="1" t="s">
        <v>20</v>
      </c>
      <c r="C751" s="1" t="s">
        <v>17</v>
      </c>
      <c r="D751" s="1">
        <v>944</v>
      </c>
      <c r="E751" s="1">
        <v>438</v>
      </c>
      <c r="F751" s="1">
        <v>532</v>
      </c>
      <c r="G751" s="1">
        <v>2</v>
      </c>
      <c r="H751" s="1">
        <v>17306</v>
      </c>
      <c r="I751" s="1">
        <v>1</v>
      </c>
      <c r="J751" s="1">
        <v>48</v>
      </c>
      <c r="K751" s="1">
        <v>509</v>
      </c>
      <c r="L751" s="1">
        <v>492</v>
      </c>
      <c r="M751" s="1">
        <v>14.5</v>
      </c>
      <c r="N751">
        <f>VLOOKUP(A751,vlookup_table!$A:$G,2,FALSE)</f>
        <v>2</v>
      </c>
      <c r="O751" t="str">
        <f>VLOOKUP(A751,vlookup_table!$A:$G,3,FALSE)</f>
        <v>TX</v>
      </c>
      <c r="P751">
        <f>VLOOKUP(A751,vlookup_table!$A:$G,4,FALSE)</f>
        <v>0</v>
      </c>
      <c r="Q751" t="str">
        <f>VLOOKUP(A751,vlookup_table!$A:$G,5,FALSE)</f>
        <v>S1</v>
      </c>
      <c r="R751" t="str">
        <f>VLOOKUP(A751,vlookup_table!$A:$G,6,FALSE)</f>
        <v>F</v>
      </c>
      <c r="S751">
        <f>VLOOKUP(A751,vlookup_table!$A:$G,7,FALSE)</f>
        <v>16</v>
      </c>
      <c r="T751">
        <f t="shared" si="22"/>
        <v>96</v>
      </c>
      <c r="U751" t="str">
        <f t="shared" si="23"/>
        <v>Suburbano</v>
      </c>
    </row>
    <row r="752" spans="1:21" ht="16" x14ac:dyDescent="0.4">
      <c r="A752" s="4">
        <v>24212</v>
      </c>
      <c r="B752" s="1" t="s">
        <v>43</v>
      </c>
      <c r="C752" s="1" t="s">
        <v>14</v>
      </c>
      <c r="D752" s="1">
        <v>2817</v>
      </c>
      <c r="E752" s="1">
        <v>767</v>
      </c>
      <c r="F752" s="1">
        <v>917</v>
      </c>
      <c r="G752" s="1">
        <v>84</v>
      </c>
      <c r="H752" s="1">
        <v>39319</v>
      </c>
      <c r="I752" s="1">
        <v>0</v>
      </c>
      <c r="J752" s="1">
        <v>53</v>
      </c>
      <c r="K752" s="1">
        <v>863</v>
      </c>
      <c r="L752" s="1">
        <v>866</v>
      </c>
      <c r="M752" s="1">
        <v>6.25</v>
      </c>
      <c r="N752">
        <f>VLOOKUP(A752,vlookup_table!$A:$G,2,FALSE)</f>
        <v>1</v>
      </c>
      <c r="O752" t="str">
        <f>VLOOKUP(A752,vlookup_table!$A:$G,3,FALSE)</f>
        <v>SC</v>
      </c>
      <c r="P752">
        <f>VLOOKUP(A752,vlookup_table!$A:$G,4,FALSE)</f>
        <v>4401</v>
      </c>
      <c r="Q752" t="str">
        <f>VLOOKUP(A752,vlookup_table!$A:$G,5,FALSE)</f>
        <v>T2</v>
      </c>
      <c r="R752" t="str">
        <f>VLOOKUP(A752,vlookup_table!$A:$G,6,FALSE)</f>
        <v>M</v>
      </c>
      <c r="S752">
        <f>VLOOKUP(A752,vlookup_table!$A:$G,7,FALSE)</f>
        <v>6</v>
      </c>
      <c r="T752">
        <f t="shared" si="22"/>
        <v>52</v>
      </c>
      <c r="U752" t="str">
        <f t="shared" si="23"/>
        <v>Pueblo</v>
      </c>
    </row>
    <row r="753" spans="1:21" ht="16" x14ac:dyDescent="0.4">
      <c r="A753" s="4">
        <v>21386</v>
      </c>
      <c r="B753" s="1" t="s">
        <v>18</v>
      </c>
      <c r="C753" s="1" t="s">
        <v>97</v>
      </c>
      <c r="D753" s="1">
        <v>498</v>
      </c>
      <c r="E753" s="1">
        <v>243</v>
      </c>
      <c r="F753" s="1">
        <v>326</v>
      </c>
      <c r="G753" s="1">
        <v>1</v>
      </c>
      <c r="H753" s="1">
        <v>11462</v>
      </c>
      <c r="I753" s="1">
        <v>0</v>
      </c>
      <c r="J753" s="1">
        <v>86</v>
      </c>
      <c r="K753" s="1">
        <v>284</v>
      </c>
      <c r="L753" s="1">
        <v>285</v>
      </c>
      <c r="M753" s="1">
        <v>7.8333333329999997</v>
      </c>
      <c r="N753">
        <f>VLOOKUP(A753,vlookup_table!$A:$G,2,FALSE)</f>
        <v>28</v>
      </c>
      <c r="O753" t="str">
        <f>VLOOKUP(A753,vlookup_table!$A:$G,3,FALSE)</f>
        <v>NC</v>
      </c>
      <c r="P753">
        <f>VLOOKUP(A753,vlookup_table!$A:$G,4,FALSE)</f>
        <v>5701</v>
      </c>
      <c r="Q753" t="str">
        <f>VLOOKUP(A753,vlookup_table!$A:$G,5,FALSE)</f>
        <v>T2</v>
      </c>
      <c r="R753" t="str">
        <f>VLOOKUP(A753,vlookup_table!$A:$G,6,FALSE)</f>
        <v>F</v>
      </c>
      <c r="S753">
        <f>VLOOKUP(A753,vlookup_table!$A:$G,7,FALSE)</f>
        <v>10</v>
      </c>
      <c r="T753">
        <f t="shared" si="22"/>
        <v>39</v>
      </c>
      <c r="U753" t="str">
        <f t="shared" si="23"/>
        <v>Pueblo</v>
      </c>
    </row>
    <row r="754" spans="1:21" ht="16" x14ac:dyDescent="0.4">
      <c r="A754" s="4">
        <v>110291</v>
      </c>
      <c r="B754" s="1" t="s">
        <v>46</v>
      </c>
      <c r="C754" s="1" t="s">
        <v>14</v>
      </c>
      <c r="D754" s="1">
        <v>0</v>
      </c>
      <c r="E754" s="1">
        <v>0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  <c r="M754" s="1">
        <v>9.4712499999999995</v>
      </c>
      <c r="N754">
        <f>VLOOKUP(A754,vlookup_table!$A:$G,2,FALSE)</f>
        <v>1</v>
      </c>
      <c r="O754" t="str">
        <f>VLOOKUP(A754,vlookup_table!$A:$G,3,FALSE)</f>
        <v>LA</v>
      </c>
      <c r="P754">
        <f>VLOOKUP(A754,vlookup_table!$A:$G,4,FALSE)</f>
        <v>0</v>
      </c>
      <c r="Q754" t="str">
        <f>VLOOKUP(A754,vlookup_table!$A:$G,5,FALSE)</f>
        <v>C3</v>
      </c>
      <c r="R754" t="str">
        <f>VLOOKUP(A754,vlookup_table!$A:$G,6,FALSE)</f>
        <v>M</v>
      </c>
      <c r="S754">
        <f>VLOOKUP(A754,vlookup_table!$A:$G,7,FALSE)</f>
        <v>12</v>
      </c>
      <c r="T754">
        <f t="shared" si="22"/>
        <v>96</v>
      </c>
      <c r="U754" t="str">
        <f t="shared" si="23"/>
        <v>Ciudad</v>
      </c>
    </row>
    <row r="755" spans="1:21" ht="16" x14ac:dyDescent="0.4">
      <c r="A755" s="4">
        <v>44828</v>
      </c>
      <c r="B755" s="1" t="s">
        <v>26</v>
      </c>
      <c r="C755" s="1" t="s">
        <v>14</v>
      </c>
      <c r="D755" s="1">
        <v>395</v>
      </c>
      <c r="E755" s="1">
        <v>189</v>
      </c>
      <c r="F755" s="1">
        <v>252</v>
      </c>
      <c r="G755" s="1">
        <v>0</v>
      </c>
      <c r="H755" s="1">
        <v>8510</v>
      </c>
      <c r="I755" s="1">
        <v>1</v>
      </c>
      <c r="J755" s="1">
        <v>86</v>
      </c>
      <c r="K755" s="1">
        <v>242</v>
      </c>
      <c r="L755" s="1">
        <v>215</v>
      </c>
      <c r="M755" s="1">
        <v>6.8571428570000004</v>
      </c>
      <c r="N755">
        <f>VLOOKUP(A755,vlookup_table!$A:$G,2,FALSE)</f>
        <v>1</v>
      </c>
      <c r="O755" t="str">
        <f>VLOOKUP(A755,vlookup_table!$A:$G,3,FALSE)</f>
        <v>MI</v>
      </c>
      <c r="P755">
        <f>VLOOKUP(A755,vlookup_table!$A:$G,4,FALSE)</f>
        <v>2401</v>
      </c>
      <c r="Q755" t="str">
        <f>VLOOKUP(A755,vlookup_table!$A:$G,5,FALSE)</f>
        <v>R3</v>
      </c>
      <c r="R755" t="str">
        <f>VLOOKUP(A755,vlookup_table!$A:$G,6,FALSE)</f>
        <v>M</v>
      </c>
      <c r="S755">
        <f>VLOOKUP(A755,vlookup_table!$A:$G,7,FALSE)</f>
        <v>6</v>
      </c>
      <c r="T755">
        <f t="shared" si="22"/>
        <v>72</v>
      </c>
      <c r="U755" t="str">
        <f t="shared" si="23"/>
        <v>Rural</v>
      </c>
    </row>
    <row r="756" spans="1:21" ht="16" x14ac:dyDescent="0.4">
      <c r="A756" s="4">
        <v>45008</v>
      </c>
      <c r="B756" s="1" t="s">
        <v>13</v>
      </c>
      <c r="C756" s="1" t="s">
        <v>17</v>
      </c>
      <c r="D756" s="1">
        <v>651</v>
      </c>
      <c r="E756" s="1">
        <v>271</v>
      </c>
      <c r="F756" s="1">
        <v>325</v>
      </c>
      <c r="G756" s="1">
        <v>0</v>
      </c>
      <c r="H756" s="1">
        <v>11919</v>
      </c>
      <c r="I756" s="1">
        <v>10</v>
      </c>
      <c r="J756" s="1">
        <v>29</v>
      </c>
      <c r="K756" s="1">
        <v>287</v>
      </c>
      <c r="L756" s="1">
        <v>303</v>
      </c>
      <c r="M756" s="1">
        <v>10.9</v>
      </c>
      <c r="N756">
        <f>VLOOKUP(A756,vlookup_table!$A:$G,2,FALSE)</f>
        <v>0</v>
      </c>
      <c r="O756" t="str">
        <f>VLOOKUP(A756,vlookup_table!$A:$G,3,FALSE)</f>
        <v>FL</v>
      </c>
      <c r="P756">
        <f>VLOOKUP(A756,vlookup_table!$A:$G,4,FALSE)</f>
        <v>4605</v>
      </c>
      <c r="Q756" t="str">
        <f>VLOOKUP(A756,vlookup_table!$A:$G,5,FALSE)</f>
        <v>U3</v>
      </c>
      <c r="R756" t="str">
        <f>VLOOKUP(A756,vlookup_table!$A:$G,6,FALSE)</f>
        <v>F</v>
      </c>
      <c r="S756">
        <f>VLOOKUP(A756,vlookup_table!$A:$G,7,FALSE)</f>
        <v>10</v>
      </c>
      <c r="T756">
        <f t="shared" si="22"/>
        <v>50</v>
      </c>
      <c r="U756" t="str">
        <f t="shared" si="23"/>
        <v>Urbano</v>
      </c>
    </row>
    <row r="757" spans="1:21" ht="16" x14ac:dyDescent="0.4">
      <c r="A757" s="4">
        <v>55484</v>
      </c>
      <c r="B757" s="1" t="s">
        <v>56</v>
      </c>
      <c r="C757" s="1" t="s">
        <v>14</v>
      </c>
      <c r="D757" s="1">
        <v>366</v>
      </c>
      <c r="E757" s="1">
        <v>132</v>
      </c>
      <c r="F757" s="1">
        <v>229</v>
      </c>
      <c r="G757" s="1">
        <v>0</v>
      </c>
      <c r="H757" s="1">
        <v>6873</v>
      </c>
      <c r="I757" s="1">
        <v>1</v>
      </c>
      <c r="J757" s="1">
        <v>85</v>
      </c>
      <c r="K757" s="1">
        <v>182</v>
      </c>
      <c r="L757" s="1">
        <v>196</v>
      </c>
      <c r="M757" s="1">
        <v>12.75</v>
      </c>
      <c r="N757">
        <f>VLOOKUP(A757,vlookup_table!$A:$G,2,FALSE)</f>
        <v>0</v>
      </c>
      <c r="O757" t="str">
        <f>VLOOKUP(A757,vlookup_table!$A:$G,3,FALSE)</f>
        <v>MS</v>
      </c>
      <c r="P757">
        <f>VLOOKUP(A757,vlookup_table!$A:$G,4,FALSE)</f>
        <v>0</v>
      </c>
      <c r="Q757" t="str">
        <f>VLOOKUP(A757,vlookup_table!$A:$G,5,FALSE)</f>
        <v>R3</v>
      </c>
      <c r="R757" t="str">
        <f>VLOOKUP(A757,vlookup_table!$A:$G,6,FALSE)</f>
        <v>M</v>
      </c>
      <c r="S757">
        <f>VLOOKUP(A757,vlookup_table!$A:$G,7,FALSE)</f>
        <v>25</v>
      </c>
      <c r="T757">
        <f t="shared" si="22"/>
        <v>96</v>
      </c>
      <c r="U757" t="str">
        <f t="shared" si="23"/>
        <v>Rural</v>
      </c>
    </row>
    <row r="758" spans="1:21" ht="16" x14ac:dyDescent="0.4">
      <c r="A758" s="4">
        <v>149429</v>
      </c>
      <c r="B758" s="1" t="s">
        <v>21</v>
      </c>
      <c r="C758" s="1" t="s">
        <v>17</v>
      </c>
      <c r="D758" s="1">
        <v>2280</v>
      </c>
      <c r="E758" s="1">
        <v>353</v>
      </c>
      <c r="F758" s="1">
        <v>467</v>
      </c>
      <c r="G758" s="1">
        <v>69</v>
      </c>
      <c r="H758" s="1">
        <v>16726</v>
      </c>
      <c r="I758" s="1">
        <v>34</v>
      </c>
      <c r="J758" s="1">
        <v>37</v>
      </c>
      <c r="K758" s="1">
        <v>397</v>
      </c>
      <c r="L758" s="1">
        <v>419</v>
      </c>
      <c r="M758" s="1">
        <v>5.4848484849999997</v>
      </c>
      <c r="N758">
        <f>VLOOKUP(A758,vlookup_table!$A:$G,2,FALSE)</f>
        <v>2</v>
      </c>
      <c r="O758" t="str">
        <f>VLOOKUP(A758,vlookup_table!$A:$G,3,FALSE)</f>
        <v>CA</v>
      </c>
      <c r="P758">
        <f>VLOOKUP(A758,vlookup_table!$A:$G,4,FALSE)</f>
        <v>1212</v>
      </c>
      <c r="Q758" t="str">
        <f>VLOOKUP(A758,vlookup_table!$A:$G,5,FALSE)</f>
        <v>U3</v>
      </c>
      <c r="R758" t="str">
        <f>VLOOKUP(A758,vlookup_table!$A:$G,6,FALSE)</f>
        <v>F</v>
      </c>
      <c r="S758">
        <f>VLOOKUP(A758,vlookup_table!$A:$G,7,FALSE)</f>
        <v>10</v>
      </c>
      <c r="T758">
        <f t="shared" si="22"/>
        <v>84</v>
      </c>
      <c r="U758" t="str">
        <f t="shared" si="23"/>
        <v>Urbano</v>
      </c>
    </row>
    <row r="759" spans="1:21" ht="16" x14ac:dyDescent="0.4">
      <c r="A759" s="4">
        <v>48455</v>
      </c>
      <c r="B759" s="1" t="s">
        <v>40</v>
      </c>
      <c r="C759" s="1" t="s">
        <v>14</v>
      </c>
      <c r="D759" s="1">
        <v>387</v>
      </c>
      <c r="E759" s="1">
        <v>203</v>
      </c>
      <c r="F759" s="1">
        <v>281</v>
      </c>
      <c r="G759" s="1">
        <v>0</v>
      </c>
      <c r="H759" s="1">
        <v>9654</v>
      </c>
      <c r="I759" s="1">
        <v>0</v>
      </c>
      <c r="J759" s="1">
        <v>78</v>
      </c>
      <c r="K759" s="1">
        <v>252</v>
      </c>
      <c r="L759" s="1">
        <v>244</v>
      </c>
      <c r="M759" s="1">
        <v>6.3333333329999997</v>
      </c>
      <c r="N759">
        <f>VLOOKUP(A759,vlookup_table!$A:$G,2,FALSE)</f>
        <v>1002</v>
      </c>
      <c r="O759" t="str">
        <f>VLOOKUP(A759,vlookup_table!$A:$G,3,FALSE)</f>
        <v>AL</v>
      </c>
      <c r="P759">
        <f>VLOOKUP(A759,vlookup_table!$A:$G,4,FALSE)</f>
        <v>0</v>
      </c>
      <c r="Q759" t="str">
        <f>VLOOKUP(A759,vlookup_table!$A:$G,5,FALSE)</f>
        <v>R3</v>
      </c>
      <c r="R759" t="str">
        <f>VLOOKUP(A759,vlookup_table!$A:$G,6,FALSE)</f>
        <v>M</v>
      </c>
      <c r="S759">
        <f>VLOOKUP(A759,vlookup_table!$A:$G,7,FALSE)</f>
        <v>8</v>
      </c>
      <c r="T759">
        <f t="shared" si="22"/>
        <v>96</v>
      </c>
      <c r="U759" t="str">
        <f t="shared" si="23"/>
        <v>Rural</v>
      </c>
    </row>
    <row r="760" spans="1:21" ht="16" x14ac:dyDescent="0.4">
      <c r="A760" s="4">
        <v>28621</v>
      </c>
      <c r="B760" s="1" t="s">
        <v>36</v>
      </c>
      <c r="C760" s="1" t="s">
        <v>17</v>
      </c>
      <c r="D760" s="1">
        <v>550</v>
      </c>
      <c r="E760" s="1">
        <v>144</v>
      </c>
      <c r="F760" s="1">
        <v>253</v>
      </c>
      <c r="G760" s="1">
        <v>2</v>
      </c>
      <c r="H760" s="1">
        <v>10249</v>
      </c>
      <c r="I760" s="1">
        <v>6</v>
      </c>
      <c r="J760" s="1">
        <v>63</v>
      </c>
      <c r="K760" s="1">
        <v>211</v>
      </c>
      <c r="L760" s="1">
        <v>206</v>
      </c>
      <c r="M760" s="1">
        <v>14</v>
      </c>
      <c r="N760">
        <f>VLOOKUP(A760,vlookup_table!$A:$G,2,FALSE)</f>
        <v>0</v>
      </c>
      <c r="O760" t="str">
        <f>VLOOKUP(A760,vlookup_table!$A:$G,3,FALSE)</f>
        <v>GA</v>
      </c>
      <c r="P760">
        <f>VLOOKUP(A760,vlookup_table!$A:$G,4,FALSE)</f>
        <v>1401</v>
      </c>
      <c r="Q760" t="str">
        <f>VLOOKUP(A760,vlookup_table!$A:$G,5,FALSE)</f>
        <v>S1</v>
      </c>
      <c r="R760" t="str">
        <f>VLOOKUP(A760,vlookup_table!$A:$G,6,FALSE)</f>
        <v>F</v>
      </c>
      <c r="S760">
        <f>VLOOKUP(A760,vlookup_table!$A:$G,7,FALSE)</f>
        <v>25</v>
      </c>
      <c r="T760">
        <f t="shared" si="22"/>
        <v>82</v>
      </c>
      <c r="U760" t="str">
        <f t="shared" si="23"/>
        <v>Suburbano</v>
      </c>
    </row>
    <row r="761" spans="1:21" ht="16" x14ac:dyDescent="0.4">
      <c r="A761" s="4">
        <v>131467</v>
      </c>
      <c r="B761" s="1" t="s">
        <v>45</v>
      </c>
      <c r="C761" s="1" t="s">
        <v>17</v>
      </c>
      <c r="D761" s="1">
        <v>660</v>
      </c>
      <c r="E761" s="1">
        <v>183</v>
      </c>
      <c r="F761" s="1">
        <v>251</v>
      </c>
      <c r="G761" s="1">
        <v>1</v>
      </c>
      <c r="H761" s="1">
        <v>11152</v>
      </c>
      <c r="I761" s="1">
        <v>6</v>
      </c>
      <c r="J761" s="1">
        <v>37</v>
      </c>
      <c r="K761" s="1">
        <v>188</v>
      </c>
      <c r="L761" s="1">
        <v>235</v>
      </c>
      <c r="M761" s="1">
        <v>4.0909090910000003</v>
      </c>
      <c r="N761">
        <f>VLOOKUP(A761,vlookup_table!$A:$G,2,FALSE)</f>
        <v>0</v>
      </c>
      <c r="O761" t="str">
        <f>VLOOKUP(A761,vlookup_table!$A:$G,3,FALSE)</f>
        <v>CO</v>
      </c>
      <c r="P761">
        <f>VLOOKUP(A761,vlookup_table!$A:$G,4,FALSE)</f>
        <v>0</v>
      </c>
      <c r="Q761" t="str">
        <f>VLOOKUP(A761,vlookup_table!$A:$G,5,FALSE)</f>
        <v>C2</v>
      </c>
      <c r="R761" t="str">
        <f>VLOOKUP(A761,vlookup_table!$A:$G,6,FALSE)</f>
        <v>F</v>
      </c>
      <c r="S761">
        <f>VLOOKUP(A761,vlookup_table!$A:$G,7,FALSE)</f>
        <v>2</v>
      </c>
      <c r="T761">
        <f t="shared" si="22"/>
        <v>96</v>
      </c>
      <c r="U761" t="str">
        <f t="shared" si="23"/>
        <v>Ciudad</v>
      </c>
    </row>
    <row r="762" spans="1:21" ht="16" x14ac:dyDescent="0.4">
      <c r="A762" s="4">
        <v>160579</v>
      </c>
      <c r="B762" s="1" t="s">
        <v>21</v>
      </c>
      <c r="C762" s="1" t="s">
        <v>17</v>
      </c>
      <c r="D762" s="1">
        <v>3531</v>
      </c>
      <c r="E762" s="1">
        <v>506</v>
      </c>
      <c r="F762" s="1">
        <v>626</v>
      </c>
      <c r="G762" s="1">
        <v>92</v>
      </c>
      <c r="H762" s="1">
        <v>23233</v>
      </c>
      <c r="I762" s="1">
        <v>10</v>
      </c>
      <c r="J762" s="1">
        <v>51</v>
      </c>
      <c r="K762" s="1">
        <v>554</v>
      </c>
      <c r="L762" s="1">
        <v>581</v>
      </c>
      <c r="M762" s="1">
        <v>9.5405405410000004</v>
      </c>
      <c r="N762">
        <f>VLOOKUP(A762,vlookup_table!$A:$G,2,FALSE)</f>
        <v>2</v>
      </c>
      <c r="O762" t="str">
        <f>VLOOKUP(A762,vlookup_table!$A:$G,3,FALSE)</f>
        <v>CA</v>
      </c>
      <c r="P762">
        <f>VLOOKUP(A762,vlookup_table!$A:$G,4,FALSE)</f>
        <v>0</v>
      </c>
      <c r="Q762" t="str">
        <f>VLOOKUP(A762,vlookup_table!$A:$G,5,FALSE)</f>
        <v>T1</v>
      </c>
      <c r="R762" t="str">
        <f>VLOOKUP(A762,vlookup_table!$A:$G,6,FALSE)</f>
        <v>F</v>
      </c>
      <c r="S762">
        <f>VLOOKUP(A762,vlookup_table!$A:$G,7,FALSE)</f>
        <v>9</v>
      </c>
      <c r="T762">
        <f t="shared" si="22"/>
        <v>96</v>
      </c>
      <c r="U762" t="str">
        <f t="shared" si="23"/>
        <v>Pueblo</v>
      </c>
    </row>
    <row r="763" spans="1:21" ht="16" x14ac:dyDescent="0.4">
      <c r="A763" s="4">
        <v>20533</v>
      </c>
      <c r="B763" s="1" t="s">
        <v>18</v>
      </c>
      <c r="C763" s="1" t="s">
        <v>14</v>
      </c>
      <c r="D763" s="1">
        <v>738</v>
      </c>
      <c r="E763" s="1">
        <v>313</v>
      </c>
      <c r="F763" s="1">
        <v>411</v>
      </c>
      <c r="G763" s="1">
        <v>8</v>
      </c>
      <c r="H763" s="1">
        <v>14070</v>
      </c>
      <c r="I763" s="1">
        <v>2</v>
      </c>
      <c r="J763" s="1">
        <v>61</v>
      </c>
      <c r="K763" s="1">
        <v>350</v>
      </c>
      <c r="L763" s="1">
        <v>372</v>
      </c>
      <c r="M763" s="1">
        <v>15.75</v>
      </c>
      <c r="N763">
        <f>VLOOKUP(A763,vlookup_table!$A:$G,2,FALSE)</f>
        <v>0</v>
      </c>
      <c r="O763" t="str">
        <f>VLOOKUP(A763,vlookup_table!$A:$G,3,FALSE)</f>
        <v>NC</v>
      </c>
      <c r="P763">
        <f>VLOOKUP(A763,vlookup_table!$A:$G,4,FALSE)</f>
        <v>4801</v>
      </c>
      <c r="Q763" t="str">
        <f>VLOOKUP(A763,vlookup_table!$A:$G,5,FALSE)</f>
        <v>T1</v>
      </c>
      <c r="R763" t="str">
        <f>VLOOKUP(A763,vlookup_table!$A:$G,6,FALSE)</f>
        <v>M</v>
      </c>
      <c r="S763">
        <f>VLOOKUP(A763,vlookup_table!$A:$G,7,FALSE)</f>
        <v>25</v>
      </c>
      <c r="T763">
        <f t="shared" si="22"/>
        <v>48</v>
      </c>
      <c r="U763" t="str">
        <f t="shared" si="23"/>
        <v>Pueblo</v>
      </c>
    </row>
    <row r="764" spans="1:21" ht="16" x14ac:dyDescent="0.4">
      <c r="A764" s="4">
        <v>29103</v>
      </c>
      <c r="B764" s="1" t="s">
        <v>36</v>
      </c>
      <c r="C764" s="1" t="s">
        <v>17</v>
      </c>
      <c r="D764" s="1">
        <v>718</v>
      </c>
      <c r="E764" s="1">
        <v>206</v>
      </c>
      <c r="F764" s="1">
        <v>295</v>
      </c>
      <c r="G764" s="1">
        <v>5</v>
      </c>
      <c r="H764" s="1">
        <v>11129</v>
      </c>
      <c r="I764" s="1">
        <v>1</v>
      </c>
      <c r="J764" s="1">
        <v>62</v>
      </c>
      <c r="K764" s="1">
        <v>256</v>
      </c>
      <c r="L764" s="1">
        <v>254</v>
      </c>
      <c r="M764" s="1">
        <v>5.8125</v>
      </c>
      <c r="N764">
        <f>VLOOKUP(A764,vlookup_table!$A:$G,2,FALSE)</f>
        <v>0</v>
      </c>
      <c r="O764" t="str">
        <f>VLOOKUP(A764,vlookup_table!$A:$G,3,FALSE)</f>
        <v>GA</v>
      </c>
      <c r="P764">
        <f>VLOOKUP(A764,vlookup_table!$A:$G,4,FALSE)</f>
        <v>2801</v>
      </c>
      <c r="Q764" t="str">
        <f>VLOOKUP(A764,vlookup_table!$A:$G,5,FALSE)</f>
        <v>R2</v>
      </c>
      <c r="R764" t="str">
        <f>VLOOKUP(A764,vlookup_table!$A:$G,6,FALSE)</f>
        <v>F</v>
      </c>
      <c r="S764">
        <f>VLOOKUP(A764,vlookup_table!$A:$G,7,FALSE)</f>
        <v>11</v>
      </c>
      <c r="T764">
        <f t="shared" si="22"/>
        <v>68</v>
      </c>
      <c r="U764" t="str">
        <f t="shared" si="23"/>
        <v>Rural</v>
      </c>
    </row>
    <row r="765" spans="1:21" ht="16" x14ac:dyDescent="0.4">
      <c r="A765" s="4">
        <v>122350</v>
      </c>
      <c r="B765" s="1" t="s">
        <v>20</v>
      </c>
      <c r="C765" s="1" t="s">
        <v>14</v>
      </c>
      <c r="D765" s="1">
        <v>469</v>
      </c>
      <c r="E765" s="1">
        <v>223</v>
      </c>
      <c r="F765" s="1">
        <v>270</v>
      </c>
      <c r="G765" s="1">
        <v>0</v>
      </c>
      <c r="H765" s="1">
        <v>8518</v>
      </c>
      <c r="I765" s="1">
        <v>1</v>
      </c>
      <c r="J765" s="1">
        <v>67</v>
      </c>
      <c r="K765" s="1">
        <v>250</v>
      </c>
      <c r="L765" s="1">
        <v>241</v>
      </c>
      <c r="M765" s="1">
        <v>21.636363639999999</v>
      </c>
      <c r="N765">
        <f>VLOOKUP(A765,vlookup_table!$A:$G,2,FALSE)</f>
        <v>1</v>
      </c>
      <c r="O765" t="str">
        <f>VLOOKUP(A765,vlookup_table!$A:$G,3,FALSE)</f>
        <v>TX</v>
      </c>
      <c r="P765">
        <f>VLOOKUP(A765,vlookup_table!$A:$G,4,FALSE)</f>
        <v>0</v>
      </c>
      <c r="Q765" t="str">
        <f>VLOOKUP(A765,vlookup_table!$A:$G,5,FALSE)</f>
        <v/>
      </c>
      <c r="R765" t="str">
        <f>VLOOKUP(A765,vlookup_table!$A:$G,6,FALSE)</f>
        <v>M</v>
      </c>
      <c r="S765">
        <f>VLOOKUP(A765,vlookup_table!$A:$G,7,FALSE)</f>
        <v>25</v>
      </c>
      <c r="T765">
        <f t="shared" si="22"/>
        <v>96</v>
      </c>
      <c r="U765" t="str">
        <f t="shared" si="23"/>
        <v/>
      </c>
    </row>
    <row r="766" spans="1:21" ht="16" x14ac:dyDescent="0.4">
      <c r="A766" s="4">
        <v>191547</v>
      </c>
      <c r="B766" s="1" t="s">
        <v>55</v>
      </c>
      <c r="C766" s="1" t="s">
        <v>17</v>
      </c>
      <c r="D766" s="1">
        <v>318</v>
      </c>
      <c r="E766" s="1">
        <v>216</v>
      </c>
      <c r="F766" s="1">
        <v>265</v>
      </c>
      <c r="G766" s="1">
        <v>0</v>
      </c>
      <c r="H766" s="1">
        <v>8799</v>
      </c>
      <c r="I766" s="1">
        <v>4</v>
      </c>
      <c r="J766" s="1">
        <v>25</v>
      </c>
      <c r="K766" s="1">
        <v>250</v>
      </c>
      <c r="L766" s="1">
        <v>240</v>
      </c>
      <c r="M766" s="1">
        <v>21.85</v>
      </c>
      <c r="N766">
        <f>VLOOKUP(A766,vlookup_table!$A:$G,2,FALSE)</f>
        <v>28</v>
      </c>
      <c r="O766" t="str">
        <f>VLOOKUP(A766,vlookup_table!$A:$G,3,FALSE)</f>
        <v>NE</v>
      </c>
      <c r="P766">
        <f>VLOOKUP(A766,vlookup_table!$A:$G,4,FALSE)</f>
        <v>1701</v>
      </c>
      <c r="Q766" t="str">
        <f>VLOOKUP(A766,vlookup_table!$A:$G,5,FALSE)</f>
        <v/>
      </c>
      <c r="R766" t="str">
        <f>VLOOKUP(A766,vlookup_table!$A:$G,6,FALSE)</f>
        <v>F</v>
      </c>
      <c r="S766">
        <f>VLOOKUP(A766,vlookup_table!$A:$G,7,FALSE)</f>
        <v>15</v>
      </c>
      <c r="T766">
        <f t="shared" si="22"/>
        <v>79</v>
      </c>
      <c r="U766" t="str">
        <f t="shared" si="23"/>
        <v/>
      </c>
    </row>
    <row r="767" spans="1:21" ht="16" x14ac:dyDescent="0.4">
      <c r="A767" s="4">
        <v>4544</v>
      </c>
      <c r="B767" s="1" t="s">
        <v>21</v>
      </c>
      <c r="C767" s="1" t="s">
        <v>14</v>
      </c>
      <c r="D767" s="1">
        <v>5132</v>
      </c>
      <c r="E767" s="1">
        <v>655</v>
      </c>
      <c r="F767" s="1">
        <v>826</v>
      </c>
      <c r="G767" s="1">
        <v>96</v>
      </c>
      <c r="H767" s="1">
        <v>38854</v>
      </c>
      <c r="I767" s="1">
        <v>19</v>
      </c>
      <c r="J767" s="1">
        <v>39</v>
      </c>
      <c r="K767" s="1">
        <v>757</v>
      </c>
      <c r="L767" s="1">
        <v>721</v>
      </c>
      <c r="M767" s="1">
        <v>19.736842110000001</v>
      </c>
      <c r="N767">
        <f>VLOOKUP(A767,vlookup_table!$A:$G,2,FALSE)</f>
        <v>1</v>
      </c>
      <c r="O767" t="str">
        <f>VLOOKUP(A767,vlookup_table!$A:$G,3,FALSE)</f>
        <v>CA</v>
      </c>
      <c r="P767">
        <f>VLOOKUP(A767,vlookup_table!$A:$G,4,FALSE)</f>
        <v>0</v>
      </c>
      <c r="Q767" t="str">
        <f>VLOOKUP(A767,vlookup_table!$A:$G,5,FALSE)</f>
        <v>U1</v>
      </c>
      <c r="R767" t="str">
        <f>VLOOKUP(A767,vlookup_table!$A:$G,6,FALSE)</f>
        <v>M</v>
      </c>
      <c r="S767">
        <f>VLOOKUP(A767,vlookup_table!$A:$G,7,FALSE)</f>
        <v>20</v>
      </c>
      <c r="T767">
        <f t="shared" si="22"/>
        <v>96</v>
      </c>
      <c r="U767" t="str">
        <f t="shared" si="23"/>
        <v>Urbano</v>
      </c>
    </row>
    <row r="768" spans="1:21" ht="16" x14ac:dyDescent="0.4">
      <c r="A768" s="4">
        <v>140808</v>
      </c>
      <c r="B768" s="1" t="s">
        <v>23</v>
      </c>
      <c r="C768" s="1" t="s">
        <v>17</v>
      </c>
      <c r="D768" s="1">
        <v>1181</v>
      </c>
      <c r="E768" s="1">
        <v>451</v>
      </c>
      <c r="F768" s="1">
        <v>521</v>
      </c>
      <c r="G768" s="1">
        <v>5</v>
      </c>
      <c r="H768" s="1">
        <v>17987</v>
      </c>
      <c r="I768" s="1">
        <v>9</v>
      </c>
      <c r="J768" s="1">
        <v>18</v>
      </c>
      <c r="K768" s="1">
        <v>466</v>
      </c>
      <c r="L768" s="1">
        <v>494</v>
      </c>
      <c r="M768" s="1">
        <v>17.833333329999999</v>
      </c>
      <c r="N768">
        <f>VLOOKUP(A768,vlookup_table!$A:$G,2,FALSE)</f>
        <v>28</v>
      </c>
      <c r="O768" t="str">
        <f>VLOOKUP(A768,vlookup_table!$A:$G,3,FALSE)</f>
        <v>NV</v>
      </c>
      <c r="P768">
        <f>VLOOKUP(A768,vlookup_table!$A:$G,4,FALSE)</f>
        <v>0</v>
      </c>
      <c r="Q768" t="str">
        <f>VLOOKUP(A768,vlookup_table!$A:$G,5,FALSE)</f>
        <v>S1</v>
      </c>
      <c r="R768" t="str">
        <f>VLOOKUP(A768,vlookup_table!$A:$G,6,FALSE)</f>
        <v>F</v>
      </c>
      <c r="S768">
        <f>VLOOKUP(A768,vlookup_table!$A:$G,7,FALSE)</f>
        <v>25</v>
      </c>
      <c r="T768">
        <f t="shared" si="22"/>
        <v>96</v>
      </c>
      <c r="U768" t="str">
        <f t="shared" si="23"/>
        <v>Suburbano</v>
      </c>
    </row>
    <row r="769" spans="1:21" ht="16" x14ac:dyDescent="0.4">
      <c r="A769" s="4">
        <v>76625</v>
      </c>
      <c r="B769" s="1" t="s">
        <v>44</v>
      </c>
      <c r="C769" s="1" t="s">
        <v>14</v>
      </c>
      <c r="D769" s="1">
        <v>386</v>
      </c>
      <c r="E769" s="1">
        <v>232</v>
      </c>
      <c r="F769" s="1">
        <v>313</v>
      </c>
      <c r="G769" s="1">
        <v>0</v>
      </c>
      <c r="H769" s="1">
        <v>9987</v>
      </c>
      <c r="I769" s="1">
        <v>1</v>
      </c>
      <c r="J769" s="1">
        <v>84</v>
      </c>
      <c r="K769" s="1">
        <v>276</v>
      </c>
      <c r="L769" s="1">
        <v>274</v>
      </c>
      <c r="M769" s="1">
        <v>5</v>
      </c>
      <c r="N769">
        <f>VLOOKUP(A769,vlookup_table!$A:$G,2,FALSE)</f>
        <v>0</v>
      </c>
      <c r="O769" t="str">
        <f>VLOOKUP(A769,vlookup_table!$A:$G,3,FALSE)</f>
        <v>IA</v>
      </c>
      <c r="P769">
        <f>VLOOKUP(A769,vlookup_table!$A:$G,4,FALSE)</f>
        <v>1001</v>
      </c>
      <c r="Q769" t="str">
        <f>VLOOKUP(A769,vlookup_table!$A:$G,5,FALSE)</f>
        <v>C3</v>
      </c>
      <c r="R769" t="str">
        <f>VLOOKUP(A769,vlookup_table!$A:$G,6,FALSE)</f>
        <v>M</v>
      </c>
      <c r="S769">
        <f>VLOOKUP(A769,vlookup_table!$A:$G,7,FALSE)</f>
        <v>6</v>
      </c>
      <c r="T769">
        <f t="shared" si="22"/>
        <v>86</v>
      </c>
      <c r="U769" t="str">
        <f t="shared" si="23"/>
        <v>Ciudad</v>
      </c>
    </row>
    <row r="770" spans="1:21" ht="16" x14ac:dyDescent="0.4">
      <c r="A770" s="4">
        <v>57349</v>
      </c>
      <c r="B770" s="1" t="s">
        <v>53</v>
      </c>
      <c r="C770" s="1" t="s">
        <v>17</v>
      </c>
      <c r="D770" s="1">
        <v>685</v>
      </c>
      <c r="E770" s="1">
        <v>288</v>
      </c>
      <c r="F770" s="1">
        <v>379</v>
      </c>
      <c r="G770" s="1">
        <v>0</v>
      </c>
      <c r="H770" s="1">
        <v>15832</v>
      </c>
      <c r="I770" s="1">
        <v>3</v>
      </c>
      <c r="J770" s="1">
        <v>65</v>
      </c>
      <c r="K770" s="1">
        <v>405</v>
      </c>
      <c r="L770" s="1">
        <v>320</v>
      </c>
      <c r="M770" s="1">
        <v>6</v>
      </c>
      <c r="N770">
        <f>VLOOKUP(A770,vlookup_table!$A:$G,2,FALSE)</f>
        <v>28</v>
      </c>
      <c r="O770" t="str">
        <f>VLOOKUP(A770,vlookup_table!$A:$G,3,FALSE)</f>
        <v>KY</v>
      </c>
      <c r="P770">
        <f>VLOOKUP(A770,vlookup_table!$A:$G,4,FALSE)</f>
        <v>6601</v>
      </c>
      <c r="Q770" t="str">
        <f>VLOOKUP(A770,vlookup_table!$A:$G,5,FALSE)</f>
        <v>C2</v>
      </c>
      <c r="R770" t="str">
        <f>VLOOKUP(A770,vlookup_table!$A:$G,6,FALSE)</f>
        <v>F</v>
      </c>
      <c r="S770">
        <f>VLOOKUP(A770,vlookup_table!$A:$G,7,FALSE)</f>
        <v>7</v>
      </c>
      <c r="T770">
        <f t="shared" si="22"/>
        <v>30</v>
      </c>
      <c r="U770" t="str">
        <f t="shared" si="23"/>
        <v>Ciudad</v>
      </c>
    </row>
    <row r="771" spans="1:21" ht="16" x14ac:dyDescent="0.4">
      <c r="A771" s="4">
        <v>27366</v>
      </c>
      <c r="B771" s="1" t="s">
        <v>36</v>
      </c>
      <c r="C771" s="1" t="s">
        <v>14</v>
      </c>
      <c r="D771" s="1">
        <v>756</v>
      </c>
      <c r="E771" s="1">
        <v>334</v>
      </c>
      <c r="F771" s="1">
        <v>421</v>
      </c>
      <c r="G771" s="1">
        <v>0</v>
      </c>
      <c r="H771" s="1">
        <v>15669</v>
      </c>
      <c r="I771" s="1">
        <v>0</v>
      </c>
      <c r="J771" s="1">
        <v>82</v>
      </c>
      <c r="K771" s="1">
        <v>334</v>
      </c>
      <c r="L771" s="1">
        <v>426</v>
      </c>
      <c r="M771" s="1">
        <v>6.3809523810000002</v>
      </c>
      <c r="N771">
        <f>VLOOKUP(A771,vlookup_table!$A:$G,2,FALSE)</f>
        <v>2</v>
      </c>
      <c r="O771" t="str">
        <f>VLOOKUP(A771,vlookup_table!$A:$G,3,FALSE)</f>
        <v>GA</v>
      </c>
      <c r="P771">
        <f>VLOOKUP(A771,vlookup_table!$A:$G,4,FALSE)</f>
        <v>1705</v>
      </c>
      <c r="Q771" t="str">
        <f>VLOOKUP(A771,vlookup_table!$A:$G,5,FALSE)</f>
        <v>R2</v>
      </c>
      <c r="R771" t="str">
        <f>VLOOKUP(A771,vlookup_table!$A:$G,6,FALSE)</f>
        <v>M</v>
      </c>
      <c r="S771">
        <f>VLOOKUP(A771,vlookup_table!$A:$G,7,FALSE)</f>
        <v>16</v>
      </c>
      <c r="T771">
        <f t="shared" ref="T771:T834" si="24">97-LEFT(P771,2)-IF(RIGHT(P771,2)&gt;6,1,0)</f>
        <v>79</v>
      </c>
      <c r="U771" t="str">
        <f t="shared" ref="U771:U834" si="25">IF(LEFT(Q771,1)="C","Ciudad",IF(LEFT(Q771,1)="T","Pueblo",IF(LEFT(Q771,1)="R","Rural",IF(LEFT(Q771,1)="S","Suburbano",IF(LEFT(Q771,1)="U","Urbano","")))))</f>
        <v>Rural</v>
      </c>
    </row>
    <row r="772" spans="1:21" ht="16" x14ac:dyDescent="0.4">
      <c r="A772" s="4">
        <v>100146</v>
      </c>
      <c r="B772" s="1" t="s">
        <v>33</v>
      </c>
      <c r="C772" s="1" t="s">
        <v>14</v>
      </c>
      <c r="D772" s="1">
        <v>464</v>
      </c>
      <c r="E772" s="1">
        <v>256</v>
      </c>
      <c r="F772" s="1">
        <v>322</v>
      </c>
      <c r="G772" s="1">
        <v>0</v>
      </c>
      <c r="H772" s="1">
        <v>10907</v>
      </c>
      <c r="I772" s="1">
        <v>3</v>
      </c>
      <c r="J772" s="1">
        <v>79</v>
      </c>
      <c r="K772" s="1">
        <v>310</v>
      </c>
      <c r="L772" s="1">
        <v>283</v>
      </c>
      <c r="M772" s="1">
        <v>19.285714290000001</v>
      </c>
      <c r="N772">
        <f>VLOOKUP(A772,vlookup_table!$A:$G,2,FALSE)</f>
        <v>1</v>
      </c>
      <c r="O772" t="str">
        <f>VLOOKUP(A772,vlookup_table!$A:$G,3,FALSE)</f>
        <v>MO</v>
      </c>
      <c r="P772">
        <f>VLOOKUP(A772,vlookup_table!$A:$G,4,FALSE)</f>
        <v>2308</v>
      </c>
      <c r="Q772" t="str">
        <f>VLOOKUP(A772,vlookup_table!$A:$G,5,FALSE)</f>
        <v>S3</v>
      </c>
      <c r="R772" t="str">
        <f>VLOOKUP(A772,vlookup_table!$A:$G,6,FALSE)</f>
        <v>M</v>
      </c>
      <c r="S772">
        <f>VLOOKUP(A772,vlookup_table!$A:$G,7,FALSE)</f>
        <v>25</v>
      </c>
      <c r="T772">
        <f t="shared" si="24"/>
        <v>73</v>
      </c>
      <c r="U772" t="str">
        <f t="shared" si="25"/>
        <v>Suburbano</v>
      </c>
    </row>
    <row r="773" spans="1:21" ht="16" x14ac:dyDescent="0.4">
      <c r="A773" s="4">
        <v>11991</v>
      </c>
      <c r="B773" s="1" t="s">
        <v>46</v>
      </c>
      <c r="C773" s="1" t="s">
        <v>14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1">
        <v>17</v>
      </c>
      <c r="N773">
        <f>VLOOKUP(A773,vlookup_table!$A:$G,2,FALSE)</f>
        <v>1</v>
      </c>
      <c r="O773" t="str">
        <f>VLOOKUP(A773,vlookup_table!$A:$G,3,FALSE)</f>
        <v>LA</v>
      </c>
      <c r="P773">
        <f>VLOOKUP(A773,vlookup_table!$A:$G,4,FALSE)</f>
        <v>0</v>
      </c>
      <c r="Q773" t="str">
        <f>VLOOKUP(A773,vlookup_table!$A:$G,5,FALSE)</f>
        <v>C3</v>
      </c>
      <c r="R773" t="str">
        <f>VLOOKUP(A773,vlookup_table!$A:$G,6,FALSE)</f>
        <v>M</v>
      </c>
      <c r="S773">
        <f>VLOOKUP(A773,vlookup_table!$A:$G,7,FALSE)</f>
        <v>25</v>
      </c>
      <c r="T773">
        <f t="shared" si="24"/>
        <v>96</v>
      </c>
      <c r="U773" t="str">
        <f t="shared" si="25"/>
        <v>Ciudad</v>
      </c>
    </row>
    <row r="774" spans="1:21" ht="16" x14ac:dyDescent="0.4">
      <c r="A774" s="4">
        <v>27736</v>
      </c>
      <c r="B774" s="1" t="s">
        <v>36</v>
      </c>
      <c r="C774" s="1" t="s">
        <v>17</v>
      </c>
      <c r="D774" s="1">
        <v>1245</v>
      </c>
      <c r="E774" s="1">
        <v>618</v>
      </c>
      <c r="F774" s="1">
        <v>705</v>
      </c>
      <c r="G774" s="1">
        <v>5</v>
      </c>
      <c r="H774" s="1">
        <v>21467</v>
      </c>
      <c r="I774" s="1">
        <v>1</v>
      </c>
      <c r="J774" s="1">
        <v>38</v>
      </c>
      <c r="K774" s="1">
        <v>634</v>
      </c>
      <c r="L774" s="1">
        <v>687</v>
      </c>
      <c r="M774" s="1">
        <v>7.2857142860000002</v>
      </c>
      <c r="N774">
        <f>VLOOKUP(A774,vlookup_table!$A:$G,2,FALSE)</f>
        <v>0</v>
      </c>
      <c r="O774" t="str">
        <f>VLOOKUP(A774,vlookup_table!$A:$G,3,FALSE)</f>
        <v>GA</v>
      </c>
      <c r="P774">
        <f>VLOOKUP(A774,vlookup_table!$A:$G,4,FALSE)</f>
        <v>5101</v>
      </c>
      <c r="Q774" t="str">
        <f>VLOOKUP(A774,vlookup_table!$A:$G,5,FALSE)</f>
        <v>C1</v>
      </c>
      <c r="R774" t="str">
        <f>VLOOKUP(A774,vlookup_table!$A:$G,6,FALSE)</f>
        <v>F</v>
      </c>
      <c r="S774">
        <f>VLOOKUP(A774,vlookup_table!$A:$G,7,FALSE)</f>
        <v>8</v>
      </c>
      <c r="T774">
        <f t="shared" si="24"/>
        <v>45</v>
      </c>
      <c r="U774" t="str">
        <f t="shared" si="25"/>
        <v>Ciudad</v>
      </c>
    </row>
    <row r="775" spans="1:21" ht="16" x14ac:dyDescent="0.4">
      <c r="A775" s="4">
        <v>114873</v>
      </c>
      <c r="B775" s="1" t="s">
        <v>28</v>
      </c>
      <c r="C775" s="1" t="s">
        <v>27</v>
      </c>
      <c r="D775" s="1">
        <v>553</v>
      </c>
      <c r="E775" s="1">
        <v>176</v>
      </c>
      <c r="F775" s="1">
        <v>275</v>
      </c>
      <c r="G775" s="1">
        <v>2</v>
      </c>
      <c r="H775" s="1">
        <v>10891</v>
      </c>
      <c r="I775" s="1">
        <v>2</v>
      </c>
      <c r="J775" s="1">
        <v>50</v>
      </c>
      <c r="K775" s="1">
        <v>220</v>
      </c>
      <c r="L775" s="1">
        <v>235</v>
      </c>
      <c r="M775" s="1">
        <v>7.53125</v>
      </c>
      <c r="N775">
        <f>VLOOKUP(A775,vlookup_table!$A:$G,2,FALSE)</f>
        <v>0</v>
      </c>
      <c r="O775" t="str">
        <f>VLOOKUP(A775,vlookup_table!$A:$G,3,FALSE)</f>
        <v>OK</v>
      </c>
      <c r="P775">
        <f>VLOOKUP(A775,vlookup_table!$A:$G,4,FALSE)</f>
        <v>0</v>
      </c>
      <c r="Q775" t="str">
        <f>VLOOKUP(A775,vlookup_table!$A:$G,5,FALSE)</f>
        <v>R2</v>
      </c>
      <c r="R775" t="str">
        <f>VLOOKUP(A775,vlookup_table!$A:$G,6,FALSE)</f>
        <v>U</v>
      </c>
      <c r="S775">
        <f>VLOOKUP(A775,vlookup_table!$A:$G,7,FALSE)</f>
        <v>10</v>
      </c>
      <c r="T775">
        <f t="shared" si="24"/>
        <v>96</v>
      </c>
      <c r="U775" t="str">
        <f t="shared" si="25"/>
        <v>Rural</v>
      </c>
    </row>
    <row r="776" spans="1:21" ht="16" x14ac:dyDescent="0.4">
      <c r="A776" s="4">
        <v>156997</v>
      </c>
      <c r="B776" s="1" t="s">
        <v>21</v>
      </c>
      <c r="C776" s="1" t="s">
        <v>17</v>
      </c>
      <c r="D776" s="1">
        <v>1869</v>
      </c>
      <c r="E776" s="1">
        <v>358</v>
      </c>
      <c r="F776" s="1">
        <v>359</v>
      </c>
      <c r="G776" s="1">
        <v>31</v>
      </c>
      <c r="H776" s="1">
        <v>15739</v>
      </c>
      <c r="I776" s="1">
        <v>15</v>
      </c>
      <c r="J776" s="1">
        <v>47</v>
      </c>
      <c r="K776" s="1">
        <v>358</v>
      </c>
      <c r="L776" s="1">
        <v>344</v>
      </c>
      <c r="M776" s="1">
        <v>20</v>
      </c>
      <c r="N776">
        <f>VLOOKUP(A776,vlookup_table!$A:$G,2,FALSE)</f>
        <v>28</v>
      </c>
      <c r="O776" t="str">
        <f>VLOOKUP(A776,vlookup_table!$A:$G,3,FALSE)</f>
        <v>CA</v>
      </c>
      <c r="P776">
        <f>VLOOKUP(A776,vlookup_table!$A:$G,4,FALSE)</f>
        <v>0</v>
      </c>
      <c r="Q776" t="str">
        <f>VLOOKUP(A776,vlookup_table!$A:$G,5,FALSE)</f>
        <v>U2</v>
      </c>
      <c r="R776" t="str">
        <f>VLOOKUP(A776,vlookup_table!$A:$G,6,FALSE)</f>
        <v>F</v>
      </c>
      <c r="S776">
        <f>VLOOKUP(A776,vlookup_table!$A:$G,7,FALSE)</f>
        <v>25</v>
      </c>
      <c r="T776">
        <f t="shared" si="24"/>
        <v>96</v>
      </c>
      <c r="U776" t="str">
        <f t="shared" si="25"/>
        <v>Urbano</v>
      </c>
    </row>
    <row r="777" spans="1:21" ht="16" x14ac:dyDescent="0.4">
      <c r="A777" s="4">
        <v>80646</v>
      </c>
      <c r="B777" s="1" t="s">
        <v>32</v>
      </c>
      <c r="C777" s="1" t="s">
        <v>14</v>
      </c>
      <c r="D777" s="1">
        <v>360</v>
      </c>
      <c r="E777" s="1">
        <v>198</v>
      </c>
      <c r="F777" s="1">
        <v>269</v>
      </c>
      <c r="G777" s="1">
        <v>0</v>
      </c>
      <c r="H777" s="1">
        <v>8452</v>
      </c>
      <c r="I777" s="1">
        <v>0</v>
      </c>
      <c r="J777" s="1">
        <v>84</v>
      </c>
      <c r="K777" s="1">
        <v>217</v>
      </c>
      <c r="L777" s="1">
        <v>248</v>
      </c>
      <c r="M777" s="1">
        <v>3.5555555559999998</v>
      </c>
      <c r="N777">
        <f>VLOOKUP(A777,vlookup_table!$A:$G,2,FALSE)</f>
        <v>0</v>
      </c>
      <c r="O777" t="str">
        <f>VLOOKUP(A777,vlookup_table!$A:$G,3,FALSE)</f>
        <v>WI</v>
      </c>
      <c r="P777">
        <f>VLOOKUP(A777,vlookup_table!$A:$G,4,FALSE)</f>
        <v>2410</v>
      </c>
      <c r="Q777" t="str">
        <f>VLOOKUP(A777,vlookup_table!$A:$G,5,FALSE)</f>
        <v>R3</v>
      </c>
      <c r="R777" t="str">
        <f>VLOOKUP(A777,vlookup_table!$A:$G,6,FALSE)</f>
        <v>M</v>
      </c>
      <c r="S777">
        <f>VLOOKUP(A777,vlookup_table!$A:$G,7,FALSE)</f>
        <v>4</v>
      </c>
      <c r="T777">
        <f t="shared" si="24"/>
        <v>72</v>
      </c>
      <c r="U777" t="str">
        <f t="shared" si="25"/>
        <v>Rural</v>
      </c>
    </row>
    <row r="778" spans="1:21" ht="16" x14ac:dyDescent="0.4">
      <c r="A778" s="4">
        <v>190837</v>
      </c>
      <c r="B778" s="1" t="s">
        <v>32</v>
      </c>
      <c r="C778" s="1" t="s">
        <v>17</v>
      </c>
      <c r="D778" s="1">
        <v>432</v>
      </c>
      <c r="E778" s="1">
        <v>203</v>
      </c>
      <c r="F778" s="1">
        <v>323</v>
      </c>
      <c r="G778" s="1">
        <v>0</v>
      </c>
      <c r="H778" s="1">
        <v>9769</v>
      </c>
      <c r="I778" s="1">
        <v>1</v>
      </c>
      <c r="J778" s="1">
        <v>85</v>
      </c>
      <c r="K778" s="1">
        <v>300</v>
      </c>
      <c r="L778" s="1">
        <v>226</v>
      </c>
      <c r="M778" s="1">
        <v>8.125</v>
      </c>
      <c r="N778">
        <f>VLOOKUP(A778,vlookup_table!$A:$G,2,FALSE)</f>
        <v>28</v>
      </c>
      <c r="O778" t="str">
        <f>VLOOKUP(A778,vlookup_table!$A:$G,3,FALSE)</f>
        <v>WI</v>
      </c>
      <c r="P778">
        <f>VLOOKUP(A778,vlookup_table!$A:$G,4,FALSE)</f>
        <v>901</v>
      </c>
      <c r="Q778" t="str">
        <f>VLOOKUP(A778,vlookup_table!$A:$G,5,FALSE)</f>
        <v>C3</v>
      </c>
      <c r="R778" t="str">
        <f>VLOOKUP(A778,vlookup_table!$A:$G,6,FALSE)</f>
        <v>F</v>
      </c>
      <c r="S778">
        <f>VLOOKUP(A778,vlookup_table!$A:$G,7,FALSE)</f>
        <v>11</v>
      </c>
      <c r="T778">
        <f t="shared" si="24"/>
        <v>6</v>
      </c>
      <c r="U778" t="str">
        <f t="shared" si="25"/>
        <v>Ciudad</v>
      </c>
    </row>
    <row r="779" spans="1:21" ht="16" x14ac:dyDescent="0.4">
      <c r="A779" s="4">
        <v>18322</v>
      </c>
      <c r="B779" s="1" t="s">
        <v>18</v>
      </c>
      <c r="C779" s="1" t="s">
        <v>14</v>
      </c>
      <c r="D779" s="1">
        <v>807</v>
      </c>
      <c r="E779" s="1">
        <v>329</v>
      </c>
      <c r="F779" s="1">
        <v>422</v>
      </c>
      <c r="G779" s="1">
        <v>4</v>
      </c>
      <c r="H779" s="1">
        <v>16724</v>
      </c>
      <c r="I779" s="1">
        <v>4</v>
      </c>
      <c r="J779" s="1">
        <v>66</v>
      </c>
      <c r="K779" s="1">
        <v>374</v>
      </c>
      <c r="L779" s="1">
        <v>390</v>
      </c>
      <c r="M779" s="1">
        <v>7.375</v>
      </c>
      <c r="N779">
        <f>VLOOKUP(A779,vlookup_table!$A:$G,2,FALSE)</f>
        <v>1</v>
      </c>
      <c r="O779" t="str">
        <f>VLOOKUP(A779,vlookup_table!$A:$G,3,FALSE)</f>
        <v>NC</v>
      </c>
      <c r="P779">
        <f>VLOOKUP(A779,vlookup_table!$A:$G,4,FALSE)</f>
        <v>2401</v>
      </c>
      <c r="Q779" t="str">
        <f>VLOOKUP(A779,vlookup_table!$A:$G,5,FALSE)</f>
        <v>R1</v>
      </c>
      <c r="R779" t="str">
        <f>VLOOKUP(A779,vlookup_table!$A:$G,6,FALSE)</f>
        <v>M</v>
      </c>
      <c r="S779">
        <f>VLOOKUP(A779,vlookup_table!$A:$G,7,FALSE)</f>
        <v>10</v>
      </c>
      <c r="T779">
        <f t="shared" si="24"/>
        <v>72</v>
      </c>
      <c r="U779" t="str">
        <f t="shared" si="25"/>
        <v>Rural</v>
      </c>
    </row>
    <row r="780" spans="1:21" ht="16" x14ac:dyDescent="0.4">
      <c r="A780" s="4">
        <v>118819</v>
      </c>
      <c r="B780" s="1" t="s">
        <v>20</v>
      </c>
      <c r="C780" s="1" t="s">
        <v>17</v>
      </c>
      <c r="D780" s="1">
        <v>786</v>
      </c>
      <c r="E780" s="1">
        <v>421</v>
      </c>
      <c r="F780" s="1">
        <v>453</v>
      </c>
      <c r="G780" s="1">
        <v>0</v>
      </c>
      <c r="H780" s="1">
        <v>12335</v>
      </c>
      <c r="I780" s="1">
        <v>0</v>
      </c>
      <c r="J780" s="1">
        <v>63</v>
      </c>
      <c r="K780" s="1">
        <v>460</v>
      </c>
      <c r="L780" s="1">
        <v>393</v>
      </c>
      <c r="M780" s="1">
        <v>12.33333333</v>
      </c>
      <c r="N780">
        <f>VLOOKUP(A780,vlookup_table!$A:$G,2,FALSE)</f>
        <v>0</v>
      </c>
      <c r="O780" t="str">
        <f>VLOOKUP(A780,vlookup_table!$A:$G,3,FALSE)</f>
        <v>TX</v>
      </c>
      <c r="P780">
        <f>VLOOKUP(A780,vlookup_table!$A:$G,4,FALSE)</f>
        <v>0</v>
      </c>
      <c r="Q780" t="str">
        <f>VLOOKUP(A780,vlookup_table!$A:$G,5,FALSE)</f>
        <v>C1</v>
      </c>
      <c r="R780" t="str">
        <f>VLOOKUP(A780,vlookup_table!$A:$G,6,FALSE)</f>
        <v>F</v>
      </c>
      <c r="S780">
        <f>VLOOKUP(A780,vlookup_table!$A:$G,7,FALSE)</f>
        <v>20</v>
      </c>
      <c r="T780">
        <f t="shared" si="24"/>
        <v>96</v>
      </c>
      <c r="U780" t="str">
        <f t="shared" si="25"/>
        <v>Ciudad</v>
      </c>
    </row>
    <row r="781" spans="1:21" ht="16" x14ac:dyDescent="0.4">
      <c r="A781" s="4">
        <v>14233</v>
      </c>
      <c r="B781" s="1" t="s">
        <v>58</v>
      </c>
      <c r="C781" s="1" t="s">
        <v>14</v>
      </c>
      <c r="D781" s="1">
        <v>307</v>
      </c>
      <c r="E781" s="1">
        <v>184</v>
      </c>
      <c r="F781" s="1">
        <v>341</v>
      </c>
      <c r="G781" s="1">
        <v>0</v>
      </c>
      <c r="H781" s="1">
        <v>10860</v>
      </c>
      <c r="I781" s="1">
        <v>1</v>
      </c>
      <c r="J781" s="1">
        <v>44</v>
      </c>
      <c r="K781" s="1">
        <v>264</v>
      </c>
      <c r="L781" s="1">
        <v>247</v>
      </c>
      <c r="M781" s="1">
        <v>18.333333329999999</v>
      </c>
      <c r="N781">
        <f>VLOOKUP(A781,vlookup_table!$A:$G,2,FALSE)</f>
        <v>1</v>
      </c>
      <c r="O781" t="str">
        <f>VLOOKUP(A781,vlookup_table!$A:$G,3,FALSE)</f>
        <v>WY</v>
      </c>
      <c r="P781">
        <f>VLOOKUP(A781,vlookup_table!$A:$G,4,FALSE)</f>
        <v>5301</v>
      </c>
      <c r="Q781" t="str">
        <f>VLOOKUP(A781,vlookup_table!$A:$G,5,FALSE)</f>
        <v>C2</v>
      </c>
      <c r="R781" t="str">
        <f>VLOOKUP(A781,vlookup_table!$A:$G,6,FALSE)</f>
        <v>M</v>
      </c>
      <c r="S781">
        <f>VLOOKUP(A781,vlookup_table!$A:$G,7,FALSE)</f>
        <v>25</v>
      </c>
      <c r="T781">
        <f t="shared" si="24"/>
        <v>43</v>
      </c>
      <c r="U781" t="str">
        <f t="shared" si="25"/>
        <v>Ciudad</v>
      </c>
    </row>
    <row r="782" spans="1:21" ht="16" x14ac:dyDescent="0.4">
      <c r="A782" s="4">
        <v>142163</v>
      </c>
      <c r="B782" s="1" t="s">
        <v>23</v>
      </c>
      <c r="C782" s="1" t="s">
        <v>14</v>
      </c>
      <c r="D782" s="1">
        <v>1270</v>
      </c>
      <c r="E782" s="1">
        <v>447</v>
      </c>
      <c r="F782" s="1">
        <v>472</v>
      </c>
      <c r="G782" s="1">
        <v>5</v>
      </c>
      <c r="H782" s="1">
        <v>15652</v>
      </c>
      <c r="I782" s="1">
        <v>2</v>
      </c>
      <c r="J782" s="1">
        <v>36</v>
      </c>
      <c r="K782" s="1">
        <v>419</v>
      </c>
      <c r="L782" s="1">
        <v>476</v>
      </c>
      <c r="M782" s="1">
        <v>8.8333333330000006</v>
      </c>
      <c r="N782">
        <f>VLOOKUP(A782,vlookup_table!$A:$G,2,FALSE)</f>
        <v>1</v>
      </c>
      <c r="O782" t="str">
        <f>VLOOKUP(A782,vlookup_table!$A:$G,3,FALSE)</f>
        <v>NV</v>
      </c>
      <c r="P782">
        <f>VLOOKUP(A782,vlookup_table!$A:$G,4,FALSE)</f>
        <v>0</v>
      </c>
      <c r="Q782" t="str">
        <f>VLOOKUP(A782,vlookup_table!$A:$G,5,FALSE)</f>
        <v>T2</v>
      </c>
      <c r="R782" t="str">
        <f>VLOOKUP(A782,vlookup_table!$A:$G,6,FALSE)</f>
        <v>M</v>
      </c>
      <c r="S782">
        <f>VLOOKUP(A782,vlookup_table!$A:$G,7,FALSE)</f>
        <v>12</v>
      </c>
      <c r="T782">
        <f t="shared" si="24"/>
        <v>96</v>
      </c>
      <c r="U782" t="str">
        <f t="shared" si="25"/>
        <v>Pueblo</v>
      </c>
    </row>
    <row r="783" spans="1:21" ht="16" x14ac:dyDescent="0.4">
      <c r="A783" s="4">
        <v>149757</v>
      </c>
      <c r="B783" s="1" t="s">
        <v>21</v>
      </c>
      <c r="C783" s="1" t="s">
        <v>17</v>
      </c>
      <c r="D783" s="1">
        <v>4167</v>
      </c>
      <c r="E783" s="1">
        <v>213</v>
      </c>
      <c r="F783" s="1">
        <v>279</v>
      </c>
      <c r="G783" s="1">
        <v>78</v>
      </c>
      <c r="H783" s="1">
        <v>11264</v>
      </c>
      <c r="I783" s="1">
        <v>0</v>
      </c>
      <c r="J783" s="1">
        <v>64</v>
      </c>
      <c r="K783" s="1">
        <v>376</v>
      </c>
      <c r="L783" s="1">
        <v>224</v>
      </c>
      <c r="M783" s="1">
        <v>13</v>
      </c>
      <c r="N783">
        <f>VLOOKUP(A783,vlookup_table!$A:$G,2,FALSE)</f>
        <v>0</v>
      </c>
      <c r="O783" t="str">
        <f>VLOOKUP(A783,vlookup_table!$A:$G,3,FALSE)</f>
        <v>CA</v>
      </c>
      <c r="P783">
        <f>VLOOKUP(A783,vlookup_table!$A:$G,4,FALSE)</f>
        <v>0</v>
      </c>
      <c r="Q783" t="str">
        <f>VLOOKUP(A783,vlookup_table!$A:$G,5,FALSE)</f>
        <v>U2</v>
      </c>
      <c r="R783" t="str">
        <f>VLOOKUP(A783,vlookup_table!$A:$G,6,FALSE)</f>
        <v>F</v>
      </c>
      <c r="S783">
        <f>VLOOKUP(A783,vlookup_table!$A:$G,7,FALSE)</f>
        <v>22</v>
      </c>
      <c r="T783">
        <f t="shared" si="24"/>
        <v>96</v>
      </c>
      <c r="U783" t="str">
        <f t="shared" si="25"/>
        <v>Urbano</v>
      </c>
    </row>
    <row r="784" spans="1:21" ht="16" x14ac:dyDescent="0.4">
      <c r="A784" s="4">
        <v>49650</v>
      </c>
      <c r="B784" s="1" t="s">
        <v>40</v>
      </c>
      <c r="C784" s="1" t="s">
        <v>14</v>
      </c>
      <c r="D784" s="1">
        <v>472</v>
      </c>
      <c r="E784" s="1">
        <v>166</v>
      </c>
      <c r="F784" s="1">
        <v>302</v>
      </c>
      <c r="G784" s="1">
        <v>2</v>
      </c>
      <c r="H784" s="1">
        <v>8760</v>
      </c>
      <c r="I784" s="1">
        <v>0</v>
      </c>
      <c r="J784" s="1">
        <v>90</v>
      </c>
      <c r="K784" s="1">
        <v>218</v>
      </c>
      <c r="L784" s="1">
        <v>257</v>
      </c>
      <c r="M784" s="1">
        <v>9.7777777780000008</v>
      </c>
      <c r="N784">
        <f>VLOOKUP(A784,vlookup_table!$A:$G,2,FALSE)</f>
        <v>1</v>
      </c>
      <c r="O784" t="str">
        <f>VLOOKUP(A784,vlookup_table!$A:$G,3,FALSE)</f>
        <v>AL</v>
      </c>
      <c r="P784">
        <f>VLOOKUP(A784,vlookup_table!$A:$G,4,FALSE)</f>
        <v>5201</v>
      </c>
      <c r="Q784" t="str">
        <f>VLOOKUP(A784,vlookup_table!$A:$G,5,FALSE)</f>
        <v>R2</v>
      </c>
      <c r="R784" t="str">
        <f>VLOOKUP(A784,vlookup_table!$A:$G,6,FALSE)</f>
        <v>M</v>
      </c>
      <c r="S784">
        <f>VLOOKUP(A784,vlookup_table!$A:$G,7,FALSE)</f>
        <v>10</v>
      </c>
      <c r="T784">
        <f t="shared" si="24"/>
        <v>44</v>
      </c>
      <c r="U784" t="str">
        <f t="shared" si="25"/>
        <v>Rural</v>
      </c>
    </row>
    <row r="785" spans="1:21" ht="16" x14ac:dyDescent="0.4">
      <c r="A785" s="4">
        <v>61191</v>
      </c>
      <c r="B785" s="1" t="s">
        <v>30</v>
      </c>
      <c r="C785" s="1" t="s">
        <v>17</v>
      </c>
      <c r="D785" s="1">
        <v>472</v>
      </c>
      <c r="E785" s="1">
        <v>305</v>
      </c>
      <c r="F785" s="1">
        <v>322</v>
      </c>
      <c r="G785" s="1">
        <v>0</v>
      </c>
      <c r="H785" s="1">
        <v>11371</v>
      </c>
      <c r="I785" s="1">
        <v>4</v>
      </c>
      <c r="J785" s="1">
        <v>64</v>
      </c>
      <c r="K785" s="1">
        <v>308</v>
      </c>
      <c r="L785" s="1">
        <v>306</v>
      </c>
      <c r="M785" s="1">
        <v>6.5789473679999997</v>
      </c>
      <c r="N785">
        <f>VLOOKUP(A785,vlookup_table!$A:$G,2,FALSE)</f>
        <v>0</v>
      </c>
      <c r="O785" t="str">
        <f>VLOOKUP(A785,vlookup_table!$A:$G,3,FALSE)</f>
        <v>IN</v>
      </c>
      <c r="P785">
        <f>VLOOKUP(A785,vlookup_table!$A:$G,4,FALSE)</f>
        <v>1901</v>
      </c>
      <c r="Q785" t="str">
        <f>VLOOKUP(A785,vlookup_table!$A:$G,5,FALSE)</f>
        <v>C3</v>
      </c>
      <c r="R785" t="str">
        <f>VLOOKUP(A785,vlookup_table!$A:$G,6,FALSE)</f>
        <v>F</v>
      </c>
      <c r="S785">
        <f>VLOOKUP(A785,vlookup_table!$A:$G,7,FALSE)</f>
        <v>10</v>
      </c>
      <c r="T785">
        <f t="shared" si="24"/>
        <v>77</v>
      </c>
      <c r="U785" t="str">
        <f t="shared" si="25"/>
        <v>Ciudad</v>
      </c>
    </row>
    <row r="786" spans="1:21" ht="16" x14ac:dyDescent="0.4">
      <c r="A786" s="4">
        <v>23491</v>
      </c>
      <c r="B786" s="1" t="s">
        <v>43</v>
      </c>
      <c r="C786" s="1" t="s">
        <v>14</v>
      </c>
      <c r="D786" s="1">
        <v>824</v>
      </c>
      <c r="E786" s="1">
        <v>348</v>
      </c>
      <c r="F786" s="1">
        <v>400</v>
      </c>
      <c r="G786" s="1">
        <v>0</v>
      </c>
      <c r="H786" s="1">
        <v>14663</v>
      </c>
      <c r="I786" s="1">
        <v>2</v>
      </c>
      <c r="J786" s="1">
        <v>40</v>
      </c>
      <c r="K786" s="1">
        <v>371</v>
      </c>
      <c r="L786" s="1">
        <v>365</v>
      </c>
      <c r="M786" s="1">
        <v>9.1666666669999994</v>
      </c>
      <c r="N786">
        <f>VLOOKUP(A786,vlookup_table!$A:$G,2,FALSE)</f>
        <v>1</v>
      </c>
      <c r="O786" t="str">
        <f>VLOOKUP(A786,vlookup_table!$A:$G,3,FALSE)</f>
        <v>SC</v>
      </c>
      <c r="P786">
        <f>VLOOKUP(A786,vlookup_table!$A:$G,4,FALSE)</f>
        <v>4001</v>
      </c>
      <c r="Q786" t="str">
        <f>VLOOKUP(A786,vlookup_table!$A:$G,5,FALSE)</f>
        <v>S2</v>
      </c>
      <c r="R786" t="str">
        <f>VLOOKUP(A786,vlookup_table!$A:$G,6,FALSE)</f>
        <v>M</v>
      </c>
      <c r="S786">
        <f>VLOOKUP(A786,vlookup_table!$A:$G,7,FALSE)</f>
        <v>10</v>
      </c>
      <c r="T786">
        <f t="shared" si="24"/>
        <v>56</v>
      </c>
      <c r="U786" t="str">
        <f t="shared" si="25"/>
        <v>Suburbano</v>
      </c>
    </row>
    <row r="787" spans="1:21" ht="16" x14ac:dyDescent="0.4">
      <c r="A787" s="4">
        <v>87127</v>
      </c>
      <c r="B787" s="1" t="s">
        <v>31</v>
      </c>
      <c r="C787" s="1" t="s">
        <v>97</v>
      </c>
      <c r="D787" s="1">
        <v>862</v>
      </c>
      <c r="E787" s="1">
        <v>248</v>
      </c>
      <c r="F787" s="1">
        <v>432</v>
      </c>
      <c r="G787" s="1">
        <v>0</v>
      </c>
      <c r="H787" s="1">
        <v>21284</v>
      </c>
      <c r="I787" s="1">
        <v>5</v>
      </c>
      <c r="J787" s="1">
        <v>49</v>
      </c>
      <c r="K787" s="1">
        <v>359</v>
      </c>
      <c r="L787" s="1">
        <v>357</v>
      </c>
      <c r="M787" s="1">
        <v>10</v>
      </c>
      <c r="N787">
        <f>VLOOKUP(A787,vlookup_table!$A:$G,2,FALSE)</f>
        <v>0</v>
      </c>
      <c r="O787" t="str">
        <f>VLOOKUP(A787,vlookup_table!$A:$G,3,FALSE)</f>
        <v>MT</v>
      </c>
      <c r="P787">
        <f>VLOOKUP(A787,vlookup_table!$A:$G,4,FALSE)</f>
        <v>2101</v>
      </c>
      <c r="Q787" t="str">
        <f>VLOOKUP(A787,vlookup_table!$A:$G,5,FALSE)</f>
        <v>C2</v>
      </c>
      <c r="R787" t="str">
        <f>VLOOKUP(A787,vlookup_table!$A:$G,6,FALSE)</f>
        <v>F</v>
      </c>
      <c r="S787">
        <f>VLOOKUP(A787,vlookup_table!$A:$G,7,FALSE)</f>
        <v>10</v>
      </c>
      <c r="T787">
        <f t="shared" si="24"/>
        <v>75</v>
      </c>
      <c r="U787" t="str">
        <f t="shared" si="25"/>
        <v>Ciudad</v>
      </c>
    </row>
    <row r="788" spans="1:21" ht="16" x14ac:dyDescent="0.4">
      <c r="A788" s="4">
        <v>263</v>
      </c>
      <c r="B788" s="1" t="s">
        <v>43</v>
      </c>
      <c r="C788" s="1"/>
      <c r="D788" s="1">
        <v>2156</v>
      </c>
      <c r="E788" s="1">
        <v>331</v>
      </c>
      <c r="F788" s="1">
        <v>401</v>
      </c>
      <c r="G788" s="1">
        <v>56</v>
      </c>
      <c r="H788" s="1">
        <v>24742</v>
      </c>
      <c r="I788" s="1">
        <v>0</v>
      </c>
      <c r="J788" s="1">
        <v>11</v>
      </c>
      <c r="K788" s="1">
        <v>319</v>
      </c>
      <c r="L788" s="1">
        <v>419</v>
      </c>
      <c r="M788" s="1">
        <v>11.625</v>
      </c>
      <c r="N788">
        <f>VLOOKUP(A788,vlookup_table!$A:$G,2,FALSE)</f>
        <v>2</v>
      </c>
      <c r="O788" t="str">
        <f>VLOOKUP(A788,vlookup_table!$A:$G,3,FALSE)</f>
        <v>SC</v>
      </c>
      <c r="P788">
        <f>VLOOKUP(A788,vlookup_table!$A:$G,4,FALSE)</f>
        <v>2001</v>
      </c>
      <c r="Q788" t="str">
        <f>VLOOKUP(A788,vlookup_table!$A:$G,5,FALSE)</f>
        <v>T1</v>
      </c>
      <c r="R788" t="str">
        <f>VLOOKUP(A788,vlookup_table!$A:$G,6,FALSE)</f>
        <v/>
      </c>
      <c r="S788">
        <f>VLOOKUP(A788,vlookup_table!$A:$G,7,FALSE)</f>
        <v>10</v>
      </c>
      <c r="T788">
        <f t="shared" si="24"/>
        <v>76</v>
      </c>
      <c r="U788" t="str">
        <f t="shared" si="25"/>
        <v>Pueblo</v>
      </c>
    </row>
    <row r="789" spans="1:21" ht="16" x14ac:dyDescent="0.4">
      <c r="A789" s="4">
        <v>137962</v>
      </c>
      <c r="B789" s="1" t="s">
        <v>51</v>
      </c>
      <c r="C789" s="1" t="s">
        <v>14</v>
      </c>
      <c r="D789" s="1">
        <v>906</v>
      </c>
      <c r="E789" s="1">
        <v>396</v>
      </c>
      <c r="F789" s="1">
        <v>485</v>
      </c>
      <c r="G789" s="1">
        <v>3</v>
      </c>
      <c r="H789" s="1">
        <v>20138</v>
      </c>
      <c r="I789" s="1">
        <v>10</v>
      </c>
      <c r="J789" s="1">
        <v>21</v>
      </c>
      <c r="K789" s="1">
        <v>417</v>
      </c>
      <c r="L789" s="1">
        <v>443</v>
      </c>
      <c r="M789" s="1">
        <v>9.6666666669999994</v>
      </c>
      <c r="N789">
        <f>VLOOKUP(A789,vlookup_table!$A:$G,2,FALSE)</f>
        <v>1</v>
      </c>
      <c r="O789" t="str">
        <f>VLOOKUP(A789,vlookup_table!$A:$G,3,FALSE)</f>
        <v>AZ</v>
      </c>
      <c r="P789">
        <f>VLOOKUP(A789,vlookup_table!$A:$G,4,FALSE)</f>
        <v>3510</v>
      </c>
      <c r="Q789" t="str">
        <f>VLOOKUP(A789,vlookup_table!$A:$G,5,FALSE)</f>
        <v>S1</v>
      </c>
      <c r="R789" t="str">
        <f>VLOOKUP(A789,vlookup_table!$A:$G,6,FALSE)</f>
        <v>M</v>
      </c>
      <c r="S789">
        <f>VLOOKUP(A789,vlookup_table!$A:$G,7,FALSE)</f>
        <v>10</v>
      </c>
      <c r="T789">
        <f t="shared" si="24"/>
        <v>61</v>
      </c>
      <c r="U789" t="str">
        <f t="shared" si="25"/>
        <v>Suburbano</v>
      </c>
    </row>
    <row r="790" spans="1:21" ht="16" x14ac:dyDescent="0.4">
      <c r="A790" s="4">
        <v>21746</v>
      </c>
      <c r="B790" s="1" t="s">
        <v>18</v>
      </c>
      <c r="C790" s="1" t="s">
        <v>97</v>
      </c>
      <c r="D790" s="1">
        <v>481</v>
      </c>
      <c r="E790" s="1">
        <v>162</v>
      </c>
      <c r="F790" s="1">
        <v>247</v>
      </c>
      <c r="G790" s="1">
        <v>0</v>
      </c>
      <c r="H790" s="1">
        <v>10228</v>
      </c>
      <c r="I790" s="1">
        <v>0</v>
      </c>
      <c r="J790" s="1">
        <v>75</v>
      </c>
      <c r="K790" s="1">
        <v>204</v>
      </c>
      <c r="L790" s="1">
        <v>212</v>
      </c>
      <c r="M790" s="1">
        <v>10.363636359999999</v>
      </c>
      <c r="N790">
        <f>VLOOKUP(A790,vlookup_table!$A:$G,2,FALSE)</f>
        <v>2</v>
      </c>
      <c r="O790" t="str">
        <f>VLOOKUP(A790,vlookup_table!$A:$G,3,FALSE)</f>
        <v>NC</v>
      </c>
      <c r="P790">
        <f>VLOOKUP(A790,vlookup_table!$A:$G,4,FALSE)</f>
        <v>4801</v>
      </c>
      <c r="Q790" t="str">
        <f>VLOOKUP(A790,vlookup_table!$A:$G,5,FALSE)</f>
        <v>R3</v>
      </c>
      <c r="R790" t="str">
        <f>VLOOKUP(A790,vlookup_table!$A:$G,6,FALSE)</f>
        <v>F</v>
      </c>
      <c r="S790">
        <f>VLOOKUP(A790,vlookup_table!$A:$G,7,FALSE)</f>
        <v>10</v>
      </c>
      <c r="T790">
        <f t="shared" si="24"/>
        <v>48</v>
      </c>
      <c r="U790" t="str">
        <f t="shared" si="25"/>
        <v>Rural</v>
      </c>
    </row>
    <row r="791" spans="1:21" ht="16" x14ac:dyDescent="0.4">
      <c r="A791" s="4">
        <v>140632</v>
      </c>
      <c r="B791" s="1" t="s">
        <v>50</v>
      </c>
      <c r="C791" s="1" t="s">
        <v>17</v>
      </c>
      <c r="D791" s="1">
        <v>560</v>
      </c>
      <c r="E791" s="1">
        <v>259</v>
      </c>
      <c r="F791" s="1">
        <v>345</v>
      </c>
      <c r="G791" s="1">
        <v>0</v>
      </c>
      <c r="H791" s="1">
        <v>11660</v>
      </c>
      <c r="I791" s="1">
        <v>4</v>
      </c>
      <c r="J791" s="1">
        <v>19</v>
      </c>
      <c r="K791" s="1">
        <v>333</v>
      </c>
      <c r="L791" s="1">
        <v>295</v>
      </c>
      <c r="M791" s="1">
        <v>14.2</v>
      </c>
      <c r="N791">
        <f>VLOOKUP(A791,vlookup_table!$A:$G,2,FALSE)</f>
        <v>28</v>
      </c>
      <c r="O791" t="str">
        <f>VLOOKUP(A791,vlookup_table!$A:$G,3,FALSE)</f>
        <v>NM</v>
      </c>
      <c r="P791">
        <f>VLOOKUP(A791,vlookup_table!$A:$G,4,FALSE)</f>
        <v>2901</v>
      </c>
      <c r="Q791" t="str">
        <f>VLOOKUP(A791,vlookup_table!$A:$G,5,FALSE)</f>
        <v>T2</v>
      </c>
      <c r="R791" t="str">
        <f>VLOOKUP(A791,vlookup_table!$A:$G,6,FALSE)</f>
        <v>F</v>
      </c>
      <c r="S791">
        <f>VLOOKUP(A791,vlookup_table!$A:$G,7,FALSE)</f>
        <v>20</v>
      </c>
      <c r="T791">
        <f t="shared" si="24"/>
        <v>67</v>
      </c>
      <c r="U791" t="str">
        <f t="shared" si="25"/>
        <v>Pueblo</v>
      </c>
    </row>
    <row r="792" spans="1:21" ht="16" x14ac:dyDescent="0.4">
      <c r="A792" s="4">
        <v>20773</v>
      </c>
      <c r="B792" s="1" t="s">
        <v>18</v>
      </c>
      <c r="C792" s="1" t="s">
        <v>14</v>
      </c>
      <c r="D792" s="1">
        <v>475</v>
      </c>
      <c r="E792" s="1">
        <v>136</v>
      </c>
      <c r="F792" s="1">
        <v>245</v>
      </c>
      <c r="G792" s="1">
        <v>1</v>
      </c>
      <c r="H792" s="1">
        <v>8676</v>
      </c>
      <c r="I792" s="1">
        <v>1</v>
      </c>
      <c r="J792" s="1">
        <v>74</v>
      </c>
      <c r="K792" s="1">
        <v>186</v>
      </c>
      <c r="L792" s="1">
        <v>201</v>
      </c>
      <c r="M792" s="1">
        <v>4.9090909089999997</v>
      </c>
      <c r="N792">
        <f>VLOOKUP(A792,vlookup_table!$A:$G,2,FALSE)</f>
        <v>0</v>
      </c>
      <c r="O792" t="str">
        <f>VLOOKUP(A792,vlookup_table!$A:$G,3,FALSE)</f>
        <v>NC</v>
      </c>
      <c r="P792">
        <f>VLOOKUP(A792,vlookup_table!$A:$G,4,FALSE)</f>
        <v>0</v>
      </c>
      <c r="Q792" t="str">
        <f>VLOOKUP(A792,vlookup_table!$A:$G,5,FALSE)</f>
        <v>R2</v>
      </c>
      <c r="R792" t="str">
        <f>VLOOKUP(A792,vlookup_table!$A:$G,6,FALSE)</f>
        <v>M</v>
      </c>
      <c r="S792">
        <f>VLOOKUP(A792,vlookup_table!$A:$G,7,FALSE)</f>
        <v>5</v>
      </c>
      <c r="T792">
        <f t="shared" si="24"/>
        <v>96</v>
      </c>
      <c r="U792" t="str">
        <f t="shared" si="25"/>
        <v>Rural</v>
      </c>
    </row>
    <row r="793" spans="1:21" ht="16" x14ac:dyDescent="0.4">
      <c r="A793" s="4">
        <v>81006</v>
      </c>
      <c r="B793" s="1" t="s">
        <v>32</v>
      </c>
      <c r="C793" s="1" t="s">
        <v>17</v>
      </c>
      <c r="D793" s="1">
        <v>567</v>
      </c>
      <c r="E793" s="1">
        <v>149</v>
      </c>
      <c r="F793" s="1">
        <v>223</v>
      </c>
      <c r="G793" s="1">
        <v>2</v>
      </c>
      <c r="H793" s="1">
        <v>7817</v>
      </c>
      <c r="I793" s="1">
        <v>1</v>
      </c>
      <c r="J793" s="1">
        <v>75</v>
      </c>
      <c r="K793" s="1">
        <v>158</v>
      </c>
      <c r="L793" s="1">
        <v>210</v>
      </c>
      <c r="M793" s="1">
        <v>5</v>
      </c>
      <c r="N793">
        <f>VLOOKUP(A793,vlookup_table!$A:$G,2,FALSE)</f>
        <v>2</v>
      </c>
      <c r="O793" t="str">
        <f>VLOOKUP(A793,vlookup_table!$A:$G,3,FALSE)</f>
        <v>WI</v>
      </c>
      <c r="P793">
        <f>VLOOKUP(A793,vlookup_table!$A:$G,4,FALSE)</f>
        <v>2307</v>
      </c>
      <c r="Q793" t="str">
        <f>VLOOKUP(A793,vlookup_table!$A:$G,5,FALSE)</f>
        <v>R2</v>
      </c>
      <c r="R793" t="str">
        <f>VLOOKUP(A793,vlookup_table!$A:$G,6,FALSE)</f>
        <v>F</v>
      </c>
      <c r="S793">
        <f>VLOOKUP(A793,vlookup_table!$A:$G,7,FALSE)</f>
        <v>6</v>
      </c>
      <c r="T793">
        <f t="shared" si="24"/>
        <v>73</v>
      </c>
      <c r="U793" t="str">
        <f t="shared" si="25"/>
        <v>Rural</v>
      </c>
    </row>
    <row r="794" spans="1:21" ht="16" x14ac:dyDescent="0.4">
      <c r="A794" s="4">
        <v>135060</v>
      </c>
      <c r="B794" s="1" t="s">
        <v>51</v>
      </c>
      <c r="C794" s="1" t="s">
        <v>97</v>
      </c>
      <c r="D794" s="1">
        <v>1654</v>
      </c>
      <c r="E794" s="1">
        <v>439</v>
      </c>
      <c r="F794" s="1">
        <v>652</v>
      </c>
      <c r="G794" s="1">
        <v>40</v>
      </c>
      <c r="H794" s="1">
        <v>23572</v>
      </c>
      <c r="I794" s="1">
        <v>6</v>
      </c>
      <c r="J794" s="1">
        <v>36</v>
      </c>
      <c r="K794" s="1">
        <v>545</v>
      </c>
      <c r="L794" s="1">
        <v>536</v>
      </c>
      <c r="M794" s="1">
        <v>12.5</v>
      </c>
      <c r="N794">
        <f>VLOOKUP(A794,vlookup_table!$A:$G,2,FALSE)</f>
        <v>2</v>
      </c>
      <c r="O794" t="str">
        <f>VLOOKUP(A794,vlookup_table!$A:$G,3,FALSE)</f>
        <v>AZ</v>
      </c>
      <c r="P794">
        <f>VLOOKUP(A794,vlookup_table!$A:$G,4,FALSE)</f>
        <v>0</v>
      </c>
      <c r="Q794" t="str">
        <f>VLOOKUP(A794,vlookup_table!$A:$G,5,FALSE)</f>
        <v>U1</v>
      </c>
      <c r="R794" t="str">
        <f>VLOOKUP(A794,vlookup_table!$A:$G,6,FALSE)</f>
        <v>F</v>
      </c>
      <c r="S794">
        <f>VLOOKUP(A794,vlookup_table!$A:$G,7,FALSE)</f>
        <v>20</v>
      </c>
      <c r="T794">
        <f t="shared" si="24"/>
        <v>96</v>
      </c>
      <c r="U794" t="str">
        <f t="shared" si="25"/>
        <v>Urbano</v>
      </c>
    </row>
    <row r="795" spans="1:21" ht="16" x14ac:dyDescent="0.4">
      <c r="A795" s="4">
        <v>86626</v>
      </c>
      <c r="B795" s="1" t="s">
        <v>42</v>
      </c>
      <c r="C795" s="1" t="s">
        <v>14</v>
      </c>
      <c r="D795" s="1">
        <v>799</v>
      </c>
      <c r="E795" s="1">
        <v>325</v>
      </c>
      <c r="F795" s="1">
        <v>506</v>
      </c>
      <c r="G795" s="1">
        <v>2</v>
      </c>
      <c r="H795" s="1">
        <v>17372</v>
      </c>
      <c r="I795" s="1">
        <v>1</v>
      </c>
      <c r="J795" s="1">
        <v>79</v>
      </c>
      <c r="K795" s="1">
        <v>400</v>
      </c>
      <c r="L795" s="1">
        <v>421</v>
      </c>
      <c r="M795" s="1">
        <v>3.4</v>
      </c>
      <c r="N795">
        <f>VLOOKUP(A795,vlookup_table!$A:$G,2,FALSE)</f>
        <v>1</v>
      </c>
      <c r="O795" t="str">
        <f>VLOOKUP(A795,vlookup_table!$A:$G,3,FALSE)</f>
        <v>ND</v>
      </c>
      <c r="P795">
        <f>VLOOKUP(A795,vlookup_table!$A:$G,4,FALSE)</f>
        <v>4901</v>
      </c>
      <c r="Q795" t="str">
        <f>VLOOKUP(A795,vlookup_table!$A:$G,5,FALSE)</f>
        <v>C1</v>
      </c>
      <c r="R795" t="str">
        <f>VLOOKUP(A795,vlookup_table!$A:$G,6,FALSE)</f>
        <v>M</v>
      </c>
      <c r="S795">
        <f>VLOOKUP(A795,vlookup_table!$A:$G,7,FALSE)</f>
        <v>6</v>
      </c>
      <c r="T795">
        <f t="shared" si="24"/>
        <v>47</v>
      </c>
      <c r="U795" t="str">
        <f t="shared" si="25"/>
        <v>Ciudad</v>
      </c>
    </row>
    <row r="796" spans="1:21" ht="16" x14ac:dyDescent="0.4">
      <c r="A796" s="4">
        <v>173039</v>
      </c>
      <c r="B796" s="1" t="s">
        <v>21</v>
      </c>
      <c r="C796" s="1" t="s">
        <v>17</v>
      </c>
      <c r="D796" s="1">
        <v>574</v>
      </c>
      <c r="E796" s="1">
        <v>223</v>
      </c>
      <c r="F796" s="1">
        <v>263</v>
      </c>
      <c r="G796" s="1">
        <v>0</v>
      </c>
      <c r="H796" s="1">
        <v>8735</v>
      </c>
      <c r="I796" s="1">
        <v>5</v>
      </c>
      <c r="J796" s="1">
        <v>70</v>
      </c>
      <c r="K796" s="1">
        <v>243</v>
      </c>
      <c r="L796" s="1">
        <v>241</v>
      </c>
      <c r="M796" s="1">
        <v>23.11111111</v>
      </c>
      <c r="N796">
        <f>VLOOKUP(A796,vlookup_table!$A:$G,2,FALSE)</f>
        <v>0</v>
      </c>
      <c r="O796" t="str">
        <f>VLOOKUP(A796,vlookup_table!$A:$G,3,FALSE)</f>
        <v>CA</v>
      </c>
      <c r="P796">
        <f>VLOOKUP(A796,vlookup_table!$A:$G,4,FALSE)</f>
        <v>0</v>
      </c>
      <c r="Q796" t="str">
        <f>VLOOKUP(A796,vlookup_table!$A:$G,5,FALSE)</f>
        <v>R3</v>
      </c>
      <c r="R796" t="str">
        <f>VLOOKUP(A796,vlookup_table!$A:$G,6,FALSE)</f>
        <v>F</v>
      </c>
      <c r="S796">
        <f>VLOOKUP(A796,vlookup_table!$A:$G,7,FALSE)</f>
        <v>50</v>
      </c>
      <c r="T796">
        <f t="shared" si="24"/>
        <v>96</v>
      </c>
      <c r="U796" t="str">
        <f t="shared" si="25"/>
        <v>Rural</v>
      </c>
    </row>
    <row r="797" spans="1:21" ht="16" x14ac:dyDescent="0.4">
      <c r="A797" s="4">
        <v>105660</v>
      </c>
      <c r="B797" s="1" t="s">
        <v>25</v>
      </c>
      <c r="C797" s="1" t="s">
        <v>14</v>
      </c>
      <c r="D797" s="1">
        <v>430</v>
      </c>
      <c r="E797" s="1">
        <v>236</v>
      </c>
      <c r="F797" s="1">
        <v>388</v>
      </c>
      <c r="G797" s="1">
        <v>0</v>
      </c>
      <c r="H797" s="1">
        <v>13227</v>
      </c>
      <c r="I797" s="1">
        <v>1</v>
      </c>
      <c r="J797" s="1">
        <v>75</v>
      </c>
      <c r="K797" s="1">
        <v>333</v>
      </c>
      <c r="L797" s="1">
        <v>314</v>
      </c>
      <c r="M797" s="1">
        <v>9</v>
      </c>
      <c r="N797">
        <f>VLOOKUP(A797,vlookup_table!$A:$G,2,FALSE)</f>
        <v>1</v>
      </c>
      <c r="O797" t="str">
        <f>VLOOKUP(A797,vlookup_table!$A:$G,3,FALSE)</f>
        <v>KS</v>
      </c>
      <c r="P797">
        <f>VLOOKUP(A797,vlookup_table!$A:$G,4,FALSE)</f>
        <v>0</v>
      </c>
      <c r="Q797" t="str">
        <f>VLOOKUP(A797,vlookup_table!$A:$G,5,FALSE)</f>
        <v>R2</v>
      </c>
      <c r="R797" t="str">
        <f>VLOOKUP(A797,vlookup_table!$A:$G,6,FALSE)</f>
        <v>M</v>
      </c>
      <c r="S797">
        <f>VLOOKUP(A797,vlookup_table!$A:$G,7,FALSE)</f>
        <v>5</v>
      </c>
      <c r="T797">
        <f t="shared" si="24"/>
        <v>96</v>
      </c>
      <c r="U797" t="str">
        <f t="shared" si="25"/>
        <v>Rural</v>
      </c>
    </row>
    <row r="798" spans="1:21" ht="16" x14ac:dyDescent="0.4">
      <c r="A798" s="4">
        <v>35935</v>
      </c>
      <c r="B798" s="1" t="s">
        <v>13</v>
      </c>
      <c r="C798" s="1" t="s">
        <v>14</v>
      </c>
      <c r="D798" s="1">
        <v>711</v>
      </c>
      <c r="E798" s="1">
        <v>266</v>
      </c>
      <c r="F798" s="1">
        <v>363</v>
      </c>
      <c r="G798" s="1">
        <v>1</v>
      </c>
      <c r="H798" s="1">
        <v>13120</v>
      </c>
      <c r="I798" s="1">
        <v>13</v>
      </c>
      <c r="J798" s="1">
        <v>12</v>
      </c>
      <c r="K798" s="1">
        <v>351</v>
      </c>
      <c r="L798" s="1">
        <v>305</v>
      </c>
      <c r="M798" s="1">
        <v>10.66666667</v>
      </c>
      <c r="N798">
        <f>VLOOKUP(A798,vlookup_table!$A:$G,2,FALSE)</f>
        <v>1</v>
      </c>
      <c r="O798" t="str">
        <f>VLOOKUP(A798,vlookup_table!$A:$G,3,FALSE)</f>
        <v>FL</v>
      </c>
      <c r="P798">
        <f>VLOOKUP(A798,vlookup_table!$A:$G,4,FALSE)</f>
        <v>1101</v>
      </c>
      <c r="Q798" t="str">
        <f>VLOOKUP(A798,vlookup_table!$A:$G,5,FALSE)</f>
        <v>S2</v>
      </c>
      <c r="R798" t="str">
        <f>VLOOKUP(A798,vlookup_table!$A:$G,6,FALSE)</f>
        <v>M</v>
      </c>
      <c r="S798">
        <f>VLOOKUP(A798,vlookup_table!$A:$G,7,FALSE)</f>
        <v>21</v>
      </c>
      <c r="T798">
        <f t="shared" si="24"/>
        <v>85</v>
      </c>
      <c r="U798" t="str">
        <f t="shared" si="25"/>
        <v>Suburbano</v>
      </c>
    </row>
    <row r="799" spans="1:21" ht="16" x14ac:dyDescent="0.4">
      <c r="A799" s="4">
        <v>31746</v>
      </c>
      <c r="B799" s="1" t="s">
        <v>13</v>
      </c>
      <c r="C799" s="1" t="s">
        <v>14</v>
      </c>
      <c r="D799" s="1">
        <v>576</v>
      </c>
      <c r="E799" s="1">
        <v>326</v>
      </c>
      <c r="F799" s="1">
        <v>339</v>
      </c>
      <c r="G799" s="1">
        <v>0</v>
      </c>
      <c r="H799" s="1">
        <v>11310</v>
      </c>
      <c r="I799" s="1">
        <v>1</v>
      </c>
      <c r="J799" s="1">
        <v>61</v>
      </c>
      <c r="K799" s="1">
        <v>326</v>
      </c>
      <c r="L799" s="1">
        <v>353</v>
      </c>
      <c r="M799" s="1">
        <v>8.3333333330000006</v>
      </c>
      <c r="N799">
        <f>VLOOKUP(A799,vlookup_table!$A:$G,2,FALSE)</f>
        <v>1</v>
      </c>
      <c r="O799" t="str">
        <f>VLOOKUP(A799,vlookup_table!$A:$G,3,FALSE)</f>
        <v>FL</v>
      </c>
      <c r="P799">
        <f>VLOOKUP(A799,vlookup_table!$A:$G,4,FALSE)</f>
        <v>2802</v>
      </c>
      <c r="Q799" t="str">
        <f>VLOOKUP(A799,vlookup_table!$A:$G,5,FALSE)</f>
        <v>T2</v>
      </c>
      <c r="R799" t="str">
        <f>VLOOKUP(A799,vlookup_table!$A:$G,6,FALSE)</f>
        <v>M</v>
      </c>
      <c r="S799">
        <f>VLOOKUP(A799,vlookup_table!$A:$G,7,FALSE)</f>
        <v>6</v>
      </c>
      <c r="T799">
        <f t="shared" si="24"/>
        <v>68</v>
      </c>
      <c r="U799" t="str">
        <f t="shared" si="25"/>
        <v>Pueblo</v>
      </c>
    </row>
    <row r="800" spans="1:21" ht="16" x14ac:dyDescent="0.4">
      <c r="A800" s="4">
        <v>71491</v>
      </c>
      <c r="B800" s="1" t="s">
        <v>26</v>
      </c>
      <c r="C800" s="1" t="s">
        <v>17</v>
      </c>
      <c r="D800" s="1">
        <v>786</v>
      </c>
      <c r="E800" s="1">
        <v>381</v>
      </c>
      <c r="F800" s="1">
        <v>479</v>
      </c>
      <c r="G800" s="1">
        <v>1</v>
      </c>
      <c r="H800" s="1">
        <v>16368</v>
      </c>
      <c r="I800" s="1">
        <v>3</v>
      </c>
      <c r="J800" s="1">
        <v>70</v>
      </c>
      <c r="K800" s="1">
        <v>443</v>
      </c>
      <c r="L800" s="1">
        <v>422</v>
      </c>
      <c r="M800" s="1">
        <v>17.5</v>
      </c>
      <c r="N800">
        <f>VLOOKUP(A800,vlookup_table!$A:$G,2,FALSE)</f>
        <v>0</v>
      </c>
      <c r="O800" t="str">
        <f>VLOOKUP(A800,vlookup_table!$A:$G,3,FALSE)</f>
        <v>MI</v>
      </c>
      <c r="P800">
        <f>VLOOKUP(A800,vlookup_table!$A:$G,4,FALSE)</f>
        <v>0</v>
      </c>
      <c r="Q800" t="str">
        <f>VLOOKUP(A800,vlookup_table!$A:$G,5,FALSE)</f>
        <v>C2</v>
      </c>
      <c r="R800" t="str">
        <f>VLOOKUP(A800,vlookup_table!$A:$G,6,FALSE)</f>
        <v>F</v>
      </c>
      <c r="S800">
        <f>VLOOKUP(A800,vlookup_table!$A:$G,7,FALSE)</f>
        <v>25</v>
      </c>
      <c r="T800">
        <f t="shared" si="24"/>
        <v>96</v>
      </c>
      <c r="U800" t="str">
        <f t="shared" si="25"/>
        <v>Ciudad</v>
      </c>
    </row>
    <row r="801" spans="1:21" ht="16" x14ac:dyDescent="0.4">
      <c r="A801" s="4">
        <v>188666</v>
      </c>
      <c r="B801" s="1" t="s">
        <v>13</v>
      </c>
      <c r="C801" s="1" t="s">
        <v>14</v>
      </c>
      <c r="D801" s="1">
        <v>710</v>
      </c>
      <c r="E801" s="1">
        <v>387</v>
      </c>
      <c r="F801" s="1">
        <v>494</v>
      </c>
      <c r="G801" s="1">
        <v>6</v>
      </c>
      <c r="H801" s="1">
        <v>15917</v>
      </c>
      <c r="I801" s="1">
        <v>2</v>
      </c>
      <c r="J801" s="1">
        <v>44</v>
      </c>
      <c r="K801" s="1">
        <v>446</v>
      </c>
      <c r="L801" s="1">
        <v>442</v>
      </c>
      <c r="M801" s="1">
        <v>14.777777779999999</v>
      </c>
      <c r="N801">
        <f>VLOOKUP(A801,vlookup_table!$A:$G,2,FALSE)</f>
        <v>1</v>
      </c>
      <c r="O801" t="str">
        <f>VLOOKUP(A801,vlookup_table!$A:$G,3,FALSE)</f>
        <v>FL</v>
      </c>
      <c r="P801">
        <f>VLOOKUP(A801,vlookup_table!$A:$G,4,FALSE)</f>
        <v>0</v>
      </c>
      <c r="Q801" t="str">
        <f>VLOOKUP(A801,vlookup_table!$A:$G,5,FALSE)</f>
        <v>S1</v>
      </c>
      <c r="R801" t="str">
        <f>VLOOKUP(A801,vlookup_table!$A:$G,6,FALSE)</f>
        <v>M</v>
      </c>
      <c r="S801">
        <f>VLOOKUP(A801,vlookup_table!$A:$G,7,FALSE)</f>
        <v>25</v>
      </c>
      <c r="T801">
        <f t="shared" si="24"/>
        <v>96</v>
      </c>
      <c r="U801" t="str">
        <f t="shared" si="25"/>
        <v>Suburbano</v>
      </c>
    </row>
    <row r="802" spans="1:21" ht="16" x14ac:dyDescent="0.4">
      <c r="A802" s="4">
        <v>135016</v>
      </c>
      <c r="B802" s="1" t="s">
        <v>51</v>
      </c>
      <c r="C802" s="1" t="s">
        <v>97</v>
      </c>
      <c r="D802" s="1">
        <v>433</v>
      </c>
      <c r="E802" s="1">
        <v>194</v>
      </c>
      <c r="F802" s="1">
        <v>183</v>
      </c>
      <c r="G802" s="1">
        <v>0</v>
      </c>
      <c r="H802" s="1">
        <v>5088</v>
      </c>
      <c r="I802" s="1">
        <v>29</v>
      </c>
      <c r="J802" s="1">
        <v>50</v>
      </c>
      <c r="K802" s="1">
        <v>183</v>
      </c>
      <c r="L802" s="1">
        <v>196</v>
      </c>
      <c r="M802" s="1">
        <v>7.5</v>
      </c>
      <c r="N802">
        <f>VLOOKUP(A802,vlookup_table!$A:$G,2,FALSE)</f>
        <v>0</v>
      </c>
      <c r="O802" t="str">
        <f>VLOOKUP(A802,vlookup_table!$A:$G,3,FALSE)</f>
        <v>AZ</v>
      </c>
      <c r="P802">
        <f>VLOOKUP(A802,vlookup_table!$A:$G,4,FALSE)</f>
        <v>5212</v>
      </c>
      <c r="Q802" t="str">
        <f>VLOOKUP(A802,vlookup_table!$A:$G,5,FALSE)</f>
        <v>C3</v>
      </c>
      <c r="R802" t="str">
        <f>VLOOKUP(A802,vlookup_table!$A:$G,6,FALSE)</f>
        <v>F</v>
      </c>
      <c r="S802">
        <f>VLOOKUP(A802,vlookup_table!$A:$G,7,FALSE)</f>
        <v>14</v>
      </c>
      <c r="T802">
        <f t="shared" si="24"/>
        <v>44</v>
      </c>
      <c r="U802" t="str">
        <f t="shared" si="25"/>
        <v>Ciudad</v>
      </c>
    </row>
    <row r="803" spans="1:21" ht="16" x14ac:dyDescent="0.4">
      <c r="A803" s="4">
        <v>175283</v>
      </c>
      <c r="B803" s="1" t="s">
        <v>47</v>
      </c>
      <c r="C803" s="1" t="s">
        <v>17</v>
      </c>
      <c r="D803" s="1">
        <v>1027</v>
      </c>
      <c r="E803" s="1">
        <v>447</v>
      </c>
      <c r="F803" s="1">
        <v>633</v>
      </c>
      <c r="G803" s="1">
        <v>2</v>
      </c>
      <c r="H803" s="1">
        <v>25039</v>
      </c>
      <c r="I803" s="1">
        <v>5</v>
      </c>
      <c r="J803" s="1">
        <v>46</v>
      </c>
      <c r="K803" s="1">
        <v>584</v>
      </c>
      <c r="L803" s="1">
        <v>520</v>
      </c>
      <c r="M803" s="1">
        <v>42.083333330000002</v>
      </c>
      <c r="N803">
        <f>VLOOKUP(A803,vlookup_table!$A:$G,2,FALSE)</f>
        <v>0</v>
      </c>
      <c r="O803" t="str">
        <f>VLOOKUP(A803,vlookup_table!$A:$G,3,FALSE)</f>
        <v>OR</v>
      </c>
      <c r="P803">
        <f>VLOOKUP(A803,vlookup_table!$A:$G,4,FALSE)</f>
        <v>4501</v>
      </c>
      <c r="Q803" t="str">
        <f>VLOOKUP(A803,vlookup_table!$A:$G,5,FALSE)</f>
        <v>S1</v>
      </c>
      <c r="R803" t="str">
        <f>VLOOKUP(A803,vlookup_table!$A:$G,6,FALSE)</f>
        <v>F</v>
      </c>
      <c r="S803">
        <f>VLOOKUP(A803,vlookup_table!$A:$G,7,FALSE)</f>
        <v>50</v>
      </c>
      <c r="T803">
        <f t="shared" si="24"/>
        <v>51</v>
      </c>
      <c r="U803" t="str">
        <f t="shared" si="25"/>
        <v>Suburbano</v>
      </c>
    </row>
    <row r="804" spans="1:21" ht="16" x14ac:dyDescent="0.4">
      <c r="A804" s="4">
        <v>69983</v>
      </c>
      <c r="B804" s="1" t="s">
        <v>26</v>
      </c>
      <c r="C804" s="1" t="s">
        <v>14</v>
      </c>
      <c r="D804" s="1">
        <v>475</v>
      </c>
      <c r="E804" s="1">
        <v>239</v>
      </c>
      <c r="F804" s="1">
        <v>319</v>
      </c>
      <c r="G804" s="1">
        <v>0</v>
      </c>
      <c r="H804" s="1">
        <v>10528</v>
      </c>
      <c r="I804" s="1">
        <v>1</v>
      </c>
      <c r="J804" s="1">
        <v>91</v>
      </c>
      <c r="K804" s="1">
        <v>295</v>
      </c>
      <c r="L804" s="1">
        <v>291</v>
      </c>
      <c r="M804" s="1">
        <v>7.5625</v>
      </c>
      <c r="N804">
        <f>VLOOKUP(A804,vlookup_table!$A:$G,2,FALSE)</f>
        <v>1</v>
      </c>
      <c r="O804" t="str">
        <f>VLOOKUP(A804,vlookup_table!$A:$G,3,FALSE)</f>
        <v>MI</v>
      </c>
      <c r="P804">
        <f>VLOOKUP(A804,vlookup_table!$A:$G,4,FALSE)</f>
        <v>1305</v>
      </c>
      <c r="Q804" t="str">
        <f>VLOOKUP(A804,vlookup_table!$A:$G,5,FALSE)</f>
        <v>R2</v>
      </c>
      <c r="R804" t="str">
        <f>VLOOKUP(A804,vlookup_table!$A:$G,6,FALSE)</f>
        <v>M</v>
      </c>
      <c r="S804">
        <f>VLOOKUP(A804,vlookup_table!$A:$G,7,FALSE)</f>
        <v>11</v>
      </c>
      <c r="T804">
        <f t="shared" si="24"/>
        <v>83</v>
      </c>
      <c r="U804" t="str">
        <f t="shared" si="25"/>
        <v>Rural</v>
      </c>
    </row>
    <row r="805" spans="1:21" ht="16" x14ac:dyDescent="0.4">
      <c r="A805" s="4">
        <v>42291</v>
      </c>
      <c r="B805" s="1" t="s">
        <v>13</v>
      </c>
      <c r="C805" s="1" t="s">
        <v>14</v>
      </c>
      <c r="D805" s="1">
        <v>568</v>
      </c>
      <c r="E805" s="1">
        <v>221</v>
      </c>
      <c r="F805" s="1">
        <v>328</v>
      </c>
      <c r="G805" s="1">
        <v>2</v>
      </c>
      <c r="H805" s="1">
        <v>14886</v>
      </c>
      <c r="I805" s="1">
        <v>2</v>
      </c>
      <c r="J805" s="1">
        <v>34</v>
      </c>
      <c r="K805" s="1">
        <v>256</v>
      </c>
      <c r="L805" s="1">
        <v>273</v>
      </c>
      <c r="M805" s="1">
        <v>10.52631579</v>
      </c>
      <c r="N805">
        <f>VLOOKUP(A805,vlookup_table!$A:$G,2,FALSE)</f>
        <v>0</v>
      </c>
      <c r="O805" t="str">
        <f>VLOOKUP(A805,vlookup_table!$A:$G,3,FALSE)</f>
        <v>FL</v>
      </c>
      <c r="P805">
        <f>VLOOKUP(A805,vlookup_table!$A:$G,4,FALSE)</f>
        <v>0</v>
      </c>
      <c r="Q805" t="str">
        <f>VLOOKUP(A805,vlookup_table!$A:$G,5,FALSE)</f>
        <v>R2</v>
      </c>
      <c r="R805" t="str">
        <f>VLOOKUP(A805,vlookup_table!$A:$G,6,FALSE)</f>
        <v>M</v>
      </c>
      <c r="S805">
        <f>VLOOKUP(A805,vlookup_table!$A:$G,7,FALSE)</f>
        <v>15</v>
      </c>
      <c r="T805">
        <f t="shared" si="24"/>
        <v>96</v>
      </c>
      <c r="U805" t="str">
        <f t="shared" si="25"/>
        <v>Rural</v>
      </c>
    </row>
    <row r="806" spans="1:21" ht="16" x14ac:dyDescent="0.4">
      <c r="A806" s="4">
        <v>160869</v>
      </c>
      <c r="B806" s="1" t="s">
        <v>21</v>
      </c>
      <c r="C806" s="1" t="s">
        <v>14</v>
      </c>
      <c r="D806" s="1">
        <v>1035</v>
      </c>
      <c r="E806" s="1">
        <v>328</v>
      </c>
      <c r="F806" s="1">
        <v>313</v>
      </c>
      <c r="G806" s="1">
        <v>1</v>
      </c>
      <c r="H806" s="1">
        <v>9472</v>
      </c>
      <c r="I806" s="1">
        <v>7</v>
      </c>
      <c r="J806" s="1">
        <v>55</v>
      </c>
      <c r="K806" s="1">
        <v>339</v>
      </c>
      <c r="L806" s="1">
        <v>298</v>
      </c>
      <c r="M806" s="1">
        <v>4.1500000000000004</v>
      </c>
      <c r="N806">
        <f>VLOOKUP(A806,vlookup_table!$A:$G,2,FALSE)</f>
        <v>1</v>
      </c>
      <c r="O806" t="str">
        <f>VLOOKUP(A806,vlookup_table!$A:$G,3,FALSE)</f>
        <v>CA</v>
      </c>
      <c r="P806">
        <f>VLOOKUP(A806,vlookup_table!$A:$G,4,FALSE)</f>
        <v>1502</v>
      </c>
      <c r="Q806" t="str">
        <f>VLOOKUP(A806,vlookup_table!$A:$G,5,FALSE)</f>
        <v>C2</v>
      </c>
      <c r="R806" t="str">
        <f>VLOOKUP(A806,vlookup_table!$A:$G,6,FALSE)</f>
        <v>M</v>
      </c>
      <c r="S806">
        <f>VLOOKUP(A806,vlookup_table!$A:$G,7,FALSE)</f>
        <v>4</v>
      </c>
      <c r="T806">
        <f t="shared" si="24"/>
        <v>81</v>
      </c>
      <c r="U806" t="str">
        <f t="shared" si="25"/>
        <v>Ciudad</v>
      </c>
    </row>
    <row r="807" spans="1:21" ht="16" x14ac:dyDescent="0.4">
      <c r="A807" s="4">
        <v>28003</v>
      </c>
      <c r="B807" s="1" t="s">
        <v>16</v>
      </c>
      <c r="C807" s="1" t="s">
        <v>17</v>
      </c>
      <c r="D807" s="1">
        <v>1671</v>
      </c>
      <c r="E807" s="1">
        <v>662</v>
      </c>
      <c r="F807" s="1">
        <v>711</v>
      </c>
      <c r="G807" s="1">
        <v>19</v>
      </c>
      <c r="H807" s="1">
        <v>23530</v>
      </c>
      <c r="I807" s="1">
        <v>12</v>
      </c>
      <c r="J807" s="1">
        <v>64</v>
      </c>
      <c r="K807" s="1">
        <v>664</v>
      </c>
      <c r="L807" s="1">
        <v>700</v>
      </c>
      <c r="M807" s="1">
        <v>9.1999999999999993</v>
      </c>
      <c r="N807">
        <f>VLOOKUP(A807,vlookup_table!$A:$G,2,FALSE)</f>
        <v>0</v>
      </c>
      <c r="O807" t="str">
        <f>VLOOKUP(A807,vlookup_table!$A:$G,3,FALSE)</f>
        <v>IL</v>
      </c>
      <c r="P807">
        <f>VLOOKUP(A807,vlookup_table!$A:$G,4,FALSE)</f>
        <v>0</v>
      </c>
      <c r="Q807" t="str">
        <f>VLOOKUP(A807,vlookup_table!$A:$G,5,FALSE)</f>
        <v>C1</v>
      </c>
      <c r="R807" t="str">
        <f>VLOOKUP(A807,vlookup_table!$A:$G,6,FALSE)</f>
        <v>F</v>
      </c>
      <c r="S807">
        <f>VLOOKUP(A807,vlookup_table!$A:$G,7,FALSE)</f>
        <v>15</v>
      </c>
      <c r="T807">
        <f t="shared" si="24"/>
        <v>96</v>
      </c>
      <c r="U807" t="str">
        <f t="shared" si="25"/>
        <v>Ciudad</v>
      </c>
    </row>
    <row r="808" spans="1:21" ht="16" x14ac:dyDescent="0.4">
      <c r="A808" s="4">
        <v>104732</v>
      </c>
      <c r="B808" s="1" t="s">
        <v>25</v>
      </c>
      <c r="C808" s="1" t="s">
        <v>17</v>
      </c>
      <c r="D808" s="1">
        <v>605</v>
      </c>
      <c r="E808" s="1">
        <v>306</v>
      </c>
      <c r="F808" s="1">
        <v>362</v>
      </c>
      <c r="G808" s="1">
        <v>0</v>
      </c>
      <c r="H808" s="1">
        <v>14037</v>
      </c>
      <c r="I808" s="1">
        <v>3</v>
      </c>
      <c r="J808" s="1">
        <v>34</v>
      </c>
      <c r="K808" s="1">
        <v>335</v>
      </c>
      <c r="L808" s="1">
        <v>343</v>
      </c>
      <c r="M808" s="1">
        <v>6.2857142860000002</v>
      </c>
      <c r="N808">
        <f>VLOOKUP(A808,vlookup_table!$A:$G,2,FALSE)</f>
        <v>0</v>
      </c>
      <c r="O808" t="str">
        <f>VLOOKUP(A808,vlookup_table!$A:$G,3,FALSE)</f>
        <v>KS</v>
      </c>
      <c r="P808">
        <f>VLOOKUP(A808,vlookup_table!$A:$G,4,FALSE)</f>
        <v>1403</v>
      </c>
      <c r="Q808" t="str">
        <f>VLOOKUP(A808,vlookup_table!$A:$G,5,FALSE)</f>
        <v>S2</v>
      </c>
      <c r="R808" t="str">
        <f>VLOOKUP(A808,vlookup_table!$A:$G,6,FALSE)</f>
        <v>F</v>
      </c>
      <c r="S808">
        <f>VLOOKUP(A808,vlookup_table!$A:$G,7,FALSE)</f>
        <v>10</v>
      </c>
      <c r="T808">
        <f t="shared" si="24"/>
        <v>82</v>
      </c>
      <c r="U808" t="str">
        <f t="shared" si="25"/>
        <v>Suburbano</v>
      </c>
    </row>
    <row r="809" spans="1:21" ht="16" x14ac:dyDescent="0.4">
      <c r="A809" s="4">
        <v>126035</v>
      </c>
      <c r="B809" s="1" t="s">
        <v>20</v>
      </c>
      <c r="C809" s="1" t="s">
        <v>27</v>
      </c>
      <c r="D809" s="1">
        <v>262</v>
      </c>
      <c r="E809" s="1">
        <v>163</v>
      </c>
      <c r="F809" s="1">
        <v>260</v>
      </c>
      <c r="G809" s="1">
        <v>0</v>
      </c>
      <c r="H809" s="1">
        <v>7587</v>
      </c>
      <c r="I809" s="1">
        <v>4</v>
      </c>
      <c r="J809" s="1">
        <v>89</v>
      </c>
      <c r="K809" s="1">
        <v>206</v>
      </c>
      <c r="L809" s="1">
        <v>226</v>
      </c>
      <c r="M809" s="1">
        <v>10.0625</v>
      </c>
      <c r="N809">
        <f>VLOOKUP(A809,vlookup_table!$A:$G,2,FALSE)</f>
        <v>0</v>
      </c>
      <c r="O809" t="str">
        <f>VLOOKUP(A809,vlookup_table!$A:$G,3,FALSE)</f>
        <v>TX</v>
      </c>
      <c r="P809">
        <f>VLOOKUP(A809,vlookup_table!$A:$G,4,FALSE)</f>
        <v>1308</v>
      </c>
      <c r="Q809" t="str">
        <f>VLOOKUP(A809,vlookup_table!$A:$G,5,FALSE)</f>
        <v>R3</v>
      </c>
      <c r="R809" t="str">
        <f>VLOOKUP(A809,vlookup_table!$A:$G,6,FALSE)</f>
        <v>U</v>
      </c>
      <c r="S809">
        <f>VLOOKUP(A809,vlookup_table!$A:$G,7,FALSE)</f>
        <v>21</v>
      </c>
      <c r="T809">
        <f t="shared" si="24"/>
        <v>83</v>
      </c>
      <c r="U809" t="str">
        <f t="shared" si="25"/>
        <v>Rural</v>
      </c>
    </row>
    <row r="810" spans="1:21" ht="16" x14ac:dyDescent="0.4">
      <c r="A810" s="4">
        <v>29852</v>
      </c>
      <c r="B810" s="1" t="s">
        <v>36</v>
      </c>
      <c r="C810" s="1" t="s">
        <v>14</v>
      </c>
      <c r="D810" s="1">
        <v>593</v>
      </c>
      <c r="E810" s="1">
        <v>301</v>
      </c>
      <c r="F810" s="1">
        <v>361</v>
      </c>
      <c r="G810" s="1">
        <v>0</v>
      </c>
      <c r="H810" s="1">
        <v>11838</v>
      </c>
      <c r="I810" s="1">
        <v>2</v>
      </c>
      <c r="J810" s="1">
        <v>62</v>
      </c>
      <c r="K810" s="1">
        <v>341</v>
      </c>
      <c r="L810" s="1">
        <v>316</v>
      </c>
      <c r="M810" s="1">
        <v>9.6435714289999996</v>
      </c>
      <c r="N810">
        <f>VLOOKUP(A810,vlookup_table!$A:$G,2,FALSE)</f>
        <v>1</v>
      </c>
      <c r="O810" t="str">
        <f>VLOOKUP(A810,vlookup_table!$A:$G,3,FALSE)</f>
        <v>GA</v>
      </c>
      <c r="P810">
        <f>VLOOKUP(A810,vlookup_table!$A:$G,4,FALSE)</f>
        <v>5712</v>
      </c>
      <c r="Q810" t="str">
        <f>VLOOKUP(A810,vlookup_table!$A:$G,5,FALSE)</f>
        <v>T2</v>
      </c>
      <c r="R810" t="str">
        <f>VLOOKUP(A810,vlookup_table!$A:$G,6,FALSE)</f>
        <v>M</v>
      </c>
      <c r="S810">
        <f>VLOOKUP(A810,vlookup_table!$A:$G,7,FALSE)</f>
        <v>17</v>
      </c>
      <c r="T810">
        <f t="shared" si="24"/>
        <v>39</v>
      </c>
      <c r="U810" t="str">
        <f t="shared" si="25"/>
        <v>Pueblo</v>
      </c>
    </row>
    <row r="811" spans="1:21" ht="16" x14ac:dyDescent="0.4">
      <c r="A811" s="4">
        <v>118091</v>
      </c>
      <c r="B811" s="1" t="s">
        <v>20</v>
      </c>
      <c r="C811" s="1" t="s">
        <v>14</v>
      </c>
      <c r="D811" s="1">
        <v>491</v>
      </c>
      <c r="E811" s="1">
        <v>356</v>
      </c>
      <c r="F811" s="1">
        <v>387</v>
      </c>
      <c r="G811" s="1">
        <v>0</v>
      </c>
      <c r="H811" s="1">
        <v>12961</v>
      </c>
      <c r="I811" s="1">
        <v>2</v>
      </c>
      <c r="J811" s="1">
        <v>77</v>
      </c>
      <c r="K811" s="1">
        <v>384</v>
      </c>
      <c r="L811" s="1">
        <v>357</v>
      </c>
      <c r="M811" s="1">
        <v>16.125</v>
      </c>
      <c r="N811">
        <f>VLOOKUP(A811,vlookup_table!$A:$G,2,FALSE)</f>
        <v>1</v>
      </c>
      <c r="O811" t="str">
        <f>VLOOKUP(A811,vlookup_table!$A:$G,3,FALSE)</f>
        <v>TX</v>
      </c>
      <c r="P811">
        <f>VLOOKUP(A811,vlookup_table!$A:$G,4,FALSE)</f>
        <v>4612</v>
      </c>
      <c r="Q811" t="str">
        <f>VLOOKUP(A811,vlookup_table!$A:$G,5,FALSE)</f>
        <v>T2</v>
      </c>
      <c r="R811" t="str">
        <f>VLOOKUP(A811,vlookup_table!$A:$G,6,FALSE)</f>
        <v>M</v>
      </c>
      <c r="S811">
        <f>VLOOKUP(A811,vlookup_table!$A:$G,7,FALSE)</f>
        <v>20</v>
      </c>
      <c r="T811">
        <f t="shared" si="24"/>
        <v>50</v>
      </c>
      <c r="U811" t="str">
        <f t="shared" si="25"/>
        <v>Pueblo</v>
      </c>
    </row>
    <row r="812" spans="1:21" ht="16" x14ac:dyDescent="0.4">
      <c r="A812" s="4">
        <v>8204</v>
      </c>
      <c r="B812" s="1" t="s">
        <v>26</v>
      </c>
      <c r="C812" s="1" t="s">
        <v>17</v>
      </c>
      <c r="D812" s="1">
        <v>301</v>
      </c>
      <c r="E812" s="1">
        <v>205</v>
      </c>
      <c r="F812" s="1">
        <v>256</v>
      </c>
      <c r="G812" s="1">
        <v>0</v>
      </c>
      <c r="H812" s="1">
        <v>8803</v>
      </c>
      <c r="I812" s="1">
        <v>0</v>
      </c>
      <c r="J812" s="1">
        <v>92</v>
      </c>
      <c r="K812" s="1">
        <v>208</v>
      </c>
      <c r="L812" s="1">
        <v>246</v>
      </c>
      <c r="M812" s="1">
        <v>13.25</v>
      </c>
      <c r="N812">
        <f>VLOOKUP(A812,vlookup_table!$A:$G,2,FALSE)</f>
        <v>0</v>
      </c>
      <c r="O812" t="str">
        <f>VLOOKUP(A812,vlookup_table!$A:$G,3,FALSE)</f>
        <v>MI</v>
      </c>
      <c r="P812">
        <f>VLOOKUP(A812,vlookup_table!$A:$G,4,FALSE)</f>
        <v>1503</v>
      </c>
      <c r="Q812" t="str">
        <f>VLOOKUP(A812,vlookup_table!$A:$G,5,FALSE)</f>
        <v>R3</v>
      </c>
      <c r="R812" t="str">
        <f>VLOOKUP(A812,vlookup_table!$A:$G,6,FALSE)</f>
        <v>F</v>
      </c>
      <c r="S812">
        <f>VLOOKUP(A812,vlookup_table!$A:$G,7,FALSE)</f>
        <v>10</v>
      </c>
      <c r="T812">
        <f t="shared" si="24"/>
        <v>81</v>
      </c>
      <c r="U812" t="str">
        <f t="shared" si="25"/>
        <v>Rural</v>
      </c>
    </row>
    <row r="813" spans="1:21" ht="16" x14ac:dyDescent="0.4">
      <c r="A813" s="4">
        <v>90947</v>
      </c>
      <c r="B813" s="1" t="s">
        <v>16</v>
      </c>
      <c r="C813" s="1" t="s">
        <v>17</v>
      </c>
      <c r="D813" s="1">
        <v>560</v>
      </c>
      <c r="E813" s="1">
        <v>296</v>
      </c>
      <c r="F813" s="1">
        <v>388</v>
      </c>
      <c r="G813" s="1">
        <v>0</v>
      </c>
      <c r="H813" s="1">
        <v>14237</v>
      </c>
      <c r="I813" s="1">
        <v>6</v>
      </c>
      <c r="J813" s="1">
        <v>76</v>
      </c>
      <c r="K813" s="1">
        <v>384</v>
      </c>
      <c r="L813" s="1">
        <v>340</v>
      </c>
      <c r="M813" s="1">
        <v>15</v>
      </c>
      <c r="N813">
        <f>VLOOKUP(A813,vlookup_table!$A:$G,2,FALSE)</f>
        <v>28</v>
      </c>
      <c r="O813" t="str">
        <f>VLOOKUP(A813,vlookup_table!$A:$G,3,FALSE)</f>
        <v>IL</v>
      </c>
      <c r="P813">
        <f>VLOOKUP(A813,vlookup_table!$A:$G,4,FALSE)</f>
        <v>5001</v>
      </c>
      <c r="Q813" t="str">
        <f>VLOOKUP(A813,vlookup_table!$A:$G,5,FALSE)</f>
        <v>S3</v>
      </c>
      <c r="R813" t="str">
        <f>VLOOKUP(A813,vlookup_table!$A:$G,6,FALSE)</f>
        <v>F</v>
      </c>
      <c r="S813">
        <f>VLOOKUP(A813,vlookup_table!$A:$G,7,FALSE)</f>
        <v>25</v>
      </c>
      <c r="T813">
        <f t="shared" si="24"/>
        <v>46</v>
      </c>
      <c r="U813" t="str">
        <f t="shared" si="25"/>
        <v>Suburbano</v>
      </c>
    </row>
    <row r="814" spans="1:21" ht="16" x14ac:dyDescent="0.4">
      <c r="A814" s="4">
        <v>144769</v>
      </c>
      <c r="B814" s="1" t="s">
        <v>21</v>
      </c>
      <c r="C814" s="1" t="s">
        <v>27</v>
      </c>
      <c r="D814" s="1">
        <v>5879</v>
      </c>
      <c r="E814" s="1">
        <v>703</v>
      </c>
      <c r="F814" s="1">
        <v>930</v>
      </c>
      <c r="G814" s="1">
        <v>98</v>
      </c>
      <c r="H814" s="1">
        <v>57390</v>
      </c>
      <c r="I814" s="1">
        <v>16</v>
      </c>
      <c r="J814" s="1">
        <v>42</v>
      </c>
      <c r="K814" s="1">
        <v>976</v>
      </c>
      <c r="L814" s="1">
        <v>794</v>
      </c>
      <c r="M814" s="1">
        <v>5.8</v>
      </c>
      <c r="N814">
        <f>VLOOKUP(A814,vlookup_table!$A:$G,2,FALSE)</f>
        <v>1</v>
      </c>
      <c r="O814" t="str">
        <f>VLOOKUP(A814,vlookup_table!$A:$G,3,FALSE)</f>
        <v>CA</v>
      </c>
      <c r="P814">
        <f>VLOOKUP(A814,vlookup_table!$A:$G,4,FALSE)</f>
        <v>0</v>
      </c>
      <c r="Q814" t="str">
        <f>VLOOKUP(A814,vlookup_table!$A:$G,5,FALSE)</f>
        <v>S1</v>
      </c>
      <c r="R814" t="str">
        <f>VLOOKUP(A814,vlookup_table!$A:$G,6,FALSE)</f>
        <v>U</v>
      </c>
      <c r="S814">
        <f>VLOOKUP(A814,vlookup_table!$A:$G,7,FALSE)</f>
        <v>6</v>
      </c>
      <c r="T814">
        <f t="shared" si="24"/>
        <v>96</v>
      </c>
      <c r="U814" t="str">
        <f t="shared" si="25"/>
        <v>Suburbano</v>
      </c>
    </row>
    <row r="815" spans="1:21" ht="16" x14ac:dyDescent="0.4">
      <c r="A815" s="4">
        <v>6912</v>
      </c>
      <c r="B815" s="1" t="s">
        <v>23</v>
      </c>
      <c r="C815" s="1" t="s">
        <v>17</v>
      </c>
      <c r="D815" s="1">
        <v>617</v>
      </c>
      <c r="E815" s="1">
        <v>168</v>
      </c>
      <c r="F815" s="1">
        <v>259</v>
      </c>
      <c r="G815" s="1">
        <v>1</v>
      </c>
      <c r="H815" s="1">
        <v>9154</v>
      </c>
      <c r="I815" s="1">
        <v>8</v>
      </c>
      <c r="J815" s="1">
        <v>40</v>
      </c>
      <c r="K815" s="1">
        <v>202</v>
      </c>
      <c r="L815" s="1">
        <v>239</v>
      </c>
      <c r="M815" s="1">
        <v>12.91666667</v>
      </c>
      <c r="N815">
        <f>VLOOKUP(A815,vlookup_table!$A:$G,2,FALSE)</f>
        <v>2</v>
      </c>
      <c r="O815" t="str">
        <f>VLOOKUP(A815,vlookup_table!$A:$G,3,FALSE)</f>
        <v>NV</v>
      </c>
      <c r="P815">
        <f>VLOOKUP(A815,vlookup_table!$A:$G,4,FALSE)</f>
        <v>2609</v>
      </c>
      <c r="Q815" t="str">
        <f>VLOOKUP(A815,vlookup_table!$A:$G,5,FALSE)</f>
        <v>C2</v>
      </c>
      <c r="R815" t="str">
        <f>VLOOKUP(A815,vlookup_table!$A:$G,6,FALSE)</f>
        <v>F</v>
      </c>
      <c r="S815">
        <f>VLOOKUP(A815,vlookup_table!$A:$G,7,FALSE)</f>
        <v>15</v>
      </c>
      <c r="T815">
        <f t="shared" si="24"/>
        <v>70</v>
      </c>
      <c r="U815" t="str">
        <f t="shared" si="25"/>
        <v>Ciudad</v>
      </c>
    </row>
    <row r="816" spans="1:21" ht="16" x14ac:dyDescent="0.4">
      <c r="A816" s="4">
        <v>2464</v>
      </c>
      <c r="B816" s="1" t="s">
        <v>20</v>
      </c>
      <c r="C816" s="1" t="s">
        <v>14</v>
      </c>
      <c r="D816" s="1">
        <v>481</v>
      </c>
      <c r="E816" s="1">
        <v>195</v>
      </c>
      <c r="F816" s="1">
        <v>307</v>
      </c>
      <c r="G816" s="1">
        <v>1</v>
      </c>
      <c r="H816" s="1">
        <v>11476</v>
      </c>
      <c r="I816" s="1">
        <v>3</v>
      </c>
      <c r="J816" s="1">
        <v>83</v>
      </c>
      <c r="K816" s="1">
        <v>248</v>
      </c>
      <c r="L816" s="1">
        <v>265</v>
      </c>
      <c r="M816" s="1">
        <v>7.8235294120000001</v>
      </c>
      <c r="N816">
        <f>VLOOKUP(A816,vlookup_table!$A:$G,2,FALSE)</f>
        <v>1</v>
      </c>
      <c r="O816" t="str">
        <f>VLOOKUP(A816,vlookup_table!$A:$G,3,FALSE)</f>
        <v>TX</v>
      </c>
      <c r="P816">
        <f>VLOOKUP(A816,vlookup_table!$A:$G,4,FALSE)</f>
        <v>4104</v>
      </c>
      <c r="Q816" t="str">
        <f>VLOOKUP(A816,vlookup_table!$A:$G,5,FALSE)</f>
        <v/>
      </c>
      <c r="R816" t="str">
        <f>VLOOKUP(A816,vlookup_table!$A:$G,6,FALSE)</f>
        <v>M</v>
      </c>
      <c r="S816">
        <f>VLOOKUP(A816,vlookup_table!$A:$G,7,FALSE)</f>
        <v>7</v>
      </c>
      <c r="T816">
        <f t="shared" si="24"/>
        <v>55</v>
      </c>
      <c r="U816" t="str">
        <f t="shared" si="25"/>
        <v/>
      </c>
    </row>
    <row r="817" spans="1:21" ht="16" x14ac:dyDescent="0.4">
      <c r="A817" s="4">
        <v>71400</v>
      </c>
      <c r="B817" s="1" t="s">
        <v>26</v>
      </c>
      <c r="C817" s="1" t="s">
        <v>14</v>
      </c>
      <c r="D817" s="1">
        <v>602</v>
      </c>
      <c r="E817" s="1">
        <v>336</v>
      </c>
      <c r="F817" s="1">
        <v>391</v>
      </c>
      <c r="G817" s="1">
        <v>0</v>
      </c>
      <c r="H817" s="1">
        <v>12418</v>
      </c>
      <c r="I817" s="1">
        <v>1</v>
      </c>
      <c r="J817" s="1">
        <v>87</v>
      </c>
      <c r="K817" s="1">
        <v>366</v>
      </c>
      <c r="L817" s="1">
        <v>363</v>
      </c>
      <c r="M817" s="1">
        <v>8</v>
      </c>
      <c r="N817">
        <f>VLOOKUP(A817,vlookup_table!$A:$G,2,FALSE)</f>
        <v>2</v>
      </c>
      <c r="O817" t="str">
        <f>VLOOKUP(A817,vlookup_table!$A:$G,3,FALSE)</f>
        <v>MI</v>
      </c>
      <c r="P817">
        <f>VLOOKUP(A817,vlookup_table!$A:$G,4,FALSE)</f>
        <v>0</v>
      </c>
      <c r="Q817" t="str">
        <f>VLOOKUP(A817,vlookup_table!$A:$G,5,FALSE)</f>
        <v>R2</v>
      </c>
      <c r="R817" t="str">
        <f>VLOOKUP(A817,vlookup_table!$A:$G,6,FALSE)</f>
        <v>M</v>
      </c>
      <c r="S817">
        <f>VLOOKUP(A817,vlookup_table!$A:$G,7,FALSE)</f>
        <v>15</v>
      </c>
      <c r="T817">
        <f t="shared" si="24"/>
        <v>96</v>
      </c>
      <c r="U817" t="str">
        <f t="shared" si="25"/>
        <v>Rural</v>
      </c>
    </row>
    <row r="818" spans="1:21" ht="16" x14ac:dyDescent="0.4">
      <c r="A818" s="4">
        <v>250</v>
      </c>
      <c r="B818" s="1" t="s">
        <v>16</v>
      </c>
      <c r="C818" s="1" t="s">
        <v>17</v>
      </c>
      <c r="D818" s="1">
        <v>469</v>
      </c>
      <c r="E818" s="1">
        <v>222</v>
      </c>
      <c r="F818" s="1">
        <v>304</v>
      </c>
      <c r="G818" s="1">
        <v>1</v>
      </c>
      <c r="H818" s="1">
        <v>10469</v>
      </c>
      <c r="I818" s="1">
        <v>2</v>
      </c>
      <c r="J818" s="1">
        <v>77</v>
      </c>
      <c r="K818" s="1">
        <v>241</v>
      </c>
      <c r="L818" s="1">
        <v>257</v>
      </c>
      <c r="M818" s="1">
        <v>10.875</v>
      </c>
      <c r="N818">
        <f>VLOOKUP(A818,vlookup_table!$A:$G,2,FALSE)</f>
        <v>3</v>
      </c>
      <c r="O818" t="str">
        <f>VLOOKUP(A818,vlookup_table!$A:$G,3,FALSE)</f>
        <v>IL</v>
      </c>
      <c r="P818">
        <f>VLOOKUP(A818,vlookup_table!$A:$G,4,FALSE)</f>
        <v>1001</v>
      </c>
      <c r="Q818" t="str">
        <f>VLOOKUP(A818,vlookup_table!$A:$G,5,FALSE)</f>
        <v>S2</v>
      </c>
      <c r="R818" t="str">
        <f>VLOOKUP(A818,vlookup_table!$A:$G,6,FALSE)</f>
        <v>F</v>
      </c>
      <c r="S818">
        <f>VLOOKUP(A818,vlookup_table!$A:$G,7,FALSE)</f>
        <v>15</v>
      </c>
      <c r="T818">
        <f t="shared" si="24"/>
        <v>86</v>
      </c>
      <c r="U818" t="str">
        <f t="shared" si="25"/>
        <v>Suburbano</v>
      </c>
    </row>
    <row r="819" spans="1:21" ht="16" x14ac:dyDescent="0.4">
      <c r="A819" s="4">
        <v>99325</v>
      </c>
      <c r="B819" s="1" t="s">
        <v>33</v>
      </c>
      <c r="C819" s="1" t="s">
        <v>14</v>
      </c>
      <c r="D819" s="1">
        <v>1191</v>
      </c>
      <c r="E819" s="1">
        <v>440</v>
      </c>
      <c r="F819" s="1">
        <v>575</v>
      </c>
      <c r="G819" s="1">
        <v>1</v>
      </c>
      <c r="H819" s="1">
        <v>20176</v>
      </c>
      <c r="I819" s="1">
        <v>3</v>
      </c>
      <c r="J819" s="1">
        <v>58</v>
      </c>
      <c r="K819" s="1">
        <v>536</v>
      </c>
      <c r="L819" s="1">
        <v>515</v>
      </c>
      <c r="M819" s="1">
        <v>10</v>
      </c>
      <c r="N819">
        <f>VLOOKUP(A819,vlookup_table!$A:$G,2,FALSE)</f>
        <v>1</v>
      </c>
      <c r="O819" t="str">
        <f>VLOOKUP(A819,vlookup_table!$A:$G,3,FALSE)</f>
        <v>MO</v>
      </c>
      <c r="P819">
        <f>VLOOKUP(A819,vlookup_table!$A:$G,4,FALSE)</f>
        <v>1701</v>
      </c>
      <c r="Q819" t="str">
        <f>VLOOKUP(A819,vlookup_table!$A:$G,5,FALSE)</f>
        <v>C1</v>
      </c>
      <c r="R819" t="str">
        <f>VLOOKUP(A819,vlookup_table!$A:$G,6,FALSE)</f>
        <v>M</v>
      </c>
      <c r="S819">
        <f>VLOOKUP(A819,vlookup_table!$A:$G,7,FALSE)</f>
        <v>10</v>
      </c>
      <c r="T819">
        <f t="shared" si="24"/>
        <v>79</v>
      </c>
      <c r="U819" t="str">
        <f t="shared" si="25"/>
        <v>Ciudad</v>
      </c>
    </row>
    <row r="820" spans="1:21" ht="16" x14ac:dyDescent="0.4">
      <c r="A820" s="4">
        <v>120461</v>
      </c>
      <c r="B820" s="1" t="s">
        <v>20</v>
      </c>
      <c r="C820" s="1" t="s">
        <v>17</v>
      </c>
      <c r="D820" s="1">
        <v>547</v>
      </c>
      <c r="E820" s="1">
        <v>309</v>
      </c>
      <c r="F820" s="1">
        <v>377</v>
      </c>
      <c r="G820" s="1">
        <v>0</v>
      </c>
      <c r="H820" s="1">
        <v>11973</v>
      </c>
      <c r="I820" s="1">
        <v>1</v>
      </c>
      <c r="J820" s="1">
        <v>70</v>
      </c>
      <c r="K820" s="1">
        <v>337</v>
      </c>
      <c r="L820" s="1">
        <v>340</v>
      </c>
      <c r="M820" s="1">
        <v>16.399999999999999</v>
      </c>
      <c r="N820">
        <f>VLOOKUP(A820,vlookup_table!$A:$G,2,FALSE)</f>
        <v>0</v>
      </c>
      <c r="O820" t="str">
        <f>VLOOKUP(A820,vlookup_table!$A:$G,3,FALSE)</f>
        <v>TX</v>
      </c>
      <c r="P820">
        <f>VLOOKUP(A820,vlookup_table!$A:$G,4,FALSE)</f>
        <v>4401</v>
      </c>
      <c r="Q820" t="str">
        <f>VLOOKUP(A820,vlookup_table!$A:$G,5,FALSE)</f>
        <v>R2</v>
      </c>
      <c r="R820" t="str">
        <f>VLOOKUP(A820,vlookup_table!$A:$G,6,FALSE)</f>
        <v>F</v>
      </c>
      <c r="S820">
        <f>VLOOKUP(A820,vlookup_table!$A:$G,7,FALSE)</f>
        <v>20</v>
      </c>
      <c r="T820">
        <f t="shared" si="24"/>
        <v>52</v>
      </c>
      <c r="U820" t="str">
        <f t="shared" si="25"/>
        <v>Rural</v>
      </c>
    </row>
    <row r="821" spans="1:21" ht="16" x14ac:dyDescent="0.4">
      <c r="A821" s="4">
        <v>185760</v>
      </c>
      <c r="B821" s="1" t="s">
        <v>36</v>
      </c>
      <c r="C821" s="1"/>
      <c r="D821" s="1">
        <v>659</v>
      </c>
      <c r="E821" s="1">
        <v>250</v>
      </c>
      <c r="F821" s="1">
        <v>432</v>
      </c>
      <c r="G821" s="1">
        <v>0</v>
      </c>
      <c r="H821" s="1">
        <v>14914</v>
      </c>
      <c r="I821" s="1">
        <v>7</v>
      </c>
      <c r="J821" s="1">
        <v>43</v>
      </c>
      <c r="K821" s="1">
        <v>338</v>
      </c>
      <c r="L821" s="1">
        <v>334</v>
      </c>
      <c r="M821" s="1">
        <v>6.9166666670000003</v>
      </c>
      <c r="N821">
        <f>VLOOKUP(A821,vlookup_table!$A:$G,2,FALSE)</f>
        <v>0</v>
      </c>
      <c r="O821" t="str">
        <f>VLOOKUP(A821,vlookup_table!$A:$G,3,FALSE)</f>
        <v>GA</v>
      </c>
      <c r="P821">
        <f>VLOOKUP(A821,vlookup_table!$A:$G,4,FALSE)</f>
        <v>0</v>
      </c>
      <c r="Q821" t="str">
        <f>VLOOKUP(A821,vlookup_table!$A:$G,5,FALSE)</f>
        <v>C2</v>
      </c>
      <c r="R821" t="str">
        <f>VLOOKUP(A821,vlookup_table!$A:$G,6,FALSE)</f>
        <v/>
      </c>
      <c r="S821">
        <f>VLOOKUP(A821,vlookup_table!$A:$G,7,FALSE)</f>
        <v>10</v>
      </c>
      <c r="T821">
        <f t="shared" si="24"/>
        <v>96</v>
      </c>
      <c r="U821" t="str">
        <f t="shared" si="25"/>
        <v>Ciudad</v>
      </c>
    </row>
    <row r="822" spans="1:21" ht="16" x14ac:dyDescent="0.4">
      <c r="A822" s="4">
        <v>133285</v>
      </c>
      <c r="B822" s="1" t="s">
        <v>38</v>
      </c>
      <c r="C822" s="1" t="s">
        <v>17</v>
      </c>
      <c r="D822" s="1">
        <v>466</v>
      </c>
      <c r="E822" s="1">
        <v>205</v>
      </c>
      <c r="F822" s="1">
        <v>265</v>
      </c>
      <c r="G822" s="1">
        <v>0</v>
      </c>
      <c r="H822" s="1">
        <v>10962</v>
      </c>
      <c r="I822" s="1">
        <v>1</v>
      </c>
      <c r="J822" s="1">
        <v>48</v>
      </c>
      <c r="K822" s="1">
        <v>242</v>
      </c>
      <c r="L822" s="1">
        <v>242</v>
      </c>
      <c r="M822" s="1">
        <v>25</v>
      </c>
      <c r="N822">
        <f>VLOOKUP(A822,vlookup_table!$A:$G,2,FALSE)</f>
        <v>0</v>
      </c>
      <c r="O822" t="str">
        <f>VLOOKUP(A822,vlookup_table!$A:$G,3,FALSE)</f>
        <v>ID</v>
      </c>
      <c r="P822">
        <f>VLOOKUP(A822,vlookup_table!$A:$G,4,FALSE)</f>
        <v>0</v>
      </c>
      <c r="Q822" t="str">
        <f>VLOOKUP(A822,vlookup_table!$A:$G,5,FALSE)</f>
        <v>R2</v>
      </c>
      <c r="R822" t="str">
        <f>VLOOKUP(A822,vlookup_table!$A:$G,6,FALSE)</f>
        <v>F</v>
      </c>
      <c r="S822">
        <f>VLOOKUP(A822,vlookup_table!$A:$G,7,FALSE)</f>
        <v>30</v>
      </c>
      <c r="T822">
        <f t="shared" si="24"/>
        <v>96</v>
      </c>
      <c r="U822" t="str">
        <f t="shared" si="25"/>
        <v>Rural</v>
      </c>
    </row>
    <row r="823" spans="1:21" ht="16" x14ac:dyDescent="0.4">
      <c r="A823" s="4">
        <v>60526</v>
      </c>
      <c r="B823" s="1" t="s">
        <v>30</v>
      </c>
      <c r="C823" s="1" t="s">
        <v>14</v>
      </c>
      <c r="D823" s="1">
        <v>347</v>
      </c>
      <c r="E823" s="1">
        <v>213</v>
      </c>
      <c r="F823" s="1">
        <v>275</v>
      </c>
      <c r="G823" s="1">
        <v>0</v>
      </c>
      <c r="H823" s="1">
        <v>7915</v>
      </c>
      <c r="I823" s="1">
        <v>3</v>
      </c>
      <c r="J823" s="1">
        <v>85</v>
      </c>
      <c r="K823" s="1">
        <v>221</v>
      </c>
      <c r="L823" s="1">
        <v>252</v>
      </c>
      <c r="M823" s="1">
        <v>5.5</v>
      </c>
      <c r="N823">
        <f>VLOOKUP(A823,vlookup_table!$A:$G,2,FALSE)</f>
        <v>1</v>
      </c>
      <c r="O823" t="str">
        <f>VLOOKUP(A823,vlookup_table!$A:$G,3,FALSE)</f>
        <v>IN</v>
      </c>
      <c r="P823">
        <f>VLOOKUP(A823,vlookup_table!$A:$G,4,FALSE)</f>
        <v>4510</v>
      </c>
      <c r="Q823" t="str">
        <f>VLOOKUP(A823,vlookup_table!$A:$G,5,FALSE)</f>
        <v>C3</v>
      </c>
      <c r="R823" t="str">
        <f>VLOOKUP(A823,vlookup_table!$A:$G,6,FALSE)</f>
        <v>M</v>
      </c>
      <c r="S823">
        <f>VLOOKUP(A823,vlookup_table!$A:$G,7,FALSE)</f>
        <v>6</v>
      </c>
      <c r="T823">
        <f t="shared" si="24"/>
        <v>51</v>
      </c>
      <c r="U823" t="str">
        <f t="shared" si="25"/>
        <v>Ciudad</v>
      </c>
    </row>
    <row r="824" spans="1:21" ht="16" x14ac:dyDescent="0.4">
      <c r="A824" s="4">
        <v>26858</v>
      </c>
      <c r="B824" s="1" t="s">
        <v>36</v>
      </c>
      <c r="C824" s="1" t="s">
        <v>14</v>
      </c>
      <c r="D824" s="1">
        <v>871</v>
      </c>
      <c r="E824" s="1">
        <v>408</v>
      </c>
      <c r="F824" s="1">
        <v>476</v>
      </c>
      <c r="G824" s="1">
        <v>2</v>
      </c>
      <c r="H824" s="1">
        <v>16480</v>
      </c>
      <c r="I824" s="1">
        <v>6</v>
      </c>
      <c r="J824" s="1">
        <v>37</v>
      </c>
      <c r="K824" s="1">
        <v>426</v>
      </c>
      <c r="L824" s="1">
        <v>452</v>
      </c>
      <c r="M824" s="1">
        <v>11.33333333</v>
      </c>
      <c r="N824">
        <f>VLOOKUP(A824,vlookup_table!$A:$G,2,FALSE)</f>
        <v>2</v>
      </c>
      <c r="O824" t="str">
        <f>VLOOKUP(A824,vlookup_table!$A:$G,3,FALSE)</f>
        <v>GA</v>
      </c>
      <c r="P824">
        <f>VLOOKUP(A824,vlookup_table!$A:$G,4,FALSE)</f>
        <v>4212</v>
      </c>
      <c r="Q824" t="str">
        <f>VLOOKUP(A824,vlookup_table!$A:$G,5,FALSE)</f>
        <v>S2</v>
      </c>
      <c r="R824" t="str">
        <f>VLOOKUP(A824,vlookup_table!$A:$G,6,FALSE)</f>
        <v>M</v>
      </c>
      <c r="S824">
        <f>VLOOKUP(A824,vlookup_table!$A:$G,7,FALSE)</f>
        <v>15</v>
      </c>
      <c r="T824">
        <f t="shared" si="24"/>
        <v>54</v>
      </c>
      <c r="U824" t="str">
        <f t="shared" si="25"/>
        <v>Suburbano</v>
      </c>
    </row>
    <row r="825" spans="1:21" ht="16" x14ac:dyDescent="0.4">
      <c r="A825" s="4">
        <v>61488</v>
      </c>
      <c r="B825" s="1" t="s">
        <v>30</v>
      </c>
      <c r="C825" s="1" t="s">
        <v>14</v>
      </c>
      <c r="D825" s="1">
        <v>682</v>
      </c>
      <c r="E825" s="1">
        <v>367</v>
      </c>
      <c r="F825" s="1">
        <v>448</v>
      </c>
      <c r="G825" s="1">
        <v>0</v>
      </c>
      <c r="H825" s="1">
        <v>14194</v>
      </c>
      <c r="I825" s="1">
        <v>1</v>
      </c>
      <c r="J825" s="1">
        <v>87</v>
      </c>
      <c r="K825" s="1">
        <v>432</v>
      </c>
      <c r="L825" s="1">
        <v>395</v>
      </c>
      <c r="M825" s="1">
        <v>5.403846154</v>
      </c>
      <c r="N825">
        <f>VLOOKUP(A825,vlookup_table!$A:$G,2,FALSE)</f>
        <v>2</v>
      </c>
      <c r="O825" t="str">
        <f>VLOOKUP(A825,vlookup_table!$A:$G,3,FALSE)</f>
        <v>IN</v>
      </c>
      <c r="P825">
        <f>VLOOKUP(A825,vlookup_table!$A:$G,4,FALSE)</f>
        <v>2101</v>
      </c>
      <c r="Q825" t="str">
        <f>VLOOKUP(A825,vlookup_table!$A:$G,5,FALSE)</f>
        <v>R2</v>
      </c>
      <c r="R825" t="str">
        <f>VLOOKUP(A825,vlookup_table!$A:$G,6,FALSE)</f>
        <v>M</v>
      </c>
      <c r="S825">
        <f>VLOOKUP(A825,vlookup_table!$A:$G,7,FALSE)</f>
        <v>7</v>
      </c>
      <c r="T825">
        <f t="shared" si="24"/>
        <v>75</v>
      </c>
      <c r="U825" t="str">
        <f t="shared" si="25"/>
        <v>Rural</v>
      </c>
    </row>
    <row r="826" spans="1:21" ht="16" x14ac:dyDescent="0.4">
      <c r="A826" s="4">
        <v>182156</v>
      </c>
      <c r="B826" s="1" t="s">
        <v>37</v>
      </c>
      <c r="C826" s="1" t="s">
        <v>17</v>
      </c>
      <c r="D826" s="1">
        <v>987</v>
      </c>
      <c r="E826" s="1">
        <v>393</v>
      </c>
      <c r="F826" s="1">
        <v>427</v>
      </c>
      <c r="G826" s="1">
        <v>2</v>
      </c>
      <c r="H826" s="1">
        <v>13350</v>
      </c>
      <c r="I826" s="1">
        <v>3</v>
      </c>
      <c r="J826" s="1">
        <v>52</v>
      </c>
      <c r="K826" s="1">
        <v>408</v>
      </c>
      <c r="L826" s="1">
        <v>420</v>
      </c>
      <c r="M826" s="1">
        <v>22</v>
      </c>
      <c r="N826">
        <f>VLOOKUP(A826,vlookup_table!$A:$G,2,FALSE)</f>
        <v>0</v>
      </c>
      <c r="O826" t="str">
        <f>VLOOKUP(A826,vlookup_table!$A:$G,3,FALSE)</f>
        <v>WA</v>
      </c>
      <c r="P826">
        <f>VLOOKUP(A826,vlookup_table!$A:$G,4,FALSE)</f>
        <v>3001</v>
      </c>
      <c r="Q826" t="str">
        <f>VLOOKUP(A826,vlookup_table!$A:$G,5,FALSE)</f>
        <v>S2</v>
      </c>
      <c r="R826" t="str">
        <f>VLOOKUP(A826,vlookup_table!$A:$G,6,FALSE)</f>
        <v>F</v>
      </c>
      <c r="S826">
        <f>VLOOKUP(A826,vlookup_table!$A:$G,7,FALSE)</f>
        <v>27</v>
      </c>
      <c r="T826">
        <f t="shared" si="24"/>
        <v>66</v>
      </c>
      <c r="U826" t="str">
        <f t="shared" si="25"/>
        <v>Suburbano</v>
      </c>
    </row>
    <row r="827" spans="1:21" ht="16" x14ac:dyDescent="0.4">
      <c r="A827" s="4">
        <v>133925</v>
      </c>
      <c r="B827" s="1" t="s">
        <v>38</v>
      </c>
      <c r="C827" s="1" t="s">
        <v>14</v>
      </c>
      <c r="D827" s="1">
        <v>605</v>
      </c>
      <c r="E827" s="1">
        <v>213</v>
      </c>
      <c r="F827" s="1">
        <v>303</v>
      </c>
      <c r="G827" s="1">
        <v>3</v>
      </c>
      <c r="H827" s="1">
        <v>10788</v>
      </c>
      <c r="I827" s="1">
        <v>2</v>
      </c>
      <c r="J827" s="1">
        <v>38</v>
      </c>
      <c r="K827" s="1">
        <v>241</v>
      </c>
      <c r="L827" s="1">
        <v>269</v>
      </c>
      <c r="M827" s="1">
        <v>22</v>
      </c>
      <c r="N827">
        <f>VLOOKUP(A827,vlookup_table!$A:$G,2,FALSE)</f>
        <v>4</v>
      </c>
      <c r="O827" t="str">
        <f>VLOOKUP(A827,vlookup_table!$A:$G,3,FALSE)</f>
        <v>ID</v>
      </c>
      <c r="P827">
        <f>VLOOKUP(A827,vlookup_table!$A:$G,4,FALSE)</f>
        <v>1906</v>
      </c>
      <c r="Q827" t="str">
        <f>VLOOKUP(A827,vlookup_table!$A:$G,5,FALSE)</f>
        <v>R1</v>
      </c>
      <c r="R827" t="str">
        <f>VLOOKUP(A827,vlookup_table!$A:$G,6,FALSE)</f>
        <v>M</v>
      </c>
      <c r="S827">
        <f>VLOOKUP(A827,vlookup_table!$A:$G,7,FALSE)</f>
        <v>25</v>
      </c>
      <c r="T827">
        <f t="shared" si="24"/>
        <v>77</v>
      </c>
      <c r="U827" t="str">
        <f t="shared" si="25"/>
        <v>Rural</v>
      </c>
    </row>
    <row r="828" spans="1:21" ht="16" x14ac:dyDescent="0.4">
      <c r="A828" s="4">
        <v>115431</v>
      </c>
      <c r="B828" s="1" t="s">
        <v>28</v>
      </c>
      <c r="C828" s="1" t="s">
        <v>14</v>
      </c>
      <c r="D828" s="1">
        <v>389</v>
      </c>
      <c r="E828" s="1">
        <v>177</v>
      </c>
      <c r="F828" s="1">
        <v>248</v>
      </c>
      <c r="G828" s="1">
        <v>0</v>
      </c>
      <c r="H828" s="1">
        <v>7982</v>
      </c>
      <c r="I828" s="1">
        <v>0</v>
      </c>
      <c r="J828" s="1">
        <v>71</v>
      </c>
      <c r="K828" s="1">
        <v>218</v>
      </c>
      <c r="L828" s="1">
        <v>211</v>
      </c>
      <c r="M828" s="1">
        <v>4.8</v>
      </c>
      <c r="N828">
        <f>VLOOKUP(A828,vlookup_table!$A:$G,2,FALSE)</f>
        <v>0</v>
      </c>
      <c r="O828" t="str">
        <f>VLOOKUP(A828,vlookup_table!$A:$G,3,FALSE)</f>
        <v>OK</v>
      </c>
      <c r="P828">
        <f>VLOOKUP(A828,vlookup_table!$A:$G,4,FALSE)</f>
        <v>2801</v>
      </c>
      <c r="Q828" t="str">
        <f>VLOOKUP(A828,vlookup_table!$A:$G,5,FALSE)</f>
        <v>T2</v>
      </c>
      <c r="R828" t="str">
        <f>VLOOKUP(A828,vlookup_table!$A:$G,6,FALSE)</f>
        <v>M</v>
      </c>
      <c r="S828">
        <f>VLOOKUP(A828,vlookup_table!$A:$G,7,FALSE)</f>
        <v>5</v>
      </c>
      <c r="T828">
        <f t="shared" si="24"/>
        <v>68</v>
      </c>
      <c r="U828" t="str">
        <f t="shared" si="25"/>
        <v>Pueblo</v>
      </c>
    </row>
    <row r="829" spans="1:21" ht="16" x14ac:dyDescent="0.4">
      <c r="A829" s="4">
        <v>72366</v>
      </c>
      <c r="B829" s="1" t="s">
        <v>26</v>
      </c>
      <c r="C829" s="1" t="s">
        <v>14</v>
      </c>
      <c r="D829" s="1">
        <v>448</v>
      </c>
      <c r="E829" s="1">
        <v>291</v>
      </c>
      <c r="F829" s="1">
        <v>359</v>
      </c>
      <c r="G829" s="1">
        <v>0</v>
      </c>
      <c r="H829" s="1">
        <v>11662</v>
      </c>
      <c r="I829" s="1">
        <v>1</v>
      </c>
      <c r="J829" s="1">
        <v>52</v>
      </c>
      <c r="K829" s="1">
        <v>309</v>
      </c>
      <c r="L829" s="1">
        <v>330</v>
      </c>
      <c r="M829" s="1">
        <v>10.5</v>
      </c>
      <c r="N829">
        <f>VLOOKUP(A829,vlookup_table!$A:$G,2,FALSE)</f>
        <v>1</v>
      </c>
      <c r="O829" t="str">
        <f>VLOOKUP(A829,vlookup_table!$A:$G,3,FALSE)</f>
        <v>MI</v>
      </c>
      <c r="P829">
        <f>VLOOKUP(A829,vlookup_table!$A:$G,4,FALSE)</f>
        <v>4701</v>
      </c>
      <c r="Q829" t="str">
        <f>VLOOKUP(A829,vlookup_table!$A:$G,5,FALSE)</f>
        <v>R2</v>
      </c>
      <c r="R829" t="str">
        <f>VLOOKUP(A829,vlookup_table!$A:$G,6,FALSE)</f>
        <v>M</v>
      </c>
      <c r="S829">
        <f>VLOOKUP(A829,vlookup_table!$A:$G,7,FALSE)</f>
        <v>20</v>
      </c>
      <c r="T829">
        <f t="shared" si="24"/>
        <v>49</v>
      </c>
      <c r="U829" t="str">
        <f t="shared" si="25"/>
        <v>Rural</v>
      </c>
    </row>
    <row r="830" spans="1:21" ht="16" x14ac:dyDescent="0.4">
      <c r="A830" s="4">
        <v>32527</v>
      </c>
      <c r="B830" s="1" t="s">
        <v>13</v>
      </c>
      <c r="C830" s="1" t="s">
        <v>17</v>
      </c>
      <c r="D830" s="1">
        <v>786</v>
      </c>
      <c r="E830" s="1">
        <v>352</v>
      </c>
      <c r="F830" s="1">
        <v>423</v>
      </c>
      <c r="G830" s="1">
        <v>1</v>
      </c>
      <c r="H830" s="1">
        <v>16104</v>
      </c>
      <c r="I830" s="1">
        <v>5</v>
      </c>
      <c r="J830" s="1">
        <v>26</v>
      </c>
      <c r="K830" s="1">
        <v>371</v>
      </c>
      <c r="L830" s="1">
        <v>384</v>
      </c>
      <c r="M830" s="1">
        <v>3.4444444440000002</v>
      </c>
      <c r="N830">
        <f>VLOOKUP(A830,vlookup_table!$A:$G,2,FALSE)</f>
        <v>28</v>
      </c>
      <c r="O830" t="str">
        <f>VLOOKUP(A830,vlookup_table!$A:$G,3,FALSE)</f>
        <v>FL</v>
      </c>
      <c r="P830">
        <f>VLOOKUP(A830,vlookup_table!$A:$G,4,FALSE)</f>
        <v>3801</v>
      </c>
      <c r="Q830" t="str">
        <f>VLOOKUP(A830,vlookup_table!$A:$G,5,FALSE)</f>
        <v>S2</v>
      </c>
      <c r="R830" t="str">
        <f>VLOOKUP(A830,vlookup_table!$A:$G,6,FALSE)</f>
        <v>F</v>
      </c>
      <c r="S830">
        <f>VLOOKUP(A830,vlookup_table!$A:$G,7,FALSE)</f>
        <v>3</v>
      </c>
      <c r="T830">
        <f t="shared" si="24"/>
        <v>58</v>
      </c>
      <c r="U830" t="str">
        <f t="shared" si="25"/>
        <v>Suburbano</v>
      </c>
    </row>
    <row r="831" spans="1:21" ht="16" x14ac:dyDescent="0.4">
      <c r="A831" s="4">
        <v>175974</v>
      </c>
      <c r="B831" s="1" t="s">
        <v>47</v>
      </c>
      <c r="C831" s="1" t="s">
        <v>14</v>
      </c>
      <c r="D831" s="1">
        <v>542</v>
      </c>
      <c r="E831" s="1">
        <v>199</v>
      </c>
      <c r="F831" s="1">
        <v>262</v>
      </c>
      <c r="G831" s="1">
        <v>0</v>
      </c>
      <c r="H831" s="1">
        <v>9349</v>
      </c>
      <c r="I831" s="1">
        <v>8</v>
      </c>
      <c r="J831" s="1">
        <v>53</v>
      </c>
      <c r="K831" s="1">
        <v>219</v>
      </c>
      <c r="L831" s="1">
        <v>239</v>
      </c>
      <c r="M831" s="1">
        <v>7.4444444440000002</v>
      </c>
      <c r="N831">
        <f>VLOOKUP(A831,vlookup_table!$A:$G,2,FALSE)</f>
        <v>1</v>
      </c>
      <c r="O831" t="str">
        <f>VLOOKUP(A831,vlookup_table!$A:$G,3,FALSE)</f>
        <v>OR</v>
      </c>
      <c r="P831">
        <f>VLOOKUP(A831,vlookup_table!$A:$G,4,FALSE)</f>
        <v>1701</v>
      </c>
      <c r="Q831" t="str">
        <f>VLOOKUP(A831,vlookup_table!$A:$G,5,FALSE)</f>
        <v>C3</v>
      </c>
      <c r="R831" t="str">
        <f>VLOOKUP(A831,vlookup_table!$A:$G,6,FALSE)</f>
        <v>M</v>
      </c>
      <c r="S831">
        <f>VLOOKUP(A831,vlookup_table!$A:$G,7,FALSE)</f>
        <v>11</v>
      </c>
      <c r="T831">
        <f t="shared" si="24"/>
        <v>79</v>
      </c>
      <c r="U831" t="str">
        <f t="shared" si="25"/>
        <v>Ciudad</v>
      </c>
    </row>
    <row r="832" spans="1:21" ht="16" x14ac:dyDescent="0.4">
      <c r="A832" s="4">
        <v>96008</v>
      </c>
      <c r="B832" s="1" t="s">
        <v>16</v>
      </c>
      <c r="C832" s="1" t="s">
        <v>17</v>
      </c>
      <c r="D832" s="1">
        <v>300</v>
      </c>
      <c r="E832" s="1">
        <v>87</v>
      </c>
      <c r="F832" s="1">
        <v>185</v>
      </c>
      <c r="G832" s="1">
        <v>0</v>
      </c>
      <c r="H832" s="1">
        <v>7586</v>
      </c>
      <c r="I832" s="1">
        <v>2</v>
      </c>
      <c r="J832" s="1">
        <v>84</v>
      </c>
      <c r="K832" s="1">
        <v>163</v>
      </c>
      <c r="L832" s="1">
        <v>134</v>
      </c>
      <c r="M832" s="1">
        <v>4.8387096769999998</v>
      </c>
      <c r="N832">
        <f>VLOOKUP(A832,vlookup_table!$A:$G,2,FALSE)</f>
        <v>0</v>
      </c>
      <c r="O832" t="str">
        <f>VLOOKUP(A832,vlookup_table!$A:$G,3,FALSE)</f>
        <v>IL</v>
      </c>
      <c r="P832">
        <f>VLOOKUP(A832,vlookup_table!$A:$G,4,FALSE)</f>
        <v>0</v>
      </c>
      <c r="Q832" t="str">
        <f>VLOOKUP(A832,vlookup_table!$A:$G,5,FALSE)</f>
        <v>T3</v>
      </c>
      <c r="R832" t="str">
        <f>VLOOKUP(A832,vlookup_table!$A:$G,6,FALSE)</f>
        <v>F</v>
      </c>
      <c r="S832">
        <f>VLOOKUP(A832,vlookup_table!$A:$G,7,FALSE)</f>
        <v>5</v>
      </c>
      <c r="T832">
        <f t="shared" si="24"/>
        <v>96</v>
      </c>
      <c r="U832" t="str">
        <f t="shared" si="25"/>
        <v>Pueblo</v>
      </c>
    </row>
    <row r="833" spans="1:21" ht="16" x14ac:dyDescent="0.4">
      <c r="A833" s="4">
        <v>106610</v>
      </c>
      <c r="B833" s="1" t="s">
        <v>55</v>
      </c>
      <c r="C833" s="1" t="s">
        <v>14</v>
      </c>
      <c r="D833" s="1">
        <v>475</v>
      </c>
      <c r="E833" s="1">
        <v>318</v>
      </c>
      <c r="F833" s="1">
        <v>366</v>
      </c>
      <c r="G833" s="1">
        <v>0</v>
      </c>
      <c r="H833" s="1">
        <v>13159</v>
      </c>
      <c r="I833" s="1">
        <v>0</v>
      </c>
      <c r="J833" s="1">
        <v>75</v>
      </c>
      <c r="K833" s="1">
        <v>360</v>
      </c>
      <c r="L833" s="1">
        <v>324</v>
      </c>
      <c r="M833" s="1">
        <v>10.5</v>
      </c>
      <c r="N833">
        <f>VLOOKUP(A833,vlookup_table!$A:$G,2,FALSE)</f>
        <v>1</v>
      </c>
      <c r="O833" t="str">
        <f>VLOOKUP(A833,vlookup_table!$A:$G,3,FALSE)</f>
        <v>NE</v>
      </c>
      <c r="P833">
        <f>VLOOKUP(A833,vlookup_table!$A:$G,4,FALSE)</f>
        <v>2812</v>
      </c>
      <c r="Q833" t="str">
        <f>VLOOKUP(A833,vlookup_table!$A:$G,5,FALSE)</f>
        <v>T2</v>
      </c>
      <c r="R833" t="str">
        <f>VLOOKUP(A833,vlookup_table!$A:$G,6,FALSE)</f>
        <v>M</v>
      </c>
      <c r="S833">
        <f>VLOOKUP(A833,vlookup_table!$A:$G,7,FALSE)</f>
        <v>15</v>
      </c>
      <c r="T833">
        <f t="shared" si="24"/>
        <v>68</v>
      </c>
      <c r="U833" t="str">
        <f t="shared" si="25"/>
        <v>Pueblo</v>
      </c>
    </row>
    <row r="834" spans="1:21" ht="16" x14ac:dyDescent="0.4">
      <c r="A834" s="4">
        <v>80395</v>
      </c>
      <c r="B834" s="1" t="s">
        <v>32</v>
      </c>
      <c r="C834" s="1" t="s">
        <v>17</v>
      </c>
      <c r="D834" s="1">
        <v>902</v>
      </c>
      <c r="E834" s="1">
        <v>477</v>
      </c>
      <c r="F834" s="1">
        <v>517</v>
      </c>
      <c r="G834" s="1">
        <v>0</v>
      </c>
      <c r="H834" s="1">
        <v>15876</v>
      </c>
      <c r="I834" s="1">
        <v>2</v>
      </c>
      <c r="J834" s="1">
        <v>77</v>
      </c>
      <c r="K834" s="1">
        <v>507</v>
      </c>
      <c r="L834" s="1">
        <v>500</v>
      </c>
      <c r="M834" s="1">
        <v>15</v>
      </c>
      <c r="N834">
        <f>VLOOKUP(A834,vlookup_table!$A:$G,2,FALSE)</f>
        <v>0</v>
      </c>
      <c r="O834" t="str">
        <f>VLOOKUP(A834,vlookup_table!$A:$G,3,FALSE)</f>
        <v>WI</v>
      </c>
      <c r="P834">
        <f>VLOOKUP(A834,vlookup_table!$A:$G,4,FALSE)</f>
        <v>0</v>
      </c>
      <c r="Q834" t="str">
        <f>VLOOKUP(A834,vlookup_table!$A:$G,5,FALSE)</f>
        <v>C1</v>
      </c>
      <c r="R834" t="str">
        <f>VLOOKUP(A834,vlookup_table!$A:$G,6,FALSE)</f>
        <v>F</v>
      </c>
      <c r="S834">
        <f>VLOOKUP(A834,vlookup_table!$A:$G,7,FALSE)</f>
        <v>50</v>
      </c>
      <c r="T834">
        <f t="shared" si="24"/>
        <v>96</v>
      </c>
      <c r="U834" t="str">
        <f t="shared" si="25"/>
        <v>Ciudad</v>
      </c>
    </row>
    <row r="835" spans="1:21" ht="16" x14ac:dyDescent="0.4">
      <c r="A835" s="4">
        <v>86225</v>
      </c>
      <c r="B835" s="1" t="s">
        <v>48</v>
      </c>
      <c r="C835" s="1" t="s">
        <v>14</v>
      </c>
      <c r="D835" s="1">
        <v>499</v>
      </c>
      <c r="E835" s="1">
        <v>247</v>
      </c>
      <c r="F835" s="1">
        <v>331</v>
      </c>
      <c r="G835" s="1">
        <v>0</v>
      </c>
      <c r="H835" s="1">
        <v>12213</v>
      </c>
      <c r="I835" s="1">
        <v>1</v>
      </c>
      <c r="J835" s="1">
        <v>81</v>
      </c>
      <c r="K835" s="1">
        <v>283</v>
      </c>
      <c r="L835" s="1">
        <v>273</v>
      </c>
      <c r="M835" s="1">
        <v>13.5</v>
      </c>
      <c r="N835">
        <f>VLOOKUP(A835,vlookup_table!$A:$G,2,FALSE)</f>
        <v>2</v>
      </c>
      <c r="O835" t="str">
        <f>VLOOKUP(A835,vlookup_table!$A:$G,3,FALSE)</f>
        <v>SD</v>
      </c>
      <c r="P835">
        <f>VLOOKUP(A835,vlookup_table!$A:$G,4,FALSE)</f>
        <v>3611</v>
      </c>
      <c r="Q835" t="str">
        <f>VLOOKUP(A835,vlookup_table!$A:$G,5,FALSE)</f>
        <v>R2</v>
      </c>
      <c r="R835" t="str">
        <f>VLOOKUP(A835,vlookup_table!$A:$G,6,FALSE)</f>
        <v>M</v>
      </c>
      <c r="S835">
        <f>VLOOKUP(A835,vlookup_table!$A:$G,7,FALSE)</f>
        <v>10</v>
      </c>
      <c r="T835">
        <f t="shared" ref="T835:T898" si="26">97-LEFT(P835,2)-IF(RIGHT(P835,2)&gt;6,1,0)</f>
        <v>60</v>
      </c>
      <c r="U835" t="str">
        <f t="shared" ref="U835:U898" si="27">IF(LEFT(Q835,1)="C","Ciudad",IF(LEFT(Q835,1)="T","Pueblo",IF(LEFT(Q835,1)="R","Rural",IF(LEFT(Q835,1)="S","Suburbano",IF(LEFT(Q835,1)="U","Urbano","")))))</f>
        <v>Rural</v>
      </c>
    </row>
    <row r="836" spans="1:21" ht="16" x14ac:dyDescent="0.4">
      <c r="A836" s="4">
        <v>43595</v>
      </c>
      <c r="B836" s="1" t="s">
        <v>26</v>
      </c>
      <c r="C836" s="1" t="s">
        <v>14</v>
      </c>
      <c r="D836" s="1">
        <v>684</v>
      </c>
      <c r="E836" s="1">
        <v>461</v>
      </c>
      <c r="F836" s="1">
        <v>543</v>
      </c>
      <c r="G836" s="1">
        <v>0</v>
      </c>
      <c r="H836" s="1">
        <v>17874</v>
      </c>
      <c r="I836" s="1">
        <v>1</v>
      </c>
      <c r="J836" s="1">
        <v>79</v>
      </c>
      <c r="K836" s="1">
        <v>523</v>
      </c>
      <c r="L836" s="1">
        <v>503</v>
      </c>
      <c r="M836" s="1">
        <v>5.75</v>
      </c>
      <c r="N836">
        <f>VLOOKUP(A836,vlookup_table!$A:$G,2,FALSE)</f>
        <v>1</v>
      </c>
      <c r="O836" t="str">
        <f>VLOOKUP(A836,vlookup_table!$A:$G,3,FALSE)</f>
        <v>MI</v>
      </c>
      <c r="P836">
        <f>VLOOKUP(A836,vlookup_table!$A:$G,4,FALSE)</f>
        <v>0</v>
      </c>
      <c r="Q836" t="str">
        <f>VLOOKUP(A836,vlookup_table!$A:$G,5,FALSE)</f>
        <v>T2</v>
      </c>
      <c r="R836" t="str">
        <f>VLOOKUP(A836,vlookup_table!$A:$G,6,FALSE)</f>
        <v>M</v>
      </c>
      <c r="S836">
        <f>VLOOKUP(A836,vlookup_table!$A:$G,7,FALSE)</f>
        <v>6</v>
      </c>
      <c r="T836">
        <f t="shared" si="26"/>
        <v>96</v>
      </c>
      <c r="U836" t="str">
        <f t="shared" si="27"/>
        <v>Pueblo</v>
      </c>
    </row>
    <row r="837" spans="1:21" ht="16" x14ac:dyDescent="0.4">
      <c r="A837" s="4">
        <v>144812</v>
      </c>
      <c r="B837" s="1" t="s">
        <v>21</v>
      </c>
      <c r="C837" s="1" t="s">
        <v>14</v>
      </c>
      <c r="D837" s="1">
        <v>3608</v>
      </c>
      <c r="E837" s="1">
        <v>336</v>
      </c>
      <c r="F837" s="1">
        <v>526</v>
      </c>
      <c r="G837" s="1">
        <v>96</v>
      </c>
      <c r="H837" s="1">
        <v>19440</v>
      </c>
      <c r="I837" s="1">
        <v>28</v>
      </c>
      <c r="J837" s="1">
        <v>35</v>
      </c>
      <c r="K837" s="1">
        <v>462</v>
      </c>
      <c r="L837" s="1">
        <v>421</v>
      </c>
      <c r="M837" s="1">
        <v>80</v>
      </c>
      <c r="N837">
        <f>VLOOKUP(A837,vlookup_table!$A:$G,2,FALSE)</f>
        <v>1</v>
      </c>
      <c r="O837" t="str">
        <f>VLOOKUP(A837,vlookup_table!$A:$G,3,FALSE)</f>
        <v>CA</v>
      </c>
      <c r="P837">
        <f>VLOOKUP(A837,vlookup_table!$A:$G,4,FALSE)</f>
        <v>2801</v>
      </c>
      <c r="Q837" t="str">
        <f>VLOOKUP(A837,vlookup_table!$A:$G,5,FALSE)</f>
        <v>S1</v>
      </c>
      <c r="R837" t="str">
        <f>VLOOKUP(A837,vlookup_table!$A:$G,6,FALSE)</f>
        <v>M</v>
      </c>
      <c r="S837">
        <f>VLOOKUP(A837,vlookup_table!$A:$G,7,FALSE)</f>
        <v>50</v>
      </c>
      <c r="T837">
        <f t="shared" si="26"/>
        <v>68</v>
      </c>
      <c r="U837" t="str">
        <f t="shared" si="27"/>
        <v>Suburbano</v>
      </c>
    </row>
    <row r="838" spans="1:21" ht="16" x14ac:dyDescent="0.4">
      <c r="A838" s="4">
        <v>182480</v>
      </c>
      <c r="B838" s="1" t="s">
        <v>37</v>
      </c>
      <c r="C838" s="1" t="s">
        <v>17</v>
      </c>
      <c r="D838" s="1">
        <v>705</v>
      </c>
      <c r="E838" s="1">
        <v>337</v>
      </c>
      <c r="F838" s="1">
        <v>569</v>
      </c>
      <c r="G838" s="1">
        <v>2</v>
      </c>
      <c r="H838" s="1">
        <v>20987</v>
      </c>
      <c r="I838" s="1">
        <v>4</v>
      </c>
      <c r="J838" s="1">
        <v>49</v>
      </c>
      <c r="K838" s="1">
        <v>416</v>
      </c>
      <c r="L838" s="1">
        <v>449</v>
      </c>
      <c r="M838" s="1">
        <v>30.714285709999999</v>
      </c>
      <c r="N838">
        <f>VLOOKUP(A838,vlookup_table!$A:$G,2,FALSE)</f>
        <v>0</v>
      </c>
      <c r="O838" t="str">
        <f>VLOOKUP(A838,vlookup_table!$A:$G,3,FALSE)</f>
        <v>WA</v>
      </c>
      <c r="P838">
        <f>VLOOKUP(A838,vlookup_table!$A:$G,4,FALSE)</f>
        <v>0</v>
      </c>
      <c r="Q838" t="str">
        <f>VLOOKUP(A838,vlookup_table!$A:$G,5,FALSE)</f>
        <v>C1</v>
      </c>
      <c r="R838" t="str">
        <f>VLOOKUP(A838,vlookup_table!$A:$G,6,FALSE)</f>
        <v>F</v>
      </c>
      <c r="S838">
        <f>VLOOKUP(A838,vlookup_table!$A:$G,7,FALSE)</f>
        <v>50</v>
      </c>
      <c r="T838">
        <f t="shared" si="26"/>
        <v>96</v>
      </c>
      <c r="U838" t="str">
        <f t="shared" si="27"/>
        <v>Ciudad</v>
      </c>
    </row>
    <row r="839" spans="1:21" ht="16" x14ac:dyDescent="0.4">
      <c r="A839" s="4">
        <v>135265</v>
      </c>
      <c r="B839" s="1" t="s">
        <v>51</v>
      </c>
      <c r="C839" s="1" t="s">
        <v>98</v>
      </c>
      <c r="D839" s="1">
        <v>815</v>
      </c>
      <c r="E839" s="1">
        <v>264</v>
      </c>
      <c r="F839" s="1">
        <v>472</v>
      </c>
      <c r="G839" s="1">
        <v>0</v>
      </c>
      <c r="H839" s="1">
        <v>18423</v>
      </c>
      <c r="I839" s="1">
        <v>7</v>
      </c>
      <c r="J839" s="1">
        <v>12</v>
      </c>
      <c r="K839" s="1">
        <v>439</v>
      </c>
      <c r="L839" s="1">
        <v>322</v>
      </c>
      <c r="M839" s="1">
        <v>10</v>
      </c>
      <c r="N839">
        <f>VLOOKUP(A839,vlookup_table!$A:$G,2,FALSE)</f>
        <v>0</v>
      </c>
      <c r="O839" t="str">
        <f>VLOOKUP(A839,vlookup_table!$A:$G,3,FALSE)</f>
        <v>AZ</v>
      </c>
      <c r="P839">
        <f>VLOOKUP(A839,vlookup_table!$A:$G,4,FALSE)</f>
        <v>0</v>
      </c>
      <c r="Q839" t="str">
        <f>VLOOKUP(A839,vlookup_table!$A:$G,5,FALSE)</f>
        <v>S2</v>
      </c>
      <c r="R839" t="str">
        <f>VLOOKUP(A839,vlookup_table!$A:$G,6,FALSE)</f>
        <v>F</v>
      </c>
      <c r="S839">
        <f>VLOOKUP(A839,vlookup_table!$A:$G,7,FALSE)</f>
        <v>14</v>
      </c>
      <c r="T839">
        <f t="shared" si="26"/>
        <v>96</v>
      </c>
      <c r="U839" t="str">
        <f t="shared" si="27"/>
        <v>Suburbano</v>
      </c>
    </row>
    <row r="840" spans="1:21" ht="16" x14ac:dyDescent="0.4">
      <c r="A840" s="4">
        <v>84610</v>
      </c>
      <c r="B840" s="1" t="s">
        <v>52</v>
      </c>
      <c r="C840" s="1" t="s">
        <v>17</v>
      </c>
      <c r="D840" s="1">
        <v>780</v>
      </c>
      <c r="E840" s="1">
        <v>477</v>
      </c>
      <c r="F840" s="1">
        <v>507</v>
      </c>
      <c r="G840" s="1">
        <v>0</v>
      </c>
      <c r="H840" s="1">
        <v>16525</v>
      </c>
      <c r="I840" s="1">
        <v>4</v>
      </c>
      <c r="J840" s="1">
        <v>69</v>
      </c>
      <c r="K840" s="1">
        <v>485</v>
      </c>
      <c r="L840" s="1">
        <v>488</v>
      </c>
      <c r="M840" s="1">
        <v>3.113636364</v>
      </c>
      <c r="N840">
        <f>VLOOKUP(A840,vlookup_table!$A:$G,2,FALSE)</f>
        <v>0</v>
      </c>
      <c r="O840" t="str">
        <f>VLOOKUP(A840,vlookup_table!$A:$G,3,FALSE)</f>
        <v>MN</v>
      </c>
      <c r="P840">
        <f>VLOOKUP(A840,vlookup_table!$A:$G,4,FALSE)</f>
        <v>1111</v>
      </c>
      <c r="Q840" t="str">
        <f>VLOOKUP(A840,vlookup_table!$A:$G,5,FALSE)</f>
        <v>C1</v>
      </c>
      <c r="R840" t="str">
        <f>VLOOKUP(A840,vlookup_table!$A:$G,6,FALSE)</f>
        <v>F</v>
      </c>
      <c r="S840">
        <f>VLOOKUP(A840,vlookup_table!$A:$G,7,FALSE)</f>
        <v>4</v>
      </c>
      <c r="T840">
        <f t="shared" si="26"/>
        <v>85</v>
      </c>
      <c r="U840" t="str">
        <f t="shared" si="27"/>
        <v>Ciudad</v>
      </c>
    </row>
    <row r="841" spans="1:21" ht="16" x14ac:dyDescent="0.4">
      <c r="A841" s="4">
        <v>116533</v>
      </c>
      <c r="B841" s="1" t="s">
        <v>20</v>
      </c>
      <c r="C841" s="1" t="s">
        <v>17</v>
      </c>
      <c r="D841" s="1">
        <v>496</v>
      </c>
      <c r="E841" s="1">
        <v>234</v>
      </c>
      <c r="F841" s="1">
        <v>259</v>
      </c>
      <c r="G841" s="1">
        <v>0</v>
      </c>
      <c r="H841" s="1">
        <v>9429</v>
      </c>
      <c r="I841" s="1">
        <v>11</v>
      </c>
      <c r="J841" s="1">
        <v>74</v>
      </c>
      <c r="K841" s="1">
        <v>218</v>
      </c>
      <c r="L841" s="1">
        <v>260</v>
      </c>
      <c r="M841" s="1">
        <v>7.6190476189999998</v>
      </c>
      <c r="N841">
        <f>VLOOKUP(A841,vlookup_table!$A:$G,2,FALSE)</f>
        <v>0</v>
      </c>
      <c r="O841" t="str">
        <f>VLOOKUP(A841,vlookup_table!$A:$G,3,FALSE)</f>
        <v>TX</v>
      </c>
      <c r="P841">
        <f>VLOOKUP(A841,vlookup_table!$A:$G,4,FALSE)</f>
        <v>0</v>
      </c>
      <c r="Q841" t="str">
        <f>VLOOKUP(A841,vlookup_table!$A:$G,5,FALSE)</f>
        <v>T2</v>
      </c>
      <c r="R841" t="str">
        <f>VLOOKUP(A841,vlookup_table!$A:$G,6,FALSE)</f>
        <v>F</v>
      </c>
      <c r="S841">
        <f>VLOOKUP(A841,vlookup_table!$A:$G,7,FALSE)</f>
        <v>10</v>
      </c>
      <c r="T841">
        <f t="shared" si="26"/>
        <v>96</v>
      </c>
      <c r="U841" t="str">
        <f t="shared" si="27"/>
        <v>Pueblo</v>
      </c>
    </row>
    <row r="842" spans="1:21" ht="16" x14ac:dyDescent="0.4">
      <c r="A842" s="4">
        <v>29501</v>
      </c>
      <c r="B842" s="1" t="s">
        <v>36</v>
      </c>
      <c r="C842" s="1" t="s">
        <v>27</v>
      </c>
      <c r="D842" s="1">
        <v>510</v>
      </c>
      <c r="E842" s="1">
        <v>276</v>
      </c>
      <c r="F842" s="1">
        <v>347</v>
      </c>
      <c r="G842" s="1">
        <v>1</v>
      </c>
      <c r="H842" s="1">
        <v>10325</v>
      </c>
      <c r="I842" s="1">
        <v>0</v>
      </c>
      <c r="J842" s="1">
        <v>76</v>
      </c>
      <c r="K842" s="1">
        <v>338</v>
      </c>
      <c r="L842" s="1">
        <v>305</v>
      </c>
      <c r="M842" s="1">
        <v>17.428571430000002</v>
      </c>
      <c r="N842">
        <f>VLOOKUP(A842,vlookup_table!$A:$G,2,FALSE)</f>
        <v>2</v>
      </c>
      <c r="O842" t="str">
        <f>VLOOKUP(A842,vlookup_table!$A:$G,3,FALSE)</f>
        <v>GA</v>
      </c>
      <c r="P842">
        <f>VLOOKUP(A842,vlookup_table!$A:$G,4,FALSE)</f>
        <v>2710</v>
      </c>
      <c r="Q842" t="str">
        <f>VLOOKUP(A842,vlookup_table!$A:$G,5,FALSE)</f>
        <v>T2</v>
      </c>
      <c r="R842" t="str">
        <f>VLOOKUP(A842,vlookup_table!$A:$G,6,FALSE)</f>
        <v>U</v>
      </c>
      <c r="S842">
        <f>VLOOKUP(A842,vlookup_table!$A:$G,7,FALSE)</f>
        <v>21</v>
      </c>
      <c r="T842">
        <f t="shared" si="26"/>
        <v>69</v>
      </c>
      <c r="U842" t="str">
        <f t="shared" si="27"/>
        <v>Pueblo</v>
      </c>
    </row>
    <row r="843" spans="1:21" ht="16" x14ac:dyDescent="0.4">
      <c r="A843" s="4">
        <v>102351</v>
      </c>
      <c r="B843" s="1" t="s">
        <v>33</v>
      </c>
      <c r="C843" s="1" t="s">
        <v>17</v>
      </c>
      <c r="D843" s="1">
        <v>787</v>
      </c>
      <c r="E843" s="1">
        <v>208</v>
      </c>
      <c r="F843" s="1">
        <v>356</v>
      </c>
      <c r="G843" s="1">
        <v>0</v>
      </c>
      <c r="H843" s="1">
        <v>11107</v>
      </c>
      <c r="I843" s="1">
        <v>0</v>
      </c>
      <c r="J843" s="1">
        <v>59</v>
      </c>
      <c r="K843" s="1">
        <v>271</v>
      </c>
      <c r="L843" s="1">
        <v>264</v>
      </c>
      <c r="M843" s="1">
        <v>13.33333333</v>
      </c>
      <c r="N843">
        <f>VLOOKUP(A843,vlookup_table!$A:$G,2,FALSE)</f>
        <v>0</v>
      </c>
      <c r="O843" t="str">
        <f>VLOOKUP(A843,vlookup_table!$A:$G,3,FALSE)</f>
        <v>MO</v>
      </c>
      <c r="P843">
        <f>VLOOKUP(A843,vlookup_table!$A:$G,4,FALSE)</f>
        <v>3301</v>
      </c>
      <c r="Q843" t="str">
        <f>VLOOKUP(A843,vlookup_table!$A:$G,5,FALSE)</f>
        <v>U3</v>
      </c>
      <c r="R843" t="str">
        <f>VLOOKUP(A843,vlookup_table!$A:$G,6,FALSE)</f>
        <v>F</v>
      </c>
      <c r="S843">
        <f>VLOOKUP(A843,vlookup_table!$A:$G,7,FALSE)</f>
        <v>23</v>
      </c>
      <c r="T843">
        <f t="shared" si="26"/>
        <v>63</v>
      </c>
      <c r="U843" t="str">
        <f t="shared" si="27"/>
        <v>Urbano</v>
      </c>
    </row>
    <row r="844" spans="1:21" ht="16" x14ac:dyDescent="0.4">
      <c r="A844" s="4">
        <v>136935</v>
      </c>
      <c r="B844" s="1" t="s">
        <v>28</v>
      </c>
      <c r="C844" s="1" t="s">
        <v>17</v>
      </c>
      <c r="D844" s="1">
        <v>454</v>
      </c>
      <c r="E844" s="1">
        <v>312</v>
      </c>
      <c r="F844" s="1">
        <v>306</v>
      </c>
      <c r="G844" s="1">
        <v>0</v>
      </c>
      <c r="H844" s="1">
        <v>9808</v>
      </c>
      <c r="I844" s="1">
        <v>3</v>
      </c>
      <c r="J844" s="1">
        <v>63</v>
      </c>
      <c r="K844" s="1">
        <v>311</v>
      </c>
      <c r="L844" s="1">
        <v>302</v>
      </c>
      <c r="M844" s="1">
        <v>9</v>
      </c>
      <c r="N844">
        <f>VLOOKUP(A844,vlookup_table!$A:$G,2,FALSE)</f>
        <v>0</v>
      </c>
      <c r="O844" t="str">
        <f>VLOOKUP(A844,vlookup_table!$A:$G,3,FALSE)</f>
        <v>OK</v>
      </c>
      <c r="P844">
        <f>VLOOKUP(A844,vlookup_table!$A:$G,4,FALSE)</f>
        <v>0</v>
      </c>
      <c r="Q844" t="str">
        <f>VLOOKUP(A844,vlookup_table!$A:$G,5,FALSE)</f>
        <v>T2</v>
      </c>
      <c r="R844" t="str">
        <f>VLOOKUP(A844,vlookup_table!$A:$G,6,FALSE)</f>
        <v>F</v>
      </c>
      <c r="S844">
        <f>VLOOKUP(A844,vlookup_table!$A:$G,7,FALSE)</f>
        <v>15</v>
      </c>
      <c r="T844">
        <f t="shared" si="26"/>
        <v>96</v>
      </c>
      <c r="U844" t="str">
        <f t="shared" si="27"/>
        <v>Pueblo</v>
      </c>
    </row>
    <row r="845" spans="1:21" ht="16" x14ac:dyDescent="0.4">
      <c r="A845" s="4">
        <v>137833</v>
      </c>
      <c r="B845" s="1" t="s">
        <v>51</v>
      </c>
      <c r="C845" s="1" t="s">
        <v>14</v>
      </c>
      <c r="D845" s="1">
        <v>762</v>
      </c>
      <c r="E845" s="1">
        <v>375</v>
      </c>
      <c r="F845" s="1">
        <v>437</v>
      </c>
      <c r="G845" s="1">
        <v>0</v>
      </c>
      <c r="H845" s="1">
        <v>14900</v>
      </c>
      <c r="I845" s="1">
        <v>6</v>
      </c>
      <c r="J845" s="1">
        <v>21</v>
      </c>
      <c r="K845" s="1">
        <v>396</v>
      </c>
      <c r="L845" s="1">
        <v>418</v>
      </c>
      <c r="M845" s="1">
        <v>22.5</v>
      </c>
      <c r="N845">
        <f>VLOOKUP(A845,vlookup_table!$A:$G,2,FALSE)</f>
        <v>1</v>
      </c>
      <c r="O845" t="str">
        <f>VLOOKUP(A845,vlookup_table!$A:$G,3,FALSE)</f>
        <v>AZ</v>
      </c>
      <c r="P845">
        <f>VLOOKUP(A845,vlookup_table!$A:$G,4,FALSE)</f>
        <v>0</v>
      </c>
      <c r="Q845" t="str">
        <f>VLOOKUP(A845,vlookup_table!$A:$G,5,FALSE)</f>
        <v>T2</v>
      </c>
      <c r="R845" t="str">
        <f>VLOOKUP(A845,vlookup_table!$A:$G,6,FALSE)</f>
        <v>M</v>
      </c>
      <c r="S845">
        <f>VLOOKUP(A845,vlookup_table!$A:$G,7,FALSE)</f>
        <v>25</v>
      </c>
      <c r="T845">
        <f t="shared" si="26"/>
        <v>96</v>
      </c>
      <c r="U845" t="str">
        <f t="shared" si="27"/>
        <v>Pueblo</v>
      </c>
    </row>
    <row r="846" spans="1:21" ht="16" x14ac:dyDescent="0.4">
      <c r="A846" s="4">
        <v>162392</v>
      </c>
      <c r="B846" s="1" t="s">
        <v>21</v>
      </c>
      <c r="C846" s="1" t="s">
        <v>14</v>
      </c>
      <c r="D846" s="1">
        <v>3839</v>
      </c>
      <c r="E846" s="1">
        <v>683</v>
      </c>
      <c r="F846" s="1">
        <v>729</v>
      </c>
      <c r="G846" s="1">
        <v>98</v>
      </c>
      <c r="H846" s="1">
        <v>26731</v>
      </c>
      <c r="I846" s="1">
        <v>19</v>
      </c>
      <c r="J846" s="1">
        <v>46</v>
      </c>
      <c r="K846" s="1">
        <v>669</v>
      </c>
      <c r="L846" s="1">
        <v>706</v>
      </c>
      <c r="M846" s="1">
        <v>11.85714286</v>
      </c>
      <c r="N846">
        <f>VLOOKUP(A846,vlookup_table!$A:$G,2,FALSE)</f>
        <v>1</v>
      </c>
      <c r="O846" t="str">
        <f>VLOOKUP(A846,vlookup_table!$A:$G,3,FALSE)</f>
        <v>CA</v>
      </c>
      <c r="P846">
        <f>VLOOKUP(A846,vlookup_table!$A:$G,4,FALSE)</f>
        <v>2301</v>
      </c>
      <c r="Q846" t="str">
        <f>VLOOKUP(A846,vlookup_table!$A:$G,5,FALSE)</f>
        <v>S1</v>
      </c>
      <c r="R846" t="str">
        <f>VLOOKUP(A846,vlookup_table!$A:$G,6,FALSE)</f>
        <v>M</v>
      </c>
      <c r="S846">
        <f>VLOOKUP(A846,vlookup_table!$A:$G,7,FALSE)</f>
        <v>20</v>
      </c>
      <c r="T846">
        <f t="shared" si="26"/>
        <v>73</v>
      </c>
      <c r="U846" t="str">
        <f t="shared" si="27"/>
        <v>Suburbano</v>
      </c>
    </row>
    <row r="847" spans="1:21" ht="16" x14ac:dyDescent="0.4">
      <c r="A847" s="4">
        <v>186713</v>
      </c>
      <c r="B847" s="1" t="s">
        <v>21</v>
      </c>
      <c r="C847" s="1" t="s">
        <v>17</v>
      </c>
      <c r="D847" s="1">
        <v>813</v>
      </c>
      <c r="E847" s="1">
        <v>297</v>
      </c>
      <c r="F847" s="1">
        <v>424</v>
      </c>
      <c r="G847" s="1">
        <v>0</v>
      </c>
      <c r="H847" s="1">
        <v>22764</v>
      </c>
      <c r="I847" s="1">
        <v>10</v>
      </c>
      <c r="J847" s="1">
        <v>21</v>
      </c>
      <c r="K847" s="1">
        <v>360</v>
      </c>
      <c r="L847" s="1">
        <v>348</v>
      </c>
      <c r="M847" s="1">
        <v>22.8125</v>
      </c>
      <c r="N847">
        <f>VLOOKUP(A847,vlookup_table!$A:$G,2,FALSE)</f>
        <v>0</v>
      </c>
      <c r="O847" t="str">
        <f>VLOOKUP(A847,vlookup_table!$A:$G,3,FALSE)</f>
        <v>CA</v>
      </c>
      <c r="P847">
        <f>VLOOKUP(A847,vlookup_table!$A:$G,4,FALSE)</f>
        <v>3408</v>
      </c>
      <c r="Q847" t="str">
        <f>VLOOKUP(A847,vlookup_table!$A:$G,5,FALSE)</f>
        <v>C2</v>
      </c>
      <c r="R847" t="str">
        <f>VLOOKUP(A847,vlookup_table!$A:$G,6,FALSE)</f>
        <v>F</v>
      </c>
      <c r="S847">
        <f>VLOOKUP(A847,vlookup_table!$A:$G,7,FALSE)</f>
        <v>15</v>
      </c>
      <c r="T847">
        <f t="shared" si="26"/>
        <v>62</v>
      </c>
      <c r="U847" t="str">
        <f t="shared" si="27"/>
        <v>Ciudad</v>
      </c>
    </row>
    <row r="848" spans="1:21" ht="16" x14ac:dyDescent="0.4">
      <c r="A848" s="4">
        <v>12573</v>
      </c>
      <c r="B848" s="1" t="s">
        <v>37</v>
      </c>
      <c r="C848" s="1" t="s">
        <v>17</v>
      </c>
      <c r="D848" s="1">
        <v>1375</v>
      </c>
      <c r="E848" s="1">
        <v>285</v>
      </c>
      <c r="F848" s="1">
        <v>443</v>
      </c>
      <c r="G848" s="1">
        <v>6</v>
      </c>
      <c r="H848" s="1">
        <v>18247</v>
      </c>
      <c r="I848" s="1">
        <v>7</v>
      </c>
      <c r="J848" s="1">
        <v>41</v>
      </c>
      <c r="K848" s="1">
        <v>510</v>
      </c>
      <c r="L848" s="1">
        <v>330</v>
      </c>
      <c r="M848" s="1">
        <v>63.035714290000001</v>
      </c>
      <c r="N848">
        <f>VLOOKUP(A848,vlookup_table!$A:$G,2,FALSE)</f>
        <v>0</v>
      </c>
      <c r="O848" t="str">
        <f>VLOOKUP(A848,vlookup_table!$A:$G,3,FALSE)</f>
        <v>WA</v>
      </c>
      <c r="P848">
        <f>VLOOKUP(A848,vlookup_table!$A:$G,4,FALSE)</f>
        <v>803</v>
      </c>
      <c r="Q848" t="str">
        <f>VLOOKUP(A848,vlookup_table!$A:$G,5,FALSE)</f>
        <v/>
      </c>
      <c r="R848" t="str">
        <f>VLOOKUP(A848,vlookup_table!$A:$G,6,FALSE)</f>
        <v>F</v>
      </c>
      <c r="S848">
        <f>VLOOKUP(A848,vlookup_table!$A:$G,7,FALSE)</f>
        <v>102</v>
      </c>
      <c r="T848">
        <f t="shared" si="26"/>
        <v>16</v>
      </c>
      <c r="U848" t="str">
        <f t="shared" si="27"/>
        <v/>
      </c>
    </row>
    <row r="849" spans="1:21" ht="16" x14ac:dyDescent="0.4">
      <c r="A849" s="4">
        <v>112594</v>
      </c>
      <c r="B849" s="1" t="s">
        <v>29</v>
      </c>
      <c r="C849" s="1" t="s">
        <v>14</v>
      </c>
      <c r="D849" s="1">
        <v>704</v>
      </c>
      <c r="E849" s="1">
        <v>222</v>
      </c>
      <c r="F849" s="1">
        <v>461</v>
      </c>
      <c r="G849" s="1">
        <v>2</v>
      </c>
      <c r="H849" s="1">
        <v>18592</v>
      </c>
      <c r="I849" s="1">
        <v>1</v>
      </c>
      <c r="J849" s="1">
        <v>70</v>
      </c>
      <c r="K849" s="1">
        <v>374</v>
      </c>
      <c r="L849" s="1">
        <v>295</v>
      </c>
      <c r="M849" s="1">
        <v>9</v>
      </c>
      <c r="N849">
        <f>VLOOKUP(A849,vlookup_table!$A:$G,2,FALSE)</f>
        <v>1</v>
      </c>
      <c r="O849" t="str">
        <f>VLOOKUP(A849,vlookup_table!$A:$G,3,FALSE)</f>
        <v>AR</v>
      </c>
      <c r="P849">
        <f>VLOOKUP(A849,vlookup_table!$A:$G,4,FALSE)</f>
        <v>0</v>
      </c>
      <c r="Q849" t="str">
        <f>VLOOKUP(A849,vlookup_table!$A:$G,5,FALSE)</f>
        <v>T2</v>
      </c>
      <c r="R849" t="str">
        <f>VLOOKUP(A849,vlookup_table!$A:$G,6,FALSE)</f>
        <v>M</v>
      </c>
      <c r="S849">
        <f>VLOOKUP(A849,vlookup_table!$A:$G,7,FALSE)</f>
        <v>15</v>
      </c>
      <c r="T849">
        <f t="shared" si="26"/>
        <v>96</v>
      </c>
      <c r="U849" t="str">
        <f t="shared" si="27"/>
        <v>Pueblo</v>
      </c>
    </row>
    <row r="850" spans="1:21" ht="16" x14ac:dyDescent="0.4">
      <c r="A850" s="4">
        <v>145123</v>
      </c>
      <c r="B850" s="1" t="s">
        <v>21</v>
      </c>
      <c r="C850" s="1" t="s">
        <v>17</v>
      </c>
      <c r="D850" s="1">
        <v>5743</v>
      </c>
      <c r="E850" s="1">
        <v>564</v>
      </c>
      <c r="F850" s="1">
        <v>903</v>
      </c>
      <c r="G850" s="1">
        <v>99</v>
      </c>
      <c r="H850" s="1">
        <v>44839</v>
      </c>
      <c r="I850" s="1">
        <v>9</v>
      </c>
      <c r="J850" s="1">
        <v>47</v>
      </c>
      <c r="K850" s="1">
        <v>812</v>
      </c>
      <c r="L850" s="1">
        <v>708</v>
      </c>
      <c r="M850" s="1">
        <v>4.0999999999999996</v>
      </c>
      <c r="N850">
        <f>VLOOKUP(A850,vlookup_table!$A:$G,2,FALSE)</f>
        <v>2</v>
      </c>
      <c r="O850" t="str">
        <f>VLOOKUP(A850,vlookup_table!$A:$G,3,FALSE)</f>
        <v>CA</v>
      </c>
      <c r="P850">
        <f>VLOOKUP(A850,vlookup_table!$A:$G,4,FALSE)</f>
        <v>1801</v>
      </c>
      <c r="Q850" t="str">
        <f>VLOOKUP(A850,vlookup_table!$A:$G,5,FALSE)</f>
        <v>S1</v>
      </c>
      <c r="R850" t="str">
        <f>VLOOKUP(A850,vlookup_table!$A:$G,6,FALSE)</f>
        <v>F</v>
      </c>
      <c r="S850">
        <f>VLOOKUP(A850,vlookup_table!$A:$G,7,FALSE)</f>
        <v>5</v>
      </c>
      <c r="T850">
        <f t="shared" si="26"/>
        <v>78</v>
      </c>
      <c r="U850" t="str">
        <f t="shared" si="27"/>
        <v>Suburbano</v>
      </c>
    </row>
    <row r="851" spans="1:21" ht="16" x14ac:dyDescent="0.4">
      <c r="A851" s="4">
        <v>58374</v>
      </c>
      <c r="B851" s="1" t="s">
        <v>53</v>
      </c>
      <c r="C851" s="1" t="s">
        <v>17</v>
      </c>
      <c r="D851" s="1">
        <v>483</v>
      </c>
      <c r="E851" s="1">
        <v>169</v>
      </c>
      <c r="F851" s="1">
        <v>269</v>
      </c>
      <c r="G851" s="1">
        <v>0</v>
      </c>
      <c r="H851" s="1">
        <v>9809</v>
      </c>
      <c r="I851" s="1">
        <v>0</v>
      </c>
      <c r="J851" s="1">
        <v>53</v>
      </c>
      <c r="K851" s="1">
        <v>237</v>
      </c>
      <c r="L851" s="1">
        <v>216</v>
      </c>
      <c r="M851" s="1">
        <v>9.5454545460000002</v>
      </c>
      <c r="N851">
        <f>VLOOKUP(A851,vlookup_table!$A:$G,2,FALSE)</f>
        <v>0</v>
      </c>
      <c r="O851" t="str">
        <f>VLOOKUP(A851,vlookup_table!$A:$G,3,FALSE)</f>
        <v>KY</v>
      </c>
      <c r="P851">
        <f>VLOOKUP(A851,vlookup_table!$A:$G,4,FALSE)</f>
        <v>1712</v>
      </c>
      <c r="Q851" t="str">
        <f>VLOOKUP(A851,vlookup_table!$A:$G,5,FALSE)</f>
        <v>T2</v>
      </c>
      <c r="R851" t="str">
        <f>VLOOKUP(A851,vlookup_table!$A:$G,6,FALSE)</f>
        <v>F</v>
      </c>
      <c r="S851">
        <f>VLOOKUP(A851,vlookup_table!$A:$G,7,FALSE)</f>
        <v>10</v>
      </c>
      <c r="T851">
        <f t="shared" si="26"/>
        <v>79</v>
      </c>
      <c r="U851" t="str">
        <f t="shared" si="27"/>
        <v>Pueblo</v>
      </c>
    </row>
    <row r="852" spans="1:21" ht="16" x14ac:dyDescent="0.4">
      <c r="A852" s="4">
        <v>108316</v>
      </c>
      <c r="B852" s="1" t="s">
        <v>46</v>
      </c>
      <c r="C852" s="1" t="s">
        <v>14</v>
      </c>
      <c r="D852" s="1">
        <v>1903</v>
      </c>
      <c r="E852" s="1">
        <v>213</v>
      </c>
      <c r="F852" s="1">
        <v>379</v>
      </c>
      <c r="G852" s="1">
        <v>45</v>
      </c>
      <c r="H852" s="1">
        <v>20833</v>
      </c>
      <c r="I852" s="1">
        <v>7</v>
      </c>
      <c r="J852" s="1">
        <v>49</v>
      </c>
      <c r="K852" s="1">
        <v>265</v>
      </c>
      <c r="L852" s="1">
        <v>274</v>
      </c>
      <c r="M852" s="1">
        <v>18.5</v>
      </c>
      <c r="N852">
        <f>VLOOKUP(A852,vlookup_table!$A:$G,2,FALSE)</f>
        <v>1</v>
      </c>
      <c r="O852" t="str">
        <f>VLOOKUP(A852,vlookup_table!$A:$G,3,FALSE)</f>
        <v>LA</v>
      </c>
      <c r="P852">
        <f>VLOOKUP(A852,vlookup_table!$A:$G,4,FALSE)</f>
        <v>3909</v>
      </c>
      <c r="Q852" t="str">
        <f>VLOOKUP(A852,vlookup_table!$A:$G,5,FALSE)</f>
        <v>U1</v>
      </c>
      <c r="R852" t="str">
        <f>VLOOKUP(A852,vlookup_table!$A:$G,6,FALSE)</f>
        <v>M</v>
      </c>
      <c r="S852">
        <f>VLOOKUP(A852,vlookup_table!$A:$G,7,FALSE)</f>
        <v>24</v>
      </c>
      <c r="T852">
        <f t="shared" si="26"/>
        <v>57</v>
      </c>
      <c r="U852" t="str">
        <f t="shared" si="27"/>
        <v>Urbano</v>
      </c>
    </row>
    <row r="853" spans="1:21" ht="16" x14ac:dyDescent="0.4">
      <c r="A853" s="4">
        <v>71312</v>
      </c>
      <c r="B853" s="1" t="s">
        <v>26</v>
      </c>
      <c r="C853" s="1" t="s">
        <v>17</v>
      </c>
      <c r="D853" s="1">
        <v>497</v>
      </c>
      <c r="E853" s="1">
        <v>350</v>
      </c>
      <c r="F853" s="1">
        <v>384</v>
      </c>
      <c r="G853" s="1">
        <v>0</v>
      </c>
      <c r="H853" s="1">
        <v>11696</v>
      </c>
      <c r="I853" s="1">
        <v>1</v>
      </c>
      <c r="J853" s="1">
        <v>92</v>
      </c>
      <c r="K853" s="1">
        <v>364</v>
      </c>
      <c r="L853" s="1">
        <v>357</v>
      </c>
      <c r="M853" s="1">
        <v>3.08</v>
      </c>
      <c r="N853">
        <f>VLOOKUP(A853,vlookup_table!$A:$G,2,FALSE)</f>
        <v>2</v>
      </c>
      <c r="O853" t="str">
        <f>VLOOKUP(A853,vlookup_table!$A:$G,3,FALSE)</f>
        <v>MI</v>
      </c>
      <c r="P853">
        <f>VLOOKUP(A853,vlookup_table!$A:$G,4,FALSE)</f>
        <v>3811</v>
      </c>
      <c r="Q853" t="str">
        <f>VLOOKUP(A853,vlookup_table!$A:$G,5,FALSE)</f>
        <v>R2</v>
      </c>
      <c r="R853" t="str">
        <f>VLOOKUP(A853,vlookup_table!$A:$G,6,FALSE)</f>
        <v>F</v>
      </c>
      <c r="S853">
        <f>VLOOKUP(A853,vlookup_table!$A:$G,7,FALSE)</f>
        <v>3</v>
      </c>
      <c r="T853">
        <f t="shared" si="26"/>
        <v>58</v>
      </c>
      <c r="U853" t="str">
        <f t="shared" si="27"/>
        <v>Rural</v>
      </c>
    </row>
    <row r="854" spans="1:21" ht="16" x14ac:dyDescent="0.4">
      <c r="A854" s="4">
        <v>142241</v>
      </c>
      <c r="B854" s="1" t="s">
        <v>23</v>
      </c>
      <c r="C854" s="1" t="s">
        <v>17</v>
      </c>
      <c r="D854" s="1">
        <v>2368</v>
      </c>
      <c r="E854" s="1">
        <v>578</v>
      </c>
      <c r="F854" s="1">
        <v>833</v>
      </c>
      <c r="G854" s="1">
        <v>68</v>
      </c>
      <c r="H854" s="1">
        <v>27653</v>
      </c>
      <c r="I854" s="1">
        <v>7</v>
      </c>
      <c r="J854" s="1">
        <v>40</v>
      </c>
      <c r="K854" s="1">
        <v>827</v>
      </c>
      <c r="L854" s="1">
        <v>723</v>
      </c>
      <c r="M854" s="1">
        <v>13.2</v>
      </c>
      <c r="N854">
        <f>VLOOKUP(A854,vlookup_table!$A:$G,2,FALSE)</f>
        <v>3</v>
      </c>
      <c r="O854" t="str">
        <f>VLOOKUP(A854,vlookup_table!$A:$G,3,FALSE)</f>
        <v>NV</v>
      </c>
      <c r="P854">
        <f>VLOOKUP(A854,vlookup_table!$A:$G,4,FALSE)</f>
        <v>3505</v>
      </c>
      <c r="Q854" t="str">
        <f>VLOOKUP(A854,vlookup_table!$A:$G,5,FALSE)</f>
        <v>T1</v>
      </c>
      <c r="R854" t="str">
        <f>VLOOKUP(A854,vlookup_table!$A:$G,6,FALSE)</f>
        <v>F</v>
      </c>
      <c r="S854">
        <f>VLOOKUP(A854,vlookup_table!$A:$G,7,FALSE)</f>
        <v>30</v>
      </c>
      <c r="T854">
        <f t="shared" si="26"/>
        <v>61</v>
      </c>
      <c r="U854" t="str">
        <f t="shared" si="27"/>
        <v>Pueblo</v>
      </c>
    </row>
    <row r="855" spans="1:21" ht="16" x14ac:dyDescent="0.4">
      <c r="A855" s="4">
        <v>7238</v>
      </c>
      <c r="B855" s="1" t="s">
        <v>44</v>
      </c>
      <c r="C855" s="1" t="s">
        <v>17</v>
      </c>
      <c r="D855" s="1">
        <v>374</v>
      </c>
      <c r="E855" s="1">
        <v>234</v>
      </c>
      <c r="F855" s="1">
        <v>283</v>
      </c>
      <c r="G855" s="1">
        <v>0</v>
      </c>
      <c r="H855" s="1">
        <v>10539</v>
      </c>
      <c r="I855" s="1">
        <v>0</v>
      </c>
      <c r="J855" s="1">
        <v>74</v>
      </c>
      <c r="K855" s="1">
        <v>305</v>
      </c>
      <c r="L855" s="1">
        <v>225</v>
      </c>
      <c r="M855" s="1">
        <v>5.538461539</v>
      </c>
      <c r="N855">
        <f>VLOOKUP(A855,vlookup_table!$A:$G,2,FALSE)</f>
        <v>0</v>
      </c>
      <c r="O855" t="str">
        <f>VLOOKUP(A855,vlookup_table!$A:$G,3,FALSE)</f>
        <v>IA</v>
      </c>
      <c r="P855">
        <f>VLOOKUP(A855,vlookup_table!$A:$G,4,FALSE)</f>
        <v>0</v>
      </c>
      <c r="Q855" t="str">
        <f>VLOOKUP(A855,vlookup_table!$A:$G,5,FALSE)</f>
        <v>T2</v>
      </c>
      <c r="R855" t="str">
        <f>VLOOKUP(A855,vlookup_table!$A:$G,6,FALSE)</f>
        <v>F</v>
      </c>
      <c r="S855">
        <f>VLOOKUP(A855,vlookup_table!$A:$G,7,FALSE)</f>
        <v>12</v>
      </c>
      <c r="T855">
        <f t="shared" si="26"/>
        <v>96</v>
      </c>
      <c r="U855" t="str">
        <f t="shared" si="27"/>
        <v>Pueblo</v>
      </c>
    </row>
    <row r="856" spans="1:21" ht="16" x14ac:dyDescent="0.4">
      <c r="A856" s="4">
        <v>132003</v>
      </c>
      <c r="B856" s="1" t="s">
        <v>45</v>
      </c>
      <c r="C856" s="1" t="s">
        <v>17</v>
      </c>
      <c r="D856" s="1">
        <v>508</v>
      </c>
      <c r="E856" s="1">
        <v>240</v>
      </c>
      <c r="F856" s="1">
        <v>427</v>
      </c>
      <c r="G856" s="1">
        <v>0</v>
      </c>
      <c r="H856" s="1">
        <v>14984</v>
      </c>
      <c r="I856" s="1">
        <v>1</v>
      </c>
      <c r="J856" s="1">
        <v>61</v>
      </c>
      <c r="K856" s="1">
        <v>303</v>
      </c>
      <c r="L856" s="1">
        <v>377</v>
      </c>
      <c r="M856" s="1">
        <v>5.5714285710000002</v>
      </c>
      <c r="N856">
        <f>VLOOKUP(A856,vlookup_table!$A:$G,2,FALSE)</f>
        <v>28</v>
      </c>
      <c r="O856" t="str">
        <f>VLOOKUP(A856,vlookup_table!$A:$G,3,FALSE)</f>
        <v>CO</v>
      </c>
      <c r="P856">
        <f>VLOOKUP(A856,vlookup_table!$A:$G,4,FALSE)</f>
        <v>0</v>
      </c>
      <c r="Q856" t="str">
        <f>VLOOKUP(A856,vlookup_table!$A:$G,5,FALSE)</f>
        <v>R2</v>
      </c>
      <c r="R856" t="str">
        <f>VLOOKUP(A856,vlookup_table!$A:$G,6,FALSE)</f>
        <v>F</v>
      </c>
      <c r="S856">
        <f>VLOOKUP(A856,vlookup_table!$A:$G,7,FALSE)</f>
        <v>8</v>
      </c>
      <c r="T856">
        <f t="shared" si="26"/>
        <v>96</v>
      </c>
      <c r="U856" t="str">
        <f t="shared" si="27"/>
        <v>Rural</v>
      </c>
    </row>
    <row r="857" spans="1:21" ht="16" x14ac:dyDescent="0.4">
      <c r="A857" s="4">
        <v>172220</v>
      </c>
      <c r="B857" s="1" t="s">
        <v>21</v>
      </c>
      <c r="C857" s="1" t="s">
        <v>14</v>
      </c>
      <c r="D857" s="1">
        <v>676</v>
      </c>
      <c r="E857" s="1">
        <v>156</v>
      </c>
      <c r="F857" s="1">
        <v>203</v>
      </c>
      <c r="G857" s="1">
        <v>0</v>
      </c>
      <c r="H857" s="1">
        <v>4877</v>
      </c>
      <c r="I857" s="1">
        <v>18</v>
      </c>
      <c r="J857" s="1">
        <v>54</v>
      </c>
      <c r="K857" s="1">
        <v>172</v>
      </c>
      <c r="L857" s="1">
        <v>201</v>
      </c>
      <c r="M857" s="1">
        <v>12.133333329999999</v>
      </c>
      <c r="N857">
        <f>VLOOKUP(A857,vlookup_table!$A:$G,2,FALSE)</f>
        <v>1</v>
      </c>
      <c r="O857" t="str">
        <f>VLOOKUP(A857,vlookup_table!$A:$G,3,FALSE)</f>
        <v>CA</v>
      </c>
      <c r="P857">
        <f>VLOOKUP(A857,vlookup_table!$A:$G,4,FALSE)</f>
        <v>4011</v>
      </c>
      <c r="Q857" t="str">
        <f>VLOOKUP(A857,vlookup_table!$A:$G,5,FALSE)</f>
        <v>C3</v>
      </c>
      <c r="R857" t="str">
        <f>VLOOKUP(A857,vlookup_table!$A:$G,6,FALSE)</f>
        <v>M</v>
      </c>
      <c r="S857">
        <f>VLOOKUP(A857,vlookup_table!$A:$G,7,FALSE)</f>
        <v>19</v>
      </c>
      <c r="T857">
        <f t="shared" si="26"/>
        <v>56</v>
      </c>
      <c r="U857" t="str">
        <f t="shared" si="27"/>
        <v>Ciudad</v>
      </c>
    </row>
    <row r="858" spans="1:21" ht="16" x14ac:dyDescent="0.4">
      <c r="A858" s="4">
        <v>189916</v>
      </c>
      <c r="B858" s="1" t="s">
        <v>26</v>
      </c>
      <c r="C858" s="1" t="s">
        <v>14</v>
      </c>
      <c r="D858" s="1">
        <v>805</v>
      </c>
      <c r="E858" s="1">
        <v>382</v>
      </c>
      <c r="F858" s="1">
        <v>507</v>
      </c>
      <c r="G858" s="1">
        <v>0</v>
      </c>
      <c r="H858" s="1">
        <v>17020</v>
      </c>
      <c r="I858" s="1">
        <v>6</v>
      </c>
      <c r="J858" s="1">
        <v>78</v>
      </c>
      <c r="K858" s="1">
        <v>506</v>
      </c>
      <c r="L858" s="1">
        <v>421</v>
      </c>
      <c r="M858" s="1">
        <v>21.166666670000001</v>
      </c>
      <c r="N858">
        <f>VLOOKUP(A858,vlookup_table!$A:$G,2,FALSE)</f>
        <v>0</v>
      </c>
      <c r="O858" t="str">
        <f>VLOOKUP(A858,vlookup_table!$A:$G,3,FALSE)</f>
        <v>MI</v>
      </c>
      <c r="P858">
        <f>VLOOKUP(A858,vlookup_table!$A:$G,4,FALSE)</f>
        <v>1004</v>
      </c>
      <c r="Q858" t="str">
        <f>VLOOKUP(A858,vlookup_table!$A:$G,5,FALSE)</f>
        <v/>
      </c>
      <c r="R858" t="str">
        <f>VLOOKUP(A858,vlookup_table!$A:$G,6,FALSE)</f>
        <v>M</v>
      </c>
      <c r="S858">
        <f>VLOOKUP(A858,vlookup_table!$A:$G,7,FALSE)</f>
        <v>5</v>
      </c>
      <c r="T858">
        <f t="shared" si="26"/>
        <v>86</v>
      </c>
      <c r="U858" t="str">
        <f t="shared" si="27"/>
        <v/>
      </c>
    </row>
    <row r="859" spans="1:21" ht="16" x14ac:dyDescent="0.4">
      <c r="A859" s="4">
        <v>89358</v>
      </c>
      <c r="B859" s="1" t="s">
        <v>16</v>
      </c>
      <c r="C859" s="1" t="s">
        <v>14</v>
      </c>
      <c r="D859" s="1">
        <v>732</v>
      </c>
      <c r="E859" s="1">
        <v>409</v>
      </c>
      <c r="F859" s="1">
        <v>463</v>
      </c>
      <c r="G859" s="1">
        <v>0</v>
      </c>
      <c r="H859" s="1">
        <v>13763</v>
      </c>
      <c r="I859" s="1">
        <v>12</v>
      </c>
      <c r="J859" s="1">
        <v>63</v>
      </c>
      <c r="K859" s="1">
        <v>416</v>
      </c>
      <c r="L859" s="1">
        <v>450</v>
      </c>
      <c r="M859" s="1">
        <v>11.66666667</v>
      </c>
      <c r="N859">
        <f>VLOOKUP(A859,vlookup_table!$A:$G,2,FALSE)</f>
        <v>1</v>
      </c>
      <c r="O859" t="str">
        <f>VLOOKUP(A859,vlookup_table!$A:$G,3,FALSE)</f>
        <v>IL</v>
      </c>
      <c r="P859">
        <f>VLOOKUP(A859,vlookup_table!$A:$G,4,FALSE)</f>
        <v>3801</v>
      </c>
      <c r="Q859" t="str">
        <f>VLOOKUP(A859,vlookup_table!$A:$G,5,FALSE)</f>
        <v>C2</v>
      </c>
      <c r="R859" t="str">
        <f>VLOOKUP(A859,vlookup_table!$A:$G,6,FALSE)</f>
        <v>M</v>
      </c>
      <c r="S859">
        <f>VLOOKUP(A859,vlookup_table!$A:$G,7,FALSE)</f>
        <v>20</v>
      </c>
      <c r="T859">
        <f t="shared" si="26"/>
        <v>58</v>
      </c>
      <c r="U859" t="str">
        <f t="shared" si="27"/>
        <v>Ciudad</v>
      </c>
    </row>
    <row r="860" spans="1:21" ht="16" x14ac:dyDescent="0.4">
      <c r="A860" s="4">
        <v>82843</v>
      </c>
      <c r="B860" s="1" t="s">
        <v>52</v>
      </c>
      <c r="C860" s="1" t="s">
        <v>17</v>
      </c>
      <c r="D860" s="1">
        <v>737</v>
      </c>
      <c r="E860" s="1">
        <v>302</v>
      </c>
      <c r="F860" s="1">
        <v>445</v>
      </c>
      <c r="G860" s="1">
        <v>0</v>
      </c>
      <c r="H860" s="1">
        <v>14822</v>
      </c>
      <c r="I860" s="1">
        <v>5</v>
      </c>
      <c r="J860" s="1">
        <v>76</v>
      </c>
      <c r="K860" s="1">
        <v>383</v>
      </c>
      <c r="L860" s="1">
        <v>357</v>
      </c>
      <c r="M860" s="1">
        <v>5.0714285710000002</v>
      </c>
      <c r="N860">
        <f>VLOOKUP(A860,vlookup_table!$A:$G,2,FALSE)</f>
        <v>28</v>
      </c>
      <c r="O860" t="str">
        <f>VLOOKUP(A860,vlookup_table!$A:$G,3,FALSE)</f>
        <v>MN</v>
      </c>
      <c r="P860">
        <f>VLOOKUP(A860,vlookup_table!$A:$G,4,FALSE)</f>
        <v>0</v>
      </c>
      <c r="Q860" t="str">
        <f>VLOOKUP(A860,vlookup_table!$A:$G,5,FALSE)</f>
        <v>S2</v>
      </c>
      <c r="R860" t="str">
        <f>VLOOKUP(A860,vlookup_table!$A:$G,6,FALSE)</f>
        <v>F</v>
      </c>
      <c r="S860">
        <f>VLOOKUP(A860,vlookup_table!$A:$G,7,FALSE)</f>
        <v>5</v>
      </c>
      <c r="T860">
        <f t="shared" si="26"/>
        <v>96</v>
      </c>
      <c r="U860" t="str">
        <f t="shared" si="27"/>
        <v>Suburbano</v>
      </c>
    </row>
    <row r="861" spans="1:21" ht="16" x14ac:dyDescent="0.4">
      <c r="A861" s="4">
        <v>56124</v>
      </c>
      <c r="B861" s="1" t="s">
        <v>56</v>
      </c>
      <c r="C861" s="1" t="s">
        <v>14</v>
      </c>
      <c r="D861" s="1">
        <v>600</v>
      </c>
      <c r="E861" s="1">
        <v>254</v>
      </c>
      <c r="F861" s="1">
        <v>294</v>
      </c>
      <c r="G861" s="1">
        <v>0</v>
      </c>
      <c r="H861" s="1">
        <v>9800</v>
      </c>
      <c r="I861" s="1">
        <v>3</v>
      </c>
      <c r="J861" s="1">
        <v>16</v>
      </c>
      <c r="K861" s="1">
        <v>255</v>
      </c>
      <c r="L861" s="1">
        <v>292</v>
      </c>
      <c r="M861" s="1">
        <v>15</v>
      </c>
      <c r="N861">
        <f>VLOOKUP(A861,vlookup_table!$A:$G,2,FALSE)</f>
        <v>0</v>
      </c>
      <c r="O861" t="str">
        <f>VLOOKUP(A861,vlookup_table!$A:$G,3,FALSE)</f>
        <v>MS</v>
      </c>
      <c r="P861">
        <f>VLOOKUP(A861,vlookup_table!$A:$G,4,FALSE)</f>
        <v>5106</v>
      </c>
      <c r="Q861" t="str">
        <f>VLOOKUP(A861,vlookup_table!$A:$G,5,FALSE)</f>
        <v/>
      </c>
      <c r="R861" t="str">
        <f>VLOOKUP(A861,vlookup_table!$A:$G,6,FALSE)</f>
        <v>M</v>
      </c>
      <c r="S861">
        <f>VLOOKUP(A861,vlookup_table!$A:$G,7,FALSE)</f>
        <v>20</v>
      </c>
      <c r="T861">
        <f t="shared" si="26"/>
        <v>45</v>
      </c>
      <c r="U861" t="str">
        <f t="shared" si="27"/>
        <v/>
      </c>
    </row>
    <row r="862" spans="1:21" ht="16" x14ac:dyDescent="0.4">
      <c r="A862" s="4">
        <v>75840</v>
      </c>
      <c r="B862" s="1" t="s">
        <v>44</v>
      </c>
      <c r="C862" s="1" t="s">
        <v>14</v>
      </c>
      <c r="D862" s="1">
        <v>686</v>
      </c>
      <c r="E862" s="1">
        <v>356</v>
      </c>
      <c r="F862" s="1">
        <v>492</v>
      </c>
      <c r="G862" s="1">
        <v>0</v>
      </c>
      <c r="H862" s="1">
        <v>19695</v>
      </c>
      <c r="I862" s="1">
        <v>3</v>
      </c>
      <c r="J862" s="1">
        <v>64</v>
      </c>
      <c r="K862" s="1">
        <v>449</v>
      </c>
      <c r="L862" s="1">
        <v>408</v>
      </c>
      <c r="M862" s="1">
        <v>12.75</v>
      </c>
      <c r="N862">
        <f>VLOOKUP(A862,vlookup_table!$A:$G,2,FALSE)</f>
        <v>0</v>
      </c>
      <c r="O862" t="str">
        <f>VLOOKUP(A862,vlookup_table!$A:$G,3,FALSE)</f>
        <v>IA</v>
      </c>
      <c r="P862">
        <f>VLOOKUP(A862,vlookup_table!$A:$G,4,FALSE)</f>
        <v>1501</v>
      </c>
      <c r="Q862" t="str">
        <f>VLOOKUP(A862,vlookup_table!$A:$G,5,FALSE)</f>
        <v>C1</v>
      </c>
      <c r="R862" t="str">
        <f>VLOOKUP(A862,vlookup_table!$A:$G,6,FALSE)</f>
        <v>M</v>
      </c>
      <c r="S862">
        <f>VLOOKUP(A862,vlookup_table!$A:$G,7,FALSE)</f>
        <v>20</v>
      </c>
      <c r="T862">
        <f t="shared" si="26"/>
        <v>81</v>
      </c>
      <c r="U862" t="str">
        <f t="shared" si="27"/>
        <v>Ciudad</v>
      </c>
    </row>
    <row r="863" spans="1:21" ht="16" x14ac:dyDescent="0.4">
      <c r="A863" s="4">
        <v>163220</v>
      </c>
      <c r="B863" s="1" t="s">
        <v>21</v>
      </c>
      <c r="C863" s="1" t="s">
        <v>27</v>
      </c>
      <c r="D863" s="1">
        <v>5829</v>
      </c>
      <c r="E863" s="1">
        <v>585</v>
      </c>
      <c r="F863" s="1">
        <v>977</v>
      </c>
      <c r="G863" s="1">
        <v>99</v>
      </c>
      <c r="H863" s="1">
        <v>52437</v>
      </c>
      <c r="I863" s="1">
        <v>16</v>
      </c>
      <c r="J863" s="1">
        <v>24</v>
      </c>
      <c r="K863" s="1">
        <v>987</v>
      </c>
      <c r="L863" s="1">
        <v>691</v>
      </c>
      <c r="M863" s="1">
        <v>11.5</v>
      </c>
      <c r="N863">
        <f>VLOOKUP(A863,vlookup_table!$A:$G,2,FALSE)</f>
        <v>28</v>
      </c>
      <c r="O863" t="str">
        <f>VLOOKUP(A863,vlookup_table!$A:$G,3,FALSE)</f>
        <v>CA</v>
      </c>
      <c r="P863">
        <f>VLOOKUP(A863,vlookup_table!$A:$G,4,FALSE)</f>
        <v>4701</v>
      </c>
      <c r="Q863" t="str">
        <f>VLOOKUP(A863,vlookup_table!$A:$G,5,FALSE)</f>
        <v>U1</v>
      </c>
      <c r="R863" t="str">
        <f>VLOOKUP(A863,vlookup_table!$A:$G,6,FALSE)</f>
        <v>U</v>
      </c>
      <c r="S863">
        <f>VLOOKUP(A863,vlookup_table!$A:$G,7,FALSE)</f>
        <v>26</v>
      </c>
      <c r="T863">
        <f t="shared" si="26"/>
        <v>49</v>
      </c>
      <c r="U863" t="str">
        <f t="shared" si="27"/>
        <v>Urbano</v>
      </c>
    </row>
    <row r="864" spans="1:21" ht="16" x14ac:dyDescent="0.4">
      <c r="A864" s="4">
        <v>74615</v>
      </c>
      <c r="B864" s="1" t="s">
        <v>26</v>
      </c>
      <c r="C864" s="1" t="s">
        <v>14</v>
      </c>
      <c r="D864" s="1">
        <v>500</v>
      </c>
      <c r="E864" s="1">
        <v>155</v>
      </c>
      <c r="F864" s="1">
        <v>423</v>
      </c>
      <c r="G864" s="1">
        <v>0</v>
      </c>
      <c r="H864" s="1">
        <v>13674</v>
      </c>
      <c r="I864" s="1">
        <v>9</v>
      </c>
      <c r="J864" s="1">
        <v>59</v>
      </c>
      <c r="K864" s="1">
        <v>385</v>
      </c>
      <c r="L864" s="1">
        <v>263</v>
      </c>
      <c r="M864" s="1">
        <v>7</v>
      </c>
      <c r="N864">
        <f>VLOOKUP(A864,vlookup_table!$A:$G,2,FALSE)</f>
        <v>0</v>
      </c>
      <c r="O864" t="str">
        <f>VLOOKUP(A864,vlookup_table!$A:$G,3,FALSE)</f>
        <v>MI</v>
      </c>
      <c r="P864">
        <f>VLOOKUP(A864,vlookup_table!$A:$G,4,FALSE)</f>
        <v>1101</v>
      </c>
      <c r="Q864" t="str">
        <f>VLOOKUP(A864,vlookup_table!$A:$G,5,FALSE)</f>
        <v>C2</v>
      </c>
      <c r="R864" t="str">
        <f>VLOOKUP(A864,vlookup_table!$A:$G,6,FALSE)</f>
        <v>M</v>
      </c>
      <c r="S864">
        <f>VLOOKUP(A864,vlookup_table!$A:$G,7,FALSE)</f>
        <v>9</v>
      </c>
      <c r="T864">
        <f t="shared" si="26"/>
        <v>85</v>
      </c>
      <c r="U864" t="str">
        <f t="shared" si="27"/>
        <v>Ciudad</v>
      </c>
    </row>
    <row r="865" spans="1:21" ht="16" x14ac:dyDescent="0.4">
      <c r="A865" s="4">
        <v>45808</v>
      </c>
      <c r="B865" s="1" t="s">
        <v>13</v>
      </c>
      <c r="C865" s="1" t="s">
        <v>17</v>
      </c>
      <c r="D865" s="1">
        <v>877</v>
      </c>
      <c r="E865" s="1">
        <v>332</v>
      </c>
      <c r="F865" s="1">
        <v>432</v>
      </c>
      <c r="G865" s="1">
        <v>3</v>
      </c>
      <c r="H865" s="1">
        <v>16670</v>
      </c>
      <c r="I865" s="1">
        <v>7</v>
      </c>
      <c r="J865" s="1">
        <v>15</v>
      </c>
      <c r="K865" s="1">
        <v>380</v>
      </c>
      <c r="L865" s="1">
        <v>392</v>
      </c>
      <c r="M865" s="1">
        <v>8.5789473679999997</v>
      </c>
      <c r="N865">
        <f>VLOOKUP(A865,vlookup_table!$A:$G,2,FALSE)</f>
        <v>0</v>
      </c>
      <c r="O865" t="str">
        <f>VLOOKUP(A865,vlookup_table!$A:$G,3,FALSE)</f>
        <v>FL</v>
      </c>
      <c r="P865">
        <f>VLOOKUP(A865,vlookup_table!$A:$G,4,FALSE)</f>
        <v>1809</v>
      </c>
      <c r="Q865" t="str">
        <f>VLOOKUP(A865,vlookup_table!$A:$G,5,FALSE)</f>
        <v>S2</v>
      </c>
      <c r="R865" t="str">
        <f>VLOOKUP(A865,vlookup_table!$A:$G,6,FALSE)</f>
        <v>F</v>
      </c>
      <c r="S865">
        <f>VLOOKUP(A865,vlookup_table!$A:$G,7,FALSE)</f>
        <v>10</v>
      </c>
      <c r="T865">
        <f t="shared" si="26"/>
        <v>78</v>
      </c>
      <c r="U865" t="str">
        <f t="shared" si="27"/>
        <v>Suburbano</v>
      </c>
    </row>
    <row r="866" spans="1:21" ht="16" x14ac:dyDescent="0.4">
      <c r="A866" s="4">
        <v>162593</v>
      </c>
      <c r="B866" s="1" t="s">
        <v>21</v>
      </c>
      <c r="C866" s="1" t="s">
        <v>14</v>
      </c>
      <c r="D866" s="1">
        <v>5954</v>
      </c>
      <c r="E866" s="1">
        <v>1500</v>
      </c>
      <c r="F866" s="1">
        <v>1263</v>
      </c>
      <c r="G866" s="1">
        <v>99</v>
      </c>
      <c r="H866" s="1">
        <v>68593</v>
      </c>
      <c r="I866" s="1">
        <v>17</v>
      </c>
      <c r="J866" s="1">
        <v>57</v>
      </c>
      <c r="K866" s="1">
        <v>1500</v>
      </c>
      <c r="L866" s="1">
        <v>1185</v>
      </c>
      <c r="M866" s="1">
        <v>9.2857142859999993</v>
      </c>
      <c r="N866">
        <f>VLOOKUP(A866,vlookup_table!$A:$G,2,FALSE)</f>
        <v>1</v>
      </c>
      <c r="O866" t="str">
        <f>VLOOKUP(A866,vlookup_table!$A:$G,3,FALSE)</f>
        <v>CA</v>
      </c>
      <c r="P866">
        <f>VLOOKUP(A866,vlookup_table!$A:$G,4,FALSE)</f>
        <v>5010</v>
      </c>
      <c r="Q866" t="str">
        <f>VLOOKUP(A866,vlookup_table!$A:$G,5,FALSE)</f>
        <v>S1</v>
      </c>
      <c r="R866" t="str">
        <f>VLOOKUP(A866,vlookup_table!$A:$G,6,FALSE)</f>
        <v>M</v>
      </c>
      <c r="S866">
        <f>VLOOKUP(A866,vlookup_table!$A:$G,7,FALSE)</f>
        <v>14</v>
      </c>
      <c r="T866">
        <f t="shared" si="26"/>
        <v>46</v>
      </c>
      <c r="U866" t="str">
        <f t="shared" si="27"/>
        <v>Suburbano</v>
      </c>
    </row>
    <row r="867" spans="1:21" ht="16" x14ac:dyDescent="0.4">
      <c r="A867" s="4">
        <v>20237</v>
      </c>
      <c r="B867" s="1" t="s">
        <v>18</v>
      </c>
      <c r="C867" s="1" t="s">
        <v>98</v>
      </c>
      <c r="D867" s="1">
        <v>674</v>
      </c>
      <c r="E867" s="1">
        <v>294</v>
      </c>
      <c r="F867" s="1">
        <v>405</v>
      </c>
      <c r="G867" s="1">
        <v>1</v>
      </c>
      <c r="H867" s="1">
        <v>13120</v>
      </c>
      <c r="I867" s="1">
        <v>2</v>
      </c>
      <c r="J867" s="1">
        <v>65</v>
      </c>
      <c r="K867" s="1">
        <v>381</v>
      </c>
      <c r="L867" s="1">
        <v>347</v>
      </c>
      <c r="M867" s="1">
        <v>6.266666667</v>
      </c>
      <c r="N867">
        <f>VLOOKUP(A867,vlookup_table!$A:$G,2,FALSE)</f>
        <v>2</v>
      </c>
      <c r="O867" t="str">
        <f>VLOOKUP(A867,vlookup_table!$A:$G,3,FALSE)</f>
        <v>NC</v>
      </c>
      <c r="P867">
        <f>VLOOKUP(A867,vlookup_table!$A:$G,4,FALSE)</f>
        <v>5201</v>
      </c>
      <c r="Q867" t="str">
        <f>VLOOKUP(A867,vlookup_table!$A:$G,5,FALSE)</f>
        <v>T2</v>
      </c>
      <c r="R867" t="str">
        <f>VLOOKUP(A867,vlookup_table!$A:$G,6,FALSE)</f>
        <v>F</v>
      </c>
      <c r="S867">
        <f>VLOOKUP(A867,vlookup_table!$A:$G,7,FALSE)</f>
        <v>13</v>
      </c>
      <c r="T867">
        <f t="shared" si="26"/>
        <v>44</v>
      </c>
      <c r="U867" t="str">
        <f t="shared" si="27"/>
        <v>Pueblo</v>
      </c>
    </row>
    <row r="868" spans="1:21" ht="16" x14ac:dyDescent="0.4">
      <c r="A868" s="4">
        <v>54828</v>
      </c>
      <c r="B868" s="1" t="s">
        <v>56</v>
      </c>
      <c r="C868" s="1" t="s">
        <v>98</v>
      </c>
      <c r="D868" s="1">
        <v>338</v>
      </c>
      <c r="E868" s="1">
        <v>158</v>
      </c>
      <c r="F868" s="1">
        <v>227</v>
      </c>
      <c r="G868" s="1">
        <v>0</v>
      </c>
      <c r="H868" s="1">
        <v>6834</v>
      </c>
      <c r="I868" s="1">
        <v>0</v>
      </c>
      <c r="J868" s="1">
        <v>90</v>
      </c>
      <c r="K868" s="1">
        <v>195</v>
      </c>
      <c r="L868" s="1">
        <v>197</v>
      </c>
      <c r="M868" s="1">
        <v>7.8181818180000002</v>
      </c>
      <c r="N868">
        <f>VLOOKUP(A868,vlookup_table!$A:$G,2,FALSE)</f>
        <v>2</v>
      </c>
      <c r="O868" t="str">
        <f>VLOOKUP(A868,vlookup_table!$A:$G,3,FALSE)</f>
        <v>MS</v>
      </c>
      <c r="P868">
        <f>VLOOKUP(A868,vlookup_table!$A:$G,4,FALSE)</f>
        <v>2606</v>
      </c>
      <c r="Q868" t="str">
        <f>VLOOKUP(A868,vlookup_table!$A:$G,5,FALSE)</f>
        <v>R3</v>
      </c>
      <c r="R868" t="str">
        <f>VLOOKUP(A868,vlookup_table!$A:$G,6,FALSE)</f>
        <v>F</v>
      </c>
      <c r="S868">
        <f>VLOOKUP(A868,vlookup_table!$A:$G,7,FALSE)</f>
        <v>5</v>
      </c>
      <c r="T868">
        <f t="shared" si="26"/>
        <v>70</v>
      </c>
      <c r="U868" t="str">
        <f t="shared" si="27"/>
        <v>Rural</v>
      </c>
    </row>
    <row r="869" spans="1:21" ht="16" x14ac:dyDescent="0.4">
      <c r="A869" s="4">
        <v>168589</v>
      </c>
      <c r="B869" s="1" t="s">
        <v>47</v>
      </c>
      <c r="C869" s="1" t="s">
        <v>17</v>
      </c>
      <c r="D869" s="1">
        <v>835</v>
      </c>
      <c r="E869" s="1">
        <v>186</v>
      </c>
      <c r="F869" s="1">
        <v>274</v>
      </c>
      <c r="G869" s="1">
        <v>7</v>
      </c>
      <c r="H869" s="1">
        <v>10045</v>
      </c>
      <c r="I869" s="1">
        <v>2</v>
      </c>
      <c r="J869" s="1">
        <v>32</v>
      </c>
      <c r="K869" s="1">
        <v>244</v>
      </c>
      <c r="L869" s="1">
        <v>240</v>
      </c>
      <c r="M869" s="1">
        <v>11.875</v>
      </c>
      <c r="N869">
        <f>VLOOKUP(A869,vlookup_table!$A:$G,2,FALSE)</f>
        <v>0</v>
      </c>
      <c r="O869" t="str">
        <f>VLOOKUP(A869,vlookup_table!$A:$G,3,FALSE)</f>
        <v>OR</v>
      </c>
      <c r="P869">
        <f>VLOOKUP(A869,vlookup_table!$A:$G,4,FALSE)</f>
        <v>0</v>
      </c>
      <c r="Q869" t="str">
        <f>VLOOKUP(A869,vlookup_table!$A:$G,5,FALSE)</f>
        <v>U3</v>
      </c>
      <c r="R869" t="str">
        <f>VLOOKUP(A869,vlookup_table!$A:$G,6,FALSE)</f>
        <v>F</v>
      </c>
      <c r="S869">
        <f>VLOOKUP(A869,vlookup_table!$A:$G,7,FALSE)</f>
        <v>10</v>
      </c>
      <c r="T869">
        <f t="shared" si="26"/>
        <v>96</v>
      </c>
      <c r="U869" t="str">
        <f t="shared" si="27"/>
        <v>Urbano</v>
      </c>
    </row>
    <row r="870" spans="1:21" ht="16" x14ac:dyDescent="0.4">
      <c r="A870" s="4">
        <v>168275</v>
      </c>
      <c r="B870" s="1" t="s">
        <v>21</v>
      </c>
      <c r="C870" s="1" t="s">
        <v>27</v>
      </c>
      <c r="D870" s="1">
        <v>3373</v>
      </c>
      <c r="E870" s="1">
        <v>643</v>
      </c>
      <c r="F870" s="1">
        <v>729</v>
      </c>
      <c r="G870" s="1">
        <v>96</v>
      </c>
      <c r="H870" s="1">
        <v>29018</v>
      </c>
      <c r="I870" s="1">
        <v>7</v>
      </c>
      <c r="J870" s="1">
        <v>56</v>
      </c>
      <c r="K870" s="1">
        <v>682</v>
      </c>
      <c r="L870" s="1">
        <v>699</v>
      </c>
      <c r="M870" s="1">
        <v>13.69230769</v>
      </c>
      <c r="N870">
        <f>VLOOKUP(A870,vlookup_table!$A:$G,2,FALSE)</f>
        <v>0</v>
      </c>
      <c r="O870" t="str">
        <f>VLOOKUP(A870,vlookup_table!$A:$G,3,FALSE)</f>
        <v>CA</v>
      </c>
      <c r="P870">
        <f>VLOOKUP(A870,vlookup_table!$A:$G,4,FALSE)</f>
        <v>2001</v>
      </c>
      <c r="Q870" t="str">
        <f>VLOOKUP(A870,vlookup_table!$A:$G,5,FALSE)</f>
        <v>U1</v>
      </c>
      <c r="R870" t="str">
        <f>VLOOKUP(A870,vlookup_table!$A:$G,6,FALSE)</f>
        <v>U</v>
      </c>
      <c r="S870">
        <f>VLOOKUP(A870,vlookup_table!$A:$G,7,FALSE)</f>
        <v>36</v>
      </c>
      <c r="T870">
        <f t="shared" si="26"/>
        <v>76</v>
      </c>
      <c r="U870" t="str">
        <f t="shared" si="27"/>
        <v>Urbano</v>
      </c>
    </row>
    <row r="871" spans="1:21" ht="16" x14ac:dyDescent="0.4">
      <c r="A871" s="4">
        <v>175438</v>
      </c>
      <c r="B871" s="1" t="s">
        <v>47</v>
      </c>
      <c r="C871" s="1"/>
      <c r="D871" s="1">
        <v>925</v>
      </c>
      <c r="E871" s="1">
        <v>129</v>
      </c>
      <c r="F871" s="1">
        <v>441</v>
      </c>
      <c r="G871" s="1">
        <v>8</v>
      </c>
      <c r="H871" s="1">
        <v>18634</v>
      </c>
      <c r="I871" s="1">
        <v>8</v>
      </c>
      <c r="J871" s="1">
        <v>28</v>
      </c>
      <c r="K871" s="1">
        <v>363</v>
      </c>
      <c r="L871" s="1">
        <v>215</v>
      </c>
      <c r="M871" s="1">
        <v>15.46428571</v>
      </c>
      <c r="N871">
        <f>VLOOKUP(A871,vlookup_table!$A:$G,2,FALSE)</f>
        <v>3</v>
      </c>
      <c r="O871" t="str">
        <f>VLOOKUP(A871,vlookup_table!$A:$G,3,FALSE)</f>
        <v>OR</v>
      </c>
      <c r="P871">
        <f>VLOOKUP(A871,vlookup_table!$A:$G,4,FALSE)</f>
        <v>2001</v>
      </c>
      <c r="Q871" t="str">
        <f>VLOOKUP(A871,vlookup_table!$A:$G,5,FALSE)</f>
        <v>U2</v>
      </c>
      <c r="R871" t="str">
        <f>VLOOKUP(A871,vlookup_table!$A:$G,6,FALSE)</f>
        <v/>
      </c>
      <c r="S871">
        <f>VLOOKUP(A871,vlookup_table!$A:$G,7,FALSE)</f>
        <v>25</v>
      </c>
      <c r="T871">
        <f t="shared" si="26"/>
        <v>76</v>
      </c>
      <c r="U871" t="str">
        <f t="shared" si="27"/>
        <v>Urbano</v>
      </c>
    </row>
    <row r="872" spans="1:21" ht="16" x14ac:dyDescent="0.4">
      <c r="A872" s="4">
        <v>68427</v>
      </c>
      <c r="B872" s="1" t="s">
        <v>26</v>
      </c>
      <c r="C872" s="1"/>
      <c r="D872" s="1">
        <v>483</v>
      </c>
      <c r="E872" s="1">
        <v>341</v>
      </c>
      <c r="F872" s="1">
        <v>430</v>
      </c>
      <c r="G872" s="1">
        <v>0</v>
      </c>
      <c r="H872" s="1">
        <v>14629</v>
      </c>
      <c r="I872" s="1">
        <v>17</v>
      </c>
      <c r="J872" s="1">
        <v>61</v>
      </c>
      <c r="K872" s="1">
        <v>393</v>
      </c>
      <c r="L872" s="1">
        <v>382</v>
      </c>
      <c r="M872" s="1">
        <v>38</v>
      </c>
      <c r="N872">
        <f>VLOOKUP(A872,vlookup_table!$A:$G,2,FALSE)</f>
        <v>0</v>
      </c>
      <c r="O872" t="str">
        <f>VLOOKUP(A872,vlookup_table!$A:$G,3,FALSE)</f>
        <v>MI</v>
      </c>
      <c r="P872">
        <f>VLOOKUP(A872,vlookup_table!$A:$G,4,FALSE)</f>
        <v>0</v>
      </c>
      <c r="Q872" t="str">
        <f>VLOOKUP(A872,vlookup_table!$A:$G,5,FALSE)</f>
        <v>U2</v>
      </c>
      <c r="R872" t="str">
        <f>VLOOKUP(A872,vlookup_table!$A:$G,6,FALSE)</f>
        <v/>
      </c>
      <c r="S872">
        <f>VLOOKUP(A872,vlookup_table!$A:$G,7,FALSE)</f>
        <v>25</v>
      </c>
      <c r="T872">
        <f t="shared" si="26"/>
        <v>96</v>
      </c>
      <c r="U872" t="str">
        <f t="shared" si="27"/>
        <v>Urbano</v>
      </c>
    </row>
    <row r="873" spans="1:21" ht="16" x14ac:dyDescent="0.4">
      <c r="A873" s="4">
        <v>89680</v>
      </c>
      <c r="B873" s="1" t="s">
        <v>16</v>
      </c>
      <c r="C873" s="1" t="s">
        <v>17</v>
      </c>
      <c r="D873" s="1">
        <v>1290</v>
      </c>
      <c r="E873" s="1">
        <v>515</v>
      </c>
      <c r="F873" s="1">
        <v>624</v>
      </c>
      <c r="G873" s="1">
        <v>2</v>
      </c>
      <c r="H873" s="1">
        <v>17626</v>
      </c>
      <c r="I873" s="1">
        <v>8</v>
      </c>
      <c r="J873" s="1">
        <v>74</v>
      </c>
      <c r="K873" s="1">
        <v>559</v>
      </c>
      <c r="L873" s="1">
        <v>575</v>
      </c>
      <c r="M873" s="1">
        <v>10</v>
      </c>
      <c r="N873">
        <f>VLOOKUP(A873,vlookup_table!$A:$G,2,FALSE)</f>
        <v>2</v>
      </c>
      <c r="O873" t="str">
        <f>VLOOKUP(A873,vlookup_table!$A:$G,3,FALSE)</f>
        <v>IL</v>
      </c>
      <c r="P873">
        <f>VLOOKUP(A873,vlookup_table!$A:$G,4,FALSE)</f>
        <v>4201</v>
      </c>
      <c r="Q873" t="str">
        <f>VLOOKUP(A873,vlookup_table!$A:$G,5,FALSE)</f>
        <v>S1</v>
      </c>
      <c r="R873" t="str">
        <f>VLOOKUP(A873,vlookup_table!$A:$G,6,FALSE)</f>
        <v>F</v>
      </c>
      <c r="S873">
        <f>VLOOKUP(A873,vlookup_table!$A:$G,7,FALSE)</f>
        <v>15</v>
      </c>
      <c r="T873">
        <f t="shared" si="26"/>
        <v>54</v>
      </c>
      <c r="U873" t="str">
        <f t="shared" si="27"/>
        <v>Suburbano</v>
      </c>
    </row>
    <row r="874" spans="1:21" ht="16" x14ac:dyDescent="0.4">
      <c r="A874" s="4">
        <v>132131</v>
      </c>
      <c r="B874" s="1" t="s">
        <v>45</v>
      </c>
      <c r="C874" s="1" t="s">
        <v>17</v>
      </c>
      <c r="D874" s="1">
        <v>613</v>
      </c>
      <c r="E874" s="1">
        <v>129</v>
      </c>
      <c r="F874" s="1">
        <v>244</v>
      </c>
      <c r="G874" s="1">
        <v>0</v>
      </c>
      <c r="H874" s="1">
        <v>8382</v>
      </c>
      <c r="I874" s="1">
        <v>0</v>
      </c>
      <c r="J874" s="1">
        <v>50</v>
      </c>
      <c r="K874" s="1">
        <v>207</v>
      </c>
      <c r="L874" s="1">
        <v>168</v>
      </c>
      <c r="M874" s="1">
        <v>14.875</v>
      </c>
      <c r="N874">
        <f>VLOOKUP(A874,vlookup_table!$A:$G,2,FALSE)</f>
        <v>0</v>
      </c>
      <c r="O874" t="str">
        <f>VLOOKUP(A874,vlookup_table!$A:$G,3,FALSE)</f>
        <v>CO</v>
      </c>
      <c r="P874">
        <f>VLOOKUP(A874,vlookup_table!$A:$G,4,FALSE)</f>
        <v>5901</v>
      </c>
      <c r="Q874" t="str">
        <f>VLOOKUP(A874,vlookup_table!$A:$G,5,FALSE)</f>
        <v>R1</v>
      </c>
      <c r="R874" t="str">
        <f>VLOOKUP(A874,vlookup_table!$A:$G,6,FALSE)</f>
        <v>F</v>
      </c>
      <c r="S874">
        <f>VLOOKUP(A874,vlookup_table!$A:$G,7,FALSE)</f>
        <v>25</v>
      </c>
      <c r="T874">
        <f t="shared" si="26"/>
        <v>37</v>
      </c>
      <c r="U874" t="str">
        <f t="shared" si="27"/>
        <v>Rural</v>
      </c>
    </row>
    <row r="875" spans="1:21" ht="16" x14ac:dyDescent="0.4">
      <c r="A875" s="4">
        <v>180175</v>
      </c>
      <c r="B875" s="1" t="s">
        <v>37</v>
      </c>
      <c r="C875" s="1" t="s">
        <v>17</v>
      </c>
      <c r="D875" s="1">
        <v>938</v>
      </c>
      <c r="E875" s="1">
        <v>297</v>
      </c>
      <c r="F875" s="1">
        <v>379</v>
      </c>
      <c r="G875" s="1">
        <v>3</v>
      </c>
      <c r="H875" s="1">
        <v>15721</v>
      </c>
      <c r="I875" s="1">
        <v>5</v>
      </c>
      <c r="J875" s="1">
        <v>52</v>
      </c>
      <c r="K875" s="1">
        <v>319</v>
      </c>
      <c r="L875" s="1">
        <v>344</v>
      </c>
      <c r="M875" s="1">
        <v>14.07142857</v>
      </c>
      <c r="N875">
        <f>VLOOKUP(A875,vlookup_table!$A:$G,2,FALSE)</f>
        <v>0</v>
      </c>
      <c r="O875" t="str">
        <f>VLOOKUP(A875,vlookup_table!$A:$G,3,FALSE)</f>
        <v>WA</v>
      </c>
      <c r="P875">
        <f>VLOOKUP(A875,vlookup_table!$A:$G,4,FALSE)</f>
        <v>2612</v>
      </c>
      <c r="Q875" t="str">
        <f>VLOOKUP(A875,vlookup_table!$A:$G,5,FALSE)</f>
        <v>S2</v>
      </c>
      <c r="R875" t="str">
        <f>VLOOKUP(A875,vlookup_table!$A:$G,6,FALSE)</f>
        <v>F</v>
      </c>
      <c r="S875">
        <f>VLOOKUP(A875,vlookup_table!$A:$G,7,FALSE)</f>
        <v>20</v>
      </c>
      <c r="T875">
        <f t="shared" si="26"/>
        <v>70</v>
      </c>
      <c r="U875" t="str">
        <f t="shared" si="27"/>
        <v>Suburbano</v>
      </c>
    </row>
    <row r="876" spans="1:21" ht="16" x14ac:dyDescent="0.4">
      <c r="A876" s="4">
        <v>85931</v>
      </c>
      <c r="B876" s="1" t="s">
        <v>48</v>
      </c>
      <c r="C876" s="1" t="s">
        <v>27</v>
      </c>
      <c r="D876" s="1">
        <v>246</v>
      </c>
      <c r="E876" s="1">
        <v>256</v>
      </c>
      <c r="F876" s="1">
        <v>297</v>
      </c>
      <c r="G876" s="1">
        <v>0</v>
      </c>
      <c r="H876" s="1">
        <v>9572</v>
      </c>
      <c r="I876" s="1">
        <v>0</v>
      </c>
      <c r="J876" s="1">
        <v>86</v>
      </c>
      <c r="K876" s="1">
        <v>269</v>
      </c>
      <c r="L876" s="1">
        <v>276</v>
      </c>
      <c r="M876" s="1">
        <v>6.1111111109999996</v>
      </c>
      <c r="N876">
        <f>VLOOKUP(A876,vlookup_table!$A:$G,2,FALSE)</f>
        <v>0</v>
      </c>
      <c r="O876" t="str">
        <f>VLOOKUP(A876,vlookup_table!$A:$G,3,FALSE)</f>
        <v>SD</v>
      </c>
      <c r="P876">
        <f>VLOOKUP(A876,vlookup_table!$A:$G,4,FALSE)</f>
        <v>0</v>
      </c>
      <c r="Q876" t="str">
        <f>VLOOKUP(A876,vlookup_table!$A:$G,5,FALSE)</f>
        <v>R2</v>
      </c>
      <c r="R876" t="str">
        <f>VLOOKUP(A876,vlookup_table!$A:$G,6,FALSE)</f>
        <v>U</v>
      </c>
      <c r="S876">
        <f>VLOOKUP(A876,vlookup_table!$A:$G,7,FALSE)</f>
        <v>6</v>
      </c>
      <c r="T876">
        <f t="shared" si="26"/>
        <v>96</v>
      </c>
      <c r="U876" t="str">
        <f t="shared" si="27"/>
        <v>Rural</v>
      </c>
    </row>
    <row r="877" spans="1:21" ht="16" x14ac:dyDescent="0.4">
      <c r="A877" s="4">
        <v>147305</v>
      </c>
      <c r="B877" s="1" t="s">
        <v>21</v>
      </c>
      <c r="C877" s="1" t="s">
        <v>14</v>
      </c>
      <c r="D877" s="1">
        <v>2741</v>
      </c>
      <c r="E877" s="1">
        <v>618</v>
      </c>
      <c r="F877" s="1">
        <v>558</v>
      </c>
      <c r="G877" s="1">
        <v>77</v>
      </c>
      <c r="H877" s="1">
        <v>21986</v>
      </c>
      <c r="I877" s="1">
        <v>4</v>
      </c>
      <c r="J877" s="1">
        <v>50</v>
      </c>
      <c r="K877" s="1">
        <v>609</v>
      </c>
      <c r="L877" s="1">
        <v>586</v>
      </c>
      <c r="M877" s="1">
        <v>12.4</v>
      </c>
      <c r="N877">
        <f>VLOOKUP(A877,vlookup_table!$A:$G,2,FALSE)</f>
        <v>1</v>
      </c>
      <c r="O877" t="str">
        <f>VLOOKUP(A877,vlookup_table!$A:$G,3,FALSE)</f>
        <v>CA</v>
      </c>
      <c r="P877">
        <f>VLOOKUP(A877,vlookup_table!$A:$G,4,FALSE)</f>
        <v>5201</v>
      </c>
      <c r="Q877" t="str">
        <f>VLOOKUP(A877,vlookup_table!$A:$G,5,FALSE)</f>
        <v>S1</v>
      </c>
      <c r="R877" t="str">
        <f>VLOOKUP(A877,vlookup_table!$A:$G,6,FALSE)</f>
        <v>M</v>
      </c>
      <c r="S877">
        <f>VLOOKUP(A877,vlookup_table!$A:$G,7,FALSE)</f>
        <v>15</v>
      </c>
      <c r="T877">
        <f t="shared" si="26"/>
        <v>44</v>
      </c>
      <c r="U877" t="str">
        <f t="shared" si="27"/>
        <v>Suburbano</v>
      </c>
    </row>
    <row r="878" spans="1:21" ht="16" x14ac:dyDescent="0.4">
      <c r="A878" s="4">
        <v>122404</v>
      </c>
      <c r="B878" s="1" t="s">
        <v>20</v>
      </c>
      <c r="C878" s="1" t="s">
        <v>17</v>
      </c>
      <c r="D878" s="1">
        <v>546</v>
      </c>
      <c r="E878" s="1">
        <v>201</v>
      </c>
      <c r="F878" s="1">
        <v>319</v>
      </c>
      <c r="G878" s="1">
        <v>1</v>
      </c>
      <c r="H878" s="1">
        <v>10633</v>
      </c>
      <c r="I878" s="1">
        <v>9</v>
      </c>
      <c r="J878" s="1">
        <v>70</v>
      </c>
      <c r="K878" s="1">
        <v>244</v>
      </c>
      <c r="L878" s="1">
        <v>270</v>
      </c>
      <c r="M878" s="1">
        <v>10</v>
      </c>
      <c r="N878">
        <f>VLOOKUP(A878,vlookup_table!$A:$G,2,FALSE)</f>
        <v>28</v>
      </c>
      <c r="O878" t="str">
        <f>VLOOKUP(A878,vlookup_table!$A:$G,3,FALSE)</f>
        <v>TX</v>
      </c>
      <c r="P878">
        <f>VLOOKUP(A878,vlookup_table!$A:$G,4,FALSE)</f>
        <v>3401</v>
      </c>
      <c r="Q878" t="str">
        <f>VLOOKUP(A878,vlookup_table!$A:$G,5,FALSE)</f>
        <v>T2</v>
      </c>
      <c r="R878" t="str">
        <f>VLOOKUP(A878,vlookup_table!$A:$G,6,FALSE)</f>
        <v>F</v>
      </c>
      <c r="S878">
        <f>VLOOKUP(A878,vlookup_table!$A:$G,7,FALSE)</f>
        <v>25</v>
      </c>
      <c r="T878">
        <f t="shared" si="26"/>
        <v>62</v>
      </c>
      <c r="U878" t="str">
        <f t="shared" si="27"/>
        <v>Pueblo</v>
      </c>
    </row>
    <row r="879" spans="1:21" ht="16" x14ac:dyDescent="0.4">
      <c r="A879" s="4">
        <v>27670</v>
      </c>
      <c r="B879" s="1" t="s">
        <v>36</v>
      </c>
      <c r="C879" s="1" t="s">
        <v>14</v>
      </c>
      <c r="D879" s="1">
        <v>894</v>
      </c>
      <c r="E879" s="1">
        <v>423</v>
      </c>
      <c r="F879" s="1">
        <v>509</v>
      </c>
      <c r="G879" s="1">
        <v>2</v>
      </c>
      <c r="H879" s="1">
        <v>19549</v>
      </c>
      <c r="I879" s="1">
        <v>9</v>
      </c>
      <c r="J879" s="1">
        <v>35</v>
      </c>
      <c r="K879" s="1">
        <v>481</v>
      </c>
      <c r="L879" s="1">
        <v>452</v>
      </c>
      <c r="M879" s="1">
        <v>11.5</v>
      </c>
      <c r="N879">
        <f>VLOOKUP(A879,vlookup_table!$A:$G,2,FALSE)</f>
        <v>0</v>
      </c>
      <c r="O879" t="str">
        <f>VLOOKUP(A879,vlookup_table!$A:$G,3,FALSE)</f>
        <v>GA</v>
      </c>
      <c r="P879">
        <f>VLOOKUP(A879,vlookup_table!$A:$G,4,FALSE)</f>
        <v>0</v>
      </c>
      <c r="Q879" t="str">
        <f>VLOOKUP(A879,vlookup_table!$A:$G,5,FALSE)</f>
        <v>S1</v>
      </c>
      <c r="R879" t="str">
        <f>VLOOKUP(A879,vlookup_table!$A:$G,6,FALSE)</f>
        <v>M</v>
      </c>
      <c r="S879">
        <f>VLOOKUP(A879,vlookup_table!$A:$G,7,FALSE)</f>
        <v>25</v>
      </c>
      <c r="T879">
        <f t="shared" si="26"/>
        <v>96</v>
      </c>
      <c r="U879" t="str">
        <f t="shared" si="27"/>
        <v>Suburbano</v>
      </c>
    </row>
    <row r="880" spans="1:21" ht="16" x14ac:dyDescent="0.4">
      <c r="A880" s="4">
        <v>17791</v>
      </c>
      <c r="B880" s="1" t="s">
        <v>18</v>
      </c>
      <c r="C880" s="1" t="s">
        <v>98</v>
      </c>
      <c r="D880" s="1">
        <v>969</v>
      </c>
      <c r="E880" s="1">
        <v>515</v>
      </c>
      <c r="F880" s="1">
        <v>596</v>
      </c>
      <c r="G880" s="1">
        <v>13</v>
      </c>
      <c r="H880" s="1">
        <v>22008</v>
      </c>
      <c r="I880" s="1">
        <v>7</v>
      </c>
      <c r="J880" s="1">
        <v>51</v>
      </c>
      <c r="K880" s="1">
        <v>562</v>
      </c>
      <c r="L880" s="1">
        <v>544</v>
      </c>
      <c r="M880" s="1">
        <v>25</v>
      </c>
      <c r="N880">
        <f>VLOOKUP(A880,vlookup_table!$A:$G,2,FALSE)</f>
        <v>3</v>
      </c>
      <c r="O880" t="str">
        <f>VLOOKUP(A880,vlookup_table!$A:$G,3,FALSE)</f>
        <v>NC</v>
      </c>
      <c r="P880">
        <f>VLOOKUP(A880,vlookup_table!$A:$G,4,FALSE)</f>
        <v>3901</v>
      </c>
      <c r="Q880" t="str">
        <f>VLOOKUP(A880,vlookup_table!$A:$G,5,FALSE)</f>
        <v>C1</v>
      </c>
      <c r="R880" t="str">
        <f>VLOOKUP(A880,vlookup_table!$A:$G,6,FALSE)</f>
        <v>F</v>
      </c>
      <c r="S880">
        <f>VLOOKUP(A880,vlookup_table!$A:$G,7,FALSE)</f>
        <v>25</v>
      </c>
      <c r="T880">
        <f t="shared" si="26"/>
        <v>57</v>
      </c>
      <c r="U880" t="str">
        <f t="shared" si="27"/>
        <v>Ciudad</v>
      </c>
    </row>
    <row r="881" spans="1:21" ht="16" x14ac:dyDescent="0.4">
      <c r="A881" s="4">
        <v>113728</v>
      </c>
      <c r="B881" s="1" t="s">
        <v>28</v>
      </c>
      <c r="C881" s="1" t="s">
        <v>14</v>
      </c>
      <c r="D881" s="1">
        <v>493</v>
      </c>
      <c r="E881" s="1">
        <v>244</v>
      </c>
      <c r="F881" s="1">
        <v>337</v>
      </c>
      <c r="G881" s="1">
        <v>0</v>
      </c>
      <c r="H881" s="1">
        <v>12105</v>
      </c>
      <c r="I881" s="1">
        <v>4</v>
      </c>
      <c r="J881" s="1">
        <v>61</v>
      </c>
      <c r="K881" s="1">
        <v>305</v>
      </c>
      <c r="L881" s="1">
        <v>273</v>
      </c>
      <c r="M881" s="1">
        <v>15</v>
      </c>
      <c r="N881">
        <f>VLOOKUP(A881,vlookup_table!$A:$G,2,FALSE)</f>
        <v>1</v>
      </c>
      <c r="O881" t="str">
        <f>VLOOKUP(A881,vlookup_table!$A:$G,3,FALSE)</f>
        <v>OK</v>
      </c>
      <c r="P881">
        <f>VLOOKUP(A881,vlookup_table!$A:$G,4,FALSE)</f>
        <v>1901</v>
      </c>
      <c r="Q881" t="str">
        <f>VLOOKUP(A881,vlookup_table!$A:$G,5,FALSE)</f>
        <v>C2</v>
      </c>
      <c r="R881" t="str">
        <f>VLOOKUP(A881,vlookup_table!$A:$G,6,FALSE)</f>
        <v>M</v>
      </c>
      <c r="S881">
        <f>VLOOKUP(A881,vlookup_table!$A:$G,7,FALSE)</f>
        <v>15</v>
      </c>
      <c r="T881">
        <f t="shared" si="26"/>
        <v>77</v>
      </c>
      <c r="U881" t="str">
        <f t="shared" si="27"/>
        <v>Ciudad</v>
      </c>
    </row>
    <row r="882" spans="1:21" ht="16" x14ac:dyDescent="0.4">
      <c r="A882" s="4">
        <v>51846</v>
      </c>
      <c r="B882" s="1" t="s">
        <v>49</v>
      </c>
      <c r="C882" s="1" t="s">
        <v>17</v>
      </c>
      <c r="D882" s="1">
        <v>386</v>
      </c>
      <c r="E882" s="1">
        <v>177</v>
      </c>
      <c r="F882" s="1">
        <v>251</v>
      </c>
      <c r="G882" s="1">
        <v>0</v>
      </c>
      <c r="H882" s="1">
        <v>8524</v>
      </c>
      <c r="I882" s="1">
        <v>0</v>
      </c>
      <c r="J882" s="1">
        <v>83</v>
      </c>
      <c r="K882" s="1">
        <v>231</v>
      </c>
      <c r="L882" s="1">
        <v>220</v>
      </c>
      <c r="M882" s="1">
        <v>15</v>
      </c>
      <c r="N882">
        <f>VLOOKUP(A882,vlookup_table!$A:$G,2,FALSE)</f>
        <v>0</v>
      </c>
      <c r="O882" t="str">
        <f>VLOOKUP(A882,vlookup_table!$A:$G,3,FALSE)</f>
        <v>TN</v>
      </c>
      <c r="P882">
        <f>VLOOKUP(A882,vlookup_table!$A:$G,4,FALSE)</f>
        <v>5501</v>
      </c>
      <c r="Q882" t="str">
        <f>VLOOKUP(A882,vlookup_table!$A:$G,5,FALSE)</f>
        <v>R3</v>
      </c>
      <c r="R882" t="str">
        <f>VLOOKUP(A882,vlookup_table!$A:$G,6,FALSE)</f>
        <v>F</v>
      </c>
      <c r="S882">
        <f>VLOOKUP(A882,vlookup_table!$A:$G,7,FALSE)</f>
        <v>25</v>
      </c>
      <c r="T882">
        <f t="shared" si="26"/>
        <v>41</v>
      </c>
      <c r="U882" t="str">
        <f t="shared" si="27"/>
        <v>Rural</v>
      </c>
    </row>
    <row r="883" spans="1:21" ht="16" x14ac:dyDescent="0.4">
      <c r="A883" s="4">
        <v>51528</v>
      </c>
      <c r="B883" s="1" t="s">
        <v>49</v>
      </c>
      <c r="C883" s="1" t="s">
        <v>17</v>
      </c>
      <c r="D883" s="1">
        <v>472</v>
      </c>
      <c r="E883" s="1">
        <v>257</v>
      </c>
      <c r="F883" s="1">
        <v>337</v>
      </c>
      <c r="G883" s="1">
        <v>0</v>
      </c>
      <c r="H883" s="1">
        <v>13332</v>
      </c>
      <c r="I883" s="1">
        <v>0</v>
      </c>
      <c r="J883" s="1">
        <v>64</v>
      </c>
      <c r="K883" s="1">
        <v>303</v>
      </c>
      <c r="L883" s="1">
        <v>284</v>
      </c>
      <c r="M883" s="1">
        <v>6.0714285710000002</v>
      </c>
      <c r="N883">
        <f>VLOOKUP(A883,vlookup_table!$A:$G,2,FALSE)</f>
        <v>0</v>
      </c>
      <c r="O883" t="str">
        <f>VLOOKUP(A883,vlookup_table!$A:$G,3,FALSE)</f>
        <v>TN</v>
      </c>
      <c r="P883">
        <f>VLOOKUP(A883,vlookup_table!$A:$G,4,FALSE)</f>
        <v>3701</v>
      </c>
      <c r="Q883" t="str">
        <f>VLOOKUP(A883,vlookup_table!$A:$G,5,FALSE)</f>
        <v>C2</v>
      </c>
      <c r="R883" t="str">
        <f>VLOOKUP(A883,vlookup_table!$A:$G,6,FALSE)</f>
        <v>F</v>
      </c>
      <c r="S883">
        <f>VLOOKUP(A883,vlookup_table!$A:$G,7,FALSE)</f>
        <v>5</v>
      </c>
      <c r="T883">
        <f t="shared" si="26"/>
        <v>59</v>
      </c>
      <c r="U883" t="str">
        <f t="shared" si="27"/>
        <v>Ciudad</v>
      </c>
    </row>
    <row r="884" spans="1:21" ht="16" x14ac:dyDescent="0.4">
      <c r="A884" s="4">
        <v>155642</v>
      </c>
      <c r="B884" s="1" t="s">
        <v>21</v>
      </c>
      <c r="C884" s="1" t="s">
        <v>27</v>
      </c>
      <c r="D884" s="1">
        <v>1034</v>
      </c>
      <c r="E884" s="1">
        <v>176</v>
      </c>
      <c r="F884" s="1">
        <v>295</v>
      </c>
      <c r="G884" s="1">
        <v>2</v>
      </c>
      <c r="H884" s="1">
        <v>10176</v>
      </c>
      <c r="I884" s="1">
        <v>20</v>
      </c>
      <c r="J884" s="1">
        <v>44</v>
      </c>
      <c r="K884" s="1">
        <v>249</v>
      </c>
      <c r="L884" s="1">
        <v>222</v>
      </c>
      <c r="M884" s="1">
        <v>9</v>
      </c>
      <c r="N884">
        <f>VLOOKUP(A884,vlookup_table!$A:$G,2,FALSE)</f>
        <v>2</v>
      </c>
      <c r="O884" t="str">
        <f>VLOOKUP(A884,vlookup_table!$A:$G,3,FALSE)</f>
        <v>CA</v>
      </c>
      <c r="P884">
        <f>VLOOKUP(A884,vlookup_table!$A:$G,4,FALSE)</f>
        <v>0</v>
      </c>
      <c r="Q884" t="str">
        <f>VLOOKUP(A884,vlookup_table!$A:$G,5,FALSE)</f>
        <v>C2</v>
      </c>
      <c r="R884" t="str">
        <f>VLOOKUP(A884,vlookup_table!$A:$G,6,FALSE)</f>
        <v>U</v>
      </c>
      <c r="S884">
        <f>VLOOKUP(A884,vlookup_table!$A:$G,7,FALSE)</f>
        <v>12</v>
      </c>
      <c r="T884">
        <f t="shared" si="26"/>
        <v>96</v>
      </c>
      <c r="U884" t="str">
        <f t="shared" si="27"/>
        <v>Ciudad</v>
      </c>
    </row>
    <row r="885" spans="1:21" ht="16" x14ac:dyDescent="0.4">
      <c r="A885" s="4">
        <v>99497</v>
      </c>
      <c r="B885" s="1" t="s">
        <v>33</v>
      </c>
      <c r="C885" s="1" t="s">
        <v>14</v>
      </c>
      <c r="D885" s="1">
        <v>834</v>
      </c>
      <c r="E885" s="1">
        <v>383</v>
      </c>
      <c r="F885" s="1">
        <v>413</v>
      </c>
      <c r="G885" s="1">
        <v>0</v>
      </c>
      <c r="H885" s="1">
        <v>12532</v>
      </c>
      <c r="I885" s="1">
        <v>2</v>
      </c>
      <c r="J885" s="1">
        <v>78</v>
      </c>
      <c r="K885" s="1">
        <v>409</v>
      </c>
      <c r="L885" s="1">
        <v>382</v>
      </c>
      <c r="M885" s="1">
        <v>8.2142857140000007</v>
      </c>
      <c r="N885">
        <f>VLOOKUP(A885,vlookup_table!$A:$G,2,FALSE)</f>
        <v>1</v>
      </c>
      <c r="O885" t="str">
        <f>VLOOKUP(A885,vlookup_table!$A:$G,3,FALSE)</f>
        <v>MO</v>
      </c>
      <c r="P885">
        <f>VLOOKUP(A885,vlookup_table!$A:$G,4,FALSE)</f>
        <v>6201</v>
      </c>
      <c r="Q885" t="str">
        <f>VLOOKUP(A885,vlookup_table!$A:$G,5,FALSE)</f>
        <v>T2</v>
      </c>
      <c r="R885" t="str">
        <f>VLOOKUP(A885,vlookup_table!$A:$G,6,FALSE)</f>
        <v>M</v>
      </c>
      <c r="S885">
        <f>VLOOKUP(A885,vlookup_table!$A:$G,7,FALSE)</f>
        <v>5</v>
      </c>
      <c r="T885">
        <f t="shared" si="26"/>
        <v>34</v>
      </c>
      <c r="U885" t="str">
        <f t="shared" si="27"/>
        <v>Pueblo</v>
      </c>
    </row>
    <row r="886" spans="1:21" ht="16" x14ac:dyDescent="0.4">
      <c r="A886" s="4">
        <v>95240</v>
      </c>
      <c r="B886" s="1" t="s">
        <v>16</v>
      </c>
      <c r="C886" s="1" t="s">
        <v>14</v>
      </c>
      <c r="D886" s="1">
        <v>604</v>
      </c>
      <c r="E886" s="1">
        <v>344</v>
      </c>
      <c r="F886" s="1">
        <v>391</v>
      </c>
      <c r="G886" s="1">
        <v>0</v>
      </c>
      <c r="H886" s="1">
        <v>12452</v>
      </c>
      <c r="I886" s="1">
        <v>5</v>
      </c>
      <c r="J886" s="1">
        <v>63</v>
      </c>
      <c r="K886" s="1">
        <v>385</v>
      </c>
      <c r="L886" s="1">
        <v>339</v>
      </c>
      <c r="M886" s="1">
        <v>10.71875</v>
      </c>
      <c r="N886">
        <f>VLOOKUP(A886,vlookup_table!$A:$G,2,FALSE)</f>
        <v>1</v>
      </c>
      <c r="O886" t="str">
        <f>VLOOKUP(A886,vlookup_table!$A:$G,3,FALSE)</f>
        <v>IL</v>
      </c>
      <c r="P886">
        <f>VLOOKUP(A886,vlookup_table!$A:$G,4,FALSE)</f>
        <v>5209</v>
      </c>
      <c r="Q886" t="str">
        <f>VLOOKUP(A886,vlookup_table!$A:$G,5,FALSE)</f>
        <v>T2</v>
      </c>
      <c r="R886" t="str">
        <f>VLOOKUP(A886,vlookup_table!$A:$G,6,FALSE)</f>
        <v>M</v>
      </c>
      <c r="S886">
        <f>VLOOKUP(A886,vlookup_table!$A:$G,7,FALSE)</f>
        <v>11</v>
      </c>
      <c r="T886">
        <f t="shared" si="26"/>
        <v>44</v>
      </c>
      <c r="U886" t="str">
        <f t="shared" si="27"/>
        <v>Pueblo</v>
      </c>
    </row>
    <row r="887" spans="1:21" ht="16" x14ac:dyDescent="0.4">
      <c r="A887" s="4">
        <v>126639</v>
      </c>
      <c r="B887" s="1" t="s">
        <v>20</v>
      </c>
      <c r="C887" s="1" t="s">
        <v>14</v>
      </c>
      <c r="D887" s="1">
        <v>588</v>
      </c>
      <c r="E887" s="1">
        <v>237</v>
      </c>
      <c r="F887" s="1">
        <v>329</v>
      </c>
      <c r="G887" s="1">
        <v>1</v>
      </c>
      <c r="H887" s="1">
        <v>11033</v>
      </c>
      <c r="I887" s="1">
        <v>4</v>
      </c>
      <c r="J887" s="1">
        <v>71</v>
      </c>
      <c r="K887" s="1">
        <v>272</v>
      </c>
      <c r="L887" s="1">
        <v>292</v>
      </c>
      <c r="M887" s="1">
        <v>7.4</v>
      </c>
      <c r="N887">
        <f>VLOOKUP(A887,vlookup_table!$A:$G,2,FALSE)</f>
        <v>0</v>
      </c>
      <c r="O887" t="str">
        <f>VLOOKUP(A887,vlookup_table!$A:$G,3,FALSE)</f>
        <v>TX</v>
      </c>
      <c r="P887">
        <f>VLOOKUP(A887,vlookup_table!$A:$G,4,FALSE)</f>
        <v>709</v>
      </c>
      <c r="Q887" t="str">
        <f>VLOOKUP(A887,vlookup_table!$A:$G,5,FALSE)</f>
        <v>R2</v>
      </c>
      <c r="R887" t="str">
        <f>VLOOKUP(A887,vlookup_table!$A:$G,6,FALSE)</f>
        <v>M</v>
      </c>
      <c r="S887">
        <f>VLOOKUP(A887,vlookup_table!$A:$G,7,FALSE)</f>
        <v>8</v>
      </c>
      <c r="T887">
        <f t="shared" si="26"/>
        <v>26</v>
      </c>
      <c r="U887" t="str">
        <f t="shared" si="27"/>
        <v>Rural</v>
      </c>
    </row>
    <row r="888" spans="1:21" ht="16" x14ac:dyDescent="0.4">
      <c r="A888" s="4">
        <v>15965</v>
      </c>
      <c r="B888" s="1" t="s">
        <v>18</v>
      </c>
      <c r="C888" s="1" t="s">
        <v>14</v>
      </c>
      <c r="D888" s="1">
        <v>429</v>
      </c>
      <c r="E888" s="1">
        <v>232</v>
      </c>
      <c r="F888" s="1">
        <v>286</v>
      </c>
      <c r="G888" s="1">
        <v>0</v>
      </c>
      <c r="H888" s="1">
        <v>9832</v>
      </c>
      <c r="I888" s="1">
        <v>1</v>
      </c>
      <c r="J888" s="1">
        <v>75</v>
      </c>
      <c r="K888" s="1">
        <v>259</v>
      </c>
      <c r="L888" s="1">
        <v>253</v>
      </c>
      <c r="M888" s="1">
        <v>3.6875</v>
      </c>
      <c r="N888">
        <f>VLOOKUP(A888,vlookup_table!$A:$G,2,FALSE)</f>
        <v>1</v>
      </c>
      <c r="O888" t="str">
        <f>VLOOKUP(A888,vlookup_table!$A:$G,3,FALSE)</f>
        <v>NC</v>
      </c>
      <c r="P888">
        <f>VLOOKUP(A888,vlookup_table!$A:$G,4,FALSE)</f>
        <v>2701</v>
      </c>
      <c r="Q888" t="str">
        <f>VLOOKUP(A888,vlookup_table!$A:$G,5,FALSE)</f>
        <v>T3</v>
      </c>
      <c r="R888" t="str">
        <f>VLOOKUP(A888,vlookup_table!$A:$G,6,FALSE)</f>
        <v>M</v>
      </c>
      <c r="S888">
        <f>VLOOKUP(A888,vlookup_table!$A:$G,7,FALSE)</f>
        <v>5</v>
      </c>
      <c r="T888">
        <f t="shared" si="26"/>
        <v>69</v>
      </c>
      <c r="U888" t="str">
        <f t="shared" si="27"/>
        <v>Pueblo</v>
      </c>
    </row>
    <row r="889" spans="1:21" ht="16" x14ac:dyDescent="0.4">
      <c r="A889" s="4">
        <v>114321</v>
      </c>
      <c r="B889" s="1" t="s">
        <v>28</v>
      </c>
      <c r="C889" s="1" t="s">
        <v>14</v>
      </c>
      <c r="D889" s="1">
        <v>737</v>
      </c>
      <c r="E889" s="1">
        <v>397</v>
      </c>
      <c r="F889" s="1">
        <v>456</v>
      </c>
      <c r="G889" s="1">
        <v>0</v>
      </c>
      <c r="H889" s="1">
        <v>14451</v>
      </c>
      <c r="I889" s="1">
        <v>1</v>
      </c>
      <c r="J889" s="1">
        <v>56</v>
      </c>
      <c r="K889" s="1">
        <v>420</v>
      </c>
      <c r="L889" s="1">
        <v>420</v>
      </c>
      <c r="M889" s="1">
        <v>15</v>
      </c>
      <c r="N889">
        <f>VLOOKUP(A889,vlookup_table!$A:$G,2,FALSE)</f>
        <v>1002</v>
      </c>
      <c r="O889" t="str">
        <f>VLOOKUP(A889,vlookup_table!$A:$G,3,FALSE)</f>
        <v>OK</v>
      </c>
      <c r="P889">
        <f>VLOOKUP(A889,vlookup_table!$A:$G,4,FALSE)</f>
        <v>0</v>
      </c>
      <c r="Q889" t="str">
        <f>VLOOKUP(A889,vlookup_table!$A:$G,5,FALSE)</f>
        <v>T2</v>
      </c>
      <c r="R889" t="str">
        <f>VLOOKUP(A889,vlookup_table!$A:$G,6,FALSE)</f>
        <v>M</v>
      </c>
      <c r="S889">
        <f>VLOOKUP(A889,vlookup_table!$A:$G,7,FALSE)</f>
        <v>25</v>
      </c>
      <c r="T889">
        <f t="shared" si="26"/>
        <v>96</v>
      </c>
      <c r="U889" t="str">
        <f t="shared" si="27"/>
        <v>Pueblo</v>
      </c>
    </row>
    <row r="890" spans="1:21" ht="16" x14ac:dyDescent="0.4">
      <c r="A890" s="4">
        <v>132567</v>
      </c>
      <c r="B890" s="1" t="s">
        <v>58</v>
      </c>
      <c r="C890" s="1" t="s">
        <v>17</v>
      </c>
      <c r="D890" s="1">
        <v>985</v>
      </c>
      <c r="E890" s="1">
        <v>413</v>
      </c>
      <c r="F890" s="1">
        <v>478</v>
      </c>
      <c r="G890" s="1">
        <v>3</v>
      </c>
      <c r="H890" s="1">
        <v>16809</v>
      </c>
      <c r="I890" s="1">
        <v>1</v>
      </c>
      <c r="J890" s="1">
        <v>40</v>
      </c>
      <c r="K890" s="1">
        <v>453</v>
      </c>
      <c r="L890" s="1">
        <v>449</v>
      </c>
      <c r="M890" s="1">
        <v>15.33333333</v>
      </c>
      <c r="N890">
        <f>VLOOKUP(A890,vlookup_table!$A:$G,2,FALSE)</f>
        <v>0</v>
      </c>
      <c r="O890" t="str">
        <f>VLOOKUP(A890,vlookup_table!$A:$G,3,FALSE)</f>
        <v>WY</v>
      </c>
      <c r="P890">
        <f>VLOOKUP(A890,vlookup_table!$A:$G,4,FALSE)</f>
        <v>3401</v>
      </c>
      <c r="Q890" t="str">
        <f>VLOOKUP(A890,vlookup_table!$A:$G,5,FALSE)</f>
        <v>R1</v>
      </c>
      <c r="R890" t="str">
        <f>VLOOKUP(A890,vlookup_table!$A:$G,6,FALSE)</f>
        <v>F</v>
      </c>
      <c r="S890">
        <f>VLOOKUP(A890,vlookup_table!$A:$G,7,FALSE)</f>
        <v>20</v>
      </c>
      <c r="T890">
        <f t="shared" si="26"/>
        <v>62</v>
      </c>
      <c r="U890" t="str">
        <f t="shared" si="27"/>
        <v>Rural</v>
      </c>
    </row>
    <row r="891" spans="1:21" ht="16" x14ac:dyDescent="0.4">
      <c r="A891" s="4">
        <v>78312</v>
      </c>
      <c r="B891" s="1" t="s">
        <v>32</v>
      </c>
      <c r="C891" s="1" t="s">
        <v>14</v>
      </c>
      <c r="D891" s="1">
        <v>565</v>
      </c>
      <c r="E891" s="1">
        <v>332</v>
      </c>
      <c r="F891" s="1">
        <v>383</v>
      </c>
      <c r="G891" s="1">
        <v>0</v>
      </c>
      <c r="H891" s="1">
        <v>15523</v>
      </c>
      <c r="I891" s="1">
        <v>3</v>
      </c>
      <c r="J891" s="1">
        <v>72</v>
      </c>
      <c r="K891" s="1">
        <v>406</v>
      </c>
      <c r="L891" s="1">
        <v>370</v>
      </c>
      <c r="M891" s="1">
        <v>10.55555556</v>
      </c>
      <c r="N891">
        <f>VLOOKUP(A891,vlookup_table!$A:$G,2,FALSE)</f>
        <v>1</v>
      </c>
      <c r="O891" t="str">
        <f>VLOOKUP(A891,vlookup_table!$A:$G,3,FALSE)</f>
        <v>WI</v>
      </c>
      <c r="P891">
        <f>VLOOKUP(A891,vlookup_table!$A:$G,4,FALSE)</f>
        <v>3307</v>
      </c>
      <c r="Q891" t="str">
        <f>VLOOKUP(A891,vlookup_table!$A:$G,5,FALSE)</f>
        <v>S2</v>
      </c>
      <c r="R891" t="str">
        <f>VLOOKUP(A891,vlookup_table!$A:$G,6,FALSE)</f>
        <v>M</v>
      </c>
      <c r="S891">
        <f>VLOOKUP(A891,vlookup_table!$A:$G,7,FALSE)</f>
        <v>15</v>
      </c>
      <c r="T891">
        <f t="shared" si="26"/>
        <v>63</v>
      </c>
      <c r="U891" t="str">
        <f t="shared" si="27"/>
        <v>Suburbano</v>
      </c>
    </row>
    <row r="892" spans="1:21" ht="16" x14ac:dyDescent="0.4">
      <c r="A892" s="4">
        <v>188078</v>
      </c>
      <c r="B892" s="1" t="s">
        <v>43</v>
      </c>
      <c r="C892" s="1" t="s">
        <v>14</v>
      </c>
      <c r="D892" s="1">
        <v>1083</v>
      </c>
      <c r="E892" s="1">
        <v>450</v>
      </c>
      <c r="F892" s="1">
        <v>557</v>
      </c>
      <c r="G892" s="1">
        <v>11</v>
      </c>
      <c r="H892" s="1">
        <v>18815</v>
      </c>
      <c r="I892" s="1">
        <v>3</v>
      </c>
      <c r="J892" s="1">
        <v>38</v>
      </c>
      <c r="K892" s="1">
        <v>502</v>
      </c>
      <c r="L892" s="1">
        <v>506</v>
      </c>
      <c r="M892" s="1">
        <v>11.125</v>
      </c>
      <c r="N892">
        <f>VLOOKUP(A892,vlookup_table!$A:$G,2,FALSE)</f>
        <v>0</v>
      </c>
      <c r="O892" t="str">
        <f>VLOOKUP(A892,vlookup_table!$A:$G,3,FALSE)</f>
        <v>SC</v>
      </c>
      <c r="P892">
        <f>VLOOKUP(A892,vlookup_table!$A:$G,4,FALSE)</f>
        <v>0</v>
      </c>
      <c r="Q892" t="str">
        <f>VLOOKUP(A892,vlookup_table!$A:$G,5,FALSE)</f>
        <v>T1</v>
      </c>
      <c r="R892" t="str">
        <f>VLOOKUP(A892,vlookup_table!$A:$G,6,FALSE)</f>
        <v>M</v>
      </c>
      <c r="S892">
        <f>VLOOKUP(A892,vlookup_table!$A:$G,7,FALSE)</f>
        <v>10</v>
      </c>
      <c r="T892">
        <f t="shared" si="26"/>
        <v>96</v>
      </c>
      <c r="U892" t="str">
        <f t="shared" si="27"/>
        <v>Pueblo</v>
      </c>
    </row>
    <row r="893" spans="1:21" ht="16" x14ac:dyDescent="0.4">
      <c r="A893" s="4">
        <v>102398</v>
      </c>
      <c r="B893" s="1" t="s">
        <v>33</v>
      </c>
      <c r="C893" s="1" t="s">
        <v>17</v>
      </c>
      <c r="D893" s="1">
        <v>442</v>
      </c>
      <c r="E893" s="1">
        <v>213</v>
      </c>
      <c r="F893" s="1">
        <v>259</v>
      </c>
      <c r="G893" s="1">
        <v>0</v>
      </c>
      <c r="H893" s="1">
        <v>14114</v>
      </c>
      <c r="I893" s="1">
        <v>1</v>
      </c>
      <c r="J893" s="1">
        <v>53</v>
      </c>
      <c r="K893" s="1">
        <v>210</v>
      </c>
      <c r="L893" s="1">
        <v>274</v>
      </c>
      <c r="M893" s="1">
        <v>5.1666666670000003</v>
      </c>
      <c r="N893">
        <f>VLOOKUP(A893,vlookup_table!$A:$G,2,FALSE)</f>
        <v>0</v>
      </c>
      <c r="O893" t="str">
        <f>VLOOKUP(A893,vlookup_table!$A:$G,3,FALSE)</f>
        <v>MO</v>
      </c>
      <c r="P893">
        <f>VLOOKUP(A893,vlookup_table!$A:$G,4,FALSE)</f>
        <v>2810</v>
      </c>
      <c r="Q893" t="str">
        <f>VLOOKUP(A893,vlookup_table!$A:$G,5,FALSE)</f>
        <v>C2</v>
      </c>
      <c r="R893" t="str">
        <f>VLOOKUP(A893,vlookup_table!$A:$G,6,FALSE)</f>
        <v>F</v>
      </c>
      <c r="S893">
        <f>VLOOKUP(A893,vlookup_table!$A:$G,7,FALSE)</f>
        <v>12</v>
      </c>
      <c r="T893">
        <f t="shared" si="26"/>
        <v>68</v>
      </c>
      <c r="U893" t="str">
        <f t="shared" si="27"/>
        <v>Ciudad</v>
      </c>
    </row>
    <row r="894" spans="1:21" ht="16" x14ac:dyDescent="0.4">
      <c r="A894" s="4">
        <v>45116</v>
      </c>
      <c r="B894" s="1" t="s">
        <v>13</v>
      </c>
      <c r="C894" s="1" t="s">
        <v>14</v>
      </c>
      <c r="D894" s="1">
        <v>1642</v>
      </c>
      <c r="E894" s="1">
        <v>522</v>
      </c>
      <c r="F894" s="1">
        <v>651</v>
      </c>
      <c r="G894" s="1">
        <v>26</v>
      </c>
      <c r="H894" s="1">
        <v>28264</v>
      </c>
      <c r="I894" s="1">
        <v>5</v>
      </c>
      <c r="J894" s="1">
        <v>9</v>
      </c>
      <c r="K894" s="1">
        <v>551</v>
      </c>
      <c r="L894" s="1">
        <v>611</v>
      </c>
      <c r="M894" s="1">
        <v>4.9130434779999996</v>
      </c>
      <c r="N894">
        <f>VLOOKUP(A894,vlookup_table!$A:$G,2,FALSE)</f>
        <v>0</v>
      </c>
      <c r="O894" t="str">
        <f>VLOOKUP(A894,vlookup_table!$A:$G,3,FALSE)</f>
        <v>FL</v>
      </c>
      <c r="P894">
        <f>VLOOKUP(A894,vlookup_table!$A:$G,4,FALSE)</f>
        <v>1308</v>
      </c>
      <c r="Q894" t="str">
        <f>VLOOKUP(A894,vlookup_table!$A:$G,5,FALSE)</f>
        <v>S1</v>
      </c>
      <c r="R894" t="str">
        <f>VLOOKUP(A894,vlookup_table!$A:$G,6,FALSE)</f>
        <v>M</v>
      </c>
      <c r="S894">
        <f>VLOOKUP(A894,vlookup_table!$A:$G,7,FALSE)</f>
        <v>5</v>
      </c>
      <c r="T894">
        <f t="shared" si="26"/>
        <v>83</v>
      </c>
      <c r="U894" t="str">
        <f t="shared" si="27"/>
        <v>Suburbano</v>
      </c>
    </row>
    <row r="895" spans="1:21" ht="16" x14ac:dyDescent="0.4">
      <c r="A895" s="4">
        <v>155921</v>
      </c>
      <c r="B895" s="1" t="s">
        <v>21</v>
      </c>
      <c r="C895" s="1" t="s">
        <v>14</v>
      </c>
      <c r="D895" s="1">
        <v>1483</v>
      </c>
      <c r="E895" s="1">
        <v>306</v>
      </c>
      <c r="F895" s="1">
        <v>416</v>
      </c>
      <c r="G895" s="1">
        <v>27</v>
      </c>
      <c r="H895" s="1">
        <v>17874</v>
      </c>
      <c r="I895" s="1">
        <v>4</v>
      </c>
      <c r="J895" s="1">
        <v>50</v>
      </c>
      <c r="K895" s="1">
        <v>333</v>
      </c>
      <c r="L895" s="1">
        <v>382</v>
      </c>
      <c r="M895" s="1">
        <v>14.07692308</v>
      </c>
      <c r="N895">
        <f>VLOOKUP(A895,vlookup_table!$A:$G,2,FALSE)</f>
        <v>2</v>
      </c>
      <c r="O895" t="str">
        <f>VLOOKUP(A895,vlookup_table!$A:$G,3,FALSE)</f>
        <v>CA</v>
      </c>
      <c r="P895">
        <f>VLOOKUP(A895,vlookup_table!$A:$G,4,FALSE)</f>
        <v>2001</v>
      </c>
      <c r="Q895" t="str">
        <f>VLOOKUP(A895,vlookup_table!$A:$G,5,FALSE)</f>
        <v>R1</v>
      </c>
      <c r="R895" t="str">
        <f>VLOOKUP(A895,vlookup_table!$A:$G,6,FALSE)</f>
        <v>M</v>
      </c>
      <c r="S895">
        <f>VLOOKUP(A895,vlookup_table!$A:$G,7,FALSE)</f>
        <v>25</v>
      </c>
      <c r="T895">
        <f t="shared" si="26"/>
        <v>76</v>
      </c>
      <c r="U895" t="str">
        <f t="shared" si="27"/>
        <v>Rural</v>
      </c>
    </row>
    <row r="896" spans="1:21" ht="16" x14ac:dyDescent="0.4">
      <c r="A896" s="4">
        <v>77196</v>
      </c>
      <c r="B896" s="1" t="s">
        <v>32</v>
      </c>
      <c r="C896" s="1" t="s">
        <v>17</v>
      </c>
      <c r="D896" s="1">
        <v>940</v>
      </c>
      <c r="E896" s="1">
        <v>428</v>
      </c>
      <c r="F896" s="1">
        <v>495</v>
      </c>
      <c r="G896" s="1">
        <v>0</v>
      </c>
      <c r="H896" s="1">
        <v>16556</v>
      </c>
      <c r="I896" s="1">
        <v>3</v>
      </c>
      <c r="J896" s="1">
        <v>83</v>
      </c>
      <c r="K896" s="1">
        <v>465</v>
      </c>
      <c r="L896" s="1">
        <v>452</v>
      </c>
      <c r="M896" s="1">
        <v>15</v>
      </c>
      <c r="N896">
        <f>VLOOKUP(A896,vlookup_table!$A:$G,2,FALSE)</f>
        <v>0</v>
      </c>
      <c r="O896" t="str">
        <f>VLOOKUP(A896,vlookup_table!$A:$G,3,FALSE)</f>
        <v>WI</v>
      </c>
      <c r="P896">
        <f>VLOOKUP(A896,vlookup_table!$A:$G,4,FALSE)</f>
        <v>6501</v>
      </c>
      <c r="Q896" t="str">
        <f>VLOOKUP(A896,vlookup_table!$A:$G,5,FALSE)</f>
        <v>T2</v>
      </c>
      <c r="R896" t="str">
        <f>VLOOKUP(A896,vlookup_table!$A:$G,6,FALSE)</f>
        <v>F</v>
      </c>
      <c r="S896">
        <f>VLOOKUP(A896,vlookup_table!$A:$G,7,FALSE)</f>
        <v>25</v>
      </c>
      <c r="T896">
        <f t="shared" si="26"/>
        <v>31</v>
      </c>
      <c r="U896" t="str">
        <f t="shared" si="27"/>
        <v>Pueblo</v>
      </c>
    </row>
    <row r="897" spans="1:21" ht="16" x14ac:dyDescent="0.4">
      <c r="A897" s="4">
        <v>10893</v>
      </c>
      <c r="B897" s="1" t="s">
        <v>21</v>
      </c>
      <c r="C897" s="1"/>
      <c r="D897" s="1">
        <v>2012</v>
      </c>
      <c r="E897" s="1">
        <v>225</v>
      </c>
      <c r="F897" s="1">
        <v>374</v>
      </c>
      <c r="G897" s="1">
        <v>51</v>
      </c>
      <c r="H897" s="1">
        <v>16165</v>
      </c>
      <c r="I897" s="1">
        <v>10</v>
      </c>
      <c r="J897" s="1">
        <v>36</v>
      </c>
      <c r="K897" s="1">
        <v>316</v>
      </c>
      <c r="L897" s="1">
        <v>294</v>
      </c>
      <c r="M897" s="1">
        <v>15.66666667</v>
      </c>
      <c r="N897">
        <f>VLOOKUP(A897,vlookup_table!$A:$G,2,FALSE)</f>
        <v>0</v>
      </c>
      <c r="O897" t="str">
        <f>VLOOKUP(A897,vlookup_table!$A:$G,3,FALSE)</f>
        <v>CA</v>
      </c>
      <c r="P897">
        <f>VLOOKUP(A897,vlookup_table!$A:$G,4,FALSE)</f>
        <v>0</v>
      </c>
      <c r="Q897" t="str">
        <f>VLOOKUP(A897,vlookup_table!$A:$G,5,FALSE)</f>
        <v>R1</v>
      </c>
      <c r="R897" t="str">
        <f>VLOOKUP(A897,vlookup_table!$A:$G,6,FALSE)</f>
        <v/>
      </c>
      <c r="S897">
        <f>VLOOKUP(A897,vlookup_table!$A:$G,7,FALSE)</f>
        <v>20</v>
      </c>
      <c r="T897">
        <f t="shared" si="26"/>
        <v>96</v>
      </c>
      <c r="U897" t="str">
        <f t="shared" si="27"/>
        <v>Rural</v>
      </c>
    </row>
    <row r="898" spans="1:21" ht="16" x14ac:dyDescent="0.4">
      <c r="A898" s="4">
        <v>19621</v>
      </c>
      <c r="B898" s="1" t="s">
        <v>18</v>
      </c>
      <c r="C898" s="1" t="s">
        <v>98</v>
      </c>
      <c r="D898" s="1">
        <v>517</v>
      </c>
      <c r="E898" s="1">
        <v>123</v>
      </c>
      <c r="F898" s="1">
        <v>231</v>
      </c>
      <c r="G898" s="1">
        <v>0</v>
      </c>
      <c r="H898" s="1">
        <v>7025</v>
      </c>
      <c r="I898" s="1">
        <v>1</v>
      </c>
      <c r="J898" s="1">
        <v>81</v>
      </c>
      <c r="K898" s="1">
        <v>180</v>
      </c>
      <c r="L898" s="1">
        <v>194</v>
      </c>
      <c r="M898" s="1">
        <v>12</v>
      </c>
      <c r="N898">
        <f>VLOOKUP(A898,vlookup_table!$A:$G,2,FALSE)</f>
        <v>0</v>
      </c>
      <c r="O898" t="str">
        <f>VLOOKUP(A898,vlookup_table!$A:$G,3,FALSE)</f>
        <v>NC</v>
      </c>
      <c r="P898">
        <f>VLOOKUP(A898,vlookup_table!$A:$G,4,FALSE)</f>
        <v>2707</v>
      </c>
      <c r="Q898" t="str">
        <f>VLOOKUP(A898,vlookup_table!$A:$G,5,FALSE)</f>
        <v>C3</v>
      </c>
      <c r="R898" t="str">
        <f>VLOOKUP(A898,vlookup_table!$A:$G,6,FALSE)</f>
        <v>F</v>
      </c>
      <c r="S898">
        <f>VLOOKUP(A898,vlookup_table!$A:$G,7,FALSE)</f>
        <v>21</v>
      </c>
      <c r="T898">
        <f t="shared" si="26"/>
        <v>69</v>
      </c>
      <c r="U898" t="str">
        <f t="shared" si="27"/>
        <v>Ciudad</v>
      </c>
    </row>
    <row r="899" spans="1:21" ht="16" x14ac:dyDescent="0.4">
      <c r="A899" s="4">
        <v>149653</v>
      </c>
      <c r="B899" s="1" t="s">
        <v>21</v>
      </c>
      <c r="C899" s="1" t="s">
        <v>17</v>
      </c>
      <c r="D899" s="1">
        <v>1773</v>
      </c>
      <c r="E899" s="1">
        <v>292</v>
      </c>
      <c r="F899" s="1">
        <v>367</v>
      </c>
      <c r="G899" s="1">
        <v>29</v>
      </c>
      <c r="H899" s="1">
        <v>12551</v>
      </c>
      <c r="I899" s="1">
        <v>41</v>
      </c>
      <c r="J899" s="1">
        <v>37</v>
      </c>
      <c r="K899" s="1">
        <v>306</v>
      </c>
      <c r="L899" s="1">
        <v>346</v>
      </c>
      <c r="M899" s="1">
        <v>15</v>
      </c>
      <c r="N899">
        <f>VLOOKUP(A899,vlookup_table!$A:$G,2,FALSE)</f>
        <v>0</v>
      </c>
      <c r="O899" t="str">
        <f>VLOOKUP(A899,vlookup_table!$A:$G,3,FALSE)</f>
        <v>CA</v>
      </c>
      <c r="P899">
        <f>VLOOKUP(A899,vlookup_table!$A:$G,4,FALSE)</f>
        <v>4908</v>
      </c>
      <c r="Q899" t="str">
        <f>VLOOKUP(A899,vlookup_table!$A:$G,5,FALSE)</f>
        <v>U2</v>
      </c>
      <c r="R899" t="str">
        <f>VLOOKUP(A899,vlookup_table!$A:$G,6,FALSE)</f>
        <v>F</v>
      </c>
      <c r="S899">
        <f>VLOOKUP(A899,vlookup_table!$A:$G,7,FALSE)</f>
        <v>10</v>
      </c>
      <c r="T899">
        <f t="shared" ref="T899:T962" si="28">97-LEFT(P899,2)-IF(RIGHT(P899,2)&gt;6,1,0)</f>
        <v>47</v>
      </c>
      <c r="U899" t="str">
        <f t="shared" ref="U899:U962" si="29">IF(LEFT(Q899,1)="C","Ciudad",IF(LEFT(Q899,1)="T","Pueblo",IF(LEFT(Q899,1)="R","Rural",IF(LEFT(Q899,1)="S","Suburbano",IF(LEFT(Q899,1)="U","Urbano","")))))</f>
        <v>Urbano</v>
      </c>
    </row>
    <row r="900" spans="1:21" ht="16" x14ac:dyDescent="0.4">
      <c r="A900" s="4">
        <v>159750</v>
      </c>
      <c r="B900" s="1" t="s">
        <v>21</v>
      </c>
      <c r="C900" s="1" t="s">
        <v>14</v>
      </c>
      <c r="D900" s="1">
        <v>946</v>
      </c>
      <c r="E900" s="1">
        <v>382</v>
      </c>
      <c r="F900" s="1">
        <v>524</v>
      </c>
      <c r="G900" s="1">
        <v>15</v>
      </c>
      <c r="H900" s="1">
        <v>18560</v>
      </c>
      <c r="I900" s="1">
        <v>5</v>
      </c>
      <c r="J900" s="1">
        <v>63</v>
      </c>
      <c r="K900" s="1">
        <v>436</v>
      </c>
      <c r="L900" s="1">
        <v>465</v>
      </c>
      <c r="M900" s="1">
        <v>6</v>
      </c>
      <c r="N900">
        <f>VLOOKUP(A900,vlookup_table!$A:$G,2,FALSE)</f>
        <v>0</v>
      </c>
      <c r="O900" t="str">
        <f>VLOOKUP(A900,vlookup_table!$A:$G,3,FALSE)</f>
        <v>CA</v>
      </c>
      <c r="P900">
        <f>VLOOKUP(A900,vlookup_table!$A:$G,4,FALSE)</f>
        <v>1801</v>
      </c>
      <c r="Q900" t="str">
        <f>VLOOKUP(A900,vlookup_table!$A:$G,5,FALSE)</f>
        <v>C2</v>
      </c>
      <c r="R900" t="str">
        <f>VLOOKUP(A900,vlookup_table!$A:$G,6,FALSE)</f>
        <v>M</v>
      </c>
      <c r="S900">
        <f>VLOOKUP(A900,vlookup_table!$A:$G,7,FALSE)</f>
        <v>9</v>
      </c>
      <c r="T900">
        <f t="shared" si="28"/>
        <v>78</v>
      </c>
      <c r="U900" t="str">
        <f t="shared" si="29"/>
        <v>Ciudad</v>
      </c>
    </row>
    <row r="901" spans="1:21" ht="16" x14ac:dyDescent="0.4">
      <c r="A901" s="4">
        <v>136269</v>
      </c>
      <c r="B901" s="1" t="s">
        <v>51</v>
      </c>
      <c r="C901" s="1" t="s">
        <v>98</v>
      </c>
      <c r="D901" s="1">
        <v>1149</v>
      </c>
      <c r="E901" s="1">
        <v>563</v>
      </c>
      <c r="F901" s="1">
        <v>606</v>
      </c>
      <c r="G901" s="1">
        <v>12</v>
      </c>
      <c r="H901" s="1">
        <v>18764</v>
      </c>
      <c r="I901" s="1">
        <v>3</v>
      </c>
      <c r="J901" s="1">
        <v>27</v>
      </c>
      <c r="K901" s="1">
        <v>566</v>
      </c>
      <c r="L901" s="1">
        <v>598</v>
      </c>
      <c r="M901" s="1">
        <v>8.5555555559999998</v>
      </c>
      <c r="N901">
        <f>VLOOKUP(A901,vlookup_table!$A:$G,2,FALSE)</f>
        <v>0</v>
      </c>
      <c r="O901" t="str">
        <f>VLOOKUP(A901,vlookup_table!$A:$G,3,FALSE)</f>
        <v>AZ</v>
      </c>
      <c r="P901">
        <f>VLOOKUP(A901,vlookup_table!$A:$G,4,FALSE)</f>
        <v>3401</v>
      </c>
      <c r="Q901" t="str">
        <f>VLOOKUP(A901,vlookup_table!$A:$G,5,FALSE)</f>
        <v>S1</v>
      </c>
      <c r="R901" t="str">
        <f>VLOOKUP(A901,vlookup_table!$A:$G,6,FALSE)</f>
        <v>F</v>
      </c>
      <c r="S901">
        <f>VLOOKUP(A901,vlookup_table!$A:$G,7,FALSE)</f>
        <v>15</v>
      </c>
      <c r="T901">
        <f t="shared" si="28"/>
        <v>62</v>
      </c>
      <c r="U901" t="str">
        <f t="shared" si="29"/>
        <v>Suburbano</v>
      </c>
    </row>
    <row r="902" spans="1:21" ht="16" x14ac:dyDescent="0.4">
      <c r="A902" s="4">
        <v>108029</v>
      </c>
      <c r="B902" s="1" t="s">
        <v>46</v>
      </c>
      <c r="C902" s="1" t="s">
        <v>14</v>
      </c>
      <c r="D902" s="1">
        <v>729</v>
      </c>
      <c r="E902" s="1">
        <v>407</v>
      </c>
      <c r="F902" s="1">
        <v>483</v>
      </c>
      <c r="G902" s="1">
        <v>3</v>
      </c>
      <c r="H902" s="1">
        <v>13568</v>
      </c>
      <c r="I902" s="1">
        <v>1</v>
      </c>
      <c r="J902" s="1">
        <v>92</v>
      </c>
      <c r="K902" s="1">
        <v>444</v>
      </c>
      <c r="L902" s="1">
        <v>448</v>
      </c>
      <c r="M902" s="1">
        <v>4.875</v>
      </c>
      <c r="N902">
        <f>VLOOKUP(A902,vlookup_table!$A:$G,2,FALSE)</f>
        <v>0</v>
      </c>
      <c r="O902" t="str">
        <f>VLOOKUP(A902,vlookup_table!$A:$G,3,FALSE)</f>
        <v>LA</v>
      </c>
      <c r="P902">
        <f>VLOOKUP(A902,vlookup_table!$A:$G,4,FALSE)</f>
        <v>4909</v>
      </c>
      <c r="Q902" t="str">
        <f>VLOOKUP(A902,vlookup_table!$A:$G,5,FALSE)</f>
        <v>S2</v>
      </c>
      <c r="R902" t="str">
        <f>VLOOKUP(A902,vlookup_table!$A:$G,6,FALSE)</f>
        <v>M</v>
      </c>
      <c r="S902">
        <f>VLOOKUP(A902,vlookup_table!$A:$G,7,FALSE)</f>
        <v>5</v>
      </c>
      <c r="T902">
        <f t="shared" si="28"/>
        <v>47</v>
      </c>
      <c r="U902" t="str">
        <f t="shared" si="29"/>
        <v>Suburbano</v>
      </c>
    </row>
    <row r="903" spans="1:21" ht="16" x14ac:dyDescent="0.4">
      <c r="A903" s="4">
        <v>10719</v>
      </c>
      <c r="B903" s="1" t="s">
        <v>37</v>
      </c>
      <c r="C903" s="1" t="s">
        <v>17</v>
      </c>
      <c r="D903" s="1">
        <v>2375</v>
      </c>
      <c r="E903" s="1">
        <v>327</v>
      </c>
      <c r="F903" s="1">
        <v>377</v>
      </c>
      <c r="G903" s="1">
        <v>67</v>
      </c>
      <c r="H903" s="1">
        <v>16653</v>
      </c>
      <c r="I903" s="1">
        <v>6</v>
      </c>
      <c r="J903" s="1">
        <v>40</v>
      </c>
      <c r="K903" s="1">
        <v>358</v>
      </c>
      <c r="L903" s="1">
        <v>331</v>
      </c>
      <c r="M903" s="1">
        <v>11.55555556</v>
      </c>
      <c r="N903">
        <f>VLOOKUP(A903,vlookup_table!$A:$G,2,FALSE)</f>
        <v>2</v>
      </c>
      <c r="O903" t="str">
        <f>VLOOKUP(A903,vlookup_table!$A:$G,3,FALSE)</f>
        <v>WA</v>
      </c>
      <c r="P903">
        <f>VLOOKUP(A903,vlookup_table!$A:$G,4,FALSE)</f>
        <v>1401</v>
      </c>
      <c r="Q903" t="str">
        <f>VLOOKUP(A903,vlookup_table!$A:$G,5,FALSE)</f>
        <v/>
      </c>
      <c r="R903" t="str">
        <f>VLOOKUP(A903,vlookup_table!$A:$G,6,FALSE)</f>
        <v>F</v>
      </c>
      <c r="S903">
        <f>VLOOKUP(A903,vlookup_table!$A:$G,7,FALSE)</f>
        <v>19</v>
      </c>
      <c r="T903">
        <f t="shared" si="28"/>
        <v>82</v>
      </c>
      <c r="U903" t="str">
        <f t="shared" si="29"/>
        <v/>
      </c>
    </row>
    <row r="904" spans="1:21" ht="16" x14ac:dyDescent="0.4">
      <c r="A904" s="4">
        <v>156572</v>
      </c>
      <c r="B904" s="1" t="s">
        <v>21</v>
      </c>
      <c r="C904" s="1" t="s">
        <v>14</v>
      </c>
      <c r="D904" s="1">
        <v>3092</v>
      </c>
      <c r="E904" s="1">
        <v>578</v>
      </c>
      <c r="F904" s="1">
        <v>720</v>
      </c>
      <c r="G904" s="1">
        <v>66</v>
      </c>
      <c r="H904" s="1">
        <v>25768</v>
      </c>
      <c r="I904" s="1">
        <v>13</v>
      </c>
      <c r="J904" s="1">
        <v>47</v>
      </c>
      <c r="K904" s="1">
        <v>644</v>
      </c>
      <c r="L904" s="1">
        <v>641</v>
      </c>
      <c r="M904" s="1">
        <v>17.333333329999999</v>
      </c>
      <c r="N904">
        <f>VLOOKUP(A904,vlookup_table!$A:$G,2,FALSE)</f>
        <v>0</v>
      </c>
      <c r="O904" t="str">
        <f>VLOOKUP(A904,vlookup_table!$A:$G,3,FALSE)</f>
        <v>CA</v>
      </c>
      <c r="P904">
        <f>VLOOKUP(A904,vlookup_table!$A:$G,4,FALSE)</f>
        <v>0</v>
      </c>
      <c r="Q904" t="str">
        <f>VLOOKUP(A904,vlookup_table!$A:$G,5,FALSE)</f>
        <v>S1</v>
      </c>
      <c r="R904" t="str">
        <f>VLOOKUP(A904,vlookup_table!$A:$G,6,FALSE)</f>
        <v>M</v>
      </c>
      <c r="S904">
        <f>VLOOKUP(A904,vlookup_table!$A:$G,7,FALSE)</f>
        <v>25</v>
      </c>
      <c r="T904">
        <f t="shared" si="28"/>
        <v>96</v>
      </c>
      <c r="U904" t="str">
        <f t="shared" si="29"/>
        <v>Suburbano</v>
      </c>
    </row>
    <row r="905" spans="1:21" ht="16" x14ac:dyDescent="0.4">
      <c r="A905" s="4">
        <v>152737</v>
      </c>
      <c r="B905" s="1" t="s">
        <v>21</v>
      </c>
      <c r="C905" s="1" t="s">
        <v>14</v>
      </c>
      <c r="D905" s="1">
        <v>2312</v>
      </c>
      <c r="E905" s="1">
        <v>456</v>
      </c>
      <c r="F905" s="1">
        <v>589</v>
      </c>
      <c r="G905" s="1">
        <v>63</v>
      </c>
      <c r="H905" s="1">
        <v>21372</v>
      </c>
      <c r="I905" s="1">
        <v>7</v>
      </c>
      <c r="J905" s="1">
        <v>44</v>
      </c>
      <c r="K905" s="1">
        <v>516</v>
      </c>
      <c r="L905" s="1">
        <v>531</v>
      </c>
      <c r="M905" s="1">
        <v>8.9411764710000003</v>
      </c>
      <c r="N905">
        <f>VLOOKUP(A905,vlookup_table!$A:$G,2,FALSE)</f>
        <v>0</v>
      </c>
      <c r="O905" t="str">
        <f>VLOOKUP(A905,vlookup_table!$A:$G,3,FALSE)</f>
        <v>CA</v>
      </c>
      <c r="P905">
        <f>VLOOKUP(A905,vlookup_table!$A:$G,4,FALSE)</f>
        <v>0</v>
      </c>
      <c r="Q905" t="str">
        <f>VLOOKUP(A905,vlookup_table!$A:$G,5,FALSE)</f>
        <v>S1</v>
      </c>
      <c r="R905" t="str">
        <f>VLOOKUP(A905,vlookup_table!$A:$G,6,FALSE)</f>
        <v>M</v>
      </c>
      <c r="S905">
        <f>VLOOKUP(A905,vlookup_table!$A:$G,7,FALSE)</f>
        <v>7</v>
      </c>
      <c r="T905">
        <f t="shared" si="28"/>
        <v>96</v>
      </c>
      <c r="U905" t="str">
        <f t="shared" si="29"/>
        <v>Suburbano</v>
      </c>
    </row>
    <row r="906" spans="1:21" ht="16" x14ac:dyDescent="0.4">
      <c r="A906" s="4">
        <v>94307</v>
      </c>
      <c r="B906" s="1" t="s">
        <v>16</v>
      </c>
      <c r="C906" s="1" t="s">
        <v>17</v>
      </c>
      <c r="D906" s="1">
        <v>1063</v>
      </c>
      <c r="E906" s="1">
        <v>269</v>
      </c>
      <c r="F906" s="1">
        <v>393</v>
      </c>
      <c r="G906" s="1">
        <v>0</v>
      </c>
      <c r="H906" s="1">
        <v>13817</v>
      </c>
      <c r="I906" s="1">
        <v>36</v>
      </c>
      <c r="J906" s="1">
        <v>55</v>
      </c>
      <c r="K906" s="1">
        <v>322</v>
      </c>
      <c r="L906" s="1">
        <v>304</v>
      </c>
      <c r="M906" s="1">
        <v>9.1739130440000007</v>
      </c>
      <c r="N906">
        <f>VLOOKUP(A906,vlookup_table!$A:$G,2,FALSE)</f>
        <v>0</v>
      </c>
      <c r="O906" t="str">
        <f>VLOOKUP(A906,vlookup_table!$A:$G,3,FALSE)</f>
        <v>IL</v>
      </c>
      <c r="P906">
        <f>VLOOKUP(A906,vlookup_table!$A:$G,4,FALSE)</f>
        <v>2001</v>
      </c>
      <c r="Q906" t="str">
        <f>VLOOKUP(A906,vlookup_table!$A:$G,5,FALSE)</f>
        <v>U2</v>
      </c>
      <c r="R906" t="str">
        <f>VLOOKUP(A906,vlookup_table!$A:$G,6,FALSE)</f>
        <v>F</v>
      </c>
      <c r="S906">
        <f>VLOOKUP(A906,vlookup_table!$A:$G,7,FALSE)</f>
        <v>15</v>
      </c>
      <c r="T906">
        <f t="shared" si="28"/>
        <v>76</v>
      </c>
      <c r="U906" t="str">
        <f t="shared" si="29"/>
        <v>Urbano</v>
      </c>
    </row>
    <row r="907" spans="1:21" ht="16" x14ac:dyDescent="0.4">
      <c r="A907" s="4">
        <v>129947</v>
      </c>
      <c r="B907" s="1" t="s">
        <v>45</v>
      </c>
      <c r="C907" s="1" t="s">
        <v>17</v>
      </c>
      <c r="D907" s="1">
        <v>552</v>
      </c>
      <c r="E907" s="1">
        <v>194</v>
      </c>
      <c r="F907" s="1">
        <v>315</v>
      </c>
      <c r="G907" s="1">
        <v>1</v>
      </c>
      <c r="H907" s="3">
        <v>10909</v>
      </c>
      <c r="I907" s="1">
        <v>9</v>
      </c>
      <c r="J907" s="1">
        <v>49</v>
      </c>
      <c r="K907" s="1">
        <v>258</v>
      </c>
      <c r="L907" s="1">
        <v>262</v>
      </c>
      <c r="M907" s="1">
        <v>20</v>
      </c>
      <c r="N907">
        <f>VLOOKUP(A907,vlookup_table!$A:$G,2,FALSE)</f>
        <v>28</v>
      </c>
      <c r="O907" t="str">
        <f>VLOOKUP(A907,vlookup_table!$A:$G,3,FALSE)</f>
        <v>CO</v>
      </c>
      <c r="P907">
        <f>VLOOKUP(A907,vlookup_table!$A:$G,4,FALSE)</f>
        <v>4401</v>
      </c>
      <c r="Q907" t="str">
        <f>VLOOKUP(A907,vlookup_table!$A:$G,5,FALSE)</f>
        <v>C3</v>
      </c>
      <c r="R907" t="str">
        <f>VLOOKUP(A907,vlookup_table!$A:$G,6,FALSE)</f>
        <v>F</v>
      </c>
      <c r="S907">
        <f>VLOOKUP(A907,vlookup_table!$A:$G,7,FALSE)</f>
        <v>20</v>
      </c>
      <c r="T907">
        <f t="shared" si="28"/>
        <v>52</v>
      </c>
      <c r="U907" t="str">
        <f t="shared" si="29"/>
        <v>Ciudad</v>
      </c>
    </row>
    <row r="908" spans="1:21" ht="16" x14ac:dyDescent="0.4">
      <c r="A908" s="4">
        <v>108919</v>
      </c>
      <c r="B908" s="1" t="s">
        <v>46</v>
      </c>
      <c r="C908" s="1" t="s">
        <v>17</v>
      </c>
      <c r="D908" s="1">
        <v>629</v>
      </c>
      <c r="E908" s="1">
        <v>210</v>
      </c>
      <c r="F908" s="1">
        <v>327</v>
      </c>
      <c r="G908" s="1">
        <v>1</v>
      </c>
      <c r="H908" s="1">
        <v>11405</v>
      </c>
      <c r="I908" s="1">
        <v>2</v>
      </c>
      <c r="J908" s="1">
        <v>62</v>
      </c>
      <c r="K908" s="1">
        <v>277</v>
      </c>
      <c r="L908" s="1">
        <v>279</v>
      </c>
      <c r="M908" s="1">
        <v>9.5</v>
      </c>
      <c r="N908">
        <f>VLOOKUP(A908,vlookup_table!$A:$G,2,FALSE)</f>
        <v>28</v>
      </c>
      <c r="O908" t="str">
        <f>VLOOKUP(A908,vlookup_table!$A:$G,3,FALSE)</f>
        <v>LA</v>
      </c>
      <c r="P908">
        <f>VLOOKUP(A908,vlookup_table!$A:$G,4,FALSE)</f>
        <v>0</v>
      </c>
      <c r="Q908" t="str">
        <f>VLOOKUP(A908,vlookup_table!$A:$G,5,FALSE)</f>
        <v>C2</v>
      </c>
      <c r="R908" t="str">
        <f>VLOOKUP(A908,vlookup_table!$A:$G,6,FALSE)</f>
        <v>F</v>
      </c>
      <c r="S908">
        <f>VLOOKUP(A908,vlookup_table!$A:$G,7,FALSE)</f>
        <v>15</v>
      </c>
      <c r="T908">
        <f t="shared" si="28"/>
        <v>96</v>
      </c>
      <c r="U908" t="str">
        <f t="shared" si="29"/>
        <v>Ciudad</v>
      </c>
    </row>
    <row r="909" spans="1:21" ht="16" x14ac:dyDescent="0.4">
      <c r="A909" s="4">
        <v>4055</v>
      </c>
      <c r="B909" s="1" t="s">
        <v>20</v>
      </c>
      <c r="C909" s="1" t="s">
        <v>14</v>
      </c>
      <c r="D909" s="1">
        <v>1247</v>
      </c>
      <c r="E909" s="1">
        <v>555</v>
      </c>
      <c r="F909" s="1">
        <v>718</v>
      </c>
      <c r="G909" s="1">
        <v>8</v>
      </c>
      <c r="H909" s="1">
        <v>28285</v>
      </c>
      <c r="I909" s="1">
        <v>4</v>
      </c>
      <c r="J909" s="1">
        <v>62</v>
      </c>
      <c r="K909" s="1">
        <v>617</v>
      </c>
      <c r="L909" s="1">
        <v>672</v>
      </c>
      <c r="M909" s="1">
        <v>10.15384615</v>
      </c>
      <c r="N909">
        <f>VLOOKUP(A909,vlookup_table!$A:$G,2,FALSE)</f>
        <v>1</v>
      </c>
      <c r="O909" t="str">
        <f>VLOOKUP(A909,vlookup_table!$A:$G,3,FALSE)</f>
        <v>TX</v>
      </c>
      <c r="P909">
        <f>VLOOKUP(A909,vlookup_table!$A:$G,4,FALSE)</f>
        <v>5101</v>
      </c>
      <c r="Q909" t="str">
        <f>VLOOKUP(A909,vlookup_table!$A:$G,5,FALSE)</f>
        <v>C1</v>
      </c>
      <c r="R909" t="str">
        <f>VLOOKUP(A909,vlookup_table!$A:$G,6,FALSE)</f>
        <v>M</v>
      </c>
      <c r="S909">
        <f>VLOOKUP(A909,vlookup_table!$A:$G,7,FALSE)</f>
        <v>10</v>
      </c>
      <c r="T909">
        <f t="shared" si="28"/>
        <v>45</v>
      </c>
      <c r="U909" t="str">
        <f t="shared" si="29"/>
        <v>Ciudad</v>
      </c>
    </row>
    <row r="910" spans="1:21" ht="16" x14ac:dyDescent="0.4">
      <c r="A910" s="4">
        <v>175907</v>
      </c>
      <c r="B910" s="1" t="s">
        <v>47</v>
      </c>
      <c r="C910" s="1" t="s">
        <v>17</v>
      </c>
      <c r="D910" s="1">
        <v>807</v>
      </c>
      <c r="E910" s="1">
        <v>351</v>
      </c>
      <c r="F910" s="1">
        <v>420</v>
      </c>
      <c r="G910" s="1">
        <v>0</v>
      </c>
      <c r="H910" s="1">
        <v>16532</v>
      </c>
      <c r="I910" s="1">
        <v>7</v>
      </c>
      <c r="J910" s="1">
        <v>51</v>
      </c>
      <c r="K910" s="1">
        <v>388</v>
      </c>
      <c r="L910" s="1">
        <v>377</v>
      </c>
      <c r="M910" s="1">
        <v>9.5294117650000008</v>
      </c>
      <c r="N910">
        <f>VLOOKUP(A910,vlookup_table!$A:$G,2,FALSE)</f>
        <v>2</v>
      </c>
      <c r="O910" t="str">
        <f>VLOOKUP(A910,vlookup_table!$A:$G,3,FALSE)</f>
        <v>OR</v>
      </c>
      <c r="P910">
        <f>VLOOKUP(A910,vlookup_table!$A:$G,4,FALSE)</f>
        <v>1508</v>
      </c>
      <c r="Q910" t="str">
        <f>VLOOKUP(A910,vlookup_table!$A:$G,5,FALSE)</f>
        <v>C2</v>
      </c>
      <c r="R910" t="str">
        <f>VLOOKUP(A910,vlookup_table!$A:$G,6,FALSE)</f>
        <v>F</v>
      </c>
      <c r="S910">
        <f>VLOOKUP(A910,vlookup_table!$A:$G,7,FALSE)</f>
        <v>15</v>
      </c>
      <c r="T910">
        <f t="shared" si="28"/>
        <v>81</v>
      </c>
      <c r="U910" t="str">
        <f t="shared" si="29"/>
        <v>Ciudad</v>
      </c>
    </row>
    <row r="911" spans="1:21" ht="16" x14ac:dyDescent="0.4">
      <c r="A911" s="4">
        <v>13188</v>
      </c>
      <c r="B911" s="1" t="s">
        <v>30</v>
      </c>
      <c r="C911" s="1" t="s">
        <v>17</v>
      </c>
      <c r="D911" s="1">
        <v>679</v>
      </c>
      <c r="E911" s="1">
        <v>236</v>
      </c>
      <c r="F911" s="1">
        <v>328</v>
      </c>
      <c r="G911" s="1">
        <v>1</v>
      </c>
      <c r="H911" s="1">
        <v>6997</v>
      </c>
      <c r="I911" s="1">
        <v>0</v>
      </c>
      <c r="J911" s="1">
        <v>91</v>
      </c>
      <c r="K911" s="1">
        <v>247</v>
      </c>
      <c r="L911" s="1">
        <v>304</v>
      </c>
      <c r="M911" s="1">
        <v>47.18181818</v>
      </c>
      <c r="N911">
        <f>VLOOKUP(A911,vlookup_table!$A:$G,2,FALSE)</f>
        <v>0</v>
      </c>
      <c r="O911" t="str">
        <f>VLOOKUP(A911,vlookup_table!$A:$G,3,FALSE)</f>
        <v>IN</v>
      </c>
      <c r="P911">
        <f>VLOOKUP(A911,vlookup_table!$A:$G,4,FALSE)</f>
        <v>5001</v>
      </c>
      <c r="Q911" t="str">
        <f>VLOOKUP(A911,vlookup_table!$A:$G,5,FALSE)</f>
        <v>R3</v>
      </c>
      <c r="R911" t="str">
        <f>VLOOKUP(A911,vlookup_table!$A:$G,6,FALSE)</f>
        <v>F</v>
      </c>
      <c r="S911">
        <f>VLOOKUP(A911,vlookup_table!$A:$G,7,FALSE)</f>
        <v>100</v>
      </c>
      <c r="T911">
        <f t="shared" si="28"/>
        <v>46</v>
      </c>
      <c r="U911" t="str">
        <f t="shared" si="29"/>
        <v>Rural</v>
      </c>
    </row>
    <row r="912" spans="1:21" ht="16" x14ac:dyDescent="0.4">
      <c r="A912" s="4">
        <v>35181</v>
      </c>
      <c r="B912" s="1" t="s">
        <v>13</v>
      </c>
      <c r="C912" s="1" t="s">
        <v>14</v>
      </c>
      <c r="D912" s="1">
        <v>1395</v>
      </c>
      <c r="E912" s="1">
        <v>471</v>
      </c>
      <c r="F912" s="1">
        <v>642</v>
      </c>
      <c r="G912" s="1">
        <v>28</v>
      </c>
      <c r="H912" s="1">
        <v>28892</v>
      </c>
      <c r="I912" s="1">
        <v>6</v>
      </c>
      <c r="J912" s="1">
        <v>20</v>
      </c>
      <c r="K912" s="1">
        <v>509</v>
      </c>
      <c r="L912" s="1">
        <v>580</v>
      </c>
      <c r="M912" s="1">
        <v>20.875</v>
      </c>
      <c r="N912">
        <f>VLOOKUP(A912,vlookup_table!$A:$G,2,FALSE)</f>
        <v>2</v>
      </c>
      <c r="O912" t="str">
        <f>VLOOKUP(A912,vlookup_table!$A:$G,3,FALSE)</f>
        <v>FL</v>
      </c>
      <c r="P912">
        <f>VLOOKUP(A912,vlookup_table!$A:$G,4,FALSE)</f>
        <v>3208</v>
      </c>
      <c r="Q912" t="str">
        <f>VLOOKUP(A912,vlookup_table!$A:$G,5,FALSE)</f>
        <v>S1</v>
      </c>
      <c r="R912" t="str">
        <f>VLOOKUP(A912,vlookup_table!$A:$G,6,FALSE)</f>
        <v>M</v>
      </c>
      <c r="S912">
        <f>VLOOKUP(A912,vlookup_table!$A:$G,7,FALSE)</f>
        <v>25</v>
      </c>
      <c r="T912">
        <f t="shared" si="28"/>
        <v>64</v>
      </c>
      <c r="U912" t="str">
        <f t="shared" si="29"/>
        <v>Suburbano</v>
      </c>
    </row>
    <row r="913" spans="1:21" ht="16" x14ac:dyDescent="0.4">
      <c r="A913" s="4">
        <v>53127</v>
      </c>
      <c r="B913" s="1" t="s">
        <v>49</v>
      </c>
      <c r="C913" s="1" t="s">
        <v>14</v>
      </c>
      <c r="D913" s="1">
        <v>576</v>
      </c>
      <c r="E913" s="1">
        <v>216</v>
      </c>
      <c r="F913" s="1">
        <v>339</v>
      </c>
      <c r="G913" s="1">
        <v>0</v>
      </c>
      <c r="H913" s="1">
        <v>17149</v>
      </c>
      <c r="I913" s="1">
        <v>0</v>
      </c>
      <c r="J913" s="1">
        <v>78</v>
      </c>
      <c r="K913" s="1">
        <v>319</v>
      </c>
      <c r="L913" s="1">
        <v>295</v>
      </c>
      <c r="M913" s="1">
        <v>17.625</v>
      </c>
      <c r="N913">
        <f>VLOOKUP(A913,vlookup_table!$A:$G,2,FALSE)</f>
        <v>2</v>
      </c>
      <c r="O913" t="str">
        <f>VLOOKUP(A913,vlookup_table!$A:$G,3,FALSE)</f>
        <v>TN</v>
      </c>
      <c r="P913">
        <f>VLOOKUP(A913,vlookup_table!$A:$G,4,FALSE)</f>
        <v>0</v>
      </c>
      <c r="Q913" t="str">
        <f>VLOOKUP(A913,vlookup_table!$A:$G,5,FALSE)</f>
        <v>T2</v>
      </c>
      <c r="R913" t="str">
        <f>VLOOKUP(A913,vlookup_table!$A:$G,6,FALSE)</f>
        <v>M</v>
      </c>
      <c r="S913">
        <f>VLOOKUP(A913,vlookup_table!$A:$G,7,FALSE)</f>
        <v>30</v>
      </c>
      <c r="T913">
        <f t="shared" si="28"/>
        <v>96</v>
      </c>
      <c r="U913" t="str">
        <f t="shared" si="29"/>
        <v>Pueblo</v>
      </c>
    </row>
    <row r="914" spans="1:21" ht="16" x14ac:dyDescent="0.4">
      <c r="A914" s="4">
        <v>88056</v>
      </c>
      <c r="B914" s="1" t="s">
        <v>16</v>
      </c>
      <c r="C914" s="1" t="s">
        <v>17</v>
      </c>
      <c r="D914" s="1">
        <v>1355</v>
      </c>
      <c r="E914" s="1">
        <v>496</v>
      </c>
      <c r="F914" s="1">
        <v>670</v>
      </c>
      <c r="G914" s="1">
        <v>13</v>
      </c>
      <c r="H914" s="1">
        <v>27692</v>
      </c>
      <c r="I914" s="1">
        <v>9</v>
      </c>
      <c r="J914" s="1">
        <v>65</v>
      </c>
      <c r="K914" s="1">
        <v>567</v>
      </c>
      <c r="L914" s="1">
        <v>593</v>
      </c>
      <c r="M914" s="1">
        <v>3.8</v>
      </c>
      <c r="N914">
        <f>VLOOKUP(A914,vlookup_table!$A:$G,2,FALSE)</f>
        <v>0</v>
      </c>
      <c r="O914" t="str">
        <f>VLOOKUP(A914,vlookup_table!$A:$G,3,FALSE)</f>
        <v>IL</v>
      </c>
      <c r="P914">
        <f>VLOOKUP(A914,vlookup_table!$A:$G,4,FALSE)</f>
        <v>2901</v>
      </c>
      <c r="Q914" t="str">
        <f>VLOOKUP(A914,vlookup_table!$A:$G,5,FALSE)</f>
        <v>S1</v>
      </c>
      <c r="R914" t="str">
        <f>VLOOKUP(A914,vlookup_table!$A:$G,6,FALSE)</f>
        <v>F</v>
      </c>
      <c r="S914">
        <f>VLOOKUP(A914,vlookup_table!$A:$G,7,FALSE)</f>
        <v>5</v>
      </c>
      <c r="T914">
        <f t="shared" si="28"/>
        <v>67</v>
      </c>
      <c r="U914" t="str">
        <f t="shared" si="29"/>
        <v>Suburbano</v>
      </c>
    </row>
    <row r="915" spans="1:21" ht="16" x14ac:dyDescent="0.4">
      <c r="A915" s="4">
        <v>145944</v>
      </c>
      <c r="B915" s="1" t="s">
        <v>21</v>
      </c>
      <c r="C915" s="1" t="s">
        <v>17</v>
      </c>
      <c r="D915" s="1">
        <v>2679</v>
      </c>
      <c r="E915" s="1">
        <v>445</v>
      </c>
      <c r="F915" s="1">
        <v>572</v>
      </c>
      <c r="G915" s="1">
        <v>78</v>
      </c>
      <c r="H915" s="1">
        <v>20693</v>
      </c>
      <c r="I915" s="1">
        <v>11</v>
      </c>
      <c r="J915" s="1">
        <v>55</v>
      </c>
      <c r="K915" s="1">
        <v>470</v>
      </c>
      <c r="L915" s="1">
        <v>535</v>
      </c>
      <c r="M915" s="1">
        <v>6.5833333329999997</v>
      </c>
      <c r="N915">
        <f>VLOOKUP(A915,vlookup_table!$A:$G,2,FALSE)</f>
        <v>0</v>
      </c>
      <c r="O915" t="str">
        <f>VLOOKUP(A915,vlookup_table!$A:$G,3,FALSE)</f>
        <v>CA</v>
      </c>
      <c r="P915">
        <f>VLOOKUP(A915,vlookup_table!$A:$G,4,FALSE)</f>
        <v>2703</v>
      </c>
      <c r="Q915" t="str">
        <f>VLOOKUP(A915,vlookup_table!$A:$G,5,FALSE)</f>
        <v>S1</v>
      </c>
      <c r="R915" t="str">
        <f>VLOOKUP(A915,vlookup_table!$A:$G,6,FALSE)</f>
        <v>F</v>
      </c>
      <c r="S915">
        <f>VLOOKUP(A915,vlookup_table!$A:$G,7,FALSE)</f>
        <v>13</v>
      </c>
      <c r="T915">
        <f t="shared" si="28"/>
        <v>69</v>
      </c>
      <c r="U915" t="str">
        <f t="shared" si="29"/>
        <v>Suburbano</v>
      </c>
    </row>
    <row r="916" spans="1:21" ht="16" x14ac:dyDescent="0.4">
      <c r="A916" s="4">
        <v>86640</v>
      </c>
      <c r="B916" s="1" t="s">
        <v>42</v>
      </c>
      <c r="C916" s="1" t="s">
        <v>17</v>
      </c>
      <c r="D916" s="1">
        <v>553</v>
      </c>
      <c r="E916" s="1">
        <v>340</v>
      </c>
      <c r="F916" s="1">
        <v>395</v>
      </c>
      <c r="G916" s="1">
        <v>0</v>
      </c>
      <c r="H916" s="1">
        <v>13167</v>
      </c>
      <c r="I916" s="1">
        <v>1</v>
      </c>
      <c r="J916" s="1">
        <v>76</v>
      </c>
      <c r="K916" s="1">
        <v>399</v>
      </c>
      <c r="L916" s="1">
        <v>355</v>
      </c>
      <c r="M916" s="1">
        <v>6.8620689659999998</v>
      </c>
      <c r="N916">
        <f>VLOOKUP(A916,vlookup_table!$A:$G,2,FALSE)</f>
        <v>0</v>
      </c>
      <c r="O916" t="str">
        <f>VLOOKUP(A916,vlookup_table!$A:$G,3,FALSE)</f>
        <v>ND</v>
      </c>
      <c r="P916">
        <f>VLOOKUP(A916,vlookup_table!$A:$G,4,FALSE)</f>
        <v>0</v>
      </c>
      <c r="Q916" t="str">
        <f>VLOOKUP(A916,vlookup_table!$A:$G,5,FALSE)</f>
        <v>R2</v>
      </c>
      <c r="R916" t="str">
        <f>VLOOKUP(A916,vlookup_table!$A:$G,6,FALSE)</f>
        <v>F</v>
      </c>
      <c r="S916">
        <f>VLOOKUP(A916,vlookup_table!$A:$G,7,FALSE)</f>
        <v>13</v>
      </c>
      <c r="T916">
        <f t="shared" si="28"/>
        <v>96</v>
      </c>
      <c r="U916" t="str">
        <f t="shared" si="29"/>
        <v>Rural</v>
      </c>
    </row>
    <row r="917" spans="1:21" ht="16" x14ac:dyDescent="0.4">
      <c r="A917" s="4">
        <v>99673</v>
      </c>
      <c r="B917" s="1" t="s">
        <v>33</v>
      </c>
      <c r="C917" s="1" t="s">
        <v>17</v>
      </c>
      <c r="D917" s="1">
        <v>638</v>
      </c>
      <c r="E917" s="1">
        <v>470</v>
      </c>
      <c r="F917" s="1">
        <v>521</v>
      </c>
      <c r="G917" s="1">
        <v>0</v>
      </c>
      <c r="H917" s="1">
        <v>15490</v>
      </c>
      <c r="I917" s="1">
        <v>2</v>
      </c>
      <c r="J917" s="1">
        <v>84</v>
      </c>
      <c r="K917" s="1">
        <v>483</v>
      </c>
      <c r="L917" s="1">
        <v>488</v>
      </c>
      <c r="M917" s="1">
        <v>9.5</v>
      </c>
      <c r="N917">
        <f>VLOOKUP(A917,vlookup_table!$A:$G,2,FALSE)</f>
        <v>0</v>
      </c>
      <c r="O917" t="str">
        <f>VLOOKUP(A917,vlookup_table!$A:$G,3,FALSE)</f>
        <v>MO</v>
      </c>
      <c r="P917">
        <f>VLOOKUP(A917,vlookup_table!$A:$G,4,FALSE)</f>
        <v>5807</v>
      </c>
      <c r="Q917" t="str">
        <f>VLOOKUP(A917,vlookup_table!$A:$G,5,FALSE)</f>
        <v>S2</v>
      </c>
      <c r="R917" t="str">
        <f>VLOOKUP(A917,vlookup_table!$A:$G,6,FALSE)</f>
        <v>F</v>
      </c>
      <c r="S917">
        <f>VLOOKUP(A917,vlookup_table!$A:$G,7,FALSE)</f>
        <v>22</v>
      </c>
      <c r="T917">
        <f t="shared" si="28"/>
        <v>38</v>
      </c>
      <c r="U917" t="str">
        <f t="shared" si="29"/>
        <v>Suburbano</v>
      </c>
    </row>
    <row r="918" spans="1:21" ht="16" x14ac:dyDescent="0.4">
      <c r="A918" s="4">
        <v>96000</v>
      </c>
      <c r="B918" s="1" t="s">
        <v>16</v>
      </c>
      <c r="C918" s="1" t="s">
        <v>14</v>
      </c>
      <c r="D918" s="1">
        <v>359</v>
      </c>
      <c r="E918" s="1">
        <v>88</v>
      </c>
      <c r="F918" s="1">
        <v>329</v>
      </c>
      <c r="G918" s="1">
        <v>0</v>
      </c>
      <c r="H918" s="1">
        <v>10543</v>
      </c>
      <c r="I918" s="1">
        <v>10</v>
      </c>
      <c r="J918" s="1">
        <v>53</v>
      </c>
      <c r="K918" s="1">
        <v>218</v>
      </c>
      <c r="L918" s="1">
        <v>159</v>
      </c>
      <c r="M918" s="1">
        <v>3.5833333330000001</v>
      </c>
      <c r="N918">
        <f>VLOOKUP(A918,vlookup_table!$A:$G,2,FALSE)</f>
        <v>2</v>
      </c>
      <c r="O918" t="str">
        <f>VLOOKUP(A918,vlookup_table!$A:$G,3,FALSE)</f>
        <v>IL</v>
      </c>
      <c r="P918">
        <f>VLOOKUP(A918,vlookup_table!$A:$G,4,FALSE)</f>
        <v>1401</v>
      </c>
      <c r="Q918" t="str">
        <f>VLOOKUP(A918,vlookup_table!$A:$G,5,FALSE)</f>
        <v>C3</v>
      </c>
      <c r="R918" t="str">
        <f>VLOOKUP(A918,vlookup_table!$A:$G,6,FALSE)</f>
        <v>M</v>
      </c>
      <c r="S918">
        <f>VLOOKUP(A918,vlookup_table!$A:$G,7,FALSE)</f>
        <v>10</v>
      </c>
      <c r="T918">
        <f t="shared" si="28"/>
        <v>82</v>
      </c>
      <c r="U918" t="str">
        <f t="shared" si="29"/>
        <v>Ciudad</v>
      </c>
    </row>
    <row r="919" spans="1:21" ht="16" x14ac:dyDescent="0.4">
      <c r="A919" s="4">
        <v>170256</v>
      </c>
      <c r="B919" s="1" t="s">
        <v>21</v>
      </c>
      <c r="C919" s="1" t="s">
        <v>17</v>
      </c>
      <c r="D919" s="1">
        <v>1246</v>
      </c>
      <c r="E919" s="1">
        <v>264</v>
      </c>
      <c r="F919" s="1">
        <v>362</v>
      </c>
      <c r="G919" s="1">
        <v>13</v>
      </c>
      <c r="H919" s="1">
        <v>11851</v>
      </c>
      <c r="I919" s="1">
        <v>4</v>
      </c>
      <c r="J919" s="1">
        <v>63</v>
      </c>
      <c r="K919" s="1">
        <v>296</v>
      </c>
      <c r="L919" s="1">
        <v>339</v>
      </c>
      <c r="M919" s="1">
        <v>7.5</v>
      </c>
      <c r="N919">
        <f>VLOOKUP(A919,vlookup_table!$A:$G,2,FALSE)</f>
        <v>2</v>
      </c>
      <c r="O919" t="str">
        <f>VLOOKUP(A919,vlookup_table!$A:$G,3,FALSE)</f>
        <v>CA</v>
      </c>
      <c r="P919">
        <f>VLOOKUP(A919,vlookup_table!$A:$G,4,FALSE)</f>
        <v>0</v>
      </c>
      <c r="Q919" t="str">
        <f>VLOOKUP(A919,vlookup_table!$A:$G,5,FALSE)</f>
        <v>R1</v>
      </c>
      <c r="R919" t="str">
        <f>VLOOKUP(A919,vlookup_table!$A:$G,6,FALSE)</f>
        <v>F</v>
      </c>
      <c r="S919">
        <f>VLOOKUP(A919,vlookup_table!$A:$G,7,FALSE)</f>
        <v>10</v>
      </c>
      <c r="T919">
        <f t="shared" si="28"/>
        <v>96</v>
      </c>
      <c r="U919" t="str">
        <f t="shared" si="29"/>
        <v>Rural</v>
      </c>
    </row>
    <row r="920" spans="1:21" ht="16" x14ac:dyDescent="0.4">
      <c r="A920" s="4">
        <v>20821</v>
      </c>
      <c r="B920" s="1" t="s">
        <v>18</v>
      </c>
      <c r="C920" s="1" t="s">
        <v>14</v>
      </c>
      <c r="D920" s="1">
        <v>631</v>
      </c>
      <c r="E920" s="1">
        <v>286</v>
      </c>
      <c r="F920" s="1">
        <v>373</v>
      </c>
      <c r="G920" s="1">
        <v>1</v>
      </c>
      <c r="H920" s="1">
        <v>13818</v>
      </c>
      <c r="I920" s="1">
        <v>1</v>
      </c>
      <c r="J920" s="1">
        <v>83</v>
      </c>
      <c r="K920" s="1">
        <v>324</v>
      </c>
      <c r="L920" s="1">
        <v>333</v>
      </c>
      <c r="M920" s="1">
        <v>12.21428571</v>
      </c>
      <c r="N920">
        <f>VLOOKUP(A920,vlookup_table!$A:$G,2,FALSE)</f>
        <v>1</v>
      </c>
      <c r="O920" t="str">
        <f>VLOOKUP(A920,vlookup_table!$A:$G,3,FALSE)</f>
        <v>NC</v>
      </c>
      <c r="P920">
        <f>VLOOKUP(A920,vlookup_table!$A:$G,4,FALSE)</f>
        <v>5201</v>
      </c>
      <c r="Q920" t="str">
        <f>VLOOKUP(A920,vlookup_table!$A:$G,5,FALSE)</f>
        <v>T2</v>
      </c>
      <c r="R920" t="str">
        <f>VLOOKUP(A920,vlookup_table!$A:$G,6,FALSE)</f>
        <v>M</v>
      </c>
      <c r="S920">
        <f>VLOOKUP(A920,vlookup_table!$A:$G,7,FALSE)</f>
        <v>10</v>
      </c>
      <c r="T920">
        <f t="shared" si="28"/>
        <v>44</v>
      </c>
      <c r="U920" t="str">
        <f t="shared" si="29"/>
        <v>Pueblo</v>
      </c>
    </row>
    <row r="921" spans="1:21" ht="16" x14ac:dyDescent="0.4">
      <c r="A921" s="4">
        <v>189715</v>
      </c>
      <c r="B921" s="1" t="s">
        <v>21</v>
      </c>
      <c r="C921" s="1" t="s">
        <v>17</v>
      </c>
      <c r="D921" s="1">
        <v>5708</v>
      </c>
      <c r="E921" s="1">
        <v>504</v>
      </c>
      <c r="F921" s="1">
        <v>854</v>
      </c>
      <c r="G921" s="1">
        <v>97</v>
      </c>
      <c r="H921" s="1">
        <v>36020</v>
      </c>
      <c r="I921" s="1">
        <v>19</v>
      </c>
      <c r="J921" s="1">
        <v>50</v>
      </c>
      <c r="K921" s="1">
        <v>708</v>
      </c>
      <c r="L921" s="1">
        <v>575</v>
      </c>
      <c r="M921" s="1">
        <v>16.25</v>
      </c>
      <c r="N921">
        <f>VLOOKUP(A921,vlookup_table!$A:$G,2,FALSE)</f>
        <v>28</v>
      </c>
      <c r="O921" t="str">
        <f>VLOOKUP(A921,vlookup_table!$A:$G,3,FALSE)</f>
        <v>CA</v>
      </c>
      <c r="P921">
        <f>VLOOKUP(A921,vlookup_table!$A:$G,4,FALSE)</f>
        <v>0</v>
      </c>
      <c r="Q921" t="str">
        <f>VLOOKUP(A921,vlookup_table!$A:$G,5,FALSE)</f>
        <v>U1</v>
      </c>
      <c r="R921" t="str">
        <f>VLOOKUP(A921,vlookup_table!$A:$G,6,FALSE)</f>
        <v>F</v>
      </c>
      <c r="S921">
        <f>VLOOKUP(A921,vlookup_table!$A:$G,7,FALSE)</f>
        <v>25</v>
      </c>
      <c r="T921">
        <f t="shared" si="28"/>
        <v>96</v>
      </c>
      <c r="U921" t="str">
        <f t="shared" si="29"/>
        <v>Urbano</v>
      </c>
    </row>
    <row r="922" spans="1:21" ht="16" x14ac:dyDescent="0.4">
      <c r="A922" s="4">
        <v>183898</v>
      </c>
      <c r="B922" s="1" t="s">
        <v>37</v>
      </c>
      <c r="C922" s="1" t="s">
        <v>41</v>
      </c>
      <c r="D922" s="1">
        <v>429</v>
      </c>
      <c r="E922" s="1">
        <v>266</v>
      </c>
      <c r="F922" s="1">
        <v>343</v>
      </c>
      <c r="G922" s="1">
        <v>1</v>
      </c>
      <c r="H922" s="1">
        <v>12534</v>
      </c>
      <c r="I922" s="1">
        <v>1</v>
      </c>
      <c r="J922" s="1">
        <v>57</v>
      </c>
      <c r="K922" s="1">
        <v>302</v>
      </c>
      <c r="L922" s="1">
        <v>310</v>
      </c>
      <c r="M922" s="1">
        <v>5.5</v>
      </c>
      <c r="N922">
        <f>VLOOKUP(A922,vlookup_table!$A:$G,2,FALSE)</f>
        <v>980</v>
      </c>
      <c r="O922" t="str">
        <f>VLOOKUP(A922,vlookup_table!$A:$G,3,FALSE)</f>
        <v>WA</v>
      </c>
      <c r="P922">
        <f>VLOOKUP(A922,vlookup_table!$A:$G,4,FALSE)</f>
        <v>1008</v>
      </c>
      <c r="Q922" t="str">
        <f>VLOOKUP(A922,vlookup_table!$A:$G,5,FALSE)</f>
        <v>R2</v>
      </c>
      <c r="R922" t="str">
        <f>VLOOKUP(A922,vlookup_table!$A:$G,6,FALSE)</f>
        <v>J</v>
      </c>
      <c r="S922">
        <f>VLOOKUP(A922,vlookup_table!$A:$G,7,FALSE)</f>
        <v>3</v>
      </c>
      <c r="T922">
        <f t="shared" si="28"/>
        <v>86</v>
      </c>
      <c r="U922" t="str">
        <f t="shared" si="29"/>
        <v>Rural</v>
      </c>
    </row>
    <row r="923" spans="1:21" ht="16" x14ac:dyDescent="0.4">
      <c r="A923" s="4">
        <v>155157</v>
      </c>
      <c r="B923" s="1" t="s">
        <v>21</v>
      </c>
      <c r="C923" s="1" t="s">
        <v>17</v>
      </c>
      <c r="D923" s="1">
        <v>955</v>
      </c>
      <c r="E923" s="1">
        <v>329</v>
      </c>
      <c r="F923" s="1">
        <v>359</v>
      </c>
      <c r="G923" s="1">
        <v>1</v>
      </c>
      <c r="H923" s="1">
        <v>10736</v>
      </c>
      <c r="I923" s="1">
        <v>7</v>
      </c>
      <c r="J923" s="1">
        <v>63</v>
      </c>
      <c r="K923" s="1">
        <v>332</v>
      </c>
      <c r="L923" s="1">
        <v>346</v>
      </c>
      <c r="M923" s="1">
        <v>12.33333333</v>
      </c>
      <c r="N923">
        <f>VLOOKUP(A923,vlookup_table!$A:$G,2,FALSE)</f>
        <v>2</v>
      </c>
      <c r="O923" t="str">
        <f>VLOOKUP(A923,vlookup_table!$A:$G,3,FALSE)</f>
        <v>CA</v>
      </c>
      <c r="P923">
        <f>VLOOKUP(A923,vlookup_table!$A:$G,4,FALSE)</f>
        <v>0</v>
      </c>
      <c r="Q923" t="str">
        <f>VLOOKUP(A923,vlookup_table!$A:$G,5,FALSE)</f>
        <v>U3</v>
      </c>
      <c r="R923" t="str">
        <f>VLOOKUP(A923,vlookup_table!$A:$G,6,FALSE)</f>
        <v>F</v>
      </c>
      <c r="S923">
        <f>VLOOKUP(A923,vlookup_table!$A:$G,7,FALSE)</f>
        <v>12</v>
      </c>
      <c r="T923">
        <f t="shared" si="28"/>
        <v>96</v>
      </c>
      <c r="U923" t="str">
        <f t="shared" si="29"/>
        <v>Urbano</v>
      </c>
    </row>
    <row r="924" spans="1:21" ht="16" x14ac:dyDescent="0.4">
      <c r="A924" s="4">
        <v>137134</v>
      </c>
      <c r="B924" s="1" t="s">
        <v>51</v>
      </c>
      <c r="C924" s="1" t="s">
        <v>14</v>
      </c>
      <c r="D924" s="1">
        <v>810</v>
      </c>
      <c r="E924" s="1">
        <v>320</v>
      </c>
      <c r="F924" s="1">
        <v>393</v>
      </c>
      <c r="G924" s="1">
        <v>0</v>
      </c>
      <c r="H924" s="1">
        <v>18361</v>
      </c>
      <c r="I924" s="1">
        <v>4</v>
      </c>
      <c r="J924" s="1">
        <v>8</v>
      </c>
      <c r="K924" s="1">
        <v>354</v>
      </c>
      <c r="L924" s="1">
        <v>368</v>
      </c>
      <c r="M924" s="1">
        <v>9.0909090910000003</v>
      </c>
      <c r="N924">
        <f>VLOOKUP(A924,vlookup_table!$A:$G,2,FALSE)</f>
        <v>0</v>
      </c>
      <c r="O924" t="str">
        <f>VLOOKUP(A924,vlookup_table!$A:$G,3,FALSE)</f>
        <v>AZ</v>
      </c>
      <c r="P924">
        <f>VLOOKUP(A924,vlookup_table!$A:$G,4,FALSE)</f>
        <v>2512</v>
      </c>
      <c r="Q924" t="str">
        <f>VLOOKUP(A924,vlookup_table!$A:$G,5,FALSE)</f>
        <v>C2</v>
      </c>
      <c r="R924" t="str">
        <f>VLOOKUP(A924,vlookup_table!$A:$G,6,FALSE)</f>
        <v>M</v>
      </c>
      <c r="S924">
        <f>VLOOKUP(A924,vlookup_table!$A:$G,7,FALSE)</f>
        <v>10</v>
      </c>
      <c r="T924">
        <f t="shared" si="28"/>
        <v>71</v>
      </c>
      <c r="U924" t="str">
        <f t="shared" si="29"/>
        <v>Ciudad</v>
      </c>
    </row>
    <row r="925" spans="1:21" ht="16" x14ac:dyDescent="0.4">
      <c r="A925" s="4">
        <v>129602</v>
      </c>
      <c r="B925" s="1" t="s">
        <v>45</v>
      </c>
      <c r="C925" s="1" t="s">
        <v>17</v>
      </c>
      <c r="D925" s="1">
        <v>638</v>
      </c>
      <c r="E925" s="1">
        <v>222</v>
      </c>
      <c r="F925" s="1">
        <v>286</v>
      </c>
      <c r="G925" s="1">
        <v>0</v>
      </c>
      <c r="H925" s="3">
        <v>10909</v>
      </c>
      <c r="I925" s="1">
        <v>13</v>
      </c>
      <c r="J925" s="1">
        <v>22</v>
      </c>
      <c r="K925" s="1">
        <v>307</v>
      </c>
      <c r="L925" s="1">
        <v>230</v>
      </c>
      <c r="M925" s="1">
        <v>7.2142857139999998</v>
      </c>
      <c r="N925">
        <f>VLOOKUP(A925,vlookup_table!$A:$G,2,FALSE)</f>
        <v>2</v>
      </c>
      <c r="O925" t="str">
        <f>VLOOKUP(A925,vlookup_table!$A:$G,3,FALSE)</f>
        <v>CO</v>
      </c>
      <c r="P925">
        <f>VLOOKUP(A925,vlookup_table!$A:$G,4,FALSE)</f>
        <v>2401</v>
      </c>
      <c r="Q925" t="str">
        <f>VLOOKUP(A925,vlookup_table!$A:$G,5,FALSE)</f>
        <v>C2</v>
      </c>
      <c r="R925" t="str">
        <f>VLOOKUP(A925,vlookup_table!$A:$G,6,FALSE)</f>
        <v>F</v>
      </c>
      <c r="S925">
        <f>VLOOKUP(A925,vlookup_table!$A:$G,7,FALSE)</f>
        <v>13</v>
      </c>
      <c r="T925">
        <f t="shared" si="28"/>
        <v>72</v>
      </c>
      <c r="U925" t="str">
        <f t="shared" si="29"/>
        <v>Ciudad</v>
      </c>
    </row>
    <row r="926" spans="1:21" ht="16" x14ac:dyDescent="0.4">
      <c r="A926" s="4">
        <v>182286</v>
      </c>
      <c r="B926" s="1" t="s">
        <v>37</v>
      </c>
      <c r="C926" s="1" t="s">
        <v>14</v>
      </c>
      <c r="D926" s="1">
        <v>699</v>
      </c>
      <c r="E926" s="1">
        <v>262</v>
      </c>
      <c r="F926" s="1">
        <v>299</v>
      </c>
      <c r="G926" s="1">
        <v>0</v>
      </c>
      <c r="H926" s="1">
        <v>12872</v>
      </c>
      <c r="I926" s="1">
        <v>4</v>
      </c>
      <c r="J926" s="1">
        <v>55</v>
      </c>
      <c r="K926" s="1">
        <v>208</v>
      </c>
      <c r="L926" s="1">
        <v>301</v>
      </c>
      <c r="M926" s="1">
        <v>15</v>
      </c>
      <c r="N926">
        <f>VLOOKUP(A926,vlookup_table!$A:$G,2,FALSE)</f>
        <v>28</v>
      </c>
      <c r="O926" t="str">
        <f>VLOOKUP(A926,vlookup_table!$A:$G,3,FALSE)</f>
        <v>WA</v>
      </c>
      <c r="P926">
        <f>VLOOKUP(A926,vlookup_table!$A:$G,4,FALSE)</f>
        <v>4001</v>
      </c>
      <c r="Q926" t="str">
        <f>VLOOKUP(A926,vlookup_table!$A:$G,5,FALSE)</f>
        <v>C2</v>
      </c>
      <c r="R926" t="str">
        <f>VLOOKUP(A926,vlookup_table!$A:$G,6,FALSE)</f>
        <v>M</v>
      </c>
      <c r="S926">
        <f>VLOOKUP(A926,vlookup_table!$A:$G,7,FALSE)</f>
        <v>20</v>
      </c>
      <c r="T926">
        <f t="shared" si="28"/>
        <v>56</v>
      </c>
      <c r="U926" t="str">
        <f t="shared" si="29"/>
        <v>Ciudad</v>
      </c>
    </row>
    <row r="927" spans="1:21" ht="16" x14ac:dyDescent="0.4">
      <c r="A927" s="4">
        <v>138804</v>
      </c>
      <c r="B927" s="1" t="s">
        <v>51</v>
      </c>
      <c r="C927" s="1" t="s">
        <v>98</v>
      </c>
      <c r="D927" s="1">
        <v>1239</v>
      </c>
      <c r="E927" s="1">
        <v>348</v>
      </c>
      <c r="F927" s="1">
        <v>428</v>
      </c>
      <c r="G927" s="1">
        <v>10</v>
      </c>
      <c r="H927" s="1">
        <v>14561</v>
      </c>
      <c r="I927" s="1">
        <v>4</v>
      </c>
      <c r="J927" s="1">
        <v>34</v>
      </c>
      <c r="K927" s="1">
        <v>365</v>
      </c>
      <c r="L927" s="1">
        <v>399</v>
      </c>
      <c r="M927" s="1">
        <v>9.4444444440000002</v>
      </c>
      <c r="N927">
        <f>VLOOKUP(A927,vlookup_table!$A:$G,2,FALSE)</f>
        <v>0</v>
      </c>
      <c r="O927" t="str">
        <f>VLOOKUP(A927,vlookup_table!$A:$G,3,FALSE)</f>
        <v>AZ</v>
      </c>
      <c r="P927">
        <f>VLOOKUP(A927,vlookup_table!$A:$G,4,FALSE)</f>
        <v>0</v>
      </c>
      <c r="Q927" t="str">
        <f>VLOOKUP(A927,vlookup_table!$A:$G,5,FALSE)</f>
        <v>R2</v>
      </c>
      <c r="R927" t="str">
        <f>VLOOKUP(A927,vlookup_table!$A:$G,6,FALSE)</f>
        <v>F</v>
      </c>
      <c r="S927">
        <f>VLOOKUP(A927,vlookup_table!$A:$G,7,FALSE)</f>
        <v>10</v>
      </c>
      <c r="T927">
        <f t="shared" si="28"/>
        <v>96</v>
      </c>
      <c r="U927" t="str">
        <f t="shared" si="29"/>
        <v>Rural</v>
      </c>
    </row>
    <row r="928" spans="1:21" ht="16" x14ac:dyDescent="0.4">
      <c r="A928" s="4">
        <v>100569</v>
      </c>
      <c r="B928" s="1" t="s">
        <v>33</v>
      </c>
      <c r="C928" s="1" t="s">
        <v>14</v>
      </c>
      <c r="D928" s="1">
        <v>2241</v>
      </c>
      <c r="E928" s="1">
        <v>584</v>
      </c>
      <c r="F928" s="1">
        <v>904</v>
      </c>
      <c r="G928" s="1">
        <v>61</v>
      </c>
      <c r="H928" s="1">
        <v>29643</v>
      </c>
      <c r="I928" s="1">
        <v>2</v>
      </c>
      <c r="J928" s="1">
        <v>42</v>
      </c>
      <c r="K928" s="1">
        <v>822</v>
      </c>
      <c r="L928" s="1">
        <v>716</v>
      </c>
      <c r="M928" s="1">
        <v>15</v>
      </c>
      <c r="N928">
        <f>VLOOKUP(A928,vlookup_table!$A:$G,2,FALSE)</f>
        <v>1</v>
      </c>
      <c r="O928" t="str">
        <f>VLOOKUP(A928,vlookup_table!$A:$G,3,FALSE)</f>
        <v>MO</v>
      </c>
      <c r="P928">
        <f>VLOOKUP(A928,vlookup_table!$A:$G,4,FALSE)</f>
        <v>501</v>
      </c>
      <c r="Q928" t="str">
        <f>VLOOKUP(A928,vlookup_table!$A:$G,5,FALSE)</f>
        <v>U1</v>
      </c>
      <c r="R928" t="str">
        <f>VLOOKUP(A928,vlookup_table!$A:$G,6,FALSE)</f>
        <v>M</v>
      </c>
      <c r="S928">
        <f>VLOOKUP(A928,vlookup_table!$A:$G,7,FALSE)</f>
        <v>15</v>
      </c>
      <c r="T928">
        <f t="shared" si="28"/>
        <v>46</v>
      </c>
      <c r="U928" t="str">
        <f t="shared" si="29"/>
        <v>Urbano</v>
      </c>
    </row>
    <row r="929" spans="1:21" ht="16" x14ac:dyDescent="0.4">
      <c r="A929" s="4">
        <v>9287</v>
      </c>
      <c r="B929" s="1" t="s">
        <v>21</v>
      </c>
      <c r="C929" s="1" t="s">
        <v>14</v>
      </c>
      <c r="D929" s="1">
        <v>1432</v>
      </c>
      <c r="E929" s="1">
        <v>420</v>
      </c>
      <c r="F929" s="1">
        <v>461</v>
      </c>
      <c r="G929" s="1">
        <v>18</v>
      </c>
      <c r="H929" s="1">
        <v>14210</v>
      </c>
      <c r="I929" s="1">
        <v>4</v>
      </c>
      <c r="J929" s="1">
        <v>50</v>
      </c>
      <c r="K929" s="1">
        <v>423</v>
      </c>
      <c r="L929" s="1">
        <v>453</v>
      </c>
      <c r="M929" s="1">
        <v>7.2</v>
      </c>
      <c r="N929">
        <f>VLOOKUP(A929,vlookup_table!$A:$G,2,FALSE)</f>
        <v>0</v>
      </c>
      <c r="O929" t="str">
        <f>VLOOKUP(A929,vlookup_table!$A:$G,3,FALSE)</f>
        <v>CA</v>
      </c>
      <c r="P929">
        <f>VLOOKUP(A929,vlookup_table!$A:$G,4,FALSE)</f>
        <v>3901</v>
      </c>
      <c r="Q929" t="str">
        <f>VLOOKUP(A929,vlookup_table!$A:$G,5,FALSE)</f>
        <v>S2</v>
      </c>
      <c r="R929" t="str">
        <f>VLOOKUP(A929,vlookup_table!$A:$G,6,FALSE)</f>
        <v>M</v>
      </c>
      <c r="S929">
        <f>VLOOKUP(A929,vlookup_table!$A:$G,7,FALSE)</f>
        <v>8</v>
      </c>
      <c r="T929">
        <f t="shared" si="28"/>
        <v>57</v>
      </c>
      <c r="U929" t="str">
        <f t="shared" si="29"/>
        <v>Suburbano</v>
      </c>
    </row>
    <row r="930" spans="1:21" ht="16" x14ac:dyDescent="0.4">
      <c r="A930" s="4">
        <v>104108</v>
      </c>
      <c r="B930" s="1" t="s">
        <v>33</v>
      </c>
      <c r="C930" s="1" t="s">
        <v>17</v>
      </c>
      <c r="D930" s="1">
        <v>609</v>
      </c>
      <c r="E930" s="1">
        <v>263</v>
      </c>
      <c r="F930" s="1">
        <v>355</v>
      </c>
      <c r="G930" s="1">
        <v>0</v>
      </c>
      <c r="H930" s="1">
        <v>13005</v>
      </c>
      <c r="I930" s="1">
        <v>2</v>
      </c>
      <c r="J930" s="1">
        <v>58</v>
      </c>
      <c r="K930" s="1">
        <v>357</v>
      </c>
      <c r="L930" s="1">
        <v>301</v>
      </c>
      <c r="M930" s="1">
        <v>11.78947368</v>
      </c>
      <c r="N930">
        <f>VLOOKUP(A930,vlookup_table!$A:$G,2,FALSE)</f>
        <v>2</v>
      </c>
      <c r="O930" t="str">
        <f>VLOOKUP(A930,vlookup_table!$A:$G,3,FALSE)</f>
        <v>MO</v>
      </c>
      <c r="P930">
        <f>VLOOKUP(A930,vlookup_table!$A:$G,4,FALSE)</f>
        <v>2712</v>
      </c>
      <c r="Q930" t="str">
        <f>VLOOKUP(A930,vlookup_table!$A:$G,5,FALSE)</f>
        <v>C1</v>
      </c>
      <c r="R930" t="str">
        <f>VLOOKUP(A930,vlookup_table!$A:$G,6,FALSE)</f>
        <v>F</v>
      </c>
      <c r="S930">
        <f>VLOOKUP(A930,vlookup_table!$A:$G,7,FALSE)</f>
        <v>11</v>
      </c>
      <c r="T930">
        <f t="shared" si="28"/>
        <v>69</v>
      </c>
      <c r="U930" t="str">
        <f t="shared" si="29"/>
        <v>Ciudad</v>
      </c>
    </row>
    <row r="931" spans="1:21" ht="16" x14ac:dyDescent="0.4">
      <c r="A931" s="4">
        <v>1357</v>
      </c>
      <c r="B931" s="1" t="s">
        <v>26</v>
      </c>
      <c r="C931" s="1" t="s">
        <v>17</v>
      </c>
      <c r="D931" s="1">
        <v>889</v>
      </c>
      <c r="E931" s="1">
        <v>328</v>
      </c>
      <c r="F931" s="1">
        <v>431</v>
      </c>
      <c r="G931" s="1">
        <v>0</v>
      </c>
      <c r="H931" s="1">
        <v>13456</v>
      </c>
      <c r="I931" s="1">
        <v>6</v>
      </c>
      <c r="J931" s="1">
        <v>84</v>
      </c>
      <c r="K931" s="1">
        <v>368</v>
      </c>
      <c r="L931" s="1">
        <v>391</v>
      </c>
      <c r="M931" s="1">
        <v>10.66666667</v>
      </c>
      <c r="N931">
        <f>VLOOKUP(A931,vlookup_table!$A:$G,2,FALSE)</f>
        <v>0</v>
      </c>
      <c r="O931" t="str">
        <f>VLOOKUP(A931,vlookup_table!$A:$G,3,FALSE)</f>
        <v>MI</v>
      </c>
      <c r="P931">
        <f>VLOOKUP(A931,vlookup_table!$A:$G,4,FALSE)</f>
        <v>5612</v>
      </c>
      <c r="Q931" t="str">
        <f>VLOOKUP(A931,vlookup_table!$A:$G,5,FALSE)</f>
        <v>S2</v>
      </c>
      <c r="R931" t="str">
        <f>VLOOKUP(A931,vlookup_table!$A:$G,6,FALSE)</f>
        <v>F</v>
      </c>
      <c r="S931">
        <f>VLOOKUP(A931,vlookup_table!$A:$G,7,FALSE)</f>
        <v>15</v>
      </c>
      <c r="T931">
        <f t="shared" si="28"/>
        <v>40</v>
      </c>
      <c r="U931" t="str">
        <f t="shared" si="29"/>
        <v>Suburbano</v>
      </c>
    </row>
    <row r="932" spans="1:21" ht="16" x14ac:dyDescent="0.4">
      <c r="A932" s="4">
        <v>10784</v>
      </c>
      <c r="B932" s="1" t="s">
        <v>37</v>
      </c>
      <c r="C932" s="1" t="s">
        <v>14</v>
      </c>
      <c r="D932" s="1">
        <v>791</v>
      </c>
      <c r="E932" s="1">
        <v>565</v>
      </c>
      <c r="F932" s="1">
        <v>571</v>
      </c>
      <c r="G932" s="1">
        <v>0</v>
      </c>
      <c r="H932" s="1">
        <v>20238</v>
      </c>
      <c r="I932" s="1">
        <v>8</v>
      </c>
      <c r="J932" s="1">
        <v>28</v>
      </c>
      <c r="K932" s="1">
        <v>563</v>
      </c>
      <c r="L932" s="1">
        <v>566</v>
      </c>
      <c r="M932" s="1">
        <v>4.407407407</v>
      </c>
      <c r="N932">
        <f>VLOOKUP(A932,vlookup_table!$A:$G,2,FALSE)</f>
        <v>0</v>
      </c>
      <c r="O932" t="str">
        <f>VLOOKUP(A932,vlookup_table!$A:$G,3,FALSE)</f>
        <v>WA</v>
      </c>
      <c r="P932">
        <f>VLOOKUP(A932,vlookup_table!$A:$G,4,FALSE)</f>
        <v>0</v>
      </c>
      <c r="Q932" t="str">
        <f>VLOOKUP(A932,vlookup_table!$A:$G,5,FALSE)</f>
        <v>C1</v>
      </c>
      <c r="R932" t="str">
        <f>VLOOKUP(A932,vlookup_table!$A:$G,6,FALSE)</f>
        <v>M</v>
      </c>
      <c r="S932">
        <f>VLOOKUP(A932,vlookup_table!$A:$G,7,FALSE)</f>
        <v>10</v>
      </c>
      <c r="T932">
        <f t="shared" si="28"/>
        <v>96</v>
      </c>
      <c r="U932" t="str">
        <f t="shared" si="29"/>
        <v>Ciudad</v>
      </c>
    </row>
    <row r="933" spans="1:21" ht="16" x14ac:dyDescent="0.4">
      <c r="A933" s="4">
        <v>140049</v>
      </c>
      <c r="B933" s="1" t="s">
        <v>50</v>
      </c>
      <c r="C933" s="1" t="s">
        <v>17</v>
      </c>
      <c r="D933" s="1">
        <v>629</v>
      </c>
      <c r="E933" s="1">
        <v>170</v>
      </c>
      <c r="F933" s="1">
        <v>243</v>
      </c>
      <c r="G933" s="1">
        <v>2</v>
      </c>
      <c r="H933" s="1">
        <v>7822</v>
      </c>
      <c r="I933" s="1">
        <v>1</v>
      </c>
      <c r="J933" s="1">
        <v>62</v>
      </c>
      <c r="K933" s="1">
        <v>197</v>
      </c>
      <c r="L933" s="1">
        <v>214</v>
      </c>
      <c r="M933" s="1">
        <v>9.8571428569999995</v>
      </c>
      <c r="N933">
        <f>VLOOKUP(A933,vlookup_table!$A:$G,2,FALSE)</f>
        <v>0</v>
      </c>
      <c r="O933" t="str">
        <f>VLOOKUP(A933,vlookup_table!$A:$G,3,FALSE)</f>
        <v>NM</v>
      </c>
      <c r="P933">
        <f>VLOOKUP(A933,vlookup_table!$A:$G,4,FALSE)</f>
        <v>4501</v>
      </c>
      <c r="Q933" t="str">
        <f>VLOOKUP(A933,vlookup_table!$A:$G,5,FALSE)</f>
        <v>R2</v>
      </c>
      <c r="R933" t="str">
        <f>VLOOKUP(A933,vlookup_table!$A:$G,6,FALSE)</f>
        <v>F</v>
      </c>
      <c r="S933">
        <f>VLOOKUP(A933,vlookup_table!$A:$G,7,FALSE)</f>
        <v>20</v>
      </c>
      <c r="T933">
        <f t="shared" si="28"/>
        <v>51</v>
      </c>
      <c r="U933" t="str">
        <f t="shared" si="29"/>
        <v>Rural</v>
      </c>
    </row>
    <row r="934" spans="1:21" ht="16" x14ac:dyDescent="0.4">
      <c r="A934" s="4">
        <v>170489</v>
      </c>
      <c r="B934" s="1" t="s">
        <v>21</v>
      </c>
      <c r="C934" s="1" t="s">
        <v>17</v>
      </c>
      <c r="D934" s="1">
        <v>2128</v>
      </c>
      <c r="E934" s="1">
        <v>470</v>
      </c>
      <c r="F934" s="1">
        <v>567</v>
      </c>
      <c r="G934" s="1">
        <v>56</v>
      </c>
      <c r="H934" s="1">
        <v>16285</v>
      </c>
      <c r="I934" s="1">
        <v>3</v>
      </c>
      <c r="J934" s="1">
        <v>66</v>
      </c>
      <c r="K934" s="1">
        <v>472</v>
      </c>
      <c r="L934" s="1">
        <v>559</v>
      </c>
      <c r="M934" s="1">
        <v>20</v>
      </c>
      <c r="N934">
        <f>VLOOKUP(A934,vlookup_table!$A:$G,2,FALSE)</f>
        <v>0</v>
      </c>
      <c r="O934" t="str">
        <f>VLOOKUP(A934,vlookup_table!$A:$G,3,FALSE)</f>
        <v>CA</v>
      </c>
      <c r="P934">
        <f>VLOOKUP(A934,vlookup_table!$A:$G,4,FALSE)</f>
        <v>0</v>
      </c>
      <c r="Q934" t="str">
        <f>VLOOKUP(A934,vlookup_table!$A:$G,5,FALSE)</f>
        <v>T1</v>
      </c>
      <c r="R934" t="str">
        <f>VLOOKUP(A934,vlookup_table!$A:$G,6,FALSE)</f>
        <v>F</v>
      </c>
      <c r="S934">
        <f>VLOOKUP(A934,vlookup_table!$A:$G,7,FALSE)</f>
        <v>20</v>
      </c>
      <c r="T934">
        <f t="shared" si="28"/>
        <v>96</v>
      </c>
      <c r="U934" t="str">
        <f t="shared" si="29"/>
        <v>Pueblo</v>
      </c>
    </row>
    <row r="935" spans="1:21" ht="16" x14ac:dyDescent="0.4">
      <c r="A935" s="4">
        <v>184289</v>
      </c>
      <c r="B935" s="1" t="s">
        <v>37</v>
      </c>
      <c r="C935" s="1" t="s">
        <v>17</v>
      </c>
      <c r="D935" s="1">
        <v>645</v>
      </c>
      <c r="E935" s="1">
        <v>359</v>
      </c>
      <c r="F935" s="1">
        <v>381</v>
      </c>
      <c r="G935" s="1">
        <v>1</v>
      </c>
      <c r="H935" s="1">
        <v>11050</v>
      </c>
      <c r="I935" s="1">
        <v>9</v>
      </c>
      <c r="J935" s="1">
        <v>54</v>
      </c>
      <c r="K935" s="1">
        <v>376</v>
      </c>
      <c r="L935" s="1">
        <v>360</v>
      </c>
      <c r="M935" s="1">
        <v>7.6666666670000003</v>
      </c>
      <c r="N935">
        <f>VLOOKUP(A935,vlookup_table!$A:$G,2,FALSE)</f>
        <v>2</v>
      </c>
      <c r="O935" t="str">
        <f>VLOOKUP(A935,vlookup_table!$A:$G,3,FALSE)</f>
        <v>WA</v>
      </c>
      <c r="P935">
        <f>VLOOKUP(A935,vlookup_table!$A:$G,4,FALSE)</f>
        <v>4411</v>
      </c>
      <c r="Q935" t="str">
        <f>VLOOKUP(A935,vlookup_table!$A:$G,5,FALSE)</f>
        <v>R2</v>
      </c>
      <c r="R935" t="str">
        <f>VLOOKUP(A935,vlookup_table!$A:$G,6,FALSE)</f>
        <v>F</v>
      </c>
      <c r="S935">
        <f>VLOOKUP(A935,vlookup_table!$A:$G,7,FALSE)</f>
        <v>10</v>
      </c>
      <c r="T935">
        <f t="shared" si="28"/>
        <v>52</v>
      </c>
      <c r="U935" t="str">
        <f t="shared" si="29"/>
        <v>Rural</v>
      </c>
    </row>
    <row r="936" spans="1:21" ht="16" x14ac:dyDescent="0.4">
      <c r="A936" s="4">
        <v>36353</v>
      </c>
      <c r="B936" s="1" t="s">
        <v>13</v>
      </c>
      <c r="C936" s="1" t="s">
        <v>17</v>
      </c>
      <c r="D936" s="1">
        <v>1344</v>
      </c>
      <c r="E936" s="1">
        <v>335</v>
      </c>
      <c r="F936" s="1">
        <v>446</v>
      </c>
      <c r="G936" s="1">
        <v>23</v>
      </c>
      <c r="H936" s="1">
        <v>22233</v>
      </c>
      <c r="I936" s="1">
        <v>8</v>
      </c>
      <c r="J936" s="1">
        <v>1</v>
      </c>
      <c r="K936" s="1">
        <v>403</v>
      </c>
      <c r="L936" s="1">
        <v>377</v>
      </c>
      <c r="M936" s="1">
        <v>9.5</v>
      </c>
      <c r="N936">
        <f>VLOOKUP(A936,vlookup_table!$A:$G,2,FALSE)</f>
        <v>0</v>
      </c>
      <c r="O936" t="str">
        <f>VLOOKUP(A936,vlookup_table!$A:$G,3,FALSE)</f>
        <v>FL</v>
      </c>
      <c r="P936">
        <f>VLOOKUP(A936,vlookup_table!$A:$G,4,FALSE)</f>
        <v>2101</v>
      </c>
      <c r="Q936" t="str">
        <f>VLOOKUP(A936,vlookup_table!$A:$G,5,FALSE)</f>
        <v>C2</v>
      </c>
      <c r="R936" t="str">
        <f>VLOOKUP(A936,vlookup_table!$A:$G,6,FALSE)</f>
        <v>F</v>
      </c>
      <c r="S936">
        <f>VLOOKUP(A936,vlookup_table!$A:$G,7,FALSE)</f>
        <v>17</v>
      </c>
      <c r="T936">
        <f t="shared" si="28"/>
        <v>75</v>
      </c>
      <c r="U936" t="str">
        <f t="shared" si="29"/>
        <v>Ciudad</v>
      </c>
    </row>
    <row r="937" spans="1:21" ht="16" x14ac:dyDescent="0.4">
      <c r="A937" s="4">
        <v>97689</v>
      </c>
      <c r="B937" s="1" t="s">
        <v>16</v>
      </c>
      <c r="C937" s="1" t="s">
        <v>14</v>
      </c>
      <c r="D937" s="1">
        <v>821</v>
      </c>
      <c r="E937" s="1">
        <v>334</v>
      </c>
      <c r="F937" s="1">
        <v>431</v>
      </c>
      <c r="G937" s="1">
        <v>1</v>
      </c>
      <c r="H937" s="1">
        <v>15694</v>
      </c>
      <c r="I937" s="1">
        <v>3</v>
      </c>
      <c r="J937" s="1">
        <v>57</v>
      </c>
      <c r="K937" s="1">
        <v>371</v>
      </c>
      <c r="L937" s="1">
        <v>390</v>
      </c>
      <c r="M937" s="1">
        <v>10</v>
      </c>
      <c r="N937">
        <f>VLOOKUP(A937,vlookup_table!$A:$G,2,FALSE)</f>
        <v>1</v>
      </c>
      <c r="O937" t="str">
        <f>VLOOKUP(A937,vlookup_table!$A:$G,3,FALSE)</f>
        <v>IL</v>
      </c>
      <c r="P937">
        <f>VLOOKUP(A937,vlookup_table!$A:$G,4,FALSE)</f>
        <v>3601</v>
      </c>
      <c r="Q937" t="str">
        <f>VLOOKUP(A937,vlookup_table!$A:$G,5,FALSE)</f>
        <v>T2</v>
      </c>
      <c r="R937" t="str">
        <f>VLOOKUP(A937,vlookup_table!$A:$G,6,FALSE)</f>
        <v>M</v>
      </c>
      <c r="S937">
        <f>VLOOKUP(A937,vlookup_table!$A:$G,7,FALSE)</f>
        <v>10</v>
      </c>
      <c r="T937">
        <f t="shared" si="28"/>
        <v>60</v>
      </c>
      <c r="U937" t="str">
        <f t="shared" si="29"/>
        <v>Pueblo</v>
      </c>
    </row>
    <row r="938" spans="1:21" ht="16" x14ac:dyDescent="0.4">
      <c r="A938" s="4">
        <v>133229</v>
      </c>
      <c r="B938" s="1" t="s">
        <v>38</v>
      </c>
      <c r="C938" s="1" t="s">
        <v>14</v>
      </c>
      <c r="D938" s="1">
        <v>681</v>
      </c>
      <c r="E938" s="1">
        <v>382</v>
      </c>
      <c r="F938" s="1">
        <v>445</v>
      </c>
      <c r="G938" s="1">
        <v>0</v>
      </c>
      <c r="H938" s="1">
        <v>16011</v>
      </c>
      <c r="I938" s="1">
        <v>5</v>
      </c>
      <c r="J938" s="1">
        <v>48</v>
      </c>
      <c r="K938" s="1">
        <v>396</v>
      </c>
      <c r="L938" s="1">
        <v>406</v>
      </c>
      <c r="M938" s="1">
        <v>12</v>
      </c>
      <c r="N938">
        <f>VLOOKUP(A938,vlookup_table!$A:$G,2,FALSE)</f>
        <v>1</v>
      </c>
      <c r="O938" t="str">
        <f>VLOOKUP(A938,vlookup_table!$A:$G,3,FALSE)</f>
        <v>ID</v>
      </c>
      <c r="P938">
        <f>VLOOKUP(A938,vlookup_table!$A:$G,4,FALSE)</f>
        <v>5001</v>
      </c>
      <c r="Q938" t="str">
        <f>VLOOKUP(A938,vlookup_table!$A:$G,5,FALSE)</f>
        <v>T1</v>
      </c>
      <c r="R938" t="str">
        <f>VLOOKUP(A938,vlookup_table!$A:$G,6,FALSE)</f>
        <v>M</v>
      </c>
      <c r="S938">
        <f>VLOOKUP(A938,vlookup_table!$A:$G,7,FALSE)</f>
        <v>25</v>
      </c>
      <c r="T938">
        <f t="shared" si="28"/>
        <v>46</v>
      </c>
      <c r="U938" t="str">
        <f t="shared" si="29"/>
        <v>Pueblo</v>
      </c>
    </row>
    <row r="939" spans="1:21" ht="16" x14ac:dyDescent="0.4">
      <c r="A939" s="4">
        <v>51845</v>
      </c>
      <c r="B939" s="1" t="s">
        <v>49</v>
      </c>
      <c r="C939" s="1" t="s">
        <v>17</v>
      </c>
      <c r="D939" s="1">
        <v>386</v>
      </c>
      <c r="E939" s="1">
        <v>177</v>
      </c>
      <c r="F939" s="1">
        <v>251</v>
      </c>
      <c r="G939" s="1">
        <v>0</v>
      </c>
      <c r="H939" s="1">
        <v>8524</v>
      </c>
      <c r="I939" s="1">
        <v>0</v>
      </c>
      <c r="J939" s="1">
        <v>83</v>
      </c>
      <c r="K939" s="1">
        <v>231</v>
      </c>
      <c r="L939" s="1">
        <v>220</v>
      </c>
      <c r="M939" s="1">
        <v>8.4444444440000002</v>
      </c>
      <c r="N939">
        <f>VLOOKUP(A939,vlookup_table!$A:$G,2,FALSE)</f>
        <v>2</v>
      </c>
      <c r="O939" t="str">
        <f>VLOOKUP(A939,vlookup_table!$A:$G,3,FALSE)</f>
        <v>TN</v>
      </c>
      <c r="P939">
        <f>VLOOKUP(A939,vlookup_table!$A:$G,4,FALSE)</f>
        <v>0</v>
      </c>
      <c r="Q939" t="str">
        <f>VLOOKUP(A939,vlookup_table!$A:$G,5,FALSE)</f>
        <v>R3</v>
      </c>
      <c r="R939" t="str">
        <f>VLOOKUP(A939,vlookup_table!$A:$G,6,FALSE)</f>
        <v>F</v>
      </c>
      <c r="S939">
        <f>VLOOKUP(A939,vlookup_table!$A:$G,7,FALSE)</f>
        <v>18</v>
      </c>
      <c r="T939">
        <f t="shared" si="28"/>
        <v>96</v>
      </c>
      <c r="U939" t="str">
        <f t="shared" si="29"/>
        <v>Rural</v>
      </c>
    </row>
    <row r="940" spans="1:21" ht="16" x14ac:dyDescent="0.4">
      <c r="A940" s="4">
        <v>111485</v>
      </c>
      <c r="B940" s="1" t="s">
        <v>29</v>
      </c>
      <c r="C940" s="1" t="s">
        <v>14</v>
      </c>
      <c r="D940" s="1">
        <v>361</v>
      </c>
      <c r="E940" s="1">
        <v>145</v>
      </c>
      <c r="F940" s="1">
        <v>233</v>
      </c>
      <c r="G940" s="1">
        <v>0</v>
      </c>
      <c r="H940" s="1">
        <v>8563</v>
      </c>
      <c r="I940" s="1">
        <v>0</v>
      </c>
      <c r="J940" s="1">
        <v>52</v>
      </c>
      <c r="K940" s="1">
        <v>182</v>
      </c>
      <c r="L940" s="1">
        <v>199</v>
      </c>
      <c r="M940" s="1">
        <v>29.571428569999998</v>
      </c>
      <c r="N940">
        <f>VLOOKUP(A940,vlookup_table!$A:$G,2,FALSE)</f>
        <v>1</v>
      </c>
      <c r="O940" t="str">
        <f>VLOOKUP(A940,vlookup_table!$A:$G,3,FALSE)</f>
        <v>AR</v>
      </c>
      <c r="P940">
        <f>VLOOKUP(A940,vlookup_table!$A:$G,4,FALSE)</f>
        <v>810</v>
      </c>
      <c r="Q940" t="str">
        <f>VLOOKUP(A940,vlookup_table!$A:$G,5,FALSE)</f>
        <v>C2</v>
      </c>
      <c r="R940" t="str">
        <f>VLOOKUP(A940,vlookup_table!$A:$G,6,FALSE)</f>
        <v>M</v>
      </c>
      <c r="S940">
        <f>VLOOKUP(A940,vlookup_table!$A:$G,7,FALSE)</f>
        <v>30</v>
      </c>
      <c r="T940">
        <f t="shared" si="28"/>
        <v>15</v>
      </c>
      <c r="U940" t="str">
        <f t="shared" si="29"/>
        <v>Ciudad</v>
      </c>
    </row>
    <row r="941" spans="1:21" ht="16" x14ac:dyDescent="0.4">
      <c r="A941" s="4">
        <v>75331</v>
      </c>
      <c r="B941" s="1" t="s">
        <v>44</v>
      </c>
      <c r="C941" s="1" t="s">
        <v>17</v>
      </c>
      <c r="D941" s="1">
        <v>583</v>
      </c>
      <c r="E941" s="1">
        <v>310</v>
      </c>
      <c r="F941" s="1">
        <v>452</v>
      </c>
      <c r="G941" s="1">
        <v>3</v>
      </c>
      <c r="H941" s="1">
        <v>17243</v>
      </c>
      <c r="I941" s="1">
        <v>1</v>
      </c>
      <c r="J941" s="1">
        <v>78</v>
      </c>
      <c r="K941" s="1">
        <v>371</v>
      </c>
      <c r="L941" s="1">
        <v>385</v>
      </c>
      <c r="M941" s="1">
        <v>8.5</v>
      </c>
      <c r="N941">
        <f>VLOOKUP(A941,vlookup_table!$A:$G,2,FALSE)</f>
        <v>0</v>
      </c>
      <c r="O941" t="str">
        <f>VLOOKUP(A941,vlookup_table!$A:$G,3,FALSE)</f>
        <v>IA</v>
      </c>
      <c r="P941">
        <f>VLOOKUP(A941,vlookup_table!$A:$G,4,FALSE)</f>
        <v>4401</v>
      </c>
      <c r="Q941" t="str">
        <f>VLOOKUP(A941,vlookup_table!$A:$G,5,FALSE)</f>
        <v>T2</v>
      </c>
      <c r="R941" t="str">
        <f>VLOOKUP(A941,vlookup_table!$A:$G,6,FALSE)</f>
        <v>F</v>
      </c>
      <c r="S941">
        <f>VLOOKUP(A941,vlookup_table!$A:$G,7,FALSE)</f>
        <v>25</v>
      </c>
      <c r="T941">
        <f t="shared" si="28"/>
        <v>52</v>
      </c>
      <c r="U941" t="str">
        <f t="shared" si="29"/>
        <v>Pueblo</v>
      </c>
    </row>
    <row r="942" spans="1:21" ht="16" x14ac:dyDescent="0.4">
      <c r="A942" s="4">
        <v>96448</v>
      </c>
      <c r="B942" s="1" t="s">
        <v>16</v>
      </c>
      <c r="C942" s="1" t="s">
        <v>17</v>
      </c>
      <c r="D942" s="1">
        <v>760</v>
      </c>
      <c r="E942" s="1">
        <v>393</v>
      </c>
      <c r="F942" s="1">
        <v>510</v>
      </c>
      <c r="G942" s="1">
        <v>2</v>
      </c>
      <c r="H942" s="3">
        <v>10909</v>
      </c>
      <c r="I942" s="1">
        <v>2</v>
      </c>
      <c r="J942" s="1">
        <v>78</v>
      </c>
      <c r="K942" s="1">
        <v>451</v>
      </c>
      <c r="L942" s="1">
        <v>441</v>
      </c>
      <c r="M942" s="1">
        <v>6.9090909089999997</v>
      </c>
      <c r="N942">
        <f>VLOOKUP(A942,vlookup_table!$A:$G,2,FALSE)</f>
        <v>0</v>
      </c>
      <c r="O942" t="str">
        <f>VLOOKUP(A942,vlookup_table!$A:$G,3,FALSE)</f>
        <v>IL</v>
      </c>
      <c r="P942">
        <f>VLOOKUP(A942,vlookup_table!$A:$G,4,FALSE)</f>
        <v>2101</v>
      </c>
      <c r="Q942" t="str">
        <f>VLOOKUP(A942,vlookup_table!$A:$G,5,FALSE)</f>
        <v>T1</v>
      </c>
      <c r="R942" t="str">
        <f>VLOOKUP(A942,vlookup_table!$A:$G,6,FALSE)</f>
        <v>F</v>
      </c>
      <c r="S942">
        <f>VLOOKUP(A942,vlookup_table!$A:$G,7,FALSE)</f>
        <v>8</v>
      </c>
      <c r="T942">
        <f t="shared" si="28"/>
        <v>75</v>
      </c>
      <c r="U942" t="str">
        <f t="shared" si="29"/>
        <v>Pueblo</v>
      </c>
    </row>
    <row r="943" spans="1:21" ht="16" x14ac:dyDescent="0.4">
      <c r="A943" s="4">
        <v>88802</v>
      </c>
      <c r="B943" s="1" t="s">
        <v>16</v>
      </c>
      <c r="C943" s="1" t="s">
        <v>14</v>
      </c>
      <c r="D943" s="1">
        <v>1711</v>
      </c>
      <c r="E943" s="1">
        <v>479</v>
      </c>
      <c r="F943" s="1">
        <v>683</v>
      </c>
      <c r="G943" s="1">
        <v>34</v>
      </c>
      <c r="H943" s="1">
        <v>26817</v>
      </c>
      <c r="I943" s="1">
        <v>11</v>
      </c>
      <c r="J943" s="1">
        <v>72</v>
      </c>
      <c r="K943" s="1">
        <v>542</v>
      </c>
      <c r="L943" s="1">
        <v>629</v>
      </c>
      <c r="M943" s="1">
        <v>13</v>
      </c>
      <c r="N943">
        <f>VLOOKUP(A943,vlookup_table!$A:$G,2,FALSE)</f>
        <v>1002</v>
      </c>
      <c r="O943" t="str">
        <f>VLOOKUP(A943,vlookup_table!$A:$G,3,FALSE)</f>
        <v>IL</v>
      </c>
      <c r="P943">
        <f>VLOOKUP(A943,vlookup_table!$A:$G,4,FALSE)</f>
        <v>3101</v>
      </c>
      <c r="Q943" t="str">
        <f>VLOOKUP(A943,vlookup_table!$A:$G,5,FALSE)</f>
        <v>S1</v>
      </c>
      <c r="R943" t="str">
        <f>VLOOKUP(A943,vlookup_table!$A:$G,6,FALSE)</f>
        <v>M</v>
      </c>
      <c r="S943">
        <f>VLOOKUP(A943,vlookup_table!$A:$G,7,FALSE)</f>
        <v>25</v>
      </c>
      <c r="T943">
        <f t="shared" si="28"/>
        <v>65</v>
      </c>
      <c r="U943" t="str">
        <f t="shared" si="29"/>
        <v>Suburbano</v>
      </c>
    </row>
    <row r="944" spans="1:21" ht="16" x14ac:dyDescent="0.4">
      <c r="A944" s="4">
        <v>183702</v>
      </c>
      <c r="B944" s="1" t="s">
        <v>37</v>
      </c>
      <c r="C944" s="1" t="s">
        <v>17</v>
      </c>
      <c r="D944" s="1">
        <v>700</v>
      </c>
      <c r="E944" s="1">
        <v>322</v>
      </c>
      <c r="F944" s="1">
        <v>446</v>
      </c>
      <c r="G944" s="1">
        <v>0</v>
      </c>
      <c r="H944" s="1">
        <v>14360</v>
      </c>
      <c r="I944" s="1">
        <v>7</v>
      </c>
      <c r="J944" s="1">
        <v>47</v>
      </c>
      <c r="K944" s="1">
        <v>415</v>
      </c>
      <c r="L944" s="1">
        <v>356</v>
      </c>
      <c r="M944" s="1">
        <v>11.33333333</v>
      </c>
      <c r="N944">
        <f>VLOOKUP(A944,vlookup_table!$A:$G,2,FALSE)</f>
        <v>28</v>
      </c>
      <c r="O944" t="str">
        <f>VLOOKUP(A944,vlookup_table!$A:$G,3,FALSE)</f>
        <v>WA</v>
      </c>
      <c r="P944">
        <f>VLOOKUP(A944,vlookup_table!$A:$G,4,FALSE)</f>
        <v>4801</v>
      </c>
      <c r="Q944" t="str">
        <f>VLOOKUP(A944,vlookup_table!$A:$G,5,FALSE)</f>
        <v>T1</v>
      </c>
      <c r="R944" t="str">
        <f>VLOOKUP(A944,vlookup_table!$A:$G,6,FALSE)</f>
        <v>F</v>
      </c>
      <c r="S944">
        <f>VLOOKUP(A944,vlookup_table!$A:$G,7,FALSE)</f>
        <v>10</v>
      </c>
      <c r="T944">
        <f t="shared" si="28"/>
        <v>48</v>
      </c>
      <c r="U944" t="str">
        <f t="shared" si="29"/>
        <v>Pueblo</v>
      </c>
    </row>
    <row r="945" spans="1:21" ht="16" x14ac:dyDescent="0.4">
      <c r="A945" s="4">
        <v>175535</v>
      </c>
      <c r="B945" s="1" t="s">
        <v>47</v>
      </c>
      <c r="C945" s="1" t="s">
        <v>14</v>
      </c>
      <c r="D945" s="1">
        <v>904</v>
      </c>
      <c r="E945" s="1">
        <v>339</v>
      </c>
      <c r="F945" s="1">
        <v>510</v>
      </c>
      <c r="G945" s="1">
        <v>9</v>
      </c>
      <c r="H945" s="1">
        <v>20426</v>
      </c>
      <c r="I945" s="1">
        <v>2</v>
      </c>
      <c r="J945" s="1">
        <v>56</v>
      </c>
      <c r="K945" s="1">
        <v>446</v>
      </c>
      <c r="L945" s="1">
        <v>442</v>
      </c>
      <c r="M945" s="1">
        <v>10.6</v>
      </c>
      <c r="N945">
        <f>VLOOKUP(A945,vlookup_table!$A:$G,2,FALSE)</f>
        <v>1</v>
      </c>
      <c r="O945" t="str">
        <f>VLOOKUP(A945,vlookup_table!$A:$G,3,FALSE)</f>
        <v>OR</v>
      </c>
      <c r="P945">
        <f>VLOOKUP(A945,vlookup_table!$A:$G,4,FALSE)</f>
        <v>6101</v>
      </c>
      <c r="Q945" t="str">
        <f>VLOOKUP(A945,vlookup_table!$A:$G,5,FALSE)</f>
        <v>U1</v>
      </c>
      <c r="R945" t="str">
        <f>VLOOKUP(A945,vlookup_table!$A:$G,6,FALSE)</f>
        <v>M</v>
      </c>
      <c r="S945">
        <f>VLOOKUP(A945,vlookup_table!$A:$G,7,FALSE)</f>
        <v>20</v>
      </c>
      <c r="T945">
        <f t="shared" si="28"/>
        <v>35</v>
      </c>
      <c r="U945" t="str">
        <f t="shared" si="29"/>
        <v>Urbano</v>
      </c>
    </row>
    <row r="946" spans="1:21" ht="16" x14ac:dyDescent="0.4">
      <c r="A946" s="4">
        <v>35325</v>
      </c>
      <c r="B946" s="1" t="s">
        <v>13</v>
      </c>
      <c r="C946" s="1" t="s">
        <v>14</v>
      </c>
      <c r="D946" s="1">
        <v>833</v>
      </c>
      <c r="E946" s="1">
        <v>277</v>
      </c>
      <c r="F946" s="1">
        <v>387</v>
      </c>
      <c r="G946" s="1">
        <v>0</v>
      </c>
      <c r="H946" s="1">
        <v>14317</v>
      </c>
      <c r="I946" s="1">
        <v>8</v>
      </c>
      <c r="J946" s="1">
        <v>21</v>
      </c>
      <c r="K946" s="1">
        <v>350</v>
      </c>
      <c r="L946" s="1">
        <v>329</v>
      </c>
      <c r="M946" s="1">
        <v>12.14285714</v>
      </c>
      <c r="N946">
        <f>VLOOKUP(A946,vlookup_table!$A:$G,2,FALSE)</f>
        <v>0</v>
      </c>
      <c r="O946" t="str">
        <f>VLOOKUP(A946,vlookup_table!$A:$G,3,FALSE)</f>
        <v>FL</v>
      </c>
      <c r="P946">
        <f>VLOOKUP(A946,vlookup_table!$A:$G,4,FALSE)</f>
        <v>1801</v>
      </c>
      <c r="Q946" t="str">
        <f>VLOOKUP(A946,vlookup_table!$A:$G,5,FALSE)</f>
        <v>C2</v>
      </c>
      <c r="R946" t="str">
        <f>VLOOKUP(A946,vlookup_table!$A:$G,6,FALSE)</f>
        <v>M</v>
      </c>
      <c r="S946">
        <f>VLOOKUP(A946,vlookup_table!$A:$G,7,FALSE)</f>
        <v>30</v>
      </c>
      <c r="T946">
        <f t="shared" si="28"/>
        <v>78</v>
      </c>
      <c r="U946" t="str">
        <f t="shared" si="29"/>
        <v>Ciudad</v>
      </c>
    </row>
    <row r="947" spans="1:21" ht="16" x14ac:dyDescent="0.4">
      <c r="A947" s="4">
        <v>181655</v>
      </c>
      <c r="B947" s="1" t="s">
        <v>37</v>
      </c>
      <c r="C947" s="1" t="s">
        <v>14</v>
      </c>
      <c r="D947" s="1">
        <v>957</v>
      </c>
      <c r="E947" s="1">
        <v>418</v>
      </c>
      <c r="F947" s="1">
        <v>438</v>
      </c>
      <c r="G947" s="1">
        <v>6</v>
      </c>
      <c r="H947" s="1">
        <v>14668</v>
      </c>
      <c r="I947" s="1">
        <v>6</v>
      </c>
      <c r="J947" s="1">
        <v>54</v>
      </c>
      <c r="K947" s="1">
        <v>417</v>
      </c>
      <c r="L947" s="1">
        <v>423</v>
      </c>
      <c r="M947" s="1">
        <v>15.0625</v>
      </c>
      <c r="N947">
        <f>VLOOKUP(A947,vlookup_table!$A:$G,2,FALSE)</f>
        <v>2</v>
      </c>
      <c r="O947" t="str">
        <f>VLOOKUP(A947,vlookup_table!$A:$G,3,FALSE)</f>
        <v>WA</v>
      </c>
      <c r="P947">
        <f>VLOOKUP(A947,vlookup_table!$A:$G,4,FALSE)</f>
        <v>4212</v>
      </c>
      <c r="Q947" t="str">
        <f>VLOOKUP(A947,vlookup_table!$A:$G,5,FALSE)</f>
        <v>C2</v>
      </c>
      <c r="R947" t="str">
        <f>VLOOKUP(A947,vlookup_table!$A:$G,6,FALSE)</f>
        <v>M</v>
      </c>
      <c r="S947">
        <f>VLOOKUP(A947,vlookup_table!$A:$G,7,FALSE)</f>
        <v>50</v>
      </c>
      <c r="T947">
        <f t="shared" si="28"/>
        <v>54</v>
      </c>
      <c r="U947" t="str">
        <f t="shared" si="29"/>
        <v>Ciudad</v>
      </c>
    </row>
    <row r="948" spans="1:21" ht="16" x14ac:dyDescent="0.4">
      <c r="A948" s="4">
        <v>95582</v>
      </c>
      <c r="B948" s="1" t="s">
        <v>16</v>
      </c>
      <c r="C948" s="1" t="s">
        <v>17</v>
      </c>
      <c r="D948" s="1">
        <v>607</v>
      </c>
      <c r="E948" s="1">
        <v>279</v>
      </c>
      <c r="F948" s="1">
        <v>442</v>
      </c>
      <c r="G948" s="1">
        <v>4</v>
      </c>
      <c r="H948" s="1">
        <v>19317</v>
      </c>
      <c r="I948" s="1">
        <v>3</v>
      </c>
      <c r="J948" s="1">
        <v>64</v>
      </c>
      <c r="K948" s="1">
        <v>371</v>
      </c>
      <c r="L948" s="1">
        <v>346</v>
      </c>
      <c r="M948" s="1">
        <v>15</v>
      </c>
      <c r="N948">
        <f>VLOOKUP(A948,vlookup_table!$A:$G,2,FALSE)</f>
        <v>0</v>
      </c>
      <c r="O948" t="str">
        <f>VLOOKUP(A948,vlookup_table!$A:$G,3,FALSE)</f>
        <v>IL</v>
      </c>
      <c r="P948">
        <f>VLOOKUP(A948,vlookup_table!$A:$G,4,FALSE)</f>
        <v>0</v>
      </c>
      <c r="Q948" t="str">
        <f>VLOOKUP(A948,vlookup_table!$A:$G,5,FALSE)</f>
        <v>C2</v>
      </c>
      <c r="R948" t="str">
        <f>VLOOKUP(A948,vlookup_table!$A:$G,6,FALSE)</f>
        <v>F</v>
      </c>
      <c r="S948">
        <f>VLOOKUP(A948,vlookup_table!$A:$G,7,FALSE)</f>
        <v>21</v>
      </c>
      <c r="T948">
        <f t="shared" si="28"/>
        <v>96</v>
      </c>
      <c r="U948" t="str">
        <f t="shared" si="29"/>
        <v>Ciudad</v>
      </c>
    </row>
    <row r="949" spans="1:21" ht="16" x14ac:dyDescent="0.4">
      <c r="A949" s="4">
        <v>14394</v>
      </c>
      <c r="B949" s="1" t="s">
        <v>20</v>
      </c>
      <c r="C949" s="1" t="s">
        <v>14</v>
      </c>
      <c r="D949" s="1">
        <v>631</v>
      </c>
      <c r="E949" s="1">
        <v>273</v>
      </c>
      <c r="F949" s="1">
        <v>294</v>
      </c>
      <c r="G949" s="1">
        <v>0</v>
      </c>
      <c r="H949" s="1">
        <v>8650</v>
      </c>
      <c r="I949" s="1">
        <v>10</v>
      </c>
      <c r="J949" s="1">
        <v>28</v>
      </c>
      <c r="K949" s="1">
        <v>278</v>
      </c>
      <c r="L949" s="1">
        <v>288</v>
      </c>
      <c r="M949" s="1">
        <v>25</v>
      </c>
      <c r="N949">
        <f>VLOOKUP(A949,vlookup_table!$A:$G,2,FALSE)</f>
        <v>1</v>
      </c>
      <c r="O949" t="str">
        <f>VLOOKUP(A949,vlookup_table!$A:$G,3,FALSE)</f>
        <v>TX</v>
      </c>
      <c r="P949">
        <f>VLOOKUP(A949,vlookup_table!$A:$G,4,FALSE)</f>
        <v>6901</v>
      </c>
      <c r="Q949" t="str">
        <f>VLOOKUP(A949,vlookup_table!$A:$G,5,FALSE)</f>
        <v>T2</v>
      </c>
      <c r="R949" t="str">
        <f>VLOOKUP(A949,vlookup_table!$A:$G,6,FALSE)</f>
        <v>M</v>
      </c>
      <c r="S949">
        <f>VLOOKUP(A949,vlookup_table!$A:$G,7,FALSE)</f>
        <v>10</v>
      </c>
      <c r="T949">
        <f t="shared" si="28"/>
        <v>27</v>
      </c>
      <c r="U949" t="str">
        <f t="shared" si="29"/>
        <v>Pueblo</v>
      </c>
    </row>
    <row r="950" spans="1:21" ht="16" x14ac:dyDescent="0.4">
      <c r="A950" s="4">
        <v>81823</v>
      </c>
      <c r="B950" s="1" t="s">
        <v>32</v>
      </c>
      <c r="C950" s="1" t="s">
        <v>14</v>
      </c>
      <c r="D950" s="1">
        <v>470</v>
      </c>
      <c r="E950" s="1">
        <v>234</v>
      </c>
      <c r="F950" s="1">
        <v>365</v>
      </c>
      <c r="G950" s="1">
        <v>0</v>
      </c>
      <c r="H950" s="1">
        <v>12277</v>
      </c>
      <c r="I950" s="1">
        <v>1</v>
      </c>
      <c r="J950" s="1">
        <v>89</v>
      </c>
      <c r="K950" s="1">
        <v>355</v>
      </c>
      <c r="L950" s="1">
        <v>271</v>
      </c>
      <c r="M950" s="1">
        <v>25</v>
      </c>
      <c r="N950">
        <f>VLOOKUP(A950,vlookup_table!$A:$G,2,FALSE)</f>
        <v>1</v>
      </c>
      <c r="O950" t="str">
        <f>VLOOKUP(A950,vlookup_table!$A:$G,3,FALSE)</f>
        <v>WI</v>
      </c>
      <c r="P950">
        <f>VLOOKUP(A950,vlookup_table!$A:$G,4,FALSE)</f>
        <v>4001</v>
      </c>
      <c r="Q950" t="str">
        <f>VLOOKUP(A950,vlookup_table!$A:$G,5,FALSE)</f>
        <v>R2</v>
      </c>
      <c r="R950" t="str">
        <f>VLOOKUP(A950,vlookup_table!$A:$G,6,FALSE)</f>
        <v>M</v>
      </c>
      <c r="S950">
        <f>VLOOKUP(A950,vlookup_table!$A:$G,7,FALSE)</f>
        <v>45</v>
      </c>
      <c r="T950">
        <f t="shared" si="28"/>
        <v>56</v>
      </c>
      <c r="U950" t="str">
        <f t="shared" si="29"/>
        <v>Rural</v>
      </c>
    </row>
    <row r="951" spans="1:21" ht="16" x14ac:dyDescent="0.4">
      <c r="A951" s="4">
        <v>143470</v>
      </c>
      <c r="B951" s="1" t="s">
        <v>21</v>
      </c>
      <c r="C951" s="1" t="s">
        <v>14</v>
      </c>
      <c r="D951" s="1">
        <v>4112</v>
      </c>
      <c r="E951" s="1">
        <v>562</v>
      </c>
      <c r="F951" s="1">
        <v>841</v>
      </c>
      <c r="G951" s="1">
        <v>95</v>
      </c>
      <c r="H951" s="1">
        <v>34677</v>
      </c>
      <c r="I951" s="1">
        <v>18</v>
      </c>
      <c r="J951" s="1">
        <v>50</v>
      </c>
      <c r="K951" s="1">
        <v>798</v>
      </c>
      <c r="L951" s="1">
        <v>725</v>
      </c>
      <c r="M951" s="1">
        <v>15.14285714</v>
      </c>
      <c r="N951">
        <f>VLOOKUP(A951,vlookup_table!$A:$G,2,FALSE)</f>
        <v>1</v>
      </c>
      <c r="O951" t="str">
        <f>VLOOKUP(A951,vlookup_table!$A:$G,3,FALSE)</f>
        <v>CA</v>
      </c>
      <c r="P951">
        <f>VLOOKUP(A951,vlookup_table!$A:$G,4,FALSE)</f>
        <v>5201</v>
      </c>
      <c r="Q951" t="str">
        <f>VLOOKUP(A951,vlookup_table!$A:$G,5,FALSE)</f>
        <v>U1</v>
      </c>
      <c r="R951" t="str">
        <f>VLOOKUP(A951,vlookup_table!$A:$G,6,FALSE)</f>
        <v>M</v>
      </c>
      <c r="S951">
        <f>VLOOKUP(A951,vlookup_table!$A:$G,7,FALSE)</f>
        <v>17</v>
      </c>
      <c r="T951">
        <f t="shared" si="28"/>
        <v>44</v>
      </c>
      <c r="U951" t="str">
        <f t="shared" si="29"/>
        <v>Urbano</v>
      </c>
    </row>
    <row r="952" spans="1:21" ht="16" x14ac:dyDescent="0.4">
      <c r="A952" s="4">
        <v>77048</v>
      </c>
      <c r="B952" s="1" t="s">
        <v>44</v>
      </c>
      <c r="C952" s="1" t="s">
        <v>17</v>
      </c>
      <c r="D952" s="1">
        <v>342</v>
      </c>
      <c r="E952" s="1">
        <v>209</v>
      </c>
      <c r="F952" s="1">
        <v>261</v>
      </c>
      <c r="G952" s="1">
        <v>0</v>
      </c>
      <c r="H952" s="1">
        <v>10728</v>
      </c>
      <c r="I952" s="1">
        <v>0</v>
      </c>
      <c r="J952" s="1">
        <v>59</v>
      </c>
      <c r="K952" s="1">
        <v>214</v>
      </c>
      <c r="L952" s="1">
        <v>241</v>
      </c>
      <c r="M952" s="1">
        <v>7</v>
      </c>
      <c r="N952">
        <f>VLOOKUP(A952,vlookup_table!$A:$G,2,FALSE)</f>
        <v>0</v>
      </c>
      <c r="O952" t="str">
        <f>VLOOKUP(A952,vlookup_table!$A:$G,3,FALSE)</f>
        <v>IA</v>
      </c>
      <c r="P952">
        <f>VLOOKUP(A952,vlookup_table!$A:$G,4,FALSE)</f>
        <v>3601</v>
      </c>
      <c r="Q952" t="str">
        <f>VLOOKUP(A952,vlookup_table!$A:$G,5,FALSE)</f>
        <v>C3</v>
      </c>
      <c r="R952" t="str">
        <f>VLOOKUP(A952,vlookup_table!$A:$G,6,FALSE)</f>
        <v>F</v>
      </c>
      <c r="S952">
        <f>VLOOKUP(A952,vlookup_table!$A:$G,7,FALSE)</f>
        <v>7</v>
      </c>
      <c r="T952">
        <f t="shared" si="28"/>
        <v>60</v>
      </c>
      <c r="U952" t="str">
        <f t="shared" si="29"/>
        <v>Ciudad</v>
      </c>
    </row>
    <row r="953" spans="1:21" ht="16" x14ac:dyDescent="0.4">
      <c r="A953" s="4">
        <v>20962</v>
      </c>
      <c r="B953" s="1" t="s">
        <v>18</v>
      </c>
      <c r="C953" s="1" t="s">
        <v>14</v>
      </c>
      <c r="D953" s="1">
        <v>668</v>
      </c>
      <c r="E953" s="1">
        <v>296</v>
      </c>
      <c r="F953" s="1">
        <v>337</v>
      </c>
      <c r="G953" s="1">
        <v>1</v>
      </c>
      <c r="H953" s="1">
        <v>11490</v>
      </c>
      <c r="I953" s="1">
        <v>5</v>
      </c>
      <c r="J953" s="1">
        <v>30</v>
      </c>
      <c r="K953" s="1">
        <v>308</v>
      </c>
      <c r="L953" s="1">
        <v>317</v>
      </c>
      <c r="M953" s="1">
        <v>15</v>
      </c>
      <c r="N953">
        <f>VLOOKUP(A953,vlookup_table!$A:$G,2,FALSE)</f>
        <v>1</v>
      </c>
      <c r="O953" t="str">
        <f>VLOOKUP(A953,vlookup_table!$A:$G,3,FALSE)</f>
        <v>NC</v>
      </c>
      <c r="P953">
        <f>VLOOKUP(A953,vlookup_table!$A:$G,4,FALSE)</f>
        <v>3801</v>
      </c>
      <c r="Q953" t="str">
        <f>VLOOKUP(A953,vlookup_table!$A:$G,5,FALSE)</f>
        <v>T2</v>
      </c>
      <c r="R953" t="str">
        <f>VLOOKUP(A953,vlookup_table!$A:$G,6,FALSE)</f>
        <v>M</v>
      </c>
      <c r="S953">
        <f>VLOOKUP(A953,vlookup_table!$A:$G,7,FALSE)</f>
        <v>15</v>
      </c>
      <c r="T953">
        <f t="shared" si="28"/>
        <v>58</v>
      </c>
      <c r="U953" t="str">
        <f t="shared" si="29"/>
        <v>Pueblo</v>
      </c>
    </row>
    <row r="954" spans="1:21" ht="16" x14ac:dyDescent="0.4">
      <c r="A954" s="4">
        <v>58725</v>
      </c>
      <c r="B954" s="1" t="s">
        <v>53</v>
      </c>
      <c r="C954" s="1" t="s">
        <v>14</v>
      </c>
      <c r="D954" s="1">
        <v>313</v>
      </c>
      <c r="E954" s="1">
        <v>142</v>
      </c>
      <c r="F954" s="1">
        <v>251</v>
      </c>
      <c r="G954" s="1">
        <v>0</v>
      </c>
      <c r="H954" s="1">
        <v>9665</v>
      </c>
      <c r="I954" s="1">
        <v>0</v>
      </c>
      <c r="J954" s="1">
        <v>87</v>
      </c>
      <c r="K954" s="1">
        <v>165</v>
      </c>
      <c r="L954" s="1">
        <v>210</v>
      </c>
      <c r="M954" s="1">
        <v>15</v>
      </c>
      <c r="N954">
        <f>VLOOKUP(A954,vlookup_table!$A:$G,2,FALSE)</f>
        <v>1</v>
      </c>
      <c r="O954" t="str">
        <f>VLOOKUP(A954,vlookup_table!$A:$G,3,FALSE)</f>
        <v>KY</v>
      </c>
      <c r="P954">
        <f>VLOOKUP(A954,vlookup_table!$A:$G,4,FALSE)</f>
        <v>1811</v>
      </c>
      <c r="Q954" t="str">
        <f>VLOOKUP(A954,vlookup_table!$A:$G,5,FALSE)</f>
        <v>R2</v>
      </c>
      <c r="R954" t="str">
        <f>VLOOKUP(A954,vlookup_table!$A:$G,6,FALSE)</f>
        <v>M</v>
      </c>
      <c r="S954">
        <f>VLOOKUP(A954,vlookup_table!$A:$G,7,FALSE)</f>
        <v>15</v>
      </c>
      <c r="T954">
        <f t="shared" si="28"/>
        <v>78</v>
      </c>
      <c r="U954" t="str">
        <f t="shared" si="29"/>
        <v>Rural</v>
      </c>
    </row>
    <row r="955" spans="1:21" ht="16" x14ac:dyDescent="0.4">
      <c r="A955" s="4">
        <v>124104</v>
      </c>
      <c r="B955" s="1" t="s">
        <v>20</v>
      </c>
      <c r="C955" s="1" t="s">
        <v>14</v>
      </c>
      <c r="D955" s="1">
        <v>427</v>
      </c>
      <c r="E955" s="1">
        <v>455</v>
      </c>
      <c r="F955" s="1">
        <v>580</v>
      </c>
      <c r="G955" s="1">
        <v>0</v>
      </c>
      <c r="H955" s="1">
        <v>18517</v>
      </c>
      <c r="I955" s="1">
        <v>3</v>
      </c>
      <c r="J955" s="1">
        <v>64</v>
      </c>
      <c r="K955" s="1">
        <v>464</v>
      </c>
      <c r="L955" s="1">
        <v>538</v>
      </c>
      <c r="M955" s="1">
        <v>15.25</v>
      </c>
      <c r="N955">
        <f>VLOOKUP(A955,vlookup_table!$A:$G,2,FALSE)</f>
        <v>1</v>
      </c>
      <c r="O955" t="str">
        <f>VLOOKUP(A955,vlookup_table!$A:$G,3,FALSE)</f>
        <v>TX</v>
      </c>
      <c r="P955">
        <f>VLOOKUP(A955,vlookup_table!$A:$G,4,FALSE)</f>
        <v>5002</v>
      </c>
      <c r="Q955" t="str">
        <f>VLOOKUP(A955,vlookup_table!$A:$G,5,FALSE)</f>
        <v>C2</v>
      </c>
      <c r="R955" t="str">
        <f>VLOOKUP(A955,vlookup_table!$A:$G,6,FALSE)</f>
        <v>M</v>
      </c>
      <c r="S955">
        <f>VLOOKUP(A955,vlookup_table!$A:$G,7,FALSE)</f>
        <v>23</v>
      </c>
      <c r="T955">
        <f t="shared" si="28"/>
        <v>46</v>
      </c>
      <c r="U955" t="str">
        <f t="shared" si="29"/>
        <v>Ciudad</v>
      </c>
    </row>
    <row r="956" spans="1:21" ht="16" x14ac:dyDescent="0.4">
      <c r="A956" s="4">
        <v>65136</v>
      </c>
      <c r="B956" s="1" t="s">
        <v>26</v>
      </c>
      <c r="C956" s="1" t="s">
        <v>17</v>
      </c>
      <c r="D956" s="1">
        <v>886</v>
      </c>
      <c r="E956" s="1">
        <v>490</v>
      </c>
      <c r="F956" s="1">
        <v>606</v>
      </c>
      <c r="G956" s="1">
        <v>2</v>
      </c>
      <c r="H956" s="1">
        <v>17633</v>
      </c>
      <c r="I956" s="1">
        <v>5</v>
      </c>
      <c r="J956" s="1">
        <v>83</v>
      </c>
      <c r="K956" s="1">
        <v>536</v>
      </c>
      <c r="L956" s="1">
        <v>570</v>
      </c>
      <c r="M956" s="1">
        <v>42.5</v>
      </c>
      <c r="N956">
        <f>VLOOKUP(A956,vlookup_table!$A:$G,2,FALSE)</f>
        <v>0</v>
      </c>
      <c r="O956" t="str">
        <f>VLOOKUP(A956,vlookup_table!$A:$G,3,FALSE)</f>
        <v>MI</v>
      </c>
      <c r="P956">
        <f>VLOOKUP(A956,vlookup_table!$A:$G,4,FALSE)</f>
        <v>3501</v>
      </c>
      <c r="Q956" t="str">
        <f>VLOOKUP(A956,vlookup_table!$A:$G,5,FALSE)</f>
        <v>T1</v>
      </c>
      <c r="R956" t="str">
        <f>VLOOKUP(A956,vlookup_table!$A:$G,6,FALSE)</f>
        <v>F</v>
      </c>
      <c r="S956">
        <f>VLOOKUP(A956,vlookup_table!$A:$G,7,FALSE)</f>
        <v>20</v>
      </c>
      <c r="T956">
        <f t="shared" si="28"/>
        <v>61</v>
      </c>
      <c r="U956" t="str">
        <f t="shared" si="29"/>
        <v>Pueblo</v>
      </c>
    </row>
    <row r="957" spans="1:21" ht="16" x14ac:dyDescent="0.4">
      <c r="A957" s="4">
        <v>132558</v>
      </c>
      <c r="B957" s="1" t="s">
        <v>58</v>
      </c>
      <c r="C957" s="1" t="s">
        <v>14</v>
      </c>
      <c r="D957" s="1">
        <v>1034</v>
      </c>
      <c r="E957" s="1">
        <v>511</v>
      </c>
      <c r="F957" s="1">
        <v>610</v>
      </c>
      <c r="G957" s="1">
        <v>0</v>
      </c>
      <c r="H957" s="1">
        <v>30595</v>
      </c>
      <c r="I957" s="1">
        <v>0</v>
      </c>
      <c r="J957" s="1">
        <v>33</v>
      </c>
      <c r="K957" s="1">
        <v>511</v>
      </c>
      <c r="L957" s="1">
        <v>656</v>
      </c>
      <c r="M957" s="1">
        <v>15</v>
      </c>
      <c r="N957">
        <f>VLOOKUP(A957,vlookup_table!$A:$G,2,FALSE)</f>
        <v>1</v>
      </c>
      <c r="O957" t="str">
        <f>VLOOKUP(A957,vlookup_table!$A:$G,3,FALSE)</f>
        <v>WY</v>
      </c>
      <c r="P957">
        <f>VLOOKUP(A957,vlookup_table!$A:$G,4,FALSE)</f>
        <v>4201</v>
      </c>
      <c r="Q957" t="str">
        <f>VLOOKUP(A957,vlookup_table!$A:$G,5,FALSE)</f>
        <v>T1</v>
      </c>
      <c r="R957" t="str">
        <f>VLOOKUP(A957,vlookup_table!$A:$G,6,FALSE)</f>
        <v>M</v>
      </c>
      <c r="S957">
        <f>VLOOKUP(A957,vlookup_table!$A:$G,7,FALSE)</f>
        <v>15</v>
      </c>
      <c r="T957">
        <f t="shared" si="28"/>
        <v>54</v>
      </c>
      <c r="U957" t="str">
        <f t="shared" si="29"/>
        <v>Pueblo</v>
      </c>
    </row>
    <row r="958" spans="1:21" ht="16" x14ac:dyDescent="0.4">
      <c r="A958" s="4">
        <v>82248</v>
      </c>
      <c r="B958" s="1" t="s">
        <v>52</v>
      </c>
      <c r="C958" s="1" t="s">
        <v>14</v>
      </c>
      <c r="D958" s="1">
        <v>480</v>
      </c>
      <c r="E958" s="1">
        <v>157</v>
      </c>
      <c r="F958" s="1">
        <v>246</v>
      </c>
      <c r="G958" s="1">
        <v>0</v>
      </c>
      <c r="H958" s="1">
        <v>9020</v>
      </c>
      <c r="I958" s="1">
        <v>1</v>
      </c>
      <c r="J958" s="1">
        <v>80</v>
      </c>
      <c r="K958" s="1">
        <v>184</v>
      </c>
      <c r="L958" s="1">
        <v>214</v>
      </c>
      <c r="M958" s="1">
        <v>5.9166666670000003</v>
      </c>
      <c r="N958">
        <f>VLOOKUP(A958,vlookup_table!$A:$G,2,FALSE)</f>
        <v>0</v>
      </c>
      <c r="O958" t="str">
        <f>VLOOKUP(A958,vlookup_table!$A:$G,3,FALSE)</f>
        <v>MN</v>
      </c>
      <c r="P958">
        <f>VLOOKUP(A958,vlookup_table!$A:$G,4,FALSE)</f>
        <v>2205</v>
      </c>
      <c r="Q958" t="str">
        <f>VLOOKUP(A958,vlookup_table!$A:$G,5,FALSE)</f>
        <v>R2</v>
      </c>
      <c r="R958" t="str">
        <f>VLOOKUP(A958,vlookup_table!$A:$G,6,FALSE)</f>
        <v>M</v>
      </c>
      <c r="S958">
        <f>VLOOKUP(A958,vlookup_table!$A:$G,7,FALSE)</f>
        <v>8</v>
      </c>
      <c r="T958">
        <f t="shared" si="28"/>
        <v>74</v>
      </c>
      <c r="U958" t="str">
        <f t="shared" si="29"/>
        <v>Rural</v>
      </c>
    </row>
    <row r="959" spans="1:21" ht="16" x14ac:dyDescent="0.4">
      <c r="A959" s="4">
        <v>38944</v>
      </c>
      <c r="B959" s="1" t="s">
        <v>13</v>
      </c>
      <c r="C959" s="1" t="s">
        <v>14</v>
      </c>
      <c r="D959" s="1">
        <v>809</v>
      </c>
      <c r="E959" s="1">
        <v>303</v>
      </c>
      <c r="F959" s="1">
        <v>361</v>
      </c>
      <c r="G959" s="1">
        <v>0</v>
      </c>
      <c r="H959" s="1">
        <v>11303</v>
      </c>
      <c r="I959" s="1">
        <v>19</v>
      </c>
      <c r="J959" s="1">
        <v>27</v>
      </c>
      <c r="K959" s="1">
        <v>319</v>
      </c>
      <c r="L959" s="1">
        <v>342</v>
      </c>
      <c r="M959" s="1">
        <v>16.333333329999999</v>
      </c>
      <c r="N959">
        <f>VLOOKUP(A959,vlookup_table!$A:$G,2,FALSE)</f>
        <v>2</v>
      </c>
      <c r="O959" t="str">
        <f>VLOOKUP(A959,vlookup_table!$A:$G,3,FALSE)</f>
        <v>FL</v>
      </c>
      <c r="P959">
        <f>VLOOKUP(A959,vlookup_table!$A:$G,4,FALSE)</f>
        <v>5701</v>
      </c>
      <c r="Q959" t="str">
        <f>VLOOKUP(A959,vlookup_table!$A:$G,5,FALSE)</f>
        <v>U3</v>
      </c>
      <c r="R959" t="str">
        <f>VLOOKUP(A959,vlookup_table!$A:$G,6,FALSE)</f>
        <v>M</v>
      </c>
      <c r="S959">
        <f>VLOOKUP(A959,vlookup_table!$A:$G,7,FALSE)</f>
        <v>25</v>
      </c>
      <c r="T959">
        <f t="shared" si="28"/>
        <v>39</v>
      </c>
      <c r="U959" t="str">
        <f t="shared" si="29"/>
        <v>Urbano</v>
      </c>
    </row>
    <row r="960" spans="1:21" ht="16" x14ac:dyDescent="0.4">
      <c r="A960" s="4">
        <v>47111</v>
      </c>
      <c r="B960" s="1" t="s">
        <v>40</v>
      </c>
      <c r="C960" s="1" t="s">
        <v>14</v>
      </c>
      <c r="D960" s="1">
        <v>453</v>
      </c>
      <c r="E960" s="1">
        <v>219</v>
      </c>
      <c r="F960" s="1">
        <v>299</v>
      </c>
      <c r="G960" s="1">
        <v>0</v>
      </c>
      <c r="H960" s="1">
        <v>9654</v>
      </c>
      <c r="I960" s="1">
        <v>0</v>
      </c>
      <c r="J960" s="1">
        <v>90</v>
      </c>
      <c r="K960" s="1">
        <v>264</v>
      </c>
      <c r="L960" s="1">
        <v>263</v>
      </c>
      <c r="M960" s="1">
        <v>3.782608696</v>
      </c>
      <c r="N960">
        <f>VLOOKUP(A960,vlookup_table!$A:$G,2,FALSE)</f>
        <v>0</v>
      </c>
      <c r="O960" t="str">
        <f>VLOOKUP(A960,vlookup_table!$A:$G,3,FALSE)</f>
        <v>AL</v>
      </c>
      <c r="P960">
        <f>VLOOKUP(A960,vlookup_table!$A:$G,4,FALSE)</f>
        <v>2401</v>
      </c>
      <c r="Q960" t="str">
        <f>VLOOKUP(A960,vlookup_table!$A:$G,5,FALSE)</f>
        <v>R3</v>
      </c>
      <c r="R960" t="str">
        <f>VLOOKUP(A960,vlookup_table!$A:$G,6,FALSE)</f>
        <v>M</v>
      </c>
      <c r="S960">
        <f>VLOOKUP(A960,vlookup_table!$A:$G,7,FALSE)</f>
        <v>5</v>
      </c>
      <c r="T960">
        <f t="shared" si="28"/>
        <v>72</v>
      </c>
      <c r="U960" t="str">
        <f t="shared" si="29"/>
        <v>Rural</v>
      </c>
    </row>
    <row r="961" spans="1:21" ht="16" x14ac:dyDescent="0.4">
      <c r="A961" s="4">
        <v>165620</v>
      </c>
      <c r="B961" s="1" t="s">
        <v>21</v>
      </c>
      <c r="C961" s="1" t="s">
        <v>27</v>
      </c>
      <c r="D961" s="1">
        <v>1609</v>
      </c>
      <c r="E961" s="1">
        <v>346</v>
      </c>
      <c r="F961" s="1">
        <v>435</v>
      </c>
      <c r="G961" s="1">
        <v>15</v>
      </c>
      <c r="H961" s="1">
        <v>16568</v>
      </c>
      <c r="I961" s="1">
        <v>11</v>
      </c>
      <c r="J961" s="1">
        <v>60</v>
      </c>
      <c r="K961" s="1">
        <v>435</v>
      </c>
      <c r="L961" s="1">
        <v>404</v>
      </c>
      <c r="M961" s="1">
        <v>3.1521739129999999</v>
      </c>
      <c r="N961">
        <f>VLOOKUP(A961,vlookup_table!$A:$G,2,FALSE)</f>
        <v>0</v>
      </c>
      <c r="O961" t="str">
        <f>VLOOKUP(A961,vlookup_table!$A:$G,3,FALSE)</f>
        <v>CA</v>
      </c>
      <c r="P961">
        <f>VLOOKUP(A961,vlookup_table!$A:$G,4,FALSE)</f>
        <v>2801</v>
      </c>
      <c r="Q961" t="str">
        <f>VLOOKUP(A961,vlookup_table!$A:$G,5,FALSE)</f>
        <v>U3</v>
      </c>
      <c r="R961" t="str">
        <f>VLOOKUP(A961,vlookup_table!$A:$G,6,FALSE)</f>
        <v>U</v>
      </c>
      <c r="S961">
        <f>VLOOKUP(A961,vlookup_table!$A:$G,7,FALSE)</f>
        <v>4</v>
      </c>
      <c r="T961">
        <f t="shared" si="28"/>
        <v>68</v>
      </c>
      <c r="U961" t="str">
        <f t="shared" si="29"/>
        <v>Urbano</v>
      </c>
    </row>
    <row r="962" spans="1:21" ht="16" x14ac:dyDescent="0.4">
      <c r="A962" s="4">
        <v>59561</v>
      </c>
      <c r="B962" s="1" t="s">
        <v>30</v>
      </c>
      <c r="C962" s="1" t="s">
        <v>14</v>
      </c>
      <c r="D962" s="1">
        <v>438</v>
      </c>
      <c r="E962" s="1">
        <v>275</v>
      </c>
      <c r="F962" s="1">
        <v>304</v>
      </c>
      <c r="G962" s="1">
        <v>0</v>
      </c>
      <c r="H962" s="1">
        <v>10632</v>
      </c>
      <c r="I962" s="1">
        <v>0</v>
      </c>
      <c r="J962" s="1">
        <v>75</v>
      </c>
      <c r="K962" s="1">
        <v>324</v>
      </c>
      <c r="L962" s="1">
        <v>282</v>
      </c>
      <c r="M962" s="1">
        <v>8.1999999999999993</v>
      </c>
      <c r="N962">
        <f>VLOOKUP(A962,vlookup_table!$A:$G,2,FALSE)</f>
        <v>0</v>
      </c>
      <c r="O962" t="str">
        <f>VLOOKUP(A962,vlookup_table!$A:$G,3,FALSE)</f>
        <v>IN</v>
      </c>
      <c r="P962">
        <f>VLOOKUP(A962,vlookup_table!$A:$G,4,FALSE)</f>
        <v>6101</v>
      </c>
      <c r="Q962" t="str">
        <f>VLOOKUP(A962,vlookup_table!$A:$G,5,FALSE)</f>
        <v>R3</v>
      </c>
      <c r="R962" t="str">
        <f>VLOOKUP(A962,vlookup_table!$A:$G,6,FALSE)</f>
        <v>M</v>
      </c>
      <c r="S962">
        <f>VLOOKUP(A962,vlookup_table!$A:$G,7,FALSE)</f>
        <v>9</v>
      </c>
      <c r="T962">
        <f t="shared" si="28"/>
        <v>35</v>
      </c>
      <c r="U962" t="str">
        <f t="shared" si="29"/>
        <v>Rural</v>
      </c>
    </row>
    <row r="963" spans="1:21" ht="16" x14ac:dyDescent="0.4">
      <c r="A963" s="4">
        <v>27423</v>
      </c>
      <c r="B963" s="1" t="s">
        <v>36</v>
      </c>
      <c r="C963" s="1" t="s">
        <v>17</v>
      </c>
      <c r="D963" s="1">
        <v>442</v>
      </c>
      <c r="E963" s="1">
        <v>218</v>
      </c>
      <c r="F963" s="1">
        <v>286</v>
      </c>
      <c r="G963" s="1">
        <v>0</v>
      </c>
      <c r="H963" s="1">
        <v>9399</v>
      </c>
      <c r="I963" s="1">
        <v>0</v>
      </c>
      <c r="J963" s="1">
        <v>78</v>
      </c>
      <c r="K963" s="1">
        <v>253</v>
      </c>
      <c r="L963" s="1">
        <v>257</v>
      </c>
      <c r="M963" s="1">
        <v>9.1666666669999994</v>
      </c>
      <c r="N963">
        <f>VLOOKUP(A963,vlookup_table!$A:$G,2,FALSE)</f>
        <v>2</v>
      </c>
      <c r="O963" t="str">
        <f>VLOOKUP(A963,vlookup_table!$A:$G,3,FALSE)</f>
        <v>GA</v>
      </c>
      <c r="P963">
        <f>VLOOKUP(A963,vlookup_table!$A:$G,4,FALSE)</f>
        <v>0</v>
      </c>
      <c r="Q963" t="str">
        <f>VLOOKUP(A963,vlookup_table!$A:$G,5,FALSE)</f>
        <v>R3</v>
      </c>
      <c r="R963" t="str">
        <f>VLOOKUP(A963,vlookup_table!$A:$G,6,FALSE)</f>
        <v>F</v>
      </c>
      <c r="S963">
        <f>VLOOKUP(A963,vlookup_table!$A:$G,7,FALSE)</f>
        <v>5</v>
      </c>
      <c r="T963">
        <f t="shared" ref="T963:T1026" si="30">97-LEFT(P963,2)-IF(RIGHT(P963,2)&gt;6,1,0)</f>
        <v>96</v>
      </c>
      <c r="U963" t="str">
        <f t="shared" ref="U963:U1026" si="31">IF(LEFT(Q963,1)="C","Ciudad",IF(LEFT(Q963,1)="T","Pueblo",IF(LEFT(Q963,1)="R","Rural",IF(LEFT(Q963,1)="S","Suburbano",IF(LEFT(Q963,1)="U","Urbano","")))))</f>
        <v>Rural</v>
      </c>
    </row>
    <row r="964" spans="1:21" ht="16" x14ac:dyDescent="0.4">
      <c r="A964" s="4">
        <v>13484</v>
      </c>
      <c r="B964" s="1" t="s">
        <v>13</v>
      </c>
      <c r="C964" s="1" t="s">
        <v>14</v>
      </c>
      <c r="D964" s="1">
        <v>1034</v>
      </c>
      <c r="E964" s="1">
        <v>488</v>
      </c>
      <c r="F964" s="1">
        <v>555</v>
      </c>
      <c r="G964" s="1">
        <v>1</v>
      </c>
      <c r="H964" s="1">
        <v>19446</v>
      </c>
      <c r="I964" s="1">
        <v>7</v>
      </c>
      <c r="J964" s="1">
        <v>12</v>
      </c>
      <c r="K964" s="1">
        <v>524</v>
      </c>
      <c r="L964" s="1">
        <v>515</v>
      </c>
      <c r="M964" s="1">
        <v>15</v>
      </c>
      <c r="N964">
        <f>VLOOKUP(A964,vlookup_table!$A:$G,2,FALSE)</f>
        <v>1</v>
      </c>
      <c r="O964" t="str">
        <f>VLOOKUP(A964,vlookup_table!$A:$G,3,FALSE)</f>
        <v>FL</v>
      </c>
      <c r="P964">
        <f>VLOOKUP(A964,vlookup_table!$A:$G,4,FALSE)</f>
        <v>0</v>
      </c>
      <c r="Q964" t="str">
        <f>VLOOKUP(A964,vlookup_table!$A:$G,5,FALSE)</f>
        <v>C1</v>
      </c>
      <c r="R964" t="str">
        <f>VLOOKUP(A964,vlookup_table!$A:$G,6,FALSE)</f>
        <v>M</v>
      </c>
      <c r="S964">
        <f>VLOOKUP(A964,vlookup_table!$A:$G,7,FALSE)</f>
        <v>11</v>
      </c>
      <c r="T964">
        <f t="shared" si="30"/>
        <v>96</v>
      </c>
      <c r="U964" t="str">
        <f t="shared" si="31"/>
        <v>Ciudad</v>
      </c>
    </row>
    <row r="965" spans="1:21" ht="16" x14ac:dyDescent="0.4">
      <c r="A965" s="4">
        <v>133491</v>
      </c>
      <c r="B965" s="1" t="s">
        <v>38</v>
      </c>
      <c r="C965" s="1" t="s">
        <v>14</v>
      </c>
      <c r="D965" s="1">
        <v>679</v>
      </c>
      <c r="E965" s="1">
        <v>298</v>
      </c>
      <c r="F965" s="1">
        <v>360</v>
      </c>
      <c r="G965" s="1">
        <v>1</v>
      </c>
      <c r="H965" s="1">
        <v>10779</v>
      </c>
      <c r="I965" s="1">
        <v>3</v>
      </c>
      <c r="J965" s="1">
        <v>37</v>
      </c>
      <c r="K965" s="1">
        <v>327</v>
      </c>
      <c r="L965" s="1">
        <v>332</v>
      </c>
      <c r="M965" s="1">
        <v>46.333333330000002</v>
      </c>
      <c r="N965">
        <f>VLOOKUP(A965,vlookup_table!$A:$G,2,FALSE)</f>
        <v>1002</v>
      </c>
      <c r="O965" t="str">
        <f>VLOOKUP(A965,vlookup_table!$A:$G,3,FALSE)</f>
        <v>ID</v>
      </c>
      <c r="P965">
        <f>VLOOKUP(A965,vlookup_table!$A:$G,4,FALSE)</f>
        <v>0</v>
      </c>
      <c r="Q965" t="str">
        <f>VLOOKUP(A965,vlookup_table!$A:$G,5,FALSE)</f>
        <v>T2</v>
      </c>
      <c r="R965" t="str">
        <f>VLOOKUP(A965,vlookup_table!$A:$G,6,FALSE)</f>
        <v>M</v>
      </c>
      <c r="S965">
        <f>VLOOKUP(A965,vlookup_table!$A:$G,7,FALSE)</f>
        <v>100</v>
      </c>
      <c r="T965">
        <f t="shared" si="30"/>
        <v>96</v>
      </c>
      <c r="U965" t="str">
        <f t="shared" si="31"/>
        <v>Pueblo</v>
      </c>
    </row>
    <row r="966" spans="1:21" ht="16" x14ac:dyDescent="0.4">
      <c r="A966" s="4">
        <v>63000</v>
      </c>
      <c r="B966" s="1" t="s">
        <v>30</v>
      </c>
      <c r="C966" s="1"/>
      <c r="D966" s="1">
        <v>351</v>
      </c>
      <c r="E966" s="1">
        <v>192</v>
      </c>
      <c r="F966" s="1">
        <v>235</v>
      </c>
      <c r="G966" s="1">
        <v>0</v>
      </c>
      <c r="H966" s="1">
        <v>8757</v>
      </c>
      <c r="I966" s="1">
        <v>0</v>
      </c>
      <c r="J966" s="1">
        <v>79</v>
      </c>
      <c r="K966" s="1">
        <v>214</v>
      </c>
      <c r="L966" s="1">
        <v>212</v>
      </c>
      <c r="M966" s="1">
        <v>20</v>
      </c>
      <c r="N966">
        <f>VLOOKUP(A966,vlookup_table!$A:$G,2,FALSE)</f>
        <v>0</v>
      </c>
      <c r="O966" t="str">
        <f>VLOOKUP(A966,vlookup_table!$A:$G,3,FALSE)</f>
        <v>IN</v>
      </c>
      <c r="P966">
        <f>VLOOKUP(A966,vlookup_table!$A:$G,4,FALSE)</f>
        <v>0</v>
      </c>
      <c r="Q966" t="str">
        <f>VLOOKUP(A966,vlookup_table!$A:$G,5,FALSE)</f>
        <v>T3</v>
      </c>
      <c r="R966" t="str">
        <f>VLOOKUP(A966,vlookup_table!$A:$G,6,FALSE)</f>
        <v/>
      </c>
      <c r="S966">
        <f>VLOOKUP(A966,vlookup_table!$A:$G,7,FALSE)</f>
        <v>25</v>
      </c>
      <c r="T966">
        <f t="shared" si="30"/>
        <v>96</v>
      </c>
      <c r="U966" t="str">
        <f t="shared" si="31"/>
        <v>Pueblo</v>
      </c>
    </row>
    <row r="967" spans="1:21" ht="16" x14ac:dyDescent="0.4">
      <c r="A967" s="4">
        <v>187284</v>
      </c>
      <c r="B967" s="1" t="s">
        <v>44</v>
      </c>
      <c r="C967" s="1" t="s">
        <v>17</v>
      </c>
      <c r="D967" s="1">
        <v>614</v>
      </c>
      <c r="E967" s="1">
        <v>222</v>
      </c>
      <c r="F967" s="1">
        <v>363</v>
      </c>
      <c r="G967" s="1">
        <v>0</v>
      </c>
      <c r="H967" s="1">
        <v>13840</v>
      </c>
      <c r="I967" s="1">
        <v>1</v>
      </c>
      <c r="J967" s="1">
        <v>69</v>
      </c>
      <c r="K967" s="1">
        <v>317</v>
      </c>
      <c r="L967" s="1">
        <v>305</v>
      </c>
      <c r="M967" s="1">
        <v>8.6666666669999994</v>
      </c>
      <c r="N967">
        <f>VLOOKUP(A967,vlookup_table!$A:$G,2,FALSE)</f>
        <v>0</v>
      </c>
      <c r="O967" t="str">
        <f>VLOOKUP(A967,vlookup_table!$A:$G,3,FALSE)</f>
        <v>IA</v>
      </c>
      <c r="P967">
        <f>VLOOKUP(A967,vlookup_table!$A:$G,4,FALSE)</f>
        <v>0</v>
      </c>
      <c r="Q967" t="str">
        <f>VLOOKUP(A967,vlookup_table!$A:$G,5,FALSE)</f>
        <v>C2</v>
      </c>
      <c r="R967" t="str">
        <f>VLOOKUP(A967,vlookup_table!$A:$G,6,FALSE)</f>
        <v>F</v>
      </c>
      <c r="S967">
        <f>VLOOKUP(A967,vlookup_table!$A:$G,7,FALSE)</f>
        <v>10</v>
      </c>
      <c r="T967">
        <f t="shared" si="30"/>
        <v>96</v>
      </c>
      <c r="U967" t="str">
        <f t="shared" si="31"/>
        <v>Ciudad</v>
      </c>
    </row>
    <row r="968" spans="1:21" ht="16" x14ac:dyDescent="0.4">
      <c r="A968" s="4">
        <v>131423</v>
      </c>
      <c r="B968" s="1" t="s">
        <v>45</v>
      </c>
      <c r="C968" s="1" t="s">
        <v>14</v>
      </c>
      <c r="D968" s="1">
        <v>881</v>
      </c>
      <c r="E968" s="1">
        <v>327</v>
      </c>
      <c r="F968" s="1">
        <v>382</v>
      </c>
      <c r="G968" s="1">
        <v>1</v>
      </c>
      <c r="H968" s="1">
        <v>12204</v>
      </c>
      <c r="I968" s="1">
        <v>5</v>
      </c>
      <c r="J968" s="1">
        <v>33</v>
      </c>
      <c r="K968" s="1">
        <v>332</v>
      </c>
      <c r="L968" s="1">
        <v>375</v>
      </c>
      <c r="M968" s="1">
        <v>14.8</v>
      </c>
      <c r="N968">
        <f>VLOOKUP(A968,vlookup_table!$A:$G,2,FALSE)</f>
        <v>1</v>
      </c>
      <c r="O968" t="str">
        <f>VLOOKUP(A968,vlookup_table!$A:$G,3,FALSE)</f>
        <v>CO</v>
      </c>
      <c r="P968">
        <f>VLOOKUP(A968,vlookup_table!$A:$G,4,FALSE)</f>
        <v>4812</v>
      </c>
      <c r="Q968" t="str">
        <f>VLOOKUP(A968,vlookup_table!$A:$G,5,FALSE)</f>
        <v>R2</v>
      </c>
      <c r="R968" t="str">
        <f>VLOOKUP(A968,vlookup_table!$A:$G,6,FALSE)</f>
        <v>M</v>
      </c>
      <c r="S968">
        <f>VLOOKUP(A968,vlookup_table!$A:$G,7,FALSE)</f>
        <v>25</v>
      </c>
      <c r="T968">
        <f t="shared" si="30"/>
        <v>48</v>
      </c>
      <c r="U968" t="str">
        <f t="shared" si="31"/>
        <v>Rural</v>
      </c>
    </row>
    <row r="969" spans="1:21" ht="16" x14ac:dyDescent="0.4">
      <c r="A969" s="4">
        <v>22942</v>
      </c>
      <c r="B969" s="1" t="s">
        <v>43</v>
      </c>
      <c r="C969" s="1" t="s">
        <v>17</v>
      </c>
      <c r="D969" s="1">
        <v>616</v>
      </c>
      <c r="E969" s="1">
        <v>324</v>
      </c>
      <c r="F969" s="1">
        <v>361</v>
      </c>
      <c r="G969" s="1">
        <v>0</v>
      </c>
      <c r="H969" s="1">
        <v>15746</v>
      </c>
      <c r="I969" s="1">
        <v>4</v>
      </c>
      <c r="J969" s="1">
        <v>51</v>
      </c>
      <c r="K969" s="1">
        <v>334</v>
      </c>
      <c r="L969" s="1">
        <v>348</v>
      </c>
      <c r="M969" s="1">
        <v>8.5</v>
      </c>
      <c r="N969">
        <f>VLOOKUP(A969,vlookup_table!$A:$G,2,FALSE)</f>
        <v>0</v>
      </c>
      <c r="O969" t="str">
        <f>VLOOKUP(A969,vlookup_table!$A:$G,3,FALSE)</f>
        <v>SC</v>
      </c>
      <c r="P969">
        <f>VLOOKUP(A969,vlookup_table!$A:$G,4,FALSE)</f>
        <v>2901</v>
      </c>
      <c r="Q969" t="str">
        <f>VLOOKUP(A969,vlookup_table!$A:$G,5,FALSE)</f>
        <v>C2</v>
      </c>
      <c r="R969" t="str">
        <f>VLOOKUP(A969,vlookup_table!$A:$G,6,FALSE)</f>
        <v>F</v>
      </c>
      <c r="S969">
        <f>VLOOKUP(A969,vlookup_table!$A:$G,7,FALSE)</f>
        <v>9</v>
      </c>
      <c r="T969">
        <f t="shared" si="30"/>
        <v>67</v>
      </c>
      <c r="U969" t="str">
        <f t="shared" si="31"/>
        <v>Ciudad</v>
      </c>
    </row>
    <row r="970" spans="1:21" ht="16" x14ac:dyDescent="0.4">
      <c r="A970" s="4">
        <v>85579</v>
      </c>
      <c r="B970" s="1" t="s">
        <v>52</v>
      </c>
      <c r="C970" s="1" t="s">
        <v>17</v>
      </c>
      <c r="D970" s="1">
        <v>522</v>
      </c>
      <c r="E970" s="1">
        <v>227</v>
      </c>
      <c r="F970" s="1">
        <v>347</v>
      </c>
      <c r="G970" s="1">
        <v>0</v>
      </c>
      <c r="H970" s="1">
        <v>12849</v>
      </c>
      <c r="I970" s="1">
        <v>1</v>
      </c>
      <c r="J970" s="1">
        <v>64</v>
      </c>
      <c r="K970" s="1">
        <v>292</v>
      </c>
      <c r="L970" s="1">
        <v>294</v>
      </c>
      <c r="M970" s="1">
        <v>20</v>
      </c>
      <c r="N970">
        <f>VLOOKUP(A970,vlookup_table!$A:$G,2,FALSE)</f>
        <v>0</v>
      </c>
      <c r="O970" t="str">
        <f>VLOOKUP(A970,vlookup_table!$A:$G,3,FALSE)</f>
        <v>MN</v>
      </c>
      <c r="P970">
        <f>VLOOKUP(A970,vlookup_table!$A:$G,4,FALSE)</f>
        <v>2001</v>
      </c>
      <c r="Q970" t="str">
        <f>VLOOKUP(A970,vlookup_table!$A:$G,5,FALSE)</f>
        <v>T2</v>
      </c>
      <c r="R970" t="str">
        <f>VLOOKUP(A970,vlookup_table!$A:$G,6,FALSE)</f>
        <v>F</v>
      </c>
      <c r="S970">
        <f>VLOOKUP(A970,vlookup_table!$A:$G,7,FALSE)</f>
        <v>20</v>
      </c>
      <c r="T970">
        <f t="shared" si="30"/>
        <v>76</v>
      </c>
      <c r="U970" t="str">
        <f t="shared" si="31"/>
        <v>Pueblo</v>
      </c>
    </row>
    <row r="971" spans="1:21" ht="16" x14ac:dyDescent="0.4">
      <c r="A971" s="4">
        <v>3009</v>
      </c>
      <c r="B971" s="1" t="s">
        <v>21</v>
      </c>
      <c r="C971" s="1" t="s">
        <v>17</v>
      </c>
      <c r="D971" s="1">
        <v>1184</v>
      </c>
      <c r="E971" s="1">
        <v>324</v>
      </c>
      <c r="F971" s="1">
        <v>368</v>
      </c>
      <c r="G971" s="1">
        <v>0</v>
      </c>
      <c r="H971" s="1">
        <v>13817</v>
      </c>
      <c r="I971" s="1">
        <v>9</v>
      </c>
      <c r="J971" s="1">
        <v>55</v>
      </c>
      <c r="K971" s="1">
        <v>341</v>
      </c>
      <c r="L971" s="1">
        <v>352</v>
      </c>
      <c r="M971" s="1">
        <v>9.875</v>
      </c>
      <c r="N971">
        <f>VLOOKUP(A971,vlookup_table!$A:$G,2,FALSE)</f>
        <v>2</v>
      </c>
      <c r="O971" t="str">
        <f>VLOOKUP(A971,vlookup_table!$A:$G,3,FALSE)</f>
        <v>CA</v>
      </c>
      <c r="P971">
        <f>VLOOKUP(A971,vlookup_table!$A:$G,4,FALSE)</f>
        <v>4801</v>
      </c>
      <c r="Q971" t="str">
        <f>VLOOKUP(A971,vlookup_table!$A:$G,5,FALSE)</f>
        <v>U3</v>
      </c>
      <c r="R971" t="str">
        <f>VLOOKUP(A971,vlookup_table!$A:$G,6,FALSE)</f>
        <v>F</v>
      </c>
      <c r="S971">
        <f>VLOOKUP(A971,vlookup_table!$A:$G,7,FALSE)</f>
        <v>20</v>
      </c>
      <c r="T971">
        <f t="shared" si="30"/>
        <v>48</v>
      </c>
      <c r="U971" t="str">
        <f t="shared" si="31"/>
        <v>Urbano</v>
      </c>
    </row>
    <row r="972" spans="1:21" ht="16" x14ac:dyDescent="0.4">
      <c r="A972" s="4">
        <v>105923</v>
      </c>
      <c r="B972" s="1" t="s">
        <v>25</v>
      </c>
      <c r="C972" s="1" t="s">
        <v>17</v>
      </c>
      <c r="D972" s="1">
        <v>481</v>
      </c>
      <c r="E972" s="1">
        <v>322</v>
      </c>
      <c r="F972" s="1">
        <v>352</v>
      </c>
      <c r="G972" s="1">
        <v>0</v>
      </c>
      <c r="H972" s="3">
        <v>10909</v>
      </c>
      <c r="I972" s="1">
        <v>0</v>
      </c>
      <c r="J972" s="1">
        <v>77</v>
      </c>
      <c r="K972" s="1">
        <v>318</v>
      </c>
      <c r="L972" s="1">
        <v>359</v>
      </c>
      <c r="M972" s="1">
        <v>5.8571428570000004</v>
      </c>
      <c r="N972">
        <f>VLOOKUP(A972,vlookup_table!$A:$G,2,FALSE)</f>
        <v>0</v>
      </c>
      <c r="O972" t="str">
        <f>VLOOKUP(A972,vlookup_table!$A:$G,3,FALSE)</f>
        <v>KS</v>
      </c>
      <c r="P972">
        <f>VLOOKUP(A972,vlookup_table!$A:$G,4,FALSE)</f>
        <v>1501</v>
      </c>
      <c r="Q972" t="str">
        <f>VLOOKUP(A972,vlookup_table!$A:$G,5,FALSE)</f>
        <v>S2</v>
      </c>
      <c r="R972" t="str">
        <f>VLOOKUP(A972,vlookup_table!$A:$G,6,FALSE)</f>
        <v>F</v>
      </c>
      <c r="S972">
        <f>VLOOKUP(A972,vlookup_table!$A:$G,7,FALSE)</f>
        <v>7</v>
      </c>
      <c r="T972">
        <f t="shared" si="30"/>
        <v>81</v>
      </c>
      <c r="U972" t="str">
        <f t="shared" si="31"/>
        <v>Suburbano</v>
      </c>
    </row>
    <row r="973" spans="1:21" ht="16" x14ac:dyDescent="0.4">
      <c r="A973" s="4">
        <v>187722</v>
      </c>
      <c r="B973" s="1" t="s">
        <v>26</v>
      </c>
      <c r="C973" s="1" t="s">
        <v>14</v>
      </c>
      <c r="D973" s="1">
        <v>1348</v>
      </c>
      <c r="E973" s="1">
        <v>662</v>
      </c>
      <c r="F973" s="1">
        <v>788</v>
      </c>
      <c r="G973" s="1">
        <v>22</v>
      </c>
      <c r="H973" s="1">
        <v>30766</v>
      </c>
      <c r="I973" s="1">
        <v>4</v>
      </c>
      <c r="J973" s="1">
        <v>65</v>
      </c>
      <c r="K973" s="1">
        <v>712</v>
      </c>
      <c r="L973" s="1">
        <v>752</v>
      </c>
      <c r="M973" s="1">
        <v>6.2</v>
      </c>
      <c r="N973">
        <f>VLOOKUP(A973,vlookup_table!$A:$G,2,FALSE)</f>
        <v>1002</v>
      </c>
      <c r="O973" t="str">
        <f>VLOOKUP(A973,vlookup_table!$A:$G,3,FALSE)</f>
        <v>MI</v>
      </c>
      <c r="P973">
        <f>VLOOKUP(A973,vlookup_table!$A:$G,4,FALSE)</f>
        <v>0</v>
      </c>
      <c r="Q973" t="str">
        <f>VLOOKUP(A973,vlookup_table!$A:$G,5,FALSE)</f>
        <v>T1</v>
      </c>
      <c r="R973" t="str">
        <f>VLOOKUP(A973,vlookup_table!$A:$G,6,FALSE)</f>
        <v>M</v>
      </c>
      <c r="S973">
        <f>VLOOKUP(A973,vlookup_table!$A:$G,7,FALSE)</f>
        <v>7</v>
      </c>
      <c r="T973">
        <f t="shared" si="30"/>
        <v>96</v>
      </c>
      <c r="U973" t="str">
        <f t="shared" si="31"/>
        <v>Pueblo</v>
      </c>
    </row>
    <row r="974" spans="1:21" ht="16" x14ac:dyDescent="0.4">
      <c r="A974" s="4">
        <v>15566</v>
      </c>
      <c r="B974" s="1" t="s">
        <v>18</v>
      </c>
      <c r="C974" s="1" t="s">
        <v>98</v>
      </c>
      <c r="D974" s="1">
        <v>683</v>
      </c>
      <c r="E974" s="1">
        <v>343</v>
      </c>
      <c r="F974" s="1">
        <v>441</v>
      </c>
      <c r="G974" s="1">
        <v>1</v>
      </c>
      <c r="H974" s="1">
        <v>15482</v>
      </c>
      <c r="I974" s="1">
        <v>1</v>
      </c>
      <c r="J974" s="1">
        <v>77</v>
      </c>
      <c r="K974" s="1">
        <v>398</v>
      </c>
      <c r="L974" s="1">
        <v>377</v>
      </c>
      <c r="M974" s="1">
        <v>7.2142857139999998</v>
      </c>
      <c r="N974">
        <f>VLOOKUP(A974,vlookup_table!$A:$G,2,FALSE)</f>
        <v>2</v>
      </c>
      <c r="O974" t="str">
        <f>VLOOKUP(A974,vlookup_table!$A:$G,3,FALSE)</f>
        <v>NC</v>
      </c>
      <c r="P974">
        <f>VLOOKUP(A974,vlookup_table!$A:$G,4,FALSE)</f>
        <v>0</v>
      </c>
      <c r="Q974" t="str">
        <f>VLOOKUP(A974,vlookup_table!$A:$G,5,FALSE)</f>
        <v>R2</v>
      </c>
      <c r="R974" t="str">
        <f>VLOOKUP(A974,vlookup_table!$A:$G,6,FALSE)</f>
        <v>F</v>
      </c>
      <c r="S974">
        <f>VLOOKUP(A974,vlookup_table!$A:$G,7,FALSE)</f>
        <v>10</v>
      </c>
      <c r="T974">
        <f t="shared" si="30"/>
        <v>96</v>
      </c>
      <c r="U974" t="str">
        <f t="shared" si="31"/>
        <v>Rural</v>
      </c>
    </row>
    <row r="975" spans="1:21" ht="16" x14ac:dyDescent="0.4">
      <c r="A975" s="4">
        <v>84745</v>
      </c>
      <c r="B975" s="1" t="s">
        <v>52</v>
      </c>
      <c r="C975" s="1" t="s">
        <v>17</v>
      </c>
      <c r="D975" s="1">
        <v>604</v>
      </c>
      <c r="E975" s="1">
        <v>318</v>
      </c>
      <c r="F975" s="1">
        <v>376</v>
      </c>
      <c r="G975" s="1">
        <v>1</v>
      </c>
      <c r="H975" s="1">
        <v>12097</v>
      </c>
      <c r="I975" s="1">
        <v>1</v>
      </c>
      <c r="J975" s="1">
        <v>78</v>
      </c>
      <c r="K975" s="1">
        <v>338</v>
      </c>
      <c r="L975" s="1">
        <v>356</v>
      </c>
      <c r="M975" s="1">
        <v>6.5909090910000003</v>
      </c>
      <c r="N975">
        <f>VLOOKUP(A975,vlookup_table!$A:$G,2,FALSE)</f>
        <v>0</v>
      </c>
      <c r="O975" t="str">
        <f>VLOOKUP(A975,vlookup_table!$A:$G,3,FALSE)</f>
        <v>MN</v>
      </c>
      <c r="P975">
        <f>VLOOKUP(A975,vlookup_table!$A:$G,4,FALSE)</f>
        <v>1601</v>
      </c>
      <c r="Q975" t="str">
        <f>VLOOKUP(A975,vlookup_table!$A:$G,5,FALSE)</f>
        <v>R2</v>
      </c>
      <c r="R975" t="str">
        <f>VLOOKUP(A975,vlookup_table!$A:$G,6,FALSE)</f>
        <v>F</v>
      </c>
      <c r="S975">
        <f>VLOOKUP(A975,vlookup_table!$A:$G,7,FALSE)</f>
        <v>7</v>
      </c>
      <c r="T975">
        <f t="shared" si="30"/>
        <v>80</v>
      </c>
      <c r="U975" t="str">
        <f t="shared" si="31"/>
        <v>Rural</v>
      </c>
    </row>
    <row r="976" spans="1:21" ht="16" x14ac:dyDescent="0.4">
      <c r="A976" s="4">
        <v>78172</v>
      </c>
      <c r="B976" s="1" t="s">
        <v>32</v>
      </c>
      <c r="C976" s="1" t="s">
        <v>17</v>
      </c>
      <c r="D976" s="1">
        <v>1167</v>
      </c>
      <c r="E976" s="1">
        <v>558</v>
      </c>
      <c r="F976" s="1">
        <v>626</v>
      </c>
      <c r="G976" s="1">
        <v>4</v>
      </c>
      <c r="H976" s="1">
        <v>19797</v>
      </c>
      <c r="I976" s="1">
        <v>4</v>
      </c>
      <c r="J976" s="1">
        <v>71</v>
      </c>
      <c r="K976" s="1">
        <v>576</v>
      </c>
      <c r="L976" s="1">
        <v>597</v>
      </c>
      <c r="M976" s="1">
        <v>15</v>
      </c>
      <c r="N976">
        <f>VLOOKUP(A976,vlookup_table!$A:$G,2,FALSE)</f>
        <v>2</v>
      </c>
      <c r="O976" t="str">
        <f>VLOOKUP(A976,vlookup_table!$A:$G,3,FALSE)</f>
        <v>WI</v>
      </c>
      <c r="P976">
        <f>VLOOKUP(A976,vlookup_table!$A:$G,4,FALSE)</f>
        <v>4401</v>
      </c>
      <c r="Q976" t="str">
        <f>VLOOKUP(A976,vlookup_table!$A:$G,5,FALSE)</f>
        <v>C1</v>
      </c>
      <c r="R976" t="str">
        <f>VLOOKUP(A976,vlookup_table!$A:$G,6,FALSE)</f>
        <v>F</v>
      </c>
      <c r="S976">
        <f>VLOOKUP(A976,vlookup_table!$A:$G,7,FALSE)</f>
        <v>25</v>
      </c>
      <c r="T976">
        <f t="shared" si="30"/>
        <v>52</v>
      </c>
      <c r="U976" t="str">
        <f t="shared" si="31"/>
        <v>Ciudad</v>
      </c>
    </row>
    <row r="977" spans="1:21" ht="16" x14ac:dyDescent="0.4">
      <c r="A977" s="4">
        <v>186334</v>
      </c>
      <c r="B977" s="1" t="s">
        <v>30</v>
      </c>
      <c r="C977" s="1" t="s">
        <v>14</v>
      </c>
      <c r="D977" s="1">
        <v>836</v>
      </c>
      <c r="E977" s="1">
        <v>222</v>
      </c>
      <c r="F977" s="1">
        <v>442</v>
      </c>
      <c r="G977" s="1">
        <v>8</v>
      </c>
      <c r="H977" s="1">
        <v>16007</v>
      </c>
      <c r="I977" s="1">
        <v>0</v>
      </c>
      <c r="J977" s="1">
        <v>78</v>
      </c>
      <c r="K977" s="1">
        <v>431</v>
      </c>
      <c r="L977" s="1">
        <v>347</v>
      </c>
      <c r="M977" s="1">
        <v>8.9473684210000002</v>
      </c>
      <c r="N977">
        <f>VLOOKUP(A977,vlookup_table!$A:$G,2,FALSE)</f>
        <v>1</v>
      </c>
      <c r="O977" t="str">
        <f>VLOOKUP(A977,vlookup_table!$A:$G,3,FALSE)</f>
        <v>IN</v>
      </c>
      <c r="P977">
        <f>VLOOKUP(A977,vlookup_table!$A:$G,4,FALSE)</f>
        <v>1908</v>
      </c>
      <c r="Q977" t="str">
        <f>VLOOKUP(A977,vlookup_table!$A:$G,5,FALSE)</f>
        <v>C3</v>
      </c>
      <c r="R977" t="str">
        <f>VLOOKUP(A977,vlookup_table!$A:$G,6,FALSE)</f>
        <v>M</v>
      </c>
      <c r="S977">
        <f>VLOOKUP(A977,vlookup_table!$A:$G,7,FALSE)</f>
        <v>10</v>
      </c>
      <c r="T977">
        <f t="shared" si="30"/>
        <v>77</v>
      </c>
      <c r="U977" t="str">
        <f t="shared" si="31"/>
        <v>Ciudad</v>
      </c>
    </row>
    <row r="978" spans="1:21" ht="16" x14ac:dyDescent="0.4">
      <c r="A978" s="4">
        <v>170767</v>
      </c>
      <c r="B978" s="1" t="s">
        <v>21</v>
      </c>
      <c r="C978" s="1" t="s">
        <v>17</v>
      </c>
      <c r="D978" s="1">
        <v>1349</v>
      </c>
      <c r="E978" s="1">
        <v>370</v>
      </c>
      <c r="F978" s="1">
        <v>480</v>
      </c>
      <c r="G978" s="1">
        <v>1</v>
      </c>
      <c r="H978" s="1">
        <v>23716</v>
      </c>
      <c r="I978" s="1">
        <v>15</v>
      </c>
      <c r="J978" s="1">
        <v>24</v>
      </c>
      <c r="K978" s="1">
        <v>418</v>
      </c>
      <c r="L978" s="1">
        <v>436</v>
      </c>
      <c r="M978" s="1">
        <v>12.5</v>
      </c>
      <c r="N978">
        <f>VLOOKUP(A978,vlookup_table!$A:$G,2,FALSE)</f>
        <v>0</v>
      </c>
      <c r="O978" t="str">
        <f>VLOOKUP(A978,vlookup_table!$A:$G,3,FALSE)</f>
        <v>CA</v>
      </c>
      <c r="P978">
        <f>VLOOKUP(A978,vlookup_table!$A:$G,4,FALSE)</f>
        <v>2001</v>
      </c>
      <c r="Q978" t="str">
        <f>VLOOKUP(A978,vlookup_table!$A:$G,5,FALSE)</f>
        <v>C1</v>
      </c>
      <c r="R978" t="str">
        <f>VLOOKUP(A978,vlookup_table!$A:$G,6,FALSE)</f>
        <v>F</v>
      </c>
      <c r="S978">
        <f>VLOOKUP(A978,vlookup_table!$A:$G,7,FALSE)</f>
        <v>15</v>
      </c>
      <c r="T978">
        <f t="shared" si="30"/>
        <v>76</v>
      </c>
      <c r="U978" t="str">
        <f t="shared" si="31"/>
        <v>Ciudad</v>
      </c>
    </row>
    <row r="979" spans="1:21" ht="16" x14ac:dyDescent="0.4">
      <c r="A979" s="4">
        <v>149152</v>
      </c>
      <c r="B979" s="1" t="s">
        <v>21</v>
      </c>
      <c r="C979" s="1" t="s">
        <v>14</v>
      </c>
      <c r="D979" s="1">
        <v>4507</v>
      </c>
      <c r="E979" s="1">
        <v>842</v>
      </c>
      <c r="F979" s="1">
        <v>962</v>
      </c>
      <c r="G979" s="1">
        <v>95</v>
      </c>
      <c r="H979" s="1">
        <v>54642</v>
      </c>
      <c r="I979" s="1">
        <v>17</v>
      </c>
      <c r="J979" s="1">
        <v>50</v>
      </c>
      <c r="K979" s="1">
        <v>1004</v>
      </c>
      <c r="L979" s="1">
        <v>893</v>
      </c>
      <c r="M979" s="1">
        <v>20</v>
      </c>
      <c r="N979">
        <f>VLOOKUP(A979,vlookup_table!$A:$G,2,FALSE)</f>
        <v>1</v>
      </c>
      <c r="O979" t="str">
        <f>VLOOKUP(A979,vlookup_table!$A:$G,3,FALSE)</f>
        <v>CA</v>
      </c>
      <c r="P979">
        <f>VLOOKUP(A979,vlookup_table!$A:$G,4,FALSE)</f>
        <v>4401</v>
      </c>
      <c r="Q979" t="str">
        <f>VLOOKUP(A979,vlookup_table!$A:$G,5,FALSE)</f>
        <v>S1</v>
      </c>
      <c r="R979" t="str">
        <f>VLOOKUP(A979,vlookup_table!$A:$G,6,FALSE)</f>
        <v>M</v>
      </c>
      <c r="S979">
        <f>VLOOKUP(A979,vlookup_table!$A:$G,7,FALSE)</f>
        <v>20</v>
      </c>
      <c r="T979">
        <f t="shared" si="30"/>
        <v>52</v>
      </c>
      <c r="U979" t="str">
        <f t="shared" si="31"/>
        <v>Suburbano</v>
      </c>
    </row>
    <row r="980" spans="1:21" ht="16" x14ac:dyDescent="0.4">
      <c r="A980" s="4">
        <v>959</v>
      </c>
      <c r="B980" s="1" t="s">
        <v>44</v>
      </c>
      <c r="C980" s="1" t="s">
        <v>17</v>
      </c>
      <c r="D980" s="1">
        <v>586</v>
      </c>
      <c r="E980" s="1">
        <v>349</v>
      </c>
      <c r="F980" s="1">
        <v>465</v>
      </c>
      <c r="G980" s="1">
        <v>1</v>
      </c>
      <c r="H980" s="1">
        <v>15304</v>
      </c>
      <c r="I980" s="1">
        <v>1</v>
      </c>
      <c r="J980" s="1">
        <v>77</v>
      </c>
      <c r="K980" s="1">
        <v>413</v>
      </c>
      <c r="L980" s="1">
        <v>404</v>
      </c>
      <c r="M980" s="1">
        <v>7.3</v>
      </c>
      <c r="N980">
        <f>VLOOKUP(A980,vlookup_table!$A:$G,2,FALSE)</f>
        <v>0</v>
      </c>
      <c r="O980" t="str">
        <f>VLOOKUP(A980,vlookup_table!$A:$G,3,FALSE)</f>
        <v>IA</v>
      </c>
      <c r="P980">
        <f>VLOOKUP(A980,vlookup_table!$A:$G,4,FALSE)</f>
        <v>4404</v>
      </c>
      <c r="Q980" t="str">
        <f>VLOOKUP(A980,vlookup_table!$A:$G,5,FALSE)</f>
        <v>C2</v>
      </c>
      <c r="R980" t="str">
        <f>VLOOKUP(A980,vlookup_table!$A:$G,6,FALSE)</f>
        <v>F</v>
      </c>
      <c r="S980">
        <f>VLOOKUP(A980,vlookup_table!$A:$G,7,FALSE)</f>
        <v>10</v>
      </c>
      <c r="T980">
        <f t="shared" si="30"/>
        <v>52</v>
      </c>
      <c r="U980" t="str">
        <f t="shared" si="31"/>
        <v>Ciudad</v>
      </c>
    </row>
    <row r="981" spans="1:21" ht="16" x14ac:dyDescent="0.4">
      <c r="A981" s="4">
        <v>179563</v>
      </c>
      <c r="B981" s="1" t="s">
        <v>37</v>
      </c>
      <c r="C981" s="1" t="s">
        <v>14</v>
      </c>
      <c r="D981" s="1">
        <v>842</v>
      </c>
      <c r="E981" s="1">
        <v>420</v>
      </c>
      <c r="F981" s="1">
        <v>494</v>
      </c>
      <c r="G981" s="1">
        <v>2</v>
      </c>
      <c r="H981" s="1">
        <v>12894</v>
      </c>
      <c r="I981" s="1">
        <v>41</v>
      </c>
      <c r="J981" s="1">
        <v>24</v>
      </c>
      <c r="K981" s="1">
        <v>419</v>
      </c>
      <c r="L981" s="1">
        <v>476</v>
      </c>
      <c r="M981" s="1">
        <v>16.399999999999999</v>
      </c>
      <c r="N981">
        <f>VLOOKUP(A981,vlookup_table!$A:$G,2,FALSE)</f>
        <v>1</v>
      </c>
      <c r="O981" t="str">
        <f>VLOOKUP(A981,vlookup_table!$A:$G,3,FALSE)</f>
        <v>WA</v>
      </c>
      <c r="P981">
        <f>VLOOKUP(A981,vlookup_table!$A:$G,4,FALSE)</f>
        <v>5001</v>
      </c>
      <c r="Q981" t="str">
        <f>VLOOKUP(A981,vlookup_table!$A:$G,5,FALSE)</f>
        <v>S2</v>
      </c>
      <c r="R981" t="str">
        <f>VLOOKUP(A981,vlookup_table!$A:$G,6,FALSE)</f>
        <v>M</v>
      </c>
      <c r="S981">
        <f>VLOOKUP(A981,vlookup_table!$A:$G,7,FALSE)</f>
        <v>23</v>
      </c>
      <c r="T981">
        <f t="shared" si="30"/>
        <v>46</v>
      </c>
      <c r="U981" t="str">
        <f t="shared" si="31"/>
        <v>Suburbano</v>
      </c>
    </row>
    <row r="982" spans="1:21" ht="16" x14ac:dyDescent="0.4">
      <c r="A982" s="4">
        <v>41243</v>
      </c>
      <c r="B982" s="1" t="s">
        <v>13</v>
      </c>
      <c r="C982" s="1" t="s">
        <v>17</v>
      </c>
      <c r="D982" s="1">
        <v>556</v>
      </c>
      <c r="E982" s="1">
        <v>246</v>
      </c>
      <c r="F982" s="1">
        <v>330</v>
      </c>
      <c r="G982" s="1">
        <v>0</v>
      </c>
      <c r="H982" s="1">
        <v>10272</v>
      </c>
      <c r="I982" s="1">
        <v>2</v>
      </c>
      <c r="J982" s="1">
        <v>56</v>
      </c>
      <c r="K982" s="1">
        <v>277</v>
      </c>
      <c r="L982" s="1">
        <v>292</v>
      </c>
      <c r="M982" s="1">
        <v>9.8181818179999993</v>
      </c>
      <c r="N982">
        <f>VLOOKUP(A982,vlookup_table!$A:$G,2,FALSE)</f>
        <v>2</v>
      </c>
      <c r="O982" t="str">
        <f>VLOOKUP(A982,vlookup_table!$A:$G,3,FALSE)</f>
        <v>FL</v>
      </c>
      <c r="P982">
        <f>VLOOKUP(A982,vlookup_table!$A:$G,4,FALSE)</f>
        <v>2201</v>
      </c>
      <c r="Q982" t="str">
        <f>VLOOKUP(A982,vlookup_table!$A:$G,5,FALSE)</f>
        <v>S2</v>
      </c>
      <c r="R982" t="str">
        <f>VLOOKUP(A982,vlookup_table!$A:$G,6,FALSE)</f>
        <v>F</v>
      </c>
      <c r="S982">
        <f>VLOOKUP(A982,vlookup_table!$A:$G,7,FALSE)</f>
        <v>12</v>
      </c>
      <c r="T982">
        <f t="shared" si="30"/>
        <v>74</v>
      </c>
      <c r="U982" t="str">
        <f t="shared" si="31"/>
        <v>Suburbano</v>
      </c>
    </row>
    <row r="983" spans="1:21" ht="16" x14ac:dyDescent="0.4">
      <c r="A983" s="4">
        <v>160500</v>
      </c>
      <c r="B983" s="1" t="s">
        <v>21</v>
      </c>
      <c r="C983" s="1" t="s">
        <v>14</v>
      </c>
      <c r="D983" s="1">
        <v>1467</v>
      </c>
      <c r="E983" s="1">
        <v>311</v>
      </c>
      <c r="F983" s="1">
        <v>392</v>
      </c>
      <c r="G983" s="1">
        <v>7</v>
      </c>
      <c r="H983" s="1">
        <v>15108</v>
      </c>
      <c r="I983" s="1">
        <v>8</v>
      </c>
      <c r="J983" s="1">
        <v>61</v>
      </c>
      <c r="K983" s="1">
        <v>323</v>
      </c>
      <c r="L983" s="1">
        <v>356</v>
      </c>
      <c r="M983" s="1">
        <v>7.3333333329999997</v>
      </c>
      <c r="N983">
        <f>VLOOKUP(A983,vlookup_table!$A:$G,2,FALSE)</f>
        <v>0</v>
      </c>
      <c r="O983" t="str">
        <f>VLOOKUP(A983,vlookup_table!$A:$G,3,FALSE)</f>
        <v>CA</v>
      </c>
      <c r="P983">
        <f>VLOOKUP(A983,vlookup_table!$A:$G,4,FALSE)</f>
        <v>1406</v>
      </c>
      <c r="Q983" t="str">
        <f>VLOOKUP(A983,vlookup_table!$A:$G,5,FALSE)</f>
        <v>C2</v>
      </c>
      <c r="R983" t="str">
        <f>VLOOKUP(A983,vlookup_table!$A:$G,6,FALSE)</f>
        <v>M</v>
      </c>
      <c r="S983">
        <f>VLOOKUP(A983,vlookup_table!$A:$G,7,FALSE)</f>
        <v>5</v>
      </c>
      <c r="T983">
        <f t="shared" si="30"/>
        <v>82</v>
      </c>
      <c r="U983" t="str">
        <f t="shared" si="31"/>
        <v>Ciudad</v>
      </c>
    </row>
    <row r="984" spans="1:21" ht="16" x14ac:dyDescent="0.4">
      <c r="A984" s="4">
        <v>77605</v>
      </c>
      <c r="B984" s="1" t="s">
        <v>32</v>
      </c>
      <c r="C984" s="1" t="s">
        <v>14</v>
      </c>
      <c r="D984" s="1">
        <v>1304</v>
      </c>
      <c r="E984" s="1">
        <v>465</v>
      </c>
      <c r="F984" s="1">
        <v>609</v>
      </c>
      <c r="G984" s="1">
        <v>13</v>
      </c>
      <c r="H984" s="1">
        <v>23455</v>
      </c>
      <c r="I984" s="1">
        <v>6</v>
      </c>
      <c r="J984" s="1">
        <v>71</v>
      </c>
      <c r="K984" s="1">
        <v>484</v>
      </c>
      <c r="L984" s="1">
        <v>595</v>
      </c>
      <c r="M984" s="1">
        <v>10</v>
      </c>
      <c r="N984">
        <f>VLOOKUP(A984,vlookup_table!$A:$G,2,FALSE)</f>
        <v>1</v>
      </c>
      <c r="O984" t="str">
        <f>VLOOKUP(A984,vlookup_table!$A:$G,3,FALSE)</f>
        <v>WI</v>
      </c>
      <c r="P984">
        <f>VLOOKUP(A984,vlookup_table!$A:$G,4,FALSE)</f>
        <v>5001</v>
      </c>
      <c r="Q984" t="str">
        <f>VLOOKUP(A984,vlookup_table!$A:$G,5,FALSE)</f>
        <v/>
      </c>
      <c r="R984" t="str">
        <f>VLOOKUP(A984,vlookup_table!$A:$G,6,FALSE)</f>
        <v>M</v>
      </c>
      <c r="S984">
        <f>VLOOKUP(A984,vlookup_table!$A:$G,7,FALSE)</f>
        <v>15</v>
      </c>
      <c r="T984">
        <f t="shared" si="30"/>
        <v>46</v>
      </c>
      <c r="U984" t="str">
        <f t="shared" si="31"/>
        <v/>
      </c>
    </row>
    <row r="985" spans="1:21" ht="16" x14ac:dyDescent="0.4">
      <c r="A985" s="4">
        <v>190064</v>
      </c>
      <c r="B985" s="1" t="s">
        <v>49</v>
      </c>
      <c r="C985" s="1" t="s">
        <v>17</v>
      </c>
      <c r="D985" s="1">
        <v>340</v>
      </c>
      <c r="E985" s="1">
        <v>149</v>
      </c>
      <c r="F985" s="1">
        <v>188</v>
      </c>
      <c r="G985" s="1">
        <v>0</v>
      </c>
      <c r="H985" s="1">
        <v>6842</v>
      </c>
      <c r="I985" s="1">
        <v>1</v>
      </c>
      <c r="J985" s="1">
        <v>48</v>
      </c>
      <c r="K985" s="1">
        <v>151</v>
      </c>
      <c r="L985" s="1">
        <v>173</v>
      </c>
      <c r="M985" s="1">
        <v>10</v>
      </c>
      <c r="N985">
        <f>VLOOKUP(A985,vlookup_table!$A:$G,2,FALSE)</f>
        <v>0</v>
      </c>
      <c r="O985" t="str">
        <f>VLOOKUP(A985,vlookup_table!$A:$G,3,FALSE)</f>
        <v>TN</v>
      </c>
      <c r="P985">
        <f>VLOOKUP(A985,vlookup_table!$A:$G,4,FALSE)</f>
        <v>0</v>
      </c>
      <c r="Q985" t="str">
        <f>VLOOKUP(A985,vlookup_table!$A:$G,5,FALSE)</f>
        <v>U4</v>
      </c>
      <c r="R985" t="str">
        <f>VLOOKUP(A985,vlookup_table!$A:$G,6,FALSE)</f>
        <v>F</v>
      </c>
      <c r="S985">
        <f>VLOOKUP(A985,vlookup_table!$A:$G,7,FALSE)</f>
        <v>20</v>
      </c>
      <c r="T985">
        <f t="shared" si="30"/>
        <v>96</v>
      </c>
      <c r="U985" t="str">
        <f t="shared" si="31"/>
        <v>Urbano</v>
      </c>
    </row>
    <row r="986" spans="1:21" ht="16" x14ac:dyDescent="0.4">
      <c r="A986" s="4">
        <v>138758</v>
      </c>
      <c r="B986" s="1" t="s">
        <v>51</v>
      </c>
      <c r="C986" s="1" t="s">
        <v>98</v>
      </c>
      <c r="D986" s="1">
        <v>616</v>
      </c>
      <c r="E986" s="1">
        <v>403</v>
      </c>
      <c r="F986" s="1">
        <v>443</v>
      </c>
      <c r="G986" s="1">
        <v>0</v>
      </c>
      <c r="H986" s="1">
        <v>14174</v>
      </c>
      <c r="I986" s="1">
        <v>0</v>
      </c>
      <c r="J986" s="1">
        <v>69</v>
      </c>
      <c r="K986" s="1">
        <v>423</v>
      </c>
      <c r="L986" s="1">
        <v>406</v>
      </c>
      <c r="M986" s="1">
        <v>14.8</v>
      </c>
      <c r="N986">
        <f>VLOOKUP(A986,vlookup_table!$A:$G,2,FALSE)</f>
        <v>0</v>
      </c>
      <c r="O986" t="str">
        <f>VLOOKUP(A986,vlookup_table!$A:$G,3,FALSE)</f>
        <v>AZ</v>
      </c>
      <c r="P986">
        <f>VLOOKUP(A986,vlookup_table!$A:$G,4,FALSE)</f>
        <v>0</v>
      </c>
      <c r="Q986" t="str">
        <f>VLOOKUP(A986,vlookup_table!$A:$G,5,FALSE)</f>
        <v>T2</v>
      </c>
      <c r="R986" t="str">
        <f>VLOOKUP(A986,vlookup_table!$A:$G,6,FALSE)</f>
        <v>F</v>
      </c>
      <c r="S986">
        <f>VLOOKUP(A986,vlookup_table!$A:$G,7,FALSE)</f>
        <v>20</v>
      </c>
      <c r="T986">
        <f t="shared" si="30"/>
        <v>96</v>
      </c>
      <c r="U986" t="str">
        <f t="shared" si="31"/>
        <v>Pueblo</v>
      </c>
    </row>
    <row r="987" spans="1:21" ht="16" x14ac:dyDescent="0.4">
      <c r="A987" s="4">
        <v>8531</v>
      </c>
      <c r="B987" s="1" t="s">
        <v>26</v>
      </c>
      <c r="C987" s="1" t="s">
        <v>14</v>
      </c>
      <c r="D987" s="1">
        <v>497</v>
      </c>
      <c r="E987" s="1">
        <v>275</v>
      </c>
      <c r="F987" s="1">
        <v>369</v>
      </c>
      <c r="G987" s="1">
        <v>0</v>
      </c>
      <c r="H987" s="1">
        <v>12368</v>
      </c>
      <c r="I987" s="1">
        <v>0</v>
      </c>
      <c r="J987" s="1">
        <v>88</v>
      </c>
      <c r="K987" s="1">
        <v>296</v>
      </c>
      <c r="L987" s="1">
        <v>343</v>
      </c>
      <c r="M987" s="1">
        <v>6.3684210529999996</v>
      </c>
      <c r="N987">
        <f>VLOOKUP(A987,vlookup_table!$A:$G,2,FALSE)</f>
        <v>1</v>
      </c>
      <c r="O987" t="str">
        <f>VLOOKUP(A987,vlookup_table!$A:$G,3,FALSE)</f>
        <v>MI</v>
      </c>
      <c r="P987">
        <f>VLOOKUP(A987,vlookup_table!$A:$G,4,FALSE)</f>
        <v>6001</v>
      </c>
      <c r="Q987" t="str">
        <f>VLOOKUP(A987,vlookup_table!$A:$G,5,FALSE)</f>
        <v>R2</v>
      </c>
      <c r="R987" t="str">
        <f>VLOOKUP(A987,vlookup_table!$A:$G,6,FALSE)</f>
        <v>M</v>
      </c>
      <c r="S987">
        <f>VLOOKUP(A987,vlookup_table!$A:$G,7,FALSE)</f>
        <v>10</v>
      </c>
      <c r="T987">
        <f t="shared" si="30"/>
        <v>36</v>
      </c>
      <c r="U987" t="str">
        <f t="shared" si="31"/>
        <v>Rural</v>
      </c>
    </row>
    <row r="988" spans="1:21" ht="16" x14ac:dyDescent="0.4">
      <c r="A988" s="4">
        <v>27846</v>
      </c>
      <c r="B988" s="1" t="s">
        <v>36</v>
      </c>
      <c r="C988" s="1"/>
      <c r="D988" s="1">
        <v>1149</v>
      </c>
      <c r="E988" s="1">
        <v>420</v>
      </c>
      <c r="F988" s="1">
        <v>509</v>
      </c>
      <c r="G988" s="1">
        <v>14</v>
      </c>
      <c r="H988" s="1">
        <v>17492</v>
      </c>
      <c r="I988" s="1">
        <v>2</v>
      </c>
      <c r="J988" s="1">
        <v>58</v>
      </c>
      <c r="K988" s="1">
        <v>460</v>
      </c>
      <c r="L988" s="1">
        <v>469</v>
      </c>
      <c r="M988" s="1">
        <v>23.333333329999999</v>
      </c>
      <c r="N988">
        <f>VLOOKUP(A988,vlookup_table!$A:$G,2,FALSE)</f>
        <v>0</v>
      </c>
      <c r="O988" t="str">
        <f>VLOOKUP(A988,vlookup_table!$A:$G,3,FALSE)</f>
        <v>GA</v>
      </c>
      <c r="P988">
        <f>VLOOKUP(A988,vlookup_table!$A:$G,4,FALSE)</f>
        <v>0</v>
      </c>
      <c r="Q988" t="str">
        <f>VLOOKUP(A988,vlookup_table!$A:$G,5,FALSE)</f>
        <v>C2</v>
      </c>
      <c r="R988" t="str">
        <f>VLOOKUP(A988,vlookup_table!$A:$G,6,FALSE)</f>
        <v/>
      </c>
      <c r="S988">
        <f>VLOOKUP(A988,vlookup_table!$A:$G,7,FALSE)</f>
        <v>200</v>
      </c>
      <c r="T988">
        <f t="shared" si="30"/>
        <v>96</v>
      </c>
      <c r="U988" t="str">
        <f t="shared" si="31"/>
        <v>Ciudad</v>
      </c>
    </row>
    <row r="989" spans="1:21" ht="16" x14ac:dyDescent="0.4">
      <c r="A989" s="4">
        <v>22782</v>
      </c>
      <c r="B989" s="1" t="s">
        <v>43</v>
      </c>
      <c r="C989" s="1" t="s">
        <v>14</v>
      </c>
      <c r="D989" s="1">
        <v>514</v>
      </c>
      <c r="E989" s="1">
        <v>205</v>
      </c>
      <c r="F989" s="1">
        <v>238</v>
      </c>
      <c r="G989" s="1">
        <v>3</v>
      </c>
      <c r="H989" s="1">
        <v>8533</v>
      </c>
      <c r="I989" s="1">
        <v>2</v>
      </c>
      <c r="J989" s="1">
        <v>46</v>
      </c>
      <c r="K989" s="1">
        <v>224</v>
      </c>
      <c r="L989" s="1">
        <v>226</v>
      </c>
      <c r="M989" s="1">
        <v>10</v>
      </c>
      <c r="N989">
        <f>VLOOKUP(A989,vlookup_table!$A:$G,2,FALSE)</f>
        <v>1</v>
      </c>
      <c r="O989" t="str">
        <f>VLOOKUP(A989,vlookup_table!$A:$G,3,FALSE)</f>
        <v>SC</v>
      </c>
      <c r="P989">
        <f>VLOOKUP(A989,vlookup_table!$A:$G,4,FALSE)</f>
        <v>0</v>
      </c>
      <c r="Q989" t="str">
        <f>VLOOKUP(A989,vlookup_table!$A:$G,5,FALSE)</f>
        <v>T3</v>
      </c>
      <c r="R989" t="str">
        <f>VLOOKUP(A989,vlookup_table!$A:$G,6,FALSE)</f>
        <v>M</v>
      </c>
      <c r="S989">
        <f>VLOOKUP(A989,vlookup_table!$A:$G,7,FALSE)</f>
        <v>10</v>
      </c>
      <c r="T989">
        <f t="shared" si="30"/>
        <v>96</v>
      </c>
      <c r="U989" t="str">
        <f t="shared" si="31"/>
        <v>Pueblo</v>
      </c>
    </row>
    <row r="990" spans="1:21" ht="16" x14ac:dyDescent="0.4">
      <c r="A990" s="4">
        <v>66223</v>
      </c>
      <c r="B990" s="1" t="s">
        <v>26</v>
      </c>
      <c r="C990" s="1" t="s">
        <v>14</v>
      </c>
      <c r="D990" s="1">
        <v>870</v>
      </c>
      <c r="E990" s="1">
        <v>319</v>
      </c>
      <c r="F990" s="1">
        <v>398</v>
      </c>
      <c r="G990" s="1">
        <v>3</v>
      </c>
      <c r="H990" s="1">
        <v>15849</v>
      </c>
      <c r="I990" s="1">
        <v>2</v>
      </c>
      <c r="J990" s="1">
        <v>83</v>
      </c>
      <c r="K990" s="1">
        <v>345</v>
      </c>
      <c r="L990" s="1">
        <v>357</v>
      </c>
      <c r="M990" s="1">
        <v>9.5714285710000002</v>
      </c>
      <c r="N990">
        <f>VLOOKUP(A990,vlookup_table!$A:$G,2,FALSE)</f>
        <v>0</v>
      </c>
      <c r="O990" t="str">
        <f>VLOOKUP(A990,vlookup_table!$A:$G,3,FALSE)</f>
        <v>MI</v>
      </c>
      <c r="P990">
        <f>VLOOKUP(A990,vlookup_table!$A:$G,4,FALSE)</f>
        <v>5801</v>
      </c>
      <c r="Q990" t="str">
        <f>VLOOKUP(A990,vlookup_table!$A:$G,5,FALSE)</f>
        <v>S2</v>
      </c>
      <c r="R990" t="str">
        <f>VLOOKUP(A990,vlookup_table!$A:$G,6,FALSE)</f>
        <v>M</v>
      </c>
      <c r="S990">
        <f>VLOOKUP(A990,vlookup_table!$A:$G,7,FALSE)</f>
        <v>10</v>
      </c>
      <c r="T990">
        <f t="shared" si="30"/>
        <v>38</v>
      </c>
      <c r="U990" t="str">
        <f t="shared" si="31"/>
        <v>Suburbano</v>
      </c>
    </row>
    <row r="991" spans="1:21" ht="16" x14ac:dyDescent="0.4">
      <c r="A991" s="4">
        <v>189616</v>
      </c>
      <c r="B991" s="1" t="s">
        <v>21</v>
      </c>
      <c r="C991" s="1" t="s">
        <v>14</v>
      </c>
      <c r="D991" s="1">
        <v>2680</v>
      </c>
      <c r="E991" s="1">
        <v>314</v>
      </c>
      <c r="F991" s="1">
        <v>517</v>
      </c>
      <c r="G991" s="1">
        <v>80</v>
      </c>
      <c r="H991" s="1">
        <v>20665</v>
      </c>
      <c r="I991" s="1">
        <v>13</v>
      </c>
      <c r="J991" s="1">
        <v>41</v>
      </c>
      <c r="K991" s="1">
        <v>506</v>
      </c>
      <c r="L991" s="1">
        <v>402</v>
      </c>
      <c r="M991" s="1">
        <v>20</v>
      </c>
      <c r="N991">
        <f>VLOOKUP(A991,vlookup_table!$A:$G,2,FALSE)</f>
        <v>1</v>
      </c>
      <c r="O991" t="str">
        <f>VLOOKUP(A991,vlookup_table!$A:$G,3,FALSE)</f>
        <v>CA</v>
      </c>
      <c r="P991">
        <f>VLOOKUP(A991,vlookup_table!$A:$G,4,FALSE)</f>
        <v>0</v>
      </c>
      <c r="Q991" t="str">
        <f>VLOOKUP(A991,vlookup_table!$A:$G,5,FALSE)</f>
        <v/>
      </c>
      <c r="R991" t="str">
        <f>VLOOKUP(A991,vlookup_table!$A:$G,6,FALSE)</f>
        <v>M</v>
      </c>
      <c r="S991">
        <f>VLOOKUP(A991,vlookup_table!$A:$G,7,FALSE)</f>
        <v>35</v>
      </c>
      <c r="T991">
        <f t="shared" si="30"/>
        <v>96</v>
      </c>
      <c r="U991" t="str">
        <f t="shared" si="31"/>
        <v/>
      </c>
    </row>
    <row r="992" spans="1:21" ht="16" x14ac:dyDescent="0.4">
      <c r="A992" s="4">
        <v>79649</v>
      </c>
      <c r="B992" s="1" t="s">
        <v>32</v>
      </c>
      <c r="C992" s="1" t="s">
        <v>17</v>
      </c>
      <c r="D992" s="1">
        <v>556</v>
      </c>
      <c r="E992" s="1">
        <v>259</v>
      </c>
      <c r="F992" s="1">
        <v>258</v>
      </c>
      <c r="G992" s="1">
        <v>0</v>
      </c>
      <c r="H992" s="1">
        <v>12721</v>
      </c>
      <c r="I992" s="1">
        <v>6</v>
      </c>
      <c r="J992" s="1">
        <v>66</v>
      </c>
      <c r="K992" s="1">
        <v>275</v>
      </c>
      <c r="L992" s="1">
        <v>268</v>
      </c>
      <c r="M992" s="1">
        <v>10.33333333</v>
      </c>
      <c r="N992">
        <f>VLOOKUP(A992,vlookup_table!$A:$G,2,FALSE)</f>
        <v>0</v>
      </c>
      <c r="O992" t="str">
        <f>VLOOKUP(A992,vlookup_table!$A:$G,3,FALSE)</f>
        <v>WI</v>
      </c>
      <c r="P992">
        <f>VLOOKUP(A992,vlookup_table!$A:$G,4,FALSE)</f>
        <v>0</v>
      </c>
      <c r="Q992" t="str">
        <f>VLOOKUP(A992,vlookup_table!$A:$G,5,FALSE)</f>
        <v>S2</v>
      </c>
      <c r="R992" t="str">
        <f>VLOOKUP(A992,vlookup_table!$A:$G,6,FALSE)</f>
        <v>F</v>
      </c>
      <c r="S992">
        <f>VLOOKUP(A992,vlookup_table!$A:$G,7,FALSE)</f>
        <v>15</v>
      </c>
      <c r="T992">
        <f t="shared" si="30"/>
        <v>96</v>
      </c>
      <c r="U992" t="str">
        <f t="shared" si="31"/>
        <v>Suburbano</v>
      </c>
    </row>
    <row r="993" spans="1:21" ht="16" x14ac:dyDescent="0.4">
      <c r="A993" s="4">
        <v>138999</v>
      </c>
      <c r="B993" s="1" t="s">
        <v>51</v>
      </c>
      <c r="C993" s="1" t="s">
        <v>98</v>
      </c>
      <c r="D993" s="1">
        <v>624</v>
      </c>
      <c r="E993" s="1">
        <v>284</v>
      </c>
      <c r="F993" s="1">
        <v>355</v>
      </c>
      <c r="G993" s="1">
        <v>1</v>
      </c>
      <c r="H993" s="1">
        <v>12121</v>
      </c>
      <c r="I993" s="1">
        <v>3</v>
      </c>
      <c r="J993" s="1">
        <v>29</v>
      </c>
      <c r="K993" s="1">
        <v>326</v>
      </c>
      <c r="L993" s="1">
        <v>324</v>
      </c>
      <c r="M993" s="1">
        <v>8.4347826090000009</v>
      </c>
      <c r="N993">
        <f>VLOOKUP(A993,vlookup_table!$A:$G,2,FALSE)</f>
        <v>28</v>
      </c>
      <c r="O993" t="str">
        <f>VLOOKUP(A993,vlookup_table!$A:$G,3,FALSE)</f>
        <v>AZ</v>
      </c>
      <c r="P993">
        <f>VLOOKUP(A993,vlookup_table!$A:$G,4,FALSE)</f>
        <v>1603</v>
      </c>
      <c r="Q993" t="str">
        <f>VLOOKUP(A993,vlookup_table!$A:$G,5,FALSE)</f>
        <v>T3</v>
      </c>
      <c r="R993" t="str">
        <f>VLOOKUP(A993,vlookup_table!$A:$G,6,FALSE)</f>
        <v>F</v>
      </c>
      <c r="S993">
        <f>VLOOKUP(A993,vlookup_table!$A:$G,7,FALSE)</f>
        <v>10</v>
      </c>
      <c r="T993">
        <f t="shared" si="30"/>
        <v>80</v>
      </c>
      <c r="U993" t="str">
        <f t="shared" si="31"/>
        <v>Pueblo</v>
      </c>
    </row>
    <row r="994" spans="1:21" ht="16" x14ac:dyDescent="0.4">
      <c r="A994" s="4">
        <v>8232</v>
      </c>
      <c r="B994" s="1" t="s">
        <v>33</v>
      </c>
      <c r="C994" s="1" t="s">
        <v>17</v>
      </c>
      <c r="D994" s="1">
        <v>322</v>
      </c>
      <c r="E994" s="1">
        <v>190</v>
      </c>
      <c r="F994" s="1">
        <v>302</v>
      </c>
      <c r="G994" s="1">
        <v>0</v>
      </c>
      <c r="H994" s="3">
        <v>10909</v>
      </c>
      <c r="I994" s="1">
        <v>0</v>
      </c>
      <c r="J994" s="1">
        <v>80</v>
      </c>
      <c r="K994" s="1">
        <v>240</v>
      </c>
      <c r="L994" s="1">
        <v>239</v>
      </c>
      <c r="M994" s="1">
        <v>13.41666667</v>
      </c>
      <c r="N994">
        <f>VLOOKUP(A994,vlookup_table!$A:$G,2,FALSE)</f>
        <v>0</v>
      </c>
      <c r="O994" t="str">
        <f>VLOOKUP(A994,vlookup_table!$A:$G,3,FALSE)</f>
        <v>MO</v>
      </c>
      <c r="P994">
        <f>VLOOKUP(A994,vlookup_table!$A:$G,4,FALSE)</f>
        <v>3702</v>
      </c>
      <c r="Q994" t="str">
        <f>VLOOKUP(A994,vlookup_table!$A:$G,5,FALSE)</f>
        <v>R2</v>
      </c>
      <c r="R994" t="str">
        <f>VLOOKUP(A994,vlookup_table!$A:$G,6,FALSE)</f>
        <v>F</v>
      </c>
      <c r="S994">
        <f>VLOOKUP(A994,vlookup_table!$A:$G,7,FALSE)</f>
        <v>10</v>
      </c>
      <c r="T994">
        <f t="shared" si="30"/>
        <v>59</v>
      </c>
      <c r="U994" t="str">
        <f t="shared" si="31"/>
        <v>Rural</v>
      </c>
    </row>
    <row r="995" spans="1:21" ht="16" x14ac:dyDescent="0.4">
      <c r="A995" s="4">
        <v>43020</v>
      </c>
      <c r="B995" s="1" t="s">
        <v>13</v>
      </c>
      <c r="C995" s="1" t="s">
        <v>17</v>
      </c>
      <c r="D995" s="1">
        <v>736</v>
      </c>
      <c r="E995" s="1">
        <v>262</v>
      </c>
      <c r="F995" s="1">
        <v>347</v>
      </c>
      <c r="G995" s="1">
        <v>0</v>
      </c>
      <c r="H995" s="1">
        <v>12780</v>
      </c>
      <c r="I995" s="1">
        <v>11</v>
      </c>
      <c r="J995" s="1">
        <v>6</v>
      </c>
      <c r="K995" s="1">
        <v>293</v>
      </c>
      <c r="L995" s="1">
        <v>321</v>
      </c>
      <c r="M995" s="1">
        <v>15</v>
      </c>
      <c r="N995">
        <f>VLOOKUP(A995,vlookup_table!$A:$G,2,FALSE)</f>
        <v>2</v>
      </c>
      <c r="O995" t="str">
        <f>VLOOKUP(A995,vlookup_table!$A:$G,3,FALSE)</f>
        <v>FL</v>
      </c>
      <c r="P995">
        <f>VLOOKUP(A995,vlookup_table!$A:$G,4,FALSE)</f>
        <v>0</v>
      </c>
      <c r="Q995" t="str">
        <f>VLOOKUP(A995,vlookup_table!$A:$G,5,FALSE)</f>
        <v>C2</v>
      </c>
      <c r="R995" t="str">
        <f>VLOOKUP(A995,vlookup_table!$A:$G,6,FALSE)</f>
        <v>F</v>
      </c>
      <c r="S995">
        <f>VLOOKUP(A995,vlookup_table!$A:$G,7,FALSE)</f>
        <v>15</v>
      </c>
      <c r="T995">
        <f t="shared" si="30"/>
        <v>96</v>
      </c>
      <c r="U995" t="str">
        <f t="shared" si="31"/>
        <v>Ciudad</v>
      </c>
    </row>
    <row r="996" spans="1:21" ht="16" x14ac:dyDescent="0.4">
      <c r="A996" s="4">
        <v>118862</v>
      </c>
      <c r="B996" s="1" t="s">
        <v>20</v>
      </c>
      <c r="C996" s="1" t="s">
        <v>14</v>
      </c>
      <c r="D996" s="1">
        <v>868</v>
      </c>
      <c r="E996" s="1">
        <v>554</v>
      </c>
      <c r="F996" s="1">
        <v>571</v>
      </c>
      <c r="G996" s="1">
        <v>0</v>
      </c>
      <c r="H996" s="1">
        <v>21200</v>
      </c>
      <c r="I996" s="1">
        <v>9</v>
      </c>
      <c r="J996" s="1">
        <v>49</v>
      </c>
      <c r="K996" s="1">
        <v>564</v>
      </c>
      <c r="L996" s="1">
        <v>569</v>
      </c>
      <c r="M996" s="1">
        <v>8.5</v>
      </c>
      <c r="N996">
        <f>VLOOKUP(A996,vlookup_table!$A:$G,2,FALSE)</f>
        <v>1</v>
      </c>
      <c r="O996" t="str">
        <f>VLOOKUP(A996,vlookup_table!$A:$G,3,FALSE)</f>
        <v>TX</v>
      </c>
      <c r="P996">
        <f>VLOOKUP(A996,vlookup_table!$A:$G,4,FALSE)</f>
        <v>4208</v>
      </c>
      <c r="Q996" t="str">
        <f>VLOOKUP(A996,vlookup_table!$A:$G,5,FALSE)</f>
        <v>S1</v>
      </c>
      <c r="R996" t="str">
        <f>VLOOKUP(A996,vlookup_table!$A:$G,6,FALSE)</f>
        <v>M</v>
      </c>
      <c r="S996">
        <f>VLOOKUP(A996,vlookup_table!$A:$G,7,FALSE)</f>
        <v>12</v>
      </c>
      <c r="T996">
        <f t="shared" si="30"/>
        <v>54</v>
      </c>
      <c r="U996" t="str">
        <f t="shared" si="31"/>
        <v>Suburbano</v>
      </c>
    </row>
    <row r="997" spans="1:21" ht="16" x14ac:dyDescent="0.4">
      <c r="A997" s="4">
        <v>30104</v>
      </c>
      <c r="B997" s="1" t="s">
        <v>36</v>
      </c>
      <c r="C997" s="1" t="s">
        <v>14</v>
      </c>
      <c r="D997" s="1">
        <v>364</v>
      </c>
      <c r="E997" s="1">
        <v>246</v>
      </c>
      <c r="F997" s="1">
        <v>325</v>
      </c>
      <c r="G997" s="1">
        <v>0</v>
      </c>
      <c r="H997" s="1">
        <v>9720</v>
      </c>
      <c r="I997" s="1">
        <v>0</v>
      </c>
      <c r="J997" s="1">
        <v>89</v>
      </c>
      <c r="K997" s="1">
        <v>307</v>
      </c>
      <c r="L997" s="1">
        <v>287</v>
      </c>
      <c r="M997" s="1">
        <v>8.8333333330000006</v>
      </c>
      <c r="N997">
        <f>VLOOKUP(A997,vlookup_table!$A:$G,2,FALSE)</f>
        <v>1</v>
      </c>
      <c r="O997" t="str">
        <f>VLOOKUP(A997,vlookup_table!$A:$G,3,FALSE)</f>
        <v>GA</v>
      </c>
      <c r="P997">
        <f>VLOOKUP(A997,vlookup_table!$A:$G,4,FALSE)</f>
        <v>5201</v>
      </c>
      <c r="Q997" t="str">
        <f>VLOOKUP(A997,vlookup_table!$A:$G,5,FALSE)</f>
        <v>R2</v>
      </c>
      <c r="R997" t="str">
        <f>VLOOKUP(A997,vlookup_table!$A:$G,6,FALSE)</f>
        <v>M</v>
      </c>
      <c r="S997">
        <f>VLOOKUP(A997,vlookup_table!$A:$G,7,FALSE)</f>
        <v>15</v>
      </c>
      <c r="T997">
        <f t="shared" si="30"/>
        <v>44</v>
      </c>
      <c r="U997" t="str">
        <f t="shared" si="31"/>
        <v>Rural</v>
      </c>
    </row>
    <row r="998" spans="1:21" ht="16" x14ac:dyDescent="0.4">
      <c r="A998" s="4">
        <v>154614</v>
      </c>
      <c r="B998" s="1" t="s">
        <v>21</v>
      </c>
      <c r="C998" s="1" t="s">
        <v>17</v>
      </c>
      <c r="D998" s="1">
        <v>1709</v>
      </c>
      <c r="E998" s="1">
        <v>511</v>
      </c>
      <c r="F998" s="1">
        <v>537</v>
      </c>
      <c r="G998" s="1">
        <v>26</v>
      </c>
      <c r="H998" s="1">
        <v>15138</v>
      </c>
      <c r="I998" s="1">
        <v>9</v>
      </c>
      <c r="J998" s="1">
        <v>68</v>
      </c>
      <c r="K998" s="1">
        <v>518</v>
      </c>
      <c r="L998" s="1">
        <v>527</v>
      </c>
      <c r="M998" s="1">
        <v>15</v>
      </c>
      <c r="N998">
        <f>VLOOKUP(A998,vlookup_table!$A:$G,2,FALSE)</f>
        <v>0</v>
      </c>
      <c r="O998" t="str">
        <f>VLOOKUP(A998,vlookup_table!$A:$G,3,FALSE)</f>
        <v>CA</v>
      </c>
      <c r="P998">
        <f>VLOOKUP(A998,vlookup_table!$A:$G,4,FALSE)</f>
        <v>0</v>
      </c>
      <c r="Q998" t="str">
        <f>VLOOKUP(A998,vlookup_table!$A:$G,5,FALSE)</f>
        <v>T1</v>
      </c>
      <c r="R998" t="str">
        <f>VLOOKUP(A998,vlookup_table!$A:$G,6,FALSE)</f>
        <v>F</v>
      </c>
      <c r="S998">
        <f>VLOOKUP(A998,vlookup_table!$A:$G,7,FALSE)</f>
        <v>20</v>
      </c>
      <c r="T998">
        <f t="shared" si="30"/>
        <v>96</v>
      </c>
      <c r="U998" t="str">
        <f t="shared" si="31"/>
        <v>Pueblo</v>
      </c>
    </row>
    <row r="999" spans="1:21" ht="16" x14ac:dyDescent="0.4">
      <c r="A999" s="4">
        <v>57151</v>
      </c>
      <c r="B999" s="1" t="s">
        <v>53</v>
      </c>
      <c r="C999" s="1" t="s">
        <v>17</v>
      </c>
      <c r="D999" s="1">
        <v>875</v>
      </c>
      <c r="E999" s="1">
        <v>311</v>
      </c>
      <c r="F999" s="1">
        <v>326</v>
      </c>
      <c r="G999" s="1">
        <v>0</v>
      </c>
      <c r="H999" s="1">
        <v>7746</v>
      </c>
      <c r="I999" s="1">
        <v>3</v>
      </c>
      <c r="J999" s="1">
        <v>29</v>
      </c>
      <c r="K999" s="1">
        <v>326</v>
      </c>
      <c r="L999" s="1">
        <v>326</v>
      </c>
      <c r="M999" s="1">
        <v>15.9</v>
      </c>
      <c r="N999">
        <f>VLOOKUP(A999,vlookup_table!$A:$G,2,FALSE)</f>
        <v>0</v>
      </c>
      <c r="O999" t="str">
        <f>VLOOKUP(A999,vlookup_table!$A:$G,3,FALSE)</f>
        <v>KY</v>
      </c>
      <c r="P999">
        <f>VLOOKUP(A999,vlookup_table!$A:$G,4,FALSE)</f>
        <v>3601</v>
      </c>
      <c r="Q999" t="str">
        <f>VLOOKUP(A999,vlookup_table!$A:$G,5,FALSE)</f>
        <v>R1</v>
      </c>
      <c r="R999" t="str">
        <f>VLOOKUP(A999,vlookup_table!$A:$G,6,FALSE)</f>
        <v>F</v>
      </c>
      <c r="S999">
        <f>VLOOKUP(A999,vlookup_table!$A:$G,7,FALSE)</f>
        <v>26</v>
      </c>
      <c r="T999">
        <f t="shared" si="30"/>
        <v>60</v>
      </c>
      <c r="U999" t="str">
        <f t="shared" si="31"/>
        <v>Rural</v>
      </c>
    </row>
    <row r="1000" spans="1:21" ht="16" x14ac:dyDescent="0.4">
      <c r="A1000" s="4">
        <v>71425</v>
      </c>
      <c r="B1000" s="1" t="s">
        <v>26</v>
      </c>
      <c r="C1000" s="1" t="s">
        <v>14</v>
      </c>
      <c r="D1000" s="1">
        <v>713</v>
      </c>
      <c r="E1000" s="1">
        <v>300</v>
      </c>
      <c r="F1000" s="1">
        <v>364</v>
      </c>
      <c r="G1000" s="1">
        <v>0</v>
      </c>
      <c r="H1000" s="1">
        <v>16833</v>
      </c>
      <c r="I1000" s="1">
        <v>2</v>
      </c>
      <c r="J1000" s="1">
        <v>88</v>
      </c>
      <c r="K1000" s="1">
        <v>313</v>
      </c>
      <c r="L1000" s="1">
        <v>323</v>
      </c>
      <c r="M1000" s="1">
        <v>6</v>
      </c>
      <c r="N1000">
        <f>VLOOKUP(A1000,vlookup_table!$A:$G,2,FALSE)</f>
        <v>1</v>
      </c>
      <c r="O1000" t="str">
        <f>VLOOKUP(A1000,vlookup_table!$A:$G,3,FALSE)</f>
        <v>MI</v>
      </c>
      <c r="P1000">
        <f>VLOOKUP(A1000,vlookup_table!$A:$G,4,FALSE)</f>
        <v>4401</v>
      </c>
      <c r="Q1000" t="str">
        <f>VLOOKUP(A1000,vlookup_table!$A:$G,5,FALSE)</f>
        <v>T2</v>
      </c>
      <c r="R1000" t="str">
        <f>VLOOKUP(A1000,vlookup_table!$A:$G,6,FALSE)</f>
        <v>M</v>
      </c>
      <c r="S1000">
        <f>VLOOKUP(A1000,vlookup_table!$A:$G,7,FALSE)</f>
        <v>7</v>
      </c>
      <c r="T1000">
        <f t="shared" si="30"/>
        <v>52</v>
      </c>
      <c r="U1000" t="str">
        <f t="shared" si="31"/>
        <v>Pueblo</v>
      </c>
    </row>
    <row r="1001" spans="1:21" ht="16" x14ac:dyDescent="0.4">
      <c r="A1001" s="4">
        <v>127823</v>
      </c>
      <c r="B1001" s="1" t="s">
        <v>20</v>
      </c>
      <c r="C1001" s="1" t="s">
        <v>17</v>
      </c>
      <c r="D1001" s="1">
        <v>258</v>
      </c>
      <c r="E1001" s="1">
        <v>64</v>
      </c>
      <c r="F1001" s="1">
        <v>74</v>
      </c>
      <c r="G1001" s="1">
        <v>0</v>
      </c>
      <c r="H1001" s="1">
        <v>4236</v>
      </c>
      <c r="I1001" s="1">
        <v>0</v>
      </c>
      <c r="J1001" s="1">
        <v>94</v>
      </c>
      <c r="K1001" s="1">
        <v>60</v>
      </c>
      <c r="L1001" s="1">
        <v>93</v>
      </c>
      <c r="M1001" s="1">
        <v>5.45</v>
      </c>
      <c r="N1001">
        <f>VLOOKUP(A1001,vlookup_table!$A:$G,2,FALSE)</f>
        <v>2</v>
      </c>
      <c r="O1001" t="str">
        <f>VLOOKUP(A1001,vlookup_table!$A:$G,3,FALSE)</f>
        <v>TX</v>
      </c>
      <c r="P1001">
        <f>VLOOKUP(A1001,vlookup_table!$A:$G,4,FALSE)</f>
        <v>2301</v>
      </c>
      <c r="Q1001" t="str">
        <f>VLOOKUP(A1001,vlookup_table!$A:$G,5,FALSE)</f>
        <v>C3</v>
      </c>
      <c r="R1001" t="str">
        <f>VLOOKUP(A1001,vlookup_table!$A:$G,6,FALSE)</f>
        <v>F</v>
      </c>
      <c r="S1001">
        <f>VLOOKUP(A1001,vlookup_table!$A:$G,7,FALSE)</f>
        <v>6</v>
      </c>
      <c r="T1001">
        <f t="shared" si="30"/>
        <v>73</v>
      </c>
      <c r="U1001" t="str">
        <f t="shared" si="31"/>
        <v>Ciudad</v>
      </c>
    </row>
    <row r="1002" spans="1:21" ht="16" x14ac:dyDescent="0.4">
      <c r="A1002" s="4">
        <v>150739</v>
      </c>
      <c r="B1002" s="1" t="s">
        <v>21</v>
      </c>
      <c r="C1002" s="1" t="s">
        <v>27</v>
      </c>
      <c r="D1002" s="1">
        <v>1951</v>
      </c>
      <c r="E1002" s="1">
        <v>556</v>
      </c>
      <c r="F1002" s="1">
        <v>625</v>
      </c>
      <c r="G1002" s="1">
        <v>44</v>
      </c>
      <c r="H1002" s="1">
        <v>17208</v>
      </c>
      <c r="I1002" s="1">
        <v>10</v>
      </c>
      <c r="J1002" s="1">
        <v>66</v>
      </c>
      <c r="K1002" s="1">
        <v>578</v>
      </c>
      <c r="L1002" s="1">
        <v>619</v>
      </c>
      <c r="M1002" s="1">
        <v>9.6818181820000007</v>
      </c>
      <c r="N1002">
        <f>VLOOKUP(A1002,vlookup_table!$A:$G,2,FALSE)</f>
        <v>2</v>
      </c>
      <c r="O1002" t="str">
        <f>VLOOKUP(A1002,vlookup_table!$A:$G,3,FALSE)</f>
        <v>CA</v>
      </c>
      <c r="P1002">
        <f>VLOOKUP(A1002,vlookup_table!$A:$G,4,FALSE)</f>
        <v>5410</v>
      </c>
      <c r="Q1002" t="str">
        <f>VLOOKUP(A1002,vlookup_table!$A:$G,5,FALSE)</f>
        <v>S1</v>
      </c>
      <c r="R1002" t="str">
        <f>VLOOKUP(A1002,vlookup_table!$A:$G,6,FALSE)</f>
        <v>U</v>
      </c>
      <c r="S1002">
        <f>VLOOKUP(A1002,vlookup_table!$A:$G,7,FALSE)</f>
        <v>12</v>
      </c>
      <c r="T1002">
        <f t="shared" si="30"/>
        <v>42</v>
      </c>
      <c r="U1002" t="str">
        <f t="shared" si="31"/>
        <v>Suburbano</v>
      </c>
    </row>
    <row r="1003" spans="1:21" ht="16" x14ac:dyDescent="0.4">
      <c r="A1003" s="4">
        <v>41384</v>
      </c>
      <c r="B1003" s="1" t="s">
        <v>13</v>
      </c>
      <c r="C1003" s="1" t="s">
        <v>17</v>
      </c>
      <c r="D1003" s="1">
        <v>556</v>
      </c>
      <c r="E1003" s="1">
        <v>318</v>
      </c>
      <c r="F1003" s="1">
        <v>352</v>
      </c>
      <c r="G1003" s="1">
        <v>0</v>
      </c>
      <c r="H1003" s="1">
        <v>11779</v>
      </c>
      <c r="I1003" s="1">
        <v>16</v>
      </c>
      <c r="J1003" s="1">
        <v>22</v>
      </c>
      <c r="K1003" s="1">
        <v>358</v>
      </c>
      <c r="L1003" s="1">
        <v>320</v>
      </c>
      <c r="M1003" s="1">
        <v>9.4285714289999998</v>
      </c>
      <c r="N1003">
        <f>VLOOKUP(A1003,vlookup_table!$A:$G,2,FALSE)</f>
        <v>28</v>
      </c>
      <c r="O1003" t="str">
        <f>VLOOKUP(A1003,vlookup_table!$A:$G,3,FALSE)</f>
        <v>FL</v>
      </c>
      <c r="P1003">
        <f>VLOOKUP(A1003,vlookup_table!$A:$G,4,FALSE)</f>
        <v>5107</v>
      </c>
      <c r="Q1003" t="str">
        <f>VLOOKUP(A1003,vlookup_table!$A:$G,5,FALSE)</f>
        <v>S3</v>
      </c>
      <c r="R1003" t="str">
        <f>VLOOKUP(A1003,vlookup_table!$A:$G,6,FALSE)</f>
        <v>F</v>
      </c>
      <c r="S1003">
        <f>VLOOKUP(A1003,vlookup_table!$A:$G,7,FALSE)</f>
        <v>12</v>
      </c>
      <c r="T1003">
        <f t="shared" si="30"/>
        <v>45</v>
      </c>
      <c r="U1003" t="str">
        <f t="shared" si="31"/>
        <v>Suburbano</v>
      </c>
    </row>
    <row r="1004" spans="1:21" ht="16" x14ac:dyDescent="0.4">
      <c r="A1004" s="4">
        <v>114721</v>
      </c>
      <c r="B1004" s="1" t="s">
        <v>28</v>
      </c>
      <c r="C1004" s="1"/>
      <c r="D1004" s="1">
        <v>1040</v>
      </c>
      <c r="E1004" s="1">
        <v>472</v>
      </c>
      <c r="F1004" s="1">
        <v>656</v>
      </c>
      <c r="G1004" s="1">
        <v>0</v>
      </c>
      <c r="H1004" s="1">
        <v>26962</v>
      </c>
      <c r="I1004" s="1">
        <v>2</v>
      </c>
      <c r="J1004" s="1">
        <v>56</v>
      </c>
      <c r="K1004" s="1">
        <v>609</v>
      </c>
      <c r="L1004" s="1">
        <v>579</v>
      </c>
      <c r="M1004" s="1">
        <v>11.66666667</v>
      </c>
      <c r="N1004">
        <f>VLOOKUP(A1004,vlookup_table!$A:$G,2,FALSE)</f>
        <v>0</v>
      </c>
      <c r="O1004" t="str">
        <f>VLOOKUP(A1004,vlookup_table!$A:$G,3,FALSE)</f>
        <v>OK</v>
      </c>
      <c r="P1004">
        <f>VLOOKUP(A1004,vlookup_table!$A:$G,4,FALSE)</f>
        <v>0</v>
      </c>
      <c r="Q1004" t="str">
        <f>VLOOKUP(A1004,vlookup_table!$A:$G,5,FALSE)</f>
        <v>C2</v>
      </c>
      <c r="R1004" t="str">
        <f>VLOOKUP(A1004,vlookup_table!$A:$G,6,FALSE)</f>
        <v/>
      </c>
      <c r="S1004">
        <f>VLOOKUP(A1004,vlookup_table!$A:$G,7,FALSE)</f>
        <v>15</v>
      </c>
      <c r="T1004">
        <f t="shared" si="30"/>
        <v>96</v>
      </c>
      <c r="U1004" t="str">
        <f t="shared" si="31"/>
        <v>Ciudad</v>
      </c>
    </row>
    <row r="1005" spans="1:21" ht="16" x14ac:dyDescent="0.4">
      <c r="A1005" s="4">
        <v>149152</v>
      </c>
      <c r="B1005" s="1" t="s">
        <v>21</v>
      </c>
      <c r="C1005" s="1" t="s">
        <v>14</v>
      </c>
      <c r="D1005" s="1">
        <v>4507</v>
      </c>
      <c r="E1005" s="1">
        <v>842</v>
      </c>
      <c r="F1005" s="1">
        <v>962</v>
      </c>
      <c r="G1005" s="1">
        <v>95</v>
      </c>
      <c r="H1005" s="1">
        <v>54642</v>
      </c>
      <c r="I1005" s="1">
        <v>17</v>
      </c>
      <c r="J1005" s="1">
        <v>50</v>
      </c>
      <c r="K1005" s="1">
        <v>1004</v>
      </c>
      <c r="L1005" s="1">
        <v>893</v>
      </c>
      <c r="M1005" s="1">
        <v>20</v>
      </c>
      <c r="N1005">
        <f>VLOOKUP(A1005,vlookup_table!$A:$G,2,FALSE)</f>
        <v>1</v>
      </c>
      <c r="O1005" t="str">
        <f>VLOOKUP(A1005,vlookup_table!$A:$G,3,FALSE)</f>
        <v>CA</v>
      </c>
      <c r="P1005">
        <f>VLOOKUP(A1005,vlookup_table!$A:$G,4,FALSE)</f>
        <v>4401</v>
      </c>
      <c r="Q1005" t="str">
        <f>VLOOKUP(A1005,vlookup_table!$A:$G,5,FALSE)</f>
        <v>S1</v>
      </c>
      <c r="R1005" t="str">
        <f>VLOOKUP(A1005,vlookup_table!$A:$G,6,FALSE)</f>
        <v>M</v>
      </c>
      <c r="S1005">
        <f>VLOOKUP(A1005,vlookup_table!$A:$G,7,FALSE)</f>
        <v>20</v>
      </c>
      <c r="T1005">
        <f t="shared" si="30"/>
        <v>52</v>
      </c>
      <c r="U1005" t="str">
        <f t="shared" si="31"/>
        <v>Suburbano</v>
      </c>
    </row>
    <row r="1006" spans="1:21" ht="16" x14ac:dyDescent="0.4">
      <c r="A1006" s="4">
        <v>959</v>
      </c>
      <c r="B1006" s="1" t="s">
        <v>44</v>
      </c>
      <c r="C1006" s="1" t="s">
        <v>17</v>
      </c>
      <c r="D1006" s="1">
        <v>586</v>
      </c>
      <c r="E1006" s="1">
        <v>349</v>
      </c>
      <c r="F1006" s="1">
        <v>465</v>
      </c>
      <c r="G1006" s="1">
        <v>1</v>
      </c>
      <c r="H1006" s="1">
        <v>15304</v>
      </c>
      <c r="I1006" s="1">
        <v>1</v>
      </c>
      <c r="J1006" s="1">
        <v>77</v>
      </c>
      <c r="K1006" s="1">
        <v>413</v>
      </c>
      <c r="L1006" s="1">
        <v>404</v>
      </c>
      <c r="M1006" s="1">
        <v>7.3</v>
      </c>
      <c r="N1006">
        <f>VLOOKUP(A1006,vlookup_table!$A:$G,2,FALSE)</f>
        <v>0</v>
      </c>
      <c r="O1006" t="str">
        <f>VLOOKUP(A1006,vlookup_table!$A:$G,3,FALSE)</f>
        <v>IA</v>
      </c>
      <c r="P1006">
        <f>VLOOKUP(A1006,vlookup_table!$A:$G,4,FALSE)</f>
        <v>4404</v>
      </c>
      <c r="Q1006" t="str">
        <f>VLOOKUP(A1006,vlookup_table!$A:$G,5,FALSE)</f>
        <v>C2</v>
      </c>
      <c r="R1006" t="str">
        <f>VLOOKUP(A1006,vlookup_table!$A:$G,6,FALSE)</f>
        <v>F</v>
      </c>
      <c r="S1006">
        <f>VLOOKUP(A1006,vlookup_table!$A:$G,7,FALSE)</f>
        <v>10</v>
      </c>
      <c r="T1006">
        <f t="shared" si="30"/>
        <v>52</v>
      </c>
      <c r="U1006" t="str">
        <f t="shared" si="31"/>
        <v>Ciudad</v>
      </c>
    </row>
    <row r="1007" spans="1:21" ht="16" x14ac:dyDescent="0.4">
      <c r="A1007" s="4">
        <v>179563</v>
      </c>
      <c r="B1007" s="1" t="s">
        <v>37</v>
      </c>
      <c r="C1007" s="1" t="s">
        <v>14</v>
      </c>
      <c r="D1007" s="1">
        <v>842</v>
      </c>
      <c r="E1007" s="1">
        <v>420</v>
      </c>
      <c r="F1007" s="1">
        <v>494</v>
      </c>
      <c r="G1007" s="1">
        <v>2</v>
      </c>
      <c r="H1007" s="1">
        <v>12894</v>
      </c>
      <c r="I1007" s="1">
        <v>41</v>
      </c>
      <c r="J1007" s="1">
        <v>24</v>
      </c>
      <c r="K1007" s="1">
        <v>419</v>
      </c>
      <c r="L1007" s="1">
        <v>476</v>
      </c>
      <c r="M1007" s="1">
        <v>16.399999999999999</v>
      </c>
      <c r="N1007">
        <f>VLOOKUP(A1007,vlookup_table!$A:$G,2,FALSE)</f>
        <v>1</v>
      </c>
      <c r="O1007" t="str">
        <f>VLOOKUP(A1007,vlookup_table!$A:$G,3,FALSE)</f>
        <v>WA</v>
      </c>
      <c r="P1007">
        <f>VLOOKUP(A1007,vlookup_table!$A:$G,4,FALSE)</f>
        <v>5001</v>
      </c>
      <c r="Q1007" t="str">
        <f>VLOOKUP(A1007,vlookup_table!$A:$G,5,FALSE)</f>
        <v>S2</v>
      </c>
      <c r="R1007" t="str">
        <f>VLOOKUP(A1007,vlookup_table!$A:$G,6,FALSE)</f>
        <v>M</v>
      </c>
      <c r="S1007">
        <f>VLOOKUP(A1007,vlookup_table!$A:$G,7,FALSE)</f>
        <v>23</v>
      </c>
      <c r="T1007">
        <f t="shared" si="30"/>
        <v>46</v>
      </c>
      <c r="U1007" t="str">
        <f t="shared" si="31"/>
        <v>Suburbano</v>
      </c>
    </row>
    <row r="1008" spans="1:21" ht="16" x14ac:dyDescent="0.4">
      <c r="A1008" s="4">
        <v>41243</v>
      </c>
      <c r="B1008" s="1" t="s">
        <v>13</v>
      </c>
      <c r="C1008" s="1" t="s">
        <v>17</v>
      </c>
      <c r="D1008" s="1">
        <v>556</v>
      </c>
      <c r="E1008" s="1">
        <v>246</v>
      </c>
      <c r="F1008" s="1">
        <v>330</v>
      </c>
      <c r="G1008" s="1">
        <v>0</v>
      </c>
      <c r="H1008" s="1">
        <v>10272</v>
      </c>
      <c r="I1008" s="1">
        <v>2</v>
      </c>
      <c r="J1008" s="1">
        <v>56</v>
      </c>
      <c r="K1008" s="1">
        <v>277</v>
      </c>
      <c r="L1008" s="1">
        <v>292</v>
      </c>
      <c r="M1008" s="1">
        <v>9.8181818179999993</v>
      </c>
      <c r="N1008">
        <f>VLOOKUP(A1008,vlookup_table!$A:$G,2,FALSE)</f>
        <v>2</v>
      </c>
      <c r="O1008" t="str">
        <f>VLOOKUP(A1008,vlookup_table!$A:$G,3,FALSE)</f>
        <v>FL</v>
      </c>
      <c r="P1008">
        <f>VLOOKUP(A1008,vlookup_table!$A:$G,4,FALSE)</f>
        <v>2201</v>
      </c>
      <c r="Q1008" t="str">
        <f>VLOOKUP(A1008,vlookup_table!$A:$G,5,FALSE)</f>
        <v>S2</v>
      </c>
      <c r="R1008" t="str">
        <f>VLOOKUP(A1008,vlookup_table!$A:$G,6,FALSE)</f>
        <v>F</v>
      </c>
      <c r="S1008">
        <f>VLOOKUP(A1008,vlookup_table!$A:$G,7,FALSE)</f>
        <v>12</v>
      </c>
      <c r="T1008">
        <f t="shared" si="30"/>
        <v>74</v>
      </c>
      <c r="U1008" t="str">
        <f t="shared" si="31"/>
        <v>Suburbano</v>
      </c>
    </row>
    <row r="1009" spans="1:21" ht="16" x14ac:dyDescent="0.4">
      <c r="A1009" s="6">
        <v>190579</v>
      </c>
      <c r="B1009" s="6" t="s">
        <v>21</v>
      </c>
      <c r="C1009" s="6" t="s">
        <v>14</v>
      </c>
      <c r="D1009" s="6">
        <v>3200</v>
      </c>
      <c r="E1009" s="6">
        <v>310</v>
      </c>
      <c r="F1009" s="6">
        <v>343</v>
      </c>
      <c r="G1009" s="6">
        <v>83</v>
      </c>
      <c r="H1009" s="6">
        <v>17224</v>
      </c>
      <c r="I1009" s="6">
        <v>31</v>
      </c>
      <c r="J1009" s="6">
        <v>32</v>
      </c>
      <c r="K1009" s="6">
        <v>311</v>
      </c>
      <c r="L1009" s="6">
        <v>333</v>
      </c>
      <c r="M1009" s="6">
        <v>3.1060606059999998</v>
      </c>
      <c r="N1009">
        <f>VLOOKUP(A1009,vlookup_table!$A:$G,2,FALSE)</f>
        <v>1</v>
      </c>
      <c r="O1009" t="str">
        <f>VLOOKUP(A1009,vlookup_table!$A:$G,3,FALSE)</f>
        <v>CA</v>
      </c>
      <c r="P1009">
        <f>VLOOKUP(A1009,vlookup_table!$A:$G,4,FALSE)</f>
        <v>0</v>
      </c>
      <c r="Q1009" t="str">
        <f>VLOOKUP(A1009,vlookup_table!$A:$G,5,FALSE)</f>
        <v>U1</v>
      </c>
      <c r="R1009" t="str">
        <f>VLOOKUP(A1009,vlookup_table!$A:$G,6,FALSE)</f>
        <v>M</v>
      </c>
      <c r="S1009">
        <f>VLOOKUP(A1009,vlookup_table!$A:$G,7,FALSE)</f>
        <v>4</v>
      </c>
      <c r="T1009">
        <f t="shared" si="30"/>
        <v>96</v>
      </c>
      <c r="U1009" t="str">
        <f t="shared" si="31"/>
        <v>Urbano</v>
      </c>
    </row>
    <row r="1010" spans="1:21" ht="16" x14ac:dyDescent="0.4">
      <c r="A1010" s="6">
        <v>42997</v>
      </c>
      <c r="B1010" s="6" t="s">
        <v>13</v>
      </c>
      <c r="C1010" s="6" t="s">
        <v>17</v>
      </c>
      <c r="D1010" s="6">
        <v>1567</v>
      </c>
      <c r="E1010" s="6">
        <v>392</v>
      </c>
      <c r="F1010" s="6">
        <v>409</v>
      </c>
      <c r="G1010" s="6">
        <v>27</v>
      </c>
      <c r="H1010" s="6">
        <v>18631</v>
      </c>
      <c r="I1010" s="6">
        <v>4</v>
      </c>
      <c r="J1010" s="6">
        <v>10</v>
      </c>
      <c r="K1010" s="6">
        <v>391</v>
      </c>
      <c r="L1010" s="6">
        <v>434</v>
      </c>
      <c r="M1010" s="6">
        <v>6.5625</v>
      </c>
      <c r="N1010">
        <f>VLOOKUP(A1010,vlookup_table!$A:$G,2,FALSE)</f>
        <v>2</v>
      </c>
      <c r="O1010" t="str">
        <f>VLOOKUP(A1010,vlookup_table!$A:$G,3,FALSE)</f>
        <v>FL</v>
      </c>
      <c r="P1010">
        <f>VLOOKUP(A1010,vlookup_table!$A:$G,4,FALSE)</f>
        <v>1808</v>
      </c>
      <c r="Q1010" t="str">
        <f>VLOOKUP(A1010,vlookup_table!$A:$G,5,FALSE)</f>
        <v>C1</v>
      </c>
      <c r="R1010" t="str">
        <f>VLOOKUP(A1010,vlookup_table!$A:$G,6,FALSE)</f>
        <v>F</v>
      </c>
      <c r="S1010">
        <f>VLOOKUP(A1010,vlookup_table!$A:$G,7,FALSE)</f>
        <v>7</v>
      </c>
      <c r="T1010">
        <f t="shared" si="30"/>
        <v>78</v>
      </c>
      <c r="U1010" t="str">
        <f t="shared" si="31"/>
        <v>Ciudad</v>
      </c>
    </row>
    <row r="1011" spans="1:21" ht="16" x14ac:dyDescent="0.4">
      <c r="A1011" s="6">
        <v>132896</v>
      </c>
      <c r="B1011" s="6" t="s">
        <v>47</v>
      </c>
      <c r="C1011" s="6" t="s">
        <v>17</v>
      </c>
      <c r="D1011" s="6">
        <v>953</v>
      </c>
      <c r="E1011" s="6">
        <v>319</v>
      </c>
      <c r="F1011" s="6">
        <v>455</v>
      </c>
      <c r="G1011" s="6">
        <v>1</v>
      </c>
      <c r="H1011" s="6">
        <v>15729</v>
      </c>
      <c r="I1011" s="6">
        <v>3</v>
      </c>
      <c r="J1011" s="6">
        <v>45</v>
      </c>
      <c r="K1011" s="6">
        <v>379</v>
      </c>
      <c r="L1011" s="6">
        <v>387</v>
      </c>
      <c r="M1011" s="6">
        <v>15.57142857</v>
      </c>
      <c r="N1011">
        <f>VLOOKUP(A1011,vlookup_table!$A:$G,2,FALSE)</f>
        <v>2</v>
      </c>
      <c r="O1011" t="str">
        <f>VLOOKUP(A1011,vlookup_table!$A:$G,3,FALSE)</f>
        <v>OR</v>
      </c>
      <c r="P1011">
        <f>VLOOKUP(A1011,vlookup_table!$A:$G,4,FALSE)</f>
        <v>4410</v>
      </c>
      <c r="Q1011" t="str">
        <f>VLOOKUP(A1011,vlookup_table!$A:$G,5,FALSE)</f>
        <v>T1</v>
      </c>
      <c r="R1011" t="str">
        <f>VLOOKUP(A1011,vlookup_table!$A:$G,6,FALSE)</f>
        <v>F</v>
      </c>
      <c r="S1011">
        <f>VLOOKUP(A1011,vlookup_table!$A:$G,7,FALSE)</f>
        <v>25</v>
      </c>
      <c r="T1011">
        <f t="shared" si="30"/>
        <v>52</v>
      </c>
      <c r="U1011" t="str">
        <f t="shared" si="31"/>
        <v>Pueblo</v>
      </c>
    </row>
    <row r="1012" spans="1:21" ht="16" x14ac:dyDescent="0.4">
      <c r="A1012" s="6">
        <v>120189</v>
      </c>
      <c r="B1012" s="6" t="s">
        <v>20</v>
      </c>
      <c r="C1012" s="6" t="s">
        <v>14</v>
      </c>
      <c r="D1012" s="6">
        <v>492</v>
      </c>
      <c r="E1012" s="6">
        <v>244</v>
      </c>
      <c r="F1012" s="6">
        <v>301</v>
      </c>
      <c r="G1012" s="6">
        <v>3</v>
      </c>
      <c r="H1012" s="6">
        <v>10818</v>
      </c>
      <c r="I1012" s="6">
        <v>0</v>
      </c>
      <c r="J1012" s="6">
        <v>92</v>
      </c>
      <c r="K1012" s="6">
        <v>260</v>
      </c>
      <c r="L1012" s="6">
        <v>284</v>
      </c>
      <c r="M1012" s="6">
        <v>19.375</v>
      </c>
      <c r="N1012">
        <f>VLOOKUP(A1012,vlookup_table!$A:$G,2,FALSE)</f>
        <v>0</v>
      </c>
      <c r="O1012" t="str">
        <f>VLOOKUP(A1012,vlookup_table!$A:$G,3,FALSE)</f>
        <v>TX</v>
      </c>
      <c r="P1012">
        <f>VLOOKUP(A1012,vlookup_table!$A:$G,4,FALSE)</f>
        <v>0</v>
      </c>
      <c r="Q1012" t="str">
        <f>VLOOKUP(A1012,vlookup_table!$A:$G,5,FALSE)</f>
        <v>T2</v>
      </c>
      <c r="R1012" t="str">
        <f>VLOOKUP(A1012,vlookup_table!$A:$G,6,FALSE)</f>
        <v>M</v>
      </c>
      <c r="S1012">
        <f>VLOOKUP(A1012,vlookup_table!$A:$G,7,FALSE)</f>
        <v>25</v>
      </c>
      <c r="T1012">
        <f t="shared" si="30"/>
        <v>96</v>
      </c>
      <c r="U1012" t="str">
        <f t="shared" si="31"/>
        <v>Pueblo</v>
      </c>
    </row>
    <row r="1013" spans="1:21" ht="16" x14ac:dyDescent="0.4">
      <c r="A1013" s="6">
        <v>138829</v>
      </c>
      <c r="B1013" s="6" t="s">
        <v>51</v>
      </c>
      <c r="C1013" s="6" t="s">
        <v>98</v>
      </c>
      <c r="D1013" s="6">
        <v>847</v>
      </c>
      <c r="E1013" s="6">
        <v>185</v>
      </c>
      <c r="F1013" s="6">
        <v>308</v>
      </c>
      <c r="G1013" s="6">
        <v>0</v>
      </c>
      <c r="H1013" s="6">
        <v>11582</v>
      </c>
      <c r="I1013" s="6">
        <v>3</v>
      </c>
      <c r="J1013" s="6">
        <v>20</v>
      </c>
      <c r="K1013" s="6">
        <v>238</v>
      </c>
      <c r="L1013" s="6">
        <v>225</v>
      </c>
      <c r="M1013" s="6">
        <v>11.5</v>
      </c>
      <c r="N1013">
        <f>VLOOKUP(A1013,vlookup_table!$A:$G,2,FALSE)</f>
        <v>28</v>
      </c>
      <c r="O1013" t="str">
        <f>VLOOKUP(A1013,vlookup_table!$A:$G,3,FALSE)</f>
        <v>AZ</v>
      </c>
      <c r="P1013">
        <f>VLOOKUP(A1013,vlookup_table!$A:$G,4,FALSE)</f>
        <v>3601</v>
      </c>
      <c r="Q1013" t="str">
        <f>VLOOKUP(A1013,vlookup_table!$A:$G,5,FALSE)</f>
        <v>T2</v>
      </c>
      <c r="R1013" t="str">
        <f>VLOOKUP(A1013,vlookup_table!$A:$G,6,FALSE)</f>
        <v>F</v>
      </c>
      <c r="S1013">
        <f>VLOOKUP(A1013,vlookup_table!$A:$G,7,FALSE)</f>
        <v>25</v>
      </c>
      <c r="T1013">
        <f t="shared" si="30"/>
        <v>60</v>
      </c>
      <c r="U1013" t="str">
        <f t="shared" si="31"/>
        <v>Pueblo</v>
      </c>
    </row>
    <row r="1014" spans="1:21" ht="16" x14ac:dyDescent="0.4">
      <c r="A1014" s="6">
        <v>167462</v>
      </c>
      <c r="B1014" s="6" t="s">
        <v>21</v>
      </c>
      <c r="C1014" s="6" t="s">
        <v>14</v>
      </c>
      <c r="D1014" s="6">
        <v>2645</v>
      </c>
      <c r="E1014" s="6">
        <v>644</v>
      </c>
      <c r="F1014" s="6">
        <v>697</v>
      </c>
      <c r="G1014" s="6">
        <v>87</v>
      </c>
      <c r="H1014" s="6">
        <v>20782</v>
      </c>
      <c r="I1014" s="6">
        <v>26</v>
      </c>
      <c r="J1014" s="6">
        <v>46</v>
      </c>
      <c r="K1014" s="6">
        <v>655</v>
      </c>
      <c r="L1014" s="6">
        <v>682</v>
      </c>
      <c r="M1014" s="6">
        <v>8.75</v>
      </c>
      <c r="N1014">
        <f>VLOOKUP(A1014,vlookup_table!$A:$G,2,FALSE)</f>
        <v>0</v>
      </c>
      <c r="O1014" t="str">
        <f>VLOOKUP(A1014,vlookup_table!$A:$G,3,FALSE)</f>
        <v>CA</v>
      </c>
      <c r="P1014">
        <f>VLOOKUP(A1014,vlookup_table!$A:$G,4,FALSE)</f>
        <v>3601</v>
      </c>
      <c r="Q1014" t="str">
        <f>VLOOKUP(A1014,vlookup_table!$A:$G,5,FALSE)</f>
        <v>S1</v>
      </c>
      <c r="R1014" t="str">
        <f>VLOOKUP(A1014,vlookup_table!$A:$G,6,FALSE)</f>
        <v>M</v>
      </c>
      <c r="S1014">
        <f>VLOOKUP(A1014,vlookup_table!$A:$G,7,FALSE)</f>
        <v>15</v>
      </c>
      <c r="T1014">
        <f t="shared" si="30"/>
        <v>60</v>
      </c>
      <c r="U1014" t="str">
        <f t="shared" si="31"/>
        <v>Suburbano</v>
      </c>
    </row>
    <row r="1015" spans="1:21" ht="16" x14ac:dyDescent="0.4">
      <c r="A1015" s="6">
        <v>160401</v>
      </c>
      <c r="B1015" s="6" t="s">
        <v>21</v>
      </c>
      <c r="C1015" s="6" t="s">
        <v>17</v>
      </c>
      <c r="D1015" s="6">
        <v>1952</v>
      </c>
      <c r="E1015" s="6">
        <v>335</v>
      </c>
      <c r="F1015" s="6">
        <v>398</v>
      </c>
      <c r="G1015" s="6">
        <v>48</v>
      </c>
      <c r="H1015" s="6">
        <v>15290</v>
      </c>
      <c r="I1015" s="6">
        <v>6</v>
      </c>
      <c r="J1015" s="6">
        <v>55</v>
      </c>
      <c r="K1015" s="6">
        <v>365</v>
      </c>
      <c r="L1015" s="6">
        <v>367</v>
      </c>
      <c r="M1015" s="6">
        <v>13</v>
      </c>
      <c r="N1015">
        <f>VLOOKUP(A1015,vlookup_table!$A:$G,2,FALSE)</f>
        <v>28</v>
      </c>
      <c r="O1015" t="str">
        <f>VLOOKUP(A1015,vlookup_table!$A:$G,3,FALSE)</f>
        <v>CA</v>
      </c>
      <c r="P1015">
        <f>VLOOKUP(A1015,vlookup_table!$A:$G,4,FALSE)</f>
        <v>3101</v>
      </c>
      <c r="Q1015" t="str">
        <f>VLOOKUP(A1015,vlookup_table!$A:$G,5,FALSE)</f>
        <v>T2</v>
      </c>
      <c r="R1015" t="str">
        <f>VLOOKUP(A1015,vlookup_table!$A:$G,6,FALSE)</f>
        <v>F</v>
      </c>
      <c r="S1015">
        <f>VLOOKUP(A1015,vlookup_table!$A:$G,7,FALSE)</f>
        <v>13</v>
      </c>
      <c r="T1015">
        <f t="shared" si="30"/>
        <v>65</v>
      </c>
      <c r="U1015" t="str">
        <f t="shared" si="31"/>
        <v>Pueblo</v>
      </c>
    </row>
    <row r="1016" spans="1:21" ht="16" x14ac:dyDescent="0.4">
      <c r="A1016" s="6">
        <v>174934</v>
      </c>
      <c r="B1016" s="6" t="s">
        <v>47</v>
      </c>
      <c r="C1016" s="6" t="s">
        <v>17</v>
      </c>
      <c r="D1016" s="6">
        <v>1305</v>
      </c>
      <c r="E1016" s="6">
        <v>391</v>
      </c>
      <c r="F1016" s="6">
        <v>471</v>
      </c>
      <c r="G1016" s="6">
        <v>19</v>
      </c>
      <c r="H1016" s="6">
        <v>19716</v>
      </c>
      <c r="I1016" s="6">
        <v>7</v>
      </c>
      <c r="J1016" s="6">
        <v>40</v>
      </c>
      <c r="K1016" s="6">
        <v>456</v>
      </c>
      <c r="L1016" s="6">
        <v>448</v>
      </c>
      <c r="M1016" s="6">
        <v>7</v>
      </c>
      <c r="N1016">
        <f>VLOOKUP(A1016,vlookup_table!$A:$G,2,FALSE)</f>
        <v>28</v>
      </c>
      <c r="O1016" t="str">
        <f>VLOOKUP(A1016,vlookup_table!$A:$G,3,FALSE)</f>
        <v>OR</v>
      </c>
      <c r="P1016">
        <f>VLOOKUP(A1016,vlookup_table!$A:$G,4,FALSE)</f>
        <v>0</v>
      </c>
      <c r="Q1016" t="str">
        <f>VLOOKUP(A1016,vlookup_table!$A:$G,5,FALSE)</f>
        <v>S2</v>
      </c>
      <c r="R1016" t="str">
        <f>VLOOKUP(A1016,vlookup_table!$A:$G,6,FALSE)</f>
        <v>F</v>
      </c>
      <c r="S1016">
        <f>VLOOKUP(A1016,vlookup_table!$A:$G,7,FALSE)</f>
        <v>5</v>
      </c>
      <c r="T1016">
        <f t="shared" si="30"/>
        <v>96</v>
      </c>
      <c r="U1016" t="str">
        <f t="shared" si="31"/>
        <v>Suburbano</v>
      </c>
    </row>
    <row r="1017" spans="1:21" ht="16" x14ac:dyDescent="0.4">
      <c r="A1017" s="6">
        <v>2020</v>
      </c>
      <c r="B1017" s="6" t="s">
        <v>21</v>
      </c>
      <c r="C1017" s="6" t="s">
        <v>17</v>
      </c>
      <c r="D1017" s="6">
        <v>3556</v>
      </c>
      <c r="E1017" s="6">
        <v>735</v>
      </c>
      <c r="F1017" s="6">
        <v>805</v>
      </c>
      <c r="G1017" s="6">
        <v>98</v>
      </c>
      <c r="H1017" s="6">
        <v>34382</v>
      </c>
      <c r="I1017" s="6">
        <v>9</v>
      </c>
      <c r="J1017" s="6">
        <v>55</v>
      </c>
      <c r="K1017" s="6">
        <v>701</v>
      </c>
      <c r="L1017" s="6">
        <v>838</v>
      </c>
      <c r="M1017" s="6">
        <v>7.35</v>
      </c>
      <c r="N1017">
        <f>VLOOKUP(A1017,vlookup_table!$A:$G,2,FALSE)</f>
        <v>2</v>
      </c>
      <c r="O1017" t="str">
        <f>VLOOKUP(A1017,vlookup_table!$A:$G,3,FALSE)</f>
        <v>CA</v>
      </c>
      <c r="P1017">
        <f>VLOOKUP(A1017,vlookup_table!$A:$G,4,FALSE)</f>
        <v>2401</v>
      </c>
      <c r="Q1017" t="str">
        <f>VLOOKUP(A1017,vlookup_table!$A:$G,5,FALSE)</f>
        <v>S1</v>
      </c>
      <c r="R1017" t="str">
        <f>VLOOKUP(A1017,vlookup_table!$A:$G,6,FALSE)</f>
        <v>F</v>
      </c>
      <c r="S1017">
        <f>VLOOKUP(A1017,vlookup_table!$A:$G,7,FALSE)</f>
        <v>7</v>
      </c>
      <c r="T1017">
        <f t="shared" si="30"/>
        <v>72</v>
      </c>
      <c r="U1017" t="str">
        <f t="shared" si="31"/>
        <v>Suburbano</v>
      </c>
    </row>
    <row r="1018" spans="1:21" ht="16" x14ac:dyDescent="0.4">
      <c r="A1018" s="6">
        <v>74235</v>
      </c>
      <c r="B1018" s="6" t="s">
        <v>26</v>
      </c>
      <c r="C1018" s="6" t="s">
        <v>14</v>
      </c>
      <c r="D1018" s="6">
        <v>473</v>
      </c>
      <c r="E1018" s="6">
        <v>327</v>
      </c>
      <c r="F1018" s="6">
        <v>363</v>
      </c>
      <c r="G1018" s="6">
        <v>1</v>
      </c>
      <c r="H1018" s="6">
        <v>12580</v>
      </c>
      <c r="I1018" s="6">
        <v>0</v>
      </c>
      <c r="J1018" s="6">
        <v>94</v>
      </c>
      <c r="K1018" s="6">
        <v>338</v>
      </c>
      <c r="L1018" s="6">
        <v>348</v>
      </c>
      <c r="M1018" s="6">
        <v>13.5</v>
      </c>
      <c r="N1018">
        <f>VLOOKUP(A1018,vlookup_table!$A:$G,2,FALSE)</f>
        <v>4</v>
      </c>
      <c r="O1018" t="str">
        <f>VLOOKUP(A1018,vlookup_table!$A:$G,3,FALSE)</f>
        <v>MI</v>
      </c>
      <c r="P1018">
        <f>VLOOKUP(A1018,vlookup_table!$A:$G,4,FALSE)</f>
        <v>4912</v>
      </c>
      <c r="Q1018" t="str">
        <f>VLOOKUP(A1018,vlookup_table!$A:$G,5,FALSE)</f>
        <v>T2</v>
      </c>
      <c r="R1018" t="str">
        <f>VLOOKUP(A1018,vlookup_table!$A:$G,6,FALSE)</f>
        <v>M</v>
      </c>
      <c r="S1018">
        <f>VLOOKUP(A1018,vlookup_table!$A:$G,7,FALSE)</f>
        <v>26</v>
      </c>
      <c r="T1018">
        <f t="shared" si="30"/>
        <v>47</v>
      </c>
      <c r="U1018" t="str">
        <f t="shared" si="31"/>
        <v>Pueblo</v>
      </c>
    </row>
    <row r="1019" spans="1:21" ht="16" x14ac:dyDescent="0.4">
      <c r="A1019" s="6">
        <v>167039</v>
      </c>
      <c r="B1019" s="6" t="s">
        <v>21</v>
      </c>
      <c r="C1019" s="6"/>
      <c r="D1019" s="6">
        <v>3201</v>
      </c>
      <c r="E1019" s="6">
        <v>497</v>
      </c>
      <c r="F1019" s="6">
        <v>591</v>
      </c>
      <c r="G1019" s="6">
        <v>92</v>
      </c>
      <c r="H1019" s="6">
        <v>19656</v>
      </c>
      <c r="I1019" s="6">
        <v>9</v>
      </c>
      <c r="J1019" s="6">
        <v>72</v>
      </c>
      <c r="K1019" s="6">
        <v>552</v>
      </c>
      <c r="L1019" s="6">
        <v>539</v>
      </c>
      <c r="M1019" s="6">
        <v>5</v>
      </c>
      <c r="N1019">
        <f>VLOOKUP(A1019,vlookup_table!$A:$G,2,FALSE)</f>
        <v>0</v>
      </c>
      <c r="O1019" t="str">
        <f>VLOOKUP(A1019,vlookup_table!$A:$G,3,FALSE)</f>
        <v>CA</v>
      </c>
      <c r="P1019">
        <f>VLOOKUP(A1019,vlookup_table!$A:$G,4,FALSE)</f>
        <v>0</v>
      </c>
      <c r="Q1019" t="str">
        <f>VLOOKUP(A1019,vlookup_table!$A:$G,5,FALSE)</f>
        <v>S1</v>
      </c>
      <c r="R1019" t="str">
        <f>VLOOKUP(A1019,vlookup_table!$A:$G,6,FALSE)</f>
        <v/>
      </c>
      <c r="S1019">
        <f>VLOOKUP(A1019,vlookup_table!$A:$G,7,FALSE)</f>
        <v>5</v>
      </c>
      <c r="T1019">
        <f t="shared" si="30"/>
        <v>96</v>
      </c>
      <c r="U1019" t="str">
        <f t="shared" si="31"/>
        <v>Suburbano</v>
      </c>
    </row>
    <row r="1020" spans="1:21" ht="16" x14ac:dyDescent="0.4">
      <c r="A1020" s="6">
        <v>165509</v>
      </c>
      <c r="B1020" s="6" t="s">
        <v>21</v>
      </c>
      <c r="C1020" s="6" t="s">
        <v>14</v>
      </c>
      <c r="D1020" s="6">
        <v>2213</v>
      </c>
      <c r="E1020" s="6">
        <v>447</v>
      </c>
      <c r="F1020" s="6">
        <v>491</v>
      </c>
      <c r="G1020" s="6">
        <v>77</v>
      </c>
      <c r="H1020" s="6">
        <v>16702</v>
      </c>
      <c r="I1020" s="6">
        <v>7</v>
      </c>
      <c r="J1020" s="6">
        <v>62</v>
      </c>
      <c r="K1020" s="6">
        <v>447</v>
      </c>
      <c r="L1020" s="6">
        <v>491</v>
      </c>
      <c r="M1020" s="6">
        <v>4.95</v>
      </c>
      <c r="N1020">
        <f>VLOOKUP(A1020,vlookup_table!$A:$G,2,FALSE)</f>
        <v>0</v>
      </c>
      <c r="O1020" t="str">
        <f>VLOOKUP(A1020,vlookup_table!$A:$G,3,FALSE)</f>
        <v>CA</v>
      </c>
      <c r="P1020">
        <f>VLOOKUP(A1020,vlookup_table!$A:$G,4,FALSE)</f>
        <v>0</v>
      </c>
      <c r="Q1020" t="str">
        <f>VLOOKUP(A1020,vlookup_table!$A:$G,5,FALSE)</f>
        <v>C1</v>
      </c>
      <c r="R1020" t="str">
        <f>VLOOKUP(A1020,vlookup_table!$A:$G,6,FALSE)</f>
        <v>M</v>
      </c>
      <c r="S1020">
        <f>VLOOKUP(A1020,vlookup_table!$A:$G,7,FALSE)</f>
        <v>10</v>
      </c>
      <c r="T1020">
        <f t="shared" si="30"/>
        <v>96</v>
      </c>
      <c r="U1020" t="str">
        <f t="shared" si="31"/>
        <v>Ciudad</v>
      </c>
    </row>
    <row r="1021" spans="1:21" ht="16" x14ac:dyDescent="0.4">
      <c r="A1021" s="6">
        <v>151653</v>
      </c>
      <c r="B1021" s="6" t="s">
        <v>21</v>
      </c>
      <c r="C1021" s="6"/>
      <c r="D1021" s="6">
        <v>1455</v>
      </c>
      <c r="E1021" s="6">
        <v>376</v>
      </c>
      <c r="F1021" s="6">
        <v>426</v>
      </c>
      <c r="G1021" s="6">
        <v>7</v>
      </c>
      <c r="H1021" s="6">
        <v>14860</v>
      </c>
      <c r="I1021" s="6">
        <v>19</v>
      </c>
      <c r="J1021" s="6">
        <v>39</v>
      </c>
      <c r="K1021" s="6">
        <v>417</v>
      </c>
      <c r="L1021" s="6">
        <v>393</v>
      </c>
      <c r="M1021" s="6">
        <v>6.35</v>
      </c>
      <c r="N1021">
        <f>VLOOKUP(A1021,vlookup_table!$A:$G,2,FALSE)</f>
        <v>0</v>
      </c>
      <c r="O1021" t="str">
        <f>VLOOKUP(A1021,vlookup_table!$A:$G,3,FALSE)</f>
        <v>CA</v>
      </c>
      <c r="P1021">
        <f>VLOOKUP(A1021,vlookup_table!$A:$G,4,FALSE)</f>
        <v>2401</v>
      </c>
      <c r="Q1021" t="str">
        <f>VLOOKUP(A1021,vlookup_table!$A:$G,5,FALSE)</f>
        <v>U3</v>
      </c>
      <c r="R1021" t="str">
        <f>VLOOKUP(A1021,vlookup_table!$A:$G,6,FALSE)</f>
        <v/>
      </c>
      <c r="S1021">
        <f>VLOOKUP(A1021,vlookup_table!$A:$G,7,FALSE)</f>
        <v>10</v>
      </c>
      <c r="T1021">
        <f t="shared" si="30"/>
        <v>72</v>
      </c>
      <c r="U1021" t="str">
        <f t="shared" si="31"/>
        <v>Urbano</v>
      </c>
    </row>
    <row r="1022" spans="1:21" ht="16" x14ac:dyDescent="0.4">
      <c r="A1022" s="6">
        <v>100132</v>
      </c>
      <c r="B1022" s="6" t="s">
        <v>33</v>
      </c>
      <c r="C1022" s="6" t="s">
        <v>17</v>
      </c>
      <c r="D1022" s="6">
        <v>393</v>
      </c>
      <c r="E1022" s="6">
        <v>216</v>
      </c>
      <c r="F1022" s="6">
        <v>301</v>
      </c>
      <c r="G1022" s="6">
        <v>0</v>
      </c>
      <c r="H1022" s="6">
        <v>10107</v>
      </c>
      <c r="I1022" s="6">
        <v>0</v>
      </c>
      <c r="J1022" s="6">
        <v>71</v>
      </c>
      <c r="K1022" s="6">
        <v>258</v>
      </c>
      <c r="L1022" s="6">
        <v>258</v>
      </c>
      <c r="M1022" s="6">
        <v>10</v>
      </c>
      <c r="N1022">
        <f>VLOOKUP(A1022,vlookup_table!$A:$G,2,FALSE)</f>
        <v>0</v>
      </c>
      <c r="O1022" t="str">
        <f>VLOOKUP(A1022,vlookup_table!$A:$G,3,FALSE)</f>
        <v>MO</v>
      </c>
      <c r="P1022">
        <f>VLOOKUP(A1022,vlookup_table!$A:$G,4,FALSE)</f>
        <v>2401</v>
      </c>
      <c r="Q1022" t="str">
        <f>VLOOKUP(A1022,vlookup_table!$A:$G,5,FALSE)</f>
        <v>S2</v>
      </c>
      <c r="R1022" t="str">
        <f>VLOOKUP(A1022,vlookup_table!$A:$G,6,FALSE)</f>
        <v>F</v>
      </c>
      <c r="S1022">
        <f>VLOOKUP(A1022,vlookup_table!$A:$G,7,FALSE)</f>
        <v>15</v>
      </c>
      <c r="T1022">
        <f t="shared" si="30"/>
        <v>72</v>
      </c>
      <c r="U1022" t="str">
        <f t="shared" si="31"/>
        <v>Suburbano</v>
      </c>
    </row>
    <row r="1023" spans="1:21" ht="16" x14ac:dyDescent="0.4">
      <c r="A1023" s="6">
        <v>161726</v>
      </c>
      <c r="B1023" s="6" t="s">
        <v>21</v>
      </c>
      <c r="C1023" s="6" t="s">
        <v>17</v>
      </c>
      <c r="D1023" s="6">
        <v>2453</v>
      </c>
      <c r="E1023" s="6">
        <v>438</v>
      </c>
      <c r="F1023" s="6">
        <v>475</v>
      </c>
      <c r="G1023" s="6">
        <v>86</v>
      </c>
      <c r="H1023" s="6">
        <v>15707</v>
      </c>
      <c r="I1023" s="6">
        <v>16</v>
      </c>
      <c r="J1023" s="6">
        <v>45</v>
      </c>
      <c r="K1023" s="6">
        <v>451</v>
      </c>
      <c r="L1023" s="6">
        <v>436</v>
      </c>
      <c r="M1023" s="6">
        <v>5.8125</v>
      </c>
      <c r="N1023">
        <f>VLOOKUP(A1023,vlookup_table!$A:$G,2,FALSE)</f>
        <v>0</v>
      </c>
      <c r="O1023" t="str">
        <f>VLOOKUP(A1023,vlookup_table!$A:$G,3,FALSE)</f>
        <v>CA</v>
      </c>
      <c r="P1023">
        <f>VLOOKUP(A1023,vlookup_table!$A:$G,4,FALSE)</f>
        <v>4601</v>
      </c>
      <c r="Q1023" t="str">
        <f>VLOOKUP(A1023,vlookup_table!$A:$G,5,FALSE)</f>
        <v>T1</v>
      </c>
      <c r="R1023" t="str">
        <f>VLOOKUP(A1023,vlookup_table!$A:$G,6,FALSE)</f>
        <v>F</v>
      </c>
      <c r="S1023">
        <f>VLOOKUP(A1023,vlookup_table!$A:$G,7,FALSE)</f>
        <v>7</v>
      </c>
      <c r="T1023">
        <f t="shared" si="30"/>
        <v>50</v>
      </c>
      <c r="U1023" t="str">
        <f t="shared" si="31"/>
        <v>Pueblo</v>
      </c>
    </row>
    <row r="1024" spans="1:21" ht="16" x14ac:dyDescent="0.4">
      <c r="A1024" s="6">
        <v>125986</v>
      </c>
      <c r="B1024" s="6" t="s">
        <v>20</v>
      </c>
      <c r="C1024" s="6" t="s">
        <v>14</v>
      </c>
      <c r="D1024" s="6">
        <v>533</v>
      </c>
      <c r="E1024" s="6">
        <v>246</v>
      </c>
      <c r="F1024" s="6">
        <v>308</v>
      </c>
      <c r="G1024" s="6">
        <v>1</v>
      </c>
      <c r="H1024" s="6">
        <v>10096</v>
      </c>
      <c r="I1024" s="6">
        <v>3</v>
      </c>
      <c r="J1024" s="6">
        <v>75</v>
      </c>
      <c r="K1024" s="6">
        <v>276</v>
      </c>
      <c r="L1024" s="6">
        <v>287</v>
      </c>
      <c r="M1024" s="6">
        <v>13.375</v>
      </c>
      <c r="N1024">
        <f>VLOOKUP(A1024,vlookup_table!$A:$G,2,FALSE)</f>
        <v>0</v>
      </c>
      <c r="O1024" t="str">
        <f>VLOOKUP(A1024,vlookup_table!$A:$G,3,FALSE)</f>
        <v>TX</v>
      </c>
      <c r="P1024">
        <f>VLOOKUP(A1024,vlookup_table!$A:$G,4,FALSE)</f>
        <v>4610</v>
      </c>
      <c r="Q1024" t="str">
        <f>VLOOKUP(A1024,vlookup_table!$A:$G,5,FALSE)</f>
        <v>T2</v>
      </c>
      <c r="R1024" t="str">
        <f>VLOOKUP(A1024,vlookup_table!$A:$G,6,FALSE)</f>
        <v>M</v>
      </c>
      <c r="S1024">
        <f>VLOOKUP(A1024,vlookup_table!$A:$G,7,FALSE)</f>
        <v>17</v>
      </c>
      <c r="T1024">
        <f t="shared" si="30"/>
        <v>50</v>
      </c>
      <c r="U1024" t="str">
        <f t="shared" si="31"/>
        <v>Pueblo</v>
      </c>
    </row>
    <row r="1025" spans="1:21" ht="16" x14ac:dyDescent="0.4">
      <c r="A1025" s="6">
        <v>185394</v>
      </c>
      <c r="B1025" s="6" t="s">
        <v>26</v>
      </c>
      <c r="C1025" s="6" t="s">
        <v>17</v>
      </c>
      <c r="D1025" s="6">
        <v>647</v>
      </c>
      <c r="E1025" s="6">
        <v>285</v>
      </c>
      <c r="F1025" s="6">
        <v>338</v>
      </c>
      <c r="G1025" s="6">
        <v>0</v>
      </c>
      <c r="H1025" s="6">
        <v>12910</v>
      </c>
      <c r="I1025" s="6">
        <v>7</v>
      </c>
      <c r="J1025" s="6">
        <v>80</v>
      </c>
      <c r="K1025" s="6">
        <v>317</v>
      </c>
      <c r="L1025" s="6">
        <v>300</v>
      </c>
      <c r="M1025" s="6">
        <v>8.9166666669999994</v>
      </c>
      <c r="N1025">
        <f>VLOOKUP(A1025,vlookup_table!$A:$G,2,FALSE)</f>
        <v>2</v>
      </c>
      <c r="O1025" t="str">
        <f>VLOOKUP(A1025,vlookup_table!$A:$G,3,FALSE)</f>
        <v>MI</v>
      </c>
      <c r="P1025">
        <f>VLOOKUP(A1025,vlookup_table!$A:$G,4,FALSE)</f>
        <v>2702</v>
      </c>
      <c r="Q1025" t="str">
        <f>VLOOKUP(A1025,vlookup_table!$A:$G,5,FALSE)</f>
        <v>S2</v>
      </c>
      <c r="R1025" t="str">
        <f>VLOOKUP(A1025,vlookup_table!$A:$G,6,FALSE)</f>
        <v>F</v>
      </c>
      <c r="S1025">
        <f>VLOOKUP(A1025,vlookup_table!$A:$G,7,FALSE)</f>
        <v>5</v>
      </c>
      <c r="T1025">
        <f t="shared" si="30"/>
        <v>69</v>
      </c>
      <c r="U1025" t="str">
        <f t="shared" si="31"/>
        <v>Suburbano</v>
      </c>
    </row>
    <row r="1026" spans="1:21" ht="16" x14ac:dyDescent="0.4">
      <c r="A1026" s="6">
        <v>43799</v>
      </c>
      <c r="B1026" s="6" t="s">
        <v>13</v>
      </c>
      <c r="C1026" s="6" t="s">
        <v>17</v>
      </c>
      <c r="D1026" s="6">
        <v>1044</v>
      </c>
      <c r="E1026" s="6">
        <v>366</v>
      </c>
      <c r="F1026" s="6">
        <v>499</v>
      </c>
      <c r="G1026" s="6">
        <v>15</v>
      </c>
      <c r="H1026" s="6">
        <v>22427</v>
      </c>
      <c r="I1026" s="6">
        <v>8</v>
      </c>
      <c r="J1026" s="6">
        <v>35</v>
      </c>
      <c r="K1026" s="6">
        <v>318</v>
      </c>
      <c r="L1026" s="6">
        <v>458</v>
      </c>
      <c r="M1026" s="6">
        <v>13.16666667</v>
      </c>
      <c r="N1026">
        <f>VLOOKUP(A1026,vlookup_table!$A:$G,2,FALSE)</f>
        <v>2</v>
      </c>
      <c r="O1026" t="str">
        <f>VLOOKUP(A1026,vlookup_table!$A:$G,3,FALSE)</f>
        <v>FL</v>
      </c>
      <c r="P1026">
        <f>VLOOKUP(A1026,vlookup_table!$A:$G,4,FALSE)</f>
        <v>5801</v>
      </c>
      <c r="Q1026" t="str">
        <f>VLOOKUP(A1026,vlookup_table!$A:$G,5,FALSE)</f>
        <v>T2</v>
      </c>
      <c r="R1026" t="str">
        <f>VLOOKUP(A1026,vlookup_table!$A:$G,6,FALSE)</f>
        <v>F</v>
      </c>
      <c r="S1026">
        <f>VLOOKUP(A1026,vlookup_table!$A:$G,7,FALSE)</f>
        <v>20</v>
      </c>
      <c r="T1026">
        <f t="shared" si="30"/>
        <v>38</v>
      </c>
      <c r="U1026" t="str">
        <f t="shared" si="31"/>
        <v>Pueblo</v>
      </c>
    </row>
    <row r="1027" spans="1:21" ht="16" x14ac:dyDescent="0.4">
      <c r="A1027" s="6">
        <v>185464</v>
      </c>
      <c r="B1027" s="6" t="s">
        <v>53</v>
      </c>
      <c r="C1027" s="6" t="s">
        <v>14</v>
      </c>
      <c r="D1027" s="6">
        <v>702</v>
      </c>
      <c r="E1027" s="6">
        <v>308</v>
      </c>
      <c r="F1027" s="6">
        <v>397</v>
      </c>
      <c r="G1027" s="6">
        <v>0</v>
      </c>
      <c r="H1027" s="6">
        <v>14670</v>
      </c>
      <c r="I1027" s="6">
        <v>9</v>
      </c>
      <c r="J1027" s="6">
        <v>23</v>
      </c>
      <c r="K1027" s="6">
        <v>348</v>
      </c>
      <c r="L1027" s="6">
        <v>337</v>
      </c>
      <c r="M1027" s="6">
        <v>11.11111111</v>
      </c>
      <c r="N1027">
        <f>VLOOKUP(A1027,vlookup_table!$A:$G,2,FALSE)</f>
        <v>1</v>
      </c>
      <c r="O1027" t="str">
        <f>VLOOKUP(A1027,vlookup_table!$A:$G,3,FALSE)</f>
        <v>KY</v>
      </c>
      <c r="P1027">
        <f>VLOOKUP(A1027,vlookup_table!$A:$G,4,FALSE)</f>
        <v>3910</v>
      </c>
      <c r="Q1027" t="str">
        <f>VLOOKUP(A1027,vlookup_table!$A:$G,5,FALSE)</f>
        <v>T2</v>
      </c>
      <c r="R1027" t="str">
        <f>VLOOKUP(A1027,vlookup_table!$A:$G,6,FALSE)</f>
        <v>M</v>
      </c>
      <c r="S1027">
        <f>VLOOKUP(A1027,vlookup_table!$A:$G,7,FALSE)</f>
        <v>15</v>
      </c>
      <c r="T1027">
        <f t="shared" ref="T1027:T1090" si="32">97-LEFT(P1027,2)-IF(RIGHT(P1027,2)&gt;6,1,0)</f>
        <v>57</v>
      </c>
      <c r="U1027" t="str">
        <f t="shared" ref="U1027:U1090" si="33">IF(LEFT(Q1027,1)="C","Ciudad",IF(LEFT(Q1027,1)="T","Pueblo",IF(LEFT(Q1027,1)="R","Rural",IF(LEFT(Q1027,1)="S","Suburbano",IF(LEFT(Q1027,1)="U","Urbano","")))))</f>
        <v>Pueblo</v>
      </c>
    </row>
    <row r="1028" spans="1:21" ht="16" x14ac:dyDescent="0.4">
      <c r="A1028" s="6">
        <v>125325</v>
      </c>
      <c r="B1028" s="6" t="s">
        <v>20</v>
      </c>
      <c r="C1028" s="6" t="s">
        <v>14</v>
      </c>
      <c r="D1028" s="6">
        <v>852</v>
      </c>
      <c r="E1028" s="6">
        <v>516</v>
      </c>
      <c r="F1028" s="6">
        <v>556</v>
      </c>
      <c r="G1028" s="6">
        <v>1</v>
      </c>
      <c r="H1028" s="6">
        <v>16206</v>
      </c>
      <c r="I1028" s="6">
        <v>4</v>
      </c>
      <c r="J1028" s="6">
        <v>46</v>
      </c>
      <c r="K1028" s="6">
        <v>540</v>
      </c>
      <c r="L1028" s="6">
        <v>535</v>
      </c>
      <c r="M1028" s="6">
        <v>14.623478260000001</v>
      </c>
      <c r="N1028">
        <f>VLOOKUP(A1028,vlookup_table!$A:$G,2,FALSE)</f>
        <v>13</v>
      </c>
      <c r="O1028" t="str">
        <f>VLOOKUP(A1028,vlookup_table!$A:$G,3,FALSE)</f>
        <v>TX</v>
      </c>
      <c r="P1028">
        <f>VLOOKUP(A1028,vlookup_table!$A:$G,4,FALSE)</f>
        <v>1709</v>
      </c>
      <c r="Q1028" t="str">
        <f>VLOOKUP(A1028,vlookup_table!$A:$G,5,FALSE)</f>
        <v>S1</v>
      </c>
      <c r="R1028" t="str">
        <f>VLOOKUP(A1028,vlookup_table!$A:$G,6,FALSE)</f>
        <v>M</v>
      </c>
      <c r="S1028">
        <f>VLOOKUP(A1028,vlookup_table!$A:$G,7,FALSE)</f>
        <v>20</v>
      </c>
      <c r="T1028">
        <f t="shared" si="32"/>
        <v>79</v>
      </c>
      <c r="U1028" t="str">
        <f t="shared" si="33"/>
        <v>Suburbano</v>
      </c>
    </row>
    <row r="1029" spans="1:21" ht="16" x14ac:dyDescent="0.4">
      <c r="A1029" s="6">
        <v>112679</v>
      </c>
      <c r="B1029" s="6" t="s">
        <v>28</v>
      </c>
      <c r="C1029" s="6" t="s">
        <v>14</v>
      </c>
      <c r="D1029" s="6">
        <v>1045</v>
      </c>
      <c r="E1029" s="6">
        <v>528</v>
      </c>
      <c r="F1029" s="6">
        <v>618</v>
      </c>
      <c r="G1029" s="6">
        <v>1</v>
      </c>
      <c r="H1029" s="6">
        <v>19402</v>
      </c>
      <c r="I1029" s="6">
        <v>3</v>
      </c>
      <c r="J1029" s="6">
        <v>48</v>
      </c>
      <c r="K1029" s="6">
        <v>538</v>
      </c>
      <c r="L1029" s="6">
        <v>604</v>
      </c>
      <c r="M1029" s="6">
        <v>15</v>
      </c>
      <c r="N1029">
        <f>VLOOKUP(A1029,vlookup_table!$A:$G,2,FALSE)</f>
        <v>1</v>
      </c>
      <c r="O1029" t="str">
        <f>VLOOKUP(A1029,vlookup_table!$A:$G,3,FALSE)</f>
        <v>OK</v>
      </c>
      <c r="P1029">
        <f>VLOOKUP(A1029,vlookup_table!$A:$G,4,FALSE)</f>
        <v>4801</v>
      </c>
      <c r="Q1029" t="str">
        <f>VLOOKUP(A1029,vlookup_table!$A:$G,5,FALSE)</f>
        <v>S1</v>
      </c>
      <c r="R1029" t="str">
        <f>VLOOKUP(A1029,vlookup_table!$A:$G,6,FALSE)</f>
        <v>M</v>
      </c>
      <c r="S1029">
        <f>VLOOKUP(A1029,vlookup_table!$A:$G,7,FALSE)</f>
        <v>20</v>
      </c>
      <c r="T1029">
        <f t="shared" si="32"/>
        <v>48</v>
      </c>
      <c r="U1029" t="str">
        <f t="shared" si="33"/>
        <v>Suburbano</v>
      </c>
    </row>
    <row r="1030" spans="1:21" ht="16" x14ac:dyDescent="0.4">
      <c r="A1030" s="6">
        <v>2415</v>
      </c>
      <c r="B1030" s="6" t="s">
        <v>21</v>
      </c>
      <c r="C1030" s="6" t="s">
        <v>17</v>
      </c>
      <c r="D1030" s="6">
        <v>5501</v>
      </c>
      <c r="E1030" s="6">
        <v>817</v>
      </c>
      <c r="F1030" s="6">
        <v>958</v>
      </c>
      <c r="G1030" s="6">
        <v>98</v>
      </c>
      <c r="H1030" s="6">
        <v>41734</v>
      </c>
      <c r="I1030" s="6">
        <v>33</v>
      </c>
      <c r="J1030" s="6">
        <v>36</v>
      </c>
      <c r="K1030" s="6">
        <v>924</v>
      </c>
      <c r="L1030" s="6">
        <v>870</v>
      </c>
      <c r="M1030" s="6">
        <v>17.5</v>
      </c>
      <c r="N1030">
        <f>VLOOKUP(A1030,vlookup_table!$A:$G,2,FALSE)</f>
        <v>28</v>
      </c>
      <c r="O1030" t="str">
        <f>VLOOKUP(A1030,vlookup_table!$A:$G,3,FALSE)</f>
        <v>CA</v>
      </c>
      <c r="P1030">
        <f>VLOOKUP(A1030,vlookup_table!$A:$G,4,FALSE)</f>
        <v>5501</v>
      </c>
      <c r="Q1030" t="str">
        <f>VLOOKUP(A1030,vlookup_table!$A:$G,5,FALSE)</f>
        <v>S1</v>
      </c>
      <c r="R1030" t="str">
        <f>VLOOKUP(A1030,vlookup_table!$A:$G,6,FALSE)</f>
        <v>F</v>
      </c>
      <c r="S1030">
        <f>VLOOKUP(A1030,vlookup_table!$A:$G,7,FALSE)</f>
        <v>25</v>
      </c>
      <c r="T1030">
        <f t="shared" si="32"/>
        <v>41</v>
      </c>
      <c r="U1030" t="str">
        <f t="shared" si="33"/>
        <v>Suburbano</v>
      </c>
    </row>
    <row r="1031" spans="1:21" ht="16" x14ac:dyDescent="0.4">
      <c r="A1031" s="6">
        <v>166866</v>
      </c>
      <c r="B1031" s="6" t="s">
        <v>21</v>
      </c>
      <c r="C1031" s="6" t="s">
        <v>17</v>
      </c>
      <c r="D1031" s="6">
        <v>3921</v>
      </c>
      <c r="E1031" s="6">
        <v>754</v>
      </c>
      <c r="F1031" s="6">
        <v>835</v>
      </c>
      <c r="G1031" s="6">
        <v>96</v>
      </c>
      <c r="H1031" s="6">
        <v>33998</v>
      </c>
      <c r="I1031" s="6">
        <v>7</v>
      </c>
      <c r="J1031" s="6">
        <v>50</v>
      </c>
      <c r="K1031" s="6">
        <v>804</v>
      </c>
      <c r="L1031" s="6">
        <v>799</v>
      </c>
      <c r="M1031" s="6">
        <v>10</v>
      </c>
      <c r="N1031">
        <f>VLOOKUP(A1031,vlookup_table!$A:$G,2,FALSE)</f>
        <v>0</v>
      </c>
      <c r="O1031" t="str">
        <f>VLOOKUP(A1031,vlookup_table!$A:$G,3,FALSE)</f>
        <v>CA</v>
      </c>
      <c r="P1031">
        <f>VLOOKUP(A1031,vlookup_table!$A:$G,4,FALSE)</f>
        <v>0</v>
      </c>
      <c r="Q1031" t="str">
        <f>VLOOKUP(A1031,vlookup_table!$A:$G,5,FALSE)</f>
        <v>S1</v>
      </c>
      <c r="R1031" t="str">
        <f>VLOOKUP(A1031,vlookup_table!$A:$G,6,FALSE)</f>
        <v>F</v>
      </c>
      <c r="S1031">
        <f>VLOOKUP(A1031,vlookup_table!$A:$G,7,FALSE)</f>
        <v>125</v>
      </c>
      <c r="T1031">
        <f t="shared" si="32"/>
        <v>96</v>
      </c>
      <c r="U1031" t="str">
        <f t="shared" si="33"/>
        <v>Suburbano</v>
      </c>
    </row>
    <row r="1032" spans="1:21" ht="16" x14ac:dyDescent="0.4">
      <c r="A1032" s="6">
        <v>4211</v>
      </c>
      <c r="B1032" s="6" t="s">
        <v>20</v>
      </c>
      <c r="C1032" s="6" t="s">
        <v>17</v>
      </c>
      <c r="D1032" s="6">
        <v>919</v>
      </c>
      <c r="E1032" s="6">
        <v>425</v>
      </c>
      <c r="F1032" s="6">
        <v>697</v>
      </c>
      <c r="G1032" s="6">
        <v>10</v>
      </c>
      <c r="H1032" s="6">
        <v>25784</v>
      </c>
      <c r="I1032" s="6">
        <v>4</v>
      </c>
      <c r="J1032" s="6">
        <v>63</v>
      </c>
      <c r="K1032" s="6">
        <v>562</v>
      </c>
      <c r="L1032" s="6">
        <v>558</v>
      </c>
      <c r="M1032" s="6">
        <v>17.92307692</v>
      </c>
      <c r="N1032">
        <f>VLOOKUP(A1032,vlookup_table!$A:$G,2,FALSE)</f>
        <v>2</v>
      </c>
      <c r="O1032" t="str">
        <f>VLOOKUP(A1032,vlookup_table!$A:$G,3,FALSE)</f>
        <v>TX</v>
      </c>
      <c r="P1032">
        <f>VLOOKUP(A1032,vlookup_table!$A:$G,4,FALSE)</f>
        <v>402</v>
      </c>
      <c r="Q1032" t="str">
        <f>VLOOKUP(A1032,vlookup_table!$A:$G,5,FALSE)</f>
        <v>C1</v>
      </c>
      <c r="R1032" t="str">
        <f>VLOOKUP(A1032,vlookup_table!$A:$G,6,FALSE)</f>
        <v>F</v>
      </c>
      <c r="S1032">
        <f>VLOOKUP(A1032,vlookup_table!$A:$G,7,FALSE)</f>
        <v>25</v>
      </c>
      <c r="T1032">
        <f t="shared" si="32"/>
        <v>56</v>
      </c>
      <c r="U1032" t="str">
        <f t="shared" si="33"/>
        <v>Ciudad</v>
      </c>
    </row>
    <row r="1033" spans="1:21" ht="16" x14ac:dyDescent="0.4">
      <c r="A1033" s="6">
        <v>182395</v>
      </c>
      <c r="B1033" s="6" t="s">
        <v>37</v>
      </c>
      <c r="C1033" s="6" t="s">
        <v>17</v>
      </c>
      <c r="D1033" s="6">
        <v>755</v>
      </c>
      <c r="E1033" s="6">
        <v>210</v>
      </c>
      <c r="F1033" s="6">
        <v>313</v>
      </c>
      <c r="G1033" s="6">
        <v>2</v>
      </c>
      <c r="H1033" s="6">
        <v>11983</v>
      </c>
      <c r="I1033" s="6">
        <v>9</v>
      </c>
      <c r="J1033" s="6">
        <v>39</v>
      </c>
      <c r="K1033" s="6">
        <v>315</v>
      </c>
      <c r="L1033" s="6">
        <v>244</v>
      </c>
      <c r="M1033" s="6">
        <v>16.5</v>
      </c>
      <c r="N1033">
        <f>VLOOKUP(A1033,vlookup_table!$A:$G,2,FALSE)</f>
        <v>28</v>
      </c>
      <c r="O1033" t="str">
        <f>VLOOKUP(A1033,vlookup_table!$A:$G,3,FALSE)</f>
        <v>WA</v>
      </c>
      <c r="P1033">
        <f>VLOOKUP(A1033,vlookup_table!$A:$G,4,FALSE)</f>
        <v>2601</v>
      </c>
      <c r="Q1033" t="str">
        <f>VLOOKUP(A1033,vlookup_table!$A:$G,5,FALSE)</f>
        <v>C2</v>
      </c>
      <c r="R1033" t="str">
        <f>VLOOKUP(A1033,vlookup_table!$A:$G,6,FALSE)</f>
        <v>F</v>
      </c>
      <c r="S1033">
        <f>VLOOKUP(A1033,vlookup_table!$A:$G,7,FALSE)</f>
        <v>10</v>
      </c>
      <c r="T1033">
        <f t="shared" si="32"/>
        <v>70</v>
      </c>
      <c r="U1033" t="str">
        <f t="shared" si="33"/>
        <v>Ciudad</v>
      </c>
    </row>
    <row r="1034" spans="1:21" ht="16" x14ac:dyDescent="0.4">
      <c r="A1034" s="6">
        <v>188178</v>
      </c>
      <c r="B1034" s="6" t="s">
        <v>23</v>
      </c>
      <c r="C1034" s="6" t="s">
        <v>17</v>
      </c>
      <c r="D1034" s="6">
        <v>1383</v>
      </c>
      <c r="E1034" s="6">
        <v>410</v>
      </c>
      <c r="F1034" s="6">
        <v>562</v>
      </c>
      <c r="G1034" s="6">
        <v>14</v>
      </c>
      <c r="H1034" s="6">
        <v>22875</v>
      </c>
      <c r="I1034" s="6">
        <v>8</v>
      </c>
      <c r="J1034" s="6">
        <v>8</v>
      </c>
      <c r="K1034" s="6">
        <v>464</v>
      </c>
      <c r="L1034" s="6">
        <v>499</v>
      </c>
      <c r="M1034" s="6">
        <v>7</v>
      </c>
      <c r="N1034">
        <f>VLOOKUP(A1034,vlookup_table!$A:$G,2,FALSE)</f>
        <v>28</v>
      </c>
      <c r="O1034" t="str">
        <f>VLOOKUP(A1034,vlookup_table!$A:$G,3,FALSE)</f>
        <v>NV</v>
      </c>
      <c r="P1034">
        <f>VLOOKUP(A1034,vlookup_table!$A:$G,4,FALSE)</f>
        <v>0</v>
      </c>
      <c r="Q1034" t="str">
        <f>VLOOKUP(A1034,vlookup_table!$A:$G,5,FALSE)</f>
        <v>S2</v>
      </c>
      <c r="R1034" t="str">
        <f>VLOOKUP(A1034,vlookup_table!$A:$G,6,FALSE)</f>
        <v>F</v>
      </c>
      <c r="S1034">
        <f>VLOOKUP(A1034,vlookup_table!$A:$G,7,FALSE)</f>
        <v>8</v>
      </c>
      <c r="T1034">
        <f t="shared" si="32"/>
        <v>96</v>
      </c>
      <c r="U1034" t="str">
        <f t="shared" si="33"/>
        <v>Suburbano</v>
      </c>
    </row>
    <row r="1035" spans="1:21" ht="16" x14ac:dyDescent="0.4">
      <c r="A1035" s="6">
        <v>147835</v>
      </c>
      <c r="B1035" s="6" t="s">
        <v>21</v>
      </c>
      <c r="C1035" s="6" t="s">
        <v>17</v>
      </c>
      <c r="D1035" s="6">
        <v>3694</v>
      </c>
      <c r="E1035" s="6">
        <v>421</v>
      </c>
      <c r="F1035" s="6">
        <v>666</v>
      </c>
      <c r="G1035" s="6">
        <v>97</v>
      </c>
      <c r="H1035" s="6">
        <v>28021</v>
      </c>
      <c r="I1035" s="6">
        <v>25</v>
      </c>
      <c r="J1035" s="6">
        <v>41</v>
      </c>
      <c r="K1035" s="6">
        <v>611</v>
      </c>
      <c r="L1035" s="6">
        <v>601</v>
      </c>
      <c r="M1035" s="6">
        <v>32.222222219999999</v>
      </c>
      <c r="N1035">
        <f>VLOOKUP(A1035,vlookup_table!$A:$G,2,FALSE)</f>
        <v>0</v>
      </c>
      <c r="O1035" t="str">
        <f>VLOOKUP(A1035,vlookup_table!$A:$G,3,FALSE)</f>
        <v>CA</v>
      </c>
      <c r="P1035">
        <f>VLOOKUP(A1035,vlookup_table!$A:$G,4,FALSE)</f>
        <v>0</v>
      </c>
      <c r="Q1035" t="str">
        <f>VLOOKUP(A1035,vlookup_table!$A:$G,5,FALSE)</f>
        <v>C1</v>
      </c>
      <c r="R1035" t="str">
        <f>VLOOKUP(A1035,vlookup_table!$A:$G,6,FALSE)</f>
        <v>F</v>
      </c>
      <c r="S1035">
        <f>VLOOKUP(A1035,vlookup_table!$A:$G,7,FALSE)</f>
        <v>20</v>
      </c>
      <c r="T1035">
        <f t="shared" si="32"/>
        <v>96</v>
      </c>
      <c r="U1035" t="str">
        <f t="shared" si="33"/>
        <v>Ciudad</v>
      </c>
    </row>
    <row r="1036" spans="1:21" ht="16" x14ac:dyDescent="0.4">
      <c r="A1036" s="6">
        <v>5532</v>
      </c>
      <c r="B1036" s="6" t="s">
        <v>59</v>
      </c>
      <c r="C1036" s="6" t="s">
        <v>14</v>
      </c>
      <c r="D1036" s="6">
        <v>1690</v>
      </c>
      <c r="E1036" s="6">
        <v>598</v>
      </c>
      <c r="F1036" s="6">
        <v>700</v>
      </c>
      <c r="G1036" s="6">
        <v>29</v>
      </c>
      <c r="H1036" s="6">
        <v>24959</v>
      </c>
      <c r="I1036" s="6">
        <v>4</v>
      </c>
      <c r="J1036" s="6">
        <v>30</v>
      </c>
      <c r="K1036" s="6">
        <v>655</v>
      </c>
      <c r="L1036" s="6">
        <v>653</v>
      </c>
      <c r="M1036" s="6">
        <v>9.9285714289999998</v>
      </c>
      <c r="N1036">
        <f>VLOOKUP(A1036,vlookup_table!$A:$G,2,FALSE)</f>
        <v>0</v>
      </c>
      <c r="O1036" t="str">
        <f>VLOOKUP(A1036,vlookup_table!$A:$G,3,FALSE)</f>
        <v>MD</v>
      </c>
      <c r="P1036">
        <f>VLOOKUP(A1036,vlookup_table!$A:$G,4,FALSE)</f>
        <v>2104</v>
      </c>
      <c r="Q1036" t="str">
        <f>VLOOKUP(A1036,vlookup_table!$A:$G,5,FALSE)</f>
        <v>T2</v>
      </c>
      <c r="R1036" t="str">
        <f>VLOOKUP(A1036,vlookup_table!$A:$G,6,FALSE)</f>
        <v>M</v>
      </c>
      <c r="S1036">
        <f>VLOOKUP(A1036,vlookup_table!$A:$G,7,FALSE)</f>
        <v>15</v>
      </c>
      <c r="T1036">
        <f t="shared" si="32"/>
        <v>75</v>
      </c>
      <c r="U1036" t="str">
        <f t="shared" si="33"/>
        <v>Pueblo</v>
      </c>
    </row>
    <row r="1037" spans="1:21" ht="16" x14ac:dyDescent="0.4">
      <c r="A1037" s="6">
        <v>128857</v>
      </c>
      <c r="B1037" s="6" t="s">
        <v>20</v>
      </c>
      <c r="C1037" s="6" t="s">
        <v>14</v>
      </c>
      <c r="D1037" s="6">
        <v>438</v>
      </c>
      <c r="E1037" s="6">
        <v>213</v>
      </c>
      <c r="F1037" s="6">
        <v>264</v>
      </c>
      <c r="G1037" s="6">
        <v>0</v>
      </c>
      <c r="H1037" s="6">
        <v>7722</v>
      </c>
      <c r="I1037" s="6">
        <v>23</v>
      </c>
      <c r="J1037" s="6">
        <v>47</v>
      </c>
      <c r="K1037" s="6">
        <v>213</v>
      </c>
      <c r="L1037" s="6">
        <v>265</v>
      </c>
      <c r="M1037" s="6">
        <v>26</v>
      </c>
      <c r="N1037">
        <f>VLOOKUP(A1037,vlookup_table!$A:$G,2,FALSE)</f>
        <v>1</v>
      </c>
      <c r="O1037" t="str">
        <f>VLOOKUP(A1037,vlookup_table!$A:$G,3,FALSE)</f>
        <v>TX</v>
      </c>
      <c r="P1037">
        <f>VLOOKUP(A1037,vlookup_table!$A:$G,4,FALSE)</f>
        <v>4801</v>
      </c>
      <c r="Q1037" t="str">
        <f>VLOOKUP(A1037,vlookup_table!$A:$G,5,FALSE)</f>
        <v>C3</v>
      </c>
      <c r="R1037" t="str">
        <f>VLOOKUP(A1037,vlookup_table!$A:$G,6,FALSE)</f>
        <v>M</v>
      </c>
      <c r="S1037">
        <f>VLOOKUP(A1037,vlookup_table!$A:$G,7,FALSE)</f>
        <v>15</v>
      </c>
      <c r="T1037">
        <f t="shared" si="32"/>
        <v>48</v>
      </c>
      <c r="U1037" t="str">
        <f t="shared" si="33"/>
        <v>Ciudad</v>
      </c>
    </row>
    <row r="1038" spans="1:21" ht="16" x14ac:dyDescent="0.4">
      <c r="A1038" s="6">
        <v>40058</v>
      </c>
      <c r="B1038" s="6" t="s">
        <v>13</v>
      </c>
      <c r="C1038" s="6" t="s">
        <v>17</v>
      </c>
      <c r="D1038" s="6">
        <v>1187</v>
      </c>
      <c r="E1038" s="6">
        <v>400</v>
      </c>
      <c r="F1038" s="6">
        <v>469</v>
      </c>
      <c r="G1038" s="6">
        <v>12</v>
      </c>
      <c r="H1038" s="6">
        <v>21608</v>
      </c>
      <c r="I1038" s="6">
        <v>12</v>
      </c>
      <c r="J1038" s="6">
        <v>11</v>
      </c>
      <c r="K1038" s="6">
        <v>448</v>
      </c>
      <c r="L1038" s="6">
        <v>438</v>
      </c>
      <c r="M1038" s="6">
        <v>11.66666667</v>
      </c>
      <c r="N1038">
        <f>VLOOKUP(A1038,vlookup_table!$A:$G,2,FALSE)</f>
        <v>2</v>
      </c>
      <c r="O1038" t="str">
        <f>VLOOKUP(A1038,vlookup_table!$A:$G,3,FALSE)</f>
        <v>FL</v>
      </c>
      <c r="P1038">
        <f>VLOOKUP(A1038,vlookup_table!$A:$G,4,FALSE)</f>
        <v>1007</v>
      </c>
      <c r="Q1038" t="str">
        <f>VLOOKUP(A1038,vlookup_table!$A:$G,5,FALSE)</f>
        <v>C2</v>
      </c>
      <c r="R1038" t="str">
        <f>VLOOKUP(A1038,vlookup_table!$A:$G,6,FALSE)</f>
        <v>F</v>
      </c>
      <c r="S1038">
        <f>VLOOKUP(A1038,vlookup_table!$A:$G,7,FALSE)</f>
        <v>25</v>
      </c>
      <c r="T1038">
        <f t="shared" si="32"/>
        <v>86</v>
      </c>
      <c r="U1038" t="str">
        <f t="shared" si="33"/>
        <v>Ciudad</v>
      </c>
    </row>
    <row r="1039" spans="1:21" ht="16" x14ac:dyDescent="0.4">
      <c r="A1039" s="6">
        <v>179377</v>
      </c>
      <c r="B1039" s="6" t="s">
        <v>37</v>
      </c>
      <c r="C1039" s="6"/>
      <c r="D1039" s="6">
        <v>1617</v>
      </c>
      <c r="E1039" s="6">
        <v>398</v>
      </c>
      <c r="F1039" s="6">
        <v>490</v>
      </c>
      <c r="G1039" s="6">
        <v>29</v>
      </c>
      <c r="H1039" s="6">
        <v>14123</v>
      </c>
      <c r="I1039" s="6">
        <v>4</v>
      </c>
      <c r="J1039" s="6">
        <v>59</v>
      </c>
      <c r="K1039" s="6">
        <v>414</v>
      </c>
      <c r="L1039" s="6">
        <v>457</v>
      </c>
      <c r="M1039" s="6">
        <v>7.5</v>
      </c>
      <c r="N1039">
        <f>VLOOKUP(A1039,vlookup_table!$A:$G,2,FALSE)</f>
        <v>0</v>
      </c>
      <c r="O1039" t="str">
        <f>VLOOKUP(A1039,vlookup_table!$A:$G,3,FALSE)</f>
        <v>WA</v>
      </c>
      <c r="P1039">
        <f>VLOOKUP(A1039,vlookup_table!$A:$G,4,FALSE)</f>
        <v>0</v>
      </c>
      <c r="Q1039" t="str">
        <f>VLOOKUP(A1039,vlookup_table!$A:$G,5,FALSE)</f>
        <v/>
      </c>
      <c r="R1039" t="str">
        <f>VLOOKUP(A1039,vlookup_table!$A:$G,6,FALSE)</f>
        <v/>
      </c>
      <c r="S1039">
        <f>VLOOKUP(A1039,vlookup_table!$A:$G,7,FALSE)</f>
        <v>10</v>
      </c>
      <c r="T1039">
        <f t="shared" si="32"/>
        <v>96</v>
      </c>
      <c r="U1039" t="str">
        <f t="shared" si="33"/>
        <v/>
      </c>
    </row>
    <row r="1040" spans="1:21" ht="16" x14ac:dyDescent="0.4">
      <c r="A1040" s="6">
        <v>166207</v>
      </c>
      <c r="B1040" s="6" t="s">
        <v>21</v>
      </c>
      <c r="C1040" s="6" t="s">
        <v>14</v>
      </c>
      <c r="D1040" s="6">
        <v>1367</v>
      </c>
      <c r="E1040" s="6">
        <v>342</v>
      </c>
      <c r="F1040" s="6">
        <v>355</v>
      </c>
      <c r="G1040" s="6">
        <v>4</v>
      </c>
      <c r="H1040" s="6">
        <v>14197</v>
      </c>
      <c r="I1040" s="6">
        <v>2</v>
      </c>
      <c r="J1040" s="6">
        <v>57</v>
      </c>
      <c r="K1040" s="6">
        <v>329</v>
      </c>
      <c r="L1040" s="6">
        <v>359</v>
      </c>
      <c r="M1040" s="6">
        <v>6.75</v>
      </c>
      <c r="N1040">
        <f>VLOOKUP(A1040,vlookup_table!$A:$G,2,FALSE)</f>
        <v>1</v>
      </c>
      <c r="O1040" t="str">
        <f>VLOOKUP(A1040,vlookup_table!$A:$G,3,FALSE)</f>
        <v>CA</v>
      </c>
      <c r="P1040">
        <f>VLOOKUP(A1040,vlookup_table!$A:$G,4,FALSE)</f>
        <v>0</v>
      </c>
      <c r="Q1040" t="str">
        <f>VLOOKUP(A1040,vlookup_table!$A:$G,5,FALSE)</f>
        <v>U2</v>
      </c>
      <c r="R1040" t="str">
        <f>VLOOKUP(A1040,vlookup_table!$A:$G,6,FALSE)</f>
        <v>M</v>
      </c>
      <c r="S1040">
        <f>VLOOKUP(A1040,vlookup_table!$A:$G,7,FALSE)</f>
        <v>9</v>
      </c>
      <c r="T1040">
        <f t="shared" si="32"/>
        <v>96</v>
      </c>
      <c r="U1040" t="str">
        <f t="shared" si="33"/>
        <v>Urbano</v>
      </c>
    </row>
    <row r="1041" spans="1:21" ht="16" x14ac:dyDescent="0.4">
      <c r="A1041" s="6">
        <v>124227</v>
      </c>
      <c r="B1041" s="6" t="s">
        <v>20</v>
      </c>
      <c r="C1041" s="6" t="s">
        <v>27</v>
      </c>
      <c r="D1041" s="6">
        <v>267</v>
      </c>
      <c r="E1041" s="6">
        <v>121</v>
      </c>
      <c r="F1041" s="6">
        <v>94</v>
      </c>
      <c r="G1041" s="6">
        <v>0</v>
      </c>
      <c r="H1041" s="6">
        <v>4567</v>
      </c>
      <c r="I1041" s="6">
        <v>0</v>
      </c>
      <c r="J1041" s="6">
        <v>69</v>
      </c>
      <c r="K1041" s="6">
        <v>72</v>
      </c>
      <c r="L1041" s="6">
        <v>169</v>
      </c>
      <c r="M1041" s="6">
        <v>13.875</v>
      </c>
      <c r="N1041">
        <f>VLOOKUP(A1041,vlookup_table!$A:$G,2,FALSE)</f>
        <v>0</v>
      </c>
      <c r="O1041" t="str">
        <f>VLOOKUP(A1041,vlookup_table!$A:$G,3,FALSE)</f>
        <v>TX</v>
      </c>
      <c r="P1041">
        <f>VLOOKUP(A1041,vlookup_table!$A:$G,4,FALSE)</f>
        <v>0</v>
      </c>
      <c r="Q1041" t="str">
        <f>VLOOKUP(A1041,vlookup_table!$A:$G,5,FALSE)</f>
        <v>C3</v>
      </c>
      <c r="R1041" t="str">
        <f>VLOOKUP(A1041,vlookup_table!$A:$G,6,FALSE)</f>
        <v>U</v>
      </c>
      <c r="S1041">
        <f>VLOOKUP(A1041,vlookup_table!$A:$G,7,FALSE)</f>
        <v>25</v>
      </c>
      <c r="T1041">
        <f t="shared" si="32"/>
        <v>96</v>
      </c>
      <c r="U1041" t="str">
        <f t="shared" si="33"/>
        <v>Ciudad</v>
      </c>
    </row>
    <row r="1042" spans="1:21" ht="16" x14ac:dyDescent="0.4">
      <c r="A1042" s="6">
        <v>7173</v>
      </c>
      <c r="B1042" s="6" t="s">
        <v>49</v>
      </c>
      <c r="C1042" s="6" t="s">
        <v>17</v>
      </c>
      <c r="D1042" s="6">
        <v>854</v>
      </c>
      <c r="E1042" s="6">
        <v>321</v>
      </c>
      <c r="F1042" s="6">
        <v>427</v>
      </c>
      <c r="G1042" s="6">
        <v>0</v>
      </c>
      <c r="H1042" s="6">
        <v>16171</v>
      </c>
      <c r="I1042" s="6">
        <v>0</v>
      </c>
      <c r="J1042" s="6">
        <v>58</v>
      </c>
      <c r="K1042" s="6">
        <v>389</v>
      </c>
      <c r="L1042" s="6">
        <v>372</v>
      </c>
      <c r="M1042" s="6">
        <v>17.733333330000001</v>
      </c>
      <c r="N1042">
        <f>VLOOKUP(A1042,vlookup_table!$A:$G,2,FALSE)</f>
        <v>2</v>
      </c>
      <c r="O1042" t="str">
        <f>VLOOKUP(A1042,vlookup_table!$A:$G,3,FALSE)</f>
        <v>TN</v>
      </c>
      <c r="P1042">
        <f>VLOOKUP(A1042,vlookup_table!$A:$G,4,FALSE)</f>
        <v>3008</v>
      </c>
      <c r="Q1042" t="str">
        <f>VLOOKUP(A1042,vlookup_table!$A:$G,5,FALSE)</f>
        <v>S1</v>
      </c>
      <c r="R1042" t="str">
        <f>VLOOKUP(A1042,vlookup_table!$A:$G,6,FALSE)</f>
        <v>F</v>
      </c>
      <c r="S1042">
        <f>VLOOKUP(A1042,vlookup_table!$A:$G,7,FALSE)</f>
        <v>32</v>
      </c>
      <c r="T1042">
        <f t="shared" si="32"/>
        <v>66</v>
      </c>
      <c r="U1042" t="str">
        <f t="shared" si="33"/>
        <v>Suburbano</v>
      </c>
    </row>
    <row r="1043" spans="1:21" ht="16" x14ac:dyDescent="0.4">
      <c r="A1043" s="6">
        <v>85152</v>
      </c>
      <c r="B1043" s="6" t="s">
        <v>52</v>
      </c>
      <c r="C1043" s="6" t="s">
        <v>14</v>
      </c>
      <c r="D1043" s="6">
        <v>493</v>
      </c>
      <c r="E1043" s="6">
        <v>244</v>
      </c>
      <c r="F1043" s="6">
        <v>395</v>
      </c>
      <c r="G1043" s="6">
        <v>1</v>
      </c>
      <c r="H1043" s="6">
        <v>12517</v>
      </c>
      <c r="I1043" s="6">
        <v>1</v>
      </c>
      <c r="J1043" s="6">
        <v>87</v>
      </c>
      <c r="K1043" s="6">
        <v>311</v>
      </c>
      <c r="L1043" s="6">
        <v>314</v>
      </c>
      <c r="M1043" s="6">
        <v>12.5</v>
      </c>
      <c r="N1043">
        <f>VLOOKUP(A1043,vlookup_table!$A:$G,2,FALSE)</f>
        <v>2</v>
      </c>
      <c r="O1043" t="str">
        <f>VLOOKUP(A1043,vlookup_table!$A:$G,3,FALSE)</f>
        <v>MN</v>
      </c>
      <c r="P1043">
        <f>VLOOKUP(A1043,vlookup_table!$A:$G,4,FALSE)</f>
        <v>0</v>
      </c>
      <c r="Q1043" t="str">
        <f>VLOOKUP(A1043,vlookup_table!$A:$G,5,FALSE)</f>
        <v>R3</v>
      </c>
      <c r="R1043" t="str">
        <f>VLOOKUP(A1043,vlookup_table!$A:$G,6,FALSE)</f>
        <v>M</v>
      </c>
      <c r="S1043">
        <f>VLOOKUP(A1043,vlookup_table!$A:$G,7,FALSE)</f>
        <v>10</v>
      </c>
      <c r="T1043">
        <f t="shared" si="32"/>
        <v>96</v>
      </c>
      <c r="U1043" t="str">
        <f t="shared" si="33"/>
        <v>Rural</v>
      </c>
    </row>
    <row r="1044" spans="1:21" ht="16" x14ac:dyDescent="0.4">
      <c r="A1044" s="6">
        <v>32807</v>
      </c>
      <c r="B1044" s="6" t="s">
        <v>13</v>
      </c>
      <c r="C1044" s="6" t="s">
        <v>14</v>
      </c>
      <c r="D1044" s="6">
        <v>700</v>
      </c>
      <c r="E1044" s="6">
        <v>327</v>
      </c>
      <c r="F1044" s="6">
        <v>375</v>
      </c>
      <c r="G1044" s="6">
        <v>0</v>
      </c>
      <c r="H1044" s="6">
        <v>11551</v>
      </c>
      <c r="I1044" s="6">
        <v>9</v>
      </c>
      <c r="J1044" s="6">
        <v>44</v>
      </c>
      <c r="K1044" s="6">
        <v>360</v>
      </c>
      <c r="L1044" s="6">
        <v>355</v>
      </c>
      <c r="M1044" s="6">
        <v>5.4444444440000002</v>
      </c>
      <c r="N1044">
        <f>VLOOKUP(A1044,vlookup_table!$A:$G,2,FALSE)</f>
        <v>1002</v>
      </c>
      <c r="O1044" t="str">
        <f>VLOOKUP(A1044,vlookup_table!$A:$G,3,FALSE)</f>
        <v>FL</v>
      </c>
      <c r="P1044">
        <f>VLOOKUP(A1044,vlookup_table!$A:$G,4,FALSE)</f>
        <v>3301</v>
      </c>
      <c r="Q1044" t="str">
        <f>VLOOKUP(A1044,vlookup_table!$A:$G,5,FALSE)</f>
        <v>S2</v>
      </c>
      <c r="R1044" t="str">
        <f>VLOOKUP(A1044,vlookup_table!$A:$G,6,FALSE)</f>
        <v>M</v>
      </c>
      <c r="S1044">
        <f>VLOOKUP(A1044,vlookup_table!$A:$G,7,FALSE)</f>
        <v>5</v>
      </c>
      <c r="T1044">
        <f t="shared" si="32"/>
        <v>63</v>
      </c>
      <c r="U1044" t="str">
        <f t="shared" si="33"/>
        <v>Suburbano</v>
      </c>
    </row>
    <row r="1045" spans="1:21" ht="16" x14ac:dyDescent="0.4">
      <c r="A1045" s="6">
        <v>268</v>
      </c>
      <c r="B1045" s="6" t="s">
        <v>13</v>
      </c>
      <c r="C1045" s="6" t="s">
        <v>17</v>
      </c>
      <c r="D1045" s="6">
        <v>1765</v>
      </c>
      <c r="E1045" s="6">
        <v>327</v>
      </c>
      <c r="F1045" s="6">
        <v>562</v>
      </c>
      <c r="G1045" s="6">
        <v>44</v>
      </c>
      <c r="H1045" s="6">
        <v>27674</v>
      </c>
      <c r="I1045" s="6">
        <v>14</v>
      </c>
      <c r="J1045" s="6">
        <v>8</v>
      </c>
      <c r="K1045" s="6">
        <v>465</v>
      </c>
      <c r="L1045" s="6">
        <v>442</v>
      </c>
      <c r="M1045" s="6">
        <v>22.38095238</v>
      </c>
      <c r="N1045">
        <f>VLOOKUP(A1045,vlookup_table!$A:$G,2,FALSE)</f>
        <v>0</v>
      </c>
      <c r="O1045" t="str">
        <f>VLOOKUP(A1045,vlookup_table!$A:$G,3,FALSE)</f>
        <v>FL</v>
      </c>
      <c r="P1045">
        <f>VLOOKUP(A1045,vlookup_table!$A:$G,4,FALSE)</f>
        <v>607</v>
      </c>
      <c r="Q1045" t="str">
        <f>VLOOKUP(A1045,vlookup_table!$A:$G,5,FALSE)</f>
        <v>C1</v>
      </c>
      <c r="R1045" t="str">
        <f>VLOOKUP(A1045,vlookup_table!$A:$G,6,FALSE)</f>
        <v>F</v>
      </c>
      <c r="S1045">
        <f>VLOOKUP(A1045,vlookup_table!$A:$G,7,FALSE)</f>
        <v>33</v>
      </c>
      <c r="T1045">
        <f t="shared" si="32"/>
        <v>36</v>
      </c>
      <c r="U1045" t="str">
        <f t="shared" si="33"/>
        <v>Ciudad</v>
      </c>
    </row>
    <row r="1046" spans="1:21" ht="16" x14ac:dyDescent="0.4">
      <c r="A1046" s="6">
        <v>109514</v>
      </c>
      <c r="B1046" s="6" t="s">
        <v>46</v>
      </c>
      <c r="C1046" s="6" t="s">
        <v>14</v>
      </c>
      <c r="D1046" s="6">
        <v>0</v>
      </c>
      <c r="E1046" s="6">
        <v>0</v>
      </c>
      <c r="F1046" s="6">
        <v>0</v>
      </c>
      <c r="G1046" s="6">
        <v>0</v>
      </c>
      <c r="H1046" s="6">
        <v>0</v>
      </c>
      <c r="I1046" s="6">
        <v>0</v>
      </c>
      <c r="J1046" s="6">
        <v>0</v>
      </c>
      <c r="K1046" s="6">
        <v>0</v>
      </c>
      <c r="L1046" s="6">
        <v>0</v>
      </c>
      <c r="M1046" s="6">
        <v>5.6666666670000003</v>
      </c>
      <c r="N1046">
        <f>VLOOKUP(A1046,vlookup_table!$A:$G,2,FALSE)</f>
        <v>0</v>
      </c>
      <c r="O1046" t="str">
        <f>VLOOKUP(A1046,vlookup_table!$A:$G,3,FALSE)</f>
        <v>LA</v>
      </c>
      <c r="P1046">
        <f>VLOOKUP(A1046,vlookup_table!$A:$G,4,FALSE)</f>
        <v>3601</v>
      </c>
      <c r="Q1046" t="str">
        <f>VLOOKUP(A1046,vlookup_table!$A:$G,5,FALSE)</f>
        <v>T2</v>
      </c>
      <c r="R1046" t="str">
        <f>VLOOKUP(A1046,vlookup_table!$A:$G,6,FALSE)</f>
        <v>M</v>
      </c>
      <c r="S1046">
        <f>VLOOKUP(A1046,vlookup_table!$A:$G,7,FALSE)</f>
        <v>6</v>
      </c>
      <c r="T1046">
        <f t="shared" si="32"/>
        <v>60</v>
      </c>
      <c r="U1046" t="str">
        <f t="shared" si="33"/>
        <v>Pueblo</v>
      </c>
    </row>
    <row r="1047" spans="1:21" ht="16" x14ac:dyDescent="0.4">
      <c r="A1047" s="6">
        <v>181644</v>
      </c>
      <c r="B1047" s="6" t="s">
        <v>37</v>
      </c>
      <c r="C1047" s="6" t="s">
        <v>17</v>
      </c>
      <c r="D1047" s="6">
        <v>929</v>
      </c>
      <c r="E1047" s="6">
        <v>327</v>
      </c>
      <c r="F1047" s="6">
        <v>352</v>
      </c>
      <c r="G1047" s="6">
        <v>8</v>
      </c>
      <c r="H1047" s="6">
        <v>12995</v>
      </c>
      <c r="I1047" s="6">
        <v>5</v>
      </c>
      <c r="J1047" s="6">
        <v>47</v>
      </c>
      <c r="K1047" s="6">
        <v>369</v>
      </c>
      <c r="L1047" s="6">
        <v>314</v>
      </c>
      <c r="M1047" s="6">
        <v>8.5</v>
      </c>
      <c r="N1047">
        <f>VLOOKUP(A1047,vlookup_table!$A:$G,2,FALSE)</f>
        <v>0</v>
      </c>
      <c r="O1047" t="str">
        <f>VLOOKUP(A1047,vlookup_table!$A:$G,3,FALSE)</f>
        <v>WA</v>
      </c>
      <c r="P1047">
        <f>VLOOKUP(A1047,vlookup_table!$A:$G,4,FALSE)</f>
        <v>5707</v>
      </c>
      <c r="Q1047" t="str">
        <f>VLOOKUP(A1047,vlookup_table!$A:$G,5,FALSE)</f>
        <v>C3</v>
      </c>
      <c r="R1047" t="str">
        <f>VLOOKUP(A1047,vlookup_table!$A:$G,6,FALSE)</f>
        <v>F</v>
      </c>
      <c r="S1047">
        <f>VLOOKUP(A1047,vlookup_table!$A:$G,7,FALSE)</f>
        <v>12</v>
      </c>
      <c r="T1047">
        <f t="shared" si="32"/>
        <v>39</v>
      </c>
      <c r="U1047" t="str">
        <f t="shared" si="33"/>
        <v>Ciudad</v>
      </c>
    </row>
    <row r="1048" spans="1:21" ht="16" x14ac:dyDescent="0.4">
      <c r="A1048" s="6">
        <v>62585</v>
      </c>
      <c r="B1048" s="6" t="s">
        <v>18</v>
      </c>
      <c r="C1048" s="6" t="s">
        <v>98</v>
      </c>
      <c r="D1048" s="6">
        <v>581</v>
      </c>
      <c r="E1048" s="6">
        <v>231</v>
      </c>
      <c r="F1048" s="6">
        <v>332</v>
      </c>
      <c r="G1048" s="6">
        <v>1</v>
      </c>
      <c r="H1048" s="6">
        <v>11794</v>
      </c>
      <c r="I1048" s="6">
        <v>0</v>
      </c>
      <c r="J1048" s="6">
        <v>90</v>
      </c>
      <c r="K1048" s="6">
        <v>267</v>
      </c>
      <c r="L1048" s="6">
        <v>288</v>
      </c>
      <c r="M1048" s="6">
        <v>14</v>
      </c>
      <c r="N1048">
        <f>VLOOKUP(A1048,vlookup_table!$A:$G,2,FALSE)</f>
        <v>0</v>
      </c>
      <c r="O1048" t="str">
        <f>VLOOKUP(A1048,vlookup_table!$A:$G,3,FALSE)</f>
        <v>NC</v>
      </c>
      <c r="P1048">
        <f>VLOOKUP(A1048,vlookup_table!$A:$G,4,FALSE)</f>
        <v>5001</v>
      </c>
      <c r="Q1048" t="str">
        <f>VLOOKUP(A1048,vlookup_table!$A:$G,5,FALSE)</f>
        <v>C3</v>
      </c>
      <c r="R1048" t="str">
        <f>VLOOKUP(A1048,vlookup_table!$A:$G,6,FALSE)</f>
        <v>F</v>
      </c>
      <c r="S1048">
        <f>VLOOKUP(A1048,vlookup_table!$A:$G,7,FALSE)</f>
        <v>25</v>
      </c>
      <c r="T1048">
        <f t="shared" si="32"/>
        <v>46</v>
      </c>
      <c r="U1048" t="str">
        <f t="shared" si="33"/>
        <v>Ciudad</v>
      </c>
    </row>
    <row r="1049" spans="1:21" ht="16" x14ac:dyDescent="0.4">
      <c r="A1049" s="6">
        <v>163354</v>
      </c>
      <c r="B1049" s="6" t="s">
        <v>21</v>
      </c>
      <c r="C1049" s="6" t="s">
        <v>17</v>
      </c>
      <c r="D1049" s="6">
        <v>4313</v>
      </c>
      <c r="E1049" s="6">
        <v>748</v>
      </c>
      <c r="F1049" s="6">
        <v>811</v>
      </c>
      <c r="G1049" s="6">
        <v>98</v>
      </c>
      <c r="H1049" s="6">
        <v>27850</v>
      </c>
      <c r="I1049" s="6">
        <v>16</v>
      </c>
      <c r="J1049" s="6">
        <v>54</v>
      </c>
      <c r="K1049" s="6">
        <v>783</v>
      </c>
      <c r="L1049" s="6">
        <v>752</v>
      </c>
      <c r="M1049" s="6">
        <v>11.85714286</v>
      </c>
      <c r="N1049">
        <f>VLOOKUP(A1049,vlookup_table!$A:$G,2,FALSE)</f>
        <v>0</v>
      </c>
      <c r="O1049" t="str">
        <f>VLOOKUP(A1049,vlookup_table!$A:$G,3,FALSE)</f>
        <v>CA</v>
      </c>
      <c r="P1049">
        <f>VLOOKUP(A1049,vlookup_table!$A:$G,4,FALSE)</f>
        <v>604</v>
      </c>
      <c r="Q1049" t="str">
        <f>VLOOKUP(A1049,vlookup_table!$A:$G,5,FALSE)</f>
        <v>U1</v>
      </c>
      <c r="R1049" t="str">
        <f>VLOOKUP(A1049,vlookup_table!$A:$G,6,FALSE)</f>
        <v>F</v>
      </c>
      <c r="S1049">
        <f>VLOOKUP(A1049,vlookup_table!$A:$G,7,FALSE)</f>
        <v>10</v>
      </c>
      <c r="T1049">
        <f t="shared" si="32"/>
        <v>36</v>
      </c>
      <c r="U1049" t="str">
        <f t="shared" si="33"/>
        <v>Urbano</v>
      </c>
    </row>
    <row r="1050" spans="1:21" ht="16" x14ac:dyDescent="0.4">
      <c r="A1050" s="6">
        <v>98672</v>
      </c>
      <c r="B1050" s="6" t="s">
        <v>16</v>
      </c>
      <c r="C1050" s="6" t="s">
        <v>14</v>
      </c>
      <c r="D1050" s="6">
        <v>470</v>
      </c>
      <c r="E1050" s="6">
        <v>274</v>
      </c>
      <c r="F1050" s="6">
        <v>337</v>
      </c>
      <c r="G1050" s="6">
        <v>0</v>
      </c>
      <c r="H1050" s="6">
        <v>11192</v>
      </c>
      <c r="I1050" s="6">
        <v>1</v>
      </c>
      <c r="J1050" s="6">
        <v>91</v>
      </c>
      <c r="K1050" s="6">
        <v>313</v>
      </c>
      <c r="L1050" s="6">
        <v>282</v>
      </c>
      <c r="M1050" s="6">
        <v>4.2</v>
      </c>
      <c r="N1050">
        <f>VLOOKUP(A1050,vlookup_table!$A:$G,2,FALSE)</f>
        <v>0</v>
      </c>
      <c r="O1050" t="str">
        <f>VLOOKUP(A1050,vlookup_table!$A:$G,3,FALSE)</f>
        <v>IL</v>
      </c>
      <c r="P1050">
        <f>VLOOKUP(A1050,vlookup_table!$A:$G,4,FALSE)</f>
        <v>6506</v>
      </c>
      <c r="Q1050" t="str">
        <f>VLOOKUP(A1050,vlookup_table!$A:$G,5,FALSE)</f>
        <v>C3</v>
      </c>
      <c r="R1050" t="str">
        <f>VLOOKUP(A1050,vlookup_table!$A:$G,6,FALSE)</f>
        <v>M</v>
      </c>
      <c r="S1050">
        <f>VLOOKUP(A1050,vlookup_table!$A:$G,7,FALSE)</f>
        <v>5</v>
      </c>
      <c r="T1050">
        <f t="shared" si="32"/>
        <v>31</v>
      </c>
      <c r="U1050" t="str">
        <f t="shared" si="33"/>
        <v>Ciudad</v>
      </c>
    </row>
    <row r="1051" spans="1:21" ht="16" x14ac:dyDescent="0.4">
      <c r="A1051" s="6">
        <v>190614</v>
      </c>
      <c r="B1051" s="6" t="s">
        <v>45</v>
      </c>
      <c r="C1051" s="6" t="s">
        <v>17</v>
      </c>
      <c r="D1051" s="6">
        <v>1159</v>
      </c>
      <c r="E1051" s="6">
        <v>572</v>
      </c>
      <c r="F1051" s="6">
        <v>561</v>
      </c>
      <c r="G1051" s="6">
        <v>0</v>
      </c>
      <c r="H1051" s="6">
        <v>17337</v>
      </c>
      <c r="I1051" s="6">
        <v>6</v>
      </c>
      <c r="J1051" s="6">
        <v>28</v>
      </c>
      <c r="K1051" s="6">
        <v>557</v>
      </c>
      <c r="L1051" s="6">
        <v>574</v>
      </c>
      <c r="M1051" s="6">
        <v>6.230769231</v>
      </c>
      <c r="N1051">
        <f>VLOOKUP(A1051,vlookup_table!$A:$G,2,FALSE)</f>
        <v>0</v>
      </c>
      <c r="O1051" t="str">
        <f>VLOOKUP(A1051,vlookup_table!$A:$G,3,FALSE)</f>
        <v>CO</v>
      </c>
      <c r="P1051">
        <f>VLOOKUP(A1051,vlookup_table!$A:$G,4,FALSE)</f>
        <v>0</v>
      </c>
      <c r="Q1051" t="str">
        <f>VLOOKUP(A1051,vlookup_table!$A:$G,5,FALSE)</f>
        <v>S1</v>
      </c>
      <c r="R1051" t="str">
        <f>VLOOKUP(A1051,vlookup_table!$A:$G,6,FALSE)</f>
        <v>F</v>
      </c>
      <c r="S1051">
        <f>VLOOKUP(A1051,vlookup_table!$A:$G,7,FALSE)</f>
        <v>3</v>
      </c>
      <c r="T1051">
        <f t="shared" si="32"/>
        <v>96</v>
      </c>
      <c r="U1051" t="str">
        <f t="shared" si="33"/>
        <v>Suburbano</v>
      </c>
    </row>
    <row r="1052" spans="1:21" ht="16" x14ac:dyDescent="0.4">
      <c r="A1052" s="6">
        <v>155607</v>
      </c>
      <c r="B1052" s="6" t="s">
        <v>21</v>
      </c>
      <c r="C1052" s="6" t="s">
        <v>17</v>
      </c>
      <c r="D1052" s="6">
        <v>3152</v>
      </c>
      <c r="E1052" s="6">
        <v>853</v>
      </c>
      <c r="F1052" s="6">
        <v>950</v>
      </c>
      <c r="G1052" s="6">
        <v>81</v>
      </c>
      <c r="H1052" s="6">
        <v>35415</v>
      </c>
      <c r="I1052" s="6">
        <v>10</v>
      </c>
      <c r="J1052" s="6">
        <v>45</v>
      </c>
      <c r="K1052" s="6">
        <v>891</v>
      </c>
      <c r="L1052" s="6">
        <v>908</v>
      </c>
      <c r="M1052" s="6">
        <v>34</v>
      </c>
      <c r="N1052">
        <f>VLOOKUP(A1052,vlookup_table!$A:$G,2,FALSE)</f>
        <v>0</v>
      </c>
      <c r="O1052" t="str">
        <f>VLOOKUP(A1052,vlookup_table!$A:$G,3,FALSE)</f>
        <v>CA</v>
      </c>
      <c r="P1052">
        <f>VLOOKUP(A1052,vlookup_table!$A:$G,4,FALSE)</f>
        <v>5401</v>
      </c>
      <c r="Q1052" t="str">
        <f>VLOOKUP(A1052,vlookup_table!$A:$G,5,FALSE)</f>
        <v>S1</v>
      </c>
      <c r="R1052" t="str">
        <f>VLOOKUP(A1052,vlookup_table!$A:$G,6,FALSE)</f>
        <v>F</v>
      </c>
      <c r="S1052">
        <f>VLOOKUP(A1052,vlookup_table!$A:$G,7,FALSE)</f>
        <v>38</v>
      </c>
      <c r="T1052">
        <f t="shared" si="32"/>
        <v>42</v>
      </c>
      <c r="U1052" t="str">
        <f t="shared" si="33"/>
        <v>Suburbano</v>
      </c>
    </row>
    <row r="1053" spans="1:21" ht="16" x14ac:dyDescent="0.4">
      <c r="A1053" s="6">
        <v>161804</v>
      </c>
      <c r="B1053" s="6" t="s">
        <v>21</v>
      </c>
      <c r="C1053" s="6" t="s">
        <v>14</v>
      </c>
      <c r="D1053" s="6">
        <v>1137</v>
      </c>
      <c r="E1053" s="6">
        <v>348</v>
      </c>
      <c r="F1053" s="6">
        <v>444</v>
      </c>
      <c r="G1053" s="6">
        <v>5</v>
      </c>
      <c r="H1053" s="6">
        <v>11621</v>
      </c>
      <c r="I1053" s="6">
        <v>27</v>
      </c>
      <c r="J1053" s="6">
        <v>54</v>
      </c>
      <c r="K1053" s="6">
        <v>362</v>
      </c>
      <c r="L1053" s="6">
        <v>425</v>
      </c>
      <c r="M1053" s="6">
        <v>9</v>
      </c>
      <c r="N1053">
        <f>VLOOKUP(A1053,vlookup_table!$A:$G,2,FALSE)</f>
        <v>1</v>
      </c>
      <c r="O1053" t="str">
        <f>VLOOKUP(A1053,vlookup_table!$A:$G,3,FALSE)</f>
        <v>CA</v>
      </c>
      <c r="P1053">
        <f>VLOOKUP(A1053,vlookup_table!$A:$G,4,FALSE)</f>
        <v>3906</v>
      </c>
      <c r="Q1053" t="str">
        <f>VLOOKUP(A1053,vlookup_table!$A:$G,5,FALSE)</f>
        <v>R2</v>
      </c>
      <c r="R1053" t="str">
        <f>VLOOKUP(A1053,vlookup_table!$A:$G,6,FALSE)</f>
        <v>M</v>
      </c>
      <c r="S1053">
        <f>VLOOKUP(A1053,vlookup_table!$A:$G,7,FALSE)</f>
        <v>5</v>
      </c>
      <c r="T1053">
        <f t="shared" si="32"/>
        <v>57</v>
      </c>
      <c r="U1053" t="str">
        <f t="shared" si="33"/>
        <v>Rural</v>
      </c>
    </row>
    <row r="1054" spans="1:21" ht="16" x14ac:dyDescent="0.4">
      <c r="A1054" s="6">
        <v>11348</v>
      </c>
      <c r="B1054" s="6" t="s">
        <v>13</v>
      </c>
      <c r="C1054" s="6" t="s">
        <v>14</v>
      </c>
      <c r="D1054" s="6">
        <v>912</v>
      </c>
      <c r="E1054" s="6">
        <v>313</v>
      </c>
      <c r="F1054" s="6">
        <v>442</v>
      </c>
      <c r="G1054" s="6">
        <v>8</v>
      </c>
      <c r="H1054" s="6">
        <v>18554</v>
      </c>
      <c r="I1054" s="6">
        <v>6</v>
      </c>
      <c r="J1054" s="6">
        <v>14</v>
      </c>
      <c r="K1054" s="6">
        <v>370</v>
      </c>
      <c r="L1054" s="6">
        <v>379</v>
      </c>
      <c r="M1054" s="6">
        <v>12.16666667</v>
      </c>
      <c r="N1054">
        <f>VLOOKUP(A1054,vlookup_table!$A:$G,2,FALSE)</f>
        <v>0</v>
      </c>
      <c r="O1054" t="str">
        <f>VLOOKUP(A1054,vlookup_table!$A:$G,3,FALSE)</f>
        <v>FL</v>
      </c>
      <c r="P1054">
        <f>VLOOKUP(A1054,vlookup_table!$A:$G,4,FALSE)</f>
        <v>0</v>
      </c>
      <c r="Q1054" t="str">
        <f>VLOOKUP(A1054,vlookup_table!$A:$G,5,FALSE)</f>
        <v>C2</v>
      </c>
      <c r="R1054" t="str">
        <f>VLOOKUP(A1054,vlookup_table!$A:$G,6,FALSE)</f>
        <v>M</v>
      </c>
      <c r="S1054">
        <f>VLOOKUP(A1054,vlookup_table!$A:$G,7,FALSE)</f>
        <v>5</v>
      </c>
      <c r="T1054">
        <f t="shared" si="32"/>
        <v>96</v>
      </c>
      <c r="U1054" t="str">
        <f t="shared" si="33"/>
        <v>Ciudad</v>
      </c>
    </row>
    <row r="1055" spans="1:21" ht="16" x14ac:dyDescent="0.4">
      <c r="A1055" s="6">
        <v>111380</v>
      </c>
      <c r="B1055" s="6" t="s">
        <v>29</v>
      </c>
      <c r="C1055" s="6" t="s">
        <v>14</v>
      </c>
      <c r="D1055" s="6">
        <v>332</v>
      </c>
      <c r="E1055" s="6">
        <v>219</v>
      </c>
      <c r="F1055" s="6">
        <v>296</v>
      </c>
      <c r="G1055" s="6">
        <v>0</v>
      </c>
      <c r="H1055" s="6">
        <v>9763</v>
      </c>
      <c r="I1055" s="6">
        <v>0</v>
      </c>
      <c r="J1055" s="6">
        <v>84</v>
      </c>
      <c r="K1055" s="6">
        <v>257</v>
      </c>
      <c r="L1055" s="6">
        <v>261</v>
      </c>
      <c r="M1055" s="6">
        <v>7.1333333330000004</v>
      </c>
      <c r="N1055">
        <f>VLOOKUP(A1055,vlookup_table!$A:$G,2,FALSE)</f>
        <v>1</v>
      </c>
      <c r="O1055" t="str">
        <f>VLOOKUP(A1055,vlookup_table!$A:$G,3,FALSE)</f>
        <v>AR</v>
      </c>
      <c r="P1055">
        <f>VLOOKUP(A1055,vlookup_table!$A:$G,4,FALSE)</f>
        <v>2801</v>
      </c>
      <c r="Q1055" t="str">
        <f>VLOOKUP(A1055,vlookup_table!$A:$G,5,FALSE)</f>
        <v>R3</v>
      </c>
      <c r="R1055" t="str">
        <f>VLOOKUP(A1055,vlookup_table!$A:$G,6,FALSE)</f>
        <v>M</v>
      </c>
      <c r="S1055">
        <f>VLOOKUP(A1055,vlookup_table!$A:$G,7,FALSE)</f>
        <v>10</v>
      </c>
      <c r="T1055">
        <f t="shared" si="32"/>
        <v>68</v>
      </c>
      <c r="U1055" t="str">
        <f t="shared" si="33"/>
        <v>Rural</v>
      </c>
    </row>
    <row r="1056" spans="1:21" ht="16" x14ac:dyDescent="0.4">
      <c r="A1056" s="6">
        <v>86578</v>
      </c>
      <c r="B1056" s="6" t="s">
        <v>42</v>
      </c>
      <c r="C1056" s="6" t="s">
        <v>14</v>
      </c>
      <c r="D1056" s="6">
        <v>247</v>
      </c>
      <c r="E1056" s="6">
        <v>195</v>
      </c>
      <c r="F1056" s="6">
        <v>259</v>
      </c>
      <c r="G1056" s="6">
        <v>0</v>
      </c>
      <c r="H1056" s="6">
        <v>8189</v>
      </c>
      <c r="I1056" s="6">
        <v>1</v>
      </c>
      <c r="J1056" s="6">
        <v>87</v>
      </c>
      <c r="K1056" s="6">
        <v>220</v>
      </c>
      <c r="L1056" s="6">
        <v>231</v>
      </c>
      <c r="M1056" s="6">
        <v>5.5</v>
      </c>
      <c r="N1056">
        <f>VLOOKUP(A1056,vlookup_table!$A:$G,2,FALSE)</f>
        <v>2</v>
      </c>
      <c r="O1056" t="str">
        <f>VLOOKUP(A1056,vlookup_table!$A:$G,3,FALSE)</f>
        <v>ND</v>
      </c>
      <c r="P1056">
        <f>VLOOKUP(A1056,vlookup_table!$A:$G,4,FALSE)</f>
        <v>1201</v>
      </c>
      <c r="Q1056" t="str">
        <f>VLOOKUP(A1056,vlookup_table!$A:$G,5,FALSE)</f>
        <v>R3</v>
      </c>
      <c r="R1056" t="str">
        <f>VLOOKUP(A1056,vlookup_table!$A:$G,6,FALSE)</f>
        <v>M</v>
      </c>
      <c r="S1056">
        <f>VLOOKUP(A1056,vlookup_table!$A:$G,7,FALSE)</f>
        <v>15</v>
      </c>
      <c r="T1056">
        <f t="shared" si="32"/>
        <v>84</v>
      </c>
      <c r="U1056" t="str">
        <f t="shared" si="33"/>
        <v>Rural</v>
      </c>
    </row>
    <row r="1057" spans="1:21" ht="16" x14ac:dyDescent="0.4">
      <c r="A1057" s="6">
        <v>157904</v>
      </c>
      <c r="B1057" s="6" t="s">
        <v>21</v>
      </c>
      <c r="C1057" s="6" t="s">
        <v>17</v>
      </c>
      <c r="D1057" s="6">
        <v>2190</v>
      </c>
      <c r="E1057" s="6">
        <v>611</v>
      </c>
      <c r="F1057" s="6">
        <v>709</v>
      </c>
      <c r="G1057" s="6">
        <v>63</v>
      </c>
      <c r="H1057" s="6">
        <v>23641</v>
      </c>
      <c r="I1057" s="6">
        <v>16</v>
      </c>
      <c r="J1057" s="6">
        <v>43</v>
      </c>
      <c r="K1057" s="6">
        <v>655</v>
      </c>
      <c r="L1057" s="6">
        <v>669</v>
      </c>
      <c r="M1057" s="6">
        <v>6.5</v>
      </c>
      <c r="N1057">
        <f>VLOOKUP(A1057,vlookup_table!$A:$G,2,FALSE)</f>
        <v>0</v>
      </c>
      <c r="O1057" t="str">
        <f>VLOOKUP(A1057,vlookup_table!$A:$G,3,FALSE)</f>
        <v>CA</v>
      </c>
      <c r="P1057">
        <f>VLOOKUP(A1057,vlookup_table!$A:$G,4,FALSE)</f>
        <v>4401</v>
      </c>
      <c r="Q1057" t="str">
        <f>VLOOKUP(A1057,vlookup_table!$A:$G,5,FALSE)</f>
        <v>S1</v>
      </c>
      <c r="R1057" t="str">
        <f>VLOOKUP(A1057,vlookup_table!$A:$G,6,FALSE)</f>
        <v>F</v>
      </c>
      <c r="S1057">
        <f>VLOOKUP(A1057,vlookup_table!$A:$G,7,FALSE)</f>
        <v>6</v>
      </c>
      <c r="T1057">
        <f t="shared" si="32"/>
        <v>52</v>
      </c>
      <c r="U1057" t="str">
        <f t="shared" si="33"/>
        <v>Suburbano</v>
      </c>
    </row>
    <row r="1058" spans="1:21" ht="16" x14ac:dyDescent="0.4">
      <c r="A1058" s="6">
        <v>140924</v>
      </c>
      <c r="B1058" s="6" t="s">
        <v>23</v>
      </c>
      <c r="C1058" s="6" t="s">
        <v>14</v>
      </c>
      <c r="D1058" s="6">
        <v>1117</v>
      </c>
      <c r="E1058" s="6">
        <v>461</v>
      </c>
      <c r="F1058" s="6">
        <v>450</v>
      </c>
      <c r="G1058" s="6">
        <v>3</v>
      </c>
      <c r="H1058" s="6">
        <v>16614</v>
      </c>
      <c r="I1058" s="6">
        <v>6</v>
      </c>
      <c r="J1058" s="6">
        <v>28</v>
      </c>
      <c r="K1058" s="6">
        <v>461</v>
      </c>
      <c r="L1058" s="6">
        <v>461</v>
      </c>
      <c r="M1058" s="6">
        <v>6.4285714289999998</v>
      </c>
      <c r="N1058">
        <f>VLOOKUP(A1058,vlookup_table!$A:$G,2,FALSE)</f>
        <v>1002</v>
      </c>
      <c r="O1058" t="str">
        <f>VLOOKUP(A1058,vlookup_table!$A:$G,3,FALSE)</f>
        <v>NV</v>
      </c>
      <c r="P1058">
        <f>VLOOKUP(A1058,vlookup_table!$A:$G,4,FALSE)</f>
        <v>0</v>
      </c>
      <c r="Q1058" t="str">
        <f>VLOOKUP(A1058,vlookup_table!$A:$G,5,FALSE)</f>
        <v>S2</v>
      </c>
      <c r="R1058" t="str">
        <f>VLOOKUP(A1058,vlookup_table!$A:$G,6,FALSE)</f>
        <v>M</v>
      </c>
      <c r="S1058">
        <f>VLOOKUP(A1058,vlookup_table!$A:$G,7,FALSE)</f>
        <v>7</v>
      </c>
      <c r="T1058">
        <f t="shared" si="32"/>
        <v>96</v>
      </c>
      <c r="U1058" t="str">
        <f t="shared" si="33"/>
        <v>Suburbano</v>
      </c>
    </row>
    <row r="1059" spans="1:21" ht="16" x14ac:dyDescent="0.4">
      <c r="A1059" s="6">
        <v>32972</v>
      </c>
      <c r="B1059" s="6" t="s">
        <v>13</v>
      </c>
      <c r="C1059" s="6" t="s">
        <v>17</v>
      </c>
      <c r="D1059" s="6">
        <v>814</v>
      </c>
      <c r="E1059" s="6">
        <v>268</v>
      </c>
      <c r="F1059" s="6">
        <v>312</v>
      </c>
      <c r="G1059" s="6">
        <v>1</v>
      </c>
      <c r="H1059" s="6">
        <v>10427</v>
      </c>
      <c r="I1059" s="6">
        <v>3</v>
      </c>
      <c r="J1059" s="6">
        <v>46</v>
      </c>
      <c r="K1059" s="6">
        <v>282</v>
      </c>
      <c r="L1059" s="6">
        <v>298</v>
      </c>
      <c r="M1059" s="6">
        <v>10.4</v>
      </c>
      <c r="N1059">
        <f>VLOOKUP(A1059,vlookup_table!$A:$G,2,FALSE)</f>
        <v>0</v>
      </c>
      <c r="O1059" t="str">
        <f>VLOOKUP(A1059,vlookup_table!$A:$G,3,FALSE)</f>
        <v>FL</v>
      </c>
      <c r="P1059">
        <f>VLOOKUP(A1059,vlookup_table!$A:$G,4,FALSE)</f>
        <v>5511</v>
      </c>
      <c r="Q1059" t="str">
        <f>VLOOKUP(A1059,vlookup_table!$A:$G,5,FALSE)</f>
        <v>S2</v>
      </c>
      <c r="R1059" t="str">
        <f>VLOOKUP(A1059,vlookup_table!$A:$G,6,FALSE)</f>
        <v>F</v>
      </c>
      <c r="S1059">
        <f>VLOOKUP(A1059,vlookup_table!$A:$G,7,FALSE)</f>
        <v>12</v>
      </c>
      <c r="T1059">
        <f t="shared" si="32"/>
        <v>41</v>
      </c>
      <c r="U1059" t="str">
        <f t="shared" si="33"/>
        <v>Suburbano</v>
      </c>
    </row>
    <row r="1060" spans="1:21" ht="16" x14ac:dyDescent="0.4">
      <c r="A1060" s="6">
        <v>149541</v>
      </c>
      <c r="B1060" s="6" t="s">
        <v>21</v>
      </c>
      <c r="C1060" s="6" t="s">
        <v>17</v>
      </c>
      <c r="D1060" s="6">
        <v>1814</v>
      </c>
      <c r="E1060" s="6">
        <v>328</v>
      </c>
      <c r="F1060" s="6">
        <v>410</v>
      </c>
      <c r="G1060" s="6">
        <v>27</v>
      </c>
      <c r="H1060" s="6">
        <v>10846</v>
      </c>
      <c r="I1060" s="6">
        <v>40</v>
      </c>
      <c r="J1060" s="6">
        <v>43</v>
      </c>
      <c r="K1060" s="6">
        <v>418</v>
      </c>
      <c r="L1060" s="6">
        <v>380</v>
      </c>
      <c r="M1060" s="6">
        <v>10.66666667</v>
      </c>
      <c r="N1060">
        <f>VLOOKUP(A1060,vlookup_table!$A:$G,2,FALSE)</f>
        <v>2</v>
      </c>
      <c r="O1060" t="str">
        <f>VLOOKUP(A1060,vlookup_table!$A:$G,3,FALSE)</f>
        <v>CA</v>
      </c>
      <c r="P1060">
        <f>VLOOKUP(A1060,vlookup_table!$A:$G,4,FALSE)</f>
        <v>3601</v>
      </c>
      <c r="Q1060" t="str">
        <f>VLOOKUP(A1060,vlookup_table!$A:$G,5,FALSE)</f>
        <v>S2</v>
      </c>
      <c r="R1060" t="str">
        <f>VLOOKUP(A1060,vlookup_table!$A:$G,6,FALSE)</f>
        <v>F</v>
      </c>
      <c r="S1060">
        <f>VLOOKUP(A1060,vlookup_table!$A:$G,7,FALSE)</f>
        <v>10</v>
      </c>
      <c r="T1060">
        <f t="shared" si="32"/>
        <v>60</v>
      </c>
      <c r="U1060" t="str">
        <f t="shared" si="33"/>
        <v>Suburbano</v>
      </c>
    </row>
    <row r="1061" spans="1:21" ht="16" x14ac:dyDescent="0.4">
      <c r="A1061" s="6">
        <v>182604</v>
      </c>
      <c r="B1061" s="6" t="s">
        <v>37</v>
      </c>
      <c r="C1061" s="6" t="s">
        <v>17</v>
      </c>
      <c r="D1061" s="6">
        <v>403</v>
      </c>
      <c r="E1061" s="6">
        <v>195</v>
      </c>
      <c r="F1061" s="6">
        <v>365</v>
      </c>
      <c r="G1061" s="6">
        <v>0</v>
      </c>
      <c r="H1061" s="6">
        <v>11859</v>
      </c>
      <c r="I1061" s="6">
        <v>8</v>
      </c>
      <c r="J1061" s="6">
        <v>63</v>
      </c>
      <c r="K1061" s="6">
        <v>288</v>
      </c>
      <c r="L1061" s="6">
        <v>237</v>
      </c>
      <c r="M1061" s="6">
        <v>20</v>
      </c>
      <c r="N1061">
        <f>VLOOKUP(A1061,vlookup_table!$A:$G,2,FALSE)</f>
        <v>0</v>
      </c>
      <c r="O1061" t="str">
        <f>VLOOKUP(A1061,vlookup_table!$A:$G,3,FALSE)</f>
        <v>WA</v>
      </c>
      <c r="P1061">
        <f>VLOOKUP(A1061,vlookup_table!$A:$G,4,FALSE)</f>
        <v>2801</v>
      </c>
      <c r="Q1061" t="str">
        <f>VLOOKUP(A1061,vlookup_table!$A:$G,5,FALSE)</f>
        <v>T2</v>
      </c>
      <c r="R1061" t="str">
        <f>VLOOKUP(A1061,vlookup_table!$A:$G,6,FALSE)</f>
        <v>F</v>
      </c>
      <c r="S1061">
        <f>VLOOKUP(A1061,vlookup_table!$A:$G,7,FALSE)</f>
        <v>15</v>
      </c>
      <c r="T1061">
        <f t="shared" si="32"/>
        <v>68</v>
      </c>
      <c r="U1061" t="str">
        <f t="shared" si="33"/>
        <v>Pueblo</v>
      </c>
    </row>
    <row r="1062" spans="1:21" ht="16" x14ac:dyDescent="0.4">
      <c r="A1062" s="6">
        <v>103876</v>
      </c>
      <c r="B1062" s="6" t="s">
        <v>33</v>
      </c>
      <c r="C1062" s="6" t="s">
        <v>17</v>
      </c>
      <c r="D1062" s="6">
        <v>613</v>
      </c>
      <c r="E1062" s="6">
        <v>264</v>
      </c>
      <c r="F1062" s="6">
        <v>357</v>
      </c>
      <c r="G1062" s="6">
        <v>0</v>
      </c>
      <c r="H1062" s="6">
        <v>12334</v>
      </c>
      <c r="I1062" s="6">
        <v>2</v>
      </c>
      <c r="J1062" s="6">
        <v>64</v>
      </c>
      <c r="K1062" s="6">
        <v>323</v>
      </c>
      <c r="L1062" s="6">
        <v>300</v>
      </c>
      <c r="M1062" s="6">
        <v>10.66666667</v>
      </c>
      <c r="N1062">
        <f>VLOOKUP(A1062,vlookup_table!$A:$G,2,FALSE)</f>
        <v>28</v>
      </c>
      <c r="O1062" t="str">
        <f>VLOOKUP(A1062,vlookup_table!$A:$G,3,FALSE)</f>
        <v>MO</v>
      </c>
      <c r="P1062">
        <f>VLOOKUP(A1062,vlookup_table!$A:$G,4,FALSE)</f>
        <v>3001</v>
      </c>
      <c r="Q1062" t="str">
        <f>VLOOKUP(A1062,vlookup_table!$A:$G,5,FALSE)</f>
        <v>C2</v>
      </c>
      <c r="R1062" t="str">
        <f>VLOOKUP(A1062,vlookup_table!$A:$G,6,FALSE)</f>
        <v>F</v>
      </c>
      <c r="S1062">
        <f>VLOOKUP(A1062,vlookup_table!$A:$G,7,FALSE)</f>
        <v>20</v>
      </c>
      <c r="T1062">
        <f t="shared" si="32"/>
        <v>66</v>
      </c>
      <c r="U1062" t="str">
        <f t="shared" si="33"/>
        <v>Ciudad</v>
      </c>
    </row>
    <row r="1063" spans="1:21" ht="16" x14ac:dyDescent="0.4">
      <c r="A1063" s="6">
        <v>65999</v>
      </c>
      <c r="B1063" s="6" t="s">
        <v>26</v>
      </c>
      <c r="C1063" s="6" t="s">
        <v>14</v>
      </c>
      <c r="D1063" s="6">
        <v>2712</v>
      </c>
      <c r="E1063" s="6">
        <v>1022</v>
      </c>
      <c r="F1063" s="6">
        <v>1079</v>
      </c>
      <c r="G1063" s="6">
        <v>81</v>
      </c>
      <c r="H1063" s="6">
        <v>49631</v>
      </c>
      <c r="I1063" s="6">
        <v>13</v>
      </c>
      <c r="J1063" s="6">
        <v>44</v>
      </c>
      <c r="K1063" s="6">
        <v>1144</v>
      </c>
      <c r="L1063" s="6">
        <v>989</v>
      </c>
      <c r="M1063" s="6">
        <v>18.428571430000002</v>
      </c>
      <c r="N1063">
        <f>VLOOKUP(A1063,vlookup_table!$A:$G,2,FALSE)</f>
        <v>2</v>
      </c>
      <c r="O1063" t="str">
        <f>VLOOKUP(A1063,vlookup_table!$A:$G,3,FALSE)</f>
        <v>MI</v>
      </c>
      <c r="P1063">
        <f>VLOOKUP(A1063,vlookup_table!$A:$G,4,FALSE)</f>
        <v>1909</v>
      </c>
      <c r="Q1063" t="str">
        <f>VLOOKUP(A1063,vlookup_table!$A:$G,5,FALSE)</f>
        <v>C1</v>
      </c>
      <c r="R1063" t="str">
        <f>VLOOKUP(A1063,vlookup_table!$A:$G,6,FALSE)</f>
        <v>M</v>
      </c>
      <c r="S1063">
        <f>VLOOKUP(A1063,vlookup_table!$A:$G,7,FALSE)</f>
        <v>25</v>
      </c>
      <c r="T1063">
        <f t="shared" si="32"/>
        <v>77</v>
      </c>
      <c r="U1063" t="str">
        <f t="shared" si="33"/>
        <v>Ciudad</v>
      </c>
    </row>
    <row r="1064" spans="1:21" ht="16" x14ac:dyDescent="0.4">
      <c r="A1064" s="6">
        <v>104394</v>
      </c>
      <c r="B1064" s="6" t="s">
        <v>25</v>
      </c>
      <c r="C1064" s="6" t="s">
        <v>17</v>
      </c>
      <c r="D1064" s="6">
        <v>958</v>
      </c>
      <c r="E1064" s="6">
        <v>467</v>
      </c>
      <c r="F1064" s="6">
        <v>582</v>
      </c>
      <c r="G1064" s="6">
        <v>8</v>
      </c>
      <c r="H1064" s="6">
        <v>18211</v>
      </c>
      <c r="I1064" s="6">
        <v>3</v>
      </c>
      <c r="J1064" s="6">
        <v>45</v>
      </c>
      <c r="K1064" s="6">
        <v>499</v>
      </c>
      <c r="L1064" s="6">
        <v>525</v>
      </c>
      <c r="M1064" s="6">
        <v>7.6</v>
      </c>
      <c r="N1064">
        <f>VLOOKUP(A1064,vlookup_table!$A:$G,2,FALSE)</f>
        <v>28</v>
      </c>
      <c r="O1064" t="str">
        <f>VLOOKUP(A1064,vlookup_table!$A:$G,3,FALSE)</f>
        <v>KS</v>
      </c>
      <c r="P1064">
        <f>VLOOKUP(A1064,vlookup_table!$A:$G,4,FALSE)</f>
        <v>3501</v>
      </c>
      <c r="Q1064" t="str">
        <f>VLOOKUP(A1064,vlookup_table!$A:$G,5,FALSE)</f>
        <v>C1</v>
      </c>
      <c r="R1064" t="str">
        <f>VLOOKUP(A1064,vlookup_table!$A:$G,6,FALSE)</f>
        <v>F</v>
      </c>
      <c r="S1064">
        <f>VLOOKUP(A1064,vlookup_table!$A:$G,7,FALSE)</f>
        <v>10</v>
      </c>
      <c r="T1064">
        <f t="shared" si="32"/>
        <v>61</v>
      </c>
      <c r="U1064" t="str">
        <f t="shared" si="33"/>
        <v>Ciudad</v>
      </c>
    </row>
    <row r="1065" spans="1:21" ht="16" x14ac:dyDescent="0.4">
      <c r="A1065" s="6">
        <v>117524</v>
      </c>
      <c r="B1065" s="6" t="s">
        <v>49</v>
      </c>
      <c r="C1065" s="6" t="s">
        <v>17</v>
      </c>
      <c r="D1065" s="6">
        <v>1129</v>
      </c>
      <c r="E1065" s="6">
        <v>332</v>
      </c>
      <c r="F1065" s="6">
        <v>537</v>
      </c>
      <c r="G1065" s="6">
        <v>12</v>
      </c>
      <c r="H1065" s="6">
        <v>22706</v>
      </c>
      <c r="I1065" s="6">
        <v>8</v>
      </c>
      <c r="J1065" s="6">
        <v>43</v>
      </c>
      <c r="K1065" s="6">
        <v>445</v>
      </c>
      <c r="L1065" s="6">
        <v>429</v>
      </c>
      <c r="M1065" s="6">
        <v>20.833333329999999</v>
      </c>
      <c r="N1065">
        <f>VLOOKUP(A1065,vlookup_table!$A:$G,2,FALSE)</f>
        <v>28</v>
      </c>
      <c r="O1065" t="str">
        <f>VLOOKUP(A1065,vlookup_table!$A:$G,3,FALSE)</f>
        <v>TN</v>
      </c>
      <c r="P1065">
        <f>VLOOKUP(A1065,vlookup_table!$A:$G,4,FALSE)</f>
        <v>4402</v>
      </c>
      <c r="Q1065" t="str">
        <f>VLOOKUP(A1065,vlookup_table!$A:$G,5,FALSE)</f>
        <v>S1</v>
      </c>
      <c r="R1065" t="str">
        <f>VLOOKUP(A1065,vlookup_table!$A:$G,6,FALSE)</f>
        <v>F</v>
      </c>
      <c r="S1065">
        <f>VLOOKUP(A1065,vlookup_table!$A:$G,7,FALSE)</f>
        <v>25</v>
      </c>
      <c r="T1065">
        <f t="shared" si="32"/>
        <v>52</v>
      </c>
      <c r="U1065" t="str">
        <f t="shared" si="33"/>
        <v>Suburbano</v>
      </c>
    </row>
    <row r="1066" spans="1:21" ht="16" x14ac:dyDescent="0.4">
      <c r="A1066" s="6">
        <v>147904</v>
      </c>
      <c r="B1066" s="6" t="s">
        <v>21</v>
      </c>
      <c r="C1066" s="6" t="s">
        <v>17</v>
      </c>
      <c r="D1066" s="6">
        <v>4984</v>
      </c>
      <c r="E1066" s="6">
        <v>630</v>
      </c>
      <c r="F1066" s="6">
        <v>777</v>
      </c>
      <c r="G1066" s="6">
        <v>98</v>
      </c>
      <c r="H1066" s="6">
        <v>27747</v>
      </c>
      <c r="I1066" s="6">
        <v>24</v>
      </c>
      <c r="J1066" s="6">
        <v>41</v>
      </c>
      <c r="K1066" s="6">
        <v>702</v>
      </c>
      <c r="L1066" s="6">
        <v>734</v>
      </c>
      <c r="M1066" s="6">
        <v>12.14285714</v>
      </c>
      <c r="N1066">
        <f>VLOOKUP(A1066,vlookup_table!$A:$G,2,FALSE)</f>
        <v>0</v>
      </c>
      <c r="O1066" t="str">
        <f>VLOOKUP(A1066,vlookup_table!$A:$G,3,FALSE)</f>
        <v>CA</v>
      </c>
      <c r="P1066">
        <f>VLOOKUP(A1066,vlookup_table!$A:$G,4,FALSE)</f>
        <v>1501</v>
      </c>
      <c r="Q1066" t="str">
        <f>VLOOKUP(A1066,vlookup_table!$A:$G,5,FALSE)</f>
        <v>S1</v>
      </c>
      <c r="R1066" t="str">
        <f>VLOOKUP(A1066,vlookup_table!$A:$G,6,FALSE)</f>
        <v>F</v>
      </c>
      <c r="S1066">
        <f>VLOOKUP(A1066,vlookup_table!$A:$G,7,FALSE)</f>
        <v>50</v>
      </c>
      <c r="T1066">
        <f t="shared" si="32"/>
        <v>81</v>
      </c>
      <c r="U1066" t="str">
        <f t="shared" si="33"/>
        <v>Suburbano</v>
      </c>
    </row>
    <row r="1067" spans="1:21" ht="16" x14ac:dyDescent="0.4">
      <c r="A1067" s="6">
        <v>105815</v>
      </c>
      <c r="B1067" s="6" t="s">
        <v>25</v>
      </c>
      <c r="C1067" s="6" t="s">
        <v>14</v>
      </c>
      <c r="D1067" s="6">
        <v>452</v>
      </c>
      <c r="E1067" s="6">
        <v>270</v>
      </c>
      <c r="F1067" s="6">
        <v>324</v>
      </c>
      <c r="G1067" s="6">
        <v>0</v>
      </c>
      <c r="H1067" s="6">
        <v>11198</v>
      </c>
      <c r="I1067" s="6">
        <v>4</v>
      </c>
      <c r="J1067" s="6">
        <v>62</v>
      </c>
      <c r="K1067" s="6">
        <v>300</v>
      </c>
      <c r="L1067" s="6">
        <v>297</v>
      </c>
      <c r="M1067" s="6">
        <v>14.8</v>
      </c>
      <c r="N1067">
        <f>VLOOKUP(A1067,vlookup_table!$A:$G,2,FALSE)</f>
        <v>1002</v>
      </c>
      <c r="O1067" t="str">
        <f>VLOOKUP(A1067,vlookup_table!$A:$G,3,FALSE)</f>
        <v>KS</v>
      </c>
      <c r="P1067">
        <f>VLOOKUP(A1067,vlookup_table!$A:$G,4,FALSE)</f>
        <v>5001</v>
      </c>
      <c r="Q1067" t="str">
        <f>VLOOKUP(A1067,vlookup_table!$A:$G,5,FALSE)</f>
        <v>C3</v>
      </c>
      <c r="R1067" t="str">
        <f>VLOOKUP(A1067,vlookup_table!$A:$G,6,FALSE)</f>
        <v>M</v>
      </c>
      <c r="S1067">
        <f>VLOOKUP(A1067,vlookup_table!$A:$G,7,FALSE)</f>
        <v>20</v>
      </c>
      <c r="T1067">
        <f t="shared" si="32"/>
        <v>46</v>
      </c>
      <c r="U1067" t="str">
        <f t="shared" si="33"/>
        <v>Ciudad</v>
      </c>
    </row>
    <row r="1068" spans="1:21" ht="16" x14ac:dyDescent="0.4">
      <c r="A1068" s="6">
        <v>31778</v>
      </c>
      <c r="B1068" s="6" t="s">
        <v>13</v>
      </c>
      <c r="C1068" s="6" t="s">
        <v>14</v>
      </c>
      <c r="D1068" s="6">
        <v>986</v>
      </c>
      <c r="E1068" s="6">
        <v>485</v>
      </c>
      <c r="F1068" s="6">
        <v>539</v>
      </c>
      <c r="G1068" s="6">
        <v>11</v>
      </c>
      <c r="H1068" s="6">
        <v>18013</v>
      </c>
      <c r="I1068" s="6">
        <v>2</v>
      </c>
      <c r="J1068" s="6">
        <v>26</v>
      </c>
      <c r="K1068" s="6">
        <v>495</v>
      </c>
      <c r="L1068" s="6">
        <v>530</v>
      </c>
      <c r="M1068" s="6">
        <v>20.11111111</v>
      </c>
      <c r="N1068">
        <f>VLOOKUP(A1068,vlookup_table!$A:$G,2,FALSE)</f>
        <v>1</v>
      </c>
      <c r="O1068" t="str">
        <f>VLOOKUP(A1068,vlookup_table!$A:$G,3,FALSE)</f>
        <v>FL</v>
      </c>
      <c r="P1068">
        <f>VLOOKUP(A1068,vlookup_table!$A:$G,4,FALSE)</f>
        <v>4308</v>
      </c>
      <c r="Q1068" t="str">
        <f>VLOOKUP(A1068,vlookup_table!$A:$G,5,FALSE)</f>
        <v>T1</v>
      </c>
      <c r="R1068" t="str">
        <f>VLOOKUP(A1068,vlookup_table!$A:$G,6,FALSE)</f>
        <v>M</v>
      </c>
      <c r="S1068">
        <f>VLOOKUP(A1068,vlookup_table!$A:$G,7,FALSE)</f>
        <v>25</v>
      </c>
      <c r="T1068">
        <f t="shared" si="32"/>
        <v>53</v>
      </c>
      <c r="U1068" t="str">
        <f t="shared" si="33"/>
        <v>Pueblo</v>
      </c>
    </row>
    <row r="1069" spans="1:21" ht="16" x14ac:dyDescent="0.4">
      <c r="A1069" s="6">
        <v>112084</v>
      </c>
      <c r="B1069" s="6" t="s">
        <v>29</v>
      </c>
      <c r="C1069" s="6" t="s">
        <v>14</v>
      </c>
      <c r="D1069" s="6">
        <v>655</v>
      </c>
      <c r="E1069" s="6">
        <v>215</v>
      </c>
      <c r="F1069" s="6">
        <v>305</v>
      </c>
      <c r="G1069" s="6">
        <v>3</v>
      </c>
      <c r="H1069" s="6">
        <v>12067</v>
      </c>
      <c r="I1069" s="6">
        <v>1</v>
      </c>
      <c r="J1069" s="6">
        <v>31</v>
      </c>
      <c r="K1069" s="6">
        <v>247</v>
      </c>
      <c r="L1069" s="6">
        <v>267</v>
      </c>
      <c r="M1069" s="6">
        <v>14.44</v>
      </c>
      <c r="N1069">
        <f>VLOOKUP(A1069,vlookup_table!$A:$G,2,FALSE)</f>
        <v>1</v>
      </c>
      <c r="O1069" t="str">
        <f>VLOOKUP(A1069,vlookup_table!$A:$G,3,FALSE)</f>
        <v>AR</v>
      </c>
      <c r="P1069">
        <f>VLOOKUP(A1069,vlookup_table!$A:$G,4,FALSE)</f>
        <v>2410</v>
      </c>
      <c r="Q1069" t="str">
        <f>VLOOKUP(A1069,vlookup_table!$A:$G,5,FALSE)</f>
        <v>R2</v>
      </c>
      <c r="R1069" t="str">
        <f>VLOOKUP(A1069,vlookup_table!$A:$G,6,FALSE)</f>
        <v>M</v>
      </c>
      <c r="S1069">
        <f>VLOOKUP(A1069,vlookup_table!$A:$G,7,FALSE)</f>
        <v>14</v>
      </c>
      <c r="T1069">
        <f t="shared" si="32"/>
        <v>72</v>
      </c>
      <c r="U1069" t="str">
        <f t="shared" si="33"/>
        <v>Rural</v>
      </c>
    </row>
    <row r="1070" spans="1:21" ht="16" x14ac:dyDescent="0.4">
      <c r="A1070" s="6">
        <v>58850</v>
      </c>
      <c r="B1070" s="6" t="s">
        <v>53</v>
      </c>
      <c r="C1070" s="6" t="s">
        <v>14</v>
      </c>
      <c r="D1070" s="6">
        <v>459</v>
      </c>
      <c r="E1070" s="6">
        <v>133</v>
      </c>
      <c r="F1070" s="6">
        <v>258</v>
      </c>
      <c r="G1070" s="6">
        <v>0</v>
      </c>
      <c r="H1070" s="6">
        <v>13898</v>
      </c>
      <c r="I1070" s="6">
        <v>0</v>
      </c>
      <c r="J1070" s="6">
        <v>81</v>
      </c>
      <c r="K1070" s="6">
        <v>195</v>
      </c>
      <c r="L1070" s="6">
        <v>237</v>
      </c>
      <c r="M1070" s="6">
        <v>3.5217391299999998</v>
      </c>
      <c r="N1070">
        <f>VLOOKUP(A1070,vlookup_table!$A:$G,2,FALSE)</f>
        <v>1</v>
      </c>
      <c r="O1070" t="str">
        <f>VLOOKUP(A1070,vlookup_table!$A:$G,3,FALSE)</f>
        <v>KY</v>
      </c>
      <c r="P1070">
        <f>VLOOKUP(A1070,vlookup_table!$A:$G,4,FALSE)</f>
        <v>2201</v>
      </c>
      <c r="Q1070" t="str">
        <f>VLOOKUP(A1070,vlookup_table!$A:$G,5,FALSE)</f>
        <v>T2</v>
      </c>
      <c r="R1070" t="str">
        <f>VLOOKUP(A1070,vlookup_table!$A:$G,6,FALSE)</f>
        <v>M</v>
      </c>
      <c r="S1070">
        <f>VLOOKUP(A1070,vlookup_table!$A:$G,7,FALSE)</f>
        <v>6</v>
      </c>
      <c r="T1070">
        <f t="shared" si="32"/>
        <v>74</v>
      </c>
      <c r="U1070" t="str">
        <f t="shared" si="33"/>
        <v>Pueblo</v>
      </c>
    </row>
    <row r="1071" spans="1:21" ht="16" x14ac:dyDescent="0.4">
      <c r="A1071" s="6">
        <v>185901</v>
      </c>
      <c r="B1071" s="6" t="s">
        <v>20</v>
      </c>
      <c r="C1071" s="6" t="s">
        <v>14</v>
      </c>
      <c r="D1071" s="6">
        <v>674</v>
      </c>
      <c r="E1071" s="6">
        <v>317</v>
      </c>
      <c r="F1071" s="6">
        <v>553</v>
      </c>
      <c r="G1071" s="6">
        <v>2</v>
      </c>
      <c r="H1071" s="6">
        <v>19769</v>
      </c>
      <c r="I1071" s="6">
        <v>0</v>
      </c>
      <c r="J1071" s="6">
        <v>57</v>
      </c>
      <c r="K1071" s="6">
        <v>402</v>
      </c>
      <c r="L1071" s="6">
        <v>458</v>
      </c>
      <c r="M1071" s="6">
        <v>5.3636363640000004</v>
      </c>
      <c r="N1071">
        <f>VLOOKUP(A1071,vlookup_table!$A:$G,2,FALSE)</f>
        <v>2</v>
      </c>
      <c r="O1071" t="str">
        <f>VLOOKUP(A1071,vlookup_table!$A:$G,3,FALSE)</f>
        <v>TX</v>
      </c>
      <c r="P1071">
        <f>VLOOKUP(A1071,vlookup_table!$A:$G,4,FALSE)</f>
        <v>801</v>
      </c>
      <c r="Q1071" t="str">
        <f>VLOOKUP(A1071,vlookup_table!$A:$G,5,FALSE)</f>
        <v/>
      </c>
      <c r="R1071" t="str">
        <f>VLOOKUP(A1071,vlookup_table!$A:$G,6,FALSE)</f>
        <v>M</v>
      </c>
      <c r="S1071">
        <f>VLOOKUP(A1071,vlookup_table!$A:$G,7,FALSE)</f>
        <v>10</v>
      </c>
      <c r="T1071">
        <f t="shared" si="32"/>
        <v>16</v>
      </c>
      <c r="U1071" t="str">
        <f t="shared" si="33"/>
        <v/>
      </c>
    </row>
    <row r="1072" spans="1:21" ht="16" x14ac:dyDescent="0.4">
      <c r="A1072" s="6">
        <v>134566</v>
      </c>
      <c r="B1072" s="6" t="s">
        <v>35</v>
      </c>
      <c r="C1072" s="6" t="s">
        <v>17</v>
      </c>
      <c r="D1072" s="6">
        <v>728</v>
      </c>
      <c r="E1072" s="6">
        <v>265</v>
      </c>
      <c r="F1072" s="6">
        <v>339</v>
      </c>
      <c r="G1072" s="6">
        <v>2</v>
      </c>
      <c r="H1072" s="6">
        <v>8896</v>
      </c>
      <c r="I1072" s="6">
        <v>2</v>
      </c>
      <c r="J1072" s="6">
        <v>54</v>
      </c>
      <c r="K1072" s="6">
        <v>304</v>
      </c>
      <c r="L1072" s="6">
        <v>315</v>
      </c>
      <c r="M1072" s="6">
        <v>10.35714286</v>
      </c>
      <c r="N1072">
        <f>VLOOKUP(A1072,vlookup_table!$A:$G,2,FALSE)</f>
        <v>0</v>
      </c>
      <c r="O1072" t="str">
        <f>VLOOKUP(A1072,vlookup_table!$A:$G,3,FALSE)</f>
        <v>UT</v>
      </c>
      <c r="P1072">
        <f>VLOOKUP(A1072,vlookup_table!$A:$G,4,FALSE)</f>
        <v>0</v>
      </c>
      <c r="Q1072" t="str">
        <f>VLOOKUP(A1072,vlookup_table!$A:$G,5,FALSE)</f>
        <v>S2</v>
      </c>
      <c r="R1072" t="str">
        <f>VLOOKUP(A1072,vlookup_table!$A:$G,6,FALSE)</f>
        <v>F</v>
      </c>
      <c r="S1072">
        <f>VLOOKUP(A1072,vlookup_table!$A:$G,7,FALSE)</f>
        <v>10</v>
      </c>
      <c r="T1072">
        <f t="shared" si="32"/>
        <v>96</v>
      </c>
      <c r="U1072" t="str">
        <f t="shared" si="33"/>
        <v>Suburbano</v>
      </c>
    </row>
    <row r="1073" spans="1:21" ht="16" x14ac:dyDescent="0.4">
      <c r="A1073" s="6">
        <v>185819</v>
      </c>
      <c r="B1073" s="6" t="s">
        <v>21</v>
      </c>
      <c r="C1073" s="6" t="s">
        <v>14</v>
      </c>
      <c r="D1073" s="6">
        <v>4153</v>
      </c>
      <c r="E1073" s="6">
        <v>580</v>
      </c>
      <c r="F1073" s="6">
        <v>891</v>
      </c>
      <c r="G1073" s="6">
        <v>91</v>
      </c>
      <c r="H1073" s="6">
        <v>35520</v>
      </c>
      <c r="I1073" s="6">
        <v>13</v>
      </c>
      <c r="J1073" s="6">
        <v>41</v>
      </c>
      <c r="K1073" s="6">
        <v>886</v>
      </c>
      <c r="L1073" s="6">
        <v>640</v>
      </c>
      <c r="M1073" s="6">
        <v>12</v>
      </c>
      <c r="N1073">
        <f>VLOOKUP(A1073,vlookup_table!$A:$G,2,FALSE)</f>
        <v>2</v>
      </c>
      <c r="O1073" t="str">
        <f>VLOOKUP(A1073,vlookup_table!$A:$G,3,FALSE)</f>
        <v>CA</v>
      </c>
      <c r="P1073">
        <f>VLOOKUP(A1073,vlookup_table!$A:$G,4,FALSE)</f>
        <v>1601</v>
      </c>
      <c r="Q1073" t="str">
        <f>VLOOKUP(A1073,vlookup_table!$A:$G,5,FALSE)</f>
        <v>S1</v>
      </c>
      <c r="R1073" t="str">
        <f>VLOOKUP(A1073,vlookup_table!$A:$G,6,FALSE)</f>
        <v>M</v>
      </c>
      <c r="S1073">
        <f>VLOOKUP(A1073,vlookup_table!$A:$G,7,FALSE)</f>
        <v>13</v>
      </c>
      <c r="T1073">
        <f t="shared" si="32"/>
        <v>80</v>
      </c>
      <c r="U1073" t="str">
        <f t="shared" si="33"/>
        <v>Suburbano</v>
      </c>
    </row>
    <row r="1074" spans="1:21" ht="16" x14ac:dyDescent="0.4">
      <c r="A1074" s="6">
        <v>3985</v>
      </c>
      <c r="B1074" s="6" t="s">
        <v>20</v>
      </c>
      <c r="C1074" s="6" t="s">
        <v>17</v>
      </c>
      <c r="D1074" s="6">
        <v>348</v>
      </c>
      <c r="E1074" s="6">
        <v>197</v>
      </c>
      <c r="F1074" s="6">
        <v>265</v>
      </c>
      <c r="G1074" s="6">
        <v>0</v>
      </c>
      <c r="H1074" s="6">
        <v>7978</v>
      </c>
      <c r="I1074" s="6">
        <v>3</v>
      </c>
      <c r="J1074" s="6">
        <v>87</v>
      </c>
      <c r="K1074" s="6">
        <v>223</v>
      </c>
      <c r="L1074" s="6">
        <v>239</v>
      </c>
      <c r="M1074" s="6">
        <v>10.226923080000001</v>
      </c>
      <c r="N1074">
        <f>VLOOKUP(A1074,vlookup_table!$A:$G,2,FALSE)</f>
        <v>0</v>
      </c>
      <c r="O1074" t="str">
        <f>VLOOKUP(A1074,vlookup_table!$A:$G,3,FALSE)</f>
        <v>TX</v>
      </c>
      <c r="P1074">
        <f>VLOOKUP(A1074,vlookup_table!$A:$G,4,FALSE)</f>
        <v>2612</v>
      </c>
      <c r="Q1074" t="str">
        <f>VLOOKUP(A1074,vlookup_table!$A:$G,5,FALSE)</f>
        <v>R3</v>
      </c>
      <c r="R1074" t="str">
        <f>VLOOKUP(A1074,vlookup_table!$A:$G,6,FALSE)</f>
        <v>F</v>
      </c>
      <c r="S1074">
        <f>VLOOKUP(A1074,vlookup_table!$A:$G,7,FALSE)</f>
        <v>12</v>
      </c>
      <c r="T1074">
        <f t="shared" si="32"/>
        <v>70</v>
      </c>
      <c r="U1074" t="str">
        <f t="shared" si="33"/>
        <v>Rural</v>
      </c>
    </row>
    <row r="1075" spans="1:21" ht="16" x14ac:dyDescent="0.4">
      <c r="A1075" s="6">
        <v>23321</v>
      </c>
      <c r="B1075" s="6" t="s">
        <v>43</v>
      </c>
      <c r="C1075" s="6" t="s">
        <v>17</v>
      </c>
      <c r="D1075" s="6">
        <v>869</v>
      </c>
      <c r="E1075" s="6">
        <v>426</v>
      </c>
      <c r="F1075" s="6">
        <v>511</v>
      </c>
      <c r="G1075" s="6">
        <v>4</v>
      </c>
      <c r="H1075" s="6">
        <v>17534</v>
      </c>
      <c r="I1075" s="6">
        <v>0</v>
      </c>
      <c r="J1075" s="6">
        <v>68</v>
      </c>
      <c r="K1075" s="6">
        <v>505</v>
      </c>
      <c r="L1075" s="6">
        <v>465</v>
      </c>
      <c r="M1075" s="6">
        <v>7.25</v>
      </c>
      <c r="N1075">
        <f>VLOOKUP(A1075,vlookup_table!$A:$G,2,FALSE)</f>
        <v>0</v>
      </c>
      <c r="O1075" t="str">
        <f>VLOOKUP(A1075,vlookup_table!$A:$G,3,FALSE)</f>
        <v>SC</v>
      </c>
      <c r="P1075">
        <f>VLOOKUP(A1075,vlookup_table!$A:$G,4,FALSE)</f>
        <v>3011</v>
      </c>
      <c r="Q1075" t="str">
        <f>VLOOKUP(A1075,vlookup_table!$A:$G,5,FALSE)</f>
        <v>T1</v>
      </c>
      <c r="R1075" t="str">
        <f>VLOOKUP(A1075,vlookup_table!$A:$G,6,FALSE)</f>
        <v>F</v>
      </c>
      <c r="S1075">
        <f>VLOOKUP(A1075,vlookup_table!$A:$G,7,FALSE)</f>
        <v>10</v>
      </c>
      <c r="T1075">
        <f t="shared" si="32"/>
        <v>66</v>
      </c>
      <c r="U1075" t="str">
        <f t="shared" si="33"/>
        <v>Pueblo</v>
      </c>
    </row>
    <row r="1076" spans="1:21" ht="16" x14ac:dyDescent="0.4">
      <c r="A1076" s="6">
        <v>158978</v>
      </c>
      <c r="B1076" s="6" t="s">
        <v>21</v>
      </c>
      <c r="C1076" s="6" t="s">
        <v>14</v>
      </c>
      <c r="D1076" s="6">
        <v>1876</v>
      </c>
      <c r="E1076" s="6">
        <v>393</v>
      </c>
      <c r="F1076" s="6">
        <v>450</v>
      </c>
      <c r="G1076" s="6">
        <v>24</v>
      </c>
      <c r="H1076" s="6">
        <v>11692</v>
      </c>
      <c r="I1076" s="6">
        <v>25</v>
      </c>
      <c r="J1076" s="6">
        <v>46</v>
      </c>
      <c r="K1076" s="6">
        <v>404</v>
      </c>
      <c r="L1076" s="6">
        <v>419</v>
      </c>
      <c r="M1076" s="6">
        <v>10.83333333</v>
      </c>
      <c r="N1076">
        <f>VLOOKUP(A1076,vlookup_table!$A:$G,2,FALSE)</f>
        <v>0</v>
      </c>
      <c r="O1076" t="str">
        <f>VLOOKUP(A1076,vlookup_table!$A:$G,3,FALSE)</f>
        <v>CA</v>
      </c>
      <c r="P1076">
        <f>VLOOKUP(A1076,vlookup_table!$A:$G,4,FALSE)</f>
        <v>5009</v>
      </c>
      <c r="Q1076" t="str">
        <f>VLOOKUP(A1076,vlookup_table!$A:$G,5,FALSE)</f>
        <v>S2</v>
      </c>
      <c r="R1076" t="str">
        <f>VLOOKUP(A1076,vlookup_table!$A:$G,6,FALSE)</f>
        <v>M</v>
      </c>
      <c r="S1076">
        <f>VLOOKUP(A1076,vlookup_table!$A:$G,7,FALSE)</f>
        <v>15</v>
      </c>
      <c r="T1076">
        <f t="shared" si="32"/>
        <v>46</v>
      </c>
      <c r="U1076" t="str">
        <f t="shared" si="33"/>
        <v>Suburbano</v>
      </c>
    </row>
    <row r="1077" spans="1:21" ht="16" x14ac:dyDescent="0.4">
      <c r="A1077" s="6">
        <v>14388</v>
      </c>
      <c r="B1077" s="6" t="s">
        <v>13</v>
      </c>
      <c r="C1077" s="6" t="s">
        <v>14</v>
      </c>
      <c r="D1077" s="6">
        <v>865</v>
      </c>
      <c r="E1077" s="6">
        <v>341</v>
      </c>
      <c r="F1077" s="6">
        <v>432</v>
      </c>
      <c r="G1077" s="6">
        <v>3</v>
      </c>
      <c r="H1077" s="6">
        <v>15630</v>
      </c>
      <c r="I1077" s="6">
        <v>7</v>
      </c>
      <c r="J1077" s="6">
        <v>21</v>
      </c>
      <c r="K1077" s="6">
        <v>387</v>
      </c>
      <c r="L1077" s="6">
        <v>392</v>
      </c>
      <c r="M1077" s="6">
        <v>6.266666667</v>
      </c>
      <c r="N1077">
        <f>VLOOKUP(A1077,vlookup_table!$A:$G,2,FALSE)</f>
        <v>1002</v>
      </c>
      <c r="O1077" t="str">
        <f>VLOOKUP(A1077,vlookup_table!$A:$G,3,FALSE)</f>
        <v>FL</v>
      </c>
      <c r="P1077">
        <f>VLOOKUP(A1077,vlookup_table!$A:$G,4,FALSE)</f>
        <v>6206</v>
      </c>
      <c r="Q1077" t="str">
        <f>VLOOKUP(A1077,vlookup_table!$A:$G,5,FALSE)</f>
        <v>S2</v>
      </c>
      <c r="R1077" t="str">
        <f>VLOOKUP(A1077,vlookup_table!$A:$G,6,FALSE)</f>
        <v>M</v>
      </c>
      <c r="S1077">
        <f>VLOOKUP(A1077,vlookup_table!$A:$G,7,FALSE)</f>
        <v>10</v>
      </c>
      <c r="T1077">
        <f t="shared" si="32"/>
        <v>34</v>
      </c>
      <c r="U1077" t="str">
        <f t="shared" si="33"/>
        <v>Suburbano</v>
      </c>
    </row>
    <row r="1078" spans="1:21" ht="16" x14ac:dyDescent="0.4">
      <c r="A1078" s="6">
        <v>12779</v>
      </c>
      <c r="B1078" s="6" t="s">
        <v>21</v>
      </c>
      <c r="C1078" s="6" t="s">
        <v>14</v>
      </c>
      <c r="D1078" s="6">
        <v>666</v>
      </c>
      <c r="E1078" s="6">
        <v>213</v>
      </c>
      <c r="F1078" s="6">
        <v>288</v>
      </c>
      <c r="G1078" s="6">
        <v>1</v>
      </c>
      <c r="H1078" s="6">
        <v>8943</v>
      </c>
      <c r="I1078" s="6">
        <v>14</v>
      </c>
      <c r="J1078" s="6">
        <v>47</v>
      </c>
      <c r="K1078" s="6">
        <v>253</v>
      </c>
      <c r="L1078" s="6">
        <v>268</v>
      </c>
      <c r="M1078" s="6">
        <v>8.1666666669999994</v>
      </c>
      <c r="N1078">
        <f>VLOOKUP(A1078,vlookup_table!$A:$G,2,FALSE)</f>
        <v>1</v>
      </c>
      <c r="O1078" t="str">
        <f>VLOOKUP(A1078,vlookup_table!$A:$G,3,FALSE)</f>
        <v>CA</v>
      </c>
      <c r="P1078">
        <f>VLOOKUP(A1078,vlookup_table!$A:$G,4,FALSE)</f>
        <v>1407</v>
      </c>
      <c r="Q1078" t="str">
        <f>VLOOKUP(A1078,vlookup_table!$A:$G,5,FALSE)</f>
        <v>R3</v>
      </c>
      <c r="R1078" t="str">
        <f>VLOOKUP(A1078,vlookup_table!$A:$G,6,FALSE)</f>
        <v>M</v>
      </c>
      <c r="S1078">
        <f>VLOOKUP(A1078,vlookup_table!$A:$G,7,FALSE)</f>
        <v>10</v>
      </c>
      <c r="T1078">
        <f t="shared" si="32"/>
        <v>82</v>
      </c>
      <c r="U1078" t="str">
        <f t="shared" si="33"/>
        <v>Rural</v>
      </c>
    </row>
    <row r="1079" spans="1:21" ht="16" x14ac:dyDescent="0.4">
      <c r="A1079" s="6">
        <v>39667</v>
      </c>
      <c r="B1079" s="6" t="s">
        <v>13</v>
      </c>
      <c r="C1079" s="6" t="s">
        <v>14</v>
      </c>
      <c r="D1079" s="6">
        <v>809</v>
      </c>
      <c r="E1079" s="6">
        <v>358</v>
      </c>
      <c r="F1079" s="6">
        <v>446</v>
      </c>
      <c r="G1079" s="6">
        <v>8</v>
      </c>
      <c r="H1079" s="6">
        <v>16099</v>
      </c>
      <c r="I1079" s="6">
        <v>10</v>
      </c>
      <c r="J1079" s="6">
        <v>32</v>
      </c>
      <c r="K1079" s="6">
        <v>389</v>
      </c>
      <c r="L1079" s="6">
        <v>411</v>
      </c>
      <c r="M1079" s="6">
        <v>13.71428571</v>
      </c>
      <c r="N1079">
        <f>VLOOKUP(A1079,vlookup_table!$A:$G,2,FALSE)</f>
        <v>0</v>
      </c>
      <c r="O1079" t="str">
        <f>VLOOKUP(A1079,vlookup_table!$A:$G,3,FALSE)</f>
        <v>FL</v>
      </c>
      <c r="P1079">
        <f>VLOOKUP(A1079,vlookup_table!$A:$G,4,FALSE)</f>
        <v>2209</v>
      </c>
      <c r="Q1079" t="str">
        <f>VLOOKUP(A1079,vlookup_table!$A:$G,5,FALSE)</f>
        <v>S2</v>
      </c>
      <c r="R1079" t="str">
        <f>VLOOKUP(A1079,vlookup_table!$A:$G,6,FALSE)</f>
        <v>M</v>
      </c>
      <c r="S1079">
        <f>VLOOKUP(A1079,vlookup_table!$A:$G,7,FALSE)</f>
        <v>15</v>
      </c>
      <c r="T1079">
        <f t="shared" si="32"/>
        <v>74</v>
      </c>
      <c r="U1079" t="str">
        <f t="shared" si="33"/>
        <v>Suburbano</v>
      </c>
    </row>
    <row r="1080" spans="1:21" ht="16" x14ac:dyDescent="0.4">
      <c r="A1080" s="6">
        <v>163731</v>
      </c>
      <c r="B1080" s="6" t="s">
        <v>21</v>
      </c>
      <c r="C1080" s="6" t="s">
        <v>14</v>
      </c>
      <c r="D1080" s="6">
        <v>4763</v>
      </c>
      <c r="E1080" s="6">
        <v>502</v>
      </c>
      <c r="F1080" s="6">
        <v>609</v>
      </c>
      <c r="G1080" s="6">
        <v>97</v>
      </c>
      <c r="H1080" s="6">
        <v>24002</v>
      </c>
      <c r="I1080" s="6">
        <v>26</v>
      </c>
      <c r="J1080" s="6">
        <v>42</v>
      </c>
      <c r="K1080" s="6">
        <v>534</v>
      </c>
      <c r="L1080" s="6">
        <v>551</v>
      </c>
      <c r="M1080" s="6">
        <v>9.8888888890000004</v>
      </c>
      <c r="N1080">
        <f>VLOOKUP(A1080,vlookup_table!$A:$G,2,FALSE)</f>
        <v>1</v>
      </c>
      <c r="O1080" t="str">
        <f>VLOOKUP(A1080,vlookup_table!$A:$G,3,FALSE)</f>
        <v>CA</v>
      </c>
      <c r="P1080">
        <f>VLOOKUP(A1080,vlookup_table!$A:$G,4,FALSE)</f>
        <v>5401</v>
      </c>
      <c r="Q1080" t="str">
        <f>VLOOKUP(A1080,vlookup_table!$A:$G,5,FALSE)</f>
        <v>S1</v>
      </c>
      <c r="R1080" t="str">
        <f>VLOOKUP(A1080,vlookup_table!$A:$G,6,FALSE)</f>
        <v>M</v>
      </c>
      <c r="S1080">
        <f>VLOOKUP(A1080,vlookup_table!$A:$G,7,FALSE)</f>
        <v>11</v>
      </c>
      <c r="T1080">
        <f t="shared" si="32"/>
        <v>42</v>
      </c>
      <c r="U1080" t="str">
        <f t="shared" si="33"/>
        <v>Suburbano</v>
      </c>
    </row>
    <row r="1081" spans="1:21" ht="16" x14ac:dyDescent="0.4">
      <c r="A1081" s="6">
        <v>156457</v>
      </c>
      <c r="B1081" s="6" t="s">
        <v>21</v>
      </c>
      <c r="C1081" s="6" t="s">
        <v>17</v>
      </c>
      <c r="D1081" s="6">
        <v>0</v>
      </c>
      <c r="E1081" s="6">
        <v>0</v>
      </c>
      <c r="F1081" s="6">
        <v>0</v>
      </c>
      <c r="G1081" s="6">
        <v>0</v>
      </c>
      <c r="H1081" s="6">
        <v>0</v>
      </c>
      <c r="I1081" s="6">
        <v>0</v>
      </c>
      <c r="J1081" s="6">
        <v>0</v>
      </c>
      <c r="K1081" s="6">
        <v>0</v>
      </c>
      <c r="L1081" s="6">
        <v>0</v>
      </c>
      <c r="M1081" s="6">
        <v>15</v>
      </c>
      <c r="N1081">
        <f>VLOOKUP(A1081,vlookup_table!$A:$G,2,FALSE)</f>
        <v>0</v>
      </c>
      <c r="O1081" t="str">
        <f>VLOOKUP(A1081,vlookup_table!$A:$G,3,FALSE)</f>
        <v>CA</v>
      </c>
      <c r="P1081">
        <f>VLOOKUP(A1081,vlookup_table!$A:$G,4,FALSE)</f>
        <v>5308</v>
      </c>
      <c r="Q1081" t="str">
        <f>VLOOKUP(A1081,vlookup_table!$A:$G,5,FALSE)</f>
        <v>U2</v>
      </c>
      <c r="R1081" t="str">
        <f>VLOOKUP(A1081,vlookup_table!$A:$G,6,FALSE)</f>
        <v>F</v>
      </c>
      <c r="S1081">
        <f>VLOOKUP(A1081,vlookup_table!$A:$G,7,FALSE)</f>
        <v>25</v>
      </c>
      <c r="T1081">
        <f t="shared" si="32"/>
        <v>43</v>
      </c>
      <c r="U1081" t="str">
        <f t="shared" si="33"/>
        <v>Urbano</v>
      </c>
    </row>
    <row r="1082" spans="1:21" ht="16" x14ac:dyDescent="0.4">
      <c r="A1082" s="6">
        <v>100369</v>
      </c>
      <c r="B1082" s="6" t="s">
        <v>33</v>
      </c>
      <c r="C1082" s="6" t="s">
        <v>17</v>
      </c>
      <c r="D1082" s="6">
        <v>987</v>
      </c>
      <c r="E1082" s="6">
        <v>296</v>
      </c>
      <c r="F1082" s="6">
        <v>412</v>
      </c>
      <c r="G1082" s="6">
        <v>1</v>
      </c>
      <c r="H1082" s="6">
        <v>17097</v>
      </c>
      <c r="I1082" s="6">
        <v>2</v>
      </c>
      <c r="J1082" s="6">
        <v>76</v>
      </c>
      <c r="K1082" s="6">
        <v>354</v>
      </c>
      <c r="L1082" s="6">
        <v>344</v>
      </c>
      <c r="M1082" s="6">
        <v>28</v>
      </c>
      <c r="N1082">
        <f>VLOOKUP(A1082,vlookup_table!$A:$G,2,FALSE)</f>
        <v>2</v>
      </c>
      <c r="O1082" t="str">
        <f>VLOOKUP(A1082,vlookup_table!$A:$G,3,FALSE)</f>
        <v>MO</v>
      </c>
      <c r="P1082">
        <f>VLOOKUP(A1082,vlookup_table!$A:$G,4,FALSE)</f>
        <v>7201</v>
      </c>
      <c r="Q1082" t="str">
        <f>VLOOKUP(A1082,vlookup_table!$A:$G,5,FALSE)</f>
        <v>S2</v>
      </c>
      <c r="R1082" t="str">
        <f>VLOOKUP(A1082,vlookup_table!$A:$G,6,FALSE)</f>
        <v>F</v>
      </c>
      <c r="S1082">
        <f>VLOOKUP(A1082,vlookup_table!$A:$G,7,FALSE)</f>
        <v>28</v>
      </c>
      <c r="T1082">
        <f t="shared" si="32"/>
        <v>24</v>
      </c>
      <c r="U1082" t="str">
        <f t="shared" si="33"/>
        <v>Suburbano</v>
      </c>
    </row>
    <row r="1083" spans="1:21" ht="16" x14ac:dyDescent="0.4">
      <c r="A1083" s="6">
        <v>46201</v>
      </c>
      <c r="B1083" s="6" t="s">
        <v>13</v>
      </c>
      <c r="C1083" s="6" t="s">
        <v>14</v>
      </c>
      <c r="D1083" s="6">
        <v>2444</v>
      </c>
      <c r="E1083" s="6">
        <v>729</v>
      </c>
      <c r="F1083" s="6">
        <v>782</v>
      </c>
      <c r="G1083" s="6">
        <v>70</v>
      </c>
      <c r="H1083" s="6">
        <v>28668</v>
      </c>
      <c r="I1083" s="6">
        <v>8</v>
      </c>
      <c r="J1083" s="6">
        <v>33</v>
      </c>
      <c r="K1083" s="6">
        <v>780</v>
      </c>
      <c r="L1083" s="6">
        <v>737</v>
      </c>
      <c r="M1083" s="6">
        <v>15</v>
      </c>
      <c r="N1083">
        <f>VLOOKUP(A1083,vlookup_table!$A:$G,2,FALSE)</f>
        <v>1</v>
      </c>
      <c r="O1083" t="str">
        <f>VLOOKUP(A1083,vlookup_table!$A:$G,3,FALSE)</f>
        <v>FL</v>
      </c>
      <c r="P1083">
        <f>VLOOKUP(A1083,vlookup_table!$A:$G,4,FALSE)</f>
        <v>3001</v>
      </c>
      <c r="Q1083" t="str">
        <f>VLOOKUP(A1083,vlookup_table!$A:$G,5,FALSE)</f>
        <v>S1</v>
      </c>
      <c r="R1083" t="str">
        <f>VLOOKUP(A1083,vlookup_table!$A:$G,6,FALSE)</f>
        <v>M</v>
      </c>
      <c r="S1083">
        <f>VLOOKUP(A1083,vlookup_table!$A:$G,7,FALSE)</f>
        <v>15</v>
      </c>
      <c r="T1083">
        <f t="shared" si="32"/>
        <v>66</v>
      </c>
      <c r="U1083" t="str">
        <f t="shared" si="33"/>
        <v>Suburbano</v>
      </c>
    </row>
    <row r="1084" spans="1:21" ht="16" x14ac:dyDescent="0.4">
      <c r="A1084" s="6">
        <v>118182</v>
      </c>
      <c r="B1084" s="6" t="s">
        <v>20</v>
      </c>
      <c r="C1084" s="6" t="s">
        <v>14</v>
      </c>
      <c r="D1084" s="6">
        <v>503</v>
      </c>
      <c r="E1084" s="6">
        <v>213</v>
      </c>
      <c r="F1084" s="6">
        <v>292</v>
      </c>
      <c r="G1084" s="6">
        <v>1</v>
      </c>
      <c r="H1084" s="6">
        <v>9495</v>
      </c>
      <c r="I1084" s="6">
        <v>1</v>
      </c>
      <c r="J1084" s="6">
        <v>71</v>
      </c>
      <c r="K1084" s="6">
        <v>255</v>
      </c>
      <c r="L1084" s="6">
        <v>262</v>
      </c>
      <c r="M1084" s="6">
        <v>4.5</v>
      </c>
      <c r="N1084">
        <f>VLOOKUP(A1084,vlookup_table!$A:$G,2,FALSE)</f>
        <v>0</v>
      </c>
      <c r="O1084" t="str">
        <f>VLOOKUP(A1084,vlookup_table!$A:$G,3,FALSE)</f>
        <v>TX</v>
      </c>
      <c r="P1084">
        <f>VLOOKUP(A1084,vlookup_table!$A:$G,4,FALSE)</f>
        <v>2301</v>
      </c>
      <c r="Q1084" t="str">
        <f>VLOOKUP(A1084,vlookup_table!$A:$G,5,FALSE)</f>
        <v>R2</v>
      </c>
      <c r="R1084" t="str">
        <f>VLOOKUP(A1084,vlookup_table!$A:$G,6,FALSE)</f>
        <v>M</v>
      </c>
      <c r="S1084">
        <f>VLOOKUP(A1084,vlookup_table!$A:$G,7,FALSE)</f>
        <v>5</v>
      </c>
      <c r="T1084">
        <f t="shared" si="32"/>
        <v>73</v>
      </c>
      <c r="U1084" t="str">
        <f t="shared" si="33"/>
        <v>Rural</v>
      </c>
    </row>
    <row r="1085" spans="1:21" ht="16" x14ac:dyDescent="0.4">
      <c r="A1085" s="6">
        <v>67</v>
      </c>
      <c r="B1085" s="6" t="s">
        <v>50</v>
      </c>
      <c r="C1085" s="6" t="s">
        <v>17</v>
      </c>
      <c r="D1085" s="6">
        <v>1004</v>
      </c>
      <c r="E1085" s="6">
        <v>189</v>
      </c>
      <c r="F1085" s="6">
        <v>313</v>
      </c>
      <c r="G1085" s="6">
        <v>0</v>
      </c>
      <c r="H1085" s="6">
        <v>12667</v>
      </c>
      <c r="I1085" s="6">
        <v>2</v>
      </c>
      <c r="J1085" s="6">
        <v>32</v>
      </c>
      <c r="K1085" s="6">
        <v>247</v>
      </c>
      <c r="L1085" s="6">
        <v>236</v>
      </c>
      <c r="M1085" s="6">
        <v>5.05</v>
      </c>
      <c r="N1085">
        <f>VLOOKUP(A1085,vlookup_table!$A:$G,2,FALSE)</f>
        <v>0</v>
      </c>
      <c r="O1085" t="str">
        <f>VLOOKUP(A1085,vlookup_table!$A:$G,3,FALSE)</f>
        <v>NM</v>
      </c>
      <c r="P1085">
        <f>VLOOKUP(A1085,vlookup_table!$A:$G,4,FALSE)</f>
        <v>1801</v>
      </c>
      <c r="Q1085" t="str">
        <f>VLOOKUP(A1085,vlookup_table!$A:$G,5,FALSE)</f>
        <v>C2</v>
      </c>
      <c r="R1085" t="str">
        <f>VLOOKUP(A1085,vlookup_table!$A:$G,6,FALSE)</f>
        <v>F</v>
      </c>
      <c r="S1085">
        <f>VLOOKUP(A1085,vlookup_table!$A:$G,7,FALSE)</f>
        <v>5</v>
      </c>
      <c r="T1085">
        <f t="shared" si="32"/>
        <v>78</v>
      </c>
      <c r="U1085" t="str">
        <f t="shared" si="33"/>
        <v>Ciudad</v>
      </c>
    </row>
    <row r="1086" spans="1:21" ht="16" x14ac:dyDescent="0.4">
      <c r="A1086" s="6">
        <v>116951</v>
      </c>
      <c r="B1086" s="6" t="s">
        <v>20</v>
      </c>
      <c r="C1086" s="6" t="s">
        <v>17</v>
      </c>
      <c r="D1086" s="6">
        <v>1565</v>
      </c>
      <c r="E1086" s="6">
        <v>717</v>
      </c>
      <c r="F1086" s="6">
        <v>784</v>
      </c>
      <c r="G1086" s="6">
        <v>0</v>
      </c>
      <c r="H1086" s="6">
        <v>27276</v>
      </c>
      <c r="I1086" s="6">
        <v>9</v>
      </c>
      <c r="J1086" s="6">
        <v>27</v>
      </c>
      <c r="K1086" s="6">
        <v>780</v>
      </c>
      <c r="L1086" s="6">
        <v>704</v>
      </c>
      <c r="M1086" s="6">
        <v>6.1</v>
      </c>
      <c r="N1086">
        <f>VLOOKUP(A1086,vlookup_table!$A:$G,2,FALSE)</f>
        <v>0</v>
      </c>
      <c r="O1086" t="str">
        <f>VLOOKUP(A1086,vlookup_table!$A:$G,3,FALSE)</f>
        <v>TX</v>
      </c>
      <c r="P1086">
        <f>VLOOKUP(A1086,vlookup_table!$A:$G,4,FALSE)</f>
        <v>1404</v>
      </c>
      <c r="Q1086" t="str">
        <f>VLOOKUP(A1086,vlookup_table!$A:$G,5,FALSE)</f>
        <v>U3</v>
      </c>
      <c r="R1086" t="str">
        <f>VLOOKUP(A1086,vlookup_table!$A:$G,6,FALSE)</f>
        <v>F</v>
      </c>
      <c r="S1086">
        <f>VLOOKUP(A1086,vlookup_table!$A:$G,7,FALSE)</f>
        <v>6</v>
      </c>
      <c r="T1086">
        <f t="shared" si="32"/>
        <v>82</v>
      </c>
      <c r="U1086" t="str">
        <f t="shared" si="33"/>
        <v>Urbano</v>
      </c>
    </row>
    <row r="1087" spans="1:21" ht="16" x14ac:dyDescent="0.4">
      <c r="A1087" s="6">
        <v>160032</v>
      </c>
      <c r="B1087" s="6" t="s">
        <v>21</v>
      </c>
      <c r="C1087" s="6" t="s">
        <v>17</v>
      </c>
      <c r="D1087" s="6">
        <v>872</v>
      </c>
      <c r="E1087" s="6">
        <v>294</v>
      </c>
      <c r="F1087" s="6">
        <v>356</v>
      </c>
      <c r="G1087" s="6">
        <v>0</v>
      </c>
      <c r="H1087" s="6">
        <v>12433</v>
      </c>
      <c r="I1087" s="6">
        <v>7</v>
      </c>
      <c r="J1087" s="6">
        <v>62</v>
      </c>
      <c r="K1087" s="6">
        <v>307</v>
      </c>
      <c r="L1087" s="6">
        <v>343</v>
      </c>
      <c r="M1087" s="6">
        <v>20.399999999999999</v>
      </c>
      <c r="N1087">
        <f>VLOOKUP(A1087,vlookup_table!$A:$G,2,FALSE)</f>
        <v>0</v>
      </c>
      <c r="O1087" t="str">
        <f>VLOOKUP(A1087,vlookup_table!$A:$G,3,FALSE)</f>
        <v>CA</v>
      </c>
      <c r="P1087">
        <f>VLOOKUP(A1087,vlookup_table!$A:$G,4,FALSE)</f>
        <v>0</v>
      </c>
      <c r="Q1087" t="str">
        <f>VLOOKUP(A1087,vlookup_table!$A:$G,5,FALSE)</f>
        <v>C2</v>
      </c>
      <c r="R1087" t="str">
        <f>VLOOKUP(A1087,vlookup_table!$A:$G,6,FALSE)</f>
        <v>F</v>
      </c>
      <c r="S1087">
        <f>VLOOKUP(A1087,vlookup_table!$A:$G,7,FALSE)</f>
        <v>25</v>
      </c>
      <c r="T1087">
        <f t="shared" si="32"/>
        <v>96</v>
      </c>
      <c r="U1087" t="str">
        <f t="shared" si="33"/>
        <v>Ciudad</v>
      </c>
    </row>
    <row r="1088" spans="1:21" ht="16" x14ac:dyDescent="0.4">
      <c r="A1088" s="6">
        <v>60694</v>
      </c>
      <c r="B1088" s="6" t="s">
        <v>30</v>
      </c>
      <c r="C1088" s="6" t="s">
        <v>17</v>
      </c>
      <c r="D1088" s="6">
        <v>501</v>
      </c>
      <c r="E1088" s="6">
        <v>305</v>
      </c>
      <c r="F1088" s="6">
        <v>399</v>
      </c>
      <c r="G1088" s="6">
        <v>2</v>
      </c>
      <c r="H1088" s="6">
        <v>13073</v>
      </c>
      <c r="I1088" s="6">
        <v>2</v>
      </c>
      <c r="J1088" s="6">
        <v>61</v>
      </c>
      <c r="K1088" s="6">
        <v>374</v>
      </c>
      <c r="L1088" s="6">
        <v>354</v>
      </c>
      <c r="M1088" s="6">
        <v>20.777777780000001</v>
      </c>
      <c r="N1088">
        <f>VLOOKUP(A1088,vlookup_table!$A:$G,2,FALSE)</f>
        <v>0</v>
      </c>
      <c r="O1088" t="str">
        <f>VLOOKUP(A1088,vlookup_table!$A:$G,3,FALSE)</f>
        <v>IN</v>
      </c>
      <c r="P1088">
        <f>VLOOKUP(A1088,vlookup_table!$A:$G,4,FALSE)</f>
        <v>0</v>
      </c>
      <c r="Q1088" t="str">
        <f>VLOOKUP(A1088,vlookup_table!$A:$G,5,FALSE)</f>
        <v>R1</v>
      </c>
      <c r="R1088" t="str">
        <f>VLOOKUP(A1088,vlookup_table!$A:$G,6,FALSE)</f>
        <v>F</v>
      </c>
      <c r="S1088">
        <f>VLOOKUP(A1088,vlookup_table!$A:$G,7,FALSE)</f>
        <v>25</v>
      </c>
      <c r="T1088">
        <f t="shared" si="32"/>
        <v>96</v>
      </c>
      <c r="U1088" t="str">
        <f t="shared" si="33"/>
        <v>Rural</v>
      </c>
    </row>
    <row r="1089" spans="1:21" ht="16" x14ac:dyDescent="0.4">
      <c r="A1089" s="6">
        <v>80387</v>
      </c>
      <c r="B1089" s="6" t="s">
        <v>32</v>
      </c>
      <c r="C1089" s="6" t="s">
        <v>17</v>
      </c>
      <c r="D1089" s="6">
        <v>331</v>
      </c>
      <c r="E1089" s="6">
        <v>154</v>
      </c>
      <c r="F1089" s="6">
        <v>273</v>
      </c>
      <c r="G1089" s="6">
        <v>0</v>
      </c>
      <c r="H1089" s="6">
        <v>10270</v>
      </c>
      <c r="I1089" s="6">
        <v>2</v>
      </c>
      <c r="J1089" s="6">
        <v>90</v>
      </c>
      <c r="K1089" s="6">
        <v>237</v>
      </c>
      <c r="L1089" s="6">
        <v>217</v>
      </c>
      <c r="M1089" s="6">
        <v>4.4444444440000002</v>
      </c>
      <c r="N1089">
        <f>VLOOKUP(A1089,vlookup_table!$A:$G,2,FALSE)</f>
        <v>0</v>
      </c>
      <c r="O1089" t="str">
        <f>VLOOKUP(A1089,vlookup_table!$A:$G,3,FALSE)</f>
        <v>WI</v>
      </c>
      <c r="P1089">
        <f>VLOOKUP(A1089,vlookup_table!$A:$G,4,FALSE)</f>
        <v>1401</v>
      </c>
      <c r="Q1089" t="str">
        <f>VLOOKUP(A1089,vlookup_table!$A:$G,5,FALSE)</f>
        <v>T3</v>
      </c>
      <c r="R1089" t="str">
        <f>VLOOKUP(A1089,vlookup_table!$A:$G,6,FALSE)</f>
        <v>F</v>
      </c>
      <c r="S1089">
        <f>VLOOKUP(A1089,vlookup_table!$A:$G,7,FALSE)</f>
        <v>5</v>
      </c>
      <c r="T1089">
        <f t="shared" si="32"/>
        <v>82</v>
      </c>
      <c r="U1089" t="str">
        <f t="shared" si="33"/>
        <v>Pueblo</v>
      </c>
    </row>
    <row r="1090" spans="1:21" ht="16" x14ac:dyDescent="0.4">
      <c r="A1090" s="6">
        <v>158143</v>
      </c>
      <c r="B1090" s="6" t="s">
        <v>21</v>
      </c>
      <c r="C1090" s="6" t="s">
        <v>14</v>
      </c>
      <c r="D1090" s="6">
        <v>620</v>
      </c>
      <c r="E1090" s="6">
        <v>236</v>
      </c>
      <c r="F1090" s="6">
        <v>309</v>
      </c>
      <c r="G1090" s="6">
        <v>1</v>
      </c>
      <c r="H1090" s="6">
        <v>10406</v>
      </c>
      <c r="I1090" s="6">
        <v>2</v>
      </c>
      <c r="J1090" s="6">
        <v>60</v>
      </c>
      <c r="K1090" s="6">
        <v>270</v>
      </c>
      <c r="L1090" s="6">
        <v>279</v>
      </c>
      <c r="M1090" s="6">
        <v>12.361428569999999</v>
      </c>
      <c r="N1090">
        <f>VLOOKUP(A1090,vlookup_table!$A:$G,2,FALSE)</f>
        <v>1</v>
      </c>
      <c r="O1090" t="str">
        <f>VLOOKUP(A1090,vlookup_table!$A:$G,3,FALSE)</f>
        <v>CA</v>
      </c>
      <c r="P1090">
        <f>VLOOKUP(A1090,vlookup_table!$A:$G,4,FALSE)</f>
        <v>4007</v>
      </c>
      <c r="Q1090" t="str">
        <f>VLOOKUP(A1090,vlookup_table!$A:$G,5,FALSE)</f>
        <v>S1</v>
      </c>
      <c r="R1090" t="str">
        <f>VLOOKUP(A1090,vlookup_table!$A:$G,6,FALSE)</f>
        <v>M</v>
      </c>
      <c r="S1090">
        <f>VLOOKUP(A1090,vlookup_table!$A:$G,7,FALSE)</f>
        <v>16</v>
      </c>
      <c r="T1090">
        <f t="shared" si="32"/>
        <v>56</v>
      </c>
      <c r="U1090" t="str">
        <f t="shared" si="33"/>
        <v>Suburbano</v>
      </c>
    </row>
    <row r="1091" spans="1:21" ht="16" x14ac:dyDescent="0.4">
      <c r="A1091" s="6">
        <v>25277</v>
      </c>
      <c r="B1091" s="6" t="s">
        <v>43</v>
      </c>
      <c r="C1091" s="6" t="s">
        <v>14</v>
      </c>
      <c r="D1091" s="6">
        <v>747</v>
      </c>
      <c r="E1091" s="6">
        <v>369</v>
      </c>
      <c r="F1091" s="6">
        <v>488</v>
      </c>
      <c r="G1091" s="6">
        <v>0</v>
      </c>
      <c r="H1091" s="6">
        <v>18371</v>
      </c>
      <c r="I1091" s="6">
        <v>1</v>
      </c>
      <c r="J1091" s="6">
        <v>35</v>
      </c>
      <c r="K1091" s="6">
        <v>457</v>
      </c>
      <c r="L1091" s="6">
        <v>396</v>
      </c>
      <c r="M1091" s="6">
        <v>15</v>
      </c>
      <c r="N1091">
        <f>VLOOKUP(A1091,vlookup_table!$A:$G,2,FALSE)</f>
        <v>1</v>
      </c>
      <c r="O1091" t="str">
        <f>VLOOKUP(A1091,vlookup_table!$A:$G,3,FALSE)</f>
        <v>SC</v>
      </c>
      <c r="P1091">
        <f>VLOOKUP(A1091,vlookup_table!$A:$G,4,FALSE)</f>
        <v>2101</v>
      </c>
      <c r="Q1091" t="str">
        <f>VLOOKUP(A1091,vlookup_table!$A:$G,5,FALSE)</f>
        <v>T1</v>
      </c>
      <c r="R1091" t="str">
        <f>VLOOKUP(A1091,vlookup_table!$A:$G,6,FALSE)</f>
        <v>M</v>
      </c>
      <c r="S1091">
        <f>VLOOKUP(A1091,vlookup_table!$A:$G,7,FALSE)</f>
        <v>17</v>
      </c>
      <c r="T1091">
        <f t="shared" ref="T1091:T1154" si="34">97-LEFT(P1091,2)-IF(RIGHT(P1091,2)&gt;6,1,0)</f>
        <v>75</v>
      </c>
      <c r="U1091" t="str">
        <f t="shared" ref="U1091:U1154" si="35">IF(LEFT(Q1091,1)="C","Ciudad",IF(LEFT(Q1091,1)="T","Pueblo",IF(LEFT(Q1091,1)="R","Rural",IF(LEFT(Q1091,1)="S","Suburbano",IF(LEFT(Q1091,1)="U","Urbano","")))))</f>
        <v>Pueblo</v>
      </c>
    </row>
    <row r="1092" spans="1:21" ht="16" x14ac:dyDescent="0.4">
      <c r="A1092" s="6">
        <v>179454</v>
      </c>
      <c r="B1092" s="6" t="s">
        <v>37</v>
      </c>
      <c r="C1092" s="6" t="s">
        <v>17</v>
      </c>
      <c r="D1092" s="6">
        <v>936</v>
      </c>
      <c r="E1092" s="6">
        <v>237</v>
      </c>
      <c r="F1092" s="6">
        <v>308</v>
      </c>
      <c r="G1092" s="6">
        <v>1</v>
      </c>
      <c r="H1092" s="6">
        <v>9875</v>
      </c>
      <c r="I1092" s="6">
        <v>22</v>
      </c>
      <c r="J1092" s="6">
        <v>48</v>
      </c>
      <c r="K1092" s="6">
        <v>304</v>
      </c>
      <c r="L1092" s="6">
        <v>257</v>
      </c>
      <c r="M1092" s="6">
        <v>9.5</v>
      </c>
      <c r="N1092">
        <f>VLOOKUP(A1092,vlookup_table!$A:$G,2,FALSE)</f>
        <v>28</v>
      </c>
      <c r="O1092" t="str">
        <f>VLOOKUP(A1092,vlookup_table!$A:$G,3,FALSE)</f>
        <v>WA</v>
      </c>
      <c r="P1092">
        <f>VLOOKUP(A1092,vlookup_table!$A:$G,4,FALSE)</f>
        <v>2501</v>
      </c>
      <c r="Q1092" t="str">
        <f>VLOOKUP(A1092,vlookup_table!$A:$G,5,FALSE)</f>
        <v>U3</v>
      </c>
      <c r="R1092" t="str">
        <f>VLOOKUP(A1092,vlookup_table!$A:$G,6,FALSE)</f>
        <v>F</v>
      </c>
      <c r="S1092">
        <f>VLOOKUP(A1092,vlookup_table!$A:$G,7,FALSE)</f>
        <v>20</v>
      </c>
      <c r="T1092">
        <f t="shared" si="34"/>
        <v>71</v>
      </c>
      <c r="U1092" t="str">
        <f t="shared" si="35"/>
        <v>Urbano</v>
      </c>
    </row>
    <row r="1093" spans="1:21" ht="16" x14ac:dyDescent="0.4">
      <c r="A1093" s="6">
        <v>145899</v>
      </c>
      <c r="B1093" s="6" t="s">
        <v>18</v>
      </c>
      <c r="C1093" s="6" t="s">
        <v>98</v>
      </c>
      <c r="D1093" s="6">
        <v>1491</v>
      </c>
      <c r="E1093" s="6">
        <v>396</v>
      </c>
      <c r="F1093" s="6">
        <v>566</v>
      </c>
      <c r="G1093" s="6">
        <v>22</v>
      </c>
      <c r="H1093" s="6">
        <v>26286</v>
      </c>
      <c r="I1093" s="6">
        <v>1</v>
      </c>
      <c r="J1093" s="6">
        <v>42</v>
      </c>
      <c r="K1093" s="6">
        <v>489</v>
      </c>
      <c r="L1093" s="6">
        <v>472</v>
      </c>
      <c r="M1093" s="6">
        <v>14</v>
      </c>
      <c r="N1093">
        <f>VLOOKUP(A1093,vlookup_table!$A:$G,2,FALSE)</f>
        <v>0</v>
      </c>
      <c r="O1093" t="str">
        <f>VLOOKUP(A1093,vlookup_table!$A:$G,3,FALSE)</f>
        <v>NC</v>
      </c>
      <c r="P1093">
        <f>VLOOKUP(A1093,vlookup_table!$A:$G,4,FALSE)</f>
        <v>0</v>
      </c>
      <c r="Q1093" t="str">
        <f>VLOOKUP(A1093,vlookup_table!$A:$G,5,FALSE)</f>
        <v>S2</v>
      </c>
      <c r="R1093" t="str">
        <f>VLOOKUP(A1093,vlookup_table!$A:$G,6,FALSE)</f>
        <v>F</v>
      </c>
      <c r="S1093">
        <f>VLOOKUP(A1093,vlookup_table!$A:$G,7,FALSE)</f>
        <v>20</v>
      </c>
      <c r="T1093">
        <f t="shared" si="34"/>
        <v>96</v>
      </c>
      <c r="U1093" t="str">
        <f t="shared" si="35"/>
        <v>Suburbano</v>
      </c>
    </row>
    <row r="1094" spans="1:21" ht="16" x14ac:dyDescent="0.4">
      <c r="A1094" s="6">
        <v>183790</v>
      </c>
      <c r="B1094" s="6" t="s">
        <v>37</v>
      </c>
      <c r="C1094" s="6" t="s">
        <v>17</v>
      </c>
      <c r="D1094" s="6">
        <v>756</v>
      </c>
      <c r="E1094" s="6">
        <v>333</v>
      </c>
      <c r="F1094" s="6">
        <v>430</v>
      </c>
      <c r="G1094" s="6">
        <v>6</v>
      </c>
      <c r="H1094" s="6">
        <v>14127</v>
      </c>
      <c r="I1094" s="6">
        <v>1</v>
      </c>
      <c r="J1094" s="6">
        <v>57</v>
      </c>
      <c r="K1094" s="6">
        <v>372</v>
      </c>
      <c r="L1094" s="6">
        <v>391</v>
      </c>
      <c r="M1094" s="6">
        <v>8.769230769</v>
      </c>
      <c r="N1094">
        <f>VLOOKUP(A1094,vlookup_table!$A:$G,2,FALSE)</f>
        <v>0</v>
      </c>
      <c r="O1094" t="str">
        <f>VLOOKUP(A1094,vlookup_table!$A:$G,3,FALSE)</f>
        <v>WA</v>
      </c>
      <c r="P1094">
        <f>VLOOKUP(A1094,vlookup_table!$A:$G,4,FALSE)</f>
        <v>0</v>
      </c>
      <c r="Q1094" t="str">
        <f>VLOOKUP(A1094,vlookup_table!$A:$G,5,FALSE)</f>
        <v>R2</v>
      </c>
      <c r="R1094" t="str">
        <f>VLOOKUP(A1094,vlookup_table!$A:$G,6,FALSE)</f>
        <v>F</v>
      </c>
      <c r="S1094">
        <f>VLOOKUP(A1094,vlookup_table!$A:$G,7,FALSE)</f>
        <v>14</v>
      </c>
      <c r="T1094">
        <f t="shared" si="34"/>
        <v>96</v>
      </c>
      <c r="U1094" t="str">
        <f t="shared" si="35"/>
        <v>Rural</v>
      </c>
    </row>
    <row r="1095" spans="1:21" ht="16" x14ac:dyDescent="0.4">
      <c r="A1095" s="6">
        <v>119538</v>
      </c>
      <c r="B1095" s="6" t="s">
        <v>20</v>
      </c>
      <c r="C1095" s="6" t="s">
        <v>17</v>
      </c>
      <c r="D1095" s="6">
        <v>487</v>
      </c>
      <c r="E1095" s="6">
        <v>217</v>
      </c>
      <c r="F1095" s="6">
        <v>262</v>
      </c>
      <c r="G1095" s="6">
        <v>0</v>
      </c>
      <c r="H1095" s="6">
        <v>10468</v>
      </c>
      <c r="I1095" s="6">
        <v>17</v>
      </c>
      <c r="J1095" s="6">
        <v>59</v>
      </c>
      <c r="K1095" s="6">
        <v>222</v>
      </c>
      <c r="L1095" s="6">
        <v>247</v>
      </c>
      <c r="M1095" s="6">
        <v>9.8888888890000004</v>
      </c>
      <c r="N1095">
        <f>VLOOKUP(A1095,vlookup_table!$A:$G,2,FALSE)</f>
        <v>0</v>
      </c>
      <c r="O1095" t="str">
        <f>VLOOKUP(A1095,vlookup_table!$A:$G,3,FALSE)</f>
        <v>TX</v>
      </c>
      <c r="P1095">
        <f>VLOOKUP(A1095,vlookup_table!$A:$G,4,FALSE)</f>
        <v>3602</v>
      </c>
      <c r="Q1095" t="str">
        <f>VLOOKUP(A1095,vlookup_table!$A:$G,5,FALSE)</f>
        <v>C3</v>
      </c>
      <c r="R1095" t="str">
        <f>VLOOKUP(A1095,vlookup_table!$A:$G,6,FALSE)</f>
        <v>F</v>
      </c>
      <c r="S1095">
        <f>VLOOKUP(A1095,vlookup_table!$A:$G,7,FALSE)</f>
        <v>16</v>
      </c>
      <c r="T1095">
        <f t="shared" si="34"/>
        <v>60</v>
      </c>
      <c r="U1095" t="str">
        <f t="shared" si="35"/>
        <v>Ciudad</v>
      </c>
    </row>
    <row r="1096" spans="1:21" ht="16" x14ac:dyDescent="0.4">
      <c r="A1096" s="6">
        <v>24991</v>
      </c>
      <c r="B1096" s="6" t="s">
        <v>43</v>
      </c>
      <c r="C1096" s="6" t="s">
        <v>14</v>
      </c>
      <c r="D1096" s="6">
        <v>651</v>
      </c>
      <c r="E1096" s="6">
        <v>310</v>
      </c>
      <c r="F1096" s="6">
        <v>382</v>
      </c>
      <c r="G1096" s="6">
        <v>1</v>
      </c>
      <c r="H1096" s="6">
        <v>12428</v>
      </c>
      <c r="I1096" s="6">
        <v>1</v>
      </c>
      <c r="J1096" s="6">
        <v>73</v>
      </c>
      <c r="K1096" s="6">
        <v>345</v>
      </c>
      <c r="L1096" s="6">
        <v>337</v>
      </c>
      <c r="M1096" s="6">
        <v>7.6111111109999996</v>
      </c>
      <c r="N1096">
        <f>VLOOKUP(A1096,vlookup_table!$A:$G,2,FALSE)</f>
        <v>1</v>
      </c>
      <c r="O1096" t="str">
        <f>VLOOKUP(A1096,vlookup_table!$A:$G,3,FALSE)</f>
        <v>SC</v>
      </c>
      <c r="P1096">
        <f>VLOOKUP(A1096,vlookup_table!$A:$G,4,FALSE)</f>
        <v>5201</v>
      </c>
      <c r="Q1096" t="str">
        <f>VLOOKUP(A1096,vlookup_table!$A:$G,5,FALSE)</f>
        <v>T2</v>
      </c>
      <c r="R1096" t="str">
        <f>VLOOKUP(A1096,vlookup_table!$A:$G,6,FALSE)</f>
        <v>M</v>
      </c>
      <c r="S1096">
        <f>VLOOKUP(A1096,vlookup_table!$A:$G,7,FALSE)</f>
        <v>11</v>
      </c>
      <c r="T1096">
        <f t="shared" si="34"/>
        <v>44</v>
      </c>
      <c r="U1096" t="str">
        <f t="shared" si="35"/>
        <v>Pueblo</v>
      </c>
    </row>
    <row r="1097" spans="1:21" ht="16" x14ac:dyDescent="0.4">
      <c r="A1097" s="6">
        <v>113501</v>
      </c>
      <c r="B1097" s="6" t="s">
        <v>28</v>
      </c>
      <c r="C1097" s="6" t="s">
        <v>17</v>
      </c>
      <c r="D1097" s="6">
        <v>693</v>
      </c>
      <c r="E1097" s="6">
        <v>404</v>
      </c>
      <c r="F1097" s="6">
        <v>486</v>
      </c>
      <c r="G1097" s="6">
        <v>0</v>
      </c>
      <c r="H1097" s="6">
        <v>16698</v>
      </c>
      <c r="I1097" s="6">
        <v>3</v>
      </c>
      <c r="J1097" s="6">
        <v>54</v>
      </c>
      <c r="K1097" s="6">
        <v>479</v>
      </c>
      <c r="L1097" s="6">
        <v>439</v>
      </c>
      <c r="M1097" s="6">
        <v>5.125</v>
      </c>
      <c r="N1097">
        <f>VLOOKUP(A1097,vlookup_table!$A:$G,2,FALSE)</f>
        <v>0</v>
      </c>
      <c r="O1097" t="str">
        <f>VLOOKUP(A1097,vlookup_table!$A:$G,3,FALSE)</f>
        <v>OK</v>
      </c>
      <c r="P1097">
        <f>VLOOKUP(A1097,vlookup_table!$A:$G,4,FALSE)</f>
        <v>6201</v>
      </c>
      <c r="Q1097" t="str">
        <f>VLOOKUP(A1097,vlookup_table!$A:$G,5,FALSE)</f>
        <v>C2</v>
      </c>
      <c r="R1097" t="str">
        <f>VLOOKUP(A1097,vlookup_table!$A:$G,6,FALSE)</f>
        <v>F</v>
      </c>
      <c r="S1097">
        <f>VLOOKUP(A1097,vlookup_table!$A:$G,7,FALSE)</f>
        <v>5</v>
      </c>
      <c r="T1097">
        <f t="shared" si="34"/>
        <v>34</v>
      </c>
      <c r="U1097" t="str">
        <f t="shared" si="35"/>
        <v>Ciudad</v>
      </c>
    </row>
    <row r="1098" spans="1:21" ht="16" x14ac:dyDescent="0.4">
      <c r="A1098" s="6">
        <v>185353</v>
      </c>
      <c r="B1098" s="6" t="s">
        <v>21</v>
      </c>
      <c r="C1098" s="6" t="s">
        <v>17</v>
      </c>
      <c r="D1098" s="6">
        <v>1063</v>
      </c>
      <c r="E1098" s="6">
        <v>150</v>
      </c>
      <c r="F1098" s="6">
        <v>223</v>
      </c>
      <c r="G1098" s="6">
        <v>10</v>
      </c>
      <c r="H1098" s="6">
        <v>6871</v>
      </c>
      <c r="I1098" s="6">
        <v>26</v>
      </c>
      <c r="J1098" s="6">
        <v>38</v>
      </c>
      <c r="K1098" s="6">
        <v>148</v>
      </c>
      <c r="L1098" s="6">
        <v>206</v>
      </c>
      <c r="M1098" s="6">
        <v>3.0357142860000002</v>
      </c>
      <c r="N1098">
        <f>VLOOKUP(A1098,vlookup_table!$A:$G,2,FALSE)</f>
        <v>28</v>
      </c>
      <c r="O1098" t="str">
        <f>VLOOKUP(A1098,vlookup_table!$A:$G,3,FALSE)</f>
        <v>CA</v>
      </c>
      <c r="P1098">
        <f>VLOOKUP(A1098,vlookup_table!$A:$G,4,FALSE)</f>
        <v>1801</v>
      </c>
      <c r="Q1098" t="str">
        <f>VLOOKUP(A1098,vlookup_table!$A:$G,5,FALSE)</f>
        <v>U4</v>
      </c>
      <c r="R1098" t="str">
        <f>VLOOKUP(A1098,vlookup_table!$A:$G,6,FALSE)</f>
        <v>F</v>
      </c>
      <c r="S1098">
        <f>VLOOKUP(A1098,vlookup_table!$A:$G,7,FALSE)</f>
        <v>3</v>
      </c>
      <c r="T1098">
        <f t="shared" si="34"/>
        <v>78</v>
      </c>
      <c r="U1098" t="str">
        <f t="shared" si="35"/>
        <v>Urbano</v>
      </c>
    </row>
    <row r="1099" spans="1:21" ht="16" x14ac:dyDescent="0.4">
      <c r="A1099" s="6">
        <v>72308</v>
      </c>
      <c r="B1099" s="6" t="s">
        <v>26</v>
      </c>
      <c r="C1099" s="6" t="s">
        <v>17</v>
      </c>
      <c r="D1099" s="6">
        <v>609</v>
      </c>
      <c r="E1099" s="6">
        <v>403</v>
      </c>
      <c r="F1099" s="6">
        <v>466</v>
      </c>
      <c r="G1099" s="6">
        <v>0</v>
      </c>
      <c r="H1099" s="6">
        <v>14455</v>
      </c>
      <c r="I1099" s="6">
        <v>2</v>
      </c>
      <c r="J1099" s="6">
        <v>87</v>
      </c>
      <c r="K1099" s="6">
        <v>424</v>
      </c>
      <c r="L1099" s="6">
        <v>422</v>
      </c>
      <c r="M1099" s="6">
        <v>19.25</v>
      </c>
      <c r="N1099">
        <f>VLOOKUP(A1099,vlookup_table!$A:$G,2,FALSE)</f>
        <v>0</v>
      </c>
      <c r="O1099" t="str">
        <f>VLOOKUP(A1099,vlookup_table!$A:$G,3,FALSE)</f>
        <v>MI</v>
      </c>
      <c r="P1099">
        <f>VLOOKUP(A1099,vlookup_table!$A:$G,4,FALSE)</f>
        <v>2002</v>
      </c>
      <c r="Q1099" t="str">
        <f>VLOOKUP(A1099,vlookup_table!$A:$G,5,FALSE)</f>
        <v>T2</v>
      </c>
      <c r="R1099" t="str">
        <f>VLOOKUP(A1099,vlookup_table!$A:$G,6,FALSE)</f>
        <v>F</v>
      </c>
      <c r="S1099">
        <f>VLOOKUP(A1099,vlookup_table!$A:$G,7,FALSE)</f>
        <v>46</v>
      </c>
      <c r="T1099">
        <f t="shared" si="34"/>
        <v>76</v>
      </c>
      <c r="U1099" t="str">
        <f t="shared" si="35"/>
        <v>Pueblo</v>
      </c>
    </row>
    <row r="1100" spans="1:21" ht="16" x14ac:dyDescent="0.4">
      <c r="A1100" s="6">
        <v>110519</v>
      </c>
      <c r="B1100" s="6" t="s">
        <v>46</v>
      </c>
      <c r="C1100" s="6" t="s">
        <v>14</v>
      </c>
      <c r="D1100" s="6">
        <v>732</v>
      </c>
      <c r="E1100" s="6">
        <v>366</v>
      </c>
      <c r="F1100" s="6">
        <v>459</v>
      </c>
      <c r="G1100" s="6">
        <v>0</v>
      </c>
      <c r="H1100" s="6">
        <v>16287</v>
      </c>
      <c r="I1100" s="6">
        <v>1</v>
      </c>
      <c r="J1100" s="6">
        <v>71</v>
      </c>
      <c r="K1100" s="6">
        <v>374</v>
      </c>
      <c r="L1100" s="6">
        <v>432</v>
      </c>
      <c r="M1100" s="6">
        <v>10.70588235</v>
      </c>
      <c r="N1100">
        <f>VLOOKUP(A1100,vlookup_table!$A:$G,2,FALSE)</f>
        <v>2</v>
      </c>
      <c r="O1100" t="str">
        <f>VLOOKUP(A1100,vlookup_table!$A:$G,3,FALSE)</f>
        <v>LA</v>
      </c>
      <c r="P1100">
        <f>VLOOKUP(A1100,vlookup_table!$A:$G,4,FALSE)</f>
        <v>3801</v>
      </c>
      <c r="Q1100" t="str">
        <f>VLOOKUP(A1100,vlookup_table!$A:$G,5,FALSE)</f>
        <v>R1</v>
      </c>
      <c r="R1100" t="str">
        <f>VLOOKUP(A1100,vlookup_table!$A:$G,6,FALSE)</f>
        <v>M</v>
      </c>
      <c r="S1100">
        <f>VLOOKUP(A1100,vlookup_table!$A:$G,7,FALSE)</f>
        <v>17</v>
      </c>
      <c r="T1100">
        <f t="shared" si="34"/>
        <v>58</v>
      </c>
      <c r="U1100" t="str">
        <f t="shared" si="35"/>
        <v>Rural</v>
      </c>
    </row>
    <row r="1101" spans="1:21" ht="16" x14ac:dyDescent="0.4">
      <c r="A1101" s="6">
        <v>124193</v>
      </c>
      <c r="B1101" s="6" t="s">
        <v>20</v>
      </c>
      <c r="C1101" s="6" t="s">
        <v>27</v>
      </c>
      <c r="D1101" s="6">
        <v>439</v>
      </c>
      <c r="E1101" s="6">
        <v>268</v>
      </c>
      <c r="F1101" s="6">
        <v>341</v>
      </c>
      <c r="G1101" s="6">
        <v>0</v>
      </c>
      <c r="H1101" s="6">
        <v>10164</v>
      </c>
      <c r="I1101" s="6">
        <v>1</v>
      </c>
      <c r="J1101" s="6">
        <v>72</v>
      </c>
      <c r="K1101" s="6">
        <v>301</v>
      </c>
      <c r="L1101" s="6">
        <v>307</v>
      </c>
      <c r="M1101" s="6">
        <v>5.8</v>
      </c>
      <c r="N1101">
        <f>VLOOKUP(A1101,vlookup_table!$A:$G,2,FALSE)</f>
        <v>0</v>
      </c>
      <c r="O1101" t="str">
        <f>VLOOKUP(A1101,vlookup_table!$A:$G,3,FALSE)</f>
        <v>TX</v>
      </c>
      <c r="P1101">
        <f>VLOOKUP(A1101,vlookup_table!$A:$G,4,FALSE)</f>
        <v>0</v>
      </c>
      <c r="Q1101" t="str">
        <f>VLOOKUP(A1101,vlookup_table!$A:$G,5,FALSE)</f>
        <v>R2</v>
      </c>
      <c r="R1101" t="str">
        <f>VLOOKUP(A1101,vlookup_table!$A:$G,6,FALSE)</f>
        <v>U</v>
      </c>
      <c r="S1101">
        <f>VLOOKUP(A1101,vlookup_table!$A:$G,7,FALSE)</f>
        <v>6</v>
      </c>
      <c r="T1101">
        <f t="shared" si="34"/>
        <v>96</v>
      </c>
      <c r="U1101" t="str">
        <f t="shared" si="35"/>
        <v>Rural</v>
      </c>
    </row>
    <row r="1102" spans="1:21" ht="16" x14ac:dyDescent="0.4">
      <c r="A1102" s="6">
        <v>181526</v>
      </c>
      <c r="B1102" s="6" t="s">
        <v>37</v>
      </c>
      <c r="C1102" s="6" t="s">
        <v>17</v>
      </c>
      <c r="D1102" s="6">
        <v>871</v>
      </c>
      <c r="E1102" s="6">
        <v>339</v>
      </c>
      <c r="F1102" s="6">
        <v>384</v>
      </c>
      <c r="G1102" s="6">
        <v>2</v>
      </c>
      <c r="H1102" s="6">
        <v>11889</v>
      </c>
      <c r="I1102" s="6">
        <v>2</v>
      </c>
      <c r="J1102" s="6">
        <v>51</v>
      </c>
      <c r="K1102" s="6">
        <v>355</v>
      </c>
      <c r="L1102" s="6">
        <v>363</v>
      </c>
      <c r="M1102" s="6">
        <v>9.5</v>
      </c>
      <c r="N1102">
        <f>VLOOKUP(A1102,vlookup_table!$A:$G,2,FALSE)</f>
        <v>0</v>
      </c>
      <c r="O1102" t="str">
        <f>VLOOKUP(A1102,vlookup_table!$A:$G,3,FALSE)</f>
        <v>WA</v>
      </c>
      <c r="P1102">
        <f>VLOOKUP(A1102,vlookup_table!$A:$G,4,FALSE)</f>
        <v>0</v>
      </c>
      <c r="Q1102" t="str">
        <f>VLOOKUP(A1102,vlookup_table!$A:$G,5,FALSE)</f>
        <v>T2</v>
      </c>
      <c r="R1102" t="str">
        <f>VLOOKUP(A1102,vlookup_table!$A:$G,6,FALSE)</f>
        <v>F</v>
      </c>
      <c r="S1102">
        <f>VLOOKUP(A1102,vlookup_table!$A:$G,7,FALSE)</f>
        <v>13</v>
      </c>
      <c r="T1102">
        <f t="shared" si="34"/>
        <v>96</v>
      </c>
      <c r="U1102" t="str">
        <f t="shared" si="35"/>
        <v>Pueblo</v>
      </c>
    </row>
    <row r="1103" spans="1:21" ht="16" x14ac:dyDescent="0.4">
      <c r="A1103" s="6">
        <v>2796</v>
      </c>
      <c r="B1103" s="6" t="s">
        <v>60</v>
      </c>
      <c r="C1103" s="6" t="s">
        <v>14</v>
      </c>
      <c r="D1103" s="6">
        <v>682</v>
      </c>
      <c r="E1103" s="6">
        <v>374</v>
      </c>
      <c r="F1103" s="6">
        <v>469</v>
      </c>
      <c r="G1103" s="6">
        <v>3</v>
      </c>
      <c r="H1103" s="6">
        <v>17213</v>
      </c>
      <c r="I1103" s="6">
        <v>3</v>
      </c>
      <c r="J1103" s="6">
        <v>29</v>
      </c>
      <c r="K1103" s="6">
        <v>423</v>
      </c>
      <c r="L1103" s="6">
        <v>416</v>
      </c>
      <c r="M1103" s="6">
        <v>15</v>
      </c>
      <c r="N1103">
        <f>VLOOKUP(A1103,vlookup_table!$A:$G,2,FALSE)</f>
        <v>0</v>
      </c>
      <c r="O1103" t="str">
        <f>VLOOKUP(A1103,vlookup_table!$A:$G,3,FALSE)</f>
        <v>AK</v>
      </c>
      <c r="P1103">
        <f>VLOOKUP(A1103,vlookup_table!$A:$G,4,FALSE)</f>
        <v>0</v>
      </c>
      <c r="Q1103" t="str">
        <f>VLOOKUP(A1103,vlookup_table!$A:$G,5,FALSE)</f>
        <v>R2</v>
      </c>
      <c r="R1103" t="str">
        <f>VLOOKUP(A1103,vlookup_table!$A:$G,6,FALSE)</f>
        <v>M</v>
      </c>
      <c r="S1103">
        <f>VLOOKUP(A1103,vlookup_table!$A:$G,7,FALSE)</f>
        <v>25</v>
      </c>
      <c r="T1103">
        <f t="shared" si="34"/>
        <v>96</v>
      </c>
      <c r="U1103" t="str">
        <f t="shared" si="35"/>
        <v>Rural</v>
      </c>
    </row>
    <row r="1104" spans="1:21" ht="16" x14ac:dyDescent="0.4">
      <c r="A1104" s="6">
        <v>67954</v>
      </c>
      <c r="B1104" s="6" t="s">
        <v>26</v>
      </c>
      <c r="C1104" s="6" t="s">
        <v>17</v>
      </c>
      <c r="D1104" s="6">
        <v>313</v>
      </c>
      <c r="E1104" s="6">
        <v>159</v>
      </c>
      <c r="F1104" s="6">
        <v>274</v>
      </c>
      <c r="G1104" s="6">
        <v>0</v>
      </c>
      <c r="H1104" s="6">
        <v>7661</v>
      </c>
      <c r="I1104" s="6">
        <v>1</v>
      </c>
      <c r="J1104" s="6">
        <v>76</v>
      </c>
      <c r="K1104" s="6">
        <v>256</v>
      </c>
      <c r="L1104" s="6">
        <v>220</v>
      </c>
      <c r="M1104" s="6">
        <v>16.25</v>
      </c>
      <c r="N1104">
        <f>VLOOKUP(A1104,vlookup_table!$A:$G,2,FALSE)</f>
        <v>0</v>
      </c>
      <c r="O1104" t="str">
        <f>VLOOKUP(A1104,vlookup_table!$A:$G,3,FALSE)</f>
        <v>MI</v>
      </c>
      <c r="P1104">
        <f>VLOOKUP(A1104,vlookup_table!$A:$G,4,FALSE)</f>
        <v>3101</v>
      </c>
      <c r="Q1104" t="str">
        <f>VLOOKUP(A1104,vlookup_table!$A:$G,5,FALSE)</f>
        <v>U4</v>
      </c>
      <c r="R1104" t="str">
        <f>VLOOKUP(A1104,vlookup_table!$A:$G,6,FALSE)</f>
        <v>F</v>
      </c>
      <c r="S1104">
        <f>VLOOKUP(A1104,vlookup_table!$A:$G,7,FALSE)</f>
        <v>35</v>
      </c>
      <c r="T1104">
        <f t="shared" si="34"/>
        <v>65</v>
      </c>
      <c r="U1104" t="str">
        <f t="shared" si="35"/>
        <v>Urbano</v>
      </c>
    </row>
    <row r="1105" spans="1:21" ht="16" x14ac:dyDescent="0.4">
      <c r="A1105" s="6">
        <v>93809</v>
      </c>
      <c r="B1105" s="6" t="s">
        <v>16</v>
      </c>
      <c r="C1105" s="6" t="s">
        <v>14</v>
      </c>
      <c r="D1105" s="6">
        <v>1059</v>
      </c>
      <c r="E1105" s="6">
        <v>334</v>
      </c>
      <c r="F1105" s="6">
        <v>528</v>
      </c>
      <c r="G1105" s="6">
        <v>0</v>
      </c>
      <c r="H1105" s="6">
        <v>17632</v>
      </c>
      <c r="I1105" s="6">
        <v>15</v>
      </c>
      <c r="J1105" s="6">
        <v>75</v>
      </c>
      <c r="K1105" s="6">
        <v>513</v>
      </c>
      <c r="L1105" s="6">
        <v>392</v>
      </c>
      <c r="M1105" s="6">
        <v>7.5833333329999997</v>
      </c>
      <c r="N1105">
        <f>VLOOKUP(A1105,vlookup_table!$A:$G,2,FALSE)</f>
        <v>1</v>
      </c>
      <c r="O1105" t="str">
        <f>VLOOKUP(A1105,vlookup_table!$A:$G,3,FALSE)</f>
        <v>IL</v>
      </c>
      <c r="P1105">
        <f>VLOOKUP(A1105,vlookup_table!$A:$G,4,FALSE)</f>
        <v>2003</v>
      </c>
      <c r="Q1105" t="str">
        <f>VLOOKUP(A1105,vlookup_table!$A:$G,5,FALSE)</f>
        <v>U2</v>
      </c>
      <c r="R1105" t="str">
        <f>VLOOKUP(A1105,vlookup_table!$A:$G,6,FALSE)</f>
        <v>M</v>
      </c>
      <c r="S1105">
        <f>VLOOKUP(A1105,vlookup_table!$A:$G,7,FALSE)</f>
        <v>10</v>
      </c>
      <c r="T1105">
        <f t="shared" si="34"/>
        <v>76</v>
      </c>
      <c r="U1105" t="str">
        <f t="shared" si="35"/>
        <v>Urbano</v>
      </c>
    </row>
    <row r="1106" spans="1:21" ht="16" x14ac:dyDescent="0.4">
      <c r="A1106" s="6">
        <v>109520</v>
      </c>
      <c r="B1106" s="6" t="s">
        <v>46</v>
      </c>
      <c r="C1106" s="6" t="s">
        <v>14</v>
      </c>
      <c r="D1106" s="6">
        <v>687</v>
      </c>
      <c r="E1106" s="6">
        <v>257</v>
      </c>
      <c r="F1106" s="6">
        <v>328</v>
      </c>
      <c r="G1106" s="6">
        <v>0</v>
      </c>
      <c r="H1106" s="6">
        <v>10271</v>
      </c>
      <c r="I1106" s="6">
        <v>0</v>
      </c>
      <c r="J1106" s="6">
        <v>79</v>
      </c>
      <c r="K1106" s="6">
        <v>310</v>
      </c>
      <c r="L1106" s="6">
        <v>291</v>
      </c>
      <c r="M1106" s="6">
        <v>9</v>
      </c>
      <c r="N1106">
        <f>VLOOKUP(A1106,vlookup_table!$A:$G,2,FALSE)</f>
        <v>1</v>
      </c>
      <c r="O1106" t="str">
        <f>VLOOKUP(A1106,vlookup_table!$A:$G,3,FALSE)</f>
        <v>LA</v>
      </c>
      <c r="P1106">
        <f>VLOOKUP(A1106,vlookup_table!$A:$G,4,FALSE)</f>
        <v>4501</v>
      </c>
      <c r="Q1106" t="str">
        <f>VLOOKUP(A1106,vlookup_table!$A:$G,5,FALSE)</f>
        <v>T2</v>
      </c>
      <c r="R1106" t="str">
        <f>VLOOKUP(A1106,vlookup_table!$A:$G,6,FALSE)</f>
        <v>M</v>
      </c>
      <c r="S1106">
        <f>VLOOKUP(A1106,vlookup_table!$A:$G,7,FALSE)</f>
        <v>15</v>
      </c>
      <c r="T1106">
        <f t="shared" si="34"/>
        <v>51</v>
      </c>
      <c r="U1106" t="str">
        <f t="shared" si="35"/>
        <v>Pueblo</v>
      </c>
    </row>
    <row r="1107" spans="1:21" ht="16" x14ac:dyDescent="0.4">
      <c r="A1107" s="6">
        <v>76051</v>
      </c>
      <c r="B1107" s="6" t="s">
        <v>44</v>
      </c>
      <c r="C1107" s="6" t="s">
        <v>14</v>
      </c>
      <c r="D1107" s="6">
        <v>397</v>
      </c>
      <c r="E1107" s="6">
        <v>248</v>
      </c>
      <c r="F1107" s="6">
        <v>313</v>
      </c>
      <c r="G1107" s="6">
        <v>0</v>
      </c>
      <c r="H1107" s="6">
        <v>10348</v>
      </c>
      <c r="I1107" s="6">
        <v>2</v>
      </c>
      <c r="J1107" s="6">
        <v>20</v>
      </c>
      <c r="K1107" s="6">
        <v>270</v>
      </c>
      <c r="L1107" s="6">
        <v>296</v>
      </c>
      <c r="M1107" s="6">
        <v>14.4</v>
      </c>
      <c r="N1107">
        <f>VLOOKUP(A1107,vlookup_table!$A:$G,2,FALSE)</f>
        <v>1</v>
      </c>
      <c r="O1107" t="str">
        <f>VLOOKUP(A1107,vlookup_table!$A:$G,3,FALSE)</f>
        <v>IA</v>
      </c>
      <c r="P1107">
        <f>VLOOKUP(A1107,vlookup_table!$A:$G,4,FALSE)</f>
        <v>4207</v>
      </c>
      <c r="Q1107" t="str">
        <f>VLOOKUP(A1107,vlookup_table!$A:$G,5,FALSE)</f>
        <v>S3</v>
      </c>
      <c r="R1107" t="str">
        <f>VLOOKUP(A1107,vlookup_table!$A:$G,6,FALSE)</f>
        <v>M</v>
      </c>
      <c r="S1107">
        <f>VLOOKUP(A1107,vlookup_table!$A:$G,7,FALSE)</f>
        <v>20</v>
      </c>
      <c r="T1107">
        <f t="shared" si="34"/>
        <v>54</v>
      </c>
      <c r="U1107" t="str">
        <f t="shared" si="35"/>
        <v>Suburbano</v>
      </c>
    </row>
    <row r="1108" spans="1:21" ht="16" x14ac:dyDescent="0.4">
      <c r="A1108" s="6">
        <v>145521</v>
      </c>
      <c r="B1108" s="6" t="s">
        <v>21</v>
      </c>
      <c r="C1108" s="6" t="s">
        <v>17</v>
      </c>
      <c r="D1108" s="6">
        <v>2516</v>
      </c>
      <c r="E1108" s="6">
        <v>595</v>
      </c>
      <c r="F1108" s="6">
        <v>691</v>
      </c>
      <c r="G1108" s="6">
        <v>80</v>
      </c>
      <c r="H1108" s="6">
        <v>22684</v>
      </c>
      <c r="I1108" s="6">
        <v>15</v>
      </c>
      <c r="J1108" s="6">
        <v>40</v>
      </c>
      <c r="K1108" s="6">
        <v>649</v>
      </c>
      <c r="L1108" s="6">
        <v>641</v>
      </c>
      <c r="M1108" s="6">
        <v>13.65517241</v>
      </c>
      <c r="N1108">
        <f>VLOOKUP(A1108,vlookup_table!$A:$G,2,FALSE)</f>
        <v>0</v>
      </c>
      <c r="O1108" t="str">
        <f>VLOOKUP(A1108,vlookup_table!$A:$G,3,FALSE)</f>
        <v>CA</v>
      </c>
      <c r="P1108">
        <f>VLOOKUP(A1108,vlookup_table!$A:$G,4,FALSE)</f>
        <v>0</v>
      </c>
      <c r="Q1108" t="str">
        <f>VLOOKUP(A1108,vlookup_table!$A:$G,5,FALSE)</f>
        <v>U1</v>
      </c>
      <c r="R1108" t="str">
        <f>VLOOKUP(A1108,vlookup_table!$A:$G,6,FALSE)</f>
        <v>F</v>
      </c>
      <c r="S1108">
        <f>VLOOKUP(A1108,vlookup_table!$A:$G,7,FALSE)</f>
        <v>16</v>
      </c>
      <c r="T1108">
        <f t="shared" si="34"/>
        <v>96</v>
      </c>
      <c r="U1108" t="str">
        <f t="shared" si="35"/>
        <v>Urbano</v>
      </c>
    </row>
    <row r="1109" spans="1:21" ht="16" x14ac:dyDescent="0.4">
      <c r="A1109" s="6">
        <v>87533</v>
      </c>
      <c r="B1109" s="6" t="s">
        <v>31</v>
      </c>
      <c r="C1109" s="6" t="s">
        <v>98</v>
      </c>
      <c r="D1109" s="6">
        <v>747</v>
      </c>
      <c r="E1109" s="6">
        <v>289</v>
      </c>
      <c r="F1109" s="6">
        <v>387</v>
      </c>
      <c r="G1109" s="6">
        <v>3</v>
      </c>
      <c r="H1109" s="6">
        <v>14744</v>
      </c>
      <c r="I1109" s="6">
        <v>1</v>
      </c>
      <c r="J1109" s="6">
        <v>54</v>
      </c>
      <c r="K1109" s="6">
        <v>318</v>
      </c>
      <c r="L1109" s="6">
        <v>347</v>
      </c>
      <c r="M1109" s="6">
        <v>11.625</v>
      </c>
      <c r="N1109">
        <f>VLOOKUP(A1109,vlookup_table!$A:$G,2,FALSE)</f>
        <v>0</v>
      </c>
      <c r="O1109" t="str">
        <f>VLOOKUP(A1109,vlookup_table!$A:$G,3,FALSE)</f>
        <v>MT</v>
      </c>
      <c r="P1109">
        <f>VLOOKUP(A1109,vlookup_table!$A:$G,4,FALSE)</f>
        <v>2401</v>
      </c>
      <c r="Q1109" t="str">
        <f>VLOOKUP(A1109,vlookup_table!$A:$G,5,FALSE)</f>
        <v>R1</v>
      </c>
      <c r="R1109" t="str">
        <f>VLOOKUP(A1109,vlookup_table!$A:$G,6,FALSE)</f>
        <v>F</v>
      </c>
      <c r="S1109">
        <f>VLOOKUP(A1109,vlookup_table!$A:$G,7,FALSE)</f>
        <v>5</v>
      </c>
      <c r="T1109">
        <f t="shared" si="34"/>
        <v>72</v>
      </c>
      <c r="U1109" t="str">
        <f t="shared" si="35"/>
        <v>Rural</v>
      </c>
    </row>
    <row r="1110" spans="1:21" ht="16" x14ac:dyDescent="0.4">
      <c r="A1110" s="6">
        <v>82026</v>
      </c>
      <c r="B1110" s="6" t="s">
        <v>32</v>
      </c>
      <c r="C1110" s="6" t="s">
        <v>17</v>
      </c>
      <c r="D1110" s="6">
        <v>506</v>
      </c>
      <c r="E1110" s="6">
        <v>270</v>
      </c>
      <c r="F1110" s="6">
        <v>346</v>
      </c>
      <c r="G1110" s="6">
        <v>0</v>
      </c>
      <c r="H1110" s="6">
        <v>12940</v>
      </c>
      <c r="I1110" s="6">
        <v>0</v>
      </c>
      <c r="J1110" s="6">
        <v>81</v>
      </c>
      <c r="K1110" s="6">
        <v>323</v>
      </c>
      <c r="L1110" s="6">
        <v>326</v>
      </c>
      <c r="M1110" s="6">
        <v>8.6</v>
      </c>
      <c r="N1110">
        <f>VLOOKUP(A1110,vlookup_table!$A:$G,2,FALSE)</f>
        <v>0</v>
      </c>
      <c r="O1110" t="str">
        <f>VLOOKUP(A1110,vlookup_table!$A:$G,3,FALSE)</f>
        <v>WI</v>
      </c>
      <c r="P1110">
        <f>VLOOKUP(A1110,vlookup_table!$A:$G,4,FALSE)</f>
        <v>2201</v>
      </c>
      <c r="Q1110" t="str">
        <f>VLOOKUP(A1110,vlookup_table!$A:$G,5,FALSE)</f>
        <v>T2</v>
      </c>
      <c r="R1110" t="str">
        <f>VLOOKUP(A1110,vlookup_table!$A:$G,6,FALSE)</f>
        <v>F</v>
      </c>
      <c r="S1110">
        <f>VLOOKUP(A1110,vlookup_table!$A:$G,7,FALSE)</f>
        <v>12</v>
      </c>
      <c r="T1110">
        <f t="shared" si="34"/>
        <v>74</v>
      </c>
      <c r="U1110" t="str">
        <f t="shared" si="35"/>
        <v>Pueblo</v>
      </c>
    </row>
    <row r="1111" spans="1:21" ht="16" x14ac:dyDescent="0.4">
      <c r="A1111" s="6">
        <v>97055</v>
      </c>
      <c r="B1111" s="6" t="s">
        <v>16</v>
      </c>
      <c r="C1111" s="6" t="s">
        <v>17</v>
      </c>
      <c r="D1111" s="6">
        <v>412</v>
      </c>
      <c r="E1111" s="6">
        <v>311</v>
      </c>
      <c r="F1111" s="6">
        <v>380</v>
      </c>
      <c r="G1111" s="6">
        <v>0</v>
      </c>
      <c r="H1111" s="6">
        <v>13227</v>
      </c>
      <c r="I1111" s="6">
        <v>0</v>
      </c>
      <c r="J1111" s="6">
        <v>84</v>
      </c>
      <c r="K1111" s="6">
        <v>354</v>
      </c>
      <c r="L1111" s="6">
        <v>342</v>
      </c>
      <c r="M1111" s="6">
        <v>9.3333333330000006</v>
      </c>
      <c r="N1111">
        <f>VLOOKUP(A1111,vlookup_table!$A:$G,2,FALSE)</f>
        <v>0</v>
      </c>
      <c r="O1111" t="str">
        <f>VLOOKUP(A1111,vlookup_table!$A:$G,3,FALSE)</f>
        <v>IL</v>
      </c>
      <c r="P1111">
        <f>VLOOKUP(A1111,vlookup_table!$A:$G,4,FALSE)</f>
        <v>3001</v>
      </c>
      <c r="Q1111" t="str">
        <f>VLOOKUP(A1111,vlookup_table!$A:$G,5,FALSE)</f>
        <v>R2</v>
      </c>
      <c r="R1111" t="str">
        <f>VLOOKUP(A1111,vlookup_table!$A:$G,6,FALSE)</f>
        <v>F</v>
      </c>
      <c r="S1111">
        <f>VLOOKUP(A1111,vlookup_table!$A:$G,7,FALSE)</f>
        <v>22</v>
      </c>
      <c r="T1111">
        <f t="shared" si="34"/>
        <v>66</v>
      </c>
      <c r="U1111" t="str">
        <f t="shared" si="35"/>
        <v>Rural</v>
      </c>
    </row>
    <row r="1112" spans="1:21" ht="16" x14ac:dyDescent="0.4">
      <c r="A1112" s="6">
        <v>74701</v>
      </c>
      <c r="B1112" s="6" t="s">
        <v>26</v>
      </c>
      <c r="C1112" s="6"/>
      <c r="D1112" s="6">
        <v>360</v>
      </c>
      <c r="E1112" s="6">
        <v>206</v>
      </c>
      <c r="F1112" s="6">
        <v>267</v>
      </c>
      <c r="G1112" s="6">
        <v>1</v>
      </c>
      <c r="H1112" s="6">
        <v>9463</v>
      </c>
      <c r="I1112" s="6">
        <v>1</v>
      </c>
      <c r="J1112" s="6">
        <v>70</v>
      </c>
      <c r="K1112" s="6">
        <v>239</v>
      </c>
      <c r="L1112" s="6">
        <v>233</v>
      </c>
      <c r="M1112" s="6">
        <v>9.1428571430000005</v>
      </c>
      <c r="N1112">
        <f>VLOOKUP(A1112,vlookup_table!$A:$G,2,FALSE)</f>
        <v>1</v>
      </c>
      <c r="O1112" t="str">
        <f>VLOOKUP(A1112,vlookup_table!$A:$G,3,FALSE)</f>
        <v>MI</v>
      </c>
      <c r="P1112">
        <f>VLOOKUP(A1112,vlookup_table!$A:$G,4,FALSE)</f>
        <v>1901</v>
      </c>
      <c r="Q1112" t="str">
        <f>VLOOKUP(A1112,vlookup_table!$A:$G,5,FALSE)</f>
        <v>R3</v>
      </c>
      <c r="R1112" t="str">
        <f>VLOOKUP(A1112,vlookup_table!$A:$G,6,FALSE)</f>
        <v/>
      </c>
      <c r="S1112">
        <f>VLOOKUP(A1112,vlookup_table!$A:$G,7,FALSE)</f>
        <v>20</v>
      </c>
      <c r="T1112">
        <f t="shared" si="34"/>
        <v>77</v>
      </c>
      <c r="U1112" t="str">
        <f t="shared" si="35"/>
        <v>Rural</v>
      </c>
    </row>
    <row r="1113" spans="1:21" ht="16" x14ac:dyDescent="0.4">
      <c r="A1113" s="6">
        <v>183374</v>
      </c>
      <c r="B1113" s="6" t="s">
        <v>37</v>
      </c>
      <c r="C1113" s="6" t="s">
        <v>14</v>
      </c>
      <c r="D1113" s="6">
        <v>423</v>
      </c>
      <c r="E1113" s="6">
        <v>208</v>
      </c>
      <c r="F1113" s="6">
        <v>296</v>
      </c>
      <c r="G1113" s="6">
        <v>1</v>
      </c>
      <c r="H1113" s="6">
        <v>9445</v>
      </c>
      <c r="I1113" s="6">
        <v>24</v>
      </c>
      <c r="J1113" s="6">
        <v>43</v>
      </c>
      <c r="K1113" s="6">
        <v>229</v>
      </c>
      <c r="L1113" s="6">
        <v>261</v>
      </c>
      <c r="M1113" s="6">
        <v>4.3809523810000002</v>
      </c>
      <c r="N1113">
        <f>VLOOKUP(A1113,vlookup_table!$A:$G,2,FALSE)</f>
        <v>1</v>
      </c>
      <c r="O1113" t="str">
        <f>VLOOKUP(A1113,vlookup_table!$A:$G,3,FALSE)</f>
        <v>WA</v>
      </c>
      <c r="P1113">
        <f>VLOOKUP(A1113,vlookup_table!$A:$G,4,FALSE)</f>
        <v>0</v>
      </c>
      <c r="Q1113" t="str">
        <f>VLOOKUP(A1113,vlookup_table!$A:$G,5,FALSE)</f>
        <v>R3</v>
      </c>
      <c r="R1113" t="str">
        <f>VLOOKUP(A1113,vlookup_table!$A:$G,6,FALSE)</f>
        <v>M</v>
      </c>
      <c r="S1113">
        <f>VLOOKUP(A1113,vlookup_table!$A:$G,7,FALSE)</f>
        <v>10</v>
      </c>
      <c r="T1113">
        <f t="shared" si="34"/>
        <v>96</v>
      </c>
      <c r="U1113" t="str">
        <f t="shared" si="35"/>
        <v>Rural</v>
      </c>
    </row>
    <row r="1114" spans="1:21" ht="16" x14ac:dyDescent="0.4">
      <c r="A1114" s="6">
        <v>28565</v>
      </c>
      <c r="B1114" s="6" t="s">
        <v>36</v>
      </c>
      <c r="C1114" s="6" t="s">
        <v>17</v>
      </c>
      <c r="D1114" s="6">
        <v>745</v>
      </c>
      <c r="E1114" s="6">
        <v>304</v>
      </c>
      <c r="F1114" s="6">
        <v>342</v>
      </c>
      <c r="G1114" s="6">
        <v>1</v>
      </c>
      <c r="H1114" s="6">
        <v>14465</v>
      </c>
      <c r="I1114" s="6">
        <v>17</v>
      </c>
      <c r="J1114" s="6">
        <v>39</v>
      </c>
      <c r="K1114" s="6">
        <v>275</v>
      </c>
      <c r="L1114" s="6">
        <v>353</v>
      </c>
      <c r="M1114" s="6">
        <v>5.1666666670000003</v>
      </c>
      <c r="N1114">
        <f>VLOOKUP(A1114,vlookup_table!$A:$G,2,FALSE)</f>
        <v>2</v>
      </c>
      <c r="O1114" t="str">
        <f>VLOOKUP(A1114,vlookup_table!$A:$G,3,FALSE)</f>
        <v>GA</v>
      </c>
      <c r="P1114">
        <f>VLOOKUP(A1114,vlookup_table!$A:$G,4,FALSE)</f>
        <v>0</v>
      </c>
      <c r="Q1114" t="str">
        <f>VLOOKUP(A1114,vlookup_table!$A:$G,5,FALSE)</f>
        <v>C3</v>
      </c>
      <c r="R1114" t="str">
        <f>VLOOKUP(A1114,vlookup_table!$A:$G,6,FALSE)</f>
        <v>F</v>
      </c>
      <c r="S1114">
        <f>VLOOKUP(A1114,vlookup_table!$A:$G,7,FALSE)</f>
        <v>7</v>
      </c>
      <c r="T1114">
        <f t="shared" si="34"/>
        <v>96</v>
      </c>
      <c r="U1114" t="str">
        <f t="shared" si="35"/>
        <v>Ciudad</v>
      </c>
    </row>
    <row r="1115" spans="1:21" ht="16" x14ac:dyDescent="0.4">
      <c r="A1115" s="6">
        <v>139628</v>
      </c>
      <c r="B1115" s="6" t="s">
        <v>50</v>
      </c>
      <c r="C1115" s="6" t="s">
        <v>14</v>
      </c>
      <c r="D1115" s="6">
        <v>691</v>
      </c>
      <c r="E1115" s="6">
        <v>284</v>
      </c>
      <c r="F1115" s="6">
        <v>337</v>
      </c>
      <c r="G1115" s="6">
        <v>0</v>
      </c>
      <c r="H1115" s="6">
        <v>11852</v>
      </c>
      <c r="I1115" s="6">
        <v>1</v>
      </c>
      <c r="J1115" s="6">
        <v>46</v>
      </c>
      <c r="K1115" s="6">
        <v>294</v>
      </c>
      <c r="L1115" s="6">
        <v>319</v>
      </c>
      <c r="M1115" s="6">
        <v>17.16</v>
      </c>
      <c r="N1115">
        <f>VLOOKUP(A1115,vlookup_table!$A:$G,2,FALSE)</f>
        <v>2</v>
      </c>
      <c r="O1115" t="str">
        <f>VLOOKUP(A1115,vlookup_table!$A:$G,3,FALSE)</f>
        <v>NM</v>
      </c>
      <c r="P1115">
        <f>VLOOKUP(A1115,vlookup_table!$A:$G,4,FALSE)</f>
        <v>3801</v>
      </c>
      <c r="Q1115" t="str">
        <f>VLOOKUP(A1115,vlookup_table!$A:$G,5,FALSE)</f>
        <v>U2</v>
      </c>
      <c r="R1115" t="str">
        <f>VLOOKUP(A1115,vlookup_table!$A:$G,6,FALSE)</f>
        <v>M</v>
      </c>
      <c r="S1115">
        <f>VLOOKUP(A1115,vlookup_table!$A:$G,7,FALSE)</f>
        <v>20</v>
      </c>
      <c r="T1115">
        <f t="shared" si="34"/>
        <v>58</v>
      </c>
      <c r="U1115" t="str">
        <f t="shared" si="35"/>
        <v>Urbano</v>
      </c>
    </row>
    <row r="1116" spans="1:21" ht="16" x14ac:dyDescent="0.4">
      <c r="A1116" s="6">
        <v>113686</v>
      </c>
      <c r="B1116" s="6" t="s">
        <v>28</v>
      </c>
      <c r="C1116" s="6" t="s">
        <v>41</v>
      </c>
      <c r="D1116" s="6">
        <v>657</v>
      </c>
      <c r="E1116" s="6">
        <v>358</v>
      </c>
      <c r="F1116" s="6">
        <v>366</v>
      </c>
      <c r="G1116" s="6">
        <v>0</v>
      </c>
      <c r="H1116" s="6">
        <v>10889</v>
      </c>
      <c r="I1116" s="6">
        <v>5</v>
      </c>
      <c r="J1116" s="6">
        <v>34</v>
      </c>
      <c r="K1116" s="6">
        <v>366</v>
      </c>
      <c r="L1116" s="6">
        <v>357</v>
      </c>
      <c r="M1116" s="6">
        <v>10</v>
      </c>
      <c r="N1116">
        <f>VLOOKUP(A1116,vlookup_table!$A:$G,2,FALSE)</f>
        <v>1002</v>
      </c>
      <c r="O1116" t="str">
        <f>VLOOKUP(A1116,vlookup_table!$A:$G,3,FALSE)</f>
        <v>OK</v>
      </c>
      <c r="P1116">
        <f>VLOOKUP(A1116,vlookup_table!$A:$G,4,FALSE)</f>
        <v>5701</v>
      </c>
      <c r="Q1116" t="str">
        <f>VLOOKUP(A1116,vlookup_table!$A:$G,5,FALSE)</f>
        <v>C2</v>
      </c>
      <c r="R1116" t="str">
        <f>VLOOKUP(A1116,vlookup_table!$A:$G,6,FALSE)</f>
        <v>J</v>
      </c>
      <c r="S1116">
        <f>VLOOKUP(A1116,vlookup_table!$A:$G,7,FALSE)</f>
        <v>15</v>
      </c>
      <c r="T1116">
        <f t="shared" si="34"/>
        <v>39</v>
      </c>
      <c r="U1116" t="str">
        <f t="shared" si="35"/>
        <v>Ciudad</v>
      </c>
    </row>
    <row r="1117" spans="1:21" ht="16" x14ac:dyDescent="0.4">
      <c r="A1117" s="6">
        <v>123862</v>
      </c>
      <c r="B1117" s="6" t="s">
        <v>20</v>
      </c>
      <c r="C1117" s="6" t="s">
        <v>17</v>
      </c>
      <c r="D1117" s="6">
        <v>978</v>
      </c>
      <c r="E1117" s="6">
        <v>428</v>
      </c>
      <c r="F1117" s="6">
        <v>609</v>
      </c>
      <c r="G1117" s="6">
        <v>1</v>
      </c>
      <c r="H1117" s="6">
        <v>23102</v>
      </c>
      <c r="I1117" s="6">
        <v>7</v>
      </c>
      <c r="J1117" s="6">
        <v>43</v>
      </c>
      <c r="K1117" s="6">
        <v>559</v>
      </c>
      <c r="L1117" s="6">
        <v>475</v>
      </c>
      <c r="M1117" s="6">
        <v>4.3333333329999997</v>
      </c>
      <c r="N1117">
        <f>VLOOKUP(A1117,vlookup_table!$A:$G,2,FALSE)</f>
        <v>0</v>
      </c>
      <c r="O1117" t="str">
        <f>VLOOKUP(A1117,vlookup_table!$A:$G,3,FALSE)</f>
        <v>TX</v>
      </c>
      <c r="P1117">
        <f>VLOOKUP(A1117,vlookup_table!$A:$G,4,FALSE)</f>
        <v>7001</v>
      </c>
      <c r="Q1117" t="str">
        <f>VLOOKUP(A1117,vlookup_table!$A:$G,5,FALSE)</f>
        <v>C1</v>
      </c>
      <c r="R1117" t="str">
        <f>VLOOKUP(A1117,vlookup_table!$A:$G,6,FALSE)</f>
        <v>F</v>
      </c>
      <c r="S1117">
        <f>VLOOKUP(A1117,vlookup_table!$A:$G,7,FALSE)</f>
        <v>3</v>
      </c>
      <c r="T1117">
        <f t="shared" si="34"/>
        <v>26</v>
      </c>
      <c r="U1117" t="str">
        <f t="shared" si="35"/>
        <v>Ciudad</v>
      </c>
    </row>
    <row r="1118" spans="1:21" ht="16" x14ac:dyDescent="0.4">
      <c r="A1118" s="6">
        <v>151629</v>
      </c>
      <c r="B1118" s="6" t="s">
        <v>21</v>
      </c>
      <c r="C1118" s="6" t="s">
        <v>17</v>
      </c>
      <c r="D1118" s="6">
        <v>1586</v>
      </c>
      <c r="E1118" s="6">
        <v>308</v>
      </c>
      <c r="F1118" s="6">
        <v>369</v>
      </c>
      <c r="G1118" s="6">
        <v>10</v>
      </c>
      <c r="H1118" s="6">
        <v>11913</v>
      </c>
      <c r="I1118" s="6">
        <v>12</v>
      </c>
      <c r="J1118" s="6">
        <v>32</v>
      </c>
      <c r="K1118" s="6">
        <v>321</v>
      </c>
      <c r="L1118" s="6">
        <v>337</v>
      </c>
      <c r="M1118" s="6">
        <v>9.5</v>
      </c>
      <c r="N1118">
        <f>VLOOKUP(A1118,vlookup_table!$A:$G,2,FALSE)</f>
        <v>0</v>
      </c>
      <c r="O1118" t="str">
        <f>VLOOKUP(A1118,vlookup_table!$A:$G,3,FALSE)</f>
        <v>CA</v>
      </c>
      <c r="P1118">
        <f>VLOOKUP(A1118,vlookup_table!$A:$G,4,FALSE)</f>
        <v>3601</v>
      </c>
      <c r="Q1118" t="str">
        <f>VLOOKUP(A1118,vlookup_table!$A:$G,5,FALSE)</f>
        <v>U3</v>
      </c>
      <c r="R1118" t="str">
        <f>VLOOKUP(A1118,vlookup_table!$A:$G,6,FALSE)</f>
        <v>F</v>
      </c>
      <c r="S1118">
        <f>VLOOKUP(A1118,vlookup_table!$A:$G,7,FALSE)</f>
        <v>15</v>
      </c>
      <c r="T1118">
        <f t="shared" si="34"/>
        <v>60</v>
      </c>
      <c r="U1118" t="str">
        <f t="shared" si="35"/>
        <v>Urbano</v>
      </c>
    </row>
    <row r="1119" spans="1:21" ht="16" x14ac:dyDescent="0.4">
      <c r="A1119" s="6">
        <v>5404</v>
      </c>
      <c r="B1119" s="6" t="s">
        <v>46</v>
      </c>
      <c r="C1119" s="6" t="s">
        <v>27</v>
      </c>
      <c r="D1119" s="6">
        <v>587</v>
      </c>
      <c r="E1119" s="6">
        <v>291</v>
      </c>
      <c r="F1119" s="6">
        <v>331</v>
      </c>
      <c r="G1119" s="6">
        <v>0</v>
      </c>
      <c r="H1119" s="6">
        <v>10789</v>
      </c>
      <c r="I1119" s="6">
        <v>0</v>
      </c>
      <c r="J1119" s="6">
        <v>75</v>
      </c>
      <c r="K1119" s="6">
        <v>302</v>
      </c>
      <c r="L1119" s="6">
        <v>317</v>
      </c>
      <c r="M1119" s="6">
        <v>17.53846154</v>
      </c>
      <c r="N1119">
        <f>VLOOKUP(A1119,vlookup_table!$A:$G,2,FALSE)</f>
        <v>0</v>
      </c>
      <c r="O1119" t="str">
        <f>VLOOKUP(A1119,vlookup_table!$A:$G,3,FALSE)</f>
        <v>LA</v>
      </c>
      <c r="P1119">
        <f>VLOOKUP(A1119,vlookup_table!$A:$G,4,FALSE)</f>
        <v>3611</v>
      </c>
      <c r="Q1119" t="str">
        <f>VLOOKUP(A1119,vlookup_table!$A:$G,5,FALSE)</f>
        <v>T2</v>
      </c>
      <c r="R1119" t="str">
        <f>VLOOKUP(A1119,vlookup_table!$A:$G,6,FALSE)</f>
        <v>U</v>
      </c>
      <c r="S1119">
        <f>VLOOKUP(A1119,vlookup_table!$A:$G,7,FALSE)</f>
        <v>10</v>
      </c>
      <c r="T1119">
        <f t="shared" si="34"/>
        <v>60</v>
      </c>
      <c r="U1119" t="str">
        <f t="shared" si="35"/>
        <v>Pueblo</v>
      </c>
    </row>
    <row r="1120" spans="1:21" ht="16" x14ac:dyDescent="0.4">
      <c r="A1120" s="6">
        <v>150516</v>
      </c>
      <c r="B1120" s="6" t="s">
        <v>21</v>
      </c>
      <c r="C1120" s="6" t="s">
        <v>17</v>
      </c>
      <c r="D1120" s="6">
        <v>3304</v>
      </c>
      <c r="E1120" s="6">
        <v>567</v>
      </c>
      <c r="F1120" s="6">
        <v>669</v>
      </c>
      <c r="G1120" s="6">
        <v>82</v>
      </c>
      <c r="H1120" s="6">
        <v>21745</v>
      </c>
      <c r="I1120" s="6">
        <v>42</v>
      </c>
      <c r="J1120" s="6">
        <v>37</v>
      </c>
      <c r="K1120" s="6">
        <v>614</v>
      </c>
      <c r="L1120" s="6">
        <v>629</v>
      </c>
      <c r="M1120" s="6">
        <v>24.058823530000002</v>
      </c>
      <c r="N1120">
        <f>VLOOKUP(A1120,vlookup_table!$A:$G,2,FALSE)</f>
        <v>28</v>
      </c>
      <c r="O1120" t="str">
        <f>VLOOKUP(A1120,vlookup_table!$A:$G,3,FALSE)</f>
        <v>CA</v>
      </c>
      <c r="P1120">
        <f>VLOOKUP(A1120,vlookup_table!$A:$G,4,FALSE)</f>
        <v>1501</v>
      </c>
      <c r="Q1120" t="str">
        <f>VLOOKUP(A1120,vlookup_table!$A:$G,5,FALSE)</f>
        <v>S1</v>
      </c>
      <c r="R1120" t="str">
        <f>VLOOKUP(A1120,vlookup_table!$A:$G,6,FALSE)</f>
        <v>F</v>
      </c>
      <c r="S1120">
        <f>VLOOKUP(A1120,vlookup_table!$A:$G,7,FALSE)</f>
        <v>25</v>
      </c>
      <c r="T1120">
        <f t="shared" si="34"/>
        <v>81</v>
      </c>
      <c r="U1120" t="str">
        <f t="shared" si="35"/>
        <v>Suburbano</v>
      </c>
    </row>
    <row r="1121" spans="1:21" ht="16" x14ac:dyDescent="0.4">
      <c r="A1121" s="6">
        <v>31911</v>
      </c>
      <c r="B1121" s="6" t="s">
        <v>61</v>
      </c>
      <c r="C1121" s="6" t="s">
        <v>17</v>
      </c>
      <c r="D1121" s="6">
        <v>800</v>
      </c>
      <c r="E1121" s="6">
        <v>294</v>
      </c>
      <c r="F1121" s="6">
        <v>376</v>
      </c>
      <c r="G1121" s="6">
        <v>1</v>
      </c>
      <c r="H1121" s="6">
        <v>13480</v>
      </c>
      <c r="I1121" s="6">
        <v>0</v>
      </c>
      <c r="J1121" s="6">
        <v>63</v>
      </c>
      <c r="K1121" s="6">
        <v>358</v>
      </c>
      <c r="L1121" s="6">
        <v>333</v>
      </c>
      <c r="M1121" s="6">
        <v>4.2857142860000002</v>
      </c>
      <c r="N1121">
        <f>VLOOKUP(A1121,vlookup_table!$A:$G,2,FALSE)</f>
        <v>0</v>
      </c>
      <c r="O1121" t="str">
        <f>VLOOKUP(A1121,vlookup_table!$A:$G,3,FALSE)</f>
        <v>VA</v>
      </c>
      <c r="P1121">
        <f>VLOOKUP(A1121,vlookup_table!$A:$G,4,FALSE)</f>
        <v>0</v>
      </c>
      <c r="Q1121" t="str">
        <f>VLOOKUP(A1121,vlookup_table!$A:$G,5,FALSE)</f>
        <v>S1</v>
      </c>
      <c r="R1121" t="str">
        <f>VLOOKUP(A1121,vlookup_table!$A:$G,6,FALSE)</f>
        <v>F</v>
      </c>
      <c r="S1121">
        <f>VLOOKUP(A1121,vlookup_table!$A:$G,7,FALSE)</f>
        <v>5</v>
      </c>
      <c r="T1121">
        <f t="shared" si="34"/>
        <v>96</v>
      </c>
      <c r="U1121" t="str">
        <f t="shared" si="35"/>
        <v>Suburbano</v>
      </c>
    </row>
    <row r="1122" spans="1:21" ht="16" x14ac:dyDescent="0.4">
      <c r="A1122" s="6">
        <v>2379</v>
      </c>
      <c r="B1122" s="6" t="s">
        <v>26</v>
      </c>
      <c r="C1122" s="6" t="s">
        <v>14</v>
      </c>
      <c r="D1122" s="6">
        <v>1596</v>
      </c>
      <c r="E1122" s="6">
        <v>549</v>
      </c>
      <c r="F1122" s="6">
        <v>672</v>
      </c>
      <c r="G1122" s="6">
        <v>31</v>
      </c>
      <c r="H1122" s="6">
        <v>23345</v>
      </c>
      <c r="I1122" s="6">
        <v>3</v>
      </c>
      <c r="J1122" s="6">
        <v>71</v>
      </c>
      <c r="K1122" s="6">
        <v>603</v>
      </c>
      <c r="L1122" s="6">
        <v>631</v>
      </c>
      <c r="M1122" s="6">
        <v>10.875</v>
      </c>
      <c r="N1122">
        <f>VLOOKUP(A1122,vlookup_table!$A:$G,2,FALSE)</f>
        <v>1</v>
      </c>
      <c r="O1122" t="str">
        <f>VLOOKUP(A1122,vlookup_table!$A:$G,3,FALSE)</f>
        <v>MI</v>
      </c>
      <c r="P1122">
        <f>VLOOKUP(A1122,vlookup_table!$A:$G,4,FALSE)</f>
        <v>4809</v>
      </c>
      <c r="Q1122" t="str">
        <f>VLOOKUP(A1122,vlookup_table!$A:$G,5,FALSE)</f>
        <v>T1</v>
      </c>
      <c r="R1122" t="str">
        <f>VLOOKUP(A1122,vlookup_table!$A:$G,6,FALSE)</f>
        <v>M</v>
      </c>
      <c r="S1122">
        <f>VLOOKUP(A1122,vlookup_table!$A:$G,7,FALSE)</f>
        <v>10</v>
      </c>
      <c r="T1122">
        <f t="shared" si="34"/>
        <v>48</v>
      </c>
      <c r="U1122" t="str">
        <f t="shared" si="35"/>
        <v>Pueblo</v>
      </c>
    </row>
    <row r="1123" spans="1:21" ht="16" x14ac:dyDescent="0.4">
      <c r="A1123" s="6">
        <v>151455</v>
      </c>
      <c r="B1123" s="6" t="s">
        <v>21</v>
      </c>
      <c r="C1123" s="6"/>
      <c r="D1123" s="6">
        <v>2105</v>
      </c>
      <c r="E1123" s="6">
        <v>301</v>
      </c>
      <c r="F1123" s="6">
        <v>395</v>
      </c>
      <c r="G1123" s="6">
        <v>55</v>
      </c>
      <c r="H1123" s="6">
        <v>13279</v>
      </c>
      <c r="I1123" s="6">
        <v>47</v>
      </c>
      <c r="J1123" s="6">
        <v>36</v>
      </c>
      <c r="K1123" s="6">
        <v>314</v>
      </c>
      <c r="L1123" s="6">
        <v>372</v>
      </c>
      <c r="M1123" s="6">
        <v>15.33333333</v>
      </c>
      <c r="N1123">
        <f>VLOOKUP(A1123,vlookup_table!$A:$G,2,FALSE)</f>
        <v>0</v>
      </c>
      <c r="O1123" t="str">
        <f>VLOOKUP(A1123,vlookup_table!$A:$G,3,FALSE)</f>
        <v>CA</v>
      </c>
      <c r="P1123">
        <f>VLOOKUP(A1123,vlookup_table!$A:$G,4,FALSE)</f>
        <v>0</v>
      </c>
      <c r="Q1123" t="str">
        <f>VLOOKUP(A1123,vlookup_table!$A:$G,5,FALSE)</f>
        <v>U4</v>
      </c>
      <c r="R1123" t="str">
        <f>VLOOKUP(A1123,vlookup_table!$A:$G,6,FALSE)</f>
        <v/>
      </c>
      <c r="S1123">
        <f>VLOOKUP(A1123,vlookup_table!$A:$G,7,FALSE)</f>
        <v>20</v>
      </c>
      <c r="T1123">
        <f t="shared" si="34"/>
        <v>96</v>
      </c>
      <c r="U1123" t="str">
        <f t="shared" si="35"/>
        <v>Urbano</v>
      </c>
    </row>
    <row r="1124" spans="1:21" ht="16" x14ac:dyDescent="0.4">
      <c r="A1124" s="6">
        <v>90499</v>
      </c>
      <c r="B1124" s="6" t="s">
        <v>16</v>
      </c>
      <c r="C1124" s="6" t="s">
        <v>17</v>
      </c>
      <c r="D1124" s="6">
        <v>1480</v>
      </c>
      <c r="E1124" s="6">
        <v>560</v>
      </c>
      <c r="F1124" s="6">
        <v>718</v>
      </c>
      <c r="G1124" s="6">
        <v>25</v>
      </c>
      <c r="H1124" s="6">
        <v>22088</v>
      </c>
      <c r="I1124" s="6">
        <v>16</v>
      </c>
      <c r="J1124" s="6">
        <v>51</v>
      </c>
      <c r="K1124" s="6">
        <v>684</v>
      </c>
      <c r="L1124" s="6">
        <v>635</v>
      </c>
      <c r="M1124" s="6">
        <v>7.6170212770000001</v>
      </c>
      <c r="N1124">
        <f>VLOOKUP(A1124,vlookup_table!$A:$G,2,FALSE)</f>
        <v>0</v>
      </c>
      <c r="O1124" t="str">
        <f>VLOOKUP(A1124,vlookup_table!$A:$G,3,FALSE)</f>
        <v>IL</v>
      </c>
      <c r="P1124">
        <f>VLOOKUP(A1124,vlookup_table!$A:$G,4,FALSE)</f>
        <v>5208</v>
      </c>
      <c r="Q1124" t="str">
        <f>VLOOKUP(A1124,vlookup_table!$A:$G,5,FALSE)</f>
        <v>C1</v>
      </c>
      <c r="R1124" t="str">
        <f>VLOOKUP(A1124,vlookup_table!$A:$G,6,FALSE)</f>
        <v>F</v>
      </c>
      <c r="S1124">
        <f>VLOOKUP(A1124,vlookup_table!$A:$G,7,FALSE)</f>
        <v>10</v>
      </c>
      <c r="T1124">
        <f t="shared" si="34"/>
        <v>44</v>
      </c>
      <c r="U1124" t="str">
        <f t="shared" si="35"/>
        <v>Ciudad</v>
      </c>
    </row>
    <row r="1125" spans="1:21" ht="16" x14ac:dyDescent="0.4">
      <c r="A1125" s="6">
        <v>177307</v>
      </c>
      <c r="B1125" s="6" t="s">
        <v>47</v>
      </c>
      <c r="C1125" s="6" t="s">
        <v>17</v>
      </c>
      <c r="D1125" s="6">
        <v>585</v>
      </c>
      <c r="E1125" s="6">
        <v>216</v>
      </c>
      <c r="F1125" s="6">
        <v>292</v>
      </c>
      <c r="G1125" s="6">
        <v>1</v>
      </c>
      <c r="H1125" s="6">
        <v>10423</v>
      </c>
      <c r="I1125" s="6">
        <v>4</v>
      </c>
      <c r="J1125" s="6">
        <v>42</v>
      </c>
      <c r="K1125" s="6">
        <v>266</v>
      </c>
      <c r="L1125" s="6">
        <v>255</v>
      </c>
      <c r="M1125" s="6">
        <v>9.7272727270000008</v>
      </c>
      <c r="N1125">
        <f>VLOOKUP(A1125,vlookup_table!$A:$G,2,FALSE)</f>
        <v>28</v>
      </c>
      <c r="O1125" t="str">
        <f>VLOOKUP(A1125,vlookup_table!$A:$G,3,FALSE)</f>
        <v>OR</v>
      </c>
      <c r="P1125">
        <f>VLOOKUP(A1125,vlookup_table!$A:$G,4,FALSE)</f>
        <v>0</v>
      </c>
      <c r="Q1125" t="str">
        <f>VLOOKUP(A1125,vlookup_table!$A:$G,5,FALSE)</f>
        <v>C3</v>
      </c>
      <c r="R1125" t="str">
        <f>VLOOKUP(A1125,vlookup_table!$A:$G,6,FALSE)</f>
        <v>F</v>
      </c>
      <c r="S1125">
        <f>VLOOKUP(A1125,vlookup_table!$A:$G,7,FALSE)</f>
        <v>10</v>
      </c>
      <c r="T1125">
        <f t="shared" si="34"/>
        <v>96</v>
      </c>
      <c r="U1125" t="str">
        <f t="shared" si="35"/>
        <v>Ciudad</v>
      </c>
    </row>
    <row r="1126" spans="1:21" ht="16" x14ac:dyDescent="0.4">
      <c r="A1126" s="6">
        <v>65423</v>
      </c>
      <c r="B1126" s="6" t="s">
        <v>26</v>
      </c>
      <c r="C1126" s="6" t="s">
        <v>17</v>
      </c>
      <c r="D1126" s="6">
        <v>1033</v>
      </c>
      <c r="E1126" s="6">
        <v>488</v>
      </c>
      <c r="F1126" s="6">
        <v>651</v>
      </c>
      <c r="G1126" s="6">
        <v>0</v>
      </c>
      <c r="H1126" s="6">
        <v>22157</v>
      </c>
      <c r="I1126" s="6">
        <v>5</v>
      </c>
      <c r="J1126" s="6">
        <v>72</v>
      </c>
      <c r="K1126" s="6">
        <v>611</v>
      </c>
      <c r="L1126" s="6">
        <v>565</v>
      </c>
      <c r="M1126" s="6">
        <v>10.33333333</v>
      </c>
      <c r="N1126">
        <f>VLOOKUP(A1126,vlookup_table!$A:$G,2,FALSE)</f>
        <v>3</v>
      </c>
      <c r="O1126" t="str">
        <f>VLOOKUP(A1126,vlookup_table!$A:$G,3,FALSE)</f>
        <v>MI</v>
      </c>
      <c r="P1126">
        <f>VLOOKUP(A1126,vlookup_table!$A:$G,4,FALSE)</f>
        <v>3401</v>
      </c>
      <c r="Q1126" t="str">
        <f>VLOOKUP(A1126,vlookup_table!$A:$G,5,FALSE)</f>
        <v>S1</v>
      </c>
      <c r="R1126" t="str">
        <f>VLOOKUP(A1126,vlookup_table!$A:$G,6,FALSE)</f>
        <v>F</v>
      </c>
      <c r="S1126">
        <f>VLOOKUP(A1126,vlookup_table!$A:$G,7,FALSE)</f>
        <v>10</v>
      </c>
      <c r="T1126">
        <f t="shared" si="34"/>
        <v>62</v>
      </c>
      <c r="U1126" t="str">
        <f t="shared" si="35"/>
        <v>Suburbano</v>
      </c>
    </row>
    <row r="1127" spans="1:21" ht="16" x14ac:dyDescent="0.4">
      <c r="A1127" s="6">
        <v>95800</v>
      </c>
      <c r="B1127" s="6" t="s">
        <v>16</v>
      </c>
      <c r="C1127" s="6" t="s">
        <v>14</v>
      </c>
      <c r="D1127" s="6">
        <v>340</v>
      </c>
      <c r="E1127" s="6">
        <v>147</v>
      </c>
      <c r="F1127" s="6">
        <v>252</v>
      </c>
      <c r="G1127" s="6">
        <v>0</v>
      </c>
      <c r="H1127" s="6">
        <v>7173</v>
      </c>
      <c r="I1127" s="6">
        <v>5</v>
      </c>
      <c r="J1127" s="6">
        <v>58</v>
      </c>
      <c r="K1127" s="6">
        <v>178</v>
      </c>
      <c r="L1127" s="6">
        <v>217</v>
      </c>
      <c r="M1127" s="6">
        <v>10.199999999999999</v>
      </c>
      <c r="N1127">
        <f>VLOOKUP(A1127,vlookup_table!$A:$G,2,FALSE)</f>
        <v>1</v>
      </c>
      <c r="O1127" t="str">
        <f>VLOOKUP(A1127,vlookup_table!$A:$G,3,FALSE)</f>
        <v>IL</v>
      </c>
      <c r="P1127">
        <f>VLOOKUP(A1127,vlookup_table!$A:$G,4,FALSE)</f>
        <v>1004</v>
      </c>
      <c r="Q1127" t="str">
        <f>VLOOKUP(A1127,vlookup_table!$A:$G,5,FALSE)</f>
        <v>S3</v>
      </c>
      <c r="R1127" t="str">
        <f>VLOOKUP(A1127,vlookup_table!$A:$G,6,FALSE)</f>
        <v>M</v>
      </c>
      <c r="S1127">
        <f>VLOOKUP(A1127,vlookup_table!$A:$G,7,FALSE)</f>
        <v>20</v>
      </c>
      <c r="T1127">
        <f t="shared" si="34"/>
        <v>86</v>
      </c>
      <c r="U1127" t="str">
        <f t="shared" si="35"/>
        <v>Suburbano</v>
      </c>
    </row>
    <row r="1128" spans="1:21" ht="16" x14ac:dyDescent="0.4">
      <c r="A1128" s="6">
        <v>91965</v>
      </c>
      <c r="B1128" s="6" t="s">
        <v>16</v>
      </c>
      <c r="C1128" s="6"/>
      <c r="D1128" s="6">
        <v>1708</v>
      </c>
      <c r="E1128" s="6">
        <v>342</v>
      </c>
      <c r="F1128" s="6">
        <v>455</v>
      </c>
      <c r="G1128" s="6">
        <v>11</v>
      </c>
      <c r="H1128" s="6">
        <v>21795</v>
      </c>
      <c r="I1128" s="6">
        <v>21</v>
      </c>
      <c r="J1128" s="6">
        <v>70</v>
      </c>
      <c r="K1128" s="6">
        <v>413</v>
      </c>
      <c r="L1128" s="6">
        <v>374</v>
      </c>
      <c r="M1128" s="6">
        <v>12.6875</v>
      </c>
      <c r="N1128">
        <f>VLOOKUP(A1128,vlookup_table!$A:$G,2,FALSE)</f>
        <v>2</v>
      </c>
      <c r="O1128" t="str">
        <f>VLOOKUP(A1128,vlookup_table!$A:$G,3,FALSE)</f>
        <v>IL</v>
      </c>
      <c r="P1128">
        <f>VLOOKUP(A1128,vlookup_table!$A:$G,4,FALSE)</f>
        <v>4505</v>
      </c>
      <c r="Q1128" t="str">
        <f>VLOOKUP(A1128,vlookup_table!$A:$G,5,FALSE)</f>
        <v>S2</v>
      </c>
      <c r="R1128" t="str">
        <f>VLOOKUP(A1128,vlookup_table!$A:$G,6,FALSE)</f>
        <v/>
      </c>
      <c r="S1128">
        <f>VLOOKUP(A1128,vlookup_table!$A:$G,7,FALSE)</f>
        <v>16</v>
      </c>
      <c r="T1128">
        <f t="shared" si="34"/>
        <v>51</v>
      </c>
      <c r="U1128" t="str">
        <f t="shared" si="35"/>
        <v>Suburbano</v>
      </c>
    </row>
    <row r="1129" spans="1:21" ht="16" x14ac:dyDescent="0.4">
      <c r="A1129" s="6">
        <v>104721</v>
      </c>
      <c r="B1129" s="6" t="s">
        <v>25</v>
      </c>
      <c r="C1129" s="6" t="s">
        <v>17</v>
      </c>
      <c r="D1129" s="6">
        <v>1419</v>
      </c>
      <c r="E1129" s="6">
        <v>694</v>
      </c>
      <c r="F1129" s="6">
        <v>777</v>
      </c>
      <c r="G1129" s="6">
        <v>13</v>
      </c>
      <c r="H1129" s="6">
        <v>25024</v>
      </c>
      <c r="I1129" s="6">
        <v>1</v>
      </c>
      <c r="J1129" s="6">
        <v>29</v>
      </c>
      <c r="K1129" s="6">
        <v>698</v>
      </c>
      <c r="L1129" s="6">
        <v>766</v>
      </c>
      <c r="M1129" s="6">
        <v>7.3636363640000004</v>
      </c>
      <c r="N1129">
        <f>VLOOKUP(A1129,vlookup_table!$A:$G,2,FALSE)</f>
        <v>0</v>
      </c>
      <c r="O1129" t="str">
        <f>VLOOKUP(A1129,vlookup_table!$A:$G,3,FALSE)</f>
        <v>KS</v>
      </c>
      <c r="P1129">
        <f>VLOOKUP(A1129,vlookup_table!$A:$G,4,FALSE)</f>
        <v>6701</v>
      </c>
      <c r="Q1129" t="str">
        <f>VLOOKUP(A1129,vlookup_table!$A:$G,5,FALSE)</f>
        <v>S2</v>
      </c>
      <c r="R1129" t="str">
        <f>VLOOKUP(A1129,vlookup_table!$A:$G,6,FALSE)</f>
        <v>F</v>
      </c>
      <c r="S1129">
        <f>VLOOKUP(A1129,vlookup_table!$A:$G,7,FALSE)</f>
        <v>10</v>
      </c>
      <c r="T1129">
        <f t="shared" si="34"/>
        <v>29</v>
      </c>
      <c r="U1129" t="str">
        <f t="shared" si="35"/>
        <v>Suburbano</v>
      </c>
    </row>
    <row r="1130" spans="1:21" ht="16" x14ac:dyDescent="0.4">
      <c r="A1130" s="6">
        <v>165177</v>
      </c>
      <c r="B1130" s="6" t="s">
        <v>21</v>
      </c>
      <c r="C1130" s="6" t="s">
        <v>17</v>
      </c>
      <c r="D1130" s="6">
        <v>2698</v>
      </c>
      <c r="E1130" s="6">
        <v>563</v>
      </c>
      <c r="F1130" s="6">
        <v>599</v>
      </c>
      <c r="G1130" s="6">
        <v>89</v>
      </c>
      <c r="H1130" s="6">
        <v>18228</v>
      </c>
      <c r="I1130" s="6">
        <v>27</v>
      </c>
      <c r="J1130" s="6">
        <v>49</v>
      </c>
      <c r="K1130" s="6">
        <v>593</v>
      </c>
      <c r="L1130" s="6">
        <v>572</v>
      </c>
      <c r="M1130" s="6">
        <v>10.81818182</v>
      </c>
      <c r="N1130">
        <f>VLOOKUP(A1130,vlookup_table!$A:$G,2,FALSE)</f>
        <v>0</v>
      </c>
      <c r="O1130" t="str">
        <f>VLOOKUP(A1130,vlookup_table!$A:$G,3,FALSE)</f>
        <v>CA</v>
      </c>
      <c r="P1130">
        <f>VLOOKUP(A1130,vlookup_table!$A:$G,4,FALSE)</f>
        <v>0</v>
      </c>
      <c r="Q1130" t="str">
        <f>VLOOKUP(A1130,vlookup_table!$A:$G,5,FALSE)</f>
        <v>U1</v>
      </c>
      <c r="R1130" t="str">
        <f>VLOOKUP(A1130,vlookup_table!$A:$G,6,FALSE)</f>
        <v>F</v>
      </c>
      <c r="S1130">
        <f>VLOOKUP(A1130,vlookup_table!$A:$G,7,FALSE)</f>
        <v>5</v>
      </c>
      <c r="T1130">
        <f t="shared" si="34"/>
        <v>96</v>
      </c>
      <c r="U1130" t="str">
        <f t="shared" si="35"/>
        <v>Urbano</v>
      </c>
    </row>
    <row r="1131" spans="1:21" ht="16" x14ac:dyDescent="0.4">
      <c r="A1131" s="6">
        <v>156929</v>
      </c>
      <c r="B1131" s="6" t="s">
        <v>21</v>
      </c>
      <c r="C1131" s="6" t="s">
        <v>27</v>
      </c>
      <c r="D1131" s="6">
        <v>2688</v>
      </c>
      <c r="E1131" s="6">
        <v>306</v>
      </c>
      <c r="F1131" s="6">
        <v>449</v>
      </c>
      <c r="G1131" s="6">
        <v>88</v>
      </c>
      <c r="H1131" s="6">
        <v>24944</v>
      </c>
      <c r="I1131" s="6">
        <v>5</v>
      </c>
      <c r="J1131" s="6">
        <v>37</v>
      </c>
      <c r="K1131" s="6">
        <v>367</v>
      </c>
      <c r="L1131" s="6">
        <v>418</v>
      </c>
      <c r="M1131" s="6">
        <v>8.6428571430000005</v>
      </c>
      <c r="N1131">
        <f>VLOOKUP(A1131,vlookup_table!$A:$G,2,FALSE)</f>
        <v>0</v>
      </c>
      <c r="O1131" t="str">
        <f>VLOOKUP(A1131,vlookup_table!$A:$G,3,FALSE)</f>
        <v>CA</v>
      </c>
      <c r="P1131">
        <f>VLOOKUP(A1131,vlookup_table!$A:$G,4,FALSE)</f>
        <v>0</v>
      </c>
      <c r="Q1131" t="str">
        <f>VLOOKUP(A1131,vlookup_table!$A:$G,5,FALSE)</f>
        <v>U2</v>
      </c>
      <c r="R1131" t="str">
        <f>VLOOKUP(A1131,vlookup_table!$A:$G,6,FALSE)</f>
        <v>U</v>
      </c>
      <c r="S1131">
        <f>VLOOKUP(A1131,vlookup_table!$A:$G,7,FALSE)</f>
        <v>15</v>
      </c>
      <c r="T1131">
        <f t="shared" si="34"/>
        <v>96</v>
      </c>
      <c r="U1131" t="str">
        <f t="shared" si="35"/>
        <v>Urbano</v>
      </c>
    </row>
    <row r="1132" spans="1:21" ht="16" x14ac:dyDescent="0.4">
      <c r="A1132" s="6">
        <v>52549</v>
      </c>
      <c r="B1132" s="6" t="s">
        <v>49</v>
      </c>
      <c r="C1132" s="6" t="s">
        <v>14</v>
      </c>
      <c r="D1132" s="6">
        <v>556</v>
      </c>
      <c r="E1132" s="6">
        <v>202</v>
      </c>
      <c r="F1132" s="6">
        <v>389</v>
      </c>
      <c r="G1132" s="6">
        <v>1</v>
      </c>
      <c r="H1132" s="6">
        <v>14382</v>
      </c>
      <c r="I1132" s="6">
        <v>0</v>
      </c>
      <c r="J1132" s="6">
        <v>81</v>
      </c>
      <c r="K1132" s="6">
        <v>346</v>
      </c>
      <c r="L1132" s="6">
        <v>270</v>
      </c>
      <c r="M1132" s="6">
        <v>13.11111111</v>
      </c>
      <c r="N1132">
        <f>VLOOKUP(A1132,vlookup_table!$A:$G,2,FALSE)</f>
        <v>1</v>
      </c>
      <c r="O1132" t="str">
        <f>VLOOKUP(A1132,vlookup_table!$A:$G,3,FALSE)</f>
        <v>TN</v>
      </c>
      <c r="P1132">
        <f>VLOOKUP(A1132,vlookup_table!$A:$G,4,FALSE)</f>
        <v>5501</v>
      </c>
      <c r="Q1132" t="str">
        <f>VLOOKUP(A1132,vlookup_table!$A:$G,5,FALSE)</f>
        <v>R2</v>
      </c>
      <c r="R1132" t="str">
        <f>VLOOKUP(A1132,vlookup_table!$A:$G,6,FALSE)</f>
        <v>M</v>
      </c>
      <c r="S1132">
        <f>VLOOKUP(A1132,vlookup_table!$A:$G,7,FALSE)</f>
        <v>30</v>
      </c>
      <c r="T1132">
        <f t="shared" si="34"/>
        <v>41</v>
      </c>
      <c r="U1132" t="str">
        <f t="shared" si="35"/>
        <v>Rural</v>
      </c>
    </row>
    <row r="1133" spans="1:21" ht="16" x14ac:dyDescent="0.4">
      <c r="A1133" s="6">
        <v>51706</v>
      </c>
      <c r="B1133" s="6" t="s">
        <v>49</v>
      </c>
      <c r="C1133" s="6" t="s">
        <v>14</v>
      </c>
      <c r="D1133" s="6">
        <v>972</v>
      </c>
      <c r="E1133" s="6">
        <v>193</v>
      </c>
      <c r="F1133" s="6">
        <v>318</v>
      </c>
      <c r="G1133" s="6">
        <v>16</v>
      </c>
      <c r="H1133" s="6">
        <v>8716</v>
      </c>
      <c r="I1133" s="6">
        <v>0</v>
      </c>
      <c r="J1133" s="6">
        <v>71</v>
      </c>
      <c r="K1133" s="6">
        <v>278</v>
      </c>
      <c r="L1133" s="6">
        <v>281</v>
      </c>
      <c r="M1133" s="6">
        <v>11.42857143</v>
      </c>
      <c r="N1133">
        <f>VLOOKUP(A1133,vlookup_table!$A:$G,2,FALSE)</f>
        <v>0</v>
      </c>
      <c r="O1133" t="str">
        <f>VLOOKUP(A1133,vlookup_table!$A:$G,3,FALSE)</f>
        <v>TN</v>
      </c>
      <c r="P1133">
        <f>VLOOKUP(A1133,vlookup_table!$A:$G,4,FALSE)</f>
        <v>4808</v>
      </c>
      <c r="Q1133" t="str">
        <f>VLOOKUP(A1133,vlookup_table!$A:$G,5,FALSE)</f>
        <v>T2</v>
      </c>
      <c r="R1133" t="str">
        <f>VLOOKUP(A1133,vlookup_table!$A:$G,6,FALSE)</f>
        <v>M</v>
      </c>
      <c r="S1133">
        <f>VLOOKUP(A1133,vlookup_table!$A:$G,7,FALSE)</f>
        <v>15</v>
      </c>
      <c r="T1133">
        <f t="shared" si="34"/>
        <v>48</v>
      </c>
      <c r="U1133" t="str">
        <f t="shared" si="35"/>
        <v>Pueblo</v>
      </c>
    </row>
    <row r="1134" spans="1:21" ht="16" x14ac:dyDescent="0.4">
      <c r="A1134" s="6">
        <v>117969</v>
      </c>
      <c r="B1134" s="6" t="s">
        <v>20</v>
      </c>
      <c r="C1134" s="6" t="s">
        <v>17</v>
      </c>
      <c r="D1134" s="6">
        <v>498</v>
      </c>
      <c r="E1134" s="6">
        <v>227</v>
      </c>
      <c r="F1134" s="6">
        <v>315</v>
      </c>
      <c r="G1134" s="6">
        <v>0</v>
      </c>
      <c r="H1134" s="6">
        <v>10907</v>
      </c>
      <c r="I1134" s="6">
        <v>1</v>
      </c>
      <c r="J1134" s="6">
        <v>62</v>
      </c>
      <c r="K1134" s="6">
        <v>278</v>
      </c>
      <c r="L1134" s="6">
        <v>282</v>
      </c>
      <c r="M1134" s="6">
        <v>7.4545454549999999</v>
      </c>
      <c r="N1134">
        <f>VLOOKUP(A1134,vlookup_table!$A:$G,2,FALSE)</f>
        <v>28</v>
      </c>
      <c r="O1134" t="str">
        <f>VLOOKUP(A1134,vlookup_table!$A:$G,3,FALSE)</f>
        <v>TX</v>
      </c>
      <c r="P1134">
        <f>VLOOKUP(A1134,vlookup_table!$A:$G,4,FALSE)</f>
        <v>3001</v>
      </c>
      <c r="Q1134" t="str">
        <f>VLOOKUP(A1134,vlookup_table!$A:$G,5,FALSE)</f>
        <v>C1</v>
      </c>
      <c r="R1134" t="str">
        <f>VLOOKUP(A1134,vlookup_table!$A:$G,6,FALSE)</f>
        <v>F</v>
      </c>
      <c r="S1134">
        <f>VLOOKUP(A1134,vlookup_table!$A:$G,7,FALSE)</f>
        <v>9</v>
      </c>
      <c r="T1134">
        <f t="shared" si="34"/>
        <v>66</v>
      </c>
      <c r="U1134" t="str">
        <f t="shared" si="35"/>
        <v>Ciudad</v>
      </c>
    </row>
    <row r="1135" spans="1:21" ht="16" x14ac:dyDescent="0.4">
      <c r="A1135" s="6">
        <v>2235</v>
      </c>
      <c r="B1135" s="6" t="s">
        <v>13</v>
      </c>
      <c r="C1135" s="6" t="s">
        <v>14</v>
      </c>
      <c r="D1135" s="6">
        <v>878</v>
      </c>
      <c r="E1135" s="6">
        <v>285</v>
      </c>
      <c r="F1135" s="6">
        <v>410</v>
      </c>
      <c r="G1135" s="6">
        <v>10</v>
      </c>
      <c r="H1135" s="6">
        <v>16534</v>
      </c>
      <c r="I1135" s="6">
        <v>4</v>
      </c>
      <c r="J1135" s="6">
        <v>6</v>
      </c>
      <c r="K1135" s="6">
        <v>331</v>
      </c>
      <c r="L1135" s="6">
        <v>349</v>
      </c>
      <c r="M1135" s="6">
        <v>10.47058824</v>
      </c>
      <c r="N1135">
        <f>VLOOKUP(A1135,vlookup_table!$A:$G,2,FALSE)</f>
        <v>1</v>
      </c>
      <c r="O1135" t="str">
        <f>VLOOKUP(A1135,vlookup_table!$A:$G,3,FALSE)</f>
        <v>FL</v>
      </c>
      <c r="P1135">
        <f>VLOOKUP(A1135,vlookup_table!$A:$G,4,FALSE)</f>
        <v>3204</v>
      </c>
      <c r="Q1135" t="str">
        <f>VLOOKUP(A1135,vlookup_table!$A:$G,5,FALSE)</f>
        <v>C2</v>
      </c>
      <c r="R1135" t="str">
        <f>VLOOKUP(A1135,vlookup_table!$A:$G,6,FALSE)</f>
        <v>M</v>
      </c>
      <c r="S1135">
        <f>VLOOKUP(A1135,vlookup_table!$A:$G,7,FALSE)</f>
        <v>12</v>
      </c>
      <c r="T1135">
        <f t="shared" si="34"/>
        <v>64</v>
      </c>
      <c r="U1135" t="str">
        <f t="shared" si="35"/>
        <v>Ciudad</v>
      </c>
    </row>
    <row r="1136" spans="1:21" ht="16" x14ac:dyDescent="0.4">
      <c r="A1136" s="6">
        <v>161023</v>
      </c>
      <c r="B1136" s="6" t="s">
        <v>21</v>
      </c>
      <c r="C1136" s="6" t="s">
        <v>14</v>
      </c>
      <c r="D1136" s="6">
        <v>883</v>
      </c>
      <c r="E1136" s="6">
        <v>281</v>
      </c>
      <c r="F1136" s="6">
        <v>362</v>
      </c>
      <c r="G1136" s="6">
        <v>1</v>
      </c>
      <c r="H1136" s="6">
        <v>11791</v>
      </c>
      <c r="I1136" s="6">
        <v>8</v>
      </c>
      <c r="J1136" s="6">
        <v>59</v>
      </c>
      <c r="K1136" s="6">
        <v>333</v>
      </c>
      <c r="L1136" s="6">
        <v>315</v>
      </c>
      <c r="M1136" s="6">
        <v>14.85714286</v>
      </c>
      <c r="N1136">
        <f>VLOOKUP(A1136,vlookup_table!$A:$G,2,FALSE)</f>
        <v>2</v>
      </c>
      <c r="O1136" t="str">
        <f>VLOOKUP(A1136,vlookup_table!$A:$G,3,FALSE)</f>
        <v>CA</v>
      </c>
      <c r="P1136">
        <f>VLOOKUP(A1136,vlookup_table!$A:$G,4,FALSE)</f>
        <v>2801</v>
      </c>
      <c r="Q1136" t="str">
        <f>VLOOKUP(A1136,vlookup_table!$A:$G,5,FALSE)</f>
        <v>R1</v>
      </c>
      <c r="R1136" t="str">
        <f>VLOOKUP(A1136,vlookup_table!$A:$G,6,FALSE)</f>
        <v>M</v>
      </c>
      <c r="S1136">
        <f>VLOOKUP(A1136,vlookup_table!$A:$G,7,FALSE)</f>
        <v>20</v>
      </c>
      <c r="T1136">
        <f t="shared" si="34"/>
        <v>68</v>
      </c>
      <c r="U1136" t="str">
        <f t="shared" si="35"/>
        <v>Rural</v>
      </c>
    </row>
    <row r="1137" spans="1:21" ht="16" x14ac:dyDescent="0.4">
      <c r="A1137" s="6">
        <v>139887</v>
      </c>
      <c r="B1137" s="6" t="s">
        <v>50</v>
      </c>
      <c r="C1137" s="6" t="s">
        <v>17</v>
      </c>
      <c r="D1137" s="6">
        <v>670</v>
      </c>
      <c r="E1137" s="6">
        <v>231</v>
      </c>
      <c r="F1137" s="6">
        <v>290</v>
      </c>
      <c r="G1137" s="6">
        <v>2</v>
      </c>
      <c r="H1137" s="6">
        <v>9443</v>
      </c>
      <c r="I1137" s="6">
        <v>2</v>
      </c>
      <c r="J1137" s="6">
        <v>52</v>
      </c>
      <c r="K1137" s="6">
        <v>287</v>
      </c>
      <c r="L1137" s="6">
        <v>282</v>
      </c>
      <c r="M1137" s="6">
        <v>11.66666667</v>
      </c>
      <c r="N1137">
        <f>VLOOKUP(A1137,vlookup_table!$A:$G,2,FALSE)</f>
        <v>28</v>
      </c>
      <c r="O1137" t="str">
        <f>VLOOKUP(A1137,vlookup_table!$A:$G,3,FALSE)</f>
        <v>NM</v>
      </c>
      <c r="P1137">
        <f>VLOOKUP(A1137,vlookup_table!$A:$G,4,FALSE)</f>
        <v>0</v>
      </c>
      <c r="Q1137" t="str">
        <f>VLOOKUP(A1137,vlookup_table!$A:$G,5,FALSE)</f>
        <v>R2</v>
      </c>
      <c r="R1137" t="str">
        <f>VLOOKUP(A1137,vlookup_table!$A:$G,6,FALSE)</f>
        <v>F</v>
      </c>
      <c r="S1137">
        <f>VLOOKUP(A1137,vlookup_table!$A:$G,7,FALSE)</f>
        <v>20</v>
      </c>
      <c r="T1137">
        <f t="shared" si="34"/>
        <v>96</v>
      </c>
      <c r="U1137" t="str">
        <f t="shared" si="35"/>
        <v>Rural</v>
      </c>
    </row>
    <row r="1138" spans="1:21" ht="16" x14ac:dyDescent="0.4">
      <c r="A1138" s="6">
        <v>186212</v>
      </c>
      <c r="B1138" s="6" t="s">
        <v>50</v>
      </c>
      <c r="C1138" s="6" t="s">
        <v>14</v>
      </c>
      <c r="D1138" s="6">
        <v>589</v>
      </c>
      <c r="E1138" s="6">
        <v>270</v>
      </c>
      <c r="F1138" s="6">
        <v>325</v>
      </c>
      <c r="G1138" s="6">
        <v>0</v>
      </c>
      <c r="H1138" s="6">
        <v>10889</v>
      </c>
      <c r="I1138" s="6">
        <v>5</v>
      </c>
      <c r="J1138" s="6">
        <v>45</v>
      </c>
      <c r="K1138" s="6">
        <v>317</v>
      </c>
      <c r="L1138" s="6">
        <v>292</v>
      </c>
      <c r="M1138" s="6">
        <v>8.5882352940000004</v>
      </c>
      <c r="N1138">
        <f>VLOOKUP(A1138,vlookup_table!$A:$G,2,FALSE)</f>
        <v>1002</v>
      </c>
      <c r="O1138" t="str">
        <f>VLOOKUP(A1138,vlookup_table!$A:$G,3,FALSE)</f>
        <v>NM</v>
      </c>
      <c r="P1138">
        <f>VLOOKUP(A1138,vlookup_table!$A:$G,4,FALSE)</f>
        <v>1008</v>
      </c>
      <c r="Q1138" t="str">
        <f>VLOOKUP(A1138,vlookup_table!$A:$G,5,FALSE)</f>
        <v>C1</v>
      </c>
      <c r="R1138" t="str">
        <f>VLOOKUP(A1138,vlookup_table!$A:$G,6,FALSE)</f>
        <v>M</v>
      </c>
      <c r="S1138">
        <f>VLOOKUP(A1138,vlookup_table!$A:$G,7,FALSE)</f>
        <v>7</v>
      </c>
      <c r="T1138">
        <f t="shared" si="34"/>
        <v>86</v>
      </c>
      <c r="U1138" t="str">
        <f t="shared" si="35"/>
        <v>Ciudad</v>
      </c>
    </row>
    <row r="1139" spans="1:21" ht="16" x14ac:dyDescent="0.4">
      <c r="A1139" s="6">
        <v>162759</v>
      </c>
      <c r="B1139" s="6" t="s">
        <v>21</v>
      </c>
      <c r="C1139" s="6" t="s">
        <v>17</v>
      </c>
      <c r="D1139" s="6">
        <v>2620</v>
      </c>
      <c r="E1139" s="6">
        <v>481</v>
      </c>
      <c r="F1139" s="6">
        <v>523</v>
      </c>
      <c r="G1139" s="6">
        <v>82</v>
      </c>
      <c r="H1139" s="6">
        <v>16047</v>
      </c>
      <c r="I1139" s="6">
        <v>48</v>
      </c>
      <c r="J1139" s="6">
        <v>36</v>
      </c>
      <c r="K1139" s="6">
        <v>490</v>
      </c>
      <c r="L1139" s="6">
        <v>519</v>
      </c>
      <c r="M1139" s="6">
        <v>14.42857143</v>
      </c>
      <c r="N1139">
        <f>VLOOKUP(A1139,vlookup_table!$A:$G,2,FALSE)</f>
        <v>0</v>
      </c>
      <c r="O1139" t="str">
        <f>VLOOKUP(A1139,vlookup_table!$A:$G,3,FALSE)</f>
        <v>CA</v>
      </c>
      <c r="P1139">
        <f>VLOOKUP(A1139,vlookup_table!$A:$G,4,FALSE)</f>
        <v>4001</v>
      </c>
      <c r="Q1139" t="str">
        <f>VLOOKUP(A1139,vlookup_table!$A:$G,5,FALSE)</f>
        <v>S1</v>
      </c>
      <c r="R1139" t="str">
        <f>VLOOKUP(A1139,vlookup_table!$A:$G,6,FALSE)</f>
        <v>F</v>
      </c>
      <c r="S1139">
        <f>VLOOKUP(A1139,vlookup_table!$A:$G,7,FALSE)</f>
        <v>18</v>
      </c>
      <c r="T1139">
        <f t="shared" si="34"/>
        <v>56</v>
      </c>
      <c r="U1139" t="str">
        <f t="shared" si="35"/>
        <v>Suburbano</v>
      </c>
    </row>
    <row r="1140" spans="1:21" ht="16" x14ac:dyDescent="0.4">
      <c r="A1140" s="6">
        <v>95654</v>
      </c>
      <c r="B1140" s="6" t="s">
        <v>16</v>
      </c>
      <c r="C1140" s="6" t="s">
        <v>14</v>
      </c>
      <c r="D1140" s="6">
        <v>677</v>
      </c>
      <c r="E1140" s="6">
        <v>426</v>
      </c>
      <c r="F1140" s="6">
        <v>489</v>
      </c>
      <c r="G1140" s="6">
        <v>0</v>
      </c>
      <c r="H1140" s="6">
        <v>18718</v>
      </c>
      <c r="I1140" s="6">
        <v>2</v>
      </c>
      <c r="J1140" s="6">
        <v>71</v>
      </c>
      <c r="K1140" s="6">
        <v>466</v>
      </c>
      <c r="L1140" s="6">
        <v>442</v>
      </c>
      <c r="M1140" s="6">
        <v>10.66666667</v>
      </c>
      <c r="N1140">
        <f>VLOOKUP(A1140,vlookup_table!$A:$G,2,FALSE)</f>
        <v>1</v>
      </c>
      <c r="O1140" t="str">
        <f>VLOOKUP(A1140,vlookup_table!$A:$G,3,FALSE)</f>
        <v>IL</v>
      </c>
      <c r="P1140">
        <f>VLOOKUP(A1140,vlookup_table!$A:$G,4,FALSE)</f>
        <v>3308</v>
      </c>
      <c r="Q1140" t="str">
        <f>VLOOKUP(A1140,vlookup_table!$A:$G,5,FALSE)</f>
        <v>S2</v>
      </c>
      <c r="R1140" t="str">
        <f>VLOOKUP(A1140,vlookup_table!$A:$G,6,FALSE)</f>
        <v>M</v>
      </c>
      <c r="S1140">
        <f>VLOOKUP(A1140,vlookup_table!$A:$G,7,FALSE)</f>
        <v>20</v>
      </c>
      <c r="T1140">
        <f t="shared" si="34"/>
        <v>63</v>
      </c>
      <c r="U1140" t="str">
        <f t="shared" si="35"/>
        <v>Suburbano</v>
      </c>
    </row>
    <row r="1141" spans="1:21" ht="16" x14ac:dyDescent="0.4">
      <c r="A1141" s="6">
        <v>101774</v>
      </c>
      <c r="B1141" s="6" t="s">
        <v>33</v>
      </c>
      <c r="C1141" s="6" t="s">
        <v>17</v>
      </c>
      <c r="D1141" s="6">
        <v>464</v>
      </c>
      <c r="E1141" s="6">
        <v>164</v>
      </c>
      <c r="F1141" s="6">
        <v>285</v>
      </c>
      <c r="G1141" s="6">
        <v>0</v>
      </c>
      <c r="H1141" s="6">
        <v>9685</v>
      </c>
      <c r="I1141" s="6">
        <v>1</v>
      </c>
      <c r="J1141" s="6">
        <v>64</v>
      </c>
      <c r="K1141" s="6">
        <v>257</v>
      </c>
      <c r="L1141" s="6">
        <v>224</v>
      </c>
      <c r="M1141" s="6">
        <v>8.2222222219999992</v>
      </c>
      <c r="N1141">
        <f>VLOOKUP(A1141,vlookup_table!$A:$G,2,FALSE)</f>
        <v>0</v>
      </c>
      <c r="O1141" t="str">
        <f>VLOOKUP(A1141,vlookup_table!$A:$G,3,FALSE)</f>
        <v>MO</v>
      </c>
      <c r="P1141">
        <f>VLOOKUP(A1141,vlookup_table!$A:$G,4,FALSE)</f>
        <v>6201</v>
      </c>
      <c r="Q1141" t="str">
        <f>VLOOKUP(A1141,vlookup_table!$A:$G,5,FALSE)</f>
        <v>C3</v>
      </c>
      <c r="R1141" t="str">
        <f>VLOOKUP(A1141,vlookup_table!$A:$G,6,FALSE)</f>
        <v>F</v>
      </c>
      <c r="S1141">
        <f>VLOOKUP(A1141,vlookup_table!$A:$G,7,FALSE)</f>
        <v>8</v>
      </c>
      <c r="T1141">
        <f t="shared" si="34"/>
        <v>34</v>
      </c>
      <c r="U1141" t="str">
        <f t="shared" si="35"/>
        <v>Ciudad</v>
      </c>
    </row>
    <row r="1142" spans="1:21" ht="16" x14ac:dyDescent="0.4">
      <c r="A1142" s="6">
        <v>21710</v>
      </c>
      <c r="B1142" s="6" t="s">
        <v>18</v>
      </c>
      <c r="C1142" s="6" t="s">
        <v>14</v>
      </c>
      <c r="D1142" s="6">
        <v>600</v>
      </c>
      <c r="E1142" s="6">
        <v>257</v>
      </c>
      <c r="F1142" s="6">
        <v>349</v>
      </c>
      <c r="G1142" s="6">
        <v>1</v>
      </c>
      <c r="H1142" s="6">
        <v>12433</v>
      </c>
      <c r="I1142" s="6">
        <v>2</v>
      </c>
      <c r="J1142" s="6">
        <v>64</v>
      </c>
      <c r="K1142" s="6">
        <v>308</v>
      </c>
      <c r="L1142" s="6">
        <v>292</v>
      </c>
      <c r="M1142" s="6">
        <v>9.52631579</v>
      </c>
      <c r="N1142">
        <f>VLOOKUP(A1142,vlookup_table!$A:$G,2,FALSE)</f>
        <v>2</v>
      </c>
      <c r="O1142" t="str">
        <f>VLOOKUP(A1142,vlookup_table!$A:$G,3,FALSE)</f>
        <v>NC</v>
      </c>
      <c r="P1142">
        <f>VLOOKUP(A1142,vlookup_table!$A:$G,4,FALSE)</f>
        <v>0</v>
      </c>
      <c r="Q1142" t="str">
        <f>VLOOKUP(A1142,vlookup_table!$A:$G,5,FALSE)</f>
        <v>T2</v>
      </c>
      <c r="R1142" t="str">
        <f>VLOOKUP(A1142,vlookup_table!$A:$G,6,FALSE)</f>
        <v>M</v>
      </c>
      <c r="S1142">
        <f>VLOOKUP(A1142,vlookup_table!$A:$G,7,FALSE)</f>
        <v>10</v>
      </c>
      <c r="T1142">
        <f t="shared" si="34"/>
        <v>96</v>
      </c>
      <c r="U1142" t="str">
        <f t="shared" si="35"/>
        <v>Pueblo</v>
      </c>
    </row>
    <row r="1143" spans="1:21" ht="16" x14ac:dyDescent="0.4">
      <c r="A1143" s="6">
        <v>65565</v>
      </c>
      <c r="B1143" s="6" t="s">
        <v>26</v>
      </c>
      <c r="C1143" s="6" t="s">
        <v>17</v>
      </c>
      <c r="D1143" s="6">
        <v>707</v>
      </c>
      <c r="E1143" s="6">
        <v>282</v>
      </c>
      <c r="F1143" s="6">
        <v>474</v>
      </c>
      <c r="G1143" s="6">
        <v>0</v>
      </c>
      <c r="H1143" s="6">
        <v>15832</v>
      </c>
      <c r="I1143" s="6">
        <v>13</v>
      </c>
      <c r="J1143" s="6">
        <v>73</v>
      </c>
      <c r="K1143" s="6">
        <v>393</v>
      </c>
      <c r="L1143" s="6">
        <v>383</v>
      </c>
      <c r="M1143" s="6">
        <v>4.1764705879999999</v>
      </c>
      <c r="N1143">
        <f>VLOOKUP(A1143,vlookup_table!$A:$G,2,FALSE)</f>
        <v>2</v>
      </c>
      <c r="O1143" t="str">
        <f>VLOOKUP(A1143,vlookup_table!$A:$G,3,FALSE)</f>
        <v>MI</v>
      </c>
      <c r="P1143">
        <f>VLOOKUP(A1143,vlookup_table!$A:$G,4,FALSE)</f>
        <v>701</v>
      </c>
      <c r="Q1143" t="str">
        <f>VLOOKUP(A1143,vlookup_table!$A:$G,5,FALSE)</f>
        <v>U2</v>
      </c>
      <c r="R1143" t="str">
        <f>VLOOKUP(A1143,vlookup_table!$A:$G,6,FALSE)</f>
        <v>F</v>
      </c>
      <c r="S1143">
        <f>VLOOKUP(A1143,vlookup_table!$A:$G,7,FALSE)</f>
        <v>10</v>
      </c>
      <c r="T1143">
        <f t="shared" si="34"/>
        <v>26</v>
      </c>
      <c r="U1143" t="str">
        <f t="shared" si="35"/>
        <v>Urbano</v>
      </c>
    </row>
    <row r="1144" spans="1:21" ht="16" x14ac:dyDescent="0.4">
      <c r="A1144" s="6">
        <v>171631</v>
      </c>
      <c r="B1144" s="6" t="s">
        <v>21</v>
      </c>
      <c r="C1144" s="6" t="s">
        <v>17</v>
      </c>
      <c r="D1144" s="6">
        <v>1537</v>
      </c>
      <c r="E1144" s="6">
        <v>495</v>
      </c>
      <c r="F1144" s="6">
        <v>544</v>
      </c>
      <c r="G1144" s="6">
        <v>19</v>
      </c>
      <c r="H1144" s="6">
        <v>17689</v>
      </c>
      <c r="I1144" s="6">
        <v>13</v>
      </c>
      <c r="J1144" s="6">
        <v>58</v>
      </c>
      <c r="K1144" s="6">
        <v>509</v>
      </c>
      <c r="L1144" s="6">
        <v>528</v>
      </c>
      <c r="M1144" s="6">
        <v>11.19230769</v>
      </c>
      <c r="N1144">
        <f>VLOOKUP(A1144,vlookup_table!$A:$G,2,FALSE)</f>
        <v>4</v>
      </c>
      <c r="O1144" t="str">
        <f>VLOOKUP(A1144,vlookup_table!$A:$G,3,FALSE)</f>
        <v>CA</v>
      </c>
      <c r="P1144">
        <f>VLOOKUP(A1144,vlookup_table!$A:$G,4,FALSE)</f>
        <v>5302</v>
      </c>
      <c r="Q1144" t="str">
        <f>VLOOKUP(A1144,vlookup_table!$A:$G,5,FALSE)</f>
        <v>S1</v>
      </c>
      <c r="R1144" t="str">
        <f>VLOOKUP(A1144,vlookup_table!$A:$G,6,FALSE)</f>
        <v>F</v>
      </c>
      <c r="S1144">
        <f>VLOOKUP(A1144,vlookup_table!$A:$G,7,FALSE)</f>
        <v>10</v>
      </c>
      <c r="T1144">
        <f t="shared" si="34"/>
        <v>43</v>
      </c>
      <c r="U1144" t="str">
        <f t="shared" si="35"/>
        <v>Suburbano</v>
      </c>
    </row>
    <row r="1145" spans="1:21" ht="16" x14ac:dyDescent="0.4">
      <c r="A1145" s="6">
        <v>24869</v>
      </c>
      <c r="B1145" s="6" t="s">
        <v>43</v>
      </c>
      <c r="C1145" s="6" t="s">
        <v>17</v>
      </c>
      <c r="D1145" s="6">
        <v>682</v>
      </c>
      <c r="E1145" s="6">
        <v>366</v>
      </c>
      <c r="F1145" s="6">
        <v>498</v>
      </c>
      <c r="G1145" s="6">
        <v>2</v>
      </c>
      <c r="H1145" s="6">
        <v>14538</v>
      </c>
      <c r="I1145" s="6">
        <v>3</v>
      </c>
      <c r="J1145" s="6">
        <v>63</v>
      </c>
      <c r="K1145" s="6">
        <v>464</v>
      </c>
      <c r="L1145" s="6">
        <v>421</v>
      </c>
      <c r="M1145" s="6">
        <v>8</v>
      </c>
      <c r="N1145">
        <f>VLOOKUP(A1145,vlookup_table!$A:$G,2,FALSE)</f>
        <v>0</v>
      </c>
      <c r="O1145" t="str">
        <f>VLOOKUP(A1145,vlookup_table!$A:$G,3,FALSE)</f>
        <v>SC</v>
      </c>
      <c r="P1145">
        <f>VLOOKUP(A1145,vlookup_table!$A:$G,4,FALSE)</f>
        <v>6001</v>
      </c>
      <c r="Q1145" t="str">
        <f>VLOOKUP(A1145,vlookup_table!$A:$G,5,FALSE)</f>
        <v>T2</v>
      </c>
      <c r="R1145" t="str">
        <f>VLOOKUP(A1145,vlookup_table!$A:$G,6,FALSE)</f>
        <v>F</v>
      </c>
      <c r="S1145">
        <f>VLOOKUP(A1145,vlookup_table!$A:$G,7,FALSE)</f>
        <v>8</v>
      </c>
      <c r="T1145">
        <f t="shared" si="34"/>
        <v>36</v>
      </c>
      <c r="U1145" t="str">
        <f t="shared" si="35"/>
        <v>Pueblo</v>
      </c>
    </row>
    <row r="1146" spans="1:21" ht="16" x14ac:dyDescent="0.4">
      <c r="A1146" s="6">
        <v>129846</v>
      </c>
      <c r="B1146" s="6" t="s">
        <v>48</v>
      </c>
      <c r="C1146" s="6" t="s">
        <v>14</v>
      </c>
      <c r="D1146" s="6">
        <v>867</v>
      </c>
      <c r="E1146" s="6">
        <v>483</v>
      </c>
      <c r="F1146" s="6">
        <v>536</v>
      </c>
      <c r="G1146" s="6">
        <v>2</v>
      </c>
      <c r="H1146" s="6">
        <v>18757</v>
      </c>
      <c r="I1146" s="6">
        <v>1</v>
      </c>
      <c r="J1146" s="6">
        <v>51</v>
      </c>
      <c r="K1146" s="6">
        <v>492</v>
      </c>
      <c r="L1146" s="6">
        <v>524</v>
      </c>
      <c r="M1146" s="6">
        <v>12.5</v>
      </c>
      <c r="N1146">
        <f>VLOOKUP(A1146,vlookup_table!$A:$G,2,FALSE)</f>
        <v>1</v>
      </c>
      <c r="O1146" t="str">
        <f>VLOOKUP(A1146,vlookup_table!$A:$G,3,FALSE)</f>
        <v>SD</v>
      </c>
      <c r="P1146">
        <f>VLOOKUP(A1146,vlookup_table!$A:$G,4,FALSE)</f>
        <v>4201</v>
      </c>
      <c r="Q1146" t="str">
        <f>VLOOKUP(A1146,vlookup_table!$A:$G,5,FALSE)</f>
        <v>T1</v>
      </c>
      <c r="R1146" t="str">
        <f>VLOOKUP(A1146,vlookup_table!$A:$G,6,FALSE)</f>
        <v>M</v>
      </c>
      <c r="S1146">
        <f>VLOOKUP(A1146,vlookup_table!$A:$G,7,FALSE)</f>
        <v>11</v>
      </c>
      <c r="T1146">
        <f t="shared" si="34"/>
        <v>54</v>
      </c>
      <c r="U1146" t="str">
        <f t="shared" si="35"/>
        <v>Pueblo</v>
      </c>
    </row>
    <row r="1147" spans="1:21" ht="16" x14ac:dyDescent="0.4">
      <c r="A1147" s="6">
        <v>150379</v>
      </c>
      <c r="B1147" s="6" t="s">
        <v>21</v>
      </c>
      <c r="C1147" s="6" t="s">
        <v>17</v>
      </c>
      <c r="D1147" s="6">
        <v>1943</v>
      </c>
      <c r="E1147" s="6">
        <v>312</v>
      </c>
      <c r="F1147" s="6">
        <v>381</v>
      </c>
      <c r="G1147" s="6">
        <v>45</v>
      </c>
      <c r="H1147" s="6">
        <v>16083</v>
      </c>
      <c r="I1147" s="6">
        <v>12</v>
      </c>
      <c r="J1147" s="6">
        <v>54</v>
      </c>
      <c r="K1147" s="6">
        <v>353</v>
      </c>
      <c r="L1147" s="6">
        <v>355</v>
      </c>
      <c r="M1147" s="6">
        <v>20</v>
      </c>
      <c r="N1147">
        <f>VLOOKUP(A1147,vlookup_table!$A:$G,2,FALSE)</f>
        <v>0</v>
      </c>
      <c r="O1147" t="str">
        <f>VLOOKUP(A1147,vlookup_table!$A:$G,3,FALSE)</f>
        <v>CA</v>
      </c>
      <c r="P1147">
        <f>VLOOKUP(A1147,vlookup_table!$A:$G,4,FALSE)</f>
        <v>0</v>
      </c>
      <c r="Q1147" t="str">
        <f>VLOOKUP(A1147,vlookup_table!$A:$G,5,FALSE)</f>
        <v>S2</v>
      </c>
      <c r="R1147" t="str">
        <f>VLOOKUP(A1147,vlookup_table!$A:$G,6,FALSE)</f>
        <v>F</v>
      </c>
      <c r="S1147">
        <f>VLOOKUP(A1147,vlookup_table!$A:$G,7,FALSE)</f>
        <v>20</v>
      </c>
      <c r="T1147">
        <f t="shared" si="34"/>
        <v>96</v>
      </c>
      <c r="U1147" t="str">
        <f t="shared" si="35"/>
        <v>Suburbano</v>
      </c>
    </row>
    <row r="1148" spans="1:21" ht="16" x14ac:dyDescent="0.4">
      <c r="A1148" s="6">
        <v>36590</v>
      </c>
      <c r="B1148" s="6" t="s">
        <v>13</v>
      </c>
      <c r="C1148" s="6" t="s">
        <v>14</v>
      </c>
      <c r="D1148" s="6">
        <v>1037</v>
      </c>
      <c r="E1148" s="6">
        <v>439</v>
      </c>
      <c r="F1148" s="6">
        <v>529</v>
      </c>
      <c r="G1148" s="6">
        <v>0</v>
      </c>
      <c r="H1148" s="6">
        <v>18050</v>
      </c>
      <c r="I1148" s="6">
        <v>44</v>
      </c>
      <c r="J1148" s="6">
        <v>27</v>
      </c>
      <c r="K1148" s="6">
        <v>456</v>
      </c>
      <c r="L1148" s="6">
        <v>511</v>
      </c>
      <c r="M1148" s="6">
        <v>10</v>
      </c>
      <c r="N1148">
        <f>VLOOKUP(A1148,vlookup_table!$A:$G,2,FALSE)</f>
        <v>1</v>
      </c>
      <c r="O1148" t="str">
        <f>VLOOKUP(A1148,vlookup_table!$A:$G,3,FALSE)</f>
        <v>FL</v>
      </c>
      <c r="P1148">
        <f>VLOOKUP(A1148,vlookup_table!$A:$G,4,FALSE)</f>
        <v>4801</v>
      </c>
      <c r="Q1148" t="str">
        <f>VLOOKUP(A1148,vlookup_table!$A:$G,5,FALSE)</f>
        <v>S1</v>
      </c>
      <c r="R1148" t="str">
        <f>VLOOKUP(A1148,vlookup_table!$A:$G,6,FALSE)</f>
        <v>M</v>
      </c>
      <c r="S1148">
        <f>VLOOKUP(A1148,vlookup_table!$A:$G,7,FALSE)</f>
        <v>10</v>
      </c>
      <c r="T1148">
        <f t="shared" si="34"/>
        <v>48</v>
      </c>
      <c r="U1148" t="str">
        <f t="shared" si="35"/>
        <v>Suburbano</v>
      </c>
    </row>
    <row r="1149" spans="1:21" ht="16" x14ac:dyDescent="0.4">
      <c r="A1149" s="6">
        <v>59744</v>
      </c>
      <c r="B1149" s="6" t="s">
        <v>30</v>
      </c>
      <c r="C1149" s="6" t="s">
        <v>17</v>
      </c>
      <c r="D1149" s="6">
        <v>595</v>
      </c>
      <c r="E1149" s="6">
        <v>284</v>
      </c>
      <c r="F1149" s="6">
        <v>406</v>
      </c>
      <c r="G1149" s="6">
        <v>0</v>
      </c>
      <c r="H1149" s="6">
        <v>13860</v>
      </c>
      <c r="I1149" s="6">
        <v>0</v>
      </c>
      <c r="J1149" s="6">
        <v>77</v>
      </c>
      <c r="K1149" s="6">
        <v>317</v>
      </c>
      <c r="L1149" s="6">
        <v>333</v>
      </c>
      <c r="M1149" s="6">
        <v>9</v>
      </c>
      <c r="N1149">
        <f>VLOOKUP(A1149,vlookup_table!$A:$G,2,FALSE)</f>
        <v>28</v>
      </c>
      <c r="O1149" t="str">
        <f>VLOOKUP(A1149,vlookup_table!$A:$G,3,FALSE)</f>
        <v>IN</v>
      </c>
      <c r="P1149">
        <f>VLOOKUP(A1149,vlookup_table!$A:$G,4,FALSE)</f>
        <v>5408</v>
      </c>
      <c r="Q1149" t="str">
        <f>VLOOKUP(A1149,vlookup_table!$A:$G,5,FALSE)</f>
        <v>T2</v>
      </c>
      <c r="R1149" t="str">
        <f>VLOOKUP(A1149,vlookup_table!$A:$G,6,FALSE)</f>
        <v>F</v>
      </c>
      <c r="S1149">
        <f>VLOOKUP(A1149,vlookup_table!$A:$G,7,FALSE)</f>
        <v>16</v>
      </c>
      <c r="T1149">
        <f t="shared" si="34"/>
        <v>42</v>
      </c>
      <c r="U1149" t="str">
        <f t="shared" si="35"/>
        <v>Pueblo</v>
      </c>
    </row>
    <row r="1150" spans="1:21" ht="16" x14ac:dyDescent="0.4">
      <c r="A1150" s="6">
        <v>31893</v>
      </c>
      <c r="B1150" s="6" t="s">
        <v>16</v>
      </c>
      <c r="C1150" s="6" t="s">
        <v>17</v>
      </c>
      <c r="D1150" s="6">
        <v>375</v>
      </c>
      <c r="E1150" s="6">
        <v>267</v>
      </c>
      <c r="F1150" s="6">
        <v>296</v>
      </c>
      <c r="G1150" s="6">
        <v>8</v>
      </c>
      <c r="H1150" s="6">
        <v>8354</v>
      </c>
      <c r="I1150" s="6">
        <v>6</v>
      </c>
      <c r="J1150" s="6">
        <v>13</v>
      </c>
      <c r="K1150" s="6">
        <v>270</v>
      </c>
      <c r="L1150" s="6">
        <v>295</v>
      </c>
      <c r="M1150" s="6">
        <v>20</v>
      </c>
      <c r="N1150">
        <f>VLOOKUP(A1150,vlookup_table!$A:$G,2,FALSE)</f>
        <v>0</v>
      </c>
      <c r="O1150" t="str">
        <f>VLOOKUP(A1150,vlookup_table!$A:$G,3,FALSE)</f>
        <v>IL</v>
      </c>
      <c r="P1150">
        <f>VLOOKUP(A1150,vlookup_table!$A:$G,4,FALSE)</f>
        <v>0</v>
      </c>
      <c r="Q1150" t="str">
        <f>VLOOKUP(A1150,vlookup_table!$A:$G,5,FALSE)</f>
        <v>T2</v>
      </c>
      <c r="R1150" t="str">
        <f>VLOOKUP(A1150,vlookup_table!$A:$G,6,FALSE)</f>
        <v>F</v>
      </c>
      <c r="S1150">
        <f>VLOOKUP(A1150,vlookup_table!$A:$G,7,FALSE)</f>
        <v>20</v>
      </c>
      <c r="T1150">
        <f t="shared" si="34"/>
        <v>96</v>
      </c>
      <c r="U1150" t="str">
        <f t="shared" si="35"/>
        <v>Pueblo</v>
      </c>
    </row>
    <row r="1151" spans="1:21" ht="16" x14ac:dyDescent="0.4">
      <c r="A1151" s="6">
        <v>46884</v>
      </c>
      <c r="B1151" s="6" t="s">
        <v>40</v>
      </c>
      <c r="C1151" s="6" t="s">
        <v>17</v>
      </c>
      <c r="D1151" s="6">
        <v>397</v>
      </c>
      <c r="E1151" s="6">
        <v>229</v>
      </c>
      <c r="F1151" s="6">
        <v>386</v>
      </c>
      <c r="G1151" s="6">
        <v>1</v>
      </c>
      <c r="H1151" s="6">
        <v>13233</v>
      </c>
      <c r="I1151" s="6">
        <v>0</v>
      </c>
      <c r="J1151" s="6">
        <v>74</v>
      </c>
      <c r="K1151" s="6">
        <v>329</v>
      </c>
      <c r="L1151" s="6">
        <v>336</v>
      </c>
      <c r="M1151" s="6">
        <v>9.7777777780000008</v>
      </c>
      <c r="N1151">
        <f>VLOOKUP(A1151,vlookup_table!$A:$G,2,FALSE)</f>
        <v>0</v>
      </c>
      <c r="O1151" t="str">
        <f>VLOOKUP(A1151,vlookup_table!$A:$G,3,FALSE)</f>
        <v>AL</v>
      </c>
      <c r="P1151">
        <f>VLOOKUP(A1151,vlookup_table!$A:$G,4,FALSE)</f>
        <v>0</v>
      </c>
      <c r="Q1151" t="str">
        <f>VLOOKUP(A1151,vlookup_table!$A:$G,5,FALSE)</f>
        <v>R3</v>
      </c>
      <c r="R1151" t="str">
        <f>VLOOKUP(A1151,vlookup_table!$A:$G,6,FALSE)</f>
        <v>F</v>
      </c>
      <c r="S1151">
        <f>VLOOKUP(A1151,vlookup_table!$A:$G,7,FALSE)</f>
        <v>15</v>
      </c>
      <c r="T1151">
        <f t="shared" si="34"/>
        <v>96</v>
      </c>
      <c r="U1151" t="str">
        <f t="shared" si="35"/>
        <v>Rural</v>
      </c>
    </row>
    <row r="1152" spans="1:21" ht="16" x14ac:dyDescent="0.4">
      <c r="A1152" s="6">
        <v>66745</v>
      </c>
      <c r="B1152" s="6" t="s">
        <v>26</v>
      </c>
      <c r="C1152" s="6" t="s">
        <v>17</v>
      </c>
      <c r="D1152" s="6">
        <v>584</v>
      </c>
      <c r="E1152" s="6">
        <v>283</v>
      </c>
      <c r="F1152" s="6">
        <v>386</v>
      </c>
      <c r="G1152" s="6">
        <v>0</v>
      </c>
      <c r="H1152" s="6">
        <v>14843</v>
      </c>
      <c r="I1152" s="6">
        <v>4</v>
      </c>
      <c r="J1152" s="6">
        <v>68</v>
      </c>
      <c r="K1152" s="6">
        <v>386</v>
      </c>
      <c r="L1152" s="6">
        <v>307</v>
      </c>
      <c r="M1152" s="6">
        <v>15</v>
      </c>
      <c r="N1152">
        <f>VLOOKUP(A1152,vlookup_table!$A:$G,2,FALSE)</f>
        <v>28</v>
      </c>
      <c r="O1152" t="str">
        <f>VLOOKUP(A1152,vlookup_table!$A:$G,3,FALSE)</f>
        <v>MI</v>
      </c>
      <c r="P1152">
        <f>VLOOKUP(A1152,vlookup_table!$A:$G,4,FALSE)</f>
        <v>7201</v>
      </c>
      <c r="Q1152" t="str">
        <f>VLOOKUP(A1152,vlookup_table!$A:$G,5,FALSE)</f>
        <v/>
      </c>
      <c r="R1152" t="str">
        <f>VLOOKUP(A1152,vlookup_table!$A:$G,6,FALSE)</f>
        <v>F</v>
      </c>
      <c r="S1152">
        <f>VLOOKUP(A1152,vlookup_table!$A:$G,7,FALSE)</f>
        <v>5</v>
      </c>
      <c r="T1152">
        <f t="shared" si="34"/>
        <v>24</v>
      </c>
      <c r="U1152" t="str">
        <f t="shared" si="35"/>
        <v/>
      </c>
    </row>
    <row r="1153" spans="1:21" ht="16" x14ac:dyDescent="0.4">
      <c r="A1153" s="6">
        <v>10709</v>
      </c>
      <c r="B1153" s="6" t="s">
        <v>37</v>
      </c>
      <c r="C1153" s="6"/>
      <c r="D1153" s="6">
        <v>534</v>
      </c>
      <c r="E1153" s="6">
        <v>206</v>
      </c>
      <c r="F1153" s="6">
        <v>272</v>
      </c>
      <c r="G1153" s="6">
        <v>1</v>
      </c>
      <c r="H1153" s="6">
        <v>9104</v>
      </c>
      <c r="I1153" s="6">
        <v>1</v>
      </c>
      <c r="J1153" s="6">
        <v>48</v>
      </c>
      <c r="K1153" s="6">
        <v>231</v>
      </c>
      <c r="L1153" s="6">
        <v>248</v>
      </c>
      <c r="M1153" s="6">
        <v>13.55555556</v>
      </c>
      <c r="N1153">
        <f>VLOOKUP(A1153,vlookup_table!$A:$G,2,FALSE)</f>
        <v>0</v>
      </c>
      <c r="O1153" t="str">
        <f>VLOOKUP(A1153,vlookup_table!$A:$G,3,FALSE)</f>
        <v>WA</v>
      </c>
      <c r="P1153">
        <f>VLOOKUP(A1153,vlookup_table!$A:$G,4,FALSE)</f>
        <v>0</v>
      </c>
      <c r="Q1153" t="str">
        <f>VLOOKUP(A1153,vlookup_table!$A:$G,5,FALSE)</f>
        <v/>
      </c>
      <c r="R1153" t="str">
        <f>VLOOKUP(A1153,vlookup_table!$A:$G,6,FALSE)</f>
        <v/>
      </c>
      <c r="S1153">
        <f>VLOOKUP(A1153,vlookup_table!$A:$G,7,FALSE)</f>
        <v>23</v>
      </c>
      <c r="T1153">
        <f t="shared" si="34"/>
        <v>96</v>
      </c>
      <c r="U1153" t="str">
        <f t="shared" si="35"/>
        <v/>
      </c>
    </row>
    <row r="1154" spans="1:21" ht="16" x14ac:dyDescent="0.4">
      <c r="A1154" s="6">
        <v>73984</v>
      </c>
      <c r="B1154" s="6" t="s">
        <v>26</v>
      </c>
      <c r="C1154" s="6" t="s">
        <v>14</v>
      </c>
      <c r="D1154" s="6">
        <v>362</v>
      </c>
      <c r="E1154" s="6">
        <v>209</v>
      </c>
      <c r="F1154" s="6">
        <v>275</v>
      </c>
      <c r="G1154" s="6">
        <v>0</v>
      </c>
      <c r="H1154" s="6">
        <v>8558</v>
      </c>
      <c r="I1154" s="6">
        <v>1</v>
      </c>
      <c r="J1154" s="6">
        <v>91</v>
      </c>
      <c r="K1154" s="6">
        <v>235</v>
      </c>
      <c r="L1154" s="6">
        <v>246</v>
      </c>
      <c r="M1154" s="6">
        <v>9.7222222219999992</v>
      </c>
      <c r="N1154">
        <f>VLOOKUP(A1154,vlookup_table!$A:$G,2,FALSE)</f>
        <v>0</v>
      </c>
      <c r="O1154" t="str">
        <f>VLOOKUP(A1154,vlookup_table!$A:$G,3,FALSE)</f>
        <v>MI</v>
      </c>
      <c r="P1154">
        <f>VLOOKUP(A1154,vlookup_table!$A:$G,4,FALSE)</f>
        <v>3305</v>
      </c>
      <c r="Q1154" t="str">
        <f>VLOOKUP(A1154,vlookup_table!$A:$G,5,FALSE)</f>
        <v>R3</v>
      </c>
      <c r="R1154" t="str">
        <f>VLOOKUP(A1154,vlookup_table!$A:$G,6,FALSE)</f>
        <v>M</v>
      </c>
      <c r="S1154">
        <f>VLOOKUP(A1154,vlookup_table!$A:$G,7,FALSE)</f>
        <v>10</v>
      </c>
      <c r="T1154">
        <f t="shared" si="34"/>
        <v>63</v>
      </c>
      <c r="U1154" t="str">
        <f t="shared" si="35"/>
        <v>Rural</v>
      </c>
    </row>
    <row r="1155" spans="1:21" ht="16" x14ac:dyDescent="0.4">
      <c r="A1155" s="6">
        <v>27597</v>
      </c>
      <c r="B1155" s="6" t="s">
        <v>36</v>
      </c>
      <c r="C1155" s="6" t="s">
        <v>14</v>
      </c>
      <c r="D1155" s="6">
        <v>991</v>
      </c>
      <c r="E1155" s="6">
        <v>493</v>
      </c>
      <c r="F1155" s="6">
        <v>548</v>
      </c>
      <c r="G1155" s="6">
        <v>3</v>
      </c>
      <c r="H1155" s="6">
        <v>17344</v>
      </c>
      <c r="I1155" s="6">
        <v>2</v>
      </c>
      <c r="J1155" s="6">
        <v>46</v>
      </c>
      <c r="K1155" s="6">
        <v>506</v>
      </c>
      <c r="L1155" s="6">
        <v>532</v>
      </c>
      <c r="M1155" s="6">
        <v>5.8</v>
      </c>
      <c r="N1155">
        <f>VLOOKUP(A1155,vlookup_table!$A:$G,2,FALSE)</f>
        <v>1</v>
      </c>
      <c r="O1155" t="str">
        <f>VLOOKUP(A1155,vlookup_table!$A:$G,3,FALSE)</f>
        <v>GA</v>
      </c>
      <c r="P1155">
        <f>VLOOKUP(A1155,vlookup_table!$A:$G,4,FALSE)</f>
        <v>5801</v>
      </c>
      <c r="Q1155" t="str">
        <f>VLOOKUP(A1155,vlookup_table!$A:$G,5,FALSE)</f>
        <v>T1</v>
      </c>
      <c r="R1155" t="str">
        <f>VLOOKUP(A1155,vlookup_table!$A:$G,6,FALSE)</f>
        <v>M</v>
      </c>
      <c r="S1155">
        <f>VLOOKUP(A1155,vlookup_table!$A:$G,7,FALSE)</f>
        <v>9</v>
      </c>
      <c r="T1155">
        <f t="shared" ref="T1155:T1218" si="36">97-LEFT(P1155,2)-IF(RIGHT(P1155,2)&gt;6,1,0)</f>
        <v>38</v>
      </c>
      <c r="U1155" t="str">
        <f t="shared" ref="U1155:U1218" si="37">IF(LEFT(Q1155,1)="C","Ciudad",IF(LEFT(Q1155,1)="T","Pueblo",IF(LEFT(Q1155,1)="R","Rural",IF(LEFT(Q1155,1)="S","Suburbano",IF(LEFT(Q1155,1)="U","Urbano","")))))</f>
        <v>Pueblo</v>
      </c>
    </row>
    <row r="1156" spans="1:21" ht="16" x14ac:dyDescent="0.4">
      <c r="A1156" s="6">
        <v>150587</v>
      </c>
      <c r="B1156" s="6" t="s">
        <v>21</v>
      </c>
      <c r="C1156" s="6" t="s">
        <v>27</v>
      </c>
      <c r="D1156" s="6">
        <v>1805</v>
      </c>
      <c r="E1156" s="6">
        <v>398</v>
      </c>
      <c r="F1156" s="6">
        <v>447</v>
      </c>
      <c r="G1156" s="6">
        <v>33</v>
      </c>
      <c r="H1156" s="6">
        <v>14703</v>
      </c>
      <c r="I1156" s="6">
        <v>11</v>
      </c>
      <c r="J1156" s="6">
        <v>58</v>
      </c>
      <c r="K1156" s="6">
        <v>394</v>
      </c>
      <c r="L1156" s="6">
        <v>441</v>
      </c>
      <c r="M1156" s="6">
        <v>10.66666667</v>
      </c>
      <c r="N1156">
        <f>VLOOKUP(A1156,vlookup_table!$A:$G,2,FALSE)</f>
        <v>0</v>
      </c>
      <c r="O1156" t="str">
        <f>VLOOKUP(A1156,vlookup_table!$A:$G,3,FALSE)</f>
        <v>CA</v>
      </c>
      <c r="P1156">
        <f>VLOOKUP(A1156,vlookup_table!$A:$G,4,FALSE)</f>
        <v>0</v>
      </c>
      <c r="Q1156" t="str">
        <f>VLOOKUP(A1156,vlookup_table!$A:$G,5,FALSE)</f>
        <v>S2</v>
      </c>
      <c r="R1156" t="str">
        <f>VLOOKUP(A1156,vlookup_table!$A:$G,6,FALSE)</f>
        <v>U</v>
      </c>
      <c r="S1156">
        <f>VLOOKUP(A1156,vlookup_table!$A:$G,7,FALSE)</f>
        <v>20</v>
      </c>
      <c r="T1156">
        <f t="shared" si="36"/>
        <v>96</v>
      </c>
      <c r="U1156" t="str">
        <f t="shared" si="37"/>
        <v>Suburbano</v>
      </c>
    </row>
    <row r="1157" spans="1:21" ht="16" x14ac:dyDescent="0.4">
      <c r="A1157" s="6">
        <v>187191</v>
      </c>
      <c r="B1157" s="6" t="s">
        <v>36</v>
      </c>
      <c r="C1157" s="6"/>
      <c r="D1157" s="6">
        <v>2639</v>
      </c>
      <c r="E1157" s="6">
        <v>436</v>
      </c>
      <c r="F1157" s="6">
        <v>764</v>
      </c>
      <c r="G1157" s="6">
        <v>68</v>
      </c>
      <c r="H1157" s="6">
        <v>35502</v>
      </c>
      <c r="I1157" s="6">
        <v>3</v>
      </c>
      <c r="J1157" s="6">
        <v>39</v>
      </c>
      <c r="K1157" s="6">
        <v>594</v>
      </c>
      <c r="L1157" s="6">
        <v>584</v>
      </c>
      <c r="M1157" s="6">
        <v>15</v>
      </c>
      <c r="N1157">
        <f>VLOOKUP(A1157,vlookup_table!$A:$G,2,FALSE)</f>
        <v>0</v>
      </c>
      <c r="O1157" t="str">
        <f>VLOOKUP(A1157,vlookup_table!$A:$G,3,FALSE)</f>
        <v>GA</v>
      </c>
      <c r="P1157">
        <f>VLOOKUP(A1157,vlookup_table!$A:$G,4,FALSE)</f>
        <v>0</v>
      </c>
      <c r="Q1157" t="str">
        <f>VLOOKUP(A1157,vlookup_table!$A:$G,5,FALSE)</f>
        <v>C1</v>
      </c>
      <c r="R1157" t="str">
        <f>VLOOKUP(A1157,vlookup_table!$A:$G,6,FALSE)</f>
        <v/>
      </c>
      <c r="S1157">
        <f>VLOOKUP(A1157,vlookup_table!$A:$G,7,FALSE)</f>
        <v>25</v>
      </c>
      <c r="T1157">
        <f t="shared" si="36"/>
        <v>96</v>
      </c>
      <c r="U1157" t="str">
        <f t="shared" si="37"/>
        <v>Ciudad</v>
      </c>
    </row>
    <row r="1158" spans="1:21" ht="16" x14ac:dyDescent="0.4">
      <c r="A1158" s="6">
        <v>85357</v>
      </c>
      <c r="B1158" s="6" t="s">
        <v>52</v>
      </c>
      <c r="C1158" s="6" t="s">
        <v>17</v>
      </c>
      <c r="D1158" s="6">
        <v>476</v>
      </c>
      <c r="E1158" s="6">
        <v>202</v>
      </c>
      <c r="F1158" s="6">
        <v>304</v>
      </c>
      <c r="G1158" s="6">
        <v>0</v>
      </c>
      <c r="H1158" s="6">
        <v>10581</v>
      </c>
      <c r="I1158" s="6">
        <v>2</v>
      </c>
      <c r="J1158" s="6">
        <v>80</v>
      </c>
      <c r="K1158" s="6">
        <v>274</v>
      </c>
      <c r="L1158" s="6">
        <v>236</v>
      </c>
      <c r="M1158" s="6">
        <v>10.733333330000001</v>
      </c>
      <c r="N1158">
        <f>VLOOKUP(A1158,vlookup_table!$A:$G,2,FALSE)</f>
        <v>2</v>
      </c>
      <c r="O1158" t="str">
        <f>VLOOKUP(A1158,vlookup_table!$A:$G,3,FALSE)</f>
        <v>MN</v>
      </c>
      <c r="P1158">
        <f>VLOOKUP(A1158,vlookup_table!$A:$G,4,FALSE)</f>
        <v>2908</v>
      </c>
      <c r="Q1158" t="str">
        <f>VLOOKUP(A1158,vlookup_table!$A:$G,5,FALSE)</f>
        <v>R2</v>
      </c>
      <c r="R1158" t="str">
        <f>VLOOKUP(A1158,vlookup_table!$A:$G,6,FALSE)</f>
        <v>F</v>
      </c>
      <c r="S1158">
        <f>VLOOKUP(A1158,vlookup_table!$A:$G,7,FALSE)</f>
        <v>15</v>
      </c>
      <c r="T1158">
        <f t="shared" si="36"/>
        <v>67</v>
      </c>
      <c r="U1158" t="str">
        <f t="shared" si="37"/>
        <v>Rural</v>
      </c>
    </row>
    <row r="1159" spans="1:21" ht="16" x14ac:dyDescent="0.4">
      <c r="A1159" s="6">
        <v>156866</v>
      </c>
      <c r="B1159" s="6" t="s">
        <v>21</v>
      </c>
      <c r="C1159" s="6" t="s">
        <v>14</v>
      </c>
      <c r="D1159" s="6">
        <v>3393</v>
      </c>
      <c r="E1159" s="6">
        <v>537</v>
      </c>
      <c r="F1159" s="6">
        <v>580</v>
      </c>
      <c r="G1159" s="6">
        <v>97</v>
      </c>
      <c r="H1159" s="6">
        <v>22083</v>
      </c>
      <c r="I1159" s="6">
        <v>6</v>
      </c>
      <c r="J1159" s="6">
        <v>50</v>
      </c>
      <c r="K1159" s="6">
        <v>553</v>
      </c>
      <c r="L1159" s="6">
        <v>589</v>
      </c>
      <c r="M1159" s="6">
        <v>20</v>
      </c>
      <c r="N1159">
        <f>VLOOKUP(A1159,vlookup_table!$A:$G,2,FALSE)</f>
        <v>14</v>
      </c>
      <c r="O1159" t="str">
        <f>VLOOKUP(A1159,vlookup_table!$A:$G,3,FALSE)</f>
        <v>CA</v>
      </c>
      <c r="P1159">
        <f>VLOOKUP(A1159,vlookup_table!$A:$G,4,FALSE)</f>
        <v>2201</v>
      </c>
      <c r="Q1159" t="str">
        <f>VLOOKUP(A1159,vlookup_table!$A:$G,5,FALSE)</f>
        <v>U1</v>
      </c>
      <c r="R1159" t="str">
        <f>VLOOKUP(A1159,vlookup_table!$A:$G,6,FALSE)</f>
        <v>M</v>
      </c>
      <c r="S1159">
        <f>VLOOKUP(A1159,vlookup_table!$A:$G,7,FALSE)</f>
        <v>25</v>
      </c>
      <c r="T1159">
        <f t="shared" si="36"/>
        <v>74</v>
      </c>
      <c r="U1159" t="str">
        <f t="shared" si="37"/>
        <v>Urbano</v>
      </c>
    </row>
    <row r="1160" spans="1:21" ht="16" x14ac:dyDescent="0.4">
      <c r="A1160" s="6">
        <v>164513</v>
      </c>
      <c r="B1160" s="6" t="s">
        <v>62</v>
      </c>
      <c r="C1160" s="6" t="s">
        <v>17</v>
      </c>
      <c r="D1160" s="6">
        <v>0</v>
      </c>
      <c r="E1160" s="6">
        <v>0</v>
      </c>
      <c r="F1160" s="6">
        <v>0</v>
      </c>
      <c r="G1160" s="6">
        <v>0</v>
      </c>
      <c r="H1160" s="6">
        <v>0</v>
      </c>
      <c r="I1160" s="6">
        <v>0</v>
      </c>
      <c r="J1160" s="6">
        <v>0</v>
      </c>
      <c r="K1160" s="6">
        <v>0</v>
      </c>
      <c r="L1160" s="6">
        <v>0</v>
      </c>
      <c r="M1160" s="6">
        <v>12.5</v>
      </c>
      <c r="N1160">
        <f>VLOOKUP(A1160,vlookup_table!$A:$G,2,FALSE)</f>
        <v>0</v>
      </c>
      <c r="O1160" t="str">
        <f>VLOOKUP(A1160,vlookup_table!$A:$G,3,FALSE)</f>
        <v>AE</v>
      </c>
      <c r="P1160">
        <f>VLOOKUP(A1160,vlookup_table!$A:$G,4,FALSE)</f>
        <v>4701</v>
      </c>
      <c r="Q1160" t="str">
        <f>VLOOKUP(A1160,vlookup_table!$A:$G,5,FALSE)</f>
        <v>C1</v>
      </c>
      <c r="R1160" t="str">
        <f>VLOOKUP(A1160,vlookup_table!$A:$G,6,FALSE)</f>
        <v>F</v>
      </c>
      <c r="S1160">
        <f>VLOOKUP(A1160,vlookup_table!$A:$G,7,FALSE)</f>
        <v>50</v>
      </c>
      <c r="T1160">
        <f t="shared" si="36"/>
        <v>49</v>
      </c>
      <c r="U1160" t="str">
        <f t="shared" si="37"/>
        <v>Ciudad</v>
      </c>
    </row>
    <row r="1161" spans="1:21" ht="16" x14ac:dyDescent="0.4">
      <c r="A1161" s="6">
        <v>163369</v>
      </c>
      <c r="B1161" s="6" t="s">
        <v>21</v>
      </c>
      <c r="C1161" s="6"/>
      <c r="D1161" s="6">
        <v>2250</v>
      </c>
      <c r="E1161" s="6">
        <v>181</v>
      </c>
      <c r="F1161" s="6">
        <v>167</v>
      </c>
      <c r="G1161" s="6">
        <v>99</v>
      </c>
      <c r="H1161" s="6">
        <v>11346</v>
      </c>
      <c r="I1161" s="6">
        <v>44</v>
      </c>
      <c r="J1161" s="6">
        <v>16</v>
      </c>
      <c r="K1161" s="6">
        <v>159</v>
      </c>
      <c r="L1161" s="6">
        <v>192</v>
      </c>
      <c r="M1161" s="6">
        <v>6</v>
      </c>
      <c r="N1161">
        <f>VLOOKUP(A1161,vlookup_table!$A:$G,2,FALSE)</f>
        <v>0</v>
      </c>
      <c r="O1161" t="str">
        <f>VLOOKUP(A1161,vlookup_table!$A:$G,3,FALSE)</f>
        <v>CA</v>
      </c>
      <c r="P1161">
        <f>VLOOKUP(A1161,vlookup_table!$A:$G,4,FALSE)</f>
        <v>0</v>
      </c>
      <c r="Q1161" t="str">
        <f>VLOOKUP(A1161,vlookup_table!$A:$G,5,FALSE)</f>
        <v>U2</v>
      </c>
      <c r="R1161" t="str">
        <f>VLOOKUP(A1161,vlookup_table!$A:$G,6,FALSE)</f>
        <v/>
      </c>
      <c r="S1161">
        <f>VLOOKUP(A1161,vlookup_table!$A:$G,7,FALSE)</f>
        <v>6</v>
      </c>
      <c r="T1161">
        <f t="shared" si="36"/>
        <v>96</v>
      </c>
      <c r="U1161" t="str">
        <f t="shared" si="37"/>
        <v>Urbano</v>
      </c>
    </row>
    <row r="1162" spans="1:21" ht="16" x14ac:dyDescent="0.4">
      <c r="A1162" s="6">
        <v>551</v>
      </c>
      <c r="B1162" s="6" t="s">
        <v>20</v>
      </c>
      <c r="C1162" s="6" t="s">
        <v>17</v>
      </c>
      <c r="D1162" s="6">
        <v>340</v>
      </c>
      <c r="E1162" s="6">
        <v>180</v>
      </c>
      <c r="F1162" s="6">
        <v>279</v>
      </c>
      <c r="G1162" s="6">
        <v>1</v>
      </c>
      <c r="H1162" s="6">
        <v>9343</v>
      </c>
      <c r="I1162" s="6">
        <v>3</v>
      </c>
      <c r="J1162" s="6">
        <v>80</v>
      </c>
      <c r="K1162" s="6">
        <v>227</v>
      </c>
      <c r="L1162" s="6">
        <v>235</v>
      </c>
      <c r="M1162" s="6">
        <v>15.33333333</v>
      </c>
      <c r="N1162">
        <f>VLOOKUP(A1162,vlookup_table!$A:$G,2,FALSE)</f>
        <v>2</v>
      </c>
      <c r="O1162" t="str">
        <f>VLOOKUP(A1162,vlookup_table!$A:$G,3,FALSE)</f>
        <v>TX</v>
      </c>
      <c r="P1162">
        <f>VLOOKUP(A1162,vlookup_table!$A:$G,4,FALSE)</f>
        <v>1201</v>
      </c>
      <c r="Q1162" t="str">
        <f>VLOOKUP(A1162,vlookup_table!$A:$G,5,FALSE)</f>
        <v>T2</v>
      </c>
      <c r="R1162" t="str">
        <f>VLOOKUP(A1162,vlookup_table!$A:$G,6,FALSE)</f>
        <v>F</v>
      </c>
      <c r="S1162">
        <f>VLOOKUP(A1162,vlookup_table!$A:$G,7,FALSE)</f>
        <v>20</v>
      </c>
      <c r="T1162">
        <f t="shared" si="36"/>
        <v>84</v>
      </c>
      <c r="U1162" t="str">
        <f t="shared" si="37"/>
        <v>Pueblo</v>
      </c>
    </row>
    <row r="1163" spans="1:21" ht="16" x14ac:dyDescent="0.4">
      <c r="A1163" s="6">
        <v>18750</v>
      </c>
      <c r="B1163" s="6" t="s">
        <v>18</v>
      </c>
      <c r="C1163" s="6" t="s">
        <v>97</v>
      </c>
      <c r="D1163" s="6">
        <v>482</v>
      </c>
      <c r="E1163" s="6">
        <v>302</v>
      </c>
      <c r="F1163" s="6">
        <v>462</v>
      </c>
      <c r="G1163" s="6">
        <v>1</v>
      </c>
      <c r="H1163" s="6">
        <v>15573</v>
      </c>
      <c r="I1163" s="6">
        <v>0</v>
      </c>
      <c r="J1163" s="6">
        <v>72</v>
      </c>
      <c r="K1163" s="6">
        <v>328</v>
      </c>
      <c r="L1163" s="6">
        <v>396</v>
      </c>
      <c r="M1163" s="6">
        <v>12.5</v>
      </c>
      <c r="N1163">
        <f>VLOOKUP(A1163,vlookup_table!$A:$G,2,FALSE)</f>
        <v>0</v>
      </c>
      <c r="O1163" t="str">
        <f>VLOOKUP(A1163,vlookup_table!$A:$G,3,FALSE)</f>
        <v>NC</v>
      </c>
      <c r="P1163">
        <f>VLOOKUP(A1163,vlookup_table!$A:$G,4,FALSE)</f>
        <v>5201</v>
      </c>
      <c r="Q1163" t="str">
        <f>VLOOKUP(A1163,vlookup_table!$A:$G,5,FALSE)</f>
        <v>T2</v>
      </c>
      <c r="R1163" t="str">
        <f>VLOOKUP(A1163,vlookup_table!$A:$G,6,FALSE)</f>
        <v>F</v>
      </c>
      <c r="S1163">
        <f>VLOOKUP(A1163,vlookup_table!$A:$G,7,FALSE)</f>
        <v>20</v>
      </c>
      <c r="T1163">
        <f t="shared" si="36"/>
        <v>44</v>
      </c>
      <c r="U1163" t="str">
        <f t="shared" si="37"/>
        <v>Pueblo</v>
      </c>
    </row>
    <row r="1164" spans="1:21" ht="16" x14ac:dyDescent="0.4">
      <c r="A1164" s="6">
        <v>81277</v>
      </c>
      <c r="B1164" s="6" t="s">
        <v>32</v>
      </c>
      <c r="C1164" s="6" t="s">
        <v>17</v>
      </c>
      <c r="D1164" s="6">
        <v>322</v>
      </c>
      <c r="E1164" s="6">
        <v>233</v>
      </c>
      <c r="F1164" s="6">
        <v>320</v>
      </c>
      <c r="G1164" s="6">
        <v>0</v>
      </c>
      <c r="H1164" s="6">
        <v>10317</v>
      </c>
      <c r="I1164" s="6">
        <v>0</v>
      </c>
      <c r="J1164" s="6">
        <v>84</v>
      </c>
      <c r="K1164" s="6">
        <v>258</v>
      </c>
      <c r="L1164" s="6">
        <v>291</v>
      </c>
      <c r="M1164" s="6">
        <v>15</v>
      </c>
      <c r="N1164">
        <f>VLOOKUP(A1164,vlookup_table!$A:$G,2,FALSE)</f>
        <v>2</v>
      </c>
      <c r="O1164" t="str">
        <f>VLOOKUP(A1164,vlookup_table!$A:$G,3,FALSE)</f>
        <v>WI</v>
      </c>
      <c r="P1164">
        <f>VLOOKUP(A1164,vlookup_table!$A:$G,4,FALSE)</f>
        <v>4401</v>
      </c>
      <c r="Q1164" t="str">
        <f>VLOOKUP(A1164,vlookup_table!$A:$G,5,FALSE)</f>
        <v>R1</v>
      </c>
      <c r="R1164" t="str">
        <f>VLOOKUP(A1164,vlookup_table!$A:$G,6,FALSE)</f>
        <v>F</v>
      </c>
      <c r="S1164">
        <f>VLOOKUP(A1164,vlookup_table!$A:$G,7,FALSE)</f>
        <v>25</v>
      </c>
      <c r="T1164">
        <f t="shared" si="36"/>
        <v>52</v>
      </c>
      <c r="U1164" t="str">
        <f t="shared" si="37"/>
        <v>Rural</v>
      </c>
    </row>
    <row r="1165" spans="1:21" ht="16" x14ac:dyDescent="0.4">
      <c r="A1165" s="6">
        <v>128121</v>
      </c>
      <c r="B1165" s="6" t="s">
        <v>20</v>
      </c>
      <c r="C1165" s="6" t="s">
        <v>17</v>
      </c>
      <c r="D1165" s="6">
        <v>655</v>
      </c>
      <c r="E1165" s="6">
        <v>406</v>
      </c>
      <c r="F1165" s="6">
        <v>481</v>
      </c>
      <c r="G1165" s="6">
        <v>0</v>
      </c>
      <c r="H1165" s="6">
        <v>16426</v>
      </c>
      <c r="I1165" s="6">
        <v>1</v>
      </c>
      <c r="J1165" s="6">
        <v>72</v>
      </c>
      <c r="K1165" s="6">
        <v>432</v>
      </c>
      <c r="L1165" s="6">
        <v>430</v>
      </c>
      <c r="M1165" s="6">
        <v>9</v>
      </c>
      <c r="N1165">
        <f>VLOOKUP(A1165,vlookup_table!$A:$G,2,FALSE)</f>
        <v>0</v>
      </c>
      <c r="O1165" t="str">
        <f>VLOOKUP(A1165,vlookup_table!$A:$G,3,FALSE)</f>
        <v>TX</v>
      </c>
      <c r="P1165">
        <f>VLOOKUP(A1165,vlookup_table!$A:$G,4,FALSE)</f>
        <v>0</v>
      </c>
      <c r="Q1165" t="str">
        <f>VLOOKUP(A1165,vlookup_table!$A:$G,5,FALSE)</f>
        <v>S1</v>
      </c>
      <c r="R1165" t="str">
        <f>VLOOKUP(A1165,vlookup_table!$A:$G,6,FALSE)</f>
        <v>F</v>
      </c>
      <c r="S1165">
        <f>VLOOKUP(A1165,vlookup_table!$A:$G,7,FALSE)</f>
        <v>10</v>
      </c>
      <c r="T1165">
        <f t="shared" si="36"/>
        <v>96</v>
      </c>
      <c r="U1165" t="str">
        <f t="shared" si="37"/>
        <v>Suburbano</v>
      </c>
    </row>
    <row r="1166" spans="1:21" ht="16" x14ac:dyDescent="0.4">
      <c r="A1166" s="6">
        <v>84199</v>
      </c>
      <c r="B1166" s="6" t="s">
        <v>52</v>
      </c>
      <c r="C1166" s="6" t="s">
        <v>17</v>
      </c>
      <c r="D1166" s="6">
        <v>908</v>
      </c>
      <c r="E1166" s="6">
        <v>487</v>
      </c>
      <c r="F1166" s="6">
        <v>493</v>
      </c>
      <c r="G1166" s="6">
        <v>0</v>
      </c>
      <c r="H1166" s="6">
        <v>14526</v>
      </c>
      <c r="I1166" s="6">
        <v>0</v>
      </c>
      <c r="J1166" s="6">
        <v>79</v>
      </c>
      <c r="K1166" s="6">
        <v>482</v>
      </c>
      <c r="L1166" s="6">
        <v>499</v>
      </c>
      <c r="M1166" s="6">
        <v>5.0909090910000003</v>
      </c>
      <c r="N1166">
        <f>VLOOKUP(A1166,vlookup_table!$A:$G,2,FALSE)</f>
        <v>0</v>
      </c>
      <c r="O1166" t="str">
        <f>VLOOKUP(A1166,vlookup_table!$A:$G,3,FALSE)</f>
        <v>MN</v>
      </c>
      <c r="P1166">
        <f>VLOOKUP(A1166,vlookup_table!$A:$G,4,FALSE)</f>
        <v>2501</v>
      </c>
      <c r="Q1166" t="str">
        <f>VLOOKUP(A1166,vlookup_table!$A:$G,5,FALSE)</f>
        <v>S2</v>
      </c>
      <c r="R1166" t="str">
        <f>VLOOKUP(A1166,vlookup_table!$A:$G,6,FALSE)</f>
        <v>F</v>
      </c>
      <c r="S1166">
        <f>VLOOKUP(A1166,vlookup_table!$A:$G,7,FALSE)</f>
        <v>5</v>
      </c>
      <c r="T1166">
        <f t="shared" si="36"/>
        <v>71</v>
      </c>
      <c r="U1166" t="str">
        <f t="shared" si="37"/>
        <v>Suburbano</v>
      </c>
    </row>
    <row r="1167" spans="1:21" ht="16" x14ac:dyDescent="0.4">
      <c r="A1167" s="6">
        <v>183476</v>
      </c>
      <c r="B1167" s="6" t="s">
        <v>37</v>
      </c>
      <c r="C1167" s="6" t="s">
        <v>17</v>
      </c>
      <c r="D1167" s="6">
        <v>718</v>
      </c>
      <c r="E1167" s="6">
        <v>471</v>
      </c>
      <c r="F1167" s="6">
        <v>541</v>
      </c>
      <c r="G1167" s="6">
        <v>3</v>
      </c>
      <c r="H1167" s="6">
        <v>18190</v>
      </c>
      <c r="I1167" s="6">
        <v>4</v>
      </c>
      <c r="J1167" s="6">
        <v>59</v>
      </c>
      <c r="K1167" s="6">
        <v>508</v>
      </c>
      <c r="L1167" s="6">
        <v>497</v>
      </c>
      <c r="M1167" s="6">
        <v>11.07692308</v>
      </c>
      <c r="N1167">
        <f>VLOOKUP(A1167,vlookup_table!$A:$G,2,FALSE)</f>
        <v>2</v>
      </c>
      <c r="O1167" t="str">
        <f>VLOOKUP(A1167,vlookup_table!$A:$G,3,FALSE)</f>
        <v>WA</v>
      </c>
      <c r="P1167">
        <f>VLOOKUP(A1167,vlookup_table!$A:$G,4,FALSE)</f>
        <v>5008</v>
      </c>
      <c r="Q1167" t="str">
        <f>VLOOKUP(A1167,vlookup_table!$A:$G,5,FALSE)</f>
        <v>T2</v>
      </c>
      <c r="R1167" t="str">
        <f>VLOOKUP(A1167,vlookup_table!$A:$G,6,FALSE)</f>
        <v>F</v>
      </c>
      <c r="S1167">
        <f>VLOOKUP(A1167,vlookup_table!$A:$G,7,FALSE)</f>
        <v>25</v>
      </c>
      <c r="T1167">
        <f t="shared" si="36"/>
        <v>46</v>
      </c>
      <c r="U1167" t="str">
        <f t="shared" si="37"/>
        <v>Pueblo</v>
      </c>
    </row>
    <row r="1168" spans="1:21" ht="16" x14ac:dyDescent="0.4">
      <c r="A1168" s="6">
        <v>162994</v>
      </c>
      <c r="B1168" s="6" t="s">
        <v>21</v>
      </c>
      <c r="C1168" s="6" t="s">
        <v>14</v>
      </c>
      <c r="D1168" s="6">
        <v>2750</v>
      </c>
      <c r="E1168" s="6">
        <v>252</v>
      </c>
      <c r="F1168" s="6">
        <v>392</v>
      </c>
      <c r="G1168" s="6">
        <v>75</v>
      </c>
      <c r="H1168" s="6">
        <v>19558</v>
      </c>
      <c r="I1168" s="6">
        <v>34</v>
      </c>
      <c r="J1168" s="6">
        <v>20</v>
      </c>
      <c r="K1168" s="6">
        <v>332</v>
      </c>
      <c r="L1168" s="6">
        <v>302</v>
      </c>
      <c r="M1168" s="6">
        <v>10.66666667</v>
      </c>
      <c r="N1168">
        <f>VLOOKUP(A1168,vlookup_table!$A:$G,2,FALSE)</f>
        <v>1</v>
      </c>
      <c r="O1168" t="str">
        <f>VLOOKUP(A1168,vlookup_table!$A:$G,3,FALSE)</f>
        <v>CA</v>
      </c>
      <c r="P1168">
        <f>VLOOKUP(A1168,vlookup_table!$A:$G,4,FALSE)</f>
        <v>0</v>
      </c>
      <c r="Q1168" t="str">
        <f>VLOOKUP(A1168,vlookup_table!$A:$G,5,FALSE)</f>
        <v>U1</v>
      </c>
      <c r="R1168" t="str">
        <f>VLOOKUP(A1168,vlookup_table!$A:$G,6,FALSE)</f>
        <v>M</v>
      </c>
      <c r="S1168">
        <f>VLOOKUP(A1168,vlookup_table!$A:$G,7,FALSE)</f>
        <v>10</v>
      </c>
      <c r="T1168">
        <f t="shared" si="36"/>
        <v>96</v>
      </c>
      <c r="U1168" t="str">
        <f t="shared" si="37"/>
        <v>Urbano</v>
      </c>
    </row>
    <row r="1169" spans="1:21" ht="16" x14ac:dyDescent="0.4">
      <c r="A1169" s="6">
        <v>32040</v>
      </c>
      <c r="B1169" s="6" t="s">
        <v>36</v>
      </c>
      <c r="C1169" s="6" t="s">
        <v>14</v>
      </c>
      <c r="D1169" s="6">
        <v>397</v>
      </c>
      <c r="E1169" s="6">
        <v>184</v>
      </c>
      <c r="F1169" s="6">
        <v>285</v>
      </c>
      <c r="G1169" s="6">
        <v>1</v>
      </c>
      <c r="H1169" s="6">
        <v>9831</v>
      </c>
      <c r="I1169" s="6">
        <v>0</v>
      </c>
      <c r="J1169" s="6">
        <v>91</v>
      </c>
      <c r="K1169" s="6">
        <v>219</v>
      </c>
      <c r="L1169" s="6">
        <v>237</v>
      </c>
      <c r="M1169" s="6">
        <v>9.3333333330000006</v>
      </c>
      <c r="N1169">
        <f>VLOOKUP(A1169,vlookup_table!$A:$G,2,FALSE)</f>
        <v>4</v>
      </c>
      <c r="O1169" t="str">
        <f>VLOOKUP(A1169,vlookup_table!$A:$G,3,FALSE)</f>
        <v>GA</v>
      </c>
      <c r="P1169">
        <f>VLOOKUP(A1169,vlookup_table!$A:$G,4,FALSE)</f>
        <v>2801</v>
      </c>
      <c r="Q1169" t="str">
        <f>VLOOKUP(A1169,vlookup_table!$A:$G,5,FALSE)</f>
        <v>C1</v>
      </c>
      <c r="R1169" t="str">
        <f>VLOOKUP(A1169,vlookup_table!$A:$G,6,FALSE)</f>
        <v>M</v>
      </c>
      <c r="S1169">
        <f>VLOOKUP(A1169,vlookup_table!$A:$G,7,FALSE)</f>
        <v>20</v>
      </c>
      <c r="T1169">
        <f t="shared" si="36"/>
        <v>68</v>
      </c>
      <c r="U1169" t="str">
        <f t="shared" si="37"/>
        <v>Ciudad</v>
      </c>
    </row>
    <row r="1170" spans="1:21" ht="16" x14ac:dyDescent="0.4">
      <c r="A1170" s="6">
        <v>65968</v>
      </c>
      <c r="B1170" s="6" t="s">
        <v>26</v>
      </c>
      <c r="C1170" s="6" t="s">
        <v>14</v>
      </c>
      <c r="D1170" s="6">
        <v>1040</v>
      </c>
      <c r="E1170" s="6">
        <v>220</v>
      </c>
      <c r="F1170" s="6">
        <v>278</v>
      </c>
      <c r="G1170" s="6">
        <v>4</v>
      </c>
      <c r="H1170" s="6">
        <v>14610</v>
      </c>
      <c r="I1170" s="6">
        <v>0</v>
      </c>
      <c r="J1170" s="6">
        <v>56</v>
      </c>
      <c r="K1170" s="6">
        <v>309</v>
      </c>
      <c r="L1170" s="6">
        <v>256</v>
      </c>
      <c r="M1170" s="6">
        <v>7.9375</v>
      </c>
      <c r="N1170">
        <f>VLOOKUP(A1170,vlookup_table!$A:$G,2,FALSE)</f>
        <v>1</v>
      </c>
      <c r="O1170" t="str">
        <f>VLOOKUP(A1170,vlookup_table!$A:$G,3,FALSE)</f>
        <v>MI</v>
      </c>
      <c r="P1170">
        <f>VLOOKUP(A1170,vlookup_table!$A:$G,4,FALSE)</f>
        <v>6105</v>
      </c>
      <c r="Q1170" t="str">
        <f>VLOOKUP(A1170,vlookup_table!$A:$G,5,FALSE)</f>
        <v>C1</v>
      </c>
      <c r="R1170" t="str">
        <f>VLOOKUP(A1170,vlookup_table!$A:$G,6,FALSE)</f>
        <v>M</v>
      </c>
      <c r="S1170">
        <f>VLOOKUP(A1170,vlookup_table!$A:$G,7,FALSE)</f>
        <v>9</v>
      </c>
      <c r="T1170">
        <f t="shared" si="36"/>
        <v>35</v>
      </c>
      <c r="U1170" t="str">
        <f t="shared" si="37"/>
        <v>Ciudad</v>
      </c>
    </row>
    <row r="1171" spans="1:21" ht="16" x14ac:dyDescent="0.4">
      <c r="A1171" s="6">
        <v>135896</v>
      </c>
      <c r="B1171" s="6" t="s">
        <v>51</v>
      </c>
      <c r="C1171" s="6" t="s">
        <v>14</v>
      </c>
      <c r="D1171" s="6">
        <v>675</v>
      </c>
      <c r="E1171" s="6">
        <v>186</v>
      </c>
      <c r="F1171" s="6">
        <v>265</v>
      </c>
      <c r="G1171" s="6">
        <v>17</v>
      </c>
      <c r="H1171" s="6">
        <v>11355</v>
      </c>
      <c r="I1171" s="6">
        <v>2</v>
      </c>
      <c r="J1171" s="6">
        <v>7</v>
      </c>
      <c r="K1171" s="6">
        <v>238</v>
      </c>
      <c r="L1171" s="6">
        <v>207</v>
      </c>
      <c r="M1171" s="6">
        <v>6.1111111109999996</v>
      </c>
      <c r="N1171">
        <f>VLOOKUP(A1171,vlookup_table!$A:$G,2,FALSE)</f>
        <v>0</v>
      </c>
      <c r="O1171" t="str">
        <f>VLOOKUP(A1171,vlookup_table!$A:$G,3,FALSE)</f>
        <v>AZ</v>
      </c>
      <c r="P1171">
        <f>VLOOKUP(A1171,vlookup_table!$A:$G,4,FALSE)</f>
        <v>2501</v>
      </c>
      <c r="Q1171" t="str">
        <f>VLOOKUP(A1171,vlookup_table!$A:$G,5,FALSE)</f>
        <v>C3</v>
      </c>
      <c r="R1171" t="str">
        <f>VLOOKUP(A1171,vlookup_table!$A:$G,6,FALSE)</f>
        <v>M</v>
      </c>
      <c r="S1171">
        <f>VLOOKUP(A1171,vlookup_table!$A:$G,7,FALSE)</f>
        <v>2</v>
      </c>
      <c r="T1171">
        <f t="shared" si="36"/>
        <v>71</v>
      </c>
      <c r="U1171" t="str">
        <f t="shared" si="37"/>
        <v>Ciudad</v>
      </c>
    </row>
    <row r="1172" spans="1:21" ht="16" x14ac:dyDescent="0.4">
      <c r="A1172" s="6">
        <v>46461</v>
      </c>
      <c r="B1172" s="6" t="s">
        <v>13</v>
      </c>
      <c r="C1172" s="6" t="s">
        <v>14</v>
      </c>
      <c r="D1172" s="6">
        <v>719</v>
      </c>
      <c r="E1172" s="6">
        <v>381</v>
      </c>
      <c r="F1172" s="6">
        <v>410</v>
      </c>
      <c r="G1172" s="6">
        <v>0</v>
      </c>
      <c r="H1172" s="6">
        <v>13552</v>
      </c>
      <c r="I1172" s="6">
        <v>2</v>
      </c>
      <c r="J1172" s="6">
        <v>36</v>
      </c>
      <c r="K1172" s="6">
        <v>398</v>
      </c>
      <c r="L1172" s="6">
        <v>389</v>
      </c>
      <c r="M1172" s="6">
        <v>11.33333333</v>
      </c>
      <c r="N1172">
        <f>VLOOKUP(A1172,vlookup_table!$A:$G,2,FALSE)</f>
        <v>1</v>
      </c>
      <c r="O1172" t="str">
        <f>VLOOKUP(A1172,vlookup_table!$A:$G,3,FALSE)</f>
        <v>FL</v>
      </c>
      <c r="P1172">
        <f>VLOOKUP(A1172,vlookup_table!$A:$G,4,FALSE)</f>
        <v>1801</v>
      </c>
      <c r="Q1172" t="str">
        <f>VLOOKUP(A1172,vlookup_table!$A:$G,5,FALSE)</f>
        <v>C2</v>
      </c>
      <c r="R1172" t="str">
        <f>VLOOKUP(A1172,vlookup_table!$A:$G,6,FALSE)</f>
        <v>M</v>
      </c>
      <c r="S1172">
        <f>VLOOKUP(A1172,vlookup_table!$A:$G,7,FALSE)</f>
        <v>12</v>
      </c>
      <c r="T1172">
        <f t="shared" si="36"/>
        <v>78</v>
      </c>
      <c r="U1172" t="str">
        <f t="shared" si="37"/>
        <v>Ciudad</v>
      </c>
    </row>
    <row r="1173" spans="1:21" ht="16" x14ac:dyDescent="0.4">
      <c r="A1173" s="6">
        <v>2396</v>
      </c>
      <c r="B1173" s="6" t="s">
        <v>13</v>
      </c>
      <c r="C1173" s="6"/>
      <c r="D1173" s="6">
        <v>588</v>
      </c>
      <c r="E1173" s="6">
        <v>233</v>
      </c>
      <c r="F1173" s="6">
        <v>266</v>
      </c>
      <c r="G1173" s="6">
        <v>1</v>
      </c>
      <c r="H1173" s="6">
        <v>10309</v>
      </c>
      <c r="I1173" s="6">
        <v>10</v>
      </c>
      <c r="J1173" s="6">
        <v>21</v>
      </c>
      <c r="K1173" s="6">
        <v>249</v>
      </c>
      <c r="L1173" s="6">
        <v>254</v>
      </c>
      <c r="M1173" s="6">
        <v>8.3333333330000006</v>
      </c>
      <c r="N1173">
        <f>VLOOKUP(A1173,vlookup_table!$A:$G,2,FALSE)</f>
        <v>0</v>
      </c>
      <c r="O1173" t="str">
        <f>VLOOKUP(A1173,vlookup_table!$A:$G,3,FALSE)</f>
        <v>FL</v>
      </c>
      <c r="P1173">
        <f>VLOOKUP(A1173,vlookup_table!$A:$G,4,FALSE)</f>
        <v>0</v>
      </c>
      <c r="Q1173" t="str">
        <f>VLOOKUP(A1173,vlookup_table!$A:$G,5,FALSE)</f>
        <v>T2</v>
      </c>
      <c r="R1173" t="str">
        <f>VLOOKUP(A1173,vlookup_table!$A:$G,6,FALSE)</f>
        <v/>
      </c>
      <c r="S1173">
        <f>VLOOKUP(A1173,vlookup_table!$A:$G,7,FALSE)</f>
        <v>5</v>
      </c>
      <c r="T1173">
        <f t="shared" si="36"/>
        <v>96</v>
      </c>
      <c r="U1173" t="str">
        <f t="shared" si="37"/>
        <v>Pueblo</v>
      </c>
    </row>
    <row r="1174" spans="1:21" ht="16" x14ac:dyDescent="0.4">
      <c r="A1174" s="6">
        <v>93500</v>
      </c>
      <c r="B1174" s="6" t="s">
        <v>16</v>
      </c>
      <c r="C1174" s="6" t="s">
        <v>17</v>
      </c>
      <c r="D1174" s="6">
        <v>1053</v>
      </c>
      <c r="E1174" s="6">
        <v>368</v>
      </c>
      <c r="F1174" s="6">
        <v>465</v>
      </c>
      <c r="G1174" s="6">
        <v>0</v>
      </c>
      <c r="H1174" s="6">
        <v>15176</v>
      </c>
      <c r="I1174" s="6">
        <v>20</v>
      </c>
      <c r="J1174" s="6">
        <v>73</v>
      </c>
      <c r="K1174" s="6">
        <v>419</v>
      </c>
      <c r="L1174" s="6">
        <v>402</v>
      </c>
      <c r="M1174" s="6">
        <v>8.3333333330000006</v>
      </c>
      <c r="N1174">
        <f>VLOOKUP(A1174,vlookup_table!$A:$G,2,FALSE)</f>
        <v>0</v>
      </c>
      <c r="O1174" t="str">
        <f>VLOOKUP(A1174,vlookup_table!$A:$G,3,FALSE)</f>
        <v>IL</v>
      </c>
      <c r="P1174">
        <f>VLOOKUP(A1174,vlookup_table!$A:$G,4,FALSE)</f>
        <v>3705</v>
      </c>
      <c r="Q1174" t="str">
        <f>VLOOKUP(A1174,vlookup_table!$A:$G,5,FALSE)</f>
        <v>U4</v>
      </c>
      <c r="R1174" t="str">
        <f>VLOOKUP(A1174,vlookup_table!$A:$G,6,FALSE)</f>
        <v>F</v>
      </c>
      <c r="S1174">
        <f>VLOOKUP(A1174,vlookup_table!$A:$G,7,FALSE)</f>
        <v>10</v>
      </c>
      <c r="T1174">
        <f t="shared" si="36"/>
        <v>59</v>
      </c>
      <c r="U1174" t="str">
        <f t="shared" si="37"/>
        <v>Urbano</v>
      </c>
    </row>
    <row r="1175" spans="1:21" ht="16" x14ac:dyDescent="0.4">
      <c r="A1175" s="6">
        <v>90899</v>
      </c>
      <c r="B1175" s="6" t="s">
        <v>16</v>
      </c>
      <c r="C1175" s="6" t="s">
        <v>17</v>
      </c>
      <c r="D1175" s="6">
        <v>419</v>
      </c>
      <c r="E1175" s="6">
        <v>279</v>
      </c>
      <c r="F1175" s="6">
        <v>303</v>
      </c>
      <c r="G1175" s="6">
        <v>0</v>
      </c>
      <c r="H1175" s="6">
        <v>7285</v>
      </c>
      <c r="I1175" s="6">
        <v>0</v>
      </c>
      <c r="J1175" s="6">
        <v>72</v>
      </c>
      <c r="K1175" s="6">
        <v>295</v>
      </c>
      <c r="L1175" s="6">
        <v>296</v>
      </c>
      <c r="M1175" s="6">
        <v>12</v>
      </c>
      <c r="N1175">
        <f>VLOOKUP(A1175,vlookup_table!$A:$G,2,FALSE)</f>
        <v>28</v>
      </c>
      <c r="O1175" t="str">
        <f>VLOOKUP(A1175,vlookup_table!$A:$G,3,FALSE)</f>
        <v>IL</v>
      </c>
      <c r="P1175">
        <f>VLOOKUP(A1175,vlookup_table!$A:$G,4,FALSE)</f>
        <v>3912</v>
      </c>
      <c r="Q1175" t="str">
        <f>VLOOKUP(A1175,vlookup_table!$A:$G,5,FALSE)</f>
        <v>S3</v>
      </c>
      <c r="R1175" t="str">
        <f>VLOOKUP(A1175,vlookup_table!$A:$G,6,FALSE)</f>
        <v>F</v>
      </c>
      <c r="S1175">
        <f>VLOOKUP(A1175,vlookup_table!$A:$G,7,FALSE)</f>
        <v>17</v>
      </c>
      <c r="T1175">
        <f t="shared" si="36"/>
        <v>57</v>
      </c>
      <c r="U1175" t="str">
        <f t="shared" si="37"/>
        <v>Suburbano</v>
      </c>
    </row>
    <row r="1176" spans="1:21" ht="16" x14ac:dyDescent="0.4">
      <c r="A1176" s="6">
        <v>116542</v>
      </c>
      <c r="B1176" s="6" t="s">
        <v>20</v>
      </c>
      <c r="C1176" s="6" t="s">
        <v>27</v>
      </c>
      <c r="D1176" s="6">
        <v>481</v>
      </c>
      <c r="E1176" s="6">
        <v>172</v>
      </c>
      <c r="F1176" s="6">
        <v>264</v>
      </c>
      <c r="G1176" s="6">
        <v>1</v>
      </c>
      <c r="H1176" s="6">
        <v>9264</v>
      </c>
      <c r="I1176" s="6">
        <v>0</v>
      </c>
      <c r="J1176" s="6">
        <v>79</v>
      </c>
      <c r="K1176" s="6">
        <v>218</v>
      </c>
      <c r="L1176" s="6">
        <v>227</v>
      </c>
      <c r="M1176" s="6">
        <v>15</v>
      </c>
      <c r="N1176">
        <f>VLOOKUP(A1176,vlookup_table!$A:$G,2,FALSE)</f>
        <v>0</v>
      </c>
      <c r="O1176" t="str">
        <f>VLOOKUP(A1176,vlookup_table!$A:$G,3,FALSE)</f>
        <v>TX</v>
      </c>
      <c r="P1176">
        <f>VLOOKUP(A1176,vlookup_table!$A:$G,4,FALSE)</f>
        <v>0</v>
      </c>
      <c r="Q1176" t="str">
        <f>VLOOKUP(A1176,vlookup_table!$A:$G,5,FALSE)</f>
        <v>R3</v>
      </c>
      <c r="R1176" t="str">
        <f>VLOOKUP(A1176,vlookup_table!$A:$G,6,FALSE)</f>
        <v>U</v>
      </c>
      <c r="S1176">
        <f>VLOOKUP(A1176,vlookup_table!$A:$G,7,FALSE)</f>
        <v>20</v>
      </c>
      <c r="T1176">
        <f t="shared" si="36"/>
        <v>96</v>
      </c>
      <c r="U1176" t="str">
        <f t="shared" si="37"/>
        <v>Rural</v>
      </c>
    </row>
    <row r="1177" spans="1:21" ht="16" x14ac:dyDescent="0.4">
      <c r="A1177" s="6">
        <v>29868</v>
      </c>
      <c r="B1177" s="6" t="s">
        <v>36</v>
      </c>
      <c r="C1177" s="6" t="s">
        <v>17</v>
      </c>
      <c r="D1177" s="6">
        <v>803</v>
      </c>
      <c r="E1177" s="6">
        <v>397</v>
      </c>
      <c r="F1177" s="6">
        <v>441</v>
      </c>
      <c r="G1177" s="6">
        <v>2</v>
      </c>
      <c r="H1177" s="6">
        <v>15380</v>
      </c>
      <c r="I1177" s="6">
        <v>3</v>
      </c>
      <c r="J1177" s="6">
        <v>49</v>
      </c>
      <c r="K1177" s="6">
        <v>407</v>
      </c>
      <c r="L1177" s="6">
        <v>432</v>
      </c>
      <c r="M1177" s="6">
        <v>20</v>
      </c>
      <c r="N1177">
        <f>VLOOKUP(A1177,vlookup_table!$A:$G,2,FALSE)</f>
        <v>0</v>
      </c>
      <c r="O1177" t="str">
        <f>VLOOKUP(A1177,vlookup_table!$A:$G,3,FALSE)</f>
        <v>GA</v>
      </c>
      <c r="P1177">
        <f>VLOOKUP(A1177,vlookup_table!$A:$G,4,FALSE)</f>
        <v>5901</v>
      </c>
      <c r="Q1177" t="str">
        <f>VLOOKUP(A1177,vlookup_table!$A:$G,5,FALSE)</f>
        <v>T2</v>
      </c>
      <c r="R1177" t="str">
        <f>VLOOKUP(A1177,vlookup_table!$A:$G,6,FALSE)</f>
        <v>F</v>
      </c>
      <c r="S1177">
        <f>VLOOKUP(A1177,vlookup_table!$A:$G,7,FALSE)</f>
        <v>25</v>
      </c>
      <c r="T1177">
        <f t="shared" si="36"/>
        <v>37</v>
      </c>
      <c r="U1177" t="str">
        <f t="shared" si="37"/>
        <v>Pueblo</v>
      </c>
    </row>
    <row r="1178" spans="1:21" ht="16" x14ac:dyDescent="0.4">
      <c r="A1178" s="6">
        <v>171521</v>
      </c>
      <c r="B1178" s="6" t="s">
        <v>21</v>
      </c>
      <c r="C1178" s="6" t="s">
        <v>17</v>
      </c>
      <c r="D1178" s="6">
        <v>886</v>
      </c>
      <c r="E1178" s="6">
        <v>318</v>
      </c>
      <c r="F1178" s="6">
        <v>388</v>
      </c>
      <c r="G1178" s="6">
        <v>6</v>
      </c>
      <c r="H1178" s="6">
        <v>12332</v>
      </c>
      <c r="I1178" s="6">
        <v>12</v>
      </c>
      <c r="J1178" s="6">
        <v>58</v>
      </c>
      <c r="K1178" s="6">
        <v>339</v>
      </c>
      <c r="L1178" s="6">
        <v>360</v>
      </c>
      <c r="M1178" s="6">
        <v>5.2222222220000001</v>
      </c>
      <c r="N1178">
        <f>VLOOKUP(A1178,vlookup_table!$A:$G,2,FALSE)</f>
        <v>0</v>
      </c>
      <c r="O1178" t="str">
        <f>VLOOKUP(A1178,vlookup_table!$A:$G,3,FALSE)</f>
        <v>CA</v>
      </c>
      <c r="P1178">
        <f>VLOOKUP(A1178,vlookup_table!$A:$G,4,FALSE)</f>
        <v>0</v>
      </c>
      <c r="Q1178" t="str">
        <f>VLOOKUP(A1178,vlookup_table!$A:$G,5,FALSE)</f>
        <v>R2</v>
      </c>
      <c r="R1178" t="str">
        <f>VLOOKUP(A1178,vlookup_table!$A:$G,6,FALSE)</f>
        <v>F</v>
      </c>
      <c r="S1178">
        <f>VLOOKUP(A1178,vlookup_table!$A:$G,7,FALSE)</f>
        <v>6</v>
      </c>
      <c r="T1178">
        <f t="shared" si="36"/>
        <v>96</v>
      </c>
      <c r="U1178" t="str">
        <f t="shared" si="37"/>
        <v>Rural</v>
      </c>
    </row>
    <row r="1179" spans="1:21" ht="16" x14ac:dyDescent="0.4">
      <c r="A1179" s="6">
        <v>18953</v>
      </c>
      <c r="B1179" s="6" t="s">
        <v>18</v>
      </c>
      <c r="C1179" s="6" t="s">
        <v>97</v>
      </c>
      <c r="D1179" s="6">
        <v>1093</v>
      </c>
      <c r="E1179" s="6">
        <v>580</v>
      </c>
      <c r="F1179" s="6">
        <v>636</v>
      </c>
      <c r="G1179" s="6">
        <v>19</v>
      </c>
      <c r="H1179" s="6">
        <v>20815</v>
      </c>
      <c r="I1179" s="6">
        <v>2</v>
      </c>
      <c r="J1179" s="6">
        <v>37</v>
      </c>
      <c r="K1179" s="6">
        <v>587</v>
      </c>
      <c r="L1179" s="6">
        <v>629</v>
      </c>
      <c r="M1179" s="6">
        <v>7.3333333329999997</v>
      </c>
      <c r="N1179">
        <f>VLOOKUP(A1179,vlookup_table!$A:$G,2,FALSE)</f>
        <v>0</v>
      </c>
      <c r="O1179" t="str">
        <f>VLOOKUP(A1179,vlookup_table!$A:$G,3,FALSE)</f>
        <v>NC</v>
      </c>
      <c r="P1179">
        <f>VLOOKUP(A1179,vlookup_table!$A:$G,4,FALSE)</f>
        <v>4303</v>
      </c>
      <c r="Q1179" t="str">
        <f>VLOOKUP(A1179,vlookup_table!$A:$G,5,FALSE)</f>
        <v>S1</v>
      </c>
      <c r="R1179" t="str">
        <f>VLOOKUP(A1179,vlookup_table!$A:$G,6,FALSE)</f>
        <v>F</v>
      </c>
      <c r="S1179">
        <f>VLOOKUP(A1179,vlookup_table!$A:$G,7,FALSE)</f>
        <v>11</v>
      </c>
      <c r="T1179">
        <f t="shared" si="36"/>
        <v>53</v>
      </c>
      <c r="U1179" t="str">
        <f t="shared" si="37"/>
        <v>Suburbano</v>
      </c>
    </row>
    <row r="1180" spans="1:21" ht="16" x14ac:dyDescent="0.4">
      <c r="A1180" s="6">
        <v>102780</v>
      </c>
      <c r="B1180" s="6" t="s">
        <v>33</v>
      </c>
      <c r="C1180" s="6" t="s">
        <v>17</v>
      </c>
      <c r="D1180" s="6">
        <v>257</v>
      </c>
      <c r="E1180" s="6">
        <v>148</v>
      </c>
      <c r="F1180" s="6">
        <v>273</v>
      </c>
      <c r="G1180" s="6">
        <v>0</v>
      </c>
      <c r="H1180" s="6">
        <v>10050</v>
      </c>
      <c r="I1180" s="6">
        <v>1</v>
      </c>
      <c r="J1180" s="6">
        <v>75</v>
      </c>
      <c r="K1180" s="6">
        <v>264</v>
      </c>
      <c r="L1180" s="6">
        <v>194</v>
      </c>
      <c r="M1180" s="6">
        <v>10.125</v>
      </c>
      <c r="N1180">
        <f>VLOOKUP(A1180,vlookup_table!$A:$G,2,FALSE)</f>
        <v>0</v>
      </c>
      <c r="O1180" t="str">
        <f>VLOOKUP(A1180,vlookup_table!$A:$G,3,FALSE)</f>
        <v>MO</v>
      </c>
      <c r="P1180">
        <f>VLOOKUP(A1180,vlookup_table!$A:$G,4,FALSE)</f>
        <v>1208</v>
      </c>
      <c r="Q1180" t="str">
        <f>VLOOKUP(A1180,vlookup_table!$A:$G,5,FALSE)</f>
        <v>R2</v>
      </c>
      <c r="R1180" t="str">
        <f>VLOOKUP(A1180,vlookup_table!$A:$G,6,FALSE)</f>
        <v>F</v>
      </c>
      <c r="S1180">
        <f>VLOOKUP(A1180,vlookup_table!$A:$G,7,FALSE)</f>
        <v>16</v>
      </c>
      <c r="T1180">
        <f t="shared" si="36"/>
        <v>84</v>
      </c>
      <c r="U1180" t="str">
        <f t="shared" si="37"/>
        <v>Rural</v>
      </c>
    </row>
    <row r="1181" spans="1:21" ht="16" x14ac:dyDescent="0.4">
      <c r="A1181" s="6">
        <v>136372</v>
      </c>
      <c r="B1181" s="6" t="s">
        <v>51</v>
      </c>
      <c r="C1181" s="6" t="s">
        <v>14</v>
      </c>
      <c r="D1181" s="6">
        <v>1453</v>
      </c>
      <c r="E1181" s="6">
        <v>419</v>
      </c>
      <c r="F1181" s="6">
        <v>497</v>
      </c>
      <c r="G1181" s="6">
        <v>17</v>
      </c>
      <c r="H1181" s="6">
        <v>24530</v>
      </c>
      <c r="I1181" s="6">
        <v>10</v>
      </c>
      <c r="J1181" s="6">
        <v>2</v>
      </c>
      <c r="K1181" s="6">
        <v>426</v>
      </c>
      <c r="L1181" s="6">
        <v>486</v>
      </c>
      <c r="M1181" s="6">
        <v>25</v>
      </c>
      <c r="N1181">
        <f>VLOOKUP(A1181,vlookup_table!$A:$G,2,FALSE)</f>
        <v>1</v>
      </c>
      <c r="O1181" t="str">
        <f>VLOOKUP(A1181,vlookup_table!$A:$G,3,FALSE)</f>
        <v>AZ</v>
      </c>
      <c r="P1181">
        <f>VLOOKUP(A1181,vlookup_table!$A:$G,4,FALSE)</f>
        <v>1901</v>
      </c>
      <c r="Q1181" t="str">
        <f>VLOOKUP(A1181,vlookup_table!$A:$G,5,FALSE)</f>
        <v>C1</v>
      </c>
      <c r="R1181" t="str">
        <f>VLOOKUP(A1181,vlookup_table!$A:$G,6,FALSE)</f>
        <v>M</v>
      </c>
      <c r="S1181">
        <f>VLOOKUP(A1181,vlookup_table!$A:$G,7,FALSE)</f>
        <v>10</v>
      </c>
      <c r="T1181">
        <f t="shared" si="36"/>
        <v>77</v>
      </c>
      <c r="U1181" t="str">
        <f t="shared" si="37"/>
        <v>Ciudad</v>
      </c>
    </row>
    <row r="1182" spans="1:21" ht="16" x14ac:dyDescent="0.4">
      <c r="A1182" s="6">
        <v>19581</v>
      </c>
      <c r="B1182" s="6" t="s">
        <v>18</v>
      </c>
      <c r="C1182" s="6" t="s">
        <v>97</v>
      </c>
      <c r="D1182" s="6">
        <v>821</v>
      </c>
      <c r="E1182" s="6">
        <v>427</v>
      </c>
      <c r="F1182" s="6">
        <v>475</v>
      </c>
      <c r="G1182" s="6">
        <v>0</v>
      </c>
      <c r="H1182" s="6">
        <v>15937</v>
      </c>
      <c r="I1182" s="6">
        <v>0</v>
      </c>
      <c r="J1182" s="6">
        <v>64</v>
      </c>
      <c r="K1182" s="6">
        <v>433</v>
      </c>
      <c r="L1182" s="6">
        <v>456</v>
      </c>
      <c r="M1182" s="6">
        <v>6.6544117649999999</v>
      </c>
      <c r="N1182">
        <f>VLOOKUP(A1182,vlookup_table!$A:$G,2,FALSE)</f>
        <v>2</v>
      </c>
      <c r="O1182" t="str">
        <f>VLOOKUP(A1182,vlookup_table!$A:$G,3,FALSE)</f>
        <v>NC</v>
      </c>
      <c r="P1182">
        <f>VLOOKUP(A1182,vlookup_table!$A:$G,4,FALSE)</f>
        <v>3703</v>
      </c>
      <c r="Q1182" t="str">
        <f>VLOOKUP(A1182,vlookup_table!$A:$G,5,FALSE)</f>
        <v>S2</v>
      </c>
      <c r="R1182" t="str">
        <f>VLOOKUP(A1182,vlookup_table!$A:$G,6,FALSE)</f>
        <v>F</v>
      </c>
      <c r="S1182">
        <f>VLOOKUP(A1182,vlookup_table!$A:$G,7,FALSE)</f>
        <v>25</v>
      </c>
      <c r="T1182">
        <f t="shared" si="36"/>
        <v>59</v>
      </c>
      <c r="U1182" t="str">
        <f t="shared" si="37"/>
        <v>Suburbano</v>
      </c>
    </row>
    <row r="1183" spans="1:21" ht="16" x14ac:dyDescent="0.4">
      <c r="A1183" s="6">
        <v>121410</v>
      </c>
      <c r="B1183" s="6" t="s">
        <v>20</v>
      </c>
      <c r="C1183" s="6" t="s">
        <v>14</v>
      </c>
      <c r="D1183" s="6">
        <v>931</v>
      </c>
      <c r="E1183" s="6">
        <v>416</v>
      </c>
      <c r="F1183" s="6">
        <v>725</v>
      </c>
      <c r="G1183" s="6">
        <v>12</v>
      </c>
      <c r="H1183" s="6">
        <v>29273</v>
      </c>
      <c r="I1183" s="6">
        <v>10</v>
      </c>
      <c r="J1183" s="6">
        <v>47</v>
      </c>
      <c r="K1183" s="6">
        <v>636</v>
      </c>
      <c r="L1183" s="6">
        <v>543</v>
      </c>
      <c r="M1183" s="6">
        <v>15</v>
      </c>
      <c r="N1183">
        <f>VLOOKUP(A1183,vlookup_table!$A:$G,2,FALSE)</f>
        <v>1</v>
      </c>
      <c r="O1183" t="str">
        <f>VLOOKUP(A1183,vlookup_table!$A:$G,3,FALSE)</f>
        <v>TX</v>
      </c>
      <c r="P1183">
        <f>VLOOKUP(A1183,vlookup_table!$A:$G,4,FALSE)</f>
        <v>3101</v>
      </c>
      <c r="Q1183" t="str">
        <f>VLOOKUP(A1183,vlookup_table!$A:$G,5,FALSE)</f>
        <v>U1</v>
      </c>
      <c r="R1183" t="str">
        <f>VLOOKUP(A1183,vlookup_table!$A:$G,6,FALSE)</f>
        <v>M</v>
      </c>
      <c r="S1183">
        <f>VLOOKUP(A1183,vlookup_table!$A:$G,7,FALSE)</f>
        <v>15</v>
      </c>
      <c r="T1183">
        <f t="shared" si="36"/>
        <v>65</v>
      </c>
      <c r="U1183" t="str">
        <f t="shared" si="37"/>
        <v>Urbano</v>
      </c>
    </row>
    <row r="1184" spans="1:21" ht="16" x14ac:dyDescent="0.4">
      <c r="A1184" s="6">
        <v>99736</v>
      </c>
      <c r="B1184" s="6" t="s">
        <v>33</v>
      </c>
      <c r="C1184" s="6" t="s">
        <v>17</v>
      </c>
      <c r="D1184" s="6">
        <v>496</v>
      </c>
      <c r="E1184" s="6">
        <v>330</v>
      </c>
      <c r="F1184" s="6">
        <v>390</v>
      </c>
      <c r="G1184" s="6">
        <v>0</v>
      </c>
      <c r="H1184" s="6">
        <v>13546</v>
      </c>
      <c r="I1184" s="6">
        <v>0</v>
      </c>
      <c r="J1184" s="6">
        <v>87</v>
      </c>
      <c r="K1184" s="6">
        <v>349</v>
      </c>
      <c r="L1184" s="6">
        <v>360</v>
      </c>
      <c r="M1184" s="6">
        <v>5.5714285710000002</v>
      </c>
      <c r="N1184">
        <f>VLOOKUP(A1184,vlookup_table!$A:$G,2,FALSE)</f>
        <v>0</v>
      </c>
      <c r="O1184" t="str">
        <f>VLOOKUP(A1184,vlookup_table!$A:$G,3,FALSE)</f>
        <v>MO</v>
      </c>
      <c r="P1184">
        <f>VLOOKUP(A1184,vlookup_table!$A:$G,4,FALSE)</f>
        <v>5101</v>
      </c>
      <c r="Q1184" t="str">
        <f>VLOOKUP(A1184,vlookup_table!$A:$G,5,FALSE)</f>
        <v>T2</v>
      </c>
      <c r="R1184" t="str">
        <f>VLOOKUP(A1184,vlookup_table!$A:$G,6,FALSE)</f>
        <v>F</v>
      </c>
      <c r="S1184">
        <f>VLOOKUP(A1184,vlookup_table!$A:$G,7,FALSE)</f>
        <v>20</v>
      </c>
      <c r="T1184">
        <f t="shared" si="36"/>
        <v>45</v>
      </c>
      <c r="U1184" t="str">
        <f t="shared" si="37"/>
        <v>Pueblo</v>
      </c>
    </row>
    <row r="1185" spans="1:21" ht="16" x14ac:dyDescent="0.4">
      <c r="A1185" s="6">
        <v>54441</v>
      </c>
      <c r="B1185" s="6" t="s">
        <v>56</v>
      </c>
      <c r="C1185" s="6" t="s">
        <v>97</v>
      </c>
      <c r="D1185" s="6">
        <v>463</v>
      </c>
      <c r="E1185" s="6">
        <v>181</v>
      </c>
      <c r="F1185" s="6">
        <v>258</v>
      </c>
      <c r="G1185" s="6">
        <v>0</v>
      </c>
      <c r="H1185" s="6">
        <v>8369</v>
      </c>
      <c r="I1185" s="6">
        <v>0</v>
      </c>
      <c r="J1185" s="6">
        <v>56</v>
      </c>
      <c r="K1185" s="6">
        <v>231</v>
      </c>
      <c r="L1185" s="6">
        <v>227</v>
      </c>
      <c r="M1185" s="6">
        <v>12.75</v>
      </c>
      <c r="N1185">
        <f>VLOOKUP(A1185,vlookup_table!$A:$G,2,FALSE)</f>
        <v>2</v>
      </c>
      <c r="O1185" t="str">
        <f>VLOOKUP(A1185,vlookup_table!$A:$G,3,FALSE)</f>
        <v>MS</v>
      </c>
      <c r="P1185">
        <f>VLOOKUP(A1185,vlookup_table!$A:$G,4,FALSE)</f>
        <v>4107</v>
      </c>
      <c r="Q1185" t="str">
        <f>VLOOKUP(A1185,vlookup_table!$A:$G,5,FALSE)</f>
        <v>R3</v>
      </c>
      <c r="R1185" t="str">
        <f>VLOOKUP(A1185,vlookup_table!$A:$G,6,FALSE)</f>
        <v>F</v>
      </c>
      <c r="S1185">
        <f>VLOOKUP(A1185,vlookup_table!$A:$G,7,FALSE)</f>
        <v>30</v>
      </c>
      <c r="T1185">
        <f t="shared" si="36"/>
        <v>55</v>
      </c>
      <c r="U1185" t="str">
        <f t="shared" si="37"/>
        <v>Rural</v>
      </c>
    </row>
    <row r="1186" spans="1:21" ht="16" x14ac:dyDescent="0.4">
      <c r="A1186" s="6">
        <v>144735</v>
      </c>
      <c r="B1186" s="6" t="s">
        <v>21</v>
      </c>
      <c r="C1186" s="6" t="s">
        <v>17</v>
      </c>
      <c r="D1186" s="6">
        <v>5649</v>
      </c>
      <c r="E1186" s="6">
        <v>750</v>
      </c>
      <c r="F1186" s="6">
        <v>888</v>
      </c>
      <c r="G1186" s="6">
        <v>96</v>
      </c>
      <c r="H1186" s="6">
        <v>37961</v>
      </c>
      <c r="I1186" s="6">
        <v>6</v>
      </c>
      <c r="J1186" s="6">
        <v>56</v>
      </c>
      <c r="K1186" s="6">
        <v>828</v>
      </c>
      <c r="L1186" s="6">
        <v>801</v>
      </c>
      <c r="M1186" s="6">
        <v>8.615384615</v>
      </c>
      <c r="N1186">
        <f>VLOOKUP(A1186,vlookup_table!$A:$G,2,FALSE)</f>
        <v>0</v>
      </c>
      <c r="O1186" t="str">
        <f>VLOOKUP(A1186,vlookup_table!$A:$G,3,FALSE)</f>
        <v>CA</v>
      </c>
      <c r="P1186">
        <f>VLOOKUP(A1186,vlookup_table!$A:$G,4,FALSE)</f>
        <v>2709</v>
      </c>
      <c r="Q1186" t="str">
        <f>VLOOKUP(A1186,vlookup_table!$A:$G,5,FALSE)</f>
        <v>U1</v>
      </c>
      <c r="R1186" t="str">
        <f>VLOOKUP(A1186,vlookup_table!$A:$G,6,FALSE)</f>
        <v>F</v>
      </c>
      <c r="S1186">
        <f>VLOOKUP(A1186,vlookup_table!$A:$G,7,FALSE)</f>
        <v>10</v>
      </c>
      <c r="T1186">
        <f t="shared" si="36"/>
        <v>69</v>
      </c>
      <c r="U1186" t="str">
        <f t="shared" si="37"/>
        <v>Urbano</v>
      </c>
    </row>
    <row r="1187" spans="1:21" ht="16" x14ac:dyDescent="0.4">
      <c r="A1187" s="6">
        <v>39257</v>
      </c>
      <c r="B1187" s="6" t="s">
        <v>13</v>
      </c>
      <c r="C1187" s="6" t="s">
        <v>41</v>
      </c>
      <c r="D1187" s="6">
        <v>1093</v>
      </c>
      <c r="E1187" s="6">
        <v>364</v>
      </c>
      <c r="F1187" s="6">
        <v>441</v>
      </c>
      <c r="G1187" s="6">
        <v>2</v>
      </c>
      <c r="H1187" s="6">
        <v>15640</v>
      </c>
      <c r="I1187" s="6">
        <v>6</v>
      </c>
      <c r="J1187" s="6">
        <v>30</v>
      </c>
      <c r="K1187" s="6">
        <v>424</v>
      </c>
      <c r="L1187" s="6">
        <v>392</v>
      </c>
      <c r="M1187" s="6">
        <v>9.25</v>
      </c>
      <c r="N1187">
        <f>VLOOKUP(A1187,vlookup_table!$A:$G,2,FALSE)</f>
        <v>1002</v>
      </c>
      <c r="O1187" t="str">
        <f>VLOOKUP(A1187,vlookup_table!$A:$G,3,FALSE)</f>
        <v>FL</v>
      </c>
      <c r="P1187">
        <f>VLOOKUP(A1187,vlookup_table!$A:$G,4,FALSE)</f>
        <v>7001</v>
      </c>
      <c r="Q1187" t="str">
        <f>VLOOKUP(A1187,vlookup_table!$A:$G,5,FALSE)</f>
        <v>S2</v>
      </c>
      <c r="R1187" t="str">
        <f>VLOOKUP(A1187,vlookup_table!$A:$G,6,FALSE)</f>
        <v>J</v>
      </c>
      <c r="S1187">
        <f>VLOOKUP(A1187,vlookup_table!$A:$G,7,FALSE)</f>
        <v>25</v>
      </c>
      <c r="T1187">
        <f t="shared" si="36"/>
        <v>26</v>
      </c>
      <c r="U1187" t="str">
        <f t="shared" si="37"/>
        <v>Suburbano</v>
      </c>
    </row>
    <row r="1188" spans="1:21" ht="16" x14ac:dyDescent="0.4">
      <c r="A1188" s="6">
        <v>136716</v>
      </c>
      <c r="B1188" s="6" t="s">
        <v>51</v>
      </c>
      <c r="C1188" s="6" t="s">
        <v>14</v>
      </c>
      <c r="D1188" s="6">
        <v>852</v>
      </c>
      <c r="E1188" s="6">
        <v>344</v>
      </c>
      <c r="F1188" s="6">
        <v>498</v>
      </c>
      <c r="G1188" s="6">
        <v>0</v>
      </c>
      <c r="H1188" s="6">
        <v>19967</v>
      </c>
      <c r="I1188" s="6">
        <v>9</v>
      </c>
      <c r="J1188" s="6">
        <v>14</v>
      </c>
      <c r="K1188" s="6">
        <v>450</v>
      </c>
      <c r="L1188" s="6">
        <v>394</v>
      </c>
      <c r="M1188" s="6">
        <v>12.5</v>
      </c>
      <c r="N1188">
        <f>VLOOKUP(A1188,vlookup_table!$A:$G,2,FALSE)</f>
        <v>1</v>
      </c>
      <c r="O1188" t="str">
        <f>VLOOKUP(A1188,vlookup_table!$A:$G,3,FALSE)</f>
        <v>AZ</v>
      </c>
      <c r="P1188">
        <f>VLOOKUP(A1188,vlookup_table!$A:$G,4,FALSE)</f>
        <v>0</v>
      </c>
      <c r="Q1188" t="str">
        <f>VLOOKUP(A1188,vlookup_table!$A:$G,5,FALSE)</f>
        <v>C1</v>
      </c>
      <c r="R1188" t="str">
        <f>VLOOKUP(A1188,vlookup_table!$A:$G,6,FALSE)</f>
        <v>M</v>
      </c>
      <c r="S1188">
        <f>VLOOKUP(A1188,vlookup_table!$A:$G,7,FALSE)</f>
        <v>25</v>
      </c>
      <c r="T1188">
        <f t="shared" si="36"/>
        <v>96</v>
      </c>
      <c r="U1188" t="str">
        <f t="shared" si="37"/>
        <v>Ciudad</v>
      </c>
    </row>
    <row r="1189" spans="1:21" ht="16" x14ac:dyDescent="0.4">
      <c r="A1189" s="6">
        <v>145310</v>
      </c>
      <c r="B1189" s="6" t="s">
        <v>21</v>
      </c>
      <c r="C1189" s="6" t="s">
        <v>17</v>
      </c>
      <c r="D1189" s="6">
        <v>3100</v>
      </c>
      <c r="E1189" s="6">
        <v>133</v>
      </c>
      <c r="F1189" s="6">
        <v>497</v>
      </c>
      <c r="G1189" s="6">
        <v>79</v>
      </c>
      <c r="H1189" s="6">
        <v>18262</v>
      </c>
      <c r="I1189" s="6">
        <v>35</v>
      </c>
      <c r="J1189" s="6">
        <v>25</v>
      </c>
      <c r="K1189" s="6">
        <v>488</v>
      </c>
      <c r="L1189" s="6">
        <v>306</v>
      </c>
      <c r="M1189" s="6">
        <v>18.333333329999999</v>
      </c>
      <c r="N1189">
        <f>VLOOKUP(A1189,vlookup_table!$A:$G,2,FALSE)</f>
        <v>0</v>
      </c>
      <c r="O1189" t="str">
        <f>VLOOKUP(A1189,vlookup_table!$A:$G,3,FALSE)</f>
        <v>CA</v>
      </c>
      <c r="P1189">
        <f>VLOOKUP(A1189,vlookup_table!$A:$G,4,FALSE)</f>
        <v>4911</v>
      </c>
      <c r="Q1189" t="str">
        <f>VLOOKUP(A1189,vlookup_table!$A:$G,5,FALSE)</f>
        <v>U1</v>
      </c>
      <c r="R1189" t="str">
        <f>VLOOKUP(A1189,vlookup_table!$A:$G,6,FALSE)</f>
        <v>F</v>
      </c>
      <c r="S1189">
        <f>VLOOKUP(A1189,vlookup_table!$A:$G,7,FALSE)</f>
        <v>20</v>
      </c>
      <c r="T1189">
        <f t="shared" si="36"/>
        <v>47</v>
      </c>
      <c r="U1189" t="str">
        <f t="shared" si="37"/>
        <v>Urbano</v>
      </c>
    </row>
    <row r="1190" spans="1:21" ht="16" x14ac:dyDescent="0.4">
      <c r="A1190" s="6">
        <v>40351</v>
      </c>
      <c r="B1190" s="6" t="s">
        <v>13</v>
      </c>
      <c r="C1190" s="6"/>
      <c r="D1190" s="6">
        <v>1074</v>
      </c>
      <c r="E1190" s="6">
        <v>505</v>
      </c>
      <c r="F1190" s="6">
        <v>553</v>
      </c>
      <c r="G1190" s="6">
        <v>4</v>
      </c>
      <c r="H1190" s="6">
        <v>16470</v>
      </c>
      <c r="I1190" s="6">
        <v>5</v>
      </c>
      <c r="J1190" s="6">
        <v>26</v>
      </c>
      <c r="K1190" s="6">
        <v>524</v>
      </c>
      <c r="L1190" s="6">
        <v>528</v>
      </c>
      <c r="M1190" s="6">
        <v>28</v>
      </c>
      <c r="N1190">
        <f>VLOOKUP(A1190,vlookup_table!$A:$G,2,FALSE)</f>
        <v>0</v>
      </c>
      <c r="O1190" t="str">
        <f>VLOOKUP(A1190,vlookup_table!$A:$G,3,FALSE)</f>
        <v>FL</v>
      </c>
      <c r="P1190">
        <f>VLOOKUP(A1190,vlookup_table!$A:$G,4,FALSE)</f>
        <v>0</v>
      </c>
      <c r="Q1190" t="str">
        <f>VLOOKUP(A1190,vlookup_table!$A:$G,5,FALSE)</f>
        <v>S2</v>
      </c>
      <c r="R1190" t="str">
        <f>VLOOKUP(A1190,vlookup_table!$A:$G,6,FALSE)</f>
        <v/>
      </c>
      <c r="S1190">
        <f>VLOOKUP(A1190,vlookup_table!$A:$G,7,FALSE)</f>
        <v>30</v>
      </c>
      <c r="T1190">
        <f t="shared" si="36"/>
        <v>96</v>
      </c>
      <c r="U1190" t="str">
        <f t="shared" si="37"/>
        <v>Suburbano</v>
      </c>
    </row>
    <row r="1191" spans="1:21" ht="16" x14ac:dyDescent="0.4">
      <c r="A1191" s="6">
        <v>43321</v>
      </c>
      <c r="B1191" s="6" t="s">
        <v>13</v>
      </c>
      <c r="C1191" s="6"/>
      <c r="D1191" s="6">
        <v>1452</v>
      </c>
      <c r="E1191" s="6">
        <v>352</v>
      </c>
      <c r="F1191" s="6">
        <v>467</v>
      </c>
      <c r="G1191" s="6">
        <v>12</v>
      </c>
      <c r="H1191" s="6">
        <v>20619</v>
      </c>
      <c r="I1191" s="6">
        <v>4</v>
      </c>
      <c r="J1191" s="6">
        <v>5</v>
      </c>
      <c r="K1191" s="6">
        <v>397</v>
      </c>
      <c r="L1191" s="6">
        <v>410</v>
      </c>
      <c r="M1191" s="6">
        <v>25</v>
      </c>
      <c r="N1191">
        <f>VLOOKUP(A1191,vlookup_table!$A:$G,2,FALSE)</f>
        <v>0</v>
      </c>
      <c r="O1191" t="str">
        <f>VLOOKUP(A1191,vlookup_table!$A:$G,3,FALSE)</f>
        <v>FL</v>
      </c>
      <c r="P1191">
        <f>VLOOKUP(A1191,vlookup_table!$A:$G,4,FALSE)</f>
        <v>2301</v>
      </c>
      <c r="Q1191" t="str">
        <f>VLOOKUP(A1191,vlookup_table!$A:$G,5,FALSE)</f>
        <v>C1</v>
      </c>
      <c r="R1191" t="str">
        <f>VLOOKUP(A1191,vlookup_table!$A:$G,6,FALSE)</f>
        <v/>
      </c>
      <c r="S1191">
        <f>VLOOKUP(A1191,vlookup_table!$A:$G,7,FALSE)</f>
        <v>25</v>
      </c>
      <c r="T1191">
        <f t="shared" si="36"/>
        <v>73</v>
      </c>
      <c r="U1191" t="str">
        <f t="shared" si="37"/>
        <v>Ciudad</v>
      </c>
    </row>
    <row r="1192" spans="1:21" ht="16" x14ac:dyDescent="0.4">
      <c r="A1192" s="6">
        <v>14009</v>
      </c>
      <c r="B1192" s="6" t="s">
        <v>26</v>
      </c>
      <c r="C1192" s="6" t="s">
        <v>17</v>
      </c>
      <c r="D1192" s="6">
        <v>813</v>
      </c>
      <c r="E1192" s="6">
        <v>246</v>
      </c>
      <c r="F1192" s="6">
        <v>313</v>
      </c>
      <c r="G1192" s="6">
        <v>6</v>
      </c>
      <c r="H1192" s="6">
        <v>11406</v>
      </c>
      <c r="I1192" s="6">
        <v>4</v>
      </c>
      <c r="J1192" s="6">
        <v>65</v>
      </c>
      <c r="K1192" s="6">
        <v>263</v>
      </c>
      <c r="L1192" s="6">
        <v>297</v>
      </c>
      <c r="M1192" s="6">
        <v>9.25</v>
      </c>
      <c r="N1192">
        <f>VLOOKUP(A1192,vlookup_table!$A:$G,2,FALSE)</f>
        <v>0</v>
      </c>
      <c r="O1192" t="str">
        <f>VLOOKUP(A1192,vlookup_table!$A:$G,3,FALSE)</f>
        <v>MI</v>
      </c>
      <c r="P1192">
        <f>VLOOKUP(A1192,vlookup_table!$A:$G,4,FALSE)</f>
        <v>3401</v>
      </c>
      <c r="Q1192" t="str">
        <f>VLOOKUP(A1192,vlookup_table!$A:$G,5,FALSE)</f>
        <v/>
      </c>
      <c r="R1192" t="str">
        <f>VLOOKUP(A1192,vlookup_table!$A:$G,6,FALSE)</f>
        <v>F</v>
      </c>
      <c r="S1192">
        <f>VLOOKUP(A1192,vlookup_table!$A:$G,7,FALSE)</f>
        <v>3</v>
      </c>
      <c r="T1192">
        <f t="shared" si="36"/>
        <v>62</v>
      </c>
      <c r="U1192" t="str">
        <f t="shared" si="37"/>
        <v/>
      </c>
    </row>
    <row r="1193" spans="1:21" ht="16" x14ac:dyDescent="0.4">
      <c r="A1193" s="6">
        <v>187517</v>
      </c>
      <c r="B1193" s="6" t="s">
        <v>20</v>
      </c>
      <c r="C1193" s="6" t="s">
        <v>14</v>
      </c>
      <c r="D1193" s="6">
        <v>333</v>
      </c>
      <c r="E1193" s="6">
        <v>205</v>
      </c>
      <c r="F1193" s="6">
        <v>319</v>
      </c>
      <c r="G1193" s="6">
        <v>0</v>
      </c>
      <c r="H1193" s="6">
        <v>10286</v>
      </c>
      <c r="I1193" s="6">
        <v>1</v>
      </c>
      <c r="J1193" s="6">
        <v>81</v>
      </c>
      <c r="K1193" s="6">
        <v>219</v>
      </c>
      <c r="L1193" s="6">
        <v>278</v>
      </c>
      <c r="M1193" s="6">
        <v>16.428571430000002</v>
      </c>
      <c r="N1193">
        <f>VLOOKUP(A1193,vlookup_table!$A:$G,2,FALSE)</f>
        <v>1</v>
      </c>
      <c r="O1193" t="str">
        <f>VLOOKUP(A1193,vlookup_table!$A:$G,3,FALSE)</f>
        <v>TX</v>
      </c>
      <c r="P1193">
        <f>VLOOKUP(A1193,vlookup_table!$A:$G,4,FALSE)</f>
        <v>0</v>
      </c>
      <c r="Q1193" t="str">
        <f>VLOOKUP(A1193,vlookup_table!$A:$G,5,FALSE)</f>
        <v>R2</v>
      </c>
      <c r="R1193" t="str">
        <f>VLOOKUP(A1193,vlookup_table!$A:$G,6,FALSE)</f>
        <v>M</v>
      </c>
      <c r="S1193">
        <f>VLOOKUP(A1193,vlookup_table!$A:$G,7,FALSE)</f>
        <v>25</v>
      </c>
      <c r="T1193">
        <f t="shared" si="36"/>
        <v>96</v>
      </c>
      <c r="U1193" t="str">
        <f t="shared" si="37"/>
        <v>Rural</v>
      </c>
    </row>
    <row r="1194" spans="1:21" ht="16" x14ac:dyDescent="0.4">
      <c r="A1194" s="6">
        <v>22924</v>
      </c>
      <c r="B1194" s="6" t="s">
        <v>43</v>
      </c>
      <c r="C1194" s="6" t="s">
        <v>17</v>
      </c>
      <c r="D1194" s="6">
        <v>536</v>
      </c>
      <c r="E1194" s="6">
        <v>261</v>
      </c>
      <c r="F1194" s="6">
        <v>307</v>
      </c>
      <c r="G1194" s="6">
        <v>0</v>
      </c>
      <c r="H1194" s="6">
        <v>8438</v>
      </c>
      <c r="I1194" s="6">
        <v>0</v>
      </c>
      <c r="J1194" s="6">
        <v>88</v>
      </c>
      <c r="K1194" s="6">
        <v>296</v>
      </c>
      <c r="L1194" s="6">
        <v>278</v>
      </c>
      <c r="M1194" s="6">
        <v>4.9444444440000002</v>
      </c>
      <c r="N1194">
        <f>VLOOKUP(A1194,vlookup_table!$A:$G,2,FALSE)</f>
        <v>2</v>
      </c>
      <c r="O1194" t="str">
        <f>VLOOKUP(A1194,vlookup_table!$A:$G,3,FALSE)</f>
        <v>SC</v>
      </c>
      <c r="P1194">
        <f>VLOOKUP(A1194,vlookup_table!$A:$G,4,FALSE)</f>
        <v>2101</v>
      </c>
      <c r="Q1194" t="str">
        <f>VLOOKUP(A1194,vlookup_table!$A:$G,5,FALSE)</f>
        <v>C3</v>
      </c>
      <c r="R1194" t="str">
        <f>VLOOKUP(A1194,vlookup_table!$A:$G,6,FALSE)</f>
        <v>F</v>
      </c>
      <c r="S1194">
        <f>VLOOKUP(A1194,vlookup_table!$A:$G,7,FALSE)</f>
        <v>10</v>
      </c>
      <c r="T1194">
        <f t="shared" si="36"/>
        <v>75</v>
      </c>
      <c r="U1194" t="str">
        <f t="shared" si="37"/>
        <v>Ciudad</v>
      </c>
    </row>
    <row r="1195" spans="1:21" ht="16" x14ac:dyDescent="0.4">
      <c r="A1195" s="6">
        <v>65124</v>
      </c>
      <c r="B1195" s="6" t="s">
        <v>26</v>
      </c>
      <c r="C1195" s="6" t="s">
        <v>17</v>
      </c>
      <c r="D1195" s="6">
        <v>850</v>
      </c>
      <c r="E1195" s="6">
        <v>484</v>
      </c>
      <c r="F1195" s="6">
        <v>495</v>
      </c>
      <c r="G1195" s="6">
        <v>2</v>
      </c>
      <c r="H1195" s="6">
        <v>17174</v>
      </c>
      <c r="I1195" s="6">
        <v>0</v>
      </c>
      <c r="J1195" s="6">
        <v>88</v>
      </c>
      <c r="K1195" s="6">
        <v>501</v>
      </c>
      <c r="L1195" s="6">
        <v>465</v>
      </c>
      <c r="M1195" s="6">
        <v>8.230769231</v>
      </c>
      <c r="N1195">
        <f>VLOOKUP(A1195,vlookup_table!$A:$G,2,FALSE)</f>
        <v>0</v>
      </c>
      <c r="O1195" t="str">
        <f>VLOOKUP(A1195,vlookup_table!$A:$G,3,FALSE)</f>
        <v>MI</v>
      </c>
      <c r="P1195">
        <f>VLOOKUP(A1195,vlookup_table!$A:$G,4,FALSE)</f>
        <v>0</v>
      </c>
      <c r="Q1195" t="str">
        <f>VLOOKUP(A1195,vlookup_table!$A:$G,5,FALSE)</f>
        <v>T2</v>
      </c>
      <c r="R1195" t="str">
        <f>VLOOKUP(A1195,vlookup_table!$A:$G,6,FALSE)</f>
        <v>F</v>
      </c>
      <c r="S1195">
        <f>VLOOKUP(A1195,vlookup_table!$A:$G,7,FALSE)</f>
        <v>5</v>
      </c>
      <c r="T1195">
        <f t="shared" si="36"/>
        <v>96</v>
      </c>
      <c r="U1195" t="str">
        <f t="shared" si="37"/>
        <v>Pueblo</v>
      </c>
    </row>
    <row r="1196" spans="1:21" ht="16" x14ac:dyDescent="0.4">
      <c r="A1196" s="6">
        <v>98437</v>
      </c>
      <c r="B1196" s="6" t="s">
        <v>16</v>
      </c>
      <c r="C1196" s="6" t="s">
        <v>17</v>
      </c>
      <c r="D1196" s="6">
        <v>443</v>
      </c>
      <c r="E1196" s="6">
        <v>268</v>
      </c>
      <c r="F1196" s="6">
        <v>380</v>
      </c>
      <c r="G1196" s="6">
        <v>0</v>
      </c>
      <c r="H1196" s="6">
        <v>12966</v>
      </c>
      <c r="I1196" s="6">
        <v>1</v>
      </c>
      <c r="J1196" s="6">
        <v>87</v>
      </c>
      <c r="K1196" s="6">
        <v>347</v>
      </c>
      <c r="L1196" s="6">
        <v>320</v>
      </c>
      <c r="M1196" s="6">
        <v>5.7272727269999999</v>
      </c>
      <c r="N1196">
        <f>VLOOKUP(A1196,vlookup_table!$A:$G,2,FALSE)</f>
        <v>0</v>
      </c>
      <c r="O1196" t="str">
        <f>VLOOKUP(A1196,vlookup_table!$A:$G,3,FALSE)</f>
        <v>IL</v>
      </c>
      <c r="P1196">
        <f>VLOOKUP(A1196,vlookup_table!$A:$G,4,FALSE)</f>
        <v>201</v>
      </c>
      <c r="Q1196" t="str">
        <f>VLOOKUP(A1196,vlookup_table!$A:$G,5,FALSE)</f>
        <v>R2</v>
      </c>
      <c r="R1196" t="str">
        <f>VLOOKUP(A1196,vlookup_table!$A:$G,6,FALSE)</f>
        <v>F</v>
      </c>
      <c r="S1196">
        <f>VLOOKUP(A1196,vlookup_table!$A:$G,7,FALSE)</f>
        <v>10</v>
      </c>
      <c r="T1196">
        <f t="shared" si="36"/>
        <v>76</v>
      </c>
      <c r="U1196" t="str">
        <f t="shared" si="37"/>
        <v>Rural</v>
      </c>
    </row>
    <row r="1197" spans="1:21" ht="16" x14ac:dyDescent="0.4">
      <c r="A1197" s="6">
        <v>54369</v>
      </c>
      <c r="B1197" s="6" t="s">
        <v>56</v>
      </c>
      <c r="C1197" s="6" t="s">
        <v>14</v>
      </c>
      <c r="D1197" s="6">
        <v>467</v>
      </c>
      <c r="E1197" s="6">
        <v>206</v>
      </c>
      <c r="F1197" s="6">
        <v>308</v>
      </c>
      <c r="G1197" s="6">
        <v>1</v>
      </c>
      <c r="H1197" s="6">
        <v>9725</v>
      </c>
      <c r="I1197" s="6">
        <v>0</v>
      </c>
      <c r="J1197" s="6">
        <v>83</v>
      </c>
      <c r="K1197" s="6">
        <v>261</v>
      </c>
      <c r="L1197" s="6">
        <v>260</v>
      </c>
      <c r="M1197" s="6">
        <v>6.6666666670000003</v>
      </c>
      <c r="N1197">
        <f>VLOOKUP(A1197,vlookup_table!$A:$G,2,FALSE)</f>
        <v>1</v>
      </c>
      <c r="O1197" t="str">
        <f>VLOOKUP(A1197,vlookup_table!$A:$G,3,FALSE)</f>
        <v>MS</v>
      </c>
      <c r="P1197">
        <f>VLOOKUP(A1197,vlookup_table!$A:$G,4,FALSE)</f>
        <v>0</v>
      </c>
      <c r="Q1197" t="str">
        <f>VLOOKUP(A1197,vlookup_table!$A:$G,5,FALSE)</f>
        <v>R2</v>
      </c>
      <c r="R1197" t="str">
        <f>VLOOKUP(A1197,vlookup_table!$A:$G,6,FALSE)</f>
        <v>M</v>
      </c>
      <c r="S1197">
        <f>VLOOKUP(A1197,vlookup_table!$A:$G,7,FALSE)</f>
        <v>6</v>
      </c>
      <c r="T1197">
        <f t="shared" si="36"/>
        <v>96</v>
      </c>
      <c r="U1197" t="str">
        <f t="shared" si="37"/>
        <v>Rural</v>
      </c>
    </row>
    <row r="1198" spans="1:21" ht="16" x14ac:dyDescent="0.4">
      <c r="A1198" s="6">
        <v>155856</v>
      </c>
      <c r="B1198" s="6" t="s">
        <v>21</v>
      </c>
      <c r="C1198" s="6" t="s">
        <v>17</v>
      </c>
      <c r="D1198" s="6">
        <v>1207</v>
      </c>
      <c r="E1198" s="6">
        <v>284</v>
      </c>
      <c r="F1198" s="6">
        <v>488</v>
      </c>
      <c r="G1198" s="6">
        <v>8</v>
      </c>
      <c r="H1198" s="6">
        <v>19872</v>
      </c>
      <c r="I1198" s="6">
        <v>12</v>
      </c>
      <c r="J1198" s="6">
        <v>46</v>
      </c>
      <c r="K1198" s="6">
        <v>303</v>
      </c>
      <c r="L1198" s="6">
        <v>458</v>
      </c>
      <c r="M1198" s="6">
        <v>7.25</v>
      </c>
      <c r="N1198">
        <f>VLOOKUP(A1198,vlookup_table!$A:$G,2,FALSE)</f>
        <v>0</v>
      </c>
      <c r="O1198" t="str">
        <f>VLOOKUP(A1198,vlookup_table!$A:$G,3,FALSE)</f>
        <v>CA</v>
      </c>
      <c r="P1198">
        <f>VLOOKUP(A1198,vlookup_table!$A:$G,4,FALSE)</f>
        <v>1501</v>
      </c>
      <c r="Q1198" t="str">
        <f>VLOOKUP(A1198,vlookup_table!$A:$G,5,FALSE)</f>
        <v>C2</v>
      </c>
      <c r="R1198" t="str">
        <f>VLOOKUP(A1198,vlookup_table!$A:$G,6,FALSE)</f>
        <v>F</v>
      </c>
      <c r="S1198">
        <f>VLOOKUP(A1198,vlookup_table!$A:$G,7,FALSE)</f>
        <v>10</v>
      </c>
      <c r="T1198">
        <f t="shared" si="36"/>
        <v>81</v>
      </c>
      <c r="U1198" t="str">
        <f t="shared" si="37"/>
        <v>Ciudad</v>
      </c>
    </row>
    <row r="1199" spans="1:21" ht="16" x14ac:dyDescent="0.4">
      <c r="A1199" s="6">
        <v>107321</v>
      </c>
      <c r="B1199" s="6" t="s">
        <v>55</v>
      </c>
      <c r="C1199" s="6" t="s">
        <v>14</v>
      </c>
      <c r="D1199" s="6">
        <v>490</v>
      </c>
      <c r="E1199" s="6">
        <v>250</v>
      </c>
      <c r="F1199" s="6">
        <v>345</v>
      </c>
      <c r="G1199" s="6">
        <v>0</v>
      </c>
      <c r="H1199" s="6">
        <v>11320</v>
      </c>
      <c r="I1199" s="6">
        <v>2</v>
      </c>
      <c r="J1199" s="6">
        <v>84</v>
      </c>
      <c r="K1199" s="6">
        <v>299</v>
      </c>
      <c r="L1199" s="6">
        <v>288</v>
      </c>
      <c r="M1199" s="6">
        <v>3.269230769</v>
      </c>
      <c r="N1199">
        <f>VLOOKUP(A1199,vlookup_table!$A:$G,2,FALSE)</f>
        <v>1</v>
      </c>
      <c r="O1199" t="str">
        <f>VLOOKUP(A1199,vlookup_table!$A:$G,3,FALSE)</f>
        <v>NE</v>
      </c>
      <c r="P1199">
        <f>VLOOKUP(A1199,vlookup_table!$A:$G,4,FALSE)</f>
        <v>5201</v>
      </c>
      <c r="Q1199" t="str">
        <f>VLOOKUP(A1199,vlookup_table!$A:$G,5,FALSE)</f>
        <v>T2</v>
      </c>
      <c r="R1199" t="str">
        <f>VLOOKUP(A1199,vlookup_table!$A:$G,6,FALSE)</f>
        <v>M</v>
      </c>
      <c r="S1199">
        <f>VLOOKUP(A1199,vlookup_table!$A:$G,7,FALSE)</f>
        <v>20</v>
      </c>
      <c r="T1199">
        <f t="shared" si="36"/>
        <v>44</v>
      </c>
      <c r="U1199" t="str">
        <f t="shared" si="37"/>
        <v>Pueblo</v>
      </c>
    </row>
    <row r="1200" spans="1:21" ht="16" x14ac:dyDescent="0.4">
      <c r="A1200" s="6">
        <v>139500</v>
      </c>
      <c r="B1200" s="6" t="s">
        <v>50</v>
      </c>
      <c r="C1200" s="6" t="s">
        <v>17</v>
      </c>
      <c r="D1200" s="6">
        <v>805</v>
      </c>
      <c r="E1200" s="6">
        <v>207</v>
      </c>
      <c r="F1200" s="6">
        <v>289</v>
      </c>
      <c r="G1200" s="6">
        <v>0</v>
      </c>
      <c r="H1200" s="6">
        <v>10226</v>
      </c>
      <c r="I1200" s="6">
        <v>5</v>
      </c>
      <c r="J1200" s="6">
        <v>49</v>
      </c>
      <c r="K1200" s="6">
        <v>243</v>
      </c>
      <c r="L1200" s="6">
        <v>237</v>
      </c>
      <c r="M1200" s="6">
        <v>8.2666666670000009</v>
      </c>
      <c r="N1200">
        <f>VLOOKUP(A1200,vlookup_table!$A:$G,2,FALSE)</f>
        <v>0</v>
      </c>
      <c r="O1200" t="str">
        <f>VLOOKUP(A1200,vlookup_table!$A:$G,3,FALSE)</f>
        <v>NM</v>
      </c>
      <c r="P1200">
        <f>VLOOKUP(A1200,vlookup_table!$A:$G,4,FALSE)</f>
        <v>1610</v>
      </c>
      <c r="Q1200" t="str">
        <f>VLOOKUP(A1200,vlookup_table!$A:$G,5,FALSE)</f>
        <v>U2</v>
      </c>
      <c r="R1200" t="str">
        <f>VLOOKUP(A1200,vlookup_table!$A:$G,6,FALSE)</f>
        <v>F</v>
      </c>
      <c r="S1200">
        <f>VLOOKUP(A1200,vlookup_table!$A:$G,7,FALSE)</f>
        <v>20</v>
      </c>
      <c r="T1200">
        <f t="shared" si="36"/>
        <v>80</v>
      </c>
      <c r="U1200" t="str">
        <f t="shared" si="37"/>
        <v>Urbano</v>
      </c>
    </row>
    <row r="1201" spans="1:21" ht="16" x14ac:dyDescent="0.4">
      <c r="A1201" s="6">
        <v>108381</v>
      </c>
      <c r="B1201" s="6" t="s">
        <v>46</v>
      </c>
      <c r="C1201" s="6" t="s">
        <v>14</v>
      </c>
      <c r="D1201" s="6">
        <v>638</v>
      </c>
      <c r="E1201" s="6">
        <v>220</v>
      </c>
      <c r="F1201" s="6">
        <v>291</v>
      </c>
      <c r="G1201" s="6">
        <v>0</v>
      </c>
      <c r="H1201" s="6">
        <v>11076</v>
      </c>
      <c r="I1201" s="6">
        <v>19</v>
      </c>
      <c r="J1201" s="6">
        <v>54</v>
      </c>
      <c r="K1201" s="6">
        <v>243</v>
      </c>
      <c r="L1201" s="6">
        <v>255</v>
      </c>
      <c r="M1201" s="6">
        <v>15.66666667</v>
      </c>
      <c r="N1201">
        <f>VLOOKUP(A1201,vlookup_table!$A:$G,2,FALSE)</f>
        <v>1</v>
      </c>
      <c r="O1201" t="str">
        <f>VLOOKUP(A1201,vlookup_table!$A:$G,3,FALSE)</f>
        <v>LA</v>
      </c>
      <c r="P1201">
        <f>VLOOKUP(A1201,vlookup_table!$A:$G,4,FALSE)</f>
        <v>0</v>
      </c>
      <c r="Q1201" t="str">
        <f>VLOOKUP(A1201,vlookup_table!$A:$G,5,FALSE)</f>
        <v>U2</v>
      </c>
      <c r="R1201" t="str">
        <f>VLOOKUP(A1201,vlookup_table!$A:$G,6,FALSE)</f>
        <v>M</v>
      </c>
      <c r="S1201">
        <f>VLOOKUP(A1201,vlookup_table!$A:$G,7,FALSE)</f>
        <v>20</v>
      </c>
      <c r="T1201">
        <f t="shared" si="36"/>
        <v>96</v>
      </c>
      <c r="U1201" t="str">
        <f t="shared" si="37"/>
        <v>Urbano</v>
      </c>
    </row>
    <row r="1202" spans="1:21" ht="16" x14ac:dyDescent="0.4">
      <c r="A1202" s="6">
        <v>129653</v>
      </c>
      <c r="B1202" s="6" t="s">
        <v>45</v>
      </c>
      <c r="C1202" s="6" t="s">
        <v>14</v>
      </c>
      <c r="D1202" s="6">
        <v>1208</v>
      </c>
      <c r="E1202" s="6">
        <v>571</v>
      </c>
      <c r="F1202" s="6">
        <v>660</v>
      </c>
      <c r="G1202" s="6">
        <v>2</v>
      </c>
      <c r="H1202" s="6">
        <v>20295</v>
      </c>
      <c r="I1202" s="6">
        <v>2</v>
      </c>
      <c r="J1202" s="6">
        <v>38</v>
      </c>
      <c r="K1202" s="6">
        <v>594</v>
      </c>
      <c r="L1202" s="6">
        <v>616</v>
      </c>
      <c r="M1202" s="6">
        <v>15</v>
      </c>
      <c r="N1202">
        <f>VLOOKUP(A1202,vlookup_table!$A:$G,2,FALSE)</f>
        <v>1</v>
      </c>
      <c r="O1202" t="str">
        <f>VLOOKUP(A1202,vlookup_table!$A:$G,3,FALSE)</f>
        <v>CO</v>
      </c>
      <c r="P1202">
        <f>VLOOKUP(A1202,vlookup_table!$A:$G,4,FALSE)</f>
        <v>5201</v>
      </c>
      <c r="Q1202" t="str">
        <f>VLOOKUP(A1202,vlookup_table!$A:$G,5,FALSE)</f>
        <v>S1</v>
      </c>
      <c r="R1202" t="str">
        <f>VLOOKUP(A1202,vlookup_table!$A:$G,6,FALSE)</f>
        <v>M</v>
      </c>
      <c r="S1202">
        <f>VLOOKUP(A1202,vlookup_table!$A:$G,7,FALSE)</f>
        <v>15</v>
      </c>
      <c r="T1202">
        <f t="shared" si="36"/>
        <v>44</v>
      </c>
      <c r="U1202" t="str">
        <f t="shared" si="37"/>
        <v>Suburbano</v>
      </c>
    </row>
    <row r="1203" spans="1:21" ht="16" x14ac:dyDescent="0.4">
      <c r="A1203" s="6">
        <v>102795</v>
      </c>
      <c r="B1203" s="6" t="s">
        <v>33</v>
      </c>
      <c r="C1203" s="6" t="s">
        <v>14</v>
      </c>
      <c r="D1203" s="6">
        <v>198</v>
      </c>
      <c r="E1203" s="6">
        <v>208</v>
      </c>
      <c r="F1203" s="6">
        <v>297</v>
      </c>
      <c r="G1203" s="6">
        <v>0</v>
      </c>
      <c r="H1203" s="6">
        <v>9961</v>
      </c>
      <c r="I1203" s="6">
        <v>0</v>
      </c>
      <c r="J1203" s="6">
        <v>86</v>
      </c>
      <c r="K1203" s="6">
        <v>252</v>
      </c>
      <c r="L1203" s="6">
        <v>261</v>
      </c>
      <c r="M1203" s="6">
        <v>15</v>
      </c>
      <c r="N1203">
        <f>VLOOKUP(A1203,vlookup_table!$A:$G,2,FALSE)</f>
        <v>1</v>
      </c>
      <c r="O1203" t="str">
        <f>VLOOKUP(A1203,vlookup_table!$A:$G,3,FALSE)</f>
        <v>MO</v>
      </c>
      <c r="P1203">
        <f>VLOOKUP(A1203,vlookup_table!$A:$G,4,FALSE)</f>
        <v>2001</v>
      </c>
      <c r="Q1203" t="str">
        <f>VLOOKUP(A1203,vlookup_table!$A:$G,5,FALSE)</f>
        <v>R3</v>
      </c>
      <c r="R1203" t="str">
        <f>VLOOKUP(A1203,vlookup_table!$A:$G,6,FALSE)</f>
        <v>M</v>
      </c>
      <c r="S1203">
        <f>VLOOKUP(A1203,vlookup_table!$A:$G,7,FALSE)</f>
        <v>10</v>
      </c>
      <c r="T1203">
        <f t="shared" si="36"/>
        <v>76</v>
      </c>
      <c r="U1203" t="str">
        <f t="shared" si="37"/>
        <v>Rural</v>
      </c>
    </row>
    <row r="1204" spans="1:21" ht="16" x14ac:dyDescent="0.4">
      <c r="A1204" s="6">
        <v>178085</v>
      </c>
      <c r="B1204" s="6" t="s">
        <v>47</v>
      </c>
      <c r="C1204" s="6" t="s">
        <v>14</v>
      </c>
      <c r="D1204" s="6">
        <v>443</v>
      </c>
      <c r="E1204" s="6">
        <v>204</v>
      </c>
      <c r="F1204" s="6">
        <v>267</v>
      </c>
      <c r="G1204" s="6">
        <v>0</v>
      </c>
      <c r="H1204" s="6">
        <v>9473</v>
      </c>
      <c r="I1204" s="6">
        <v>5</v>
      </c>
      <c r="J1204" s="6">
        <v>21</v>
      </c>
      <c r="K1204" s="6">
        <v>218</v>
      </c>
      <c r="L1204" s="6">
        <v>232</v>
      </c>
      <c r="M1204" s="6">
        <v>10.42857143</v>
      </c>
      <c r="N1204">
        <f>VLOOKUP(A1204,vlookup_table!$A:$G,2,FALSE)</f>
        <v>2</v>
      </c>
      <c r="O1204" t="str">
        <f>VLOOKUP(A1204,vlookup_table!$A:$G,3,FALSE)</f>
        <v>OR</v>
      </c>
      <c r="P1204">
        <f>VLOOKUP(A1204,vlookup_table!$A:$G,4,FALSE)</f>
        <v>4403</v>
      </c>
      <c r="Q1204" t="str">
        <f>VLOOKUP(A1204,vlookup_table!$A:$G,5,FALSE)</f>
        <v>T2</v>
      </c>
      <c r="R1204" t="str">
        <f>VLOOKUP(A1204,vlookup_table!$A:$G,6,FALSE)</f>
        <v>M</v>
      </c>
      <c r="S1204">
        <f>VLOOKUP(A1204,vlookup_table!$A:$G,7,FALSE)</f>
        <v>20</v>
      </c>
      <c r="T1204">
        <f t="shared" si="36"/>
        <v>52</v>
      </c>
      <c r="U1204" t="str">
        <f t="shared" si="37"/>
        <v>Pueblo</v>
      </c>
    </row>
    <row r="1205" spans="1:21" ht="16" x14ac:dyDescent="0.4">
      <c r="A1205" s="6">
        <v>12819</v>
      </c>
      <c r="B1205" s="6" t="s">
        <v>33</v>
      </c>
      <c r="C1205" s="6" t="s">
        <v>17</v>
      </c>
      <c r="D1205" s="6">
        <v>1284</v>
      </c>
      <c r="E1205" s="6">
        <v>410</v>
      </c>
      <c r="F1205" s="6">
        <v>642</v>
      </c>
      <c r="G1205" s="6">
        <v>35</v>
      </c>
      <c r="H1205" s="6">
        <v>24921</v>
      </c>
      <c r="I1205" s="6">
        <v>3</v>
      </c>
      <c r="J1205" s="6">
        <v>74</v>
      </c>
      <c r="K1205" s="6">
        <v>539</v>
      </c>
      <c r="L1205" s="6">
        <v>532</v>
      </c>
      <c r="M1205" s="6">
        <v>13.44444444</v>
      </c>
      <c r="N1205">
        <f>VLOOKUP(A1205,vlookup_table!$A:$G,2,FALSE)</f>
        <v>3</v>
      </c>
      <c r="O1205" t="str">
        <f>VLOOKUP(A1205,vlookup_table!$A:$G,3,FALSE)</f>
        <v>MO</v>
      </c>
      <c r="P1205">
        <f>VLOOKUP(A1205,vlookup_table!$A:$G,4,FALSE)</f>
        <v>1101</v>
      </c>
      <c r="Q1205" t="str">
        <f>VLOOKUP(A1205,vlookup_table!$A:$G,5,FALSE)</f>
        <v>S1</v>
      </c>
      <c r="R1205" t="str">
        <f>VLOOKUP(A1205,vlookup_table!$A:$G,6,FALSE)</f>
        <v>F</v>
      </c>
      <c r="S1205">
        <f>VLOOKUP(A1205,vlookup_table!$A:$G,7,FALSE)</f>
        <v>20</v>
      </c>
      <c r="T1205">
        <f t="shared" si="36"/>
        <v>85</v>
      </c>
      <c r="U1205" t="str">
        <f t="shared" si="37"/>
        <v>Suburbano</v>
      </c>
    </row>
    <row r="1206" spans="1:21" ht="16" x14ac:dyDescent="0.4">
      <c r="A1206" s="6">
        <v>99543</v>
      </c>
      <c r="B1206" s="6" t="s">
        <v>33</v>
      </c>
      <c r="C1206" s="6" t="s">
        <v>14</v>
      </c>
      <c r="D1206" s="6">
        <v>675</v>
      </c>
      <c r="E1206" s="6">
        <v>312</v>
      </c>
      <c r="F1206" s="6">
        <v>365</v>
      </c>
      <c r="G1206" s="6">
        <v>1</v>
      </c>
      <c r="H1206" s="6">
        <v>10538</v>
      </c>
      <c r="I1206" s="6">
        <v>1</v>
      </c>
      <c r="J1206" s="6">
        <v>81</v>
      </c>
      <c r="K1206" s="6">
        <v>352</v>
      </c>
      <c r="L1206" s="6">
        <v>343</v>
      </c>
      <c r="M1206" s="6">
        <v>5.7857142860000002</v>
      </c>
      <c r="N1206">
        <f>VLOOKUP(A1206,vlookup_table!$A:$G,2,FALSE)</f>
        <v>0</v>
      </c>
      <c r="O1206" t="str">
        <f>VLOOKUP(A1206,vlookup_table!$A:$G,3,FALSE)</f>
        <v>MO</v>
      </c>
      <c r="P1206">
        <f>VLOOKUP(A1206,vlookup_table!$A:$G,4,FALSE)</f>
        <v>2301</v>
      </c>
      <c r="Q1206" t="str">
        <f>VLOOKUP(A1206,vlookup_table!$A:$G,5,FALSE)</f>
        <v>R2</v>
      </c>
      <c r="R1206" t="str">
        <f>VLOOKUP(A1206,vlookup_table!$A:$G,6,FALSE)</f>
        <v>M</v>
      </c>
      <c r="S1206">
        <f>VLOOKUP(A1206,vlookup_table!$A:$G,7,FALSE)</f>
        <v>15</v>
      </c>
      <c r="T1206">
        <f t="shared" si="36"/>
        <v>73</v>
      </c>
      <c r="U1206" t="str">
        <f t="shared" si="37"/>
        <v>Rural</v>
      </c>
    </row>
    <row r="1207" spans="1:21" ht="16" x14ac:dyDescent="0.4">
      <c r="A1207" s="6">
        <v>65804</v>
      </c>
      <c r="B1207" s="6" t="s">
        <v>26</v>
      </c>
      <c r="C1207" s="6" t="s">
        <v>17</v>
      </c>
      <c r="D1207" s="6">
        <v>668</v>
      </c>
      <c r="E1207" s="6">
        <v>272</v>
      </c>
      <c r="F1207" s="6">
        <v>391</v>
      </c>
      <c r="G1207" s="6">
        <v>0</v>
      </c>
      <c r="H1207" s="6">
        <v>17206</v>
      </c>
      <c r="I1207" s="6">
        <v>11</v>
      </c>
      <c r="J1207" s="6">
        <v>75</v>
      </c>
      <c r="K1207" s="6">
        <v>369</v>
      </c>
      <c r="L1207" s="6">
        <v>311</v>
      </c>
      <c r="M1207" s="6">
        <v>6.4117647059999996</v>
      </c>
      <c r="N1207">
        <f>VLOOKUP(A1207,vlookup_table!$A:$G,2,FALSE)</f>
        <v>0</v>
      </c>
      <c r="O1207" t="str">
        <f>VLOOKUP(A1207,vlookup_table!$A:$G,3,FALSE)</f>
        <v>MI</v>
      </c>
      <c r="P1207">
        <f>VLOOKUP(A1207,vlookup_table!$A:$G,4,FALSE)</f>
        <v>0</v>
      </c>
      <c r="Q1207" t="str">
        <f>VLOOKUP(A1207,vlookup_table!$A:$G,5,FALSE)</f>
        <v>S2</v>
      </c>
      <c r="R1207" t="str">
        <f>VLOOKUP(A1207,vlookup_table!$A:$G,6,FALSE)</f>
        <v>F</v>
      </c>
      <c r="S1207">
        <f>VLOOKUP(A1207,vlookup_table!$A:$G,7,FALSE)</f>
        <v>10</v>
      </c>
      <c r="T1207">
        <f t="shared" si="36"/>
        <v>96</v>
      </c>
      <c r="U1207" t="str">
        <f t="shared" si="37"/>
        <v>Suburbano</v>
      </c>
    </row>
    <row r="1208" spans="1:21" ht="16" x14ac:dyDescent="0.4">
      <c r="A1208" s="6">
        <v>35947</v>
      </c>
      <c r="B1208" s="6" t="s">
        <v>13</v>
      </c>
      <c r="C1208" s="6" t="s">
        <v>17</v>
      </c>
      <c r="D1208" s="6">
        <v>575</v>
      </c>
      <c r="E1208" s="6">
        <v>232</v>
      </c>
      <c r="F1208" s="6">
        <v>289</v>
      </c>
      <c r="G1208" s="6">
        <v>0</v>
      </c>
      <c r="H1208" s="6">
        <v>9634</v>
      </c>
      <c r="I1208" s="6">
        <v>17</v>
      </c>
      <c r="J1208" s="6">
        <v>27</v>
      </c>
      <c r="K1208" s="6">
        <v>259</v>
      </c>
      <c r="L1208" s="6">
        <v>255</v>
      </c>
      <c r="M1208" s="6">
        <v>7.6666666670000003</v>
      </c>
      <c r="N1208">
        <f>VLOOKUP(A1208,vlookup_table!$A:$G,2,FALSE)</f>
        <v>2</v>
      </c>
      <c r="O1208" t="str">
        <f>VLOOKUP(A1208,vlookup_table!$A:$G,3,FALSE)</f>
        <v>FL</v>
      </c>
      <c r="P1208">
        <f>VLOOKUP(A1208,vlookup_table!$A:$G,4,FALSE)</f>
        <v>2505</v>
      </c>
      <c r="Q1208" t="str">
        <f>VLOOKUP(A1208,vlookup_table!$A:$G,5,FALSE)</f>
        <v>S2</v>
      </c>
      <c r="R1208" t="str">
        <f>VLOOKUP(A1208,vlookup_table!$A:$G,6,FALSE)</f>
        <v>F</v>
      </c>
      <c r="S1208">
        <f>VLOOKUP(A1208,vlookup_table!$A:$G,7,FALSE)</f>
        <v>14</v>
      </c>
      <c r="T1208">
        <f t="shared" si="36"/>
        <v>71</v>
      </c>
      <c r="U1208" t="str">
        <f t="shared" si="37"/>
        <v>Suburbano</v>
      </c>
    </row>
    <row r="1209" spans="1:21" ht="16" x14ac:dyDescent="0.4">
      <c r="A1209" s="6">
        <v>152961</v>
      </c>
      <c r="B1209" s="6" t="s">
        <v>21</v>
      </c>
      <c r="C1209" s="6" t="s">
        <v>17</v>
      </c>
      <c r="D1209" s="6">
        <v>2375</v>
      </c>
      <c r="E1209" s="6">
        <v>428</v>
      </c>
      <c r="F1209" s="6">
        <v>571</v>
      </c>
      <c r="G1209" s="6">
        <v>75</v>
      </c>
      <c r="H1209" s="6">
        <v>23387</v>
      </c>
      <c r="I1209" s="6">
        <v>13</v>
      </c>
      <c r="J1209" s="6">
        <v>36</v>
      </c>
      <c r="K1209" s="6">
        <v>471</v>
      </c>
      <c r="L1209" s="6">
        <v>535</v>
      </c>
      <c r="M1209" s="6">
        <v>20</v>
      </c>
      <c r="N1209">
        <f>VLOOKUP(A1209,vlookup_table!$A:$G,2,FALSE)</f>
        <v>0</v>
      </c>
      <c r="O1209" t="str">
        <f>VLOOKUP(A1209,vlookup_table!$A:$G,3,FALSE)</f>
        <v>CA</v>
      </c>
      <c r="P1209">
        <f>VLOOKUP(A1209,vlookup_table!$A:$G,4,FALSE)</f>
        <v>3401</v>
      </c>
      <c r="Q1209" t="str">
        <f>VLOOKUP(A1209,vlookup_table!$A:$G,5,FALSE)</f>
        <v>C1</v>
      </c>
      <c r="R1209" t="str">
        <f>VLOOKUP(A1209,vlookup_table!$A:$G,6,FALSE)</f>
        <v>F</v>
      </c>
      <c r="S1209">
        <f>VLOOKUP(A1209,vlookup_table!$A:$G,7,FALSE)</f>
        <v>8</v>
      </c>
      <c r="T1209">
        <f t="shared" si="36"/>
        <v>62</v>
      </c>
      <c r="U1209" t="str">
        <f t="shared" si="37"/>
        <v>Ciudad</v>
      </c>
    </row>
    <row r="1210" spans="1:21" ht="16" x14ac:dyDescent="0.4">
      <c r="A1210" s="6">
        <v>161129</v>
      </c>
      <c r="B1210" s="6" t="s">
        <v>21</v>
      </c>
      <c r="C1210" s="6" t="s">
        <v>17</v>
      </c>
      <c r="D1210" s="6">
        <v>1091</v>
      </c>
      <c r="E1210" s="6">
        <v>330</v>
      </c>
      <c r="F1210" s="6">
        <v>397</v>
      </c>
      <c r="G1210" s="6">
        <v>9</v>
      </c>
      <c r="H1210" s="6">
        <v>14093</v>
      </c>
      <c r="I1210" s="6">
        <v>2</v>
      </c>
      <c r="J1210" s="6">
        <v>62</v>
      </c>
      <c r="K1210" s="6">
        <v>348</v>
      </c>
      <c r="L1210" s="6">
        <v>382</v>
      </c>
      <c r="M1210" s="6">
        <v>11.95238095</v>
      </c>
      <c r="N1210">
        <f>VLOOKUP(A1210,vlookup_table!$A:$G,2,FALSE)</f>
        <v>2</v>
      </c>
      <c r="O1210" t="str">
        <f>VLOOKUP(A1210,vlookup_table!$A:$G,3,FALSE)</f>
        <v>CA</v>
      </c>
      <c r="P1210">
        <f>VLOOKUP(A1210,vlookup_table!$A:$G,4,FALSE)</f>
        <v>2201</v>
      </c>
      <c r="Q1210" t="str">
        <f>VLOOKUP(A1210,vlookup_table!$A:$G,5,FALSE)</f>
        <v>R2</v>
      </c>
      <c r="R1210" t="str">
        <f>VLOOKUP(A1210,vlookup_table!$A:$G,6,FALSE)</f>
        <v>F</v>
      </c>
      <c r="S1210">
        <f>VLOOKUP(A1210,vlookup_table!$A:$G,7,FALSE)</f>
        <v>20</v>
      </c>
      <c r="T1210">
        <f t="shared" si="36"/>
        <v>74</v>
      </c>
      <c r="U1210" t="str">
        <f t="shared" si="37"/>
        <v>Rural</v>
      </c>
    </row>
    <row r="1211" spans="1:21" ht="16" x14ac:dyDescent="0.4">
      <c r="A1211" s="6">
        <v>177315</v>
      </c>
      <c r="B1211" s="6" t="s">
        <v>47</v>
      </c>
      <c r="C1211" s="6" t="s">
        <v>14</v>
      </c>
      <c r="D1211" s="6">
        <v>1015</v>
      </c>
      <c r="E1211" s="6">
        <v>354</v>
      </c>
      <c r="F1211" s="6">
        <v>422</v>
      </c>
      <c r="G1211" s="6">
        <v>5</v>
      </c>
      <c r="H1211" s="6">
        <v>13340</v>
      </c>
      <c r="I1211" s="6">
        <v>8</v>
      </c>
      <c r="J1211" s="6">
        <v>38</v>
      </c>
      <c r="K1211" s="6">
        <v>360</v>
      </c>
      <c r="L1211" s="6">
        <v>404</v>
      </c>
      <c r="M1211" s="6">
        <v>8.25</v>
      </c>
      <c r="N1211">
        <f>VLOOKUP(A1211,vlookup_table!$A:$G,2,FALSE)</f>
        <v>0</v>
      </c>
      <c r="O1211" t="str">
        <f>VLOOKUP(A1211,vlookup_table!$A:$G,3,FALSE)</f>
        <v>OR</v>
      </c>
      <c r="P1211">
        <f>VLOOKUP(A1211,vlookup_table!$A:$G,4,FALSE)</f>
        <v>3805</v>
      </c>
      <c r="Q1211" t="str">
        <f>VLOOKUP(A1211,vlookup_table!$A:$G,5,FALSE)</f>
        <v>T2</v>
      </c>
      <c r="R1211" t="str">
        <f>VLOOKUP(A1211,vlookup_table!$A:$G,6,FALSE)</f>
        <v>M</v>
      </c>
      <c r="S1211">
        <f>VLOOKUP(A1211,vlookup_table!$A:$G,7,FALSE)</f>
        <v>15</v>
      </c>
      <c r="T1211">
        <f t="shared" si="36"/>
        <v>58</v>
      </c>
      <c r="U1211" t="str">
        <f t="shared" si="37"/>
        <v>Pueblo</v>
      </c>
    </row>
    <row r="1212" spans="1:21" ht="16" x14ac:dyDescent="0.4">
      <c r="A1212" s="6">
        <v>104755</v>
      </c>
      <c r="B1212" s="6" t="s">
        <v>25</v>
      </c>
      <c r="C1212" s="6" t="s">
        <v>14</v>
      </c>
      <c r="D1212" s="6">
        <v>1413</v>
      </c>
      <c r="E1212" s="6">
        <v>634</v>
      </c>
      <c r="F1212" s="6">
        <v>755</v>
      </c>
      <c r="G1212" s="6">
        <v>21</v>
      </c>
      <c r="H1212" s="6">
        <v>27583</v>
      </c>
      <c r="I1212" s="6">
        <v>3</v>
      </c>
      <c r="J1212" s="6">
        <v>16</v>
      </c>
      <c r="K1212" s="6">
        <v>665</v>
      </c>
      <c r="L1212" s="6">
        <v>727</v>
      </c>
      <c r="M1212" s="6">
        <v>8.2857142859999993</v>
      </c>
      <c r="N1212">
        <f>VLOOKUP(A1212,vlookup_table!$A:$G,2,FALSE)</f>
        <v>2</v>
      </c>
      <c r="O1212" t="str">
        <f>VLOOKUP(A1212,vlookup_table!$A:$G,3,FALSE)</f>
        <v>KS</v>
      </c>
      <c r="P1212">
        <f>VLOOKUP(A1212,vlookup_table!$A:$G,4,FALSE)</f>
        <v>2001</v>
      </c>
      <c r="Q1212" t="str">
        <f>VLOOKUP(A1212,vlookup_table!$A:$G,5,FALSE)</f>
        <v>S1</v>
      </c>
      <c r="R1212" t="str">
        <f>VLOOKUP(A1212,vlookup_table!$A:$G,6,FALSE)</f>
        <v>M</v>
      </c>
      <c r="S1212">
        <f>VLOOKUP(A1212,vlookup_table!$A:$G,7,FALSE)</f>
        <v>16</v>
      </c>
      <c r="T1212">
        <f t="shared" si="36"/>
        <v>76</v>
      </c>
      <c r="U1212" t="str">
        <f t="shared" si="37"/>
        <v>Suburbano</v>
      </c>
    </row>
    <row r="1213" spans="1:21" ht="16" x14ac:dyDescent="0.4">
      <c r="A1213" s="6">
        <v>147838</v>
      </c>
      <c r="B1213" s="6" t="s">
        <v>21</v>
      </c>
      <c r="C1213" s="6" t="s">
        <v>17</v>
      </c>
      <c r="D1213" s="6">
        <v>3738</v>
      </c>
      <c r="E1213" s="6">
        <v>534</v>
      </c>
      <c r="F1213" s="6">
        <v>683</v>
      </c>
      <c r="G1213" s="6">
        <v>86</v>
      </c>
      <c r="H1213" s="6">
        <v>26455</v>
      </c>
      <c r="I1213" s="6">
        <v>24</v>
      </c>
      <c r="J1213" s="6">
        <v>42</v>
      </c>
      <c r="K1213" s="6">
        <v>581</v>
      </c>
      <c r="L1213" s="6">
        <v>599</v>
      </c>
      <c r="M1213" s="6">
        <v>16</v>
      </c>
      <c r="N1213">
        <f>VLOOKUP(A1213,vlookup_table!$A:$G,2,FALSE)</f>
        <v>0</v>
      </c>
      <c r="O1213" t="str">
        <f>VLOOKUP(A1213,vlookup_table!$A:$G,3,FALSE)</f>
        <v>CA</v>
      </c>
      <c r="P1213">
        <f>VLOOKUP(A1213,vlookup_table!$A:$G,4,FALSE)</f>
        <v>3001</v>
      </c>
      <c r="Q1213" t="str">
        <f>VLOOKUP(A1213,vlookup_table!$A:$G,5,FALSE)</f>
        <v>S1</v>
      </c>
      <c r="R1213" t="str">
        <f>VLOOKUP(A1213,vlookup_table!$A:$G,6,FALSE)</f>
        <v>F</v>
      </c>
      <c r="S1213">
        <f>VLOOKUP(A1213,vlookup_table!$A:$G,7,FALSE)</f>
        <v>20</v>
      </c>
      <c r="T1213">
        <f t="shared" si="36"/>
        <v>66</v>
      </c>
      <c r="U1213" t="str">
        <f t="shared" si="37"/>
        <v>Suburbano</v>
      </c>
    </row>
    <row r="1214" spans="1:21" ht="16" x14ac:dyDescent="0.4">
      <c r="A1214" s="6">
        <v>182748</v>
      </c>
      <c r="B1214" s="6" t="s">
        <v>37</v>
      </c>
      <c r="C1214" s="6" t="s">
        <v>14</v>
      </c>
      <c r="D1214" s="6">
        <v>849</v>
      </c>
      <c r="E1214" s="6">
        <v>281</v>
      </c>
      <c r="F1214" s="6">
        <v>380</v>
      </c>
      <c r="G1214" s="6">
        <v>10</v>
      </c>
      <c r="H1214" s="6">
        <v>14308</v>
      </c>
      <c r="I1214" s="6">
        <v>4</v>
      </c>
      <c r="J1214" s="6">
        <v>48</v>
      </c>
      <c r="K1214" s="6">
        <v>327</v>
      </c>
      <c r="L1214" s="6">
        <v>327</v>
      </c>
      <c r="M1214" s="6">
        <v>13.30769231</v>
      </c>
      <c r="N1214">
        <f>VLOOKUP(A1214,vlookup_table!$A:$G,2,FALSE)</f>
        <v>2</v>
      </c>
      <c r="O1214" t="str">
        <f>VLOOKUP(A1214,vlookup_table!$A:$G,3,FALSE)</f>
        <v>WA</v>
      </c>
      <c r="P1214">
        <f>VLOOKUP(A1214,vlookup_table!$A:$G,4,FALSE)</f>
        <v>2501</v>
      </c>
      <c r="Q1214" t="str">
        <f>VLOOKUP(A1214,vlookup_table!$A:$G,5,FALSE)</f>
        <v>C2</v>
      </c>
      <c r="R1214" t="str">
        <f>VLOOKUP(A1214,vlookup_table!$A:$G,6,FALSE)</f>
        <v>M</v>
      </c>
      <c r="S1214">
        <f>VLOOKUP(A1214,vlookup_table!$A:$G,7,FALSE)</f>
        <v>12</v>
      </c>
      <c r="T1214">
        <f t="shared" si="36"/>
        <v>71</v>
      </c>
      <c r="U1214" t="str">
        <f t="shared" si="37"/>
        <v>Ciudad</v>
      </c>
    </row>
    <row r="1215" spans="1:21" ht="16" x14ac:dyDescent="0.4">
      <c r="A1215" s="6">
        <v>177238</v>
      </c>
      <c r="B1215" s="6" t="s">
        <v>47</v>
      </c>
      <c r="C1215" s="6" t="s">
        <v>17</v>
      </c>
      <c r="D1215" s="6">
        <v>871</v>
      </c>
      <c r="E1215" s="6">
        <v>309</v>
      </c>
      <c r="F1215" s="6">
        <v>390</v>
      </c>
      <c r="G1215" s="6">
        <v>8</v>
      </c>
      <c r="H1215" s="6">
        <v>15151</v>
      </c>
      <c r="I1215" s="6">
        <v>2</v>
      </c>
      <c r="J1215" s="6">
        <v>45</v>
      </c>
      <c r="K1215" s="6">
        <v>344</v>
      </c>
      <c r="L1215" s="6">
        <v>362</v>
      </c>
      <c r="M1215" s="6">
        <v>9.5500000000000007</v>
      </c>
      <c r="N1215">
        <f>VLOOKUP(A1215,vlookup_table!$A:$G,2,FALSE)</f>
        <v>0</v>
      </c>
      <c r="O1215" t="str">
        <f>VLOOKUP(A1215,vlookup_table!$A:$G,3,FALSE)</f>
        <v>OR</v>
      </c>
      <c r="P1215">
        <f>VLOOKUP(A1215,vlookup_table!$A:$G,4,FALSE)</f>
        <v>3207</v>
      </c>
      <c r="Q1215" t="str">
        <f>VLOOKUP(A1215,vlookup_table!$A:$G,5,FALSE)</f>
        <v>T2</v>
      </c>
      <c r="R1215" t="str">
        <f>VLOOKUP(A1215,vlookup_table!$A:$G,6,FALSE)</f>
        <v>F</v>
      </c>
      <c r="S1215">
        <f>VLOOKUP(A1215,vlookup_table!$A:$G,7,FALSE)</f>
        <v>12</v>
      </c>
      <c r="T1215">
        <f t="shared" si="36"/>
        <v>64</v>
      </c>
      <c r="U1215" t="str">
        <f t="shared" si="37"/>
        <v>Pueblo</v>
      </c>
    </row>
    <row r="1216" spans="1:21" ht="16" x14ac:dyDescent="0.4">
      <c r="A1216" s="6">
        <v>191138</v>
      </c>
      <c r="B1216" s="6" t="s">
        <v>20</v>
      </c>
      <c r="C1216" s="6" t="s">
        <v>17</v>
      </c>
      <c r="D1216" s="6">
        <v>571</v>
      </c>
      <c r="E1216" s="6">
        <v>300</v>
      </c>
      <c r="F1216" s="6">
        <v>366</v>
      </c>
      <c r="G1216" s="6">
        <v>1</v>
      </c>
      <c r="H1216" s="6">
        <v>10689</v>
      </c>
      <c r="I1216" s="6">
        <v>2</v>
      </c>
      <c r="J1216" s="6">
        <v>67</v>
      </c>
      <c r="K1216" s="6">
        <v>333</v>
      </c>
      <c r="L1216" s="6">
        <v>336</v>
      </c>
      <c r="M1216" s="6">
        <v>15</v>
      </c>
      <c r="N1216">
        <f>VLOOKUP(A1216,vlookup_table!$A:$G,2,FALSE)</f>
        <v>0</v>
      </c>
      <c r="O1216" t="str">
        <f>VLOOKUP(A1216,vlookup_table!$A:$G,3,FALSE)</f>
        <v>TX</v>
      </c>
      <c r="P1216">
        <f>VLOOKUP(A1216,vlookup_table!$A:$G,4,FALSE)</f>
        <v>4201</v>
      </c>
      <c r="Q1216" t="str">
        <f>VLOOKUP(A1216,vlookup_table!$A:$G,5,FALSE)</f>
        <v>T2</v>
      </c>
      <c r="R1216" t="str">
        <f>VLOOKUP(A1216,vlookup_table!$A:$G,6,FALSE)</f>
        <v>F</v>
      </c>
      <c r="S1216">
        <f>VLOOKUP(A1216,vlookup_table!$A:$G,7,FALSE)</f>
        <v>15</v>
      </c>
      <c r="T1216">
        <f t="shared" si="36"/>
        <v>54</v>
      </c>
      <c r="U1216" t="str">
        <f t="shared" si="37"/>
        <v>Pueblo</v>
      </c>
    </row>
    <row r="1217" spans="1:21" ht="16" x14ac:dyDescent="0.4">
      <c r="A1217" s="6">
        <v>133932</v>
      </c>
      <c r="B1217" s="6" t="s">
        <v>37</v>
      </c>
      <c r="C1217" s="6" t="s">
        <v>14</v>
      </c>
      <c r="D1217" s="6">
        <v>0</v>
      </c>
      <c r="E1217" s="6">
        <v>55</v>
      </c>
      <c r="F1217" s="6">
        <v>89</v>
      </c>
      <c r="G1217" s="6">
        <v>0</v>
      </c>
      <c r="H1217" s="6">
        <v>8170</v>
      </c>
      <c r="I1217" s="6">
        <v>4</v>
      </c>
      <c r="J1217" s="6">
        <v>29</v>
      </c>
      <c r="K1217" s="6">
        <v>68</v>
      </c>
      <c r="L1217" s="6">
        <v>63</v>
      </c>
      <c r="M1217" s="6">
        <v>4.5555555559999998</v>
      </c>
      <c r="N1217">
        <f>VLOOKUP(A1217,vlookup_table!$A:$G,2,FALSE)</f>
        <v>0</v>
      </c>
      <c r="O1217" t="str">
        <f>VLOOKUP(A1217,vlookup_table!$A:$G,3,FALSE)</f>
        <v>WA</v>
      </c>
      <c r="P1217">
        <f>VLOOKUP(A1217,vlookup_table!$A:$G,4,FALSE)</f>
        <v>0</v>
      </c>
      <c r="Q1217" t="str">
        <f>VLOOKUP(A1217,vlookup_table!$A:$G,5,FALSE)</f>
        <v>R3</v>
      </c>
      <c r="R1217" t="str">
        <f>VLOOKUP(A1217,vlookup_table!$A:$G,6,FALSE)</f>
        <v>M</v>
      </c>
      <c r="S1217">
        <f>VLOOKUP(A1217,vlookup_table!$A:$G,7,FALSE)</f>
        <v>5</v>
      </c>
      <c r="T1217">
        <f t="shared" si="36"/>
        <v>96</v>
      </c>
      <c r="U1217" t="str">
        <f t="shared" si="37"/>
        <v>Rural</v>
      </c>
    </row>
    <row r="1218" spans="1:21" ht="16" x14ac:dyDescent="0.4">
      <c r="A1218" s="6">
        <v>120608</v>
      </c>
      <c r="B1218" s="6" t="s">
        <v>20</v>
      </c>
      <c r="C1218" s="6"/>
      <c r="D1218" s="6">
        <v>375</v>
      </c>
      <c r="E1218" s="6">
        <v>182</v>
      </c>
      <c r="F1218" s="6">
        <v>232</v>
      </c>
      <c r="G1218" s="6">
        <v>0</v>
      </c>
      <c r="H1218" s="6">
        <v>8256</v>
      </c>
      <c r="I1218" s="6">
        <v>4</v>
      </c>
      <c r="J1218" s="6">
        <v>72</v>
      </c>
      <c r="K1218" s="6">
        <v>207</v>
      </c>
      <c r="L1218" s="6">
        <v>208</v>
      </c>
      <c r="M1218" s="6">
        <v>15</v>
      </c>
      <c r="N1218">
        <f>VLOOKUP(A1218,vlookup_table!$A:$G,2,FALSE)</f>
        <v>0</v>
      </c>
      <c r="O1218" t="str">
        <f>VLOOKUP(A1218,vlookup_table!$A:$G,3,FALSE)</f>
        <v>TX</v>
      </c>
      <c r="P1218">
        <f>VLOOKUP(A1218,vlookup_table!$A:$G,4,FALSE)</f>
        <v>0</v>
      </c>
      <c r="Q1218" t="str">
        <f>VLOOKUP(A1218,vlookup_table!$A:$G,5,FALSE)</f>
        <v>C3</v>
      </c>
      <c r="R1218" t="str">
        <f>VLOOKUP(A1218,vlookup_table!$A:$G,6,FALSE)</f>
        <v/>
      </c>
      <c r="S1218">
        <f>VLOOKUP(A1218,vlookup_table!$A:$G,7,FALSE)</f>
        <v>15</v>
      </c>
      <c r="T1218">
        <f t="shared" si="36"/>
        <v>96</v>
      </c>
      <c r="U1218" t="str">
        <f t="shared" si="37"/>
        <v>Ciudad</v>
      </c>
    </row>
    <row r="1219" spans="1:21" ht="16" x14ac:dyDescent="0.4">
      <c r="A1219" s="6">
        <v>11562</v>
      </c>
      <c r="B1219" s="6" t="s">
        <v>21</v>
      </c>
      <c r="C1219" s="6" t="s">
        <v>17</v>
      </c>
      <c r="D1219" s="6">
        <v>3435</v>
      </c>
      <c r="E1219" s="6">
        <v>490</v>
      </c>
      <c r="F1219" s="6">
        <v>614</v>
      </c>
      <c r="G1219" s="6">
        <v>91</v>
      </c>
      <c r="H1219" s="6">
        <v>26467</v>
      </c>
      <c r="I1219" s="6">
        <v>26</v>
      </c>
      <c r="J1219" s="6">
        <v>40</v>
      </c>
      <c r="K1219" s="6">
        <v>546</v>
      </c>
      <c r="L1219" s="6">
        <v>560</v>
      </c>
      <c r="M1219" s="6">
        <v>32.30769231</v>
      </c>
      <c r="N1219">
        <f>VLOOKUP(A1219,vlookup_table!$A:$G,2,FALSE)</f>
        <v>0</v>
      </c>
      <c r="O1219" t="str">
        <f>VLOOKUP(A1219,vlookup_table!$A:$G,3,FALSE)</f>
        <v>CA</v>
      </c>
      <c r="P1219">
        <f>VLOOKUP(A1219,vlookup_table!$A:$G,4,FALSE)</f>
        <v>2501</v>
      </c>
      <c r="Q1219" t="str">
        <f>VLOOKUP(A1219,vlookup_table!$A:$G,5,FALSE)</f>
        <v>S1</v>
      </c>
      <c r="R1219" t="str">
        <f>VLOOKUP(A1219,vlookup_table!$A:$G,6,FALSE)</f>
        <v>F</v>
      </c>
      <c r="S1219">
        <f>VLOOKUP(A1219,vlookup_table!$A:$G,7,FALSE)</f>
        <v>50</v>
      </c>
      <c r="T1219">
        <f t="shared" ref="T1219:T1282" si="38">97-LEFT(P1219,2)-IF(RIGHT(P1219,2)&gt;6,1,0)</f>
        <v>71</v>
      </c>
      <c r="U1219" t="str">
        <f t="shared" ref="U1219:U1282" si="39">IF(LEFT(Q1219,1)="C","Ciudad",IF(LEFT(Q1219,1)="T","Pueblo",IF(LEFT(Q1219,1)="R","Rural",IF(LEFT(Q1219,1)="S","Suburbano",IF(LEFT(Q1219,1)="U","Urbano","")))))</f>
        <v>Suburbano</v>
      </c>
    </row>
    <row r="1220" spans="1:21" ht="16" x14ac:dyDescent="0.4">
      <c r="A1220" s="6">
        <v>87541</v>
      </c>
      <c r="B1220" s="6" t="s">
        <v>37</v>
      </c>
      <c r="C1220" s="6" t="s">
        <v>17</v>
      </c>
      <c r="D1220" s="6">
        <v>466</v>
      </c>
      <c r="E1220" s="6">
        <v>211</v>
      </c>
      <c r="F1220" s="6">
        <v>289</v>
      </c>
      <c r="G1220" s="6">
        <v>0</v>
      </c>
      <c r="H1220" s="6">
        <v>10094</v>
      </c>
      <c r="I1220" s="6">
        <v>4</v>
      </c>
      <c r="J1220" s="6">
        <v>61</v>
      </c>
      <c r="K1220" s="6">
        <v>252</v>
      </c>
      <c r="L1220" s="6">
        <v>244</v>
      </c>
      <c r="M1220" s="6">
        <v>5.625</v>
      </c>
      <c r="N1220">
        <f>VLOOKUP(A1220,vlookup_table!$A:$G,2,FALSE)</f>
        <v>0</v>
      </c>
      <c r="O1220" t="str">
        <f>VLOOKUP(A1220,vlookup_table!$A:$G,3,FALSE)</f>
        <v>WA</v>
      </c>
      <c r="P1220">
        <f>VLOOKUP(A1220,vlookup_table!$A:$G,4,FALSE)</f>
        <v>4501</v>
      </c>
      <c r="Q1220" t="str">
        <f>VLOOKUP(A1220,vlookup_table!$A:$G,5,FALSE)</f>
        <v>R2</v>
      </c>
      <c r="R1220" t="str">
        <f>VLOOKUP(A1220,vlookup_table!$A:$G,6,FALSE)</f>
        <v>F</v>
      </c>
      <c r="S1220">
        <f>VLOOKUP(A1220,vlookup_table!$A:$G,7,FALSE)</f>
        <v>5</v>
      </c>
      <c r="T1220">
        <f t="shared" si="38"/>
        <v>51</v>
      </c>
      <c r="U1220" t="str">
        <f t="shared" si="39"/>
        <v>Rural</v>
      </c>
    </row>
    <row r="1221" spans="1:21" ht="16" x14ac:dyDescent="0.4">
      <c r="A1221" s="6">
        <v>1722</v>
      </c>
      <c r="B1221" s="6" t="s">
        <v>21</v>
      </c>
      <c r="C1221" s="6" t="s">
        <v>14</v>
      </c>
      <c r="D1221" s="6">
        <v>1668</v>
      </c>
      <c r="E1221" s="6">
        <v>648</v>
      </c>
      <c r="F1221" s="6">
        <v>668</v>
      </c>
      <c r="G1221" s="6">
        <v>12</v>
      </c>
      <c r="H1221" s="6">
        <v>20187</v>
      </c>
      <c r="I1221" s="6">
        <v>9</v>
      </c>
      <c r="J1221" s="6">
        <v>60</v>
      </c>
      <c r="K1221" s="6">
        <v>664</v>
      </c>
      <c r="L1221" s="6">
        <v>663</v>
      </c>
      <c r="M1221" s="6">
        <v>13.38461539</v>
      </c>
      <c r="N1221">
        <f>VLOOKUP(A1221,vlookup_table!$A:$G,2,FALSE)</f>
        <v>1002</v>
      </c>
      <c r="O1221" t="str">
        <f>VLOOKUP(A1221,vlookup_table!$A:$G,3,FALSE)</f>
        <v>CA</v>
      </c>
      <c r="P1221">
        <f>VLOOKUP(A1221,vlookup_table!$A:$G,4,FALSE)</f>
        <v>5207</v>
      </c>
      <c r="Q1221" t="str">
        <f>VLOOKUP(A1221,vlookup_table!$A:$G,5,FALSE)</f>
        <v>C1</v>
      </c>
      <c r="R1221" t="str">
        <f>VLOOKUP(A1221,vlookup_table!$A:$G,6,FALSE)</f>
        <v>M</v>
      </c>
      <c r="S1221">
        <f>VLOOKUP(A1221,vlookup_table!$A:$G,7,FALSE)</f>
        <v>10</v>
      </c>
      <c r="T1221">
        <f t="shared" si="38"/>
        <v>44</v>
      </c>
      <c r="U1221" t="str">
        <f t="shared" si="39"/>
        <v>Ciudad</v>
      </c>
    </row>
    <row r="1222" spans="1:21" ht="16" x14ac:dyDescent="0.4">
      <c r="A1222" s="6">
        <v>32843</v>
      </c>
      <c r="B1222" s="6" t="s">
        <v>13</v>
      </c>
      <c r="C1222" s="6" t="s">
        <v>14</v>
      </c>
      <c r="D1222" s="6">
        <v>546</v>
      </c>
      <c r="E1222" s="6">
        <v>283</v>
      </c>
      <c r="F1222" s="6">
        <v>322</v>
      </c>
      <c r="G1222" s="6">
        <v>0</v>
      </c>
      <c r="H1222" s="6">
        <v>10785</v>
      </c>
      <c r="I1222" s="6">
        <v>0</v>
      </c>
      <c r="J1222" s="6">
        <v>63</v>
      </c>
      <c r="K1222" s="6">
        <v>256</v>
      </c>
      <c r="L1222" s="6">
        <v>344</v>
      </c>
      <c r="M1222" s="6">
        <v>15</v>
      </c>
      <c r="N1222">
        <f>VLOOKUP(A1222,vlookup_table!$A:$G,2,FALSE)</f>
        <v>1</v>
      </c>
      <c r="O1222" t="str">
        <f>VLOOKUP(A1222,vlookup_table!$A:$G,3,FALSE)</f>
        <v>FL</v>
      </c>
      <c r="P1222">
        <f>VLOOKUP(A1222,vlookup_table!$A:$G,4,FALSE)</f>
        <v>5901</v>
      </c>
      <c r="Q1222" t="str">
        <f>VLOOKUP(A1222,vlookup_table!$A:$G,5,FALSE)</f>
        <v>C3</v>
      </c>
      <c r="R1222" t="str">
        <f>VLOOKUP(A1222,vlookup_table!$A:$G,6,FALSE)</f>
        <v>M</v>
      </c>
      <c r="S1222">
        <f>VLOOKUP(A1222,vlookup_table!$A:$G,7,FALSE)</f>
        <v>15</v>
      </c>
      <c r="T1222">
        <f t="shared" si="38"/>
        <v>37</v>
      </c>
      <c r="U1222" t="str">
        <f t="shared" si="39"/>
        <v>Ciudad</v>
      </c>
    </row>
    <row r="1223" spans="1:21" ht="16" x14ac:dyDescent="0.4">
      <c r="A1223" s="6">
        <v>77439</v>
      </c>
      <c r="B1223" s="6" t="s">
        <v>32</v>
      </c>
      <c r="C1223" s="6" t="s">
        <v>14</v>
      </c>
      <c r="D1223" s="6">
        <v>713</v>
      </c>
      <c r="E1223" s="6">
        <v>360</v>
      </c>
      <c r="F1223" s="6">
        <v>429</v>
      </c>
      <c r="G1223" s="6">
        <v>0</v>
      </c>
      <c r="H1223" s="6">
        <v>12547</v>
      </c>
      <c r="I1223" s="6">
        <v>2</v>
      </c>
      <c r="J1223" s="6">
        <v>91</v>
      </c>
      <c r="K1223" s="6">
        <v>372</v>
      </c>
      <c r="L1223" s="6">
        <v>408</v>
      </c>
      <c r="M1223" s="6">
        <v>11.3125</v>
      </c>
      <c r="N1223">
        <f>VLOOKUP(A1223,vlookup_table!$A:$G,2,FALSE)</f>
        <v>2</v>
      </c>
      <c r="O1223" t="str">
        <f>VLOOKUP(A1223,vlookup_table!$A:$G,3,FALSE)</f>
        <v>WI</v>
      </c>
      <c r="P1223">
        <f>VLOOKUP(A1223,vlookup_table!$A:$G,4,FALSE)</f>
        <v>3101</v>
      </c>
      <c r="Q1223" t="str">
        <f>VLOOKUP(A1223,vlookup_table!$A:$G,5,FALSE)</f>
        <v>R2</v>
      </c>
      <c r="R1223" t="str">
        <f>VLOOKUP(A1223,vlookup_table!$A:$G,6,FALSE)</f>
        <v>M</v>
      </c>
      <c r="S1223">
        <f>VLOOKUP(A1223,vlookup_table!$A:$G,7,FALSE)</f>
        <v>17</v>
      </c>
      <c r="T1223">
        <f t="shared" si="38"/>
        <v>65</v>
      </c>
      <c r="U1223" t="str">
        <f t="shared" si="39"/>
        <v>Rural</v>
      </c>
    </row>
    <row r="1224" spans="1:21" ht="16" x14ac:dyDescent="0.4">
      <c r="A1224" s="6">
        <v>140457</v>
      </c>
      <c r="B1224" s="6" t="s">
        <v>50</v>
      </c>
      <c r="C1224" s="6" t="s">
        <v>14</v>
      </c>
      <c r="D1224" s="6">
        <v>576</v>
      </c>
      <c r="E1224" s="6">
        <v>263</v>
      </c>
      <c r="F1224" s="6">
        <v>338</v>
      </c>
      <c r="G1224" s="6">
        <v>1</v>
      </c>
      <c r="H1224" s="6">
        <v>12326</v>
      </c>
      <c r="I1224" s="6">
        <v>0</v>
      </c>
      <c r="J1224" s="6">
        <v>51</v>
      </c>
      <c r="K1224" s="6">
        <v>355</v>
      </c>
      <c r="L1224" s="6">
        <v>304</v>
      </c>
      <c r="M1224" s="6">
        <v>6.04</v>
      </c>
      <c r="N1224">
        <f>VLOOKUP(A1224,vlookup_table!$A:$G,2,FALSE)</f>
        <v>1</v>
      </c>
      <c r="O1224" t="str">
        <f>VLOOKUP(A1224,vlookup_table!$A:$G,3,FALSE)</f>
        <v>NM</v>
      </c>
      <c r="P1224">
        <f>VLOOKUP(A1224,vlookup_table!$A:$G,4,FALSE)</f>
        <v>2401</v>
      </c>
      <c r="Q1224" t="str">
        <f>VLOOKUP(A1224,vlookup_table!$A:$G,5,FALSE)</f>
        <v>T2</v>
      </c>
      <c r="R1224" t="str">
        <f>VLOOKUP(A1224,vlookup_table!$A:$G,6,FALSE)</f>
        <v>M</v>
      </c>
      <c r="S1224">
        <f>VLOOKUP(A1224,vlookup_table!$A:$G,7,FALSE)</f>
        <v>10</v>
      </c>
      <c r="T1224">
        <f t="shared" si="38"/>
        <v>72</v>
      </c>
      <c r="U1224" t="str">
        <f t="shared" si="39"/>
        <v>Pueblo</v>
      </c>
    </row>
    <row r="1225" spans="1:21" ht="16" x14ac:dyDescent="0.4">
      <c r="A1225" s="6">
        <v>70144</v>
      </c>
      <c r="B1225" s="6" t="s">
        <v>13</v>
      </c>
      <c r="C1225" s="6" t="s">
        <v>17</v>
      </c>
      <c r="D1225" s="6">
        <v>585</v>
      </c>
      <c r="E1225" s="6">
        <v>459</v>
      </c>
      <c r="F1225" s="6">
        <v>427</v>
      </c>
      <c r="G1225" s="6">
        <v>0</v>
      </c>
      <c r="H1225" s="6">
        <v>8656</v>
      </c>
      <c r="I1225" s="6">
        <v>0</v>
      </c>
      <c r="J1225" s="6">
        <v>33</v>
      </c>
      <c r="K1225" s="6">
        <v>393</v>
      </c>
      <c r="L1225" s="6">
        <v>445</v>
      </c>
      <c r="M1225" s="6">
        <v>13.58333333</v>
      </c>
      <c r="N1225">
        <f>VLOOKUP(A1225,vlookup_table!$A:$G,2,FALSE)</f>
        <v>0</v>
      </c>
      <c r="O1225" t="str">
        <f>VLOOKUP(A1225,vlookup_table!$A:$G,3,FALSE)</f>
        <v>FL</v>
      </c>
      <c r="P1225">
        <f>VLOOKUP(A1225,vlookup_table!$A:$G,4,FALSE)</f>
        <v>1711</v>
      </c>
      <c r="Q1225" t="str">
        <f>VLOOKUP(A1225,vlookup_table!$A:$G,5,FALSE)</f>
        <v>S3</v>
      </c>
      <c r="R1225" t="str">
        <f>VLOOKUP(A1225,vlookup_table!$A:$G,6,FALSE)</f>
        <v>F</v>
      </c>
      <c r="S1225">
        <f>VLOOKUP(A1225,vlookup_table!$A:$G,7,FALSE)</f>
        <v>15</v>
      </c>
      <c r="T1225">
        <f t="shared" si="38"/>
        <v>79</v>
      </c>
      <c r="U1225" t="str">
        <f t="shared" si="39"/>
        <v>Suburbano</v>
      </c>
    </row>
    <row r="1226" spans="1:21" ht="16" x14ac:dyDescent="0.4">
      <c r="A1226" s="6">
        <v>157947</v>
      </c>
      <c r="B1226" s="6" t="s">
        <v>21</v>
      </c>
      <c r="C1226" s="6" t="s">
        <v>17</v>
      </c>
      <c r="D1226" s="6">
        <v>2022</v>
      </c>
      <c r="E1226" s="6">
        <v>441</v>
      </c>
      <c r="F1226" s="6">
        <v>569</v>
      </c>
      <c r="G1226" s="6">
        <v>52</v>
      </c>
      <c r="H1226" s="6">
        <v>21300</v>
      </c>
      <c r="I1226" s="6">
        <v>14</v>
      </c>
      <c r="J1226" s="6">
        <v>44</v>
      </c>
      <c r="K1226" s="6">
        <v>534</v>
      </c>
      <c r="L1226" s="6">
        <v>496</v>
      </c>
      <c r="M1226" s="6">
        <v>4.7777777779999999</v>
      </c>
      <c r="N1226">
        <f>VLOOKUP(A1226,vlookup_table!$A:$G,2,FALSE)</f>
        <v>0</v>
      </c>
      <c r="O1226" t="str">
        <f>VLOOKUP(A1226,vlookup_table!$A:$G,3,FALSE)</f>
        <v>CA</v>
      </c>
      <c r="P1226">
        <f>VLOOKUP(A1226,vlookup_table!$A:$G,4,FALSE)</f>
        <v>0</v>
      </c>
      <c r="Q1226" t="str">
        <f>VLOOKUP(A1226,vlookup_table!$A:$G,5,FALSE)</f>
        <v>U1</v>
      </c>
      <c r="R1226" t="str">
        <f>VLOOKUP(A1226,vlookup_table!$A:$G,6,FALSE)</f>
        <v>F</v>
      </c>
      <c r="S1226">
        <f>VLOOKUP(A1226,vlookup_table!$A:$G,7,FALSE)</f>
        <v>5</v>
      </c>
      <c r="T1226">
        <f t="shared" si="38"/>
        <v>96</v>
      </c>
      <c r="U1226" t="str">
        <f t="shared" si="39"/>
        <v>Urbano</v>
      </c>
    </row>
    <row r="1227" spans="1:21" ht="16" x14ac:dyDescent="0.4">
      <c r="A1227" s="6">
        <v>137680</v>
      </c>
      <c r="B1227" s="6" t="s">
        <v>51</v>
      </c>
      <c r="C1227" s="6" t="s">
        <v>97</v>
      </c>
      <c r="D1227" s="6">
        <v>786</v>
      </c>
      <c r="E1227" s="6">
        <v>220</v>
      </c>
      <c r="F1227" s="6">
        <v>318</v>
      </c>
      <c r="G1227" s="6">
        <v>2</v>
      </c>
      <c r="H1227" s="6">
        <v>11624</v>
      </c>
      <c r="I1227" s="6">
        <v>2</v>
      </c>
      <c r="J1227" s="6">
        <v>27</v>
      </c>
      <c r="K1227" s="6">
        <v>264</v>
      </c>
      <c r="L1227" s="6">
        <v>274</v>
      </c>
      <c r="M1227" s="6">
        <v>6.2222222220000001</v>
      </c>
      <c r="N1227">
        <f>VLOOKUP(A1227,vlookup_table!$A:$G,2,FALSE)</f>
        <v>0</v>
      </c>
      <c r="O1227" t="str">
        <f>VLOOKUP(A1227,vlookup_table!$A:$G,3,FALSE)</f>
        <v>AZ</v>
      </c>
      <c r="P1227">
        <f>VLOOKUP(A1227,vlookup_table!$A:$G,4,FALSE)</f>
        <v>2308</v>
      </c>
      <c r="Q1227" t="str">
        <f>VLOOKUP(A1227,vlookup_table!$A:$G,5,FALSE)</f>
        <v>R2</v>
      </c>
      <c r="R1227" t="str">
        <f>VLOOKUP(A1227,vlookup_table!$A:$G,6,FALSE)</f>
        <v>F</v>
      </c>
      <c r="S1227">
        <f>VLOOKUP(A1227,vlookup_table!$A:$G,7,FALSE)</f>
        <v>5</v>
      </c>
      <c r="T1227">
        <f t="shared" si="38"/>
        <v>73</v>
      </c>
      <c r="U1227" t="str">
        <f t="shared" si="39"/>
        <v>Rural</v>
      </c>
    </row>
    <row r="1228" spans="1:21" ht="16" x14ac:dyDescent="0.4">
      <c r="A1228" s="6">
        <v>153708</v>
      </c>
      <c r="B1228" s="6" t="s">
        <v>21</v>
      </c>
      <c r="C1228" s="6" t="s">
        <v>17</v>
      </c>
      <c r="D1228" s="6">
        <v>1406</v>
      </c>
      <c r="E1228" s="6">
        <v>431</v>
      </c>
      <c r="F1228" s="6">
        <v>556</v>
      </c>
      <c r="G1228" s="6">
        <v>21</v>
      </c>
      <c r="H1228" s="6">
        <v>21369</v>
      </c>
      <c r="I1228" s="6">
        <v>21</v>
      </c>
      <c r="J1228" s="6">
        <v>35</v>
      </c>
      <c r="K1228" s="6">
        <v>536</v>
      </c>
      <c r="L1228" s="6">
        <v>453</v>
      </c>
      <c r="M1228" s="6">
        <v>15</v>
      </c>
      <c r="N1228">
        <f>VLOOKUP(A1228,vlookup_table!$A:$G,2,FALSE)</f>
        <v>28</v>
      </c>
      <c r="O1228" t="str">
        <f>VLOOKUP(A1228,vlookup_table!$A:$G,3,FALSE)</f>
        <v>CA</v>
      </c>
      <c r="P1228">
        <f>VLOOKUP(A1228,vlookup_table!$A:$G,4,FALSE)</f>
        <v>0</v>
      </c>
      <c r="Q1228" t="str">
        <f>VLOOKUP(A1228,vlookup_table!$A:$G,5,FALSE)</f>
        <v>U2</v>
      </c>
      <c r="R1228" t="str">
        <f>VLOOKUP(A1228,vlookup_table!$A:$G,6,FALSE)</f>
        <v>F</v>
      </c>
      <c r="S1228">
        <f>VLOOKUP(A1228,vlookup_table!$A:$G,7,FALSE)</f>
        <v>21</v>
      </c>
      <c r="T1228">
        <f t="shared" si="38"/>
        <v>96</v>
      </c>
      <c r="U1228" t="str">
        <f t="shared" si="39"/>
        <v>Urbano</v>
      </c>
    </row>
    <row r="1229" spans="1:21" ht="16" x14ac:dyDescent="0.4">
      <c r="A1229" s="6">
        <v>27217</v>
      </c>
      <c r="B1229" s="6" t="s">
        <v>36</v>
      </c>
      <c r="C1229" s="6" t="s">
        <v>17</v>
      </c>
      <c r="D1229" s="6">
        <v>503</v>
      </c>
      <c r="E1229" s="6">
        <v>239</v>
      </c>
      <c r="F1229" s="6">
        <v>324</v>
      </c>
      <c r="G1229" s="6">
        <v>1</v>
      </c>
      <c r="H1229" s="6">
        <v>10308</v>
      </c>
      <c r="I1229" s="6">
        <v>0</v>
      </c>
      <c r="J1229" s="6">
        <v>84</v>
      </c>
      <c r="K1229" s="6">
        <v>275</v>
      </c>
      <c r="L1229" s="6">
        <v>287</v>
      </c>
      <c r="M1229" s="6">
        <v>20</v>
      </c>
      <c r="N1229">
        <f>VLOOKUP(A1229,vlookup_table!$A:$G,2,FALSE)</f>
        <v>0</v>
      </c>
      <c r="O1229" t="str">
        <f>VLOOKUP(A1229,vlookup_table!$A:$G,3,FALSE)</f>
        <v>GA</v>
      </c>
      <c r="P1229">
        <f>VLOOKUP(A1229,vlookup_table!$A:$G,4,FALSE)</f>
        <v>0</v>
      </c>
      <c r="Q1229" t="str">
        <f>VLOOKUP(A1229,vlookup_table!$A:$G,5,FALSE)</f>
        <v>R2</v>
      </c>
      <c r="R1229" t="str">
        <f>VLOOKUP(A1229,vlookup_table!$A:$G,6,FALSE)</f>
        <v>F</v>
      </c>
      <c r="S1229">
        <f>VLOOKUP(A1229,vlookup_table!$A:$G,7,FALSE)</f>
        <v>15</v>
      </c>
      <c r="T1229">
        <f t="shared" si="38"/>
        <v>96</v>
      </c>
      <c r="U1229" t="str">
        <f t="shared" si="39"/>
        <v>Rural</v>
      </c>
    </row>
    <row r="1230" spans="1:21" ht="16" x14ac:dyDescent="0.4">
      <c r="A1230" s="6">
        <v>1442</v>
      </c>
      <c r="B1230" s="6" t="s">
        <v>33</v>
      </c>
      <c r="C1230" s="6" t="s">
        <v>17</v>
      </c>
      <c r="D1230" s="6">
        <v>1602</v>
      </c>
      <c r="E1230" s="6">
        <v>459</v>
      </c>
      <c r="F1230" s="6">
        <v>593</v>
      </c>
      <c r="G1230" s="6">
        <v>32</v>
      </c>
      <c r="H1230" s="6">
        <v>18855</v>
      </c>
      <c r="I1230" s="6">
        <v>4</v>
      </c>
      <c r="J1230" s="6">
        <v>67</v>
      </c>
      <c r="K1230" s="6">
        <v>475</v>
      </c>
      <c r="L1230" s="6">
        <v>561</v>
      </c>
      <c r="M1230" s="6">
        <v>18.421052629999998</v>
      </c>
      <c r="N1230">
        <f>VLOOKUP(A1230,vlookup_table!$A:$G,2,FALSE)</f>
        <v>0</v>
      </c>
      <c r="O1230" t="str">
        <f>VLOOKUP(A1230,vlookup_table!$A:$G,3,FALSE)</f>
        <v>MO</v>
      </c>
      <c r="P1230">
        <f>VLOOKUP(A1230,vlookup_table!$A:$G,4,FALSE)</f>
        <v>5901</v>
      </c>
      <c r="Q1230" t="str">
        <f>VLOOKUP(A1230,vlookup_table!$A:$G,5,FALSE)</f>
        <v>C1</v>
      </c>
      <c r="R1230" t="str">
        <f>VLOOKUP(A1230,vlookup_table!$A:$G,6,FALSE)</f>
        <v>F</v>
      </c>
      <c r="S1230">
        <f>VLOOKUP(A1230,vlookup_table!$A:$G,7,FALSE)</f>
        <v>24</v>
      </c>
      <c r="T1230">
        <f t="shared" si="38"/>
        <v>37</v>
      </c>
      <c r="U1230" t="str">
        <f t="shared" si="39"/>
        <v>Ciudad</v>
      </c>
    </row>
    <row r="1231" spans="1:21" ht="16" x14ac:dyDescent="0.4">
      <c r="A1231" s="6">
        <v>38327</v>
      </c>
      <c r="B1231" s="6" t="s">
        <v>13</v>
      </c>
      <c r="C1231" s="6" t="s">
        <v>14</v>
      </c>
      <c r="D1231" s="6">
        <v>736</v>
      </c>
      <c r="E1231" s="6">
        <v>274</v>
      </c>
      <c r="F1231" s="6">
        <v>316</v>
      </c>
      <c r="G1231" s="6">
        <v>0</v>
      </c>
      <c r="H1231" s="6">
        <v>11510</v>
      </c>
      <c r="I1231" s="6">
        <v>69</v>
      </c>
      <c r="J1231" s="6">
        <v>16</v>
      </c>
      <c r="K1231" s="6">
        <v>276</v>
      </c>
      <c r="L1231" s="6">
        <v>311</v>
      </c>
      <c r="M1231" s="6">
        <v>10.4</v>
      </c>
      <c r="N1231">
        <f>VLOOKUP(A1231,vlookup_table!$A:$G,2,FALSE)</f>
        <v>1</v>
      </c>
      <c r="O1231" t="str">
        <f>VLOOKUP(A1231,vlookup_table!$A:$G,3,FALSE)</f>
        <v>FL</v>
      </c>
      <c r="P1231">
        <f>VLOOKUP(A1231,vlookup_table!$A:$G,4,FALSE)</f>
        <v>1103</v>
      </c>
      <c r="Q1231" t="str">
        <f>VLOOKUP(A1231,vlookup_table!$A:$G,5,FALSE)</f>
        <v>S2</v>
      </c>
      <c r="R1231" t="str">
        <f>VLOOKUP(A1231,vlookup_table!$A:$G,6,FALSE)</f>
        <v>M</v>
      </c>
      <c r="S1231">
        <f>VLOOKUP(A1231,vlookup_table!$A:$G,7,FALSE)</f>
        <v>11</v>
      </c>
      <c r="T1231">
        <f t="shared" si="38"/>
        <v>85</v>
      </c>
      <c r="U1231" t="str">
        <f t="shared" si="39"/>
        <v>Suburbano</v>
      </c>
    </row>
    <row r="1232" spans="1:21" ht="16" x14ac:dyDescent="0.4">
      <c r="A1232" s="6">
        <v>109287</v>
      </c>
      <c r="B1232" s="6" t="s">
        <v>46</v>
      </c>
      <c r="C1232" s="6" t="s">
        <v>17</v>
      </c>
      <c r="D1232" s="6">
        <v>393</v>
      </c>
      <c r="E1232" s="6">
        <v>130</v>
      </c>
      <c r="F1232" s="6">
        <v>213</v>
      </c>
      <c r="G1232" s="6">
        <v>0</v>
      </c>
      <c r="H1232" s="6">
        <v>5559</v>
      </c>
      <c r="I1232" s="6">
        <v>0</v>
      </c>
      <c r="J1232" s="6">
        <v>92</v>
      </c>
      <c r="K1232" s="6">
        <v>147</v>
      </c>
      <c r="L1232" s="6">
        <v>178</v>
      </c>
      <c r="M1232" s="6">
        <v>4.3636363640000004</v>
      </c>
      <c r="N1232">
        <f>VLOOKUP(A1232,vlookup_table!$A:$G,2,FALSE)</f>
        <v>0</v>
      </c>
      <c r="O1232" t="str">
        <f>VLOOKUP(A1232,vlookup_table!$A:$G,3,FALSE)</f>
        <v>LA</v>
      </c>
      <c r="P1232">
        <f>VLOOKUP(A1232,vlookup_table!$A:$G,4,FALSE)</f>
        <v>0</v>
      </c>
      <c r="Q1232" t="str">
        <f>VLOOKUP(A1232,vlookup_table!$A:$G,5,FALSE)</f>
        <v>C3</v>
      </c>
      <c r="R1232" t="str">
        <f>VLOOKUP(A1232,vlookup_table!$A:$G,6,FALSE)</f>
        <v>F</v>
      </c>
      <c r="S1232">
        <f>VLOOKUP(A1232,vlookup_table!$A:$G,7,FALSE)</f>
        <v>5</v>
      </c>
      <c r="T1232">
        <f t="shared" si="38"/>
        <v>96</v>
      </c>
      <c r="U1232" t="str">
        <f t="shared" si="39"/>
        <v>Ciudad</v>
      </c>
    </row>
    <row r="1233" spans="1:21" ht="16" x14ac:dyDescent="0.4">
      <c r="A1233" s="6">
        <v>77784</v>
      </c>
      <c r="B1233" s="6" t="s">
        <v>32</v>
      </c>
      <c r="C1233" s="6" t="s">
        <v>17</v>
      </c>
      <c r="D1233" s="6">
        <v>987</v>
      </c>
      <c r="E1233" s="6">
        <v>430</v>
      </c>
      <c r="F1233" s="6">
        <v>521</v>
      </c>
      <c r="G1233" s="6">
        <v>2</v>
      </c>
      <c r="H1233" s="6">
        <v>18625</v>
      </c>
      <c r="I1233" s="6">
        <v>1</v>
      </c>
      <c r="J1233" s="6">
        <v>80</v>
      </c>
      <c r="K1233" s="6">
        <v>469</v>
      </c>
      <c r="L1233" s="6">
        <v>476</v>
      </c>
      <c r="M1233" s="6">
        <v>10</v>
      </c>
      <c r="N1233">
        <f>VLOOKUP(A1233,vlookup_table!$A:$G,2,FALSE)</f>
        <v>0</v>
      </c>
      <c r="O1233" t="str">
        <f>VLOOKUP(A1233,vlookup_table!$A:$G,3,FALSE)</f>
        <v>WI</v>
      </c>
      <c r="P1233">
        <f>VLOOKUP(A1233,vlookup_table!$A:$G,4,FALSE)</f>
        <v>7102</v>
      </c>
      <c r="Q1233" t="str">
        <f>VLOOKUP(A1233,vlookup_table!$A:$G,5,FALSE)</f>
        <v>S1</v>
      </c>
      <c r="R1233" t="str">
        <f>VLOOKUP(A1233,vlookup_table!$A:$G,6,FALSE)</f>
        <v>F</v>
      </c>
      <c r="S1233">
        <f>VLOOKUP(A1233,vlookup_table!$A:$G,7,FALSE)</f>
        <v>16</v>
      </c>
      <c r="T1233">
        <f t="shared" si="38"/>
        <v>25</v>
      </c>
      <c r="U1233" t="str">
        <f t="shared" si="39"/>
        <v>Suburbano</v>
      </c>
    </row>
    <row r="1234" spans="1:21" ht="16" x14ac:dyDescent="0.4">
      <c r="A1234" s="6">
        <v>22098</v>
      </c>
      <c r="B1234" s="6" t="s">
        <v>18</v>
      </c>
      <c r="C1234" s="6" t="s">
        <v>97</v>
      </c>
      <c r="D1234" s="6">
        <v>529</v>
      </c>
      <c r="E1234" s="6">
        <v>254</v>
      </c>
      <c r="F1234" s="6">
        <v>326</v>
      </c>
      <c r="G1234" s="6">
        <v>1</v>
      </c>
      <c r="H1234" s="6">
        <v>11595</v>
      </c>
      <c r="I1234" s="6">
        <v>2</v>
      </c>
      <c r="J1234" s="6">
        <v>73</v>
      </c>
      <c r="K1234" s="6">
        <v>301</v>
      </c>
      <c r="L1234" s="6">
        <v>284</v>
      </c>
      <c r="M1234" s="6">
        <v>2.4398148150000001</v>
      </c>
      <c r="N1234">
        <f>VLOOKUP(A1234,vlookup_table!$A:$G,2,FALSE)</f>
        <v>2</v>
      </c>
      <c r="O1234" t="str">
        <f>VLOOKUP(A1234,vlookup_table!$A:$G,3,FALSE)</f>
        <v>NC</v>
      </c>
      <c r="P1234">
        <f>VLOOKUP(A1234,vlookup_table!$A:$G,4,FALSE)</f>
        <v>2801</v>
      </c>
      <c r="Q1234" t="str">
        <f>VLOOKUP(A1234,vlookup_table!$A:$G,5,FALSE)</f>
        <v>T2</v>
      </c>
      <c r="R1234" t="str">
        <f>VLOOKUP(A1234,vlookup_table!$A:$G,6,FALSE)</f>
        <v>F</v>
      </c>
      <c r="S1234">
        <f>VLOOKUP(A1234,vlookup_table!$A:$G,7,FALSE)</f>
        <v>2</v>
      </c>
      <c r="T1234">
        <f t="shared" si="38"/>
        <v>68</v>
      </c>
      <c r="U1234" t="str">
        <f t="shared" si="39"/>
        <v>Pueblo</v>
      </c>
    </row>
    <row r="1235" spans="1:21" ht="16" x14ac:dyDescent="0.4">
      <c r="A1235" s="6">
        <v>156224</v>
      </c>
      <c r="B1235" s="6" t="s">
        <v>21</v>
      </c>
      <c r="C1235" s="6" t="s">
        <v>14</v>
      </c>
      <c r="D1235" s="6">
        <v>4933</v>
      </c>
      <c r="E1235" s="6">
        <v>691</v>
      </c>
      <c r="F1235" s="6">
        <v>816</v>
      </c>
      <c r="G1235" s="6">
        <v>94</v>
      </c>
      <c r="H1235" s="6">
        <v>37073</v>
      </c>
      <c r="I1235" s="6">
        <v>14</v>
      </c>
      <c r="J1235" s="6">
        <v>26</v>
      </c>
      <c r="K1235" s="6">
        <v>736</v>
      </c>
      <c r="L1235" s="6">
        <v>762</v>
      </c>
      <c r="M1235" s="6">
        <v>26.5</v>
      </c>
      <c r="N1235">
        <f>VLOOKUP(A1235,vlookup_table!$A:$G,2,FALSE)</f>
        <v>0</v>
      </c>
      <c r="O1235" t="str">
        <f>VLOOKUP(A1235,vlookup_table!$A:$G,3,FALSE)</f>
        <v>CA</v>
      </c>
      <c r="P1235">
        <f>VLOOKUP(A1235,vlookup_table!$A:$G,4,FALSE)</f>
        <v>4701</v>
      </c>
      <c r="Q1235" t="str">
        <f>VLOOKUP(A1235,vlookup_table!$A:$G,5,FALSE)</f>
        <v>T1</v>
      </c>
      <c r="R1235" t="str">
        <f>VLOOKUP(A1235,vlookup_table!$A:$G,6,FALSE)</f>
        <v>M</v>
      </c>
      <c r="S1235">
        <f>VLOOKUP(A1235,vlookup_table!$A:$G,7,FALSE)</f>
        <v>30</v>
      </c>
      <c r="T1235">
        <f t="shared" si="38"/>
        <v>49</v>
      </c>
      <c r="U1235" t="str">
        <f t="shared" si="39"/>
        <v>Pueblo</v>
      </c>
    </row>
    <row r="1236" spans="1:21" ht="16" x14ac:dyDescent="0.4">
      <c r="A1236" s="6">
        <v>169224</v>
      </c>
      <c r="B1236" s="6" t="s">
        <v>21</v>
      </c>
      <c r="C1236" s="6" t="s">
        <v>17</v>
      </c>
      <c r="D1236" s="6">
        <v>1178</v>
      </c>
      <c r="E1236" s="6">
        <v>482</v>
      </c>
      <c r="F1236" s="6">
        <v>573</v>
      </c>
      <c r="G1236" s="6">
        <v>0</v>
      </c>
      <c r="H1236" s="6">
        <v>16952</v>
      </c>
      <c r="I1236" s="6">
        <v>3</v>
      </c>
      <c r="J1236" s="6">
        <v>48</v>
      </c>
      <c r="K1236" s="6">
        <v>507</v>
      </c>
      <c r="L1236" s="6">
        <v>543</v>
      </c>
      <c r="M1236" s="6">
        <v>15.57142857</v>
      </c>
      <c r="N1236">
        <f>VLOOKUP(A1236,vlookup_table!$A:$G,2,FALSE)</f>
        <v>0</v>
      </c>
      <c r="O1236" t="str">
        <f>VLOOKUP(A1236,vlookup_table!$A:$G,3,FALSE)</f>
        <v>CA</v>
      </c>
      <c r="P1236">
        <f>VLOOKUP(A1236,vlookup_table!$A:$G,4,FALSE)</f>
        <v>2201</v>
      </c>
      <c r="Q1236" t="str">
        <f>VLOOKUP(A1236,vlookup_table!$A:$G,5,FALSE)</f>
        <v>C1</v>
      </c>
      <c r="R1236" t="str">
        <f>VLOOKUP(A1236,vlookup_table!$A:$G,6,FALSE)</f>
        <v>F</v>
      </c>
      <c r="S1236">
        <f>VLOOKUP(A1236,vlookup_table!$A:$G,7,FALSE)</f>
        <v>36</v>
      </c>
      <c r="T1236">
        <f t="shared" si="38"/>
        <v>74</v>
      </c>
      <c r="U1236" t="str">
        <f t="shared" si="39"/>
        <v>Ciudad</v>
      </c>
    </row>
    <row r="1237" spans="1:21" ht="16" x14ac:dyDescent="0.4">
      <c r="A1237" s="6">
        <v>146341</v>
      </c>
      <c r="B1237" s="6" t="s">
        <v>21</v>
      </c>
      <c r="C1237" s="6" t="s">
        <v>14</v>
      </c>
      <c r="D1237" s="6">
        <v>2397</v>
      </c>
      <c r="E1237" s="6">
        <v>409</v>
      </c>
      <c r="F1237" s="6">
        <v>459</v>
      </c>
      <c r="G1237" s="6">
        <v>77</v>
      </c>
      <c r="H1237" s="6">
        <v>16946</v>
      </c>
      <c r="I1237" s="6">
        <v>13</v>
      </c>
      <c r="J1237" s="6">
        <v>47</v>
      </c>
      <c r="K1237" s="6">
        <v>486</v>
      </c>
      <c r="L1237" s="6">
        <v>402</v>
      </c>
      <c r="M1237" s="6">
        <v>9.9</v>
      </c>
      <c r="N1237">
        <f>VLOOKUP(A1237,vlookup_table!$A:$G,2,FALSE)</f>
        <v>1</v>
      </c>
      <c r="O1237" t="str">
        <f>VLOOKUP(A1237,vlookup_table!$A:$G,3,FALSE)</f>
        <v>CA</v>
      </c>
      <c r="P1237">
        <f>VLOOKUP(A1237,vlookup_table!$A:$G,4,FALSE)</f>
        <v>1701</v>
      </c>
      <c r="Q1237" t="str">
        <f>VLOOKUP(A1237,vlookup_table!$A:$G,5,FALSE)</f>
        <v>U2</v>
      </c>
      <c r="R1237" t="str">
        <f>VLOOKUP(A1237,vlookup_table!$A:$G,6,FALSE)</f>
        <v>M</v>
      </c>
      <c r="S1237">
        <f>VLOOKUP(A1237,vlookup_table!$A:$G,7,FALSE)</f>
        <v>20</v>
      </c>
      <c r="T1237">
        <f t="shared" si="38"/>
        <v>79</v>
      </c>
      <c r="U1237" t="str">
        <f t="shared" si="39"/>
        <v>Urbano</v>
      </c>
    </row>
    <row r="1238" spans="1:21" ht="16" x14ac:dyDescent="0.4">
      <c r="A1238" s="6">
        <v>102630</v>
      </c>
      <c r="B1238" s="6" t="s">
        <v>33</v>
      </c>
      <c r="C1238" s="6" t="s">
        <v>14</v>
      </c>
      <c r="D1238" s="6">
        <v>651</v>
      </c>
      <c r="E1238" s="6">
        <v>336</v>
      </c>
      <c r="F1238" s="6">
        <v>459</v>
      </c>
      <c r="G1238" s="6">
        <v>0</v>
      </c>
      <c r="H1238" s="6">
        <v>15058</v>
      </c>
      <c r="I1238" s="6">
        <v>0</v>
      </c>
      <c r="J1238" s="6">
        <v>75</v>
      </c>
      <c r="K1238" s="6">
        <v>415</v>
      </c>
      <c r="L1238" s="6">
        <v>395</v>
      </c>
      <c r="M1238" s="6">
        <v>3.5789473680000001</v>
      </c>
      <c r="N1238">
        <f>VLOOKUP(A1238,vlookup_table!$A:$G,2,FALSE)</f>
        <v>2</v>
      </c>
      <c r="O1238" t="str">
        <f>VLOOKUP(A1238,vlookup_table!$A:$G,3,FALSE)</f>
        <v>MO</v>
      </c>
      <c r="P1238">
        <f>VLOOKUP(A1238,vlookup_table!$A:$G,4,FALSE)</f>
        <v>0</v>
      </c>
      <c r="Q1238" t="str">
        <f>VLOOKUP(A1238,vlookup_table!$A:$G,5,FALSE)</f>
        <v>R2</v>
      </c>
      <c r="R1238" t="str">
        <f>VLOOKUP(A1238,vlookup_table!$A:$G,6,FALSE)</f>
        <v>M</v>
      </c>
      <c r="S1238">
        <f>VLOOKUP(A1238,vlookup_table!$A:$G,7,FALSE)</f>
        <v>5</v>
      </c>
      <c r="T1238">
        <f t="shared" si="38"/>
        <v>96</v>
      </c>
      <c r="U1238" t="str">
        <f t="shared" si="39"/>
        <v>Rural</v>
      </c>
    </row>
    <row r="1239" spans="1:21" ht="16" x14ac:dyDescent="0.4">
      <c r="A1239" s="6">
        <v>119362</v>
      </c>
      <c r="B1239" s="6" t="s">
        <v>20</v>
      </c>
      <c r="C1239" s="6" t="s">
        <v>17</v>
      </c>
      <c r="D1239" s="6">
        <v>1711</v>
      </c>
      <c r="E1239" s="6">
        <v>400</v>
      </c>
      <c r="F1239" s="6">
        <v>810</v>
      </c>
      <c r="G1239" s="6">
        <v>34</v>
      </c>
      <c r="H1239" s="6">
        <v>33841</v>
      </c>
      <c r="I1239" s="6">
        <v>2</v>
      </c>
      <c r="J1239" s="6">
        <v>66</v>
      </c>
      <c r="K1239" s="6">
        <v>806</v>
      </c>
      <c r="L1239" s="6">
        <v>566</v>
      </c>
      <c r="M1239" s="6">
        <v>16</v>
      </c>
      <c r="N1239">
        <f>VLOOKUP(A1239,vlookup_table!$A:$G,2,FALSE)</f>
        <v>28</v>
      </c>
      <c r="O1239" t="str">
        <f>VLOOKUP(A1239,vlookup_table!$A:$G,3,FALSE)</f>
        <v>TX</v>
      </c>
      <c r="P1239">
        <f>VLOOKUP(A1239,vlookup_table!$A:$G,4,FALSE)</f>
        <v>2001</v>
      </c>
      <c r="Q1239" t="str">
        <f>VLOOKUP(A1239,vlookup_table!$A:$G,5,FALSE)</f>
        <v>C1</v>
      </c>
      <c r="R1239" t="str">
        <f>VLOOKUP(A1239,vlookup_table!$A:$G,6,FALSE)</f>
        <v>F</v>
      </c>
      <c r="S1239">
        <f>VLOOKUP(A1239,vlookup_table!$A:$G,7,FALSE)</f>
        <v>45</v>
      </c>
      <c r="T1239">
        <f t="shared" si="38"/>
        <v>76</v>
      </c>
      <c r="U1239" t="str">
        <f t="shared" si="39"/>
        <v>Ciudad</v>
      </c>
    </row>
    <row r="1240" spans="1:21" ht="16" x14ac:dyDescent="0.4">
      <c r="A1240" s="6">
        <v>92962</v>
      </c>
      <c r="B1240" s="6" t="s">
        <v>21</v>
      </c>
      <c r="C1240" s="6" t="s">
        <v>14</v>
      </c>
      <c r="D1240" s="6">
        <v>3663</v>
      </c>
      <c r="E1240" s="6">
        <v>749</v>
      </c>
      <c r="F1240" s="6">
        <v>818</v>
      </c>
      <c r="G1240" s="6">
        <v>87</v>
      </c>
      <c r="H1240" s="6">
        <v>27400</v>
      </c>
      <c r="I1240" s="6">
        <v>14</v>
      </c>
      <c r="J1240" s="6">
        <v>52</v>
      </c>
      <c r="K1240" s="6">
        <v>777</v>
      </c>
      <c r="L1240" s="6">
        <v>784</v>
      </c>
      <c r="M1240" s="6">
        <v>20</v>
      </c>
      <c r="N1240">
        <f>VLOOKUP(A1240,vlookup_table!$A:$G,2,FALSE)</f>
        <v>1</v>
      </c>
      <c r="O1240" t="str">
        <f>VLOOKUP(A1240,vlookup_table!$A:$G,3,FALSE)</f>
        <v>CA</v>
      </c>
      <c r="P1240">
        <f>VLOOKUP(A1240,vlookup_table!$A:$G,4,FALSE)</f>
        <v>0</v>
      </c>
      <c r="Q1240" t="str">
        <f>VLOOKUP(A1240,vlookup_table!$A:$G,5,FALSE)</f>
        <v>U1</v>
      </c>
      <c r="R1240" t="str">
        <f>VLOOKUP(A1240,vlookup_table!$A:$G,6,FALSE)</f>
        <v>M</v>
      </c>
      <c r="S1240">
        <f>VLOOKUP(A1240,vlookup_table!$A:$G,7,FALSE)</f>
        <v>20</v>
      </c>
      <c r="T1240">
        <f t="shared" si="38"/>
        <v>96</v>
      </c>
      <c r="U1240" t="str">
        <f t="shared" si="39"/>
        <v>Urbano</v>
      </c>
    </row>
    <row r="1241" spans="1:21" ht="16" x14ac:dyDescent="0.4">
      <c r="A1241" s="6">
        <v>14420</v>
      </c>
      <c r="B1241" s="6" t="s">
        <v>43</v>
      </c>
      <c r="C1241" s="6" t="s">
        <v>17</v>
      </c>
      <c r="D1241" s="6">
        <v>473</v>
      </c>
      <c r="E1241" s="6">
        <v>300</v>
      </c>
      <c r="F1241" s="6">
        <v>373</v>
      </c>
      <c r="G1241" s="6">
        <v>0</v>
      </c>
      <c r="H1241" s="6">
        <v>11482</v>
      </c>
      <c r="I1241" s="6">
        <v>0</v>
      </c>
      <c r="J1241" s="6">
        <v>80</v>
      </c>
      <c r="K1241" s="6">
        <v>319</v>
      </c>
      <c r="L1241" s="6">
        <v>333</v>
      </c>
      <c r="M1241" s="6">
        <v>8.6666666669999994</v>
      </c>
      <c r="N1241">
        <f>VLOOKUP(A1241,vlookup_table!$A:$G,2,FALSE)</f>
        <v>0</v>
      </c>
      <c r="O1241" t="str">
        <f>VLOOKUP(A1241,vlookup_table!$A:$G,3,FALSE)</f>
        <v>SC</v>
      </c>
      <c r="P1241">
        <f>VLOOKUP(A1241,vlookup_table!$A:$G,4,FALSE)</f>
        <v>403</v>
      </c>
      <c r="Q1241" t="str">
        <f>VLOOKUP(A1241,vlookup_table!$A:$G,5,FALSE)</f>
        <v>T2</v>
      </c>
      <c r="R1241" t="str">
        <f>VLOOKUP(A1241,vlookup_table!$A:$G,6,FALSE)</f>
        <v>F</v>
      </c>
      <c r="S1241">
        <f>VLOOKUP(A1241,vlookup_table!$A:$G,7,FALSE)</f>
        <v>10</v>
      </c>
      <c r="T1241">
        <f t="shared" si="38"/>
        <v>56</v>
      </c>
      <c r="U1241" t="str">
        <f t="shared" si="39"/>
        <v>Pueblo</v>
      </c>
    </row>
    <row r="1242" spans="1:21" ht="16" x14ac:dyDescent="0.4">
      <c r="A1242" s="6">
        <v>157687</v>
      </c>
      <c r="B1242" s="6" t="s">
        <v>21</v>
      </c>
      <c r="C1242" s="6" t="s">
        <v>17</v>
      </c>
      <c r="D1242" s="6">
        <v>4954</v>
      </c>
      <c r="E1242" s="6">
        <v>1106</v>
      </c>
      <c r="F1242" s="6">
        <v>1146</v>
      </c>
      <c r="G1242" s="6">
        <v>99</v>
      </c>
      <c r="H1242" s="6">
        <v>42857</v>
      </c>
      <c r="I1242" s="6">
        <v>6</v>
      </c>
      <c r="J1242" s="6">
        <v>55</v>
      </c>
      <c r="K1242" s="6">
        <v>1195</v>
      </c>
      <c r="L1242" s="6">
        <v>1086</v>
      </c>
      <c r="M1242" s="6">
        <v>7.4444444440000002</v>
      </c>
      <c r="N1242">
        <f>VLOOKUP(A1242,vlookup_table!$A:$G,2,FALSE)</f>
        <v>0</v>
      </c>
      <c r="O1242" t="str">
        <f>VLOOKUP(A1242,vlookup_table!$A:$G,3,FALSE)</f>
        <v>CA</v>
      </c>
      <c r="P1242">
        <f>VLOOKUP(A1242,vlookup_table!$A:$G,4,FALSE)</f>
        <v>3801</v>
      </c>
      <c r="Q1242" t="str">
        <f>VLOOKUP(A1242,vlookup_table!$A:$G,5,FALSE)</f>
        <v>T1</v>
      </c>
      <c r="R1242" t="str">
        <f>VLOOKUP(A1242,vlookup_table!$A:$G,6,FALSE)</f>
        <v>F</v>
      </c>
      <c r="S1242">
        <f>VLOOKUP(A1242,vlookup_table!$A:$G,7,FALSE)</f>
        <v>15</v>
      </c>
      <c r="T1242">
        <f t="shared" si="38"/>
        <v>58</v>
      </c>
      <c r="U1242" t="str">
        <f t="shared" si="39"/>
        <v>Pueblo</v>
      </c>
    </row>
    <row r="1243" spans="1:21" ht="16" x14ac:dyDescent="0.4">
      <c r="A1243" s="6">
        <v>145436</v>
      </c>
      <c r="B1243" s="6" t="s">
        <v>20</v>
      </c>
      <c r="C1243" s="6" t="s">
        <v>14</v>
      </c>
      <c r="D1243" s="6">
        <v>775</v>
      </c>
      <c r="E1243" s="6">
        <v>494</v>
      </c>
      <c r="F1243" s="6">
        <v>467</v>
      </c>
      <c r="G1243" s="6">
        <v>1</v>
      </c>
      <c r="H1243" s="6">
        <v>14903</v>
      </c>
      <c r="I1243" s="6">
        <v>5</v>
      </c>
      <c r="J1243" s="6">
        <v>59</v>
      </c>
      <c r="K1243" s="6">
        <v>465</v>
      </c>
      <c r="L1243" s="6">
        <v>489</v>
      </c>
      <c r="M1243" s="6">
        <v>25</v>
      </c>
      <c r="N1243">
        <f>VLOOKUP(A1243,vlookup_table!$A:$G,2,FALSE)</f>
        <v>1</v>
      </c>
      <c r="O1243" t="str">
        <f>VLOOKUP(A1243,vlookup_table!$A:$G,3,FALSE)</f>
        <v>TX</v>
      </c>
      <c r="P1243">
        <f>VLOOKUP(A1243,vlookup_table!$A:$G,4,FALSE)</f>
        <v>0</v>
      </c>
      <c r="Q1243" t="str">
        <f>VLOOKUP(A1243,vlookup_table!$A:$G,5,FALSE)</f>
        <v>U1</v>
      </c>
      <c r="R1243" t="str">
        <f>VLOOKUP(A1243,vlookup_table!$A:$G,6,FALSE)</f>
        <v>M</v>
      </c>
      <c r="S1243">
        <f>VLOOKUP(A1243,vlookup_table!$A:$G,7,FALSE)</f>
        <v>10</v>
      </c>
      <c r="T1243">
        <f t="shared" si="38"/>
        <v>96</v>
      </c>
      <c r="U1243" t="str">
        <f t="shared" si="39"/>
        <v>Urbano</v>
      </c>
    </row>
    <row r="1244" spans="1:21" ht="16" x14ac:dyDescent="0.4">
      <c r="A1244" s="6">
        <v>62795</v>
      </c>
      <c r="B1244" s="6" t="s">
        <v>30</v>
      </c>
      <c r="C1244" s="6" t="s">
        <v>17</v>
      </c>
      <c r="D1244" s="6">
        <v>505</v>
      </c>
      <c r="E1244" s="6">
        <v>273</v>
      </c>
      <c r="F1244" s="6">
        <v>356</v>
      </c>
      <c r="G1244" s="6">
        <v>1</v>
      </c>
      <c r="H1244" s="6">
        <v>10974</v>
      </c>
      <c r="I1244" s="6">
        <v>1</v>
      </c>
      <c r="J1244" s="6">
        <v>43</v>
      </c>
      <c r="K1244" s="6">
        <v>330</v>
      </c>
      <c r="L1244" s="6">
        <v>316</v>
      </c>
      <c r="M1244" s="6">
        <v>20</v>
      </c>
      <c r="N1244">
        <f>VLOOKUP(A1244,vlookup_table!$A:$G,2,FALSE)</f>
        <v>0</v>
      </c>
      <c r="O1244" t="str">
        <f>VLOOKUP(A1244,vlookup_table!$A:$G,3,FALSE)</f>
        <v>IN</v>
      </c>
      <c r="P1244">
        <f>VLOOKUP(A1244,vlookup_table!$A:$G,4,FALSE)</f>
        <v>0</v>
      </c>
      <c r="Q1244" t="str">
        <f>VLOOKUP(A1244,vlookup_table!$A:$G,5,FALSE)</f>
        <v>R2</v>
      </c>
      <c r="R1244" t="str">
        <f>VLOOKUP(A1244,vlookup_table!$A:$G,6,FALSE)</f>
        <v>F</v>
      </c>
      <c r="S1244">
        <f>VLOOKUP(A1244,vlookup_table!$A:$G,7,FALSE)</f>
        <v>20</v>
      </c>
      <c r="T1244">
        <f t="shared" si="38"/>
        <v>96</v>
      </c>
      <c r="U1244" t="str">
        <f t="shared" si="39"/>
        <v>Rural</v>
      </c>
    </row>
    <row r="1245" spans="1:21" ht="16" x14ac:dyDescent="0.4">
      <c r="A1245" s="6">
        <v>80153</v>
      </c>
      <c r="B1245" s="6" t="s">
        <v>32</v>
      </c>
      <c r="C1245" s="6" t="s">
        <v>14</v>
      </c>
      <c r="D1245" s="6">
        <v>416</v>
      </c>
      <c r="E1245" s="6">
        <v>247</v>
      </c>
      <c r="F1245" s="6">
        <v>340</v>
      </c>
      <c r="G1245" s="6">
        <v>0</v>
      </c>
      <c r="H1245" s="6">
        <v>11789</v>
      </c>
      <c r="I1245" s="6">
        <v>2</v>
      </c>
      <c r="J1245" s="6">
        <v>62</v>
      </c>
      <c r="K1245" s="6">
        <v>297</v>
      </c>
      <c r="L1245" s="6">
        <v>292</v>
      </c>
      <c r="M1245" s="6">
        <v>15</v>
      </c>
      <c r="N1245">
        <f>VLOOKUP(A1245,vlookup_table!$A:$G,2,FALSE)</f>
        <v>0</v>
      </c>
      <c r="O1245" t="str">
        <f>VLOOKUP(A1245,vlookup_table!$A:$G,3,FALSE)</f>
        <v>WI</v>
      </c>
      <c r="P1245">
        <f>VLOOKUP(A1245,vlookup_table!$A:$G,4,FALSE)</f>
        <v>2301</v>
      </c>
      <c r="Q1245" t="str">
        <f>VLOOKUP(A1245,vlookup_table!$A:$G,5,FALSE)</f>
        <v>C3</v>
      </c>
      <c r="R1245" t="str">
        <f>VLOOKUP(A1245,vlookup_table!$A:$G,6,FALSE)</f>
        <v>M</v>
      </c>
      <c r="S1245">
        <f>VLOOKUP(A1245,vlookup_table!$A:$G,7,FALSE)</f>
        <v>5</v>
      </c>
      <c r="T1245">
        <f t="shared" si="38"/>
        <v>73</v>
      </c>
      <c r="U1245" t="str">
        <f t="shared" si="39"/>
        <v>Ciudad</v>
      </c>
    </row>
    <row r="1246" spans="1:21" ht="16" x14ac:dyDescent="0.4">
      <c r="A1246" s="6">
        <v>21107</v>
      </c>
      <c r="B1246" s="6" t="s">
        <v>18</v>
      </c>
      <c r="C1246" s="6"/>
      <c r="D1246" s="6">
        <v>678</v>
      </c>
      <c r="E1246" s="6">
        <v>260</v>
      </c>
      <c r="F1246" s="6">
        <v>335</v>
      </c>
      <c r="G1246" s="6">
        <v>4</v>
      </c>
      <c r="H1246" s="6">
        <v>11906</v>
      </c>
      <c r="I1246" s="6">
        <v>1</v>
      </c>
      <c r="J1246" s="6">
        <v>56</v>
      </c>
      <c r="K1246" s="6">
        <v>289</v>
      </c>
      <c r="L1246" s="6">
        <v>303</v>
      </c>
      <c r="M1246" s="6">
        <v>8.7777777780000008</v>
      </c>
      <c r="N1246">
        <f>VLOOKUP(A1246,vlookup_table!$A:$G,2,FALSE)</f>
        <v>1</v>
      </c>
      <c r="O1246" t="str">
        <f>VLOOKUP(A1246,vlookup_table!$A:$G,3,FALSE)</f>
        <v>NC</v>
      </c>
      <c r="P1246">
        <f>VLOOKUP(A1246,vlookup_table!$A:$G,4,FALSE)</f>
        <v>1907</v>
      </c>
      <c r="Q1246" t="str">
        <f>VLOOKUP(A1246,vlookup_table!$A:$G,5,FALSE)</f>
        <v>T2</v>
      </c>
      <c r="R1246" t="str">
        <f>VLOOKUP(A1246,vlookup_table!$A:$G,6,FALSE)</f>
        <v/>
      </c>
      <c r="S1246">
        <f>VLOOKUP(A1246,vlookup_table!$A:$G,7,FALSE)</f>
        <v>7</v>
      </c>
      <c r="T1246">
        <f t="shared" si="38"/>
        <v>77</v>
      </c>
      <c r="U1246" t="str">
        <f t="shared" si="39"/>
        <v>Pueblo</v>
      </c>
    </row>
    <row r="1247" spans="1:21" ht="16" x14ac:dyDescent="0.4">
      <c r="A1247" s="6">
        <v>164551</v>
      </c>
      <c r="B1247" s="6" t="s">
        <v>21</v>
      </c>
      <c r="C1247" s="6" t="s">
        <v>17</v>
      </c>
      <c r="D1247" s="6">
        <v>1158</v>
      </c>
      <c r="E1247" s="6">
        <v>369</v>
      </c>
      <c r="F1247" s="6">
        <v>386</v>
      </c>
      <c r="G1247" s="6">
        <v>3</v>
      </c>
      <c r="H1247" s="6">
        <v>11592</v>
      </c>
      <c r="I1247" s="6">
        <v>3</v>
      </c>
      <c r="J1247" s="6">
        <v>64</v>
      </c>
      <c r="K1247" s="6">
        <v>398</v>
      </c>
      <c r="L1247" s="6">
        <v>373</v>
      </c>
      <c r="M1247" s="6">
        <v>4.0909090910000003</v>
      </c>
      <c r="N1247">
        <f>VLOOKUP(A1247,vlookup_table!$A:$G,2,FALSE)</f>
        <v>0</v>
      </c>
      <c r="O1247" t="str">
        <f>VLOOKUP(A1247,vlookup_table!$A:$G,3,FALSE)</f>
        <v>CA</v>
      </c>
      <c r="P1247">
        <f>VLOOKUP(A1247,vlookup_table!$A:$G,4,FALSE)</f>
        <v>0</v>
      </c>
      <c r="Q1247" t="str">
        <f>VLOOKUP(A1247,vlookup_table!$A:$G,5,FALSE)</f>
        <v>C2</v>
      </c>
      <c r="R1247" t="str">
        <f>VLOOKUP(A1247,vlookup_table!$A:$G,6,FALSE)</f>
        <v>F</v>
      </c>
      <c r="S1247">
        <f>VLOOKUP(A1247,vlookup_table!$A:$G,7,FALSE)</f>
        <v>3</v>
      </c>
      <c r="T1247">
        <f t="shared" si="38"/>
        <v>96</v>
      </c>
      <c r="U1247" t="str">
        <f t="shared" si="39"/>
        <v>Ciudad</v>
      </c>
    </row>
    <row r="1248" spans="1:21" ht="16" x14ac:dyDescent="0.4">
      <c r="A1248" s="6">
        <v>53485</v>
      </c>
      <c r="B1248" s="6" t="s">
        <v>49</v>
      </c>
      <c r="C1248" s="6" t="s">
        <v>17</v>
      </c>
      <c r="D1248" s="6">
        <v>861</v>
      </c>
      <c r="E1248" s="6">
        <v>248</v>
      </c>
      <c r="F1248" s="6">
        <v>328</v>
      </c>
      <c r="G1248" s="6">
        <v>0</v>
      </c>
      <c r="H1248" s="6">
        <v>16517</v>
      </c>
      <c r="I1248" s="6">
        <v>6</v>
      </c>
      <c r="J1248" s="6">
        <v>44</v>
      </c>
      <c r="K1248" s="6">
        <v>314</v>
      </c>
      <c r="L1248" s="6">
        <v>278</v>
      </c>
      <c r="M1248" s="6">
        <v>7</v>
      </c>
      <c r="N1248">
        <f>VLOOKUP(A1248,vlookup_table!$A:$G,2,FALSE)</f>
        <v>28</v>
      </c>
      <c r="O1248" t="str">
        <f>VLOOKUP(A1248,vlookup_table!$A:$G,3,FALSE)</f>
        <v>TN</v>
      </c>
      <c r="P1248">
        <f>VLOOKUP(A1248,vlookup_table!$A:$G,4,FALSE)</f>
        <v>0</v>
      </c>
      <c r="Q1248" t="str">
        <f>VLOOKUP(A1248,vlookup_table!$A:$G,5,FALSE)</f>
        <v>S2</v>
      </c>
      <c r="R1248" t="str">
        <f>VLOOKUP(A1248,vlookup_table!$A:$G,6,FALSE)</f>
        <v>F</v>
      </c>
      <c r="S1248">
        <f>VLOOKUP(A1248,vlookup_table!$A:$G,7,FALSE)</f>
        <v>7</v>
      </c>
      <c r="T1248">
        <f t="shared" si="38"/>
        <v>96</v>
      </c>
      <c r="U1248" t="str">
        <f t="shared" si="39"/>
        <v>Suburbano</v>
      </c>
    </row>
    <row r="1249" spans="1:21" ht="16" x14ac:dyDescent="0.4">
      <c r="A1249" s="6">
        <v>25331</v>
      </c>
      <c r="B1249" s="6" t="s">
        <v>43</v>
      </c>
      <c r="C1249" s="6" t="s">
        <v>17</v>
      </c>
      <c r="D1249" s="6">
        <v>407</v>
      </c>
      <c r="E1249" s="6">
        <v>157</v>
      </c>
      <c r="F1249" s="6">
        <v>260</v>
      </c>
      <c r="G1249" s="6">
        <v>0</v>
      </c>
      <c r="H1249" s="6">
        <v>7762</v>
      </c>
      <c r="I1249" s="6">
        <v>1</v>
      </c>
      <c r="J1249" s="6">
        <v>79</v>
      </c>
      <c r="K1249" s="6">
        <v>193</v>
      </c>
      <c r="L1249" s="6">
        <v>221</v>
      </c>
      <c r="M1249" s="6">
        <v>16.666666670000001</v>
      </c>
      <c r="N1249">
        <f>VLOOKUP(A1249,vlookup_table!$A:$G,2,FALSE)</f>
        <v>0</v>
      </c>
      <c r="O1249" t="str">
        <f>VLOOKUP(A1249,vlookup_table!$A:$G,3,FALSE)</f>
        <v>SC</v>
      </c>
      <c r="P1249">
        <f>VLOOKUP(A1249,vlookup_table!$A:$G,4,FALSE)</f>
        <v>0</v>
      </c>
      <c r="Q1249" t="str">
        <f>VLOOKUP(A1249,vlookup_table!$A:$G,5,FALSE)</f>
        <v>R2</v>
      </c>
      <c r="R1249" t="str">
        <f>VLOOKUP(A1249,vlookup_table!$A:$G,6,FALSE)</f>
        <v>F</v>
      </c>
      <c r="S1249">
        <f>VLOOKUP(A1249,vlookup_table!$A:$G,7,FALSE)</f>
        <v>22</v>
      </c>
      <c r="T1249">
        <f t="shared" si="38"/>
        <v>96</v>
      </c>
      <c r="U1249" t="str">
        <f t="shared" si="39"/>
        <v>Rural</v>
      </c>
    </row>
    <row r="1250" spans="1:21" ht="16" x14ac:dyDescent="0.4">
      <c r="A1250" s="6">
        <v>189130</v>
      </c>
      <c r="B1250" s="6" t="s">
        <v>16</v>
      </c>
      <c r="C1250" s="6" t="s">
        <v>14</v>
      </c>
      <c r="D1250" s="6">
        <v>1094</v>
      </c>
      <c r="E1250" s="6">
        <v>363</v>
      </c>
      <c r="F1250" s="6">
        <v>444</v>
      </c>
      <c r="G1250" s="6">
        <v>2</v>
      </c>
      <c r="H1250" s="6">
        <v>15967</v>
      </c>
      <c r="I1250" s="6">
        <v>23</v>
      </c>
      <c r="J1250" s="6">
        <v>66</v>
      </c>
      <c r="K1250" s="6">
        <v>388</v>
      </c>
      <c r="L1250" s="6">
        <v>421</v>
      </c>
      <c r="M1250" s="6">
        <v>20.833333329999999</v>
      </c>
      <c r="N1250">
        <f>VLOOKUP(A1250,vlookup_table!$A:$G,2,FALSE)</f>
        <v>1</v>
      </c>
      <c r="O1250" t="str">
        <f>VLOOKUP(A1250,vlookup_table!$A:$G,3,FALSE)</f>
        <v>IL</v>
      </c>
      <c r="P1250">
        <f>VLOOKUP(A1250,vlookup_table!$A:$G,4,FALSE)</f>
        <v>2810</v>
      </c>
      <c r="Q1250" t="str">
        <f>VLOOKUP(A1250,vlookup_table!$A:$G,5,FALSE)</f>
        <v>U2</v>
      </c>
      <c r="R1250" t="str">
        <f>VLOOKUP(A1250,vlookup_table!$A:$G,6,FALSE)</f>
        <v>M</v>
      </c>
      <c r="S1250">
        <f>VLOOKUP(A1250,vlookup_table!$A:$G,7,FALSE)</f>
        <v>51</v>
      </c>
      <c r="T1250">
        <f t="shared" si="38"/>
        <v>68</v>
      </c>
      <c r="U1250" t="str">
        <f t="shared" si="39"/>
        <v>Urbano</v>
      </c>
    </row>
    <row r="1251" spans="1:21" ht="16" x14ac:dyDescent="0.4">
      <c r="A1251" s="6">
        <v>190840</v>
      </c>
      <c r="B1251" s="6" t="s">
        <v>16</v>
      </c>
      <c r="C1251" s="6" t="s">
        <v>14</v>
      </c>
      <c r="D1251" s="6">
        <v>485</v>
      </c>
      <c r="E1251" s="6">
        <v>297</v>
      </c>
      <c r="F1251" s="6">
        <v>340</v>
      </c>
      <c r="G1251" s="6">
        <v>0</v>
      </c>
      <c r="H1251" s="6">
        <v>10899</v>
      </c>
      <c r="I1251" s="6">
        <v>3</v>
      </c>
      <c r="J1251" s="6">
        <v>60</v>
      </c>
      <c r="K1251" s="6">
        <v>309</v>
      </c>
      <c r="L1251" s="6">
        <v>329</v>
      </c>
      <c r="M1251" s="6">
        <v>21.25</v>
      </c>
      <c r="N1251">
        <f>VLOOKUP(A1251,vlookup_table!$A:$G,2,FALSE)</f>
        <v>1</v>
      </c>
      <c r="O1251" t="str">
        <f>VLOOKUP(A1251,vlookup_table!$A:$G,3,FALSE)</f>
        <v>IL</v>
      </c>
      <c r="P1251">
        <f>VLOOKUP(A1251,vlookup_table!$A:$G,4,FALSE)</f>
        <v>4912</v>
      </c>
      <c r="Q1251" t="str">
        <f>VLOOKUP(A1251,vlookup_table!$A:$G,5,FALSE)</f>
        <v>C3</v>
      </c>
      <c r="R1251" t="str">
        <f>VLOOKUP(A1251,vlookup_table!$A:$G,6,FALSE)</f>
        <v>M</v>
      </c>
      <c r="S1251">
        <f>VLOOKUP(A1251,vlookup_table!$A:$G,7,FALSE)</f>
        <v>25</v>
      </c>
      <c r="T1251">
        <f t="shared" si="38"/>
        <v>47</v>
      </c>
      <c r="U1251" t="str">
        <f t="shared" si="39"/>
        <v>Ciudad</v>
      </c>
    </row>
    <row r="1252" spans="1:21" ht="16" x14ac:dyDescent="0.4">
      <c r="A1252" s="6">
        <v>341</v>
      </c>
      <c r="B1252" s="6" t="s">
        <v>36</v>
      </c>
      <c r="C1252" s="6" t="s">
        <v>17</v>
      </c>
      <c r="D1252" s="6">
        <v>517</v>
      </c>
      <c r="E1252" s="6">
        <v>327</v>
      </c>
      <c r="F1252" s="6">
        <v>416</v>
      </c>
      <c r="G1252" s="6">
        <v>0</v>
      </c>
      <c r="H1252" s="6">
        <v>12605</v>
      </c>
      <c r="I1252" s="6">
        <v>0</v>
      </c>
      <c r="J1252" s="6">
        <v>87</v>
      </c>
      <c r="K1252" s="6">
        <v>375</v>
      </c>
      <c r="L1252" s="6">
        <v>389</v>
      </c>
      <c r="M1252" s="6">
        <v>11</v>
      </c>
      <c r="N1252">
        <f>VLOOKUP(A1252,vlookup_table!$A:$G,2,FALSE)</f>
        <v>0</v>
      </c>
      <c r="O1252" t="str">
        <f>VLOOKUP(A1252,vlookup_table!$A:$G,3,FALSE)</f>
        <v>GA</v>
      </c>
      <c r="P1252">
        <f>VLOOKUP(A1252,vlookup_table!$A:$G,4,FALSE)</f>
        <v>3011</v>
      </c>
      <c r="Q1252" t="str">
        <f>VLOOKUP(A1252,vlookup_table!$A:$G,5,FALSE)</f>
        <v>R2</v>
      </c>
      <c r="R1252" t="str">
        <f>VLOOKUP(A1252,vlookup_table!$A:$G,6,FALSE)</f>
        <v>F</v>
      </c>
      <c r="S1252">
        <f>VLOOKUP(A1252,vlookup_table!$A:$G,7,FALSE)</f>
        <v>25</v>
      </c>
      <c r="T1252">
        <f t="shared" si="38"/>
        <v>66</v>
      </c>
      <c r="U1252" t="str">
        <f t="shared" si="39"/>
        <v>Rural</v>
      </c>
    </row>
    <row r="1253" spans="1:21" ht="16" x14ac:dyDescent="0.4">
      <c r="A1253" s="6">
        <v>109240</v>
      </c>
      <c r="B1253" s="6" t="s">
        <v>46</v>
      </c>
      <c r="C1253" s="6" t="s">
        <v>14</v>
      </c>
      <c r="D1253" s="6">
        <v>445</v>
      </c>
      <c r="E1253" s="6">
        <v>180</v>
      </c>
      <c r="F1253" s="6">
        <v>256</v>
      </c>
      <c r="G1253" s="6">
        <v>1</v>
      </c>
      <c r="H1253" s="6">
        <v>7560</v>
      </c>
      <c r="I1253" s="6">
        <v>0</v>
      </c>
      <c r="J1253" s="6">
        <v>96</v>
      </c>
      <c r="K1253" s="6">
        <v>210</v>
      </c>
      <c r="L1253" s="6">
        <v>226</v>
      </c>
      <c r="M1253" s="6">
        <v>6.3214285710000002</v>
      </c>
      <c r="N1253">
        <f>VLOOKUP(A1253,vlookup_table!$A:$G,2,FALSE)</f>
        <v>0</v>
      </c>
      <c r="O1253" t="str">
        <f>VLOOKUP(A1253,vlookup_table!$A:$G,3,FALSE)</f>
        <v>LA</v>
      </c>
      <c r="P1253">
        <f>VLOOKUP(A1253,vlookup_table!$A:$G,4,FALSE)</f>
        <v>3711</v>
      </c>
      <c r="Q1253" t="str">
        <f>VLOOKUP(A1253,vlookup_table!$A:$G,5,FALSE)</f>
        <v>T3</v>
      </c>
      <c r="R1253" t="str">
        <f>VLOOKUP(A1253,vlookup_table!$A:$G,6,FALSE)</f>
        <v>M</v>
      </c>
      <c r="S1253">
        <f>VLOOKUP(A1253,vlookup_table!$A:$G,7,FALSE)</f>
        <v>7</v>
      </c>
      <c r="T1253">
        <f t="shared" si="38"/>
        <v>59</v>
      </c>
      <c r="U1253" t="str">
        <f t="shared" si="39"/>
        <v>Pueblo</v>
      </c>
    </row>
    <row r="1254" spans="1:21" ht="16" x14ac:dyDescent="0.4">
      <c r="A1254" s="6">
        <v>6028</v>
      </c>
      <c r="B1254" s="6" t="s">
        <v>55</v>
      </c>
      <c r="C1254" s="6" t="s">
        <v>14</v>
      </c>
      <c r="D1254" s="6">
        <v>2458</v>
      </c>
      <c r="E1254" s="6">
        <v>1178</v>
      </c>
      <c r="F1254" s="6">
        <v>1118</v>
      </c>
      <c r="G1254" s="6">
        <v>73</v>
      </c>
      <c r="H1254" s="6">
        <v>58088</v>
      </c>
      <c r="I1254" s="6">
        <v>6</v>
      </c>
      <c r="J1254" s="6">
        <v>56</v>
      </c>
      <c r="K1254" s="6">
        <v>1203</v>
      </c>
      <c r="L1254" s="6">
        <v>1095</v>
      </c>
      <c r="M1254" s="6">
        <v>13.581395349999999</v>
      </c>
      <c r="N1254">
        <f>VLOOKUP(A1254,vlookup_table!$A:$G,2,FALSE)</f>
        <v>4</v>
      </c>
      <c r="O1254" t="str">
        <f>VLOOKUP(A1254,vlookup_table!$A:$G,3,FALSE)</f>
        <v>NE</v>
      </c>
      <c r="P1254">
        <f>VLOOKUP(A1254,vlookup_table!$A:$G,4,FALSE)</f>
        <v>4912</v>
      </c>
      <c r="Q1254" t="str">
        <f>VLOOKUP(A1254,vlookup_table!$A:$G,5,FALSE)</f>
        <v>S1</v>
      </c>
      <c r="R1254" t="str">
        <f>VLOOKUP(A1254,vlookup_table!$A:$G,6,FALSE)</f>
        <v>M</v>
      </c>
      <c r="S1254">
        <f>VLOOKUP(A1254,vlookup_table!$A:$G,7,FALSE)</f>
        <v>15</v>
      </c>
      <c r="T1254">
        <f t="shared" si="38"/>
        <v>47</v>
      </c>
      <c r="U1254" t="str">
        <f t="shared" si="39"/>
        <v>Suburbano</v>
      </c>
    </row>
    <row r="1255" spans="1:21" ht="16" x14ac:dyDescent="0.4">
      <c r="A1255" s="6">
        <v>169722</v>
      </c>
      <c r="B1255" s="6" t="s">
        <v>21</v>
      </c>
      <c r="C1255" s="6" t="s">
        <v>17</v>
      </c>
      <c r="D1255" s="6">
        <v>1428</v>
      </c>
      <c r="E1255" s="6">
        <v>301</v>
      </c>
      <c r="F1255" s="6">
        <v>297</v>
      </c>
      <c r="G1255" s="6">
        <v>3</v>
      </c>
      <c r="H1255" s="6">
        <v>9201</v>
      </c>
      <c r="I1255" s="6">
        <v>29</v>
      </c>
      <c r="J1255" s="6">
        <v>49</v>
      </c>
      <c r="K1255" s="6">
        <v>277</v>
      </c>
      <c r="L1255" s="6">
        <v>322</v>
      </c>
      <c r="M1255" s="6">
        <v>25</v>
      </c>
      <c r="N1255">
        <f>VLOOKUP(A1255,vlookup_table!$A:$G,2,FALSE)</f>
        <v>0</v>
      </c>
      <c r="O1255" t="str">
        <f>VLOOKUP(A1255,vlookup_table!$A:$G,3,FALSE)</f>
        <v>CA</v>
      </c>
      <c r="P1255">
        <f>VLOOKUP(A1255,vlookup_table!$A:$G,4,FALSE)</f>
        <v>4701</v>
      </c>
      <c r="Q1255" t="str">
        <f>VLOOKUP(A1255,vlookup_table!$A:$G,5,FALSE)</f>
        <v>C2</v>
      </c>
      <c r="R1255" t="str">
        <f>VLOOKUP(A1255,vlookup_table!$A:$G,6,FALSE)</f>
        <v>F</v>
      </c>
      <c r="S1255">
        <f>VLOOKUP(A1255,vlookup_table!$A:$G,7,FALSE)</f>
        <v>20</v>
      </c>
      <c r="T1255">
        <f t="shared" si="38"/>
        <v>49</v>
      </c>
      <c r="U1255" t="str">
        <f t="shared" si="39"/>
        <v>Ciudad</v>
      </c>
    </row>
    <row r="1256" spans="1:21" ht="16" x14ac:dyDescent="0.4">
      <c r="A1256" s="6">
        <v>91467</v>
      </c>
      <c r="B1256" s="6" t="s">
        <v>16</v>
      </c>
      <c r="C1256" s="6" t="s">
        <v>17</v>
      </c>
      <c r="D1256" s="6">
        <v>693</v>
      </c>
      <c r="E1256" s="6">
        <v>407</v>
      </c>
      <c r="F1256" s="6">
        <v>386</v>
      </c>
      <c r="G1256" s="6">
        <v>1</v>
      </c>
      <c r="H1256" s="6">
        <v>11864</v>
      </c>
      <c r="I1256" s="6">
        <v>0</v>
      </c>
      <c r="J1256" s="6">
        <v>81</v>
      </c>
      <c r="K1256" s="6">
        <v>399</v>
      </c>
      <c r="L1256" s="6">
        <v>390</v>
      </c>
      <c r="M1256" s="6">
        <v>6.5882352940000004</v>
      </c>
      <c r="N1256">
        <f>VLOOKUP(A1256,vlookup_table!$A:$G,2,FALSE)</f>
        <v>28</v>
      </c>
      <c r="O1256" t="str">
        <f>VLOOKUP(A1256,vlookup_table!$A:$G,3,FALSE)</f>
        <v>IL</v>
      </c>
      <c r="P1256">
        <f>VLOOKUP(A1256,vlookup_table!$A:$G,4,FALSE)</f>
        <v>4106</v>
      </c>
      <c r="Q1256" t="str">
        <f>VLOOKUP(A1256,vlookup_table!$A:$G,5,FALSE)</f>
        <v>T2</v>
      </c>
      <c r="R1256" t="str">
        <f>VLOOKUP(A1256,vlookup_table!$A:$G,6,FALSE)</f>
        <v>F</v>
      </c>
      <c r="S1256">
        <f>VLOOKUP(A1256,vlookup_table!$A:$G,7,FALSE)</f>
        <v>8</v>
      </c>
      <c r="T1256">
        <f t="shared" si="38"/>
        <v>55</v>
      </c>
      <c r="U1256" t="str">
        <f t="shared" si="39"/>
        <v>Pueblo</v>
      </c>
    </row>
    <row r="1257" spans="1:21" ht="16" x14ac:dyDescent="0.4">
      <c r="A1257" s="6">
        <v>88537</v>
      </c>
      <c r="B1257" s="6" t="s">
        <v>16</v>
      </c>
      <c r="C1257" s="6" t="s">
        <v>14</v>
      </c>
      <c r="D1257" s="6">
        <v>873</v>
      </c>
      <c r="E1257" s="6">
        <v>211</v>
      </c>
      <c r="F1257" s="6">
        <v>319</v>
      </c>
      <c r="G1257" s="6">
        <v>0</v>
      </c>
      <c r="H1257" s="6">
        <v>14513</v>
      </c>
      <c r="I1257" s="6">
        <v>4</v>
      </c>
      <c r="J1257" s="6">
        <v>75</v>
      </c>
      <c r="K1257" s="6">
        <v>291</v>
      </c>
      <c r="L1257" s="6">
        <v>251</v>
      </c>
      <c r="M1257" s="6">
        <v>3.1739130439999999</v>
      </c>
      <c r="N1257">
        <f>VLOOKUP(A1257,vlookup_table!$A:$G,2,FALSE)</f>
        <v>1</v>
      </c>
      <c r="O1257" t="str">
        <f>VLOOKUP(A1257,vlookup_table!$A:$G,3,FALSE)</f>
        <v>IL</v>
      </c>
      <c r="P1257">
        <f>VLOOKUP(A1257,vlookup_table!$A:$G,4,FALSE)</f>
        <v>2106</v>
      </c>
      <c r="Q1257" t="str">
        <f>VLOOKUP(A1257,vlookup_table!$A:$G,5,FALSE)</f>
        <v>T2</v>
      </c>
      <c r="R1257" t="str">
        <f>VLOOKUP(A1257,vlookup_table!$A:$G,6,FALSE)</f>
        <v>M</v>
      </c>
      <c r="S1257">
        <f>VLOOKUP(A1257,vlookup_table!$A:$G,7,FALSE)</f>
        <v>5</v>
      </c>
      <c r="T1257">
        <f t="shared" si="38"/>
        <v>75</v>
      </c>
      <c r="U1257" t="str">
        <f t="shared" si="39"/>
        <v>Pueblo</v>
      </c>
    </row>
    <row r="1258" spans="1:21" ht="16" x14ac:dyDescent="0.4">
      <c r="A1258" s="6">
        <v>162740</v>
      </c>
      <c r="B1258" s="6" t="s">
        <v>21</v>
      </c>
      <c r="C1258" s="6" t="s">
        <v>17</v>
      </c>
      <c r="D1258" s="6">
        <v>2807</v>
      </c>
      <c r="E1258" s="6">
        <v>478</v>
      </c>
      <c r="F1258" s="6">
        <v>542</v>
      </c>
      <c r="G1258" s="6">
        <v>92</v>
      </c>
      <c r="H1258" s="6">
        <v>17103</v>
      </c>
      <c r="I1258" s="6">
        <v>21</v>
      </c>
      <c r="J1258" s="6">
        <v>58</v>
      </c>
      <c r="K1258" s="6">
        <v>497</v>
      </c>
      <c r="L1258" s="6">
        <v>504</v>
      </c>
      <c r="M1258" s="6">
        <v>12.75</v>
      </c>
      <c r="N1258">
        <f>VLOOKUP(A1258,vlookup_table!$A:$G,2,FALSE)</f>
        <v>0</v>
      </c>
      <c r="O1258" t="str">
        <f>VLOOKUP(A1258,vlookup_table!$A:$G,3,FALSE)</f>
        <v>CA</v>
      </c>
      <c r="P1258">
        <f>VLOOKUP(A1258,vlookup_table!$A:$G,4,FALSE)</f>
        <v>2201</v>
      </c>
      <c r="Q1258" t="str">
        <f>VLOOKUP(A1258,vlookup_table!$A:$G,5,FALSE)</f>
        <v>S2</v>
      </c>
      <c r="R1258" t="str">
        <f>VLOOKUP(A1258,vlookup_table!$A:$G,6,FALSE)</f>
        <v>F</v>
      </c>
      <c r="S1258">
        <f>VLOOKUP(A1258,vlookup_table!$A:$G,7,FALSE)</f>
        <v>14</v>
      </c>
      <c r="T1258">
        <f t="shared" si="38"/>
        <v>74</v>
      </c>
      <c r="U1258" t="str">
        <f t="shared" si="39"/>
        <v>Suburbano</v>
      </c>
    </row>
    <row r="1259" spans="1:21" ht="16" x14ac:dyDescent="0.4">
      <c r="A1259" s="6">
        <v>123622</v>
      </c>
      <c r="B1259" s="6" t="s">
        <v>20</v>
      </c>
      <c r="C1259" s="6" t="s">
        <v>14</v>
      </c>
      <c r="D1259" s="6">
        <v>351</v>
      </c>
      <c r="E1259" s="6">
        <v>241</v>
      </c>
      <c r="F1259" s="6">
        <v>304</v>
      </c>
      <c r="G1259" s="6">
        <v>0</v>
      </c>
      <c r="H1259" s="6">
        <v>9113</v>
      </c>
      <c r="I1259" s="6">
        <v>19</v>
      </c>
      <c r="J1259" s="6">
        <v>61</v>
      </c>
      <c r="K1259" s="6">
        <v>278</v>
      </c>
      <c r="L1259" s="6">
        <v>283</v>
      </c>
      <c r="M1259" s="6">
        <v>14</v>
      </c>
      <c r="N1259">
        <f>VLOOKUP(A1259,vlookup_table!$A:$G,2,FALSE)</f>
        <v>1</v>
      </c>
      <c r="O1259" t="str">
        <f>VLOOKUP(A1259,vlookup_table!$A:$G,3,FALSE)</f>
        <v>TX</v>
      </c>
      <c r="P1259">
        <f>VLOOKUP(A1259,vlookup_table!$A:$G,4,FALSE)</f>
        <v>5401</v>
      </c>
      <c r="Q1259" t="str">
        <f>VLOOKUP(A1259,vlookup_table!$A:$G,5,FALSE)</f>
        <v>S3</v>
      </c>
      <c r="R1259" t="str">
        <f>VLOOKUP(A1259,vlookup_table!$A:$G,6,FALSE)</f>
        <v>M</v>
      </c>
      <c r="S1259">
        <f>VLOOKUP(A1259,vlookup_table!$A:$G,7,FALSE)</f>
        <v>25</v>
      </c>
      <c r="T1259">
        <f t="shared" si="38"/>
        <v>42</v>
      </c>
      <c r="U1259" t="str">
        <f t="shared" si="39"/>
        <v>Suburbano</v>
      </c>
    </row>
    <row r="1260" spans="1:21" ht="16" x14ac:dyDescent="0.4">
      <c r="A1260" s="6">
        <v>12370</v>
      </c>
      <c r="B1260" s="6" t="s">
        <v>21</v>
      </c>
      <c r="C1260" s="6" t="s">
        <v>17</v>
      </c>
      <c r="D1260" s="6">
        <v>2067</v>
      </c>
      <c r="E1260" s="6">
        <v>489</v>
      </c>
      <c r="F1260" s="6">
        <v>583</v>
      </c>
      <c r="G1260" s="6">
        <v>53</v>
      </c>
      <c r="H1260" s="6">
        <v>19624</v>
      </c>
      <c r="I1260" s="6">
        <v>10</v>
      </c>
      <c r="J1260" s="6">
        <v>54</v>
      </c>
      <c r="K1260" s="6">
        <v>534</v>
      </c>
      <c r="L1260" s="6">
        <v>540</v>
      </c>
      <c r="M1260" s="6">
        <v>450</v>
      </c>
      <c r="N1260">
        <f>VLOOKUP(A1260,vlookup_table!$A:$G,2,FALSE)</f>
        <v>0</v>
      </c>
      <c r="O1260" t="str">
        <f>VLOOKUP(A1260,vlookup_table!$A:$G,3,FALSE)</f>
        <v>CA</v>
      </c>
      <c r="P1260">
        <f>VLOOKUP(A1260,vlookup_table!$A:$G,4,FALSE)</f>
        <v>0</v>
      </c>
      <c r="Q1260" t="str">
        <f>VLOOKUP(A1260,vlookup_table!$A:$G,5,FALSE)</f>
        <v>C1</v>
      </c>
      <c r="R1260" t="str">
        <f>VLOOKUP(A1260,vlookup_table!$A:$G,6,FALSE)</f>
        <v>F</v>
      </c>
      <c r="S1260">
        <f>VLOOKUP(A1260,vlookup_table!$A:$G,7,FALSE)</f>
        <v>20</v>
      </c>
      <c r="T1260">
        <f t="shared" si="38"/>
        <v>96</v>
      </c>
      <c r="U1260" t="str">
        <f t="shared" si="39"/>
        <v>Ciudad</v>
      </c>
    </row>
    <row r="1261" spans="1:21" ht="16" x14ac:dyDescent="0.4">
      <c r="A1261" s="6">
        <v>91453</v>
      </c>
      <c r="B1261" s="6" t="s">
        <v>16</v>
      </c>
      <c r="C1261" s="6" t="s">
        <v>17</v>
      </c>
      <c r="D1261" s="6">
        <v>999</v>
      </c>
      <c r="E1261" s="6">
        <v>411</v>
      </c>
      <c r="F1261" s="6">
        <v>496</v>
      </c>
      <c r="G1261" s="6">
        <v>12</v>
      </c>
      <c r="H1261" s="6">
        <v>15934</v>
      </c>
      <c r="I1261" s="6">
        <v>2</v>
      </c>
      <c r="J1261" s="6">
        <v>80</v>
      </c>
      <c r="K1261" s="6">
        <v>453</v>
      </c>
      <c r="L1261" s="6">
        <v>465</v>
      </c>
      <c r="M1261" s="6">
        <v>18.714285709999999</v>
      </c>
      <c r="N1261">
        <f>VLOOKUP(A1261,vlookup_table!$A:$G,2,FALSE)</f>
        <v>0</v>
      </c>
      <c r="O1261" t="str">
        <f>VLOOKUP(A1261,vlookup_table!$A:$G,3,FALSE)</f>
        <v>IL</v>
      </c>
      <c r="P1261">
        <f>VLOOKUP(A1261,vlookup_table!$A:$G,4,FALSE)</f>
        <v>0</v>
      </c>
      <c r="Q1261" t="str">
        <f>VLOOKUP(A1261,vlookup_table!$A:$G,5,FALSE)</f>
        <v>T2</v>
      </c>
      <c r="R1261" t="str">
        <f>VLOOKUP(A1261,vlookup_table!$A:$G,6,FALSE)</f>
        <v>F</v>
      </c>
      <c r="S1261">
        <f>VLOOKUP(A1261,vlookup_table!$A:$G,7,FALSE)</f>
        <v>21</v>
      </c>
      <c r="T1261">
        <f t="shared" si="38"/>
        <v>96</v>
      </c>
      <c r="U1261" t="str">
        <f t="shared" si="39"/>
        <v>Pueblo</v>
      </c>
    </row>
    <row r="1262" spans="1:21" ht="16" x14ac:dyDescent="0.4">
      <c r="A1262" s="6">
        <v>42543</v>
      </c>
      <c r="B1262" s="6" t="s">
        <v>13</v>
      </c>
      <c r="C1262" s="6" t="s">
        <v>14</v>
      </c>
      <c r="D1262" s="6">
        <v>419</v>
      </c>
      <c r="E1262" s="6">
        <v>218</v>
      </c>
      <c r="F1262" s="6">
        <v>305</v>
      </c>
      <c r="G1262" s="6">
        <v>1</v>
      </c>
      <c r="H1262" s="6">
        <v>9540</v>
      </c>
      <c r="I1262" s="6">
        <v>8</v>
      </c>
      <c r="J1262" s="6">
        <v>53</v>
      </c>
      <c r="K1262" s="6">
        <v>243</v>
      </c>
      <c r="L1262" s="6">
        <v>277</v>
      </c>
      <c r="M1262" s="6">
        <v>8.75</v>
      </c>
      <c r="N1262">
        <f>VLOOKUP(A1262,vlookup_table!$A:$G,2,FALSE)</f>
        <v>0</v>
      </c>
      <c r="O1262" t="str">
        <f>VLOOKUP(A1262,vlookup_table!$A:$G,3,FALSE)</f>
        <v>FL</v>
      </c>
      <c r="P1262">
        <f>VLOOKUP(A1262,vlookup_table!$A:$G,4,FALSE)</f>
        <v>0</v>
      </c>
      <c r="Q1262" t="str">
        <f>VLOOKUP(A1262,vlookup_table!$A:$G,5,FALSE)</f>
        <v>R2</v>
      </c>
      <c r="R1262" t="str">
        <f>VLOOKUP(A1262,vlookup_table!$A:$G,6,FALSE)</f>
        <v>M</v>
      </c>
      <c r="S1262">
        <f>VLOOKUP(A1262,vlookup_table!$A:$G,7,FALSE)</f>
        <v>20</v>
      </c>
      <c r="T1262">
        <f t="shared" si="38"/>
        <v>96</v>
      </c>
      <c r="U1262" t="str">
        <f t="shared" si="39"/>
        <v>Rural</v>
      </c>
    </row>
    <row r="1263" spans="1:21" ht="16" x14ac:dyDescent="0.4">
      <c r="A1263" s="6">
        <v>89768</v>
      </c>
      <c r="B1263" s="6" t="s">
        <v>16</v>
      </c>
      <c r="C1263" s="6" t="s">
        <v>14</v>
      </c>
      <c r="D1263" s="6">
        <v>962</v>
      </c>
      <c r="E1263" s="6">
        <v>327</v>
      </c>
      <c r="F1263" s="6">
        <v>465</v>
      </c>
      <c r="G1263" s="6">
        <v>1</v>
      </c>
      <c r="H1263" s="6">
        <v>14486</v>
      </c>
      <c r="I1263" s="6">
        <v>11</v>
      </c>
      <c r="J1263" s="6">
        <v>69</v>
      </c>
      <c r="K1263" s="6">
        <v>479</v>
      </c>
      <c r="L1263" s="6">
        <v>361</v>
      </c>
      <c r="M1263" s="6">
        <v>5.1111111109999996</v>
      </c>
      <c r="N1263">
        <f>VLOOKUP(A1263,vlookup_table!$A:$G,2,FALSE)</f>
        <v>2</v>
      </c>
      <c r="O1263" t="str">
        <f>VLOOKUP(A1263,vlookup_table!$A:$G,3,FALSE)</f>
        <v>IL</v>
      </c>
      <c r="P1263">
        <f>VLOOKUP(A1263,vlookup_table!$A:$G,4,FALSE)</f>
        <v>0</v>
      </c>
      <c r="Q1263" t="str">
        <f>VLOOKUP(A1263,vlookup_table!$A:$G,5,FALSE)</f>
        <v>S2</v>
      </c>
      <c r="R1263" t="str">
        <f>VLOOKUP(A1263,vlookup_table!$A:$G,6,FALSE)</f>
        <v>M</v>
      </c>
      <c r="S1263">
        <f>VLOOKUP(A1263,vlookup_table!$A:$G,7,FALSE)</f>
        <v>11</v>
      </c>
      <c r="T1263">
        <f t="shared" si="38"/>
        <v>96</v>
      </c>
      <c r="U1263" t="str">
        <f t="shared" si="39"/>
        <v>Suburbano</v>
      </c>
    </row>
    <row r="1264" spans="1:21" ht="16" x14ac:dyDescent="0.4">
      <c r="A1264" s="6">
        <v>139175</v>
      </c>
      <c r="B1264" s="6" t="s">
        <v>50</v>
      </c>
      <c r="C1264" s="6" t="s">
        <v>17</v>
      </c>
      <c r="D1264" s="6">
        <v>542</v>
      </c>
      <c r="E1264" s="6">
        <v>220</v>
      </c>
      <c r="F1264" s="6">
        <v>298</v>
      </c>
      <c r="G1264" s="6">
        <v>1</v>
      </c>
      <c r="H1264" s="6">
        <v>9481</v>
      </c>
      <c r="I1264" s="6">
        <v>2</v>
      </c>
      <c r="J1264" s="6">
        <v>56</v>
      </c>
      <c r="K1264" s="6">
        <v>252</v>
      </c>
      <c r="L1264" s="6">
        <v>272</v>
      </c>
      <c r="M1264" s="6">
        <v>11.513513509999999</v>
      </c>
      <c r="N1264">
        <f>VLOOKUP(A1264,vlookup_table!$A:$G,2,FALSE)</f>
        <v>0</v>
      </c>
      <c r="O1264" t="str">
        <f>VLOOKUP(A1264,vlookup_table!$A:$G,3,FALSE)</f>
        <v>NM</v>
      </c>
      <c r="P1264">
        <f>VLOOKUP(A1264,vlookup_table!$A:$G,4,FALSE)</f>
        <v>0</v>
      </c>
      <c r="Q1264" t="str">
        <f>VLOOKUP(A1264,vlookup_table!$A:$G,5,FALSE)</f>
        <v>R2</v>
      </c>
      <c r="R1264" t="str">
        <f>VLOOKUP(A1264,vlookup_table!$A:$G,6,FALSE)</f>
        <v>F</v>
      </c>
      <c r="S1264">
        <f>VLOOKUP(A1264,vlookup_table!$A:$G,7,FALSE)</f>
        <v>10</v>
      </c>
      <c r="T1264">
        <f t="shared" si="38"/>
        <v>96</v>
      </c>
      <c r="U1264" t="str">
        <f t="shared" si="39"/>
        <v>Rural</v>
      </c>
    </row>
    <row r="1265" spans="1:21" ht="16" x14ac:dyDescent="0.4">
      <c r="A1265" s="6">
        <v>83559</v>
      </c>
      <c r="B1265" s="6" t="s">
        <v>28</v>
      </c>
      <c r="C1265" s="6" t="s">
        <v>14</v>
      </c>
      <c r="D1265" s="6">
        <v>780</v>
      </c>
      <c r="E1265" s="6">
        <v>278</v>
      </c>
      <c r="F1265" s="6">
        <v>414</v>
      </c>
      <c r="G1265" s="6">
        <v>1</v>
      </c>
      <c r="H1265" s="6">
        <v>14360</v>
      </c>
      <c r="I1265" s="6">
        <v>3</v>
      </c>
      <c r="J1265" s="6">
        <v>36</v>
      </c>
      <c r="K1265" s="6">
        <v>323</v>
      </c>
      <c r="L1265" s="6">
        <v>345</v>
      </c>
      <c r="M1265" s="6">
        <v>14.14285714</v>
      </c>
      <c r="N1265">
        <f>VLOOKUP(A1265,vlookup_table!$A:$G,2,FALSE)</f>
        <v>1</v>
      </c>
      <c r="O1265" t="str">
        <f>VLOOKUP(A1265,vlookup_table!$A:$G,3,FALSE)</f>
        <v>OK</v>
      </c>
      <c r="P1265">
        <f>VLOOKUP(A1265,vlookup_table!$A:$G,4,FALSE)</f>
        <v>5902</v>
      </c>
      <c r="Q1265" t="str">
        <f>VLOOKUP(A1265,vlookup_table!$A:$G,5,FALSE)</f>
        <v>U2</v>
      </c>
      <c r="R1265" t="str">
        <f>VLOOKUP(A1265,vlookup_table!$A:$G,6,FALSE)</f>
        <v>M</v>
      </c>
      <c r="S1265">
        <f>VLOOKUP(A1265,vlookup_table!$A:$G,7,FALSE)</f>
        <v>10</v>
      </c>
      <c r="T1265">
        <f t="shared" si="38"/>
        <v>37</v>
      </c>
      <c r="U1265" t="str">
        <f t="shared" si="39"/>
        <v>Urbano</v>
      </c>
    </row>
    <row r="1266" spans="1:21" ht="16" x14ac:dyDescent="0.4">
      <c r="A1266" s="6">
        <v>113312</v>
      </c>
      <c r="B1266" s="6" t="s">
        <v>28</v>
      </c>
      <c r="C1266" s="6" t="s">
        <v>17</v>
      </c>
      <c r="D1266" s="6">
        <v>1229</v>
      </c>
      <c r="E1266" s="6">
        <v>546</v>
      </c>
      <c r="F1266" s="6">
        <v>700</v>
      </c>
      <c r="G1266" s="6">
        <v>4</v>
      </c>
      <c r="H1266" s="6">
        <v>30054</v>
      </c>
      <c r="I1266" s="6">
        <v>4</v>
      </c>
      <c r="J1266" s="6">
        <v>60</v>
      </c>
      <c r="K1266" s="6">
        <v>649</v>
      </c>
      <c r="L1266" s="6">
        <v>555</v>
      </c>
      <c r="M1266" s="6">
        <v>5.2142857139999998</v>
      </c>
      <c r="N1266">
        <f>VLOOKUP(A1266,vlookup_table!$A:$G,2,FALSE)</f>
        <v>2</v>
      </c>
      <c r="O1266" t="str">
        <f>VLOOKUP(A1266,vlookup_table!$A:$G,3,FALSE)</f>
        <v>OK</v>
      </c>
      <c r="P1266">
        <f>VLOOKUP(A1266,vlookup_table!$A:$G,4,FALSE)</f>
        <v>2301</v>
      </c>
      <c r="Q1266" t="str">
        <f>VLOOKUP(A1266,vlookup_table!$A:$G,5,FALSE)</f>
        <v>C1</v>
      </c>
      <c r="R1266" t="str">
        <f>VLOOKUP(A1266,vlookup_table!$A:$G,6,FALSE)</f>
        <v>F</v>
      </c>
      <c r="S1266">
        <f>VLOOKUP(A1266,vlookup_table!$A:$G,7,FALSE)</f>
        <v>5</v>
      </c>
      <c r="T1266">
        <f t="shared" si="38"/>
        <v>73</v>
      </c>
      <c r="U1266" t="str">
        <f t="shared" si="39"/>
        <v>Ciudad</v>
      </c>
    </row>
    <row r="1267" spans="1:21" ht="16" x14ac:dyDescent="0.4">
      <c r="A1267" s="6">
        <v>117329</v>
      </c>
      <c r="B1267" s="6" t="s">
        <v>20</v>
      </c>
      <c r="C1267" s="6" t="s">
        <v>17</v>
      </c>
      <c r="D1267" s="6">
        <v>928</v>
      </c>
      <c r="E1267" s="6">
        <v>408</v>
      </c>
      <c r="F1267" s="6">
        <v>452</v>
      </c>
      <c r="G1267" s="6">
        <v>2</v>
      </c>
      <c r="H1267" s="6">
        <v>17067</v>
      </c>
      <c r="I1267" s="6">
        <v>1</v>
      </c>
      <c r="J1267" s="6">
        <v>48</v>
      </c>
      <c r="K1267" s="6">
        <v>452</v>
      </c>
      <c r="L1267" s="6">
        <v>444</v>
      </c>
      <c r="M1267" s="6">
        <v>12.83333333</v>
      </c>
      <c r="N1267">
        <f>VLOOKUP(A1267,vlookup_table!$A:$G,2,FALSE)</f>
        <v>28</v>
      </c>
      <c r="O1267" t="str">
        <f>VLOOKUP(A1267,vlookup_table!$A:$G,3,FALSE)</f>
        <v>TX</v>
      </c>
      <c r="P1267">
        <f>VLOOKUP(A1267,vlookup_table!$A:$G,4,FALSE)</f>
        <v>2712</v>
      </c>
      <c r="Q1267" t="str">
        <f>VLOOKUP(A1267,vlookup_table!$A:$G,5,FALSE)</f>
        <v>S1</v>
      </c>
      <c r="R1267" t="str">
        <f>VLOOKUP(A1267,vlookup_table!$A:$G,6,FALSE)</f>
        <v>F</v>
      </c>
      <c r="S1267">
        <f>VLOOKUP(A1267,vlookup_table!$A:$G,7,FALSE)</f>
        <v>15</v>
      </c>
      <c r="T1267">
        <f t="shared" si="38"/>
        <v>69</v>
      </c>
      <c r="U1267" t="str">
        <f t="shared" si="39"/>
        <v>Suburbano</v>
      </c>
    </row>
    <row r="1268" spans="1:21" ht="16" x14ac:dyDescent="0.4">
      <c r="A1268" s="6">
        <v>56674</v>
      </c>
      <c r="B1268" s="6" t="s">
        <v>53</v>
      </c>
      <c r="C1268" s="6" t="s">
        <v>14</v>
      </c>
      <c r="D1268" s="6">
        <v>335</v>
      </c>
      <c r="E1268" s="6">
        <v>137</v>
      </c>
      <c r="F1268" s="6">
        <v>195</v>
      </c>
      <c r="G1268" s="6">
        <v>0</v>
      </c>
      <c r="H1268" s="6">
        <v>6927</v>
      </c>
      <c r="I1268" s="6">
        <v>1</v>
      </c>
      <c r="J1268" s="6">
        <v>80</v>
      </c>
      <c r="K1268" s="6">
        <v>205</v>
      </c>
      <c r="L1268" s="6">
        <v>166</v>
      </c>
      <c r="M1268" s="6">
        <v>6.6666666670000003</v>
      </c>
      <c r="N1268">
        <f>VLOOKUP(A1268,vlookup_table!$A:$G,2,FALSE)</f>
        <v>1</v>
      </c>
      <c r="O1268" t="str">
        <f>VLOOKUP(A1268,vlookup_table!$A:$G,3,FALSE)</f>
        <v>KY</v>
      </c>
      <c r="P1268">
        <f>VLOOKUP(A1268,vlookup_table!$A:$G,4,FALSE)</f>
        <v>2101</v>
      </c>
      <c r="Q1268" t="str">
        <f>VLOOKUP(A1268,vlookup_table!$A:$G,5,FALSE)</f>
        <v>U4</v>
      </c>
      <c r="R1268" t="str">
        <f>VLOOKUP(A1268,vlookup_table!$A:$G,6,FALSE)</f>
        <v>M</v>
      </c>
      <c r="S1268">
        <f>VLOOKUP(A1268,vlookup_table!$A:$G,7,FALSE)</f>
        <v>15</v>
      </c>
      <c r="T1268">
        <f t="shared" si="38"/>
        <v>75</v>
      </c>
      <c r="U1268" t="str">
        <f t="shared" si="39"/>
        <v>Urbano</v>
      </c>
    </row>
    <row r="1269" spans="1:21" ht="16" x14ac:dyDescent="0.4">
      <c r="A1269" s="6">
        <v>40105</v>
      </c>
      <c r="B1269" s="6" t="s">
        <v>13</v>
      </c>
      <c r="C1269" s="6" t="s">
        <v>17</v>
      </c>
      <c r="D1269" s="6">
        <v>700</v>
      </c>
      <c r="E1269" s="6">
        <v>228</v>
      </c>
      <c r="F1269" s="6">
        <v>326</v>
      </c>
      <c r="G1269" s="6">
        <v>0</v>
      </c>
      <c r="H1269" s="6">
        <v>13851</v>
      </c>
      <c r="I1269" s="6">
        <v>24</v>
      </c>
      <c r="J1269" s="6">
        <v>27</v>
      </c>
      <c r="K1269" s="6">
        <v>277</v>
      </c>
      <c r="L1269" s="6">
        <v>309</v>
      </c>
      <c r="M1269" s="6">
        <v>15</v>
      </c>
      <c r="N1269">
        <f>VLOOKUP(A1269,vlookup_table!$A:$G,2,FALSE)</f>
        <v>0</v>
      </c>
      <c r="O1269" t="str">
        <f>VLOOKUP(A1269,vlookup_table!$A:$G,3,FALSE)</f>
        <v>FL</v>
      </c>
      <c r="P1269">
        <f>VLOOKUP(A1269,vlookup_table!$A:$G,4,FALSE)</f>
        <v>4608</v>
      </c>
      <c r="Q1269" t="str">
        <f>VLOOKUP(A1269,vlookup_table!$A:$G,5,FALSE)</f>
        <v>S3</v>
      </c>
      <c r="R1269" t="str">
        <f>VLOOKUP(A1269,vlookup_table!$A:$G,6,FALSE)</f>
        <v>F</v>
      </c>
      <c r="S1269">
        <f>VLOOKUP(A1269,vlookup_table!$A:$G,7,FALSE)</f>
        <v>23</v>
      </c>
      <c r="T1269">
        <f t="shared" si="38"/>
        <v>50</v>
      </c>
      <c r="U1269" t="str">
        <f t="shared" si="39"/>
        <v>Suburbano</v>
      </c>
    </row>
    <row r="1270" spans="1:21" ht="16" x14ac:dyDescent="0.4">
      <c r="A1270" s="6">
        <v>76914</v>
      </c>
      <c r="B1270" s="6" t="s">
        <v>44</v>
      </c>
      <c r="C1270" s="6" t="s">
        <v>14</v>
      </c>
      <c r="D1270" s="6">
        <v>337</v>
      </c>
      <c r="E1270" s="6">
        <v>220</v>
      </c>
      <c r="F1270" s="6">
        <v>301</v>
      </c>
      <c r="G1270" s="6">
        <v>0</v>
      </c>
      <c r="H1270" s="6">
        <v>8147</v>
      </c>
      <c r="I1270" s="6">
        <v>0</v>
      </c>
      <c r="J1270" s="6">
        <v>87</v>
      </c>
      <c r="K1270" s="6">
        <v>265</v>
      </c>
      <c r="L1270" s="6">
        <v>258</v>
      </c>
      <c r="M1270" s="6">
        <v>9.7142857140000007</v>
      </c>
      <c r="N1270">
        <f>VLOOKUP(A1270,vlookup_table!$A:$G,2,FALSE)</f>
        <v>0</v>
      </c>
      <c r="O1270" t="str">
        <f>VLOOKUP(A1270,vlookup_table!$A:$G,3,FALSE)</f>
        <v>IA</v>
      </c>
      <c r="P1270">
        <f>VLOOKUP(A1270,vlookup_table!$A:$G,4,FALSE)</f>
        <v>0</v>
      </c>
      <c r="Q1270" t="str">
        <f>VLOOKUP(A1270,vlookup_table!$A:$G,5,FALSE)</f>
        <v>R2</v>
      </c>
      <c r="R1270" t="str">
        <f>VLOOKUP(A1270,vlookup_table!$A:$G,6,FALSE)</f>
        <v>M</v>
      </c>
      <c r="S1270">
        <f>VLOOKUP(A1270,vlookup_table!$A:$G,7,FALSE)</f>
        <v>15</v>
      </c>
      <c r="T1270">
        <f t="shared" si="38"/>
        <v>96</v>
      </c>
      <c r="U1270" t="str">
        <f t="shared" si="39"/>
        <v>Rural</v>
      </c>
    </row>
    <row r="1271" spans="1:21" ht="16" x14ac:dyDescent="0.4">
      <c r="A1271" s="6">
        <v>7947</v>
      </c>
      <c r="B1271" s="6" t="s">
        <v>26</v>
      </c>
      <c r="C1271" s="6" t="s">
        <v>14</v>
      </c>
      <c r="D1271" s="6">
        <v>557</v>
      </c>
      <c r="E1271" s="6">
        <v>279</v>
      </c>
      <c r="F1271" s="6">
        <v>372</v>
      </c>
      <c r="G1271" s="6">
        <v>1</v>
      </c>
      <c r="H1271" s="6">
        <v>12466</v>
      </c>
      <c r="I1271" s="6">
        <v>2</v>
      </c>
      <c r="J1271" s="6">
        <v>69</v>
      </c>
      <c r="K1271" s="6">
        <v>337</v>
      </c>
      <c r="L1271" s="6">
        <v>321</v>
      </c>
      <c r="M1271" s="6">
        <v>9.0740740740000003</v>
      </c>
      <c r="N1271">
        <f>VLOOKUP(A1271,vlookup_table!$A:$G,2,FALSE)</f>
        <v>1</v>
      </c>
      <c r="O1271" t="str">
        <f>VLOOKUP(A1271,vlookup_table!$A:$G,3,FALSE)</f>
        <v>MI</v>
      </c>
      <c r="P1271">
        <f>VLOOKUP(A1271,vlookup_table!$A:$G,4,FALSE)</f>
        <v>1612</v>
      </c>
      <c r="Q1271" t="str">
        <f>VLOOKUP(A1271,vlookup_table!$A:$G,5,FALSE)</f>
        <v>R2</v>
      </c>
      <c r="R1271" t="str">
        <f>VLOOKUP(A1271,vlookup_table!$A:$G,6,FALSE)</f>
        <v>M</v>
      </c>
      <c r="S1271">
        <f>VLOOKUP(A1271,vlookup_table!$A:$G,7,FALSE)</f>
        <v>11</v>
      </c>
      <c r="T1271">
        <f t="shared" si="38"/>
        <v>80</v>
      </c>
      <c r="U1271" t="str">
        <f t="shared" si="39"/>
        <v>Rural</v>
      </c>
    </row>
    <row r="1272" spans="1:21" ht="16" x14ac:dyDescent="0.4">
      <c r="A1272" s="6">
        <v>166350</v>
      </c>
      <c r="B1272" s="6" t="s">
        <v>21</v>
      </c>
      <c r="C1272" s="6" t="s">
        <v>17</v>
      </c>
      <c r="D1272" s="6">
        <v>3333</v>
      </c>
      <c r="E1272" s="6">
        <v>690</v>
      </c>
      <c r="F1272" s="6">
        <v>913</v>
      </c>
      <c r="G1272" s="6">
        <v>94</v>
      </c>
      <c r="H1272" s="6">
        <v>37495</v>
      </c>
      <c r="I1272" s="6">
        <v>9</v>
      </c>
      <c r="J1272" s="6">
        <v>50</v>
      </c>
      <c r="K1272" s="6">
        <v>871</v>
      </c>
      <c r="L1272" s="6">
        <v>759</v>
      </c>
      <c r="M1272" s="6">
        <v>20.833333329999999</v>
      </c>
      <c r="N1272">
        <f>VLOOKUP(A1272,vlookup_table!$A:$G,2,FALSE)</f>
        <v>0</v>
      </c>
      <c r="O1272" t="str">
        <f>VLOOKUP(A1272,vlookup_table!$A:$G,3,FALSE)</f>
        <v>CA</v>
      </c>
      <c r="P1272">
        <f>VLOOKUP(A1272,vlookup_table!$A:$G,4,FALSE)</f>
        <v>5201</v>
      </c>
      <c r="Q1272" t="str">
        <f>VLOOKUP(A1272,vlookup_table!$A:$G,5,FALSE)</f>
        <v>S1</v>
      </c>
      <c r="R1272" t="str">
        <f>VLOOKUP(A1272,vlookup_table!$A:$G,6,FALSE)</f>
        <v>F</v>
      </c>
      <c r="S1272">
        <f>VLOOKUP(A1272,vlookup_table!$A:$G,7,FALSE)</f>
        <v>25</v>
      </c>
      <c r="T1272">
        <f t="shared" si="38"/>
        <v>44</v>
      </c>
      <c r="U1272" t="str">
        <f t="shared" si="39"/>
        <v>Suburbano</v>
      </c>
    </row>
    <row r="1273" spans="1:21" ht="16" x14ac:dyDescent="0.4">
      <c r="A1273" s="6">
        <v>2151</v>
      </c>
      <c r="B1273" s="6" t="s">
        <v>21</v>
      </c>
      <c r="C1273" s="6" t="s">
        <v>14</v>
      </c>
      <c r="D1273" s="6">
        <v>1126</v>
      </c>
      <c r="E1273" s="6">
        <v>243</v>
      </c>
      <c r="F1273" s="6">
        <v>285</v>
      </c>
      <c r="G1273" s="6">
        <v>6</v>
      </c>
      <c r="H1273" s="6">
        <v>8614</v>
      </c>
      <c r="I1273" s="6">
        <v>39</v>
      </c>
      <c r="J1273" s="6">
        <v>38</v>
      </c>
      <c r="K1273" s="6">
        <v>261</v>
      </c>
      <c r="L1273" s="6">
        <v>275</v>
      </c>
      <c r="M1273" s="6">
        <v>20.8</v>
      </c>
      <c r="N1273">
        <f>VLOOKUP(A1273,vlookup_table!$A:$G,2,FALSE)</f>
        <v>1</v>
      </c>
      <c r="O1273" t="str">
        <f>VLOOKUP(A1273,vlookup_table!$A:$G,3,FALSE)</f>
        <v>CA</v>
      </c>
      <c r="P1273">
        <f>VLOOKUP(A1273,vlookup_table!$A:$G,4,FALSE)</f>
        <v>5001</v>
      </c>
      <c r="Q1273" t="str">
        <f>VLOOKUP(A1273,vlookup_table!$A:$G,5,FALSE)</f>
        <v>C3</v>
      </c>
      <c r="R1273" t="str">
        <f>VLOOKUP(A1273,vlookup_table!$A:$G,6,FALSE)</f>
        <v>M</v>
      </c>
      <c r="S1273">
        <f>VLOOKUP(A1273,vlookup_table!$A:$G,7,FALSE)</f>
        <v>25</v>
      </c>
      <c r="T1273">
        <f t="shared" si="38"/>
        <v>46</v>
      </c>
      <c r="U1273" t="str">
        <f t="shared" si="39"/>
        <v>Ciudad</v>
      </c>
    </row>
    <row r="1274" spans="1:21" ht="16" x14ac:dyDescent="0.4">
      <c r="A1274" s="6">
        <v>107298</v>
      </c>
      <c r="B1274" s="6" t="s">
        <v>55</v>
      </c>
      <c r="C1274" s="6" t="s">
        <v>17</v>
      </c>
      <c r="D1274" s="6">
        <v>0</v>
      </c>
      <c r="E1274" s="6">
        <v>0</v>
      </c>
      <c r="F1274" s="6">
        <v>0</v>
      </c>
      <c r="G1274" s="6">
        <v>0</v>
      </c>
      <c r="H1274" s="6">
        <v>0</v>
      </c>
      <c r="I1274" s="6">
        <v>0</v>
      </c>
      <c r="J1274" s="6">
        <v>0</v>
      </c>
      <c r="K1274" s="6">
        <v>0</v>
      </c>
      <c r="L1274" s="6">
        <v>0</v>
      </c>
      <c r="M1274" s="6">
        <v>38</v>
      </c>
      <c r="N1274">
        <f>VLOOKUP(A1274,vlookup_table!$A:$G,2,FALSE)</f>
        <v>0</v>
      </c>
      <c r="O1274" t="str">
        <f>VLOOKUP(A1274,vlookup_table!$A:$G,3,FALSE)</f>
        <v>NE</v>
      </c>
      <c r="P1274">
        <f>VLOOKUP(A1274,vlookup_table!$A:$G,4,FALSE)</f>
        <v>4401</v>
      </c>
      <c r="Q1274" t="str">
        <f>VLOOKUP(A1274,vlookup_table!$A:$G,5,FALSE)</f>
        <v>S2</v>
      </c>
      <c r="R1274" t="str">
        <f>VLOOKUP(A1274,vlookup_table!$A:$G,6,FALSE)</f>
        <v>F</v>
      </c>
      <c r="S1274">
        <f>VLOOKUP(A1274,vlookup_table!$A:$G,7,FALSE)</f>
        <v>43</v>
      </c>
      <c r="T1274">
        <f t="shared" si="38"/>
        <v>52</v>
      </c>
      <c r="U1274" t="str">
        <f t="shared" si="39"/>
        <v>Suburbano</v>
      </c>
    </row>
    <row r="1275" spans="1:21" ht="16" x14ac:dyDescent="0.4">
      <c r="A1275" s="6">
        <v>37762</v>
      </c>
      <c r="B1275" s="6" t="s">
        <v>13</v>
      </c>
      <c r="C1275" s="6" t="s">
        <v>14</v>
      </c>
      <c r="D1275" s="6">
        <v>1987</v>
      </c>
      <c r="E1275" s="6">
        <v>403</v>
      </c>
      <c r="F1275" s="6">
        <v>633</v>
      </c>
      <c r="G1275" s="6">
        <v>49</v>
      </c>
      <c r="H1275" s="6">
        <v>29344</v>
      </c>
      <c r="I1275" s="6">
        <v>47</v>
      </c>
      <c r="J1275" s="6">
        <v>20</v>
      </c>
      <c r="K1275" s="6">
        <v>524</v>
      </c>
      <c r="L1275" s="6">
        <v>567</v>
      </c>
      <c r="M1275" s="6">
        <v>14</v>
      </c>
      <c r="N1275">
        <f>VLOOKUP(A1275,vlookup_table!$A:$G,2,FALSE)</f>
        <v>1</v>
      </c>
      <c r="O1275" t="str">
        <f>VLOOKUP(A1275,vlookup_table!$A:$G,3,FALSE)</f>
        <v>FL</v>
      </c>
      <c r="P1275">
        <f>VLOOKUP(A1275,vlookup_table!$A:$G,4,FALSE)</f>
        <v>3401</v>
      </c>
      <c r="Q1275" t="str">
        <f>VLOOKUP(A1275,vlookup_table!$A:$G,5,FALSE)</f>
        <v>C1</v>
      </c>
      <c r="R1275" t="str">
        <f>VLOOKUP(A1275,vlookup_table!$A:$G,6,FALSE)</f>
        <v>M</v>
      </c>
      <c r="S1275">
        <f>VLOOKUP(A1275,vlookup_table!$A:$G,7,FALSE)</f>
        <v>30</v>
      </c>
      <c r="T1275">
        <f t="shared" si="38"/>
        <v>62</v>
      </c>
      <c r="U1275" t="str">
        <f t="shared" si="39"/>
        <v>Ciudad</v>
      </c>
    </row>
    <row r="1276" spans="1:21" ht="16" x14ac:dyDescent="0.4">
      <c r="A1276" s="6">
        <v>117383</v>
      </c>
      <c r="B1276" s="6" t="s">
        <v>20</v>
      </c>
      <c r="C1276" s="6" t="s">
        <v>17</v>
      </c>
      <c r="D1276" s="6">
        <v>0</v>
      </c>
      <c r="E1276" s="6">
        <v>0</v>
      </c>
      <c r="F1276" s="6">
        <v>0</v>
      </c>
      <c r="G1276" s="6">
        <v>0</v>
      </c>
      <c r="H1276" s="6">
        <v>0</v>
      </c>
      <c r="I1276" s="6">
        <v>0</v>
      </c>
      <c r="J1276" s="6">
        <v>0</v>
      </c>
      <c r="K1276" s="6">
        <v>0</v>
      </c>
      <c r="L1276" s="6">
        <v>0</v>
      </c>
      <c r="M1276" s="6">
        <v>15</v>
      </c>
      <c r="N1276">
        <f>VLOOKUP(A1276,vlookup_table!$A:$G,2,FALSE)</f>
        <v>2</v>
      </c>
      <c r="O1276" t="str">
        <f>VLOOKUP(A1276,vlookup_table!$A:$G,3,FALSE)</f>
        <v>TX</v>
      </c>
      <c r="P1276">
        <f>VLOOKUP(A1276,vlookup_table!$A:$G,4,FALSE)</f>
        <v>4801</v>
      </c>
      <c r="Q1276" t="str">
        <f>VLOOKUP(A1276,vlookup_table!$A:$G,5,FALSE)</f>
        <v>S2</v>
      </c>
      <c r="R1276" t="str">
        <f>VLOOKUP(A1276,vlookup_table!$A:$G,6,FALSE)</f>
        <v>F</v>
      </c>
      <c r="S1276">
        <f>VLOOKUP(A1276,vlookup_table!$A:$G,7,FALSE)</f>
        <v>21</v>
      </c>
      <c r="T1276">
        <f t="shared" si="38"/>
        <v>48</v>
      </c>
      <c r="U1276" t="str">
        <f t="shared" si="39"/>
        <v>Suburbano</v>
      </c>
    </row>
    <row r="1277" spans="1:21" ht="16" x14ac:dyDescent="0.4">
      <c r="A1277" s="6">
        <v>174375</v>
      </c>
      <c r="B1277" s="6" t="s">
        <v>47</v>
      </c>
      <c r="C1277" s="6" t="s">
        <v>17</v>
      </c>
      <c r="D1277" s="6">
        <v>1093</v>
      </c>
      <c r="E1277" s="6">
        <v>315</v>
      </c>
      <c r="F1277" s="6">
        <v>483</v>
      </c>
      <c r="G1277" s="6">
        <v>7</v>
      </c>
      <c r="H1277" s="6">
        <v>15130</v>
      </c>
      <c r="I1277" s="6">
        <v>5</v>
      </c>
      <c r="J1277" s="6">
        <v>44</v>
      </c>
      <c r="K1277" s="6">
        <v>431</v>
      </c>
      <c r="L1277" s="6">
        <v>386</v>
      </c>
      <c r="M1277" s="6">
        <v>25</v>
      </c>
      <c r="N1277">
        <f>VLOOKUP(A1277,vlookup_table!$A:$G,2,FALSE)</f>
        <v>28</v>
      </c>
      <c r="O1277" t="str">
        <f>VLOOKUP(A1277,vlookup_table!$A:$G,3,FALSE)</f>
        <v>OR</v>
      </c>
      <c r="P1277">
        <f>VLOOKUP(A1277,vlookup_table!$A:$G,4,FALSE)</f>
        <v>5801</v>
      </c>
      <c r="Q1277" t="str">
        <f>VLOOKUP(A1277,vlookup_table!$A:$G,5,FALSE)</f>
        <v>S2</v>
      </c>
      <c r="R1277" t="str">
        <f>VLOOKUP(A1277,vlookup_table!$A:$G,6,FALSE)</f>
        <v>F</v>
      </c>
      <c r="S1277">
        <f>VLOOKUP(A1277,vlookup_table!$A:$G,7,FALSE)</f>
        <v>25</v>
      </c>
      <c r="T1277">
        <f t="shared" si="38"/>
        <v>38</v>
      </c>
      <c r="U1277" t="str">
        <f t="shared" si="39"/>
        <v>Suburbano</v>
      </c>
    </row>
    <row r="1278" spans="1:21" ht="16" x14ac:dyDescent="0.4">
      <c r="A1278" s="6">
        <v>102742</v>
      </c>
      <c r="B1278" s="6" t="s">
        <v>33</v>
      </c>
      <c r="C1278" s="6" t="s">
        <v>14</v>
      </c>
      <c r="D1278" s="6">
        <v>238</v>
      </c>
      <c r="E1278" s="6">
        <v>176</v>
      </c>
      <c r="F1278" s="6">
        <v>287</v>
      </c>
      <c r="G1278" s="6">
        <v>0</v>
      </c>
      <c r="H1278" s="6">
        <v>10253</v>
      </c>
      <c r="I1278" s="6">
        <v>0</v>
      </c>
      <c r="J1278" s="6">
        <v>82</v>
      </c>
      <c r="K1278" s="6">
        <v>225</v>
      </c>
      <c r="L1278" s="6">
        <v>233</v>
      </c>
      <c r="M1278" s="6">
        <v>6.6363636359999996</v>
      </c>
      <c r="N1278">
        <f>VLOOKUP(A1278,vlookup_table!$A:$G,2,FALSE)</f>
        <v>1</v>
      </c>
      <c r="O1278" t="str">
        <f>VLOOKUP(A1278,vlookup_table!$A:$G,3,FALSE)</f>
        <v>MO</v>
      </c>
      <c r="P1278">
        <f>VLOOKUP(A1278,vlookup_table!$A:$G,4,FALSE)</f>
        <v>4401</v>
      </c>
      <c r="Q1278" t="str">
        <f>VLOOKUP(A1278,vlookup_table!$A:$G,5,FALSE)</f>
        <v>R2</v>
      </c>
      <c r="R1278" t="str">
        <f>VLOOKUP(A1278,vlookup_table!$A:$G,6,FALSE)</f>
        <v>M</v>
      </c>
      <c r="S1278">
        <f>VLOOKUP(A1278,vlookup_table!$A:$G,7,FALSE)</f>
        <v>9</v>
      </c>
      <c r="T1278">
        <f t="shared" si="38"/>
        <v>52</v>
      </c>
      <c r="U1278" t="str">
        <f t="shared" si="39"/>
        <v>Rural</v>
      </c>
    </row>
    <row r="1279" spans="1:21" ht="16" x14ac:dyDescent="0.4">
      <c r="A1279" s="6">
        <v>53793</v>
      </c>
      <c r="B1279" s="6" t="s">
        <v>49</v>
      </c>
      <c r="C1279" s="6" t="s">
        <v>17</v>
      </c>
      <c r="D1279" s="6">
        <v>966</v>
      </c>
      <c r="E1279" s="6">
        <v>517</v>
      </c>
      <c r="F1279" s="6">
        <v>569</v>
      </c>
      <c r="G1279" s="6">
        <v>2</v>
      </c>
      <c r="H1279" s="6">
        <v>18463</v>
      </c>
      <c r="I1279" s="6">
        <v>3</v>
      </c>
      <c r="J1279" s="6">
        <v>47</v>
      </c>
      <c r="K1279" s="6">
        <v>528</v>
      </c>
      <c r="L1279" s="6">
        <v>547</v>
      </c>
      <c r="M1279" s="6">
        <v>7.7142857139999998</v>
      </c>
      <c r="N1279">
        <f>VLOOKUP(A1279,vlookup_table!$A:$G,2,FALSE)</f>
        <v>28</v>
      </c>
      <c r="O1279" t="str">
        <f>VLOOKUP(A1279,vlookup_table!$A:$G,3,FALSE)</f>
        <v>TN</v>
      </c>
      <c r="P1279">
        <f>VLOOKUP(A1279,vlookup_table!$A:$G,4,FALSE)</f>
        <v>4901</v>
      </c>
      <c r="Q1279" t="str">
        <f>VLOOKUP(A1279,vlookup_table!$A:$G,5,FALSE)</f>
        <v>S1</v>
      </c>
      <c r="R1279" t="str">
        <f>VLOOKUP(A1279,vlookup_table!$A:$G,6,FALSE)</f>
        <v>F</v>
      </c>
      <c r="S1279">
        <f>VLOOKUP(A1279,vlookup_table!$A:$G,7,FALSE)</f>
        <v>5</v>
      </c>
      <c r="T1279">
        <f t="shared" si="38"/>
        <v>47</v>
      </c>
      <c r="U1279" t="str">
        <f t="shared" si="39"/>
        <v>Suburbano</v>
      </c>
    </row>
    <row r="1280" spans="1:21" ht="16" x14ac:dyDescent="0.4">
      <c r="A1280" s="6">
        <v>59070</v>
      </c>
      <c r="B1280" s="6" t="s">
        <v>53</v>
      </c>
      <c r="C1280" s="6" t="s">
        <v>14</v>
      </c>
      <c r="D1280" s="6">
        <v>377</v>
      </c>
      <c r="E1280" s="6">
        <v>234</v>
      </c>
      <c r="F1280" s="6">
        <v>285</v>
      </c>
      <c r="G1280" s="6">
        <v>0</v>
      </c>
      <c r="H1280" s="6">
        <v>9657</v>
      </c>
      <c r="I1280" s="6">
        <v>0</v>
      </c>
      <c r="J1280" s="6">
        <v>85</v>
      </c>
      <c r="K1280" s="6">
        <v>252</v>
      </c>
      <c r="L1280" s="6">
        <v>276</v>
      </c>
      <c r="M1280" s="6">
        <v>10.25</v>
      </c>
      <c r="N1280">
        <f>VLOOKUP(A1280,vlookup_table!$A:$G,2,FALSE)</f>
        <v>1</v>
      </c>
      <c r="O1280" t="str">
        <f>VLOOKUP(A1280,vlookup_table!$A:$G,3,FALSE)</f>
        <v>KY</v>
      </c>
      <c r="P1280">
        <f>VLOOKUP(A1280,vlookup_table!$A:$G,4,FALSE)</f>
        <v>5003</v>
      </c>
      <c r="Q1280" t="str">
        <f>VLOOKUP(A1280,vlookup_table!$A:$G,5,FALSE)</f>
        <v>R3</v>
      </c>
      <c r="R1280" t="str">
        <f>VLOOKUP(A1280,vlookup_table!$A:$G,6,FALSE)</f>
        <v>M</v>
      </c>
      <c r="S1280">
        <f>VLOOKUP(A1280,vlookup_table!$A:$G,7,FALSE)</f>
        <v>10</v>
      </c>
      <c r="T1280">
        <f t="shared" si="38"/>
        <v>46</v>
      </c>
      <c r="U1280" t="str">
        <f t="shared" si="39"/>
        <v>Rural</v>
      </c>
    </row>
    <row r="1281" spans="1:21" ht="16" x14ac:dyDescent="0.4">
      <c r="A1281" s="6">
        <v>107279</v>
      </c>
      <c r="B1281" s="6" t="s">
        <v>55</v>
      </c>
      <c r="C1281" s="6" t="s">
        <v>17</v>
      </c>
      <c r="D1281" s="6">
        <v>825</v>
      </c>
      <c r="E1281" s="6">
        <v>417</v>
      </c>
      <c r="F1281" s="6">
        <v>503</v>
      </c>
      <c r="G1281" s="6">
        <v>2</v>
      </c>
      <c r="H1281" s="6">
        <v>16332</v>
      </c>
      <c r="I1281" s="6">
        <v>2</v>
      </c>
      <c r="J1281" s="6">
        <v>68</v>
      </c>
      <c r="K1281" s="6">
        <v>459</v>
      </c>
      <c r="L1281" s="6">
        <v>453</v>
      </c>
      <c r="M1281" s="6">
        <v>4</v>
      </c>
      <c r="N1281">
        <f>VLOOKUP(A1281,vlookup_table!$A:$G,2,FALSE)</f>
        <v>0</v>
      </c>
      <c r="O1281" t="str">
        <f>VLOOKUP(A1281,vlookup_table!$A:$G,3,FALSE)</f>
        <v>NE</v>
      </c>
      <c r="P1281">
        <f>VLOOKUP(A1281,vlookup_table!$A:$G,4,FALSE)</f>
        <v>4701</v>
      </c>
      <c r="Q1281" t="str">
        <f>VLOOKUP(A1281,vlookup_table!$A:$G,5,FALSE)</f>
        <v>S1</v>
      </c>
      <c r="R1281" t="str">
        <f>VLOOKUP(A1281,vlookup_table!$A:$G,6,FALSE)</f>
        <v>F</v>
      </c>
      <c r="S1281">
        <f>VLOOKUP(A1281,vlookup_table!$A:$G,7,FALSE)</f>
        <v>4</v>
      </c>
      <c r="T1281">
        <f t="shared" si="38"/>
        <v>49</v>
      </c>
      <c r="U1281" t="str">
        <f t="shared" si="39"/>
        <v>Suburbano</v>
      </c>
    </row>
    <row r="1282" spans="1:21" ht="16" x14ac:dyDescent="0.4">
      <c r="A1282" s="6">
        <v>88886</v>
      </c>
      <c r="B1282" s="6" t="s">
        <v>16</v>
      </c>
      <c r="C1282" s="6" t="s">
        <v>14</v>
      </c>
      <c r="D1282" s="6">
        <v>962</v>
      </c>
      <c r="E1282" s="6">
        <v>391</v>
      </c>
      <c r="F1282" s="6">
        <v>486</v>
      </c>
      <c r="G1282" s="6">
        <v>12</v>
      </c>
      <c r="H1282" s="6">
        <v>17404</v>
      </c>
      <c r="I1282" s="6">
        <v>3</v>
      </c>
      <c r="J1282" s="6">
        <v>67</v>
      </c>
      <c r="K1282" s="6">
        <v>444</v>
      </c>
      <c r="L1282" s="6">
        <v>452</v>
      </c>
      <c r="M1282" s="6">
        <v>35</v>
      </c>
      <c r="N1282">
        <f>VLOOKUP(A1282,vlookup_table!$A:$G,2,FALSE)</f>
        <v>1</v>
      </c>
      <c r="O1282" t="str">
        <f>VLOOKUP(A1282,vlookup_table!$A:$G,3,FALSE)</f>
        <v>IL</v>
      </c>
      <c r="P1282">
        <f>VLOOKUP(A1282,vlookup_table!$A:$G,4,FALSE)</f>
        <v>5411</v>
      </c>
      <c r="Q1282" t="str">
        <f>VLOOKUP(A1282,vlookup_table!$A:$G,5,FALSE)</f>
        <v>R2</v>
      </c>
      <c r="R1282" t="str">
        <f>VLOOKUP(A1282,vlookup_table!$A:$G,6,FALSE)</f>
        <v>M</v>
      </c>
      <c r="S1282">
        <f>VLOOKUP(A1282,vlookup_table!$A:$G,7,FALSE)</f>
        <v>40</v>
      </c>
      <c r="T1282">
        <f t="shared" si="38"/>
        <v>42</v>
      </c>
      <c r="U1282" t="str">
        <f t="shared" si="39"/>
        <v>Rural</v>
      </c>
    </row>
    <row r="1283" spans="1:21" ht="16" x14ac:dyDescent="0.4">
      <c r="A1283" s="6">
        <v>190552</v>
      </c>
      <c r="B1283" s="6" t="s">
        <v>50</v>
      </c>
      <c r="C1283" s="6" t="s">
        <v>14</v>
      </c>
      <c r="D1283" s="6">
        <v>1082</v>
      </c>
      <c r="E1283" s="6">
        <v>482</v>
      </c>
      <c r="F1283" s="6">
        <v>609</v>
      </c>
      <c r="G1283" s="6">
        <v>2</v>
      </c>
      <c r="H1283" s="6">
        <v>22454</v>
      </c>
      <c r="I1283" s="6">
        <v>4</v>
      </c>
      <c r="J1283" s="6">
        <v>24</v>
      </c>
      <c r="K1283" s="6">
        <v>566</v>
      </c>
      <c r="L1283" s="6">
        <v>522</v>
      </c>
      <c r="M1283" s="6">
        <v>10.08333333</v>
      </c>
      <c r="N1283">
        <f>VLOOKUP(A1283,vlookup_table!$A:$G,2,FALSE)</f>
        <v>1</v>
      </c>
      <c r="O1283" t="str">
        <f>VLOOKUP(A1283,vlookup_table!$A:$G,3,FALSE)</f>
        <v>NM</v>
      </c>
      <c r="P1283">
        <f>VLOOKUP(A1283,vlookup_table!$A:$G,4,FALSE)</f>
        <v>3501</v>
      </c>
      <c r="Q1283" t="str">
        <f>VLOOKUP(A1283,vlookup_table!$A:$G,5,FALSE)</f>
        <v/>
      </c>
      <c r="R1283" t="str">
        <f>VLOOKUP(A1283,vlookup_table!$A:$G,6,FALSE)</f>
        <v>M</v>
      </c>
      <c r="S1283">
        <f>VLOOKUP(A1283,vlookup_table!$A:$G,7,FALSE)</f>
        <v>7</v>
      </c>
      <c r="T1283">
        <f t="shared" ref="T1283:T1346" si="40">97-LEFT(P1283,2)-IF(RIGHT(P1283,2)&gt;6,1,0)</f>
        <v>61</v>
      </c>
      <c r="U1283" t="str">
        <f t="shared" ref="U1283:U1346" si="41">IF(LEFT(Q1283,1)="C","Ciudad",IF(LEFT(Q1283,1)="T","Pueblo",IF(LEFT(Q1283,1)="R","Rural",IF(LEFT(Q1283,1)="S","Suburbano",IF(LEFT(Q1283,1)="U","Urbano","")))))</f>
        <v/>
      </c>
    </row>
    <row r="1284" spans="1:21" ht="16" x14ac:dyDescent="0.4">
      <c r="A1284" s="6">
        <v>148869</v>
      </c>
      <c r="B1284" s="6" t="s">
        <v>21</v>
      </c>
      <c r="C1284" s="6" t="s">
        <v>14</v>
      </c>
      <c r="D1284" s="6">
        <v>2362</v>
      </c>
      <c r="E1284" s="6">
        <v>613</v>
      </c>
      <c r="F1284" s="6">
        <v>678</v>
      </c>
      <c r="G1284" s="6">
        <v>74</v>
      </c>
      <c r="H1284" s="6">
        <v>21179</v>
      </c>
      <c r="I1284" s="6">
        <v>9</v>
      </c>
      <c r="J1284" s="6">
        <v>61</v>
      </c>
      <c r="K1284" s="6">
        <v>632</v>
      </c>
      <c r="L1284" s="6">
        <v>655</v>
      </c>
      <c r="M1284" s="6">
        <v>13.375</v>
      </c>
      <c r="N1284">
        <f>VLOOKUP(A1284,vlookup_table!$A:$G,2,FALSE)</f>
        <v>1</v>
      </c>
      <c r="O1284" t="str">
        <f>VLOOKUP(A1284,vlookup_table!$A:$G,3,FALSE)</f>
        <v>CA</v>
      </c>
      <c r="P1284">
        <f>VLOOKUP(A1284,vlookup_table!$A:$G,4,FALSE)</f>
        <v>6401</v>
      </c>
      <c r="Q1284" t="str">
        <f>VLOOKUP(A1284,vlookup_table!$A:$G,5,FALSE)</f>
        <v>C1</v>
      </c>
      <c r="R1284" t="str">
        <f>VLOOKUP(A1284,vlookup_table!$A:$G,6,FALSE)</f>
        <v>M</v>
      </c>
      <c r="S1284">
        <f>VLOOKUP(A1284,vlookup_table!$A:$G,7,FALSE)</f>
        <v>15</v>
      </c>
      <c r="T1284">
        <f t="shared" si="40"/>
        <v>32</v>
      </c>
      <c r="U1284" t="str">
        <f t="shared" si="41"/>
        <v>Ciudad</v>
      </c>
    </row>
    <row r="1285" spans="1:21" ht="16" x14ac:dyDescent="0.4">
      <c r="A1285" s="6">
        <v>146463</v>
      </c>
      <c r="B1285" s="6" t="s">
        <v>21</v>
      </c>
      <c r="C1285" s="6" t="s">
        <v>27</v>
      </c>
      <c r="D1285" s="6">
        <v>2163</v>
      </c>
      <c r="E1285" s="6">
        <v>484</v>
      </c>
      <c r="F1285" s="6">
        <v>581</v>
      </c>
      <c r="G1285" s="6">
        <v>67</v>
      </c>
      <c r="H1285" s="6">
        <v>17262</v>
      </c>
      <c r="I1285" s="6">
        <v>7</v>
      </c>
      <c r="J1285" s="6">
        <v>66</v>
      </c>
      <c r="K1285" s="6">
        <v>522</v>
      </c>
      <c r="L1285" s="6">
        <v>537</v>
      </c>
      <c r="M1285" s="6">
        <v>4.8333333329999997</v>
      </c>
      <c r="N1285">
        <f>VLOOKUP(A1285,vlookup_table!$A:$G,2,FALSE)</f>
        <v>0</v>
      </c>
      <c r="O1285" t="str">
        <f>VLOOKUP(A1285,vlookup_table!$A:$G,3,FALSE)</f>
        <v>CA</v>
      </c>
      <c r="P1285">
        <f>VLOOKUP(A1285,vlookup_table!$A:$G,4,FALSE)</f>
        <v>2601</v>
      </c>
      <c r="Q1285" t="str">
        <f>VLOOKUP(A1285,vlookup_table!$A:$G,5,FALSE)</f>
        <v>U2</v>
      </c>
      <c r="R1285" t="str">
        <f>VLOOKUP(A1285,vlookup_table!$A:$G,6,FALSE)</f>
        <v>U</v>
      </c>
      <c r="S1285">
        <f>VLOOKUP(A1285,vlookup_table!$A:$G,7,FALSE)</f>
        <v>5</v>
      </c>
      <c r="T1285">
        <f t="shared" si="40"/>
        <v>70</v>
      </c>
      <c r="U1285" t="str">
        <f t="shared" si="41"/>
        <v>Urbano</v>
      </c>
    </row>
    <row r="1286" spans="1:21" ht="16" x14ac:dyDescent="0.4">
      <c r="A1286" s="6">
        <v>85204</v>
      </c>
      <c r="B1286" s="6" t="s">
        <v>52</v>
      </c>
      <c r="C1286" s="6" t="s">
        <v>14</v>
      </c>
      <c r="D1286" s="6">
        <v>359</v>
      </c>
      <c r="E1286" s="6">
        <v>168</v>
      </c>
      <c r="F1286" s="6">
        <v>269</v>
      </c>
      <c r="G1286" s="6">
        <v>1</v>
      </c>
      <c r="H1286" s="6">
        <v>9568</v>
      </c>
      <c r="I1286" s="6">
        <v>1</v>
      </c>
      <c r="J1286" s="6">
        <v>85</v>
      </c>
      <c r="K1286" s="6">
        <v>258</v>
      </c>
      <c r="L1286" s="6">
        <v>203</v>
      </c>
      <c r="M1286" s="6">
        <v>11.91666667</v>
      </c>
      <c r="N1286">
        <f>VLOOKUP(A1286,vlookup_table!$A:$G,2,FALSE)</f>
        <v>1</v>
      </c>
      <c r="O1286" t="str">
        <f>VLOOKUP(A1286,vlookup_table!$A:$G,3,FALSE)</f>
        <v>MN</v>
      </c>
      <c r="P1286">
        <f>VLOOKUP(A1286,vlookup_table!$A:$G,4,FALSE)</f>
        <v>2210</v>
      </c>
      <c r="Q1286" t="str">
        <f>VLOOKUP(A1286,vlookup_table!$A:$G,5,FALSE)</f>
        <v>R2</v>
      </c>
      <c r="R1286" t="str">
        <f>VLOOKUP(A1286,vlookup_table!$A:$G,6,FALSE)</f>
        <v>M</v>
      </c>
      <c r="S1286">
        <f>VLOOKUP(A1286,vlookup_table!$A:$G,7,FALSE)</f>
        <v>20</v>
      </c>
      <c r="T1286">
        <f t="shared" si="40"/>
        <v>74</v>
      </c>
      <c r="U1286" t="str">
        <f t="shared" si="41"/>
        <v>Rural</v>
      </c>
    </row>
    <row r="1287" spans="1:21" ht="16" x14ac:dyDescent="0.4">
      <c r="A1287" s="6">
        <v>143782</v>
      </c>
      <c r="B1287" s="6" t="s">
        <v>21</v>
      </c>
      <c r="C1287" s="6" t="s">
        <v>14</v>
      </c>
      <c r="D1287" s="6">
        <v>5854</v>
      </c>
      <c r="E1287" s="6">
        <v>927</v>
      </c>
      <c r="F1287" s="6">
        <v>993</v>
      </c>
      <c r="G1287" s="6">
        <v>99</v>
      </c>
      <c r="H1287" s="6">
        <v>45167</v>
      </c>
      <c r="I1287" s="6">
        <v>15</v>
      </c>
      <c r="J1287" s="6">
        <v>43</v>
      </c>
      <c r="K1287" s="6">
        <v>1077</v>
      </c>
      <c r="L1287" s="6">
        <v>920</v>
      </c>
      <c r="M1287" s="6">
        <v>28</v>
      </c>
      <c r="N1287">
        <f>VLOOKUP(A1287,vlookup_table!$A:$G,2,FALSE)</f>
        <v>1</v>
      </c>
      <c r="O1287" t="str">
        <f>VLOOKUP(A1287,vlookup_table!$A:$G,3,FALSE)</f>
        <v>CA</v>
      </c>
      <c r="P1287">
        <f>VLOOKUP(A1287,vlookup_table!$A:$G,4,FALSE)</f>
        <v>4801</v>
      </c>
      <c r="Q1287" t="str">
        <f>VLOOKUP(A1287,vlookup_table!$A:$G,5,FALSE)</f>
        <v>S1</v>
      </c>
      <c r="R1287" t="str">
        <f>VLOOKUP(A1287,vlookup_table!$A:$G,6,FALSE)</f>
        <v>M</v>
      </c>
      <c r="S1287">
        <f>VLOOKUP(A1287,vlookup_table!$A:$G,7,FALSE)</f>
        <v>25</v>
      </c>
      <c r="T1287">
        <f t="shared" si="40"/>
        <v>48</v>
      </c>
      <c r="U1287" t="str">
        <f t="shared" si="41"/>
        <v>Suburbano</v>
      </c>
    </row>
    <row r="1288" spans="1:21" ht="16" x14ac:dyDescent="0.4">
      <c r="A1288" s="6">
        <v>17102</v>
      </c>
      <c r="B1288" s="6" t="s">
        <v>18</v>
      </c>
      <c r="C1288" s="6" t="s">
        <v>97</v>
      </c>
      <c r="D1288" s="6">
        <v>685</v>
      </c>
      <c r="E1288" s="6">
        <v>271</v>
      </c>
      <c r="F1288" s="6">
        <v>396</v>
      </c>
      <c r="G1288" s="6">
        <v>1</v>
      </c>
      <c r="H1288" s="6">
        <v>13235</v>
      </c>
      <c r="I1288" s="6">
        <v>0</v>
      </c>
      <c r="J1288" s="6">
        <v>67</v>
      </c>
      <c r="K1288" s="6">
        <v>314</v>
      </c>
      <c r="L1288" s="6">
        <v>339</v>
      </c>
      <c r="M1288" s="6">
        <v>5.692307692</v>
      </c>
      <c r="N1288">
        <f>VLOOKUP(A1288,vlookup_table!$A:$G,2,FALSE)</f>
        <v>2</v>
      </c>
      <c r="O1288" t="str">
        <f>VLOOKUP(A1288,vlookup_table!$A:$G,3,FALSE)</f>
        <v>NC</v>
      </c>
      <c r="P1288">
        <f>VLOOKUP(A1288,vlookup_table!$A:$G,4,FALSE)</f>
        <v>0</v>
      </c>
      <c r="Q1288" t="str">
        <f>VLOOKUP(A1288,vlookup_table!$A:$G,5,FALSE)</f>
        <v>T2</v>
      </c>
      <c r="R1288" t="str">
        <f>VLOOKUP(A1288,vlookup_table!$A:$G,6,FALSE)</f>
        <v>F</v>
      </c>
      <c r="S1288">
        <f>VLOOKUP(A1288,vlookup_table!$A:$G,7,FALSE)</f>
        <v>7</v>
      </c>
      <c r="T1288">
        <f t="shared" si="40"/>
        <v>96</v>
      </c>
      <c r="U1288" t="str">
        <f t="shared" si="41"/>
        <v>Pueblo</v>
      </c>
    </row>
    <row r="1289" spans="1:21" ht="16" x14ac:dyDescent="0.4">
      <c r="A1289" s="6">
        <v>190157</v>
      </c>
      <c r="B1289" s="6" t="s">
        <v>18</v>
      </c>
      <c r="C1289" s="6" t="s">
        <v>97</v>
      </c>
      <c r="D1289" s="6">
        <v>603</v>
      </c>
      <c r="E1289" s="6">
        <v>173</v>
      </c>
      <c r="F1289" s="6">
        <v>329</v>
      </c>
      <c r="G1289" s="6">
        <v>4</v>
      </c>
      <c r="H1289" s="6">
        <v>12562</v>
      </c>
      <c r="I1289" s="6">
        <v>3</v>
      </c>
      <c r="J1289" s="6">
        <v>84</v>
      </c>
      <c r="K1289" s="6">
        <v>215</v>
      </c>
      <c r="L1289" s="6">
        <v>239</v>
      </c>
      <c r="M1289" s="6">
        <v>9.8571428569999995</v>
      </c>
      <c r="N1289">
        <f>VLOOKUP(A1289,vlookup_table!$A:$G,2,FALSE)</f>
        <v>0</v>
      </c>
      <c r="O1289" t="str">
        <f>VLOOKUP(A1289,vlookup_table!$A:$G,3,FALSE)</f>
        <v>NC</v>
      </c>
      <c r="P1289">
        <f>VLOOKUP(A1289,vlookup_table!$A:$G,4,FALSE)</f>
        <v>0</v>
      </c>
      <c r="Q1289" t="str">
        <f>VLOOKUP(A1289,vlookup_table!$A:$G,5,FALSE)</f>
        <v>T2</v>
      </c>
      <c r="R1289" t="str">
        <f>VLOOKUP(A1289,vlookup_table!$A:$G,6,FALSE)</f>
        <v>F</v>
      </c>
      <c r="S1289">
        <f>VLOOKUP(A1289,vlookup_table!$A:$G,7,FALSE)</f>
        <v>15</v>
      </c>
      <c r="T1289">
        <f t="shared" si="40"/>
        <v>96</v>
      </c>
      <c r="U1289" t="str">
        <f t="shared" si="41"/>
        <v>Pueblo</v>
      </c>
    </row>
    <row r="1290" spans="1:21" ht="16" x14ac:dyDescent="0.4">
      <c r="A1290" s="6">
        <v>93681</v>
      </c>
      <c r="B1290" s="6" t="s">
        <v>16</v>
      </c>
      <c r="C1290" s="6" t="s">
        <v>14</v>
      </c>
      <c r="D1290" s="6">
        <v>682</v>
      </c>
      <c r="E1290" s="6">
        <v>322</v>
      </c>
      <c r="F1290" s="6">
        <v>336</v>
      </c>
      <c r="G1290" s="6">
        <v>1</v>
      </c>
      <c r="H1290" s="6">
        <v>8194</v>
      </c>
      <c r="I1290" s="6">
        <v>0</v>
      </c>
      <c r="J1290" s="6">
        <v>62</v>
      </c>
      <c r="K1290" s="6">
        <v>359</v>
      </c>
      <c r="L1290" s="6">
        <v>297</v>
      </c>
      <c r="M1290" s="6">
        <v>12.33333333</v>
      </c>
      <c r="N1290">
        <f>VLOOKUP(A1290,vlookup_table!$A:$G,2,FALSE)</f>
        <v>1</v>
      </c>
      <c r="O1290" t="str">
        <f>VLOOKUP(A1290,vlookup_table!$A:$G,3,FALSE)</f>
        <v>IL</v>
      </c>
      <c r="P1290">
        <f>VLOOKUP(A1290,vlookup_table!$A:$G,4,FALSE)</f>
        <v>2309</v>
      </c>
      <c r="Q1290" t="str">
        <f>VLOOKUP(A1290,vlookup_table!$A:$G,5,FALSE)</f>
        <v>U3</v>
      </c>
      <c r="R1290" t="str">
        <f>VLOOKUP(A1290,vlookup_table!$A:$G,6,FALSE)</f>
        <v>M</v>
      </c>
      <c r="S1290">
        <f>VLOOKUP(A1290,vlookup_table!$A:$G,7,FALSE)</f>
        <v>16</v>
      </c>
      <c r="T1290">
        <f t="shared" si="40"/>
        <v>73</v>
      </c>
      <c r="U1290" t="str">
        <f t="shared" si="41"/>
        <v>Urbano</v>
      </c>
    </row>
    <row r="1291" spans="1:21" ht="16" x14ac:dyDescent="0.4">
      <c r="A1291" s="6">
        <v>105741</v>
      </c>
      <c r="B1291" s="6" t="s">
        <v>25</v>
      </c>
      <c r="C1291" s="6" t="s">
        <v>14</v>
      </c>
      <c r="D1291" s="6">
        <v>581</v>
      </c>
      <c r="E1291" s="6">
        <v>295</v>
      </c>
      <c r="F1291" s="6">
        <v>402</v>
      </c>
      <c r="G1291" s="6">
        <v>1</v>
      </c>
      <c r="H1291" s="6">
        <v>13925</v>
      </c>
      <c r="I1291" s="6">
        <v>5</v>
      </c>
      <c r="J1291" s="6">
        <v>65</v>
      </c>
      <c r="K1291" s="6">
        <v>349</v>
      </c>
      <c r="L1291" s="6">
        <v>349</v>
      </c>
      <c r="M1291" s="6">
        <v>17</v>
      </c>
      <c r="N1291">
        <f>VLOOKUP(A1291,vlookup_table!$A:$G,2,FALSE)</f>
        <v>2</v>
      </c>
      <c r="O1291" t="str">
        <f>VLOOKUP(A1291,vlookup_table!$A:$G,3,FALSE)</f>
        <v>KS</v>
      </c>
      <c r="P1291">
        <f>VLOOKUP(A1291,vlookup_table!$A:$G,4,FALSE)</f>
        <v>4401</v>
      </c>
      <c r="Q1291" t="str">
        <f>VLOOKUP(A1291,vlookup_table!$A:$G,5,FALSE)</f>
        <v>S2</v>
      </c>
      <c r="R1291" t="str">
        <f>VLOOKUP(A1291,vlookup_table!$A:$G,6,FALSE)</f>
        <v>M</v>
      </c>
      <c r="S1291">
        <f>VLOOKUP(A1291,vlookup_table!$A:$G,7,FALSE)</f>
        <v>20</v>
      </c>
      <c r="T1291">
        <f t="shared" si="40"/>
        <v>52</v>
      </c>
      <c r="U1291" t="str">
        <f t="shared" si="41"/>
        <v>Suburbano</v>
      </c>
    </row>
    <row r="1292" spans="1:21" ht="16" x14ac:dyDescent="0.4">
      <c r="A1292" s="6">
        <v>98962</v>
      </c>
      <c r="B1292" s="6" t="s">
        <v>16</v>
      </c>
      <c r="C1292" s="6" t="s">
        <v>17</v>
      </c>
      <c r="D1292" s="6">
        <v>380</v>
      </c>
      <c r="E1292" s="6">
        <v>229</v>
      </c>
      <c r="F1292" s="6">
        <v>351</v>
      </c>
      <c r="G1292" s="6">
        <v>1</v>
      </c>
      <c r="H1292" s="6">
        <v>11773</v>
      </c>
      <c r="I1292" s="6">
        <v>1</v>
      </c>
      <c r="J1292" s="6">
        <v>86</v>
      </c>
      <c r="K1292" s="6">
        <v>277</v>
      </c>
      <c r="L1292" s="6">
        <v>299</v>
      </c>
      <c r="M1292" s="6">
        <v>11.66666667</v>
      </c>
      <c r="N1292">
        <f>VLOOKUP(A1292,vlookup_table!$A:$G,2,FALSE)</f>
        <v>0</v>
      </c>
      <c r="O1292" t="str">
        <f>VLOOKUP(A1292,vlookup_table!$A:$G,3,FALSE)</f>
        <v>IL</v>
      </c>
      <c r="P1292">
        <f>VLOOKUP(A1292,vlookup_table!$A:$G,4,FALSE)</f>
        <v>2308</v>
      </c>
      <c r="Q1292" t="str">
        <f>VLOOKUP(A1292,vlookup_table!$A:$G,5,FALSE)</f>
        <v>R2</v>
      </c>
      <c r="R1292" t="str">
        <f>VLOOKUP(A1292,vlookup_table!$A:$G,6,FALSE)</f>
        <v>F</v>
      </c>
      <c r="S1292">
        <f>VLOOKUP(A1292,vlookup_table!$A:$G,7,FALSE)</f>
        <v>25</v>
      </c>
      <c r="T1292">
        <f t="shared" si="40"/>
        <v>73</v>
      </c>
      <c r="U1292" t="str">
        <f t="shared" si="41"/>
        <v>Rural</v>
      </c>
    </row>
    <row r="1293" spans="1:21" ht="16" x14ac:dyDescent="0.4">
      <c r="A1293" s="6">
        <v>32552</v>
      </c>
      <c r="B1293" s="6" t="s">
        <v>13</v>
      </c>
      <c r="C1293" s="6" t="s">
        <v>17</v>
      </c>
      <c r="D1293" s="6">
        <v>1229</v>
      </c>
      <c r="E1293" s="6">
        <v>469</v>
      </c>
      <c r="F1293" s="6">
        <v>544</v>
      </c>
      <c r="G1293" s="6">
        <v>21</v>
      </c>
      <c r="H1293" s="6">
        <v>17313</v>
      </c>
      <c r="I1293" s="6">
        <v>2</v>
      </c>
      <c r="J1293" s="6">
        <v>30</v>
      </c>
      <c r="K1293" s="6">
        <v>502</v>
      </c>
      <c r="L1293" s="6">
        <v>507</v>
      </c>
      <c r="M1293" s="6">
        <v>7.5</v>
      </c>
      <c r="N1293">
        <f>VLOOKUP(A1293,vlookup_table!$A:$G,2,FALSE)</f>
        <v>0</v>
      </c>
      <c r="O1293" t="str">
        <f>VLOOKUP(A1293,vlookup_table!$A:$G,3,FALSE)</f>
        <v>FL</v>
      </c>
      <c r="P1293">
        <f>VLOOKUP(A1293,vlookup_table!$A:$G,4,FALSE)</f>
        <v>3802</v>
      </c>
      <c r="Q1293" t="str">
        <f>VLOOKUP(A1293,vlookup_table!$A:$G,5,FALSE)</f>
        <v>T1</v>
      </c>
      <c r="R1293" t="str">
        <f>VLOOKUP(A1293,vlookup_table!$A:$G,6,FALSE)</f>
        <v>F</v>
      </c>
      <c r="S1293">
        <f>VLOOKUP(A1293,vlookup_table!$A:$G,7,FALSE)</f>
        <v>20</v>
      </c>
      <c r="T1293">
        <f t="shared" si="40"/>
        <v>58</v>
      </c>
      <c r="U1293" t="str">
        <f t="shared" si="41"/>
        <v>Pueblo</v>
      </c>
    </row>
    <row r="1294" spans="1:21" ht="16" x14ac:dyDescent="0.4">
      <c r="A1294" s="6">
        <v>23465</v>
      </c>
      <c r="B1294" s="6" t="s">
        <v>43</v>
      </c>
      <c r="C1294" s="6" t="s">
        <v>17</v>
      </c>
      <c r="D1294" s="6">
        <v>689</v>
      </c>
      <c r="E1294" s="6">
        <v>313</v>
      </c>
      <c r="F1294" s="6">
        <v>350</v>
      </c>
      <c r="G1294" s="6">
        <v>0</v>
      </c>
      <c r="H1294" s="6">
        <v>12601</v>
      </c>
      <c r="I1294" s="6">
        <v>1</v>
      </c>
      <c r="J1294" s="6">
        <v>69</v>
      </c>
      <c r="K1294" s="6">
        <v>320</v>
      </c>
      <c r="L1294" s="6">
        <v>343</v>
      </c>
      <c r="M1294" s="6">
        <v>12</v>
      </c>
      <c r="N1294">
        <f>VLOOKUP(A1294,vlookup_table!$A:$G,2,FALSE)</f>
        <v>1</v>
      </c>
      <c r="O1294" t="str">
        <f>VLOOKUP(A1294,vlookup_table!$A:$G,3,FALSE)</f>
        <v>SC</v>
      </c>
      <c r="P1294">
        <f>VLOOKUP(A1294,vlookup_table!$A:$G,4,FALSE)</f>
        <v>2701</v>
      </c>
      <c r="Q1294" t="str">
        <f>VLOOKUP(A1294,vlookup_table!$A:$G,5,FALSE)</f>
        <v>S2</v>
      </c>
      <c r="R1294" t="str">
        <f>VLOOKUP(A1294,vlookup_table!$A:$G,6,FALSE)</f>
        <v>F</v>
      </c>
      <c r="S1294">
        <f>VLOOKUP(A1294,vlookup_table!$A:$G,7,FALSE)</f>
        <v>15</v>
      </c>
      <c r="T1294">
        <f t="shared" si="40"/>
        <v>69</v>
      </c>
      <c r="U1294" t="str">
        <f t="shared" si="41"/>
        <v>Suburbano</v>
      </c>
    </row>
    <row r="1295" spans="1:21" ht="16" x14ac:dyDescent="0.4">
      <c r="A1295" s="6">
        <v>155130</v>
      </c>
      <c r="B1295" s="6" t="s">
        <v>21</v>
      </c>
      <c r="C1295" s="6" t="s">
        <v>14</v>
      </c>
      <c r="D1295" s="6">
        <v>1715</v>
      </c>
      <c r="E1295" s="6">
        <v>607</v>
      </c>
      <c r="F1295" s="6">
        <v>660</v>
      </c>
      <c r="G1295" s="6">
        <v>34</v>
      </c>
      <c r="H1295" s="6">
        <v>21473</v>
      </c>
      <c r="I1295" s="6">
        <v>10</v>
      </c>
      <c r="J1295" s="6">
        <v>55</v>
      </c>
      <c r="K1295" s="6">
        <v>619</v>
      </c>
      <c r="L1295" s="6">
        <v>647</v>
      </c>
      <c r="M1295" s="6">
        <v>4.8</v>
      </c>
      <c r="N1295">
        <f>VLOOKUP(A1295,vlookup_table!$A:$G,2,FALSE)</f>
        <v>1</v>
      </c>
      <c r="O1295" t="str">
        <f>VLOOKUP(A1295,vlookup_table!$A:$G,3,FALSE)</f>
        <v>CA</v>
      </c>
      <c r="P1295">
        <f>VLOOKUP(A1295,vlookup_table!$A:$G,4,FALSE)</f>
        <v>4901</v>
      </c>
      <c r="Q1295" t="str">
        <f>VLOOKUP(A1295,vlookup_table!$A:$G,5,FALSE)</f>
        <v>S1</v>
      </c>
      <c r="R1295" t="str">
        <f>VLOOKUP(A1295,vlookup_table!$A:$G,6,FALSE)</f>
        <v>M</v>
      </c>
      <c r="S1295">
        <f>VLOOKUP(A1295,vlookup_table!$A:$G,7,FALSE)</f>
        <v>45</v>
      </c>
      <c r="T1295">
        <f t="shared" si="40"/>
        <v>47</v>
      </c>
      <c r="U1295" t="str">
        <f t="shared" si="41"/>
        <v>Suburbano</v>
      </c>
    </row>
    <row r="1296" spans="1:21" ht="16" x14ac:dyDescent="0.4">
      <c r="A1296" s="6">
        <v>15017</v>
      </c>
      <c r="B1296" s="6" t="s">
        <v>13</v>
      </c>
      <c r="C1296" s="6" t="s">
        <v>17</v>
      </c>
      <c r="D1296" s="6">
        <v>762</v>
      </c>
      <c r="E1296" s="6">
        <v>254</v>
      </c>
      <c r="F1296" s="6">
        <v>411</v>
      </c>
      <c r="G1296" s="6">
        <v>7</v>
      </c>
      <c r="H1296" s="6">
        <v>17458</v>
      </c>
      <c r="I1296" s="6">
        <v>7</v>
      </c>
      <c r="J1296" s="6">
        <v>13</v>
      </c>
      <c r="K1296" s="6">
        <v>355</v>
      </c>
      <c r="L1296" s="6">
        <v>327</v>
      </c>
      <c r="M1296" s="6">
        <v>8.7619047620000003</v>
      </c>
      <c r="N1296">
        <f>VLOOKUP(A1296,vlookup_table!$A:$G,2,FALSE)</f>
        <v>0</v>
      </c>
      <c r="O1296" t="str">
        <f>VLOOKUP(A1296,vlookup_table!$A:$G,3,FALSE)</f>
        <v>FL</v>
      </c>
      <c r="P1296">
        <f>VLOOKUP(A1296,vlookup_table!$A:$G,4,FALSE)</f>
        <v>0</v>
      </c>
      <c r="Q1296" t="str">
        <f>VLOOKUP(A1296,vlookup_table!$A:$G,5,FALSE)</f>
        <v/>
      </c>
      <c r="R1296" t="str">
        <f>VLOOKUP(A1296,vlookup_table!$A:$G,6,FALSE)</f>
        <v>F</v>
      </c>
      <c r="S1296">
        <f>VLOOKUP(A1296,vlookup_table!$A:$G,7,FALSE)</f>
        <v>18</v>
      </c>
      <c r="T1296">
        <f t="shared" si="40"/>
        <v>96</v>
      </c>
      <c r="U1296" t="str">
        <f t="shared" si="41"/>
        <v/>
      </c>
    </row>
    <row r="1297" spans="1:21" ht="16" x14ac:dyDescent="0.4">
      <c r="A1297" s="6">
        <v>123438</v>
      </c>
      <c r="B1297" s="6" t="s">
        <v>20</v>
      </c>
      <c r="C1297" s="6" t="s">
        <v>17</v>
      </c>
      <c r="D1297" s="6">
        <v>683</v>
      </c>
      <c r="E1297" s="6">
        <v>449</v>
      </c>
      <c r="F1297" s="6">
        <v>507</v>
      </c>
      <c r="G1297" s="6">
        <v>0</v>
      </c>
      <c r="H1297" s="6">
        <v>19552</v>
      </c>
      <c r="I1297" s="6">
        <v>6</v>
      </c>
      <c r="J1297" s="6">
        <v>50</v>
      </c>
      <c r="K1297" s="6">
        <v>471</v>
      </c>
      <c r="L1297" s="6">
        <v>484</v>
      </c>
      <c r="M1297" s="6">
        <v>6.8125</v>
      </c>
      <c r="N1297">
        <f>VLOOKUP(A1297,vlookup_table!$A:$G,2,FALSE)</f>
        <v>0</v>
      </c>
      <c r="O1297" t="str">
        <f>VLOOKUP(A1297,vlookup_table!$A:$G,3,FALSE)</f>
        <v>TX</v>
      </c>
      <c r="P1297">
        <f>VLOOKUP(A1297,vlookup_table!$A:$G,4,FALSE)</f>
        <v>6601</v>
      </c>
      <c r="Q1297" t="str">
        <f>VLOOKUP(A1297,vlookup_table!$A:$G,5,FALSE)</f>
        <v>T2</v>
      </c>
      <c r="R1297" t="str">
        <f>VLOOKUP(A1297,vlookup_table!$A:$G,6,FALSE)</f>
        <v>F</v>
      </c>
      <c r="S1297">
        <f>VLOOKUP(A1297,vlookup_table!$A:$G,7,FALSE)</f>
        <v>3</v>
      </c>
      <c r="T1297">
        <f t="shared" si="40"/>
        <v>30</v>
      </c>
      <c r="U1297" t="str">
        <f t="shared" si="41"/>
        <v>Pueblo</v>
      </c>
    </row>
    <row r="1298" spans="1:21" ht="16" x14ac:dyDescent="0.4">
      <c r="A1298" s="6">
        <v>178796</v>
      </c>
      <c r="B1298" s="6" t="s">
        <v>37</v>
      </c>
      <c r="C1298" s="6" t="s">
        <v>17</v>
      </c>
      <c r="D1298" s="6">
        <v>1648</v>
      </c>
      <c r="E1298" s="6">
        <v>395</v>
      </c>
      <c r="F1298" s="6">
        <v>542</v>
      </c>
      <c r="G1298" s="6">
        <v>28</v>
      </c>
      <c r="H1298" s="6">
        <v>22216</v>
      </c>
      <c r="I1298" s="6">
        <v>5</v>
      </c>
      <c r="J1298" s="6">
        <v>50</v>
      </c>
      <c r="K1298" s="6">
        <v>488</v>
      </c>
      <c r="L1298" s="6">
        <v>480</v>
      </c>
      <c r="M1298" s="6">
        <v>8.538461539</v>
      </c>
      <c r="N1298">
        <f>VLOOKUP(A1298,vlookup_table!$A:$G,2,FALSE)</f>
        <v>28</v>
      </c>
      <c r="O1298" t="str">
        <f>VLOOKUP(A1298,vlookup_table!$A:$G,3,FALSE)</f>
        <v>WA</v>
      </c>
      <c r="P1298">
        <f>VLOOKUP(A1298,vlookup_table!$A:$G,4,FALSE)</f>
        <v>3503</v>
      </c>
      <c r="Q1298" t="str">
        <f>VLOOKUP(A1298,vlookup_table!$A:$G,5,FALSE)</f>
        <v>S1</v>
      </c>
      <c r="R1298" t="str">
        <f>VLOOKUP(A1298,vlookup_table!$A:$G,6,FALSE)</f>
        <v>F</v>
      </c>
      <c r="S1298">
        <f>VLOOKUP(A1298,vlookup_table!$A:$G,7,FALSE)</f>
        <v>9</v>
      </c>
      <c r="T1298">
        <f t="shared" si="40"/>
        <v>61</v>
      </c>
      <c r="U1298" t="str">
        <f t="shared" si="41"/>
        <v>Suburbano</v>
      </c>
    </row>
    <row r="1299" spans="1:21" ht="16" x14ac:dyDescent="0.4">
      <c r="A1299" s="6">
        <v>143790</v>
      </c>
      <c r="B1299" s="6" t="s">
        <v>21</v>
      </c>
      <c r="C1299" s="6" t="s">
        <v>17</v>
      </c>
      <c r="D1299" s="6">
        <v>5907</v>
      </c>
      <c r="E1299" s="6">
        <v>1285</v>
      </c>
      <c r="F1299" s="6">
        <v>1144</v>
      </c>
      <c r="G1299" s="6">
        <v>99</v>
      </c>
      <c r="H1299" s="6">
        <v>91205</v>
      </c>
      <c r="I1299" s="6">
        <v>18</v>
      </c>
      <c r="J1299" s="6">
        <v>26</v>
      </c>
      <c r="K1299" s="6">
        <v>1340</v>
      </c>
      <c r="L1299" s="6">
        <v>1063</v>
      </c>
      <c r="M1299" s="6">
        <v>16</v>
      </c>
      <c r="N1299">
        <f>VLOOKUP(A1299,vlookup_table!$A:$G,2,FALSE)</f>
        <v>2</v>
      </c>
      <c r="O1299" t="str">
        <f>VLOOKUP(A1299,vlookup_table!$A:$G,3,FALSE)</f>
        <v>CA</v>
      </c>
      <c r="P1299">
        <f>VLOOKUP(A1299,vlookup_table!$A:$G,4,FALSE)</f>
        <v>4101</v>
      </c>
      <c r="Q1299" t="str">
        <f>VLOOKUP(A1299,vlookup_table!$A:$G,5,FALSE)</f>
        <v>S1</v>
      </c>
      <c r="R1299" t="str">
        <f>VLOOKUP(A1299,vlookup_table!$A:$G,6,FALSE)</f>
        <v>F</v>
      </c>
      <c r="S1299">
        <f>VLOOKUP(A1299,vlookup_table!$A:$G,7,FALSE)</f>
        <v>15</v>
      </c>
      <c r="T1299">
        <f t="shared" si="40"/>
        <v>55</v>
      </c>
      <c r="U1299" t="str">
        <f t="shared" si="41"/>
        <v>Suburbano</v>
      </c>
    </row>
    <row r="1300" spans="1:21" ht="16" x14ac:dyDescent="0.4">
      <c r="A1300" s="6">
        <v>173737</v>
      </c>
      <c r="B1300" s="6" t="s">
        <v>34</v>
      </c>
      <c r="C1300" s="6" t="s">
        <v>14</v>
      </c>
      <c r="D1300" s="6">
        <v>1473</v>
      </c>
      <c r="E1300" s="6">
        <v>327</v>
      </c>
      <c r="F1300" s="6">
        <v>382</v>
      </c>
      <c r="G1300" s="6">
        <v>23</v>
      </c>
      <c r="H1300" s="6">
        <v>12051</v>
      </c>
      <c r="I1300" s="6">
        <v>17</v>
      </c>
      <c r="J1300" s="6">
        <v>67</v>
      </c>
      <c r="K1300" s="6">
        <v>324</v>
      </c>
      <c r="L1300" s="6">
        <v>395</v>
      </c>
      <c r="M1300" s="6">
        <v>20.666666670000001</v>
      </c>
      <c r="N1300">
        <f>VLOOKUP(A1300,vlookup_table!$A:$G,2,FALSE)</f>
        <v>1</v>
      </c>
      <c r="O1300" t="str">
        <f>VLOOKUP(A1300,vlookup_table!$A:$G,3,FALSE)</f>
        <v>HI</v>
      </c>
      <c r="P1300">
        <f>VLOOKUP(A1300,vlookup_table!$A:$G,4,FALSE)</f>
        <v>1801</v>
      </c>
      <c r="Q1300" t="str">
        <f>VLOOKUP(A1300,vlookup_table!$A:$G,5,FALSE)</f>
        <v>T2</v>
      </c>
      <c r="R1300" t="str">
        <f>VLOOKUP(A1300,vlookup_table!$A:$G,6,FALSE)</f>
        <v>M</v>
      </c>
      <c r="S1300">
        <f>VLOOKUP(A1300,vlookup_table!$A:$G,7,FALSE)</f>
        <v>20</v>
      </c>
      <c r="T1300">
        <f t="shared" si="40"/>
        <v>78</v>
      </c>
      <c r="U1300" t="str">
        <f t="shared" si="41"/>
        <v>Pueblo</v>
      </c>
    </row>
    <row r="1301" spans="1:21" ht="16" x14ac:dyDescent="0.4">
      <c r="A1301" s="6">
        <v>57017</v>
      </c>
      <c r="B1301" s="6" t="s">
        <v>13</v>
      </c>
      <c r="C1301" s="6" t="s">
        <v>17</v>
      </c>
      <c r="D1301" s="6">
        <v>484</v>
      </c>
      <c r="E1301" s="6">
        <v>150</v>
      </c>
      <c r="F1301" s="6">
        <v>266</v>
      </c>
      <c r="G1301" s="6">
        <v>0</v>
      </c>
      <c r="H1301" s="6">
        <v>11909</v>
      </c>
      <c r="I1301" s="6">
        <v>8</v>
      </c>
      <c r="J1301" s="6">
        <v>11</v>
      </c>
      <c r="K1301" s="6">
        <v>243</v>
      </c>
      <c r="L1301" s="6">
        <v>195</v>
      </c>
      <c r="M1301" s="6">
        <v>20</v>
      </c>
      <c r="N1301">
        <f>VLOOKUP(A1301,vlookup_table!$A:$G,2,FALSE)</f>
        <v>0</v>
      </c>
      <c r="O1301" t="str">
        <f>VLOOKUP(A1301,vlookup_table!$A:$G,3,FALSE)</f>
        <v>FL</v>
      </c>
      <c r="P1301">
        <f>VLOOKUP(A1301,vlookup_table!$A:$G,4,FALSE)</f>
        <v>0</v>
      </c>
      <c r="Q1301" t="str">
        <f>VLOOKUP(A1301,vlookup_table!$A:$G,5,FALSE)</f>
        <v>T2</v>
      </c>
      <c r="R1301" t="str">
        <f>VLOOKUP(A1301,vlookup_table!$A:$G,6,FALSE)</f>
        <v>F</v>
      </c>
      <c r="S1301">
        <f>VLOOKUP(A1301,vlookup_table!$A:$G,7,FALSE)</f>
        <v>20</v>
      </c>
      <c r="T1301">
        <f t="shared" si="40"/>
        <v>96</v>
      </c>
      <c r="U1301" t="str">
        <f t="shared" si="41"/>
        <v>Pueblo</v>
      </c>
    </row>
    <row r="1302" spans="1:21" ht="16" x14ac:dyDescent="0.4">
      <c r="A1302" s="6">
        <v>131551</v>
      </c>
      <c r="B1302" s="6" t="s">
        <v>45</v>
      </c>
      <c r="C1302" s="6" t="s">
        <v>14</v>
      </c>
      <c r="D1302" s="6">
        <v>645</v>
      </c>
      <c r="E1302" s="6">
        <v>214</v>
      </c>
      <c r="F1302" s="6">
        <v>313</v>
      </c>
      <c r="G1302" s="6">
        <v>0</v>
      </c>
      <c r="H1302" s="6">
        <v>14783</v>
      </c>
      <c r="I1302" s="6">
        <v>3</v>
      </c>
      <c r="J1302" s="6">
        <v>32</v>
      </c>
      <c r="K1302" s="6">
        <v>308</v>
      </c>
      <c r="L1302" s="6">
        <v>251</v>
      </c>
      <c r="M1302" s="6">
        <v>8.9166666669999994</v>
      </c>
      <c r="N1302">
        <f>VLOOKUP(A1302,vlookup_table!$A:$G,2,FALSE)</f>
        <v>1</v>
      </c>
      <c r="O1302" t="str">
        <f>VLOOKUP(A1302,vlookup_table!$A:$G,3,FALSE)</f>
        <v>CO</v>
      </c>
      <c r="P1302">
        <f>VLOOKUP(A1302,vlookup_table!$A:$G,4,FALSE)</f>
        <v>1710</v>
      </c>
      <c r="Q1302" t="str">
        <f>VLOOKUP(A1302,vlookup_table!$A:$G,5,FALSE)</f>
        <v>C2</v>
      </c>
      <c r="R1302" t="str">
        <f>VLOOKUP(A1302,vlookup_table!$A:$G,6,FALSE)</f>
        <v>M</v>
      </c>
      <c r="S1302">
        <f>VLOOKUP(A1302,vlookup_table!$A:$G,7,FALSE)</f>
        <v>10</v>
      </c>
      <c r="T1302">
        <f t="shared" si="40"/>
        <v>79</v>
      </c>
      <c r="U1302" t="str">
        <f t="shared" si="41"/>
        <v>Ciudad</v>
      </c>
    </row>
    <row r="1303" spans="1:21" ht="16" x14ac:dyDescent="0.4">
      <c r="A1303" s="6">
        <v>72796</v>
      </c>
      <c r="B1303" s="6" t="s">
        <v>26</v>
      </c>
      <c r="C1303" s="6" t="s">
        <v>14</v>
      </c>
      <c r="D1303" s="6">
        <v>577</v>
      </c>
      <c r="E1303" s="6">
        <v>375</v>
      </c>
      <c r="F1303" s="6">
        <v>394</v>
      </c>
      <c r="G1303" s="6">
        <v>0</v>
      </c>
      <c r="H1303" s="6">
        <v>15853</v>
      </c>
      <c r="I1303" s="6">
        <v>1</v>
      </c>
      <c r="J1303" s="6">
        <v>74</v>
      </c>
      <c r="K1303" s="6">
        <v>380</v>
      </c>
      <c r="L1303" s="6">
        <v>389</v>
      </c>
      <c r="M1303" s="6">
        <v>9.5714285710000002</v>
      </c>
      <c r="N1303">
        <f>VLOOKUP(A1303,vlookup_table!$A:$G,2,FALSE)</f>
        <v>0</v>
      </c>
      <c r="O1303" t="str">
        <f>VLOOKUP(A1303,vlookup_table!$A:$G,3,FALSE)</f>
        <v>MI</v>
      </c>
      <c r="P1303">
        <f>VLOOKUP(A1303,vlookup_table!$A:$G,4,FALSE)</f>
        <v>4905</v>
      </c>
      <c r="Q1303" t="str">
        <f>VLOOKUP(A1303,vlookup_table!$A:$G,5,FALSE)</f>
        <v>R2</v>
      </c>
      <c r="R1303" t="str">
        <f>VLOOKUP(A1303,vlookup_table!$A:$G,6,FALSE)</f>
        <v>M</v>
      </c>
      <c r="S1303">
        <f>VLOOKUP(A1303,vlookup_table!$A:$G,7,FALSE)</f>
        <v>15</v>
      </c>
      <c r="T1303">
        <f t="shared" si="40"/>
        <v>47</v>
      </c>
      <c r="U1303" t="str">
        <f t="shared" si="41"/>
        <v>Rural</v>
      </c>
    </row>
    <row r="1304" spans="1:21" ht="16" x14ac:dyDescent="0.4">
      <c r="A1304" s="6">
        <v>178498</v>
      </c>
      <c r="B1304" s="6" t="s">
        <v>37</v>
      </c>
      <c r="C1304" s="6" t="s">
        <v>14</v>
      </c>
      <c r="D1304" s="6">
        <v>1642</v>
      </c>
      <c r="E1304" s="6">
        <v>275</v>
      </c>
      <c r="F1304" s="6">
        <v>485</v>
      </c>
      <c r="G1304" s="6">
        <v>30</v>
      </c>
      <c r="H1304" s="6">
        <v>19679</v>
      </c>
      <c r="I1304" s="6">
        <v>10</v>
      </c>
      <c r="J1304" s="6">
        <v>32</v>
      </c>
      <c r="K1304" s="6">
        <v>388</v>
      </c>
      <c r="L1304" s="6">
        <v>349</v>
      </c>
      <c r="M1304" s="6">
        <v>11.83333333</v>
      </c>
      <c r="N1304">
        <f>VLOOKUP(A1304,vlookup_table!$A:$G,2,FALSE)</f>
        <v>0</v>
      </c>
      <c r="O1304" t="str">
        <f>VLOOKUP(A1304,vlookup_table!$A:$G,3,FALSE)</f>
        <v>WA</v>
      </c>
      <c r="P1304">
        <f>VLOOKUP(A1304,vlookup_table!$A:$G,4,FALSE)</f>
        <v>2802</v>
      </c>
      <c r="Q1304" t="str">
        <f>VLOOKUP(A1304,vlookup_table!$A:$G,5,FALSE)</f>
        <v>S2</v>
      </c>
      <c r="R1304" t="str">
        <f>VLOOKUP(A1304,vlookup_table!$A:$G,6,FALSE)</f>
        <v>M</v>
      </c>
      <c r="S1304">
        <f>VLOOKUP(A1304,vlookup_table!$A:$G,7,FALSE)</f>
        <v>15</v>
      </c>
      <c r="T1304">
        <f t="shared" si="40"/>
        <v>68</v>
      </c>
      <c r="U1304" t="str">
        <f t="shared" si="41"/>
        <v>Suburbano</v>
      </c>
    </row>
    <row r="1305" spans="1:21" ht="16" x14ac:dyDescent="0.4">
      <c r="A1305" s="6">
        <v>77742</v>
      </c>
      <c r="B1305" s="6" t="s">
        <v>20</v>
      </c>
      <c r="C1305" s="6"/>
      <c r="D1305" s="6">
        <v>1163</v>
      </c>
      <c r="E1305" s="6">
        <v>378</v>
      </c>
      <c r="F1305" s="6">
        <v>526</v>
      </c>
      <c r="G1305" s="6">
        <v>11</v>
      </c>
      <c r="H1305" s="6">
        <v>23408</v>
      </c>
      <c r="I1305" s="6">
        <v>4</v>
      </c>
      <c r="J1305" s="6">
        <v>41</v>
      </c>
      <c r="K1305" s="6">
        <v>459</v>
      </c>
      <c r="L1305" s="6">
        <v>439</v>
      </c>
      <c r="M1305" s="6">
        <v>5.4</v>
      </c>
      <c r="N1305">
        <f>VLOOKUP(A1305,vlookup_table!$A:$G,2,FALSE)</f>
        <v>0</v>
      </c>
      <c r="O1305" t="str">
        <f>VLOOKUP(A1305,vlookup_table!$A:$G,3,FALSE)</f>
        <v>TX</v>
      </c>
      <c r="P1305">
        <f>VLOOKUP(A1305,vlookup_table!$A:$G,4,FALSE)</f>
        <v>0</v>
      </c>
      <c r="Q1305" t="str">
        <f>VLOOKUP(A1305,vlookup_table!$A:$G,5,FALSE)</f>
        <v>R2</v>
      </c>
      <c r="R1305" t="str">
        <f>VLOOKUP(A1305,vlookup_table!$A:$G,6,FALSE)</f>
        <v/>
      </c>
      <c r="S1305">
        <f>VLOOKUP(A1305,vlookup_table!$A:$G,7,FALSE)</f>
        <v>5</v>
      </c>
      <c r="T1305">
        <f t="shared" si="40"/>
        <v>96</v>
      </c>
      <c r="U1305" t="str">
        <f t="shared" si="41"/>
        <v>Rural</v>
      </c>
    </row>
    <row r="1306" spans="1:21" ht="16" x14ac:dyDescent="0.4">
      <c r="A1306" s="6">
        <v>21204</v>
      </c>
      <c r="B1306" s="6" t="s">
        <v>18</v>
      </c>
      <c r="C1306" s="6" t="s">
        <v>97</v>
      </c>
      <c r="D1306" s="6">
        <v>675</v>
      </c>
      <c r="E1306" s="6">
        <v>305</v>
      </c>
      <c r="F1306" s="6">
        <v>427</v>
      </c>
      <c r="G1306" s="6">
        <v>0</v>
      </c>
      <c r="H1306" s="6">
        <v>16318</v>
      </c>
      <c r="I1306" s="6">
        <v>2</v>
      </c>
      <c r="J1306" s="6">
        <v>69</v>
      </c>
      <c r="K1306" s="6">
        <v>373</v>
      </c>
      <c r="L1306" s="6">
        <v>365</v>
      </c>
      <c r="M1306" s="6">
        <v>6.4090909089999997</v>
      </c>
      <c r="N1306">
        <f>VLOOKUP(A1306,vlookup_table!$A:$G,2,FALSE)</f>
        <v>2</v>
      </c>
      <c r="O1306" t="str">
        <f>VLOOKUP(A1306,vlookup_table!$A:$G,3,FALSE)</f>
        <v>NC</v>
      </c>
      <c r="P1306">
        <f>VLOOKUP(A1306,vlookup_table!$A:$G,4,FALSE)</f>
        <v>4001</v>
      </c>
      <c r="Q1306" t="str">
        <f>VLOOKUP(A1306,vlookup_table!$A:$G,5,FALSE)</f>
        <v>C2</v>
      </c>
      <c r="R1306" t="str">
        <f>VLOOKUP(A1306,vlookup_table!$A:$G,6,FALSE)</f>
        <v>F</v>
      </c>
      <c r="S1306">
        <f>VLOOKUP(A1306,vlookup_table!$A:$G,7,FALSE)</f>
        <v>8</v>
      </c>
      <c r="T1306">
        <f t="shared" si="40"/>
        <v>56</v>
      </c>
      <c r="U1306" t="str">
        <f t="shared" si="41"/>
        <v>Ciudad</v>
      </c>
    </row>
    <row r="1307" spans="1:21" ht="16" x14ac:dyDescent="0.4">
      <c r="A1307" s="6">
        <v>71146</v>
      </c>
      <c r="B1307" s="6" t="s">
        <v>26</v>
      </c>
      <c r="C1307" s="6" t="s">
        <v>17</v>
      </c>
      <c r="D1307" s="6">
        <v>602</v>
      </c>
      <c r="E1307" s="6">
        <v>336</v>
      </c>
      <c r="F1307" s="6">
        <v>391</v>
      </c>
      <c r="G1307" s="6">
        <v>0</v>
      </c>
      <c r="H1307" s="6">
        <v>12418</v>
      </c>
      <c r="I1307" s="6">
        <v>1</v>
      </c>
      <c r="J1307" s="6">
        <v>87</v>
      </c>
      <c r="K1307" s="6">
        <v>366</v>
      </c>
      <c r="L1307" s="6">
        <v>363</v>
      </c>
      <c r="M1307" s="6">
        <v>9</v>
      </c>
      <c r="N1307">
        <f>VLOOKUP(A1307,vlookup_table!$A:$G,2,FALSE)</f>
        <v>0</v>
      </c>
      <c r="O1307" t="str">
        <f>VLOOKUP(A1307,vlookup_table!$A:$G,3,FALSE)</f>
        <v>MI</v>
      </c>
      <c r="P1307">
        <f>VLOOKUP(A1307,vlookup_table!$A:$G,4,FALSE)</f>
        <v>7401</v>
      </c>
      <c r="Q1307" t="str">
        <f>VLOOKUP(A1307,vlookup_table!$A:$G,5,FALSE)</f>
        <v>T2</v>
      </c>
      <c r="R1307" t="str">
        <f>VLOOKUP(A1307,vlookup_table!$A:$G,6,FALSE)</f>
        <v>F</v>
      </c>
      <c r="S1307">
        <f>VLOOKUP(A1307,vlookup_table!$A:$G,7,FALSE)</f>
        <v>10</v>
      </c>
      <c r="T1307">
        <f t="shared" si="40"/>
        <v>22</v>
      </c>
      <c r="U1307" t="str">
        <f t="shared" si="41"/>
        <v>Pueblo</v>
      </c>
    </row>
    <row r="1308" spans="1:21" ht="16" x14ac:dyDescent="0.4">
      <c r="A1308" s="6">
        <v>161230</v>
      </c>
      <c r="B1308" s="6" t="s">
        <v>21</v>
      </c>
      <c r="C1308" s="6" t="s">
        <v>17</v>
      </c>
      <c r="D1308" s="6">
        <v>746</v>
      </c>
      <c r="E1308" s="6">
        <v>346</v>
      </c>
      <c r="F1308" s="6">
        <v>368</v>
      </c>
      <c r="G1308" s="6">
        <v>0</v>
      </c>
      <c r="H1308" s="6">
        <v>10165</v>
      </c>
      <c r="I1308" s="6">
        <v>3</v>
      </c>
      <c r="J1308" s="6">
        <v>64</v>
      </c>
      <c r="K1308" s="6">
        <v>352</v>
      </c>
      <c r="L1308" s="6">
        <v>363</v>
      </c>
      <c r="M1308" s="6">
        <v>15.764705879999999</v>
      </c>
      <c r="N1308">
        <f>VLOOKUP(A1308,vlookup_table!$A:$G,2,FALSE)</f>
        <v>0</v>
      </c>
      <c r="O1308" t="str">
        <f>VLOOKUP(A1308,vlookup_table!$A:$G,3,FALSE)</f>
        <v>CA</v>
      </c>
      <c r="P1308">
        <f>VLOOKUP(A1308,vlookup_table!$A:$G,4,FALSE)</f>
        <v>5207</v>
      </c>
      <c r="Q1308" t="str">
        <f>VLOOKUP(A1308,vlookup_table!$A:$G,5,FALSE)</f>
        <v>T2</v>
      </c>
      <c r="R1308" t="str">
        <f>VLOOKUP(A1308,vlookup_table!$A:$G,6,FALSE)</f>
        <v>F</v>
      </c>
      <c r="S1308">
        <f>VLOOKUP(A1308,vlookup_table!$A:$G,7,FALSE)</f>
        <v>20</v>
      </c>
      <c r="T1308">
        <f t="shared" si="40"/>
        <v>44</v>
      </c>
      <c r="U1308" t="str">
        <f t="shared" si="41"/>
        <v>Pueblo</v>
      </c>
    </row>
    <row r="1309" spans="1:21" ht="16" x14ac:dyDescent="0.4">
      <c r="A1309" s="6">
        <v>67712</v>
      </c>
      <c r="B1309" s="6" t="s">
        <v>26</v>
      </c>
      <c r="C1309" s="6" t="s">
        <v>17</v>
      </c>
      <c r="D1309" s="6">
        <v>459</v>
      </c>
      <c r="E1309" s="6">
        <v>116</v>
      </c>
      <c r="F1309" s="6">
        <v>533</v>
      </c>
      <c r="G1309" s="6">
        <v>0</v>
      </c>
      <c r="H1309" s="6">
        <v>19070</v>
      </c>
      <c r="I1309" s="6">
        <v>3</v>
      </c>
      <c r="J1309" s="6">
        <v>41</v>
      </c>
      <c r="K1309" s="6">
        <v>518</v>
      </c>
      <c r="L1309" s="6">
        <v>280</v>
      </c>
      <c r="M1309" s="6">
        <v>27.42307692</v>
      </c>
      <c r="N1309">
        <f>VLOOKUP(A1309,vlookup_table!$A:$G,2,FALSE)</f>
        <v>0</v>
      </c>
      <c r="O1309" t="str">
        <f>VLOOKUP(A1309,vlookup_table!$A:$G,3,FALSE)</f>
        <v>MI</v>
      </c>
      <c r="P1309">
        <f>VLOOKUP(A1309,vlookup_table!$A:$G,4,FALSE)</f>
        <v>801</v>
      </c>
      <c r="Q1309" t="str">
        <f>VLOOKUP(A1309,vlookup_table!$A:$G,5,FALSE)</f>
        <v>U2</v>
      </c>
      <c r="R1309" t="str">
        <f>VLOOKUP(A1309,vlookup_table!$A:$G,6,FALSE)</f>
        <v>F</v>
      </c>
      <c r="S1309">
        <f>VLOOKUP(A1309,vlookup_table!$A:$G,7,FALSE)</f>
        <v>100</v>
      </c>
      <c r="T1309">
        <f t="shared" si="40"/>
        <v>16</v>
      </c>
      <c r="U1309" t="str">
        <f t="shared" si="41"/>
        <v>Urbano</v>
      </c>
    </row>
    <row r="1310" spans="1:21" ht="16" x14ac:dyDescent="0.4">
      <c r="A1310" s="6">
        <v>178540</v>
      </c>
      <c r="B1310" s="6" t="s">
        <v>37</v>
      </c>
      <c r="C1310" s="6" t="s">
        <v>17</v>
      </c>
      <c r="D1310" s="6">
        <v>922</v>
      </c>
      <c r="E1310" s="6">
        <v>232</v>
      </c>
      <c r="F1310" s="6">
        <v>361</v>
      </c>
      <c r="G1310" s="6">
        <v>3</v>
      </c>
      <c r="H1310" s="6">
        <v>13725</v>
      </c>
      <c r="I1310" s="6">
        <v>5</v>
      </c>
      <c r="J1310" s="6">
        <v>52</v>
      </c>
      <c r="K1310" s="6">
        <v>298</v>
      </c>
      <c r="L1310" s="6">
        <v>298</v>
      </c>
      <c r="M1310" s="6">
        <v>8.5</v>
      </c>
      <c r="N1310">
        <f>VLOOKUP(A1310,vlookup_table!$A:$G,2,FALSE)</f>
        <v>0</v>
      </c>
      <c r="O1310" t="str">
        <f>VLOOKUP(A1310,vlookup_table!$A:$G,3,FALSE)</f>
        <v>WA</v>
      </c>
      <c r="P1310">
        <f>VLOOKUP(A1310,vlookup_table!$A:$G,4,FALSE)</f>
        <v>1501</v>
      </c>
      <c r="Q1310" t="str">
        <f>VLOOKUP(A1310,vlookup_table!$A:$G,5,FALSE)</f>
        <v>T2</v>
      </c>
      <c r="R1310" t="str">
        <f>VLOOKUP(A1310,vlookup_table!$A:$G,6,FALSE)</f>
        <v>F</v>
      </c>
      <c r="S1310">
        <f>VLOOKUP(A1310,vlookup_table!$A:$G,7,FALSE)</f>
        <v>15</v>
      </c>
      <c r="T1310">
        <f t="shared" si="40"/>
        <v>81</v>
      </c>
      <c r="U1310" t="str">
        <f t="shared" si="41"/>
        <v>Pueblo</v>
      </c>
    </row>
    <row r="1311" spans="1:21" ht="16" x14ac:dyDescent="0.4">
      <c r="A1311" s="6">
        <v>35306</v>
      </c>
      <c r="B1311" s="6" t="s">
        <v>13</v>
      </c>
      <c r="C1311" s="6" t="s">
        <v>17</v>
      </c>
      <c r="D1311" s="6">
        <v>833</v>
      </c>
      <c r="E1311" s="6">
        <v>277</v>
      </c>
      <c r="F1311" s="6">
        <v>387</v>
      </c>
      <c r="G1311" s="6">
        <v>0</v>
      </c>
      <c r="H1311" s="6">
        <v>14317</v>
      </c>
      <c r="I1311" s="6">
        <v>8</v>
      </c>
      <c r="J1311" s="6">
        <v>21</v>
      </c>
      <c r="K1311" s="6">
        <v>350</v>
      </c>
      <c r="L1311" s="6">
        <v>329</v>
      </c>
      <c r="M1311" s="6">
        <v>12.25</v>
      </c>
      <c r="N1311">
        <f>VLOOKUP(A1311,vlookup_table!$A:$G,2,FALSE)</f>
        <v>0</v>
      </c>
      <c r="O1311" t="str">
        <f>VLOOKUP(A1311,vlookup_table!$A:$G,3,FALSE)</f>
        <v>FL</v>
      </c>
      <c r="P1311">
        <f>VLOOKUP(A1311,vlookup_table!$A:$G,4,FALSE)</f>
        <v>5610</v>
      </c>
      <c r="Q1311" t="str">
        <f>VLOOKUP(A1311,vlookup_table!$A:$G,5,FALSE)</f>
        <v>C2</v>
      </c>
      <c r="R1311" t="str">
        <f>VLOOKUP(A1311,vlookup_table!$A:$G,6,FALSE)</f>
        <v>F</v>
      </c>
      <c r="S1311">
        <f>VLOOKUP(A1311,vlookup_table!$A:$G,7,FALSE)</f>
        <v>25</v>
      </c>
      <c r="T1311">
        <f t="shared" si="40"/>
        <v>40</v>
      </c>
      <c r="U1311" t="str">
        <f t="shared" si="41"/>
        <v>Ciudad</v>
      </c>
    </row>
    <row r="1312" spans="1:21" ht="16" x14ac:dyDescent="0.4">
      <c r="A1312" s="6">
        <v>14984</v>
      </c>
      <c r="B1312" s="6" t="s">
        <v>52</v>
      </c>
      <c r="C1312" s="6" t="s">
        <v>14</v>
      </c>
      <c r="D1312" s="6">
        <v>1793</v>
      </c>
      <c r="E1312" s="6">
        <v>781</v>
      </c>
      <c r="F1312" s="6">
        <v>849</v>
      </c>
      <c r="G1312" s="6">
        <v>38</v>
      </c>
      <c r="H1312" s="6">
        <v>27481</v>
      </c>
      <c r="I1312" s="6">
        <v>1</v>
      </c>
      <c r="J1312" s="6">
        <v>66</v>
      </c>
      <c r="K1312" s="6">
        <v>796</v>
      </c>
      <c r="L1312" s="6">
        <v>832</v>
      </c>
      <c r="M1312" s="6">
        <v>14.28571429</v>
      </c>
      <c r="N1312">
        <f>VLOOKUP(A1312,vlookup_table!$A:$G,2,FALSE)</f>
        <v>1</v>
      </c>
      <c r="O1312" t="str">
        <f>VLOOKUP(A1312,vlookup_table!$A:$G,3,FALSE)</f>
        <v>MN</v>
      </c>
      <c r="P1312">
        <f>VLOOKUP(A1312,vlookup_table!$A:$G,4,FALSE)</f>
        <v>5401</v>
      </c>
      <c r="Q1312" t="str">
        <f>VLOOKUP(A1312,vlookup_table!$A:$G,5,FALSE)</f>
        <v/>
      </c>
      <c r="R1312" t="str">
        <f>VLOOKUP(A1312,vlookup_table!$A:$G,6,FALSE)</f>
        <v>M</v>
      </c>
      <c r="S1312">
        <f>VLOOKUP(A1312,vlookup_table!$A:$G,7,FALSE)</f>
        <v>15</v>
      </c>
      <c r="T1312">
        <f t="shared" si="40"/>
        <v>42</v>
      </c>
      <c r="U1312" t="str">
        <f t="shared" si="41"/>
        <v/>
      </c>
    </row>
    <row r="1313" spans="1:21" ht="16" x14ac:dyDescent="0.4">
      <c r="A1313" s="6">
        <v>53295</v>
      </c>
      <c r="B1313" s="6" t="s">
        <v>49</v>
      </c>
      <c r="C1313" s="6" t="s">
        <v>17</v>
      </c>
      <c r="D1313" s="6">
        <v>470</v>
      </c>
      <c r="E1313" s="6">
        <v>235</v>
      </c>
      <c r="F1313" s="6">
        <v>318</v>
      </c>
      <c r="G1313" s="6">
        <v>0</v>
      </c>
      <c r="H1313" s="6">
        <v>8963</v>
      </c>
      <c r="I1313" s="6">
        <v>0</v>
      </c>
      <c r="J1313" s="6">
        <v>80</v>
      </c>
      <c r="K1313" s="6">
        <v>292</v>
      </c>
      <c r="L1313" s="6">
        <v>275</v>
      </c>
      <c r="M1313" s="6">
        <v>12.5</v>
      </c>
      <c r="N1313">
        <f>VLOOKUP(A1313,vlookup_table!$A:$G,2,FALSE)</f>
        <v>0</v>
      </c>
      <c r="O1313" t="str">
        <f>VLOOKUP(A1313,vlookup_table!$A:$G,3,FALSE)</f>
        <v>TN</v>
      </c>
      <c r="P1313">
        <f>VLOOKUP(A1313,vlookup_table!$A:$G,4,FALSE)</f>
        <v>5401</v>
      </c>
      <c r="Q1313" t="str">
        <f>VLOOKUP(A1313,vlookup_table!$A:$G,5,FALSE)</f>
        <v>U3</v>
      </c>
      <c r="R1313" t="str">
        <f>VLOOKUP(A1313,vlookup_table!$A:$G,6,FALSE)</f>
        <v>F</v>
      </c>
      <c r="S1313">
        <f>VLOOKUP(A1313,vlookup_table!$A:$G,7,FALSE)</f>
        <v>15</v>
      </c>
      <c r="T1313">
        <f t="shared" si="40"/>
        <v>42</v>
      </c>
      <c r="U1313" t="str">
        <f t="shared" si="41"/>
        <v>Urbano</v>
      </c>
    </row>
    <row r="1314" spans="1:21" ht="16" x14ac:dyDescent="0.4">
      <c r="A1314" s="6">
        <v>115398</v>
      </c>
      <c r="B1314" s="6" t="s">
        <v>28</v>
      </c>
      <c r="C1314" s="6" t="s">
        <v>17</v>
      </c>
      <c r="D1314" s="6">
        <v>338</v>
      </c>
      <c r="E1314" s="6">
        <v>203</v>
      </c>
      <c r="F1314" s="6">
        <v>284</v>
      </c>
      <c r="G1314" s="6">
        <v>0</v>
      </c>
      <c r="H1314" s="6">
        <v>9618</v>
      </c>
      <c r="I1314" s="6">
        <v>0</v>
      </c>
      <c r="J1314" s="6">
        <v>76</v>
      </c>
      <c r="K1314" s="6">
        <v>254</v>
      </c>
      <c r="L1314" s="6">
        <v>242</v>
      </c>
      <c r="M1314" s="6">
        <v>5.076923077</v>
      </c>
      <c r="N1314">
        <f>VLOOKUP(A1314,vlookup_table!$A:$G,2,FALSE)</f>
        <v>0</v>
      </c>
      <c r="O1314" t="str">
        <f>VLOOKUP(A1314,vlookup_table!$A:$G,3,FALSE)</f>
        <v>OK</v>
      </c>
      <c r="P1314">
        <f>VLOOKUP(A1314,vlookup_table!$A:$G,4,FALSE)</f>
        <v>2901</v>
      </c>
      <c r="Q1314" t="str">
        <f>VLOOKUP(A1314,vlookup_table!$A:$G,5,FALSE)</f>
        <v>R2</v>
      </c>
      <c r="R1314" t="str">
        <f>VLOOKUP(A1314,vlookup_table!$A:$G,6,FALSE)</f>
        <v>F</v>
      </c>
      <c r="S1314">
        <f>VLOOKUP(A1314,vlookup_table!$A:$G,7,FALSE)</f>
        <v>5</v>
      </c>
      <c r="T1314">
        <f t="shared" si="40"/>
        <v>67</v>
      </c>
      <c r="U1314" t="str">
        <f t="shared" si="41"/>
        <v>Rural</v>
      </c>
    </row>
    <row r="1315" spans="1:21" ht="16" x14ac:dyDescent="0.4">
      <c r="A1315" s="6">
        <v>24610</v>
      </c>
      <c r="B1315" s="6" t="s">
        <v>43</v>
      </c>
      <c r="C1315" s="6" t="s">
        <v>14</v>
      </c>
      <c r="D1315" s="6">
        <v>420</v>
      </c>
      <c r="E1315" s="6">
        <v>225</v>
      </c>
      <c r="F1315" s="6">
        <v>285</v>
      </c>
      <c r="G1315" s="6">
        <v>0</v>
      </c>
      <c r="H1315" s="6">
        <v>9634</v>
      </c>
      <c r="I1315" s="6">
        <v>0</v>
      </c>
      <c r="J1315" s="6">
        <v>90</v>
      </c>
      <c r="K1315" s="6">
        <v>253</v>
      </c>
      <c r="L1315" s="6">
        <v>249</v>
      </c>
      <c r="M1315" s="6">
        <v>4.9000000000000004</v>
      </c>
      <c r="N1315">
        <f>VLOOKUP(A1315,vlookup_table!$A:$G,2,FALSE)</f>
        <v>0</v>
      </c>
      <c r="O1315" t="str">
        <f>VLOOKUP(A1315,vlookup_table!$A:$G,3,FALSE)</f>
        <v>SC</v>
      </c>
      <c r="P1315">
        <f>VLOOKUP(A1315,vlookup_table!$A:$G,4,FALSE)</f>
        <v>1701</v>
      </c>
      <c r="Q1315" t="str">
        <f>VLOOKUP(A1315,vlookup_table!$A:$G,5,FALSE)</f>
        <v>R3</v>
      </c>
      <c r="R1315" t="str">
        <f>VLOOKUP(A1315,vlookup_table!$A:$G,6,FALSE)</f>
        <v>M</v>
      </c>
      <c r="S1315">
        <f>VLOOKUP(A1315,vlookup_table!$A:$G,7,FALSE)</f>
        <v>4</v>
      </c>
      <c r="T1315">
        <f t="shared" si="40"/>
        <v>79</v>
      </c>
      <c r="U1315" t="str">
        <f t="shared" si="41"/>
        <v>Rural</v>
      </c>
    </row>
    <row r="1316" spans="1:21" ht="16" x14ac:dyDescent="0.4">
      <c r="A1316" s="6">
        <v>116993</v>
      </c>
      <c r="B1316" s="6" t="s">
        <v>20</v>
      </c>
      <c r="C1316" s="6" t="s">
        <v>14</v>
      </c>
      <c r="D1316" s="6">
        <v>1576</v>
      </c>
      <c r="E1316" s="6">
        <v>388</v>
      </c>
      <c r="F1316" s="6">
        <v>579</v>
      </c>
      <c r="G1316" s="6">
        <v>8</v>
      </c>
      <c r="H1316" s="6">
        <v>24013</v>
      </c>
      <c r="I1316" s="6">
        <v>0</v>
      </c>
      <c r="J1316" s="6">
        <v>71</v>
      </c>
      <c r="K1316" s="6">
        <v>418</v>
      </c>
      <c r="L1316" s="6">
        <v>528</v>
      </c>
      <c r="M1316" s="6">
        <v>12.85714286</v>
      </c>
      <c r="N1316">
        <f>VLOOKUP(A1316,vlookup_table!$A:$G,2,FALSE)</f>
        <v>1</v>
      </c>
      <c r="O1316" t="str">
        <f>VLOOKUP(A1316,vlookup_table!$A:$G,3,FALSE)</f>
        <v>TX</v>
      </c>
      <c r="P1316">
        <f>VLOOKUP(A1316,vlookup_table!$A:$G,4,FALSE)</f>
        <v>1</v>
      </c>
      <c r="Q1316" t="str">
        <f>VLOOKUP(A1316,vlookup_table!$A:$G,5,FALSE)</f>
        <v>U1</v>
      </c>
      <c r="R1316" t="str">
        <f>VLOOKUP(A1316,vlookup_table!$A:$G,6,FALSE)</f>
        <v>M</v>
      </c>
      <c r="S1316">
        <f>VLOOKUP(A1316,vlookup_table!$A:$G,7,FALSE)</f>
        <v>10</v>
      </c>
      <c r="T1316">
        <f t="shared" si="40"/>
        <v>95</v>
      </c>
      <c r="U1316" t="str">
        <f t="shared" si="41"/>
        <v>Urbano</v>
      </c>
    </row>
    <row r="1317" spans="1:21" ht="16" x14ac:dyDescent="0.4">
      <c r="A1317" s="6">
        <v>80800</v>
      </c>
      <c r="B1317" s="6" t="s">
        <v>32</v>
      </c>
      <c r="C1317" s="6" t="s">
        <v>17</v>
      </c>
      <c r="D1317" s="6">
        <v>677</v>
      </c>
      <c r="E1317" s="6">
        <v>282</v>
      </c>
      <c r="F1317" s="6">
        <v>370</v>
      </c>
      <c r="G1317" s="6">
        <v>0</v>
      </c>
      <c r="H1317" s="6">
        <v>11541</v>
      </c>
      <c r="I1317" s="6">
        <v>0</v>
      </c>
      <c r="J1317" s="6">
        <v>84</v>
      </c>
      <c r="K1317" s="6">
        <v>303</v>
      </c>
      <c r="L1317" s="6">
        <v>334</v>
      </c>
      <c r="M1317" s="6">
        <v>8.4285714289999998</v>
      </c>
      <c r="N1317">
        <f>VLOOKUP(A1317,vlookup_table!$A:$G,2,FALSE)</f>
        <v>2</v>
      </c>
      <c r="O1317" t="str">
        <f>VLOOKUP(A1317,vlookup_table!$A:$G,3,FALSE)</f>
        <v>WI</v>
      </c>
      <c r="P1317">
        <f>VLOOKUP(A1317,vlookup_table!$A:$G,4,FALSE)</f>
        <v>3001</v>
      </c>
      <c r="Q1317" t="str">
        <f>VLOOKUP(A1317,vlookup_table!$A:$G,5,FALSE)</f>
        <v>R2</v>
      </c>
      <c r="R1317" t="str">
        <f>VLOOKUP(A1317,vlookup_table!$A:$G,6,FALSE)</f>
        <v>F</v>
      </c>
      <c r="S1317">
        <f>VLOOKUP(A1317,vlookup_table!$A:$G,7,FALSE)</f>
        <v>8</v>
      </c>
      <c r="T1317">
        <f t="shared" si="40"/>
        <v>66</v>
      </c>
      <c r="U1317" t="str">
        <f t="shared" si="41"/>
        <v>Rural</v>
      </c>
    </row>
    <row r="1318" spans="1:21" ht="16" x14ac:dyDescent="0.4">
      <c r="A1318" s="6">
        <v>72757</v>
      </c>
      <c r="B1318" s="6" t="s">
        <v>26</v>
      </c>
      <c r="C1318" s="6" t="s">
        <v>17</v>
      </c>
      <c r="D1318" s="6">
        <v>559</v>
      </c>
      <c r="E1318" s="6">
        <v>344</v>
      </c>
      <c r="F1318" s="6">
        <v>403</v>
      </c>
      <c r="G1318" s="6">
        <v>0</v>
      </c>
      <c r="H1318" s="6">
        <v>13072</v>
      </c>
      <c r="I1318" s="6">
        <v>1</v>
      </c>
      <c r="J1318" s="6">
        <v>85</v>
      </c>
      <c r="K1318" s="6">
        <v>361</v>
      </c>
      <c r="L1318" s="6">
        <v>378</v>
      </c>
      <c r="M1318" s="6">
        <v>11</v>
      </c>
      <c r="N1318">
        <f>VLOOKUP(A1318,vlookup_table!$A:$G,2,FALSE)</f>
        <v>2</v>
      </c>
      <c r="O1318" t="str">
        <f>VLOOKUP(A1318,vlookup_table!$A:$G,3,FALSE)</f>
        <v>MI</v>
      </c>
      <c r="P1318">
        <f>VLOOKUP(A1318,vlookup_table!$A:$G,4,FALSE)</f>
        <v>1105</v>
      </c>
      <c r="Q1318" t="str">
        <f>VLOOKUP(A1318,vlookup_table!$A:$G,5,FALSE)</f>
        <v>R2</v>
      </c>
      <c r="R1318" t="str">
        <f>VLOOKUP(A1318,vlookup_table!$A:$G,6,FALSE)</f>
        <v>F</v>
      </c>
      <c r="S1318">
        <f>VLOOKUP(A1318,vlookup_table!$A:$G,7,FALSE)</f>
        <v>21</v>
      </c>
      <c r="T1318">
        <f t="shared" si="40"/>
        <v>85</v>
      </c>
      <c r="U1318" t="str">
        <f t="shared" si="41"/>
        <v>Rural</v>
      </c>
    </row>
    <row r="1319" spans="1:21" ht="16" x14ac:dyDescent="0.4">
      <c r="A1319" s="6">
        <v>38642</v>
      </c>
      <c r="B1319" s="6" t="s">
        <v>13</v>
      </c>
      <c r="C1319" s="6" t="s">
        <v>14</v>
      </c>
      <c r="D1319" s="6">
        <v>731</v>
      </c>
      <c r="E1319" s="6">
        <v>350</v>
      </c>
      <c r="F1319" s="6">
        <v>432</v>
      </c>
      <c r="G1319" s="6">
        <v>4</v>
      </c>
      <c r="H1319" s="6">
        <v>13977</v>
      </c>
      <c r="I1319" s="6">
        <v>24</v>
      </c>
      <c r="J1319" s="6">
        <v>33</v>
      </c>
      <c r="K1319" s="6">
        <v>385</v>
      </c>
      <c r="L1319" s="6">
        <v>401</v>
      </c>
      <c r="M1319" s="6">
        <v>15</v>
      </c>
      <c r="N1319">
        <f>VLOOKUP(A1319,vlookup_table!$A:$G,2,FALSE)</f>
        <v>0</v>
      </c>
      <c r="O1319" t="str">
        <f>VLOOKUP(A1319,vlookup_table!$A:$G,3,FALSE)</f>
        <v>FL</v>
      </c>
      <c r="P1319">
        <f>VLOOKUP(A1319,vlookup_table!$A:$G,4,FALSE)</f>
        <v>7401</v>
      </c>
      <c r="Q1319" t="str">
        <f>VLOOKUP(A1319,vlookup_table!$A:$G,5,FALSE)</f>
        <v>S2</v>
      </c>
      <c r="R1319" t="str">
        <f>VLOOKUP(A1319,vlookup_table!$A:$G,6,FALSE)</f>
        <v>M</v>
      </c>
      <c r="S1319">
        <f>VLOOKUP(A1319,vlookup_table!$A:$G,7,FALSE)</f>
        <v>10</v>
      </c>
      <c r="T1319">
        <f t="shared" si="40"/>
        <v>22</v>
      </c>
      <c r="U1319" t="str">
        <f t="shared" si="41"/>
        <v>Suburbano</v>
      </c>
    </row>
    <row r="1320" spans="1:21" ht="16" x14ac:dyDescent="0.4">
      <c r="A1320" s="6">
        <v>179293</v>
      </c>
      <c r="B1320" s="6" t="s">
        <v>37</v>
      </c>
      <c r="C1320" s="6" t="s">
        <v>14</v>
      </c>
      <c r="D1320" s="6">
        <v>1196</v>
      </c>
      <c r="E1320" s="6">
        <v>327</v>
      </c>
      <c r="F1320" s="6">
        <v>456</v>
      </c>
      <c r="G1320" s="6">
        <v>4</v>
      </c>
      <c r="H1320" s="6">
        <v>16530</v>
      </c>
      <c r="I1320" s="6">
        <v>3</v>
      </c>
      <c r="J1320" s="6">
        <v>49</v>
      </c>
      <c r="K1320" s="6">
        <v>406</v>
      </c>
      <c r="L1320" s="6">
        <v>382</v>
      </c>
      <c r="M1320" s="6">
        <v>10.46153846</v>
      </c>
      <c r="N1320">
        <f>VLOOKUP(A1320,vlookup_table!$A:$G,2,FALSE)</f>
        <v>2</v>
      </c>
      <c r="O1320" t="str">
        <f>VLOOKUP(A1320,vlookup_table!$A:$G,3,FALSE)</f>
        <v>WA</v>
      </c>
      <c r="P1320">
        <f>VLOOKUP(A1320,vlookup_table!$A:$G,4,FALSE)</f>
        <v>0</v>
      </c>
      <c r="Q1320" t="str">
        <f>VLOOKUP(A1320,vlookup_table!$A:$G,5,FALSE)</f>
        <v>S2</v>
      </c>
      <c r="R1320" t="str">
        <f>VLOOKUP(A1320,vlookup_table!$A:$G,6,FALSE)</f>
        <v>M</v>
      </c>
      <c r="S1320">
        <f>VLOOKUP(A1320,vlookup_table!$A:$G,7,FALSE)</f>
        <v>10</v>
      </c>
      <c r="T1320">
        <f t="shared" si="40"/>
        <v>96</v>
      </c>
      <c r="U1320" t="str">
        <f t="shared" si="41"/>
        <v>Suburbano</v>
      </c>
    </row>
    <row r="1321" spans="1:21" ht="16" x14ac:dyDescent="0.4">
      <c r="A1321" s="6">
        <v>79427</v>
      </c>
      <c r="B1321" s="6" t="s">
        <v>32</v>
      </c>
      <c r="C1321" s="6" t="s">
        <v>17</v>
      </c>
      <c r="D1321" s="6">
        <v>718</v>
      </c>
      <c r="E1321" s="6">
        <v>410</v>
      </c>
      <c r="F1321" s="6">
        <v>462</v>
      </c>
      <c r="G1321" s="6">
        <v>0</v>
      </c>
      <c r="H1321" s="6">
        <v>14721</v>
      </c>
      <c r="I1321" s="6">
        <v>1</v>
      </c>
      <c r="J1321" s="6">
        <v>80</v>
      </c>
      <c r="K1321" s="6">
        <v>443</v>
      </c>
      <c r="L1321" s="6">
        <v>425</v>
      </c>
      <c r="M1321" s="6">
        <v>8.5789473679999997</v>
      </c>
      <c r="N1321">
        <f>VLOOKUP(A1321,vlookup_table!$A:$G,2,FALSE)</f>
        <v>2</v>
      </c>
      <c r="O1321" t="str">
        <f>VLOOKUP(A1321,vlookup_table!$A:$G,3,FALSE)</f>
        <v>WI</v>
      </c>
      <c r="P1321">
        <f>VLOOKUP(A1321,vlookup_table!$A:$G,4,FALSE)</f>
        <v>3508</v>
      </c>
      <c r="Q1321" t="str">
        <f>VLOOKUP(A1321,vlookup_table!$A:$G,5,FALSE)</f>
        <v>T2</v>
      </c>
      <c r="R1321" t="str">
        <f>VLOOKUP(A1321,vlookup_table!$A:$G,6,FALSE)</f>
        <v>F</v>
      </c>
      <c r="S1321">
        <f>VLOOKUP(A1321,vlookup_table!$A:$G,7,FALSE)</f>
        <v>10</v>
      </c>
      <c r="T1321">
        <f t="shared" si="40"/>
        <v>61</v>
      </c>
      <c r="U1321" t="str">
        <f t="shared" si="41"/>
        <v>Pueblo</v>
      </c>
    </row>
    <row r="1322" spans="1:21" ht="16" x14ac:dyDescent="0.4">
      <c r="A1322" s="6">
        <v>99813</v>
      </c>
      <c r="B1322" s="6" t="s">
        <v>33</v>
      </c>
      <c r="C1322" s="6" t="s">
        <v>14</v>
      </c>
      <c r="D1322" s="6">
        <v>460</v>
      </c>
      <c r="E1322" s="6">
        <v>223</v>
      </c>
      <c r="F1322" s="6">
        <v>297</v>
      </c>
      <c r="G1322" s="6">
        <v>0</v>
      </c>
      <c r="H1322" s="6">
        <v>9579</v>
      </c>
      <c r="I1322" s="6">
        <v>0</v>
      </c>
      <c r="J1322" s="6">
        <v>72</v>
      </c>
      <c r="K1322" s="6">
        <v>265</v>
      </c>
      <c r="L1322" s="6">
        <v>257</v>
      </c>
      <c r="M1322" s="6">
        <v>11</v>
      </c>
      <c r="N1322">
        <f>VLOOKUP(A1322,vlookup_table!$A:$G,2,FALSE)</f>
        <v>1</v>
      </c>
      <c r="O1322" t="str">
        <f>VLOOKUP(A1322,vlookup_table!$A:$G,3,FALSE)</f>
        <v>MO</v>
      </c>
      <c r="P1322">
        <f>VLOOKUP(A1322,vlookup_table!$A:$G,4,FALSE)</f>
        <v>4701</v>
      </c>
      <c r="Q1322" t="str">
        <f>VLOOKUP(A1322,vlookup_table!$A:$G,5,FALSE)</f>
        <v>R3</v>
      </c>
      <c r="R1322" t="str">
        <f>VLOOKUP(A1322,vlookup_table!$A:$G,6,FALSE)</f>
        <v>M</v>
      </c>
      <c r="S1322">
        <f>VLOOKUP(A1322,vlookup_table!$A:$G,7,FALSE)</f>
        <v>20</v>
      </c>
      <c r="T1322">
        <f t="shared" si="40"/>
        <v>49</v>
      </c>
      <c r="U1322" t="str">
        <f t="shared" si="41"/>
        <v>Rural</v>
      </c>
    </row>
    <row r="1323" spans="1:21" ht="16" x14ac:dyDescent="0.4">
      <c r="A1323" s="6">
        <v>368</v>
      </c>
      <c r="B1323" s="6" t="s">
        <v>21</v>
      </c>
      <c r="C1323" s="6" t="s">
        <v>14</v>
      </c>
      <c r="D1323" s="6">
        <v>2257</v>
      </c>
      <c r="E1323" s="6">
        <v>485</v>
      </c>
      <c r="F1323" s="6">
        <v>523</v>
      </c>
      <c r="G1323" s="6">
        <v>78</v>
      </c>
      <c r="H1323" s="6">
        <v>17885</v>
      </c>
      <c r="I1323" s="6">
        <v>8</v>
      </c>
      <c r="J1323" s="6">
        <v>50</v>
      </c>
      <c r="K1323" s="6">
        <v>541</v>
      </c>
      <c r="L1323" s="6">
        <v>488</v>
      </c>
      <c r="M1323" s="6">
        <v>6.5</v>
      </c>
      <c r="N1323">
        <f>VLOOKUP(A1323,vlookup_table!$A:$G,2,FALSE)</f>
        <v>1</v>
      </c>
      <c r="O1323" t="str">
        <f>VLOOKUP(A1323,vlookup_table!$A:$G,3,FALSE)</f>
        <v>CA</v>
      </c>
      <c r="P1323">
        <f>VLOOKUP(A1323,vlookup_table!$A:$G,4,FALSE)</f>
        <v>2205</v>
      </c>
      <c r="Q1323" t="str">
        <f>VLOOKUP(A1323,vlookup_table!$A:$G,5,FALSE)</f>
        <v>U1</v>
      </c>
      <c r="R1323" t="str">
        <f>VLOOKUP(A1323,vlookup_table!$A:$G,6,FALSE)</f>
        <v>M</v>
      </c>
      <c r="S1323">
        <f>VLOOKUP(A1323,vlookup_table!$A:$G,7,FALSE)</f>
        <v>10</v>
      </c>
      <c r="T1323">
        <f t="shared" si="40"/>
        <v>74</v>
      </c>
      <c r="U1323" t="str">
        <f t="shared" si="41"/>
        <v>Urbano</v>
      </c>
    </row>
    <row r="1324" spans="1:21" ht="16" x14ac:dyDescent="0.4">
      <c r="A1324" s="6">
        <v>129200</v>
      </c>
      <c r="B1324" s="6" t="s">
        <v>45</v>
      </c>
      <c r="C1324" s="6" t="s">
        <v>17</v>
      </c>
      <c r="D1324" s="6">
        <v>726</v>
      </c>
      <c r="E1324" s="6">
        <v>370</v>
      </c>
      <c r="F1324" s="6">
        <v>406</v>
      </c>
      <c r="G1324" s="6">
        <v>0</v>
      </c>
      <c r="H1324" s="6">
        <v>13631</v>
      </c>
      <c r="I1324" s="6">
        <v>3</v>
      </c>
      <c r="J1324" s="6">
        <v>37</v>
      </c>
      <c r="K1324" s="6">
        <v>426</v>
      </c>
      <c r="L1324" s="6">
        <v>388</v>
      </c>
      <c r="M1324" s="6">
        <v>9.1999999999999993</v>
      </c>
      <c r="N1324">
        <f>VLOOKUP(A1324,vlookup_table!$A:$G,2,FALSE)</f>
        <v>2</v>
      </c>
      <c r="O1324" t="str">
        <f>VLOOKUP(A1324,vlookup_table!$A:$G,3,FALSE)</f>
        <v>CO</v>
      </c>
      <c r="P1324">
        <f>VLOOKUP(A1324,vlookup_table!$A:$G,4,FALSE)</f>
        <v>4801</v>
      </c>
      <c r="Q1324" t="str">
        <f>VLOOKUP(A1324,vlookup_table!$A:$G,5,FALSE)</f>
        <v>S2</v>
      </c>
      <c r="R1324" t="str">
        <f>VLOOKUP(A1324,vlookup_table!$A:$G,6,FALSE)</f>
        <v>F</v>
      </c>
      <c r="S1324">
        <f>VLOOKUP(A1324,vlookup_table!$A:$G,7,FALSE)</f>
        <v>14</v>
      </c>
      <c r="T1324">
        <f t="shared" si="40"/>
        <v>48</v>
      </c>
      <c r="U1324" t="str">
        <f t="shared" si="41"/>
        <v>Suburbano</v>
      </c>
    </row>
    <row r="1325" spans="1:21" ht="16" x14ac:dyDescent="0.4">
      <c r="A1325" s="6">
        <v>171215</v>
      </c>
      <c r="B1325" s="6" t="s">
        <v>21</v>
      </c>
      <c r="C1325" s="6" t="s">
        <v>14</v>
      </c>
      <c r="D1325" s="6">
        <v>1327</v>
      </c>
      <c r="E1325" s="6">
        <v>397</v>
      </c>
      <c r="F1325" s="6">
        <v>442</v>
      </c>
      <c r="G1325" s="6">
        <v>8</v>
      </c>
      <c r="H1325" s="6">
        <v>15850</v>
      </c>
      <c r="I1325" s="6">
        <v>6</v>
      </c>
      <c r="J1325" s="6">
        <v>54</v>
      </c>
      <c r="K1325" s="6">
        <v>409</v>
      </c>
      <c r="L1325" s="6">
        <v>435</v>
      </c>
      <c r="M1325" s="6">
        <v>11.33333333</v>
      </c>
      <c r="N1325">
        <f>VLOOKUP(A1325,vlookup_table!$A:$G,2,FALSE)</f>
        <v>1</v>
      </c>
      <c r="O1325" t="str">
        <f>VLOOKUP(A1325,vlookup_table!$A:$G,3,FALSE)</f>
        <v>CA</v>
      </c>
      <c r="P1325">
        <f>VLOOKUP(A1325,vlookup_table!$A:$G,4,FALSE)</f>
        <v>4701</v>
      </c>
      <c r="Q1325" t="str">
        <f>VLOOKUP(A1325,vlookup_table!$A:$G,5,FALSE)</f>
        <v>S1</v>
      </c>
      <c r="R1325" t="str">
        <f>VLOOKUP(A1325,vlookup_table!$A:$G,6,FALSE)</f>
        <v>M</v>
      </c>
      <c r="S1325">
        <f>VLOOKUP(A1325,vlookup_table!$A:$G,7,FALSE)</f>
        <v>17</v>
      </c>
      <c r="T1325">
        <f t="shared" si="40"/>
        <v>49</v>
      </c>
      <c r="U1325" t="str">
        <f t="shared" si="41"/>
        <v>Suburbano</v>
      </c>
    </row>
    <row r="1326" spans="1:21" ht="16" x14ac:dyDescent="0.4">
      <c r="A1326" s="6">
        <v>41222</v>
      </c>
      <c r="B1326" s="6" t="s">
        <v>13</v>
      </c>
      <c r="C1326" s="6" t="s">
        <v>14</v>
      </c>
      <c r="D1326" s="6">
        <v>956</v>
      </c>
      <c r="E1326" s="6">
        <v>348</v>
      </c>
      <c r="F1326" s="6">
        <v>417</v>
      </c>
      <c r="G1326" s="6">
        <v>3</v>
      </c>
      <c r="H1326" s="6">
        <v>13177</v>
      </c>
      <c r="I1326" s="6">
        <v>2</v>
      </c>
      <c r="J1326" s="6">
        <v>33</v>
      </c>
      <c r="K1326" s="6">
        <v>344</v>
      </c>
      <c r="L1326" s="6">
        <v>412</v>
      </c>
      <c r="M1326" s="6">
        <v>11.44444444</v>
      </c>
      <c r="N1326">
        <f>VLOOKUP(A1326,vlookup_table!$A:$G,2,FALSE)</f>
        <v>1</v>
      </c>
      <c r="O1326" t="str">
        <f>VLOOKUP(A1326,vlookup_table!$A:$G,3,FALSE)</f>
        <v>FL</v>
      </c>
      <c r="P1326">
        <f>VLOOKUP(A1326,vlookup_table!$A:$G,4,FALSE)</f>
        <v>6509</v>
      </c>
      <c r="Q1326" t="str">
        <f>VLOOKUP(A1326,vlookup_table!$A:$G,5,FALSE)</f>
        <v>S3</v>
      </c>
      <c r="R1326" t="str">
        <f>VLOOKUP(A1326,vlookup_table!$A:$G,6,FALSE)</f>
        <v>M</v>
      </c>
      <c r="S1326">
        <f>VLOOKUP(A1326,vlookup_table!$A:$G,7,FALSE)</f>
        <v>20</v>
      </c>
      <c r="T1326">
        <f t="shared" si="40"/>
        <v>31</v>
      </c>
      <c r="U1326" t="str">
        <f t="shared" si="41"/>
        <v>Suburbano</v>
      </c>
    </row>
    <row r="1327" spans="1:21" ht="16" x14ac:dyDescent="0.4">
      <c r="A1327" s="6">
        <v>44410</v>
      </c>
      <c r="B1327" s="6" t="s">
        <v>13</v>
      </c>
      <c r="C1327" s="6" t="s">
        <v>14</v>
      </c>
      <c r="D1327" s="6">
        <v>565</v>
      </c>
      <c r="E1327" s="6">
        <v>154</v>
      </c>
      <c r="F1327" s="6">
        <v>193</v>
      </c>
      <c r="G1327" s="6">
        <v>0</v>
      </c>
      <c r="H1327" s="6">
        <v>6724</v>
      </c>
      <c r="I1327" s="6">
        <v>3</v>
      </c>
      <c r="J1327" s="6">
        <v>31</v>
      </c>
      <c r="K1327" s="6">
        <v>163</v>
      </c>
      <c r="L1327" s="6">
        <v>180</v>
      </c>
      <c r="M1327" s="6">
        <v>6.9090909089999997</v>
      </c>
      <c r="N1327">
        <f>VLOOKUP(A1327,vlookup_table!$A:$G,2,FALSE)</f>
        <v>1</v>
      </c>
      <c r="O1327" t="str">
        <f>VLOOKUP(A1327,vlookup_table!$A:$G,3,FALSE)</f>
        <v>FL</v>
      </c>
      <c r="P1327">
        <f>VLOOKUP(A1327,vlookup_table!$A:$G,4,FALSE)</f>
        <v>2506</v>
      </c>
      <c r="Q1327" t="str">
        <f>VLOOKUP(A1327,vlookup_table!$A:$G,5,FALSE)</f>
        <v>T2</v>
      </c>
      <c r="R1327" t="str">
        <f>VLOOKUP(A1327,vlookup_table!$A:$G,6,FALSE)</f>
        <v>M</v>
      </c>
      <c r="S1327">
        <f>VLOOKUP(A1327,vlookup_table!$A:$G,7,FALSE)</f>
        <v>8</v>
      </c>
      <c r="T1327">
        <f t="shared" si="40"/>
        <v>71</v>
      </c>
      <c r="U1327" t="str">
        <f t="shared" si="41"/>
        <v>Pueblo</v>
      </c>
    </row>
    <row r="1328" spans="1:21" ht="16" x14ac:dyDescent="0.4">
      <c r="A1328" s="6">
        <v>175057</v>
      </c>
      <c r="B1328" s="6" t="s">
        <v>47</v>
      </c>
      <c r="C1328" s="6" t="s">
        <v>14</v>
      </c>
      <c r="D1328" s="6">
        <v>987</v>
      </c>
      <c r="E1328" s="6">
        <v>361</v>
      </c>
      <c r="F1328" s="6">
        <v>485</v>
      </c>
      <c r="G1328" s="6">
        <v>1</v>
      </c>
      <c r="H1328" s="6">
        <v>18610</v>
      </c>
      <c r="I1328" s="6">
        <v>3</v>
      </c>
      <c r="J1328" s="6">
        <v>45</v>
      </c>
      <c r="K1328" s="6">
        <v>440</v>
      </c>
      <c r="L1328" s="6">
        <v>400</v>
      </c>
      <c r="M1328" s="6">
        <v>12.11111111</v>
      </c>
      <c r="N1328">
        <f>VLOOKUP(A1328,vlookup_table!$A:$G,2,FALSE)</f>
        <v>1002</v>
      </c>
      <c r="O1328" t="str">
        <f>VLOOKUP(A1328,vlookup_table!$A:$G,3,FALSE)</f>
        <v>OR</v>
      </c>
      <c r="P1328">
        <f>VLOOKUP(A1328,vlookup_table!$A:$G,4,FALSE)</f>
        <v>5109</v>
      </c>
      <c r="Q1328" t="str">
        <f>VLOOKUP(A1328,vlookup_table!$A:$G,5,FALSE)</f>
        <v>T2</v>
      </c>
      <c r="R1328" t="str">
        <f>VLOOKUP(A1328,vlookup_table!$A:$G,6,FALSE)</f>
        <v>M</v>
      </c>
      <c r="S1328">
        <f>VLOOKUP(A1328,vlookup_table!$A:$G,7,FALSE)</f>
        <v>19</v>
      </c>
      <c r="T1328">
        <f t="shared" si="40"/>
        <v>45</v>
      </c>
      <c r="U1328" t="str">
        <f t="shared" si="41"/>
        <v>Pueblo</v>
      </c>
    </row>
    <row r="1329" spans="1:21" ht="16" x14ac:dyDescent="0.4">
      <c r="A1329" s="6">
        <v>83959</v>
      </c>
      <c r="B1329" s="6" t="s">
        <v>52</v>
      </c>
      <c r="C1329" s="6" t="s">
        <v>17</v>
      </c>
      <c r="D1329" s="6">
        <v>1138</v>
      </c>
      <c r="E1329" s="6">
        <v>545</v>
      </c>
      <c r="F1329" s="6">
        <v>672</v>
      </c>
      <c r="G1329" s="6">
        <v>1</v>
      </c>
      <c r="H1329" s="6">
        <v>23589</v>
      </c>
      <c r="I1329" s="6">
        <v>3</v>
      </c>
      <c r="J1329" s="6">
        <v>71</v>
      </c>
      <c r="K1329" s="6">
        <v>613</v>
      </c>
      <c r="L1329" s="6">
        <v>602</v>
      </c>
      <c r="M1329" s="6">
        <v>9.68</v>
      </c>
      <c r="N1329">
        <f>VLOOKUP(A1329,vlookup_table!$A:$G,2,FALSE)</f>
        <v>2</v>
      </c>
      <c r="O1329" t="str">
        <f>VLOOKUP(A1329,vlookup_table!$A:$G,3,FALSE)</f>
        <v>MN</v>
      </c>
      <c r="P1329">
        <f>VLOOKUP(A1329,vlookup_table!$A:$G,4,FALSE)</f>
        <v>3805</v>
      </c>
      <c r="Q1329" t="str">
        <f>VLOOKUP(A1329,vlookup_table!$A:$G,5,FALSE)</f>
        <v>S1</v>
      </c>
      <c r="R1329" t="str">
        <f>VLOOKUP(A1329,vlookup_table!$A:$G,6,FALSE)</f>
        <v>F</v>
      </c>
      <c r="S1329">
        <f>VLOOKUP(A1329,vlookup_table!$A:$G,7,FALSE)</f>
        <v>16</v>
      </c>
      <c r="T1329">
        <f t="shared" si="40"/>
        <v>58</v>
      </c>
      <c r="U1329" t="str">
        <f t="shared" si="41"/>
        <v>Suburbano</v>
      </c>
    </row>
    <row r="1330" spans="1:21" ht="16" x14ac:dyDescent="0.4">
      <c r="A1330" s="6">
        <v>35877</v>
      </c>
      <c r="B1330" s="6" t="s">
        <v>13</v>
      </c>
      <c r="C1330" s="6" t="s">
        <v>17</v>
      </c>
      <c r="D1330" s="6">
        <v>535</v>
      </c>
      <c r="E1330" s="6">
        <v>226</v>
      </c>
      <c r="F1330" s="6">
        <v>265</v>
      </c>
      <c r="G1330" s="6">
        <v>1</v>
      </c>
      <c r="H1330" s="6">
        <v>9934</v>
      </c>
      <c r="I1330" s="6">
        <v>3</v>
      </c>
      <c r="J1330" s="6">
        <v>32</v>
      </c>
      <c r="K1330" s="6">
        <v>236</v>
      </c>
      <c r="L1330" s="6">
        <v>250</v>
      </c>
      <c r="M1330" s="6">
        <v>4.2857142860000002</v>
      </c>
      <c r="N1330">
        <f>VLOOKUP(A1330,vlookup_table!$A:$G,2,FALSE)</f>
        <v>28</v>
      </c>
      <c r="O1330" t="str">
        <f>VLOOKUP(A1330,vlookup_table!$A:$G,3,FALSE)</f>
        <v>FL</v>
      </c>
      <c r="P1330">
        <f>VLOOKUP(A1330,vlookup_table!$A:$G,4,FALSE)</f>
        <v>2401</v>
      </c>
      <c r="Q1330" t="str">
        <f>VLOOKUP(A1330,vlookup_table!$A:$G,5,FALSE)</f>
        <v>S3</v>
      </c>
      <c r="R1330" t="str">
        <f>VLOOKUP(A1330,vlookup_table!$A:$G,6,FALSE)</f>
        <v>F</v>
      </c>
      <c r="S1330">
        <f>VLOOKUP(A1330,vlookup_table!$A:$G,7,FALSE)</f>
        <v>5</v>
      </c>
      <c r="T1330">
        <f t="shared" si="40"/>
        <v>72</v>
      </c>
      <c r="U1330" t="str">
        <f t="shared" si="41"/>
        <v>Suburbano</v>
      </c>
    </row>
    <row r="1331" spans="1:21" ht="16" x14ac:dyDescent="0.4">
      <c r="A1331" s="6">
        <v>96763</v>
      </c>
      <c r="B1331" s="6" t="s">
        <v>16</v>
      </c>
      <c r="C1331" s="6" t="s">
        <v>17</v>
      </c>
      <c r="D1331" s="6">
        <v>427</v>
      </c>
      <c r="E1331" s="6">
        <v>71</v>
      </c>
      <c r="F1331" s="6">
        <v>253</v>
      </c>
      <c r="G1331" s="6">
        <v>0</v>
      </c>
      <c r="H1331" s="6">
        <v>6671</v>
      </c>
      <c r="I1331" s="6">
        <v>1</v>
      </c>
      <c r="J1331" s="6">
        <v>72</v>
      </c>
      <c r="K1331" s="6">
        <v>141</v>
      </c>
      <c r="L1331" s="6">
        <v>121</v>
      </c>
      <c r="M1331" s="6">
        <v>10.75</v>
      </c>
      <c r="N1331">
        <f>VLOOKUP(A1331,vlookup_table!$A:$G,2,FALSE)</f>
        <v>2</v>
      </c>
      <c r="O1331" t="str">
        <f>VLOOKUP(A1331,vlookup_table!$A:$G,3,FALSE)</f>
        <v>IL</v>
      </c>
      <c r="P1331">
        <f>VLOOKUP(A1331,vlookup_table!$A:$G,4,FALSE)</f>
        <v>1805</v>
      </c>
      <c r="Q1331" t="str">
        <f>VLOOKUP(A1331,vlookup_table!$A:$G,5,FALSE)</f>
        <v>C2</v>
      </c>
      <c r="R1331" t="str">
        <f>VLOOKUP(A1331,vlookup_table!$A:$G,6,FALSE)</f>
        <v>F</v>
      </c>
      <c r="S1331">
        <f>VLOOKUP(A1331,vlookup_table!$A:$G,7,FALSE)</f>
        <v>20</v>
      </c>
      <c r="T1331">
        <f t="shared" si="40"/>
        <v>78</v>
      </c>
      <c r="U1331" t="str">
        <f t="shared" si="41"/>
        <v>Ciudad</v>
      </c>
    </row>
    <row r="1332" spans="1:21" ht="16" x14ac:dyDescent="0.4">
      <c r="A1332" s="6">
        <v>144691</v>
      </c>
      <c r="B1332" s="6" t="s">
        <v>21</v>
      </c>
      <c r="C1332" s="6" t="s">
        <v>14</v>
      </c>
      <c r="D1332" s="6">
        <v>5806</v>
      </c>
      <c r="E1332" s="6">
        <v>778</v>
      </c>
      <c r="F1332" s="6">
        <v>896</v>
      </c>
      <c r="G1332" s="6">
        <v>99</v>
      </c>
      <c r="H1332" s="6">
        <v>50987</v>
      </c>
      <c r="I1332" s="6">
        <v>10</v>
      </c>
      <c r="J1332" s="6">
        <v>46</v>
      </c>
      <c r="K1332" s="6">
        <v>871</v>
      </c>
      <c r="L1332" s="6">
        <v>830</v>
      </c>
      <c r="M1332" s="6">
        <v>20</v>
      </c>
      <c r="N1332">
        <f>VLOOKUP(A1332,vlookup_table!$A:$G,2,FALSE)</f>
        <v>1</v>
      </c>
      <c r="O1332" t="str">
        <f>VLOOKUP(A1332,vlookup_table!$A:$G,3,FALSE)</f>
        <v>CA</v>
      </c>
      <c r="P1332">
        <f>VLOOKUP(A1332,vlookup_table!$A:$G,4,FALSE)</f>
        <v>4701</v>
      </c>
      <c r="Q1332" t="str">
        <f>VLOOKUP(A1332,vlookup_table!$A:$G,5,FALSE)</f>
        <v>T1</v>
      </c>
      <c r="R1332" t="str">
        <f>VLOOKUP(A1332,vlookup_table!$A:$G,6,FALSE)</f>
        <v>M</v>
      </c>
      <c r="S1332">
        <f>VLOOKUP(A1332,vlookup_table!$A:$G,7,FALSE)</f>
        <v>20</v>
      </c>
      <c r="T1332">
        <f t="shared" si="40"/>
        <v>49</v>
      </c>
      <c r="U1332" t="str">
        <f t="shared" si="41"/>
        <v>Pueblo</v>
      </c>
    </row>
    <row r="1333" spans="1:21" ht="16" x14ac:dyDescent="0.4">
      <c r="A1333" s="6">
        <v>180805</v>
      </c>
      <c r="B1333" s="6" t="s">
        <v>37</v>
      </c>
      <c r="C1333" s="6" t="s">
        <v>17</v>
      </c>
      <c r="D1333" s="6">
        <v>1413</v>
      </c>
      <c r="E1333" s="6">
        <v>306</v>
      </c>
      <c r="F1333" s="6">
        <v>435</v>
      </c>
      <c r="G1333" s="6">
        <v>22</v>
      </c>
      <c r="H1333" s="6">
        <v>18792</v>
      </c>
      <c r="I1333" s="6">
        <v>13</v>
      </c>
      <c r="J1333" s="6">
        <v>46</v>
      </c>
      <c r="K1333" s="6">
        <v>329</v>
      </c>
      <c r="L1333" s="6">
        <v>397</v>
      </c>
      <c r="M1333" s="6">
        <v>6.6666666670000003</v>
      </c>
      <c r="N1333">
        <f>VLOOKUP(A1333,vlookup_table!$A:$G,2,FALSE)</f>
        <v>2</v>
      </c>
      <c r="O1333" t="str">
        <f>VLOOKUP(A1333,vlookup_table!$A:$G,3,FALSE)</f>
        <v>WA</v>
      </c>
      <c r="P1333">
        <f>VLOOKUP(A1333,vlookup_table!$A:$G,4,FALSE)</f>
        <v>2401</v>
      </c>
      <c r="Q1333" t="str">
        <f>VLOOKUP(A1333,vlookup_table!$A:$G,5,FALSE)</f>
        <v>R2</v>
      </c>
      <c r="R1333" t="str">
        <f>VLOOKUP(A1333,vlookup_table!$A:$G,6,FALSE)</f>
        <v>F</v>
      </c>
      <c r="S1333">
        <f>VLOOKUP(A1333,vlookup_table!$A:$G,7,FALSE)</f>
        <v>20</v>
      </c>
      <c r="T1333">
        <f t="shared" si="40"/>
        <v>72</v>
      </c>
      <c r="U1333" t="str">
        <f t="shared" si="41"/>
        <v>Rural</v>
      </c>
    </row>
    <row r="1334" spans="1:21" ht="16" x14ac:dyDescent="0.4">
      <c r="A1334" s="6">
        <v>180050</v>
      </c>
      <c r="B1334" s="6" t="s">
        <v>37</v>
      </c>
      <c r="C1334" s="6" t="s">
        <v>17</v>
      </c>
      <c r="D1334" s="6">
        <v>1180</v>
      </c>
      <c r="E1334" s="6">
        <v>333</v>
      </c>
      <c r="F1334" s="6">
        <v>464</v>
      </c>
      <c r="G1334" s="6">
        <v>4</v>
      </c>
      <c r="H1334" s="6">
        <v>20815</v>
      </c>
      <c r="I1334" s="6">
        <v>8</v>
      </c>
      <c r="J1334" s="6">
        <v>54</v>
      </c>
      <c r="K1334" s="6">
        <v>385</v>
      </c>
      <c r="L1334" s="6">
        <v>414</v>
      </c>
      <c r="M1334" s="6">
        <v>12.9</v>
      </c>
      <c r="N1334">
        <f>VLOOKUP(A1334,vlookup_table!$A:$G,2,FALSE)</f>
        <v>0</v>
      </c>
      <c r="O1334" t="str">
        <f>VLOOKUP(A1334,vlookup_table!$A:$G,3,FALSE)</f>
        <v>WA</v>
      </c>
      <c r="P1334">
        <f>VLOOKUP(A1334,vlookup_table!$A:$G,4,FALSE)</f>
        <v>0</v>
      </c>
      <c r="Q1334" t="str">
        <f>VLOOKUP(A1334,vlookup_table!$A:$G,5,FALSE)</f>
        <v>S2</v>
      </c>
      <c r="R1334" t="str">
        <f>VLOOKUP(A1334,vlookup_table!$A:$G,6,FALSE)</f>
        <v>F</v>
      </c>
      <c r="S1334">
        <f>VLOOKUP(A1334,vlookup_table!$A:$G,7,FALSE)</f>
        <v>25</v>
      </c>
      <c r="T1334">
        <f t="shared" si="40"/>
        <v>96</v>
      </c>
      <c r="U1334" t="str">
        <f t="shared" si="41"/>
        <v>Suburbano</v>
      </c>
    </row>
    <row r="1335" spans="1:21" ht="16" x14ac:dyDescent="0.4">
      <c r="A1335" s="6">
        <v>111592</v>
      </c>
      <c r="B1335" s="6" t="s">
        <v>29</v>
      </c>
      <c r="C1335" s="6" t="s">
        <v>14</v>
      </c>
      <c r="D1335" s="6">
        <v>318</v>
      </c>
      <c r="E1335" s="6">
        <v>53</v>
      </c>
      <c r="F1335" s="6">
        <v>152</v>
      </c>
      <c r="G1335" s="6">
        <v>0</v>
      </c>
      <c r="H1335" s="6">
        <v>3748</v>
      </c>
      <c r="I1335" s="6">
        <v>9</v>
      </c>
      <c r="J1335" s="6">
        <v>83</v>
      </c>
      <c r="K1335" s="6">
        <v>105</v>
      </c>
      <c r="L1335" s="6">
        <v>113</v>
      </c>
      <c r="M1335" s="6">
        <v>17.454545459999999</v>
      </c>
      <c r="N1335">
        <f>VLOOKUP(A1335,vlookup_table!$A:$G,2,FALSE)</f>
        <v>1</v>
      </c>
      <c r="O1335" t="str">
        <f>VLOOKUP(A1335,vlookup_table!$A:$G,3,FALSE)</f>
        <v>AR</v>
      </c>
      <c r="P1335">
        <f>VLOOKUP(A1335,vlookup_table!$A:$G,4,FALSE)</f>
        <v>2109</v>
      </c>
      <c r="Q1335" t="str">
        <f>VLOOKUP(A1335,vlookup_table!$A:$G,5,FALSE)</f>
        <v>C3</v>
      </c>
      <c r="R1335" t="str">
        <f>VLOOKUP(A1335,vlookup_table!$A:$G,6,FALSE)</f>
        <v>M</v>
      </c>
      <c r="S1335">
        <f>VLOOKUP(A1335,vlookup_table!$A:$G,7,FALSE)</f>
        <v>16</v>
      </c>
      <c r="T1335">
        <f t="shared" si="40"/>
        <v>75</v>
      </c>
      <c r="U1335" t="str">
        <f t="shared" si="41"/>
        <v>Ciudad</v>
      </c>
    </row>
    <row r="1336" spans="1:21" ht="16" x14ac:dyDescent="0.4">
      <c r="A1336" s="6">
        <v>66087</v>
      </c>
      <c r="B1336" s="6" t="s">
        <v>26</v>
      </c>
      <c r="C1336" s="6" t="s">
        <v>17</v>
      </c>
      <c r="D1336" s="6">
        <v>554</v>
      </c>
      <c r="E1336" s="6">
        <v>414</v>
      </c>
      <c r="F1336" s="6">
        <v>445</v>
      </c>
      <c r="G1336" s="6">
        <v>0</v>
      </c>
      <c r="H1336" s="6">
        <v>15267</v>
      </c>
      <c r="I1336" s="6">
        <v>4</v>
      </c>
      <c r="J1336" s="6">
        <v>69</v>
      </c>
      <c r="K1336" s="6">
        <v>424</v>
      </c>
      <c r="L1336" s="6">
        <v>432</v>
      </c>
      <c r="M1336" s="6">
        <v>7.8666666669999996</v>
      </c>
      <c r="N1336">
        <f>VLOOKUP(A1336,vlookup_table!$A:$G,2,FALSE)</f>
        <v>0</v>
      </c>
      <c r="O1336" t="str">
        <f>VLOOKUP(A1336,vlookup_table!$A:$G,3,FALSE)</f>
        <v>MI</v>
      </c>
      <c r="P1336">
        <f>VLOOKUP(A1336,vlookup_table!$A:$G,4,FALSE)</f>
        <v>4912</v>
      </c>
      <c r="Q1336" t="str">
        <f>VLOOKUP(A1336,vlookup_table!$A:$G,5,FALSE)</f>
        <v>T2</v>
      </c>
      <c r="R1336" t="str">
        <f>VLOOKUP(A1336,vlookup_table!$A:$G,6,FALSE)</f>
        <v>F</v>
      </c>
      <c r="S1336">
        <f>VLOOKUP(A1336,vlookup_table!$A:$G,7,FALSE)</f>
        <v>20</v>
      </c>
      <c r="T1336">
        <f t="shared" si="40"/>
        <v>47</v>
      </c>
      <c r="U1336" t="str">
        <f t="shared" si="41"/>
        <v>Pueblo</v>
      </c>
    </row>
    <row r="1337" spans="1:21" ht="16" x14ac:dyDescent="0.4">
      <c r="A1337" s="6">
        <v>121554</v>
      </c>
      <c r="B1337" s="6" t="s">
        <v>20</v>
      </c>
      <c r="C1337" s="6" t="s">
        <v>17</v>
      </c>
      <c r="D1337" s="6">
        <v>1900</v>
      </c>
      <c r="E1337" s="6">
        <v>404</v>
      </c>
      <c r="F1337" s="6">
        <v>664</v>
      </c>
      <c r="G1337" s="6">
        <v>43</v>
      </c>
      <c r="H1337" s="6">
        <v>34592</v>
      </c>
      <c r="I1337" s="6">
        <v>16</v>
      </c>
      <c r="J1337" s="6">
        <v>38</v>
      </c>
      <c r="K1337" s="6">
        <v>582</v>
      </c>
      <c r="L1337" s="6">
        <v>498</v>
      </c>
      <c r="M1337" s="6">
        <v>5.2</v>
      </c>
      <c r="N1337">
        <f>VLOOKUP(A1337,vlookup_table!$A:$G,2,FALSE)</f>
        <v>28</v>
      </c>
      <c r="O1337" t="str">
        <f>VLOOKUP(A1337,vlookup_table!$A:$G,3,FALSE)</f>
        <v>TX</v>
      </c>
      <c r="P1337">
        <f>VLOOKUP(A1337,vlookup_table!$A:$G,4,FALSE)</f>
        <v>6301</v>
      </c>
      <c r="Q1337" t="str">
        <f>VLOOKUP(A1337,vlookup_table!$A:$G,5,FALSE)</f>
        <v>U1</v>
      </c>
      <c r="R1337" t="str">
        <f>VLOOKUP(A1337,vlookup_table!$A:$G,6,FALSE)</f>
        <v>F</v>
      </c>
      <c r="S1337">
        <f>VLOOKUP(A1337,vlookup_table!$A:$G,7,FALSE)</f>
        <v>6</v>
      </c>
      <c r="T1337">
        <f t="shared" si="40"/>
        <v>33</v>
      </c>
      <c r="U1337" t="str">
        <f t="shared" si="41"/>
        <v>Urbano</v>
      </c>
    </row>
    <row r="1338" spans="1:21" ht="16" x14ac:dyDescent="0.4">
      <c r="A1338" s="6">
        <v>137429</v>
      </c>
      <c r="B1338" s="6" t="s">
        <v>51</v>
      </c>
      <c r="C1338" s="6" t="s">
        <v>14</v>
      </c>
      <c r="D1338" s="6">
        <v>866</v>
      </c>
      <c r="E1338" s="6">
        <v>387</v>
      </c>
      <c r="F1338" s="6">
        <v>491</v>
      </c>
      <c r="G1338" s="6">
        <v>1</v>
      </c>
      <c r="H1338" s="6">
        <v>24381</v>
      </c>
      <c r="I1338" s="6">
        <v>4</v>
      </c>
      <c r="J1338" s="6">
        <v>0</v>
      </c>
      <c r="K1338" s="6">
        <v>453</v>
      </c>
      <c r="L1338" s="6">
        <v>428</v>
      </c>
      <c r="M1338" s="6">
        <v>25</v>
      </c>
      <c r="N1338">
        <f>VLOOKUP(A1338,vlookup_table!$A:$G,2,FALSE)</f>
        <v>1</v>
      </c>
      <c r="O1338" t="str">
        <f>VLOOKUP(A1338,vlookup_table!$A:$G,3,FALSE)</f>
        <v>AZ</v>
      </c>
      <c r="P1338">
        <f>VLOOKUP(A1338,vlookup_table!$A:$G,4,FALSE)</f>
        <v>1301</v>
      </c>
      <c r="Q1338" t="str">
        <f>VLOOKUP(A1338,vlookup_table!$A:$G,5,FALSE)</f>
        <v>C2</v>
      </c>
      <c r="R1338" t="str">
        <f>VLOOKUP(A1338,vlookup_table!$A:$G,6,FALSE)</f>
        <v>M</v>
      </c>
      <c r="S1338">
        <f>VLOOKUP(A1338,vlookup_table!$A:$G,7,FALSE)</f>
        <v>25</v>
      </c>
      <c r="T1338">
        <f t="shared" si="40"/>
        <v>83</v>
      </c>
      <c r="U1338" t="str">
        <f t="shared" si="41"/>
        <v>Ciudad</v>
      </c>
    </row>
    <row r="1339" spans="1:21" ht="16" x14ac:dyDescent="0.4">
      <c r="A1339" s="6">
        <v>127171</v>
      </c>
      <c r="B1339" s="6" t="s">
        <v>20</v>
      </c>
      <c r="C1339" s="6" t="s">
        <v>17</v>
      </c>
      <c r="D1339" s="6">
        <v>1223</v>
      </c>
      <c r="E1339" s="6">
        <v>313</v>
      </c>
      <c r="F1339" s="6">
        <v>538</v>
      </c>
      <c r="G1339" s="6">
        <v>22</v>
      </c>
      <c r="H1339" s="6">
        <v>17822</v>
      </c>
      <c r="I1339" s="6">
        <v>1</v>
      </c>
      <c r="J1339" s="6">
        <v>62</v>
      </c>
      <c r="K1339" s="6">
        <v>419</v>
      </c>
      <c r="L1339" s="6">
        <v>444</v>
      </c>
      <c r="M1339" s="6">
        <v>9</v>
      </c>
      <c r="N1339">
        <f>VLOOKUP(A1339,vlookup_table!$A:$G,2,FALSE)</f>
        <v>0</v>
      </c>
      <c r="O1339" t="str">
        <f>VLOOKUP(A1339,vlookup_table!$A:$G,3,FALSE)</f>
        <v>TX</v>
      </c>
      <c r="P1339">
        <f>VLOOKUP(A1339,vlookup_table!$A:$G,4,FALSE)</f>
        <v>1601</v>
      </c>
      <c r="Q1339" t="str">
        <f>VLOOKUP(A1339,vlookup_table!$A:$G,5,FALSE)</f>
        <v>R1</v>
      </c>
      <c r="R1339" t="str">
        <f>VLOOKUP(A1339,vlookup_table!$A:$G,6,FALSE)</f>
        <v>F</v>
      </c>
      <c r="S1339">
        <f>VLOOKUP(A1339,vlookup_table!$A:$G,7,FALSE)</f>
        <v>15</v>
      </c>
      <c r="T1339">
        <f t="shared" si="40"/>
        <v>80</v>
      </c>
      <c r="U1339" t="str">
        <f t="shared" si="41"/>
        <v>Rural</v>
      </c>
    </row>
    <row r="1340" spans="1:21" ht="16" x14ac:dyDescent="0.4">
      <c r="A1340" s="6">
        <v>167517</v>
      </c>
      <c r="B1340" s="6" t="s">
        <v>21</v>
      </c>
      <c r="C1340" s="6" t="s">
        <v>17</v>
      </c>
      <c r="D1340" s="6">
        <v>2324</v>
      </c>
      <c r="E1340" s="6">
        <v>374</v>
      </c>
      <c r="F1340" s="6">
        <v>484</v>
      </c>
      <c r="G1340" s="6">
        <v>64</v>
      </c>
      <c r="H1340" s="6">
        <v>14229</v>
      </c>
      <c r="I1340" s="6">
        <v>13</v>
      </c>
      <c r="J1340" s="6">
        <v>64</v>
      </c>
      <c r="K1340" s="6">
        <v>404</v>
      </c>
      <c r="L1340" s="6">
        <v>445</v>
      </c>
      <c r="M1340" s="6">
        <v>10.6</v>
      </c>
      <c r="N1340">
        <f>VLOOKUP(A1340,vlookup_table!$A:$G,2,FALSE)</f>
        <v>0</v>
      </c>
      <c r="O1340" t="str">
        <f>VLOOKUP(A1340,vlookup_table!$A:$G,3,FALSE)</f>
        <v>CA</v>
      </c>
      <c r="P1340">
        <f>VLOOKUP(A1340,vlookup_table!$A:$G,4,FALSE)</f>
        <v>0</v>
      </c>
      <c r="Q1340" t="str">
        <f>VLOOKUP(A1340,vlookup_table!$A:$G,5,FALSE)</f>
        <v>R1</v>
      </c>
      <c r="R1340" t="str">
        <f>VLOOKUP(A1340,vlookup_table!$A:$G,6,FALSE)</f>
        <v>F</v>
      </c>
      <c r="S1340">
        <f>VLOOKUP(A1340,vlookup_table!$A:$G,7,FALSE)</f>
        <v>25</v>
      </c>
      <c r="T1340">
        <f t="shared" si="40"/>
        <v>96</v>
      </c>
      <c r="U1340" t="str">
        <f t="shared" si="41"/>
        <v>Rural</v>
      </c>
    </row>
    <row r="1341" spans="1:21" ht="16" x14ac:dyDescent="0.4">
      <c r="A1341" s="6">
        <v>14386</v>
      </c>
      <c r="B1341" s="6" t="s">
        <v>33</v>
      </c>
      <c r="C1341" s="6" t="s">
        <v>17</v>
      </c>
      <c r="D1341" s="6">
        <v>2528</v>
      </c>
      <c r="E1341" s="6">
        <v>439</v>
      </c>
      <c r="F1341" s="6">
        <v>686</v>
      </c>
      <c r="G1341" s="6">
        <v>53</v>
      </c>
      <c r="H1341" s="6">
        <v>32768</v>
      </c>
      <c r="I1341" s="6">
        <v>4</v>
      </c>
      <c r="J1341" s="6">
        <v>44</v>
      </c>
      <c r="K1341" s="6">
        <v>591</v>
      </c>
      <c r="L1341" s="6">
        <v>542</v>
      </c>
      <c r="M1341" s="6">
        <v>24.777777780000001</v>
      </c>
      <c r="N1341">
        <f>VLOOKUP(A1341,vlookup_table!$A:$G,2,FALSE)</f>
        <v>2</v>
      </c>
      <c r="O1341" t="str">
        <f>VLOOKUP(A1341,vlookup_table!$A:$G,3,FALSE)</f>
        <v>MO</v>
      </c>
      <c r="P1341">
        <f>VLOOKUP(A1341,vlookup_table!$A:$G,4,FALSE)</f>
        <v>1101</v>
      </c>
      <c r="Q1341" t="str">
        <f>VLOOKUP(A1341,vlookup_table!$A:$G,5,FALSE)</f>
        <v>S1</v>
      </c>
      <c r="R1341" t="str">
        <f>VLOOKUP(A1341,vlookup_table!$A:$G,6,FALSE)</f>
        <v>F</v>
      </c>
      <c r="S1341">
        <f>VLOOKUP(A1341,vlookup_table!$A:$G,7,FALSE)</f>
        <v>10</v>
      </c>
      <c r="T1341">
        <f t="shared" si="40"/>
        <v>85</v>
      </c>
      <c r="U1341" t="str">
        <f t="shared" si="41"/>
        <v>Suburbano</v>
      </c>
    </row>
    <row r="1342" spans="1:21" ht="16" x14ac:dyDescent="0.4">
      <c r="A1342" s="6">
        <v>184011</v>
      </c>
      <c r="B1342" s="6" t="s">
        <v>37</v>
      </c>
      <c r="C1342" s="6" t="s">
        <v>17</v>
      </c>
      <c r="D1342" s="6">
        <v>1183</v>
      </c>
      <c r="E1342" s="6">
        <v>217</v>
      </c>
      <c r="F1342" s="6">
        <v>628</v>
      </c>
      <c r="G1342" s="6">
        <v>26</v>
      </c>
      <c r="H1342" s="6">
        <v>24703</v>
      </c>
      <c r="I1342" s="6">
        <v>0</v>
      </c>
      <c r="J1342" s="6">
        <v>52</v>
      </c>
      <c r="K1342" s="6">
        <v>528</v>
      </c>
      <c r="L1342" s="6">
        <v>379</v>
      </c>
      <c r="M1342" s="6">
        <v>37.5</v>
      </c>
      <c r="N1342">
        <f>VLOOKUP(A1342,vlookup_table!$A:$G,2,FALSE)</f>
        <v>28</v>
      </c>
      <c r="O1342" t="str">
        <f>VLOOKUP(A1342,vlookup_table!$A:$G,3,FALSE)</f>
        <v>WA</v>
      </c>
      <c r="P1342">
        <f>VLOOKUP(A1342,vlookup_table!$A:$G,4,FALSE)</f>
        <v>1502</v>
      </c>
      <c r="Q1342" t="str">
        <f>VLOOKUP(A1342,vlookup_table!$A:$G,5,FALSE)</f>
        <v>C1</v>
      </c>
      <c r="R1342" t="str">
        <f>VLOOKUP(A1342,vlookup_table!$A:$G,6,FALSE)</f>
        <v>F</v>
      </c>
      <c r="S1342">
        <f>VLOOKUP(A1342,vlookup_table!$A:$G,7,FALSE)</f>
        <v>25</v>
      </c>
      <c r="T1342">
        <f t="shared" si="40"/>
        <v>81</v>
      </c>
      <c r="U1342" t="str">
        <f t="shared" si="41"/>
        <v>Ciudad</v>
      </c>
    </row>
    <row r="1343" spans="1:21" ht="16" x14ac:dyDescent="0.4">
      <c r="A1343" s="6">
        <v>121967</v>
      </c>
      <c r="B1343" s="6" t="s">
        <v>20</v>
      </c>
      <c r="C1343" s="6" t="s">
        <v>14</v>
      </c>
      <c r="D1343" s="6">
        <v>655</v>
      </c>
      <c r="E1343" s="6">
        <v>318</v>
      </c>
      <c r="F1343" s="6">
        <v>324</v>
      </c>
      <c r="G1343" s="6">
        <v>0</v>
      </c>
      <c r="H1343" s="6">
        <v>8044</v>
      </c>
      <c r="I1343" s="6">
        <v>40</v>
      </c>
      <c r="J1343" s="6">
        <v>41</v>
      </c>
      <c r="K1343" s="6">
        <v>315</v>
      </c>
      <c r="L1343" s="6">
        <v>328</v>
      </c>
      <c r="M1343" s="6">
        <v>8.75</v>
      </c>
      <c r="N1343">
        <f>VLOOKUP(A1343,vlookup_table!$A:$G,2,FALSE)</f>
        <v>1</v>
      </c>
      <c r="O1343" t="str">
        <f>VLOOKUP(A1343,vlookup_table!$A:$G,3,FALSE)</f>
        <v>TX</v>
      </c>
      <c r="P1343">
        <f>VLOOKUP(A1343,vlookup_table!$A:$G,4,FALSE)</f>
        <v>3801</v>
      </c>
      <c r="Q1343" t="str">
        <f>VLOOKUP(A1343,vlookup_table!$A:$G,5,FALSE)</f>
        <v>S2</v>
      </c>
      <c r="R1343" t="str">
        <f>VLOOKUP(A1343,vlookup_table!$A:$G,6,FALSE)</f>
        <v>M</v>
      </c>
      <c r="S1343">
        <f>VLOOKUP(A1343,vlookup_table!$A:$G,7,FALSE)</f>
        <v>15</v>
      </c>
      <c r="T1343">
        <f t="shared" si="40"/>
        <v>58</v>
      </c>
      <c r="U1343" t="str">
        <f t="shared" si="41"/>
        <v>Suburbano</v>
      </c>
    </row>
    <row r="1344" spans="1:21" ht="16" x14ac:dyDescent="0.4">
      <c r="A1344" s="6">
        <v>20194</v>
      </c>
      <c r="B1344" s="6" t="s">
        <v>18</v>
      </c>
      <c r="C1344" s="6" t="s">
        <v>97</v>
      </c>
      <c r="D1344" s="6">
        <v>399</v>
      </c>
      <c r="E1344" s="6">
        <v>211</v>
      </c>
      <c r="F1344" s="6">
        <v>295</v>
      </c>
      <c r="G1344" s="6">
        <v>0</v>
      </c>
      <c r="H1344" s="6">
        <v>9617</v>
      </c>
      <c r="I1344" s="6">
        <v>0</v>
      </c>
      <c r="J1344" s="6">
        <v>79</v>
      </c>
      <c r="K1344" s="6">
        <v>259</v>
      </c>
      <c r="L1344" s="6">
        <v>249</v>
      </c>
      <c r="M1344" s="6">
        <v>6.2</v>
      </c>
      <c r="N1344">
        <f>VLOOKUP(A1344,vlookup_table!$A:$G,2,FALSE)</f>
        <v>28</v>
      </c>
      <c r="O1344" t="str">
        <f>VLOOKUP(A1344,vlookup_table!$A:$G,3,FALSE)</f>
        <v>NC</v>
      </c>
      <c r="P1344">
        <f>VLOOKUP(A1344,vlookup_table!$A:$G,4,FALSE)</f>
        <v>3601</v>
      </c>
      <c r="Q1344" t="str">
        <f>VLOOKUP(A1344,vlookup_table!$A:$G,5,FALSE)</f>
        <v>T3</v>
      </c>
      <c r="R1344" t="str">
        <f>VLOOKUP(A1344,vlookup_table!$A:$G,6,FALSE)</f>
        <v>F</v>
      </c>
      <c r="S1344">
        <f>VLOOKUP(A1344,vlookup_table!$A:$G,7,FALSE)</f>
        <v>10</v>
      </c>
      <c r="T1344">
        <f t="shared" si="40"/>
        <v>60</v>
      </c>
      <c r="U1344" t="str">
        <f t="shared" si="41"/>
        <v>Pueblo</v>
      </c>
    </row>
    <row r="1345" spans="1:21" ht="16" x14ac:dyDescent="0.4">
      <c r="A1345" s="6">
        <v>84967</v>
      </c>
      <c r="B1345" s="6" t="s">
        <v>52</v>
      </c>
      <c r="C1345" s="6" t="s">
        <v>14</v>
      </c>
      <c r="D1345" s="6">
        <v>418</v>
      </c>
      <c r="E1345" s="6">
        <v>190</v>
      </c>
      <c r="F1345" s="6">
        <v>403</v>
      </c>
      <c r="G1345" s="6">
        <v>0</v>
      </c>
      <c r="H1345" s="6">
        <v>13707</v>
      </c>
      <c r="I1345" s="6">
        <v>0</v>
      </c>
      <c r="J1345" s="6">
        <v>88</v>
      </c>
      <c r="K1345" s="6">
        <v>290</v>
      </c>
      <c r="L1345" s="6">
        <v>244</v>
      </c>
      <c r="M1345" s="6">
        <v>10.71428571</v>
      </c>
      <c r="N1345">
        <f>VLOOKUP(A1345,vlookup_table!$A:$G,2,FALSE)</f>
        <v>0</v>
      </c>
      <c r="O1345" t="str">
        <f>VLOOKUP(A1345,vlookup_table!$A:$G,3,FALSE)</f>
        <v>MN</v>
      </c>
      <c r="P1345">
        <f>VLOOKUP(A1345,vlookup_table!$A:$G,4,FALSE)</f>
        <v>4805</v>
      </c>
      <c r="Q1345" t="str">
        <f>VLOOKUP(A1345,vlookup_table!$A:$G,5,FALSE)</f>
        <v>T2</v>
      </c>
      <c r="R1345" t="str">
        <f>VLOOKUP(A1345,vlookup_table!$A:$G,6,FALSE)</f>
        <v>M</v>
      </c>
      <c r="S1345">
        <f>VLOOKUP(A1345,vlookup_table!$A:$G,7,FALSE)</f>
        <v>15</v>
      </c>
      <c r="T1345">
        <f t="shared" si="40"/>
        <v>48</v>
      </c>
      <c r="U1345" t="str">
        <f t="shared" si="41"/>
        <v>Pueblo</v>
      </c>
    </row>
    <row r="1346" spans="1:21" ht="16" x14ac:dyDescent="0.4">
      <c r="A1346" s="6">
        <v>93684</v>
      </c>
      <c r="B1346" s="6" t="s">
        <v>16</v>
      </c>
      <c r="C1346" s="6" t="s">
        <v>14</v>
      </c>
      <c r="D1346" s="6">
        <v>595</v>
      </c>
      <c r="E1346" s="6">
        <v>385</v>
      </c>
      <c r="F1346" s="6">
        <v>419</v>
      </c>
      <c r="G1346" s="6">
        <v>0</v>
      </c>
      <c r="H1346" s="6">
        <v>12802</v>
      </c>
      <c r="I1346" s="6">
        <v>2</v>
      </c>
      <c r="J1346" s="6">
        <v>63</v>
      </c>
      <c r="K1346" s="6">
        <v>394</v>
      </c>
      <c r="L1346" s="6">
        <v>406</v>
      </c>
      <c r="M1346" s="6">
        <v>8.875</v>
      </c>
      <c r="N1346">
        <f>VLOOKUP(A1346,vlookup_table!$A:$G,2,FALSE)</f>
        <v>1</v>
      </c>
      <c r="O1346" t="str">
        <f>VLOOKUP(A1346,vlookup_table!$A:$G,3,FALSE)</f>
        <v>IL</v>
      </c>
      <c r="P1346">
        <f>VLOOKUP(A1346,vlookup_table!$A:$G,4,FALSE)</f>
        <v>4202</v>
      </c>
      <c r="Q1346" t="str">
        <f>VLOOKUP(A1346,vlookup_table!$A:$G,5,FALSE)</f>
        <v>U2</v>
      </c>
      <c r="R1346" t="str">
        <f>VLOOKUP(A1346,vlookup_table!$A:$G,6,FALSE)</f>
        <v>M</v>
      </c>
      <c r="S1346">
        <f>VLOOKUP(A1346,vlookup_table!$A:$G,7,FALSE)</f>
        <v>11</v>
      </c>
      <c r="T1346">
        <f t="shared" si="40"/>
        <v>54</v>
      </c>
      <c r="U1346" t="str">
        <f t="shared" si="41"/>
        <v>Urbano</v>
      </c>
    </row>
    <row r="1347" spans="1:21" ht="16" x14ac:dyDescent="0.4">
      <c r="A1347" s="6">
        <v>92802</v>
      </c>
      <c r="B1347" s="6" t="s">
        <v>16</v>
      </c>
      <c r="C1347" s="6" t="s">
        <v>14</v>
      </c>
      <c r="D1347" s="6">
        <v>0</v>
      </c>
      <c r="E1347" s="6">
        <v>0</v>
      </c>
      <c r="F1347" s="6">
        <v>0</v>
      </c>
      <c r="G1347" s="6">
        <v>0</v>
      </c>
      <c r="H1347" s="6">
        <v>0</v>
      </c>
      <c r="I1347" s="6">
        <v>0</v>
      </c>
      <c r="J1347" s="6">
        <v>0</v>
      </c>
      <c r="K1347" s="6">
        <v>0</v>
      </c>
      <c r="L1347" s="6">
        <v>0</v>
      </c>
      <c r="M1347" s="6">
        <v>11.33333333</v>
      </c>
      <c r="N1347">
        <f>VLOOKUP(A1347,vlookup_table!$A:$G,2,FALSE)</f>
        <v>1</v>
      </c>
      <c r="O1347" t="str">
        <f>VLOOKUP(A1347,vlookup_table!$A:$G,3,FALSE)</f>
        <v>IL</v>
      </c>
      <c r="P1347">
        <f>VLOOKUP(A1347,vlookup_table!$A:$G,4,FALSE)</f>
        <v>4210</v>
      </c>
      <c r="Q1347" t="str">
        <f>VLOOKUP(A1347,vlookup_table!$A:$G,5,FALSE)</f>
        <v>U1</v>
      </c>
      <c r="R1347" t="str">
        <f>VLOOKUP(A1347,vlookup_table!$A:$G,6,FALSE)</f>
        <v>M</v>
      </c>
      <c r="S1347">
        <f>VLOOKUP(A1347,vlookup_table!$A:$G,7,FALSE)</f>
        <v>10</v>
      </c>
      <c r="T1347">
        <f t="shared" ref="T1347:T1410" si="42">97-LEFT(P1347,2)-IF(RIGHT(P1347,2)&gt;6,1,0)</f>
        <v>54</v>
      </c>
      <c r="U1347" t="str">
        <f t="shared" ref="U1347:U1410" si="43">IF(LEFT(Q1347,1)="C","Ciudad",IF(LEFT(Q1347,1)="T","Pueblo",IF(LEFT(Q1347,1)="R","Rural",IF(LEFT(Q1347,1)="S","Suburbano",IF(LEFT(Q1347,1)="U","Urbano","")))))</f>
        <v>Urbano</v>
      </c>
    </row>
    <row r="1348" spans="1:21" ht="16" x14ac:dyDescent="0.4">
      <c r="A1348" s="6">
        <v>24900</v>
      </c>
      <c r="B1348" s="6" t="s">
        <v>43</v>
      </c>
      <c r="C1348" s="6" t="s">
        <v>17</v>
      </c>
      <c r="D1348" s="6">
        <v>548</v>
      </c>
      <c r="E1348" s="6">
        <v>289</v>
      </c>
      <c r="F1348" s="6">
        <v>388</v>
      </c>
      <c r="G1348" s="6">
        <v>2</v>
      </c>
      <c r="H1348" s="6">
        <v>11933</v>
      </c>
      <c r="I1348" s="6">
        <v>0</v>
      </c>
      <c r="J1348" s="6">
        <v>72</v>
      </c>
      <c r="K1348" s="6">
        <v>327</v>
      </c>
      <c r="L1348" s="6">
        <v>340</v>
      </c>
      <c r="M1348" s="6">
        <v>11.66666667</v>
      </c>
      <c r="N1348">
        <f>VLOOKUP(A1348,vlookup_table!$A:$G,2,FALSE)</f>
        <v>0</v>
      </c>
      <c r="O1348" t="str">
        <f>VLOOKUP(A1348,vlookup_table!$A:$G,3,FALSE)</f>
        <v>SC</v>
      </c>
      <c r="P1348">
        <f>VLOOKUP(A1348,vlookup_table!$A:$G,4,FALSE)</f>
        <v>5201</v>
      </c>
      <c r="Q1348" t="str">
        <f>VLOOKUP(A1348,vlookup_table!$A:$G,5,FALSE)</f>
        <v>T2</v>
      </c>
      <c r="R1348" t="str">
        <f>VLOOKUP(A1348,vlookup_table!$A:$G,6,FALSE)</f>
        <v>F</v>
      </c>
      <c r="S1348">
        <f>VLOOKUP(A1348,vlookup_table!$A:$G,7,FALSE)</f>
        <v>25</v>
      </c>
      <c r="T1348">
        <f t="shared" si="42"/>
        <v>44</v>
      </c>
      <c r="U1348" t="str">
        <f t="shared" si="43"/>
        <v>Pueblo</v>
      </c>
    </row>
    <row r="1349" spans="1:21" ht="16" x14ac:dyDescent="0.4">
      <c r="A1349" s="6">
        <v>121926</v>
      </c>
      <c r="B1349" s="6" t="s">
        <v>20</v>
      </c>
      <c r="C1349" s="6" t="s">
        <v>17</v>
      </c>
      <c r="D1349" s="6">
        <v>1125</v>
      </c>
      <c r="E1349" s="6">
        <v>227</v>
      </c>
      <c r="F1349" s="6">
        <v>279</v>
      </c>
      <c r="G1349" s="6">
        <v>0</v>
      </c>
      <c r="H1349" s="6">
        <v>15743</v>
      </c>
      <c r="I1349" s="6">
        <v>2</v>
      </c>
      <c r="J1349" s="6">
        <v>55</v>
      </c>
      <c r="K1349" s="6">
        <v>287</v>
      </c>
      <c r="L1349" s="6">
        <v>246</v>
      </c>
      <c r="M1349" s="6">
        <v>10.25</v>
      </c>
      <c r="N1349">
        <f>VLOOKUP(A1349,vlookup_table!$A:$G,2,FALSE)</f>
        <v>28</v>
      </c>
      <c r="O1349" t="str">
        <f>VLOOKUP(A1349,vlookup_table!$A:$G,3,FALSE)</f>
        <v>TX</v>
      </c>
      <c r="P1349">
        <f>VLOOKUP(A1349,vlookup_table!$A:$G,4,FALSE)</f>
        <v>0</v>
      </c>
      <c r="Q1349" t="str">
        <f>VLOOKUP(A1349,vlookup_table!$A:$G,5,FALSE)</f>
        <v>S1</v>
      </c>
      <c r="R1349" t="str">
        <f>VLOOKUP(A1349,vlookup_table!$A:$G,6,FALSE)</f>
        <v>F</v>
      </c>
      <c r="S1349">
        <f>VLOOKUP(A1349,vlookup_table!$A:$G,7,FALSE)</f>
        <v>20</v>
      </c>
      <c r="T1349">
        <f t="shared" si="42"/>
        <v>96</v>
      </c>
      <c r="U1349" t="str">
        <f t="shared" si="43"/>
        <v>Suburbano</v>
      </c>
    </row>
    <row r="1350" spans="1:21" ht="16" x14ac:dyDescent="0.4">
      <c r="A1350" s="6">
        <v>12003</v>
      </c>
      <c r="B1350" s="6" t="s">
        <v>21</v>
      </c>
      <c r="C1350" s="6" t="s">
        <v>17</v>
      </c>
      <c r="D1350" s="6">
        <v>3626</v>
      </c>
      <c r="E1350" s="6">
        <v>749</v>
      </c>
      <c r="F1350" s="6">
        <v>838</v>
      </c>
      <c r="G1350" s="6">
        <v>96</v>
      </c>
      <c r="H1350" s="6">
        <v>30685</v>
      </c>
      <c r="I1350" s="6">
        <v>9</v>
      </c>
      <c r="J1350" s="6">
        <v>45</v>
      </c>
      <c r="K1350" s="6">
        <v>785</v>
      </c>
      <c r="L1350" s="6">
        <v>795</v>
      </c>
      <c r="M1350" s="6">
        <v>12.3125</v>
      </c>
      <c r="N1350">
        <f>VLOOKUP(A1350,vlookup_table!$A:$G,2,FALSE)</f>
        <v>28</v>
      </c>
      <c r="O1350" t="str">
        <f>VLOOKUP(A1350,vlookup_table!$A:$G,3,FALSE)</f>
        <v>CA</v>
      </c>
      <c r="P1350">
        <f>VLOOKUP(A1350,vlookup_table!$A:$G,4,FALSE)</f>
        <v>2901</v>
      </c>
      <c r="Q1350" t="str">
        <f>VLOOKUP(A1350,vlookup_table!$A:$G,5,FALSE)</f>
        <v>U2</v>
      </c>
      <c r="R1350" t="str">
        <f>VLOOKUP(A1350,vlookup_table!$A:$G,6,FALSE)</f>
        <v>F</v>
      </c>
      <c r="S1350">
        <f>VLOOKUP(A1350,vlookup_table!$A:$G,7,FALSE)</f>
        <v>20</v>
      </c>
      <c r="T1350">
        <f t="shared" si="42"/>
        <v>67</v>
      </c>
      <c r="U1350" t="str">
        <f t="shared" si="43"/>
        <v>Urbano</v>
      </c>
    </row>
    <row r="1351" spans="1:21" ht="16" x14ac:dyDescent="0.4">
      <c r="A1351" s="6">
        <v>7852</v>
      </c>
      <c r="B1351" s="6" t="s">
        <v>55</v>
      </c>
      <c r="C1351" s="6" t="s">
        <v>17</v>
      </c>
      <c r="D1351" s="6">
        <v>503</v>
      </c>
      <c r="E1351" s="6">
        <v>261</v>
      </c>
      <c r="F1351" s="6">
        <v>308</v>
      </c>
      <c r="G1351" s="6">
        <v>0</v>
      </c>
      <c r="H1351" s="6">
        <v>9917</v>
      </c>
      <c r="I1351" s="6">
        <v>0</v>
      </c>
      <c r="J1351" s="6">
        <v>61</v>
      </c>
      <c r="K1351" s="6">
        <v>267</v>
      </c>
      <c r="L1351" s="6">
        <v>290</v>
      </c>
      <c r="M1351" s="6">
        <v>8.8636363639999995</v>
      </c>
      <c r="N1351">
        <f>VLOOKUP(A1351,vlookup_table!$A:$G,2,FALSE)</f>
        <v>2</v>
      </c>
      <c r="O1351" t="str">
        <f>VLOOKUP(A1351,vlookup_table!$A:$G,3,FALSE)</f>
        <v>NE</v>
      </c>
      <c r="P1351">
        <f>VLOOKUP(A1351,vlookup_table!$A:$G,4,FALSE)</f>
        <v>0</v>
      </c>
      <c r="Q1351" t="str">
        <f>VLOOKUP(A1351,vlookup_table!$A:$G,5,FALSE)</f>
        <v>T2</v>
      </c>
      <c r="R1351" t="str">
        <f>VLOOKUP(A1351,vlookup_table!$A:$G,6,FALSE)</f>
        <v>F</v>
      </c>
      <c r="S1351">
        <f>VLOOKUP(A1351,vlookup_table!$A:$G,7,FALSE)</f>
        <v>10</v>
      </c>
      <c r="T1351">
        <f t="shared" si="42"/>
        <v>96</v>
      </c>
      <c r="U1351" t="str">
        <f t="shared" si="43"/>
        <v>Pueblo</v>
      </c>
    </row>
    <row r="1352" spans="1:21" ht="16" x14ac:dyDescent="0.4">
      <c r="A1352" s="6">
        <v>111137</v>
      </c>
      <c r="B1352" s="6" t="s">
        <v>29</v>
      </c>
      <c r="C1352" s="6" t="s">
        <v>97</v>
      </c>
      <c r="D1352" s="6">
        <v>545</v>
      </c>
      <c r="E1352" s="6">
        <v>257</v>
      </c>
      <c r="F1352" s="6">
        <v>301</v>
      </c>
      <c r="G1352" s="6">
        <v>1</v>
      </c>
      <c r="H1352" s="6">
        <v>10669</v>
      </c>
      <c r="I1352" s="6">
        <v>0</v>
      </c>
      <c r="J1352" s="6">
        <v>59</v>
      </c>
      <c r="K1352" s="6">
        <v>265</v>
      </c>
      <c r="L1352" s="6">
        <v>301</v>
      </c>
      <c r="M1352" s="6">
        <v>17.625</v>
      </c>
      <c r="N1352">
        <f>VLOOKUP(A1352,vlookup_table!$A:$G,2,FALSE)</f>
        <v>0</v>
      </c>
      <c r="O1352" t="str">
        <f>VLOOKUP(A1352,vlookup_table!$A:$G,3,FALSE)</f>
        <v>AR</v>
      </c>
      <c r="P1352">
        <f>VLOOKUP(A1352,vlookup_table!$A:$G,4,FALSE)</f>
        <v>0</v>
      </c>
      <c r="Q1352" t="str">
        <f>VLOOKUP(A1352,vlookup_table!$A:$G,5,FALSE)</f>
        <v>C2</v>
      </c>
      <c r="R1352" t="str">
        <f>VLOOKUP(A1352,vlookup_table!$A:$G,6,FALSE)</f>
        <v>F</v>
      </c>
      <c r="S1352">
        <f>VLOOKUP(A1352,vlookup_table!$A:$G,7,FALSE)</f>
        <v>21</v>
      </c>
      <c r="T1352">
        <f t="shared" si="42"/>
        <v>96</v>
      </c>
      <c r="U1352" t="str">
        <f t="shared" si="43"/>
        <v>Ciudad</v>
      </c>
    </row>
    <row r="1353" spans="1:21" ht="16" x14ac:dyDescent="0.4">
      <c r="A1353" s="6">
        <v>47688</v>
      </c>
      <c r="B1353" s="6" t="s">
        <v>40</v>
      </c>
      <c r="C1353" s="6" t="s">
        <v>17</v>
      </c>
      <c r="D1353" s="6">
        <v>455</v>
      </c>
      <c r="E1353" s="6">
        <v>257</v>
      </c>
      <c r="F1353" s="6">
        <v>389</v>
      </c>
      <c r="G1353" s="6">
        <v>1</v>
      </c>
      <c r="H1353" s="6">
        <v>13452</v>
      </c>
      <c r="I1353" s="6">
        <v>0</v>
      </c>
      <c r="J1353" s="6">
        <v>84</v>
      </c>
      <c r="K1353" s="6">
        <v>350</v>
      </c>
      <c r="L1353" s="6">
        <v>321</v>
      </c>
      <c r="M1353" s="6">
        <v>12</v>
      </c>
      <c r="N1353">
        <f>VLOOKUP(A1353,vlookup_table!$A:$G,2,FALSE)</f>
        <v>0</v>
      </c>
      <c r="O1353" t="str">
        <f>VLOOKUP(A1353,vlookup_table!$A:$G,3,FALSE)</f>
        <v>AL</v>
      </c>
      <c r="P1353">
        <f>VLOOKUP(A1353,vlookup_table!$A:$G,4,FALSE)</f>
        <v>0</v>
      </c>
      <c r="Q1353" t="str">
        <f>VLOOKUP(A1353,vlookup_table!$A:$G,5,FALSE)</f>
        <v>R2</v>
      </c>
      <c r="R1353" t="str">
        <f>VLOOKUP(A1353,vlookup_table!$A:$G,6,FALSE)</f>
        <v>F</v>
      </c>
      <c r="S1353">
        <f>VLOOKUP(A1353,vlookup_table!$A:$G,7,FALSE)</f>
        <v>10</v>
      </c>
      <c r="T1353">
        <f t="shared" si="42"/>
        <v>96</v>
      </c>
      <c r="U1353" t="str">
        <f t="shared" si="43"/>
        <v>Rural</v>
      </c>
    </row>
    <row r="1354" spans="1:21" ht="16" x14ac:dyDescent="0.4">
      <c r="A1354" s="6">
        <v>25576</v>
      </c>
      <c r="B1354" s="6" t="s">
        <v>36</v>
      </c>
      <c r="C1354" s="6" t="s">
        <v>14</v>
      </c>
      <c r="D1354" s="6">
        <v>1201</v>
      </c>
      <c r="E1354" s="6">
        <v>317</v>
      </c>
      <c r="F1354" s="6">
        <v>507</v>
      </c>
      <c r="G1354" s="6">
        <v>3</v>
      </c>
      <c r="H1354" s="6">
        <v>19960</v>
      </c>
      <c r="I1354" s="6">
        <v>3</v>
      </c>
      <c r="J1354" s="6">
        <v>52</v>
      </c>
      <c r="K1354" s="6">
        <v>408</v>
      </c>
      <c r="L1354" s="6">
        <v>426</v>
      </c>
      <c r="M1354" s="6">
        <v>7.8181818180000002</v>
      </c>
      <c r="N1354">
        <f>VLOOKUP(A1354,vlookup_table!$A:$G,2,FALSE)</f>
        <v>0</v>
      </c>
      <c r="O1354" t="str">
        <f>VLOOKUP(A1354,vlookup_table!$A:$G,3,FALSE)</f>
        <v>GA</v>
      </c>
      <c r="P1354">
        <f>VLOOKUP(A1354,vlookup_table!$A:$G,4,FALSE)</f>
        <v>1401</v>
      </c>
      <c r="Q1354" t="str">
        <f>VLOOKUP(A1354,vlookup_table!$A:$G,5,FALSE)</f>
        <v>S1</v>
      </c>
      <c r="R1354" t="str">
        <f>VLOOKUP(A1354,vlookup_table!$A:$G,6,FALSE)</f>
        <v>M</v>
      </c>
      <c r="S1354">
        <f>VLOOKUP(A1354,vlookup_table!$A:$G,7,FALSE)</f>
        <v>21</v>
      </c>
      <c r="T1354">
        <f t="shared" si="42"/>
        <v>82</v>
      </c>
      <c r="U1354" t="str">
        <f t="shared" si="43"/>
        <v>Suburbano</v>
      </c>
    </row>
    <row r="1355" spans="1:21" ht="16" x14ac:dyDescent="0.4">
      <c r="A1355" s="6">
        <v>127392</v>
      </c>
      <c r="B1355" s="6" t="s">
        <v>20</v>
      </c>
      <c r="C1355" s="6" t="s">
        <v>14</v>
      </c>
      <c r="D1355" s="6">
        <v>592</v>
      </c>
      <c r="E1355" s="6">
        <v>188</v>
      </c>
      <c r="F1355" s="6">
        <v>359</v>
      </c>
      <c r="G1355" s="6">
        <v>0</v>
      </c>
      <c r="H1355" s="6">
        <v>14406</v>
      </c>
      <c r="I1355" s="6">
        <v>0</v>
      </c>
      <c r="J1355" s="6">
        <v>53</v>
      </c>
      <c r="K1355" s="6">
        <v>406</v>
      </c>
      <c r="L1355" s="6">
        <v>240</v>
      </c>
      <c r="M1355" s="6">
        <v>16.272727270000001</v>
      </c>
      <c r="N1355">
        <f>VLOOKUP(A1355,vlookup_table!$A:$G,2,FALSE)</f>
        <v>1</v>
      </c>
      <c r="O1355" t="str">
        <f>VLOOKUP(A1355,vlookup_table!$A:$G,3,FALSE)</f>
        <v>TX</v>
      </c>
      <c r="P1355">
        <f>VLOOKUP(A1355,vlookup_table!$A:$G,4,FALSE)</f>
        <v>4108</v>
      </c>
      <c r="Q1355" t="str">
        <f>VLOOKUP(A1355,vlookup_table!$A:$G,5,FALSE)</f>
        <v>C1</v>
      </c>
      <c r="R1355" t="str">
        <f>VLOOKUP(A1355,vlookup_table!$A:$G,6,FALSE)</f>
        <v>M</v>
      </c>
      <c r="S1355">
        <f>VLOOKUP(A1355,vlookup_table!$A:$G,7,FALSE)</f>
        <v>23</v>
      </c>
      <c r="T1355">
        <f t="shared" si="42"/>
        <v>55</v>
      </c>
      <c r="U1355" t="str">
        <f t="shared" si="43"/>
        <v>Ciudad</v>
      </c>
    </row>
    <row r="1356" spans="1:21" ht="16" x14ac:dyDescent="0.4">
      <c r="A1356" s="6">
        <v>77495</v>
      </c>
      <c r="B1356" s="6" t="s">
        <v>32</v>
      </c>
      <c r="C1356" s="6" t="s">
        <v>17</v>
      </c>
      <c r="D1356" s="6">
        <v>614</v>
      </c>
      <c r="E1356" s="6">
        <v>340</v>
      </c>
      <c r="F1356" s="6">
        <v>428</v>
      </c>
      <c r="G1356" s="6">
        <v>1</v>
      </c>
      <c r="H1356" s="6">
        <v>14439</v>
      </c>
      <c r="I1356" s="6">
        <v>1</v>
      </c>
      <c r="J1356" s="6">
        <v>88</v>
      </c>
      <c r="K1356" s="6">
        <v>388</v>
      </c>
      <c r="L1356" s="6">
        <v>377</v>
      </c>
      <c r="M1356" s="6">
        <v>7.6363636359999996</v>
      </c>
      <c r="N1356">
        <f>VLOOKUP(A1356,vlookup_table!$A:$G,2,FALSE)</f>
        <v>0</v>
      </c>
      <c r="O1356" t="str">
        <f>VLOOKUP(A1356,vlookup_table!$A:$G,3,FALSE)</f>
        <v>WI</v>
      </c>
      <c r="P1356">
        <f>VLOOKUP(A1356,vlookup_table!$A:$G,4,FALSE)</f>
        <v>0</v>
      </c>
      <c r="Q1356" t="str">
        <f>VLOOKUP(A1356,vlookup_table!$A:$G,5,FALSE)</f>
        <v>T2</v>
      </c>
      <c r="R1356" t="str">
        <f>VLOOKUP(A1356,vlookup_table!$A:$G,6,FALSE)</f>
        <v>F</v>
      </c>
      <c r="S1356">
        <f>VLOOKUP(A1356,vlookup_table!$A:$G,7,FALSE)</f>
        <v>10</v>
      </c>
      <c r="T1356">
        <f t="shared" si="42"/>
        <v>96</v>
      </c>
      <c r="U1356" t="str">
        <f t="shared" si="43"/>
        <v>Pueblo</v>
      </c>
    </row>
    <row r="1357" spans="1:21" ht="16" x14ac:dyDescent="0.4">
      <c r="A1357" s="6">
        <v>87210</v>
      </c>
      <c r="B1357" s="6" t="s">
        <v>31</v>
      </c>
      <c r="C1357" s="6" t="s">
        <v>97</v>
      </c>
      <c r="D1357" s="6">
        <v>423</v>
      </c>
      <c r="E1357" s="6">
        <v>256</v>
      </c>
      <c r="F1357" s="6">
        <v>344</v>
      </c>
      <c r="G1357" s="6">
        <v>0</v>
      </c>
      <c r="H1357" s="6">
        <v>10311</v>
      </c>
      <c r="I1357" s="6">
        <v>2</v>
      </c>
      <c r="J1357" s="6">
        <v>75</v>
      </c>
      <c r="K1357" s="6">
        <v>296</v>
      </c>
      <c r="L1357" s="6">
        <v>295</v>
      </c>
      <c r="M1357" s="6">
        <v>11</v>
      </c>
      <c r="N1357">
        <f>VLOOKUP(A1357,vlookup_table!$A:$G,2,FALSE)</f>
        <v>0</v>
      </c>
      <c r="O1357" t="str">
        <f>VLOOKUP(A1357,vlookup_table!$A:$G,3,FALSE)</f>
        <v>MT</v>
      </c>
      <c r="P1357">
        <f>VLOOKUP(A1357,vlookup_table!$A:$G,4,FALSE)</f>
        <v>0</v>
      </c>
      <c r="Q1357" t="str">
        <f>VLOOKUP(A1357,vlookup_table!$A:$G,5,FALSE)</f>
        <v>R2</v>
      </c>
      <c r="R1357" t="str">
        <f>VLOOKUP(A1357,vlookup_table!$A:$G,6,FALSE)</f>
        <v>F</v>
      </c>
      <c r="S1357">
        <f>VLOOKUP(A1357,vlookup_table!$A:$G,7,FALSE)</f>
        <v>20</v>
      </c>
      <c r="T1357">
        <f t="shared" si="42"/>
        <v>96</v>
      </c>
      <c r="U1357" t="str">
        <f t="shared" si="43"/>
        <v>Rural</v>
      </c>
    </row>
    <row r="1358" spans="1:21" ht="16" x14ac:dyDescent="0.4">
      <c r="A1358" s="6">
        <v>93218</v>
      </c>
      <c r="B1358" s="6" t="s">
        <v>16</v>
      </c>
      <c r="C1358" s="6" t="s">
        <v>14</v>
      </c>
      <c r="D1358" s="6">
        <v>302</v>
      </c>
      <c r="E1358" s="6">
        <v>208</v>
      </c>
      <c r="F1358" s="6">
        <v>203</v>
      </c>
      <c r="G1358" s="6">
        <v>0</v>
      </c>
      <c r="H1358" s="6">
        <v>5668</v>
      </c>
      <c r="I1358" s="6">
        <v>11</v>
      </c>
      <c r="J1358" s="6">
        <v>67</v>
      </c>
      <c r="K1358" s="6">
        <v>216</v>
      </c>
      <c r="L1358" s="6">
        <v>207</v>
      </c>
      <c r="M1358" s="6">
        <v>11.25</v>
      </c>
      <c r="N1358">
        <f>VLOOKUP(A1358,vlookup_table!$A:$G,2,FALSE)</f>
        <v>72</v>
      </c>
      <c r="O1358" t="str">
        <f>VLOOKUP(A1358,vlookup_table!$A:$G,3,FALSE)</f>
        <v>IL</v>
      </c>
      <c r="P1358">
        <f>VLOOKUP(A1358,vlookup_table!$A:$G,4,FALSE)</f>
        <v>0</v>
      </c>
      <c r="Q1358" t="str">
        <f>VLOOKUP(A1358,vlookup_table!$A:$G,5,FALSE)</f>
        <v>U4</v>
      </c>
      <c r="R1358" t="str">
        <f>VLOOKUP(A1358,vlookup_table!$A:$G,6,FALSE)</f>
        <v>M</v>
      </c>
      <c r="S1358">
        <f>VLOOKUP(A1358,vlookup_table!$A:$G,7,FALSE)</f>
        <v>10</v>
      </c>
      <c r="T1358">
        <f t="shared" si="42"/>
        <v>96</v>
      </c>
      <c r="U1358" t="str">
        <f t="shared" si="43"/>
        <v>Urbano</v>
      </c>
    </row>
    <row r="1359" spans="1:21" ht="16" x14ac:dyDescent="0.4">
      <c r="A1359" s="6">
        <v>184974</v>
      </c>
      <c r="B1359" s="6" t="s">
        <v>60</v>
      </c>
      <c r="C1359" s="6" t="s">
        <v>17</v>
      </c>
      <c r="D1359" s="6">
        <v>1157</v>
      </c>
      <c r="E1359" s="6">
        <v>365</v>
      </c>
      <c r="F1359" s="6">
        <v>559</v>
      </c>
      <c r="G1359" s="6">
        <v>8</v>
      </c>
      <c r="H1359" s="6">
        <v>21892</v>
      </c>
      <c r="I1359" s="6">
        <v>8</v>
      </c>
      <c r="J1359" s="6">
        <v>33</v>
      </c>
      <c r="K1359" s="6">
        <v>514</v>
      </c>
      <c r="L1359" s="6">
        <v>448</v>
      </c>
      <c r="M1359" s="6">
        <v>7.7142857139999998</v>
      </c>
      <c r="N1359">
        <f>VLOOKUP(A1359,vlookup_table!$A:$G,2,FALSE)</f>
        <v>0</v>
      </c>
      <c r="O1359" t="str">
        <f>VLOOKUP(A1359,vlookup_table!$A:$G,3,FALSE)</f>
        <v>AK</v>
      </c>
      <c r="P1359">
        <f>VLOOKUP(A1359,vlookup_table!$A:$G,4,FALSE)</f>
        <v>2601</v>
      </c>
      <c r="Q1359" t="str">
        <f>VLOOKUP(A1359,vlookup_table!$A:$G,5,FALSE)</f>
        <v>T2</v>
      </c>
      <c r="R1359" t="str">
        <f>VLOOKUP(A1359,vlookup_table!$A:$G,6,FALSE)</f>
        <v>F</v>
      </c>
      <c r="S1359">
        <f>VLOOKUP(A1359,vlookup_table!$A:$G,7,FALSE)</f>
        <v>10</v>
      </c>
      <c r="T1359">
        <f t="shared" si="42"/>
        <v>70</v>
      </c>
      <c r="U1359" t="str">
        <f t="shared" si="43"/>
        <v>Pueblo</v>
      </c>
    </row>
    <row r="1360" spans="1:21" ht="16" x14ac:dyDescent="0.4">
      <c r="A1360" s="6">
        <v>136768</v>
      </c>
      <c r="B1360" s="6" t="s">
        <v>21</v>
      </c>
      <c r="C1360" s="6" t="s">
        <v>17</v>
      </c>
      <c r="D1360" s="6">
        <v>2312</v>
      </c>
      <c r="E1360" s="6">
        <v>456</v>
      </c>
      <c r="F1360" s="6">
        <v>589</v>
      </c>
      <c r="G1360" s="6">
        <v>63</v>
      </c>
      <c r="H1360" s="6">
        <v>21372</v>
      </c>
      <c r="I1360" s="6">
        <v>7</v>
      </c>
      <c r="J1360" s="6">
        <v>44</v>
      </c>
      <c r="K1360" s="6">
        <v>516</v>
      </c>
      <c r="L1360" s="6">
        <v>531</v>
      </c>
      <c r="M1360" s="6">
        <v>6.3333333329999997</v>
      </c>
      <c r="N1360">
        <f>VLOOKUP(A1360,vlookup_table!$A:$G,2,FALSE)</f>
        <v>0</v>
      </c>
      <c r="O1360" t="str">
        <f>VLOOKUP(A1360,vlookup_table!$A:$G,3,FALSE)</f>
        <v>CA</v>
      </c>
      <c r="P1360">
        <f>VLOOKUP(A1360,vlookup_table!$A:$G,4,FALSE)</f>
        <v>5301</v>
      </c>
      <c r="Q1360" t="str">
        <f>VLOOKUP(A1360,vlookup_table!$A:$G,5,FALSE)</f>
        <v>S1</v>
      </c>
      <c r="R1360" t="str">
        <f>VLOOKUP(A1360,vlookup_table!$A:$G,6,FALSE)</f>
        <v>F</v>
      </c>
      <c r="S1360">
        <f>VLOOKUP(A1360,vlookup_table!$A:$G,7,FALSE)</f>
        <v>2</v>
      </c>
      <c r="T1360">
        <f t="shared" si="42"/>
        <v>43</v>
      </c>
      <c r="U1360" t="str">
        <f t="shared" si="43"/>
        <v>Suburbano</v>
      </c>
    </row>
    <row r="1361" spans="1:21" ht="16" x14ac:dyDescent="0.4">
      <c r="A1361" s="6">
        <v>42724</v>
      </c>
      <c r="B1361" s="6" t="s">
        <v>13</v>
      </c>
      <c r="C1361" s="6" t="s">
        <v>14</v>
      </c>
      <c r="D1361" s="6">
        <v>440</v>
      </c>
      <c r="E1361" s="6">
        <v>164</v>
      </c>
      <c r="F1361" s="6">
        <v>254</v>
      </c>
      <c r="G1361" s="6">
        <v>0</v>
      </c>
      <c r="H1361" s="6">
        <v>8444</v>
      </c>
      <c r="I1361" s="6">
        <v>3</v>
      </c>
      <c r="J1361" s="6">
        <v>41</v>
      </c>
      <c r="K1361" s="6">
        <v>186</v>
      </c>
      <c r="L1361" s="6">
        <v>220</v>
      </c>
      <c r="M1361" s="6">
        <v>9.6666666669999994</v>
      </c>
      <c r="N1361">
        <f>VLOOKUP(A1361,vlookup_table!$A:$G,2,FALSE)</f>
        <v>1</v>
      </c>
      <c r="O1361" t="str">
        <f>VLOOKUP(A1361,vlookup_table!$A:$G,3,FALSE)</f>
        <v>FL</v>
      </c>
      <c r="P1361">
        <f>VLOOKUP(A1361,vlookup_table!$A:$G,4,FALSE)</f>
        <v>3601</v>
      </c>
      <c r="Q1361" t="str">
        <f>VLOOKUP(A1361,vlookup_table!$A:$G,5,FALSE)</f>
        <v>C3</v>
      </c>
      <c r="R1361" t="str">
        <f>VLOOKUP(A1361,vlookup_table!$A:$G,6,FALSE)</f>
        <v>M</v>
      </c>
      <c r="S1361">
        <f>VLOOKUP(A1361,vlookup_table!$A:$G,7,FALSE)</f>
        <v>25</v>
      </c>
      <c r="T1361">
        <f t="shared" si="42"/>
        <v>60</v>
      </c>
      <c r="U1361" t="str">
        <f t="shared" si="43"/>
        <v>Ciudad</v>
      </c>
    </row>
    <row r="1362" spans="1:21" ht="16" x14ac:dyDescent="0.4">
      <c r="A1362" s="6">
        <v>82313</v>
      </c>
      <c r="B1362" s="6" t="s">
        <v>52</v>
      </c>
      <c r="C1362" s="6" t="s">
        <v>17</v>
      </c>
      <c r="D1362" s="6">
        <v>569</v>
      </c>
      <c r="E1362" s="6">
        <v>276</v>
      </c>
      <c r="F1362" s="6">
        <v>350</v>
      </c>
      <c r="G1362" s="6">
        <v>1</v>
      </c>
      <c r="H1362" s="6">
        <v>12795</v>
      </c>
      <c r="I1362" s="6">
        <v>1</v>
      </c>
      <c r="J1362" s="6">
        <v>84</v>
      </c>
      <c r="K1362" s="6">
        <v>315</v>
      </c>
      <c r="L1362" s="6">
        <v>317</v>
      </c>
      <c r="M1362" s="6">
        <v>9.7272727270000008</v>
      </c>
      <c r="N1362">
        <f>VLOOKUP(A1362,vlookup_table!$A:$G,2,FALSE)</f>
        <v>0</v>
      </c>
      <c r="O1362" t="str">
        <f>VLOOKUP(A1362,vlookup_table!$A:$G,3,FALSE)</f>
        <v>MN</v>
      </c>
      <c r="P1362">
        <f>VLOOKUP(A1362,vlookup_table!$A:$G,4,FALSE)</f>
        <v>2705</v>
      </c>
      <c r="Q1362" t="str">
        <f>VLOOKUP(A1362,vlookup_table!$A:$G,5,FALSE)</f>
        <v>T2</v>
      </c>
      <c r="R1362" t="str">
        <f>VLOOKUP(A1362,vlookup_table!$A:$G,6,FALSE)</f>
        <v>F</v>
      </c>
      <c r="S1362">
        <f>VLOOKUP(A1362,vlookup_table!$A:$G,7,FALSE)</f>
        <v>15</v>
      </c>
      <c r="T1362">
        <f t="shared" si="42"/>
        <v>69</v>
      </c>
      <c r="U1362" t="str">
        <f t="shared" si="43"/>
        <v>Pueblo</v>
      </c>
    </row>
    <row r="1363" spans="1:21" ht="16" x14ac:dyDescent="0.4">
      <c r="A1363" s="6">
        <v>132820</v>
      </c>
      <c r="B1363" s="6" t="s">
        <v>58</v>
      </c>
      <c r="C1363" s="6" t="s">
        <v>17</v>
      </c>
      <c r="D1363" s="6">
        <v>680</v>
      </c>
      <c r="E1363" s="6">
        <v>353</v>
      </c>
      <c r="F1363" s="6">
        <v>457</v>
      </c>
      <c r="G1363" s="6">
        <v>1</v>
      </c>
      <c r="H1363" s="6">
        <v>14347</v>
      </c>
      <c r="I1363" s="6">
        <v>3</v>
      </c>
      <c r="J1363" s="6">
        <v>39</v>
      </c>
      <c r="K1363" s="6">
        <v>393</v>
      </c>
      <c r="L1363" s="6">
        <v>406</v>
      </c>
      <c r="M1363" s="6">
        <v>9.0588235289999997</v>
      </c>
      <c r="N1363">
        <f>VLOOKUP(A1363,vlookup_table!$A:$G,2,FALSE)</f>
        <v>0</v>
      </c>
      <c r="O1363" t="str">
        <f>VLOOKUP(A1363,vlookup_table!$A:$G,3,FALSE)</f>
        <v>WY</v>
      </c>
      <c r="P1363">
        <f>VLOOKUP(A1363,vlookup_table!$A:$G,4,FALSE)</f>
        <v>5201</v>
      </c>
      <c r="Q1363" t="str">
        <f>VLOOKUP(A1363,vlookup_table!$A:$G,5,FALSE)</f>
        <v>R1</v>
      </c>
      <c r="R1363" t="str">
        <f>VLOOKUP(A1363,vlookup_table!$A:$G,6,FALSE)</f>
        <v>F</v>
      </c>
      <c r="S1363">
        <f>VLOOKUP(A1363,vlookup_table!$A:$G,7,FALSE)</f>
        <v>15</v>
      </c>
      <c r="T1363">
        <f t="shared" si="42"/>
        <v>44</v>
      </c>
      <c r="U1363" t="str">
        <f t="shared" si="43"/>
        <v>Rural</v>
      </c>
    </row>
    <row r="1364" spans="1:21" ht="16" x14ac:dyDescent="0.4">
      <c r="A1364" s="6">
        <v>51683</v>
      </c>
      <c r="B1364" s="6" t="s">
        <v>49</v>
      </c>
      <c r="C1364" s="6" t="s">
        <v>14</v>
      </c>
      <c r="D1364" s="6">
        <v>690</v>
      </c>
      <c r="E1364" s="6">
        <v>194</v>
      </c>
      <c r="F1364" s="6">
        <v>411</v>
      </c>
      <c r="G1364" s="6">
        <v>1</v>
      </c>
      <c r="H1364" s="6">
        <v>13120</v>
      </c>
      <c r="I1364" s="6">
        <v>5</v>
      </c>
      <c r="J1364" s="6">
        <v>57</v>
      </c>
      <c r="K1364" s="6">
        <v>371</v>
      </c>
      <c r="L1364" s="6">
        <v>263</v>
      </c>
      <c r="M1364" s="6">
        <v>5</v>
      </c>
      <c r="N1364">
        <f>VLOOKUP(A1364,vlookup_table!$A:$G,2,FALSE)</f>
        <v>1002</v>
      </c>
      <c r="O1364" t="str">
        <f>VLOOKUP(A1364,vlookup_table!$A:$G,3,FALSE)</f>
        <v>TN</v>
      </c>
      <c r="P1364">
        <f>VLOOKUP(A1364,vlookup_table!$A:$G,4,FALSE)</f>
        <v>0</v>
      </c>
      <c r="Q1364" t="str">
        <f>VLOOKUP(A1364,vlookup_table!$A:$G,5,FALSE)</f>
        <v>C2</v>
      </c>
      <c r="R1364" t="str">
        <f>VLOOKUP(A1364,vlookup_table!$A:$G,6,FALSE)</f>
        <v>M</v>
      </c>
      <c r="S1364">
        <f>VLOOKUP(A1364,vlookup_table!$A:$G,7,FALSE)</f>
        <v>5</v>
      </c>
      <c r="T1364">
        <f t="shared" si="42"/>
        <v>96</v>
      </c>
      <c r="U1364" t="str">
        <f t="shared" si="43"/>
        <v>Ciudad</v>
      </c>
    </row>
    <row r="1365" spans="1:21" ht="16" x14ac:dyDescent="0.4">
      <c r="A1365" s="6">
        <v>93538</v>
      </c>
      <c r="B1365" s="6" t="s">
        <v>16</v>
      </c>
      <c r="C1365" s="6" t="s">
        <v>17</v>
      </c>
      <c r="D1365" s="6">
        <v>438</v>
      </c>
      <c r="E1365" s="6">
        <v>159</v>
      </c>
      <c r="F1365" s="6">
        <v>156</v>
      </c>
      <c r="G1365" s="6">
        <v>17</v>
      </c>
      <c r="H1365" s="6">
        <v>3975</v>
      </c>
      <c r="I1365" s="6">
        <v>0</v>
      </c>
      <c r="J1365" s="6">
        <v>58</v>
      </c>
      <c r="K1365" s="6">
        <v>146</v>
      </c>
      <c r="L1365" s="6">
        <v>165</v>
      </c>
      <c r="M1365" s="6">
        <v>20.666666670000001</v>
      </c>
      <c r="N1365">
        <f>VLOOKUP(A1365,vlookup_table!$A:$G,2,FALSE)</f>
        <v>0</v>
      </c>
      <c r="O1365" t="str">
        <f>VLOOKUP(A1365,vlookup_table!$A:$G,3,FALSE)</f>
        <v>IL</v>
      </c>
      <c r="P1365">
        <f>VLOOKUP(A1365,vlookup_table!$A:$G,4,FALSE)</f>
        <v>2503</v>
      </c>
      <c r="Q1365" t="str">
        <f>VLOOKUP(A1365,vlookup_table!$A:$G,5,FALSE)</f>
        <v>U4</v>
      </c>
      <c r="R1365" t="str">
        <f>VLOOKUP(A1365,vlookup_table!$A:$G,6,FALSE)</f>
        <v>F</v>
      </c>
      <c r="S1365">
        <f>VLOOKUP(A1365,vlookup_table!$A:$G,7,FALSE)</f>
        <v>36</v>
      </c>
      <c r="T1365">
        <f t="shared" si="42"/>
        <v>71</v>
      </c>
      <c r="U1365" t="str">
        <f t="shared" si="43"/>
        <v>Urbano</v>
      </c>
    </row>
    <row r="1366" spans="1:21" ht="16" x14ac:dyDescent="0.4">
      <c r="A1366" s="6">
        <v>145407</v>
      </c>
      <c r="B1366" s="6" t="s">
        <v>21</v>
      </c>
      <c r="C1366" s="6" t="s">
        <v>17</v>
      </c>
      <c r="D1366" s="6">
        <v>2166</v>
      </c>
      <c r="E1366" s="6">
        <v>415</v>
      </c>
      <c r="F1366" s="6">
        <v>445</v>
      </c>
      <c r="G1366" s="6">
        <v>68</v>
      </c>
      <c r="H1366" s="6">
        <v>16471</v>
      </c>
      <c r="I1366" s="6">
        <v>8</v>
      </c>
      <c r="J1366" s="6">
        <v>52</v>
      </c>
      <c r="K1366" s="6">
        <v>402</v>
      </c>
      <c r="L1366" s="6">
        <v>457</v>
      </c>
      <c r="M1366" s="6">
        <v>8.0952380949999991</v>
      </c>
      <c r="N1366">
        <f>VLOOKUP(A1366,vlookup_table!$A:$G,2,FALSE)</f>
        <v>0</v>
      </c>
      <c r="O1366" t="str">
        <f>VLOOKUP(A1366,vlookup_table!$A:$G,3,FALSE)</f>
        <v>CA</v>
      </c>
      <c r="P1366">
        <f>VLOOKUP(A1366,vlookup_table!$A:$G,4,FALSE)</f>
        <v>0</v>
      </c>
      <c r="Q1366" t="str">
        <f>VLOOKUP(A1366,vlookup_table!$A:$G,5,FALSE)</f>
        <v>S2</v>
      </c>
      <c r="R1366" t="str">
        <f>VLOOKUP(A1366,vlookup_table!$A:$G,6,FALSE)</f>
        <v>F</v>
      </c>
      <c r="S1366">
        <f>VLOOKUP(A1366,vlookup_table!$A:$G,7,FALSE)</f>
        <v>10</v>
      </c>
      <c r="T1366">
        <f t="shared" si="42"/>
        <v>96</v>
      </c>
      <c r="U1366" t="str">
        <f t="shared" si="43"/>
        <v>Suburbano</v>
      </c>
    </row>
    <row r="1367" spans="1:21" ht="16" x14ac:dyDescent="0.4">
      <c r="A1367" s="6">
        <v>55553</v>
      </c>
      <c r="B1367" s="6" t="s">
        <v>56</v>
      </c>
      <c r="C1367" s="6" t="s">
        <v>14</v>
      </c>
      <c r="D1367" s="6">
        <v>394</v>
      </c>
      <c r="E1367" s="6">
        <v>188</v>
      </c>
      <c r="F1367" s="6">
        <v>252</v>
      </c>
      <c r="G1367" s="6">
        <v>0</v>
      </c>
      <c r="H1367" s="6">
        <v>8350</v>
      </c>
      <c r="I1367" s="6">
        <v>0</v>
      </c>
      <c r="J1367" s="6">
        <v>89</v>
      </c>
      <c r="K1367" s="6">
        <v>220</v>
      </c>
      <c r="L1367" s="6">
        <v>227</v>
      </c>
      <c r="M1367" s="6">
        <v>25</v>
      </c>
      <c r="N1367">
        <f>VLOOKUP(A1367,vlookup_table!$A:$G,2,FALSE)</f>
        <v>1</v>
      </c>
      <c r="O1367" t="str">
        <f>VLOOKUP(A1367,vlookup_table!$A:$G,3,FALSE)</f>
        <v>MS</v>
      </c>
      <c r="P1367">
        <f>VLOOKUP(A1367,vlookup_table!$A:$G,4,FALSE)</f>
        <v>0</v>
      </c>
      <c r="Q1367" t="str">
        <f>VLOOKUP(A1367,vlookup_table!$A:$G,5,FALSE)</f>
        <v>R2</v>
      </c>
      <c r="R1367" t="str">
        <f>VLOOKUP(A1367,vlookup_table!$A:$G,6,FALSE)</f>
        <v>M</v>
      </c>
      <c r="S1367">
        <f>VLOOKUP(A1367,vlookup_table!$A:$G,7,FALSE)</f>
        <v>20</v>
      </c>
      <c r="T1367">
        <f t="shared" si="42"/>
        <v>96</v>
      </c>
      <c r="U1367" t="str">
        <f t="shared" si="43"/>
        <v>Rural</v>
      </c>
    </row>
    <row r="1368" spans="1:21" ht="16" x14ac:dyDescent="0.4">
      <c r="A1368" s="6">
        <v>58447</v>
      </c>
      <c r="B1368" s="6" t="s">
        <v>53</v>
      </c>
      <c r="C1368" s="6" t="s">
        <v>17</v>
      </c>
      <c r="D1368" s="6">
        <v>630</v>
      </c>
      <c r="E1368" s="6">
        <v>300</v>
      </c>
      <c r="F1368" s="6">
        <v>361</v>
      </c>
      <c r="G1368" s="6">
        <v>0</v>
      </c>
      <c r="H1368" s="6">
        <v>13719</v>
      </c>
      <c r="I1368" s="6">
        <v>8</v>
      </c>
      <c r="J1368" s="6">
        <v>55</v>
      </c>
      <c r="K1368" s="6">
        <v>327</v>
      </c>
      <c r="L1368" s="6">
        <v>321</v>
      </c>
      <c r="M1368" s="6">
        <v>9.1999999999999993</v>
      </c>
      <c r="N1368">
        <f>VLOOKUP(A1368,vlookup_table!$A:$G,2,FALSE)</f>
        <v>0</v>
      </c>
      <c r="O1368" t="str">
        <f>VLOOKUP(A1368,vlookup_table!$A:$G,3,FALSE)</f>
        <v>KY</v>
      </c>
      <c r="P1368">
        <f>VLOOKUP(A1368,vlookup_table!$A:$G,4,FALSE)</f>
        <v>3001</v>
      </c>
      <c r="Q1368" t="str">
        <f>VLOOKUP(A1368,vlookup_table!$A:$G,5,FALSE)</f>
        <v>T2</v>
      </c>
      <c r="R1368" t="str">
        <f>VLOOKUP(A1368,vlookup_table!$A:$G,6,FALSE)</f>
        <v>F</v>
      </c>
      <c r="S1368">
        <f>VLOOKUP(A1368,vlookup_table!$A:$G,7,FALSE)</f>
        <v>10</v>
      </c>
      <c r="T1368">
        <f t="shared" si="42"/>
        <v>66</v>
      </c>
      <c r="U1368" t="str">
        <f t="shared" si="43"/>
        <v>Pueblo</v>
      </c>
    </row>
    <row r="1369" spans="1:21" ht="16" x14ac:dyDescent="0.4">
      <c r="A1369" s="6">
        <v>159424</v>
      </c>
      <c r="B1369" s="6" t="s">
        <v>21</v>
      </c>
      <c r="C1369" s="6" t="s">
        <v>14</v>
      </c>
      <c r="D1369" s="6">
        <v>3276</v>
      </c>
      <c r="E1369" s="6">
        <v>358</v>
      </c>
      <c r="F1369" s="6">
        <v>555</v>
      </c>
      <c r="G1369" s="6">
        <v>92</v>
      </c>
      <c r="H1369" s="6">
        <v>23535</v>
      </c>
      <c r="I1369" s="6">
        <v>15</v>
      </c>
      <c r="J1369" s="6">
        <v>40</v>
      </c>
      <c r="K1369" s="6">
        <v>478</v>
      </c>
      <c r="L1369" s="6">
        <v>436</v>
      </c>
      <c r="M1369" s="6">
        <v>25</v>
      </c>
      <c r="N1369">
        <f>VLOOKUP(A1369,vlookup_table!$A:$G,2,FALSE)</f>
        <v>1</v>
      </c>
      <c r="O1369" t="str">
        <f>VLOOKUP(A1369,vlookup_table!$A:$G,3,FALSE)</f>
        <v>CA</v>
      </c>
      <c r="P1369">
        <f>VLOOKUP(A1369,vlookup_table!$A:$G,4,FALSE)</f>
        <v>2401</v>
      </c>
      <c r="Q1369" t="str">
        <f>VLOOKUP(A1369,vlookup_table!$A:$G,5,FALSE)</f>
        <v>S1</v>
      </c>
      <c r="R1369" t="str">
        <f>VLOOKUP(A1369,vlookup_table!$A:$G,6,FALSE)</f>
        <v>M</v>
      </c>
      <c r="S1369">
        <f>VLOOKUP(A1369,vlookup_table!$A:$G,7,FALSE)</f>
        <v>75</v>
      </c>
      <c r="T1369">
        <f t="shared" si="42"/>
        <v>72</v>
      </c>
      <c r="U1369" t="str">
        <f t="shared" si="43"/>
        <v>Suburbano</v>
      </c>
    </row>
    <row r="1370" spans="1:21" ht="16" x14ac:dyDescent="0.4">
      <c r="A1370" s="6">
        <v>34649</v>
      </c>
      <c r="B1370" s="6" t="s">
        <v>13</v>
      </c>
      <c r="C1370" s="6" t="s">
        <v>17</v>
      </c>
      <c r="D1370" s="6">
        <v>1171</v>
      </c>
      <c r="E1370" s="6">
        <v>483</v>
      </c>
      <c r="F1370" s="6">
        <v>570</v>
      </c>
      <c r="G1370" s="6">
        <v>9</v>
      </c>
      <c r="H1370" s="6">
        <v>19553</v>
      </c>
      <c r="I1370" s="6">
        <v>5</v>
      </c>
      <c r="J1370" s="6">
        <v>20</v>
      </c>
      <c r="K1370" s="6">
        <v>512</v>
      </c>
      <c r="L1370" s="6">
        <v>544</v>
      </c>
      <c r="M1370" s="6">
        <v>5.2</v>
      </c>
      <c r="N1370">
        <f>VLOOKUP(A1370,vlookup_table!$A:$G,2,FALSE)</f>
        <v>0</v>
      </c>
      <c r="O1370" t="str">
        <f>VLOOKUP(A1370,vlookup_table!$A:$G,3,FALSE)</f>
        <v>FL</v>
      </c>
      <c r="P1370">
        <f>VLOOKUP(A1370,vlookup_table!$A:$G,4,FALSE)</f>
        <v>2901</v>
      </c>
      <c r="Q1370" t="str">
        <f>VLOOKUP(A1370,vlookup_table!$A:$G,5,FALSE)</f>
        <v>S1</v>
      </c>
      <c r="R1370" t="str">
        <f>VLOOKUP(A1370,vlookup_table!$A:$G,6,FALSE)</f>
        <v>F</v>
      </c>
      <c r="S1370">
        <f>VLOOKUP(A1370,vlookup_table!$A:$G,7,FALSE)</f>
        <v>7</v>
      </c>
      <c r="T1370">
        <f t="shared" si="42"/>
        <v>67</v>
      </c>
      <c r="U1370" t="str">
        <f t="shared" si="43"/>
        <v>Suburbano</v>
      </c>
    </row>
    <row r="1371" spans="1:21" ht="16" x14ac:dyDescent="0.4">
      <c r="A1371" s="6">
        <v>50154</v>
      </c>
      <c r="B1371" s="6" t="s">
        <v>49</v>
      </c>
      <c r="C1371" s="6" t="s">
        <v>14</v>
      </c>
      <c r="D1371" s="6">
        <v>1103</v>
      </c>
      <c r="E1371" s="6">
        <v>467</v>
      </c>
      <c r="F1371" s="6">
        <v>524</v>
      </c>
      <c r="G1371" s="6">
        <v>3</v>
      </c>
      <c r="H1371" s="6">
        <v>17130</v>
      </c>
      <c r="I1371" s="6">
        <v>2</v>
      </c>
      <c r="J1371" s="6">
        <v>74</v>
      </c>
      <c r="K1371" s="6">
        <v>503</v>
      </c>
      <c r="L1371" s="6">
        <v>497</v>
      </c>
      <c r="M1371" s="6">
        <v>15</v>
      </c>
      <c r="N1371">
        <f>VLOOKUP(A1371,vlookup_table!$A:$G,2,FALSE)</f>
        <v>1002</v>
      </c>
      <c r="O1371" t="str">
        <f>VLOOKUP(A1371,vlookup_table!$A:$G,3,FALSE)</f>
        <v>TN</v>
      </c>
      <c r="P1371">
        <f>VLOOKUP(A1371,vlookup_table!$A:$G,4,FALSE)</f>
        <v>6801</v>
      </c>
      <c r="Q1371" t="str">
        <f>VLOOKUP(A1371,vlookup_table!$A:$G,5,FALSE)</f>
        <v>T1</v>
      </c>
      <c r="R1371" t="str">
        <f>VLOOKUP(A1371,vlookup_table!$A:$G,6,FALSE)</f>
        <v>M</v>
      </c>
      <c r="S1371">
        <f>VLOOKUP(A1371,vlookup_table!$A:$G,7,FALSE)</f>
        <v>15</v>
      </c>
      <c r="T1371">
        <f t="shared" si="42"/>
        <v>28</v>
      </c>
      <c r="U1371" t="str">
        <f t="shared" si="43"/>
        <v>Pueblo</v>
      </c>
    </row>
    <row r="1372" spans="1:21" ht="16" x14ac:dyDescent="0.4">
      <c r="A1372" s="6">
        <v>77432</v>
      </c>
      <c r="B1372" s="6" t="s">
        <v>32</v>
      </c>
      <c r="C1372" s="6" t="s">
        <v>14</v>
      </c>
      <c r="D1372" s="6">
        <v>673</v>
      </c>
      <c r="E1372" s="6">
        <v>293</v>
      </c>
      <c r="F1372" s="6">
        <v>348</v>
      </c>
      <c r="G1372" s="6">
        <v>0</v>
      </c>
      <c r="H1372" s="6">
        <v>12900</v>
      </c>
      <c r="I1372" s="6">
        <v>2</v>
      </c>
      <c r="J1372" s="6">
        <v>88</v>
      </c>
      <c r="K1372" s="6">
        <v>335</v>
      </c>
      <c r="L1372" s="6">
        <v>296</v>
      </c>
      <c r="M1372" s="6">
        <v>11.5</v>
      </c>
      <c r="N1372">
        <f>VLOOKUP(A1372,vlookup_table!$A:$G,2,FALSE)</f>
        <v>2</v>
      </c>
      <c r="O1372" t="str">
        <f>VLOOKUP(A1372,vlookup_table!$A:$G,3,FALSE)</f>
        <v>WI</v>
      </c>
      <c r="P1372">
        <f>VLOOKUP(A1372,vlookup_table!$A:$G,4,FALSE)</f>
        <v>5401</v>
      </c>
      <c r="Q1372" t="str">
        <f>VLOOKUP(A1372,vlookup_table!$A:$G,5,FALSE)</f>
        <v>T2</v>
      </c>
      <c r="R1372" t="str">
        <f>VLOOKUP(A1372,vlookup_table!$A:$G,6,FALSE)</f>
        <v>M</v>
      </c>
      <c r="S1372">
        <f>VLOOKUP(A1372,vlookup_table!$A:$G,7,FALSE)</f>
        <v>15</v>
      </c>
      <c r="T1372">
        <f t="shared" si="42"/>
        <v>42</v>
      </c>
      <c r="U1372" t="str">
        <f t="shared" si="43"/>
        <v>Pueblo</v>
      </c>
    </row>
    <row r="1373" spans="1:21" ht="16" x14ac:dyDescent="0.4">
      <c r="A1373" s="6">
        <v>152821</v>
      </c>
      <c r="B1373" s="6" t="s">
        <v>21</v>
      </c>
      <c r="C1373" s="6" t="s">
        <v>17</v>
      </c>
      <c r="D1373" s="6">
        <v>1633</v>
      </c>
      <c r="E1373" s="6">
        <v>286</v>
      </c>
      <c r="F1373" s="6">
        <v>351</v>
      </c>
      <c r="G1373" s="6">
        <v>8</v>
      </c>
      <c r="H1373" s="6">
        <v>16765</v>
      </c>
      <c r="I1373" s="6">
        <v>9</v>
      </c>
      <c r="J1373" s="6">
        <v>13</v>
      </c>
      <c r="K1373" s="6">
        <v>318</v>
      </c>
      <c r="L1373" s="6">
        <v>306</v>
      </c>
      <c r="M1373" s="6">
        <v>5.8</v>
      </c>
      <c r="N1373">
        <f>VLOOKUP(A1373,vlookup_table!$A:$G,2,FALSE)</f>
        <v>0</v>
      </c>
      <c r="O1373" t="str">
        <f>VLOOKUP(A1373,vlookup_table!$A:$G,3,FALSE)</f>
        <v>CA</v>
      </c>
      <c r="P1373">
        <f>VLOOKUP(A1373,vlookup_table!$A:$G,4,FALSE)</f>
        <v>5401</v>
      </c>
      <c r="Q1373" t="str">
        <f>VLOOKUP(A1373,vlookup_table!$A:$G,5,FALSE)</f>
        <v>S2</v>
      </c>
      <c r="R1373" t="str">
        <f>VLOOKUP(A1373,vlookup_table!$A:$G,6,FALSE)</f>
        <v>F</v>
      </c>
      <c r="S1373">
        <f>VLOOKUP(A1373,vlookup_table!$A:$G,7,FALSE)</f>
        <v>11</v>
      </c>
      <c r="T1373">
        <f t="shared" si="42"/>
        <v>42</v>
      </c>
      <c r="U1373" t="str">
        <f t="shared" si="43"/>
        <v>Suburbano</v>
      </c>
    </row>
    <row r="1374" spans="1:21" ht="16" x14ac:dyDescent="0.4">
      <c r="A1374" s="6">
        <v>57964</v>
      </c>
      <c r="B1374" s="6" t="s">
        <v>53</v>
      </c>
      <c r="C1374" s="6" t="s">
        <v>14</v>
      </c>
      <c r="D1374" s="6">
        <v>428</v>
      </c>
      <c r="E1374" s="6">
        <v>166</v>
      </c>
      <c r="F1374" s="6">
        <v>334</v>
      </c>
      <c r="G1374" s="6">
        <v>4</v>
      </c>
      <c r="H1374" s="6">
        <v>13608</v>
      </c>
      <c r="I1374" s="6">
        <v>1</v>
      </c>
      <c r="J1374" s="6">
        <v>71</v>
      </c>
      <c r="K1374" s="6">
        <v>304</v>
      </c>
      <c r="L1374" s="6">
        <v>240</v>
      </c>
      <c r="M1374" s="6">
        <v>9.1875</v>
      </c>
      <c r="N1374">
        <f>VLOOKUP(A1374,vlookup_table!$A:$G,2,FALSE)</f>
        <v>1</v>
      </c>
      <c r="O1374" t="str">
        <f>VLOOKUP(A1374,vlookup_table!$A:$G,3,FALSE)</f>
        <v>KY</v>
      </c>
      <c r="P1374">
        <f>VLOOKUP(A1374,vlookup_table!$A:$G,4,FALSE)</f>
        <v>2601</v>
      </c>
      <c r="Q1374" t="str">
        <f>VLOOKUP(A1374,vlookup_table!$A:$G,5,FALSE)</f>
        <v>C3</v>
      </c>
      <c r="R1374" t="str">
        <f>VLOOKUP(A1374,vlookup_table!$A:$G,6,FALSE)</f>
        <v>M</v>
      </c>
      <c r="S1374">
        <f>VLOOKUP(A1374,vlookup_table!$A:$G,7,FALSE)</f>
        <v>12</v>
      </c>
      <c r="T1374">
        <f t="shared" si="42"/>
        <v>70</v>
      </c>
      <c r="U1374" t="str">
        <f t="shared" si="43"/>
        <v>Ciudad</v>
      </c>
    </row>
    <row r="1375" spans="1:21" ht="16" x14ac:dyDescent="0.4">
      <c r="A1375" s="6">
        <v>188385</v>
      </c>
      <c r="B1375" s="6" t="s">
        <v>20</v>
      </c>
      <c r="C1375" s="6" t="s">
        <v>17</v>
      </c>
      <c r="D1375" s="6">
        <v>262</v>
      </c>
      <c r="E1375" s="6">
        <v>150</v>
      </c>
      <c r="F1375" s="6">
        <v>228</v>
      </c>
      <c r="G1375" s="6">
        <v>0</v>
      </c>
      <c r="H1375" s="6">
        <v>8475</v>
      </c>
      <c r="I1375" s="6">
        <v>0</v>
      </c>
      <c r="J1375" s="6">
        <v>67</v>
      </c>
      <c r="K1375" s="6">
        <v>194</v>
      </c>
      <c r="L1375" s="6">
        <v>186</v>
      </c>
      <c r="M1375" s="6">
        <v>15</v>
      </c>
      <c r="N1375">
        <f>VLOOKUP(A1375,vlookup_table!$A:$G,2,FALSE)</f>
        <v>2</v>
      </c>
      <c r="O1375" t="str">
        <f>VLOOKUP(A1375,vlookup_table!$A:$G,3,FALSE)</f>
        <v>TX</v>
      </c>
      <c r="P1375">
        <f>VLOOKUP(A1375,vlookup_table!$A:$G,4,FALSE)</f>
        <v>1601</v>
      </c>
      <c r="Q1375" t="str">
        <f>VLOOKUP(A1375,vlookup_table!$A:$G,5,FALSE)</f>
        <v>T3</v>
      </c>
      <c r="R1375" t="str">
        <f>VLOOKUP(A1375,vlookup_table!$A:$G,6,FALSE)</f>
        <v>F</v>
      </c>
      <c r="S1375">
        <f>VLOOKUP(A1375,vlookup_table!$A:$G,7,FALSE)</f>
        <v>5</v>
      </c>
      <c r="T1375">
        <f t="shared" si="42"/>
        <v>80</v>
      </c>
      <c r="U1375" t="str">
        <f t="shared" si="43"/>
        <v>Pueblo</v>
      </c>
    </row>
    <row r="1376" spans="1:21" ht="16" x14ac:dyDescent="0.4">
      <c r="A1376" s="6">
        <v>65899</v>
      </c>
      <c r="B1376" s="6" t="s">
        <v>26</v>
      </c>
      <c r="C1376" s="6" t="s">
        <v>17</v>
      </c>
      <c r="D1376" s="6">
        <v>905</v>
      </c>
      <c r="E1376" s="6">
        <v>470</v>
      </c>
      <c r="F1376" s="6">
        <v>605</v>
      </c>
      <c r="G1376" s="6">
        <v>0</v>
      </c>
      <c r="H1376" s="6">
        <v>21564</v>
      </c>
      <c r="I1376" s="6">
        <v>11</v>
      </c>
      <c r="J1376" s="6">
        <v>70</v>
      </c>
      <c r="K1376" s="6">
        <v>533</v>
      </c>
      <c r="L1376" s="6">
        <v>549</v>
      </c>
      <c r="M1376" s="6">
        <v>7.25</v>
      </c>
      <c r="N1376">
        <f>VLOOKUP(A1376,vlookup_table!$A:$G,2,FALSE)</f>
        <v>28</v>
      </c>
      <c r="O1376" t="str">
        <f>VLOOKUP(A1376,vlookup_table!$A:$G,3,FALSE)</f>
        <v>MI</v>
      </c>
      <c r="P1376">
        <f>VLOOKUP(A1376,vlookup_table!$A:$G,4,FALSE)</f>
        <v>4301</v>
      </c>
      <c r="Q1376" t="str">
        <f>VLOOKUP(A1376,vlookup_table!$A:$G,5,FALSE)</f>
        <v>S2</v>
      </c>
      <c r="R1376" t="str">
        <f>VLOOKUP(A1376,vlookup_table!$A:$G,6,FALSE)</f>
        <v>F</v>
      </c>
      <c r="S1376">
        <f>VLOOKUP(A1376,vlookup_table!$A:$G,7,FALSE)</f>
        <v>10</v>
      </c>
      <c r="T1376">
        <f t="shared" si="42"/>
        <v>53</v>
      </c>
      <c r="U1376" t="str">
        <f t="shared" si="43"/>
        <v>Suburbano</v>
      </c>
    </row>
    <row r="1377" spans="1:21" ht="16" x14ac:dyDescent="0.4">
      <c r="A1377" s="6">
        <v>171302</v>
      </c>
      <c r="B1377" s="6" t="s">
        <v>21</v>
      </c>
      <c r="C1377" s="6" t="s">
        <v>17</v>
      </c>
      <c r="D1377" s="6">
        <v>1693</v>
      </c>
      <c r="E1377" s="6">
        <v>423</v>
      </c>
      <c r="F1377" s="6">
        <v>492</v>
      </c>
      <c r="G1377" s="6">
        <v>23</v>
      </c>
      <c r="H1377" s="6">
        <v>17493</v>
      </c>
      <c r="I1377" s="6">
        <v>6</v>
      </c>
      <c r="J1377" s="6">
        <v>58</v>
      </c>
      <c r="K1377" s="6">
        <v>467</v>
      </c>
      <c r="L1377" s="6">
        <v>457</v>
      </c>
      <c r="M1377" s="6">
        <v>11.66666667</v>
      </c>
      <c r="N1377">
        <f>VLOOKUP(A1377,vlookup_table!$A:$G,2,FALSE)</f>
        <v>0</v>
      </c>
      <c r="O1377" t="str">
        <f>VLOOKUP(A1377,vlookup_table!$A:$G,3,FALSE)</f>
        <v>CA</v>
      </c>
      <c r="P1377">
        <f>VLOOKUP(A1377,vlookup_table!$A:$G,4,FALSE)</f>
        <v>4701</v>
      </c>
      <c r="Q1377" t="str">
        <f>VLOOKUP(A1377,vlookup_table!$A:$G,5,FALSE)</f>
        <v>S1</v>
      </c>
      <c r="R1377" t="str">
        <f>VLOOKUP(A1377,vlookup_table!$A:$G,6,FALSE)</f>
        <v>F</v>
      </c>
      <c r="S1377">
        <f>VLOOKUP(A1377,vlookup_table!$A:$G,7,FALSE)</f>
        <v>15</v>
      </c>
      <c r="T1377">
        <f t="shared" si="42"/>
        <v>49</v>
      </c>
      <c r="U1377" t="str">
        <f t="shared" si="43"/>
        <v>Suburbano</v>
      </c>
    </row>
    <row r="1378" spans="1:21" ht="16" x14ac:dyDescent="0.4">
      <c r="A1378" s="6">
        <v>38106</v>
      </c>
      <c r="B1378" s="6" t="s">
        <v>13</v>
      </c>
      <c r="C1378" s="6" t="s">
        <v>17</v>
      </c>
      <c r="D1378" s="6">
        <v>1806</v>
      </c>
      <c r="E1378" s="6">
        <v>243</v>
      </c>
      <c r="F1378" s="6">
        <v>450</v>
      </c>
      <c r="G1378" s="6">
        <v>33</v>
      </c>
      <c r="H1378" s="6">
        <v>22969</v>
      </c>
      <c r="I1378" s="6">
        <v>38</v>
      </c>
      <c r="J1378" s="6">
        <v>5</v>
      </c>
      <c r="K1378" s="6">
        <v>312</v>
      </c>
      <c r="L1378" s="6">
        <v>338</v>
      </c>
      <c r="M1378" s="6">
        <v>2.7954545460000002</v>
      </c>
      <c r="N1378">
        <f>VLOOKUP(A1378,vlookup_table!$A:$G,2,FALSE)</f>
        <v>0</v>
      </c>
      <c r="O1378" t="str">
        <f>VLOOKUP(A1378,vlookup_table!$A:$G,3,FALSE)</f>
        <v>FL</v>
      </c>
      <c r="P1378">
        <f>VLOOKUP(A1378,vlookup_table!$A:$G,4,FALSE)</f>
        <v>804</v>
      </c>
      <c r="Q1378" t="str">
        <f>VLOOKUP(A1378,vlookup_table!$A:$G,5,FALSE)</f>
        <v>U2</v>
      </c>
      <c r="R1378" t="str">
        <f>VLOOKUP(A1378,vlookup_table!$A:$G,6,FALSE)</f>
        <v>F</v>
      </c>
      <c r="S1378">
        <f>VLOOKUP(A1378,vlookup_table!$A:$G,7,FALSE)</f>
        <v>3</v>
      </c>
      <c r="T1378">
        <f t="shared" si="42"/>
        <v>16</v>
      </c>
      <c r="U1378" t="str">
        <f t="shared" si="43"/>
        <v>Urbano</v>
      </c>
    </row>
    <row r="1379" spans="1:21" ht="16" x14ac:dyDescent="0.4">
      <c r="A1379" s="6">
        <v>35906</v>
      </c>
      <c r="B1379" s="6" t="s">
        <v>13</v>
      </c>
      <c r="C1379" s="6" t="s">
        <v>17</v>
      </c>
      <c r="D1379" s="6">
        <v>683</v>
      </c>
      <c r="E1379" s="6">
        <v>284</v>
      </c>
      <c r="F1379" s="6">
        <v>368</v>
      </c>
      <c r="G1379" s="6">
        <v>2</v>
      </c>
      <c r="H1379" s="6">
        <v>12396</v>
      </c>
      <c r="I1379" s="6">
        <v>4</v>
      </c>
      <c r="J1379" s="6">
        <v>32</v>
      </c>
      <c r="K1379" s="6">
        <v>325</v>
      </c>
      <c r="L1379" s="6">
        <v>313</v>
      </c>
      <c r="M1379" s="6">
        <v>15.33333333</v>
      </c>
      <c r="N1379">
        <f>VLOOKUP(A1379,vlookup_table!$A:$G,2,FALSE)</f>
        <v>0</v>
      </c>
      <c r="O1379" t="str">
        <f>VLOOKUP(A1379,vlookup_table!$A:$G,3,FALSE)</f>
        <v>FL</v>
      </c>
      <c r="P1379">
        <f>VLOOKUP(A1379,vlookup_table!$A:$G,4,FALSE)</f>
        <v>5701</v>
      </c>
      <c r="Q1379" t="str">
        <f>VLOOKUP(A1379,vlookup_table!$A:$G,5,FALSE)</f>
        <v>T2</v>
      </c>
      <c r="R1379" t="str">
        <f>VLOOKUP(A1379,vlookup_table!$A:$G,6,FALSE)</f>
        <v>F</v>
      </c>
      <c r="S1379">
        <f>VLOOKUP(A1379,vlookup_table!$A:$G,7,FALSE)</f>
        <v>15</v>
      </c>
      <c r="T1379">
        <f t="shared" si="42"/>
        <v>39</v>
      </c>
      <c r="U1379" t="str">
        <f t="shared" si="43"/>
        <v>Pueblo</v>
      </c>
    </row>
    <row r="1380" spans="1:21" ht="16" x14ac:dyDescent="0.4">
      <c r="A1380" s="6">
        <v>4513</v>
      </c>
      <c r="B1380" s="6" t="s">
        <v>26</v>
      </c>
      <c r="C1380" s="6" t="s">
        <v>14</v>
      </c>
      <c r="D1380" s="6">
        <v>630</v>
      </c>
      <c r="E1380" s="6">
        <v>355</v>
      </c>
      <c r="F1380" s="6">
        <v>437</v>
      </c>
      <c r="G1380" s="6">
        <v>0</v>
      </c>
      <c r="H1380" s="6">
        <v>15914</v>
      </c>
      <c r="I1380" s="6">
        <v>3</v>
      </c>
      <c r="J1380" s="6">
        <v>75</v>
      </c>
      <c r="K1380" s="6">
        <v>396</v>
      </c>
      <c r="L1380" s="6">
        <v>395</v>
      </c>
      <c r="M1380" s="6">
        <v>13</v>
      </c>
      <c r="N1380">
        <f>VLOOKUP(A1380,vlookup_table!$A:$G,2,FALSE)</f>
        <v>1</v>
      </c>
      <c r="O1380" t="str">
        <f>VLOOKUP(A1380,vlookup_table!$A:$G,3,FALSE)</f>
        <v>MI</v>
      </c>
      <c r="P1380">
        <f>VLOOKUP(A1380,vlookup_table!$A:$G,4,FALSE)</f>
        <v>2804</v>
      </c>
      <c r="Q1380" t="str">
        <f>VLOOKUP(A1380,vlookup_table!$A:$G,5,FALSE)</f>
        <v>C2</v>
      </c>
      <c r="R1380" t="str">
        <f>VLOOKUP(A1380,vlookup_table!$A:$G,6,FALSE)</f>
        <v>M</v>
      </c>
      <c r="S1380">
        <f>VLOOKUP(A1380,vlookup_table!$A:$G,7,FALSE)</f>
        <v>20</v>
      </c>
      <c r="T1380">
        <f t="shared" si="42"/>
        <v>68</v>
      </c>
      <c r="U1380" t="str">
        <f t="shared" si="43"/>
        <v>Ciudad</v>
      </c>
    </row>
    <row r="1381" spans="1:21" ht="16" x14ac:dyDescent="0.4">
      <c r="A1381" s="6">
        <v>14272</v>
      </c>
      <c r="B1381" s="6" t="s">
        <v>29</v>
      </c>
      <c r="C1381" s="6" t="s">
        <v>97</v>
      </c>
      <c r="D1381" s="6">
        <v>389</v>
      </c>
      <c r="E1381" s="6">
        <v>207</v>
      </c>
      <c r="F1381" s="6">
        <v>286</v>
      </c>
      <c r="G1381" s="6">
        <v>0</v>
      </c>
      <c r="H1381" s="6">
        <v>9933</v>
      </c>
      <c r="I1381" s="6">
        <v>1</v>
      </c>
      <c r="J1381" s="6">
        <v>69</v>
      </c>
      <c r="K1381" s="6">
        <v>234</v>
      </c>
      <c r="L1381" s="6">
        <v>253</v>
      </c>
      <c r="M1381" s="6">
        <v>12.66666667</v>
      </c>
      <c r="N1381">
        <f>VLOOKUP(A1381,vlookup_table!$A:$G,2,FALSE)</f>
        <v>0</v>
      </c>
      <c r="O1381" t="str">
        <f>VLOOKUP(A1381,vlookup_table!$A:$G,3,FALSE)</f>
        <v>AR</v>
      </c>
      <c r="P1381">
        <f>VLOOKUP(A1381,vlookup_table!$A:$G,4,FALSE)</f>
        <v>4001</v>
      </c>
      <c r="Q1381" t="str">
        <f>VLOOKUP(A1381,vlookup_table!$A:$G,5,FALSE)</f>
        <v>R2</v>
      </c>
      <c r="R1381" t="str">
        <f>VLOOKUP(A1381,vlookup_table!$A:$G,6,FALSE)</f>
        <v>F</v>
      </c>
      <c r="S1381">
        <f>VLOOKUP(A1381,vlookup_table!$A:$G,7,FALSE)</f>
        <v>20</v>
      </c>
      <c r="T1381">
        <f t="shared" si="42"/>
        <v>56</v>
      </c>
      <c r="U1381" t="str">
        <f t="shared" si="43"/>
        <v>Rural</v>
      </c>
    </row>
    <row r="1382" spans="1:21" ht="16" x14ac:dyDescent="0.4">
      <c r="A1382" s="6">
        <v>1779</v>
      </c>
      <c r="B1382" s="6" t="s">
        <v>29</v>
      </c>
      <c r="C1382" s="6" t="s">
        <v>14</v>
      </c>
      <c r="D1382" s="6">
        <v>417</v>
      </c>
      <c r="E1382" s="6">
        <v>131</v>
      </c>
      <c r="F1382" s="6">
        <v>282</v>
      </c>
      <c r="G1382" s="6">
        <v>0</v>
      </c>
      <c r="H1382" s="6">
        <v>6858</v>
      </c>
      <c r="I1382" s="6">
        <v>6</v>
      </c>
      <c r="J1382" s="6">
        <v>42</v>
      </c>
      <c r="K1382" s="6">
        <v>199</v>
      </c>
      <c r="L1382" s="6">
        <v>200</v>
      </c>
      <c r="M1382" s="6">
        <v>13</v>
      </c>
      <c r="N1382">
        <f>VLOOKUP(A1382,vlookup_table!$A:$G,2,FALSE)</f>
        <v>0</v>
      </c>
      <c r="O1382" t="str">
        <f>VLOOKUP(A1382,vlookup_table!$A:$G,3,FALSE)</f>
        <v>AR</v>
      </c>
      <c r="P1382">
        <f>VLOOKUP(A1382,vlookup_table!$A:$G,4,FALSE)</f>
        <v>0</v>
      </c>
      <c r="Q1382" t="str">
        <f>VLOOKUP(A1382,vlookup_table!$A:$G,5,FALSE)</f>
        <v>T3</v>
      </c>
      <c r="R1382" t="str">
        <f>VLOOKUP(A1382,vlookup_table!$A:$G,6,FALSE)</f>
        <v>M</v>
      </c>
      <c r="S1382">
        <f>VLOOKUP(A1382,vlookup_table!$A:$G,7,FALSE)</f>
        <v>125</v>
      </c>
      <c r="T1382">
        <f t="shared" si="42"/>
        <v>96</v>
      </c>
      <c r="U1382" t="str">
        <f t="shared" si="43"/>
        <v>Pueblo</v>
      </c>
    </row>
    <row r="1383" spans="1:21" ht="16" x14ac:dyDescent="0.4">
      <c r="A1383" s="6">
        <v>180512</v>
      </c>
      <c r="B1383" s="6" t="s">
        <v>37</v>
      </c>
      <c r="C1383" s="6" t="s">
        <v>14</v>
      </c>
      <c r="D1383" s="6">
        <v>731</v>
      </c>
      <c r="E1383" s="6">
        <v>304</v>
      </c>
      <c r="F1383" s="6">
        <v>382</v>
      </c>
      <c r="G1383" s="6">
        <v>1</v>
      </c>
      <c r="H1383" s="6">
        <v>13513</v>
      </c>
      <c r="I1383" s="6">
        <v>4</v>
      </c>
      <c r="J1383" s="6">
        <v>53</v>
      </c>
      <c r="K1383" s="6">
        <v>355</v>
      </c>
      <c r="L1383" s="6">
        <v>349</v>
      </c>
      <c r="M1383" s="6">
        <v>6.5789473679999997</v>
      </c>
      <c r="N1383">
        <f>VLOOKUP(A1383,vlookup_table!$A:$G,2,FALSE)</f>
        <v>2</v>
      </c>
      <c r="O1383" t="str">
        <f>VLOOKUP(A1383,vlookup_table!$A:$G,3,FALSE)</f>
        <v>WA</v>
      </c>
      <c r="P1383">
        <f>VLOOKUP(A1383,vlookup_table!$A:$G,4,FALSE)</f>
        <v>1312</v>
      </c>
      <c r="Q1383" t="str">
        <f>VLOOKUP(A1383,vlookup_table!$A:$G,5,FALSE)</f>
        <v>T2</v>
      </c>
      <c r="R1383" t="str">
        <f>VLOOKUP(A1383,vlookup_table!$A:$G,6,FALSE)</f>
        <v>M</v>
      </c>
      <c r="S1383">
        <f>VLOOKUP(A1383,vlookup_table!$A:$G,7,FALSE)</f>
        <v>10</v>
      </c>
      <c r="T1383">
        <f t="shared" si="42"/>
        <v>83</v>
      </c>
      <c r="U1383" t="str">
        <f t="shared" si="43"/>
        <v>Pueblo</v>
      </c>
    </row>
    <row r="1384" spans="1:21" ht="16" x14ac:dyDescent="0.4">
      <c r="A1384" s="6">
        <v>41065</v>
      </c>
      <c r="B1384" s="6" t="s">
        <v>23</v>
      </c>
      <c r="C1384" s="6" t="s">
        <v>17</v>
      </c>
      <c r="D1384" s="6">
        <v>1569</v>
      </c>
      <c r="E1384" s="6">
        <v>673</v>
      </c>
      <c r="F1384" s="6">
        <v>781</v>
      </c>
      <c r="G1384" s="6">
        <v>22</v>
      </c>
      <c r="H1384" s="6">
        <v>25775</v>
      </c>
      <c r="I1384" s="6">
        <v>3</v>
      </c>
      <c r="J1384" s="6">
        <v>44</v>
      </c>
      <c r="K1384" s="6">
        <v>672</v>
      </c>
      <c r="L1384" s="6">
        <v>785</v>
      </c>
      <c r="M1384" s="6">
        <v>12.5</v>
      </c>
      <c r="N1384">
        <f>VLOOKUP(A1384,vlookup_table!$A:$G,2,FALSE)</f>
        <v>0</v>
      </c>
      <c r="O1384" t="str">
        <f>VLOOKUP(A1384,vlookup_table!$A:$G,3,FALSE)</f>
        <v>NV</v>
      </c>
      <c r="P1384">
        <f>VLOOKUP(A1384,vlookup_table!$A:$G,4,FALSE)</f>
        <v>3401</v>
      </c>
      <c r="Q1384" t="str">
        <f>VLOOKUP(A1384,vlookup_table!$A:$G,5,FALSE)</f>
        <v>C3</v>
      </c>
      <c r="R1384" t="str">
        <f>VLOOKUP(A1384,vlookup_table!$A:$G,6,FALSE)</f>
        <v>F</v>
      </c>
      <c r="S1384">
        <f>VLOOKUP(A1384,vlookup_table!$A:$G,7,FALSE)</f>
        <v>15</v>
      </c>
      <c r="T1384">
        <f t="shared" si="42"/>
        <v>62</v>
      </c>
      <c r="U1384" t="str">
        <f t="shared" si="43"/>
        <v>Ciudad</v>
      </c>
    </row>
    <row r="1385" spans="1:21" ht="16" x14ac:dyDescent="0.4">
      <c r="A1385" s="6">
        <v>111949</v>
      </c>
      <c r="B1385" s="6" t="s">
        <v>29</v>
      </c>
      <c r="C1385" s="6" t="s">
        <v>97</v>
      </c>
      <c r="D1385" s="6">
        <v>335</v>
      </c>
      <c r="E1385" s="6">
        <v>166</v>
      </c>
      <c r="F1385" s="6">
        <v>239</v>
      </c>
      <c r="G1385" s="6">
        <v>0</v>
      </c>
      <c r="H1385" s="6">
        <v>8297</v>
      </c>
      <c r="I1385" s="6">
        <v>0</v>
      </c>
      <c r="J1385" s="6">
        <v>76</v>
      </c>
      <c r="K1385" s="6">
        <v>207</v>
      </c>
      <c r="L1385" s="6">
        <v>207</v>
      </c>
      <c r="M1385" s="6">
        <v>4.6060606059999998</v>
      </c>
      <c r="N1385">
        <f>VLOOKUP(A1385,vlookup_table!$A:$G,2,FALSE)</f>
        <v>0</v>
      </c>
      <c r="O1385" t="str">
        <f>VLOOKUP(A1385,vlookup_table!$A:$G,3,FALSE)</f>
        <v>AR</v>
      </c>
      <c r="P1385">
        <f>VLOOKUP(A1385,vlookup_table!$A:$G,4,FALSE)</f>
        <v>0</v>
      </c>
      <c r="Q1385" t="str">
        <f>VLOOKUP(A1385,vlookup_table!$A:$G,5,FALSE)</f>
        <v>R3</v>
      </c>
      <c r="R1385" t="str">
        <f>VLOOKUP(A1385,vlookup_table!$A:$G,6,FALSE)</f>
        <v>F</v>
      </c>
      <c r="S1385">
        <f>VLOOKUP(A1385,vlookup_table!$A:$G,7,FALSE)</f>
        <v>5</v>
      </c>
      <c r="T1385">
        <f t="shared" si="42"/>
        <v>96</v>
      </c>
      <c r="U1385" t="str">
        <f t="shared" si="43"/>
        <v>Rural</v>
      </c>
    </row>
    <row r="1386" spans="1:21" ht="16" x14ac:dyDescent="0.4">
      <c r="A1386" s="6">
        <v>35043</v>
      </c>
      <c r="B1386" s="6" t="s">
        <v>13</v>
      </c>
      <c r="C1386" s="6" t="s">
        <v>14</v>
      </c>
      <c r="D1386" s="6">
        <v>1357</v>
      </c>
      <c r="E1386" s="6">
        <v>521</v>
      </c>
      <c r="F1386" s="6">
        <v>587</v>
      </c>
      <c r="G1386" s="6">
        <v>26</v>
      </c>
      <c r="H1386" s="6">
        <v>20642</v>
      </c>
      <c r="I1386" s="6">
        <v>4</v>
      </c>
      <c r="J1386" s="6">
        <v>30</v>
      </c>
      <c r="K1386" s="6">
        <v>534</v>
      </c>
      <c r="L1386" s="6">
        <v>571</v>
      </c>
      <c r="M1386" s="6">
        <v>13</v>
      </c>
      <c r="N1386">
        <f>VLOOKUP(A1386,vlookup_table!$A:$G,2,FALSE)</f>
        <v>1</v>
      </c>
      <c r="O1386" t="str">
        <f>VLOOKUP(A1386,vlookup_table!$A:$G,3,FALSE)</f>
        <v>FL</v>
      </c>
      <c r="P1386">
        <f>VLOOKUP(A1386,vlookup_table!$A:$G,4,FALSE)</f>
        <v>4304</v>
      </c>
      <c r="Q1386" t="str">
        <f>VLOOKUP(A1386,vlookup_table!$A:$G,5,FALSE)</f>
        <v>C1</v>
      </c>
      <c r="R1386" t="str">
        <f>VLOOKUP(A1386,vlookup_table!$A:$G,6,FALSE)</f>
        <v>M</v>
      </c>
      <c r="S1386">
        <f>VLOOKUP(A1386,vlookup_table!$A:$G,7,FALSE)</f>
        <v>16</v>
      </c>
      <c r="T1386">
        <f t="shared" si="42"/>
        <v>53</v>
      </c>
      <c r="U1386" t="str">
        <f t="shared" si="43"/>
        <v>Ciudad</v>
      </c>
    </row>
    <row r="1387" spans="1:21" ht="16" x14ac:dyDescent="0.4">
      <c r="A1387" s="6">
        <v>86311</v>
      </c>
      <c r="B1387" s="6" t="s">
        <v>48</v>
      </c>
      <c r="C1387" s="6" t="s">
        <v>27</v>
      </c>
      <c r="D1387" s="6">
        <v>530</v>
      </c>
      <c r="E1387" s="6">
        <v>309</v>
      </c>
      <c r="F1387" s="6">
        <v>375</v>
      </c>
      <c r="G1387" s="6">
        <v>0</v>
      </c>
      <c r="H1387" s="6">
        <v>11438</v>
      </c>
      <c r="I1387" s="6">
        <v>1</v>
      </c>
      <c r="J1387" s="6">
        <v>80</v>
      </c>
      <c r="K1387" s="6">
        <v>375</v>
      </c>
      <c r="L1387" s="6">
        <v>276</v>
      </c>
      <c r="M1387" s="6">
        <v>5.5</v>
      </c>
      <c r="N1387">
        <f>VLOOKUP(A1387,vlookup_table!$A:$G,2,FALSE)</f>
        <v>0</v>
      </c>
      <c r="O1387" t="str">
        <f>VLOOKUP(A1387,vlookup_table!$A:$G,3,FALSE)</f>
        <v>SD</v>
      </c>
      <c r="P1387">
        <f>VLOOKUP(A1387,vlookup_table!$A:$G,4,FALSE)</f>
        <v>0</v>
      </c>
      <c r="Q1387" t="str">
        <f>VLOOKUP(A1387,vlookup_table!$A:$G,5,FALSE)</f>
        <v>R2</v>
      </c>
      <c r="R1387" t="str">
        <f>VLOOKUP(A1387,vlookup_table!$A:$G,6,FALSE)</f>
        <v>U</v>
      </c>
      <c r="S1387">
        <f>VLOOKUP(A1387,vlookup_table!$A:$G,7,FALSE)</f>
        <v>6</v>
      </c>
      <c r="T1387">
        <f t="shared" si="42"/>
        <v>96</v>
      </c>
      <c r="U1387" t="str">
        <f t="shared" si="43"/>
        <v>Rural</v>
      </c>
    </row>
    <row r="1388" spans="1:21" ht="16" x14ac:dyDescent="0.4">
      <c r="A1388" s="6">
        <v>182293</v>
      </c>
      <c r="B1388" s="6" t="s">
        <v>37</v>
      </c>
      <c r="C1388" s="6" t="s">
        <v>14</v>
      </c>
      <c r="D1388" s="6">
        <v>883</v>
      </c>
      <c r="E1388" s="6">
        <v>294</v>
      </c>
      <c r="F1388" s="6">
        <v>363</v>
      </c>
      <c r="G1388" s="6">
        <v>6</v>
      </c>
      <c r="H1388" s="6">
        <v>13642</v>
      </c>
      <c r="I1388" s="6">
        <v>2</v>
      </c>
      <c r="J1388" s="6">
        <v>66</v>
      </c>
      <c r="K1388" s="6">
        <v>315</v>
      </c>
      <c r="L1388" s="6">
        <v>355</v>
      </c>
      <c r="M1388" s="6">
        <v>14.25</v>
      </c>
      <c r="N1388">
        <f>VLOOKUP(A1388,vlookup_table!$A:$G,2,FALSE)</f>
        <v>1</v>
      </c>
      <c r="O1388" t="str">
        <f>VLOOKUP(A1388,vlookup_table!$A:$G,3,FALSE)</f>
        <v>WA</v>
      </c>
      <c r="P1388">
        <f>VLOOKUP(A1388,vlookup_table!$A:$G,4,FALSE)</f>
        <v>0</v>
      </c>
      <c r="Q1388" t="str">
        <f>VLOOKUP(A1388,vlookup_table!$A:$G,5,FALSE)</f>
        <v>C2</v>
      </c>
      <c r="R1388" t="str">
        <f>VLOOKUP(A1388,vlookup_table!$A:$G,6,FALSE)</f>
        <v>M</v>
      </c>
      <c r="S1388">
        <f>VLOOKUP(A1388,vlookup_table!$A:$G,7,FALSE)</f>
        <v>19</v>
      </c>
      <c r="T1388">
        <f t="shared" si="42"/>
        <v>96</v>
      </c>
      <c r="U1388" t="str">
        <f t="shared" si="43"/>
        <v>Ciudad</v>
      </c>
    </row>
    <row r="1389" spans="1:21" ht="16" x14ac:dyDescent="0.4">
      <c r="A1389" s="6">
        <v>179023</v>
      </c>
      <c r="B1389" s="6" t="s">
        <v>37</v>
      </c>
      <c r="C1389" s="6" t="s">
        <v>14</v>
      </c>
      <c r="D1389" s="6">
        <v>982</v>
      </c>
      <c r="E1389" s="6">
        <v>318</v>
      </c>
      <c r="F1389" s="6">
        <v>384</v>
      </c>
      <c r="G1389" s="6">
        <v>0</v>
      </c>
      <c r="H1389" s="6">
        <v>12744</v>
      </c>
      <c r="I1389" s="6">
        <v>5</v>
      </c>
      <c r="J1389" s="6">
        <v>61</v>
      </c>
      <c r="K1389" s="6">
        <v>388</v>
      </c>
      <c r="L1389" s="6">
        <v>341</v>
      </c>
      <c r="M1389" s="6">
        <v>20</v>
      </c>
      <c r="N1389">
        <f>VLOOKUP(A1389,vlookup_table!$A:$G,2,FALSE)</f>
        <v>1</v>
      </c>
      <c r="O1389" t="str">
        <f>VLOOKUP(A1389,vlookup_table!$A:$G,3,FALSE)</f>
        <v>WA</v>
      </c>
      <c r="P1389">
        <f>VLOOKUP(A1389,vlookup_table!$A:$G,4,FALSE)</f>
        <v>0</v>
      </c>
      <c r="Q1389" t="str">
        <f>VLOOKUP(A1389,vlookup_table!$A:$G,5,FALSE)</f>
        <v>S2</v>
      </c>
      <c r="R1389" t="str">
        <f>VLOOKUP(A1389,vlookup_table!$A:$G,6,FALSE)</f>
        <v>M</v>
      </c>
      <c r="S1389">
        <f>VLOOKUP(A1389,vlookup_table!$A:$G,7,FALSE)</f>
        <v>35</v>
      </c>
      <c r="T1389">
        <f t="shared" si="42"/>
        <v>96</v>
      </c>
      <c r="U1389" t="str">
        <f t="shared" si="43"/>
        <v>Suburbano</v>
      </c>
    </row>
    <row r="1390" spans="1:21" ht="16" x14ac:dyDescent="0.4">
      <c r="A1390" s="6">
        <v>65481</v>
      </c>
      <c r="B1390" s="6" t="s">
        <v>26</v>
      </c>
      <c r="C1390" s="6" t="s">
        <v>14</v>
      </c>
      <c r="D1390" s="6">
        <v>663</v>
      </c>
      <c r="E1390" s="6">
        <v>432</v>
      </c>
      <c r="F1390" s="6">
        <v>534</v>
      </c>
      <c r="G1390" s="6">
        <v>0</v>
      </c>
      <c r="H1390" s="6">
        <v>16668</v>
      </c>
      <c r="I1390" s="6">
        <v>5</v>
      </c>
      <c r="J1390" s="6">
        <v>64</v>
      </c>
      <c r="K1390" s="6">
        <v>501</v>
      </c>
      <c r="L1390" s="6">
        <v>483</v>
      </c>
      <c r="M1390" s="6">
        <v>15</v>
      </c>
      <c r="N1390">
        <f>VLOOKUP(A1390,vlookup_table!$A:$G,2,FALSE)</f>
        <v>1</v>
      </c>
      <c r="O1390" t="str">
        <f>VLOOKUP(A1390,vlookup_table!$A:$G,3,FALSE)</f>
        <v>MI</v>
      </c>
      <c r="P1390">
        <f>VLOOKUP(A1390,vlookup_table!$A:$G,4,FALSE)</f>
        <v>4401</v>
      </c>
      <c r="Q1390" t="str">
        <f>VLOOKUP(A1390,vlookup_table!$A:$G,5,FALSE)</f>
        <v>U2</v>
      </c>
      <c r="R1390" t="str">
        <f>VLOOKUP(A1390,vlookup_table!$A:$G,6,FALSE)</f>
        <v>M</v>
      </c>
      <c r="S1390">
        <f>VLOOKUP(A1390,vlookup_table!$A:$G,7,FALSE)</f>
        <v>20</v>
      </c>
      <c r="T1390">
        <f t="shared" si="42"/>
        <v>52</v>
      </c>
      <c r="U1390" t="str">
        <f t="shared" si="43"/>
        <v>Urbano</v>
      </c>
    </row>
    <row r="1391" spans="1:21" ht="16" x14ac:dyDescent="0.4">
      <c r="A1391" s="6">
        <v>21144</v>
      </c>
      <c r="B1391" s="6" t="s">
        <v>18</v>
      </c>
      <c r="C1391" s="6" t="s">
        <v>14</v>
      </c>
      <c r="D1391" s="6">
        <v>827</v>
      </c>
      <c r="E1391" s="6">
        <v>240</v>
      </c>
      <c r="F1391" s="6">
        <v>319</v>
      </c>
      <c r="G1391" s="6">
        <v>8</v>
      </c>
      <c r="H1391" s="6">
        <v>12413</v>
      </c>
      <c r="I1391" s="6">
        <v>1</v>
      </c>
      <c r="J1391" s="6">
        <v>60</v>
      </c>
      <c r="K1391" s="6">
        <v>275</v>
      </c>
      <c r="L1391" s="6">
        <v>297</v>
      </c>
      <c r="M1391" s="6">
        <v>6.3125</v>
      </c>
      <c r="N1391">
        <f>VLOOKUP(A1391,vlookup_table!$A:$G,2,FALSE)</f>
        <v>2</v>
      </c>
      <c r="O1391" t="str">
        <f>VLOOKUP(A1391,vlookup_table!$A:$G,3,FALSE)</f>
        <v>NC</v>
      </c>
      <c r="P1391">
        <f>VLOOKUP(A1391,vlookup_table!$A:$G,4,FALSE)</f>
        <v>0</v>
      </c>
      <c r="Q1391" t="str">
        <f>VLOOKUP(A1391,vlookup_table!$A:$G,5,FALSE)</f>
        <v>R2</v>
      </c>
      <c r="R1391" t="str">
        <f>VLOOKUP(A1391,vlookup_table!$A:$G,6,FALSE)</f>
        <v>M</v>
      </c>
      <c r="S1391">
        <f>VLOOKUP(A1391,vlookup_table!$A:$G,7,FALSE)</f>
        <v>6</v>
      </c>
      <c r="T1391">
        <f t="shared" si="42"/>
        <v>96</v>
      </c>
      <c r="U1391" t="str">
        <f t="shared" si="43"/>
        <v>Rural</v>
      </c>
    </row>
    <row r="1392" spans="1:21" ht="16" x14ac:dyDescent="0.4">
      <c r="A1392" s="6">
        <v>9390</v>
      </c>
      <c r="B1392" s="6" t="s">
        <v>26</v>
      </c>
      <c r="C1392" s="6" t="s">
        <v>17</v>
      </c>
      <c r="D1392" s="6">
        <v>266</v>
      </c>
      <c r="E1392" s="6">
        <v>146</v>
      </c>
      <c r="F1392" s="6">
        <v>211</v>
      </c>
      <c r="G1392" s="6">
        <v>0</v>
      </c>
      <c r="H1392" s="6">
        <v>7863</v>
      </c>
      <c r="I1392" s="6">
        <v>16</v>
      </c>
      <c r="J1392" s="6">
        <v>72</v>
      </c>
      <c r="K1392" s="6">
        <v>167</v>
      </c>
      <c r="L1392" s="6">
        <v>217</v>
      </c>
      <c r="M1392" s="6">
        <v>8.09375</v>
      </c>
      <c r="N1392">
        <f>VLOOKUP(A1392,vlookup_table!$A:$G,2,FALSE)</f>
        <v>3</v>
      </c>
      <c r="O1392" t="str">
        <f>VLOOKUP(A1392,vlookup_table!$A:$G,3,FALSE)</f>
        <v>MI</v>
      </c>
      <c r="P1392">
        <f>VLOOKUP(A1392,vlookup_table!$A:$G,4,FALSE)</f>
        <v>4009</v>
      </c>
      <c r="Q1392" t="str">
        <f>VLOOKUP(A1392,vlookup_table!$A:$G,5,FALSE)</f>
        <v>U4</v>
      </c>
      <c r="R1392" t="str">
        <f>VLOOKUP(A1392,vlookup_table!$A:$G,6,FALSE)</f>
        <v>F</v>
      </c>
      <c r="S1392">
        <f>VLOOKUP(A1392,vlookup_table!$A:$G,7,FALSE)</f>
        <v>5</v>
      </c>
      <c r="T1392">
        <f t="shared" si="42"/>
        <v>56</v>
      </c>
      <c r="U1392" t="str">
        <f t="shared" si="43"/>
        <v>Urbano</v>
      </c>
    </row>
    <row r="1393" spans="1:21" ht="16" x14ac:dyDescent="0.4">
      <c r="A1393" s="6">
        <v>157973</v>
      </c>
      <c r="B1393" s="6" t="s">
        <v>21</v>
      </c>
      <c r="C1393" s="6" t="s">
        <v>14</v>
      </c>
      <c r="D1393" s="6">
        <v>1967</v>
      </c>
      <c r="E1393" s="6">
        <v>371</v>
      </c>
      <c r="F1393" s="6">
        <v>436</v>
      </c>
      <c r="G1393" s="6">
        <v>45</v>
      </c>
      <c r="H1393" s="6">
        <v>24029</v>
      </c>
      <c r="I1393" s="6">
        <v>8</v>
      </c>
      <c r="J1393" s="6">
        <v>15</v>
      </c>
      <c r="K1393" s="6">
        <v>409</v>
      </c>
      <c r="L1393" s="6">
        <v>403</v>
      </c>
      <c r="M1393" s="6">
        <v>10.5</v>
      </c>
      <c r="N1393">
        <f>VLOOKUP(A1393,vlookup_table!$A:$G,2,FALSE)</f>
        <v>1</v>
      </c>
      <c r="O1393" t="str">
        <f>VLOOKUP(A1393,vlookup_table!$A:$G,3,FALSE)</f>
        <v>CA</v>
      </c>
      <c r="P1393">
        <f>VLOOKUP(A1393,vlookup_table!$A:$G,4,FALSE)</f>
        <v>2001</v>
      </c>
      <c r="Q1393" t="str">
        <f>VLOOKUP(A1393,vlookup_table!$A:$G,5,FALSE)</f>
        <v>C1</v>
      </c>
      <c r="R1393" t="str">
        <f>VLOOKUP(A1393,vlookup_table!$A:$G,6,FALSE)</f>
        <v>M</v>
      </c>
      <c r="S1393">
        <f>VLOOKUP(A1393,vlookup_table!$A:$G,7,FALSE)</f>
        <v>12</v>
      </c>
      <c r="T1393">
        <f t="shared" si="42"/>
        <v>76</v>
      </c>
      <c r="U1393" t="str">
        <f t="shared" si="43"/>
        <v>Ciudad</v>
      </c>
    </row>
    <row r="1394" spans="1:21" ht="16" x14ac:dyDescent="0.4">
      <c r="A1394" s="6">
        <v>176890</v>
      </c>
      <c r="B1394" s="6" t="s">
        <v>47</v>
      </c>
      <c r="C1394" s="6" t="s">
        <v>17</v>
      </c>
      <c r="D1394" s="6">
        <v>470</v>
      </c>
      <c r="E1394" s="6">
        <v>305</v>
      </c>
      <c r="F1394" s="6">
        <v>355</v>
      </c>
      <c r="G1394" s="6">
        <v>1</v>
      </c>
      <c r="H1394" s="6">
        <v>11035</v>
      </c>
      <c r="I1394" s="6">
        <v>6</v>
      </c>
      <c r="J1394" s="6">
        <v>45</v>
      </c>
      <c r="K1394" s="6">
        <v>339</v>
      </c>
      <c r="L1394" s="6">
        <v>318</v>
      </c>
      <c r="M1394" s="6">
        <v>5.625</v>
      </c>
      <c r="N1394">
        <f>VLOOKUP(A1394,vlookup_table!$A:$G,2,FALSE)</f>
        <v>0</v>
      </c>
      <c r="O1394" t="str">
        <f>VLOOKUP(A1394,vlookup_table!$A:$G,3,FALSE)</f>
        <v>OR</v>
      </c>
      <c r="P1394">
        <f>VLOOKUP(A1394,vlookup_table!$A:$G,4,FALSE)</f>
        <v>3001</v>
      </c>
      <c r="Q1394" t="str">
        <f>VLOOKUP(A1394,vlookup_table!$A:$G,5,FALSE)</f>
        <v>T2</v>
      </c>
      <c r="R1394" t="str">
        <f>VLOOKUP(A1394,vlookup_table!$A:$G,6,FALSE)</f>
        <v>F</v>
      </c>
      <c r="S1394">
        <f>VLOOKUP(A1394,vlookup_table!$A:$G,7,FALSE)</f>
        <v>8</v>
      </c>
      <c r="T1394">
        <f t="shared" si="42"/>
        <v>66</v>
      </c>
      <c r="U1394" t="str">
        <f t="shared" si="43"/>
        <v>Pueblo</v>
      </c>
    </row>
    <row r="1395" spans="1:21" ht="16" x14ac:dyDescent="0.4">
      <c r="A1395" s="6">
        <v>65181</v>
      </c>
      <c r="B1395" s="6" t="s">
        <v>26</v>
      </c>
      <c r="C1395" s="6" t="s">
        <v>14</v>
      </c>
      <c r="D1395" s="6">
        <v>626</v>
      </c>
      <c r="E1395" s="6">
        <v>356</v>
      </c>
      <c r="F1395" s="6">
        <v>440</v>
      </c>
      <c r="G1395" s="6">
        <v>2</v>
      </c>
      <c r="H1395" s="6">
        <v>16309</v>
      </c>
      <c r="I1395" s="6">
        <v>2</v>
      </c>
      <c r="J1395" s="6">
        <v>83</v>
      </c>
      <c r="K1395" s="6">
        <v>388</v>
      </c>
      <c r="L1395" s="6">
        <v>392</v>
      </c>
      <c r="M1395" s="6">
        <v>9.8000000000000007</v>
      </c>
      <c r="N1395">
        <f>VLOOKUP(A1395,vlookup_table!$A:$G,2,FALSE)</f>
        <v>2</v>
      </c>
      <c r="O1395" t="str">
        <f>VLOOKUP(A1395,vlookup_table!$A:$G,3,FALSE)</f>
        <v>MI</v>
      </c>
      <c r="P1395">
        <f>VLOOKUP(A1395,vlookup_table!$A:$G,4,FALSE)</f>
        <v>3603</v>
      </c>
      <c r="Q1395" t="str">
        <f>VLOOKUP(A1395,vlookup_table!$A:$G,5,FALSE)</f>
        <v>C2</v>
      </c>
      <c r="R1395" t="str">
        <f>VLOOKUP(A1395,vlookup_table!$A:$G,6,FALSE)</f>
        <v>M</v>
      </c>
      <c r="S1395">
        <f>VLOOKUP(A1395,vlookup_table!$A:$G,7,FALSE)</f>
        <v>11</v>
      </c>
      <c r="T1395">
        <f t="shared" si="42"/>
        <v>60</v>
      </c>
      <c r="U1395" t="str">
        <f t="shared" si="43"/>
        <v>Ciudad</v>
      </c>
    </row>
    <row r="1396" spans="1:21" ht="16" x14ac:dyDescent="0.4">
      <c r="A1396" s="6">
        <v>181083</v>
      </c>
      <c r="B1396" s="6" t="s">
        <v>37</v>
      </c>
      <c r="C1396" s="6" t="s">
        <v>14</v>
      </c>
      <c r="D1396" s="6">
        <v>1521</v>
      </c>
      <c r="E1396" s="6">
        <v>412</v>
      </c>
      <c r="F1396" s="6">
        <v>543</v>
      </c>
      <c r="G1396" s="6">
        <v>33</v>
      </c>
      <c r="H1396" s="6">
        <v>19703</v>
      </c>
      <c r="I1396" s="6">
        <v>3</v>
      </c>
      <c r="J1396" s="6">
        <v>64</v>
      </c>
      <c r="K1396" s="6">
        <v>422</v>
      </c>
      <c r="L1396" s="6">
        <v>497</v>
      </c>
      <c r="M1396" s="6">
        <v>8.5714285710000002</v>
      </c>
      <c r="N1396">
        <f>VLOOKUP(A1396,vlookup_table!$A:$G,2,FALSE)</f>
        <v>1</v>
      </c>
      <c r="O1396" t="str">
        <f>VLOOKUP(A1396,vlookup_table!$A:$G,3,FALSE)</f>
        <v>WA</v>
      </c>
      <c r="P1396">
        <f>VLOOKUP(A1396,vlookup_table!$A:$G,4,FALSE)</f>
        <v>5001</v>
      </c>
      <c r="Q1396" t="str">
        <f>VLOOKUP(A1396,vlookup_table!$A:$G,5,FALSE)</f>
        <v>T2</v>
      </c>
      <c r="R1396" t="str">
        <f>VLOOKUP(A1396,vlookup_table!$A:$G,6,FALSE)</f>
        <v>M</v>
      </c>
      <c r="S1396">
        <f>VLOOKUP(A1396,vlookup_table!$A:$G,7,FALSE)</f>
        <v>5</v>
      </c>
      <c r="T1396">
        <f t="shared" si="42"/>
        <v>46</v>
      </c>
      <c r="U1396" t="str">
        <f t="shared" si="43"/>
        <v>Pueblo</v>
      </c>
    </row>
    <row r="1397" spans="1:21" ht="16" x14ac:dyDescent="0.4">
      <c r="A1397" s="6">
        <v>175951</v>
      </c>
      <c r="B1397" s="6" t="s">
        <v>47</v>
      </c>
      <c r="C1397" s="6" t="s">
        <v>17</v>
      </c>
      <c r="D1397" s="6">
        <v>584</v>
      </c>
      <c r="E1397" s="6">
        <v>282</v>
      </c>
      <c r="F1397" s="6">
        <v>347</v>
      </c>
      <c r="G1397" s="6">
        <v>0</v>
      </c>
      <c r="H1397" s="6">
        <v>13789</v>
      </c>
      <c r="I1397" s="6">
        <v>7</v>
      </c>
      <c r="J1397" s="6">
        <v>51</v>
      </c>
      <c r="K1397" s="6">
        <v>314</v>
      </c>
      <c r="L1397" s="6">
        <v>318</v>
      </c>
      <c r="M1397" s="6">
        <v>10.4</v>
      </c>
      <c r="N1397">
        <f>VLOOKUP(A1397,vlookup_table!$A:$G,2,FALSE)</f>
        <v>2</v>
      </c>
      <c r="O1397" t="str">
        <f>VLOOKUP(A1397,vlookup_table!$A:$G,3,FALSE)</f>
        <v>OR</v>
      </c>
      <c r="P1397">
        <f>VLOOKUP(A1397,vlookup_table!$A:$G,4,FALSE)</f>
        <v>4501</v>
      </c>
      <c r="Q1397" t="str">
        <f>VLOOKUP(A1397,vlookup_table!$A:$G,5,FALSE)</f>
        <v>S2</v>
      </c>
      <c r="R1397" t="str">
        <f>VLOOKUP(A1397,vlookup_table!$A:$G,6,FALSE)</f>
        <v>F</v>
      </c>
      <c r="S1397">
        <f>VLOOKUP(A1397,vlookup_table!$A:$G,7,FALSE)</f>
        <v>15</v>
      </c>
      <c r="T1397">
        <f t="shared" si="42"/>
        <v>51</v>
      </c>
      <c r="U1397" t="str">
        <f t="shared" si="43"/>
        <v>Suburbano</v>
      </c>
    </row>
    <row r="1398" spans="1:21" ht="16" x14ac:dyDescent="0.4">
      <c r="A1398" s="6">
        <v>20966</v>
      </c>
      <c r="B1398" s="6" t="s">
        <v>18</v>
      </c>
      <c r="C1398" s="6" t="s">
        <v>97</v>
      </c>
      <c r="D1398" s="6">
        <v>588</v>
      </c>
      <c r="E1398" s="6">
        <v>257</v>
      </c>
      <c r="F1398" s="6">
        <v>318</v>
      </c>
      <c r="G1398" s="6">
        <v>0</v>
      </c>
      <c r="H1398" s="6">
        <v>10225</v>
      </c>
      <c r="I1398" s="6">
        <v>2</v>
      </c>
      <c r="J1398" s="6">
        <v>56</v>
      </c>
      <c r="K1398" s="6">
        <v>288</v>
      </c>
      <c r="L1398" s="6">
        <v>285</v>
      </c>
      <c r="M1398" s="6">
        <v>19</v>
      </c>
      <c r="N1398">
        <f>VLOOKUP(A1398,vlookup_table!$A:$G,2,FALSE)</f>
        <v>28</v>
      </c>
      <c r="O1398" t="str">
        <f>VLOOKUP(A1398,vlookup_table!$A:$G,3,FALSE)</f>
        <v>NC</v>
      </c>
      <c r="P1398">
        <f>VLOOKUP(A1398,vlookup_table!$A:$G,4,FALSE)</f>
        <v>4801</v>
      </c>
      <c r="Q1398" t="str">
        <f>VLOOKUP(A1398,vlookup_table!$A:$G,5,FALSE)</f>
        <v>T2</v>
      </c>
      <c r="R1398" t="str">
        <f>VLOOKUP(A1398,vlookup_table!$A:$G,6,FALSE)</f>
        <v>F</v>
      </c>
      <c r="S1398">
        <f>VLOOKUP(A1398,vlookup_table!$A:$G,7,FALSE)</f>
        <v>20</v>
      </c>
      <c r="T1398">
        <f t="shared" si="42"/>
        <v>48</v>
      </c>
      <c r="U1398" t="str">
        <f t="shared" si="43"/>
        <v>Pueblo</v>
      </c>
    </row>
    <row r="1399" spans="1:21" ht="16" x14ac:dyDescent="0.4">
      <c r="A1399" s="6">
        <v>91779</v>
      </c>
      <c r="B1399" s="6" t="s">
        <v>16</v>
      </c>
      <c r="C1399" s="6" t="s">
        <v>17</v>
      </c>
      <c r="D1399" s="6">
        <v>1063</v>
      </c>
      <c r="E1399" s="6">
        <v>294</v>
      </c>
      <c r="F1399" s="6">
        <v>434</v>
      </c>
      <c r="G1399" s="6">
        <v>0</v>
      </c>
      <c r="H1399" s="6">
        <v>18383</v>
      </c>
      <c r="I1399" s="6">
        <v>5</v>
      </c>
      <c r="J1399" s="6">
        <v>79</v>
      </c>
      <c r="K1399" s="6">
        <v>360</v>
      </c>
      <c r="L1399" s="6">
        <v>354</v>
      </c>
      <c r="M1399" s="6">
        <v>20</v>
      </c>
      <c r="N1399">
        <f>VLOOKUP(A1399,vlookup_table!$A:$G,2,FALSE)</f>
        <v>0</v>
      </c>
      <c r="O1399" t="str">
        <f>VLOOKUP(A1399,vlookup_table!$A:$G,3,FALSE)</f>
        <v>IL</v>
      </c>
      <c r="P1399">
        <f>VLOOKUP(A1399,vlookup_table!$A:$G,4,FALSE)</f>
        <v>6001</v>
      </c>
      <c r="Q1399" t="str">
        <f>VLOOKUP(A1399,vlookup_table!$A:$G,5,FALSE)</f>
        <v>C2</v>
      </c>
      <c r="R1399" t="str">
        <f>VLOOKUP(A1399,vlookup_table!$A:$G,6,FALSE)</f>
        <v>F</v>
      </c>
      <c r="S1399">
        <f>VLOOKUP(A1399,vlookup_table!$A:$G,7,FALSE)</f>
        <v>20</v>
      </c>
      <c r="T1399">
        <f t="shared" si="42"/>
        <v>36</v>
      </c>
      <c r="U1399" t="str">
        <f t="shared" si="43"/>
        <v>Ciudad</v>
      </c>
    </row>
    <row r="1400" spans="1:21" ht="16" x14ac:dyDescent="0.4">
      <c r="A1400" s="6">
        <v>98099</v>
      </c>
      <c r="B1400" s="6" t="s">
        <v>16</v>
      </c>
      <c r="C1400" s="6" t="s">
        <v>17</v>
      </c>
      <c r="D1400" s="6">
        <v>588</v>
      </c>
      <c r="E1400" s="6">
        <v>272</v>
      </c>
      <c r="F1400" s="6">
        <v>387</v>
      </c>
      <c r="G1400" s="6">
        <v>2</v>
      </c>
      <c r="H1400" s="6">
        <v>13570</v>
      </c>
      <c r="I1400" s="6">
        <v>1</v>
      </c>
      <c r="J1400" s="6">
        <v>85</v>
      </c>
      <c r="K1400" s="6">
        <v>345</v>
      </c>
      <c r="L1400" s="6">
        <v>331</v>
      </c>
      <c r="M1400" s="6">
        <v>13.33333333</v>
      </c>
      <c r="N1400">
        <f>VLOOKUP(A1400,vlookup_table!$A:$G,2,FALSE)</f>
        <v>0</v>
      </c>
      <c r="O1400" t="str">
        <f>VLOOKUP(A1400,vlookup_table!$A:$G,3,FALSE)</f>
        <v>IL</v>
      </c>
      <c r="P1400">
        <f>VLOOKUP(A1400,vlookup_table!$A:$G,4,FALSE)</f>
        <v>6601</v>
      </c>
      <c r="Q1400" t="str">
        <f>VLOOKUP(A1400,vlookup_table!$A:$G,5,FALSE)</f>
        <v>R2</v>
      </c>
      <c r="R1400" t="str">
        <f>VLOOKUP(A1400,vlookup_table!$A:$G,6,FALSE)</f>
        <v>F</v>
      </c>
      <c r="S1400">
        <f>VLOOKUP(A1400,vlookup_table!$A:$G,7,FALSE)</f>
        <v>21</v>
      </c>
      <c r="T1400">
        <f t="shared" si="42"/>
        <v>30</v>
      </c>
      <c r="U1400" t="str">
        <f t="shared" si="43"/>
        <v>Rural</v>
      </c>
    </row>
    <row r="1401" spans="1:21" ht="16" x14ac:dyDescent="0.4">
      <c r="A1401" s="6">
        <v>32485</v>
      </c>
      <c r="B1401" s="6" t="s">
        <v>13</v>
      </c>
      <c r="C1401" s="6" t="s">
        <v>17</v>
      </c>
      <c r="D1401" s="6">
        <v>663</v>
      </c>
      <c r="E1401" s="6">
        <v>293</v>
      </c>
      <c r="F1401" s="6">
        <v>340</v>
      </c>
      <c r="G1401" s="6">
        <v>3</v>
      </c>
      <c r="H1401" s="6">
        <v>12675</v>
      </c>
      <c r="I1401" s="6">
        <v>3</v>
      </c>
      <c r="J1401" s="6">
        <v>24</v>
      </c>
      <c r="K1401" s="6">
        <v>315</v>
      </c>
      <c r="L1401" s="6">
        <v>305</v>
      </c>
      <c r="M1401" s="6">
        <v>11.66666667</v>
      </c>
      <c r="N1401">
        <f>VLOOKUP(A1401,vlookup_table!$A:$G,2,FALSE)</f>
        <v>0</v>
      </c>
      <c r="O1401" t="str">
        <f>VLOOKUP(A1401,vlookup_table!$A:$G,3,FALSE)</f>
        <v>FL</v>
      </c>
      <c r="P1401">
        <f>VLOOKUP(A1401,vlookup_table!$A:$G,4,FALSE)</f>
        <v>3601</v>
      </c>
      <c r="Q1401" t="str">
        <f>VLOOKUP(A1401,vlookup_table!$A:$G,5,FALSE)</f>
        <v>T2</v>
      </c>
      <c r="R1401" t="str">
        <f>VLOOKUP(A1401,vlookup_table!$A:$G,6,FALSE)</f>
        <v>F</v>
      </c>
      <c r="S1401">
        <f>VLOOKUP(A1401,vlookup_table!$A:$G,7,FALSE)</f>
        <v>37</v>
      </c>
      <c r="T1401">
        <f t="shared" si="42"/>
        <v>60</v>
      </c>
      <c r="U1401" t="str">
        <f t="shared" si="43"/>
        <v>Pueblo</v>
      </c>
    </row>
    <row r="1402" spans="1:21" ht="16" x14ac:dyDescent="0.4">
      <c r="A1402" s="6">
        <v>111284</v>
      </c>
      <c r="B1402" s="6" t="s">
        <v>29</v>
      </c>
      <c r="C1402" s="6" t="s">
        <v>97</v>
      </c>
      <c r="D1402" s="6">
        <v>582</v>
      </c>
      <c r="E1402" s="6">
        <v>292</v>
      </c>
      <c r="F1402" s="6">
        <v>340</v>
      </c>
      <c r="G1402" s="6">
        <v>0</v>
      </c>
      <c r="H1402" s="6">
        <v>10930</v>
      </c>
      <c r="I1402" s="6">
        <v>1</v>
      </c>
      <c r="J1402" s="6">
        <v>61</v>
      </c>
      <c r="K1402" s="6">
        <v>308</v>
      </c>
      <c r="L1402" s="6">
        <v>323</v>
      </c>
      <c r="M1402" s="6">
        <v>4.2727272730000001</v>
      </c>
      <c r="N1402">
        <f>VLOOKUP(A1402,vlookup_table!$A:$G,2,FALSE)</f>
        <v>2</v>
      </c>
      <c r="O1402" t="str">
        <f>VLOOKUP(A1402,vlookup_table!$A:$G,3,FALSE)</f>
        <v>AR</v>
      </c>
      <c r="P1402">
        <f>VLOOKUP(A1402,vlookup_table!$A:$G,4,FALSE)</f>
        <v>3801</v>
      </c>
      <c r="Q1402" t="str">
        <f>VLOOKUP(A1402,vlookup_table!$A:$G,5,FALSE)</f>
        <v>T2</v>
      </c>
      <c r="R1402" t="str">
        <f>VLOOKUP(A1402,vlookup_table!$A:$G,6,FALSE)</f>
        <v>F</v>
      </c>
      <c r="S1402">
        <f>VLOOKUP(A1402,vlookup_table!$A:$G,7,FALSE)</f>
        <v>5</v>
      </c>
      <c r="T1402">
        <f t="shared" si="42"/>
        <v>58</v>
      </c>
      <c r="U1402" t="str">
        <f t="shared" si="43"/>
        <v>Pueblo</v>
      </c>
    </row>
    <row r="1403" spans="1:21" ht="16" x14ac:dyDescent="0.4">
      <c r="A1403" s="6">
        <v>15651</v>
      </c>
      <c r="B1403" s="6" t="s">
        <v>18</v>
      </c>
      <c r="C1403" s="6" t="s">
        <v>97</v>
      </c>
      <c r="D1403" s="6">
        <v>1497</v>
      </c>
      <c r="E1403" s="6">
        <v>581</v>
      </c>
      <c r="F1403" s="6">
        <v>762</v>
      </c>
      <c r="G1403" s="6">
        <v>21</v>
      </c>
      <c r="H1403" s="6">
        <v>30594</v>
      </c>
      <c r="I1403" s="6">
        <v>1</v>
      </c>
      <c r="J1403" s="6">
        <v>76</v>
      </c>
      <c r="K1403" s="6">
        <v>678</v>
      </c>
      <c r="L1403" s="6">
        <v>667</v>
      </c>
      <c r="M1403" s="6">
        <v>6.9285714289999998</v>
      </c>
      <c r="N1403">
        <f>VLOOKUP(A1403,vlookup_table!$A:$G,2,FALSE)</f>
        <v>0</v>
      </c>
      <c r="O1403" t="str">
        <f>VLOOKUP(A1403,vlookup_table!$A:$G,3,FALSE)</f>
        <v>NC</v>
      </c>
      <c r="P1403">
        <f>VLOOKUP(A1403,vlookup_table!$A:$G,4,FALSE)</f>
        <v>5501</v>
      </c>
      <c r="Q1403" t="str">
        <f>VLOOKUP(A1403,vlookup_table!$A:$G,5,FALSE)</f>
        <v>C1</v>
      </c>
      <c r="R1403" t="str">
        <f>VLOOKUP(A1403,vlookup_table!$A:$G,6,FALSE)</f>
        <v>F</v>
      </c>
      <c r="S1403">
        <f>VLOOKUP(A1403,vlookup_table!$A:$G,7,FALSE)</f>
        <v>10</v>
      </c>
      <c r="T1403">
        <f t="shared" si="42"/>
        <v>41</v>
      </c>
      <c r="U1403" t="str">
        <f t="shared" si="43"/>
        <v>Ciudad</v>
      </c>
    </row>
    <row r="1404" spans="1:21" ht="16" x14ac:dyDescent="0.4">
      <c r="A1404" s="6">
        <v>96220</v>
      </c>
      <c r="B1404" s="6" t="s">
        <v>16</v>
      </c>
      <c r="C1404" s="6" t="s">
        <v>17</v>
      </c>
      <c r="D1404" s="6">
        <v>281</v>
      </c>
      <c r="E1404" s="6">
        <v>280</v>
      </c>
      <c r="F1404" s="6">
        <v>342</v>
      </c>
      <c r="G1404" s="6">
        <v>0</v>
      </c>
      <c r="H1404" s="6">
        <v>10874</v>
      </c>
      <c r="I1404" s="6">
        <v>0</v>
      </c>
      <c r="J1404" s="6">
        <v>83</v>
      </c>
      <c r="K1404" s="6">
        <v>314</v>
      </c>
      <c r="L1404" s="6">
        <v>274</v>
      </c>
      <c r="M1404" s="6">
        <v>7.7142857139999998</v>
      </c>
      <c r="N1404">
        <f>VLOOKUP(A1404,vlookup_table!$A:$G,2,FALSE)</f>
        <v>0</v>
      </c>
      <c r="O1404" t="str">
        <f>VLOOKUP(A1404,vlookup_table!$A:$G,3,FALSE)</f>
        <v>IL</v>
      </c>
      <c r="P1404">
        <f>VLOOKUP(A1404,vlookup_table!$A:$G,4,FALSE)</f>
        <v>3503</v>
      </c>
      <c r="Q1404" t="str">
        <f>VLOOKUP(A1404,vlookup_table!$A:$G,5,FALSE)</f>
        <v>R2</v>
      </c>
      <c r="R1404" t="str">
        <f>VLOOKUP(A1404,vlookup_table!$A:$G,6,FALSE)</f>
        <v>F</v>
      </c>
      <c r="S1404">
        <f>VLOOKUP(A1404,vlookup_table!$A:$G,7,FALSE)</f>
        <v>14</v>
      </c>
      <c r="T1404">
        <f t="shared" si="42"/>
        <v>61</v>
      </c>
      <c r="U1404" t="str">
        <f t="shared" si="43"/>
        <v>Rural</v>
      </c>
    </row>
    <row r="1405" spans="1:21" ht="16" x14ac:dyDescent="0.4">
      <c r="A1405" s="6">
        <v>73221</v>
      </c>
      <c r="B1405" s="6" t="s">
        <v>26</v>
      </c>
      <c r="C1405" s="6" t="s">
        <v>14</v>
      </c>
      <c r="D1405" s="6">
        <v>784</v>
      </c>
      <c r="E1405" s="6">
        <v>289</v>
      </c>
      <c r="F1405" s="6">
        <v>400</v>
      </c>
      <c r="G1405" s="6">
        <v>2</v>
      </c>
      <c r="H1405" s="6">
        <v>12840</v>
      </c>
      <c r="I1405" s="6">
        <v>5</v>
      </c>
      <c r="J1405" s="6">
        <v>67</v>
      </c>
      <c r="K1405" s="6">
        <v>378</v>
      </c>
      <c r="L1405" s="6">
        <v>332</v>
      </c>
      <c r="M1405" s="6">
        <v>11</v>
      </c>
      <c r="N1405">
        <f>VLOOKUP(A1405,vlookup_table!$A:$G,2,FALSE)</f>
        <v>2</v>
      </c>
      <c r="O1405" t="str">
        <f>VLOOKUP(A1405,vlookup_table!$A:$G,3,FALSE)</f>
        <v>MI</v>
      </c>
      <c r="P1405">
        <f>VLOOKUP(A1405,vlookup_table!$A:$G,4,FALSE)</f>
        <v>0</v>
      </c>
      <c r="Q1405" t="str">
        <f>VLOOKUP(A1405,vlookup_table!$A:$G,5,FALSE)</f>
        <v>C2</v>
      </c>
      <c r="R1405" t="str">
        <f>VLOOKUP(A1405,vlookup_table!$A:$G,6,FALSE)</f>
        <v>M</v>
      </c>
      <c r="S1405">
        <f>VLOOKUP(A1405,vlookup_table!$A:$G,7,FALSE)</f>
        <v>10</v>
      </c>
      <c r="T1405">
        <f t="shared" si="42"/>
        <v>96</v>
      </c>
      <c r="U1405" t="str">
        <f t="shared" si="43"/>
        <v>Ciudad</v>
      </c>
    </row>
    <row r="1406" spans="1:21" ht="16" x14ac:dyDescent="0.4">
      <c r="A1406" s="6">
        <v>170143</v>
      </c>
      <c r="B1406" s="6" t="s">
        <v>21</v>
      </c>
      <c r="C1406" s="6" t="s">
        <v>17</v>
      </c>
      <c r="D1406" s="6">
        <v>1722</v>
      </c>
      <c r="E1406" s="6">
        <v>404</v>
      </c>
      <c r="F1406" s="6">
        <v>433</v>
      </c>
      <c r="G1406" s="6">
        <v>39</v>
      </c>
      <c r="H1406" s="6">
        <v>13454</v>
      </c>
      <c r="I1406" s="6">
        <v>13</v>
      </c>
      <c r="J1406" s="6">
        <v>59</v>
      </c>
      <c r="K1406" s="6">
        <v>420</v>
      </c>
      <c r="L1406" s="6">
        <v>411</v>
      </c>
      <c r="M1406" s="6">
        <v>4.5714285710000002</v>
      </c>
      <c r="N1406">
        <f>VLOOKUP(A1406,vlookup_table!$A:$G,2,FALSE)</f>
        <v>2</v>
      </c>
      <c r="O1406" t="str">
        <f>VLOOKUP(A1406,vlookup_table!$A:$G,3,FALSE)</f>
        <v>CA</v>
      </c>
      <c r="P1406">
        <f>VLOOKUP(A1406,vlookup_table!$A:$G,4,FALSE)</f>
        <v>905</v>
      </c>
      <c r="Q1406" t="str">
        <f>VLOOKUP(A1406,vlookup_table!$A:$G,5,FALSE)</f>
        <v>T2</v>
      </c>
      <c r="R1406" t="str">
        <f>VLOOKUP(A1406,vlookup_table!$A:$G,6,FALSE)</f>
        <v>F</v>
      </c>
      <c r="S1406">
        <f>VLOOKUP(A1406,vlookup_table!$A:$G,7,FALSE)</f>
        <v>5</v>
      </c>
      <c r="T1406">
        <f t="shared" si="42"/>
        <v>6</v>
      </c>
      <c r="U1406" t="str">
        <f t="shared" si="43"/>
        <v>Pueblo</v>
      </c>
    </row>
    <row r="1407" spans="1:21" ht="16" x14ac:dyDescent="0.4">
      <c r="A1407" s="6">
        <v>43884</v>
      </c>
      <c r="B1407" s="6" t="s">
        <v>13</v>
      </c>
      <c r="C1407" s="6" t="s">
        <v>14</v>
      </c>
      <c r="D1407" s="6">
        <v>645</v>
      </c>
      <c r="E1407" s="6">
        <v>226</v>
      </c>
      <c r="F1407" s="6">
        <v>284</v>
      </c>
      <c r="G1407" s="6">
        <v>1</v>
      </c>
      <c r="H1407" s="6">
        <v>13007</v>
      </c>
      <c r="I1407" s="6">
        <v>6</v>
      </c>
      <c r="J1407" s="6">
        <v>7</v>
      </c>
      <c r="K1407" s="6">
        <v>249</v>
      </c>
      <c r="L1407" s="6">
        <v>257</v>
      </c>
      <c r="M1407" s="6">
        <v>5.2857142860000002</v>
      </c>
      <c r="N1407">
        <f>VLOOKUP(A1407,vlookup_table!$A:$G,2,FALSE)</f>
        <v>1</v>
      </c>
      <c r="O1407" t="str">
        <f>VLOOKUP(A1407,vlookup_table!$A:$G,3,FALSE)</f>
        <v>FL</v>
      </c>
      <c r="P1407">
        <f>VLOOKUP(A1407,vlookup_table!$A:$G,4,FALSE)</f>
        <v>3202</v>
      </c>
      <c r="Q1407" t="str">
        <f>VLOOKUP(A1407,vlookup_table!$A:$G,5,FALSE)</f>
        <v>C3</v>
      </c>
      <c r="R1407" t="str">
        <f>VLOOKUP(A1407,vlookup_table!$A:$G,6,FALSE)</f>
        <v>M</v>
      </c>
      <c r="S1407">
        <f>VLOOKUP(A1407,vlookup_table!$A:$G,7,FALSE)</f>
        <v>5</v>
      </c>
      <c r="T1407">
        <f t="shared" si="42"/>
        <v>64</v>
      </c>
      <c r="U1407" t="str">
        <f t="shared" si="43"/>
        <v>Ciudad</v>
      </c>
    </row>
    <row r="1408" spans="1:21" ht="16" x14ac:dyDescent="0.4">
      <c r="A1408" s="6">
        <v>61338</v>
      </c>
      <c r="B1408" s="6" t="s">
        <v>30</v>
      </c>
      <c r="C1408" s="6" t="s">
        <v>14</v>
      </c>
      <c r="D1408" s="6">
        <v>544</v>
      </c>
      <c r="E1408" s="6">
        <v>330</v>
      </c>
      <c r="F1408" s="6">
        <v>433</v>
      </c>
      <c r="G1408" s="6">
        <v>0</v>
      </c>
      <c r="H1408" s="6">
        <v>14398</v>
      </c>
      <c r="I1408" s="6">
        <v>5</v>
      </c>
      <c r="J1408" s="6">
        <v>68</v>
      </c>
      <c r="K1408" s="6">
        <v>403</v>
      </c>
      <c r="L1408" s="6">
        <v>360</v>
      </c>
      <c r="M1408" s="6">
        <v>5.1333333330000004</v>
      </c>
      <c r="N1408">
        <f>VLOOKUP(A1408,vlookup_table!$A:$G,2,FALSE)</f>
        <v>1</v>
      </c>
      <c r="O1408" t="str">
        <f>VLOOKUP(A1408,vlookup_table!$A:$G,3,FALSE)</f>
        <v>IN</v>
      </c>
      <c r="P1408">
        <f>VLOOKUP(A1408,vlookup_table!$A:$G,4,FALSE)</f>
        <v>5701</v>
      </c>
      <c r="Q1408" t="str">
        <f>VLOOKUP(A1408,vlookup_table!$A:$G,5,FALSE)</f>
        <v>S2</v>
      </c>
      <c r="R1408" t="str">
        <f>VLOOKUP(A1408,vlookup_table!$A:$G,6,FALSE)</f>
        <v>M</v>
      </c>
      <c r="S1408">
        <f>VLOOKUP(A1408,vlookup_table!$A:$G,7,FALSE)</f>
        <v>5</v>
      </c>
      <c r="T1408">
        <f t="shared" si="42"/>
        <v>39</v>
      </c>
      <c r="U1408" t="str">
        <f t="shared" si="43"/>
        <v>Suburbano</v>
      </c>
    </row>
    <row r="1409" spans="1:21" ht="16" x14ac:dyDescent="0.4">
      <c r="A1409" s="6">
        <v>82636</v>
      </c>
      <c r="B1409" s="6" t="s">
        <v>52</v>
      </c>
      <c r="C1409" s="6" t="s">
        <v>17</v>
      </c>
      <c r="D1409" s="6">
        <v>896</v>
      </c>
      <c r="E1409" s="6">
        <v>291</v>
      </c>
      <c r="F1409" s="6">
        <v>438</v>
      </c>
      <c r="G1409" s="6">
        <v>6</v>
      </c>
      <c r="H1409" s="6">
        <v>17357</v>
      </c>
      <c r="I1409" s="6">
        <v>2</v>
      </c>
      <c r="J1409" s="6">
        <v>70</v>
      </c>
      <c r="K1409" s="6">
        <v>335</v>
      </c>
      <c r="L1409" s="6">
        <v>340</v>
      </c>
      <c r="M1409" s="6">
        <v>8.6</v>
      </c>
      <c r="N1409">
        <f>VLOOKUP(A1409,vlookup_table!$A:$G,2,FALSE)</f>
        <v>0</v>
      </c>
      <c r="O1409" t="str">
        <f>VLOOKUP(A1409,vlookup_table!$A:$G,3,FALSE)</f>
        <v>MN</v>
      </c>
      <c r="P1409">
        <f>VLOOKUP(A1409,vlookup_table!$A:$G,4,FALSE)</f>
        <v>4101</v>
      </c>
      <c r="Q1409" t="str">
        <f>VLOOKUP(A1409,vlookup_table!$A:$G,5,FALSE)</f>
        <v>C1</v>
      </c>
      <c r="R1409" t="str">
        <f>VLOOKUP(A1409,vlookup_table!$A:$G,6,FALSE)</f>
        <v>F</v>
      </c>
      <c r="S1409">
        <f>VLOOKUP(A1409,vlookup_table!$A:$G,7,FALSE)</f>
        <v>15</v>
      </c>
      <c r="T1409">
        <f t="shared" si="42"/>
        <v>55</v>
      </c>
      <c r="U1409" t="str">
        <f t="shared" si="43"/>
        <v>Ciudad</v>
      </c>
    </row>
    <row r="1410" spans="1:21" ht="16" x14ac:dyDescent="0.4">
      <c r="A1410" s="6">
        <v>190730</v>
      </c>
      <c r="B1410" s="6" t="s">
        <v>23</v>
      </c>
      <c r="C1410" s="6" t="s">
        <v>14</v>
      </c>
      <c r="D1410" s="6">
        <v>398</v>
      </c>
      <c r="E1410" s="6">
        <v>248</v>
      </c>
      <c r="F1410" s="6">
        <v>337</v>
      </c>
      <c r="G1410" s="6">
        <v>0</v>
      </c>
      <c r="H1410" s="6">
        <v>11618</v>
      </c>
      <c r="I1410" s="6">
        <v>3</v>
      </c>
      <c r="J1410" s="6">
        <v>39</v>
      </c>
      <c r="K1410" s="6">
        <v>303</v>
      </c>
      <c r="L1410" s="6">
        <v>292</v>
      </c>
      <c r="M1410" s="6">
        <v>8.4499999999999993</v>
      </c>
      <c r="N1410">
        <f>VLOOKUP(A1410,vlookup_table!$A:$G,2,FALSE)</f>
        <v>2</v>
      </c>
      <c r="O1410" t="str">
        <f>VLOOKUP(A1410,vlookup_table!$A:$G,3,FALSE)</f>
        <v>NV</v>
      </c>
      <c r="P1410">
        <f>VLOOKUP(A1410,vlookup_table!$A:$G,4,FALSE)</f>
        <v>1407</v>
      </c>
      <c r="Q1410" t="str">
        <f>VLOOKUP(A1410,vlookup_table!$A:$G,5,FALSE)</f>
        <v/>
      </c>
      <c r="R1410" t="str">
        <f>VLOOKUP(A1410,vlookup_table!$A:$G,6,FALSE)</f>
        <v>M</v>
      </c>
      <c r="S1410">
        <f>VLOOKUP(A1410,vlookup_table!$A:$G,7,FALSE)</f>
        <v>14</v>
      </c>
      <c r="T1410">
        <f t="shared" si="42"/>
        <v>82</v>
      </c>
      <c r="U1410" t="str">
        <f t="shared" si="43"/>
        <v/>
      </c>
    </row>
    <row r="1411" spans="1:21" ht="16" x14ac:dyDescent="0.4">
      <c r="A1411" s="6">
        <v>121071</v>
      </c>
      <c r="B1411" s="6" t="s">
        <v>20</v>
      </c>
      <c r="C1411" s="6" t="s">
        <v>17</v>
      </c>
      <c r="D1411" s="6">
        <v>900</v>
      </c>
      <c r="E1411" s="6">
        <v>273</v>
      </c>
      <c r="F1411" s="6">
        <v>455</v>
      </c>
      <c r="G1411" s="6">
        <v>3</v>
      </c>
      <c r="H1411" s="6">
        <v>19298</v>
      </c>
      <c r="I1411" s="6">
        <v>15</v>
      </c>
      <c r="J1411" s="6">
        <v>43</v>
      </c>
      <c r="K1411" s="6">
        <v>337</v>
      </c>
      <c r="L1411" s="6">
        <v>336</v>
      </c>
      <c r="M1411" s="6">
        <v>13.6</v>
      </c>
      <c r="N1411">
        <f>VLOOKUP(A1411,vlookup_table!$A:$G,2,FALSE)</f>
        <v>28</v>
      </c>
      <c r="O1411" t="str">
        <f>VLOOKUP(A1411,vlookup_table!$A:$G,3,FALSE)</f>
        <v>TX</v>
      </c>
      <c r="P1411">
        <f>VLOOKUP(A1411,vlookup_table!$A:$G,4,FALSE)</f>
        <v>4912</v>
      </c>
      <c r="Q1411" t="str">
        <f>VLOOKUP(A1411,vlookup_table!$A:$G,5,FALSE)</f>
        <v>U1</v>
      </c>
      <c r="R1411" t="str">
        <f>VLOOKUP(A1411,vlookup_table!$A:$G,6,FALSE)</f>
        <v>F</v>
      </c>
      <c r="S1411">
        <f>VLOOKUP(A1411,vlookup_table!$A:$G,7,FALSE)</f>
        <v>15</v>
      </c>
      <c r="T1411">
        <f t="shared" ref="T1411:T1474" si="44">97-LEFT(P1411,2)-IF(RIGHT(P1411,2)&gt;6,1,0)</f>
        <v>47</v>
      </c>
      <c r="U1411" t="str">
        <f t="shared" ref="U1411:U1474" si="45">IF(LEFT(Q1411,1)="C","Ciudad",IF(LEFT(Q1411,1)="T","Pueblo",IF(LEFT(Q1411,1)="R","Rural",IF(LEFT(Q1411,1)="S","Suburbano",IF(LEFT(Q1411,1)="U","Urbano","")))))</f>
        <v>Urbano</v>
      </c>
    </row>
    <row r="1412" spans="1:21" ht="16" x14ac:dyDescent="0.4">
      <c r="A1412" s="6">
        <v>94386</v>
      </c>
      <c r="B1412" s="6" t="s">
        <v>16</v>
      </c>
      <c r="C1412" s="6" t="s">
        <v>14</v>
      </c>
      <c r="D1412" s="6">
        <v>1421</v>
      </c>
      <c r="E1412" s="6">
        <v>435</v>
      </c>
      <c r="F1412" s="6">
        <v>662</v>
      </c>
      <c r="G1412" s="6">
        <v>24</v>
      </c>
      <c r="H1412" s="6">
        <v>18555</v>
      </c>
      <c r="I1412" s="6">
        <v>6</v>
      </c>
      <c r="J1412" s="6">
        <v>81</v>
      </c>
      <c r="K1412" s="6">
        <v>604</v>
      </c>
      <c r="L1412" s="6">
        <v>534</v>
      </c>
      <c r="M1412" s="6">
        <v>5.7142857139999998</v>
      </c>
      <c r="N1412">
        <f>VLOOKUP(A1412,vlookup_table!$A:$G,2,FALSE)</f>
        <v>1</v>
      </c>
      <c r="O1412" t="str">
        <f>VLOOKUP(A1412,vlookup_table!$A:$G,3,FALSE)</f>
        <v>IL</v>
      </c>
      <c r="P1412">
        <f>VLOOKUP(A1412,vlookup_table!$A:$G,4,FALSE)</f>
        <v>3301</v>
      </c>
      <c r="Q1412" t="str">
        <f>VLOOKUP(A1412,vlookup_table!$A:$G,5,FALSE)</f>
        <v>U1</v>
      </c>
      <c r="R1412" t="str">
        <f>VLOOKUP(A1412,vlookup_table!$A:$G,6,FALSE)</f>
        <v>M</v>
      </c>
      <c r="S1412">
        <f>VLOOKUP(A1412,vlookup_table!$A:$G,7,FALSE)</f>
        <v>6</v>
      </c>
      <c r="T1412">
        <f t="shared" si="44"/>
        <v>63</v>
      </c>
      <c r="U1412" t="str">
        <f t="shared" si="45"/>
        <v>Urbano</v>
      </c>
    </row>
    <row r="1413" spans="1:21" ht="16" x14ac:dyDescent="0.4">
      <c r="A1413" s="6">
        <v>31094</v>
      </c>
      <c r="B1413" s="6" t="s">
        <v>36</v>
      </c>
      <c r="C1413" s="6" t="s">
        <v>17</v>
      </c>
      <c r="D1413" s="6">
        <v>405</v>
      </c>
      <c r="E1413" s="6">
        <v>166</v>
      </c>
      <c r="F1413" s="6">
        <v>254</v>
      </c>
      <c r="G1413" s="6">
        <v>0</v>
      </c>
      <c r="H1413" s="6">
        <v>7997</v>
      </c>
      <c r="I1413" s="6">
        <v>1</v>
      </c>
      <c r="J1413" s="6">
        <v>81</v>
      </c>
      <c r="K1413" s="6">
        <v>208</v>
      </c>
      <c r="L1413" s="6">
        <v>215</v>
      </c>
      <c r="M1413" s="6">
        <v>6.6666666670000003</v>
      </c>
      <c r="N1413">
        <f>VLOOKUP(A1413,vlookup_table!$A:$G,2,FALSE)</f>
        <v>0</v>
      </c>
      <c r="O1413" t="str">
        <f>VLOOKUP(A1413,vlookup_table!$A:$G,3,FALSE)</f>
        <v>GA</v>
      </c>
      <c r="P1413">
        <f>VLOOKUP(A1413,vlookup_table!$A:$G,4,FALSE)</f>
        <v>2801</v>
      </c>
      <c r="Q1413" t="str">
        <f>VLOOKUP(A1413,vlookup_table!$A:$G,5,FALSE)</f>
        <v>R3</v>
      </c>
      <c r="R1413" t="str">
        <f>VLOOKUP(A1413,vlookup_table!$A:$G,6,FALSE)</f>
        <v>F</v>
      </c>
      <c r="S1413">
        <f>VLOOKUP(A1413,vlookup_table!$A:$G,7,FALSE)</f>
        <v>5</v>
      </c>
      <c r="T1413">
        <f t="shared" si="44"/>
        <v>68</v>
      </c>
      <c r="U1413" t="str">
        <f t="shared" si="45"/>
        <v>Rural</v>
      </c>
    </row>
    <row r="1414" spans="1:21" ht="16" x14ac:dyDescent="0.4">
      <c r="A1414" s="6">
        <v>58463</v>
      </c>
      <c r="B1414" s="6" t="s">
        <v>53</v>
      </c>
      <c r="C1414" s="6" t="s">
        <v>14</v>
      </c>
      <c r="D1414" s="6">
        <v>297</v>
      </c>
      <c r="E1414" s="6">
        <v>176</v>
      </c>
      <c r="F1414" s="6">
        <v>187</v>
      </c>
      <c r="G1414" s="6">
        <v>0</v>
      </c>
      <c r="H1414" s="6">
        <v>5972</v>
      </c>
      <c r="I1414" s="6">
        <v>0</v>
      </c>
      <c r="J1414" s="6">
        <v>72</v>
      </c>
      <c r="K1414" s="6">
        <v>178</v>
      </c>
      <c r="L1414" s="6">
        <v>185</v>
      </c>
      <c r="M1414" s="6">
        <v>21</v>
      </c>
      <c r="N1414">
        <f>VLOOKUP(A1414,vlookup_table!$A:$G,2,FALSE)</f>
        <v>2</v>
      </c>
      <c r="O1414" t="str">
        <f>VLOOKUP(A1414,vlookup_table!$A:$G,3,FALSE)</f>
        <v>KY</v>
      </c>
      <c r="P1414">
        <f>VLOOKUP(A1414,vlookup_table!$A:$G,4,FALSE)</f>
        <v>1605</v>
      </c>
      <c r="Q1414" t="str">
        <f>VLOOKUP(A1414,vlookup_table!$A:$G,5,FALSE)</f>
        <v>R3</v>
      </c>
      <c r="R1414" t="str">
        <f>VLOOKUP(A1414,vlookup_table!$A:$G,6,FALSE)</f>
        <v>M</v>
      </c>
      <c r="S1414">
        <f>VLOOKUP(A1414,vlookup_table!$A:$G,7,FALSE)</f>
        <v>10</v>
      </c>
      <c r="T1414">
        <f t="shared" si="44"/>
        <v>80</v>
      </c>
      <c r="U1414" t="str">
        <f t="shared" si="45"/>
        <v>Rural</v>
      </c>
    </row>
    <row r="1415" spans="1:21" ht="16" x14ac:dyDescent="0.4">
      <c r="A1415" s="6">
        <v>160716</v>
      </c>
      <c r="B1415" s="6" t="s">
        <v>25</v>
      </c>
      <c r="C1415" s="6" t="s">
        <v>17</v>
      </c>
      <c r="D1415" s="6">
        <v>317</v>
      </c>
      <c r="E1415" s="6">
        <v>231</v>
      </c>
      <c r="F1415" s="6">
        <v>249</v>
      </c>
      <c r="G1415" s="6">
        <v>0</v>
      </c>
      <c r="H1415" s="6">
        <v>17155</v>
      </c>
      <c r="I1415" s="6">
        <v>3</v>
      </c>
      <c r="J1415" s="6">
        <v>64</v>
      </c>
      <c r="K1415" s="6">
        <v>249</v>
      </c>
      <c r="L1415" s="6">
        <v>241</v>
      </c>
      <c r="M1415" s="6">
        <v>4.8857692310000003</v>
      </c>
      <c r="N1415">
        <f>VLOOKUP(A1415,vlookup_table!$A:$G,2,FALSE)</f>
        <v>28</v>
      </c>
      <c r="O1415" t="str">
        <f>VLOOKUP(A1415,vlookup_table!$A:$G,3,FALSE)</f>
        <v>KS</v>
      </c>
      <c r="P1415">
        <f>VLOOKUP(A1415,vlookup_table!$A:$G,4,FALSE)</f>
        <v>0</v>
      </c>
      <c r="Q1415" t="str">
        <f>VLOOKUP(A1415,vlookup_table!$A:$G,5,FALSE)</f>
        <v>C2</v>
      </c>
      <c r="R1415" t="str">
        <f>VLOOKUP(A1415,vlookup_table!$A:$G,6,FALSE)</f>
        <v>F</v>
      </c>
      <c r="S1415">
        <f>VLOOKUP(A1415,vlookup_table!$A:$G,7,FALSE)</f>
        <v>7</v>
      </c>
      <c r="T1415">
        <f t="shared" si="44"/>
        <v>96</v>
      </c>
      <c r="U1415" t="str">
        <f t="shared" si="45"/>
        <v>Ciudad</v>
      </c>
    </row>
    <row r="1416" spans="1:21" ht="16" x14ac:dyDescent="0.4">
      <c r="A1416" s="6">
        <v>156414</v>
      </c>
      <c r="B1416" s="6" t="s">
        <v>21</v>
      </c>
      <c r="C1416" s="6" t="s">
        <v>17</v>
      </c>
      <c r="D1416" s="6">
        <v>2184</v>
      </c>
      <c r="E1416" s="6">
        <v>351</v>
      </c>
      <c r="F1416" s="6">
        <v>419</v>
      </c>
      <c r="G1416" s="6">
        <v>67</v>
      </c>
      <c r="H1416" s="6">
        <v>16480</v>
      </c>
      <c r="I1416" s="6">
        <v>25</v>
      </c>
      <c r="J1416" s="6">
        <v>38</v>
      </c>
      <c r="K1416" s="6">
        <v>376</v>
      </c>
      <c r="L1416" s="6">
        <v>394</v>
      </c>
      <c r="M1416" s="6">
        <v>12.5</v>
      </c>
      <c r="N1416">
        <f>VLOOKUP(A1416,vlookup_table!$A:$G,2,FALSE)</f>
        <v>0</v>
      </c>
      <c r="O1416" t="str">
        <f>VLOOKUP(A1416,vlookup_table!$A:$G,3,FALSE)</f>
        <v>CA</v>
      </c>
      <c r="P1416">
        <f>VLOOKUP(A1416,vlookup_table!$A:$G,4,FALSE)</f>
        <v>1601</v>
      </c>
      <c r="Q1416" t="str">
        <f>VLOOKUP(A1416,vlookup_table!$A:$G,5,FALSE)</f>
        <v>U1</v>
      </c>
      <c r="R1416" t="str">
        <f>VLOOKUP(A1416,vlookup_table!$A:$G,6,FALSE)</f>
        <v>F</v>
      </c>
      <c r="S1416">
        <f>VLOOKUP(A1416,vlookup_table!$A:$G,7,FALSE)</f>
        <v>20</v>
      </c>
      <c r="T1416">
        <f t="shared" si="44"/>
        <v>80</v>
      </c>
      <c r="U1416" t="str">
        <f t="shared" si="45"/>
        <v>Urbano</v>
      </c>
    </row>
    <row r="1417" spans="1:21" ht="16" x14ac:dyDescent="0.4">
      <c r="A1417" s="6">
        <v>137592</v>
      </c>
      <c r="B1417" s="6" t="s">
        <v>51</v>
      </c>
      <c r="C1417" s="6" t="s">
        <v>14</v>
      </c>
      <c r="D1417" s="6">
        <v>0</v>
      </c>
      <c r="E1417" s="6">
        <v>0</v>
      </c>
      <c r="F1417" s="6">
        <v>0</v>
      </c>
      <c r="G1417" s="6">
        <v>0</v>
      </c>
      <c r="H1417" s="6">
        <v>0</v>
      </c>
      <c r="I1417" s="6">
        <v>0</v>
      </c>
      <c r="J1417" s="6">
        <v>0</v>
      </c>
      <c r="K1417" s="6">
        <v>0</v>
      </c>
      <c r="L1417" s="6">
        <v>0</v>
      </c>
      <c r="M1417" s="6">
        <v>17.5</v>
      </c>
      <c r="N1417">
        <f>VLOOKUP(A1417,vlookup_table!$A:$G,2,FALSE)</f>
        <v>1</v>
      </c>
      <c r="O1417" t="str">
        <f>VLOOKUP(A1417,vlookup_table!$A:$G,3,FALSE)</f>
        <v>AZ</v>
      </c>
      <c r="P1417">
        <f>VLOOKUP(A1417,vlookup_table!$A:$G,4,FALSE)</f>
        <v>1201</v>
      </c>
      <c r="Q1417" t="str">
        <f>VLOOKUP(A1417,vlookup_table!$A:$G,5,FALSE)</f>
        <v>C3</v>
      </c>
      <c r="R1417" t="str">
        <f>VLOOKUP(A1417,vlookup_table!$A:$G,6,FALSE)</f>
        <v>M</v>
      </c>
      <c r="S1417">
        <f>VLOOKUP(A1417,vlookup_table!$A:$G,7,FALSE)</f>
        <v>25</v>
      </c>
      <c r="T1417">
        <f t="shared" si="44"/>
        <v>84</v>
      </c>
      <c r="U1417" t="str">
        <f t="shared" si="45"/>
        <v>Ciudad</v>
      </c>
    </row>
    <row r="1418" spans="1:21" ht="16" x14ac:dyDescent="0.4">
      <c r="A1418" s="6">
        <v>130840</v>
      </c>
      <c r="B1418" s="6" t="s">
        <v>45</v>
      </c>
      <c r="C1418" s="6" t="s">
        <v>14</v>
      </c>
      <c r="D1418" s="6">
        <v>1848</v>
      </c>
      <c r="E1418" s="6">
        <v>643</v>
      </c>
      <c r="F1418" s="6">
        <v>765</v>
      </c>
      <c r="G1418" s="6">
        <v>40</v>
      </c>
      <c r="H1418" s="6">
        <v>27612</v>
      </c>
      <c r="I1418" s="6">
        <v>3</v>
      </c>
      <c r="J1418" s="6">
        <v>24</v>
      </c>
      <c r="K1418" s="6">
        <v>688</v>
      </c>
      <c r="L1418" s="6">
        <v>705</v>
      </c>
      <c r="M1418" s="6">
        <v>8.35</v>
      </c>
      <c r="N1418">
        <f>VLOOKUP(A1418,vlookup_table!$A:$G,2,FALSE)</f>
        <v>0</v>
      </c>
      <c r="O1418" t="str">
        <f>VLOOKUP(A1418,vlookup_table!$A:$G,3,FALSE)</f>
        <v>CO</v>
      </c>
      <c r="P1418">
        <f>VLOOKUP(A1418,vlookup_table!$A:$G,4,FALSE)</f>
        <v>1805</v>
      </c>
      <c r="Q1418" t="str">
        <f>VLOOKUP(A1418,vlookup_table!$A:$G,5,FALSE)</f>
        <v>T1</v>
      </c>
      <c r="R1418" t="str">
        <f>VLOOKUP(A1418,vlookup_table!$A:$G,6,FALSE)</f>
        <v>M</v>
      </c>
      <c r="S1418">
        <f>VLOOKUP(A1418,vlookup_table!$A:$G,7,FALSE)</f>
        <v>20</v>
      </c>
      <c r="T1418">
        <f t="shared" si="44"/>
        <v>78</v>
      </c>
      <c r="U1418" t="str">
        <f t="shared" si="45"/>
        <v>Pueblo</v>
      </c>
    </row>
    <row r="1419" spans="1:21" ht="16" x14ac:dyDescent="0.4">
      <c r="A1419" s="6">
        <v>133176</v>
      </c>
      <c r="B1419" s="6" t="s">
        <v>38</v>
      </c>
      <c r="C1419" s="6"/>
      <c r="D1419" s="6">
        <v>2111</v>
      </c>
      <c r="E1419" s="6">
        <v>320</v>
      </c>
      <c r="F1419" s="6">
        <v>550</v>
      </c>
      <c r="G1419" s="6">
        <v>53</v>
      </c>
      <c r="H1419" s="6">
        <v>28034</v>
      </c>
      <c r="I1419" s="6">
        <v>4</v>
      </c>
      <c r="J1419" s="6">
        <v>26</v>
      </c>
      <c r="K1419" s="6">
        <v>408</v>
      </c>
      <c r="L1419" s="6">
        <v>444</v>
      </c>
      <c r="M1419" s="6">
        <v>16.5</v>
      </c>
      <c r="N1419">
        <f>VLOOKUP(A1419,vlookup_table!$A:$G,2,FALSE)</f>
        <v>2</v>
      </c>
      <c r="O1419" t="str">
        <f>VLOOKUP(A1419,vlookup_table!$A:$G,3,FALSE)</f>
        <v>ID</v>
      </c>
      <c r="P1419">
        <f>VLOOKUP(A1419,vlookup_table!$A:$G,4,FALSE)</f>
        <v>3601</v>
      </c>
      <c r="Q1419" t="str">
        <f>VLOOKUP(A1419,vlookup_table!$A:$G,5,FALSE)</f>
        <v>R1</v>
      </c>
      <c r="R1419" t="str">
        <f>VLOOKUP(A1419,vlookup_table!$A:$G,6,FALSE)</f>
        <v/>
      </c>
      <c r="S1419">
        <f>VLOOKUP(A1419,vlookup_table!$A:$G,7,FALSE)</f>
        <v>50</v>
      </c>
      <c r="T1419">
        <f t="shared" si="44"/>
        <v>60</v>
      </c>
      <c r="U1419" t="str">
        <f t="shared" si="45"/>
        <v>Rural</v>
      </c>
    </row>
    <row r="1420" spans="1:21" ht="16" x14ac:dyDescent="0.4">
      <c r="A1420" s="6">
        <v>164044</v>
      </c>
      <c r="B1420" s="6" t="s">
        <v>21</v>
      </c>
      <c r="C1420" s="6" t="s">
        <v>14</v>
      </c>
      <c r="D1420" s="6">
        <v>5795</v>
      </c>
      <c r="E1420" s="6">
        <v>1329</v>
      </c>
      <c r="F1420" s="6">
        <v>1204</v>
      </c>
      <c r="G1420" s="6">
        <v>99</v>
      </c>
      <c r="H1420" s="6">
        <v>57002</v>
      </c>
      <c r="I1420" s="6">
        <v>17</v>
      </c>
      <c r="J1420" s="6">
        <v>36</v>
      </c>
      <c r="K1420" s="6">
        <v>1326</v>
      </c>
      <c r="L1420" s="6">
        <v>1201</v>
      </c>
      <c r="M1420" s="6">
        <v>11.66666667</v>
      </c>
      <c r="N1420">
        <f>VLOOKUP(A1420,vlookup_table!$A:$G,2,FALSE)</f>
        <v>0</v>
      </c>
      <c r="O1420" t="str">
        <f>VLOOKUP(A1420,vlookup_table!$A:$G,3,FALSE)</f>
        <v>CA</v>
      </c>
      <c r="P1420">
        <f>VLOOKUP(A1420,vlookup_table!$A:$G,4,FALSE)</f>
        <v>4201</v>
      </c>
      <c r="Q1420" t="str">
        <f>VLOOKUP(A1420,vlookup_table!$A:$G,5,FALSE)</f>
        <v>T1</v>
      </c>
      <c r="R1420" t="str">
        <f>VLOOKUP(A1420,vlookup_table!$A:$G,6,FALSE)</f>
        <v>M</v>
      </c>
      <c r="S1420">
        <f>VLOOKUP(A1420,vlookup_table!$A:$G,7,FALSE)</f>
        <v>15</v>
      </c>
      <c r="T1420">
        <f t="shared" si="44"/>
        <v>54</v>
      </c>
      <c r="U1420" t="str">
        <f t="shared" si="45"/>
        <v>Pueblo</v>
      </c>
    </row>
    <row r="1421" spans="1:21" ht="16" x14ac:dyDescent="0.4">
      <c r="A1421" s="6">
        <v>190746</v>
      </c>
      <c r="B1421" s="6" t="s">
        <v>40</v>
      </c>
      <c r="C1421" s="6" t="s">
        <v>14</v>
      </c>
      <c r="D1421" s="6">
        <v>710</v>
      </c>
      <c r="E1421" s="6">
        <v>402</v>
      </c>
      <c r="F1421" s="6">
        <v>457</v>
      </c>
      <c r="G1421" s="6">
        <v>0</v>
      </c>
      <c r="H1421" s="6">
        <v>14119</v>
      </c>
      <c r="I1421" s="6">
        <v>3</v>
      </c>
      <c r="J1421" s="6">
        <v>50</v>
      </c>
      <c r="K1421" s="6">
        <v>429</v>
      </c>
      <c r="L1421" s="6">
        <v>433</v>
      </c>
      <c r="M1421" s="6">
        <v>10.71428571</v>
      </c>
      <c r="N1421">
        <f>VLOOKUP(A1421,vlookup_table!$A:$G,2,FALSE)</f>
        <v>1</v>
      </c>
      <c r="O1421" t="str">
        <f>VLOOKUP(A1421,vlookup_table!$A:$G,3,FALSE)</f>
        <v>AL</v>
      </c>
      <c r="P1421">
        <f>VLOOKUP(A1421,vlookup_table!$A:$G,4,FALSE)</f>
        <v>3701</v>
      </c>
      <c r="Q1421" t="str">
        <f>VLOOKUP(A1421,vlookup_table!$A:$G,5,FALSE)</f>
        <v>T1</v>
      </c>
      <c r="R1421" t="str">
        <f>VLOOKUP(A1421,vlookup_table!$A:$G,6,FALSE)</f>
        <v>M</v>
      </c>
      <c r="S1421">
        <f>VLOOKUP(A1421,vlookup_table!$A:$G,7,FALSE)</f>
        <v>11</v>
      </c>
      <c r="T1421">
        <f t="shared" si="44"/>
        <v>59</v>
      </c>
      <c r="U1421" t="str">
        <f t="shared" si="45"/>
        <v>Pueblo</v>
      </c>
    </row>
    <row r="1422" spans="1:21" ht="16" x14ac:dyDescent="0.4">
      <c r="A1422" s="6">
        <v>52116</v>
      </c>
      <c r="B1422" s="6" t="s">
        <v>18</v>
      </c>
      <c r="C1422" s="6" t="s">
        <v>97</v>
      </c>
      <c r="D1422" s="6">
        <v>680</v>
      </c>
      <c r="E1422" s="6">
        <v>236</v>
      </c>
      <c r="F1422" s="6">
        <v>318</v>
      </c>
      <c r="G1422" s="6">
        <v>2</v>
      </c>
      <c r="H1422" s="6">
        <v>11568</v>
      </c>
      <c r="I1422" s="6">
        <v>3</v>
      </c>
      <c r="J1422" s="6">
        <v>60</v>
      </c>
      <c r="K1422" s="6">
        <v>279</v>
      </c>
      <c r="L1422" s="6">
        <v>277</v>
      </c>
      <c r="M1422" s="6">
        <v>9.269230769</v>
      </c>
      <c r="N1422">
        <f>VLOOKUP(A1422,vlookup_table!$A:$G,2,FALSE)</f>
        <v>0</v>
      </c>
      <c r="O1422" t="str">
        <f>VLOOKUP(A1422,vlookup_table!$A:$G,3,FALSE)</f>
        <v>NC</v>
      </c>
      <c r="P1422">
        <f>VLOOKUP(A1422,vlookup_table!$A:$G,4,FALSE)</f>
        <v>1703</v>
      </c>
      <c r="Q1422" t="str">
        <f>VLOOKUP(A1422,vlookup_table!$A:$G,5,FALSE)</f>
        <v>T2</v>
      </c>
      <c r="R1422" t="str">
        <f>VLOOKUP(A1422,vlookup_table!$A:$G,6,FALSE)</f>
        <v>F</v>
      </c>
      <c r="S1422">
        <f>VLOOKUP(A1422,vlookup_table!$A:$G,7,FALSE)</f>
        <v>10</v>
      </c>
      <c r="T1422">
        <f t="shared" si="44"/>
        <v>79</v>
      </c>
      <c r="U1422" t="str">
        <f t="shared" si="45"/>
        <v>Pueblo</v>
      </c>
    </row>
    <row r="1423" spans="1:21" ht="16" x14ac:dyDescent="0.4">
      <c r="A1423" s="6">
        <v>42913</v>
      </c>
      <c r="B1423" s="6" t="s">
        <v>13</v>
      </c>
      <c r="C1423" s="6" t="s">
        <v>14</v>
      </c>
      <c r="D1423" s="6">
        <v>950</v>
      </c>
      <c r="E1423" s="6">
        <v>357</v>
      </c>
      <c r="F1423" s="6">
        <v>469</v>
      </c>
      <c r="G1423" s="6">
        <v>3</v>
      </c>
      <c r="H1423" s="6">
        <v>18756</v>
      </c>
      <c r="I1423" s="6">
        <v>5</v>
      </c>
      <c r="J1423" s="6">
        <v>16</v>
      </c>
      <c r="K1423" s="6">
        <v>449</v>
      </c>
      <c r="L1423" s="6">
        <v>420</v>
      </c>
      <c r="M1423" s="6">
        <v>7.2</v>
      </c>
      <c r="N1423">
        <f>VLOOKUP(A1423,vlookup_table!$A:$G,2,FALSE)</f>
        <v>0</v>
      </c>
      <c r="O1423" t="str">
        <f>VLOOKUP(A1423,vlookup_table!$A:$G,3,FALSE)</f>
        <v>FL</v>
      </c>
      <c r="P1423">
        <f>VLOOKUP(A1423,vlookup_table!$A:$G,4,FALSE)</f>
        <v>4601</v>
      </c>
      <c r="Q1423" t="str">
        <f>VLOOKUP(A1423,vlookup_table!$A:$G,5,FALSE)</f>
        <v>C2</v>
      </c>
      <c r="R1423" t="str">
        <f>VLOOKUP(A1423,vlookup_table!$A:$G,6,FALSE)</f>
        <v>M</v>
      </c>
      <c r="S1423">
        <f>VLOOKUP(A1423,vlookup_table!$A:$G,7,FALSE)</f>
        <v>5</v>
      </c>
      <c r="T1423">
        <f t="shared" si="44"/>
        <v>50</v>
      </c>
      <c r="U1423" t="str">
        <f t="shared" si="45"/>
        <v>Ciudad</v>
      </c>
    </row>
    <row r="1424" spans="1:21" ht="16" x14ac:dyDescent="0.4">
      <c r="A1424" s="6">
        <v>124143</v>
      </c>
      <c r="B1424" s="6" t="s">
        <v>20</v>
      </c>
      <c r="C1424" s="6" t="s">
        <v>14</v>
      </c>
      <c r="D1424" s="6">
        <v>846</v>
      </c>
      <c r="E1424" s="6">
        <v>538</v>
      </c>
      <c r="F1424" s="6">
        <v>602</v>
      </c>
      <c r="G1424" s="6">
        <v>0</v>
      </c>
      <c r="H1424" s="6">
        <v>18861</v>
      </c>
      <c r="I1424" s="6">
        <v>1</v>
      </c>
      <c r="J1424" s="6">
        <v>73</v>
      </c>
      <c r="K1424" s="6">
        <v>541</v>
      </c>
      <c r="L1424" s="6">
        <v>595</v>
      </c>
      <c r="M1424" s="6">
        <v>5.1818181819999998</v>
      </c>
      <c r="N1424">
        <f>VLOOKUP(A1424,vlookup_table!$A:$G,2,FALSE)</f>
        <v>72</v>
      </c>
      <c r="O1424" t="str">
        <f>VLOOKUP(A1424,vlookup_table!$A:$G,3,FALSE)</f>
        <v>TX</v>
      </c>
      <c r="P1424">
        <f>VLOOKUP(A1424,vlookup_table!$A:$G,4,FALSE)</f>
        <v>3803</v>
      </c>
      <c r="Q1424" t="str">
        <f>VLOOKUP(A1424,vlookup_table!$A:$G,5,FALSE)</f>
        <v>C1</v>
      </c>
      <c r="R1424" t="str">
        <f>VLOOKUP(A1424,vlookup_table!$A:$G,6,FALSE)</f>
        <v>M</v>
      </c>
      <c r="S1424">
        <f>VLOOKUP(A1424,vlookup_table!$A:$G,7,FALSE)</f>
        <v>6</v>
      </c>
      <c r="T1424">
        <f t="shared" si="44"/>
        <v>58</v>
      </c>
      <c r="U1424" t="str">
        <f t="shared" si="45"/>
        <v>Ciudad</v>
      </c>
    </row>
    <row r="1425" spans="1:21" ht="16" x14ac:dyDescent="0.4">
      <c r="A1425" s="6">
        <v>47385</v>
      </c>
      <c r="B1425" s="6" t="s">
        <v>40</v>
      </c>
      <c r="C1425" s="6" t="s">
        <v>14</v>
      </c>
      <c r="D1425" s="6">
        <v>2432</v>
      </c>
      <c r="E1425" s="6">
        <v>1273</v>
      </c>
      <c r="F1425" s="6">
        <v>1105</v>
      </c>
      <c r="G1425" s="6">
        <v>64</v>
      </c>
      <c r="H1425" s="6">
        <v>55765</v>
      </c>
      <c r="I1425" s="6">
        <v>0</v>
      </c>
      <c r="J1425" s="6">
        <v>62</v>
      </c>
      <c r="K1425" s="6">
        <v>1332</v>
      </c>
      <c r="L1425" s="6">
        <v>1057</v>
      </c>
      <c r="M1425" s="6">
        <v>15</v>
      </c>
      <c r="N1425">
        <f>VLOOKUP(A1425,vlookup_table!$A:$G,2,FALSE)</f>
        <v>1</v>
      </c>
      <c r="O1425" t="str">
        <f>VLOOKUP(A1425,vlookup_table!$A:$G,3,FALSE)</f>
        <v>AL</v>
      </c>
      <c r="P1425">
        <f>VLOOKUP(A1425,vlookup_table!$A:$G,4,FALSE)</f>
        <v>6001</v>
      </c>
      <c r="Q1425" t="str">
        <f>VLOOKUP(A1425,vlookup_table!$A:$G,5,FALSE)</f>
        <v>S1</v>
      </c>
      <c r="R1425" t="str">
        <f>VLOOKUP(A1425,vlookup_table!$A:$G,6,FALSE)</f>
        <v>M</v>
      </c>
      <c r="S1425">
        <f>VLOOKUP(A1425,vlookup_table!$A:$G,7,FALSE)</f>
        <v>15</v>
      </c>
      <c r="T1425">
        <f t="shared" si="44"/>
        <v>36</v>
      </c>
      <c r="U1425" t="str">
        <f t="shared" si="45"/>
        <v>Suburbano</v>
      </c>
    </row>
    <row r="1426" spans="1:21" ht="16" x14ac:dyDescent="0.4">
      <c r="A1426" s="6">
        <v>92312</v>
      </c>
      <c r="B1426" s="6" t="s">
        <v>16</v>
      </c>
      <c r="C1426" s="6" t="s">
        <v>17</v>
      </c>
      <c r="D1426" s="6">
        <v>3573</v>
      </c>
      <c r="E1426" s="6">
        <v>1245</v>
      </c>
      <c r="F1426" s="6">
        <v>1179</v>
      </c>
      <c r="G1426" s="6">
        <v>98</v>
      </c>
      <c r="H1426" s="6">
        <v>83519</v>
      </c>
      <c r="I1426" s="6">
        <v>15</v>
      </c>
      <c r="J1426" s="6">
        <v>70</v>
      </c>
      <c r="K1426" s="6">
        <v>1474</v>
      </c>
      <c r="L1426" s="6">
        <v>1065</v>
      </c>
      <c r="M1426" s="6">
        <v>10.33333333</v>
      </c>
      <c r="N1426">
        <f>VLOOKUP(A1426,vlookup_table!$A:$G,2,FALSE)</f>
        <v>28</v>
      </c>
      <c r="O1426" t="str">
        <f>VLOOKUP(A1426,vlookup_table!$A:$G,3,FALSE)</f>
        <v>IL</v>
      </c>
      <c r="P1426">
        <f>VLOOKUP(A1426,vlookup_table!$A:$G,4,FALSE)</f>
        <v>3202</v>
      </c>
      <c r="Q1426" t="str">
        <f>VLOOKUP(A1426,vlookup_table!$A:$G,5,FALSE)</f>
        <v>S1</v>
      </c>
      <c r="R1426" t="str">
        <f>VLOOKUP(A1426,vlookup_table!$A:$G,6,FALSE)</f>
        <v>F</v>
      </c>
      <c r="S1426">
        <f>VLOOKUP(A1426,vlookup_table!$A:$G,7,FALSE)</f>
        <v>24</v>
      </c>
      <c r="T1426">
        <f t="shared" si="44"/>
        <v>64</v>
      </c>
      <c r="U1426" t="str">
        <f t="shared" si="45"/>
        <v>Suburbano</v>
      </c>
    </row>
    <row r="1427" spans="1:21" ht="16" x14ac:dyDescent="0.4">
      <c r="A1427" s="6">
        <v>114208</v>
      </c>
      <c r="B1427" s="6" t="s">
        <v>28</v>
      </c>
      <c r="C1427" s="6" t="s">
        <v>14</v>
      </c>
      <c r="D1427" s="6">
        <v>393</v>
      </c>
      <c r="E1427" s="6">
        <v>195</v>
      </c>
      <c r="F1427" s="6">
        <v>221</v>
      </c>
      <c r="G1427" s="6">
        <v>0</v>
      </c>
      <c r="H1427" s="6">
        <v>10232</v>
      </c>
      <c r="I1427" s="6">
        <v>1</v>
      </c>
      <c r="J1427" s="6">
        <v>65</v>
      </c>
      <c r="K1427" s="6">
        <v>212</v>
      </c>
      <c r="L1427" s="6">
        <v>222</v>
      </c>
      <c r="M1427" s="6">
        <v>15.55555556</v>
      </c>
      <c r="N1427">
        <f>VLOOKUP(A1427,vlookup_table!$A:$G,2,FALSE)</f>
        <v>0</v>
      </c>
      <c r="O1427" t="str">
        <f>VLOOKUP(A1427,vlookup_table!$A:$G,3,FALSE)</f>
        <v>OK</v>
      </c>
      <c r="P1427">
        <f>VLOOKUP(A1427,vlookup_table!$A:$G,4,FALSE)</f>
        <v>3401</v>
      </c>
      <c r="Q1427" t="str">
        <f>VLOOKUP(A1427,vlookup_table!$A:$G,5,FALSE)</f>
        <v>T3</v>
      </c>
      <c r="R1427" t="str">
        <f>VLOOKUP(A1427,vlookup_table!$A:$G,6,FALSE)</f>
        <v>M</v>
      </c>
      <c r="S1427">
        <f>VLOOKUP(A1427,vlookup_table!$A:$G,7,FALSE)</f>
        <v>50</v>
      </c>
      <c r="T1427">
        <f t="shared" si="44"/>
        <v>62</v>
      </c>
      <c r="U1427" t="str">
        <f t="shared" si="45"/>
        <v>Pueblo</v>
      </c>
    </row>
    <row r="1428" spans="1:21" ht="16" x14ac:dyDescent="0.4">
      <c r="A1428" s="6">
        <v>127744</v>
      </c>
      <c r="B1428" s="6" t="s">
        <v>20</v>
      </c>
      <c r="C1428" s="6" t="s">
        <v>14</v>
      </c>
      <c r="D1428" s="6">
        <v>600</v>
      </c>
      <c r="E1428" s="6">
        <v>420</v>
      </c>
      <c r="F1428" s="6">
        <v>479</v>
      </c>
      <c r="G1428" s="6">
        <v>0</v>
      </c>
      <c r="H1428" s="6">
        <v>17725</v>
      </c>
      <c r="I1428" s="6">
        <v>0</v>
      </c>
      <c r="J1428" s="6">
        <v>77</v>
      </c>
      <c r="K1428" s="6">
        <v>461</v>
      </c>
      <c r="L1428" s="6">
        <v>467</v>
      </c>
      <c r="M1428" s="6">
        <v>8.7272727270000008</v>
      </c>
      <c r="N1428">
        <f>VLOOKUP(A1428,vlookup_table!$A:$G,2,FALSE)</f>
        <v>0</v>
      </c>
      <c r="O1428" t="str">
        <f>VLOOKUP(A1428,vlookup_table!$A:$G,3,FALSE)</f>
        <v>TX</v>
      </c>
      <c r="P1428">
        <f>VLOOKUP(A1428,vlookup_table!$A:$G,4,FALSE)</f>
        <v>2104</v>
      </c>
      <c r="Q1428" t="str">
        <f>VLOOKUP(A1428,vlookup_table!$A:$G,5,FALSE)</f>
        <v>T1</v>
      </c>
      <c r="R1428" t="str">
        <f>VLOOKUP(A1428,vlookup_table!$A:$G,6,FALSE)</f>
        <v>M</v>
      </c>
      <c r="S1428">
        <f>VLOOKUP(A1428,vlookup_table!$A:$G,7,FALSE)</f>
        <v>15</v>
      </c>
      <c r="T1428">
        <f t="shared" si="44"/>
        <v>75</v>
      </c>
      <c r="U1428" t="str">
        <f t="shared" si="45"/>
        <v>Pueblo</v>
      </c>
    </row>
    <row r="1429" spans="1:21" ht="16" x14ac:dyDescent="0.4">
      <c r="A1429" s="6">
        <v>86696</v>
      </c>
      <c r="B1429" s="6" t="s">
        <v>42</v>
      </c>
      <c r="C1429" s="6" t="s">
        <v>17</v>
      </c>
      <c r="D1429" s="6">
        <v>469</v>
      </c>
      <c r="E1429" s="6">
        <v>293</v>
      </c>
      <c r="F1429" s="6">
        <v>398</v>
      </c>
      <c r="G1429" s="6">
        <v>0</v>
      </c>
      <c r="H1429" s="6">
        <v>13446</v>
      </c>
      <c r="I1429" s="6">
        <v>0</v>
      </c>
      <c r="J1429" s="6">
        <v>79</v>
      </c>
      <c r="K1429" s="6">
        <v>354</v>
      </c>
      <c r="L1429" s="6">
        <v>331</v>
      </c>
      <c r="M1429" s="6">
        <v>19.285714290000001</v>
      </c>
      <c r="N1429">
        <f>VLOOKUP(A1429,vlookup_table!$A:$G,2,FALSE)</f>
        <v>0</v>
      </c>
      <c r="O1429" t="str">
        <f>VLOOKUP(A1429,vlookup_table!$A:$G,3,FALSE)</f>
        <v>ND</v>
      </c>
      <c r="P1429">
        <f>VLOOKUP(A1429,vlookup_table!$A:$G,4,FALSE)</f>
        <v>2307</v>
      </c>
      <c r="Q1429" t="str">
        <f>VLOOKUP(A1429,vlookup_table!$A:$G,5,FALSE)</f>
        <v>T1</v>
      </c>
      <c r="R1429" t="str">
        <f>VLOOKUP(A1429,vlookup_table!$A:$G,6,FALSE)</f>
        <v>F</v>
      </c>
      <c r="S1429">
        <f>VLOOKUP(A1429,vlookup_table!$A:$G,7,FALSE)</f>
        <v>25</v>
      </c>
      <c r="T1429">
        <f t="shared" si="44"/>
        <v>73</v>
      </c>
      <c r="U1429" t="str">
        <f t="shared" si="45"/>
        <v>Pueblo</v>
      </c>
    </row>
    <row r="1430" spans="1:21" ht="16" x14ac:dyDescent="0.4">
      <c r="A1430" s="6">
        <v>177131</v>
      </c>
      <c r="B1430" s="6" t="s">
        <v>47</v>
      </c>
      <c r="C1430" s="6" t="s">
        <v>17</v>
      </c>
      <c r="D1430" s="6">
        <v>605</v>
      </c>
      <c r="E1430" s="6">
        <v>223</v>
      </c>
      <c r="F1430" s="6">
        <v>323</v>
      </c>
      <c r="G1430" s="6">
        <v>0</v>
      </c>
      <c r="H1430" s="6">
        <v>12224</v>
      </c>
      <c r="I1430" s="6">
        <v>3</v>
      </c>
      <c r="J1430" s="6">
        <v>47</v>
      </c>
      <c r="K1430" s="6">
        <v>326</v>
      </c>
      <c r="L1430" s="6">
        <v>283</v>
      </c>
      <c r="M1430" s="6">
        <v>12.25</v>
      </c>
      <c r="N1430">
        <f>VLOOKUP(A1430,vlookup_table!$A:$G,2,FALSE)</f>
        <v>28</v>
      </c>
      <c r="O1430" t="str">
        <f>VLOOKUP(A1430,vlookup_table!$A:$G,3,FALSE)</f>
        <v>OR</v>
      </c>
      <c r="P1430">
        <f>VLOOKUP(A1430,vlookup_table!$A:$G,4,FALSE)</f>
        <v>2101</v>
      </c>
      <c r="Q1430" t="str">
        <f>VLOOKUP(A1430,vlookup_table!$A:$G,5,FALSE)</f>
        <v>C2</v>
      </c>
      <c r="R1430" t="str">
        <f>VLOOKUP(A1430,vlookup_table!$A:$G,6,FALSE)</f>
        <v>F</v>
      </c>
      <c r="S1430">
        <f>VLOOKUP(A1430,vlookup_table!$A:$G,7,FALSE)</f>
        <v>10</v>
      </c>
      <c r="T1430">
        <f t="shared" si="44"/>
        <v>75</v>
      </c>
      <c r="U1430" t="str">
        <f t="shared" si="45"/>
        <v>Ciudad</v>
      </c>
    </row>
    <row r="1431" spans="1:21" ht="16" x14ac:dyDescent="0.4">
      <c r="A1431" s="6">
        <v>42689</v>
      </c>
      <c r="B1431" s="6" t="s">
        <v>13</v>
      </c>
      <c r="C1431" s="6" t="s">
        <v>17</v>
      </c>
      <c r="D1431" s="6">
        <v>711</v>
      </c>
      <c r="E1431" s="6">
        <v>267</v>
      </c>
      <c r="F1431" s="6">
        <v>363</v>
      </c>
      <c r="G1431" s="6">
        <v>0</v>
      </c>
      <c r="H1431" s="6">
        <v>15229</v>
      </c>
      <c r="I1431" s="6">
        <v>12</v>
      </c>
      <c r="J1431" s="6">
        <v>7</v>
      </c>
      <c r="K1431" s="6">
        <v>305</v>
      </c>
      <c r="L1431" s="6">
        <v>307</v>
      </c>
      <c r="M1431" s="6">
        <v>3.8571428569999999</v>
      </c>
      <c r="N1431">
        <f>VLOOKUP(A1431,vlookup_table!$A:$G,2,FALSE)</f>
        <v>2</v>
      </c>
      <c r="O1431" t="str">
        <f>VLOOKUP(A1431,vlookup_table!$A:$G,3,FALSE)</f>
        <v>FL</v>
      </c>
      <c r="P1431">
        <f>VLOOKUP(A1431,vlookup_table!$A:$G,4,FALSE)</f>
        <v>0</v>
      </c>
      <c r="Q1431" t="str">
        <f>VLOOKUP(A1431,vlookup_table!$A:$G,5,FALSE)</f>
        <v>C2</v>
      </c>
      <c r="R1431" t="str">
        <f>VLOOKUP(A1431,vlookup_table!$A:$G,6,FALSE)</f>
        <v>F</v>
      </c>
      <c r="S1431">
        <f>VLOOKUP(A1431,vlookup_table!$A:$G,7,FALSE)</f>
        <v>4</v>
      </c>
      <c r="T1431">
        <f t="shared" si="44"/>
        <v>96</v>
      </c>
      <c r="U1431" t="str">
        <f t="shared" si="45"/>
        <v>Ciudad</v>
      </c>
    </row>
    <row r="1432" spans="1:21" ht="16" x14ac:dyDescent="0.4">
      <c r="A1432" s="6">
        <v>7879</v>
      </c>
      <c r="B1432" s="6" t="s">
        <v>21</v>
      </c>
      <c r="C1432" s="6" t="s">
        <v>17</v>
      </c>
      <c r="D1432" s="6">
        <v>1072</v>
      </c>
      <c r="E1432" s="6">
        <v>284</v>
      </c>
      <c r="F1432" s="6">
        <v>427</v>
      </c>
      <c r="G1432" s="6">
        <v>6</v>
      </c>
      <c r="H1432" s="6">
        <v>14572</v>
      </c>
      <c r="I1432" s="6">
        <v>14</v>
      </c>
      <c r="J1432" s="6">
        <v>63</v>
      </c>
      <c r="K1432" s="6">
        <v>306</v>
      </c>
      <c r="L1432" s="6">
        <v>378</v>
      </c>
      <c r="M1432" s="6">
        <v>17.85714286</v>
      </c>
      <c r="N1432">
        <f>VLOOKUP(A1432,vlookup_table!$A:$G,2,FALSE)</f>
        <v>2</v>
      </c>
      <c r="O1432" t="str">
        <f>VLOOKUP(A1432,vlookup_table!$A:$G,3,FALSE)</f>
        <v>CA</v>
      </c>
      <c r="P1432">
        <f>VLOOKUP(A1432,vlookup_table!$A:$G,4,FALSE)</f>
        <v>3011</v>
      </c>
      <c r="Q1432" t="str">
        <f>VLOOKUP(A1432,vlookup_table!$A:$G,5,FALSE)</f>
        <v>C2</v>
      </c>
      <c r="R1432" t="str">
        <f>VLOOKUP(A1432,vlookup_table!$A:$G,6,FALSE)</f>
        <v>F</v>
      </c>
      <c r="S1432">
        <f>VLOOKUP(A1432,vlookup_table!$A:$G,7,FALSE)</f>
        <v>25</v>
      </c>
      <c r="T1432">
        <f t="shared" si="44"/>
        <v>66</v>
      </c>
      <c r="U1432" t="str">
        <f t="shared" si="45"/>
        <v>Ciudad</v>
      </c>
    </row>
    <row r="1433" spans="1:21" ht="16" x14ac:dyDescent="0.4">
      <c r="A1433" s="6">
        <v>13089</v>
      </c>
      <c r="B1433" s="6" t="s">
        <v>26</v>
      </c>
      <c r="C1433" s="6" t="s">
        <v>17</v>
      </c>
      <c r="D1433" s="6">
        <v>782</v>
      </c>
      <c r="E1433" s="6">
        <v>462</v>
      </c>
      <c r="F1433" s="6">
        <v>504</v>
      </c>
      <c r="G1433" s="6">
        <v>1</v>
      </c>
      <c r="H1433" s="6">
        <v>15816</v>
      </c>
      <c r="I1433" s="6">
        <v>0</v>
      </c>
      <c r="J1433" s="6">
        <v>89</v>
      </c>
      <c r="K1433" s="6">
        <v>475</v>
      </c>
      <c r="L1433" s="6">
        <v>498</v>
      </c>
      <c r="M1433" s="6">
        <v>20.18181818</v>
      </c>
      <c r="N1433">
        <f>VLOOKUP(A1433,vlookup_table!$A:$G,2,FALSE)</f>
        <v>0</v>
      </c>
      <c r="O1433" t="str">
        <f>VLOOKUP(A1433,vlookup_table!$A:$G,3,FALSE)</f>
        <v>MI</v>
      </c>
      <c r="P1433">
        <f>VLOOKUP(A1433,vlookup_table!$A:$G,4,FALSE)</f>
        <v>6112</v>
      </c>
      <c r="Q1433" t="str">
        <f>VLOOKUP(A1433,vlookup_table!$A:$G,5,FALSE)</f>
        <v>T2</v>
      </c>
      <c r="R1433" t="str">
        <f>VLOOKUP(A1433,vlookup_table!$A:$G,6,FALSE)</f>
        <v>F</v>
      </c>
      <c r="S1433">
        <f>VLOOKUP(A1433,vlookup_table!$A:$G,7,FALSE)</f>
        <v>34</v>
      </c>
      <c r="T1433">
        <f t="shared" si="44"/>
        <v>35</v>
      </c>
      <c r="U1433" t="str">
        <f t="shared" si="45"/>
        <v>Pueblo</v>
      </c>
    </row>
    <row r="1434" spans="1:21" ht="16" x14ac:dyDescent="0.4">
      <c r="A1434" s="6">
        <v>98085</v>
      </c>
      <c r="B1434" s="6" t="s">
        <v>16</v>
      </c>
      <c r="C1434" s="6" t="s">
        <v>14</v>
      </c>
      <c r="D1434" s="6">
        <v>464</v>
      </c>
      <c r="E1434" s="6">
        <v>225</v>
      </c>
      <c r="F1434" s="6">
        <v>364</v>
      </c>
      <c r="G1434" s="6">
        <v>0</v>
      </c>
      <c r="H1434" s="6">
        <v>12445</v>
      </c>
      <c r="I1434" s="6">
        <v>0</v>
      </c>
      <c r="J1434" s="6">
        <v>84</v>
      </c>
      <c r="K1434" s="6">
        <v>291</v>
      </c>
      <c r="L1434" s="6">
        <v>277</v>
      </c>
      <c r="M1434" s="6">
        <v>10.199999999999999</v>
      </c>
      <c r="N1434">
        <f>VLOOKUP(A1434,vlookup_table!$A:$G,2,FALSE)</f>
        <v>1</v>
      </c>
      <c r="O1434" t="str">
        <f>VLOOKUP(A1434,vlookup_table!$A:$G,3,FALSE)</f>
        <v>IL</v>
      </c>
      <c r="P1434">
        <f>VLOOKUP(A1434,vlookup_table!$A:$G,4,FALSE)</f>
        <v>0</v>
      </c>
      <c r="Q1434" t="str">
        <f>VLOOKUP(A1434,vlookup_table!$A:$G,5,FALSE)</f>
        <v>R2</v>
      </c>
      <c r="R1434" t="str">
        <f>VLOOKUP(A1434,vlookup_table!$A:$G,6,FALSE)</f>
        <v>M</v>
      </c>
      <c r="S1434">
        <f>VLOOKUP(A1434,vlookup_table!$A:$G,7,FALSE)</f>
        <v>10</v>
      </c>
      <c r="T1434">
        <f t="shared" si="44"/>
        <v>96</v>
      </c>
      <c r="U1434" t="str">
        <f t="shared" si="45"/>
        <v>Rural</v>
      </c>
    </row>
    <row r="1435" spans="1:21" ht="16" x14ac:dyDescent="0.4">
      <c r="A1435" s="6">
        <v>5614</v>
      </c>
      <c r="B1435" s="6" t="s">
        <v>21</v>
      </c>
      <c r="C1435" s="6" t="s">
        <v>14</v>
      </c>
      <c r="D1435" s="6">
        <v>1803</v>
      </c>
      <c r="E1435" s="6">
        <v>281</v>
      </c>
      <c r="F1435" s="6">
        <v>492</v>
      </c>
      <c r="G1435" s="6">
        <v>20</v>
      </c>
      <c r="H1435" s="6">
        <v>24681</v>
      </c>
      <c r="I1435" s="6">
        <v>13</v>
      </c>
      <c r="J1435" s="6">
        <v>13</v>
      </c>
      <c r="K1435" s="6">
        <v>418</v>
      </c>
      <c r="L1435" s="6">
        <v>364</v>
      </c>
      <c r="M1435" s="6">
        <v>13.71428571</v>
      </c>
      <c r="N1435">
        <f>VLOOKUP(A1435,vlookup_table!$A:$G,2,FALSE)</f>
        <v>1</v>
      </c>
      <c r="O1435" t="str">
        <f>VLOOKUP(A1435,vlookup_table!$A:$G,3,FALSE)</f>
        <v>CA</v>
      </c>
      <c r="P1435">
        <f>VLOOKUP(A1435,vlookup_table!$A:$G,4,FALSE)</f>
        <v>1908</v>
      </c>
      <c r="Q1435" t="str">
        <f>VLOOKUP(A1435,vlookup_table!$A:$G,5,FALSE)</f>
        <v>C2</v>
      </c>
      <c r="R1435" t="str">
        <f>VLOOKUP(A1435,vlookup_table!$A:$G,6,FALSE)</f>
        <v>M</v>
      </c>
      <c r="S1435">
        <f>VLOOKUP(A1435,vlookup_table!$A:$G,7,FALSE)</f>
        <v>19</v>
      </c>
      <c r="T1435">
        <f t="shared" si="44"/>
        <v>77</v>
      </c>
      <c r="U1435" t="str">
        <f t="shared" si="45"/>
        <v>Ciudad</v>
      </c>
    </row>
    <row r="1436" spans="1:21" ht="16" x14ac:dyDescent="0.4">
      <c r="A1436" s="6">
        <v>122198</v>
      </c>
      <c r="B1436" s="6" t="s">
        <v>20</v>
      </c>
      <c r="C1436" s="6" t="s">
        <v>17</v>
      </c>
      <c r="D1436" s="6">
        <v>1329</v>
      </c>
      <c r="E1436" s="6">
        <v>685</v>
      </c>
      <c r="F1436" s="6">
        <v>743</v>
      </c>
      <c r="G1436" s="6">
        <v>1</v>
      </c>
      <c r="H1436" s="6">
        <v>21941</v>
      </c>
      <c r="I1436" s="6">
        <v>13</v>
      </c>
      <c r="J1436" s="6">
        <v>38</v>
      </c>
      <c r="K1436" s="6">
        <v>727</v>
      </c>
      <c r="L1436" s="6">
        <v>689</v>
      </c>
      <c r="M1436" s="6">
        <v>6.2</v>
      </c>
      <c r="N1436">
        <f>VLOOKUP(A1436,vlookup_table!$A:$G,2,FALSE)</f>
        <v>2</v>
      </c>
      <c r="O1436" t="str">
        <f>VLOOKUP(A1436,vlookup_table!$A:$G,3,FALSE)</f>
        <v>TX</v>
      </c>
      <c r="P1436">
        <f>VLOOKUP(A1436,vlookup_table!$A:$G,4,FALSE)</f>
        <v>5601</v>
      </c>
      <c r="Q1436" t="str">
        <f>VLOOKUP(A1436,vlookup_table!$A:$G,5,FALSE)</f>
        <v>C1</v>
      </c>
      <c r="R1436" t="str">
        <f>VLOOKUP(A1436,vlookup_table!$A:$G,6,FALSE)</f>
        <v>F</v>
      </c>
      <c r="S1436">
        <f>VLOOKUP(A1436,vlookup_table!$A:$G,7,FALSE)</f>
        <v>6</v>
      </c>
      <c r="T1436">
        <f t="shared" si="44"/>
        <v>40</v>
      </c>
      <c r="U1436" t="str">
        <f t="shared" si="45"/>
        <v>Ciudad</v>
      </c>
    </row>
    <row r="1437" spans="1:21" ht="16" x14ac:dyDescent="0.4">
      <c r="A1437" s="6">
        <v>131537</v>
      </c>
      <c r="B1437" s="6" t="s">
        <v>40</v>
      </c>
      <c r="C1437" s="6" t="s">
        <v>17</v>
      </c>
      <c r="D1437" s="6">
        <v>408</v>
      </c>
      <c r="E1437" s="6">
        <v>215</v>
      </c>
      <c r="F1437" s="6">
        <v>286</v>
      </c>
      <c r="G1437" s="6">
        <v>1</v>
      </c>
      <c r="H1437" s="6">
        <v>9667</v>
      </c>
      <c r="I1437" s="6">
        <v>0</v>
      </c>
      <c r="J1437" s="6">
        <v>87</v>
      </c>
      <c r="K1437" s="6">
        <v>253</v>
      </c>
      <c r="L1437" s="6">
        <v>259</v>
      </c>
      <c r="M1437" s="6">
        <v>8.4444444440000002</v>
      </c>
      <c r="N1437">
        <f>VLOOKUP(A1437,vlookup_table!$A:$G,2,FALSE)</f>
        <v>0</v>
      </c>
      <c r="O1437" t="str">
        <f>VLOOKUP(A1437,vlookup_table!$A:$G,3,FALSE)</f>
        <v>AL</v>
      </c>
      <c r="P1437">
        <f>VLOOKUP(A1437,vlookup_table!$A:$G,4,FALSE)</f>
        <v>0</v>
      </c>
      <c r="Q1437" t="str">
        <f>VLOOKUP(A1437,vlookup_table!$A:$G,5,FALSE)</f>
        <v>C2</v>
      </c>
      <c r="R1437" t="str">
        <f>VLOOKUP(A1437,vlookup_table!$A:$G,6,FALSE)</f>
        <v>F</v>
      </c>
      <c r="S1437">
        <f>VLOOKUP(A1437,vlookup_table!$A:$G,7,FALSE)</f>
        <v>7</v>
      </c>
      <c r="T1437">
        <f t="shared" si="44"/>
        <v>96</v>
      </c>
      <c r="U1437" t="str">
        <f t="shared" si="45"/>
        <v>Ciudad</v>
      </c>
    </row>
    <row r="1438" spans="1:21" ht="16" x14ac:dyDescent="0.4">
      <c r="A1438" s="6">
        <v>171609</v>
      </c>
      <c r="B1438" s="6" t="s">
        <v>21</v>
      </c>
      <c r="C1438" s="6" t="s">
        <v>17</v>
      </c>
      <c r="D1438" s="6">
        <v>1537</v>
      </c>
      <c r="E1438" s="6">
        <v>495</v>
      </c>
      <c r="F1438" s="6">
        <v>544</v>
      </c>
      <c r="G1438" s="6">
        <v>19</v>
      </c>
      <c r="H1438" s="6">
        <v>17689</v>
      </c>
      <c r="I1438" s="6">
        <v>13</v>
      </c>
      <c r="J1438" s="6">
        <v>58</v>
      </c>
      <c r="K1438" s="6">
        <v>509</v>
      </c>
      <c r="L1438" s="6">
        <v>528</v>
      </c>
      <c r="M1438" s="6">
        <v>13</v>
      </c>
      <c r="N1438">
        <f>VLOOKUP(A1438,vlookup_table!$A:$G,2,FALSE)</f>
        <v>0</v>
      </c>
      <c r="O1438" t="str">
        <f>VLOOKUP(A1438,vlookup_table!$A:$G,3,FALSE)</f>
        <v>CA</v>
      </c>
      <c r="P1438">
        <f>VLOOKUP(A1438,vlookup_table!$A:$G,4,FALSE)</f>
        <v>4201</v>
      </c>
      <c r="Q1438" t="str">
        <f>VLOOKUP(A1438,vlookup_table!$A:$G,5,FALSE)</f>
        <v>S1</v>
      </c>
      <c r="R1438" t="str">
        <f>VLOOKUP(A1438,vlookup_table!$A:$G,6,FALSE)</f>
        <v>F</v>
      </c>
      <c r="S1438">
        <f>VLOOKUP(A1438,vlookup_table!$A:$G,7,FALSE)</f>
        <v>20</v>
      </c>
      <c r="T1438">
        <f t="shared" si="44"/>
        <v>54</v>
      </c>
      <c r="U1438" t="str">
        <f t="shared" si="45"/>
        <v>Suburbano</v>
      </c>
    </row>
    <row r="1439" spans="1:21" ht="16" x14ac:dyDescent="0.4">
      <c r="A1439" s="6">
        <v>47914</v>
      </c>
      <c r="B1439" s="6" t="s">
        <v>40</v>
      </c>
      <c r="C1439" s="6" t="s">
        <v>17</v>
      </c>
      <c r="D1439" s="6">
        <v>488</v>
      </c>
      <c r="E1439" s="6">
        <v>300</v>
      </c>
      <c r="F1439" s="6">
        <v>311</v>
      </c>
      <c r="G1439" s="6">
        <v>0</v>
      </c>
      <c r="H1439" s="6">
        <v>10516</v>
      </c>
      <c r="I1439" s="6">
        <v>0</v>
      </c>
      <c r="J1439" s="6">
        <v>82</v>
      </c>
      <c r="K1439" s="6">
        <v>314</v>
      </c>
      <c r="L1439" s="6">
        <v>282</v>
      </c>
      <c r="M1439" s="6">
        <v>4.7142857139999998</v>
      </c>
      <c r="N1439">
        <f>VLOOKUP(A1439,vlookup_table!$A:$G,2,FALSE)</f>
        <v>30</v>
      </c>
      <c r="O1439" t="str">
        <f>VLOOKUP(A1439,vlookup_table!$A:$G,3,FALSE)</f>
        <v>AL</v>
      </c>
      <c r="P1439">
        <f>VLOOKUP(A1439,vlookup_table!$A:$G,4,FALSE)</f>
        <v>1901</v>
      </c>
      <c r="Q1439" t="str">
        <f>VLOOKUP(A1439,vlookup_table!$A:$G,5,FALSE)</f>
        <v>T2</v>
      </c>
      <c r="R1439" t="str">
        <f>VLOOKUP(A1439,vlookup_table!$A:$G,6,FALSE)</f>
        <v>F</v>
      </c>
      <c r="S1439">
        <f>VLOOKUP(A1439,vlookup_table!$A:$G,7,FALSE)</f>
        <v>5</v>
      </c>
      <c r="T1439">
        <f t="shared" si="44"/>
        <v>77</v>
      </c>
      <c r="U1439" t="str">
        <f t="shared" si="45"/>
        <v>Pueblo</v>
      </c>
    </row>
    <row r="1440" spans="1:21" ht="16" x14ac:dyDescent="0.4">
      <c r="A1440" s="6">
        <v>25226</v>
      </c>
      <c r="B1440" s="6" t="s">
        <v>43</v>
      </c>
      <c r="C1440" s="6" t="s">
        <v>14</v>
      </c>
      <c r="D1440" s="6">
        <v>799</v>
      </c>
      <c r="E1440" s="6">
        <v>429</v>
      </c>
      <c r="F1440" s="6">
        <v>467</v>
      </c>
      <c r="G1440" s="6">
        <v>0</v>
      </c>
      <c r="H1440" s="6">
        <v>15469</v>
      </c>
      <c r="I1440" s="6">
        <v>0</v>
      </c>
      <c r="J1440" s="6">
        <v>70</v>
      </c>
      <c r="K1440" s="6">
        <v>445</v>
      </c>
      <c r="L1440" s="6">
        <v>421</v>
      </c>
      <c r="M1440" s="6">
        <v>9.125</v>
      </c>
      <c r="N1440">
        <f>VLOOKUP(A1440,vlookup_table!$A:$G,2,FALSE)</f>
        <v>1</v>
      </c>
      <c r="O1440" t="str">
        <f>VLOOKUP(A1440,vlookup_table!$A:$G,3,FALSE)</f>
        <v>SC</v>
      </c>
      <c r="P1440">
        <f>VLOOKUP(A1440,vlookup_table!$A:$G,4,FALSE)</f>
        <v>2703</v>
      </c>
      <c r="Q1440" t="str">
        <f>VLOOKUP(A1440,vlookup_table!$A:$G,5,FALSE)</f>
        <v>T2</v>
      </c>
      <c r="R1440" t="str">
        <f>VLOOKUP(A1440,vlookup_table!$A:$G,6,FALSE)</f>
        <v>M</v>
      </c>
      <c r="S1440">
        <f>VLOOKUP(A1440,vlookup_table!$A:$G,7,FALSE)</f>
        <v>125</v>
      </c>
      <c r="T1440">
        <f t="shared" si="44"/>
        <v>69</v>
      </c>
      <c r="U1440" t="str">
        <f t="shared" si="45"/>
        <v>Pueblo</v>
      </c>
    </row>
    <row r="1441" spans="1:21" ht="16" x14ac:dyDescent="0.4">
      <c r="A1441" s="6">
        <v>158567</v>
      </c>
      <c r="B1441" s="6" t="s">
        <v>21</v>
      </c>
      <c r="C1441" s="6"/>
      <c r="D1441" s="6">
        <v>1722</v>
      </c>
      <c r="E1441" s="6">
        <v>324</v>
      </c>
      <c r="F1441" s="6">
        <v>408</v>
      </c>
      <c r="G1441" s="6">
        <v>13</v>
      </c>
      <c r="H1441" s="6">
        <v>15603</v>
      </c>
      <c r="I1441" s="6">
        <v>10</v>
      </c>
      <c r="J1441" s="6">
        <v>62</v>
      </c>
      <c r="K1441" s="6">
        <v>406</v>
      </c>
      <c r="L1441" s="6">
        <v>365</v>
      </c>
      <c r="M1441" s="6">
        <v>6.0714285710000002</v>
      </c>
      <c r="N1441">
        <f>VLOOKUP(A1441,vlookup_table!$A:$G,2,FALSE)</f>
        <v>0</v>
      </c>
      <c r="O1441" t="str">
        <f>VLOOKUP(A1441,vlookup_table!$A:$G,3,FALSE)</f>
        <v>CA</v>
      </c>
      <c r="P1441">
        <f>VLOOKUP(A1441,vlookup_table!$A:$G,4,FALSE)</f>
        <v>1110</v>
      </c>
      <c r="Q1441" t="str">
        <f>VLOOKUP(A1441,vlookup_table!$A:$G,5,FALSE)</f>
        <v>S1</v>
      </c>
      <c r="R1441" t="str">
        <f>VLOOKUP(A1441,vlookup_table!$A:$G,6,FALSE)</f>
        <v/>
      </c>
      <c r="S1441">
        <f>VLOOKUP(A1441,vlookup_table!$A:$G,7,FALSE)</f>
        <v>6</v>
      </c>
      <c r="T1441">
        <f t="shared" si="44"/>
        <v>85</v>
      </c>
      <c r="U1441" t="str">
        <f t="shared" si="45"/>
        <v>Suburbano</v>
      </c>
    </row>
    <row r="1442" spans="1:21" ht="16" x14ac:dyDescent="0.4">
      <c r="A1442" s="6">
        <v>103535</v>
      </c>
      <c r="B1442" s="6" t="s">
        <v>33</v>
      </c>
      <c r="C1442" s="6" t="s">
        <v>17</v>
      </c>
      <c r="D1442" s="6">
        <v>365</v>
      </c>
      <c r="E1442" s="6">
        <v>215</v>
      </c>
      <c r="F1442" s="6">
        <v>296</v>
      </c>
      <c r="G1442" s="6">
        <v>0</v>
      </c>
      <c r="H1442" s="6">
        <v>9330</v>
      </c>
      <c r="I1442" s="6">
        <v>0</v>
      </c>
      <c r="J1442" s="6">
        <v>70</v>
      </c>
      <c r="K1442" s="6">
        <v>249</v>
      </c>
      <c r="L1442" s="6">
        <v>269</v>
      </c>
      <c r="M1442" s="6">
        <v>13.33333333</v>
      </c>
      <c r="N1442">
        <f>VLOOKUP(A1442,vlookup_table!$A:$G,2,FALSE)</f>
        <v>2</v>
      </c>
      <c r="O1442" t="str">
        <f>VLOOKUP(A1442,vlookup_table!$A:$G,3,FALSE)</f>
        <v>MO</v>
      </c>
      <c r="P1442">
        <f>VLOOKUP(A1442,vlookup_table!$A:$G,4,FALSE)</f>
        <v>3801</v>
      </c>
      <c r="Q1442" t="str">
        <f>VLOOKUP(A1442,vlookup_table!$A:$G,5,FALSE)</f>
        <v>R3</v>
      </c>
      <c r="R1442" t="str">
        <f>VLOOKUP(A1442,vlookup_table!$A:$G,6,FALSE)</f>
        <v>F</v>
      </c>
      <c r="S1442">
        <f>VLOOKUP(A1442,vlookup_table!$A:$G,7,FALSE)</f>
        <v>15</v>
      </c>
      <c r="T1442">
        <f t="shared" si="44"/>
        <v>58</v>
      </c>
      <c r="U1442" t="str">
        <f t="shared" si="45"/>
        <v>Rural</v>
      </c>
    </row>
    <row r="1443" spans="1:21" ht="16" x14ac:dyDescent="0.4">
      <c r="A1443" s="6">
        <v>13394</v>
      </c>
      <c r="B1443" s="6" t="s">
        <v>16</v>
      </c>
      <c r="C1443" s="6" t="s">
        <v>17</v>
      </c>
      <c r="D1443" s="6">
        <v>1204</v>
      </c>
      <c r="E1443" s="6">
        <v>444</v>
      </c>
      <c r="F1443" s="6">
        <v>557</v>
      </c>
      <c r="G1443" s="6">
        <v>5</v>
      </c>
      <c r="H1443" s="6">
        <v>18966</v>
      </c>
      <c r="I1443" s="6">
        <v>7</v>
      </c>
      <c r="J1443" s="6">
        <v>72</v>
      </c>
      <c r="K1443" s="6">
        <v>514</v>
      </c>
      <c r="L1443" s="6">
        <v>491</v>
      </c>
      <c r="M1443" s="6">
        <v>7.4</v>
      </c>
      <c r="N1443">
        <f>VLOOKUP(A1443,vlookup_table!$A:$G,2,FALSE)</f>
        <v>0</v>
      </c>
      <c r="O1443" t="str">
        <f>VLOOKUP(A1443,vlookup_table!$A:$G,3,FALSE)</f>
        <v>IL</v>
      </c>
      <c r="P1443">
        <f>VLOOKUP(A1443,vlookup_table!$A:$G,4,FALSE)</f>
        <v>3001</v>
      </c>
      <c r="Q1443" t="str">
        <f>VLOOKUP(A1443,vlookup_table!$A:$G,5,FALSE)</f>
        <v>S1</v>
      </c>
      <c r="R1443" t="str">
        <f>VLOOKUP(A1443,vlookup_table!$A:$G,6,FALSE)</f>
        <v>F</v>
      </c>
      <c r="S1443">
        <f>VLOOKUP(A1443,vlookup_table!$A:$G,7,FALSE)</f>
        <v>15</v>
      </c>
      <c r="T1443">
        <f t="shared" si="44"/>
        <v>66</v>
      </c>
      <c r="U1443" t="str">
        <f t="shared" si="45"/>
        <v>Suburbano</v>
      </c>
    </row>
    <row r="1444" spans="1:21" ht="16" x14ac:dyDescent="0.4">
      <c r="A1444" s="6">
        <v>45870</v>
      </c>
      <c r="B1444" s="6" t="s">
        <v>13</v>
      </c>
      <c r="C1444" s="6" t="s">
        <v>14</v>
      </c>
      <c r="D1444" s="6">
        <v>518</v>
      </c>
      <c r="E1444" s="6">
        <v>184</v>
      </c>
      <c r="F1444" s="6">
        <v>264</v>
      </c>
      <c r="G1444" s="6">
        <v>0</v>
      </c>
      <c r="H1444" s="6">
        <v>11126</v>
      </c>
      <c r="I1444" s="6">
        <v>7</v>
      </c>
      <c r="J1444" s="6">
        <v>12</v>
      </c>
      <c r="K1444" s="6">
        <v>213</v>
      </c>
      <c r="L1444" s="6">
        <v>228</v>
      </c>
      <c r="M1444" s="6">
        <v>9.3333333330000006</v>
      </c>
      <c r="N1444">
        <f>VLOOKUP(A1444,vlookup_table!$A:$G,2,FALSE)</f>
        <v>1</v>
      </c>
      <c r="O1444" t="str">
        <f>VLOOKUP(A1444,vlookup_table!$A:$G,3,FALSE)</f>
        <v>FL</v>
      </c>
      <c r="P1444">
        <f>VLOOKUP(A1444,vlookup_table!$A:$G,4,FALSE)</f>
        <v>3001</v>
      </c>
      <c r="Q1444" t="str">
        <f>VLOOKUP(A1444,vlookup_table!$A:$G,5,FALSE)</f>
        <v>C3</v>
      </c>
      <c r="R1444" t="str">
        <f>VLOOKUP(A1444,vlookup_table!$A:$G,6,FALSE)</f>
        <v>M</v>
      </c>
      <c r="S1444">
        <f>VLOOKUP(A1444,vlookup_table!$A:$G,7,FALSE)</f>
        <v>20</v>
      </c>
      <c r="T1444">
        <f t="shared" si="44"/>
        <v>66</v>
      </c>
      <c r="U1444" t="str">
        <f t="shared" si="45"/>
        <v>Ciudad</v>
      </c>
    </row>
    <row r="1445" spans="1:21" ht="16" x14ac:dyDescent="0.4">
      <c r="A1445" s="6">
        <v>169703</v>
      </c>
      <c r="B1445" s="6" t="s">
        <v>21</v>
      </c>
      <c r="C1445" s="6" t="s">
        <v>17</v>
      </c>
      <c r="D1445" s="6">
        <v>2486</v>
      </c>
      <c r="E1445" s="6">
        <v>475</v>
      </c>
      <c r="F1445" s="6">
        <v>543</v>
      </c>
      <c r="G1445" s="6">
        <v>73</v>
      </c>
      <c r="H1445" s="6">
        <v>26926</v>
      </c>
      <c r="I1445" s="6">
        <v>7</v>
      </c>
      <c r="J1445" s="6">
        <v>71</v>
      </c>
      <c r="K1445" s="6">
        <v>508</v>
      </c>
      <c r="L1445" s="6">
        <v>516</v>
      </c>
      <c r="M1445" s="6">
        <v>3.4919354839999999</v>
      </c>
      <c r="N1445">
        <f>VLOOKUP(A1445,vlookup_table!$A:$G,2,FALSE)</f>
        <v>0</v>
      </c>
      <c r="O1445" t="str">
        <f>VLOOKUP(A1445,vlookup_table!$A:$G,3,FALSE)</f>
        <v>CA</v>
      </c>
      <c r="P1445">
        <f>VLOOKUP(A1445,vlookup_table!$A:$G,4,FALSE)</f>
        <v>1501</v>
      </c>
      <c r="Q1445" t="str">
        <f>VLOOKUP(A1445,vlookup_table!$A:$G,5,FALSE)</f>
        <v>C2</v>
      </c>
      <c r="R1445" t="str">
        <f>VLOOKUP(A1445,vlookup_table!$A:$G,6,FALSE)</f>
        <v>F</v>
      </c>
      <c r="S1445">
        <f>VLOOKUP(A1445,vlookup_table!$A:$G,7,FALSE)</f>
        <v>25</v>
      </c>
      <c r="T1445">
        <f t="shared" si="44"/>
        <v>81</v>
      </c>
      <c r="U1445" t="str">
        <f t="shared" si="45"/>
        <v>Ciudad</v>
      </c>
    </row>
    <row r="1446" spans="1:21" ht="16" x14ac:dyDescent="0.4">
      <c r="A1446" s="6">
        <v>147484</v>
      </c>
      <c r="B1446" s="6" t="s">
        <v>21</v>
      </c>
      <c r="C1446" s="6" t="s">
        <v>14</v>
      </c>
      <c r="D1446" s="6">
        <v>5439</v>
      </c>
      <c r="E1446" s="6">
        <v>984</v>
      </c>
      <c r="F1446" s="6">
        <v>1004</v>
      </c>
      <c r="G1446" s="6">
        <v>98</v>
      </c>
      <c r="H1446" s="6">
        <v>42403</v>
      </c>
      <c r="I1446" s="6">
        <v>18</v>
      </c>
      <c r="J1446" s="6">
        <v>45</v>
      </c>
      <c r="K1446" s="6">
        <v>1029</v>
      </c>
      <c r="L1446" s="6">
        <v>961</v>
      </c>
      <c r="M1446" s="6">
        <v>12.222222220000001</v>
      </c>
      <c r="N1446">
        <f>VLOOKUP(A1446,vlookup_table!$A:$G,2,FALSE)</f>
        <v>0</v>
      </c>
      <c r="O1446" t="str">
        <f>VLOOKUP(A1446,vlookup_table!$A:$G,3,FALSE)</f>
        <v>CA</v>
      </c>
      <c r="P1446">
        <f>VLOOKUP(A1446,vlookup_table!$A:$G,4,FALSE)</f>
        <v>1601</v>
      </c>
      <c r="Q1446" t="str">
        <f>VLOOKUP(A1446,vlookup_table!$A:$G,5,FALSE)</f>
        <v>S1</v>
      </c>
      <c r="R1446" t="str">
        <f>VLOOKUP(A1446,vlookup_table!$A:$G,6,FALSE)</f>
        <v>M</v>
      </c>
      <c r="S1446">
        <f>VLOOKUP(A1446,vlookup_table!$A:$G,7,FALSE)</f>
        <v>12</v>
      </c>
      <c r="T1446">
        <f t="shared" si="44"/>
        <v>80</v>
      </c>
      <c r="U1446" t="str">
        <f t="shared" si="45"/>
        <v>Suburbano</v>
      </c>
    </row>
    <row r="1447" spans="1:21" ht="16" x14ac:dyDescent="0.4">
      <c r="A1447" s="6">
        <v>151907</v>
      </c>
      <c r="B1447" s="6" t="s">
        <v>21</v>
      </c>
      <c r="C1447" s="6" t="s">
        <v>17</v>
      </c>
      <c r="D1447" s="6">
        <v>3477</v>
      </c>
      <c r="E1447" s="6">
        <v>424</v>
      </c>
      <c r="F1447" s="6">
        <v>629</v>
      </c>
      <c r="G1447" s="6">
        <v>90</v>
      </c>
      <c r="H1447" s="6">
        <v>27103</v>
      </c>
      <c r="I1447" s="6">
        <v>14</v>
      </c>
      <c r="J1447" s="6">
        <v>37</v>
      </c>
      <c r="K1447" s="6">
        <v>601</v>
      </c>
      <c r="L1447" s="6">
        <v>528</v>
      </c>
      <c r="M1447" s="6">
        <v>5.4</v>
      </c>
      <c r="N1447">
        <f>VLOOKUP(A1447,vlookup_table!$A:$G,2,FALSE)</f>
        <v>0</v>
      </c>
      <c r="O1447" t="str">
        <f>VLOOKUP(A1447,vlookup_table!$A:$G,3,FALSE)</f>
        <v>CA</v>
      </c>
      <c r="P1447">
        <f>VLOOKUP(A1447,vlookup_table!$A:$G,4,FALSE)</f>
        <v>5901</v>
      </c>
      <c r="Q1447" t="str">
        <f>VLOOKUP(A1447,vlookup_table!$A:$G,5,FALSE)</f>
        <v>C1</v>
      </c>
      <c r="R1447" t="str">
        <f>VLOOKUP(A1447,vlookup_table!$A:$G,6,FALSE)</f>
        <v>F</v>
      </c>
      <c r="S1447">
        <f>VLOOKUP(A1447,vlookup_table!$A:$G,7,FALSE)</f>
        <v>6</v>
      </c>
      <c r="T1447">
        <f t="shared" si="44"/>
        <v>37</v>
      </c>
      <c r="U1447" t="str">
        <f t="shared" si="45"/>
        <v>Ciudad</v>
      </c>
    </row>
    <row r="1448" spans="1:21" ht="16" x14ac:dyDescent="0.4">
      <c r="A1448" s="6">
        <v>152283</v>
      </c>
      <c r="B1448" s="6" t="s">
        <v>21</v>
      </c>
      <c r="C1448" s="6" t="s">
        <v>17</v>
      </c>
      <c r="D1448" s="6">
        <v>2813</v>
      </c>
      <c r="E1448" s="6">
        <v>313</v>
      </c>
      <c r="F1448" s="6">
        <v>474</v>
      </c>
      <c r="G1448" s="6">
        <v>81</v>
      </c>
      <c r="H1448" s="6">
        <v>23850</v>
      </c>
      <c r="I1448" s="6">
        <v>10</v>
      </c>
      <c r="J1448" s="6">
        <v>12</v>
      </c>
      <c r="K1448" s="6">
        <v>366</v>
      </c>
      <c r="L1448" s="6">
        <v>388</v>
      </c>
      <c r="M1448" s="6">
        <v>10</v>
      </c>
      <c r="N1448">
        <f>VLOOKUP(A1448,vlookup_table!$A:$G,2,FALSE)</f>
        <v>0</v>
      </c>
      <c r="O1448" t="str">
        <f>VLOOKUP(A1448,vlookup_table!$A:$G,3,FALSE)</f>
        <v>CA</v>
      </c>
      <c r="P1448">
        <f>VLOOKUP(A1448,vlookup_table!$A:$G,4,FALSE)</f>
        <v>3604</v>
      </c>
      <c r="Q1448" t="str">
        <f>VLOOKUP(A1448,vlookup_table!$A:$G,5,FALSE)</f>
        <v>C2</v>
      </c>
      <c r="R1448" t="str">
        <f>VLOOKUP(A1448,vlookup_table!$A:$G,6,FALSE)</f>
        <v>F</v>
      </c>
      <c r="S1448">
        <f>VLOOKUP(A1448,vlookup_table!$A:$G,7,FALSE)</f>
        <v>10</v>
      </c>
      <c r="T1448">
        <f t="shared" si="44"/>
        <v>60</v>
      </c>
      <c r="U1448" t="str">
        <f t="shared" si="45"/>
        <v>Ciudad</v>
      </c>
    </row>
    <row r="1449" spans="1:21" ht="16" x14ac:dyDescent="0.4">
      <c r="A1449" s="6">
        <v>146742</v>
      </c>
      <c r="B1449" s="6" t="s">
        <v>21</v>
      </c>
      <c r="C1449" s="6" t="s">
        <v>14</v>
      </c>
      <c r="D1449" s="6">
        <v>3909</v>
      </c>
      <c r="E1449" s="6">
        <v>870</v>
      </c>
      <c r="F1449" s="6">
        <v>901</v>
      </c>
      <c r="G1449" s="6">
        <v>98</v>
      </c>
      <c r="H1449" s="6">
        <v>34835</v>
      </c>
      <c r="I1449" s="6">
        <v>16</v>
      </c>
      <c r="J1449" s="6">
        <v>45</v>
      </c>
      <c r="K1449" s="6">
        <v>886</v>
      </c>
      <c r="L1449" s="6">
        <v>878</v>
      </c>
      <c r="M1449" s="6">
        <v>11.28571429</v>
      </c>
      <c r="N1449">
        <f>VLOOKUP(A1449,vlookup_table!$A:$G,2,FALSE)</f>
        <v>1</v>
      </c>
      <c r="O1449" t="str">
        <f>VLOOKUP(A1449,vlookup_table!$A:$G,3,FALSE)</f>
        <v>CA</v>
      </c>
      <c r="P1449">
        <f>VLOOKUP(A1449,vlookup_table!$A:$G,4,FALSE)</f>
        <v>3001</v>
      </c>
      <c r="Q1449" t="str">
        <f>VLOOKUP(A1449,vlookup_table!$A:$G,5,FALSE)</f>
        <v>S1</v>
      </c>
      <c r="R1449" t="str">
        <f>VLOOKUP(A1449,vlookup_table!$A:$G,6,FALSE)</f>
        <v>M</v>
      </c>
      <c r="S1449">
        <f>VLOOKUP(A1449,vlookup_table!$A:$G,7,FALSE)</f>
        <v>15</v>
      </c>
      <c r="T1449">
        <f t="shared" si="44"/>
        <v>66</v>
      </c>
      <c r="U1449" t="str">
        <f t="shared" si="45"/>
        <v>Suburbano</v>
      </c>
    </row>
    <row r="1450" spans="1:21" ht="16" x14ac:dyDescent="0.4">
      <c r="A1450" s="6">
        <v>68240</v>
      </c>
      <c r="B1450" s="6" t="s">
        <v>26</v>
      </c>
      <c r="C1450" s="6" t="s">
        <v>14</v>
      </c>
      <c r="D1450" s="6">
        <v>237</v>
      </c>
      <c r="E1450" s="6">
        <v>255</v>
      </c>
      <c r="F1450" s="6">
        <v>274</v>
      </c>
      <c r="G1450" s="6">
        <v>0</v>
      </c>
      <c r="H1450" s="6">
        <v>12378</v>
      </c>
      <c r="I1450" s="6">
        <v>3</v>
      </c>
      <c r="J1450" s="6">
        <v>58</v>
      </c>
      <c r="K1450" s="6">
        <v>250</v>
      </c>
      <c r="L1450" s="6">
        <v>274</v>
      </c>
      <c r="M1450" s="6">
        <v>12.84615385</v>
      </c>
      <c r="N1450">
        <f>VLOOKUP(A1450,vlookup_table!$A:$G,2,FALSE)</f>
        <v>0</v>
      </c>
      <c r="O1450" t="str">
        <f>VLOOKUP(A1450,vlookup_table!$A:$G,3,FALSE)</f>
        <v>MI</v>
      </c>
      <c r="P1450">
        <f>VLOOKUP(A1450,vlookup_table!$A:$G,4,FALSE)</f>
        <v>3001</v>
      </c>
      <c r="Q1450" t="str">
        <f>VLOOKUP(A1450,vlookup_table!$A:$G,5,FALSE)</f>
        <v>U4</v>
      </c>
      <c r="R1450" t="str">
        <f>VLOOKUP(A1450,vlookup_table!$A:$G,6,FALSE)</f>
        <v>M</v>
      </c>
      <c r="S1450">
        <f>VLOOKUP(A1450,vlookup_table!$A:$G,7,FALSE)</f>
        <v>25</v>
      </c>
      <c r="T1450">
        <f t="shared" si="44"/>
        <v>66</v>
      </c>
      <c r="U1450" t="str">
        <f t="shared" si="45"/>
        <v>Urbano</v>
      </c>
    </row>
    <row r="1451" spans="1:21" ht="16" x14ac:dyDescent="0.4">
      <c r="A1451" s="6">
        <v>24975</v>
      </c>
      <c r="B1451" s="6" t="s">
        <v>43</v>
      </c>
      <c r="C1451" s="6" t="s">
        <v>17</v>
      </c>
      <c r="D1451" s="6">
        <v>545</v>
      </c>
      <c r="E1451" s="6">
        <v>302</v>
      </c>
      <c r="F1451" s="6">
        <v>338</v>
      </c>
      <c r="G1451" s="6">
        <v>1</v>
      </c>
      <c r="H1451" s="6">
        <v>12022</v>
      </c>
      <c r="I1451" s="6">
        <v>0</v>
      </c>
      <c r="J1451" s="6">
        <v>80</v>
      </c>
      <c r="K1451" s="6">
        <v>316</v>
      </c>
      <c r="L1451" s="6">
        <v>324</v>
      </c>
      <c r="M1451" s="6">
        <v>15</v>
      </c>
      <c r="N1451">
        <f>VLOOKUP(A1451,vlookup_table!$A:$G,2,FALSE)</f>
        <v>0</v>
      </c>
      <c r="O1451" t="str">
        <f>VLOOKUP(A1451,vlookup_table!$A:$G,3,FALSE)</f>
        <v>SC</v>
      </c>
      <c r="P1451">
        <f>VLOOKUP(A1451,vlookup_table!$A:$G,4,FALSE)</f>
        <v>4401</v>
      </c>
      <c r="Q1451" t="str">
        <f>VLOOKUP(A1451,vlookup_table!$A:$G,5,FALSE)</f>
        <v>R2</v>
      </c>
      <c r="R1451" t="str">
        <f>VLOOKUP(A1451,vlookup_table!$A:$G,6,FALSE)</f>
        <v>F</v>
      </c>
      <c r="S1451">
        <f>VLOOKUP(A1451,vlookup_table!$A:$G,7,FALSE)</f>
        <v>20</v>
      </c>
      <c r="T1451">
        <f t="shared" si="44"/>
        <v>52</v>
      </c>
      <c r="U1451" t="str">
        <f t="shared" si="45"/>
        <v>Rural</v>
      </c>
    </row>
    <row r="1452" spans="1:21" ht="16" x14ac:dyDescent="0.4">
      <c r="A1452" s="6">
        <v>25027</v>
      </c>
      <c r="B1452" s="6" t="s">
        <v>43</v>
      </c>
      <c r="C1452" s="6" t="s">
        <v>14</v>
      </c>
      <c r="D1452" s="6">
        <v>482</v>
      </c>
      <c r="E1452" s="6">
        <v>239</v>
      </c>
      <c r="F1452" s="6">
        <v>335</v>
      </c>
      <c r="G1452" s="6">
        <v>1</v>
      </c>
      <c r="H1452" s="6">
        <v>11149</v>
      </c>
      <c r="I1452" s="6">
        <v>0</v>
      </c>
      <c r="J1452" s="6">
        <v>81</v>
      </c>
      <c r="K1452" s="6">
        <v>282</v>
      </c>
      <c r="L1452" s="6">
        <v>287</v>
      </c>
      <c r="M1452" s="6">
        <v>5.0714285710000002</v>
      </c>
      <c r="N1452">
        <f>VLOOKUP(A1452,vlookup_table!$A:$G,2,FALSE)</f>
        <v>0</v>
      </c>
      <c r="O1452" t="str">
        <f>VLOOKUP(A1452,vlookup_table!$A:$G,3,FALSE)</f>
        <v>SC</v>
      </c>
      <c r="P1452">
        <f>VLOOKUP(A1452,vlookup_table!$A:$G,4,FALSE)</f>
        <v>5502</v>
      </c>
      <c r="Q1452" t="str">
        <f>VLOOKUP(A1452,vlookup_table!$A:$G,5,FALSE)</f>
        <v>R2</v>
      </c>
      <c r="R1452" t="str">
        <f>VLOOKUP(A1452,vlookup_table!$A:$G,6,FALSE)</f>
        <v>M</v>
      </c>
      <c r="S1452">
        <f>VLOOKUP(A1452,vlookup_table!$A:$G,7,FALSE)</f>
        <v>5</v>
      </c>
      <c r="T1452">
        <f t="shared" si="44"/>
        <v>41</v>
      </c>
      <c r="U1452" t="str">
        <f t="shared" si="45"/>
        <v>Rural</v>
      </c>
    </row>
    <row r="1453" spans="1:21" ht="16" x14ac:dyDescent="0.4">
      <c r="A1453" s="6">
        <v>184269</v>
      </c>
      <c r="B1453" s="6" t="s">
        <v>37</v>
      </c>
      <c r="C1453" s="6"/>
      <c r="D1453" s="6">
        <v>506</v>
      </c>
      <c r="E1453" s="6">
        <v>274</v>
      </c>
      <c r="F1453" s="6">
        <v>356</v>
      </c>
      <c r="G1453" s="6">
        <v>0</v>
      </c>
      <c r="H1453" s="6">
        <v>12932</v>
      </c>
      <c r="I1453" s="6">
        <v>11</v>
      </c>
      <c r="J1453" s="6">
        <v>37</v>
      </c>
      <c r="K1453" s="6">
        <v>320</v>
      </c>
      <c r="L1453" s="6">
        <v>310</v>
      </c>
      <c r="M1453" s="6">
        <v>10</v>
      </c>
      <c r="N1453">
        <f>VLOOKUP(A1453,vlookup_table!$A:$G,2,FALSE)</f>
        <v>0</v>
      </c>
      <c r="O1453" t="str">
        <f>VLOOKUP(A1453,vlookup_table!$A:$G,3,FALSE)</f>
        <v>WA</v>
      </c>
      <c r="P1453">
        <f>VLOOKUP(A1453,vlookup_table!$A:$G,4,FALSE)</f>
        <v>1406</v>
      </c>
      <c r="Q1453" t="str">
        <f>VLOOKUP(A1453,vlookup_table!$A:$G,5,FALSE)</f>
        <v>C2</v>
      </c>
      <c r="R1453" t="str">
        <f>VLOOKUP(A1453,vlookup_table!$A:$G,6,FALSE)</f>
        <v/>
      </c>
      <c r="S1453">
        <f>VLOOKUP(A1453,vlookup_table!$A:$G,7,FALSE)</f>
        <v>10</v>
      </c>
      <c r="T1453">
        <f t="shared" si="44"/>
        <v>82</v>
      </c>
      <c r="U1453" t="str">
        <f t="shared" si="45"/>
        <v>Ciudad</v>
      </c>
    </row>
    <row r="1454" spans="1:21" ht="16" x14ac:dyDescent="0.4">
      <c r="A1454" s="6">
        <v>187915</v>
      </c>
      <c r="B1454" s="6" t="s">
        <v>54</v>
      </c>
      <c r="C1454" s="6" t="s">
        <v>17</v>
      </c>
      <c r="D1454" s="6">
        <v>1344</v>
      </c>
      <c r="E1454" s="6">
        <v>436</v>
      </c>
      <c r="F1454" s="6">
        <v>472</v>
      </c>
      <c r="G1454" s="6">
        <v>7</v>
      </c>
      <c r="H1454" s="6">
        <v>14568</v>
      </c>
      <c r="I1454" s="6">
        <v>4</v>
      </c>
      <c r="J1454" s="6">
        <v>75</v>
      </c>
      <c r="K1454" s="6">
        <v>468</v>
      </c>
      <c r="L1454" s="6">
        <v>439</v>
      </c>
      <c r="M1454" s="6">
        <v>3.9315384610000002</v>
      </c>
      <c r="N1454">
        <f>VLOOKUP(A1454,vlookup_table!$A:$G,2,FALSE)</f>
        <v>0</v>
      </c>
      <c r="O1454" t="str">
        <f>VLOOKUP(A1454,vlookup_table!$A:$G,3,FALSE)</f>
        <v>NJ</v>
      </c>
      <c r="P1454">
        <f>VLOOKUP(A1454,vlookup_table!$A:$G,4,FALSE)</f>
        <v>0</v>
      </c>
      <c r="Q1454" t="str">
        <f>VLOOKUP(A1454,vlookup_table!$A:$G,5,FALSE)</f>
        <v>T2</v>
      </c>
      <c r="R1454" t="str">
        <f>VLOOKUP(A1454,vlookup_table!$A:$G,6,FALSE)</f>
        <v>F</v>
      </c>
      <c r="S1454">
        <f>VLOOKUP(A1454,vlookup_table!$A:$G,7,FALSE)</f>
        <v>20</v>
      </c>
      <c r="T1454">
        <f t="shared" si="44"/>
        <v>96</v>
      </c>
      <c r="U1454" t="str">
        <f t="shared" si="45"/>
        <v>Pueblo</v>
      </c>
    </row>
    <row r="1455" spans="1:21" ht="16" x14ac:dyDescent="0.4">
      <c r="A1455" s="6">
        <v>16972</v>
      </c>
      <c r="B1455" s="6" t="s">
        <v>18</v>
      </c>
      <c r="C1455" s="6" t="s">
        <v>14</v>
      </c>
      <c r="D1455" s="6">
        <v>621</v>
      </c>
      <c r="E1455" s="6">
        <v>267</v>
      </c>
      <c r="F1455" s="6">
        <v>352</v>
      </c>
      <c r="G1455" s="6">
        <v>0</v>
      </c>
      <c r="H1455" s="6">
        <v>11523</v>
      </c>
      <c r="I1455" s="6">
        <v>1</v>
      </c>
      <c r="J1455" s="6">
        <v>81</v>
      </c>
      <c r="K1455" s="6">
        <v>328</v>
      </c>
      <c r="L1455" s="6">
        <v>300</v>
      </c>
      <c r="M1455" s="6">
        <v>10.5875</v>
      </c>
      <c r="N1455">
        <f>VLOOKUP(A1455,vlookup_table!$A:$G,2,FALSE)</f>
        <v>1</v>
      </c>
      <c r="O1455" t="str">
        <f>VLOOKUP(A1455,vlookup_table!$A:$G,3,FALSE)</f>
        <v>NC</v>
      </c>
      <c r="P1455">
        <f>VLOOKUP(A1455,vlookup_table!$A:$G,4,FALSE)</f>
        <v>5801</v>
      </c>
      <c r="Q1455" t="str">
        <f>VLOOKUP(A1455,vlookup_table!$A:$G,5,FALSE)</f>
        <v>R2</v>
      </c>
      <c r="R1455" t="str">
        <f>VLOOKUP(A1455,vlookup_table!$A:$G,6,FALSE)</f>
        <v>M</v>
      </c>
      <c r="S1455">
        <f>VLOOKUP(A1455,vlookup_table!$A:$G,7,FALSE)</f>
        <v>12</v>
      </c>
      <c r="T1455">
        <f t="shared" si="44"/>
        <v>38</v>
      </c>
      <c r="U1455" t="str">
        <f t="shared" si="45"/>
        <v>Rural</v>
      </c>
    </row>
    <row r="1456" spans="1:21" ht="16" x14ac:dyDescent="0.4">
      <c r="A1456" s="6">
        <v>126469</v>
      </c>
      <c r="B1456" s="6" t="s">
        <v>20</v>
      </c>
      <c r="C1456" s="6" t="s">
        <v>14</v>
      </c>
      <c r="D1456" s="6">
        <v>564</v>
      </c>
      <c r="E1456" s="6">
        <v>199</v>
      </c>
      <c r="F1456" s="6">
        <v>288</v>
      </c>
      <c r="G1456" s="6">
        <v>1</v>
      </c>
      <c r="H1456" s="6">
        <v>10369</v>
      </c>
      <c r="I1456" s="6">
        <v>7</v>
      </c>
      <c r="J1456" s="6">
        <v>73</v>
      </c>
      <c r="K1456" s="6">
        <v>207</v>
      </c>
      <c r="L1456" s="6">
        <v>274</v>
      </c>
      <c r="M1456" s="6">
        <v>8.730769231</v>
      </c>
      <c r="N1456">
        <f>VLOOKUP(A1456,vlookup_table!$A:$G,2,FALSE)</f>
        <v>0</v>
      </c>
      <c r="O1456" t="str">
        <f>VLOOKUP(A1456,vlookup_table!$A:$G,3,FALSE)</f>
        <v>TX</v>
      </c>
      <c r="P1456">
        <f>VLOOKUP(A1456,vlookup_table!$A:$G,4,FALSE)</f>
        <v>1808</v>
      </c>
      <c r="Q1456" t="str">
        <f>VLOOKUP(A1456,vlookup_table!$A:$G,5,FALSE)</f>
        <v>C1</v>
      </c>
      <c r="R1456" t="str">
        <f>VLOOKUP(A1456,vlookup_table!$A:$G,6,FALSE)</f>
        <v>M</v>
      </c>
      <c r="S1456">
        <f>VLOOKUP(A1456,vlookup_table!$A:$G,7,FALSE)</f>
        <v>15</v>
      </c>
      <c r="T1456">
        <f t="shared" si="44"/>
        <v>78</v>
      </c>
      <c r="U1456" t="str">
        <f t="shared" si="45"/>
        <v>Ciudad</v>
      </c>
    </row>
    <row r="1457" spans="1:21" ht="16" x14ac:dyDescent="0.4">
      <c r="A1457" s="6">
        <v>42548</v>
      </c>
      <c r="B1457" s="6" t="s">
        <v>13</v>
      </c>
      <c r="C1457" s="6" t="s">
        <v>17</v>
      </c>
      <c r="D1457" s="6">
        <v>398</v>
      </c>
      <c r="E1457" s="6">
        <v>193</v>
      </c>
      <c r="F1457" s="6">
        <v>210</v>
      </c>
      <c r="G1457" s="6">
        <v>0</v>
      </c>
      <c r="H1457" s="6">
        <v>6768</v>
      </c>
      <c r="I1457" s="6">
        <v>8</v>
      </c>
      <c r="J1457" s="6">
        <v>42</v>
      </c>
      <c r="K1457" s="6">
        <v>207</v>
      </c>
      <c r="L1457" s="6">
        <v>195</v>
      </c>
      <c r="M1457" s="6">
        <v>8.769230769</v>
      </c>
      <c r="N1457">
        <f>VLOOKUP(A1457,vlookup_table!$A:$G,2,FALSE)</f>
        <v>0</v>
      </c>
      <c r="O1457" t="str">
        <f>VLOOKUP(A1457,vlookup_table!$A:$G,3,FALSE)</f>
        <v>FL</v>
      </c>
      <c r="P1457">
        <f>VLOOKUP(A1457,vlookup_table!$A:$G,4,FALSE)</f>
        <v>2401</v>
      </c>
      <c r="Q1457" t="str">
        <f>VLOOKUP(A1457,vlookup_table!$A:$G,5,FALSE)</f>
        <v>T3</v>
      </c>
      <c r="R1457" t="str">
        <f>VLOOKUP(A1457,vlookup_table!$A:$G,6,FALSE)</f>
        <v>F</v>
      </c>
      <c r="S1457">
        <f>VLOOKUP(A1457,vlookup_table!$A:$G,7,FALSE)</f>
        <v>11</v>
      </c>
      <c r="T1457">
        <f t="shared" si="44"/>
        <v>72</v>
      </c>
      <c r="U1457" t="str">
        <f t="shared" si="45"/>
        <v>Pueblo</v>
      </c>
    </row>
    <row r="1458" spans="1:21" ht="16" x14ac:dyDescent="0.4">
      <c r="A1458" s="6">
        <v>72416</v>
      </c>
      <c r="B1458" s="6" t="s">
        <v>26</v>
      </c>
      <c r="C1458" s="6" t="s">
        <v>14</v>
      </c>
      <c r="D1458" s="6">
        <v>667</v>
      </c>
      <c r="E1458" s="6">
        <v>333</v>
      </c>
      <c r="F1458" s="6">
        <v>395</v>
      </c>
      <c r="G1458" s="6">
        <v>0</v>
      </c>
      <c r="H1458" s="6">
        <v>12506</v>
      </c>
      <c r="I1458" s="6">
        <v>4</v>
      </c>
      <c r="J1458" s="6">
        <v>68</v>
      </c>
      <c r="K1458" s="6">
        <v>380</v>
      </c>
      <c r="L1458" s="6">
        <v>345</v>
      </c>
      <c r="M1458" s="6">
        <v>6.7222222220000001</v>
      </c>
      <c r="N1458">
        <f>VLOOKUP(A1458,vlookup_table!$A:$G,2,FALSE)</f>
        <v>1002</v>
      </c>
      <c r="O1458" t="str">
        <f>VLOOKUP(A1458,vlookup_table!$A:$G,3,FALSE)</f>
        <v>MI</v>
      </c>
      <c r="P1458">
        <f>VLOOKUP(A1458,vlookup_table!$A:$G,4,FALSE)</f>
        <v>1606</v>
      </c>
      <c r="Q1458" t="str">
        <f>VLOOKUP(A1458,vlookup_table!$A:$G,5,FALSE)</f>
        <v>R2</v>
      </c>
      <c r="R1458" t="str">
        <f>VLOOKUP(A1458,vlookup_table!$A:$G,6,FALSE)</f>
        <v>M</v>
      </c>
      <c r="S1458">
        <f>VLOOKUP(A1458,vlookup_table!$A:$G,7,FALSE)</f>
        <v>5</v>
      </c>
      <c r="T1458">
        <f t="shared" si="44"/>
        <v>80</v>
      </c>
      <c r="U1458" t="str">
        <f t="shared" si="45"/>
        <v>Rural</v>
      </c>
    </row>
    <row r="1459" spans="1:21" ht="16" x14ac:dyDescent="0.4">
      <c r="A1459" s="6">
        <v>118163</v>
      </c>
      <c r="B1459" s="6" t="s">
        <v>20</v>
      </c>
      <c r="C1459" s="6" t="s">
        <v>14</v>
      </c>
      <c r="D1459" s="6">
        <v>948</v>
      </c>
      <c r="E1459" s="6">
        <v>545</v>
      </c>
      <c r="F1459" s="6">
        <v>684</v>
      </c>
      <c r="G1459" s="6">
        <v>1</v>
      </c>
      <c r="H1459" s="6">
        <v>20038</v>
      </c>
      <c r="I1459" s="6">
        <v>8</v>
      </c>
      <c r="J1459" s="6">
        <v>54</v>
      </c>
      <c r="K1459" s="6">
        <v>604</v>
      </c>
      <c r="L1459" s="6">
        <v>655</v>
      </c>
      <c r="M1459" s="6">
        <v>5</v>
      </c>
      <c r="N1459">
        <f>VLOOKUP(A1459,vlookup_table!$A:$G,2,FALSE)</f>
        <v>2</v>
      </c>
      <c r="O1459" t="str">
        <f>VLOOKUP(A1459,vlookup_table!$A:$G,3,FALSE)</f>
        <v>TX</v>
      </c>
      <c r="P1459">
        <f>VLOOKUP(A1459,vlookup_table!$A:$G,4,FALSE)</f>
        <v>0</v>
      </c>
      <c r="Q1459" t="str">
        <f>VLOOKUP(A1459,vlookup_table!$A:$G,5,FALSE)</f>
        <v>R2</v>
      </c>
      <c r="R1459" t="str">
        <f>VLOOKUP(A1459,vlookup_table!$A:$G,6,FALSE)</f>
        <v>M</v>
      </c>
      <c r="S1459">
        <f>VLOOKUP(A1459,vlookup_table!$A:$G,7,FALSE)</f>
        <v>5</v>
      </c>
      <c r="T1459">
        <f t="shared" si="44"/>
        <v>96</v>
      </c>
      <c r="U1459" t="str">
        <f t="shared" si="45"/>
        <v>Rural</v>
      </c>
    </row>
    <row r="1460" spans="1:21" ht="16" x14ac:dyDescent="0.4">
      <c r="A1460" s="6">
        <v>174833</v>
      </c>
      <c r="B1460" s="6" t="s">
        <v>47</v>
      </c>
      <c r="C1460" s="6" t="s">
        <v>17</v>
      </c>
      <c r="D1460" s="6">
        <v>953</v>
      </c>
      <c r="E1460" s="6">
        <v>319</v>
      </c>
      <c r="F1460" s="6">
        <v>455</v>
      </c>
      <c r="G1460" s="6">
        <v>1</v>
      </c>
      <c r="H1460" s="6">
        <v>15729</v>
      </c>
      <c r="I1460" s="6">
        <v>3</v>
      </c>
      <c r="J1460" s="6">
        <v>45</v>
      </c>
      <c r="K1460" s="6">
        <v>379</v>
      </c>
      <c r="L1460" s="6">
        <v>387</v>
      </c>
      <c r="M1460" s="6">
        <v>13.2</v>
      </c>
      <c r="N1460">
        <f>VLOOKUP(A1460,vlookup_table!$A:$G,2,FALSE)</f>
        <v>2</v>
      </c>
      <c r="O1460" t="str">
        <f>VLOOKUP(A1460,vlookup_table!$A:$G,3,FALSE)</f>
        <v>OR</v>
      </c>
      <c r="P1460">
        <f>VLOOKUP(A1460,vlookup_table!$A:$G,4,FALSE)</f>
        <v>2002</v>
      </c>
      <c r="Q1460" t="str">
        <f>VLOOKUP(A1460,vlookup_table!$A:$G,5,FALSE)</f>
        <v>S2</v>
      </c>
      <c r="R1460" t="str">
        <f>VLOOKUP(A1460,vlookup_table!$A:$G,6,FALSE)</f>
        <v>F</v>
      </c>
      <c r="S1460">
        <f>VLOOKUP(A1460,vlookup_table!$A:$G,7,FALSE)</f>
        <v>20</v>
      </c>
      <c r="T1460">
        <f t="shared" si="44"/>
        <v>76</v>
      </c>
      <c r="U1460" t="str">
        <f t="shared" si="45"/>
        <v>Suburbano</v>
      </c>
    </row>
    <row r="1461" spans="1:21" ht="16" x14ac:dyDescent="0.4">
      <c r="A1461" s="6">
        <v>19623</v>
      </c>
      <c r="B1461" s="6" t="s">
        <v>18</v>
      </c>
      <c r="C1461" s="6" t="s">
        <v>97</v>
      </c>
      <c r="D1461" s="6">
        <v>1070</v>
      </c>
      <c r="E1461" s="6">
        <v>384</v>
      </c>
      <c r="F1461" s="6">
        <v>476</v>
      </c>
      <c r="G1461" s="6">
        <v>24</v>
      </c>
      <c r="H1461" s="6">
        <v>17806</v>
      </c>
      <c r="I1461" s="6">
        <v>1</v>
      </c>
      <c r="J1461" s="6">
        <v>67</v>
      </c>
      <c r="K1461" s="6">
        <v>420</v>
      </c>
      <c r="L1461" s="6">
        <v>435</v>
      </c>
      <c r="M1461" s="6">
        <v>6.5333333329999999</v>
      </c>
      <c r="N1461">
        <f>VLOOKUP(A1461,vlookup_table!$A:$G,2,FALSE)</f>
        <v>0</v>
      </c>
      <c r="O1461" t="str">
        <f>VLOOKUP(A1461,vlookup_table!$A:$G,3,FALSE)</f>
        <v>NC</v>
      </c>
      <c r="P1461">
        <f>VLOOKUP(A1461,vlookup_table!$A:$G,4,FALSE)</f>
        <v>6201</v>
      </c>
      <c r="Q1461" t="str">
        <f>VLOOKUP(A1461,vlookup_table!$A:$G,5,FALSE)</f>
        <v>T1</v>
      </c>
      <c r="R1461" t="str">
        <f>VLOOKUP(A1461,vlookup_table!$A:$G,6,FALSE)</f>
        <v>F</v>
      </c>
      <c r="S1461">
        <f>VLOOKUP(A1461,vlookup_table!$A:$G,7,FALSE)</f>
        <v>14</v>
      </c>
      <c r="T1461">
        <f t="shared" si="44"/>
        <v>34</v>
      </c>
      <c r="U1461" t="str">
        <f t="shared" si="45"/>
        <v>Pueblo</v>
      </c>
    </row>
    <row r="1462" spans="1:21" ht="16" x14ac:dyDescent="0.4">
      <c r="A1462" s="6">
        <v>159506</v>
      </c>
      <c r="B1462" s="6" t="s">
        <v>21</v>
      </c>
      <c r="C1462" s="6" t="s">
        <v>14</v>
      </c>
      <c r="D1462" s="6">
        <v>1029</v>
      </c>
      <c r="E1462" s="6">
        <v>415</v>
      </c>
      <c r="F1462" s="6">
        <v>413</v>
      </c>
      <c r="G1462" s="6">
        <v>5</v>
      </c>
      <c r="H1462" s="6">
        <v>17789</v>
      </c>
      <c r="I1462" s="6">
        <v>2</v>
      </c>
      <c r="J1462" s="6">
        <v>64</v>
      </c>
      <c r="K1462" s="6">
        <v>401</v>
      </c>
      <c r="L1462" s="6">
        <v>408</v>
      </c>
      <c r="M1462" s="6">
        <v>5.1333333330000004</v>
      </c>
      <c r="N1462">
        <f>VLOOKUP(A1462,vlookup_table!$A:$G,2,FALSE)</f>
        <v>1</v>
      </c>
      <c r="O1462" t="str">
        <f>VLOOKUP(A1462,vlookup_table!$A:$G,3,FALSE)</f>
        <v>CA</v>
      </c>
      <c r="P1462">
        <f>VLOOKUP(A1462,vlookup_table!$A:$G,4,FALSE)</f>
        <v>0</v>
      </c>
      <c r="Q1462" t="str">
        <f>VLOOKUP(A1462,vlookup_table!$A:$G,5,FALSE)</f>
        <v>R2</v>
      </c>
      <c r="R1462" t="str">
        <f>VLOOKUP(A1462,vlookup_table!$A:$G,6,FALSE)</f>
        <v>M</v>
      </c>
      <c r="S1462">
        <f>VLOOKUP(A1462,vlookup_table!$A:$G,7,FALSE)</f>
        <v>10</v>
      </c>
      <c r="T1462">
        <f t="shared" si="44"/>
        <v>96</v>
      </c>
      <c r="U1462" t="str">
        <f t="shared" si="45"/>
        <v>Rural</v>
      </c>
    </row>
    <row r="1463" spans="1:21" ht="16" x14ac:dyDescent="0.4">
      <c r="A1463" s="6">
        <v>153743</v>
      </c>
      <c r="B1463" s="6" t="s">
        <v>21</v>
      </c>
      <c r="C1463" s="6" t="s">
        <v>14</v>
      </c>
      <c r="D1463" s="6">
        <v>1325</v>
      </c>
      <c r="E1463" s="6">
        <v>381</v>
      </c>
      <c r="F1463" s="6">
        <v>464</v>
      </c>
      <c r="G1463" s="6">
        <v>4</v>
      </c>
      <c r="H1463" s="6">
        <v>19380</v>
      </c>
      <c r="I1463" s="6">
        <v>18</v>
      </c>
      <c r="J1463" s="6">
        <v>38</v>
      </c>
      <c r="K1463" s="6">
        <v>458</v>
      </c>
      <c r="L1463" s="6">
        <v>403</v>
      </c>
      <c r="M1463" s="6">
        <v>16.352941179999998</v>
      </c>
      <c r="N1463">
        <f>VLOOKUP(A1463,vlookup_table!$A:$G,2,FALSE)</f>
        <v>0</v>
      </c>
      <c r="O1463" t="str">
        <f>VLOOKUP(A1463,vlookup_table!$A:$G,3,FALSE)</f>
        <v>CA</v>
      </c>
      <c r="P1463">
        <f>VLOOKUP(A1463,vlookup_table!$A:$G,4,FALSE)</f>
        <v>5901</v>
      </c>
      <c r="Q1463" t="str">
        <f>VLOOKUP(A1463,vlookup_table!$A:$G,5,FALSE)</f>
        <v>S1</v>
      </c>
      <c r="R1463" t="str">
        <f>VLOOKUP(A1463,vlookup_table!$A:$G,6,FALSE)</f>
        <v>M</v>
      </c>
      <c r="S1463">
        <f>VLOOKUP(A1463,vlookup_table!$A:$G,7,FALSE)</f>
        <v>26</v>
      </c>
      <c r="T1463">
        <f t="shared" si="44"/>
        <v>37</v>
      </c>
      <c r="U1463" t="str">
        <f t="shared" si="45"/>
        <v>Suburbano</v>
      </c>
    </row>
    <row r="1464" spans="1:21" ht="16" x14ac:dyDescent="0.4">
      <c r="A1464" s="6">
        <v>100447</v>
      </c>
      <c r="B1464" s="6" t="s">
        <v>33</v>
      </c>
      <c r="C1464" s="6" t="s">
        <v>17</v>
      </c>
      <c r="D1464" s="6">
        <v>806</v>
      </c>
      <c r="E1464" s="6">
        <v>357</v>
      </c>
      <c r="F1464" s="6">
        <v>441</v>
      </c>
      <c r="G1464" s="6">
        <v>0</v>
      </c>
      <c r="H1464" s="6">
        <v>14575</v>
      </c>
      <c r="I1464" s="6">
        <v>4</v>
      </c>
      <c r="J1464" s="6">
        <v>81</v>
      </c>
      <c r="K1464" s="6">
        <v>393</v>
      </c>
      <c r="L1464" s="6">
        <v>386</v>
      </c>
      <c r="M1464" s="6">
        <v>4</v>
      </c>
      <c r="N1464">
        <f>VLOOKUP(A1464,vlookup_table!$A:$G,2,FALSE)</f>
        <v>0</v>
      </c>
      <c r="O1464" t="str">
        <f>VLOOKUP(A1464,vlookup_table!$A:$G,3,FALSE)</f>
        <v>MO</v>
      </c>
      <c r="P1464">
        <f>VLOOKUP(A1464,vlookup_table!$A:$G,4,FALSE)</f>
        <v>5401</v>
      </c>
      <c r="Q1464" t="str">
        <f>VLOOKUP(A1464,vlookup_table!$A:$G,5,FALSE)</f>
        <v>S2</v>
      </c>
      <c r="R1464" t="str">
        <f>VLOOKUP(A1464,vlookup_table!$A:$G,6,FALSE)</f>
        <v>F</v>
      </c>
      <c r="S1464">
        <f>VLOOKUP(A1464,vlookup_table!$A:$G,7,FALSE)</f>
        <v>3</v>
      </c>
      <c r="T1464">
        <f t="shared" si="44"/>
        <v>42</v>
      </c>
      <c r="U1464" t="str">
        <f t="shared" si="45"/>
        <v>Suburbano</v>
      </c>
    </row>
    <row r="1465" spans="1:21" ht="16" x14ac:dyDescent="0.4">
      <c r="A1465" s="6">
        <v>126403</v>
      </c>
      <c r="B1465" s="6" t="s">
        <v>20</v>
      </c>
      <c r="C1465" s="6" t="s">
        <v>17</v>
      </c>
      <c r="D1465" s="6">
        <v>339</v>
      </c>
      <c r="E1465" s="6">
        <v>158</v>
      </c>
      <c r="F1465" s="6">
        <v>207</v>
      </c>
      <c r="G1465" s="6">
        <v>0</v>
      </c>
      <c r="H1465" s="6">
        <v>5445</v>
      </c>
      <c r="I1465" s="6">
        <v>27</v>
      </c>
      <c r="J1465" s="6">
        <v>58</v>
      </c>
      <c r="K1465" s="6">
        <v>161</v>
      </c>
      <c r="L1465" s="6">
        <v>212</v>
      </c>
      <c r="M1465" s="6">
        <v>8.25</v>
      </c>
      <c r="N1465">
        <f>VLOOKUP(A1465,vlookup_table!$A:$G,2,FALSE)</f>
        <v>2</v>
      </c>
      <c r="O1465" t="str">
        <f>VLOOKUP(A1465,vlookup_table!$A:$G,3,FALSE)</f>
        <v>TX</v>
      </c>
      <c r="P1465">
        <f>VLOOKUP(A1465,vlookup_table!$A:$G,4,FALSE)</f>
        <v>2403</v>
      </c>
      <c r="Q1465" t="str">
        <f>VLOOKUP(A1465,vlookup_table!$A:$G,5,FALSE)</f>
        <v>C3</v>
      </c>
      <c r="R1465" t="str">
        <f>VLOOKUP(A1465,vlookup_table!$A:$G,6,FALSE)</f>
        <v>F</v>
      </c>
      <c r="S1465">
        <f>VLOOKUP(A1465,vlookup_table!$A:$G,7,FALSE)</f>
        <v>10</v>
      </c>
      <c r="T1465">
        <f t="shared" si="44"/>
        <v>72</v>
      </c>
      <c r="U1465" t="str">
        <f t="shared" si="45"/>
        <v>Ciudad</v>
      </c>
    </row>
    <row r="1466" spans="1:21" ht="16" x14ac:dyDescent="0.4">
      <c r="A1466" s="6">
        <v>77695</v>
      </c>
      <c r="B1466" s="6" t="s">
        <v>32</v>
      </c>
      <c r="C1466" s="6" t="s">
        <v>14</v>
      </c>
      <c r="D1466" s="6">
        <v>1040</v>
      </c>
      <c r="E1466" s="6">
        <v>492</v>
      </c>
      <c r="F1466" s="6">
        <v>569</v>
      </c>
      <c r="G1466" s="6">
        <v>5</v>
      </c>
      <c r="H1466" s="6">
        <v>18196</v>
      </c>
      <c r="I1466" s="6">
        <v>2</v>
      </c>
      <c r="J1466" s="6">
        <v>79</v>
      </c>
      <c r="K1466" s="6">
        <v>505</v>
      </c>
      <c r="L1466" s="6">
        <v>549</v>
      </c>
      <c r="M1466" s="6">
        <v>15</v>
      </c>
      <c r="N1466">
        <f>VLOOKUP(A1466,vlookup_table!$A:$G,2,FALSE)</f>
        <v>1</v>
      </c>
      <c r="O1466" t="str">
        <f>VLOOKUP(A1466,vlookup_table!$A:$G,3,FALSE)</f>
        <v>WI</v>
      </c>
      <c r="P1466">
        <f>VLOOKUP(A1466,vlookup_table!$A:$G,4,FALSE)</f>
        <v>5801</v>
      </c>
      <c r="Q1466" t="str">
        <f>VLOOKUP(A1466,vlookup_table!$A:$G,5,FALSE)</f>
        <v>T1</v>
      </c>
      <c r="R1466" t="str">
        <f>VLOOKUP(A1466,vlookup_table!$A:$G,6,FALSE)</f>
        <v>M</v>
      </c>
      <c r="S1466">
        <f>VLOOKUP(A1466,vlookup_table!$A:$G,7,FALSE)</f>
        <v>20</v>
      </c>
      <c r="T1466">
        <f t="shared" si="44"/>
        <v>38</v>
      </c>
      <c r="U1466" t="str">
        <f t="shared" si="45"/>
        <v>Pueblo</v>
      </c>
    </row>
    <row r="1467" spans="1:21" ht="16" x14ac:dyDescent="0.4">
      <c r="A1467" s="6">
        <v>18266</v>
      </c>
      <c r="B1467" s="6" t="s">
        <v>18</v>
      </c>
      <c r="C1467" s="6" t="s">
        <v>14</v>
      </c>
      <c r="D1467" s="6">
        <v>487</v>
      </c>
      <c r="E1467" s="6">
        <v>273</v>
      </c>
      <c r="F1467" s="6">
        <v>314</v>
      </c>
      <c r="G1467" s="6">
        <v>0</v>
      </c>
      <c r="H1467" s="6">
        <v>13272</v>
      </c>
      <c r="I1467" s="6">
        <v>1</v>
      </c>
      <c r="J1467" s="6">
        <v>76</v>
      </c>
      <c r="K1467" s="6">
        <v>308</v>
      </c>
      <c r="L1467" s="6">
        <v>275</v>
      </c>
      <c r="M1467" s="6">
        <v>5</v>
      </c>
      <c r="N1467">
        <f>VLOOKUP(A1467,vlookup_table!$A:$G,2,FALSE)</f>
        <v>0</v>
      </c>
      <c r="O1467" t="str">
        <f>VLOOKUP(A1467,vlookup_table!$A:$G,3,FALSE)</f>
        <v>NC</v>
      </c>
      <c r="P1467">
        <f>VLOOKUP(A1467,vlookup_table!$A:$G,4,FALSE)</f>
        <v>2505</v>
      </c>
      <c r="Q1467" t="str">
        <f>VLOOKUP(A1467,vlookup_table!$A:$G,5,FALSE)</f>
        <v>C3</v>
      </c>
      <c r="R1467" t="str">
        <f>VLOOKUP(A1467,vlookup_table!$A:$G,6,FALSE)</f>
        <v>M</v>
      </c>
      <c r="S1467">
        <f>VLOOKUP(A1467,vlookup_table!$A:$G,7,FALSE)</f>
        <v>5</v>
      </c>
      <c r="T1467">
        <f t="shared" si="44"/>
        <v>71</v>
      </c>
      <c r="U1467" t="str">
        <f t="shared" si="45"/>
        <v>Ciudad</v>
      </c>
    </row>
    <row r="1468" spans="1:21" ht="16" x14ac:dyDescent="0.4">
      <c r="A1468" s="6">
        <v>80893</v>
      </c>
      <c r="B1468" s="6" t="s">
        <v>32</v>
      </c>
      <c r="C1468" s="6" t="s">
        <v>14</v>
      </c>
      <c r="D1468" s="6">
        <v>498</v>
      </c>
      <c r="E1468" s="6">
        <v>278</v>
      </c>
      <c r="F1468" s="6">
        <v>390</v>
      </c>
      <c r="G1468" s="6">
        <v>0</v>
      </c>
      <c r="H1468" s="6">
        <v>13894</v>
      </c>
      <c r="I1468" s="6">
        <v>0</v>
      </c>
      <c r="J1468" s="6">
        <v>87</v>
      </c>
      <c r="K1468" s="6">
        <v>348</v>
      </c>
      <c r="L1468" s="6">
        <v>357</v>
      </c>
      <c r="M1468" s="6">
        <v>8.3333333330000006</v>
      </c>
      <c r="N1468">
        <f>VLOOKUP(A1468,vlookup_table!$A:$G,2,FALSE)</f>
        <v>1</v>
      </c>
      <c r="O1468" t="str">
        <f>VLOOKUP(A1468,vlookup_table!$A:$G,3,FALSE)</f>
        <v>WI</v>
      </c>
      <c r="P1468">
        <f>VLOOKUP(A1468,vlookup_table!$A:$G,4,FALSE)</f>
        <v>1507</v>
      </c>
      <c r="Q1468" t="str">
        <f>VLOOKUP(A1468,vlookup_table!$A:$G,5,FALSE)</f>
        <v>T2</v>
      </c>
      <c r="R1468" t="str">
        <f>VLOOKUP(A1468,vlookup_table!$A:$G,6,FALSE)</f>
        <v>M</v>
      </c>
      <c r="S1468">
        <f>VLOOKUP(A1468,vlookup_table!$A:$G,7,FALSE)</f>
        <v>25</v>
      </c>
      <c r="T1468">
        <f t="shared" si="44"/>
        <v>81</v>
      </c>
      <c r="U1468" t="str">
        <f t="shared" si="45"/>
        <v>Pueblo</v>
      </c>
    </row>
    <row r="1469" spans="1:21" ht="16" x14ac:dyDescent="0.4">
      <c r="A1469" s="6">
        <v>169553</v>
      </c>
      <c r="B1469" s="6" t="s">
        <v>21</v>
      </c>
      <c r="C1469" s="6" t="s">
        <v>17</v>
      </c>
      <c r="D1469" s="6">
        <v>942</v>
      </c>
      <c r="E1469" s="6">
        <v>204</v>
      </c>
      <c r="F1469" s="6">
        <v>304</v>
      </c>
      <c r="G1469" s="6">
        <v>6</v>
      </c>
      <c r="H1469" s="6">
        <v>10323</v>
      </c>
      <c r="I1469" s="6">
        <v>14</v>
      </c>
      <c r="J1469" s="6">
        <v>58</v>
      </c>
      <c r="K1469" s="6">
        <v>254</v>
      </c>
      <c r="L1469" s="6">
        <v>306</v>
      </c>
      <c r="M1469" s="6">
        <v>5.6111111109999996</v>
      </c>
      <c r="N1469">
        <f>VLOOKUP(A1469,vlookup_table!$A:$G,2,FALSE)</f>
        <v>28</v>
      </c>
      <c r="O1469" t="str">
        <f>VLOOKUP(A1469,vlookup_table!$A:$G,3,FALSE)</f>
        <v>CA</v>
      </c>
      <c r="P1469">
        <f>VLOOKUP(A1469,vlookup_table!$A:$G,4,FALSE)</f>
        <v>5901</v>
      </c>
      <c r="Q1469" t="str">
        <f>VLOOKUP(A1469,vlookup_table!$A:$G,5,FALSE)</f>
        <v>R2</v>
      </c>
      <c r="R1469" t="str">
        <f>VLOOKUP(A1469,vlookup_table!$A:$G,6,FALSE)</f>
        <v>F</v>
      </c>
      <c r="S1469">
        <f>VLOOKUP(A1469,vlookup_table!$A:$G,7,FALSE)</f>
        <v>10</v>
      </c>
      <c r="T1469">
        <f t="shared" si="44"/>
        <v>37</v>
      </c>
      <c r="U1469" t="str">
        <f t="shared" si="45"/>
        <v>Rural</v>
      </c>
    </row>
    <row r="1470" spans="1:21" ht="16" x14ac:dyDescent="0.4">
      <c r="A1470" s="6">
        <v>30450</v>
      </c>
      <c r="B1470" s="6" t="s">
        <v>36</v>
      </c>
      <c r="C1470" s="6" t="s">
        <v>17</v>
      </c>
      <c r="D1470" s="6">
        <v>1156</v>
      </c>
      <c r="E1470" s="6">
        <v>420</v>
      </c>
      <c r="F1470" s="6">
        <v>655</v>
      </c>
      <c r="G1470" s="6">
        <v>5</v>
      </c>
      <c r="H1470" s="6">
        <v>22639</v>
      </c>
      <c r="I1470" s="6">
        <v>1</v>
      </c>
      <c r="J1470" s="6">
        <v>56</v>
      </c>
      <c r="K1470" s="6">
        <v>617</v>
      </c>
      <c r="L1470" s="6">
        <v>541</v>
      </c>
      <c r="M1470" s="6">
        <v>31</v>
      </c>
      <c r="N1470">
        <f>VLOOKUP(A1470,vlookup_table!$A:$G,2,FALSE)</f>
        <v>2</v>
      </c>
      <c r="O1470" t="str">
        <f>VLOOKUP(A1470,vlookup_table!$A:$G,3,FALSE)</f>
        <v>GA</v>
      </c>
      <c r="P1470">
        <f>VLOOKUP(A1470,vlookup_table!$A:$G,4,FALSE)</f>
        <v>2407</v>
      </c>
      <c r="Q1470" t="str">
        <f>VLOOKUP(A1470,vlookup_table!$A:$G,5,FALSE)</f>
        <v>C2</v>
      </c>
      <c r="R1470" t="str">
        <f>VLOOKUP(A1470,vlookup_table!$A:$G,6,FALSE)</f>
        <v>F</v>
      </c>
      <c r="S1470">
        <f>VLOOKUP(A1470,vlookup_table!$A:$G,7,FALSE)</f>
        <v>50</v>
      </c>
      <c r="T1470">
        <f t="shared" si="44"/>
        <v>72</v>
      </c>
      <c r="U1470" t="str">
        <f t="shared" si="45"/>
        <v>Ciudad</v>
      </c>
    </row>
    <row r="1471" spans="1:21" ht="16" x14ac:dyDescent="0.4">
      <c r="A1471" s="6">
        <v>98220</v>
      </c>
      <c r="B1471" s="6" t="s">
        <v>16</v>
      </c>
      <c r="C1471" s="6" t="s">
        <v>14</v>
      </c>
      <c r="D1471" s="6">
        <v>331</v>
      </c>
      <c r="E1471" s="6">
        <v>195</v>
      </c>
      <c r="F1471" s="6">
        <v>314</v>
      </c>
      <c r="G1471" s="6">
        <v>0</v>
      </c>
      <c r="H1471" s="6">
        <v>11368</v>
      </c>
      <c r="I1471" s="6">
        <v>0</v>
      </c>
      <c r="J1471" s="6">
        <v>72</v>
      </c>
      <c r="K1471" s="6">
        <v>288</v>
      </c>
      <c r="L1471" s="6">
        <v>255</v>
      </c>
      <c r="M1471" s="6">
        <v>7.5</v>
      </c>
      <c r="N1471">
        <f>VLOOKUP(A1471,vlookup_table!$A:$G,2,FALSE)</f>
        <v>0</v>
      </c>
      <c r="O1471" t="str">
        <f>VLOOKUP(A1471,vlookup_table!$A:$G,3,FALSE)</f>
        <v>IL</v>
      </c>
      <c r="P1471">
        <f>VLOOKUP(A1471,vlookup_table!$A:$G,4,FALSE)</f>
        <v>3601</v>
      </c>
      <c r="Q1471" t="str">
        <f>VLOOKUP(A1471,vlookup_table!$A:$G,5,FALSE)</f>
        <v>R3</v>
      </c>
      <c r="R1471" t="str">
        <f>VLOOKUP(A1471,vlookup_table!$A:$G,6,FALSE)</f>
        <v>M</v>
      </c>
      <c r="S1471">
        <f>VLOOKUP(A1471,vlookup_table!$A:$G,7,FALSE)</f>
        <v>10</v>
      </c>
      <c r="T1471">
        <f t="shared" si="44"/>
        <v>60</v>
      </c>
      <c r="U1471" t="str">
        <f t="shared" si="45"/>
        <v>Rural</v>
      </c>
    </row>
    <row r="1472" spans="1:21" ht="16" x14ac:dyDescent="0.4">
      <c r="A1472" s="6">
        <v>134833</v>
      </c>
      <c r="B1472" s="6" t="s">
        <v>35</v>
      </c>
      <c r="C1472" s="6" t="s">
        <v>14</v>
      </c>
      <c r="D1472" s="6">
        <v>498</v>
      </c>
      <c r="E1472" s="6">
        <v>139</v>
      </c>
      <c r="F1472" s="6">
        <v>299</v>
      </c>
      <c r="G1472" s="6">
        <v>0</v>
      </c>
      <c r="H1472" s="6">
        <v>7461</v>
      </c>
      <c r="I1472" s="6">
        <v>8</v>
      </c>
      <c r="J1472" s="6">
        <v>70</v>
      </c>
      <c r="K1472" s="6">
        <v>229</v>
      </c>
      <c r="L1472" s="6">
        <v>246</v>
      </c>
      <c r="M1472" s="6">
        <v>5.5</v>
      </c>
      <c r="N1472">
        <f>VLOOKUP(A1472,vlookup_table!$A:$G,2,FALSE)</f>
        <v>1</v>
      </c>
      <c r="O1472" t="str">
        <f>VLOOKUP(A1472,vlookup_table!$A:$G,3,FALSE)</f>
        <v>UT</v>
      </c>
      <c r="P1472">
        <f>VLOOKUP(A1472,vlookup_table!$A:$G,4,FALSE)</f>
        <v>3901</v>
      </c>
      <c r="Q1472" t="str">
        <f>VLOOKUP(A1472,vlookup_table!$A:$G,5,FALSE)</f>
        <v>R2</v>
      </c>
      <c r="R1472" t="str">
        <f>VLOOKUP(A1472,vlookup_table!$A:$G,6,FALSE)</f>
        <v>M</v>
      </c>
      <c r="S1472">
        <f>VLOOKUP(A1472,vlookup_table!$A:$G,7,FALSE)</f>
        <v>6</v>
      </c>
      <c r="T1472">
        <f t="shared" si="44"/>
        <v>57</v>
      </c>
      <c r="U1472" t="str">
        <f t="shared" si="45"/>
        <v>Rural</v>
      </c>
    </row>
    <row r="1473" spans="1:21" ht="16" x14ac:dyDescent="0.4">
      <c r="A1473" s="6">
        <v>179014</v>
      </c>
      <c r="B1473" s="6" t="s">
        <v>37</v>
      </c>
      <c r="C1473" s="6" t="s">
        <v>17</v>
      </c>
      <c r="D1473" s="6">
        <v>904</v>
      </c>
      <c r="E1473" s="6">
        <v>296</v>
      </c>
      <c r="F1473" s="6">
        <v>407</v>
      </c>
      <c r="G1473" s="6">
        <v>2</v>
      </c>
      <c r="H1473" s="6">
        <v>17248</v>
      </c>
      <c r="I1473" s="6">
        <v>3</v>
      </c>
      <c r="J1473" s="6">
        <v>46</v>
      </c>
      <c r="K1473" s="6">
        <v>372</v>
      </c>
      <c r="L1473" s="6">
        <v>330</v>
      </c>
      <c r="M1473" s="6">
        <v>13.6</v>
      </c>
      <c r="N1473">
        <f>VLOOKUP(A1473,vlookup_table!$A:$G,2,FALSE)</f>
        <v>2</v>
      </c>
      <c r="O1473" t="str">
        <f>VLOOKUP(A1473,vlookup_table!$A:$G,3,FALSE)</f>
        <v>WA</v>
      </c>
      <c r="P1473">
        <f>VLOOKUP(A1473,vlookup_table!$A:$G,4,FALSE)</f>
        <v>1001</v>
      </c>
      <c r="Q1473" t="str">
        <f>VLOOKUP(A1473,vlookup_table!$A:$G,5,FALSE)</f>
        <v>T1</v>
      </c>
      <c r="R1473" t="str">
        <f>VLOOKUP(A1473,vlookup_table!$A:$G,6,FALSE)</f>
        <v>F</v>
      </c>
      <c r="S1473">
        <f>VLOOKUP(A1473,vlookup_table!$A:$G,7,FALSE)</f>
        <v>23</v>
      </c>
      <c r="T1473">
        <f t="shared" si="44"/>
        <v>86</v>
      </c>
      <c r="U1473" t="str">
        <f t="shared" si="45"/>
        <v>Pueblo</v>
      </c>
    </row>
    <row r="1474" spans="1:21" ht="16" x14ac:dyDescent="0.4">
      <c r="A1474" s="6">
        <v>77023</v>
      </c>
      <c r="B1474" s="6" t="s">
        <v>44</v>
      </c>
      <c r="C1474" s="6" t="s">
        <v>14</v>
      </c>
      <c r="D1474" s="6">
        <v>324</v>
      </c>
      <c r="E1474" s="6">
        <v>146</v>
      </c>
      <c r="F1474" s="6">
        <v>202</v>
      </c>
      <c r="G1474" s="6">
        <v>0</v>
      </c>
      <c r="H1474" s="6">
        <v>8170</v>
      </c>
      <c r="I1474" s="6">
        <v>11</v>
      </c>
      <c r="J1474" s="6">
        <v>47</v>
      </c>
      <c r="K1474" s="6">
        <v>192</v>
      </c>
      <c r="L1474" s="6">
        <v>186</v>
      </c>
      <c r="M1474" s="6">
        <v>12.5</v>
      </c>
      <c r="N1474">
        <f>VLOOKUP(A1474,vlookup_table!$A:$G,2,FALSE)</f>
        <v>1</v>
      </c>
      <c r="O1474" t="str">
        <f>VLOOKUP(A1474,vlookup_table!$A:$G,3,FALSE)</f>
        <v>IA</v>
      </c>
      <c r="P1474">
        <f>VLOOKUP(A1474,vlookup_table!$A:$G,4,FALSE)</f>
        <v>4301</v>
      </c>
      <c r="Q1474" t="str">
        <f>VLOOKUP(A1474,vlookup_table!$A:$G,5,FALSE)</f>
        <v>C3</v>
      </c>
      <c r="R1474" t="str">
        <f>VLOOKUP(A1474,vlookup_table!$A:$G,6,FALSE)</f>
        <v>M</v>
      </c>
      <c r="S1474">
        <f>VLOOKUP(A1474,vlookup_table!$A:$G,7,FALSE)</f>
        <v>15</v>
      </c>
      <c r="T1474">
        <f t="shared" si="44"/>
        <v>53</v>
      </c>
      <c r="U1474" t="str">
        <f t="shared" si="45"/>
        <v>Ciudad</v>
      </c>
    </row>
    <row r="1475" spans="1:21" ht="16" x14ac:dyDescent="0.4">
      <c r="A1475" s="6">
        <v>10028</v>
      </c>
      <c r="B1475" s="6" t="s">
        <v>21</v>
      </c>
      <c r="C1475" s="6" t="s">
        <v>14</v>
      </c>
      <c r="D1475" s="6">
        <v>1771</v>
      </c>
      <c r="E1475" s="6">
        <v>314</v>
      </c>
      <c r="F1475" s="6">
        <v>341</v>
      </c>
      <c r="G1475" s="6">
        <v>13</v>
      </c>
      <c r="H1475" s="6">
        <v>17567</v>
      </c>
      <c r="I1475" s="6">
        <v>9</v>
      </c>
      <c r="J1475" s="6">
        <v>45</v>
      </c>
      <c r="K1475" s="6">
        <v>335</v>
      </c>
      <c r="L1475" s="6">
        <v>322</v>
      </c>
      <c r="M1475" s="6">
        <v>11.1875</v>
      </c>
      <c r="N1475">
        <f>VLOOKUP(A1475,vlookup_table!$A:$G,2,FALSE)</f>
        <v>1</v>
      </c>
      <c r="O1475" t="str">
        <f>VLOOKUP(A1475,vlookup_table!$A:$G,3,FALSE)</f>
        <v>CA</v>
      </c>
      <c r="P1475">
        <f>VLOOKUP(A1475,vlookup_table!$A:$G,4,FALSE)</f>
        <v>0</v>
      </c>
      <c r="Q1475" t="str">
        <f>VLOOKUP(A1475,vlookup_table!$A:$G,5,FALSE)</f>
        <v>C2</v>
      </c>
      <c r="R1475" t="str">
        <f>VLOOKUP(A1475,vlookup_table!$A:$G,6,FALSE)</f>
        <v>M</v>
      </c>
      <c r="S1475">
        <f>VLOOKUP(A1475,vlookup_table!$A:$G,7,FALSE)</f>
        <v>20</v>
      </c>
      <c r="T1475">
        <f t="shared" ref="T1475:T1538" si="46">97-LEFT(P1475,2)-IF(RIGHT(P1475,2)&gt;6,1,0)</f>
        <v>96</v>
      </c>
      <c r="U1475" t="str">
        <f t="shared" ref="U1475:U1538" si="47">IF(LEFT(Q1475,1)="C","Ciudad",IF(LEFT(Q1475,1)="T","Pueblo",IF(LEFT(Q1475,1)="R","Rural",IF(LEFT(Q1475,1)="S","Suburbano",IF(LEFT(Q1475,1)="U","Urbano","")))))</f>
        <v>Ciudad</v>
      </c>
    </row>
    <row r="1476" spans="1:21" ht="16" x14ac:dyDescent="0.4">
      <c r="A1476" s="6">
        <v>20522</v>
      </c>
      <c r="B1476" s="6" t="s">
        <v>18</v>
      </c>
      <c r="C1476" s="6" t="s">
        <v>14</v>
      </c>
      <c r="D1476" s="6">
        <v>1203</v>
      </c>
      <c r="E1476" s="6">
        <v>462</v>
      </c>
      <c r="F1476" s="6">
        <v>543</v>
      </c>
      <c r="G1476" s="6">
        <v>10</v>
      </c>
      <c r="H1476" s="6">
        <v>17989</v>
      </c>
      <c r="I1476" s="6">
        <v>1</v>
      </c>
      <c r="J1476" s="6">
        <v>51</v>
      </c>
      <c r="K1476" s="6">
        <v>473</v>
      </c>
      <c r="L1476" s="6">
        <v>497</v>
      </c>
      <c r="M1476" s="6">
        <v>15</v>
      </c>
      <c r="N1476">
        <f>VLOOKUP(A1476,vlookup_table!$A:$G,2,FALSE)</f>
        <v>1</v>
      </c>
      <c r="O1476" t="str">
        <f>VLOOKUP(A1476,vlookup_table!$A:$G,3,FALSE)</f>
        <v>NC</v>
      </c>
      <c r="P1476">
        <f>VLOOKUP(A1476,vlookup_table!$A:$G,4,FALSE)</f>
        <v>5001</v>
      </c>
      <c r="Q1476" t="str">
        <f>VLOOKUP(A1476,vlookup_table!$A:$G,5,FALSE)</f>
        <v>T1</v>
      </c>
      <c r="R1476" t="str">
        <f>VLOOKUP(A1476,vlookup_table!$A:$G,6,FALSE)</f>
        <v>M</v>
      </c>
      <c r="S1476">
        <f>VLOOKUP(A1476,vlookup_table!$A:$G,7,FALSE)</f>
        <v>15</v>
      </c>
      <c r="T1476">
        <f t="shared" si="46"/>
        <v>46</v>
      </c>
      <c r="U1476" t="str">
        <f t="shared" si="47"/>
        <v>Pueblo</v>
      </c>
    </row>
    <row r="1477" spans="1:21" ht="16" x14ac:dyDescent="0.4">
      <c r="A1477" s="6">
        <v>82065</v>
      </c>
      <c r="B1477" s="6" t="s">
        <v>52</v>
      </c>
      <c r="C1477" s="6" t="s">
        <v>14</v>
      </c>
      <c r="D1477" s="6">
        <v>737</v>
      </c>
      <c r="E1477" s="6">
        <v>506</v>
      </c>
      <c r="F1477" s="6">
        <v>469</v>
      </c>
      <c r="G1477" s="6">
        <v>0</v>
      </c>
      <c r="H1477" s="6">
        <v>13295</v>
      </c>
      <c r="I1477" s="6">
        <v>0</v>
      </c>
      <c r="J1477" s="6">
        <v>83</v>
      </c>
      <c r="K1477" s="6">
        <v>504</v>
      </c>
      <c r="L1477" s="6">
        <v>472</v>
      </c>
      <c r="M1477" s="6">
        <v>8.4545454549999999</v>
      </c>
      <c r="N1477">
        <f>VLOOKUP(A1477,vlookup_table!$A:$G,2,FALSE)</f>
        <v>0</v>
      </c>
      <c r="O1477" t="str">
        <f>VLOOKUP(A1477,vlookup_table!$A:$G,3,FALSE)</f>
        <v>MN</v>
      </c>
      <c r="P1477">
        <f>VLOOKUP(A1477,vlookup_table!$A:$G,4,FALSE)</f>
        <v>3601</v>
      </c>
      <c r="Q1477" t="str">
        <f>VLOOKUP(A1477,vlookup_table!$A:$G,5,FALSE)</f>
        <v>T2</v>
      </c>
      <c r="R1477" t="str">
        <f>VLOOKUP(A1477,vlookup_table!$A:$G,6,FALSE)</f>
        <v>M</v>
      </c>
      <c r="S1477">
        <f>VLOOKUP(A1477,vlookup_table!$A:$G,7,FALSE)</f>
        <v>10</v>
      </c>
      <c r="T1477">
        <f t="shared" si="46"/>
        <v>60</v>
      </c>
      <c r="U1477" t="str">
        <f t="shared" si="47"/>
        <v>Pueblo</v>
      </c>
    </row>
    <row r="1478" spans="1:21" ht="16" x14ac:dyDescent="0.4">
      <c r="A1478" s="6">
        <v>20769</v>
      </c>
      <c r="B1478" s="6" t="s">
        <v>18</v>
      </c>
      <c r="C1478" s="6" t="s">
        <v>14</v>
      </c>
      <c r="D1478" s="6">
        <v>504</v>
      </c>
      <c r="E1478" s="6">
        <v>191</v>
      </c>
      <c r="F1478" s="6">
        <v>287</v>
      </c>
      <c r="G1478" s="6">
        <v>1</v>
      </c>
      <c r="H1478" s="6">
        <v>9564</v>
      </c>
      <c r="I1478" s="6">
        <v>0</v>
      </c>
      <c r="J1478" s="6">
        <v>81</v>
      </c>
      <c r="K1478" s="6">
        <v>228</v>
      </c>
      <c r="L1478" s="6">
        <v>246</v>
      </c>
      <c r="M1478" s="6">
        <v>5</v>
      </c>
      <c r="N1478">
        <f>VLOOKUP(A1478,vlookup_table!$A:$G,2,FALSE)</f>
        <v>2</v>
      </c>
      <c r="O1478" t="str">
        <f>VLOOKUP(A1478,vlookup_table!$A:$G,3,FALSE)</f>
        <v>NC</v>
      </c>
      <c r="P1478">
        <f>VLOOKUP(A1478,vlookup_table!$A:$G,4,FALSE)</f>
        <v>4601</v>
      </c>
      <c r="Q1478" t="str">
        <f>VLOOKUP(A1478,vlookup_table!$A:$G,5,FALSE)</f>
        <v>T2</v>
      </c>
      <c r="R1478" t="str">
        <f>VLOOKUP(A1478,vlookup_table!$A:$G,6,FALSE)</f>
        <v>M</v>
      </c>
      <c r="S1478">
        <f>VLOOKUP(A1478,vlookup_table!$A:$G,7,FALSE)</f>
        <v>5</v>
      </c>
      <c r="T1478">
        <f t="shared" si="46"/>
        <v>50</v>
      </c>
      <c r="U1478" t="str">
        <f t="shared" si="47"/>
        <v>Pueblo</v>
      </c>
    </row>
    <row r="1479" spans="1:21" ht="16" x14ac:dyDescent="0.4">
      <c r="A1479" s="6">
        <v>160970</v>
      </c>
      <c r="B1479" s="6" t="s">
        <v>21</v>
      </c>
      <c r="C1479" s="6" t="s">
        <v>14</v>
      </c>
      <c r="D1479" s="6">
        <v>931</v>
      </c>
      <c r="E1479" s="6">
        <v>307</v>
      </c>
      <c r="F1479" s="6">
        <v>343</v>
      </c>
      <c r="G1479" s="6">
        <v>2</v>
      </c>
      <c r="H1479" s="6">
        <v>12060</v>
      </c>
      <c r="I1479" s="6">
        <v>8</v>
      </c>
      <c r="J1479" s="6">
        <v>50</v>
      </c>
      <c r="K1479" s="6">
        <v>318</v>
      </c>
      <c r="L1479" s="6">
        <v>332</v>
      </c>
      <c r="M1479" s="6">
        <v>5.0909090910000003</v>
      </c>
      <c r="N1479">
        <f>VLOOKUP(A1479,vlookup_table!$A:$G,2,FALSE)</f>
        <v>1</v>
      </c>
      <c r="O1479" t="str">
        <f>VLOOKUP(A1479,vlookup_table!$A:$G,3,FALSE)</f>
        <v>CA</v>
      </c>
      <c r="P1479">
        <f>VLOOKUP(A1479,vlookup_table!$A:$G,4,FALSE)</f>
        <v>2111</v>
      </c>
      <c r="Q1479" t="str">
        <f>VLOOKUP(A1479,vlookup_table!$A:$G,5,FALSE)</f>
        <v>T1</v>
      </c>
      <c r="R1479" t="str">
        <f>VLOOKUP(A1479,vlookup_table!$A:$G,6,FALSE)</f>
        <v>M</v>
      </c>
      <c r="S1479">
        <f>VLOOKUP(A1479,vlookup_table!$A:$G,7,FALSE)</f>
        <v>5</v>
      </c>
      <c r="T1479">
        <f t="shared" si="46"/>
        <v>75</v>
      </c>
      <c r="U1479" t="str">
        <f t="shared" si="47"/>
        <v>Pueblo</v>
      </c>
    </row>
    <row r="1480" spans="1:21" ht="16" x14ac:dyDescent="0.4">
      <c r="A1480" s="6">
        <v>174609</v>
      </c>
      <c r="B1480" s="6" t="s">
        <v>47</v>
      </c>
      <c r="C1480" s="6" t="s">
        <v>17</v>
      </c>
      <c r="D1480" s="6">
        <v>819</v>
      </c>
      <c r="E1480" s="6">
        <v>259</v>
      </c>
      <c r="F1480" s="6">
        <v>367</v>
      </c>
      <c r="G1480" s="6">
        <v>2</v>
      </c>
      <c r="H1480" s="6">
        <v>13539</v>
      </c>
      <c r="I1480" s="6">
        <v>1</v>
      </c>
      <c r="J1480" s="6">
        <v>41</v>
      </c>
      <c r="K1480" s="6">
        <v>275</v>
      </c>
      <c r="L1480" s="6">
        <v>331</v>
      </c>
      <c r="M1480" s="6">
        <v>7.538461539</v>
      </c>
      <c r="N1480">
        <f>VLOOKUP(A1480,vlookup_table!$A:$G,2,FALSE)</f>
        <v>0</v>
      </c>
      <c r="O1480" t="str">
        <f>VLOOKUP(A1480,vlookup_table!$A:$G,3,FALSE)</f>
        <v>OR</v>
      </c>
      <c r="P1480">
        <f>VLOOKUP(A1480,vlookup_table!$A:$G,4,FALSE)</f>
        <v>0</v>
      </c>
      <c r="Q1480" t="str">
        <f>VLOOKUP(A1480,vlookup_table!$A:$G,5,FALSE)</f>
        <v>T2</v>
      </c>
      <c r="R1480" t="str">
        <f>VLOOKUP(A1480,vlookup_table!$A:$G,6,FALSE)</f>
        <v>F</v>
      </c>
      <c r="S1480">
        <f>VLOOKUP(A1480,vlookup_table!$A:$G,7,FALSE)</f>
        <v>10</v>
      </c>
      <c r="T1480">
        <f t="shared" si="46"/>
        <v>96</v>
      </c>
      <c r="U1480" t="str">
        <f t="shared" si="47"/>
        <v>Pueblo</v>
      </c>
    </row>
    <row r="1481" spans="1:21" ht="16" x14ac:dyDescent="0.4">
      <c r="A1481" s="6">
        <v>127166</v>
      </c>
      <c r="B1481" s="6" t="s">
        <v>20</v>
      </c>
      <c r="C1481" s="6" t="s">
        <v>41</v>
      </c>
      <c r="D1481" s="6">
        <v>1490</v>
      </c>
      <c r="E1481" s="6">
        <v>612</v>
      </c>
      <c r="F1481" s="6">
        <v>818</v>
      </c>
      <c r="G1481" s="6">
        <v>25</v>
      </c>
      <c r="H1481" s="6">
        <v>38526</v>
      </c>
      <c r="I1481" s="6">
        <v>7</v>
      </c>
      <c r="J1481" s="6">
        <v>56</v>
      </c>
      <c r="K1481" s="6">
        <v>645</v>
      </c>
      <c r="L1481" s="6">
        <v>733</v>
      </c>
      <c r="M1481" s="6">
        <v>18.47826087</v>
      </c>
      <c r="N1481">
        <f>VLOOKUP(A1481,vlookup_table!$A:$G,2,FALSE)</f>
        <v>1002</v>
      </c>
      <c r="O1481" t="str">
        <f>VLOOKUP(A1481,vlookup_table!$A:$G,3,FALSE)</f>
        <v>TX</v>
      </c>
      <c r="P1481">
        <f>VLOOKUP(A1481,vlookup_table!$A:$G,4,FALSE)</f>
        <v>2512</v>
      </c>
      <c r="Q1481" t="str">
        <f>VLOOKUP(A1481,vlookup_table!$A:$G,5,FALSE)</f>
        <v>S1</v>
      </c>
      <c r="R1481" t="str">
        <f>VLOOKUP(A1481,vlookup_table!$A:$G,6,FALSE)</f>
        <v>J</v>
      </c>
      <c r="S1481">
        <f>VLOOKUP(A1481,vlookup_table!$A:$G,7,FALSE)</f>
        <v>30</v>
      </c>
      <c r="T1481">
        <f t="shared" si="46"/>
        <v>71</v>
      </c>
      <c r="U1481" t="str">
        <f t="shared" si="47"/>
        <v>Suburbano</v>
      </c>
    </row>
    <row r="1482" spans="1:21" ht="16" x14ac:dyDescent="0.4">
      <c r="A1482" s="6">
        <v>155967</v>
      </c>
      <c r="B1482" s="6" t="s">
        <v>21</v>
      </c>
      <c r="C1482" s="6" t="s">
        <v>17</v>
      </c>
      <c r="D1482" s="6">
        <v>2521</v>
      </c>
      <c r="E1482" s="6">
        <v>412</v>
      </c>
      <c r="F1482" s="6">
        <v>516</v>
      </c>
      <c r="G1482" s="6">
        <v>63</v>
      </c>
      <c r="H1482" s="6">
        <v>13961</v>
      </c>
      <c r="I1482" s="6">
        <v>38</v>
      </c>
      <c r="J1482" s="6">
        <v>45</v>
      </c>
      <c r="K1482" s="6">
        <v>424</v>
      </c>
      <c r="L1482" s="6">
        <v>512</v>
      </c>
      <c r="M1482" s="6">
        <v>5.5555555559999998</v>
      </c>
      <c r="N1482">
        <f>VLOOKUP(A1482,vlookup_table!$A:$G,2,FALSE)</f>
        <v>0</v>
      </c>
      <c r="O1482" t="str">
        <f>VLOOKUP(A1482,vlookup_table!$A:$G,3,FALSE)</f>
        <v>CA</v>
      </c>
      <c r="P1482">
        <f>VLOOKUP(A1482,vlookup_table!$A:$G,4,FALSE)</f>
        <v>2001</v>
      </c>
      <c r="Q1482" t="str">
        <f>VLOOKUP(A1482,vlookup_table!$A:$G,5,FALSE)</f>
        <v>C2</v>
      </c>
      <c r="R1482" t="str">
        <f>VLOOKUP(A1482,vlookup_table!$A:$G,6,FALSE)</f>
        <v>F</v>
      </c>
      <c r="S1482">
        <f>VLOOKUP(A1482,vlookup_table!$A:$G,7,FALSE)</f>
        <v>5</v>
      </c>
      <c r="T1482">
        <f t="shared" si="46"/>
        <v>76</v>
      </c>
      <c r="U1482" t="str">
        <f t="shared" si="47"/>
        <v>Ciudad</v>
      </c>
    </row>
    <row r="1483" spans="1:21" ht="16" x14ac:dyDescent="0.4">
      <c r="A1483" s="6">
        <v>14790</v>
      </c>
      <c r="B1483" s="6" t="s">
        <v>21</v>
      </c>
      <c r="C1483" s="6" t="s">
        <v>14</v>
      </c>
      <c r="D1483" s="6">
        <v>4068</v>
      </c>
      <c r="E1483" s="6">
        <v>753</v>
      </c>
      <c r="F1483" s="6">
        <v>872</v>
      </c>
      <c r="G1483" s="6">
        <v>99</v>
      </c>
      <c r="H1483" s="6">
        <v>31920</v>
      </c>
      <c r="I1483" s="6">
        <v>20</v>
      </c>
      <c r="J1483" s="6">
        <v>37</v>
      </c>
      <c r="K1483" s="6">
        <v>821</v>
      </c>
      <c r="L1483" s="6">
        <v>748</v>
      </c>
      <c r="M1483" s="6">
        <v>6.4</v>
      </c>
      <c r="N1483">
        <f>VLOOKUP(A1483,vlookup_table!$A:$G,2,FALSE)</f>
        <v>1</v>
      </c>
      <c r="O1483" t="str">
        <f>VLOOKUP(A1483,vlookup_table!$A:$G,3,FALSE)</f>
        <v>CA</v>
      </c>
      <c r="P1483">
        <f>VLOOKUP(A1483,vlookup_table!$A:$G,4,FALSE)</f>
        <v>2104</v>
      </c>
      <c r="Q1483" t="str">
        <f>VLOOKUP(A1483,vlookup_table!$A:$G,5,FALSE)</f>
        <v>U1</v>
      </c>
      <c r="R1483" t="str">
        <f>VLOOKUP(A1483,vlookup_table!$A:$G,6,FALSE)</f>
        <v>M</v>
      </c>
      <c r="S1483">
        <f>VLOOKUP(A1483,vlookup_table!$A:$G,7,FALSE)</f>
        <v>15</v>
      </c>
      <c r="T1483">
        <f t="shared" si="46"/>
        <v>75</v>
      </c>
      <c r="U1483" t="str">
        <f t="shared" si="47"/>
        <v>Urbano</v>
      </c>
    </row>
    <row r="1484" spans="1:21" ht="16" x14ac:dyDescent="0.4">
      <c r="A1484" s="6">
        <v>20583</v>
      </c>
      <c r="B1484" s="6" t="s">
        <v>18</v>
      </c>
      <c r="C1484" s="6" t="s">
        <v>97</v>
      </c>
      <c r="D1484" s="6">
        <v>810</v>
      </c>
      <c r="E1484" s="6">
        <v>441</v>
      </c>
      <c r="F1484" s="6">
        <v>503</v>
      </c>
      <c r="G1484" s="6">
        <v>1</v>
      </c>
      <c r="H1484" s="6">
        <v>17642</v>
      </c>
      <c r="I1484" s="6">
        <v>2</v>
      </c>
      <c r="J1484" s="6">
        <v>56</v>
      </c>
      <c r="K1484" s="6">
        <v>457</v>
      </c>
      <c r="L1484" s="6">
        <v>489</v>
      </c>
      <c r="M1484" s="6">
        <v>8.1333333329999995</v>
      </c>
      <c r="N1484">
        <f>VLOOKUP(A1484,vlookup_table!$A:$G,2,FALSE)</f>
        <v>28</v>
      </c>
      <c r="O1484" t="str">
        <f>VLOOKUP(A1484,vlookup_table!$A:$G,3,FALSE)</f>
        <v>NC</v>
      </c>
      <c r="P1484">
        <f>VLOOKUP(A1484,vlookup_table!$A:$G,4,FALSE)</f>
        <v>2801</v>
      </c>
      <c r="Q1484" t="str">
        <f>VLOOKUP(A1484,vlookup_table!$A:$G,5,FALSE)</f>
        <v>C1</v>
      </c>
      <c r="R1484" t="str">
        <f>VLOOKUP(A1484,vlookup_table!$A:$G,6,FALSE)</f>
        <v>F</v>
      </c>
      <c r="S1484">
        <f>VLOOKUP(A1484,vlookup_table!$A:$G,7,FALSE)</f>
        <v>14</v>
      </c>
      <c r="T1484">
        <f t="shared" si="46"/>
        <v>68</v>
      </c>
      <c r="U1484" t="str">
        <f t="shared" si="47"/>
        <v>Ciudad</v>
      </c>
    </row>
    <row r="1485" spans="1:21" ht="16" x14ac:dyDescent="0.4">
      <c r="A1485" s="6">
        <v>185934</v>
      </c>
      <c r="B1485" s="6" t="s">
        <v>21</v>
      </c>
      <c r="C1485" s="6" t="s">
        <v>17</v>
      </c>
      <c r="D1485" s="6">
        <v>1364</v>
      </c>
      <c r="E1485" s="6">
        <v>244</v>
      </c>
      <c r="F1485" s="6">
        <v>308</v>
      </c>
      <c r="G1485" s="6">
        <v>15</v>
      </c>
      <c r="H1485" s="6">
        <v>6939</v>
      </c>
      <c r="I1485" s="6">
        <v>50</v>
      </c>
      <c r="J1485" s="6">
        <v>43</v>
      </c>
      <c r="K1485" s="6">
        <v>255</v>
      </c>
      <c r="L1485" s="6">
        <v>296</v>
      </c>
      <c r="M1485" s="6">
        <v>18.75</v>
      </c>
      <c r="N1485">
        <f>VLOOKUP(A1485,vlookup_table!$A:$G,2,FALSE)</f>
        <v>2</v>
      </c>
      <c r="O1485" t="str">
        <f>VLOOKUP(A1485,vlookup_table!$A:$G,3,FALSE)</f>
        <v>CA</v>
      </c>
      <c r="P1485">
        <f>VLOOKUP(A1485,vlookup_table!$A:$G,4,FALSE)</f>
        <v>0</v>
      </c>
      <c r="Q1485" t="str">
        <f>VLOOKUP(A1485,vlookup_table!$A:$G,5,FALSE)</f>
        <v>U4</v>
      </c>
      <c r="R1485" t="str">
        <f>VLOOKUP(A1485,vlookup_table!$A:$G,6,FALSE)</f>
        <v>F</v>
      </c>
      <c r="S1485">
        <f>VLOOKUP(A1485,vlookup_table!$A:$G,7,FALSE)</f>
        <v>25</v>
      </c>
      <c r="T1485">
        <f t="shared" si="46"/>
        <v>96</v>
      </c>
      <c r="U1485" t="str">
        <f t="shared" si="47"/>
        <v>Urbano</v>
      </c>
    </row>
    <row r="1486" spans="1:21" ht="16" x14ac:dyDescent="0.4">
      <c r="A1486" s="6">
        <v>109449</v>
      </c>
      <c r="B1486" s="6" t="s">
        <v>46</v>
      </c>
      <c r="C1486" s="6" t="s">
        <v>17</v>
      </c>
      <c r="D1486" s="6">
        <v>456</v>
      </c>
      <c r="E1486" s="6">
        <v>238</v>
      </c>
      <c r="F1486" s="6">
        <v>317</v>
      </c>
      <c r="G1486" s="6">
        <v>0</v>
      </c>
      <c r="H1486" s="6">
        <v>10293</v>
      </c>
      <c r="I1486" s="6">
        <v>1</v>
      </c>
      <c r="J1486" s="6">
        <v>67</v>
      </c>
      <c r="K1486" s="6">
        <v>263</v>
      </c>
      <c r="L1486" s="6">
        <v>281</v>
      </c>
      <c r="M1486" s="6">
        <v>11</v>
      </c>
      <c r="N1486">
        <f>VLOOKUP(A1486,vlookup_table!$A:$G,2,FALSE)</f>
        <v>2</v>
      </c>
      <c r="O1486" t="str">
        <f>VLOOKUP(A1486,vlookup_table!$A:$G,3,FALSE)</f>
        <v>LA</v>
      </c>
      <c r="P1486">
        <f>VLOOKUP(A1486,vlookup_table!$A:$G,4,FALSE)</f>
        <v>2211</v>
      </c>
      <c r="Q1486" t="str">
        <f>VLOOKUP(A1486,vlookup_table!$A:$G,5,FALSE)</f>
        <v>T2</v>
      </c>
      <c r="R1486" t="str">
        <f>VLOOKUP(A1486,vlookup_table!$A:$G,6,FALSE)</f>
        <v>F</v>
      </c>
      <c r="S1486">
        <f>VLOOKUP(A1486,vlookup_table!$A:$G,7,FALSE)</f>
        <v>12</v>
      </c>
      <c r="T1486">
        <f t="shared" si="46"/>
        <v>74</v>
      </c>
      <c r="U1486" t="str">
        <f t="shared" si="47"/>
        <v>Pueblo</v>
      </c>
    </row>
    <row r="1487" spans="1:21" ht="16" x14ac:dyDescent="0.4">
      <c r="A1487" s="6">
        <v>64115</v>
      </c>
      <c r="B1487" s="6" t="s">
        <v>30</v>
      </c>
      <c r="C1487" s="6" t="s">
        <v>14</v>
      </c>
      <c r="D1487" s="6">
        <v>501</v>
      </c>
      <c r="E1487" s="6">
        <v>359</v>
      </c>
      <c r="F1487" s="6">
        <v>445</v>
      </c>
      <c r="G1487" s="6">
        <v>0</v>
      </c>
      <c r="H1487" s="6">
        <v>16856</v>
      </c>
      <c r="I1487" s="6">
        <v>0</v>
      </c>
      <c r="J1487" s="6">
        <v>65</v>
      </c>
      <c r="K1487" s="6">
        <v>407</v>
      </c>
      <c r="L1487" s="6">
        <v>385</v>
      </c>
      <c r="M1487" s="6">
        <v>7.5</v>
      </c>
      <c r="N1487">
        <f>VLOOKUP(A1487,vlookup_table!$A:$G,2,FALSE)</f>
        <v>1</v>
      </c>
      <c r="O1487" t="str">
        <f>VLOOKUP(A1487,vlookup_table!$A:$G,3,FALSE)</f>
        <v>IN</v>
      </c>
      <c r="P1487">
        <f>VLOOKUP(A1487,vlookup_table!$A:$G,4,FALSE)</f>
        <v>2506</v>
      </c>
      <c r="Q1487" t="str">
        <f>VLOOKUP(A1487,vlookup_table!$A:$G,5,FALSE)</f>
        <v>C2</v>
      </c>
      <c r="R1487" t="str">
        <f>VLOOKUP(A1487,vlookup_table!$A:$G,6,FALSE)</f>
        <v>M</v>
      </c>
      <c r="S1487">
        <f>VLOOKUP(A1487,vlookup_table!$A:$G,7,FALSE)</f>
        <v>15</v>
      </c>
      <c r="T1487">
        <f t="shared" si="46"/>
        <v>71</v>
      </c>
      <c r="U1487" t="str">
        <f t="shared" si="47"/>
        <v>Ciudad</v>
      </c>
    </row>
    <row r="1488" spans="1:21" ht="16" x14ac:dyDescent="0.4">
      <c r="A1488" s="6">
        <v>154202</v>
      </c>
      <c r="B1488" s="6" t="s">
        <v>21</v>
      </c>
      <c r="C1488" s="6" t="s">
        <v>17</v>
      </c>
      <c r="D1488" s="6">
        <v>810</v>
      </c>
      <c r="E1488" s="6">
        <v>180</v>
      </c>
      <c r="F1488" s="6">
        <v>264</v>
      </c>
      <c r="G1488" s="6">
        <v>2</v>
      </c>
      <c r="H1488" s="6">
        <v>12413</v>
      </c>
      <c r="I1488" s="6">
        <v>15</v>
      </c>
      <c r="J1488" s="6">
        <v>32</v>
      </c>
      <c r="K1488" s="6">
        <v>214</v>
      </c>
      <c r="L1488" s="6">
        <v>217</v>
      </c>
      <c r="M1488" s="6">
        <v>12.83333333</v>
      </c>
      <c r="N1488">
        <f>VLOOKUP(A1488,vlookup_table!$A:$G,2,FALSE)</f>
        <v>0</v>
      </c>
      <c r="O1488" t="str">
        <f>VLOOKUP(A1488,vlookup_table!$A:$G,3,FALSE)</f>
        <v>CA</v>
      </c>
      <c r="P1488">
        <f>VLOOKUP(A1488,vlookup_table!$A:$G,4,FALSE)</f>
        <v>0</v>
      </c>
      <c r="Q1488" t="str">
        <f>VLOOKUP(A1488,vlookup_table!$A:$G,5,FALSE)</f>
        <v>T2</v>
      </c>
      <c r="R1488" t="str">
        <f>VLOOKUP(A1488,vlookup_table!$A:$G,6,FALSE)</f>
        <v>F</v>
      </c>
      <c r="S1488">
        <f>VLOOKUP(A1488,vlookup_table!$A:$G,7,FALSE)</f>
        <v>50</v>
      </c>
      <c r="T1488">
        <f t="shared" si="46"/>
        <v>96</v>
      </c>
      <c r="U1488" t="str">
        <f t="shared" si="47"/>
        <v>Pueblo</v>
      </c>
    </row>
    <row r="1489" spans="1:21" ht="16" x14ac:dyDescent="0.4">
      <c r="A1489" s="6">
        <v>153001</v>
      </c>
      <c r="B1489" s="6" t="s">
        <v>21</v>
      </c>
      <c r="C1489" s="6" t="s">
        <v>14</v>
      </c>
      <c r="D1489" s="6">
        <v>1960</v>
      </c>
      <c r="E1489" s="6">
        <v>265</v>
      </c>
      <c r="F1489" s="6">
        <v>469</v>
      </c>
      <c r="G1489" s="6">
        <v>46</v>
      </c>
      <c r="H1489" s="6">
        <v>17243</v>
      </c>
      <c r="I1489" s="6">
        <v>10</v>
      </c>
      <c r="J1489" s="6">
        <v>33</v>
      </c>
      <c r="K1489" s="6">
        <v>321</v>
      </c>
      <c r="L1489" s="6">
        <v>362</v>
      </c>
      <c r="M1489" s="6">
        <v>6.3</v>
      </c>
      <c r="N1489">
        <f>VLOOKUP(A1489,vlookup_table!$A:$G,2,FALSE)</f>
        <v>1</v>
      </c>
      <c r="O1489" t="str">
        <f>VLOOKUP(A1489,vlookup_table!$A:$G,3,FALSE)</f>
        <v>CA</v>
      </c>
      <c r="P1489">
        <f>VLOOKUP(A1489,vlookup_table!$A:$G,4,FALSE)</f>
        <v>5203</v>
      </c>
      <c r="Q1489" t="str">
        <f>VLOOKUP(A1489,vlookup_table!$A:$G,5,FALSE)</f>
        <v>S2</v>
      </c>
      <c r="R1489" t="str">
        <f>VLOOKUP(A1489,vlookup_table!$A:$G,6,FALSE)</f>
        <v>M</v>
      </c>
      <c r="S1489">
        <f>VLOOKUP(A1489,vlookup_table!$A:$G,7,FALSE)</f>
        <v>5</v>
      </c>
      <c r="T1489">
        <f t="shared" si="46"/>
        <v>44</v>
      </c>
      <c r="U1489" t="str">
        <f t="shared" si="47"/>
        <v>Suburbano</v>
      </c>
    </row>
    <row r="1490" spans="1:21" ht="16" x14ac:dyDescent="0.4">
      <c r="A1490" s="6">
        <v>154216</v>
      </c>
      <c r="B1490" s="6" t="s">
        <v>21</v>
      </c>
      <c r="C1490" s="6" t="s">
        <v>17</v>
      </c>
      <c r="D1490" s="6">
        <v>770</v>
      </c>
      <c r="E1490" s="6">
        <v>213</v>
      </c>
      <c r="F1490" s="6">
        <v>313</v>
      </c>
      <c r="G1490" s="6">
        <v>3</v>
      </c>
      <c r="H1490" s="6">
        <v>11794</v>
      </c>
      <c r="I1490" s="6">
        <v>10</v>
      </c>
      <c r="J1490" s="6">
        <v>45</v>
      </c>
      <c r="K1490" s="6">
        <v>264</v>
      </c>
      <c r="L1490" s="6">
        <v>276</v>
      </c>
      <c r="M1490" s="6">
        <v>4.7142857139999998</v>
      </c>
      <c r="N1490">
        <f>VLOOKUP(A1490,vlookup_table!$A:$G,2,FALSE)</f>
        <v>2</v>
      </c>
      <c r="O1490" t="str">
        <f>VLOOKUP(A1490,vlookup_table!$A:$G,3,FALSE)</f>
        <v>CA</v>
      </c>
      <c r="P1490">
        <f>VLOOKUP(A1490,vlookup_table!$A:$G,4,FALSE)</f>
        <v>1301</v>
      </c>
      <c r="Q1490" t="str">
        <f>VLOOKUP(A1490,vlookup_table!$A:$G,5,FALSE)</f>
        <v>T2</v>
      </c>
      <c r="R1490" t="str">
        <f>VLOOKUP(A1490,vlookup_table!$A:$G,6,FALSE)</f>
        <v>F</v>
      </c>
      <c r="S1490">
        <f>VLOOKUP(A1490,vlookup_table!$A:$G,7,FALSE)</f>
        <v>13</v>
      </c>
      <c r="T1490">
        <f t="shared" si="46"/>
        <v>83</v>
      </c>
      <c r="U1490" t="str">
        <f t="shared" si="47"/>
        <v>Pueblo</v>
      </c>
    </row>
    <row r="1491" spans="1:21" ht="16" x14ac:dyDescent="0.4">
      <c r="A1491" s="6">
        <v>174976</v>
      </c>
      <c r="B1491" s="6" t="s">
        <v>47</v>
      </c>
      <c r="C1491" s="6" t="s">
        <v>17</v>
      </c>
      <c r="D1491" s="6">
        <v>619</v>
      </c>
      <c r="E1491" s="6">
        <v>244</v>
      </c>
      <c r="F1491" s="6">
        <v>324</v>
      </c>
      <c r="G1491" s="6">
        <v>1</v>
      </c>
      <c r="H1491" s="6">
        <v>13392</v>
      </c>
      <c r="I1491" s="6">
        <v>1</v>
      </c>
      <c r="J1491" s="6">
        <v>53</v>
      </c>
      <c r="K1491" s="6">
        <v>271</v>
      </c>
      <c r="L1491" s="6">
        <v>300</v>
      </c>
      <c r="M1491" s="6">
        <v>12.25</v>
      </c>
      <c r="N1491">
        <f>VLOOKUP(A1491,vlookup_table!$A:$G,2,FALSE)</f>
        <v>0</v>
      </c>
      <c r="O1491" t="str">
        <f>VLOOKUP(A1491,vlookup_table!$A:$G,3,FALSE)</f>
        <v>OR</v>
      </c>
      <c r="P1491">
        <f>VLOOKUP(A1491,vlookup_table!$A:$G,4,FALSE)</f>
        <v>5901</v>
      </c>
      <c r="Q1491" t="str">
        <f>VLOOKUP(A1491,vlookup_table!$A:$G,5,FALSE)</f>
        <v>R2</v>
      </c>
      <c r="R1491" t="str">
        <f>VLOOKUP(A1491,vlookup_table!$A:$G,6,FALSE)</f>
        <v>F</v>
      </c>
      <c r="S1491">
        <f>VLOOKUP(A1491,vlookup_table!$A:$G,7,FALSE)</f>
        <v>15</v>
      </c>
      <c r="T1491">
        <f t="shared" si="46"/>
        <v>37</v>
      </c>
      <c r="U1491" t="str">
        <f t="shared" si="47"/>
        <v>Rural</v>
      </c>
    </row>
    <row r="1492" spans="1:21" ht="16" x14ac:dyDescent="0.4">
      <c r="A1492" s="6">
        <v>140547</v>
      </c>
      <c r="B1492" s="6" t="s">
        <v>50</v>
      </c>
      <c r="C1492" s="6" t="s">
        <v>14</v>
      </c>
      <c r="D1492" s="6">
        <v>544</v>
      </c>
      <c r="E1492" s="6">
        <v>259</v>
      </c>
      <c r="F1492" s="6">
        <v>341</v>
      </c>
      <c r="G1492" s="6">
        <v>1</v>
      </c>
      <c r="H1492" s="6">
        <v>11638</v>
      </c>
      <c r="I1492" s="6">
        <v>2</v>
      </c>
      <c r="J1492" s="6">
        <v>44</v>
      </c>
      <c r="K1492" s="6">
        <v>305</v>
      </c>
      <c r="L1492" s="6">
        <v>322</v>
      </c>
      <c r="M1492" s="6">
        <v>20</v>
      </c>
      <c r="N1492">
        <f>VLOOKUP(A1492,vlookup_table!$A:$G,2,FALSE)</f>
        <v>0</v>
      </c>
      <c r="O1492" t="str">
        <f>VLOOKUP(A1492,vlookup_table!$A:$G,3,FALSE)</f>
        <v>NM</v>
      </c>
      <c r="P1492">
        <f>VLOOKUP(A1492,vlookup_table!$A:$G,4,FALSE)</f>
        <v>0</v>
      </c>
      <c r="Q1492" t="str">
        <f>VLOOKUP(A1492,vlookup_table!$A:$G,5,FALSE)</f>
        <v>R2</v>
      </c>
      <c r="R1492" t="str">
        <f>VLOOKUP(A1492,vlookup_table!$A:$G,6,FALSE)</f>
        <v>M</v>
      </c>
      <c r="S1492">
        <f>VLOOKUP(A1492,vlookup_table!$A:$G,7,FALSE)</f>
        <v>20</v>
      </c>
      <c r="T1492">
        <f t="shared" si="46"/>
        <v>96</v>
      </c>
      <c r="U1492" t="str">
        <f t="shared" si="47"/>
        <v>Rural</v>
      </c>
    </row>
    <row r="1493" spans="1:21" ht="16" x14ac:dyDescent="0.4">
      <c r="A1493" s="6">
        <v>169371</v>
      </c>
      <c r="B1493" s="6" t="s">
        <v>21</v>
      </c>
      <c r="C1493" s="6" t="s">
        <v>17</v>
      </c>
      <c r="D1493" s="6">
        <v>1436</v>
      </c>
      <c r="E1493" s="6">
        <v>308</v>
      </c>
      <c r="F1493" s="6">
        <v>372</v>
      </c>
      <c r="G1493" s="6">
        <v>16</v>
      </c>
      <c r="H1493" s="6">
        <v>11970</v>
      </c>
      <c r="I1493" s="6">
        <v>7</v>
      </c>
      <c r="J1493" s="6">
        <v>66</v>
      </c>
      <c r="K1493" s="6">
        <v>347</v>
      </c>
      <c r="L1493" s="6">
        <v>338</v>
      </c>
      <c r="M1493" s="6">
        <v>25</v>
      </c>
      <c r="N1493">
        <f>VLOOKUP(A1493,vlookup_table!$A:$G,2,FALSE)</f>
        <v>0</v>
      </c>
      <c r="O1493" t="str">
        <f>VLOOKUP(A1493,vlookup_table!$A:$G,3,FALSE)</f>
        <v>CA</v>
      </c>
      <c r="P1493">
        <f>VLOOKUP(A1493,vlookup_table!$A:$G,4,FALSE)</f>
        <v>1601</v>
      </c>
      <c r="Q1493" t="str">
        <f>VLOOKUP(A1493,vlookup_table!$A:$G,5,FALSE)</f>
        <v>T2</v>
      </c>
      <c r="R1493" t="str">
        <f>VLOOKUP(A1493,vlookup_table!$A:$G,6,FALSE)</f>
        <v>F</v>
      </c>
      <c r="S1493">
        <f>VLOOKUP(A1493,vlookup_table!$A:$G,7,FALSE)</f>
        <v>20</v>
      </c>
      <c r="T1493">
        <f t="shared" si="46"/>
        <v>80</v>
      </c>
      <c r="U1493" t="str">
        <f t="shared" si="47"/>
        <v>Pueblo</v>
      </c>
    </row>
    <row r="1494" spans="1:21" ht="16" x14ac:dyDescent="0.4">
      <c r="A1494" s="6">
        <v>167100</v>
      </c>
      <c r="B1494" s="6" t="s">
        <v>21</v>
      </c>
      <c r="C1494" s="6" t="s">
        <v>14</v>
      </c>
      <c r="D1494" s="6">
        <v>3223</v>
      </c>
      <c r="E1494" s="6">
        <v>487</v>
      </c>
      <c r="F1494" s="6">
        <v>597</v>
      </c>
      <c r="G1494" s="6">
        <v>89</v>
      </c>
      <c r="H1494" s="6">
        <v>22177</v>
      </c>
      <c r="I1494" s="6">
        <v>9</v>
      </c>
      <c r="J1494" s="6">
        <v>59</v>
      </c>
      <c r="K1494" s="6">
        <v>516</v>
      </c>
      <c r="L1494" s="6">
        <v>568</v>
      </c>
      <c r="M1494" s="6">
        <v>6.4444444440000002</v>
      </c>
      <c r="N1494">
        <f>VLOOKUP(A1494,vlookup_table!$A:$G,2,FALSE)</f>
        <v>0</v>
      </c>
      <c r="O1494" t="str">
        <f>VLOOKUP(A1494,vlookup_table!$A:$G,3,FALSE)</f>
        <v>CA</v>
      </c>
      <c r="P1494">
        <f>VLOOKUP(A1494,vlookup_table!$A:$G,4,FALSE)</f>
        <v>1704</v>
      </c>
      <c r="Q1494" t="str">
        <f>VLOOKUP(A1494,vlookup_table!$A:$G,5,FALSE)</f>
        <v>S1</v>
      </c>
      <c r="R1494" t="str">
        <f>VLOOKUP(A1494,vlookup_table!$A:$G,6,FALSE)</f>
        <v>M</v>
      </c>
      <c r="S1494">
        <f>VLOOKUP(A1494,vlookup_table!$A:$G,7,FALSE)</f>
        <v>10</v>
      </c>
      <c r="T1494">
        <f t="shared" si="46"/>
        <v>79</v>
      </c>
      <c r="U1494" t="str">
        <f t="shared" si="47"/>
        <v>Suburbano</v>
      </c>
    </row>
    <row r="1495" spans="1:21" ht="16" x14ac:dyDescent="0.4">
      <c r="A1495" s="6">
        <v>157295</v>
      </c>
      <c r="B1495" s="6" t="s">
        <v>21</v>
      </c>
      <c r="C1495" s="6" t="s">
        <v>27</v>
      </c>
      <c r="D1495" s="6">
        <v>5500</v>
      </c>
      <c r="E1495" s="6">
        <v>365</v>
      </c>
      <c r="F1495" s="6">
        <v>614</v>
      </c>
      <c r="G1495" s="6">
        <v>99</v>
      </c>
      <c r="H1495" s="6">
        <v>31227</v>
      </c>
      <c r="I1495" s="6">
        <v>8</v>
      </c>
      <c r="J1495" s="6">
        <v>50</v>
      </c>
      <c r="K1495" s="6">
        <v>424</v>
      </c>
      <c r="L1495" s="6">
        <v>456</v>
      </c>
      <c r="M1495" s="6">
        <v>11.53846154</v>
      </c>
      <c r="N1495">
        <f>VLOOKUP(A1495,vlookup_table!$A:$G,2,FALSE)</f>
        <v>2</v>
      </c>
      <c r="O1495" t="str">
        <f>VLOOKUP(A1495,vlookup_table!$A:$G,3,FALSE)</f>
        <v>CA</v>
      </c>
      <c r="P1495">
        <f>VLOOKUP(A1495,vlookup_table!$A:$G,4,FALSE)</f>
        <v>1501</v>
      </c>
      <c r="Q1495" t="str">
        <f>VLOOKUP(A1495,vlookup_table!$A:$G,5,FALSE)</f>
        <v>S1</v>
      </c>
      <c r="R1495" t="str">
        <f>VLOOKUP(A1495,vlookup_table!$A:$G,6,FALSE)</f>
        <v>U</v>
      </c>
      <c r="S1495">
        <f>VLOOKUP(A1495,vlookup_table!$A:$G,7,FALSE)</f>
        <v>35</v>
      </c>
      <c r="T1495">
        <f t="shared" si="46"/>
        <v>81</v>
      </c>
      <c r="U1495" t="str">
        <f t="shared" si="47"/>
        <v>Suburbano</v>
      </c>
    </row>
    <row r="1496" spans="1:21" ht="16" x14ac:dyDescent="0.4">
      <c r="A1496" s="6">
        <v>19020</v>
      </c>
      <c r="B1496" s="6" t="s">
        <v>18</v>
      </c>
      <c r="C1496" s="6" t="s">
        <v>97</v>
      </c>
      <c r="D1496" s="6">
        <v>1588</v>
      </c>
      <c r="E1496" s="6">
        <v>450</v>
      </c>
      <c r="F1496" s="6">
        <v>511</v>
      </c>
      <c r="G1496" s="6">
        <v>35</v>
      </c>
      <c r="H1496" s="6">
        <v>18048</v>
      </c>
      <c r="I1496" s="6">
        <v>0</v>
      </c>
      <c r="J1496" s="6">
        <v>61</v>
      </c>
      <c r="K1496" s="6">
        <v>471</v>
      </c>
      <c r="L1496" s="6">
        <v>478</v>
      </c>
      <c r="M1496" s="6">
        <v>16.2</v>
      </c>
      <c r="N1496">
        <f>VLOOKUP(A1496,vlookup_table!$A:$G,2,FALSE)</f>
        <v>2</v>
      </c>
      <c r="O1496" t="str">
        <f>VLOOKUP(A1496,vlookup_table!$A:$G,3,FALSE)</f>
        <v>NC</v>
      </c>
      <c r="P1496">
        <f>VLOOKUP(A1496,vlookup_table!$A:$G,4,FALSE)</f>
        <v>2801</v>
      </c>
      <c r="Q1496" t="str">
        <f>VLOOKUP(A1496,vlookup_table!$A:$G,5,FALSE)</f>
        <v>T1</v>
      </c>
      <c r="R1496" t="str">
        <f>VLOOKUP(A1496,vlookup_table!$A:$G,6,FALSE)</f>
        <v>F</v>
      </c>
      <c r="S1496">
        <f>VLOOKUP(A1496,vlookup_table!$A:$G,7,FALSE)</f>
        <v>19</v>
      </c>
      <c r="T1496">
        <f t="shared" si="46"/>
        <v>68</v>
      </c>
      <c r="U1496" t="str">
        <f t="shared" si="47"/>
        <v>Pueblo</v>
      </c>
    </row>
    <row r="1497" spans="1:21" ht="16" x14ac:dyDescent="0.4">
      <c r="A1497" s="6">
        <v>105325</v>
      </c>
      <c r="B1497" s="6" t="s">
        <v>25</v>
      </c>
      <c r="C1497" s="6" t="s">
        <v>17</v>
      </c>
      <c r="D1497" s="6">
        <v>227</v>
      </c>
      <c r="E1497" s="6">
        <v>202</v>
      </c>
      <c r="F1497" s="6">
        <v>251</v>
      </c>
      <c r="G1497" s="6">
        <v>0</v>
      </c>
      <c r="H1497" s="6">
        <v>8250</v>
      </c>
      <c r="I1497" s="6">
        <v>0</v>
      </c>
      <c r="J1497" s="6">
        <v>72</v>
      </c>
      <c r="K1497" s="6">
        <v>241</v>
      </c>
      <c r="L1497" s="6">
        <v>220</v>
      </c>
      <c r="M1497" s="6">
        <v>2.4459459460000001</v>
      </c>
      <c r="N1497">
        <f>VLOOKUP(A1497,vlookup_table!$A:$G,2,FALSE)</f>
        <v>28</v>
      </c>
      <c r="O1497" t="str">
        <f>VLOOKUP(A1497,vlookup_table!$A:$G,3,FALSE)</f>
        <v>KS</v>
      </c>
      <c r="P1497">
        <f>VLOOKUP(A1497,vlookup_table!$A:$G,4,FALSE)</f>
        <v>0</v>
      </c>
      <c r="Q1497" t="str">
        <f>VLOOKUP(A1497,vlookup_table!$A:$G,5,FALSE)</f>
        <v>T2</v>
      </c>
      <c r="R1497" t="str">
        <f>VLOOKUP(A1497,vlookup_table!$A:$G,6,FALSE)</f>
        <v>F</v>
      </c>
      <c r="S1497">
        <f>VLOOKUP(A1497,vlookup_table!$A:$G,7,FALSE)</f>
        <v>6</v>
      </c>
      <c r="T1497">
        <f t="shared" si="46"/>
        <v>96</v>
      </c>
      <c r="U1497" t="str">
        <f t="shared" si="47"/>
        <v>Pueblo</v>
      </c>
    </row>
    <row r="1498" spans="1:21" ht="16" x14ac:dyDescent="0.4">
      <c r="A1498" s="6">
        <v>30117</v>
      </c>
      <c r="B1498" s="6" t="s">
        <v>36</v>
      </c>
      <c r="C1498" s="6" t="s">
        <v>14</v>
      </c>
      <c r="D1498" s="6">
        <v>679</v>
      </c>
      <c r="E1498" s="6">
        <v>350</v>
      </c>
      <c r="F1498" s="6">
        <v>402</v>
      </c>
      <c r="G1498" s="6">
        <v>0</v>
      </c>
      <c r="H1498" s="6">
        <v>11290</v>
      </c>
      <c r="I1498" s="6">
        <v>0</v>
      </c>
      <c r="J1498" s="6">
        <v>87</v>
      </c>
      <c r="K1498" s="6">
        <v>374</v>
      </c>
      <c r="L1498" s="6">
        <v>377</v>
      </c>
      <c r="M1498" s="6">
        <v>13</v>
      </c>
      <c r="N1498">
        <f>VLOOKUP(A1498,vlookup_table!$A:$G,2,FALSE)</f>
        <v>1</v>
      </c>
      <c r="O1498" t="str">
        <f>VLOOKUP(A1498,vlookup_table!$A:$G,3,FALSE)</f>
        <v>GA</v>
      </c>
      <c r="P1498">
        <f>VLOOKUP(A1498,vlookup_table!$A:$G,4,FALSE)</f>
        <v>7101</v>
      </c>
      <c r="Q1498" t="str">
        <f>VLOOKUP(A1498,vlookup_table!$A:$G,5,FALSE)</f>
        <v>T2</v>
      </c>
      <c r="R1498" t="str">
        <f>VLOOKUP(A1498,vlookup_table!$A:$G,6,FALSE)</f>
        <v>M</v>
      </c>
      <c r="S1498">
        <f>VLOOKUP(A1498,vlookup_table!$A:$G,7,FALSE)</f>
        <v>16</v>
      </c>
      <c r="T1498">
        <f t="shared" si="46"/>
        <v>25</v>
      </c>
      <c r="U1498" t="str">
        <f t="shared" si="47"/>
        <v>Pueblo</v>
      </c>
    </row>
    <row r="1499" spans="1:21" ht="16" x14ac:dyDescent="0.4">
      <c r="A1499" s="6">
        <v>121798</v>
      </c>
      <c r="B1499" s="6" t="s">
        <v>20</v>
      </c>
      <c r="C1499" s="6" t="s">
        <v>14</v>
      </c>
      <c r="D1499" s="6">
        <v>612</v>
      </c>
      <c r="E1499" s="6">
        <v>508</v>
      </c>
      <c r="F1499" s="6">
        <v>547</v>
      </c>
      <c r="G1499" s="6">
        <v>0</v>
      </c>
      <c r="H1499" s="6">
        <v>23219</v>
      </c>
      <c r="I1499" s="6">
        <v>18</v>
      </c>
      <c r="J1499" s="6">
        <v>51</v>
      </c>
      <c r="K1499" s="6">
        <v>510</v>
      </c>
      <c r="L1499" s="6">
        <v>551</v>
      </c>
      <c r="M1499" s="6">
        <v>12.33333333</v>
      </c>
      <c r="N1499">
        <f>VLOOKUP(A1499,vlookup_table!$A:$G,2,FALSE)</f>
        <v>1</v>
      </c>
      <c r="O1499" t="str">
        <f>VLOOKUP(A1499,vlookup_table!$A:$G,3,FALSE)</f>
        <v>TX</v>
      </c>
      <c r="P1499">
        <f>VLOOKUP(A1499,vlookup_table!$A:$G,4,FALSE)</f>
        <v>3601</v>
      </c>
      <c r="Q1499" t="str">
        <f>VLOOKUP(A1499,vlookup_table!$A:$G,5,FALSE)</f>
        <v>U1</v>
      </c>
      <c r="R1499" t="str">
        <f>VLOOKUP(A1499,vlookup_table!$A:$G,6,FALSE)</f>
        <v>M</v>
      </c>
      <c r="S1499">
        <f>VLOOKUP(A1499,vlookup_table!$A:$G,7,FALSE)</f>
        <v>15</v>
      </c>
      <c r="T1499">
        <f t="shared" si="46"/>
        <v>60</v>
      </c>
      <c r="U1499" t="str">
        <f t="shared" si="47"/>
        <v>Urbano</v>
      </c>
    </row>
    <row r="1500" spans="1:21" ht="16" x14ac:dyDescent="0.4">
      <c r="A1500" s="6">
        <v>86322</v>
      </c>
      <c r="B1500" s="6" t="s">
        <v>48</v>
      </c>
      <c r="C1500" s="6" t="s">
        <v>17</v>
      </c>
      <c r="D1500" s="6">
        <v>213</v>
      </c>
      <c r="E1500" s="6">
        <v>222</v>
      </c>
      <c r="F1500" s="6">
        <v>329</v>
      </c>
      <c r="G1500" s="6">
        <v>1</v>
      </c>
      <c r="H1500" s="6">
        <v>12227</v>
      </c>
      <c r="I1500" s="6">
        <v>1</v>
      </c>
      <c r="J1500" s="6">
        <v>57</v>
      </c>
      <c r="K1500" s="6">
        <v>273</v>
      </c>
      <c r="L1500" s="6">
        <v>283</v>
      </c>
      <c r="M1500" s="6">
        <v>5.125</v>
      </c>
      <c r="N1500">
        <f>VLOOKUP(A1500,vlookup_table!$A:$G,2,FALSE)</f>
        <v>0</v>
      </c>
      <c r="O1500" t="str">
        <f>VLOOKUP(A1500,vlookup_table!$A:$G,3,FALSE)</f>
        <v>SD</v>
      </c>
      <c r="P1500">
        <f>VLOOKUP(A1500,vlookup_table!$A:$G,4,FALSE)</f>
        <v>6701</v>
      </c>
      <c r="Q1500" t="str">
        <f>VLOOKUP(A1500,vlookup_table!$A:$G,5,FALSE)</f>
        <v>T2</v>
      </c>
      <c r="R1500" t="str">
        <f>VLOOKUP(A1500,vlookup_table!$A:$G,6,FALSE)</f>
        <v>F</v>
      </c>
      <c r="S1500">
        <f>VLOOKUP(A1500,vlookup_table!$A:$G,7,FALSE)</f>
        <v>5</v>
      </c>
      <c r="T1500">
        <f t="shared" si="46"/>
        <v>29</v>
      </c>
      <c r="U1500" t="str">
        <f t="shared" si="47"/>
        <v>Pueblo</v>
      </c>
    </row>
    <row r="1501" spans="1:21" ht="16" x14ac:dyDescent="0.4">
      <c r="A1501" s="6">
        <v>56886</v>
      </c>
      <c r="B1501" s="6" t="s">
        <v>53</v>
      </c>
      <c r="C1501" s="6" t="s">
        <v>14</v>
      </c>
      <c r="D1501" s="6">
        <v>1111</v>
      </c>
      <c r="E1501" s="6">
        <v>506</v>
      </c>
      <c r="F1501" s="6">
        <v>636</v>
      </c>
      <c r="G1501" s="6">
        <v>2</v>
      </c>
      <c r="H1501" s="6">
        <v>21181</v>
      </c>
      <c r="I1501" s="6">
        <v>4</v>
      </c>
      <c r="J1501" s="6">
        <v>52</v>
      </c>
      <c r="K1501" s="6">
        <v>591</v>
      </c>
      <c r="L1501" s="6">
        <v>552</v>
      </c>
      <c r="M1501" s="6">
        <v>6.6363636359999996</v>
      </c>
      <c r="N1501">
        <f>VLOOKUP(A1501,vlookup_table!$A:$G,2,FALSE)</f>
        <v>1</v>
      </c>
      <c r="O1501" t="str">
        <f>VLOOKUP(A1501,vlookup_table!$A:$G,3,FALSE)</f>
        <v>KY</v>
      </c>
      <c r="P1501">
        <f>VLOOKUP(A1501,vlookup_table!$A:$G,4,FALSE)</f>
        <v>2601</v>
      </c>
      <c r="Q1501" t="str">
        <f>VLOOKUP(A1501,vlookup_table!$A:$G,5,FALSE)</f>
        <v>S1</v>
      </c>
      <c r="R1501" t="str">
        <f>VLOOKUP(A1501,vlookup_table!$A:$G,6,FALSE)</f>
        <v>M</v>
      </c>
      <c r="S1501">
        <f>VLOOKUP(A1501,vlookup_table!$A:$G,7,FALSE)</f>
        <v>12</v>
      </c>
      <c r="T1501">
        <f t="shared" si="46"/>
        <v>70</v>
      </c>
      <c r="U1501" t="str">
        <f t="shared" si="47"/>
        <v>Suburbano</v>
      </c>
    </row>
    <row r="1502" spans="1:21" ht="16" x14ac:dyDescent="0.4">
      <c r="A1502" s="6">
        <v>177613</v>
      </c>
      <c r="B1502" s="6" t="s">
        <v>47</v>
      </c>
      <c r="C1502" s="6" t="s">
        <v>14</v>
      </c>
      <c r="D1502" s="6">
        <v>803</v>
      </c>
      <c r="E1502" s="6">
        <v>222</v>
      </c>
      <c r="F1502" s="6">
        <v>326</v>
      </c>
      <c r="G1502" s="6">
        <v>4</v>
      </c>
      <c r="H1502" s="6">
        <v>11846</v>
      </c>
      <c r="I1502" s="6">
        <v>3</v>
      </c>
      <c r="J1502" s="6">
        <v>36</v>
      </c>
      <c r="K1502" s="6">
        <v>240</v>
      </c>
      <c r="L1502" s="6">
        <v>311</v>
      </c>
      <c r="M1502" s="6">
        <v>19.23076923</v>
      </c>
      <c r="N1502">
        <f>VLOOKUP(A1502,vlookup_table!$A:$G,2,FALSE)</f>
        <v>0</v>
      </c>
      <c r="O1502" t="str">
        <f>VLOOKUP(A1502,vlookup_table!$A:$G,3,FALSE)</f>
        <v>OR</v>
      </c>
      <c r="P1502">
        <f>VLOOKUP(A1502,vlookup_table!$A:$G,4,FALSE)</f>
        <v>0</v>
      </c>
      <c r="Q1502" t="str">
        <f>VLOOKUP(A1502,vlookup_table!$A:$G,5,FALSE)</f>
        <v>R2</v>
      </c>
      <c r="R1502" t="str">
        <f>VLOOKUP(A1502,vlookup_table!$A:$G,6,FALSE)</f>
        <v>M</v>
      </c>
      <c r="S1502">
        <f>VLOOKUP(A1502,vlookup_table!$A:$G,7,FALSE)</f>
        <v>20</v>
      </c>
      <c r="T1502">
        <f t="shared" si="46"/>
        <v>96</v>
      </c>
      <c r="U1502" t="str">
        <f t="shared" si="47"/>
        <v>Rural</v>
      </c>
    </row>
    <row r="1503" spans="1:21" ht="16" x14ac:dyDescent="0.4">
      <c r="A1503" s="6">
        <v>43492</v>
      </c>
      <c r="B1503" s="6" t="s">
        <v>13</v>
      </c>
      <c r="C1503" s="6" t="s">
        <v>17</v>
      </c>
      <c r="D1503" s="6">
        <v>665</v>
      </c>
      <c r="E1503" s="6">
        <v>240</v>
      </c>
      <c r="F1503" s="6">
        <v>312</v>
      </c>
      <c r="G1503" s="6">
        <v>2</v>
      </c>
      <c r="H1503" s="6">
        <v>11939</v>
      </c>
      <c r="I1503" s="6">
        <v>1</v>
      </c>
      <c r="J1503" s="6">
        <v>26</v>
      </c>
      <c r="K1503" s="6">
        <v>264</v>
      </c>
      <c r="L1503" s="6">
        <v>273</v>
      </c>
      <c r="M1503" s="6">
        <v>7</v>
      </c>
      <c r="N1503">
        <f>VLOOKUP(A1503,vlookup_table!$A:$G,2,FALSE)</f>
        <v>0</v>
      </c>
      <c r="O1503" t="str">
        <f>VLOOKUP(A1503,vlookup_table!$A:$G,3,FALSE)</f>
        <v>FL</v>
      </c>
      <c r="P1503">
        <f>VLOOKUP(A1503,vlookup_table!$A:$G,4,FALSE)</f>
        <v>0</v>
      </c>
      <c r="Q1503" t="str">
        <f>VLOOKUP(A1503,vlookup_table!$A:$G,5,FALSE)</f>
        <v>S2</v>
      </c>
      <c r="R1503" t="str">
        <f>VLOOKUP(A1503,vlookup_table!$A:$G,6,FALSE)</f>
        <v>F</v>
      </c>
      <c r="S1503">
        <f>VLOOKUP(A1503,vlookup_table!$A:$G,7,FALSE)</f>
        <v>12</v>
      </c>
      <c r="T1503">
        <f t="shared" si="46"/>
        <v>96</v>
      </c>
      <c r="U1503" t="str">
        <f t="shared" si="47"/>
        <v>Suburbano</v>
      </c>
    </row>
    <row r="1504" spans="1:21" ht="16" x14ac:dyDescent="0.4">
      <c r="A1504" s="6">
        <v>931</v>
      </c>
      <c r="B1504" s="6" t="s">
        <v>47</v>
      </c>
      <c r="C1504" s="6" t="s">
        <v>14</v>
      </c>
      <c r="D1504" s="6">
        <v>646</v>
      </c>
      <c r="E1504" s="6">
        <v>239</v>
      </c>
      <c r="F1504" s="6">
        <v>328</v>
      </c>
      <c r="G1504" s="6">
        <v>1</v>
      </c>
      <c r="H1504" s="6">
        <v>10757</v>
      </c>
      <c r="I1504" s="6">
        <v>6</v>
      </c>
      <c r="J1504" s="6">
        <v>58</v>
      </c>
      <c r="K1504" s="6">
        <v>249</v>
      </c>
      <c r="L1504" s="6">
        <v>305</v>
      </c>
      <c r="M1504" s="6">
        <v>5.0999999999999996</v>
      </c>
      <c r="N1504">
        <f>VLOOKUP(A1504,vlookup_table!$A:$G,2,FALSE)</f>
        <v>1002</v>
      </c>
      <c r="O1504" t="str">
        <f>VLOOKUP(A1504,vlookup_table!$A:$G,3,FALSE)</f>
        <v>OR</v>
      </c>
      <c r="P1504">
        <f>VLOOKUP(A1504,vlookup_table!$A:$G,4,FALSE)</f>
        <v>4711</v>
      </c>
      <c r="Q1504" t="str">
        <f>VLOOKUP(A1504,vlookup_table!$A:$G,5,FALSE)</f>
        <v>R2</v>
      </c>
      <c r="R1504" t="str">
        <f>VLOOKUP(A1504,vlookup_table!$A:$G,6,FALSE)</f>
        <v>M</v>
      </c>
      <c r="S1504">
        <f>VLOOKUP(A1504,vlookup_table!$A:$G,7,FALSE)</f>
        <v>12</v>
      </c>
      <c r="T1504">
        <f t="shared" si="46"/>
        <v>49</v>
      </c>
      <c r="U1504" t="str">
        <f t="shared" si="47"/>
        <v>Rural</v>
      </c>
    </row>
    <row r="1505" spans="1:21" ht="16" x14ac:dyDescent="0.4">
      <c r="A1505" s="6">
        <v>19510</v>
      </c>
      <c r="B1505" s="6" t="s">
        <v>18</v>
      </c>
      <c r="C1505" s="6" t="s">
        <v>14</v>
      </c>
      <c r="D1505" s="6">
        <v>2441</v>
      </c>
      <c r="E1505" s="6">
        <v>579</v>
      </c>
      <c r="F1505" s="6">
        <v>866</v>
      </c>
      <c r="G1505" s="6">
        <v>67</v>
      </c>
      <c r="H1505" s="6">
        <v>46160</v>
      </c>
      <c r="I1505" s="6">
        <v>2</v>
      </c>
      <c r="J1505" s="6">
        <v>54</v>
      </c>
      <c r="K1505" s="6">
        <v>740</v>
      </c>
      <c r="L1505" s="6">
        <v>697</v>
      </c>
      <c r="M1505" s="6">
        <v>11</v>
      </c>
      <c r="N1505">
        <f>VLOOKUP(A1505,vlookup_table!$A:$G,2,FALSE)</f>
        <v>0</v>
      </c>
      <c r="O1505" t="str">
        <f>VLOOKUP(A1505,vlookup_table!$A:$G,3,FALSE)</f>
        <v>NC</v>
      </c>
      <c r="P1505">
        <f>VLOOKUP(A1505,vlookup_table!$A:$G,4,FALSE)</f>
        <v>2001</v>
      </c>
      <c r="Q1505" t="str">
        <f>VLOOKUP(A1505,vlookup_table!$A:$G,5,FALSE)</f>
        <v>C1</v>
      </c>
      <c r="R1505" t="str">
        <f>VLOOKUP(A1505,vlookup_table!$A:$G,6,FALSE)</f>
        <v>M</v>
      </c>
      <c r="S1505">
        <f>VLOOKUP(A1505,vlookup_table!$A:$G,7,FALSE)</f>
        <v>125</v>
      </c>
      <c r="T1505">
        <f t="shared" si="46"/>
        <v>76</v>
      </c>
      <c r="U1505" t="str">
        <f t="shared" si="47"/>
        <v>Ciudad</v>
      </c>
    </row>
    <row r="1506" spans="1:21" ht="16" x14ac:dyDescent="0.4">
      <c r="A1506" s="6">
        <v>38165</v>
      </c>
      <c r="B1506" s="6" t="s">
        <v>21</v>
      </c>
      <c r="C1506" s="6" t="s">
        <v>17</v>
      </c>
      <c r="D1506" s="6">
        <v>1985</v>
      </c>
      <c r="E1506" s="6">
        <v>414</v>
      </c>
      <c r="F1506" s="6">
        <v>490</v>
      </c>
      <c r="G1506" s="6">
        <v>48</v>
      </c>
      <c r="H1506" s="6">
        <v>17181</v>
      </c>
      <c r="I1506" s="6">
        <v>12</v>
      </c>
      <c r="J1506" s="6">
        <v>38</v>
      </c>
      <c r="K1506" s="6">
        <v>446</v>
      </c>
      <c r="L1506" s="6">
        <v>467</v>
      </c>
      <c r="M1506" s="6">
        <v>10.363636359999999</v>
      </c>
      <c r="N1506">
        <f>VLOOKUP(A1506,vlookup_table!$A:$G,2,FALSE)</f>
        <v>1002</v>
      </c>
      <c r="O1506" t="str">
        <f>VLOOKUP(A1506,vlookup_table!$A:$G,3,FALSE)</f>
        <v>CA</v>
      </c>
      <c r="P1506">
        <f>VLOOKUP(A1506,vlookup_table!$A:$G,4,FALSE)</f>
        <v>4607</v>
      </c>
      <c r="Q1506" t="str">
        <f>VLOOKUP(A1506,vlookup_table!$A:$G,5,FALSE)</f>
        <v>U2</v>
      </c>
      <c r="R1506" t="str">
        <f>VLOOKUP(A1506,vlookup_table!$A:$G,6,FALSE)</f>
        <v>F</v>
      </c>
      <c r="S1506">
        <f>VLOOKUP(A1506,vlookup_table!$A:$G,7,FALSE)</f>
        <v>14</v>
      </c>
      <c r="T1506">
        <f t="shared" si="46"/>
        <v>50</v>
      </c>
      <c r="U1506" t="str">
        <f t="shared" si="47"/>
        <v>Urbano</v>
      </c>
    </row>
    <row r="1507" spans="1:21" ht="16" x14ac:dyDescent="0.4">
      <c r="A1507" s="6">
        <v>171879</v>
      </c>
      <c r="B1507" s="6" t="s">
        <v>21</v>
      </c>
      <c r="C1507" s="6" t="s">
        <v>17</v>
      </c>
      <c r="D1507" s="6">
        <v>1016</v>
      </c>
      <c r="E1507" s="6">
        <v>235</v>
      </c>
      <c r="F1507" s="6">
        <v>303</v>
      </c>
      <c r="G1507" s="6">
        <v>1</v>
      </c>
      <c r="H1507" s="6">
        <v>12496</v>
      </c>
      <c r="I1507" s="6">
        <v>6</v>
      </c>
      <c r="J1507" s="6">
        <v>66</v>
      </c>
      <c r="K1507" s="6">
        <v>246</v>
      </c>
      <c r="L1507" s="6">
        <v>278</v>
      </c>
      <c r="M1507" s="6">
        <v>20</v>
      </c>
      <c r="N1507">
        <f>VLOOKUP(A1507,vlookup_table!$A:$G,2,FALSE)</f>
        <v>0</v>
      </c>
      <c r="O1507" t="str">
        <f>VLOOKUP(A1507,vlookup_table!$A:$G,3,FALSE)</f>
        <v>CA</v>
      </c>
      <c r="P1507">
        <f>VLOOKUP(A1507,vlookup_table!$A:$G,4,FALSE)</f>
        <v>0</v>
      </c>
      <c r="Q1507" t="str">
        <f>VLOOKUP(A1507,vlookup_table!$A:$G,5,FALSE)</f>
        <v>U3</v>
      </c>
      <c r="R1507" t="str">
        <f>VLOOKUP(A1507,vlookup_table!$A:$G,6,FALSE)</f>
        <v>F</v>
      </c>
      <c r="S1507">
        <f>VLOOKUP(A1507,vlookup_table!$A:$G,7,FALSE)</f>
        <v>20</v>
      </c>
      <c r="T1507">
        <f t="shared" si="46"/>
        <v>96</v>
      </c>
      <c r="U1507" t="str">
        <f t="shared" si="47"/>
        <v>Urbano</v>
      </c>
    </row>
    <row r="1508" spans="1:21" ht="16" x14ac:dyDescent="0.4">
      <c r="A1508" s="6">
        <v>135248</v>
      </c>
      <c r="B1508" s="6" t="s">
        <v>51</v>
      </c>
      <c r="C1508" s="6" t="s">
        <v>14</v>
      </c>
      <c r="D1508" s="6">
        <v>596</v>
      </c>
      <c r="E1508" s="6">
        <v>308</v>
      </c>
      <c r="F1508" s="6">
        <v>361</v>
      </c>
      <c r="G1508" s="6">
        <v>0</v>
      </c>
      <c r="H1508" s="6">
        <v>11474</v>
      </c>
      <c r="I1508" s="6">
        <v>2</v>
      </c>
      <c r="J1508" s="6">
        <v>42</v>
      </c>
      <c r="K1508" s="6">
        <v>316</v>
      </c>
      <c r="L1508" s="6">
        <v>345</v>
      </c>
      <c r="M1508" s="6">
        <v>11.81818182</v>
      </c>
      <c r="N1508">
        <f>VLOOKUP(A1508,vlookup_table!$A:$G,2,FALSE)</f>
        <v>1</v>
      </c>
      <c r="O1508" t="str">
        <f>VLOOKUP(A1508,vlookup_table!$A:$G,3,FALSE)</f>
        <v>AZ</v>
      </c>
      <c r="P1508">
        <f>VLOOKUP(A1508,vlookup_table!$A:$G,4,FALSE)</f>
        <v>1612</v>
      </c>
      <c r="Q1508" t="str">
        <f>VLOOKUP(A1508,vlookup_table!$A:$G,5,FALSE)</f>
        <v>U2</v>
      </c>
      <c r="R1508" t="str">
        <f>VLOOKUP(A1508,vlookup_table!$A:$G,6,FALSE)</f>
        <v>M</v>
      </c>
      <c r="S1508">
        <f>VLOOKUP(A1508,vlookup_table!$A:$G,7,FALSE)</f>
        <v>20</v>
      </c>
      <c r="T1508">
        <f t="shared" si="46"/>
        <v>80</v>
      </c>
      <c r="U1508" t="str">
        <f t="shared" si="47"/>
        <v>Urbano</v>
      </c>
    </row>
    <row r="1509" spans="1:21" ht="16" x14ac:dyDescent="0.4">
      <c r="A1509" s="6">
        <v>187171</v>
      </c>
      <c r="B1509" s="6" t="s">
        <v>51</v>
      </c>
      <c r="C1509" s="6" t="s">
        <v>14</v>
      </c>
      <c r="D1509" s="6">
        <v>851</v>
      </c>
      <c r="E1509" s="6">
        <v>299</v>
      </c>
      <c r="F1509" s="6">
        <v>387</v>
      </c>
      <c r="G1509" s="6">
        <v>0</v>
      </c>
      <c r="H1509" s="6">
        <v>19138</v>
      </c>
      <c r="I1509" s="6">
        <v>9</v>
      </c>
      <c r="J1509" s="6">
        <v>10</v>
      </c>
      <c r="K1509" s="6">
        <v>363</v>
      </c>
      <c r="L1509" s="6">
        <v>330</v>
      </c>
      <c r="M1509" s="6">
        <v>15</v>
      </c>
      <c r="N1509">
        <f>VLOOKUP(A1509,vlookup_table!$A:$G,2,FALSE)</f>
        <v>1</v>
      </c>
      <c r="O1509" t="str">
        <f>VLOOKUP(A1509,vlookup_table!$A:$G,3,FALSE)</f>
        <v>AZ</v>
      </c>
      <c r="P1509">
        <f>VLOOKUP(A1509,vlookup_table!$A:$G,4,FALSE)</f>
        <v>0</v>
      </c>
      <c r="Q1509" t="str">
        <f>VLOOKUP(A1509,vlookup_table!$A:$G,5,FALSE)</f>
        <v>C2</v>
      </c>
      <c r="R1509" t="str">
        <f>VLOOKUP(A1509,vlookup_table!$A:$G,6,FALSE)</f>
        <v>M</v>
      </c>
      <c r="S1509">
        <f>VLOOKUP(A1509,vlookup_table!$A:$G,7,FALSE)</f>
        <v>15</v>
      </c>
      <c r="T1509">
        <f t="shared" si="46"/>
        <v>96</v>
      </c>
      <c r="U1509" t="str">
        <f t="shared" si="47"/>
        <v>Ciudad</v>
      </c>
    </row>
    <row r="1510" spans="1:21" ht="16" x14ac:dyDescent="0.4">
      <c r="A1510" s="6">
        <v>77915</v>
      </c>
      <c r="B1510" s="6" t="s">
        <v>32</v>
      </c>
      <c r="C1510" s="6" t="s">
        <v>14</v>
      </c>
      <c r="D1510" s="6">
        <v>477</v>
      </c>
      <c r="E1510" s="6">
        <v>278</v>
      </c>
      <c r="F1510" s="6">
        <v>375</v>
      </c>
      <c r="G1510" s="6">
        <v>0</v>
      </c>
      <c r="H1510" s="6">
        <v>11950</v>
      </c>
      <c r="I1510" s="6">
        <v>7</v>
      </c>
      <c r="J1510" s="6">
        <v>66</v>
      </c>
      <c r="K1510" s="6">
        <v>321</v>
      </c>
      <c r="L1510" s="6">
        <v>303</v>
      </c>
      <c r="M1510" s="6">
        <v>8.5714285710000002</v>
      </c>
      <c r="N1510">
        <f>VLOOKUP(A1510,vlookup_table!$A:$G,2,FALSE)</f>
        <v>0</v>
      </c>
      <c r="O1510" t="str">
        <f>VLOOKUP(A1510,vlookup_table!$A:$G,3,FALSE)</f>
        <v>WI</v>
      </c>
      <c r="P1510">
        <f>VLOOKUP(A1510,vlookup_table!$A:$G,4,FALSE)</f>
        <v>2212</v>
      </c>
      <c r="Q1510" t="str">
        <f>VLOOKUP(A1510,vlookup_table!$A:$G,5,FALSE)</f>
        <v>S3</v>
      </c>
      <c r="R1510" t="str">
        <f>VLOOKUP(A1510,vlookup_table!$A:$G,6,FALSE)</f>
        <v>M</v>
      </c>
      <c r="S1510">
        <f>VLOOKUP(A1510,vlookup_table!$A:$G,7,FALSE)</f>
        <v>15</v>
      </c>
      <c r="T1510">
        <f t="shared" si="46"/>
        <v>74</v>
      </c>
      <c r="U1510" t="str">
        <f t="shared" si="47"/>
        <v>Suburbano</v>
      </c>
    </row>
    <row r="1511" spans="1:21" ht="16" x14ac:dyDescent="0.4">
      <c r="A1511" s="6">
        <v>64419</v>
      </c>
      <c r="B1511" s="6" t="s">
        <v>30</v>
      </c>
      <c r="C1511" s="6" t="s">
        <v>14</v>
      </c>
      <c r="D1511" s="6">
        <v>725</v>
      </c>
      <c r="E1511" s="6">
        <v>305</v>
      </c>
      <c r="F1511" s="6">
        <v>360</v>
      </c>
      <c r="G1511" s="6">
        <v>1</v>
      </c>
      <c r="H1511" s="6">
        <v>13264</v>
      </c>
      <c r="I1511" s="6">
        <v>2</v>
      </c>
      <c r="J1511" s="6">
        <v>77</v>
      </c>
      <c r="K1511" s="6">
        <v>309</v>
      </c>
      <c r="L1511" s="6">
        <v>349</v>
      </c>
      <c r="M1511" s="6">
        <v>10.222222220000001</v>
      </c>
      <c r="N1511">
        <f>VLOOKUP(A1511,vlookup_table!$A:$G,2,FALSE)</f>
        <v>1</v>
      </c>
      <c r="O1511" t="str">
        <f>VLOOKUP(A1511,vlookup_table!$A:$G,3,FALSE)</f>
        <v>IN</v>
      </c>
      <c r="P1511">
        <f>VLOOKUP(A1511,vlookup_table!$A:$G,4,FALSE)</f>
        <v>0</v>
      </c>
      <c r="Q1511" t="str">
        <f>VLOOKUP(A1511,vlookup_table!$A:$G,5,FALSE)</f>
        <v>R2</v>
      </c>
      <c r="R1511" t="str">
        <f>VLOOKUP(A1511,vlookup_table!$A:$G,6,FALSE)</f>
        <v>M</v>
      </c>
      <c r="S1511">
        <f>VLOOKUP(A1511,vlookup_table!$A:$G,7,FALSE)</f>
        <v>14</v>
      </c>
      <c r="T1511">
        <f t="shared" si="46"/>
        <v>96</v>
      </c>
      <c r="U1511" t="str">
        <f t="shared" si="47"/>
        <v>Rural</v>
      </c>
    </row>
    <row r="1512" spans="1:21" ht="16" x14ac:dyDescent="0.4">
      <c r="A1512" s="6">
        <v>51185</v>
      </c>
      <c r="B1512" s="6" t="s">
        <v>49</v>
      </c>
      <c r="C1512" s="6" t="s">
        <v>14</v>
      </c>
      <c r="D1512" s="6">
        <v>457</v>
      </c>
      <c r="E1512" s="6">
        <v>186</v>
      </c>
      <c r="F1512" s="6">
        <v>292</v>
      </c>
      <c r="G1512" s="6">
        <v>0</v>
      </c>
      <c r="H1512" s="6">
        <v>10259</v>
      </c>
      <c r="I1512" s="6">
        <v>0</v>
      </c>
      <c r="J1512" s="6">
        <v>78</v>
      </c>
      <c r="K1512" s="6">
        <v>242</v>
      </c>
      <c r="L1512" s="6">
        <v>237</v>
      </c>
      <c r="M1512" s="6">
        <v>9.3333333330000006</v>
      </c>
      <c r="N1512">
        <f>VLOOKUP(A1512,vlookup_table!$A:$G,2,FALSE)</f>
        <v>1</v>
      </c>
      <c r="O1512" t="str">
        <f>VLOOKUP(A1512,vlookup_table!$A:$G,3,FALSE)</f>
        <v>TN</v>
      </c>
      <c r="P1512">
        <f>VLOOKUP(A1512,vlookup_table!$A:$G,4,FALSE)</f>
        <v>0</v>
      </c>
      <c r="Q1512" t="str">
        <f>VLOOKUP(A1512,vlookup_table!$A:$G,5,FALSE)</f>
        <v>R2</v>
      </c>
      <c r="R1512" t="str">
        <f>VLOOKUP(A1512,vlookup_table!$A:$G,6,FALSE)</f>
        <v>M</v>
      </c>
      <c r="S1512">
        <f>VLOOKUP(A1512,vlookup_table!$A:$G,7,FALSE)</f>
        <v>10</v>
      </c>
      <c r="T1512">
        <f t="shared" si="46"/>
        <v>96</v>
      </c>
      <c r="U1512" t="str">
        <f t="shared" si="47"/>
        <v>Rural</v>
      </c>
    </row>
    <row r="1513" spans="1:21" ht="16" x14ac:dyDescent="0.4">
      <c r="A1513" s="6">
        <v>79116</v>
      </c>
      <c r="B1513" s="6" t="s">
        <v>32</v>
      </c>
      <c r="C1513" s="6" t="s">
        <v>17</v>
      </c>
      <c r="D1513" s="6">
        <v>377</v>
      </c>
      <c r="E1513" s="6">
        <v>311</v>
      </c>
      <c r="F1513" s="6">
        <v>375</v>
      </c>
      <c r="G1513" s="6">
        <v>0</v>
      </c>
      <c r="H1513" s="6">
        <v>10276</v>
      </c>
      <c r="I1513" s="6">
        <v>4</v>
      </c>
      <c r="J1513" s="6">
        <v>49</v>
      </c>
      <c r="K1513" s="6">
        <v>363</v>
      </c>
      <c r="L1513" s="6">
        <v>320</v>
      </c>
      <c r="M1513" s="6">
        <v>5</v>
      </c>
      <c r="N1513">
        <f>VLOOKUP(A1513,vlookup_table!$A:$G,2,FALSE)</f>
        <v>0</v>
      </c>
      <c r="O1513" t="str">
        <f>VLOOKUP(A1513,vlookup_table!$A:$G,3,FALSE)</f>
        <v>WI</v>
      </c>
      <c r="P1513">
        <f>VLOOKUP(A1513,vlookup_table!$A:$G,4,FALSE)</f>
        <v>3601</v>
      </c>
      <c r="Q1513" t="str">
        <f>VLOOKUP(A1513,vlookup_table!$A:$G,5,FALSE)</f>
        <v>C2</v>
      </c>
      <c r="R1513" t="str">
        <f>VLOOKUP(A1513,vlookup_table!$A:$G,6,FALSE)</f>
        <v>F</v>
      </c>
      <c r="S1513">
        <f>VLOOKUP(A1513,vlookup_table!$A:$G,7,FALSE)</f>
        <v>10</v>
      </c>
      <c r="T1513">
        <f t="shared" si="46"/>
        <v>60</v>
      </c>
      <c r="U1513" t="str">
        <f t="shared" si="47"/>
        <v>Ciudad</v>
      </c>
    </row>
    <row r="1514" spans="1:21" ht="16" x14ac:dyDescent="0.4">
      <c r="A1514" s="6">
        <v>68951</v>
      </c>
      <c r="B1514" s="6" t="s">
        <v>26</v>
      </c>
      <c r="C1514" s="6" t="s">
        <v>14</v>
      </c>
      <c r="D1514" s="6">
        <v>1223</v>
      </c>
      <c r="E1514" s="6">
        <v>575</v>
      </c>
      <c r="F1514" s="6">
        <v>704</v>
      </c>
      <c r="G1514" s="6">
        <v>8</v>
      </c>
      <c r="H1514" s="6">
        <v>27751</v>
      </c>
      <c r="I1514" s="6">
        <v>4</v>
      </c>
      <c r="J1514" s="6">
        <v>68</v>
      </c>
      <c r="K1514" s="6">
        <v>644</v>
      </c>
      <c r="L1514" s="6">
        <v>638</v>
      </c>
      <c r="M1514" s="6">
        <v>25</v>
      </c>
      <c r="N1514">
        <f>VLOOKUP(A1514,vlookup_table!$A:$G,2,FALSE)</f>
        <v>1</v>
      </c>
      <c r="O1514" t="str">
        <f>VLOOKUP(A1514,vlookup_table!$A:$G,3,FALSE)</f>
        <v>MI</v>
      </c>
      <c r="P1514">
        <f>VLOOKUP(A1514,vlookup_table!$A:$G,4,FALSE)</f>
        <v>7107</v>
      </c>
      <c r="Q1514" t="str">
        <f>VLOOKUP(A1514,vlookup_table!$A:$G,5,FALSE)</f>
        <v>S1</v>
      </c>
      <c r="R1514" t="str">
        <f>VLOOKUP(A1514,vlookup_table!$A:$G,6,FALSE)</f>
        <v>M</v>
      </c>
      <c r="S1514">
        <f>VLOOKUP(A1514,vlookup_table!$A:$G,7,FALSE)</f>
        <v>25</v>
      </c>
      <c r="T1514">
        <f t="shared" si="46"/>
        <v>25</v>
      </c>
      <c r="U1514" t="str">
        <f t="shared" si="47"/>
        <v>Suburbano</v>
      </c>
    </row>
    <row r="1515" spans="1:21" ht="16" x14ac:dyDescent="0.4">
      <c r="A1515" s="6">
        <v>50570</v>
      </c>
      <c r="B1515" s="6" t="s">
        <v>49</v>
      </c>
      <c r="C1515" s="6" t="s">
        <v>14</v>
      </c>
      <c r="D1515" s="6">
        <v>308</v>
      </c>
      <c r="E1515" s="6">
        <v>182</v>
      </c>
      <c r="F1515" s="6">
        <v>269</v>
      </c>
      <c r="G1515" s="6">
        <v>0</v>
      </c>
      <c r="H1515" s="6">
        <v>9150</v>
      </c>
      <c r="I1515" s="6">
        <v>0</v>
      </c>
      <c r="J1515" s="6">
        <v>76</v>
      </c>
      <c r="K1515" s="6">
        <v>220</v>
      </c>
      <c r="L1515" s="6">
        <v>231</v>
      </c>
      <c r="M1515" s="6">
        <v>10</v>
      </c>
      <c r="N1515">
        <f>VLOOKUP(A1515,vlookup_table!$A:$G,2,FALSE)</f>
        <v>1</v>
      </c>
      <c r="O1515" t="str">
        <f>VLOOKUP(A1515,vlookup_table!$A:$G,3,FALSE)</f>
        <v>TN</v>
      </c>
      <c r="P1515">
        <f>VLOOKUP(A1515,vlookup_table!$A:$G,4,FALSE)</f>
        <v>0</v>
      </c>
      <c r="Q1515" t="str">
        <f>VLOOKUP(A1515,vlookup_table!$A:$G,5,FALSE)</f>
        <v>R3</v>
      </c>
      <c r="R1515" t="str">
        <f>VLOOKUP(A1515,vlookup_table!$A:$G,6,FALSE)</f>
        <v>M</v>
      </c>
      <c r="S1515">
        <f>VLOOKUP(A1515,vlookup_table!$A:$G,7,FALSE)</f>
        <v>10</v>
      </c>
      <c r="T1515">
        <f t="shared" si="46"/>
        <v>96</v>
      </c>
      <c r="U1515" t="str">
        <f t="shared" si="47"/>
        <v>Rural</v>
      </c>
    </row>
    <row r="1516" spans="1:21" ht="16" x14ac:dyDescent="0.4">
      <c r="A1516" s="6">
        <v>90775</v>
      </c>
      <c r="B1516" s="6" t="s">
        <v>16</v>
      </c>
      <c r="C1516" s="6" t="s">
        <v>14</v>
      </c>
      <c r="D1516" s="6">
        <v>1097</v>
      </c>
      <c r="E1516" s="6">
        <v>312</v>
      </c>
      <c r="F1516" s="6">
        <v>473</v>
      </c>
      <c r="G1516" s="6">
        <v>3</v>
      </c>
      <c r="H1516" s="6">
        <v>16896</v>
      </c>
      <c r="I1516" s="6">
        <v>10</v>
      </c>
      <c r="J1516" s="6">
        <v>79</v>
      </c>
      <c r="K1516" s="6">
        <v>463</v>
      </c>
      <c r="L1516" s="6">
        <v>371</v>
      </c>
      <c r="M1516" s="6">
        <v>10.71428571</v>
      </c>
      <c r="N1516">
        <f>VLOOKUP(A1516,vlookup_table!$A:$G,2,FALSE)</f>
        <v>1</v>
      </c>
      <c r="O1516" t="str">
        <f>VLOOKUP(A1516,vlookup_table!$A:$G,3,FALSE)</f>
        <v>IL</v>
      </c>
      <c r="P1516">
        <f>VLOOKUP(A1516,vlookup_table!$A:$G,4,FALSE)</f>
        <v>5103</v>
      </c>
      <c r="Q1516" t="str">
        <f>VLOOKUP(A1516,vlookup_table!$A:$G,5,FALSE)</f>
        <v>S2</v>
      </c>
      <c r="R1516" t="str">
        <f>VLOOKUP(A1516,vlookup_table!$A:$G,6,FALSE)</f>
        <v>M</v>
      </c>
      <c r="S1516">
        <f>VLOOKUP(A1516,vlookup_table!$A:$G,7,FALSE)</f>
        <v>17</v>
      </c>
      <c r="T1516">
        <f t="shared" si="46"/>
        <v>45</v>
      </c>
      <c r="U1516" t="str">
        <f t="shared" si="47"/>
        <v>Suburbano</v>
      </c>
    </row>
    <row r="1517" spans="1:21" ht="16" x14ac:dyDescent="0.4">
      <c r="A1517" s="6">
        <v>186375</v>
      </c>
      <c r="B1517" s="6" t="s">
        <v>47</v>
      </c>
      <c r="C1517" s="6" t="s">
        <v>14</v>
      </c>
      <c r="D1517" s="6">
        <v>1060</v>
      </c>
      <c r="E1517" s="6">
        <v>340</v>
      </c>
      <c r="F1517" s="6">
        <v>500</v>
      </c>
      <c r="G1517" s="6">
        <v>11</v>
      </c>
      <c r="H1517" s="6">
        <v>19213</v>
      </c>
      <c r="I1517" s="6">
        <v>5</v>
      </c>
      <c r="J1517" s="6">
        <v>32</v>
      </c>
      <c r="K1517" s="6">
        <v>425</v>
      </c>
      <c r="L1517" s="6">
        <v>422</v>
      </c>
      <c r="M1517" s="6">
        <v>15</v>
      </c>
      <c r="N1517">
        <f>VLOOKUP(A1517,vlookup_table!$A:$G,2,FALSE)</f>
        <v>0</v>
      </c>
      <c r="O1517" t="str">
        <f>VLOOKUP(A1517,vlookup_table!$A:$G,3,FALSE)</f>
        <v>OR</v>
      </c>
      <c r="P1517">
        <f>VLOOKUP(A1517,vlookup_table!$A:$G,4,FALSE)</f>
        <v>0</v>
      </c>
      <c r="Q1517" t="str">
        <f>VLOOKUP(A1517,vlookup_table!$A:$G,5,FALSE)</f>
        <v>C1</v>
      </c>
      <c r="R1517" t="str">
        <f>VLOOKUP(A1517,vlookup_table!$A:$G,6,FALSE)</f>
        <v>M</v>
      </c>
      <c r="S1517">
        <f>VLOOKUP(A1517,vlookup_table!$A:$G,7,FALSE)</f>
        <v>10</v>
      </c>
      <c r="T1517">
        <f t="shared" si="46"/>
        <v>96</v>
      </c>
      <c r="U1517" t="str">
        <f t="shared" si="47"/>
        <v>Ciudad</v>
      </c>
    </row>
    <row r="1518" spans="1:21" ht="16" x14ac:dyDescent="0.4">
      <c r="A1518" s="6">
        <v>90765</v>
      </c>
      <c r="B1518" s="6" t="s">
        <v>16</v>
      </c>
      <c r="C1518" s="6" t="s">
        <v>17</v>
      </c>
      <c r="D1518" s="6">
        <v>870</v>
      </c>
      <c r="E1518" s="6">
        <v>356</v>
      </c>
      <c r="F1518" s="6">
        <v>420</v>
      </c>
      <c r="G1518" s="6">
        <v>0</v>
      </c>
      <c r="H1518" s="6">
        <v>17028</v>
      </c>
      <c r="I1518" s="6">
        <v>20</v>
      </c>
      <c r="J1518" s="6">
        <v>64</v>
      </c>
      <c r="K1518" s="6">
        <v>405</v>
      </c>
      <c r="L1518" s="6">
        <v>361</v>
      </c>
      <c r="M1518" s="6">
        <v>26.666666670000001</v>
      </c>
      <c r="N1518">
        <f>VLOOKUP(A1518,vlookup_table!$A:$G,2,FALSE)</f>
        <v>3</v>
      </c>
      <c r="O1518" t="str">
        <f>VLOOKUP(A1518,vlookup_table!$A:$G,3,FALSE)</f>
        <v>IL</v>
      </c>
      <c r="P1518">
        <f>VLOOKUP(A1518,vlookup_table!$A:$G,4,FALSE)</f>
        <v>0</v>
      </c>
      <c r="Q1518" t="str">
        <f>VLOOKUP(A1518,vlookup_table!$A:$G,5,FALSE)</f>
        <v>U2</v>
      </c>
      <c r="R1518" t="str">
        <f>VLOOKUP(A1518,vlookup_table!$A:$G,6,FALSE)</f>
        <v>F</v>
      </c>
      <c r="S1518">
        <f>VLOOKUP(A1518,vlookup_table!$A:$G,7,FALSE)</f>
        <v>20</v>
      </c>
      <c r="T1518">
        <f t="shared" si="46"/>
        <v>96</v>
      </c>
      <c r="U1518" t="str">
        <f t="shared" si="47"/>
        <v>Urbano</v>
      </c>
    </row>
    <row r="1519" spans="1:21" ht="16" x14ac:dyDescent="0.4">
      <c r="A1519" s="6">
        <v>76128</v>
      </c>
      <c r="B1519" s="6" t="s">
        <v>44</v>
      </c>
      <c r="C1519" s="6" t="s">
        <v>14</v>
      </c>
      <c r="D1519" s="6">
        <v>543</v>
      </c>
      <c r="E1519" s="6">
        <v>271</v>
      </c>
      <c r="F1519" s="6">
        <v>387</v>
      </c>
      <c r="G1519" s="6">
        <v>0</v>
      </c>
      <c r="H1519" s="6">
        <v>12961</v>
      </c>
      <c r="I1519" s="6">
        <v>2</v>
      </c>
      <c r="J1519" s="6">
        <v>83</v>
      </c>
      <c r="K1519" s="6">
        <v>349</v>
      </c>
      <c r="L1519" s="6">
        <v>339</v>
      </c>
      <c r="M1519" s="6">
        <v>4.9642857139999998</v>
      </c>
      <c r="N1519">
        <f>VLOOKUP(A1519,vlookup_table!$A:$G,2,FALSE)</f>
        <v>0</v>
      </c>
      <c r="O1519" t="str">
        <f>VLOOKUP(A1519,vlookup_table!$A:$G,3,FALSE)</f>
        <v>IA</v>
      </c>
      <c r="P1519">
        <f>VLOOKUP(A1519,vlookup_table!$A:$G,4,FALSE)</f>
        <v>3201</v>
      </c>
      <c r="Q1519" t="str">
        <f>VLOOKUP(A1519,vlookup_table!$A:$G,5,FALSE)</f>
        <v>R2</v>
      </c>
      <c r="R1519" t="str">
        <f>VLOOKUP(A1519,vlookup_table!$A:$G,6,FALSE)</f>
        <v>M</v>
      </c>
      <c r="S1519">
        <f>VLOOKUP(A1519,vlookup_table!$A:$G,7,FALSE)</f>
        <v>5</v>
      </c>
      <c r="T1519">
        <f t="shared" si="46"/>
        <v>64</v>
      </c>
      <c r="U1519" t="str">
        <f t="shared" si="47"/>
        <v>Rural</v>
      </c>
    </row>
    <row r="1520" spans="1:21" ht="16" x14ac:dyDescent="0.4">
      <c r="A1520" s="6">
        <v>28082</v>
      </c>
      <c r="B1520" s="6" t="s">
        <v>36</v>
      </c>
      <c r="C1520" s="6"/>
      <c r="D1520" s="6">
        <v>1063</v>
      </c>
      <c r="E1520" s="6">
        <v>477</v>
      </c>
      <c r="F1520" s="6">
        <v>558</v>
      </c>
      <c r="G1520" s="6">
        <v>7</v>
      </c>
      <c r="H1520" s="6">
        <v>18253</v>
      </c>
      <c r="I1520" s="6">
        <v>2</v>
      </c>
      <c r="J1520" s="6">
        <v>65</v>
      </c>
      <c r="K1520" s="6">
        <v>529</v>
      </c>
      <c r="L1520" s="6">
        <v>526</v>
      </c>
      <c r="M1520" s="6">
        <v>15</v>
      </c>
      <c r="N1520">
        <f>VLOOKUP(A1520,vlookup_table!$A:$G,2,FALSE)</f>
        <v>0</v>
      </c>
      <c r="O1520" t="str">
        <f>VLOOKUP(A1520,vlookup_table!$A:$G,3,FALSE)</f>
        <v>GA</v>
      </c>
      <c r="P1520">
        <f>VLOOKUP(A1520,vlookup_table!$A:$G,4,FALSE)</f>
        <v>0</v>
      </c>
      <c r="Q1520" t="str">
        <f>VLOOKUP(A1520,vlookup_table!$A:$G,5,FALSE)</f>
        <v>T2</v>
      </c>
      <c r="R1520" t="str">
        <f>VLOOKUP(A1520,vlookup_table!$A:$G,6,FALSE)</f>
        <v/>
      </c>
      <c r="S1520">
        <f>VLOOKUP(A1520,vlookup_table!$A:$G,7,FALSE)</f>
        <v>20</v>
      </c>
      <c r="T1520">
        <f t="shared" si="46"/>
        <v>96</v>
      </c>
      <c r="U1520" t="str">
        <f t="shared" si="47"/>
        <v>Pueblo</v>
      </c>
    </row>
    <row r="1521" spans="1:21" ht="16" x14ac:dyDescent="0.4">
      <c r="A1521" s="6">
        <v>47869</v>
      </c>
      <c r="B1521" s="6" t="s">
        <v>40</v>
      </c>
      <c r="C1521" s="6" t="s">
        <v>17</v>
      </c>
      <c r="D1521" s="6">
        <v>402</v>
      </c>
      <c r="E1521" s="6">
        <v>186</v>
      </c>
      <c r="F1521" s="6">
        <v>287</v>
      </c>
      <c r="G1521" s="6">
        <v>0</v>
      </c>
      <c r="H1521" s="6">
        <v>10573</v>
      </c>
      <c r="I1521" s="6">
        <v>1</v>
      </c>
      <c r="J1521" s="6">
        <v>71</v>
      </c>
      <c r="K1521" s="6">
        <v>240</v>
      </c>
      <c r="L1521" s="6">
        <v>230</v>
      </c>
      <c r="M1521" s="6">
        <v>37.200000000000003</v>
      </c>
      <c r="N1521">
        <f>VLOOKUP(A1521,vlookup_table!$A:$G,2,FALSE)</f>
        <v>2</v>
      </c>
      <c r="O1521" t="str">
        <f>VLOOKUP(A1521,vlookup_table!$A:$G,3,FALSE)</f>
        <v>AL</v>
      </c>
      <c r="P1521">
        <f>VLOOKUP(A1521,vlookup_table!$A:$G,4,FALSE)</f>
        <v>2401</v>
      </c>
      <c r="Q1521" t="str">
        <f>VLOOKUP(A1521,vlookup_table!$A:$G,5,FALSE)</f>
        <v>C3</v>
      </c>
      <c r="R1521" t="str">
        <f>VLOOKUP(A1521,vlookup_table!$A:$G,6,FALSE)</f>
        <v>F</v>
      </c>
      <c r="S1521">
        <f>VLOOKUP(A1521,vlookup_table!$A:$G,7,FALSE)</f>
        <v>20</v>
      </c>
      <c r="T1521">
        <f t="shared" si="46"/>
        <v>72</v>
      </c>
      <c r="U1521" t="str">
        <f t="shared" si="47"/>
        <v>Ciudad</v>
      </c>
    </row>
    <row r="1522" spans="1:21" ht="16" x14ac:dyDescent="0.4">
      <c r="A1522" s="6">
        <v>176740</v>
      </c>
      <c r="B1522" s="6" t="s">
        <v>47</v>
      </c>
      <c r="C1522" s="6" t="s">
        <v>14</v>
      </c>
      <c r="D1522" s="6">
        <v>770</v>
      </c>
      <c r="E1522" s="6">
        <v>228</v>
      </c>
      <c r="F1522" s="6">
        <v>318</v>
      </c>
      <c r="G1522" s="6">
        <v>3</v>
      </c>
      <c r="H1522" s="6">
        <v>12603</v>
      </c>
      <c r="I1522" s="6">
        <v>3</v>
      </c>
      <c r="J1522" s="6">
        <v>47</v>
      </c>
      <c r="K1522" s="6">
        <v>282</v>
      </c>
      <c r="L1522" s="6">
        <v>272</v>
      </c>
      <c r="M1522" s="6">
        <v>20</v>
      </c>
      <c r="N1522">
        <f>VLOOKUP(A1522,vlookup_table!$A:$G,2,FALSE)</f>
        <v>1</v>
      </c>
      <c r="O1522" t="str">
        <f>VLOOKUP(A1522,vlookup_table!$A:$G,3,FALSE)</f>
        <v>OR</v>
      </c>
      <c r="P1522">
        <f>VLOOKUP(A1522,vlookup_table!$A:$G,4,FALSE)</f>
        <v>0</v>
      </c>
      <c r="Q1522" t="str">
        <f>VLOOKUP(A1522,vlookup_table!$A:$G,5,FALSE)</f>
        <v>C1</v>
      </c>
      <c r="R1522" t="str">
        <f>VLOOKUP(A1522,vlookup_table!$A:$G,6,FALSE)</f>
        <v>M</v>
      </c>
      <c r="S1522">
        <f>VLOOKUP(A1522,vlookup_table!$A:$G,7,FALSE)</f>
        <v>30</v>
      </c>
      <c r="T1522">
        <f t="shared" si="46"/>
        <v>96</v>
      </c>
      <c r="U1522" t="str">
        <f t="shared" si="47"/>
        <v>Ciudad</v>
      </c>
    </row>
    <row r="1523" spans="1:21" ht="16" x14ac:dyDescent="0.4">
      <c r="A1523" s="6">
        <v>48487</v>
      </c>
      <c r="B1523" s="6" t="s">
        <v>40</v>
      </c>
      <c r="C1523" s="6" t="s">
        <v>17</v>
      </c>
      <c r="D1523" s="6">
        <v>364</v>
      </c>
      <c r="E1523" s="6">
        <v>170</v>
      </c>
      <c r="F1523" s="6">
        <v>277</v>
      </c>
      <c r="G1523" s="6">
        <v>0</v>
      </c>
      <c r="H1523" s="6">
        <v>8962</v>
      </c>
      <c r="I1523" s="6">
        <v>0</v>
      </c>
      <c r="J1523" s="6">
        <v>92</v>
      </c>
      <c r="K1523" s="6">
        <v>231</v>
      </c>
      <c r="L1523" s="6">
        <v>221</v>
      </c>
      <c r="M1523" s="6">
        <v>10</v>
      </c>
      <c r="N1523">
        <f>VLOOKUP(A1523,vlookup_table!$A:$G,2,FALSE)</f>
        <v>0</v>
      </c>
      <c r="O1523" t="str">
        <f>VLOOKUP(A1523,vlookup_table!$A:$G,3,FALSE)</f>
        <v>AL</v>
      </c>
      <c r="P1523">
        <f>VLOOKUP(A1523,vlookup_table!$A:$G,4,FALSE)</f>
        <v>4601</v>
      </c>
      <c r="Q1523" t="str">
        <f>VLOOKUP(A1523,vlookup_table!$A:$G,5,FALSE)</f>
        <v>R3</v>
      </c>
      <c r="R1523" t="str">
        <f>VLOOKUP(A1523,vlookup_table!$A:$G,6,FALSE)</f>
        <v>F</v>
      </c>
      <c r="S1523">
        <f>VLOOKUP(A1523,vlookup_table!$A:$G,7,FALSE)</f>
        <v>25</v>
      </c>
      <c r="T1523">
        <f t="shared" si="46"/>
        <v>50</v>
      </c>
      <c r="U1523" t="str">
        <f t="shared" si="47"/>
        <v>Rural</v>
      </c>
    </row>
    <row r="1524" spans="1:21" ht="16" x14ac:dyDescent="0.4">
      <c r="A1524" s="6">
        <v>2490</v>
      </c>
      <c r="B1524" s="6" t="s">
        <v>43</v>
      </c>
      <c r="C1524" s="6" t="s">
        <v>14</v>
      </c>
      <c r="D1524" s="6">
        <v>620</v>
      </c>
      <c r="E1524" s="6">
        <v>323</v>
      </c>
      <c r="F1524" s="6">
        <v>373</v>
      </c>
      <c r="G1524" s="6">
        <v>0</v>
      </c>
      <c r="H1524" s="6">
        <v>11492</v>
      </c>
      <c r="I1524" s="6">
        <v>2</v>
      </c>
      <c r="J1524" s="6">
        <v>69</v>
      </c>
      <c r="K1524" s="6">
        <v>358</v>
      </c>
      <c r="L1524" s="6">
        <v>348</v>
      </c>
      <c r="M1524" s="6">
        <v>3.3551612899999999</v>
      </c>
      <c r="N1524">
        <f>VLOOKUP(A1524,vlookup_table!$A:$G,2,FALSE)</f>
        <v>0</v>
      </c>
      <c r="O1524" t="str">
        <f>VLOOKUP(A1524,vlookup_table!$A:$G,3,FALSE)</f>
        <v>SC</v>
      </c>
      <c r="P1524">
        <f>VLOOKUP(A1524,vlookup_table!$A:$G,4,FALSE)</f>
        <v>2901</v>
      </c>
      <c r="Q1524" t="str">
        <f>VLOOKUP(A1524,vlookup_table!$A:$G,5,FALSE)</f>
        <v>T2</v>
      </c>
      <c r="R1524" t="str">
        <f>VLOOKUP(A1524,vlookup_table!$A:$G,6,FALSE)</f>
        <v>M</v>
      </c>
      <c r="S1524">
        <f>VLOOKUP(A1524,vlookup_table!$A:$G,7,FALSE)</f>
        <v>3</v>
      </c>
      <c r="T1524">
        <f t="shared" si="46"/>
        <v>67</v>
      </c>
      <c r="U1524" t="str">
        <f t="shared" si="47"/>
        <v>Pueblo</v>
      </c>
    </row>
    <row r="1525" spans="1:21" ht="16" x14ac:dyDescent="0.4">
      <c r="A1525" s="6">
        <v>41312</v>
      </c>
      <c r="B1525" s="6" t="s">
        <v>13</v>
      </c>
      <c r="C1525" s="6" t="s">
        <v>17</v>
      </c>
      <c r="D1525" s="6">
        <v>577</v>
      </c>
      <c r="E1525" s="6">
        <v>157</v>
      </c>
      <c r="F1525" s="6">
        <v>373</v>
      </c>
      <c r="G1525" s="6">
        <v>0</v>
      </c>
      <c r="H1525" s="6">
        <v>10497</v>
      </c>
      <c r="I1525" s="6">
        <v>8</v>
      </c>
      <c r="J1525" s="6">
        <v>45</v>
      </c>
      <c r="K1525" s="6">
        <v>324</v>
      </c>
      <c r="L1525" s="6">
        <v>224</v>
      </c>
      <c r="M1525" s="6">
        <v>11.09090909</v>
      </c>
      <c r="N1525">
        <f>VLOOKUP(A1525,vlookup_table!$A:$G,2,FALSE)</f>
        <v>2</v>
      </c>
      <c r="O1525" t="str">
        <f>VLOOKUP(A1525,vlookup_table!$A:$G,3,FALSE)</f>
        <v>FL</v>
      </c>
      <c r="P1525">
        <f>VLOOKUP(A1525,vlookup_table!$A:$G,4,FALSE)</f>
        <v>2912</v>
      </c>
      <c r="Q1525" t="str">
        <f>VLOOKUP(A1525,vlookup_table!$A:$G,5,FALSE)</f>
        <v>U3</v>
      </c>
      <c r="R1525" t="str">
        <f>VLOOKUP(A1525,vlookup_table!$A:$G,6,FALSE)</f>
        <v>F</v>
      </c>
      <c r="S1525">
        <f>VLOOKUP(A1525,vlookup_table!$A:$G,7,FALSE)</f>
        <v>23</v>
      </c>
      <c r="T1525">
        <f t="shared" si="46"/>
        <v>67</v>
      </c>
      <c r="U1525" t="str">
        <f t="shared" si="47"/>
        <v>Urbano</v>
      </c>
    </row>
    <row r="1526" spans="1:21" ht="16" x14ac:dyDescent="0.4">
      <c r="A1526" s="6">
        <v>17094</v>
      </c>
      <c r="B1526" s="6" t="s">
        <v>18</v>
      </c>
      <c r="C1526" s="6" t="s">
        <v>97</v>
      </c>
      <c r="D1526" s="6">
        <v>897</v>
      </c>
      <c r="E1526" s="6">
        <v>454</v>
      </c>
      <c r="F1526" s="6">
        <v>479</v>
      </c>
      <c r="G1526" s="6">
        <v>0</v>
      </c>
      <c r="H1526" s="6">
        <v>15887</v>
      </c>
      <c r="I1526" s="6">
        <v>1</v>
      </c>
      <c r="J1526" s="6">
        <v>60</v>
      </c>
      <c r="K1526" s="6">
        <v>473</v>
      </c>
      <c r="L1526" s="6">
        <v>444</v>
      </c>
      <c r="M1526" s="6">
        <v>13</v>
      </c>
      <c r="N1526">
        <f>VLOOKUP(A1526,vlookup_table!$A:$G,2,FALSE)</f>
        <v>0</v>
      </c>
      <c r="O1526" t="str">
        <f>VLOOKUP(A1526,vlookup_table!$A:$G,3,FALSE)</f>
        <v>NC</v>
      </c>
      <c r="P1526">
        <f>VLOOKUP(A1526,vlookup_table!$A:$G,4,FALSE)</f>
        <v>4001</v>
      </c>
      <c r="Q1526" t="str">
        <f>VLOOKUP(A1526,vlookup_table!$A:$G,5,FALSE)</f>
        <v>T1</v>
      </c>
      <c r="R1526" t="str">
        <f>VLOOKUP(A1526,vlookup_table!$A:$G,6,FALSE)</f>
        <v>F</v>
      </c>
      <c r="S1526">
        <f>VLOOKUP(A1526,vlookup_table!$A:$G,7,FALSE)</f>
        <v>15</v>
      </c>
      <c r="T1526">
        <f t="shared" si="46"/>
        <v>56</v>
      </c>
      <c r="U1526" t="str">
        <f t="shared" si="47"/>
        <v>Pueblo</v>
      </c>
    </row>
    <row r="1527" spans="1:21" ht="16" x14ac:dyDescent="0.4">
      <c r="A1527" s="6">
        <v>56787</v>
      </c>
      <c r="B1527" s="6" t="s">
        <v>53</v>
      </c>
      <c r="C1527" s="6" t="s">
        <v>14</v>
      </c>
      <c r="D1527" s="6">
        <v>651</v>
      </c>
      <c r="E1527" s="6">
        <v>321</v>
      </c>
      <c r="F1527" s="6">
        <v>359</v>
      </c>
      <c r="G1527" s="6">
        <v>0</v>
      </c>
      <c r="H1527" s="6">
        <v>15114</v>
      </c>
      <c r="I1527" s="6">
        <v>7</v>
      </c>
      <c r="J1527" s="6">
        <v>76</v>
      </c>
      <c r="K1527" s="6">
        <v>345</v>
      </c>
      <c r="L1527" s="6">
        <v>361</v>
      </c>
      <c r="M1527" s="6">
        <v>9.6666666669999994</v>
      </c>
      <c r="N1527">
        <f>VLOOKUP(A1527,vlookup_table!$A:$G,2,FALSE)</f>
        <v>1</v>
      </c>
      <c r="O1527" t="str">
        <f>VLOOKUP(A1527,vlookup_table!$A:$G,3,FALSE)</f>
        <v>KY</v>
      </c>
      <c r="P1527">
        <f>VLOOKUP(A1527,vlookup_table!$A:$G,4,FALSE)</f>
        <v>6508</v>
      </c>
      <c r="Q1527" t="str">
        <f>VLOOKUP(A1527,vlookup_table!$A:$G,5,FALSE)</f>
        <v>S2</v>
      </c>
      <c r="R1527" t="str">
        <f>VLOOKUP(A1527,vlookup_table!$A:$G,6,FALSE)</f>
        <v>M</v>
      </c>
      <c r="S1527">
        <f>VLOOKUP(A1527,vlookup_table!$A:$G,7,FALSE)</f>
        <v>13</v>
      </c>
      <c r="T1527">
        <f t="shared" si="46"/>
        <v>31</v>
      </c>
      <c r="U1527" t="str">
        <f t="shared" si="47"/>
        <v>Suburbano</v>
      </c>
    </row>
    <row r="1528" spans="1:21" ht="16" x14ac:dyDescent="0.4">
      <c r="A1528" s="6">
        <v>164167</v>
      </c>
      <c r="B1528" s="6" t="s">
        <v>21</v>
      </c>
      <c r="C1528" s="6" t="s">
        <v>17</v>
      </c>
      <c r="D1528" s="6">
        <v>2292</v>
      </c>
      <c r="E1528" s="6">
        <v>642</v>
      </c>
      <c r="F1528" s="6">
        <v>710</v>
      </c>
      <c r="G1528" s="6">
        <v>70</v>
      </c>
      <c r="H1528" s="6">
        <v>22186</v>
      </c>
      <c r="I1528" s="6">
        <v>13</v>
      </c>
      <c r="J1528" s="6">
        <v>52</v>
      </c>
      <c r="K1528" s="6">
        <v>670</v>
      </c>
      <c r="L1528" s="6">
        <v>680</v>
      </c>
      <c r="M1528" s="6">
        <v>6.4</v>
      </c>
      <c r="N1528">
        <f>VLOOKUP(A1528,vlookup_table!$A:$G,2,FALSE)</f>
        <v>0</v>
      </c>
      <c r="O1528" t="str">
        <f>VLOOKUP(A1528,vlookup_table!$A:$G,3,FALSE)</f>
        <v>CA</v>
      </c>
      <c r="P1528">
        <f>VLOOKUP(A1528,vlookup_table!$A:$G,4,FALSE)</f>
        <v>5301</v>
      </c>
      <c r="Q1528" t="str">
        <f>VLOOKUP(A1528,vlookup_table!$A:$G,5,FALSE)</f>
        <v>S1</v>
      </c>
      <c r="R1528" t="str">
        <f>VLOOKUP(A1528,vlookup_table!$A:$G,6,FALSE)</f>
        <v>F</v>
      </c>
      <c r="S1528">
        <f>VLOOKUP(A1528,vlookup_table!$A:$G,7,FALSE)</f>
        <v>13</v>
      </c>
      <c r="T1528">
        <f t="shared" si="46"/>
        <v>43</v>
      </c>
      <c r="U1528" t="str">
        <f t="shared" si="47"/>
        <v>Suburbano</v>
      </c>
    </row>
    <row r="1529" spans="1:21" ht="16" x14ac:dyDescent="0.4">
      <c r="A1529" s="6">
        <v>41785</v>
      </c>
      <c r="B1529" s="6" t="s">
        <v>13</v>
      </c>
      <c r="C1529" s="6" t="s">
        <v>17</v>
      </c>
      <c r="D1529" s="6">
        <v>972</v>
      </c>
      <c r="E1529" s="6">
        <v>316</v>
      </c>
      <c r="F1529" s="6">
        <v>462</v>
      </c>
      <c r="G1529" s="6">
        <v>12</v>
      </c>
      <c r="H1529" s="6">
        <v>20831</v>
      </c>
      <c r="I1529" s="6">
        <v>19</v>
      </c>
      <c r="J1529" s="6">
        <v>10</v>
      </c>
      <c r="K1529" s="6">
        <v>367</v>
      </c>
      <c r="L1529" s="6">
        <v>388</v>
      </c>
      <c r="M1529" s="6">
        <v>11.2</v>
      </c>
      <c r="N1529">
        <f>VLOOKUP(A1529,vlookup_table!$A:$G,2,FALSE)</f>
        <v>0</v>
      </c>
      <c r="O1529" t="str">
        <f>VLOOKUP(A1529,vlookup_table!$A:$G,3,FALSE)</f>
        <v>FL</v>
      </c>
      <c r="P1529">
        <f>VLOOKUP(A1529,vlookup_table!$A:$G,4,FALSE)</f>
        <v>2811</v>
      </c>
      <c r="Q1529" t="str">
        <f>VLOOKUP(A1529,vlookup_table!$A:$G,5,FALSE)</f>
        <v>C1</v>
      </c>
      <c r="R1529" t="str">
        <f>VLOOKUP(A1529,vlookup_table!$A:$G,6,FALSE)</f>
        <v>F</v>
      </c>
      <c r="S1529">
        <f>VLOOKUP(A1529,vlookup_table!$A:$G,7,FALSE)</f>
        <v>17</v>
      </c>
      <c r="T1529">
        <f t="shared" si="46"/>
        <v>68</v>
      </c>
      <c r="U1529" t="str">
        <f t="shared" si="47"/>
        <v>Ciudad</v>
      </c>
    </row>
    <row r="1530" spans="1:21" ht="16" x14ac:dyDescent="0.4">
      <c r="A1530" s="6">
        <v>126959</v>
      </c>
      <c r="B1530" s="6" t="s">
        <v>20</v>
      </c>
      <c r="C1530" s="6" t="s">
        <v>14</v>
      </c>
      <c r="D1530" s="6">
        <v>1035</v>
      </c>
      <c r="E1530" s="6">
        <v>273</v>
      </c>
      <c r="F1530" s="6">
        <v>471</v>
      </c>
      <c r="G1530" s="6">
        <v>10</v>
      </c>
      <c r="H1530" s="6">
        <v>14432</v>
      </c>
      <c r="I1530" s="6">
        <v>3</v>
      </c>
      <c r="J1530" s="6">
        <v>73</v>
      </c>
      <c r="K1530" s="6">
        <v>386</v>
      </c>
      <c r="L1530" s="6">
        <v>356</v>
      </c>
      <c r="M1530" s="6">
        <v>11.42857143</v>
      </c>
      <c r="N1530">
        <f>VLOOKUP(A1530,vlookup_table!$A:$G,2,FALSE)</f>
        <v>1</v>
      </c>
      <c r="O1530" t="str">
        <f>VLOOKUP(A1530,vlookup_table!$A:$G,3,FALSE)</f>
        <v>TX</v>
      </c>
      <c r="P1530">
        <f>VLOOKUP(A1530,vlookup_table!$A:$G,4,FALSE)</f>
        <v>5601</v>
      </c>
      <c r="Q1530" t="str">
        <f>VLOOKUP(A1530,vlookup_table!$A:$G,5,FALSE)</f>
        <v>R1</v>
      </c>
      <c r="R1530" t="str">
        <f>VLOOKUP(A1530,vlookup_table!$A:$G,6,FALSE)</f>
        <v>M</v>
      </c>
      <c r="S1530">
        <f>VLOOKUP(A1530,vlookup_table!$A:$G,7,FALSE)</f>
        <v>15</v>
      </c>
      <c r="T1530">
        <f t="shared" si="46"/>
        <v>40</v>
      </c>
      <c r="U1530" t="str">
        <f t="shared" si="47"/>
        <v>Rural</v>
      </c>
    </row>
    <row r="1531" spans="1:21" ht="16" x14ac:dyDescent="0.4">
      <c r="A1531" s="6">
        <v>29526</v>
      </c>
      <c r="B1531" s="6" t="s">
        <v>36</v>
      </c>
      <c r="C1531" s="6" t="s">
        <v>17</v>
      </c>
      <c r="D1531" s="6">
        <v>431</v>
      </c>
      <c r="E1531" s="6">
        <v>258</v>
      </c>
      <c r="F1531" s="6">
        <v>319</v>
      </c>
      <c r="G1531" s="6">
        <v>0</v>
      </c>
      <c r="H1531" s="6">
        <v>9791</v>
      </c>
      <c r="I1531" s="6">
        <v>0</v>
      </c>
      <c r="J1531" s="6">
        <v>81</v>
      </c>
      <c r="K1531" s="6">
        <v>283</v>
      </c>
      <c r="L1531" s="6">
        <v>289</v>
      </c>
      <c r="M1531" s="6">
        <v>7.25</v>
      </c>
      <c r="N1531">
        <f>VLOOKUP(A1531,vlookup_table!$A:$G,2,FALSE)</f>
        <v>28</v>
      </c>
      <c r="O1531" t="str">
        <f>VLOOKUP(A1531,vlookup_table!$A:$G,3,FALSE)</f>
        <v>GA</v>
      </c>
      <c r="P1531">
        <f>VLOOKUP(A1531,vlookup_table!$A:$G,4,FALSE)</f>
        <v>4001</v>
      </c>
      <c r="Q1531" t="str">
        <f>VLOOKUP(A1531,vlookup_table!$A:$G,5,FALSE)</f>
        <v>R3</v>
      </c>
      <c r="R1531" t="str">
        <f>VLOOKUP(A1531,vlookup_table!$A:$G,6,FALSE)</f>
        <v>F</v>
      </c>
      <c r="S1531">
        <f>VLOOKUP(A1531,vlookup_table!$A:$G,7,FALSE)</f>
        <v>10</v>
      </c>
      <c r="T1531">
        <f t="shared" si="46"/>
        <v>56</v>
      </c>
      <c r="U1531" t="str">
        <f t="shared" si="47"/>
        <v>Rural</v>
      </c>
    </row>
    <row r="1532" spans="1:21" ht="16" x14ac:dyDescent="0.4">
      <c r="A1532" s="6">
        <v>142901</v>
      </c>
      <c r="B1532" s="6" t="s">
        <v>21</v>
      </c>
      <c r="C1532" s="6" t="s">
        <v>17</v>
      </c>
      <c r="D1532" s="6">
        <v>4947</v>
      </c>
      <c r="E1532" s="6">
        <v>586</v>
      </c>
      <c r="F1532" s="6">
        <v>748</v>
      </c>
      <c r="G1532" s="6">
        <v>99</v>
      </c>
      <c r="H1532" s="6">
        <v>33685</v>
      </c>
      <c r="I1532" s="6">
        <v>19</v>
      </c>
      <c r="J1532" s="6">
        <v>38</v>
      </c>
      <c r="K1532" s="6">
        <v>608</v>
      </c>
      <c r="L1532" s="6">
        <v>682</v>
      </c>
      <c r="M1532" s="6">
        <v>10</v>
      </c>
      <c r="N1532">
        <f>VLOOKUP(A1532,vlookup_table!$A:$G,2,FALSE)</f>
        <v>2</v>
      </c>
      <c r="O1532" t="str">
        <f>VLOOKUP(A1532,vlookup_table!$A:$G,3,FALSE)</f>
        <v>CA</v>
      </c>
      <c r="P1532">
        <f>VLOOKUP(A1532,vlookup_table!$A:$G,4,FALSE)</f>
        <v>2101</v>
      </c>
      <c r="Q1532" t="str">
        <f>VLOOKUP(A1532,vlookup_table!$A:$G,5,FALSE)</f>
        <v>U1</v>
      </c>
      <c r="R1532" t="str">
        <f>VLOOKUP(A1532,vlookup_table!$A:$G,6,FALSE)</f>
        <v>F</v>
      </c>
      <c r="S1532">
        <f>VLOOKUP(A1532,vlookup_table!$A:$G,7,FALSE)</f>
        <v>10</v>
      </c>
      <c r="T1532">
        <f t="shared" si="46"/>
        <v>75</v>
      </c>
      <c r="U1532" t="str">
        <f t="shared" si="47"/>
        <v>Urbano</v>
      </c>
    </row>
    <row r="1533" spans="1:21" ht="16" x14ac:dyDescent="0.4">
      <c r="A1533" s="6">
        <v>105827</v>
      </c>
      <c r="B1533" s="6" t="s">
        <v>25</v>
      </c>
      <c r="C1533" s="6" t="s">
        <v>17</v>
      </c>
      <c r="D1533" s="6">
        <v>351</v>
      </c>
      <c r="E1533" s="6">
        <v>213</v>
      </c>
      <c r="F1533" s="6">
        <v>356</v>
      </c>
      <c r="G1533" s="6">
        <v>0</v>
      </c>
      <c r="H1533" s="6">
        <v>9679</v>
      </c>
      <c r="I1533" s="6">
        <v>2</v>
      </c>
      <c r="J1533" s="6">
        <v>62</v>
      </c>
      <c r="K1533" s="6">
        <v>245</v>
      </c>
      <c r="L1533" s="6">
        <v>225</v>
      </c>
      <c r="M1533" s="6">
        <v>12.89473684</v>
      </c>
      <c r="N1533">
        <f>VLOOKUP(A1533,vlookup_table!$A:$G,2,FALSE)</f>
        <v>0</v>
      </c>
      <c r="O1533" t="str">
        <f>VLOOKUP(A1533,vlookup_table!$A:$G,3,FALSE)</f>
        <v>KS</v>
      </c>
      <c r="P1533">
        <f>VLOOKUP(A1533,vlookup_table!$A:$G,4,FALSE)</f>
        <v>5001</v>
      </c>
      <c r="Q1533" t="str">
        <f>VLOOKUP(A1533,vlookup_table!$A:$G,5,FALSE)</f>
        <v>C3</v>
      </c>
      <c r="R1533" t="str">
        <f>VLOOKUP(A1533,vlookup_table!$A:$G,6,FALSE)</f>
        <v>F</v>
      </c>
      <c r="S1533">
        <f>VLOOKUP(A1533,vlookup_table!$A:$G,7,FALSE)</f>
        <v>20</v>
      </c>
      <c r="T1533">
        <f t="shared" si="46"/>
        <v>46</v>
      </c>
      <c r="U1533" t="str">
        <f t="shared" si="47"/>
        <v>Ciudad</v>
      </c>
    </row>
    <row r="1534" spans="1:21" ht="16" x14ac:dyDescent="0.4">
      <c r="A1534" s="6">
        <v>159439</v>
      </c>
      <c r="B1534" s="6" t="s">
        <v>21</v>
      </c>
      <c r="C1534" s="6" t="s">
        <v>14</v>
      </c>
      <c r="D1534" s="6">
        <v>439</v>
      </c>
      <c r="E1534" s="6">
        <v>203</v>
      </c>
      <c r="F1534" s="6">
        <v>228</v>
      </c>
      <c r="G1534" s="6">
        <v>0</v>
      </c>
      <c r="H1534" s="6">
        <v>5774</v>
      </c>
      <c r="I1534" s="6">
        <v>26</v>
      </c>
      <c r="J1534" s="6">
        <v>57</v>
      </c>
      <c r="K1534" s="6">
        <v>203</v>
      </c>
      <c r="L1534" s="6">
        <v>230</v>
      </c>
      <c r="M1534" s="6">
        <v>5.6363636359999996</v>
      </c>
      <c r="N1534">
        <f>VLOOKUP(A1534,vlookup_table!$A:$G,2,FALSE)</f>
        <v>1</v>
      </c>
      <c r="O1534" t="str">
        <f>VLOOKUP(A1534,vlookup_table!$A:$G,3,FALSE)</f>
        <v>CA</v>
      </c>
      <c r="P1534">
        <f>VLOOKUP(A1534,vlookup_table!$A:$G,4,FALSE)</f>
        <v>0</v>
      </c>
      <c r="Q1534" t="str">
        <f>VLOOKUP(A1534,vlookup_table!$A:$G,5,FALSE)</f>
        <v>R3</v>
      </c>
      <c r="R1534" t="str">
        <f>VLOOKUP(A1534,vlookup_table!$A:$G,6,FALSE)</f>
        <v>M</v>
      </c>
      <c r="S1534">
        <f>VLOOKUP(A1534,vlookup_table!$A:$G,7,FALSE)</f>
        <v>5</v>
      </c>
      <c r="T1534">
        <f t="shared" si="46"/>
        <v>96</v>
      </c>
      <c r="U1534" t="str">
        <f t="shared" si="47"/>
        <v>Rural</v>
      </c>
    </row>
    <row r="1535" spans="1:21" ht="16" x14ac:dyDescent="0.4">
      <c r="A1535" s="6">
        <v>11459</v>
      </c>
      <c r="B1535" s="6" t="s">
        <v>21</v>
      </c>
      <c r="C1535" s="6" t="s">
        <v>14</v>
      </c>
      <c r="D1535" s="6">
        <v>1967</v>
      </c>
      <c r="E1535" s="6">
        <v>371</v>
      </c>
      <c r="F1535" s="6">
        <v>482</v>
      </c>
      <c r="G1535" s="6">
        <v>49</v>
      </c>
      <c r="H1535" s="6">
        <v>15962</v>
      </c>
      <c r="I1535" s="6">
        <v>6</v>
      </c>
      <c r="J1535" s="6">
        <v>53</v>
      </c>
      <c r="K1535" s="6">
        <v>418</v>
      </c>
      <c r="L1535" s="6">
        <v>438</v>
      </c>
      <c r="M1535" s="6">
        <v>5.2618518520000004</v>
      </c>
      <c r="N1535">
        <f>VLOOKUP(A1535,vlookup_table!$A:$G,2,FALSE)</f>
        <v>1</v>
      </c>
      <c r="O1535" t="str">
        <f>VLOOKUP(A1535,vlookup_table!$A:$G,3,FALSE)</f>
        <v>CA</v>
      </c>
      <c r="P1535">
        <f>VLOOKUP(A1535,vlookup_table!$A:$G,4,FALSE)</f>
        <v>0</v>
      </c>
      <c r="Q1535" t="str">
        <f>VLOOKUP(A1535,vlookup_table!$A:$G,5,FALSE)</f>
        <v>T2</v>
      </c>
      <c r="R1535" t="str">
        <f>VLOOKUP(A1535,vlookup_table!$A:$G,6,FALSE)</f>
        <v>M</v>
      </c>
      <c r="S1535">
        <f>VLOOKUP(A1535,vlookup_table!$A:$G,7,FALSE)</f>
        <v>7</v>
      </c>
      <c r="T1535">
        <f t="shared" si="46"/>
        <v>96</v>
      </c>
      <c r="U1535" t="str">
        <f t="shared" si="47"/>
        <v>Pueblo</v>
      </c>
    </row>
    <row r="1536" spans="1:21" ht="16" x14ac:dyDescent="0.4">
      <c r="A1536" s="6">
        <v>129268</v>
      </c>
      <c r="B1536" s="6" t="s">
        <v>45</v>
      </c>
      <c r="C1536" s="6" t="s">
        <v>17</v>
      </c>
      <c r="D1536" s="6">
        <v>952</v>
      </c>
      <c r="E1536" s="6">
        <v>394</v>
      </c>
      <c r="F1536" s="6">
        <v>457</v>
      </c>
      <c r="G1536" s="6">
        <v>1</v>
      </c>
      <c r="H1536" s="6">
        <v>15275</v>
      </c>
      <c r="I1536" s="6">
        <v>1</v>
      </c>
      <c r="J1536" s="6">
        <v>47</v>
      </c>
      <c r="K1536" s="6">
        <v>407</v>
      </c>
      <c r="L1536" s="6">
        <v>436</v>
      </c>
      <c r="M1536" s="6">
        <v>6.1428571429999996</v>
      </c>
      <c r="N1536">
        <f>VLOOKUP(A1536,vlookup_table!$A:$G,2,FALSE)</f>
        <v>2</v>
      </c>
      <c r="O1536" t="str">
        <f>VLOOKUP(A1536,vlookup_table!$A:$G,3,FALSE)</f>
        <v>CO</v>
      </c>
      <c r="P1536">
        <f>VLOOKUP(A1536,vlookup_table!$A:$G,4,FALSE)</f>
        <v>3109</v>
      </c>
      <c r="Q1536" t="str">
        <f>VLOOKUP(A1536,vlookup_table!$A:$G,5,FALSE)</f>
        <v>S1</v>
      </c>
      <c r="R1536" t="str">
        <f>VLOOKUP(A1536,vlookup_table!$A:$G,6,FALSE)</f>
        <v>F</v>
      </c>
      <c r="S1536">
        <f>VLOOKUP(A1536,vlookup_table!$A:$G,7,FALSE)</f>
        <v>10</v>
      </c>
      <c r="T1536">
        <f t="shared" si="46"/>
        <v>65</v>
      </c>
      <c r="U1536" t="str">
        <f t="shared" si="47"/>
        <v>Suburbano</v>
      </c>
    </row>
    <row r="1537" spans="1:21" ht="16" x14ac:dyDescent="0.4">
      <c r="A1537" s="6">
        <v>122256</v>
      </c>
      <c r="B1537" s="6" t="s">
        <v>20</v>
      </c>
      <c r="C1537" s="6" t="s">
        <v>17</v>
      </c>
      <c r="D1537" s="6">
        <v>637</v>
      </c>
      <c r="E1537" s="6">
        <v>404</v>
      </c>
      <c r="F1537" s="6">
        <v>457</v>
      </c>
      <c r="G1537" s="6">
        <v>0</v>
      </c>
      <c r="H1537" s="6">
        <v>13216</v>
      </c>
      <c r="I1537" s="6">
        <v>35</v>
      </c>
      <c r="J1537" s="6">
        <v>37</v>
      </c>
      <c r="K1537" s="6">
        <v>407</v>
      </c>
      <c r="L1537" s="6">
        <v>446</v>
      </c>
      <c r="M1537" s="6">
        <v>4.7142857139999998</v>
      </c>
      <c r="N1537">
        <f>VLOOKUP(A1537,vlookup_table!$A:$G,2,FALSE)</f>
        <v>0</v>
      </c>
      <c r="O1537" t="str">
        <f>VLOOKUP(A1537,vlookup_table!$A:$G,3,FALSE)</f>
        <v>TX</v>
      </c>
      <c r="P1537">
        <f>VLOOKUP(A1537,vlookup_table!$A:$G,4,FALSE)</f>
        <v>5401</v>
      </c>
      <c r="Q1537" t="str">
        <f>VLOOKUP(A1537,vlookup_table!$A:$G,5,FALSE)</f>
        <v>U1</v>
      </c>
      <c r="R1537" t="str">
        <f>VLOOKUP(A1537,vlookup_table!$A:$G,6,FALSE)</f>
        <v>F</v>
      </c>
      <c r="S1537">
        <f>VLOOKUP(A1537,vlookup_table!$A:$G,7,FALSE)</f>
        <v>20</v>
      </c>
      <c r="T1537">
        <f t="shared" si="46"/>
        <v>42</v>
      </c>
      <c r="U1537" t="str">
        <f t="shared" si="47"/>
        <v>Urbano</v>
      </c>
    </row>
    <row r="1538" spans="1:21" ht="16" x14ac:dyDescent="0.4">
      <c r="A1538" s="6">
        <v>92355</v>
      </c>
      <c r="B1538" s="6" t="s">
        <v>16</v>
      </c>
      <c r="C1538" s="6" t="s">
        <v>14</v>
      </c>
      <c r="D1538" s="6">
        <v>1413</v>
      </c>
      <c r="E1538" s="6">
        <v>414</v>
      </c>
      <c r="F1538" s="6">
        <v>539</v>
      </c>
      <c r="G1538" s="6">
        <v>6</v>
      </c>
      <c r="H1538" s="6">
        <v>30680</v>
      </c>
      <c r="I1538" s="6">
        <v>8</v>
      </c>
      <c r="J1538" s="6">
        <v>68</v>
      </c>
      <c r="K1538" s="6">
        <v>482</v>
      </c>
      <c r="L1538" s="6">
        <v>489</v>
      </c>
      <c r="M1538" s="6">
        <v>8</v>
      </c>
      <c r="N1538">
        <f>VLOOKUP(A1538,vlookup_table!$A:$G,2,FALSE)</f>
        <v>1</v>
      </c>
      <c r="O1538" t="str">
        <f>VLOOKUP(A1538,vlookup_table!$A:$G,3,FALSE)</f>
        <v>IL</v>
      </c>
      <c r="P1538">
        <f>VLOOKUP(A1538,vlookup_table!$A:$G,4,FALSE)</f>
        <v>2601</v>
      </c>
      <c r="Q1538" t="str">
        <f>VLOOKUP(A1538,vlookup_table!$A:$G,5,FALSE)</f>
        <v>C1</v>
      </c>
      <c r="R1538" t="str">
        <f>VLOOKUP(A1538,vlookup_table!$A:$G,6,FALSE)</f>
        <v>M</v>
      </c>
      <c r="S1538">
        <f>VLOOKUP(A1538,vlookup_table!$A:$G,7,FALSE)</f>
        <v>25</v>
      </c>
      <c r="T1538">
        <f t="shared" si="46"/>
        <v>70</v>
      </c>
      <c r="U1538" t="str">
        <f t="shared" si="47"/>
        <v>Ciudad</v>
      </c>
    </row>
    <row r="1539" spans="1:21" ht="16" x14ac:dyDescent="0.4">
      <c r="A1539" s="6">
        <v>59811</v>
      </c>
      <c r="B1539" s="6" t="s">
        <v>30</v>
      </c>
      <c r="C1539" s="6" t="s">
        <v>17</v>
      </c>
      <c r="D1539" s="6">
        <v>360</v>
      </c>
      <c r="E1539" s="6">
        <v>206</v>
      </c>
      <c r="F1539" s="6">
        <v>307</v>
      </c>
      <c r="G1539" s="6">
        <v>0</v>
      </c>
      <c r="H1539" s="6">
        <v>9936</v>
      </c>
      <c r="I1539" s="6">
        <v>1</v>
      </c>
      <c r="J1539" s="6">
        <v>76</v>
      </c>
      <c r="K1539" s="6">
        <v>266</v>
      </c>
      <c r="L1539" s="6">
        <v>252</v>
      </c>
      <c r="M1539" s="6">
        <v>15.28571429</v>
      </c>
      <c r="N1539">
        <f>VLOOKUP(A1539,vlookup_table!$A:$G,2,FALSE)</f>
        <v>0</v>
      </c>
      <c r="O1539" t="str">
        <f>VLOOKUP(A1539,vlookup_table!$A:$G,3,FALSE)</f>
        <v>IN</v>
      </c>
      <c r="P1539">
        <f>VLOOKUP(A1539,vlookup_table!$A:$G,4,FALSE)</f>
        <v>0</v>
      </c>
      <c r="Q1539" t="str">
        <f>VLOOKUP(A1539,vlookup_table!$A:$G,5,FALSE)</f>
        <v>T3</v>
      </c>
      <c r="R1539" t="str">
        <f>VLOOKUP(A1539,vlookup_table!$A:$G,6,FALSE)</f>
        <v>F</v>
      </c>
      <c r="S1539">
        <f>VLOOKUP(A1539,vlookup_table!$A:$G,7,FALSE)</f>
        <v>5</v>
      </c>
      <c r="T1539">
        <f t="shared" ref="T1539:T1602" si="48">97-LEFT(P1539,2)-IF(RIGHT(P1539,2)&gt;6,1,0)</f>
        <v>96</v>
      </c>
      <c r="U1539" t="str">
        <f t="shared" ref="U1539:U1602" si="49">IF(LEFT(Q1539,1)="C","Ciudad",IF(LEFT(Q1539,1)="T","Pueblo",IF(LEFT(Q1539,1)="R","Rural",IF(LEFT(Q1539,1)="S","Suburbano",IF(LEFT(Q1539,1)="U","Urbano","")))))</f>
        <v>Pueblo</v>
      </c>
    </row>
    <row r="1540" spans="1:21" ht="16" x14ac:dyDescent="0.4">
      <c r="A1540" s="6">
        <v>173497</v>
      </c>
      <c r="B1540" s="6" t="s">
        <v>34</v>
      </c>
      <c r="C1540" s="6" t="s">
        <v>17</v>
      </c>
      <c r="D1540" s="6">
        <v>3676</v>
      </c>
      <c r="E1540" s="6">
        <v>683</v>
      </c>
      <c r="F1540" s="6">
        <v>722</v>
      </c>
      <c r="G1540" s="6">
        <v>91</v>
      </c>
      <c r="H1540" s="6">
        <v>23977</v>
      </c>
      <c r="I1540" s="6">
        <v>6</v>
      </c>
      <c r="J1540" s="6">
        <v>68</v>
      </c>
      <c r="K1540" s="6">
        <v>692</v>
      </c>
      <c r="L1540" s="6">
        <v>724</v>
      </c>
      <c r="M1540" s="6">
        <v>20</v>
      </c>
      <c r="N1540">
        <f>VLOOKUP(A1540,vlookup_table!$A:$G,2,FALSE)</f>
        <v>2</v>
      </c>
      <c r="O1540" t="str">
        <f>VLOOKUP(A1540,vlookup_table!$A:$G,3,FALSE)</f>
        <v>HI</v>
      </c>
      <c r="P1540">
        <f>VLOOKUP(A1540,vlookup_table!$A:$G,4,FALSE)</f>
        <v>2801</v>
      </c>
      <c r="Q1540" t="str">
        <f>VLOOKUP(A1540,vlookup_table!$A:$G,5,FALSE)</f>
        <v>S1</v>
      </c>
      <c r="R1540" t="str">
        <f>VLOOKUP(A1540,vlookup_table!$A:$G,6,FALSE)</f>
        <v>F</v>
      </c>
      <c r="S1540">
        <f>VLOOKUP(A1540,vlookup_table!$A:$G,7,FALSE)</f>
        <v>5</v>
      </c>
      <c r="T1540">
        <f t="shared" si="48"/>
        <v>68</v>
      </c>
      <c r="U1540" t="str">
        <f t="shared" si="49"/>
        <v>Suburbano</v>
      </c>
    </row>
    <row r="1541" spans="1:21" ht="16" x14ac:dyDescent="0.4">
      <c r="A1541" s="6">
        <v>177017</v>
      </c>
      <c r="B1541" s="6" t="s">
        <v>47</v>
      </c>
      <c r="C1541" s="6" t="s">
        <v>14</v>
      </c>
      <c r="D1541" s="6">
        <v>719</v>
      </c>
      <c r="E1541" s="6">
        <v>224</v>
      </c>
      <c r="F1541" s="6">
        <v>321</v>
      </c>
      <c r="G1541" s="6">
        <v>6</v>
      </c>
      <c r="H1541" s="6">
        <v>12226</v>
      </c>
      <c r="I1541" s="6">
        <v>3</v>
      </c>
      <c r="J1541" s="6">
        <v>42</v>
      </c>
      <c r="K1541" s="6">
        <v>269</v>
      </c>
      <c r="L1541" s="6">
        <v>280</v>
      </c>
      <c r="M1541" s="6">
        <v>7.6</v>
      </c>
      <c r="N1541">
        <f>VLOOKUP(A1541,vlookup_table!$A:$G,2,FALSE)</f>
        <v>1</v>
      </c>
      <c r="O1541" t="str">
        <f>VLOOKUP(A1541,vlookup_table!$A:$G,3,FALSE)</f>
        <v>OR</v>
      </c>
      <c r="P1541">
        <f>VLOOKUP(A1541,vlookup_table!$A:$G,4,FALSE)</f>
        <v>0</v>
      </c>
      <c r="Q1541" t="str">
        <f>VLOOKUP(A1541,vlookup_table!$A:$G,5,FALSE)</f>
        <v>R2</v>
      </c>
      <c r="R1541" t="str">
        <f>VLOOKUP(A1541,vlookup_table!$A:$G,6,FALSE)</f>
        <v>M</v>
      </c>
      <c r="S1541">
        <f>VLOOKUP(A1541,vlookup_table!$A:$G,7,FALSE)</f>
        <v>15</v>
      </c>
      <c r="T1541">
        <f t="shared" si="48"/>
        <v>96</v>
      </c>
      <c r="U1541" t="str">
        <f t="shared" si="49"/>
        <v>Rural</v>
      </c>
    </row>
    <row r="1542" spans="1:21" ht="16" x14ac:dyDescent="0.4">
      <c r="A1542" s="6">
        <v>15350</v>
      </c>
      <c r="B1542" s="6" t="s">
        <v>18</v>
      </c>
      <c r="C1542" s="6" t="s">
        <v>97</v>
      </c>
      <c r="D1542" s="6">
        <v>1071</v>
      </c>
      <c r="E1542" s="6">
        <v>357</v>
      </c>
      <c r="F1542" s="6">
        <v>575</v>
      </c>
      <c r="G1542" s="6">
        <v>18</v>
      </c>
      <c r="H1542" s="6">
        <v>23527</v>
      </c>
      <c r="I1542" s="6">
        <v>5</v>
      </c>
      <c r="J1542" s="6">
        <v>55</v>
      </c>
      <c r="K1542" s="6">
        <v>494</v>
      </c>
      <c r="L1542" s="6">
        <v>490</v>
      </c>
      <c r="M1542" s="6">
        <v>17.5</v>
      </c>
      <c r="N1542">
        <f>VLOOKUP(A1542,vlookup_table!$A:$G,2,FALSE)</f>
        <v>28</v>
      </c>
      <c r="O1542" t="str">
        <f>VLOOKUP(A1542,vlookup_table!$A:$G,3,FALSE)</f>
        <v>NC</v>
      </c>
      <c r="P1542">
        <f>VLOOKUP(A1542,vlookup_table!$A:$G,4,FALSE)</f>
        <v>2701</v>
      </c>
      <c r="Q1542" t="str">
        <f>VLOOKUP(A1542,vlookup_table!$A:$G,5,FALSE)</f>
        <v>C1</v>
      </c>
      <c r="R1542" t="str">
        <f>VLOOKUP(A1542,vlookup_table!$A:$G,6,FALSE)</f>
        <v>F</v>
      </c>
      <c r="S1542">
        <f>VLOOKUP(A1542,vlookup_table!$A:$G,7,FALSE)</f>
        <v>15</v>
      </c>
      <c r="T1542">
        <f t="shared" si="48"/>
        <v>69</v>
      </c>
      <c r="U1542" t="str">
        <f t="shared" si="49"/>
        <v>Ciudad</v>
      </c>
    </row>
    <row r="1543" spans="1:21" ht="16" x14ac:dyDescent="0.4">
      <c r="A1543" s="6">
        <v>4629</v>
      </c>
      <c r="B1543" s="6" t="s">
        <v>45</v>
      </c>
      <c r="C1543" s="6" t="s">
        <v>14</v>
      </c>
      <c r="D1543" s="6">
        <v>1460</v>
      </c>
      <c r="E1543" s="6">
        <v>551</v>
      </c>
      <c r="F1543" s="6">
        <v>668</v>
      </c>
      <c r="G1543" s="6">
        <v>12</v>
      </c>
      <c r="H1543" s="6">
        <v>21916</v>
      </c>
      <c r="I1543" s="6">
        <v>3</v>
      </c>
      <c r="J1543" s="6">
        <v>36</v>
      </c>
      <c r="K1543" s="6">
        <v>565</v>
      </c>
      <c r="L1543" s="6">
        <v>641</v>
      </c>
      <c r="M1543" s="6">
        <v>7.1029411769999999</v>
      </c>
      <c r="N1543">
        <f>VLOOKUP(A1543,vlookup_table!$A:$G,2,FALSE)</f>
        <v>1</v>
      </c>
      <c r="O1543" t="str">
        <f>VLOOKUP(A1543,vlookup_table!$A:$G,3,FALSE)</f>
        <v>CO</v>
      </c>
      <c r="P1543">
        <f>VLOOKUP(A1543,vlookup_table!$A:$G,4,FALSE)</f>
        <v>2302</v>
      </c>
      <c r="Q1543" t="str">
        <f>VLOOKUP(A1543,vlookup_table!$A:$G,5,FALSE)</f>
        <v>C1</v>
      </c>
      <c r="R1543" t="str">
        <f>VLOOKUP(A1543,vlookup_table!$A:$G,6,FALSE)</f>
        <v>M</v>
      </c>
      <c r="S1543">
        <f>VLOOKUP(A1543,vlookup_table!$A:$G,7,FALSE)</f>
        <v>15</v>
      </c>
      <c r="T1543">
        <f t="shared" si="48"/>
        <v>73</v>
      </c>
      <c r="U1543" t="str">
        <f t="shared" si="49"/>
        <v>Ciudad</v>
      </c>
    </row>
    <row r="1544" spans="1:21" ht="16" x14ac:dyDescent="0.4">
      <c r="A1544" s="6">
        <v>162598</v>
      </c>
      <c r="B1544" s="6" t="s">
        <v>21</v>
      </c>
      <c r="C1544" s="6" t="s">
        <v>17</v>
      </c>
      <c r="D1544" s="6">
        <v>2766</v>
      </c>
      <c r="E1544" s="6">
        <v>362</v>
      </c>
      <c r="F1544" s="6">
        <v>439</v>
      </c>
      <c r="G1544" s="6">
        <v>84</v>
      </c>
      <c r="H1544" s="6">
        <v>17063</v>
      </c>
      <c r="I1544" s="6">
        <v>24</v>
      </c>
      <c r="J1544" s="6">
        <v>53</v>
      </c>
      <c r="K1544" s="6">
        <v>433</v>
      </c>
      <c r="L1544" s="6">
        <v>398</v>
      </c>
      <c r="M1544" s="6">
        <v>13</v>
      </c>
      <c r="N1544">
        <f>VLOOKUP(A1544,vlookup_table!$A:$G,2,FALSE)</f>
        <v>2</v>
      </c>
      <c r="O1544" t="str">
        <f>VLOOKUP(A1544,vlookup_table!$A:$G,3,FALSE)</f>
        <v>CA</v>
      </c>
      <c r="P1544">
        <f>VLOOKUP(A1544,vlookup_table!$A:$G,4,FALSE)</f>
        <v>2001</v>
      </c>
      <c r="Q1544" t="str">
        <f>VLOOKUP(A1544,vlookup_table!$A:$G,5,FALSE)</f>
        <v>S1</v>
      </c>
      <c r="R1544" t="str">
        <f>VLOOKUP(A1544,vlookup_table!$A:$G,6,FALSE)</f>
        <v>F</v>
      </c>
      <c r="S1544">
        <f>VLOOKUP(A1544,vlookup_table!$A:$G,7,FALSE)</f>
        <v>20</v>
      </c>
      <c r="T1544">
        <f t="shared" si="48"/>
        <v>76</v>
      </c>
      <c r="U1544" t="str">
        <f t="shared" si="49"/>
        <v>Suburbano</v>
      </c>
    </row>
    <row r="1545" spans="1:21" ht="16" x14ac:dyDescent="0.4">
      <c r="A1545" s="6">
        <v>178949</v>
      </c>
      <c r="B1545" s="6" t="s">
        <v>37</v>
      </c>
      <c r="C1545" s="6" t="s">
        <v>14</v>
      </c>
      <c r="D1545" s="6">
        <v>3442</v>
      </c>
      <c r="E1545" s="6">
        <v>658</v>
      </c>
      <c r="F1545" s="6">
        <v>793</v>
      </c>
      <c r="G1545" s="6">
        <v>77</v>
      </c>
      <c r="H1545" s="6">
        <v>28222</v>
      </c>
      <c r="I1545" s="6">
        <v>10</v>
      </c>
      <c r="J1545" s="6">
        <v>46</v>
      </c>
      <c r="K1545" s="6">
        <v>671</v>
      </c>
      <c r="L1545" s="6">
        <v>749</v>
      </c>
      <c r="M1545" s="6">
        <v>10</v>
      </c>
      <c r="N1545">
        <f>VLOOKUP(A1545,vlookup_table!$A:$G,2,FALSE)</f>
        <v>1</v>
      </c>
      <c r="O1545" t="str">
        <f>VLOOKUP(A1545,vlookup_table!$A:$G,3,FALSE)</f>
        <v>WA</v>
      </c>
      <c r="P1545">
        <f>VLOOKUP(A1545,vlookup_table!$A:$G,4,FALSE)</f>
        <v>3901</v>
      </c>
      <c r="Q1545" t="str">
        <f>VLOOKUP(A1545,vlookup_table!$A:$G,5,FALSE)</f>
        <v>S1</v>
      </c>
      <c r="R1545" t="str">
        <f>VLOOKUP(A1545,vlookup_table!$A:$G,6,FALSE)</f>
        <v>M</v>
      </c>
      <c r="S1545">
        <f>VLOOKUP(A1545,vlookup_table!$A:$G,7,FALSE)</f>
        <v>15</v>
      </c>
      <c r="T1545">
        <f t="shared" si="48"/>
        <v>57</v>
      </c>
      <c r="U1545" t="str">
        <f t="shared" si="49"/>
        <v>Suburbano</v>
      </c>
    </row>
    <row r="1546" spans="1:21" ht="16" x14ac:dyDescent="0.4">
      <c r="A1546" s="6">
        <v>189880</v>
      </c>
      <c r="B1546" s="6" t="s">
        <v>52</v>
      </c>
      <c r="C1546" s="6" t="s">
        <v>17</v>
      </c>
      <c r="D1546" s="6">
        <v>528</v>
      </c>
      <c r="E1546" s="6">
        <v>204</v>
      </c>
      <c r="F1546" s="6">
        <v>335</v>
      </c>
      <c r="G1546" s="6">
        <v>0</v>
      </c>
      <c r="H1546" s="6">
        <v>11183</v>
      </c>
      <c r="I1546" s="6">
        <v>2</v>
      </c>
      <c r="J1546" s="6">
        <v>69</v>
      </c>
      <c r="K1546" s="6">
        <v>271</v>
      </c>
      <c r="L1546" s="6">
        <v>243</v>
      </c>
      <c r="M1546" s="6">
        <v>8.3333333330000006</v>
      </c>
      <c r="N1546">
        <f>VLOOKUP(A1546,vlookup_table!$A:$G,2,FALSE)</f>
        <v>2</v>
      </c>
      <c r="O1546" t="str">
        <f>VLOOKUP(A1546,vlookup_table!$A:$G,3,FALSE)</f>
        <v>MN</v>
      </c>
      <c r="P1546">
        <f>VLOOKUP(A1546,vlookup_table!$A:$G,4,FALSE)</f>
        <v>1801</v>
      </c>
      <c r="Q1546" t="str">
        <f>VLOOKUP(A1546,vlookup_table!$A:$G,5,FALSE)</f>
        <v>T2</v>
      </c>
      <c r="R1546" t="str">
        <f>VLOOKUP(A1546,vlookup_table!$A:$G,6,FALSE)</f>
        <v>F</v>
      </c>
      <c r="S1546">
        <f>VLOOKUP(A1546,vlookup_table!$A:$G,7,FALSE)</f>
        <v>10</v>
      </c>
      <c r="T1546">
        <f t="shared" si="48"/>
        <v>78</v>
      </c>
      <c r="U1546" t="str">
        <f t="shared" si="49"/>
        <v>Pueblo</v>
      </c>
    </row>
    <row r="1547" spans="1:21" ht="16" x14ac:dyDescent="0.4">
      <c r="A1547" s="6">
        <v>132031</v>
      </c>
      <c r="B1547" s="6" t="s">
        <v>50</v>
      </c>
      <c r="C1547" s="6" t="s">
        <v>14</v>
      </c>
      <c r="D1547" s="6">
        <v>1345</v>
      </c>
      <c r="E1547" s="6">
        <v>609</v>
      </c>
      <c r="F1547" s="6">
        <v>678</v>
      </c>
      <c r="G1547" s="6">
        <v>3</v>
      </c>
      <c r="H1547" s="6">
        <v>29493</v>
      </c>
      <c r="I1547" s="6">
        <v>3</v>
      </c>
      <c r="J1547" s="6">
        <v>18</v>
      </c>
      <c r="K1547" s="6">
        <v>635</v>
      </c>
      <c r="L1547" s="6">
        <v>629</v>
      </c>
      <c r="M1547" s="6">
        <v>11</v>
      </c>
      <c r="N1547">
        <f>VLOOKUP(A1547,vlookup_table!$A:$G,2,FALSE)</f>
        <v>1</v>
      </c>
      <c r="O1547" t="str">
        <f>VLOOKUP(A1547,vlookup_table!$A:$G,3,FALSE)</f>
        <v>NM</v>
      </c>
      <c r="P1547">
        <f>VLOOKUP(A1547,vlookup_table!$A:$G,4,FALSE)</f>
        <v>2301</v>
      </c>
      <c r="Q1547" t="str">
        <f>VLOOKUP(A1547,vlookup_table!$A:$G,5,FALSE)</f>
        <v>R2</v>
      </c>
      <c r="R1547" t="str">
        <f>VLOOKUP(A1547,vlookup_table!$A:$G,6,FALSE)</f>
        <v>M</v>
      </c>
      <c r="S1547">
        <f>VLOOKUP(A1547,vlookup_table!$A:$G,7,FALSE)</f>
        <v>23</v>
      </c>
      <c r="T1547">
        <f t="shared" si="48"/>
        <v>73</v>
      </c>
      <c r="U1547" t="str">
        <f t="shared" si="49"/>
        <v>Rural</v>
      </c>
    </row>
    <row r="1548" spans="1:21" ht="16" x14ac:dyDescent="0.4">
      <c r="A1548" s="6">
        <v>38111</v>
      </c>
      <c r="B1548" s="6" t="s">
        <v>13</v>
      </c>
      <c r="C1548" s="6" t="s">
        <v>14</v>
      </c>
      <c r="D1548" s="6">
        <v>747</v>
      </c>
      <c r="E1548" s="6">
        <v>380</v>
      </c>
      <c r="F1548" s="6">
        <v>376</v>
      </c>
      <c r="G1548" s="6">
        <v>0</v>
      </c>
      <c r="H1548" s="6">
        <v>17585</v>
      </c>
      <c r="I1548" s="6">
        <v>29</v>
      </c>
      <c r="J1548" s="6">
        <v>25</v>
      </c>
      <c r="K1548" s="6">
        <v>385</v>
      </c>
      <c r="L1548" s="6">
        <v>398</v>
      </c>
      <c r="M1548" s="6">
        <v>4.7222222220000001</v>
      </c>
      <c r="N1548">
        <f>VLOOKUP(A1548,vlookup_table!$A:$G,2,FALSE)</f>
        <v>1</v>
      </c>
      <c r="O1548" t="str">
        <f>VLOOKUP(A1548,vlookup_table!$A:$G,3,FALSE)</f>
        <v>FL</v>
      </c>
      <c r="P1548">
        <f>VLOOKUP(A1548,vlookup_table!$A:$G,4,FALSE)</f>
        <v>1311</v>
      </c>
      <c r="Q1548" t="str">
        <f>VLOOKUP(A1548,vlookup_table!$A:$G,5,FALSE)</f>
        <v>C1</v>
      </c>
      <c r="R1548" t="str">
        <f>VLOOKUP(A1548,vlookup_table!$A:$G,6,FALSE)</f>
        <v>M</v>
      </c>
      <c r="S1548">
        <f>VLOOKUP(A1548,vlookup_table!$A:$G,7,FALSE)</f>
        <v>7</v>
      </c>
      <c r="T1548">
        <f t="shared" si="48"/>
        <v>83</v>
      </c>
      <c r="U1548" t="str">
        <f t="shared" si="49"/>
        <v>Ciudad</v>
      </c>
    </row>
    <row r="1549" spans="1:21" ht="16" x14ac:dyDescent="0.4">
      <c r="A1549" s="6">
        <v>21375</v>
      </c>
      <c r="B1549" s="6" t="s">
        <v>18</v>
      </c>
      <c r="C1549" s="6" t="s">
        <v>97</v>
      </c>
      <c r="D1549" s="6">
        <v>498</v>
      </c>
      <c r="E1549" s="6">
        <v>243</v>
      </c>
      <c r="F1549" s="6">
        <v>326</v>
      </c>
      <c r="G1549" s="6">
        <v>1</v>
      </c>
      <c r="H1549" s="6">
        <v>11462</v>
      </c>
      <c r="I1549" s="6">
        <v>0</v>
      </c>
      <c r="J1549" s="6">
        <v>86</v>
      </c>
      <c r="K1549" s="6">
        <v>284</v>
      </c>
      <c r="L1549" s="6">
        <v>285</v>
      </c>
      <c r="M1549" s="6">
        <v>20</v>
      </c>
      <c r="N1549">
        <f>VLOOKUP(A1549,vlookup_table!$A:$G,2,FALSE)</f>
        <v>0</v>
      </c>
      <c r="O1549" t="str">
        <f>VLOOKUP(A1549,vlookup_table!$A:$G,3,FALSE)</f>
        <v>NC</v>
      </c>
      <c r="P1549">
        <f>VLOOKUP(A1549,vlookup_table!$A:$G,4,FALSE)</f>
        <v>5401</v>
      </c>
      <c r="Q1549" t="str">
        <f>VLOOKUP(A1549,vlookup_table!$A:$G,5,FALSE)</f>
        <v>T2</v>
      </c>
      <c r="R1549" t="str">
        <f>VLOOKUP(A1549,vlookup_table!$A:$G,6,FALSE)</f>
        <v>F</v>
      </c>
      <c r="S1549">
        <f>VLOOKUP(A1549,vlookup_table!$A:$G,7,FALSE)</f>
        <v>25</v>
      </c>
      <c r="T1549">
        <f t="shared" si="48"/>
        <v>42</v>
      </c>
      <c r="U1549" t="str">
        <f t="shared" si="49"/>
        <v>Pueblo</v>
      </c>
    </row>
    <row r="1550" spans="1:21" ht="16" x14ac:dyDescent="0.4">
      <c r="A1550" s="6">
        <v>31735</v>
      </c>
      <c r="B1550" s="6" t="s">
        <v>13</v>
      </c>
      <c r="C1550" s="6" t="s">
        <v>17</v>
      </c>
      <c r="D1550" s="6">
        <v>881</v>
      </c>
      <c r="E1550" s="6">
        <v>355</v>
      </c>
      <c r="F1550" s="6">
        <v>496</v>
      </c>
      <c r="G1550" s="6">
        <v>5</v>
      </c>
      <c r="H1550" s="6">
        <v>17641</v>
      </c>
      <c r="I1550" s="6">
        <v>3</v>
      </c>
      <c r="J1550" s="6">
        <v>27</v>
      </c>
      <c r="K1550" s="6">
        <v>464</v>
      </c>
      <c r="L1550" s="6">
        <v>388</v>
      </c>
      <c r="M1550" s="6">
        <v>11</v>
      </c>
      <c r="N1550">
        <f>VLOOKUP(A1550,vlookup_table!$A:$G,2,FALSE)</f>
        <v>28</v>
      </c>
      <c r="O1550" t="str">
        <f>VLOOKUP(A1550,vlookup_table!$A:$G,3,FALSE)</f>
        <v>FL</v>
      </c>
      <c r="P1550">
        <f>VLOOKUP(A1550,vlookup_table!$A:$G,4,FALSE)</f>
        <v>0</v>
      </c>
      <c r="Q1550" t="str">
        <f>VLOOKUP(A1550,vlookup_table!$A:$G,5,FALSE)</f>
        <v>T1</v>
      </c>
      <c r="R1550" t="str">
        <f>VLOOKUP(A1550,vlookup_table!$A:$G,6,FALSE)</f>
        <v>F</v>
      </c>
      <c r="S1550">
        <f>VLOOKUP(A1550,vlookup_table!$A:$G,7,FALSE)</f>
        <v>19</v>
      </c>
      <c r="T1550">
        <f t="shared" si="48"/>
        <v>96</v>
      </c>
      <c r="U1550" t="str">
        <f t="shared" si="49"/>
        <v>Pueblo</v>
      </c>
    </row>
    <row r="1551" spans="1:21" ht="16" x14ac:dyDescent="0.4">
      <c r="A1551" s="6">
        <v>132456</v>
      </c>
      <c r="B1551" s="6" t="s">
        <v>45</v>
      </c>
      <c r="C1551" s="6" t="s">
        <v>17</v>
      </c>
      <c r="D1551" s="6">
        <v>957</v>
      </c>
      <c r="E1551" s="6">
        <v>319</v>
      </c>
      <c r="F1551" s="6">
        <v>400</v>
      </c>
      <c r="G1551" s="6">
        <v>9</v>
      </c>
      <c r="H1551" s="6">
        <v>13186</v>
      </c>
      <c r="I1551" s="6">
        <v>3</v>
      </c>
      <c r="J1551" s="6">
        <v>49</v>
      </c>
      <c r="K1551" s="6">
        <v>360</v>
      </c>
      <c r="L1551" s="6">
        <v>365</v>
      </c>
      <c r="M1551" s="6">
        <v>5</v>
      </c>
      <c r="N1551">
        <f>VLOOKUP(A1551,vlookup_table!$A:$G,2,FALSE)</f>
        <v>2</v>
      </c>
      <c r="O1551" t="str">
        <f>VLOOKUP(A1551,vlookup_table!$A:$G,3,FALSE)</f>
        <v>CO</v>
      </c>
      <c r="P1551">
        <f>VLOOKUP(A1551,vlookup_table!$A:$G,4,FALSE)</f>
        <v>2201</v>
      </c>
      <c r="Q1551" t="str">
        <f>VLOOKUP(A1551,vlookup_table!$A:$G,5,FALSE)</f>
        <v>R1</v>
      </c>
      <c r="R1551" t="str">
        <f>VLOOKUP(A1551,vlookup_table!$A:$G,6,FALSE)</f>
        <v>F</v>
      </c>
      <c r="S1551">
        <f>VLOOKUP(A1551,vlookup_table!$A:$G,7,FALSE)</f>
        <v>7</v>
      </c>
      <c r="T1551">
        <f t="shared" si="48"/>
        <v>74</v>
      </c>
      <c r="U1551" t="str">
        <f t="shared" si="49"/>
        <v>Rural</v>
      </c>
    </row>
    <row r="1552" spans="1:21" ht="16" x14ac:dyDescent="0.4">
      <c r="A1552" s="6">
        <v>121165</v>
      </c>
      <c r="B1552" s="6" t="s">
        <v>20</v>
      </c>
      <c r="C1552" s="6" t="s">
        <v>14</v>
      </c>
      <c r="D1552" s="6">
        <v>920</v>
      </c>
      <c r="E1552" s="6">
        <v>160</v>
      </c>
      <c r="F1552" s="6">
        <v>633</v>
      </c>
      <c r="G1552" s="6">
        <v>8</v>
      </c>
      <c r="H1552" s="6">
        <v>20828</v>
      </c>
      <c r="I1552" s="6">
        <v>12</v>
      </c>
      <c r="J1552" s="6">
        <v>43</v>
      </c>
      <c r="K1552" s="6">
        <v>753</v>
      </c>
      <c r="L1552" s="6">
        <v>348</v>
      </c>
      <c r="M1552" s="6">
        <v>15</v>
      </c>
      <c r="N1552">
        <f>VLOOKUP(A1552,vlookup_table!$A:$G,2,FALSE)</f>
        <v>1</v>
      </c>
      <c r="O1552" t="str">
        <f>VLOOKUP(A1552,vlookup_table!$A:$G,3,FALSE)</f>
        <v>TX</v>
      </c>
      <c r="P1552">
        <f>VLOOKUP(A1552,vlookup_table!$A:$G,4,FALSE)</f>
        <v>6601</v>
      </c>
      <c r="Q1552" t="str">
        <f>VLOOKUP(A1552,vlookup_table!$A:$G,5,FALSE)</f>
        <v>U1</v>
      </c>
      <c r="R1552" t="str">
        <f>VLOOKUP(A1552,vlookup_table!$A:$G,6,FALSE)</f>
        <v>M</v>
      </c>
      <c r="S1552">
        <f>VLOOKUP(A1552,vlookup_table!$A:$G,7,FALSE)</f>
        <v>10</v>
      </c>
      <c r="T1552">
        <f t="shared" si="48"/>
        <v>30</v>
      </c>
      <c r="U1552" t="str">
        <f t="shared" si="49"/>
        <v>Urbano</v>
      </c>
    </row>
    <row r="1553" spans="1:21" ht="16" x14ac:dyDescent="0.4">
      <c r="A1553" s="6">
        <v>175226</v>
      </c>
      <c r="B1553" s="6" t="s">
        <v>47</v>
      </c>
      <c r="C1553" s="6" t="s">
        <v>14</v>
      </c>
      <c r="D1553" s="6">
        <v>693</v>
      </c>
      <c r="E1553" s="6">
        <v>213</v>
      </c>
      <c r="F1553" s="6">
        <v>259</v>
      </c>
      <c r="G1553" s="6">
        <v>2</v>
      </c>
      <c r="H1553" s="6">
        <v>10095</v>
      </c>
      <c r="I1553" s="6">
        <v>0</v>
      </c>
      <c r="J1553" s="6">
        <v>61</v>
      </c>
      <c r="K1553" s="6">
        <v>248</v>
      </c>
      <c r="L1553" s="6">
        <v>232</v>
      </c>
      <c r="M1553" s="6">
        <v>7.25</v>
      </c>
      <c r="N1553">
        <f>VLOOKUP(A1553,vlookup_table!$A:$G,2,FALSE)</f>
        <v>1</v>
      </c>
      <c r="O1553" t="str">
        <f>VLOOKUP(A1553,vlookup_table!$A:$G,3,FALSE)</f>
        <v>OR</v>
      </c>
      <c r="P1553">
        <f>VLOOKUP(A1553,vlookup_table!$A:$G,4,FALSE)</f>
        <v>1809</v>
      </c>
      <c r="Q1553" t="str">
        <f>VLOOKUP(A1553,vlookup_table!$A:$G,5,FALSE)</f>
        <v>R2</v>
      </c>
      <c r="R1553" t="str">
        <f>VLOOKUP(A1553,vlookup_table!$A:$G,6,FALSE)</f>
        <v>M</v>
      </c>
      <c r="S1553">
        <f>VLOOKUP(A1553,vlookup_table!$A:$G,7,FALSE)</f>
        <v>11</v>
      </c>
      <c r="T1553">
        <f t="shared" si="48"/>
        <v>78</v>
      </c>
      <c r="U1553" t="str">
        <f t="shared" si="49"/>
        <v>Rural</v>
      </c>
    </row>
    <row r="1554" spans="1:21" ht="16" x14ac:dyDescent="0.4">
      <c r="A1554" s="6">
        <v>190534</v>
      </c>
      <c r="B1554" s="6" t="s">
        <v>21</v>
      </c>
      <c r="C1554" s="6" t="s">
        <v>17</v>
      </c>
      <c r="D1554" s="6">
        <v>1922</v>
      </c>
      <c r="E1554" s="6">
        <v>284</v>
      </c>
      <c r="F1554" s="6">
        <v>332</v>
      </c>
      <c r="G1554" s="6">
        <v>44</v>
      </c>
      <c r="H1554" s="6">
        <v>9661</v>
      </c>
      <c r="I1554" s="6">
        <v>35</v>
      </c>
      <c r="J1554" s="6">
        <v>45</v>
      </c>
      <c r="K1554" s="6">
        <v>307</v>
      </c>
      <c r="L1554" s="6">
        <v>300</v>
      </c>
      <c r="M1554" s="6">
        <v>5.5454545450000001</v>
      </c>
      <c r="N1554">
        <f>VLOOKUP(A1554,vlookup_table!$A:$G,2,FALSE)</f>
        <v>0</v>
      </c>
      <c r="O1554" t="str">
        <f>VLOOKUP(A1554,vlookup_table!$A:$G,3,FALSE)</f>
        <v>CA</v>
      </c>
      <c r="P1554">
        <f>VLOOKUP(A1554,vlookup_table!$A:$G,4,FALSE)</f>
        <v>501</v>
      </c>
      <c r="Q1554" t="str">
        <f>VLOOKUP(A1554,vlookup_table!$A:$G,5,FALSE)</f>
        <v>U3</v>
      </c>
      <c r="R1554" t="str">
        <f>VLOOKUP(A1554,vlookup_table!$A:$G,6,FALSE)</f>
        <v>F</v>
      </c>
      <c r="S1554">
        <f>VLOOKUP(A1554,vlookup_table!$A:$G,7,FALSE)</f>
        <v>6</v>
      </c>
      <c r="T1554">
        <f t="shared" si="48"/>
        <v>46</v>
      </c>
      <c r="U1554" t="str">
        <f t="shared" si="49"/>
        <v>Urbano</v>
      </c>
    </row>
    <row r="1555" spans="1:21" ht="16" x14ac:dyDescent="0.4">
      <c r="A1555" s="6">
        <v>33383</v>
      </c>
      <c r="B1555" s="6" t="s">
        <v>13</v>
      </c>
      <c r="C1555" s="6" t="s">
        <v>17</v>
      </c>
      <c r="D1555" s="6">
        <v>1473</v>
      </c>
      <c r="E1555" s="6">
        <v>611</v>
      </c>
      <c r="F1555" s="6">
        <v>688</v>
      </c>
      <c r="G1555" s="6">
        <v>17</v>
      </c>
      <c r="H1555" s="6">
        <v>26812</v>
      </c>
      <c r="I1555" s="6">
        <v>10</v>
      </c>
      <c r="J1555" s="6">
        <v>28</v>
      </c>
      <c r="K1555" s="6">
        <v>647</v>
      </c>
      <c r="L1555" s="6">
        <v>649</v>
      </c>
      <c r="M1555" s="6">
        <v>7.3333333329999997</v>
      </c>
      <c r="N1555">
        <f>VLOOKUP(A1555,vlookup_table!$A:$G,2,FALSE)</f>
        <v>28</v>
      </c>
      <c r="O1555" t="str">
        <f>VLOOKUP(A1555,vlookup_table!$A:$G,3,FALSE)</f>
        <v>FL</v>
      </c>
      <c r="P1555">
        <f>VLOOKUP(A1555,vlookup_table!$A:$G,4,FALSE)</f>
        <v>0</v>
      </c>
      <c r="Q1555" t="str">
        <f>VLOOKUP(A1555,vlookup_table!$A:$G,5,FALSE)</f>
        <v>T1</v>
      </c>
      <c r="R1555" t="str">
        <f>VLOOKUP(A1555,vlookup_table!$A:$G,6,FALSE)</f>
        <v>F</v>
      </c>
      <c r="S1555">
        <f>VLOOKUP(A1555,vlookup_table!$A:$G,7,FALSE)</f>
        <v>11</v>
      </c>
      <c r="T1555">
        <f t="shared" si="48"/>
        <v>96</v>
      </c>
      <c r="U1555" t="str">
        <f t="shared" si="49"/>
        <v>Pueblo</v>
      </c>
    </row>
    <row r="1556" spans="1:21" ht="16" x14ac:dyDescent="0.4">
      <c r="A1556" s="6">
        <v>64261</v>
      </c>
      <c r="B1556" s="6" t="s">
        <v>30</v>
      </c>
      <c r="C1556" s="6" t="s">
        <v>17</v>
      </c>
      <c r="D1556" s="6">
        <v>369</v>
      </c>
      <c r="E1556" s="6">
        <v>251</v>
      </c>
      <c r="F1556" s="6">
        <v>346</v>
      </c>
      <c r="G1556" s="6">
        <v>0</v>
      </c>
      <c r="H1556" s="6">
        <v>11275</v>
      </c>
      <c r="I1556" s="6">
        <v>1</v>
      </c>
      <c r="J1556" s="6">
        <v>88</v>
      </c>
      <c r="K1556" s="6">
        <v>305</v>
      </c>
      <c r="L1556" s="6">
        <v>295</v>
      </c>
      <c r="M1556" s="6">
        <v>5.625</v>
      </c>
      <c r="N1556">
        <f>VLOOKUP(A1556,vlookup_table!$A:$G,2,FALSE)</f>
        <v>2</v>
      </c>
      <c r="O1556" t="str">
        <f>VLOOKUP(A1556,vlookup_table!$A:$G,3,FALSE)</f>
        <v>IN</v>
      </c>
      <c r="P1556">
        <f>VLOOKUP(A1556,vlookup_table!$A:$G,4,FALSE)</f>
        <v>0</v>
      </c>
      <c r="Q1556" t="str">
        <f>VLOOKUP(A1556,vlookup_table!$A:$G,5,FALSE)</f>
        <v>T2</v>
      </c>
      <c r="R1556" t="str">
        <f>VLOOKUP(A1556,vlookup_table!$A:$G,6,FALSE)</f>
        <v>F</v>
      </c>
      <c r="S1556">
        <f>VLOOKUP(A1556,vlookup_table!$A:$G,7,FALSE)</f>
        <v>10</v>
      </c>
      <c r="T1556">
        <f t="shared" si="48"/>
        <v>96</v>
      </c>
      <c r="U1556" t="str">
        <f t="shared" si="49"/>
        <v>Pueblo</v>
      </c>
    </row>
    <row r="1557" spans="1:21" ht="16" x14ac:dyDescent="0.4">
      <c r="A1557" s="6">
        <v>106854</v>
      </c>
      <c r="B1557" s="6" t="s">
        <v>45</v>
      </c>
      <c r="C1557" s="6" t="s">
        <v>17</v>
      </c>
      <c r="D1557" s="6">
        <v>1070</v>
      </c>
      <c r="E1557" s="6">
        <v>505</v>
      </c>
      <c r="F1557" s="6">
        <v>518</v>
      </c>
      <c r="G1557" s="6">
        <v>0</v>
      </c>
      <c r="H1557" s="6">
        <v>16105</v>
      </c>
      <c r="I1557" s="6">
        <v>1</v>
      </c>
      <c r="J1557" s="6">
        <v>34</v>
      </c>
      <c r="K1557" s="6">
        <v>510</v>
      </c>
      <c r="L1557" s="6">
        <v>529</v>
      </c>
      <c r="M1557" s="6">
        <v>7.5833333329999997</v>
      </c>
      <c r="N1557">
        <f>VLOOKUP(A1557,vlookup_table!$A:$G,2,FALSE)</f>
        <v>2</v>
      </c>
      <c r="O1557" t="str">
        <f>VLOOKUP(A1557,vlookup_table!$A:$G,3,FALSE)</f>
        <v>CO</v>
      </c>
      <c r="P1557">
        <f>VLOOKUP(A1557,vlookup_table!$A:$G,4,FALSE)</f>
        <v>0</v>
      </c>
      <c r="Q1557" t="str">
        <f>VLOOKUP(A1557,vlookup_table!$A:$G,5,FALSE)</f>
        <v>T1</v>
      </c>
      <c r="R1557" t="str">
        <f>VLOOKUP(A1557,vlookup_table!$A:$G,6,FALSE)</f>
        <v>F</v>
      </c>
      <c r="S1557">
        <f>VLOOKUP(A1557,vlookup_table!$A:$G,7,FALSE)</f>
        <v>8</v>
      </c>
      <c r="T1557">
        <f t="shared" si="48"/>
        <v>96</v>
      </c>
      <c r="U1557" t="str">
        <f t="shared" si="49"/>
        <v>Pueblo</v>
      </c>
    </row>
    <row r="1558" spans="1:21" ht="16" x14ac:dyDescent="0.4">
      <c r="A1558" s="6">
        <v>115676</v>
      </c>
      <c r="B1558" s="6" t="s">
        <v>20</v>
      </c>
      <c r="C1558" s="6"/>
      <c r="D1558" s="6">
        <v>340</v>
      </c>
      <c r="E1558" s="6">
        <v>191</v>
      </c>
      <c r="F1558" s="6">
        <v>237</v>
      </c>
      <c r="G1558" s="6">
        <v>0</v>
      </c>
      <c r="H1558" s="6">
        <v>7393</v>
      </c>
      <c r="I1558" s="6">
        <v>1</v>
      </c>
      <c r="J1558" s="6">
        <v>57</v>
      </c>
      <c r="K1558" s="6">
        <v>221</v>
      </c>
      <c r="L1558" s="6">
        <v>208</v>
      </c>
      <c r="M1558" s="6">
        <v>14.222222220000001</v>
      </c>
      <c r="N1558">
        <f>VLOOKUP(A1558,vlookup_table!$A:$G,2,FALSE)</f>
        <v>4</v>
      </c>
      <c r="O1558" t="str">
        <f>VLOOKUP(A1558,vlookup_table!$A:$G,3,FALSE)</f>
        <v>TX</v>
      </c>
      <c r="P1558">
        <f>VLOOKUP(A1558,vlookup_table!$A:$G,4,FALSE)</f>
        <v>0</v>
      </c>
      <c r="Q1558" t="str">
        <f>VLOOKUP(A1558,vlookup_table!$A:$G,5,FALSE)</f>
        <v>T2</v>
      </c>
      <c r="R1558" t="str">
        <f>VLOOKUP(A1558,vlookup_table!$A:$G,6,FALSE)</f>
        <v/>
      </c>
      <c r="S1558">
        <f>VLOOKUP(A1558,vlookup_table!$A:$G,7,FALSE)</f>
        <v>20</v>
      </c>
      <c r="T1558">
        <f t="shared" si="48"/>
        <v>96</v>
      </c>
      <c r="U1558" t="str">
        <f t="shared" si="49"/>
        <v>Pueblo</v>
      </c>
    </row>
    <row r="1559" spans="1:21" ht="16" x14ac:dyDescent="0.4">
      <c r="A1559" s="6">
        <v>60195</v>
      </c>
      <c r="B1559" s="6" t="s">
        <v>30</v>
      </c>
      <c r="C1559" s="6" t="s">
        <v>17</v>
      </c>
      <c r="D1559" s="6">
        <v>684</v>
      </c>
      <c r="E1559" s="6">
        <v>272</v>
      </c>
      <c r="F1559" s="6">
        <v>357</v>
      </c>
      <c r="G1559" s="6">
        <v>1</v>
      </c>
      <c r="H1559" s="6">
        <v>14675</v>
      </c>
      <c r="I1559" s="6">
        <v>2</v>
      </c>
      <c r="J1559" s="6">
        <v>74</v>
      </c>
      <c r="K1559" s="6">
        <v>321</v>
      </c>
      <c r="L1559" s="6">
        <v>298</v>
      </c>
      <c r="M1559" s="6">
        <v>13.5</v>
      </c>
      <c r="N1559">
        <f>VLOOKUP(A1559,vlookup_table!$A:$G,2,FALSE)</f>
        <v>0</v>
      </c>
      <c r="O1559" t="str">
        <f>VLOOKUP(A1559,vlookup_table!$A:$G,3,FALSE)</f>
        <v>IN</v>
      </c>
      <c r="P1559">
        <f>VLOOKUP(A1559,vlookup_table!$A:$G,4,FALSE)</f>
        <v>5501</v>
      </c>
      <c r="Q1559" t="str">
        <f>VLOOKUP(A1559,vlookup_table!$A:$G,5,FALSE)</f>
        <v>S1</v>
      </c>
      <c r="R1559" t="str">
        <f>VLOOKUP(A1559,vlookup_table!$A:$G,6,FALSE)</f>
        <v>F</v>
      </c>
      <c r="S1559">
        <f>VLOOKUP(A1559,vlookup_table!$A:$G,7,FALSE)</f>
        <v>25</v>
      </c>
      <c r="T1559">
        <f t="shared" si="48"/>
        <v>41</v>
      </c>
      <c r="U1559" t="str">
        <f t="shared" si="49"/>
        <v>Suburbano</v>
      </c>
    </row>
    <row r="1560" spans="1:21" ht="16" x14ac:dyDescent="0.4">
      <c r="A1560" s="6">
        <v>6308</v>
      </c>
      <c r="B1560" s="6" t="s">
        <v>43</v>
      </c>
      <c r="C1560" s="6" t="s">
        <v>14</v>
      </c>
      <c r="D1560" s="6">
        <v>454</v>
      </c>
      <c r="E1560" s="6">
        <v>244</v>
      </c>
      <c r="F1560" s="6">
        <v>320</v>
      </c>
      <c r="G1560" s="6">
        <v>0</v>
      </c>
      <c r="H1560" s="6">
        <v>10904</v>
      </c>
      <c r="I1560" s="6">
        <v>1</v>
      </c>
      <c r="J1560" s="6">
        <v>85</v>
      </c>
      <c r="K1560" s="6">
        <v>285</v>
      </c>
      <c r="L1560" s="6">
        <v>280</v>
      </c>
      <c r="M1560" s="6">
        <v>10.777777779999999</v>
      </c>
      <c r="N1560">
        <f>VLOOKUP(A1560,vlookup_table!$A:$G,2,FALSE)</f>
        <v>0</v>
      </c>
      <c r="O1560" t="str">
        <f>VLOOKUP(A1560,vlookup_table!$A:$G,3,FALSE)</f>
        <v>SC</v>
      </c>
      <c r="P1560">
        <f>VLOOKUP(A1560,vlookup_table!$A:$G,4,FALSE)</f>
        <v>1803</v>
      </c>
      <c r="Q1560" t="str">
        <f>VLOOKUP(A1560,vlookup_table!$A:$G,5,FALSE)</f>
        <v>R2</v>
      </c>
      <c r="R1560" t="str">
        <f>VLOOKUP(A1560,vlookup_table!$A:$G,6,FALSE)</f>
        <v>M</v>
      </c>
      <c r="S1560">
        <f>VLOOKUP(A1560,vlookup_table!$A:$G,7,FALSE)</f>
        <v>12</v>
      </c>
      <c r="T1560">
        <f t="shared" si="48"/>
        <v>78</v>
      </c>
      <c r="U1560" t="str">
        <f t="shared" si="49"/>
        <v>Rural</v>
      </c>
    </row>
    <row r="1561" spans="1:21" ht="16" x14ac:dyDescent="0.4">
      <c r="A1561" s="6">
        <v>93883</v>
      </c>
      <c r="B1561" s="6" t="s">
        <v>16</v>
      </c>
      <c r="C1561" s="6" t="s">
        <v>14</v>
      </c>
      <c r="D1561" s="6">
        <v>574</v>
      </c>
      <c r="E1561" s="6">
        <v>289</v>
      </c>
      <c r="F1561" s="6">
        <v>363</v>
      </c>
      <c r="G1561" s="6">
        <v>0</v>
      </c>
      <c r="H1561" s="6">
        <v>11250</v>
      </c>
      <c r="I1561" s="6">
        <v>25</v>
      </c>
      <c r="J1561" s="6">
        <v>69</v>
      </c>
      <c r="K1561" s="6">
        <v>318</v>
      </c>
      <c r="L1561" s="6">
        <v>315</v>
      </c>
      <c r="M1561" s="6">
        <v>3.5555555559999998</v>
      </c>
      <c r="N1561">
        <f>VLOOKUP(A1561,vlookup_table!$A:$G,2,FALSE)</f>
        <v>0</v>
      </c>
      <c r="O1561" t="str">
        <f>VLOOKUP(A1561,vlookup_table!$A:$G,3,FALSE)</f>
        <v>IL</v>
      </c>
      <c r="P1561">
        <f>VLOOKUP(A1561,vlookup_table!$A:$G,4,FALSE)</f>
        <v>4601</v>
      </c>
      <c r="Q1561" t="str">
        <f>VLOOKUP(A1561,vlookup_table!$A:$G,5,FALSE)</f>
        <v>U3</v>
      </c>
      <c r="R1561" t="str">
        <f>VLOOKUP(A1561,vlookup_table!$A:$G,6,FALSE)</f>
        <v>M</v>
      </c>
      <c r="S1561">
        <f>VLOOKUP(A1561,vlookup_table!$A:$G,7,FALSE)</f>
        <v>4</v>
      </c>
      <c r="T1561">
        <f t="shared" si="48"/>
        <v>50</v>
      </c>
      <c r="U1561" t="str">
        <f t="shared" si="49"/>
        <v>Urbano</v>
      </c>
    </row>
    <row r="1562" spans="1:21" ht="16" x14ac:dyDescent="0.4">
      <c r="A1562" s="6">
        <v>38812</v>
      </c>
      <c r="B1562" s="6" t="s">
        <v>13</v>
      </c>
      <c r="C1562" s="6" t="s">
        <v>17</v>
      </c>
      <c r="D1562" s="6">
        <v>3772</v>
      </c>
      <c r="E1562" s="6">
        <v>515</v>
      </c>
      <c r="F1562" s="6">
        <v>791</v>
      </c>
      <c r="G1562" s="6">
        <v>87</v>
      </c>
      <c r="H1562" s="6">
        <v>46740</v>
      </c>
      <c r="I1562" s="6">
        <v>17</v>
      </c>
      <c r="J1562" s="6">
        <v>16</v>
      </c>
      <c r="K1562" s="6">
        <v>661</v>
      </c>
      <c r="L1562" s="6">
        <v>647</v>
      </c>
      <c r="M1562" s="6">
        <v>14.33333333</v>
      </c>
      <c r="N1562">
        <f>VLOOKUP(A1562,vlookup_table!$A:$G,2,FALSE)</f>
        <v>2</v>
      </c>
      <c r="O1562" t="str">
        <f>VLOOKUP(A1562,vlookup_table!$A:$G,3,FALSE)</f>
        <v>FL</v>
      </c>
      <c r="P1562">
        <f>VLOOKUP(A1562,vlookup_table!$A:$G,4,FALSE)</f>
        <v>2310</v>
      </c>
      <c r="Q1562" t="str">
        <f>VLOOKUP(A1562,vlookup_table!$A:$G,5,FALSE)</f>
        <v>U1</v>
      </c>
      <c r="R1562" t="str">
        <f>VLOOKUP(A1562,vlookup_table!$A:$G,6,FALSE)</f>
        <v>F</v>
      </c>
      <c r="S1562">
        <f>VLOOKUP(A1562,vlookup_table!$A:$G,7,FALSE)</f>
        <v>17</v>
      </c>
      <c r="T1562">
        <f t="shared" si="48"/>
        <v>73</v>
      </c>
      <c r="U1562" t="str">
        <f t="shared" si="49"/>
        <v>Urbano</v>
      </c>
    </row>
    <row r="1563" spans="1:21" ht="16" x14ac:dyDescent="0.4">
      <c r="A1563" s="6">
        <v>15219</v>
      </c>
      <c r="B1563" s="6" t="s">
        <v>18</v>
      </c>
      <c r="C1563" s="6" t="s">
        <v>97</v>
      </c>
      <c r="D1563" s="6">
        <v>730</v>
      </c>
      <c r="E1563" s="6">
        <v>309</v>
      </c>
      <c r="F1563" s="6">
        <v>419</v>
      </c>
      <c r="G1563" s="6">
        <v>1</v>
      </c>
      <c r="H1563" s="6">
        <v>14673</v>
      </c>
      <c r="I1563" s="6">
        <v>1</v>
      </c>
      <c r="J1563" s="6">
        <v>75</v>
      </c>
      <c r="K1563" s="6">
        <v>374</v>
      </c>
      <c r="L1563" s="6">
        <v>365</v>
      </c>
      <c r="M1563" s="6">
        <v>25</v>
      </c>
      <c r="N1563">
        <f>VLOOKUP(A1563,vlookup_table!$A:$G,2,FALSE)</f>
        <v>0</v>
      </c>
      <c r="O1563" t="str">
        <f>VLOOKUP(A1563,vlookup_table!$A:$G,3,FALSE)</f>
        <v>NC</v>
      </c>
      <c r="P1563">
        <f>VLOOKUP(A1563,vlookup_table!$A:$G,4,FALSE)</f>
        <v>0</v>
      </c>
      <c r="Q1563" t="str">
        <f>VLOOKUP(A1563,vlookup_table!$A:$G,5,FALSE)</f>
        <v>T2</v>
      </c>
      <c r="R1563" t="str">
        <f>VLOOKUP(A1563,vlookup_table!$A:$G,6,FALSE)</f>
        <v>F</v>
      </c>
      <c r="S1563">
        <f>VLOOKUP(A1563,vlookup_table!$A:$G,7,FALSE)</f>
        <v>25</v>
      </c>
      <c r="T1563">
        <f t="shared" si="48"/>
        <v>96</v>
      </c>
      <c r="U1563" t="str">
        <f t="shared" si="49"/>
        <v>Pueblo</v>
      </c>
    </row>
    <row r="1564" spans="1:21" ht="16" x14ac:dyDescent="0.4">
      <c r="A1564" s="6">
        <v>76442</v>
      </c>
      <c r="B1564" s="6" t="s">
        <v>44</v>
      </c>
      <c r="C1564" s="6" t="s">
        <v>14</v>
      </c>
      <c r="D1564" s="6">
        <v>588</v>
      </c>
      <c r="E1564" s="6">
        <v>332</v>
      </c>
      <c r="F1564" s="6">
        <v>405</v>
      </c>
      <c r="G1564" s="6">
        <v>0</v>
      </c>
      <c r="H1564" s="6">
        <v>11164</v>
      </c>
      <c r="I1564" s="6">
        <v>1</v>
      </c>
      <c r="J1564" s="6">
        <v>67</v>
      </c>
      <c r="K1564" s="6">
        <v>380</v>
      </c>
      <c r="L1564" s="6">
        <v>354</v>
      </c>
      <c r="M1564" s="6">
        <v>4</v>
      </c>
      <c r="N1564">
        <f>VLOOKUP(A1564,vlookup_table!$A:$G,2,FALSE)</f>
        <v>1</v>
      </c>
      <c r="O1564" t="str">
        <f>VLOOKUP(A1564,vlookup_table!$A:$G,3,FALSE)</f>
        <v>IA</v>
      </c>
      <c r="P1564">
        <f>VLOOKUP(A1564,vlookup_table!$A:$G,4,FALSE)</f>
        <v>3801</v>
      </c>
      <c r="Q1564" t="str">
        <f>VLOOKUP(A1564,vlookup_table!$A:$G,5,FALSE)</f>
        <v>R2</v>
      </c>
      <c r="R1564" t="str">
        <f>VLOOKUP(A1564,vlookup_table!$A:$G,6,FALSE)</f>
        <v>M</v>
      </c>
      <c r="S1564">
        <f>VLOOKUP(A1564,vlookup_table!$A:$G,7,FALSE)</f>
        <v>5</v>
      </c>
      <c r="T1564">
        <f t="shared" si="48"/>
        <v>58</v>
      </c>
      <c r="U1564" t="str">
        <f t="shared" si="49"/>
        <v>Rural</v>
      </c>
    </row>
    <row r="1565" spans="1:21" ht="16" x14ac:dyDescent="0.4">
      <c r="A1565" s="6">
        <v>175659</v>
      </c>
      <c r="B1565" s="6" t="s">
        <v>47</v>
      </c>
      <c r="C1565" s="6" t="s">
        <v>17</v>
      </c>
      <c r="D1565" s="6">
        <v>1465</v>
      </c>
      <c r="E1565" s="6">
        <v>514</v>
      </c>
      <c r="F1565" s="6">
        <v>720</v>
      </c>
      <c r="G1565" s="6">
        <v>25</v>
      </c>
      <c r="H1565" s="6">
        <v>27151</v>
      </c>
      <c r="I1565" s="6">
        <v>9</v>
      </c>
      <c r="J1565" s="6">
        <v>33</v>
      </c>
      <c r="K1565" s="6">
        <v>638</v>
      </c>
      <c r="L1565" s="6">
        <v>589</v>
      </c>
      <c r="M1565" s="6">
        <v>7.8181818180000002</v>
      </c>
      <c r="N1565">
        <f>VLOOKUP(A1565,vlookup_table!$A:$G,2,FALSE)</f>
        <v>2</v>
      </c>
      <c r="O1565" t="str">
        <f>VLOOKUP(A1565,vlookup_table!$A:$G,3,FALSE)</f>
        <v>OR</v>
      </c>
      <c r="P1565">
        <f>VLOOKUP(A1565,vlookup_table!$A:$G,4,FALSE)</f>
        <v>1504</v>
      </c>
      <c r="Q1565" t="str">
        <f>VLOOKUP(A1565,vlookup_table!$A:$G,5,FALSE)</f>
        <v>S1</v>
      </c>
      <c r="R1565" t="str">
        <f>VLOOKUP(A1565,vlookup_table!$A:$G,6,FALSE)</f>
        <v>F</v>
      </c>
      <c r="S1565">
        <f>VLOOKUP(A1565,vlookup_table!$A:$G,7,FALSE)</f>
        <v>10</v>
      </c>
      <c r="T1565">
        <f t="shared" si="48"/>
        <v>81</v>
      </c>
      <c r="U1565" t="str">
        <f t="shared" si="49"/>
        <v>Suburbano</v>
      </c>
    </row>
    <row r="1566" spans="1:21" ht="16" x14ac:dyDescent="0.4">
      <c r="A1566" s="6">
        <v>21859</v>
      </c>
      <c r="B1566" s="6" t="s">
        <v>18</v>
      </c>
      <c r="C1566" s="6" t="s">
        <v>97</v>
      </c>
      <c r="D1566" s="6">
        <v>824</v>
      </c>
      <c r="E1566" s="6">
        <v>285</v>
      </c>
      <c r="F1566" s="6">
        <v>356</v>
      </c>
      <c r="G1566" s="6">
        <v>3</v>
      </c>
      <c r="H1566" s="6">
        <v>13339</v>
      </c>
      <c r="I1566" s="6">
        <v>2</v>
      </c>
      <c r="J1566" s="6">
        <v>59</v>
      </c>
      <c r="K1566" s="6">
        <v>305</v>
      </c>
      <c r="L1566" s="6">
        <v>333</v>
      </c>
      <c r="M1566" s="6">
        <v>9.9090909089999997</v>
      </c>
      <c r="N1566">
        <f>VLOOKUP(A1566,vlookup_table!$A:$G,2,FALSE)</f>
        <v>0</v>
      </c>
      <c r="O1566" t="str">
        <f>VLOOKUP(A1566,vlookup_table!$A:$G,3,FALSE)</f>
        <v>NC</v>
      </c>
      <c r="P1566">
        <f>VLOOKUP(A1566,vlookup_table!$A:$G,4,FALSE)</f>
        <v>3901</v>
      </c>
      <c r="Q1566" t="str">
        <f>VLOOKUP(A1566,vlookup_table!$A:$G,5,FALSE)</f>
        <v>R2</v>
      </c>
      <c r="R1566" t="str">
        <f>VLOOKUP(A1566,vlookup_table!$A:$G,6,FALSE)</f>
        <v>F</v>
      </c>
      <c r="S1566">
        <f>VLOOKUP(A1566,vlookup_table!$A:$G,7,FALSE)</f>
        <v>10</v>
      </c>
      <c r="T1566">
        <f t="shared" si="48"/>
        <v>57</v>
      </c>
      <c r="U1566" t="str">
        <f t="shared" si="49"/>
        <v>Rural</v>
      </c>
    </row>
    <row r="1567" spans="1:21" ht="16" x14ac:dyDescent="0.4">
      <c r="A1567" s="6">
        <v>32892</v>
      </c>
      <c r="B1567" s="6" t="s">
        <v>13</v>
      </c>
      <c r="C1567" s="6" t="s">
        <v>14</v>
      </c>
      <c r="D1567" s="6">
        <v>852</v>
      </c>
      <c r="E1567" s="6">
        <v>443</v>
      </c>
      <c r="F1567" s="6">
        <v>497</v>
      </c>
      <c r="G1567" s="6">
        <v>1</v>
      </c>
      <c r="H1567" s="6">
        <v>16681</v>
      </c>
      <c r="I1567" s="6">
        <v>2</v>
      </c>
      <c r="J1567" s="6">
        <v>41</v>
      </c>
      <c r="K1567" s="6">
        <v>446</v>
      </c>
      <c r="L1567" s="6">
        <v>480</v>
      </c>
      <c r="M1567" s="6">
        <v>10.19047619</v>
      </c>
      <c r="N1567">
        <f>VLOOKUP(A1567,vlookup_table!$A:$G,2,FALSE)</f>
        <v>0</v>
      </c>
      <c r="O1567" t="str">
        <f>VLOOKUP(A1567,vlookup_table!$A:$G,3,FALSE)</f>
        <v>FL</v>
      </c>
      <c r="P1567">
        <f>VLOOKUP(A1567,vlookup_table!$A:$G,4,FALSE)</f>
        <v>5010</v>
      </c>
      <c r="Q1567" t="str">
        <f>VLOOKUP(A1567,vlookup_table!$A:$G,5,FALSE)</f>
        <v>S1</v>
      </c>
      <c r="R1567" t="str">
        <f>VLOOKUP(A1567,vlookup_table!$A:$G,6,FALSE)</f>
        <v>M</v>
      </c>
      <c r="S1567">
        <f>VLOOKUP(A1567,vlookup_table!$A:$G,7,FALSE)</f>
        <v>10</v>
      </c>
      <c r="T1567">
        <f t="shared" si="48"/>
        <v>46</v>
      </c>
      <c r="U1567" t="str">
        <f t="shared" si="49"/>
        <v>Suburbano</v>
      </c>
    </row>
    <row r="1568" spans="1:21" ht="16" x14ac:dyDescent="0.4">
      <c r="A1568" s="6">
        <v>65740</v>
      </c>
      <c r="B1568" s="6" t="s">
        <v>26</v>
      </c>
      <c r="C1568" s="6" t="s">
        <v>17</v>
      </c>
      <c r="D1568" s="6">
        <v>777</v>
      </c>
      <c r="E1568" s="6">
        <v>444</v>
      </c>
      <c r="F1568" s="6">
        <v>511</v>
      </c>
      <c r="G1568" s="6">
        <v>0</v>
      </c>
      <c r="H1568" s="6">
        <v>16822</v>
      </c>
      <c r="I1568" s="6">
        <v>6</v>
      </c>
      <c r="J1568" s="6">
        <v>81</v>
      </c>
      <c r="K1568" s="6">
        <v>485</v>
      </c>
      <c r="L1568" s="6">
        <v>476</v>
      </c>
      <c r="M1568" s="6">
        <v>9.3000000000000007</v>
      </c>
      <c r="N1568">
        <f>VLOOKUP(A1568,vlookup_table!$A:$G,2,FALSE)</f>
        <v>0</v>
      </c>
      <c r="O1568" t="str">
        <f>VLOOKUP(A1568,vlookup_table!$A:$G,3,FALSE)</f>
        <v>MI</v>
      </c>
      <c r="P1568">
        <f>VLOOKUP(A1568,vlookup_table!$A:$G,4,FALSE)</f>
        <v>6901</v>
      </c>
      <c r="Q1568" t="str">
        <f>VLOOKUP(A1568,vlookup_table!$A:$G,5,FALSE)</f>
        <v>S2</v>
      </c>
      <c r="R1568" t="str">
        <f>VLOOKUP(A1568,vlookup_table!$A:$G,6,FALSE)</f>
        <v>F</v>
      </c>
      <c r="S1568">
        <f>VLOOKUP(A1568,vlookup_table!$A:$G,7,FALSE)</f>
        <v>12</v>
      </c>
      <c r="T1568">
        <f t="shared" si="48"/>
        <v>27</v>
      </c>
      <c r="U1568" t="str">
        <f t="shared" si="49"/>
        <v>Suburbano</v>
      </c>
    </row>
    <row r="1569" spans="1:21" ht="16" x14ac:dyDescent="0.4">
      <c r="A1569" s="6">
        <v>117264</v>
      </c>
      <c r="B1569" s="6" t="s">
        <v>20</v>
      </c>
      <c r="C1569" s="6" t="s">
        <v>17</v>
      </c>
      <c r="D1569" s="6">
        <v>532</v>
      </c>
      <c r="E1569" s="6">
        <v>237</v>
      </c>
      <c r="F1569" s="6">
        <v>396</v>
      </c>
      <c r="G1569" s="6">
        <v>0</v>
      </c>
      <c r="H1569" s="6">
        <v>11962</v>
      </c>
      <c r="I1569" s="6">
        <v>5</v>
      </c>
      <c r="J1569" s="6">
        <v>65</v>
      </c>
      <c r="K1569" s="6">
        <v>404</v>
      </c>
      <c r="L1569" s="6">
        <v>297</v>
      </c>
      <c r="M1569" s="6">
        <v>12</v>
      </c>
      <c r="N1569">
        <f>VLOOKUP(A1569,vlookup_table!$A:$G,2,FALSE)</f>
        <v>2</v>
      </c>
      <c r="O1569" t="str">
        <f>VLOOKUP(A1569,vlookup_table!$A:$G,3,FALSE)</f>
        <v>TX</v>
      </c>
      <c r="P1569">
        <f>VLOOKUP(A1569,vlookup_table!$A:$G,4,FALSE)</f>
        <v>5208</v>
      </c>
      <c r="Q1569" t="str">
        <f>VLOOKUP(A1569,vlookup_table!$A:$G,5,FALSE)</f>
        <v>U3</v>
      </c>
      <c r="R1569" t="str">
        <f>VLOOKUP(A1569,vlookup_table!$A:$G,6,FALSE)</f>
        <v>F</v>
      </c>
      <c r="S1569">
        <f>VLOOKUP(A1569,vlookup_table!$A:$G,7,FALSE)</f>
        <v>17</v>
      </c>
      <c r="T1569">
        <f t="shared" si="48"/>
        <v>44</v>
      </c>
      <c r="U1569" t="str">
        <f t="shared" si="49"/>
        <v>Urbano</v>
      </c>
    </row>
    <row r="1570" spans="1:21" ht="16" x14ac:dyDescent="0.4">
      <c r="A1570" s="6">
        <v>156344</v>
      </c>
      <c r="B1570" s="6" t="s">
        <v>21</v>
      </c>
      <c r="C1570" s="6" t="s">
        <v>14</v>
      </c>
      <c r="D1570" s="6">
        <v>2917</v>
      </c>
      <c r="E1570" s="6">
        <v>625</v>
      </c>
      <c r="F1570" s="6">
        <v>709</v>
      </c>
      <c r="G1570" s="6">
        <v>93</v>
      </c>
      <c r="H1570" s="6">
        <v>23064</v>
      </c>
      <c r="I1570" s="6">
        <v>13</v>
      </c>
      <c r="J1570" s="6">
        <v>53</v>
      </c>
      <c r="K1570" s="6">
        <v>613</v>
      </c>
      <c r="L1570" s="6">
        <v>712</v>
      </c>
      <c r="M1570" s="6">
        <v>10.09090909</v>
      </c>
      <c r="N1570">
        <f>VLOOKUP(A1570,vlookup_table!$A:$G,2,FALSE)</f>
        <v>1</v>
      </c>
      <c r="O1570" t="str">
        <f>VLOOKUP(A1570,vlookup_table!$A:$G,3,FALSE)</f>
        <v>CA</v>
      </c>
      <c r="P1570">
        <f>VLOOKUP(A1570,vlookup_table!$A:$G,4,FALSE)</f>
        <v>0</v>
      </c>
      <c r="Q1570" t="str">
        <f>VLOOKUP(A1570,vlookup_table!$A:$G,5,FALSE)</f>
        <v>S1</v>
      </c>
      <c r="R1570" t="str">
        <f>VLOOKUP(A1570,vlookup_table!$A:$G,6,FALSE)</f>
        <v>M</v>
      </c>
      <c r="S1570">
        <f>VLOOKUP(A1570,vlookup_table!$A:$G,7,FALSE)</f>
        <v>10</v>
      </c>
      <c r="T1570">
        <f t="shared" si="48"/>
        <v>96</v>
      </c>
      <c r="U1570" t="str">
        <f t="shared" si="49"/>
        <v>Suburbano</v>
      </c>
    </row>
    <row r="1571" spans="1:21" ht="16" x14ac:dyDescent="0.4">
      <c r="A1571" s="6">
        <v>152816</v>
      </c>
      <c r="B1571" s="6" t="s">
        <v>21</v>
      </c>
      <c r="C1571" s="6" t="s">
        <v>17</v>
      </c>
      <c r="D1571" s="6">
        <v>1990</v>
      </c>
      <c r="E1571" s="6">
        <v>301</v>
      </c>
      <c r="F1571" s="6">
        <v>395</v>
      </c>
      <c r="G1571" s="6">
        <v>49</v>
      </c>
      <c r="H1571" s="6">
        <v>14403</v>
      </c>
      <c r="I1571" s="6">
        <v>12</v>
      </c>
      <c r="J1571" s="6">
        <v>53</v>
      </c>
      <c r="K1571" s="6">
        <v>326</v>
      </c>
      <c r="L1571" s="6">
        <v>389</v>
      </c>
      <c r="M1571" s="6">
        <v>15</v>
      </c>
      <c r="N1571">
        <f>VLOOKUP(A1571,vlookup_table!$A:$G,2,FALSE)</f>
        <v>2</v>
      </c>
      <c r="O1571" t="str">
        <f>VLOOKUP(A1571,vlookup_table!$A:$G,3,FALSE)</f>
        <v>CA</v>
      </c>
      <c r="P1571">
        <f>VLOOKUP(A1571,vlookup_table!$A:$G,4,FALSE)</f>
        <v>3201</v>
      </c>
      <c r="Q1571" t="str">
        <f>VLOOKUP(A1571,vlookup_table!$A:$G,5,FALSE)</f>
        <v>S2</v>
      </c>
      <c r="R1571" t="str">
        <f>VLOOKUP(A1571,vlookup_table!$A:$G,6,FALSE)</f>
        <v>F</v>
      </c>
      <c r="S1571">
        <f>VLOOKUP(A1571,vlookup_table!$A:$G,7,FALSE)</f>
        <v>35</v>
      </c>
      <c r="T1571">
        <f t="shared" si="48"/>
        <v>64</v>
      </c>
      <c r="U1571" t="str">
        <f t="shared" si="49"/>
        <v>Suburbano</v>
      </c>
    </row>
    <row r="1572" spans="1:21" ht="16" x14ac:dyDescent="0.4">
      <c r="A1572" s="6">
        <v>133042</v>
      </c>
      <c r="B1572" s="6" t="s">
        <v>38</v>
      </c>
      <c r="C1572" s="6" t="s">
        <v>14</v>
      </c>
      <c r="D1572" s="6">
        <v>427</v>
      </c>
      <c r="E1572" s="6">
        <v>231</v>
      </c>
      <c r="F1572" s="6">
        <v>341</v>
      </c>
      <c r="G1572" s="6">
        <v>0</v>
      </c>
      <c r="H1572" s="6">
        <v>10388</v>
      </c>
      <c r="I1572" s="6">
        <v>6</v>
      </c>
      <c r="J1572" s="6">
        <v>71</v>
      </c>
      <c r="K1572" s="6">
        <v>290</v>
      </c>
      <c r="L1572" s="6">
        <v>290</v>
      </c>
      <c r="M1572" s="6">
        <v>27.5</v>
      </c>
      <c r="N1572">
        <f>VLOOKUP(A1572,vlookup_table!$A:$G,2,FALSE)</f>
        <v>1</v>
      </c>
      <c r="O1572" t="str">
        <f>VLOOKUP(A1572,vlookup_table!$A:$G,3,FALSE)</f>
        <v>ID</v>
      </c>
      <c r="P1572">
        <f>VLOOKUP(A1572,vlookup_table!$A:$G,4,FALSE)</f>
        <v>1301</v>
      </c>
      <c r="Q1572" t="str">
        <f>VLOOKUP(A1572,vlookup_table!$A:$G,5,FALSE)</f>
        <v>R3</v>
      </c>
      <c r="R1572" t="str">
        <f>VLOOKUP(A1572,vlookup_table!$A:$G,6,FALSE)</f>
        <v>M</v>
      </c>
      <c r="S1572">
        <f>VLOOKUP(A1572,vlookup_table!$A:$G,7,FALSE)</f>
        <v>40</v>
      </c>
      <c r="T1572">
        <f t="shared" si="48"/>
        <v>83</v>
      </c>
      <c r="U1572" t="str">
        <f t="shared" si="49"/>
        <v>Rural</v>
      </c>
    </row>
    <row r="1573" spans="1:21" ht="16" x14ac:dyDescent="0.4">
      <c r="A1573" s="6">
        <v>9063</v>
      </c>
      <c r="B1573" s="6" t="s">
        <v>51</v>
      </c>
      <c r="C1573" s="6" t="s">
        <v>14</v>
      </c>
      <c r="D1573" s="6">
        <v>844</v>
      </c>
      <c r="E1573" s="6">
        <v>293</v>
      </c>
      <c r="F1573" s="6">
        <v>390</v>
      </c>
      <c r="G1573" s="6">
        <v>0</v>
      </c>
      <c r="H1573" s="6">
        <v>19809</v>
      </c>
      <c r="I1573" s="6">
        <v>7</v>
      </c>
      <c r="J1573" s="6">
        <v>1</v>
      </c>
      <c r="K1573" s="6">
        <v>336</v>
      </c>
      <c r="L1573" s="6">
        <v>333</v>
      </c>
      <c r="M1573" s="6">
        <v>9.8666666670000005</v>
      </c>
      <c r="N1573">
        <f>VLOOKUP(A1573,vlookup_table!$A:$G,2,FALSE)</f>
        <v>1</v>
      </c>
      <c r="O1573" t="str">
        <f>VLOOKUP(A1573,vlookup_table!$A:$G,3,FALSE)</f>
        <v>AZ</v>
      </c>
      <c r="P1573">
        <f>VLOOKUP(A1573,vlookup_table!$A:$G,4,FALSE)</f>
        <v>1601</v>
      </c>
      <c r="Q1573" t="str">
        <f>VLOOKUP(A1573,vlookup_table!$A:$G,5,FALSE)</f>
        <v/>
      </c>
      <c r="R1573" t="str">
        <f>VLOOKUP(A1573,vlookup_table!$A:$G,6,FALSE)</f>
        <v>M</v>
      </c>
      <c r="S1573">
        <f>VLOOKUP(A1573,vlookup_table!$A:$G,7,FALSE)</f>
        <v>10</v>
      </c>
      <c r="T1573">
        <f t="shared" si="48"/>
        <v>80</v>
      </c>
      <c r="U1573" t="str">
        <f t="shared" si="49"/>
        <v/>
      </c>
    </row>
    <row r="1574" spans="1:21" ht="16" x14ac:dyDescent="0.4">
      <c r="A1574" s="6">
        <v>127527</v>
      </c>
      <c r="B1574" s="6" t="s">
        <v>20</v>
      </c>
      <c r="C1574" s="6" t="s">
        <v>14</v>
      </c>
      <c r="D1574" s="6">
        <v>822</v>
      </c>
      <c r="E1574" s="6">
        <v>228</v>
      </c>
      <c r="F1574" s="6">
        <v>385</v>
      </c>
      <c r="G1574" s="6">
        <v>2</v>
      </c>
      <c r="H1574" s="6">
        <v>11594</v>
      </c>
      <c r="I1574" s="6">
        <v>9</v>
      </c>
      <c r="J1574" s="6">
        <v>72</v>
      </c>
      <c r="K1574" s="6">
        <v>322</v>
      </c>
      <c r="L1574" s="6">
        <v>321</v>
      </c>
      <c r="M1574" s="6">
        <v>10.75</v>
      </c>
      <c r="N1574">
        <f>VLOOKUP(A1574,vlookup_table!$A:$G,2,FALSE)</f>
        <v>1002</v>
      </c>
      <c r="O1574" t="str">
        <f>VLOOKUP(A1574,vlookup_table!$A:$G,3,FALSE)</f>
        <v>TX</v>
      </c>
      <c r="P1574">
        <f>VLOOKUP(A1574,vlookup_table!$A:$G,4,FALSE)</f>
        <v>6002</v>
      </c>
      <c r="Q1574" t="str">
        <f>VLOOKUP(A1574,vlookup_table!$A:$G,5,FALSE)</f>
        <v>R1</v>
      </c>
      <c r="R1574" t="str">
        <f>VLOOKUP(A1574,vlookup_table!$A:$G,6,FALSE)</f>
        <v>M</v>
      </c>
      <c r="S1574">
        <f>VLOOKUP(A1574,vlookup_table!$A:$G,7,FALSE)</f>
        <v>12</v>
      </c>
      <c r="T1574">
        <f t="shared" si="48"/>
        <v>36</v>
      </c>
      <c r="U1574" t="str">
        <f t="shared" si="49"/>
        <v>Rural</v>
      </c>
    </row>
    <row r="1575" spans="1:21" ht="16" x14ac:dyDescent="0.4">
      <c r="A1575" s="6">
        <v>24940</v>
      </c>
      <c r="B1575" s="6" t="s">
        <v>43</v>
      </c>
      <c r="C1575" s="6" t="s">
        <v>17</v>
      </c>
      <c r="D1575" s="6">
        <v>761</v>
      </c>
      <c r="E1575" s="6">
        <v>396</v>
      </c>
      <c r="F1575" s="6">
        <v>464</v>
      </c>
      <c r="G1575" s="6">
        <v>2</v>
      </c>
      <c r="H1575" s="6">
        <v>15429</v>
      </c>
      <c r="I1575" s="6">
        <v>2</v>
      </c>
      <c r="J1575" s="6">
        <v>62</v>
      </c>
      <c r="K1575" s="6">
        <v>422</v>
      </c>
      <c r="L1575" s="6">
        <v>425</v>
      </c>
      <c r="M1575" s="6">
        <v>6.4666666670000001</v>
      </c>
      <c r="N1575">
        <f>VLOOKUP(A1575,vlookup_table!$A:$G,2,FALSE)</f>
        <v>0</v>
      </c>
      <c r="O1575" t="str">
        <f>VLOOKUP(A1575,vlookup_table!$A:$G,3,FALSE)</f>
        <v>SC</v>
      </c>
      <c r="P1575">
        <f>VLOOKUP(A1575,vlookup_table!$A:$G,4,FALSE)</f>
        <v>0</v>
      </c>
      <c r="Q1575" t="str">
        <f>VLOOKUP(A1575,vlookup_table!$A:$G,5,FALSE)</f>
        <v>T1</v>
      </c>
      <c r="R1575" t="str">
        <f>VLOOKUP(A1575,vlookup_table!$A:$G,6,FALSE)</f>
        <v>F</v>
      </c>
      <c r="S1575">
        <f>VLOOKUP(A1575,vlookup_table!$A:$G,7,FALSE)</f>
        <v>15</v>
      </c>
      <c r="T1575">
        <f t="shared" si="48"/>
        <v>96</v>
      </c>
      <c r="U1575" t="str">
        <f t="shared" si="49"/>
        <v>Pueblo</v>
      </c>
    </row>
    <row r="1576" spans="1:21" ht="16" x14ac:dyDescent="0.4">
      <c r="A1576" s="6">
        <v>40520</v>
      </c>
      <c r="B1576" s="6" t="s">
        <v>13</v>
      </c>
      <c r="C1576" s="6" t="s">
        <v>17</v>
      </c>
      <c r="D1576" s="6">
        <v>965</v>
      </c>
      <c r="E1576" s="6">
        <v>356</v>
      </c>
      <c r="F1576" s="6">
        <v>495</v>
      </c>
      <c r="G1576" s="6">
        <v>7</v>
      </c>
      <c r="H1576" s="6">
        <v>19633</v>
      </c>
      <c r="I1576" s="6">
        <v>8</v>
      </c>
      <c r="J1576" s="6">
        <v>24</v>
      </c>
      <c r="K1576" s="6">
        <v>453</v>
      </c>
      <c r="L1576" s="6">
        <v>426</v>
      </c>
      <c r="M1576" s="6">
        <v>9.538461539</v>
      </c>
      <c r="N1576">
        <f>VLOOKUP(A1576,vlookup_table!$A:$G,2,FALSE)</f>
        <v>0</v>
      </c>
      <c r="O1576" t="str">
        <f>VLOOKUP(A1576,vlookup_table!$A:$G,3,FALSE)</f>
        <v>FL</v>
      </c>
      <c r="P1576">
        <f>VLOOKUP(A1576,vlookup_table!$A:$G,4,FALSE)</f>
        <v>1012</v>
      </c>
      <c r="Q1576" t="str">
        <f>VLOOKUP(A1576,vlookup_table!$A:$G,5,FALSE)</f>
        <v>S1</v>
      </c>
      <c r="R1576" t="str">
        <f>VLOOKUP(A1576,vlookup_table!$A:$G,6,FALSE)</f>
        <v>F</v>
      </c>
      <c r="S1576">
        <f>VLOOKUP(A1576,vlookup_table!$A:$G,7,FALSE)</f>
        <v>10</v>
      </c>
      <c r="T1576">
        <f t="shared" si="48"/>
        <v>86</v>
      </c>
      <c r="U1576" t="str">
        <f t="shared" si="49"/>
        <v>Suburbano</v>
      </c>
    </row>
    <row r="1577" spans="1:21" ht="16" x14ac:dyDescent="0.4">
      <c r="A1577" s="6">
        <v>101263</v>
      </c>
      <c r="B1577" s="6" t="s">
        <v>33</v>
      </c>
      <c r="C1577" s="6" t="s">
        <v>17</v>
      </c>
      <c r="D1577" s="6">
        <v>150</v>
      </c>
      <c r="E1577" s="6">
        <v>162</v>
      </c>
      <c r="F1577" s="6">
        <v>239</v>
      </c>
      <c r="G1577" s="6">
        <v>0</v>
      </c>
      <c r="H1577" s="6">
        <v>8299</v>
      </c>
      <c r="I1577" s="6">
        <v>1</v>
      </c>
      <c r="J1577" s="6">
        <v>85</v>
      </c>
      <c r="K1577" s="6">
        <v>197</v>
      </c>
      <c r="L1577" s="6">
        <v>198</v>
      </c>
      <c r="M1577" s="6">
        <v>6.3333333329999997</v>
      </c>
      <c r="N1577">
        <f>VLOOKUP(A1577,vlookup_table!$A:$G,2,FALSE)</f>
        <v>28</v>
      </c>
      <c r="O1577" t="str">
        <f>VLOOKUP(A1577,vlookup_table!$A:$G,3,FALSE)</f>
        <v>MO</v>
      </c>
      <c r="P1577">
        <f>VLOOKUP(A1577,vlookup_table!$A:$G,4,FALSE)</f>
        <v>1601</v>
      </c>
      <c r="Q1577" t="str">
        <f>VLOOKUP(A1577,vlookup_table!$A:$G,5,FALSE)</f>
        <v>R3</v>
      </c>
      <c r="R1577" t="str">
        <f>VLOOKUP(A1577,vlookup_table!$A:$G,6,FALSE)</f>
        <v>F</v>
      </c>
      <c r="S1577">
        <f>VLOOKUP(A1577,vlookup_table!$A:$G,7,FALSE)</f>
        <v>10</v>
      </c>
      <c r="T1577">
        <f t="shared" si="48"/>
        <v>80</v>
      </c>
      <c r="U1577" t="str">
        <f t="shared" si="49"/>
        <v>Rural</v>
      </c>
    </row>
    <row r="1578" spans="1:21" ht="16" x14ac:dyDescent="0.4">
      <c r="A1578" s="6">
        <v>130185</v>
      </c>
      <c r="B1578" s="6" t="s">
        <v>45</v>
      </c>
      <c r="C1578" s="6" t="s">
        <v>17</v>
      </c>
      <c r="D1578" s="6">
        <v>607</v>
      </c>
      <c r="E1578" s="6">
        <v>239</v>
      </c>
      <c r="F1578" s="6">
        <v>279</v>
      </c>
      <c r="G1578" s="6">
        <v>0</v>
      </c>
      <c r="H1578" s="6">
        <v>10199</v>
      </c>
      <c r="I1578" s="6">
        <v>5</v>
      </c>
      <c r="J1578" s="6">
        <v>57</v>
      </c>
      <c r="K1578" s="6">
        <v>260</v>
      </c>
      <c r="L1578" s="6">
        <v>256</v>
      </c>
      <c r="M1578" s="6">
        <v>3.6</v>
      </c>
      <c r="N1578">
        <f>VLOOKUP(A1578,vlookup_table!$A:$G,2,FALSE)</f>
        <v>2</v>
      </c>
      <c r="O1578" t="str">
        <f>VLOOKUP(A1578,vlookup_table!$A:$G,3,FALSE)</f>
        <v>CO</v>
      </c>
      <c r="P1578">
        <f>VLOOKUP(A1578,vlookup_table!$A:$G,4,FALSE)</f>
        <v>1601</v>
      </c>
      <c r="Q1578" t="str">
        <f>VLOOKUP(A1578,vlookup_table!$A:$G,5,FALSE)</f>
        <v>U3</v>
      </c>
      <c r="R1578" t="str">
        <f>VLOOKUP(A1578,vlookup_table!$A:$G,6,FALSE)</f>
        <v>F</v>
      </c>
      <c r="S1578">
        <f>VLOOKUP(A1578,vlookup_table!$A:$G,7,FALSE)</f>
        <v>3</v>
      </c>
      <c r="T1578">
        <f t="shared" si="48"/>
        <v>80</v>
      </c>
      <c r="U1578" t="str">
        <f t="shared" si="49"/>
        <v>Urbano</v>
      </c>
    </row>
    <row r="1579" spans="1:21" ht="16" x14ac:dyDescent="0.4">
      <c r="A1579" s="6">
        <v>84599</v>
      </c>
      <c r="B1579" s="6" t="s">
        <v>52</v>
      </c>
      <c r="C1579" s="6" t="s">
        <v>17</v>
      </c>
      <c r="D1579" s="6">
        <v>760</v>
      </c>
      <c r="E1579" s="6">
        <v>469</v>
      </c>
      <c r="F1579" s="6">
        <v>544</v>
      </c>
      <c r="G1579" s="6">
        <v>0</v>
      </c>
      <c r="H1579" s="6">
        <v>17948</v>
      </c>
      <c r="I1579" s="6">
        <v>0</v>
      </c>
      <c r="J1579" s="6">
        <v>66</v>
      </c>
      <c r="K1579" s="6">
        <v>505</v>
      </c>
      <c r="L1579" s="6">
        <v>492</v>
      </c>
      <c r="M1579" s="6">
        <v>7.8</v>
      </c>
      <c r="N1579">
        <f>VLOOKUP(A1579,vlookup_table!$A:$G,2,FALSE)</f>
        <v>28</v>
      </c>
      <c r="O1579" t="str">
        <f>VLOOKUP(A1579,vlookup_table!$A:$G,3,FALSE)</f>
        <v>MN</v>
      </c>
      <c r="P1579">
        <f>VLOOKUP(A1579,vlookup_table!$A:$G,4,FALSE)</f>
        <v>5801</v>
      </c>
      <c r="Q1579" t="str">
        <f>VLOOKUP(A1579,vlookup_table!$A:$G,5,FALSE)</f>
        <v>C2</v>
      </c>
      <c r="R1579" t="str">
        <f>VLOOKUP(A1579,vlookup_table!$A:$G,6,FALSE)</f>
        <v>F</v>
      </c>
      <c r="S1579">
        <f>VLOOKUP(A1579,vlookup_table!$A:$G,7,FALSE)</f>
        <v>11</v>
      </c>
      <c r="T1579">
        <f t="shared" si="48"/>
        <v>38</v>
      </c>
      <c r="U1579" t="str">
        <f t="shared" si="49"/>
        <v>Ciudad</v>
      </c>
    </row>
    <row r="1580" spans="1:21" ht="16" x14ac:dyDescent="0.4">
      <c r="A1580" s="6">
        <v>95208</v>
      </c>
      <c r="B1580" s="6" t="s">
        <v>16</v>
      </c>
      <c r="C1580" s="6" t="s">
        <v>17</v>
      </c>
      <c r="D1580" s="6">
        <v>445</v>
      </c>
      <c r="E1580" s="6">
        <v>234</v>
      </c>
      <c r="F1580" s="6">
        <v>306</v>
      </c>
      <c r="G1580" s="6">
        <v>0</v>
      </c>
      <c r="H1580" s="6">
        <v>10475</v>
      </c>
      <c r="I1580" s="6">
        <v>1</v>
      </c>
      <c r="J1580" s="6">
        <v>84</v>
      </c>
      <c r="K1580" s="6">
        <v>253</v>
      </c>
      <c r="L1580" s="6">
        <v>270</v>
      </c>
      <c r="M1580" s="6">
        <v>8.9</v>
      </c>
      <c r="N1580">
        <f>VLOOKUP(A1580,vlookup_table!$A:$G,2,FALSE)</f>
        <v>0</v>
      </c>
      <c r="O1580" t="str">
        <f>VLOOKUP(A1580,vlookup_table!$A:$G,3,FALSE)</f>
        <v>IL</v>
      </c>
      <c r="P1580">
        <f>VLOOKUP(A1580,vlookup_table!$A:$G,4,FALSE)</f>
        <v>2312</v>
      </c>
      <c r="Q1580" t="str">
        <f>VLOOKUP(A1580,vlookup_table!$A:$G,5,FALSE)</f>
        <v>R2</v>
      </c>
      <c r="R1580" t="str">
        <f>VLOOKUP(A1580,vlookup_table!$A:$G,6,FALSE)</f>
        <v>F</v>
      </c>
      <c r="S1580">
        <f>VLOOKUP(A1580,vlookup_table!$A:$G,7,FALSE)</f>
        <v>10</v>
      </c>
      <c r="T1580">
        <f t="shared" si="48"/>
        <v>73</v>
      </c>
      <c r="U1580" t="str">
        <f t="shared" si="49"/>
        <v>Rural</v>
      </c>
    </row>
    <row r="1581" spans="1:21" ht="16" x14ac:dyDescent="0.4">
      <c r="A1581" s="6">
        <v>129822</v>
      </c>
      <c r="B1581" s="6" t="s">
        <v>45</v>
      </c>
      <c r="C1581" s="6" t="s">
        <v>17</v>
      </c>
      <c r="D1581" s="6">
        <v>1331</v>
      </c>
      <c r="E1581" s="6">
        <v>503</v>
      </c>
      <c r="F1581" s="6">
        <v>635</v>
      </c>
      <c r="G1581" s="6">
        <v>13</v>
      </c>
      <c r="H1581" s="6">
        <v>22045</v>
      </c>
      <c r="I1581" s="6">
        <v>7</v>
      </c>
      <c r="J1581" s="6">
        <v>26</v>
      </c>
      <c r="K1581" s="6">
        <v>579</v>
      </c>
      <c r="L1581" s="6">
        <v>561</v>
      </c>
      <c r="M1581" s="6">
        <v>12.2</v>
      </c>
      <c r="N1581">
        <f>VLOOKUP(A1581,vlookup_table!$A:$G,2,FALSE)</f>
        <v>28</v>
      </c>
      <c r="O1581" t="str">
        <f>VLOOKUP(A1581,vlookup_table!$A:$G,3,FALSE)</f>
        <v>CO</v>
      </c>
      <c r="P1581">
        <f>VLOOKUP(A1581,vlookup_table!$A:$G,4,FALSE)</f>
        <v>4701</v>
      </c>
      <c r="Q1581" t="str">
        <f>VLOOKUP(A1581,vlookup_table!$A:$G,5,FALSE)</f>
        <v>S1</v>
      </c>
      <c r="R1581" t="str">
        <f>VLOOKUP(A1581,vlookup_table!$A:$G,6,FALSE)</f>
        <v>F</v>
      </c>
      <c r="S1581">
        <f>VLOOKUP(A1581,vlookup_table!$A:$G,7,FALSE)</f>
        <v>20</v>
      </c>
      <c r="T1581">
        <f t="shared" si="48"/>
        <v>49</v>
      </c>
      <c r="U1581" t="str">
        <f t="shared" si="49"/>
        <v>Suburbano</v>
      </c>
    </row>
    <row r="1582" spans="1:21" ht="16" x14ac:dyDescent="0.4">
      <c r="A1582" s="6">
        <v>97026</v>
      </c>
      <c r="B1582" s="6" t="s">
        <v>16</v>
      </c>
      <c r="C1582" s="6" t="s">
        <v>17</v>
      </c>
      <c r="D1582" s="6">
        <v>598</v>
      </c>
      <c r="E1582" s="6">
        <v>371</v>
      </c>
      <c r="F1582" s="6">
        <v>487</v>
      </c>
      <c r="G1582" s="6">
        <v>0</v>
      </c>
      <c r="H1582" s="6">
        <v>16242</v>
      </c>
      <c r="I1582" s="6">
        <v>2</v>
      </c>
      <c r="J1582" s="6">
        <v>73</v>
      </c>
      <c r="K1582" s="6">
        <v>453</v>
      </c>
      <c r="L1582" s="6">
        <v>419</v>
      </c>
      <c r="M1582" s="6">
        <v>11.5</v>
      </c>
      <c r="N1582">
        <f>VLOOKUP(A1582,vlookup_table!$A:$G,2,FALSE)</f>
        <v>0</v>
      </c>
      <c r="O1582" t="str">
        <f>VLOOKUP(A1582,vlookup_table!$A:$G,3,FALSE)</f>
        <v>IL</v>
      </c>
      <c r="P1582">
        <f>VLOOKUP(A1582,vlookup_table!$A:$G,4,FALSE)</f>
        <v>4701</v>
      </c>
      <c r="Q1582" t="str">
        <f>VLOOKUP(A1582,vlookup_table!$A:$G,5,FALSE)</f>
        <v>C1</v>
      </c>
      <c r="R1582" t="str">
        <f>VLOOKUP(A1582,vlookup_table!$A:$G,6,FALSE)</f>
        <v>F</v>
      </c>
      <c r="S1582">
        <f>VLOOKUP(A1582,vlookup_table!$A:$G,7,FALSE)</f>
        <v>10</v>
      </c>
      <c r="T1582">
        <f t="shared" si="48"/>
        <v>49</v>
      </c>
      <c r="U1582" t="str">
        <f t="shared" si="49"/>
        <v>Ciudad</v>
      </c>
    </row>
    <row r="1583" spans="1:21" ht="16" x14ac:dyDescent="0.4">
      <c r="A1583" s="6">
        <v>165378</v>
      </c>
      <c r="B1583" s="6" t="s">
        <v>21</v>
      </c>
      <c r="C1583" s="6" t="s">
        <v>17</v>
      </c>
      <c r="D1583" s="6">
        <v>3997</v>
      </c>
      <c r="E1583" s="6">
        <v>896</v>
      </c>
      <c r="F1583" s="6">
        <v>945</v>
      </c>
      <c r="G1583" s="6">
        <v>97</v>
      </c>
      <c r="H1583" s="6">
        <v>41664</v>
      </c>
      <c r="I1583" s="6">
        <v>16</v>
      </c>
      <c r="J1583" s="6">
        <v>49</v>
      </c>
      <c r="K1583" s="6">
        <v>915</v>
      </c>
      <c r="L1583" s="6">
        <v>919</v>
      </c>
      <c r="M1583" s="6">
        <v>10.625</v>
      </c>
      <c r="N1583">
        <f>VLOOKUP(A1583,vlookup_table!$A:$G,2,FALSE)</f>
        <v>0</v>
      </c>
      <c r="O1583" t="str">
        <f>VLOOKUP(A1583,vlookup_table!$A:$G,3,FALSE)</f>
        <v>CA</v>
      </c>
      <c r="P1583">
        <f>VLOOKUP(A1583,vlookup_table!$A:$G,4,FALSE)</f>
        <v>6006</v>
      </c>
      <c r="Q1583" t="str">
        <f>VLOOKUP(A1583,vlookup_table!$A:$G,5,FALSE)</f>
        <v>S1</v>
      </c>
      <c r="R1583" t="str">
        <f>VLOOKUP(A1583,vlookup_table!$A:$G,6,FALSE)</f>
        <v>F</v>
      </c>
      <c r="S1583">
        <f>VLOOKUP(A1583,vlookup_table!$A:$G,7,FALSE)</f>
        <v>23</v>
      </c>
      <c r="T1583">
        <f t="shared" si="48"/>
        <v>36</v>
      </c>
      <c r="U1583" t="str">
        <f t="shared" si="49"/>
        <v>Suburbano</v>
      </c>
    </row>
    <row r="1584" spans="1:21" ht="16" x14ac:dyDescent="0.4">
      <c r="A1584" s="6">
        <v>160196</v>
      </c>
      <c r="B1584" s="6" t="s">
        <v>21</v>
      </c>
      <c r="C1584" s="6" t="s">
        <v>17</v>
      </c>
      <c r="D1584" s="6">
        <v>3461</v>
      </c>
      <c r="E1584" s="6">
        <v>404</v>
      </c>
      <c r="F1584" s="6">
        <v>514</v>
      </c>
      <c r="G1584" s="6">
        <v>90</v>
      </c>
      <c r="H1584" s="6">
        <v>17618</v>
      </c>
      <c r="I1584" s="6">
        <v>3</v>
      </c>
      <c r="J1584" s="6">
        <v>67</v>
      </c>
      <c r="K1584" s="6">
        <v>423</v>
      </c>
      <c r="L1584" s="6">
        <v>479</v>
      </c>
      <c r="M1584" s="6">
        <v>6.153846154</v>
      </c>
      <c r="N1584">
        <f>VLOOKUP(A1584,vlookup_table!$A:$G,2,FALSE)</f>
        <v>0</v>
      </c>
      <c r="O1584" t="str">
        <f>VLOOKUP(A1584,vlookup_table!$A:$G,3,FALSE)</f>
        <v>CA</v>
      </c>
      <c r="P1584">
        <f>VLOOKUP(A1584,vlookup_table!$A:$G,4,FALSE)</f>
        <v>5101</v>
      </c>
      <c r="Q1584" t="str">
        <f>VLOOKUP(A1584,vlookup_table!$A:$G,5,FALSE)</f>
        <v>T1</v>
      </c>
      <c r="R1584" t="str">
        <f>VLOOKUP(A1584,vlookup_table!$A:$G,6,FALSE)</f>
        <v>F</v>
      </c>
      <c r="S1584">
        <f>VLOOKUP(A1584,vlookup_table!$A:$G,7,FALSE)</f>
        <v>10</v>
      </c>
      <c r="T1584">
        <f t="shared" si="48"/>
        <v>45</v>
      </c>
      <c r="U1584" t="str">
        <f t="shared" si="49"/>
        <v>Pueblo</v>
      </c>
    </row>
    <row r="1585" spans="1:21" ht="16" x14ac:dyDescent="0.4">
      <c r="A1585" s="6">
        <v>57052</v>
      </c>
      <c r="B1585" s="6" t="s">
        <v>53</v>
      </c>
      <c r="C1585" s="6" t="s">
        <v>27</v>
      </c>
      <c r="D1585" s="6">
        <v>683</v>
      </c>
      <c r="E1585" s="6">
        <v>267</v>
      </c>
      <c r="F1585" s="6">
        <v>362</v>
      </c>
      <c r="G1585" s="6">
        <v>2</v>
      </c>
      <c r="H1585" s="6">
        <v>11879</v>
      </c>
      <c r="I1585" s="6">
        <v>1</v>
      </c>
      <c r="J1585" s="6">
        <v>84</v>
      </c>
      <c r="K1585" s="6">
        <v>309</v>
      </c>
      <c r="L1585" s="6">
        <v>325</v>
      </c>
      <c r="M1585" s="6">
        <v>16.571428569999998</v>
      </c>
      <c r="N1585">
        <f>VLOOKUP(A1585,vlookup_table!$A:$G,2,FALSE)</f>
        <v>0</v>
      </c>
      <c r="O1585" t="str">
        <f>VLOOKUP(A1585,vlookup_table!$A:$G,3,FALSE)</f>
        <v>KY</v>
      </c>
      <c r="P1585">
        <f>VLOOKUP(A1585,vlookup_table!$A:$G,4,FALSE)</f>
        <v>4701</v>
      </c>
      <c r="Q1585" t="str">
        <f>VLOOKUP(A1585,vlookup_table!$A:$G,5,FALSE)</f>
        <v>R2</v>
      </c>
      <c r="R1585" t="str">
        <f>VLOOKUP(A1585,vlookup_table!$A:$G,6,FALSE)</f>
        <v>U</v>
      </c>
      <c r="S1585">
        <f>VLOOKUP(A1585,vlookup_table!$A:$G,7,FALSE)</f>
        <v>29</v>
      </c>
      <c r="T1585">
        <f t="shared" si="48"/>
        <v>49</v>
      </c>
      <c r="U1585" t="str">
        <f t="shared" si="49"/>
        <v>Rural</v>
      </c>
    </row>
    <row r="1586" spans="1:21" ht="16" x14ac:dyDescent="0.4">
      <c r="A1586" s="6">
        <v>144577</v>
      </c>
      <c r="B1586" s="6" t="s">
        <v>21</v>
      </c>
      <c r="C1586" s="6" t="s">
        <v>14</v>
      </c>
      <c r="D1586" s="6">
        <v>5739</v>
      </c>
      <c r="E1586" s="6">
        <v>634</v>
      </c>
      <c r="F1586" s="6">
        <v>810</v>
      </c>
      <c r="G1586" s="6">
        <v>97</v>
      </c>
      <c r="H1586" s="6">
        <v>45680</v>
      </c>
      <c r="I1586" s="6">
        <v>8</v>
      </c>
      <c r="J1586" s="6">
        <v>45</v>
      </c>
      <c r="K1586" s="6">
        <v>670</v>
      </c>
      <c r="L1586" s="6">
        <v>792</v>
      </c>
      <c r="M1586" s="6">
        <v>9.2857142859999993</v>
      </c>
      <c r="N1586">
        <f>VLOOKUP(A1586,vlookup_table!$A:$G,2,FALSE)</f>
        <v>1</v>
      </c>
      <c r="O1586" t="str">
        <f>VLOOKUP(A1586,vlookup_table!$A:$G,3,FALSE)</f>
        <v>CA</v>
      </c>
      <c r="P1586">
        <f>VLOOKUP(A1586,vlookup_table!$A:$G,4,FALSE)</f>
        <v>1603</v>
      </c>
      <c r="Q1586" t="str">
        <f>VLOOKUP(A1586,vlookup_table!$A:$G,5,FALSE)</f>
        <v>U1</v>
      </c>
      <c r="R1586" t="str">
        <f>VLOOKUP(A1586,vlookup_table!$A:$G,6,FALSE)</f>
        <v>M</v>
      </c>
      <c r="S1586">
        <f>VLOOKUP(A1586,vlookup_table!$A:$G,7,FALSE)</f>
        <v>15</v>
      </c>
      <c r="T1586">
        <f t="shared" si="48"/>
        <v>80</v>
      </c>
      <c r="U1586" t="str">
        <f t="shared" si="49"/>
        <v>Urbano</v>
      </c>
    </row>
    <row r="1587" spans="1:21" ht="16" x14ac:dyDescent="0.4">
      <c r="A1587" s="6">
        <v>103591</v>
      </c>
      <c r="B1587" s="6" t="s">
        <v>33</v>
      </c>
      <c r="C1587" s="6" t="s">
        <v>14</v>
      </c>
      <c r="D1587" s="6">
        <v>150</v>
      </c>
      <c r="E1587" s="6">
        <v>202</v>
      </c>
      <c r="F1587" s="6">
        <v>258</v>
      </c>
      <c r="G1587" s="6">
        <v>0</v>
      </c>
      <c r="H1587" s="6">
        <v>8084</v>
      </c>
      <c r="I1587" s="6">
        <v>1</v>
      </c>
      <c r="J1587" s="6">
        <v>90</v>
      </c>
      <c r="K1587" s="6">
        <v>251</v>
      </c>
      <c r="L1587" s="6">
        <v>223</v>
      </c>
      <c r="M1587" s="6">
        <v>6.1</v>
      </c>
      <c r="N1587">
        <f>VLOOKUP(A1587,vlookup_table!$A:$G,2,FALSE)</f>
        <v>39002</v>
      </c>
      <c r="O1587" t="str">
        <f>VLOOKUP(A1587,vlookup_table!$A:$G,3,FALSE)</f>
        <v>MO</v>
      </c>
      <c r="P1587">
        <f>VLOOKUP(A1587,vlookup_table!$A:$G,4,FALSE)</f>
        <v>0</v>
      </c>
      <c r="Q1587" t="str">
        <f>VLOOKUP(A1587,vlookup_table!$A:$G,5,FALSE)</f>
        <v>R2</v>
      </c>
      <c r="R1587" t="str">
        <f>VLOOKUP(A1587,vlookup_table!$A:$G,6,FALSE)</f>
        <v>M</v>
      </c>
      <c r="S1587">
        <f>VLOOKUP(A1587,vlookup_table!$A:$G,7,FALSE)</f>
        <v>3</v>
      </c>
      <c r="T1587">
        <f t="shared" si="48"/>
        <v>96</v>
      </c>
      <c r="U1587" t="str">
        <f t="shared" si="49"/>
        <v>Rural</v>
      </c>
    </row>
    <row r="1588" spans="1:21" ht="16" x14ac:dyDescent="0.4">
      <c r="A1588" s="6">
        <v>111708</v>
      </c>
      <c r="B1588" s="6" t="s">
        <v>29</v>
      </c>
      <c r="C1588" s="6" t="s">
        <v>97</v>
      </c>
      <c r="D1588" s="6">
        <v>502</v>
      </c>
      <c r="E1588" s="6">
        <v>247</v>
      </c>
      <c r="F1588" s="6">
        <v>336</v>
      </c>
      <c r="G1588" s="6">
        <v>0</v>
      </c>
      <c r="H1588" s="6">
        <v>11053</v>
      </c>
      <c r="I1588" s="6">
        <v>2</v>
      </c>
      <c r="J1588" s="6">
        <v>75</v>
      </c>
      <c r="K1588" s="6">
        <v>298</v>
      </c>
      <c r="L1588" s="6">
        <v>292</v>
      </c>
      <c r="M1588" s="6">
        <v>9</v>
      </c>
      <c r="N1588">
        <f>VLOOKUP(A1588,vlookup_table!$A:$G,2,FALSE)</f>
        <v>0</v>
      </c>
      <c r="O1588" t="str">
        <f>VLOOKUP(A1588,vlookup_table!$A:$G,3,FALSE)</f>
        <v>AR</v>
      </c>
      <c r="P1588">
        <f>VLOOKUP(A1588,vlookup_table!$A:$G,4,FALSE)</f>
        <v>0</v>
      </c>
      <c r="Q1588" t="str">
        <f>VLOOKUP(A1588,vlookup_table!$A:$G,5,FALSE)</f>
        <v>S1</v>
      </c>
      <c r="R1588" t="str">
        <f>VLOOKUP(A1588,vlookup_table!$A:$G,6,FALSE)</f>
        <v>F</v>
      </c>
      <c r="S1588">
        <f>VLOOKUP(A1588,vlookup_table!$A:$G,7,FALSE)</f>
        <v>15</v>
      </c>
      <c r="T1588">
        <f t="shared" si="48"/>
        <v>96</v>
      </c>
      <c r="U1588" t="str">
        <f t="shared" si="49"/>
        <v>Suburbano</v>
      </c>
    </row>
    <row r="1589" spans="1:21" ht="16" x14ac:dyDescent="0.4">
      <c r="A1589" s="6">
        <v>89030</v>
      </c>
      <c r="B1589" s="6" t="s">
        <v>16</v>
      </c>
      <c r="C1589" s="6" t="s">
        <v>17</v>
      </c>
      <c r="D1589" s="6">
        <v>539</v>
      </c>
      <c r="E1589" s="6">
        <v>268</v>
      </c>
      <c r="F1589" s="6">
        <v>384</v>
      </c>
      <c r="G1589" s="6">
        <v>0</v>
      </c>
      <c r="H1589" s="6">
        <v>10905</v>
      </c>
      <c r="I1589" s="6">
        <v>15</v>
      </c>
      <c r="J1589" s="6">
        <v>45</v>
      </c>
      <c r="K1589" s="6">
        <v>303</v>
      </c>
      <c r="L1589" s="6">
        <v>377</v>
      </c>
      <c r="M1589" s="6">
        <v>5.625</v>
      </c>
      <c r="N1589">
        <f>VLOOKUP(A1589,vlookup_table!$A:$G,2,FALSE)</f>
        <v>0</v>
      </c>
      <c r="O1589" t="str">
        <f>VLOOKUP(A1589,vlookup_table!$A:$G,3,FALSE)</f>
        <v>IL</v>
      </c>
      <c r="P1589">
        <f>VLOOKUP(A1589,vlookup_table!$A:$G,4,FALSE)</f>
        <v>2501</v>
      </c>
      <c r="Q1589" t="str">
        <f>VLOOKUP(A1589,vlookup_table!$A:$G,5,FALSE)</f>
        <v>U3</v>
      </c>
      <c r="R1589" t="str">
        <f>VLOOKUP(A1589,vlookup_table!$A:$G,6,FALSE)</f>
        <v>F</v>
      </c>
      <c r="S1589">
        <f>VLOOKUP(A1589,vlookup_table!$A:$G,7,FALSE)</f>
        <v>11</v>
      </c>
      <c r="T1589">
        <f t="shared" si="48"/>
        <v>71</v>
      </c>
      <c r="U1589" t="str">
        <f t="shared" si="49"/>
        <v>Urbano</v>
      </c>
    </row>
    <row r="1590" spans="1:21" ht="16" x14ac:dyDescent="0.4">
      <c r="A1590" s="6">
        <v>169678</v>
      </c>
      <c r="B1590" s="6" t="s">
        <v>21</v>
      </c>
      <c r="C1590" s="6" t="s">
        <v>17</v>
      </c>
      <c r="D1590" s="6">
        <v>1856</v>
      </c>
      <c r="E1590" s="6">
        <v>504</v>
      </c>
      <c r="F1590" s="6">
        <v>536</v>
      </c>
      <c r="G1590" s="6">
        <v>33</v>
      </c>
      <c r="H1590" s="6">
        <v>17132</v>
      </c>
      <c r="I1590" s="6">
        <v>6</v>
      </c>
      <c r="J1590" s="6">
        <v>63</v>
      </c>
      <c r="K1590" s="6">
        <v>523</v>
      </c>
      <c r="L1590" s="6">
        <v>516</v>
      </c>
      <c r="M1590" s="6">
        <v>13</v>
      </c>
      <c r="N1590">
        <f>VLOOKUP(A1590,vlookup_table!$A:$G,2,FALSE)</f>
        <v>0</v>
      </c>
      <c r="O1590" t="str">
        <f>VLOOKUP(A1590,vlookup_table!$A:$G,3,FALSE)</f>
        <v>CA</v>
      </c>
      <c r="P1590">
        <f>VLOOKUP(A1590,vlookup_table!$A:$G,4,FALSE)</f>
        <v>2401</v>
      </c>
      <c r="Q1590" t="str">
        <f>VLOOKUP(A1590,vlookup_table!$A:$G,5,FALSE)</f>
        <v>S1</v>
      </c>
      <c r="R1590" t="str">
        <f>VLOOKUP(A1590,vlookup_table!$A:$G,6,FALSE)</f>
        <v>F</v>
      </c>
      <c r="S1590">
        <f>VLOOKUP(A1590,vlookup_table!$A:$G,7,FALSE)</f>
        <v>20</v>
      </c>
      <c r="T1590">
        <f t="shared" si="48"/>
        <v>72</v>
      </c>
      <c r="U1590" t="str">
        <f t="shared" si="49"/>
        <v>Suburbano</v>
      </c>
    </row>
    <row r="1591" spans="1:21" ht="16" x14ac:dyDescent="0.4">
      <c r="A1591" s="6">
        <v>95831</v>
      </c>
      <c r="B1591" s="6" t="s">
        <v>16</v>
      </c>
      <c r="C1591" s="6" t="s">
        <v>14</v>
      </c>
      <c r="D1591" s="6">
        <v>301</v>
      </c>
      <c r="E1591" s="6">
        <v>238</v>
      </c>
      <c r="F1591" s="6">
        <v>347</v>
      </c>
      <c r="G1591" s="6">
        <v>0</v>
      </c>
      <c r="H1591" s="6">
        <v>12366</v>
      </c>
      <c r="I1591" s="6">
        <v>0</v>
      </c>
      <c r="J1591" s="6">
        <v>80</v>
      </c>
      <c r="K1591" s="6">
        <v>354</v>
      </c>
      <c r="L1591" s="6">
        <v>267</v>
      </c>
      <c r="M1591" s="6">
        <v>10.5</v>
      </c>
      <c r="N1591">
        <f>VLOOKUP(A1591,vlookup_table!$A:$G,2,FALSE)</f>
        <v>1</v>
      </c>
      <c r="O1591" t="str">
        <f>VLOOKUP(A1591,vlookup_table!$A:$G,3,FALSE)</f>
        <v>IL</v>
      </c>
      <c r="P1591">
        <f>VLOOKUP(A1591,vlookup_table!$A:$G,4,FALSE)</f>
        <v>2701</v>
      </c>
      <c r="Q1591" t="str">
        <f>VLOOKUP(A1591,vlookup_table!$A:$G,5,FALSE)</f>
        <v>R2</v>
      </c>
      <c r="R1591" t="str">
        <f>VLOOKUP(A1591,vlookup_table!$A:$G,6,FALSE)</f>
        <v>M</v>
      </c>
      <c r="S1591">
        <f>VLOOKUP(A1591,vlookup_table!$A:$G,7,FALSE)</f>
        <v>10</v>
      </c>
      <c r="T1591">
        <f t="shared" si="48"/>
        <v>69</v>
      </c>
      <c r="U1591" t="str">
        <f t="shared" si="49"/>
        <v>Rural</v>
      </c>
    </row>
    <row r="1592" spans="1:21" ht="16" x14ac:dyDescent="0.4">
      <c r="A1592" s="6">
        <v>48047</v>
      </c>
      <c r="B1592" s="6" t="s">
        <v>40</v>
      </c>
      <c r="C1592" s="6" t="s">
        <v>17</v>
      </c>
      <c r="D1592" s="6">
        <v>1075</v>
      </c>
      <c r="E1592" s="6">
        <v>511</v>
      </c>
      <c r="F1592" s="6">
        <v>590</v>
      </c>
      <c r="G1592" s="6">
        <v>6</v>
      </c>
      <c r="H1592" s="6">
        <v>20216</v>
      </c>
      <c r="I1592" s="6">
        <v>4</v>
      </c>
      <c r="J1592" s="6">
        <v>41</v>
      </c>
      <c r="K1592" s="6">
        <v>556</v>
      </c>
      <c r="L1592" s="6">
        <v>552</v>
      </c>
      <c r="M1592" s="6">
        <v>5.8</v>
      </c>
      <c r="N1592">
        <f>VLOOKUP(A1592,vlookup_table!$A:$G,2,FALSE)</f>
        <v>0</v>
      </c>
      <c r="O1592" t="str">
        <f>VLOOKUP(A1592,vlookup_table!$A:$G,3,FALSE)</f>
        <v>AL</v>
      </c>
      <c r="P1592">
        <f>VLOOKUP(A1592,vlookup_table!$A:$G,4,FALSE)</f>
        <v>0</v>
      </c>
      <c r="Q1592" t="str">
        <f>VLOOKUP(A1592,vlookup_table!$A:$G,5,FALSE)</f>
        <v>T1</v>
      </c>
      <c r="R1592" t="str">
        <f>VLOOKUP(A1592,vlookup_table!$A:$G,6,FALSE)</f>
        <v>F</v>
      </c>
      <c r="S1592">
        <f>VLOOKUP(A1592,vlookup_table!$A:$G,7,FALSE)</f>
        <v>6</v>
      </c>
      <c r="T1592">
        <f t="shared" si="48"/>
        <v>96</v>
      </c>
      <c r="U1592" t="str">
        <f t="shared" si="49"/>
        <v>Pueblo</v>
      </c>
    </row>
    <row r="1593" spans="1:21" ht="16" x14ac:dyDescent="0.4">
      <c r="A1593" s="6">
        <v>156378</v>
      </c>
      <c r="B1593" s="6" t="s">
        <v>21</v>
      </c>
      <c r="C1593" s="6" t="s">
        <v>17</v>
      </c>
      <c r="D1593" s="6">
        <v>5000</v>
      </c>
      <c r="E1593" s="6">
        <v>738</v>
      </c>
      <c r="F1593" s="6">
        <v>959</v>
      </c>
      <c r="G1593" s="6">
        <v>99</v>
      </c>
      <c r="H1593" s="6">
        <v>50907</v>
      </c>
      <c r="I1593" s="6">
        <v>9</v>
      </c>
      <c r="J1593" s="6">
        <v>48</v>
      </c>
      <c r="K1593" s="6">
        <v>963</v>
      </c>
      <c r="L1593" s="6">
        <v>797</v>
      </c>
      <c r="M1593" s="6">
        <v>11</v>
      </c>
      <c r="N1593">
        <f>VLOOKUP(A1593,vlookup_table!$A:$G,2,FALSE)</f>
        <v>0</v>
      </c>
      <c r="O1593" t="str">
        <f>VLOOKUP(A1593,vlookup_table!$A:$G,3,FALSE)</f>
        <v>CA</v>
      </c>
      <c r="P1593">
        <f>VLOOKUP(A1593,vlookup_table!$A:$G,4,FALSE)</f>
        <v>2807</v>
      </c>
      <c r="Q1593" t="str">
        <f>VLOOKUP(A1593,vlookup_table!$A:$G,5,FALSE)</f>
        <v>S1</v>
      </c>
      <c r="R1593" t="str">
        <f>VLOOKUP(A1593,vlookup_table!$A:$G,6,FALSE)</f>
        <v>F</v>
      </c>
      <c r="S1593">
        <f>VLOOKUP(A1593,vlookup_table!$A:$G,7,FALSE)</f>
        <v>13</v>
      </c>
      <c r="T1593">
        <f t="shared" si="48"/>
        <v>68</v>
      </c>
      <c r="U1593" t="str">
        <f t="shared" si="49"/>
        <v>Suburbano</v>
      </c>
    </row>
    <row r="1594" spans="1:21" ht="16" x14ac:dyDescent="0.4">
      <c r="A1594" s="6">
        <v>58130</v>
      </c>
      <c r="B1594" s="6" t="s">
        <v>53</v>
      </c>
      <c r="C1594" s="6" t="s">
        <v>17</v>
      </c>
      <c r="D1594" s="6">
        <v>283</v>
      </c>
      <c r="E1594" s="6">
        <v>149</v>
      </c>
      <c r="F1594" s="6">
        <v>227</v>
      </c>
      <c r="G1594" s="6">
        <v>0</v>
      </c>
      <c r="H1594" s="6">
        <v>7466</v>
      </c>
      <c r="I1594" s="6">
        <v>0</v>
      </c>
      <c r="J1594" s="6">
        <v>73</v>
      </c>
      <c r="K1594" s="6">
        <v>168</v>
      </c>
      <c r="L1594" s="6">
        <v>207</v>
      </c>
      <c r="M1594" s="6">
        <v>5.1111111109999996</v>
      </c>
      <c r="N1594">
        <f>VLOOKUP(A1594,vlookup_table!$A:$G,2,FALSE)</f>
        <v>0</v>
      </c>
      <c r="O1594" t="str">
        <f>VLOOKUP(A1594,vlookup_table!$A:$G,3,FALSE)</f>
        <v>KY</v>
      </c>
      <c r="P1594">
        <f>VLOOKUP(A1594,vlookup_table!$A:$G,4,FALSE)</f>
        <v>0</v>
      </c>
      <c r="Q1594" t="str">
        <f>VLOOKUP(A1594,vlookup_table!$A:$G,5,FALSE)</f>
        <v>R3</v>
      </c>
      <c r="R1594" t="str">
        <f>VLOOKUP(A1594,vlookup_table!$A:$G,6,FALSE)</f>
        <v>F</v>
      </c>
      <c r="S1594">
        <f>VLOOKUP(A1594,vlookup_table!$A:$G,7,FALSE)</f>
        <v>7</v>
      </c>
      <c r="T1594">
        <f t="shared" si="48"/>
        <v>96</v>
      </c>
      <c r="U1594" t="str">
        <f t="shared" si="49"/>
        <v>Rural</v>
      </c>
    </row>
    <row r="1595" spans="1:21" ht="16" x14ac:dyDescent="0.4">
      <c r="A1595" s="6">
        <v>111459</v>
      </c>
      <c r="B1595" s="6" t="s">
        <v>29</v>
      </c>
      <c r="C1595" s="6" t="s">
        <v>97</v>
      </c>
      <c r="D1595" s="6">
        <v>1054</v>
      </c>
      <c r="E1595" s="6">
        <v>584</v>
      </c>
      <c r="F1595" s="6">
        <v>726</v>
      </c>
      <c r="G1595" s="6">
        <v>11</v>
      </c>
      <c r="H1595" s="6">
        <v>26074</v>
      </c>
      <c r="I1595" s="6">
        <v>2</v>
      </c>
      <c r="J1595" s="6">
        <v>63</v>
      </c>
      <c r="K1595" s="6">
        <v>644</v>
      </c>
      <c r="L1595" s="6">
        <v>652</v>
      </c>
      <c r="M1595" s="6">
        <v>13.53846154</v>
      </c>
      <c r="N1595">
        <f>VLOOKUP(A1595,vlookup_table!$A:$G,2,FALSE)</f>
        <v>28</v>
      </c>
      <c r="O1595" t="str">
        <f>VLOOKUP(A1595,vlookup_table!$A:$G,3,FALSE)</f>
        <v>AR</v>
      </c>
      <c r="P1595">
        <f>VLOOKUP(A1595,vlookup_table!$A:$G,4,FALSE)</f>
        <v>5801</v>
      </c>
      <c r="Q1595" t="str">
        <f>VLOOKUP(A1595,vlookup_table!$A:$G,5,FALSE)</f>
        <v>C1</v>
      </c>
      <c r="R1595" t="str">
        <f>VLOOKUP(A1595,vlookup_table!$A:$G,6,FALSE)</f>
        <v>F</v>
      </c>
      <c r="S1595">
        <f>VLOOKUP(A1595,vlookup_table!$A:$G,7,FALSE)</f>
        <v>20</v>
      </c>
      <c r="T1595">
        <f t="shared" si="48"/>
        <v>38</v>
      </c>
      <c r="U1595" t="str">
        <f t="shared" si="49"/>
        <v>Ciudad</v>
      </c>
    </row>
    <row r="1596" spans="1:21" ht="16" x14ac:dyDescent="0.4">
      <c r="A1596" s="6">
        <v>77574</v>
      </c>
      <c r="B1596" s="6" t="s">
        <v>32</v>
      </c>
      <c r="C1596" s="6" t="s">
        <v>17</v>
      </c>
      <c r="D1596" s="6">
        <v>1260</v>
      </c>
      <c r="E1596" s="6">
        <v>252</v>
      </c>
      <c r="F1596" s="6">
        <v>404</v>
      </c>
      <c r="G1596" s="6">
        <v>24</v>
      </c>
      <c r="H1596" s="6">
        <v>17617</v>
      </c>
      <c r="I1596" s="6">
        <v>6</v>
      </c>
      <c r="J1596" s="6">
        <v>79</v>
      </c>
      <c r="K1596" s="6">
        <v>357</v>
      </c>
      <c r="L1596" s="6">
        <v>309</v>
      </c>
      <c r="M1596" s="6">
        <v>4.8571428570000004</v>
      </c>
      <c r="N1596">
        <f>VLOOKUP(A1596,vlookup_table!$A:$G,2,FALSE)</f>
        <v>2</v>
      </c>
      <c r="O1596" t="str">
        <f>VLOOKUP(A1596,vlookup_table!$A:$G,3,FALSE)</f>
        <v>WI</v>
      </c>
      <c r="P1596">
        <f>VLOOKUP(A1596,vlookup_table!$A:$G,4,FALSE)</f>
        <v>2301</v>
      </c>
      <c r="Q1596" t="str">
        <f>VLOOKUP(A1596,vlookup_table!$A:$G,5,FALSE)</f>
        <v>C2</v>
      </c>
      <c r="R1596" t="str">
        <f>VLOOKUP(A1596,vlookup_table!$A:$G,6,FALSE)</f>
        <v>F</v>
      </c>
      <c r="S1596">
        <f>VLOOKUP(A1596,vlookup_table!$A:$G,7,FALSE)</f>
        <v>5</v>
      </c>
      <c r="T1596">
        <f t="shared" si="48"/>
        <v>73</v>
      </c>
      <c r="U1596" t="str">
        <f t="shared" si="49"/>
        <v>Ciudad</v>
      </c>
    </row>
    <row r="1597" spans="1:21" ht="16" x14ac:dyDescent="0.4">
      <c r="A1597" s="6">
        <v>157536</v>
      </c>
      <c r="B1597" s="6" t="s">
        <v>21</v>
      </c>
      <c r="C1597" s="6" t="s">
        <v>17</v>
      </c>
      <c r="D1597" s="6">
        <v>3009</v>
      </c>
      <c r="E1597" s="6">
        <v>411</v>
      </c>
      <c r="F1597" s="6">
        <v>546</v>
      </c>
      <c r="G1597" s="6">
        <v>85</v>
      </c>
      <c r="H1597" s="6">
        <v>20728</v>
      </c>
      <c r="I1597" s="6">
        <v>12</v>
      </c>
      <c r="J1597" s="6">
        <v>39</v>
      </c>
      <c r="K1597" s="6">
        <v>455</v>
      </c>
      <c r="L1597" s="6">
        <v>493</v>
      </c>
      <c r="M1597" s="6">
        <v>12.5</v>
      </c>
      <c r="N1597">
        <f>VLOOKUP(A1597,vlookup_table!$A:$G,2,FALSE)</f>
        <v>2</v>
      </c>
      <c r="O1597" t="str">
        <f>VLOOKUP(A1597,vlookup_table!$A:$G,3,FALSE)</f>
        <v>CA</v>
      </c>
      <c r="P1597">
        <f>VLOOKUP(A1597,vlookup_table!$A:$G,4,FALSE)</f>
        <v>1901</v>
      </c>
      <c r="Q1597" t="str">
        <f>VLOOKUP(A1597,vlookup_table!$A:$G,5,FALSE)</f>
        <v>C2</v>
      </c>
      <c r="R1597" t="str">
        <f>VLOOKUP(A1597,vlookup_table!$A:$G,6,FALSE)</f>
        <v>F</v>
      </c>
      <c r="S1597">
        <f>VLOOKUP(A1597,vlookup_table!$A:$G,7,FALSE)</f>
        <v>17</v>
      </c>
      <c r="T1597">
        <f t="shared" si="48"/>
        <v>77</v>
      </c>
      <c r="U1597" t="str">
        <f t="shared" si="49"/>
        <v>Ciudad</v>
      </c>
    </row>
    <row r="1598" spans="1:21" ht="16" x14ac:dyDescent="0.4">
      <c r="A1598" s="6">
        <v>86270</v>
      </c>
      <c r="B1598" s="6" t="s">
        <v>48</v>
      </c>
      <c r="C1598" s="6" t="s">
        <v>14</v>
      </c>
      <c r="D1598" s="6">
        <v>462</v>
      </c>
      <c r="E1598" s="6">
        <v>224</v>
      </c>
      <c r="F1598" s="6">
        <v>253</v>
      </c>
      <c r="G1598" s="6">
        <v>0</v>
      </c>
      <c r="H1598" s="6">
        <v>8866</v>
      </c>
      <c r="I1598" s="6">
        <v>1</v>
      </c>
      <c r="J1598" s="6">
        <v>55</v>
      </c>
      <c r="K1598" s="6">
        <v>264</v>
      </c>
      <c r="L1598" s="6">
        <v>248</v>
      </c>
      <c r="M1598" s="6">
        <v>8</v>
      </c>
      <c r="N1598">
        <f>VLOOKUP(A1598,vlookup_table!$A:$G,2,FALSE)</f>
        <v>2</v>
      </c>
      <c r="O1598" t="str">
        <f>VLOOKUP(A1598,vlookup_table!$A:$G,3,FALSE)</f>
        <v>SD</v>
      </c>
      <c r="P1598">
        <f>VLOOKUP(A1598,vlookup_table!$A:$G,4,FALSE)</f>
        <v>5501</v>
      </c>
      <c r="Q1598" t="str">
        <f>VLOOKUP(A1598,vlookup_table!$A:$G,5,FALSE)</f>
        <v>C2</v>
      </c>
      <c r="R1598" t="str">
        <f>VLOOKUP(A1598,vlookup_table!$A:$G,6,FALSE)</f>
        <v>M</v>
      </c>
      <c r="S1598">
        <f>VLOOKUP(A1598,vlookup_table!$A:$G,7,FALSE)</f>
        <v>16</v>
      </c>
      <c r="T1598">
        <f t="shared" si="48"/>
        <v>41</v>
      </c>
      <c r="U1598" t="str">
        <f t="shared" si="49"/>
        <v>Ciudad</v>
      </c>
    </row>
    <row r="1599" spans="1:21" ht="16" x14ac:dyDescent="0.4">
      <c r="A1599" s="6">
        <v>71882</v>
      </c>
      <c r="B1599" s="6" t="s">
        <v>26</v>
      </c>
      <c r="C1599" s="6" t="s">
        <v>17</v>
      </c>
      <c r="D1599" s="6">
        <v>574</v>
      </c>
      <c r="E1599" s="6">
        <v>299</v>
      </c>
      <c r="F1599" s="6">
        <v>420</v>
      </c>
      <c r="G1599" s="6">
        <v>0</v>
      </c>
      <c r="H1599" s="6">
        <v>17296</v>
      </c>
      <c r="I1599" s="6">
        <v>3</v>
      </c>
      <c r="J1599" s="6">
        <v>72</v>
      </c>
      <c r="K1599" s="6">
        <v>363</v>
      </c>
      <c r="L1599" s="6">
        <v>360</v>
      </c>
      <c r="M1599" s="6">
        <v>6.1666666670000003</v>
      </c>
      <c r="N1599">
        <f>VLOOKUP(A1599,vlookup_table!$A:$G,2,FALSE)</f>
        <v>0</v>
      </c>
      <c r="O1599" t="str">
        <f>VLOOKUP(A1599,vlookup_table!$A:$G,3,FALSE)</f>
        <v>MI</v>
      </c>
      <c r="P1599">
        <f>VLOOKUP(A1599,vlookup_table!$A:$G,4,FALSE)</f>
        <v>0</v>
      </c>
      <c r="Q1599" t="str">
        <f>VLOOKUP(A1599,vlookup_table!$A:$G,5,FALSE)</f>
        <v>C2</v>
      </c>
      <c r="R1599" t="str">
        <f>VLOOKUP(A1599,vlookup_table!$A:$G,6,FALSE)</f>
        <v>F</v>
      </c>
      <c r="S1599">
        <f>VLOOKUP(A1599,vlookup_table!$A:$G,7,FALSE)</f>
        <v>14</v>
      </c>
      <c r="T1599">
        <f t="shared" si="48"/>
        <v>96</v>
      </c>
      <c r="U1599" t="str">
        <f t="shared" si="49"/>
        <v>Ciudad</v>
      </c>
    </row>
    <row r="1600" spans="1:21" ht="16" x14ac:dyDescent="0.4">
      <c r="A1600" s="6">
        <v>53213</v>
      </c>
      <c r="B1600" s="6" t="s">
        <v>49</v>
      </c>
      <c r="C1600" s="6" t="s">
        <v>17</v>
      </c>
      <c r="D1600" s="6">
        <v>402</v>
      </c>
      <c r="E1600" s="6">
        <v>194</v>
      </c>
      <c r="F1600" s="6">
        <v>267</v>
      </c>
      <c r="G1600" s="6">
        <v>0</v>
      </c>
      <c r="H1600" s="6">
        <v>8742</v>
      </c>
      <c r="I1600" s="6">
        <v>0</v>
      </c>
      <c r="J1600" s="6">
        <v>84</v>
      </c>
      <c r="K1600" s="6">
        <v>229</v>
      </c>
      <c r="L1600" s="6">
        <v>234</v>
      </c>
      <c r="M1600" s="6">
        <v>12</v>
      </c>
      <c r="N1600">
        <f>VLOOKUP(A1600,vlookup_table!$A:$G,2,FALSE)</f>
        <v>0</v>
      </c>
      <c r="O1600" t="str">
        <f>VLOOKUP(A1600,vlookup_table!$A:$G,3,FALSE)</f>
        <v>TN</v>
      </c>
      <c r="P1600">
        <f>VLOOKUP(A1600,vlookup_table!$A:$G,4,FALSE)</f>
        <v>4401</v>
      </c>
      <c r="Q1600" t="str">
        <f>VLOOKUP(A1600,vlookup_table!$A:$G,5,FALSE)</f>
        <v>R3</v>
      </c>
      <c r="R1600" t="str">
        <f>VLOOKUP(A1600,vlookup_table!$A:$G,6,FALSE)</f>
        <v>F</v>
      </c>
      <c r="S1600">
        <f>VLOOKUP(A1600,vlookup_table!$A:$G,7,FALSE)</f>
        <v>15</v>
      </c>
      <c r="T1600">
        <f t="shared" si="48"/>
        <v>52</v>
      </c>
      <c r="U1600" t="str">
        <f t="shared" si="49"/>
        <v>Rural</v>
      </c>
    </row>
    <row r="1601" spans="1:21" ht="16" x14ac:dyDescent="0.4">
      <c r="A1601" s="6">
        <v>121292</v>
      </c>
      <c r="B1601" s="6" t="s">
        <v>20</v>
      </c>
      <c r="C1601" s="6" t="s">
        <v>17</v>
      </c>
      <c r="D1601" s="6">
        <v>557</v>
      </c>
      <c r="E1601" s="6">
        <v>211</v>
      </c>
      <c r="F1601" s="6">
        <v>205</v>
      </c>
      <c r="G1601" s="6">
        <v>0</v>
      </c>
      <c r="H1601" s="6">
        <v>5550</v>
      </c>
      <c r="I1601" s="6">
        <v>30</v>
      </c>
      <c r="J1601" s="6">
        <v>60</v>
      </c>
      <c r="K1601" s="6">
        <v>188</v>
      </c>
      <c r="L1601" s="6">
        <v>221</v>
      </c>
      <c r="M1601" s="6">
        <v>13</v>
      </c>
      <c r="N1601">
        <f>VLOOKUP(A1601,vlookup_table!$A:$G,2,FALSE)</f>
        <v>3</v>
      </c>
      <c r="O1601" t="str">
        <f>VLOOKUP(A1601,vlookup_table!$A:$G,3,FALSE)</f>
        <v>TX</v>
      </c>
      <c r="P1601">
        <f>VLOOKUP(A1601,vlookup_table!$A:$G,4,FALSE)</f>
        <v>0</v>
      </c>
      <c r="Q1601" t="str">
        <f>VLOOKUP(A1601,vlookup_table!$A:$G,5,FALSE)</f>
        <v>U3</v>
      </c>
      <c r="R1601" t="str">
        <f>VLOOKUP(A1601,vlookup_table!$A:$G,6,FALSE)</f>
        <v>F</v>
      </c>
      <c r="S1601">
        <f>VLOOKUP(A1601,vlookup_table!$A:$G,7,FALSE)</f>
        <v>16</v>
      </c>
      <c r="T1601">
        <f t="shared" si="48"/>
        <v>96</v>
      </c>
      <c r="U1601" t="str">
        <f t="shared" si="49"/>
        <v>Urbano</v>
      </c>
    </row>
    <row r="1602" spans="1:21" ht="16" x14ac:dyDescent="0.4">
      <c r="A1602" s="6">
        <v>101614</v>
      </c>
      <c r="B1602" s="6" t="s">
        <v>33</v>
      </c>
      <c r="C1602" s="6" t="s">
        <v>17</v>
      </c>
      <c r="D1602" s="6">
        <v>320</v>
      </c>
      <c r="E1602" s="6">
        <v>148</v>
      </c>
      <c r="F1602" s="6">
        <v>233</v>
      </c>
      <c r="G1602" s="6">
        <v>0</v>
      </c>
      <c r="H1602" s="6">
        <v>9379</v>
      </c>
      <c r="I1602" s="6">
        <v>0</v>
      </c>
      <c r="J1602" s="6">
        <v>78</v>
      </c>
      <c r="K1602" s="6">
        <v>183</v>
      </c>
      <c r="L1602" s="6">
        <v>202</v>
      </c>
      <c r="M1602" s="6">
        <v>13.33333333</v>
      </c>
      <c r="N1602">
        <f>VLOOKUP(A1602,vlookup_table!$A:$G,2,FALSE)</f>
        <v>0</v>
      </c>
      <c r="O1602" t="str">
        <f>VLOOKUP(A1602,vlookup_table!$A:$G,3,FALSE)</f>
        <v>MO</v>
      </c>
      <c r="P1602">
        <f>VLOOKUP(A1602,vlookup_table!$A:$G,4,FALSE)</f>
        <v>4401</v>
      </c>
      <c r="Q1602" t="str">
        <f>VLOOKUP(A1602,vlookup_table!$A:$G,5,FALSE)</f>
        <v>R2</v>
      </c>
      <c r="R1602" t="str">
        <f>VLOOKUP(A1602,vlookup_table!$A:$G,6,FALSE)</f>
        <v>F</v>
      </c>
      <c r="S1602">
        <f>VLOOKUP(A1602,vlookup_table!$A:$G,7,FALSE)</f>
        <v>21</v>
      </c>
      <c r="T1602">
        <f t="shared" si="48"/>
        <v>52</v>
      </c>
      <c r="U1602" t="str">
        <f t="shared" si="49"/>
        <v>Rural</v>
      </c>
    </row>
    <row r="1603" spans="1:21" ht="16" x14ac:dyDescent="0.4">
      <c r="A1603" s="6">
        <v>161479</v>
      </c>
      <c r="B1603" s="6" t="s">
        <v>47</v>
      </c>
      <c r="C1603" s="6" t="s">
        <v>17</v>
      </c>
      <c r="D1603" s="6">
        <v>758</v>
      </c>
      <c r="E1603" s="6">
        <v>407</v>
      </c>
      <c r="F1603" s="6">
        <v>457</v>
      </c>
      <c r="G1603" s="6">
        <v>0</v>
      </c>
      <c r="H1603" s="6">
        <v>17576</v>
      </c>
      <c r="I1603" s="6">
        <v>4</v>
      </c>
      <c r="J1603" s="6">
        <v>53</v>
      </c>
      <c r="K1603" s="6">
        <v>409</v>
      </c>
      <c r="L1603" s="6">
        <v>455</v>
      </c>
      <c r="M1603" s="6">
        <v>7.4545454549999999</v>
      </c>
      <c r="N1603">
        <f>VLOOKUP(A1603,vlookup_table!$A:$G,2,FALSE)</f>
        <v>2</v>
      </c>
      <c r="O1603" t="str">
        <f>VLOOKUP(A1603,vlookup_table!$A:$G,3,FALSE)</f>
        <v>OR</v>
      </c>
      <c r="P1603">
        <f>VLOOKUP(A1603,vlookup_table!$A:$G,4,FALSE)</f>
        <v>2101</v>
      </c>
      <c r="Q1603" t="str">
        <f>VLOOKUP(A1603,vlookup_table!$A:$G,5,FALSE)</f>
        <v>S2</v>
      </c>
      <c r="R1603" t="str">
        <f>VLOOKUP(A1603,vlookup_table!$A:$G,6,FALSE)</f>
        <v>F</v>
      </c>
      <c r="S1603">
        <f>VLOOKUP(A1603,vlookup_table!$A:$G,7,FALSE)</f>
        <v>11</v>
      </c>
      <c r="T1603">
        <f t="shared" ref="T1603:T1666" si="50">97-LEFT(P1603,2)-IF(RIGHT(P1603,2)&gt;6,1,0)</f>
        <v>75</v>
      </c>
      <c r="U1603" t="str">
        <f t="shared" ref="U1603:U1666" si="51">IF(LEFT(Q1603,1)="C","Ciudad",IF(LEFT(Q1603,1)="T","Pueblo",IF(LEFT(Q1603,1)="R","Rural",IF(LEFT(Q1603,1)="S","Suburbano",IF(LEFT(Q1603,1)="U","Urbano","")))))</f>
        <v>Suburbano</v>
      </c>
    </row>
    <row r="1604" spans="1:21" ht="16" x14ac:dyDescent="0.4">
      <c r="A1604" s="6">
        <v>74183</v>
      </c>
      <c r="B1604" s="6" t="s">
        <v>26</v>
      </c>
      <c r="C1604" s="6" t="s">
        <v>17</v>
      </c>
      <c r="D1604" s="6">
        <v>836</v>
      </c>
      <c r="E1604" s="6">
        <v>332</v>
      </c>
      <c r="F1604" s="6">
        <v>425</v>
      </c>
      <c r="G1604" s="6">
        <v>15</v>
      </c>
      <c r="H1604" s="6">
        <v>13813</v>
      </c>
      <c r="I1604" s="6">
        <v>3</v>
      </c>
      <c r="J1604" s="6">
        <v>74</v>
      </c>
      <c r="K1604" s="6">
        <v>354</v>
      </c>
      <c r="L1604" s="6">
        <v>380</v>
      </c>
      <c r="M1604" s="6">
        <v>4.4761904760000002</v>
      </c>
      <c r="N1604">
        <f>VLOOKUP(A1604,vlookup_table!$A:$G,2,FALSE)</f>
        <v>2</v>
      </c>
      <c r="O1604" t="str">
        <f>VLOOKUP(A1604,vlookup_table!$A:$G,3,FALSE)</f>
        <v>MI</v>
      </c>
      <c r="P1604">
        <f>VLOOKUP(A1604,vlookup_table!$A:$G,4,FALSE)</f>
        <v>0</v>
      </c>
      <c r="Q1604" t="str">
        <f>VLOOKUP(A1604,vlookup_table!$A:$G,5,FALSE)</f>
        <v/>
      </c>
      <c r="R1604" t="str">
        <f>VLOOKUP(A1604,vlookup_table!$A:$G,6,FALSE)</f>
        <v>F</v>
      </c>
      <c r="S1604">
        <f>VLOOKUP(A1604,vlookup_table!$A:$G,7,FALSE)</f>
        <v>5</v>
      </c>
      <c r="T1604">
        <f t="shared" si="50"/>
        <v>96</v>
      </c>
      <c r="U1604" t="str">
        <f t="shared" si="51"/>
        <v/>
      </c>
    </row>
    <row r="1605" spans="1:21" ht="16" x14ac:dyDescent="0.4">
      <c r="A1605" s="6">
        <v>53611</v>
      </c>
      <c r="B1605" s="6" t="s">
        <v>49</v>
      </c>
      <c r="C1605" s="6" t="s">
        <v>17</v>
      </c>
      <c r="D1605" s="6">
        <v>468</v>
      </c>
      <c r="E1605" s="6">
        <v>245</v>
      </c>
      <c r="F1605" s="6">
        <v>315</v>
      </c>
      <c r="G1605" s="6">
        <v>0</v>
      </c>
      <c r="H1605" s="6">
        <v>11358</v>
      </c>
      <c r="I1605" s="6">
        <v>0</v>
      </c>
      <c r="J1605" s="6">
        <v>66</v>
      </c>
      <c r="K1605" s="6">
        <v>308</v>
      </c>
      <c r="L1605" s="6">
        <v>294</v>
      </c>
      <c r="M1605" s="6">
        <v>8</v>
      </c>
      <c r="N1605">
        <f>VLOOKUP(A1605,vlookup_table!$A:$G,2,FALSE)</f>
        <v>28</v>
      </c>
      <c r="O1605" t="str">
        <f>VLOOKUP(A1605,vlookup_table!$A:$G,3,FALSE)</f>
        <v>TN</v>
      </c>
      <c r="P1605">
        <f>VLOOKUP(A1605,vlookup_table!$A:$G,4,FALSE)</f>
        <v>5401</v>
      </c>
      <c r="Q1605" t="str">
        <f>VLOOKUP(A1605,vlookup_table!$A:$G,5,FALSE)</f>
        <v>S3</v>
      </c>
      <c r="R1605" t="str">
        <f>VLOOKUP(A1605,vlookup_table!$A:$G,6,FALSE)</f>
        <v>F</v>
      </c>
      <c r="S1605">
        <f>VLOOKUP(A1605,vlookup_table!$A:$G,7,FALSE)</f>
        <v>1825</v>
      </c>
      <c r="T1605">
        <f t="shared" si="50"/>
        <v>42</v>
      </c>
      <c r="U1605" t="str">
        <f t="shared" si="51"/>
        <v>Suburbano</v>
      </c>
    </row>
    <row r="1606" spans="1:21" ht="16" x14ac:dyDescent="0.4">
      <c r="A1606" s="6">
        <v>143610</v>
      </c>
      <c r="B1606" s="6" t="s">
        <v>21</v>
      </c>
      <c r="C1606" s="6" t="s">
        <v>17</v>
      </c>
      <c r="D1606" s="6">
        <v>5000</v>
      </c>
      <c r="E1606" s="6">
        <v>569</v>
      </c>
      <c r="F1606" s="6">
        <v>932</v>
      </c>
      <c r="G1606" s="6">
        <v>99</v>
      </c>
      <c r="H1606" s="6">
        <v>52576</v>
      </c>
      <c r="I1606" s="6">
        <v>21</v>
      </c>
      <c r="J1606" s="6">
        <v>34</v>
      </c>
      <c r="K1606" s="6">
        <v>936</v>
      </c>
      <c r="L1606" s="6">
        <v>712</v>
      </c>
      <c r="M1606" s="6">
        <v>15</v>
      </c>
      <c r="N1606">
        <f>VLOOKUP(A1606,vlookup_table!$A:$G,2,FALSE)</f>
        <v>0</v>
      </c>
      <c r="O1606" t="str">
        <f>VLOOKUP(A1606,vlookup_table!$A:$G,3,FALSE)</f>
        <v>CA</v>
      </c>
      <c r="P1606">
        <f>VLOOKUP(A1606,vlookup_table!$A:$G,4,FALSE)</f>
        <v>0</v>
      </c>
      <c r="Q1606" t="str">
        <f>VLOOKUP(A1606,vlookup_table!$A:$G,5,FALSE)</f>
        <v>U1</v>
      </c>
      <c r="R1606" t="str">
        <f>VLOOKUP(A1606,vlookup_table!$A:$G,6,FALSE)</f>
        <v>F</v>
      </c>
      <c r="S1606">
        <f>VLOOKUP(A1606,vlookup_table!$A:$G,7,FALSE)</f>
        <v>525</v>
      </c>
      <c r="T1606">
        <f t="shared" si="50"/>
        <v>96</v>
      </c>
      <c r="U1606" t="str">
        <f t="shared" si="51"/>
        <v>Urbano</v>
      </c>
    </row>
    <row r="1607" spans="1:21" ht="16" x14ac:dyDescent="0.4">
      <c r="A1607" s="6">
        <v>158534</v>
      </c>
      <c r="B1607" s="6" t="s">
        <v>21</v>
      </c>
      <c r="C1607" s="6" t="s">
        <v>17</v>
      </c>
      <c r="D1607" s="6">
        <v>2541</v>
      </c>
      <c r="E1607" s="6">
        <v>423</v>
      </c>
      <c r="F1607" s="6">
        <v>528</v>
      </c>
      <c r="G1607" s="6">
        <v>75</v>
      </c>
      <c r="H1607" s="6">
        <v>19220</v>
      </c>
      <c r="I1607" s="6">
        <v>16</v>
      </c>
      <c r="J1607" s="6">
        <v>48</v>
      </c>
      <c r="K1607" s="6">
        <v>486</v>
      </c>
      <c r="L1607" s="6">
        <v>454</v>
      </c>
      <c r="M1607" s="6">
        <v>24.285714290000001</v>
      </c>
      <c r="N1607">
        <f>VLOOKUP(A1607,vlookup_table!$A:$G,2,FALSE)</f>
        <v>0</v>
      </c>
      <c r="O1607" t="str">
        <f>VLOOKUP(A1607,vlookup_table!$A:$G,3,FALSE)</f>
        <v>CA</v>
      </c>
      <c r="P1607">
        <f>VLOOKUP(A1607,vlookup_table!$A:$G,4,FALSE)</f>
        <v>4801</v>
      </c>
      <c r="Q1607" t="str">
        <f>VLOOKUP(A1607,vlookup_table!$A:$G,5,FALSE)</f>
        <v>S1</v>
      </c>
      <c r="R1607" t="str">
        <f>VLOOKUP(A1607,vlookup_table!$A:$G,6,FALSE)</f>
        <v>F</v>
      </c>
      <c r="S1607">
        <f>VLOOKUP(A1607,vlookup_table!$A:$G,7,FALSE)</f>
        <v>25</v>
      </c>
      <c r="T1607">
        <f t="shared" si="50"/>
        <v>48</v>
      </c>
      <c r="U1607" t="str">
        <f t="shared" si="51"/>
        <v>Suburbano</v>
      </c>
    </row>
    <row r="1608" spans="1:21" ht="16" x14ac:dyDescent="0.4">
      <c r="A1608" s="6">
        <v>66265</v>
      </c>
      <c r="B1608" s="6" t="s">
        <v>26</v>
      </c>
      <c r="C1608" s="6" t="s">
        <v>14</v>
      </c>
      <c r="D1608" s="6">
        <v>497</v>
      </c>
      <c r="E1608" s="6">
        <v>362</v>
      </c>
      <c r="F1608" s="6">
        <v>421</v>
      </c>
      <c r="G1608" s="6">
        <v>0</v>
      </c>
      <c r="H1608" s="6">
        <v>13649</v>
      </c>
      <c r="I1608" s="6">
        <v>7</v>
      </c>
      <c r="J1608" s="6">
        <v>79</v>
      </c>
      <c r="K1608" s="6">
        <v>452</v>
      </c>
      <c r="L1608" s="6">
        <v>384</v>
      </c>
      <c r="M1608" s="6">
        <v>20.416666670000001</v>
      </c>
      <c r="N1608">
        <f>VLOOKUP(A1608,vlookup_table!$A:$G,2,FALSE)</f>
        <v>1</v>
      </c>
      <c r="O1608" t="str">
        <f>VLOOKUP(A1608,vlookup_table!$A:$G,3,FALSE)</f>
        <v>MI</v>
      </c>
      <c r="P1608">
        <f>VLOOKUP(A1608,vlookup_table!$A:$G,4,FALSE)</f>
        <v>4511</v>
      </c>
      <c r="Q1608" t="str">
        <f>VLOOKUP(A1608,vlookup_table!$A:$G,5,FALSE)</f>
        <v>S3</v>
      </c>
      <c r="R1608" t="str">
        <f>VLOOKUP(A1608,vlookup_table!$A:$G,6,FALSE)</f>
        <v>M</v>
      </c>
      <c r="S1608">
        <f>VLOOKUP(A1608,vlookup_table!$A:$G,7,FALSE)</f>
        <v>40</v>
      </c>
      <c r="T1608">
        <f t="shared" si="50"/>
        <v>51</v>
      </c>
      <c r="U1608" t="str">
        <f t="shared" si="51"/>
        <v>Suburbano</v>
      </c>
    </row>
    <row r="1609" spans="1:21" ht="16" x14ac:dyDescent="0.4">
      <c r="A1609" s="6">
        <v>141468</v>
      </c>
      <c r="B1609" s="6" t="s">
        <v>23</v>
      </c>
      <c r="C1609" s="6" t="s">
        <v>14</v>
      </c>
      <c r="D1609" s="6">
        <v>1003</v>
      </c>
      <c r="E1609" s="6">
        <v>258</v>
      </c>
      <c r="F1609" s="6">
        <v>386</v>
      </c>
      <c r="G1609" s="6">
        <v>5</v>
      </c>
      <c r="H1609" s="6">
        <v>15748</v>
      </c>
      <c r="I1609" s="6">
        <v>12</v>
      </c>
      <c r="J1609" s="6">
        <v>13</v>
      </c>
      <c r="K1609" s="6">
        <v>322</v>
      </c>
      <c r="L1609" s="6">
        <v>318</v>
      </c>
      <c r="M1609" s="6">
        <v>25</v>
      </c>
      <c r="N1609">
        <f>VLOOKUP(A1609,vlookup_table!$A:$G,2,FALSE)</f>
        <v>0</v>
      </c>
      <c r="O1609" t="str">
        <f>VLOOKUP(A1609,vlookup_table!$A:$G,3,FALSE)</f>
        <v>NV</v>
      </c>
      <c r="P1609">
        <f>VLOOKUP(A1609,vlookup_table!$A:$G,4,FALSE)</f>
        <v>1801</v>
      </c>
      <c r="Q1609" t="str">
        <f>VLOOKUP(A1609,vlookup_table!$A:$G,5,FALSE)</f>
        <v>S2</v>
      </c>
      <c r="R1609" t="str">
        <f>VLOOKUP(A1609,vlookup_table!$A:$G,6,FALSE)</f>
        <v>M</v>
      </c>
      <c r="S1609">
        <f>VLOOKUP(A1609,vlookup_table!$A:$G,7,FALSE)</f>
        <v>25</v>
      </c>
      <c r="T1609">
        <f t="shared" si="50"/>
        <v>78</v>
      </c>
      <c r="U1609" t="str">
        <f t="shared" si="51"/>
        <v>Suburbano</v>
      </c>
    </row>
    <row r="1610" spans="1:21" ht="16" x14ac:dyDescent="0.4">
      <c r="A1610" s="6">
        <v>121683</v>
      </c>
      <c r="B1610" s="6" t="s">
        <v>20</v>
      </c>
      <c r="C1610" s="6" t="s">
        <v>14</v>
      </c>
      <c r="D1610" s="6">
        <v>770</v>
      </c>
      <c r="E1610" s="6">
        <v>477</v>
      </c>
      <c r="F1610" s="6">
        <v>578</v>
      </c>
      <c r="G1610" s="6">
        <v>0</v>
      </c>
      <c r="H1610" s="6">
        <v>19810</v>
      </c>
      <c r="I1610" s="6">
        <v>8</v>
      </c>
      <c r="J1610" s="6">
        <v>54</v>
      </c>
      <c r="K1610" s="6">
        <v>522</v>
      </c>
      <c r="L1610" s="6">
        <v>522</v>
      </c>
      <c r="M1610" s="6">
        <v>20</v>
      </c>
      <c r="N1610">
        <f>VLOOKUP(A1610,vlookup_table!$A:$G,2,FALSE)</f>
        <v>1</v>
      </c>
      <c r="O1610" t="str">
        <f>VLOOKUP(A1610,vlookup_table!$A:$G,3,FALSE)</f>
        <v>TX</v>
      </c>
      <c r="P1610">
        <f>VLOOKUP(A1610,vlookup_table!$A:$G,4,FALSE)</f>
        <v>5101</v>
      </c>
      <c r="Q1610" t="str">
        <f>VLOOKUP(A1610,vlookup_table!$A:$G,5,FALSE)</f>
        <v>S1</v>
      </c>
      <c r="R1610" t="str">
        <f>VLOOKUP(A1610,vlookup_table!$A:$G,6,FALSE)</f>
        <v>M</v>
      </c>
      <c r="S1610">
        <f>VLOOKUP(A1610,vlookup_table!$A:$G,7,FALSE)</f>
        <v>10</v>
      </c>
      <c r="T1610">
        <f t="shared" si="50"/>
        <v>45</v>
      </c>
      <c r="U1610" t="str">
        <f t="shared" si="51"/>
        <v>Suburbano</v>
      </c>
    </row>
    <row r="1611" spans="1:21" ht="16" x14ac:dyDescent="0.4">
      <c r="A1611" s="6">
        <v>130239</v>
      </c>
      <c r="B1611" s="6" t="s">
        <v>45</v>
      </c>
      <c r="C1611" s="6" t="s">
        <v>14</v>
      </c>
      <c r="D1611" s="6">
        <v>739</v>
      </c>
      <c r="E1611" s="6">
        <v>369</v>
      </c>
      <c r="F1611" s="6">
        <v>428</v>
      </c>
      <c r="G1611" s="6">
        <v>0</v>
      </c>
      <c r="H1611" s="6">
        <v>14453</v>
      </c>
      <c r="I1611" s="6">
        <v>3</v>
      </c>
      <c r="J1611" s="6">
        <v>53</v>
      </c>
      <c r="K1611" s="6">
        <v>368</v>
      </c>
      <c r="L1611" s="6">
        <v>419</v>
      </c>
      <c r="M1611" s="6">
        <v>20</v>
      </c>
      <c r="N1611">
        <f>VLOOKUP(A1611,vlookup_table!$A:$G,2,FALSE)</f>
        <v>0</v>
      </c>
      <c r="O1611" t="str">
        <f>VLOOKUP(A1611,vlookup_table!$A:$G,3,FALSE)</f>
        <v>CO</v>
      </c>
      <c r="P1611">
        <f>VLOOKUP(A1611,vlookup_table!$A:$G,4,FALSE)</f>
        <v>5601</v>
      </c>
      <c r="Q1611" t="str">
        <f>VLOOKUP(A1611,vlookup_table!$A:$G,5,FALSE)</f>
        <v>S2</v>
      </c>
      <c r="R1611" t="str">
        <f>VLOOKUP(A1611,vlookup_table!$A:$G,6,FALSE)</f>
        <v>M</v>
      </c>
      <c r="S1611">
        <f>VLOOKUP(A1611,vlookup_table!$A:$G,7,FALSE)</f>
        <v>20</v>
      </c>
      <c r="T1611">
        <f t="shared" si="50"/>
        <v>40</v>
      </c>
      <c r="U1611" t="str">
        <f t="shared" si="51"/>
        <v>Suburbano</v>
      </c>
    </row>
    <row r="1612" spans="1:21" ht="16" x14ac:dyDescent="0.4">
      <c r="A1612" s="6">
        <v>987</v>
      </c>
      <c r="B1612" s="6" t="s">
        <v>36</v>
      </c>
      <c r="C1612" s="6" t="s">
        <v>17</v>
      </c>
      <c r="D1612" s="6">
        <v>2140</v>
      </c>
      <c r="E1612" s="6">
        <v>773</v>
      </c>
      <c r="F1612" s="6">
        <v>850</v>
      </c>
      <c r="G1612" s="6">
        <v>59</v>
      </c>
      <c r="H1612" s="6">
        <v>33069</v>
      </c>
      <c r="I1612" s="6">
        <v>1</v>
      </c>
      <c r="J1612" s="6">
        <v>48</v>
      </c>
      <c r="K1612" s="6">
        <v>789</v>
      </c>
      <c r="L1612" s="6">
        <v>816</v>
      </c>
      <c r="M1612" s="6">
        <v>3.7619047619999999</v>
      </c>
      <c r="N1612">
        <f>VLOOKUP(A1612,vlookup_table!$A:$G,2,FALSE)</f>
        <v>0</v>
      </c>
      <c r="O1612" t="str">
        <f>VLOOKUP(A1612,vlookup_table!$A:$G,3,FALSE)</f>
        <v>GA</v>
      </c>
      <c r="P1612">
        <f>VLOOKUP(A1612,vlookup_table!$A:$G,4,FALSE)</f>
        <v>4301</v>
      </c>
      <c r="Q1612" t="str">
        <f>VLOOKUP(A1612,vlookup_table!$A:$G,5,FALSE)</f>
        <v>S1</v>
      </c>
      <c r="R1612" t="str">
        <f>VLOOKUP(A1612,vlookup_table!$A:$G,6,FALSE)</f>
        <v>F</v>
      </c>
      <c r="S1612">
        <f>VLOOKUP(A1612,vlookup_table!$A:$G,7,FALSE)</f>
        <v>3</v>
      </c>
      <c r="T1612">
        <f t="shared" si="50"/>
        <v>53</v>
      </c>
      <c r="U1612" t="str">
        <f t="shared" si="51"/>
        <v>Suburbano</v>
      </c>
    </row>
    <row r="1613" spans="1:21" ht="16" x14ac:dyDescent="0.4">
      <c r="A1613" s="6">
        <v>76585</v>
      </c>
      <c r="B1613" s="6" t="s">
        <v>44</v>
      </c>
      <c r="C1613" s="6" t="s">
        <v>17</v>
      </c>
      <c r="D1613" s="6">
        <v>1282</v>
      </c>
      <c r="E1613" s="6">
        <v>550</v>
      </c>
      <c r="F1613" s="6">
        <v>703</v>
      </c>
      <c r="G1613" s="6">
        <v>15</v>
      </c>
      <c r="H1613" s="6">
        <v>26007</v>
      </c>
      <c r="I1613" s="6">
        <v>2</v>
      </c>
      <c r="J1613" s="6">
        <v>66</v>
      </c>
      <c r="K1613" s="6">
        <v>637</v>
      </c>
      <c r="L1613" s="6">
        <v>607</v>
      </c>
      <c r="M1613" s="6">
        <v>4.8571428570000004</v>
      </c>
      <c r="N1613">
        <f>VLOOKUP(A1613,vlookup_table!$A:$G,2,FALSE)</f>
        <v>0</v>
      </c>
      <c r="O1613" t="str">
        <f>VLOOKUP(A1613,vlookup_table!$A:$G,3,FALSE)</f>
        <v>IA</v>
      </c>
      <c r="P1613">
        <f>VLOOKUP(A1613,vlookup_table!$A:$G,4,FALSE)</f>
        <v>3110</v>
      </c>
      <c r="Q1613" t="str">
        <f>VLOOKUP(A1613,vlookup_table!$A:$G,5,FALSE)</f>
        <v>C1</v>
      </c>
      <c r="R1613" t="str">
        <f>VLOOKUP(A1613,vlookup_table!$A:$G,6,FALSE)</f>
        <v>F</v>
      </c>
      <c r="S1613">
        <f>VLOOKUP(A1613,vlookup_table!$A:$G,7,FALSE)</f>
        <v>5</v>
      </c>
      <c r="T1613">
        <f t="shared" si="50"/>
        <v>65</v>
      </c>
      <c r="U1613" t="str">
        <f t="shared" si="51"/>
        <v>Ciudad</v>
      </c>
    </row>
    <row r="1614" spans="1:21" ht="16" x14ac:dyDescent="0.4">
      <c r="A1614" s="6">
        <v>155240</v>
      </c>
      <c r="B1614" s="6" t="s">
        <v>21</v>
      </c>
      <c r="C1614" s="6" t="s">
        <v>17</v>
      </c>
      <c r="D1614" s="6">
        <v>1167</v>
      </c>
      <c r="E1614" s="6">
        <v>211</v>
      </c>
      <c r="F1614" s="6">
        <v>406</v>
      </c>
      <c r="G1614" s="6">
        <v>4</v>
      </c>
      <c r="H1614" s="6">
        <v>16425</v>
      </c>
      <c r="I1614" s="6">
        <v>6</v>
      </c>
      <c r="J1614" s="6">
        <v>21</v>
      </c>
      <c r="K1614" s="6">
        <v>272</v>
      </c>
      <c r="L1614" s="6">
        <v>329</v>
      </c>
      <c r="M1614" s="6">
        <v>11.14285714</v>
      </c>
      <c r="N1614">
        <f>VLOOKUP(A1614,vlookup_table!$A:$G,2,FALSE)</f>
        <v>28</v>
      </c>
      <c r="O1614" t="str">
        <f>VLOOKUP(A1614,vlookup_table!$A:$G,3,FALSE)</f>
        <v>CA</v>
      </c>
      <c r="P1614">
        <f>VLOOKUP(A1614,vlookup_table!$A:$G,4,FALSE)</f>
        <v>2201</v>
      </c>
      <c r="Q1614" t="str">
        <f>VLOOKUP(A1614,vlookup_table!$A:$G,5,FALSE)</f>
        <v>C2</v>
      </c>
      <c r="R1614" t="str">
        <f>VLOOKUP(A1614,vlookup_table!$A:$G,6,FALSE)</f>
        <v>F</v>
      </c>
      <c r="S1614">
        <f>VLOOKUP(A1614,vlookup_table!$A:$G,7,FALSE)</f>
        <v>15</v>
      </c>
      <c r="T1614">
        <f t="shared" si="50"/>
        <v>74</v>
      </c>
      <c r="U1614" t="str">
        <f t="shared" si="51"/>
        <v>Ciudad</v>
      </c>
    </row>
    <row r="1615" spans="1:21" ht="16" x14ac:dyDescent="0.4">
      <c r="A1615" s="6">
        <v>147841</v>
      </c>
      <c r="B1615" s="6" t="s">
        <v>21</v>
      </c>
      <c r="C1615" s="6" t="s">
        <v>17</v>
      </c>
      <c r="D1615" s="6">
        <v>5626</v>
      </c>
      <c r="E1615" s="6">
        <v>1023</v>
      </c>
      <c r="F1615" s="6">
        <v>1051</v>
      </c>
      <c r="G1615" s="6">
        <v>98</v>
      </c>
      <c r="H1615" s="6">
        <v>62324</v>
      </c>
      <c r="I1615" s="6">
        <v>20</v>
      </c>
      <c r="J1615" s="6">
        <v>40</v>
      </c>
      <c r="K1615" s="6">
        <v>1109</v>
      </c>
      <c r="L1615" s="6">
        <v>969</v>
      </c>
      <c r="M1615" s="6">
        <v>30.75</v>
      </c>
      <c r="N1615">
        <f>VLOOKUP(A1615,vlookup_table!$A:$G,2,FALSE)</f>
        <v>0</v>
      </c>
      <c r="O1615" t="str">
        <f>VLOOKUP(A1615,vlookup_table!$A:$G,3,FALSE)</f>
        <v>CA</v>
      </c>
      <c r="P1615">
        <f>VLOOKUP(A1615,vlookup_table!$A:$G,4,FALSE)</f>
        <v>1706</v>
      </c>
      <c r="Q1615" t="str">
        <f>VLOOKUP(A1615,vlookup_table!$A:$G,5,FALSE)</f>
        <v>S1</v>
      </c>
      <c r="R1615" t="str">
        <f>VLOOKUP(A1615,vlookup_table!$A:$G,6,FALSE)</f>
        <v>F</v>
      </c>
      <c r="S1615">
        <f>VLOOKUP(A1615,vlookup_table!$A:$G,7,FALSE)</f>
        <v>100</v>
      </c>
      <c r="T1615">
        <f t="shared" si="50"/>
        <v>79</v>
      </c>
      <c r="U1615" t="str">
        <f t="shared" si="51"/>
        <v>Suburbano</v>
      </c>
    </row>
    <row r="1616" spans="1:21" ht="16" x14ac:dyDescent="0.4">
      <c r="A1616" s="6">
        <v>140481</v>
      </c>
      <c r="B1616" s="6" t="s">
        <v>50</v>
      </c>
      <c r="C1616" s="6" t="s">
        <v>17</v>
      </c>
      <c r="D1616" s="6">
        <v>636</v>
      </c>
      <c r="E1616" s="6">
        <v>281</v>
      </c>
      <c r="F1616" s="6">
        <v>341</v>
      </c>
      <c r="G1616" s="6">
        <v>1</v>
      </c>
      <c r="H1616" s="6">
        <v>11957</v>
      </c>
      <c r="I1616" s="6">
        <v>4</v>
      </c>
      <c r="J1616" s="6">
        <v>47</v>
      </c>
      <c r="K1616" s="6">
        <v>311</v>
      </c>
      <c r="L1616" s="6">
        <v>295</v>
      </c>
      <c r="M1616" s="6">
        <v>8.75</v>
      </c>
      <c r="N1616">
        <f>VLOOKUP(A1616,vlookup_table!$A:$G,2,FALSE)</f>
        <v>2</v>
      </c>
      <c r="O1616" t="str">
        <f>VLOOKUP(A1616,vlookup_table!$A:$G,3,FALSE)</f>
        <v>NM</v>
      </c>
      <c r="P1616">
        <f>VLOOKUP(A1616,vlookup_table!$A:$G,4,FALSE)</f>
        <v>5201</v>
      </c>
      <c r="Q1616" t="str">
        <f>VLOOKUP(A1616,vlookup_table!$A:$G,5,FALSE)</f>
        <v>T3</v>
      </c>
      <c r="R1616" t="str">
        <f>VLOOKUP(A1616,vlookup_table!$A:$G,6,FALSE)</f>
        <v>F</v>
      </c>
      <c r="S1616">
        <f>VLOOKUP(A1616,vlookup_table!$A:$G,7,FALSE)</f>
        <v>20</v>
      </c>
      <c r="T1616">
        <f t="shared" si="50"/>
        <v>44</v>
      </c>
      <c r="U1616" t="str">
        <f t="shared" si="51"/>
        <v>Pueblo</v>
      </c>
    </row>
    <row r="1617" spans="1:21" ht="16" x14ac:dyDescent="0.4">
      <c r="A1617" s="6">
        <v>159034</v>
      </c>
      <c r="B1617" s="6" t="s">
        <v>21</v>
      </c>
      <c r="C1617" s="6" t="s">
        <v>14</v>
      </c>
      <c r="D1617" s="6">
        <v>1834</v>
      </c>
      <c r="E1617" s="6">
        <v>442</v>
      </c>
      <c r="F1617" s="6">
        <v>420</v>
      </c>
      <c r="G1617" s="6">
        <v>23</v>
      </c>
      <c r="H1617" s="6">
        <v>11448</v>
      </c>
      <c r="I1617" s="6">
        <v>20</v>
      </c>
      <c r="J1617" s="6">
        <v>46</v>
      </c>
      <c r="K1617" s="6">
        <v>371</v>
      </c>
      <c r="L1617" s="6">
        <v>441</v>
      </c>
      <c r="M1617" s="6">
        <v>14.8</v>
      </c>
      <c r="N1617">
        <f>VLOOKUP(A1617,vlookup_table!$A:$G,2,FALSE)</f>
        <v>1</v>
      </c>
      <c r="O1617" t="str">
        <f>VLOOKUP(A1617,vlookup_table!$A:$G,3,FALSE)</f>
        <v>CA</v>
      </c>
      <c r="P1617">
        <f>VLOOKUP(A1617,vlookup_table!$A:$G,4,FALSE)</f>
        <v>1601</v>
      </c>
      <c r="Q1617" t="str">
        <f>VLOOKUP(A1617,vlookup_table!$A:$G,5,FALSE)</f>
        <v>U2</v>
      </c>
      <c r="R1617" t="str">
        <f>VLOOKUP(A1617,vlookup_table!$A:$G,6,FALSE)</f>
        <v>M</v>
      </c>
      <c r="S1617">
        <f>VLOOKUP(A1617,vlookup_table!$A:$G,7,FALSE)</f>
        <v>21</v>
      </c>
      <c r="T1617">
        <f t="shared" si="50"/>
        <v>80</v>
      </c>
      <c r="U1617" t="str">
        <f t="shared" si="51"/>
        <v>Urbano</v>
      </c>
    </row>
    <row r="1618" spans="1:21" ht="16" x14ac:dyDescent="0.4">
      <c r="A1618" s="6">
        <v>3933</v>
      </c>
      <c r="B1618" s="6" t="s">
        <v>16</v>
      </c>
      <c r="C1618" s="6" t="s">
        <v>14</v>
      </c>
      <c r="D1618" s="6">
        <v>912</v>
      </c>
      <c r="E1618" s="6">
        <v>334</v>
      </c>
      <c r="F1618" s="6">
        <v>453</v>
      </c>
      <c r="G1618" s="6">
        <v>0</v>
      </c>
      <c r="H1618" s="6">
        <v>14883</v>
      </c>
      <c r="I1618" s="6">
        <v>18</v>
      </c>
      <c r="J1618" s="6">
        <v>78</v>
      </c>
      <c r="K1618" s="6">
        <v>393</v>
      </c>
      <c r="L1618" s="6">
        <v>375</v>
      </c>
      <c r="M1618" s="6">
        <v>8.5625</v>
      </c>
      <c r="N1618">
        <f>VLOOKUP(A1618,vlookup_table!$A:$G,2,FALSE)</f>
        <v>1</v>
      </c>
      <c r="O1618" t="str">
        <f>VLOOKUP(A1618,vlookup_table!$A:$G,3,FALSE)</f>
        <v>IL</v>
      </c>
      <c r="P1618">
        <f>VLOOKUP(A1618,vlookup_table!$A:$G,4,FALSE)</f>
        <v>6606</v>
      </c>
      <c r="Q1618" t="str">
        <f>VLOOKUP(A1618,vlookup_table!$A:$G,5,FALSE)</f>
        <v>U2</v>
      </c>
      <c r="R1618" t="str">
        <f>VLOOKUP(A1618,vlookup_table!$A:$G,6,FALSE)</f>
        <v>M</v>
      </c>
      <c r="S1618">
        <f>VLOOKUP(A1618,vlookup_table!$A:$G,7,FALSE)</f>
        <v>20</v>
      </c>
      <c r="T1618">
        <f t="shared" si="50"/>
        <v>30</v>
      </c>
      <c r="U1618" t="str">
        <f t="shared" si="51"/>
        <v>Urbano</v>
      </c>
    </row>
    <row r="1619" spans="1:21" ht="16" x14ac:dyDescent="0.4">
      <c r="A1619" s="6">
        <v>167138</v>
      </c>
      <c r="B1619" s="6" t="s">
        <v>21</v>
      </c>
      <c r="C1619" s="6" t="s">
        <v>17</v>
      </c>
      <c r="D1619" s="6">
        <v>2125</v>
      </c>
      <c r="E1619" s="6">
        <v>375</v>
      </c>
      <c r="F1619" s="6">
        <v>468</v>
      </c>
      <c r="G1619" s="6">
        <v>58</v>
      </c>
      <c r="H1619" s="6">
        <v>21196</v>
      </c>
      <c r="I1619" s="6">
        <v>9</v>
      </c>
      <c r="J1619" s="6">
        <v>57</v>
      </c>
      <c r="K1619" s="6">
        <v>399</v>
      </c>
      <c r="L1619" s="6">
        <v>411</v>
      </c>
      <c r="M1619" s="6">
        <v>20</v>
      </c>
      <c r="N1619">
        <f>VLOOKUP(A1619,vlookup_table!$A:$G,2,FALSE)</f>
        <v>0</v>
      </c>
      <c r="O1619" t="str">
        <f>VLOOKUP(A1619,vlookup_table!$A:$G,3,FALSE)</f>
        <v>CA</v>
      </c>
      <c r="P1619">
        <f>VLOOKUP(A1619,vlookup_table!$A:$G,4,FALSE)</f>
        <v>5301</v>
      </c>
      <c r="Q1619" t="str">
        <f>VLOOKUP(A1619,vlookup_table!$A:$G,5,FALSE)</f>
        <v>U1</v>
      </c>
      <c r="R1619" t="str">
        <f>VLOOKUP(A1619,vlookup_table!$A:$G,6,FALSE)</f>
        <v>F</v>
      </c>
      <c r="S1619">
        <f>VLOOKUP(A1619,vlookup_table!$A:$G,7,FALSE)</f>
        <v>30</v>
      </c>
      <c r="T1619">
        <f t="shared" si="50"/>
        <v>43</v>
      </c>
      <c r="U1619" t="str">
        <f t="shared" si="51"/>
        <v>Urbano</v>
      </c>
    </row>
    <row r="1620" spans="1:21" ht="16" x14ac:dyDescent="0.4">
      <c r="A1620" s="6">
        <v>100900</v>
      </c>
      <c r="B1620" s="6" t="s">
        <v>33</v>
      </c>
      <c r="C1620" s="6" t="s">
        <v>17</v>
      </c>
      <c r="D1620" s="6">
        <v>1180</v>
      </c>
      <c r="E1620" s="6">
        <v>513</v>
      </c>
      <c r="F1620" s="6">
        <v>607</v>
      </c>
      <c r="G1620" s="6">
        <v>7</v>
      </c>
      <c r="H1620" s="6">
        <v>19444</v>
      </c>
      <c r="I1620" s="6">
        <v>4</v>
      </c>
      <c r="J1620" s="6">
        <v>55</v>
      </c>
      <c r="K1620" s="6">
        <v>548</v>
      </c>
      <c r="L1620" s="6">
        <v>554</v>
      </c>
      <c r="M1620" s="6">
        <v>5.5</v>
      </c>
      <c r="N1620">
        <f>VLOOKUP(A1620,vlookup_table!$A:$G,2,FALSE)</f>
        <v>2</v>
      </c>
      <c r="O1620" t="str">
        <f>VLOOKUP(A1620,vlookup_table!$A:$G,3,FALSE)</f>
        <v>MO</v>
      </c>
      <c r="P1620">
        <f>VLOOKUP(A1620,vlookup_table!$A:$G,4,FALSE)</f>
        <v>0</v>
      </c>
      <c r="Q1620" t="str">
        <f>VLOOKUP(A1620,vlookup_table!$A:$G,5,FALSE)</f>
        <v>C1</v>
      </c>
      <c r="R1620" t="str">
        <f>VLOOKUP(A1620,vlookup_table!$A:$G,6,FALSE)</f>
        <v>F</v>
      </c>
      <c r="S1620">
        <f>VLOOKUP(A1620,vlookup_table!$A:$G,7,FALSE)</f>
        <v>5</v>
      </c>
      <c r="T1620">
        <f t="shared" si="50"/>
        <v>96</v>
      </c>
      <c r="U1620" t="str">
        <f t="shared" si="51"/>
        <v>Ciudad</v>
      </c>
    </row>
    <row r="1621" spans="1:21" ht="16" x14ac:dyDescent="0.4">
      <c r="A1621" s="6">
        <v>161634</v>
      </c>
      <c r="B1621" s="6" t="s">
        <v>21</v>
      </c>
      <c r="C1621" s="6" t="s">
        <v>17</v>
      </c>
      <c r="D1621" s="6">
        <v>669</v>
      </c>
      <c r="E1621" s="6">
        <v>190</v>
      </c>
      <c r="F1621" s="6">
        <v>226</v>
      </c>
      <c r="G1621" s="6">
        <v>0</v>
      </c>
      <c r="H1621" s="6">
        <v>7245</v>
      </c>
      <c r="I1621" s="6">
        <v>28</v>
      </c>
      <c r="J1621" s="6">
        <v>50</v>
      </c>
      <c r="K1621" s="6">
        <v>198</v>
      </c>
      <c r="L1621" s="6">
        <v>214</v>
      </c>
      <c r="M1621" s="6">
        <v>8.4</v>
      </c>
      <c r="N1621">
        <f>VLOOKUP(A1621,vlookup_table!$A:$G,2,FALSE)</f>
        <v>28</v>
      </c>
      <c r="O1621" t="str">
        <f>VLOOKUP(A1621,vlookup_table!$A:$G,3,FALSE)</f>
        <v>CA</v>
      </c>
      <c r="P1621">
        <f>VLOOKUP(A1621,vlookup_table!$A:$G,4,FALSE)</f>
        <v>6302</v>
      </c>
      <c r="Q1621" t="str">
        <f>VLOOKUP(A1621,vlookup_table!$A:$G,5,FALSE)</f>
        <v>C2</v>
      </c>
      <c r="R1621" t="str">
        <f>VLOOKUP(A1621,vlookup_table!$A:$G,6,FALSE)</f>
        <v>F</v>
      </c>
      <c r="S1621">
        <f>VLOOKUP(A1621,vlookup_table!$A:$G,7,FALSE)</f>
        <v>15</v>
      </c>
      <c r="T1621">
        <f t="shared" si="50"/>
        <v>33</v>
      </c>
      <c r="U1621" t="str">
        <f t="shared" si="51"/>
        <v>Ciudad</v>
      </c>
    </row>
    <row r="1622" spans="1:21" ht="16" x14ac:dyDescent="0.4">
      <c r="A1622" s="6">
        <v>162945</v>
      </c>
      <c r="B1622" s="6" t="s">
        <v>21</v>
      </c>
      <c r="C1622" s="6" t="s">
        <v>17</v>
      </c>
      <c r="D1622" s="6">
        <v>0</v>
      </c>
      <c r="E1622" s="6">
        <v>132</v>
      </c>
      <c r="F1622" s="6">
        <v>186</v>
      </c>
      <c r="G1622" s="6">
        <v>0</v>
      </c>
      <c r="H1622" s="6">
        <v>9308</v>
      </c>
      <c r="I1622" s="6">
        <v>46</v>
      </c>
      <c r="J1622" s="6">
        <v>21</v>
      </c>
      <c r="K1622" s="6">
        <v>147</v>
      </c>
      <c r="L1622" s="6">
        <v>178</v>
      </c>
      <c r="M1622" s="6">
        <v>4.5</v>
      </c>
      <c r="N1622">
        <f>VLOOKUP(A1622,vlookup_table!$A:$G,2,FALSE)</f>
        <v>0</v>
      </c>
      <c r="O1622" t="str">
        <f>VLOOKUP(A1622,vlookup_table!$A:$G,3,FALSE)</f>
        <v>CA</v>
      </c>
      <c r="P1622">
        <f>VLOOKUP(A1622,vlookup_table!$A:$G,4,FALSE)</f>
        <v>1201</v>
      </c>
      <c r="Q1622" t="str">
        <f>VLOOKUP(A1622,vlookup_table!$A:$G,5,FALSE)</f>
        <v>U4</v>
      </c>
      <c r="R1622" t="str">
        <f>VLOOKUP(A1622,vlookup_table!$A:$G,6,FALSE)</f>
        <v>F</v>
      </c>
      <c r="S1622">
        <f>VLOOKUP(A1622,vlookup_table!$A:$G,7,FALSE)</f>
        <v>5</v>
      </c>
      <c r="T1622">
        <f t="shared" si="50"/>
        <v>84</v>
      </c>
      <c r="U1622" t="str">
        <f t="shared" si="51"/>
        <v>Urbano</v>
      </c>
    </row>
    <row r="1623" spans="1:21" ht="16" x14ac:dyDescent="0.4">
      <c r="A1623" s="6">
        <v>12626</v>
      </c>
      <c r="B1623" s="6" t="s">
        <v>36</v>
      </c>
      <c r="C1623" s="6" t="s">
        <v>17</v>
      </c>
      <c r="D1623" s="6">
        <v>533</v>
      </c>
      <c r="E1623" s="6">
        <v>301</v>
      </c>
      <c r="F1623" s="6">
        <v>386</v>
      </c>
      <c r="G1623" s="6">
        <v>0</v>
      </c>
      <c r="H1623" s="6">
        <v>11562</v>
      </c>
      <c r="I1623" s="6">
        <v>5</v>
      </c>
      <c r="J1623" s="6">
        <v>48</v>
      </c>
      <c r="K1623" s="6">
        <v>349</v>
      </c>
      <c r="L1623" s="6">
        <v>339</v>
      </c>
      <c r="M1623" s="6">
        <v>8.1999999999999993</v>
      </c>
      <c r="N1623">
        <f>VLOOKUP(A1623,vlookup_table!$A:$G,2,FALSE)</f>
        <v>2</v>
      </c>
      <c r="O1623" t="str">
        <f>VLOOKUP(A1623,vlookup_table!$A:$G,3,FALSE)</f>
        <v>GA</v>
      </c>
      <c r="P1623">
        <f>VLOOKUP(A1623,vlookup_table!$A:$G,4,FALSE)</f>
        <v>0</v>
      </c>
      <c r="Q1623" t="str">
        <f>VLOOKUP(A1623,vlookup_table!$A:$G,5,FALSE)</f>
        <v>R2</v>
      </c>
      <c r="R1623" t="str">
        <f>VLOOKUP(A1623,vlookup_table!$A:$G,6,FALSE)</f>
        <v>F</v>
      </c>
      <c r="S1623">
        <f>VLOOKUP(A1623,vlookup_table!$A:$G,7,FALSE)</f>
        <v>9</v>
      </c>
      <c r="T1623">
        <f t="shared" si="50"/>
        <v>96</v>
      </c>
      <c r="U1623" t="str">
        <f t="shared" si="51"/>
        <v>Rural</v>
      </c>
    </row>
    <row r="1624" spans="1:21" ht="16" x14ac:dyDescent="0.4">
      <c r="A1624" s="6">
        <v>134005</v>
      </c>
      <c r="B1624" s="6" t="s">
        <v>35</v>
      </c>
      <c r="C1624" s="6" t="s">
        <v>14</v>
      </c>
      <c r="D1624" s="6">
        <v>582</v>
      </c>
      <c r="E1624" s="6">
        <v>361</v>
      </c>
      <c r="F1624" s="6">
        <v>392</v>
      </c>
      <c r="G1624" s="6">
        <v>0</v>
      </c>
      <c r="H1624" s="6">
        <v>12270</v>
      </c>
      <c r="I1624" s="6">
        <v>0</v>
      </c>
      <c r="J1624" s="6">
        <v>62</v>
      </c>
      <c r="K1624" s="6">
        <v>368</v>
      </c>
      <c r="L1624" s="6">
        <v>385</v>
      </c>
      <c r="M1624" s="6">
        <v>9.6666666669999994</v>
      </c>
      <c r="N1624">
        <f>VLOOKUP(A1624,vlookup_table!$A:$G,2,FALSE)</f>
        <v>13</v>
      </c>
      <c r="O1624" t="str">
        <f>VLOOKUP(A1624,vlookup_table!$A:$G,3,FALSE)</f>
        <v>UT</v>
      </c>
      <c r="P1624">
        <f>VLOOKUP(A1624,vlookup_table!$A:$G,4,FALSE)</f>
        <v>1409</v>
      </c>
      <c r="Q1624" t="str">
        <f>VLOOKUP(A1624,vlookup_table!$A:$G,5,FALSE)</f>
        <v>C2</v>
      </c>
      <c r="R1624" t="str">
        <f>VLOOKUP(A1624,vlookup_table!$A:$G,6,FALSE)</f>
        <v>M</v>
      </c>
      <c r="S1624">
        <f>VLOOKUP(A1624,vlookup_table!$A:$G,7,FALSE)</f>
        <v>10</v>
      </c>
      <c r="T1624">
        <f t="shared" si="50"/>
        <v>82</v>
      </c>
      <c r="U1624" t="str">
        <f t="shared" si="51"/>
        <v>Ciudad</v>
      </c>
    </row>
    <row r="1625" spans="1:21" ht="16" x14ac:dyDescent="0.4">
      <c r="A1625" s="6">
        <v>176948</v>
      </c>
      <c r="B1625" s="6" t="s">
        <v>47</v>
      </c>
      <c r="C1625" s="6" t="s">
        <v>14</v>
      </c>
      <c r="D1625" s="6">
        <v>480</v>
      </c>
      <c r="E1625" s="6">
        <v>203</v>
      </c>
      <c r="F1625" s="6">
        <v>237</v>
      </c>
      <c r="G1625" s="6">
        <v>1</v>
      </c>
      <c r="H1625" s="6">
        <v>8973</v>
      </c>
      <c r="I1625" s="6">
        <v>2</v>
      </c>
      <c r="J1625" s="6">
        <v>50</v>
      </c>
      <c r="K1625" s="6">
        <v>217</v>
      </c>
      <c r="L1625" s="6">
        <v>202</v>
      </c>
      <c r="M1625" s="6">
        <v>17.333333329999999</v>
      </c>
      <c r="N1625">
        <f>VLOOKUP(A1625,vlookup_table!$A:$G,2,FALSE)</f>
        <v>1</v>
      </c>
      <c r="O1625" t="str">
        <f>VLOOKUP(A1625,vlookup_table!$A:$G,3,FALSE)</f>
        <v>OR</v>
      </c>
      <c r="P1625">
        <f>VLOOKUP(A1625,vlookup_table!$A:$G,4,FALSE)</f>
        <v>2401</v>
      </c>
      <c r="Q1625" t="str">
        <f>VLOOKUP(A1625,vlookup_table!$A:$G,5,FALSE)</f>
        <v>T2</v>
      </c>
      <c r="R1625" t="str">
        <f>VLOOKUP(A1625,vlookup_table!$A:$G,6,FALSE)</f>
        <v>M</v>
      </c>
      <c r="S1625">
        <f>VLOOKUP(A1625,vlookup_table!$A:$G,7,FALSE)</f>
        <v>20</v>
      </c>
      <c r="T1625">
        <f t="shared" si="50"/>
        <v>72</v>
      </c>
      <c r="U1625" t="str">
        <f t="shared" si="51"/>
        <v>Pueblo</v>
      </c>
    </row>
    <row r="1626" spans="1:21" ht="16" x14ac:dyDescent="0.4">
      <c r="A1626" s="6">
        <v>123270</v>
      </c>
      <c r="B1626" s="6" t="s">
        <v>20</v>
      </c>
      <c r="C1626" s="6" t="s">
        <v>14</v>
      </c>
      <c r="D1626" s="6">
        <v>435</v>
      </c>
      <c r="E1626" s="6">
        <v>174</v>
      </c>
      <c r="F1626" s="6">
        <v>289</v>
      </c>
      <c r="G1626" s="6">
        <v>1</v>
      </c>
      <c r="H1626" s="6">
        <v>7881</v>
      </c>
      <c r="I1626" s="6">
        <v>24</v>
      </c>
      <c r="J1626" s="6">
        <v>63</v>
      </c>
      <c r="K1626" s="6">
        <v>209</v>
      </c>
      <c r="L1626" s="6">
        <v>256</v>
      </c>
      <c r="M1626" s="6">
        <v>12.83333333</v>
      </c>
      <c r="N1626">
        <f>VLOOKUP(A1626,vlookup_table!$A:$G,2,FALSE)</f>
        <v>0</v>
      </c>
      <c r="O1626" t="str">
        <f>VLOOKUP(A1626,vlookup_table!$A:$G,3,FALSE)</f>
        <v>TX</v>
      </c>
      <c r="P1626">
        <f>VLOOKUP(A1626,vlookup_table!$A:$G,4,FALSE)</f>
        <v>3508</v>
      </c>
      <c r="Q1626" t="str">
        <f>VLOOKUP(A1626,vlookup_table!$A:$G,5,FALSE)</f>
        <v>C3</v>
      </c>
      <c r="R1626" t="str">
        <f>VLOOKUP(A1626,vlookup_table!$A:$G,6,FALSE)</f>
        <v>M</v>
      </c>
      <c r="S1626">
        <f>VLOOKUP(A1626,vlookup_table!$A:$G,7,FALSE)</f>
        <v>10</v>
      </c>
      <c r="T1626">
        <f t="shared" si="50"/>
        <v>61</v>
      </c>
      <c r="U1626" t="str">
        <f t="shared" si="51"/>
        <v>Ciudad</v>
      </c>
    </row>
    <row r="1627" spans="1:21" ht="16" x14ac:dyDescent="0.4">
      <c r="A1627" s="6">
        <v>133884</v>
      </c>
      <c r="B1627" s="6" t="s">
        <v>38</v>
      </c>
      <c r="C1627" s="6" t="s">
        <v>17</v>
      </c>
      <c r="D1627" s="6">
        <v>609</v>
      </c>
      <c r="E1627" s="6">
        <v>250</v>
      </c>
      <c r="F1627" s="6">
        <v>323</v>
      </c>
      <c r="G1627" s="6">
        <v>1</v>
      </c>
      <c r="H1627" s="6">
        <v>10580</v>
      </c>
      <c r="I1627" s="6">
        <v>1</v>
      </c>
      <c r="J1627" s="6">
        <v>34</v>
      </c>
      <c r="K1627" s="6">
        <v>291</v>
      </c>
      <c r="L1627" s="6">
        <v>290</v>
      </c>
      <c r="M1627" s="6">
        <v>3.9085714290000002</v>
      </c>
      <c r="N1627">
        <f>VLOOKUP(A1627,vlookup_table!$A:$G,2,FALSE)</f>
        <v>0</v>
      </c>
      <c r="O1627" t="str">
        <f>VLOOKUP(A1627,vlookup_table!$A:$G,3,FALSE)</f>
        <v>ID</v>
      </c>
      <c r="P1627">
        <f>VLOOKUP(A1627,vlookup_table!$A:$G,4,FALSE)</f>
        <v>0</v>
      </c>
      <c r="Q1627" t="str">
        <f>VLOOKUP(A1627,vlookup_table!$A:$G,5,FALSE)</f>
        <v>T2</v>
      </c>
      <c r="R1627" t="str">
        <f>VLOOKUP(A1627,vlookup_table!$A:$G,6,FALSE)</f>
        <v>F</v>
      </c>
      <c r="S1627">
        <f>VLOOKUP(A1627,vlookup_table!$A:$G,7,FALSE)</f>
        <v>50</v>
      </c>
      <c r="T1627">
        <f t="shared" si="50"/>
        <v>96</v>
      </c>
      <c r="U1627" t="str">
        <f t="shared" si="51"/>
        <v>Pueblo</v>
      </c>
    </row>
    <row r="1628" spans="1:21" ht="16" x14ac:dyDescent="0.4">
      <c r="A1628" s="6">
        <v>21815</v>
      </c>
      <c r="B1628" s="6" t="s">
        <v>18</v>
      </c>
      <c r="C1628" s="6" t="s">
        <v>97</v>
      </c>
      <c r="D1628" s="6">
        <v>548</v>
      </c>
      <c r="E1628" s="6">
        <v>213</v>
      </c>
      <c r="F1628" s="6">
        <v>317</v>
      </c>
      <c r="G1628" s="6">
        <v>0</v>
      </c>
      <c r="H1628" s="6">
        <v>11564</v>
      </c>
      <c r="I1628" s="6">
        <v>1</v>
      </c>
      <c r="J1628" s="6">
        <v>86</v>
      </c>
      <c r="K1628" s="6">
        <v>307</v>
      </c>
      <c r="L1628" s="6">
        <v>256</v>
      </c>
      <c r="M1628" s="6">
        <v>5.8</v>
      </c>
      <c r="N1628">
        <f>VLOOKUP(A1628,vlookup_table!$A:$G,2,FALSE)</f>
        <v>0</v>
      </c>
      <c r="O1628" t="str">
        <f>VLOOKUP(A1628,vlookup_table!$A:$G,3,FALSE)</f>
        <v>NC</v>
      </c>
      <c r="P1628">
        <f>VLOOKUP(A1628,vlookup_table!$A:$G,4,FALSE)</f>
        <v>7101</v>
      </c>
      <c r="Q1628" t="str">
        <f>VLOOKUP(A1628,vlookup_table!$A:$G,5,FALSE)</f>
        <v>T2</v>
      </c>
      <c r="R1628" t="str">
        <f>VLOOKUP(A1628,vlookup_table!$A:$G,6,FALSE)</f>
        <v>F</v>
      </c>
      <c r="S1628">
        <f>VLOOKUP(A1628,vlookup_table!$A:$G,7,FALSE)</f>
        <v>5</v>
      </c>
      <c r="T1628">
        <f t="shared" si="50"/>
        <v>25</v>
      </c>
      <c r="U1628" t="str">
        <f t="shared" si="51"/>
        <v>Pueblo</v>
      </c>
    </row>
    <row r="1629" spans="1:21" ht="16" x14ac:dyDescent="0.4">
      <c r="A1629" s="6">
        <v>56700</v>
      </c>
      <c r="B1629" s="6" t="s">
        <v>53</v>
      </c>
      <c r="C1629" s="6" t="s">
        <v>14</v>
      </c>
      <c r="D1629" s="6">
        <v>447</v>
      </c>
      <c r="E1629" s="6">
        <v>214</v>
      </c>
      <c r="F1629" s="6">
        <v>314</v>
      </c>
      <c r="G1629" s="6">
        <v>0</v>
      </c>
      <c r="H1629" s="6">
        <v>12305</v>
      </c>
      <c r="I1629" s="6">
        <v>1</v>
      </c>
      <c r="J1629" s="6">
        <v>88</v>
      </c>
      <c r="K1629" s="6">
        <v>280</v>
      </c>
      <c r="L1629" s="6">
        <v>265</v>
      </c>
      <c r="M1629" s="6">
        <v>12.33333333</v>
      </c>
      <c r="N1629">
        <f>VLOOKUP(A1629,vlookup_table!$A:$G,2,FALSE)</f>
        <v>1</v>
      </c>
      <c r="O1629" t="str">
        <f>VLOOKUP(A1629,vlookup_table!$A:$G,3,FALSE)</f>
        <v>KY</v>
      </c>
      <c r="P1629">
        <f>VLOOKUP(A1629,vlookup_table!$A:$G,4,FALSE)</f>
        <v>0</v>
      </c>
      <c r="Q1629" t="str">
        <f>VLOOKUP(A1629,vlookup_table!$A:$G,5,FALSE)</f>
        <v>C3</v>
      </c>
      <c r="R1629" t="str">
        <f>VLOOKUP(A1629,vlookup_table!$A:$G,6,FALSE)</f>
        <v>M</v>
      </c>
      <c r="S1629">
        <f>VLOOKUP(A1629,vlookup_table!$A:$G,7,FALSE)</f>
        <v>20</v>
      </c>
      <c r="T1629">
        <f t="shared" si="50"/>
        <v>96</v>
      </c>
      <c r="U1629" t="str">
        <f t="shared" si="51"/>
        <v>Ciudad</v>
      </c>
    </row>
    <row r="1630" spans="1:21" ht="16" x14ac:dyDescent="0.4">
      <c r="A1630" s="6">
        <v>41920</v>
      </c>
      <c r="B1630" s="6" t="s">
        <v>13</v>
      </c>
      <c r="C1630" s="6" t="s">
        <v>14</v>
      </c>
      <c r="D1630" s="6">
        <v>467</v>
      </c>
      <c r="E1630" s="6">
        <v>192</v>
      </c>
      <c r="F1630" s="6">
        <v>323</v>
      </c>
      <c r="G1630" s="6">
        <v>0</v>
      </c>
      <c r="H1630" s="6">
        <v>10376</v>
      </c>
      <c r="I1630" s="6">
        <v>6</v>
      </c>
      <c r="J1630" s="6">
        <v>33</v>
      </c>
      <c r="K1630" s="6">
        <v>261</v>
      </c>
      <c r="L1630" s="6">
        <v>261</v>
      </c>
      <c r="M1630" s="6">
        <v>15</v>
      </c>
      <c r="N1630">
        <f>VLOOKUP(A1630,vlookup_table!$A:$G,2,FALSE)</f>
        <v>0</v>
      </c>
      <c r="O1630" t="str">
        <f>VLOOKUP(A1630,vlookup_table!$A:$G,3,FALSE)</f>
        <v>FL</v>
      </c>
      <c r="P1630">
        <f>VLOOKUP(A1630,vlookup_table!$A:$G,4,FALSE)</f>
        <v>4201</v>
      </c>
      <c r="Q1630" t="str">
        <f>VLOOKUP(A1630,vlookup_table!$A:$G,5,FALSE)</f>
        <v>U4</v>
      </c>
      <c r="R1630" t="str">
        <f>VLOOKUP(A1630,vlookup_table!$A:$G,6,FALSE)</f>
        <v>M</v>
      </c>
      <c r="S1630">
        <f>VLOOKUP(A1630,vlookup_table!$A:$G,7,FALSE)</f>
        <v>15</v>
      </c>
      <c r="T1630">
        <f t="shared" si="50"/>
        <v>54</v>
      </c>
      <c r="U1630" t="str">
        <f t="shared" si="51"/>
        <v>Urbano</v>
      </c>
    </row>
    <row r="1631" spans="1:21" ht="16" x14ac:dyDescent="0.4">
      <c r="A1631" s="6">
        <v>68440</v>
      </c>
      <c r="B1631" s="6" t="s">
        <v>26</v>
      </c>
      <c r="C1631" s="6" t="s">
        <v>14</v>
      </c>
      <c r="D1631" s="6">
        <v>327</v>
      </c>
      <c r="E1631" s="6">
        <v>232</v>
      </c>
      <c r="F1631" s="6">
        <v>325</v>
      </c>
      <c r="G1631" s="6">
        <v>0</v>
      </c>
      <c r="H1631" s="6">
        <v>12587</v>
      </c>
      <c r="I1631" s="6">
        <v>1</v>
      </c>
      <c r="J1631" s="6">
        <v>48</v>
      </c>
      <c r="K1631" s="6">
        <v>256</v>
      </c>
      <c r="L1631" s="6">
        <v>284</v>
      </c>
      <c r="M1631" s="6">
        <v>13.66666667</v>
      </c>
      <c r="N1631">
        <f>VLOOKUP(A1631,vlookup_table!$A:$G,2,FALSE)</f>
        <v>2</v>
      </c>
      <c r="O1631" t="str">
        <f>VLOOKUP(A1631,vlookup_table!$A:$G,3,FALSE)</f>
        <v>MI</v>
      </c>
      <c r="P1631">
        <f>VLOOKUP(A1631,vlookup_table!$A:$G,4,FALSE)</f>
        <v>3101</v>
      </c>
      <c r="Q1631" t="str">
        <f>VLOOKUP(A1631,vlookup_table!$A:$G,5,FALSE)</f>
        <v>U4</v>
      </c>
      <c r="R1631" t="str">
        <f>VLOOKUP(A1631,vlookup_table!$A:$G,6,FALSE)</f>
        <v>M</v>
      </c>
      <c r="S1631">
        <f>VLOOKUP(A1631,vlookup_table!$A:$G,7,FALSE)</f>
        <v>15</v>
      </c>
      <c r="T1631">
        <f t="shared" si="50"/>
        <v>65</v>
      </c>
      <c r="U1631" t="str">
        <f t="shared" si="51"/>
        <v>Urbano</v>
      </c>
    </row>
    <row r="1632" spans="1:21" ht="16" x14ac:dyDescent="0.4">
      <c r="A1632" s="6">
        <v>8013</v>
      </c>
      <c r="B1632" s="6" t="s">
        <v>16</v>
      </c>
      <c r="C1632" s="6" t="s">
        <v>17</v>
      </c>
      <c r="D1632" s="6">
        <v>890</v>
      </c>
      <c r="E1632" s="6">
        <v>437</v>
      </c>
      <c r="F1632" s="6">
        <v>455</v>
      </c>
      <c r="G1632" s="6">
        <v>5</v>
      </c>
      <c r="H1632" s="6">
        <v>20927</v>
      </c>
      <c r="I1632" s="6">
        <v>13</v>
      </c>
      <c r="J1632" s="6">
        <v>63</v>
      </c>
      <c r="K1632" s="6">
        <v>426</v>
      </c>
      <c r="L1632" s="6">
        <v>459</v>
      </c>
      <c r="M1632" s="6">
        <v>8.2857142859999993</v>
      </c>
      <c r="N1632">
        <f>VLOOKUP(A1632,vlookup_table!$A:$G,2,FALSE)</f>
        <v>0</v>
      </c>
      <c r="O1632" t="str">
        <f>VLOOKUP(A1632,vlookup_table!$A:$G,3,FALSE)</f>
        <v>IL</v>
      </c>
      <c r="P1632">
        <f>VLOOKUP(A1632,vlookup_table!$A:$G,4,FALSE)</f>
        <v>3701</v>
      </c>
      <c r="Q1632" t="str">
        <f>VLOOKUP(A1632,vlookup_table!$A:$G,5,FALSE)</f>
        <v>S1</v>
      </c>
      <c r="R1632" t="str">
        <f>VLOOKUP(A1632,vlookup_table!$A:$G,6,FALSE)</f>
        <v>F</v>
      </c>
      <c r="S1632">
        <f>VLOOKUP(A1632,vlookup_table!$A:$G,7,FALSE)</f>
        <v>10</v>
      </c>
      <c r="T1632">
        <f t="shared" si="50"/>
        <v>59</v>
      </c>
      <c r="U1632" t="str">
        <f t="shared" si="51"/>
        <v>Suburbano</v>
      </c>
    </row>
    <row r="1633" spans="1:21" ht="16" x14ac:dyDescent="0.4">
      <c r="A1633" s="6">
        <v>12801</v>
      </c>
      <c r="B1633" s="6" t="s">
        <v>21</v>
      </c>
      <c r="C1633" s="6" t="s">
        <v>17</v>
      </c>
      <c r="D1633" s="6">
        <v>2947</v>
      </c>
      <c r="E1633" s="6">
        <v>564</v>
      </c>
      <c r="F1633" s="6">
        <v>754</v>
      </c>
      <c r="G1633" s="6">
        <v>86</v>
      </c>
      <c r="H1633" s="6">
        <v>44438</v>
      </c>
      <c r="I1633" s="6">
        <v>9</v>
      </c>
      <c r="J1633" s="6">
        <v>28</v>
      </c>
      <c r="K1633" s="6">
        <v>658</v>
      </c>
      <c r="L1633" s="6">
        <v>665</v>
      </c>
      <c r="M1633" s="6">
        <v>15</v>
      </c>
      <c r="N1633">
        <f>VLOOKUP(A1633,vlookup_table!$A:$G,2,FALSE)</f>
        <v>28</v>
      </c>
      <c r="O1633" t="str">
        <f>VLOOKUP(A1633,vlookup_table!$A:$G,3,FALSE)</f>
        <v>CA</v>
      </c>
      <c r="P1633">
        <f>VLOOKUP(A1633,vlookup_table!$A:$G,4,FALSE)</f>
        <v>2001</v>
      </c>
      <c r="Q1633" t="str">
        <f>VLOOKUP(A1633,vlookup_table!$A:$G,5,FALSE)</f>
        <v>S1</v>
      </c>
      <c r="R1633" t="str">
        <f>VLOOKUP(A1633,vlookup_table!$A:$G,6,FALSE)</f>
        <v>F</v>
      </c>
      <c r="S1633">
        <f>VLOOKUP(A1633,vlookup_table!$A:$G,7,FALSE)</f>
        <v>15</v>
      </c>
      <c r="T1633">
        <f t="shared" si="50"/>
        <v>76</v>
      </c>
      <c r="U1633" t="str">
        <f t="shared" si="51"/>
        <v>Suburbano</v>
      </c>
    </row>
    <row r="1634" spans="1:21" ht="16" x14ac:dyDescent="0.4">
      <c r="A1634" s="6">
        <v>36495</v>
      </c>
      <c r="B1634" s="6" t="s">
        <v>13</v>
      </c>
      <c r="C1634" s="6" t="s">
        <v>17</v>
      </c>
      <c r="D1634" s="6">
        <v>679</v>
      </c>
      <c r="E1634" s="6">
        <v>192</v>
      </c>
      <c r="F1634" s="6">
        <v>321</v>
      </c>
      <c r="G1634" s="6">
        <v>0</v>
      </c>
      <c r="H1634" s="6">
        <v>13762</v>
      </c>
      <c r="I1634" s="6">
        <v>28</v>
      </c>
      <c r="J1634" s="6">
        <v>11</v>
      </c>
      <c r="K1634" s="6">
        <v>238</v>
      </c>
      <c r="L1634" s="6">
        <v>242</v>
      </c>
      <c r="M1634" s="6">
        <v>7.4285714289999998</v>
      </c>
      <c r="N1634">
        <f>VLOOKUP(A1634,vlookup_table!$A:$G,2,FALSE)</f>
        <v>0</v>
      </c>
      <c r="O1634" t="str">
        <f>VLOOKUP(A1634,vlookup_table!$A:$G,3,FALSE)</f>
        <v>FL</v>
      </c>
      <c r="P1634">
        <f>VLOOKUP(A1634,vlookup_table!$A:$G,4,FALSE)</f>
        <v>401</v>
      </c>
      <c r="Q1634" t="str">
        <f>VLOOKUP(A1634,vlookup_table!$A:$G,5,FALSE)</f>
        <v>U3</v>
      </c>
      <c r="R1634" t="str">
        <f>VLOOKUP(A1634,vlookup_table!$A:$G,6,FALSE)</f>
        <v>F</v>
      </c>
      <c r="S1634">
        <f>VLOOKUP(A1634,vlookup_table!$A:$G,7,FALSE)</f>
        <v>10</v>
      </c>
      <c r="T1634">
        <f t="shared" si="50"/>
        <v>56</v>
      </c>
      <c r="U1634" t="str">
        <f t="shared" si="51"/>
        <v>Urbano</v>
      </c>
    </row>
    <row r="1635" spans="1:21" ht="16" x14ac:dyDescent="0.4">
      <c r="A1635" s="6">
        <v>151730</v>
      </c>
      <c r="B1635" s="6" t="s">
        <v>21</v>
      </c>
      <c r="C1635" s="6" t="s">
        <v>17</v>
      </c>
      <c r="D1635" s="6">
        <v>1522</v>
      </c>
      <c r="E1635" s="6">
        <v>374</v>
      </c>
      <c r="F1635" s="6">
        <v>537</v>
      </c>
      <c r="G1635" s="6">
        <v>9</v>
      </c>
      <c r="H1635" s="6">
        <v>20172</v>
      </c>
      <c r="I1635" s="6">
        <v>3</v>
      </c>
      <c r="J1635" s="6">
        <v>42</v>
      </c>
      <c r="K1635" s="6">
        <v>485</v>
      </c>
      <c r="L1635" s="6">
        <v>453</v>
      </c>
      <c r="M1635" s="6">
        <v>5</v>
      </c>
      <c r="N1635">
        <f>VLOOKUP(A1635,vlookup_table!$A:$G,2,FALSE)</f>
        <v>0</v>
      </c>
      <c r="O1635" t="str">
        <f>VLOOKUP(A1635,vlookup_table!$A:$G,3,FALSE)</f>
        <v>CA</v>
      </c>
      <c r="P1635">
        <f>VLOOKUP(A1635,vlookup_table!$A:$G,4,FALSE)</f>
        <v>0</v>
      </c>
      <c r="Q1635" t="str">
        <f>VLOOKUP(A1635,vlookup_table!$A:$G,5,FALSE)</f>
        <v>U2</v>
      </c>
      <c r="R1635" t="str">
        <f>VLOOKUP(A1635,vlookup_table!$A:$G,6,FALSE)</f>
        <v>F</v>
      </c>
      <c r="S1635">
        <f>VLOOKUP(A1635,vlookup_table!$A:$G,7,FALSE)</f>
        <v>5</v>
      </c>
      <c r="T1635">
        <f t="shared" si="50"/>
        <v>96</v>
      </c>
      <c r="U1635" t="str">
        <f t="shared" si="51"/>
        <v>Urbano</v>
      </c>
    </row>
    <row r="1636" spans="1:21" ht="16" x14ac:dyDescent="0.4">
      <c r="A1636" s="6">
        <v>89174</v>
      </c>
      <c r="B1636" s="6" t="s">
        <v>16</v>
      </c>
      <c r="C1636" s="6" t="s">
        <v>14</v>
      </c>
      <c r="D1636" s="6">
        <v>5324</v>
      </c>
      <c r="E1636" s="6">
        <v>1159</v>
      </c>
      <c r="F1636" s="6">
        <v>1217</v>
      </c>
      <c r="G1636" s="6">
        <v>95</v>
      </c>
      <c r="H1636" s="6">
        <v>95913</v>
      </c>
      <c r="I1636" s="6">
        <v>12</v>
      </c>
      <c r="J1636" s="6">
        <v>45</v>
      </c>
      <c r="K1636" s="6">
        <v>1500</v>
      </c>
      <c r="L1636" s="6">
        <v>1053</v>
      </c>
      <c r="M1636" s="6">
        <v>22.25</v>
      </c>
      <c r="N1636">
        <f>VLOOKUP(A1636,vlookup_table!$A:$G,2,FALSE)</f>
        <v>1</v>
      </c>
      <c r="O1636" t="str">
        <f>VLOOKUP(A1636,vlookup_table!$A:$G,3,FALSE)</f>
        <v>IL</v>
      </c>
      <c r="P1636">
        <f>VLOOKUP(A1636,vlookup_table!$A:$G,4,FALSE)</f>
        <v>805</v>
      </c>
      <c r="Q1636" t="str">
        <f>VLOOKUP(A1636,vlookup_table!$A:$G,5,FALSE)</f>
        <v>S1</v>
      </c>
      <c r="R1636" t="str">
        <f>VLOOKUP(A1636,vlookup_table!$A:$G,6,FALSE)</f>
        <v>M</v>
      </c>
      <c r="S1636">
        <f>VLOOKUP(A1636,vlookup_table!$A:$G,7,FALSE)</f>
        <v>20</v>
      </c>
      <c r="T1636">
        <f t="shared" si="50"/>
        <v>16</v>
      </c>
      <c r="U1636" t="str">
        <f t="shared" si="51"/>
        <v>Suburbano</v>
      </c>
    </row>
    <row r="1637" spans="1:21" ht="16" x14ac:dyDescent="0.4">
      <c r="A1637" s="6">
        <v>5123</v>
      </c>
      <c r="B1637" s="6" t="s">
        <v>21</v>
      </c>
      <c r="C1637" s="6" t="s">
        <v>17</v>
      </c>
      <c r="D1637" s="6">
        <v>1878</v>
      </c>
      <c r="E1637" s="6">
        <v>351</v>
      </c>
      <c r="F1637" s="6">
        <v>475</v>
      </c>
      <c r="G1637" s="6">
        <v>45</v>
      </c>
      <c r="H1637" s="6">
        <v>15262</v>
      </c>
      <c r="I1637" s="6">
        <v>9</v>
      </c>
      <c r="J1637" s="6">
        <v>62</v>
      </c>
      <c r="K1637" s="6">
        <v>439</v>
      </c>
      <c r="L1637" s="6">
        <v>389</v>
      </c>
      <c r="M1637" s="6">
        <v>5.3</v>
      </c>
      <c r="N1637">
        <f>VLOOKUP(A1637,vlookup_table!$A:$G,2,FALSE)</f>
        <v>2</v>
      </c>
      <c r="O1637" t="str">
        <f>VLOOKUP(A1637,vlookup_table!$A:$G,3,FALSE)</f>
        <v>CA</v>
      </c>
      <c r="P1637">
        <f>VLOOKUP(A1637,vlookup_table!$A:$G,4,FALSE)</f>
        <v>0</v>
      </c>
      <c r="Q1637" t="str">
        <f>VLOOKUP(A1637,vlookup_table!$A:$G,5,FALSE)</f>
        <v>T2</v>
      </c>
      <c r="R1637" t="str">
        <f>VLOOKUP(A1637,vlookup_table!$A:$G,6,FALSE)</f>
        <v>F</v>
      </c>
      <c r="S1637">
        <f>VLOOKUP(A1637,vlookup_table!$A:$G,7,FALSE)</f>
        <v>6</v>
      </c>
      <c r="T1637">
        <f t="shared" si="50"/>
        <v>96</v>
      </c>
      <c r="U1637" t="str">
        <f t="shared" si="51"/>
        <v>Pueblo</v>
      </c>
    </row>
    <row r="1638" spans="1:21" ht="16" x14ac:dyDescent="0.4">
      <c r="A1638" s="6">
        <v>3931</v>
      </c>
      <c r="B1638" s="6" t="s">
        <v>30</v>
      </c>
      <c r="C1638" s="6" t="s">
        <v>17</v>
      </c>
      <c r="D1638" s="6">
        <v>529</v>
      </c>
      <c r="E1638" s="6">
        <v>277</v>
      </c>
      <c r="F1638" s="6">
        <v>397</v>
      </c>
      <c r="G1638" s="6">
        <v>0</v>
      </c>
      <c r="H1638" s="6">
        <v>12618</v>
      </c>
      <c r="I1638" s="6">
        <v>2</v>
      </c>
      <c r="J1638" s="6">
        <v>71</v>
      </c>
      <c r="K1638" s="6">
        <v>360</v>
      </c>
      <c r="L1638" s="6">
        <v>345</v>
      </c>
      <c r="M1638" s="6">
        <v>17.5</v>
      </c>
      <c r="N1638">
        <f>VLOOKUP(A1638,vlookup_table!$A:$G,2,FALSE)</f>
        <v>2</v>
      </c>
      <c r="O1638" t="str">
        <f>VLOOKUP(A1638,vlookup_table!$A:$G,3,FALSE)</f>
        <v>IN</v>
      </c>
      <c r="P1638">
        <f>VLOOKUP(A1638,vlookup_table!$A:$G,4,FALSE)</f>
        <v>0</v>
      </c>
      <c r="Q1638" t="str">
        <f>VLOOKUP(A1638,vlookup_table!$A:$G,5,FALSE)</f>
        <v>C2</v>
      </c>
      <c r="R1638" t="str">
        <f>VLOOKUP(A1638,vlookup_table!$A:$G,6,FALSE)</f>
        <v>F</v>
      </c>
      <c r="S1638">
        <f>VLOOKUP(A1638,vlookup_table!$A:$G,7,FALSE)</f>
        <v>10</v>
      </c>
      <c r="T1638">
        <f t="shared" si="50"/>
        <v>96</v>
      </c>
      <c r="U1638" t="str">
        <f t="shared" si="51"/>
        <v>Ciudad</v>
      </c>
    </row>
    <row r="1639" spans="1:21" ht="16" x14ac:dyDescent="0.4">
      <c r="A1639" s="6">
        <v>8330</v>
      </c>
      <c r="B1639" s="6" t="s">
        <v>13</v>
      </c>
      <c r="C1639" s="6" t="s">
        <v>17</v>
      </c>
      <c r="D1639" s="6">
        <v>742</v>
      </c>
      <c r="E1639" s="6">
        <v>239</v>
      </c>
      <c r="F1639" s="6">
        <v>356</v>
      </c>
      <c r="G1639" s="6">
        <v>9</v>
      </c>
      <c r="H1639" s="6">
        <v>18464</v>
      </c>
      <c r="I1639" s="6">
        <v>10</v>
      </c>
      <c r="J1639" s="6">
        <v>0</v>
      </c>
      <c r="K1639" s="6">
        <v>293</v>
      </c>
      <c r="L1639" s="6">
        <v>290</v>
      </c>
      <c r="M1639" s="6">
        <v>5.7272727269999999</v>
      </c>
      <c r="N1639">
        <f>VLOOKUP(A1639,vlookup_table!$A:$G,2,FALSE)</f>
        <v>28</v>
      </c>
      <c r="O1639" t="str">
        <f>VLOOKUP(A1639,vlookup_table!$A:$G,3,FALSE)</f>
        <v>FL</v>
      </c>
      <c r="P1639">
        <f>VLOOKUP(A1639,vlookup_table!$A:$G,4,FALSE)</f>
        <v>2501</v>
      </c>
      <c r="Q1639" t="str">
        <f>VLOOKUP(A1639,vlookup_table!$A:$G,5,FALSE)</f>
        <v>C2</v>
      </c>
      <c r="R1639" t="str">
        <f>VLOOKUP(A1639,vlookup_table!$A:$G,6,FALSE)</f>
        <v>F</v>
      </c>
      <c r="S1639">
        <f>VLOOKUP(A1639,vlookup_table!$A:$G,7,FALSE)</f>
        <v>5</v>
      </c>
      <c r="T1639">
        <f t="shared" si="50"/>
        <v>71</v>
      </c>
      <c r="U1639" t="str">
        <f t="shared" si="51"/>
        <v>Ciudad</v>
      </c>
    </row>
    <row r="1640" spans="1:21" ht="16" x14ac:dyDescent="0.4">
      <c r="A1640" s="6">
        <v>113354</v>
      </c>
      <c r="B1640" s="6" t="s">
        <v>28</v>
      </c>
      <c r="C1640" s="6" t="s">
        <v>17</v>
      </c>
      <c r="D1640" s="6">
        <v>466</v>
      </c>
      <c r="E1640" s="6">
        <v>332</v>
      </c>
      <c r="F1640" s="6">
        <v>399</v>
      </c>
      <c r="G1640" s="6">
        <v>0</v>
      </c>
      <c r="H1640" s="6">
        <v>12452</v>
      </c>
      <c r="I1640" s="6">
        <v>5</v>
      </c>
      <c r="J1640" s="6">
        <v>69</v>
      </c>
      <c r="K1640" s="6">
        <v>368</v>
      </c>
      <c r="L1640" s="6">
        <v>368</v>
      </c>
      <c r="M1640" s="6">
        <v>10.878787880000001</v>
      </c>
      <c r="N1640">
        <f>VLOOKUP(A1640,vlookup_table!$A:$G,2,FALSE)</f>
        <v>0</v>
      </c>
      <c r="O1640" t="str">
        <f>VLOOKUP(A1640,vlookup_table!$A:$G,3,FALSE)</f>
        <v>OK</v>
      </c>
      <c r="P1640">
        <f>VLOOKUP(A1640,vlookup_table!$A:$G,4,FALSE)</f>
        <v>5501</v>
      </c>
      <c r="Q1640" t="str">
        <f>VLOOKUP(A1640,vlookup_table!$A:$G,5,FALSE)</f>
        <v>S2</v>
      </c>
      <c r="R1640" t="str">
        <f>VLOOKUP(A1640,vlookup_table!$A:$G,6,FALSE)</f>
        <v>F</v>
      </c>
      <c r="S1640">
        <f>VLOOKUP(A1640,vlookup_table!$A:$G,7,FALSE)</f>
        <v>20</v>
      </c>
      <c r="T1640">
        <f t="shared" si="50"/>
        <v>41</v>
      </c>
      <c r="U1640" t="str">
        <f t="shared" si="51"/>
        <v>Suburbano</v>
      </c>
    </row>
    <row r="1641" spans="1:21" ht="16" x14ac:dyDescent="0.4">
      <c r="A1641" s="6">
        <v>164296</v>
      </c>
      <c r="B1641" s="6" t="s">
        <v>21</v>
      </c>
      <c r="C1641" s="6" t="s">
        <v>17</v>
      </c>
      <c r="D1641" s="6">
        <v>911</v>
      </c>
      <c r="E1641" s="6">
        <v>325</v>
      </c>
      <c r="F1641" s="6">
        <v>384</v>
      </c>
      <c r="G1641" s="6">
        <v>0</v>
      </c>
      <c r="H1641" s="6">
        <v>16016</v>
      </c>
      <c r="I1641" s="6">
        <v>8</v>
      </c>
      <c r="J1641" s="6">
        <v>58</v>
      </c>
      <c r="K1641" s="6">
        <v>358</v>
      </c>
      <c r="L1641" s="6">
        <v>330</v>
      </c>
      <c r="M1641" s="6">
        <v>5.9444444440000002</v>
      </c>
      <c r="N1641">
        <f>VLOOKUP(A1641,vlookup_table!$A:$G,2,FALSE)</f>
        <v>2</v>
      </c>
      <c r="O1641" t="str">
        <f>VLOOKUP(A1641,vlookup_table!$A:$G,3,FALSE)</f>
        <v>CA</v>
      </c>
      <c r="P1641">
        <f>VLOOKUP(A1641,vlookup_table!$A:$G,4,FALSE)</f>
        <v>3601</v>
      </c>
      <c r="Q1641" t="str">
        <f>VLOOKUP(A1641,vlookup_table!$A:$G,5,FALSE)</f>
        <v>S2</v>
      </c>
      <c r="R1641" t="str">
        <f>VLOOKUP(A1641,vlookup_table!$A:$G,6,FALSE)</f>
        <v>F</v>
      </c>
      <c r="S1641">
        <f>VLOOKUP(A1641,vlookup_table!$A:$G,7,FALSE)</f>
        <v>10</v>
      </c>
      <c r="T1641">
        <f t="shared" si="50"/>
        <v>60</v>
      </c>
      <c r="U1641" t="str">
        <f t="shared" si="51"/>
        <v>Suburbano</v>
      </c>
    </row>
    <row r="1642" spans="1:21" ht="16" x14ac:dyDescent="0.4">
      <c r="A1642" s="6">
        <v>184017</v>
      </c>
      <c r="B1642" s="6" t="s">
        <v>37</v>
      </c>
      <c r="C1642" s="6" t="s">
        <v>14</v>
      </c>
      <c r="D1642" s="6">
        <v>952</v>
      </c>
      <c r="E1642" s="6">
        <v>414</v>
      </c>
      <c r="F1642" s="6">
        <v>529</v>
      </c>
      <c r="G1642" s="6">
        <v>4</v>
      </c>
      <c r="H1642" s="6">
        <v>23125</v>
      </c>
      <c r="I1642" s="6">
        <v>2</v>
      </c>
      <c r="J1642" s="6">
        <v>48</v>
      </c>
      <c r="K1642" s="6">
        <v>452</v>
      </c>
      <c r="L1642" s="6">
        <v>484</v>
      </c>
      <c r="M1642" s="6">
        <v>14.222222220000001</v>
      </c>
      <c r="N1642">
        <f>VLOOKUP(A1642,vlookup_table!$A:$G,2,FALSE)</f>
        <v>1002</v>
      </c>
      <c r="O1642" t="str">
        <f>VLOOKUP(A1642,vlookup_table!$A:$G,3,FALSE)</f>
        <v>WA</v>
      </c>
      <c r="P1642">
        <f>VLOOKUP(A1642,vlookup_table!$A:$G,4,FALSE)</f>
        <v>3501</v>
      </c>
      <c r="Q1642" t="str">
        <f>VLOOKUP(A1642,vlookup_table!$A:$G,5,FALSE)</f>
        <v>R1</v>
      </c>
      <c r="R1642" t="str">
        <f>VLOOKUP(A1642,vlookup_table!$A:$G,6,FALSE)</f>
        <v>M</v>
      </c>
      <c r="S1642">
        <f>VLOOKUP(A1642,vlookup_table!$A:$G,7,FALSE)</f>
        <v>20</v>
      </c>
      <c r="T1642">
        <f t="shared" si="50"/>
        <v>61</v>
      </c>
      <c r="U1642" t="str">
        <f t="shared" si="51"/>
        <v>Rural</v>
      </c>
    </row>
    <row r="1643" spans="1:21" ht="16" x14ac:dyDescent="0.4">
      <c r="A1643" s="6">
        <v>37852</v>
      </c>
      <c r="B1643" s="6" t="s">
        <v>13</v>
      </c>
      <c r="C1643" s="6" t="s">
        <v>14</v>
      </c>
      <c r="D1643" s="6">
        <v>879</v>
      </c>
      <c r="E1643" s="6">
        <v>235</v>
      </c>
      <c r="F1643" s="6">
        <v>327</v>
      </c>
      <c r="G1643" s="6">
        <v>1</v>
      </c>
      <c r="H1643" s="6">
        <v>9954</v>
      </c>
      <c r="I1643" s="6">
        <v>70</v>
      </c>
      <c r="J1643" s="6">
        <v>17</v>
      </c>
      <c r="K1643" s="6">
        <v>251</v>
      </c>
      <c r="L1643" s="6">
        <v>303</v>
      </c>
      <c r="M1643" s="6">
        <v>10.5</v>
      </c>
      <c r="N1643">
        <f>VLOOKUP(A1643,vlookup_table!$A:$G,2,FALSE)</f>
        <v>0</v>
      </c>
      <c r="O1643" t="str">
        <f>VLOOKUP(A1643,vlookup_table!$A:$G,3,FALSE)</f>
        <v>FL</v>
      </c>
      <c r="P1643">
        <f>VLOOKUP(A1643,vlookup_table!$A:$G,4,FALSE)</f>
        <v>6009</v>
      </c>
      <c r="Q1643" t="str">
        <f>VLOOKUP(A1643,vlookup_table!$A:$G,5,FALSE)</f>
        <v>U3</v>
      </c>
      <c r="R1643" t="str">
        <f>VLOOKUP(A1643,vlookup_table!$A:$G,6,FALSE)</f>
        <v>M</v>
      </c>
      <c r="S1643">
        <f>VLOOKUP(A1643,vlookup_table!$A:$G,7,FALSE)</f>
        <v>20</v>
      </c>
      <c r="T1643">
        <f t="shared" si="50"/>
        <v>36</v>
      </c>
      <c r="U1643" t="str">
        <f t="shared" si="51"/>
        <v>Urbano</v>
      </c>
    </row>
    <row r="1644" spans="1:21" ht="16" x14ac:dyDescent="0.4">
      <c r="A1644" s="6">
        <v>64170</v>
      </c>
      <c r="B1644" s="6" t="s">
        <v>30</v>
      </c>
      <c r="C1644" s="6" t="s">
        <v>17</v>
      </c>
      <c r="D1644" s="6">
        <v>573</v>
      </c>
      <c r="E1644" s="6">
        <v>393</v>
      </c>
      <c r="F1644" s="6">
        <v>471</v>
      </c>
      <c r="G1644" s="6">
        <v>1</v>
      </c>
      <c r="H1644" s="6">
        <v>16377</v>
      </c>
      <c r="I1644" s="6">
        <v>0</v>
      </c>
      <c r="J1644" s="6">
        <v>69</v>
      </c>
      <c r="K1644" s="6">
        <v>437</v>
      </c>
      <c r="L1644" s="6">
        <v>413</v>
      </c>
      <c r="M1644" s="6">
        <v>16.285714290000001</v>
      </c>
      <c r="N1644">
        <f>VLOOKUP(A1644,vlookup_table!$A:$G,2,FALSE)</f>
        <v>0</v>
      </c>
      <c r="O1644" t="str">
        <f>VLOOKUP(A1644,vlookup_table!$A:$G,3,FALSE)</f>
        <v>IN</v>
      </c>
      <c r="P1644">
        <f>VLOOKUP(A1644,vlookup_table!$A:$G,4,FALSE)</f>
        <v>3001</v>
      </c>
      <c r="Q1644" t="str">
        <f>VLOOKUP(A1644,vlookup_table!$A:$G,5,FALSE)</f>
        <v>T2</v>
      </c>
      <c r="R1644" t="str">
        <f>VLOOKUP(A1644,vlookup_table!$A:$G,6,FALSE)</f>
        <v>F</v>
      </c>
      <c r="S1644">
        <f>VLOOKUP(A1644,vlookup_table!$A:$G,7,FALSE)</f>
        <v>15</v>
      </c>
      <c r="T1644">
        <f t="shared" si="50"/>
        <v>66</v>
      </c>
      <c r="U1644" t="str">
        <f t="shared" si="51"/>
        <v>Pueblo</v>
      </c>
    </row>
    <row r="1645" spans="1:21" ht="16" x14ac:dyDescent="0.4">
      <c r="A1645" s="6">
        <v>152118</v>
      </c>
      <c r="B1645" s="6" t="s">
        <v>21</v>
      </c>
      <c r="C1645" s="6" t="s">
        <v>17</v>
      </c>
      <c r="D1645" s="6">
        <v>1644</v>
      </c>
      <c r="E1645" s="6">
        <v>396</v>
      </c>
      <c r="F1645" s="6">
        <v>489</v>
      </c>
      <c r="G1645" s="6">
        <v>35</v>
      </c>
      <c r="H1645" s="6">
        <v>16298</v>
      </c>
      <c r="I1645" s="6">
        <v>3</v>
      </c>
      <c r="J1645" s="6">
        <v>54</v>
      </c>
      <c r="K1645" s="6">
        <v>426</v>
      </c>
      <c r="L1645" s="6">
        <v>450</v>
      </c>
      <c r="M1645" s="6">
        <v>3</v>
      </c>
      <c r="N1645">
        <f>VLOOKUP(A1645,vlookup_table!$A:$G,2,FALSE)</f>
        <v>2</v>
      </c>
      <c r="O1645" t="str">
        <f>VLOOKUP(A1645,vlookup_table!$A:$G,3,FALSE)</f>
        <v>CA</v>
      </c>
      <c r="P1645">
        <f>VLOOKUP(A1645,vlookup_table!$A:$G,4,FALSE)</f>
        <v>2209</v>
      </c>
      <c r="Q1645" t="str">
        <f>VLOOKUP(A1645,vlookup_table!$A:$G,5,FALSE)</f>
        <v>S2</v>
      </c>
      <c r="R1645" t="str">
        <f>VLOOKUP(A1645,vlookup_table!$A:$G,6,FALSE)</f>
        <v>F</v>
      </c>
      <c r="S1645">
        <f>VLOOKUP(A1645,vlookup_table!$A:$G,7,FALSE)</f>
        <v>4</v>
      </c>
      <c r="T1645">
        <f t="shared" si="50"/>
        <v>74</v>
      </c>
      <c r="U1645" t="str">
        <f t="shared" si="51"/>
        <v>Suburbano</v>
      </c>
    </row>
    <row r="1646" spans="1:21" ht="16" x14ac:dyDescent="0.4">
      <c r="A1646" s="6">
        <v>190281</v>
      </c>
      <c r="B1646" s="6" t="s">
        <v>45</v>
      </c>
      <c r="C1646" s="6" t="s">
        <v>17</v>
      </c>
      <c r="D1646" s="6">
        <v>905</v>
      </c>
      <c r="E1646" s="6">
        <v>215</v>
      </c>
      <c r="F1646" s="6">
        <v>331</v>
      </c>
      <c r="G1646" s="6">
        <v>3</v>
      </c>
      <c r="H1646" s="6">
        <v>10917</v>
      </c>
      <c r="I1646" s="6">
        <v>10</v>
      </c>
      <c r="J1646" s="6">
        <v>37</v>
      </c>
      <c r="K1646" s="6">
        <v>245</v>
      </c>
      <c r="L1646" s="6">
        <v>269</v>
      </c>
      <c r="M1646" s="6">
        <v>13.14285714</v>
      </c>
      <c r="N1646">
        <f>VLOOKUP(A1646,vlookup_table!$A:$G,2,FALSE)</f>
        <v>2</v>
      </c>
      <c r="O1646" t="str">
        <f>VLOOKUP(A1646,vlookup_table!$A:$G,3,FALSE)</f>
        <v>CO</v>
      </c>
      <c r="P1646">
        <f>VLOOKUP(A1646,vlookup_table!$A:$G,4,FALSE)</f>
        <v>0</v>
      </c>
      <c r="Q1646" t="str">
        <f>VLOOKUP(A1646,vlookup_table!$A:$G,5,FALSE)</f>
        <v>S3</v>
      </c>
      <c r="R1646" t="str">
        <f>VLOOKUP(A1646,vlookup_table!$A:$G,6,FALSE)</f>
        <v>F</v>
      </c>
      <c r="S1646">
        <f>VLOOKUP(A1646,vlookup_table!$A:$G,7,FALSE)</f>
        <v>25</v>
      </c>
      <c r="T1646">
        <f t="shared" si="50"/>
        <v>96</v>
      </c>
      <c r="U1646" t="str">
        <f t="shared" si="51"/>
        <v>Suburbano</v>
      </c>
    </row>
    <row r="1647" spans="1:21" ht="16" x14ac:dyDescent="0.4">
      <c r="A1647" s="6">
        <v>28786</v>
      </c>
      <c r="B1647" s="6" t="s">
        <v>36</v>
      </c>
      <c r="C1647" s="6" t="s">
        <v>17</v>
      </c>
      <c r="D1647" s="6">
        <v>406</v>
      </c>
      <c r="E1647" s="6">
        <v>183</v>
      </c>
      <c r="F1647" s="6">
        <v>287</v>
      </c>
      <c r="G1647" s="6">
        <v>1</v>
      </c>
      <c r="H1647" s="6">
        <v>8848</v>
      </c>
      <c r="I1647" s="6">
        <v>0</v>
      </c>
      <c r="J1647" s="6">
        <v>83</v>
      </c>
      <c r="K1647" s="6">
        <v>225</v>
      </c>
      <c r="L1647" s="6">
        <v>245</v>
      </c>
      <c r="M1647" s="6">
        <v>7.4444444440000002</v>
      </c>
      <c r="N1647">
        <f>VLOOKUP(A1647,vlookup_table!$A:$G,2,FALSE)</f>
        <v>0</v>
      </c>
      <c r="O1647" t="str">
        <f>VLOOKUP(A1647,vlookup_table!$A:$G,3,FALSE)</f>
        <v>GA</v>
      </c>
      <c r="P1647">
        <f>VLOOKUP(A1647,vlookup_table!$A:$G,4,FALSE)</f>
        <v>0</v>
      </c>
      <c r="Q1647" t="str">
        <f>VLOOKUP(A1647,vlookup_table!$A:$G,5,FALSE)</f>
        <v>R3</v>
      </c>
      <c r="R1647" t="str">
        <f>VLOOKUP(A1647,vlookup_table!$A:$G,6,FALSE)</f>
        <v>F</v>
      </c>
      <c r="S1647">
        <f>VLOOKUP(A1647,vlookup_table!$A:$G,7,FALSE)</f>
        <v>10</v>
      </c>
      <c r="T1647">
        <f t="shared" si="50"/>
        <v>96</v>
      </c>
      <c r="U1647" t="str">
        <f t="shared" si="51"/>
        <v>Rural</v>
      </c>
    </row>
    <row r="1648" spans="1:21" ht="16" x14ac:dyDescent="0.4">
      <c r="A1648" s="6">
        <v>45551</v>
      </c>
      <c r="B1648" s="6" t="s">
        <v>13</v>
      </c>
      <c r="C1648" s="6"/>
      <c r="D1648" s="6">
        <v>0</v>
      </c>
      <c r="E1648" s="6">
        <v>0</v>
      </c>
      <c r="F1648" s="6">
        <v>0</v>
      </c>
      <c r="G1648" s="6">
        <v>0</v>
      </c>
      <c r="H1648" s="6">
        <v>0</v>
      </c>
      <c r="I1648" s="6">
        <v>0</v>
      </c>
      <c r="J1648" s="6">
        <v>0</v>
      </c>
      <c r="K1648" s="6">
        <v>0</v>
      </c>
      <c r="L1648" s="6">
        <v>0</v>
      </c>
      <c r="M1648" s="6">
        <v>12.5</v>
      </c>
      <c r="N1648">
        <f>VLOOKUP(A1648,vlookup_table!$A:$G,2,FALSE)</f>
        <v>2</v>
      </c>
      <c r="O1648" t="str">
        <f>VLOOKUP(A1648,vlookup_table!$A:$G,3,FALSE)</f>
        <v>FL</v>
      </c>
      <c r="P1648">
        <f>VLOOKUP(A1648,vlookup_table!$A:$G,4,FALSE)</f>
        <v>0</v>
      </c>
      <c r="Q1648" t="str">
        <f>VLOOKUP(A1648,vlookup_table!$A:$G,5,FALSE)</f>
        <v>S3</v>
      </c>
      <c r="R1648" t="str">
        <f>VLOOKUP(A1648,vlookup_table!$A:$G,6,FALSE)</f>
        <v/>
      </c>
      <c r="S1648">
        <f>VLOOKUP(A1648,vlookup_table!$A:$G,7,FALSE)</f>
        <v>15</v>
      </c>
      <c r="T1648">
        <f t="shared" si="50"/>
        <v>96</v>
      </c>
      <c r="U1648" t="str">
        <f t="shared" si="51"/>
        <v>Suburbano</v>
      </c>
    </row>
    <row r="1649" spans="1:21" ht="16" x14ac:dyDescent="0.4">
      <c r="A1649" s="6">
        <v>181931</v>
      </c>
      <c r="B1649" s="6" t="s">
        <v>37</v>
      </c>
      <c r="C1649" s="6" t="s">
        <v>17</v>
      </c>
      <c r="D1649" s="6">
        <v>430</v>
      </c>
      <c r="E1649" s="6">
        <v>221</v>
      </c>
      <c r="F1649" s="6">
        <v>243</v>
      </c>
      <c r="G1649" s="6">
        <v>0</v>
      </c>
      <c r="H1649" s="6">
        <v>8096</v>
      </c>
      <c r="I1649" s="6">
        <v>5</v>
      </c>
      <c r="J1649" s="6">
        <v>59</v>
      </c>
      <c r="K1649" s="6">
        <v>234</v>
      </c>
      <c r="L1649" s="6">
        <v>236</v>
      </c>
      <c r="M1649" s="6">
        <v>10.272727270000001</v>
      </c>
      <c r="N1649">
        <f>VLOOKUP(A1649,vlookup_table!$A:$G,2,FALSE)</f>
        <v>0</v>
      </c>
      <c r="O1649" t="str">
        <f>VLOOKUP(A1649,vlookup_table!$A:$G,3,FALSE)</f>
        <v>WA</v>
      </c>
      <c r="P1649">
        <f>VLOOKUP(A1649,vlookup_table!$A:$G,4,FALSE)</f>
        <v>1909</v>
      </c>
      <c r="Q1649" t="str">
        <f>VLOOKUP(A1649,vlookup_table!$A:$G,5,FALSE)</f>
        <v>U1</v>
      </c>
      <c r="R1649" t="str">
        <f>VLOOKUP(A1649,vlookup_table!$A:$G,6,FALSE)</f>
        <v>F</v>
      </c>
      <c r="S1649">
        <f>VLOOKUP(A1649,vlookup_table!$A:$G,7,FALSE)</f>
        <v>13</v>
      </c>
      <c r="T1649">
        <f t="shared" si="50"/>
        <v>77</v>
      </c>
      <c r="U1649" t="str">
        <f t="shared" si="51"/>
        <v>Urbano</v>
      </c>
    </row>
    <row r="1650" spans="1:21" ht="16" x14ac:dyDescent="0.4">
      <c r="A1650" s="6">
        <v>45431</v>
      </c>
      <c r="B1650" s="6" t="s">
        <v>13</v>
      </c>
      <c r="C1650" s="6" t="s">
        <v>17</v>
      </c>
      <c r="D1650" s="6">
        <v>492</v>
      </c>
      <c r="E1650" s="6">
        <v>200</v>
      </c>
      <c r="F1650" s="6">
        <v>288</v>
      </c>
      <c r="G1650" s="6">
        <v>0</v>
      </c>
      <c r="H1650" s="6">
        <v>13616</v>
      </c>
      <c r="I1650" s="6">
        <v>10</v>
      </c>
      <c r="J1650" s="6">
        <v>7</v>
      </c>
      <c r="K1650" s="6">
        <v>244</v>
      </c>
      <c r="L1650" s="6">
        <v>243</v>
      </c>
      <c r="M1650" s="6">
        <v>15</v>
      </c>
      <c r="N1650">
        <f>VLOOKUP(A1650,vlookup_table!$A:$G,2,FALSE)</f>
        <v>1</v>
      </c>
      <c r="O1650" t="str">
        <f>VLOOKUP(A1650,vlookup_table!$A:$G,3,FALSE)</f>
        <v>FL</v>
      </c>
      <c r="P1650">
        <f>VLOOKUP(A1650,vlookup_table!$A:$G,4,FALSE)</f>
        <v>2609</v>
      </c>
      <c r="Q1650" t="str">
        <f>VLOOKUP(A1650,vlookup_table!$A:$G,5,FALSE)</f>
        <v>C3</v>
      </c>
      <c r="R1650" t="str">
        <f>VLOOKUP(A1650,vlookup_table!$A:$G,6,FALSE)</f>
        <v>F</v>
      </c>
      <c r="S1650">
        <f>VLOOKUP(A1650,vlookup_table!$A:$G,7,FALSE)</f>
        <v>20</v>
      </c>
      <c r="T1650">
        <f t="shared" si="50"/>
        <v>70</v>
      </c>
      <c r="U1650" t="str">
        <f t="shared" si="51"/>
        <v>Ciudad</v>
      </c>
    </row>
    <row r="1651" spans="1:21" ht="16" x14ac:dyDescent="0.4">
      <c r="A1651" s="6">
        <v>25635</v>
      </c>
      <c r="B1651" s="6" t="s">
        <v>36</v>
      </c>
      <c r="C1651" s="6" t="s">
        <v>14</v>
      </c>
      <c r="D1651" s="6">
        <v>553</v>
      </c>
      <c r="E1651" s="6">
        <v>325</v>
      </c>
      <c r="F1651" s="6">
        <v>345</v>
      </c>
      <c r="G1651" s="6">
        <v>0</v>
      </c>
      <c r="H1651" s="6">
        <v>11881</v>
      </c>
      <c r="I1651" s="6">
        <v>2</v>
      </c>
      <c r="J1651" s="6">
        <v>69</v>
      </c>
      <c r="K1651" s="6">
        <v>334</v>
      </c>
      <c r="L1651" s="6">
        <v>343</v>
      </c>
      <c r="M1651" s="6">
        <v>7.2</v>
      </c>
      <c r="N1651">
        <f>VLOOKUP(A1651,vlookup_table!$A:$G,2,FALSE)</f>
        <v>1</v>
      </c>
      <c r="O1651" t="str">
        <f>VLOOKUP(A1651,vlookup_table!$A:$G,3,FALSE)</f>
        <v>GA</v>
      </c>
      <c r="P1651">
        <f>VLOOKUP(A1651,vlookup_table!$A:$G,4,FALSE)</f>
        <v>2001</v>
      </c>
      <c r="Q1651" t="str">
        <f>VLOOKUP(A1651,vlookup_table!$A:$G,5,FALSE)</f>
        <v>S2</v>
      </c>
      <c r="R1651" t="str">
        <f>VLOOKUP(A1651,vlookup_table!$A:$G,6,FALSE)</f>
        <v>M</v>
      </c>
      <c r="S1651">
        <f>VLOOKUP(A1651,vlookup_table!$A:$G,7,FALSE)</f>
        <v>11</v>
      </c>
      <c r="T1651">
        <f t="shared" si="50"/>
        <v>76</v>
      </c>
      <c r="U1651" t="str">
        <f t="shared" si="51"/>
        <v>Suburbano</v>
      </c>
    </row>
    <row r="1652" spans="1:21" ht="16" x14ac:dyDescent="0.4">
      <c r="A1652" s="6">
        <v>135112</v>
      </c>
      <c r="B1652" s="6" t="s">
        <v>51</v>
      </c>
      <c r="C1652" s="6" t="s">
        <v>97</v>
      </c>
      <c r="D1652" s="6">
        <v>719</v>
      </c>
      <c r="E1652" s="6">
        <v>313</v>
      </c>
      <c r="F1652" s="6">
        <v>407</v>
      </c>
      <c r="G1652" s="6">
        <v>1</v>
      </c>
      <c r="H1652" s="6">
        <v>13050</v>
      </c>
      <c r="I1652" s="6">
        <v>2</v>
      </c>
      <c r="J1652" s="6">
        <v>52</v>
      </c>
      <c r="K1652" s="6">
        <v>366</v>
      </c>
      <c r="L1652" s="6">
        <v>331</v>
      </c>
      <c r="M1652" s="6">
        <v>5.4285714289999998</v>
      </c>
      <c r="N1652">
        <f>VLOOKUP(A1652,vlookup_table!$A:$G,2,FALSE)</f>
        <v>0</v>
      </c>
      <c r="O1652" t="str">
        <f>VLOOKUP(A1652,vlookup_table!$A:$G,3,FALSE)</f>
        <v>AZ</v>
      </c>
      <c r="P1652">
        <f>VLOOKUP(A1652,vlookup_table!$A:$G,4,FALSE)</f>
        <v>3001</v>
      </c>
      <c r="Q1652" t="str">
        <f>VLOOKUP(A1652,vlookup_table!$A:$G,5,FALSE)</f>
        <v>U2</v>
      </c>
      <c r="R1652" t="str">
        <f>VLOOKUP(A1652,vlookup_table!$A:$G,6,FALSE)</f>
        <v>F</v>
      </c>
      <c r="S1652">
        <f>VLOOKUP(A1652,vlookup_table!$A:$G,7,FALSE)</f>
        <v>8</v>
      </c>
      <c r="T1652">
        <f t="shared" si="50"/>
        <v>66</v>
      </c>
      <c r="U1652" t="str">
        <f t="shared" si="51"/>
        <v>Urbano</v>
      </c>
    </row>
    <row r="1653" spans="1:21" ht="16" x14ac:dyDescent="0.4">
      <c r="A1653" s="6">
        <v>179111</v>
      </c>
      <c r="B1653" s="6" t="s">
        <v>37</v>
      </c>
      <c r="C1653" s="6" t="s">
        <v>14</v>
      </c>
      <c r="D1653" s="6">
        <v>1761</v>
      </c>
      <c r="E1653" s="6">
        <v>583</v>
      </c>
      <c r="F1653" s="6">
        <v>715</v>
      </c>
      <c r="G1653" s="6">
        <v>31</v>
      </c>
      <c r="H1653" s="6">
        <v>25887</v>
      </c>
      <c r="I1653" s="6">
        <v>13</v>
      </c>
      <c r="J1653" s="6">
        <v>38</v>
      </c>
      <c r="K1653" s="6">
        <v>588</v>
      </c>
      <c r="L1653" s="6">
        <v>692</v>
      </c>
      <c r="M1653" s="6">
        <v>12.5</v>
      </c>
      <c r="N1653">
        <f>VLOOKUP(A1653,vlookup_table!$A:$G,2,FALSE)</f>
        <v>0</v>
      </c>
      <c r="O1653" t="str">
        <f>VLOOKUP(A1653,vlookup_table!$A:$G,3,FALSE)</f>
        <v>WA</v>
      </c>
      <c r="P1653">
        <f>VLOOKUP(A1653,vlookup_table!$A:$G,4,FALSE)</f>
        <v>4201</v>
      </c>
      <c r="Q1653" t="str">
        <f>VLOOKUP(A1653,vlookup_table!$A:$G,5,FALSE)</f>
        <v>S1</v>
      </c>
      <c r="R1653" t="str">
        <f>VLOOKUP(A1653,vlookup_table!$A:$G,6,FALSE)</f>
        <v>M</v>
      </c>
      <c r="S1653">
        <f>VLOOKUP(A1653,vlookup_table!$A:$G,7,FALSE)</f>
        <v>20</v>
      </c>
      <c r="T1653">
        <f t="shared" si="50"/>
        <v>54</v>
      </c>
      <c r="U1653" t="str">
        <f t="shared" si="51"/>
        <v>Suburbano</v>
      </c>
    </row>
    <row r="1654" spans="1:21" ht="16" x14ac:dyDescent="0.4">
      <c r="A1654" s="6">
        <v>65596</v>
      </c>
      <c r="B1654" s="6" t="s">
        <v>26</v>
      </c>
      <c r="C1654" s="6" t="s">
        <v>14</v>
      </c>
      <c r="D1654" s="6">
        <v>587</v>
      </c>
      <c r="E1654" s="6">
        <v>438</v>
      </c>
      <c r="F1654" s="6">
        <v>473</v>
      </c>
      <c r="G1654" s="6">
        <v>0</v>
      </c>
      <c r="H1654" s="6">
        <v>14390</v>
      </c>
      <c r="I1654" s="6">
        <v>2</v>
      </c>
      <c r="J1654" s="6">
        <v>89</v>
      </c>
      <c r="K1654" s="6">
        <v>466</v>
      </c>
      <c r="L1654" s="6">
        <v>438</v>
      </c>
      <c r="M1654" s="6">
        <v>4.5909090910000003</v>
      </c>
      <c r="N1654">
        <f>VLOOKUP(A1654,vlookup_table!$A:$G,2,FALSE)</f>
        <v>1002</v>
      </c>
      <c r="O1654" t="str">
        <f>VLOOKUP(A1654,vlookup_table!$A:$G,3,FALSE)</f>
        <v>MI</v>
      </c>
      <c r="P1654">
        <f>VLOOKUP(A1654,vlookup_table!$A:$G,4,FALSE)</f>
        <v>5801</v>
      </c>
      <c r="Q1654" t="str">
        <f>VLOOKUP(A1654,vlookup_table!$A:$G,5,FALSE)</f>
        <v>S2</v>
      </c>
      <c r="R1654" t="str">
        <f>VLOOKUP(A1654,vlookup_table!$A:$G,6,FALSE)</f>
        <v>M</v>
      </c>
      <c r="S1654">
        <f>VLOOKUP(A1654,vlookup_table!$A:$G,7,FALSE)</f>
        <v>9</v>
      </c>
      <c r="T1654">
        <f t="shared" si="50"/>
        <v>38</v>
      </c>
      <c r="U1654" t="str">
        <f t="shared" si="51"/>
        <v>Suburbano</v>
      </c>
    </row>
    <row r="1655" spans="1:21" ht="16" x14ac:dyDescent="0.4">
      <c r="A1655" s="6">
        <v>73282</v>
      </c>
      <c r="B1655" s="6" t="s">
        <v>26</v>
      </c>
      <c r="C1655" s="6" t="s">
        <v>14</v>
      </c>
      <c r="D1655" s="6">
        <v>800</v>
      </c>
      <c r="E1655" s="6">
        <v>409</v>
      </c>
      <c r="F1655" s="6">
        <v>478</v>
      </c>
      <c r="G1655" s="6">
        <v>1</v>
      </c>
      <c r="H1655" s="6">
        <v>14218</v>
      </c>
      <c r="I1655" s="6">
        <v>3</v>
      </c>
      <c r="J1655" s="6">
        <v>85</v>
      </c>
      <c r="K1655" s="6">
        <v>448</v>
      </c>
      <c r="L1655" s="6">
        <v>433</v>
      </c>
      <c r="M1655" s="6">
        <v>20.833333329999999</v>
      </c>
      <c r="N1655">
        <f>VLOOKUP(A1655,vlookup_table!$A:$G,2,FALSE)</f>
        <v>1</v>
      </c>
      <c r="O1655" t="str">
        <f>VLOOKUP(A1655,vlookup_table!$A:$G,3,FALSE)</f>
        <v>MI</v>
      </c>
      <c r="P1655">
        <f>VLOOKUP(A1655,vlookup_table!$A:$G,4,FALSE)</f>
        <v>2201</v>
      </c>
      <c r="Q1655" t="str">
        <f>VLOOKUP(A1655,vlookup_table!$A:$G,5,FALSE)</f>
        <v>S2</v>
      </c>
      <c r="R1655" t="str">
        <f>VLOOKUP(A1655,vlookup_table!$A:$G,6,FALSE)</f>
        <v>M</v>
      </c>
      <c r="S1655">
        <f>VLOOKUP(A1655,vlookup_table!$A:$G,7,FALSE)</f>
        <v>25</v>
      </c>
      <c r="T1655">
        <f t="shared" si="50"/>
        <v>74</v>
      </c>
      <c r="U1655" t="str">
        <f t="shared" si="51"/>
        <v>Suburbano</v>
      </c>
    </row>
    <row r="1656" spans="1:21" ht="16" x14ac:dyDescent="0.4">
      <c r="A1656" s="6">
        <v>146241</v>
      </c>
      <c r="B1656" s="6" t="s">
        <v>21</v>
      </c>
      <c r="C1656" s="6" t="s">
        <v>14</v>
      </c>
      <c r="D1656" s="6">
        <v>3196</v>
      </c>
      <c r="E1656" s="6">
        <v>655</v>
      </c>
      <c r="F1656" s="6">
        <v>731</v>
      </c>
      <c r="G1656" s="6">
        <v>91</v>
      </c>
      <c r="H1656" s="6">
        <v>21091</v>
      </c>
      <c r="I1656" s="6">
        <v>33</v>
      </c>
      <c r="J1656" s="6">
        <v>41</v>
      </c>
      <c r="K1656" s="6">
        <v>692</v>
      </c>
      <c r="L1656" s="6">
        <v>695</v>
      </c>
      <c r="M1656" s="6">
        <v>30</v>
      </c>
      <c r="N1656">
        <f>VLOOKUP(A1656,vlookup_table!$A:$G,2,FALSE)</f>
        <v>1</v>
      </c>
      <c r="O1656" t="str">
        <f>VLOOKUP(A1656,vlookup_table!$A:$G,3,FALSE)</f>
        <v>CA</v>
      </c>
      <c r="P1656">
        <f>VLOOKUP(A1656,vlookup_table!$A:$G,4,FALSE)</f>
        <v>3401</v>
      </c>
      <c r="Q1656" t="str">
        <f>VLOOKUP(A1656,vlookup_table!$A:$G,5,FALSE)</f>
        <v>U1</v>
      </c>
      <c r="R1656" t="str">
        <f>VLOOKUP(A1656,vlookup_table!$A:$G,6,FALSE)</f>
        <v>M</v>
      </c>
      <c r="S1656">
        <f>VLOOKUP(A1656,vlookup_table!$A:$G,7,FALSE)</f>
        <v>50</v>
      </c>
      <c r="T1656">
        <f t="shared" si="50"/>
        <v>62</v>
      </c>
      <c r="U1656" t="str">
        <f t="shared" si="51"/>
        <v>Urbano</v>
      </c>
    </row>
    <row r="1657" spans="1:21" ht="16" x14ac:dyDescent="0.4">
      <c r="A1657" s="6">
        <v>60098</v>
      </c>
      <c r="B1657" s="6" t="s">
        <v>30</v>
      </c>
      <c r="C1657" s="6" t="s">
        <v>14</v>
      </c>
      <c r="D1657" s="6">
        <v>789</v>
      </c>
      <c r="E1657" s="6">
        <v>383</v>
      </c>
      <c r="F1657" s="6">
        <v>462</v>
      </c>
      <c r="G1657" s="6">
        <v>0</v>
      </c>
      <c r="H1657" s="6">
        <v>17643</v>
      </c>
      <c r="I1657" s="6">
        <v>1</v>
      </c>
      <c r="J1657" s="6">
        <v>79</v>
      </c>
      <c r="K1657" s="6">
        <v>434</v>
      </c>
      <c r="L1657" s="6">
        <v>412</v>
      </c>
      <c r="M1657" s="6">
        <v>9.9166666669999994</v>
      </c>
      <c r="N1657">
        <f>VLOOKUP(A1657,vlookup_table!$A:$G,2,FALSE)</f>
        <v>1</v>
      </c>
      <c r="O1657" t="str">
        <f>VLOOKUP(A1657,vlookup_table!$A:$G,3,FALSE)</f>
        <v>IN</v>
      </c>
      <c r="P1657">
        <f>VLOOKUP(A1657,vlookup_table!$A:$G,4,FALSE)</f>
        <v>4106</v>
      </c>
      <c r="Q1657" t="str">
        <f>VLOOKUP(A1657,vlookup_table!$A:$G,5,FALSE)</f>
        <v>S2</v>
      </c>
      <c r="R1657" t="str">
        <f>VLOOKUP(A1657,vlookup_table!$A:$G,6,FALSE)</f>
        <v>M</v>
      </c>
      <c r="S1657">
        <f>VLOOKUP(A1657,vlookup_table!$A:$G,7,FALSE)</f>
        <v>25</v>
      </c>
      <c r="T1657">
        <f t="shared" si="50"/>
        <v>55</v>
      </c>
      <c r="U1657" t="str">
        <f t="shared" si="51"/>
        <v>Suburbano</v>
      </c>
    </row>
    <row r="1658" spans="1:21" ht="16" x14ac:dyDescent="0.4">
      <c r="A1658" s="6">
        <v>74361</v>
      </c>
      <c r="B1658" s="6" t="s">
        <v>26</v>
      </c>
      <c r="C1658" s="6" t="s">
        <v>14</v>
      </c>
      <c r="D1658" s="6">
        <v>545</v>
      </c>
      <c r="E1658" s="6">
        <v>265</v>
      </c>
      <c r="F1658" s="6">
        <v>328</v>
      </c>
      <c r="G1658" s="6">
        <v>3</v>
      </c>
      <c r="H1658" s="6">
        <v>10786</v>
      </c>
      <c r="I1658" s="6">
        <v>1</v>
      </c>
      <c r="J1658" s="6">
        <v>84</v>
      </c>
      <c r="K1658" s="6">
        <v>281</v>
      </c>
      <c r="L1658" s="6">
        <v>312</v>
      </c>
      <c r="M1658" s="6">
        <v>10.0625</v>
      </c>
      <c r="N1658">
        <f>VLOOKUP(A1658,vlookup_table!$A:$G,2,FALSE)</f>
        <v>0</v>
      </c>
      <c r="O1658" t="str">
        <f>VLOOKUP(A1658,vlookup_table!$A:$G,3,FALSE)</f>
        <v>MI</v>
      </c>
      <c r="P1658">
        <f>VLOOKUP(A1658,vlookup_table!$A:$G,4,FALSE)</f>
        <v>7012</v>
      </c>
      <c r="Q1658" t="str">
        <f>VLOOKUP(A1658,vlookup_table!$A:$G,5,FALSE)</f>
        <v>R2</v>
      </c>
      <c r="R1658" t="str">
        <f>VLOOKUP(A1658,vlookup_table!$A:$G,6,FALSE)</f>
        <v>M</v>
      </c>
      <c r="S1658">
        <f>VLOOKUP(A1658,vlookup_table!$A:$G,7,FALSE)</f>
        <v>10</v>
      </c>
      <c r="T1658">
        <f t="shared" si="50"/>
        <v>26</v>
      </c>
      <c r="U1658" t="str">
        <f t="shared" si="51"/>
        <v>Rural</v>
      </c>
    </row>
    <row r="1659" spans="1:21" ht="16" x14ac:dyDescent="0.4">
      <c r="A1659" s="6">
        <v>82857</v>
      </c>
      <c r="B1659" s="6" t="s">
        <v>52</v>
      </c>
      <c r="C1659" s="6" t="s">
        <v>14</v>
      </c>
      <c r="D1659" s="6">
        <v>745</v>
      </c>
      <c r="E1659" s="6">
        <v>326</v>
      </c>
      <c r="F1659" s="6">
        <v>428</v>
      </c>
      <c r="G1659" s="6">
        <v>1</v>
      </c>
      <c r="H1659" s="6">
        <v>15081</v>
      </c>
      <c r="I1659" s="6">
        <v>3</v>
      </c>
      <c r="J1659" s="6">
        <v>76</v>
      </c>
      <c r="K1659" s="6">
        <v>382</v>
      </c>
      <c r="L1659" s="6">
        <v>374</v>
      </c>
      <c r="M1659" s="6">
        <v>11.42857143</v>
      </c>
      <c r="N1659">
        <f>VLOOKUP(A1659,vlookup_table!$A:$G,2,FALSE)</f>
        <v>1</v>
      </c>
      <c r="O1659" t="str">
        <f>VLOOKUP(A1659,vlookup_table!$A:$G,3,FALSE)</f>
        <v>MN</v>
      </c>
      <c r="P1659">
        <f>VLOOKUP(A1659,vlookup_table!$A:$G,4,FALSE)</f>
        <v>3804</v>
      </c>
      <c r="Q1659" t="str">
        <f>VLOOKUP(A1659,vlookup_table!$A:$G,5,FALSE)</f>
        <v>S1</v>
      </c>
      <c r="R1659" t="str">
        <f>VLOOKUP(A1659,vlookup_table!$A:$G,6,FALSE)</f>
        <v>M</v>
      </c>
      <c r="S1659">
        <f>VLOOKUP(A1659,vlookup_table!$A:$G,7,FALSE)</f>
        <v>10</v>
      </c>
      <c r="T1659">
        <f t="shared" si="50"/>
        <v>58</v>
      </c>
      <c r="U1659" t="str">
        <f t="shared" si="51"/>
        <v>Suburbano</v>
      </c>
    </row>
    <row r="1660" spans="1:21" ht="16" x14ac:dyDescent="0.4">
      <c r="A1660" s="6">
        <v>38580</v>
      </c>
      <c r="B1660" s="6" t="s">
        <v>13</v>
      </c>
      <c r="C1660" s="6" t="s">
        <v>14</v>
      </c>
      <c r="D1660" s="6">
        <v>1144</v>
      </c>
      <c r="E1660" s="6">
        <v>333</v>
      </c>
      <c r="F1660" s="6">
        <v>505</v>
      </c>
      <c r="G1660" s="6">
        <v>0</v>
      </c>
      <c r="H1660" s="6">
        <v>16518</v>
      </c>
      <c r="I1660" s="6">
        <v>29</v>
      </c>
      <c r="J1660" s="6">
        <v>27</v>
      </c>
      <c r="K1660" s="6">
        <v>443</v>
      </c>
      <c r="L1660" s="6">
        <v>436</v>
      </c>
      <c r="M1660" s="6">
        <v>14.81818182</v>
      </c>
      <c r="N1660">
        <f>VLOOKUP(A1660,vlookup_table!$A:$G,2,FALSE)</f>
        <v>0</v>
      </c>
      <c r="O1660" t="str">
        <f>VLOOKUP(A1660,vlookup_table!$A:$G,3,FALSE)</f>
        <v>FL</v>
      </c>
      <c r="P1660">
        <f>VLOOKUP(A1660,vlookup_table!$A:$G,4,FALSE)</f>
        <v>3607</v>
      </c>
      <c r="Q1660" t="str">
        <f>VLOOKUP(A1660,vlookup_table!$A:$G,5,FALSE)</f>
        <v>S2</v>
      </c>
      <c r="R1660" t="str">
        <f>VLOOKUP(A1660,vlookup_table!$A:$G,6,FALSE)</f>
        <v>M</v>
      </c>
      <c r="S1660">
        <f>VLOOKUP(A1660,vlookup_table!$A:$G,7,FALSE)</f>
        <v>10</v>
      </c>
      <c r="T1660">
        <f t="shared" si="50"/>
        <v>60</v>
      </c>
      <c r="U1660" t="str">
        <f t="shared" si="51"/>
        <v>Suburbano</v>
      </c>
    </row>
    <row r="1661" spans="1:21" ht="16" x14ac:dyDescent="0.4">
      <c r="A1661" s="6">
        <v>36471</v>
      </c>
      <c r="B1661" s="6" t="s">
        <v>13</v>
      </c>
      <c r="C1661" s="6" t="s">
        <v>17</v>
      </c>
      <c r="D1661" s="6">
        <v>730</v>
      </c>
      <c r="E1661" s="6">
        <v>181</v>
      </c>
      <c r="F1661" s="6">
        <v>272</v>
      </c>
      <c r="G1661" s="6">
        <v>1</v>
      </c>
      <c r="H1661" s="6">
        <v>12098</v>
      </c>
      <c r="I1661" s="6">
        <v>33</v>
      </c>
      <c r="J1661" s="6">
        <v>22</v>
      </c>
      <c r="K1661" s="6">
        <v>191</v>
      </c>
      <c r="L1661" s="6">
        <v>287</v>
      </c>
      <c r="M1661" s="6">
        <v>10.5</v>
      </c>
      <c r="N1661">
        <f>VLOOKUP(A1661,vlookup_table!$A:$G,2,FALSE)</f>
        <v>28</v>
      </c>
      <c r="O1661" t="str">
        <f>VLOOKUP(A1661,vlookup_table!$A:$G,3,FALSE)</f>
        <v>FL</v>
      </c>
      <c r="P1661">
        <f>VLOOKUP(A1661,vlookup_table!$A:$G,4,FALSE)</f>
        <v>2710</v>
      </c>
      <c r="Q1661" t="str">
        <f>VLOOKUP(A1661,vlookup_table!$A:$G,5,FALSE)</f>
        <v>U3</v>
      </c>
      <c r="R1661" t="str">
        <f>VLOOKUP(A1661,vlookup_table!$A:$G,6,FALSE)</f>
        <v>F</v>
      </c>
      <c r="S1661">
        <f>VLOOKUP(A1661,vlookup_table!$A:$G,7,FALSE)</f>
        <v>20</v>
      </c>
      <c r="T1661">
        <f t="shared" si="50"/>
        <v>69</v>
      </c>
      <c r="U1661" t="str">
        <f t="shared" si="51"/>
        <v>Urbano</v>
      </c>
    </row>
    <row r="1662" spans="1:21" ht="16" x14ac:dyDescent="0.4">
      <c r="A1662" s="6">
        <v>140135</v>
      </c>
      <c r="B1662" s="6" t="s">
        <v>50</v>
      </c>
      <c r="C1662" s="6" t="s">
        <v>17</v>
      </c>
      <c r="D1662" s="6">
        <v>506</v>
      </c>
      <c r="E1662" s="6">
        <v>191</v>
      </c>
      <c r="F1662" s="6">
        <v>273</v>
      </c>
      <c r="G1662" s="6">
        <v>2</v>
      </c>
      <c r="H1662" s="6">
        <v>8923</v>
      </c>
      <c r="I1662" s="6">
        <v>7</v>
      </c>
      <c r="J1662" s="6">
        <v>72</v>
      </c>
      <c r="K1662" s="6">
        <v>214</v>
      </c>
      <c r="L1662" s="6">
        <v>253</v>
      </c>
      <c r="M1662" s="6">
        <v>14.81818182</v>
      </c>
      <c r="N1662">
        <f>VLOOKUP(A1662,vlookup_table!$A:$G,2,FALSE)</f>
        <v>28</v>
      </c>
      <c r="O1662" t="str">
        <f>VLOOKUP(A1662,vlookup_table!$A:$G,3,FALSE)</f>
        <v>NM</v>
      </c>
      <c r="P1662">
        <f>VLOOKUP(A1662,vlookup_table!$A:$G,4,FALSE)</f>
        <v>3901</v>
      </c>
      <c r="Q1662" t="str">
        <f>VLOOKUP(A1662,vlookup_table!$A:$G,5,FALSE)</f>
        <v>R2</v>
      </c>
      <c r="R1662" t="str">
        <f>VLOOKUP(A1662,vlookup_table!$A:$G,6,FALSE)</f>
        <v>F</v>
      </c>
      <c r="S1662">
        <f>VLOOKUP(A1662,vlookup_table!$A:$G,7,FALSE)</f>
        <v>20</v>
      </c>
      <c r="T1662">
        <f t="shared" si="50"/>
        <v>57</v>
      </c>
      <c r="U1662" t="str">
        <f t="shared" si="51"/>
        <v>Rural</v>
      </c>
    </row>
    <row r="1663" spans="1:21" ht="16" x14ac:dyDescent="0.4">
      <c r="A1663" s="6">
        <v>133029</v>
      </c>
      <c r="B1663" s="6" t="s">
        <v>38</v>
      </c>
      <c r="C1663" s="6" t="s">
        <v>17</v>
      </c>
      <c r="D1663" s="6">
        <v>488</v>
      </c>
      <c r="E1663" s="6">
        <v>159</v>
      </c>
      <c r="F1663" s="6">
        <v>234</v>
      </c>
      <c r="G1663" s="6">
        <v>0</v>
      </c>
      <c r="H1663" s="6">
        <v>8393</v>
      </c>
      <c r="I1663" s="6">
        <v>1</v>
      </c>
      <c r="J1663" s="6">
        <v>62</v>
      </c>
      <c r="K1663" s="6">
        <v>220</v>
      </c>
      <c r="L1663" s="6">
        <v>203</v>
      </c>
      <c r="M1663" s="6">
        <v>11.94117647</v>
      </c>
      <c r="N1663">
        <f>VLOOKUP(A1663,vlookup_table!$A:$G,2,FALSE)</f>
        <v>0</v>
      </c>
      <c r="O1663" t="str">
        <f>VLOOKUP(A1663,vlookup_table!$A:$G,3,FALSE)</f>
        <v>ID</v>
      </c>
      <c r="P1663">
        <f>VLOOKUP(A1663,vlookup_table!$A:$G,4,FALSE)</f>
        <v>3801</v>
      </c>
      <c r="Q1663" t="str">
        <f>VLOOKUP(A1663,vlookup_table!$A:$G,5,FALSE)</f>
        <v>C2</v>
      </c>
      <c r="R1663" t="str">
        <f>VLOOKUP(A1663,vlookup_table!$A:$G,6,FALSE)</f>
        <v>F</v>
      </c>
      <c r="S1663">
        <f>VLOOKUP(A1663,vlookup_table!$A:$G,7,FALSE)</f>
        <v>5</v>
      </c>
      <c r="T1663">
        <f t="shared" si="50"/>
        <v>58</v>
      </c>
      <c r="U1663" t="str">
        <f t="shared" si="51"/>
        <v>Ciudad</v>
      </c>
    </row>
    <row r="1664" spans="1:21" ht="16" x14ac:dyDescent="0.4">
      <c r="A1664" s="6">
        <v>161829</v>
      </c>
      <c r="B1664" s="6" t="s">
        <v>21</v>
      </c>
      <c r="C1664" s="6" t="s">
        <v>17</v>
      </c>
      <c r="D1664" s="6">
        <v>1748</v>
      </c>
      <c r="E1664" s="6">
        <v>351</v>
      </c>
      <c r="F1664" s="6">
        <v>391</v>
      </c>
      <c r="G1664" s="6">
        <v>22</v>
      </c>
      <c r="H1664" s="6">
        <v>14059</v>
      </c>
      <c r="I1664" s="6">
        <v>24</v>
      </c>
      <c r="J1664" s="6">
        <v>24</v>
      </c>
      <c r="K1664" s="6">
        <v>355</v>
      </c>
      <c r="L1664" s="6">
        <v>382</v>
      </c>
      <c r="M1664" s="6">
        <v>5.5238095239999998</v>
      </c>
      <c r="N1664">
        <f>VLOOKUP(A1664,vlookup_table!$A:$G,2,FALSE)</f>
        <v>0</v>
      </c>
      <c r="O1664" t="str">
        <f>VLOOKUP(A1664,vlookup_table!$A:$G,3,FALSE)</f>
        <v>CA</v>
      </c>
      <c r="P1664">
        <f>VLOOKUP(A1664,vlookup_table!$A:$G,4,FALSE)</f>
        <v>3402</v>
      </c>
      <c r="Q1664" t="str">
        <f>VLOOKUP(A1664,vlookup_table!$A:$G,5,FALSE)</f>
        <v>S2</v>
      </c>
      <c r="R1664" t="str">
        <f>VLOOKUP(A1664,vlookup_table!$A:$G,6,FALSE)</f>
        <v>F</v>
      </c>
      <c r="S1664">
        <f>VLOOKUP(A1664,vlookup_table!$A:$G,7,FALSE)</f>
        <v>10</v>
      </c>
      <c r="T1664">
        <f t="shared" si="50"/>
        <v>62</v>
      </c>
      <c r="U1664" t="str">
        <f t="shared" si="51"/>
        <v>Suburbano</v>
      </c>
    </row>
    <row r="1665" spans="1:21" ht="16" x14ac:dyDescent="0.4">
      <c r="A1665" s="6">
        <v>168268</v>
      </c>
      <c r="B1665" s="6" t="s">
        <v>21</v>
      </c>
      <c r="C1665" s="6" t="s">
        <v>17</v>
      </c>
      <c r="D1665" s="6">
        <v>2159</v>
      </c>
      <c r="E1665" s="6">
        <v>233</v>
      </c>
      <c r="F1665" s="6">
        <v>394</v>
      </c>
      <c r="G1665" s="6">
        <v>67</v>
      </c>
      <c r="H1665" s="6">
        <v>12950</v>
      </c>
      <c r="I1665" s="6">
        <v>8</v>
      </c>
      <c r="J1665" s="6">
        <v>62</v>
      </c>
      <c r="K1665" s="6">
        <v>280</v>
      </c>
      <c r="L1665" s="6">
        <v>247</v>
      </c>
      <c r="M1665" s="6">
        <v>20.176470590000001</v>
      </c>
      <c r="N1665">
        <f>VLOOKUP(A1665,vlookup_table!$A:$G,2,FALSE)</f>
        <v>0</v>
      </c>
      <c r="O1665" t="str">
        <f>VLOOKUP(A1665,vlookup_table!$A:$G,3,FALSE)</f>
        <v>CA</v>
      </c>
      <c r="P1665">
        <f>VLOOKUP(A1665,vlookup_table!$A:$G,4,FALSE)</f>
        <v>2207</v>
      </c>
      <c r="Q1665" t="str">
        <f>VLOOKUP(A1665,vlookup_table!$A:$G,5,FALSE)</f>
        <v>U2</v>
      </c>
      <c r="R1665" t="str">
        <f>VLOOKUP(A1665,vlookup_table!$A:$G,6,FALSE)</f>
        <v>F</v>
      </c>
      <c r="S1665">
        <f>VLOOKUP(A1665,vlookup_table!$A:$G,7,FALSE)</f>
        <v>15</v>
      </c>
      <c r="T1665">
        <f t="shared" si="50"/>
        <v>74</v>
      </c>
      <c r="U1665" t="str">
        <f t="shared" si="51"/>
        <v>Urbano</v>
      </c>
    </row>
    <row r="1666" spans="1:21" ht="16" x14ac:dyDescent="0.4">
      <c r="A1666" s="6">
        <v>19490</v>
      </c>
      <c r="B1666" s="6" t="s">
        <v>18</v>
      </c>
      <c r="C1666" s="6" t="s">
        <v>97</v>
      </c>
      <c r="D1666" s="6">
        <v>739</v>
      </c>
      <c r="E1666" s="6">
        <v>309</v>
      </c>
      <c r="F1666" s="6">
        <v>451</v>
      </c>
      <c r="G1666" s="6">
        <v>0</v>
      </c>
      <c r="H1666" s="6">
        <v>17709</v>
      </c>
      <c r="I1666" s="6">
        <v>5</v>
      </c>
      <c r="J1666" s="6">
        <v>40</v>
      </c>
      <c r="K1666" s="6">
        <v>402</v>
      </c>
      <c r="L1666" s="6">
        <v>405</v>
      </c>
      <c r="M1666" s="6">
        <v>10.42857143</v>
      </c>
      <c r="N1666">
        <f>VLOOKUP(A1666,vlookup_table!$A:$G,2,FALSE)</f>
        <v>28</v>
      </c>
      <c r="O1666" t="str">
        <f>VLOOKUP(A1666,vlookup_table!$A:$G,3,FALSE)</f>
        <v>NC</v>
      </c>
      <c r="P1666">
        <f>VLOOKUP(A1666,vlookup_table!$A:$G,4,FALSE)</f>
        <v>4201</v>
      </c>
      <c r="Q1666" t="str">
        <f>VLOOKUP(A1666,vlookup_table!$A:$G,5,FALSE)</f>
        <v>C2</v>
      </c>
      <c r="R1666" t="str">
        <f>VLOOKUP(A1666,vlookup_table!$A:$G,6,FALSE)</f>
        <v>F</v>
      </c>
      <c r="S1666">
        <f>VLOOKUP(A1666,vlookup_table!$A:$G,7,FALSE)</f>
        <v>10</v>
      </c>
      <c r="T1666">
        <f t="shared" si="50"/>
        <v>54</v>
      </c>
      <c r="U1666" t="str">
        <f t="shared" si="51"/>
        <v>Ciudad</v>
      </c>
    </row>
    <row r="1667" spans="1:21" ht="16" x14ac:dyDescent="0.4">
      <c r="A1667" s="6">
        <v>166899</v>
      </c>
      <c r="B1667" s="6" t="s">
        <v>21</v>
      </c>
      <c r="C1667" s="6" t="s">
        <v>17</v>
      </c>
      <c r="D1667" s="6">
        <v>2153</v>
      </c>
      <c r="E1667" s="6">
        <v>320</v>
      </c>
      <c r="F1667" s="6">
        <v>397</v>
      </c>
      <c r="G1667" s="6">
        <v>60</v>
      </c>
      <c r="H1667" s="6">
        <v>15000</v>
      </c>
      <c r="I1667" s="6">
        <v>16</v>
      </c>
      <c r="J1667" s="6">
        <v>46</v>
      </c>
      <c r="K1667" s="6">
        <v>379</v>
      </c>
      <c r="L1667" s="6">
        <v>360</v>
      </c>
      <c r="M1667" s="6">
        <v>22.5</v>
      </c>
      <c r="N1667">
        <f>VLOOKUP(A1667,vlookup_table!$A:$G,2,FALSE)</f>
        <v>2</v>
      </c>
      <c r="O1667" t="str">
        <f>VLOOKUP(A1667,vlookup_table!$A:$G,3,FALSE)</f>
        <v>CA</v>
      </c>
      <c r="P1667">
        <f>VLOOKUP(A1667,vlookup_table!$A:$G,4,FALSE)</f>
        <v>3601</v>
      </c>
      <c r="Q1667" t="str">
        <f>VLOOKUP(A1667,vlookup_table!$A:$G,5,FALSE)</f>
        <v>S2</v>
      </c>
      <c r="R1667" t="str">
        <f>VLOOKUP(A1667,vlookup_table!$A:$G,6,FALSE)</f>
        <v>F</v>
      </c>
      <c r="S1667">
        <f>VLOOKUP(A1667,vlookup_table!$A:$G,7,FALSE)</f>
        <v>35</v>
      </c>
      <c r="T1667">
        <f t="shared" ref="T1667:T1730" si="52">97-LEFT(P1667,2)-IF(RIGHT(P1667,2)&gt;6,1,0)</f>
        <v>60</v>
      </c>
      <c r="U1667" t="str">
        <f t="shared" ref="U1667:U1730" si="53">IF(LEFT(Q1667,1)="C","Ciudad",IF(LEFT(Q1667,1)="T","Pueblo",IF(LEFT(Q1667,1)="R","Rural",IF(LEFT(Q1667,1)="S","Suburbano",IF(LEFT(Q1667,1)="U","Urbano","")))))</f>
        <v>Suburbano</v>
      </c>
    </row>
    <row r="1668" spans="1:21" ht="16" x14ac:dyDescent="0.4">
      <c r="A1668" s="6">
        <v>145982</v>
      </c>
      <c r="B1668" s="6" t="s">
        <v>21</v>
      </c>
      <c r="C1668" s="6" t="s">
        <v>17</v>
      </c>
      <c r="D1668" s="6">
        <v>2051</v>
      </c>
      <c r="E1668" s="6">
        <v>523</v>
      </c>
      <c r="F1668" s="6">
        <v>561</v>
      </c>
      <c r="G1668" s="6">
        <v>54</v>
      </c>
      <c r="H1668" s="6">
        <v>19319</v>
      </c>
      <c r="I1668" s="6">
        <v>10</v>
      </c>
      <c r="J1668" s="6">
        <v>55</v>
      </c>
      <c r="K1668" s="6">
        <v>545</v>
      </c>
      <c r="L1668" s="6">
        <v>543</v>
      </c>
      <c r="M1668" s="6">
        <v>33</v>
      </c>
      <c r="N1668">
        <f>VLOOKUP(A1668,vlookup_table!$A:$G,2,FALSE)</f>
        <v>0</v>
      </c>
      <c r="O1668" t="str">
        <f>VLOOKUP(A1668,vlookup_table!$A:$G,3,FALSE)</f>
        <v>CA</v>
      </c>
      <c r="P1668">
        <f>VLOOKUP(A1668,vlookup_table!$A:$G,4,FALSE)</f>
        <v>5801</v>
      </c>
      <c r="Q1668" t="str">
        <f>VLOOKUP(A1668,vlookup_table!$A:$G,5,FALSE)</f>
        <v>S2</v>
      </c>
      <c r="R1668" t="str">
        <f>VLOOKUP(A1668,vlookup_table!$A:$G,6,FALSE)</f>
        <v>F</v>
      </c>
      <c r="S1668">
        <f>VLOOKUP(A1668,vlookup_table!$A:$G,7,FALSE)</f>
        <v>30</v>
      </c>
      <c r="T1668">
        <f t="shared" si="52"/>
        <v>38</v>
      </c>
      <c r="U1668" t="str">
        <f t="shared" si="53"/>
        <v>Suburbano</v>
      </c>
    </row>
    <row r="1669" spans="1:21" ht="16" x14ac:dyDescent="0.4">
      <c r="A1669" s="6">
        <v>187764</v>
      </c>
      <c r="B1669" s="6" t="s">
        <v>51</v>
      </c>
      <c r="C1669" s="6"/>
      <c r="D1669" s="6">
        <v>1553</v>
      </c>
      <c r="E1669" s="6">
        <v>634</v>
      </c>
      <c r="F1669" s="6">
        <v>725</v>
      </c>
      <c r="G1669" s="6">
        <v>32</v>
      </c>
      <c r="H1669" s="6">
        <v>29972</v>
      </c>
      <c r="I1669" s="6">
        <v>4</v>
      </c>
      <c r="J1669" s="6">
        <v>17</v>
      </c>
      <c r="K1669" s="6">
        <v>653</v>
      </c>
      <c r="L1669" s="6">
        <v>694</v>
      </c>
      <c r="M1669" s="6">
        <v>23.333333329999999</v>
      </c>
      <c r="N1669">
        <f>VLOOKUP(A1669,vlookup_table!$A:$G,2,FALSE)</f>
        <v>0</v>
      </c>
      <c r="O1669" t="str">
        <f>VLOOKUP(A1669,vlookup_table!$A:$G,3,FALSE)</f>
        <v>AZ</v>
      </c>
      <c r="P1669">
        <f>VLOOKUP(A1669,vlookup_table!$A:$G,4,FALSE)</f>
        <v>0</v>
      </c>
      <c r="Q1669" t="str">
        <f>VLOOKUP(A1669,vlookup_table!$A:$G,5,FALSE)</f>
        <v/>
      </c>
      <c r="R1669" t="str">
        <f>VLOOKUP(A1669,vlookup_table!$A:$G,6,FALSE)</f>
        <v/>
      </c>
      <c r="S1669">
        <f>VLOOKUP(A1669,vlookup_table!$A:$G,7,FALSE)</f>
        <v>25</v>
      </c>
      <c r="T1669">
        <f t="shared" si="52"/>
        <v>96</v>
      </c>
      <c r="U1669" t="str">
        <f t="shared" si="53"/>
        <v/>
      </c>
    </row>
    <row r="1670" spans="1:21" ht="16" x14ac:dyDescent="0.4">
      <c r="A1670" s="6">
        <v>171227</v>
      </c>
      <c r="B1670" s="6" t="s">
        <v>21</v>
      </c>
      <c r="C1670" s="6" t="s">
        <v>14</v>
      </c>
      <c r="D1670" s="6">
        <v>986</v>
      </c>
      <c r="E1670" s="6">
        <v>354</v>
      </c>
      <c r="F1670" s="6">
        <v>405</v>
      </c>
      <c r="G1670" s="6">
        <v>1</v>
      </c>
      <c r="H1670" s="6">
        <v>13968</v>
      </c>
      <c r="I1670" s="6">
        <v>5</v>
      </c>
      <c r="J1670" s="6">
        <v>58</v>
      </c>
      <c r="K1670" s="6">
        <v>389</v>
      </c>
      <c r="L1670" s="6">
        <v>369</v>
      </c>
      <c r="M1670" s="6">
        <v>7.6</v>
      </c>
      <c r="N1670">
        <f>VLOOKUP(A1670,vlookup_table!$A:$G,2,FALSE)</f>
        <v>1</v>
      </c>
      <c r="O1670" t="str">
        <f>VLOOKUP(A1670,vlookup_table!$A:$G,3,FALSE)</f>
        <v>CA</v>
      </c>
      <c r="P1670">
        <f>VLOOKUP(A1670,vlookup_table!$A:$G,4,FALSE)</f>
        <v>0</v>
      </c>
      <c r="Q1670" t="str">
        <f>VLOOKUP(A1670,vlookup_table!$A:$G,5,FALSE)</f>
        <v>S2</v>
      </c>
      <c r="R1670" t="str">
        <f>VLOOKUP(A1670,vlookup_table!$A:$G,6,FALSE)</f>
        <v>M</v>
      </c>
      <c r="S1670">
        <f>VLOOKUP(A1670,vlookup_table!$A:$G,7,FALSE)</f>
        <v>7</v>
      </c>
      <c r="T1670">
        <f t="shared" si="52"/>
        <v>96</v>
      </c>
      <c r="U1670" t="str">
        <f t="shared" si="53"/>
        <v>Suburbano</v>
      </c>
    </row>
    <row r="1671" spans="1:21" ht="16" x14ac:dyDescent="0.4">
      <c r="A1671" s="6">
        <v>27419</v>
      </c>
      <c r="B1671" s="6" t="s">
        <v>36</v>
      </c>
      <c r="C1671" s="6" t="s">
        <v>14</v>
      </c>
      <c r="D1671" s="6">
        <v>442</v>
      </c>
      <c r="E1671" s="6">
        <v>218</v>
      </c>
      <c r="F1671" s="6">
        <v>286</v>
      </c>
      <c r="G1671" s="6">
        <v>0</v>
      </c>
      <c r="H1671" s="6">
        <v>9399</v>
      </c>
      <c r="I1671" s="6">
        <v>0</v>
      </c>
      <c r="J1671" s="6">
        <v>78</v>
      </c>
      <c r="K1671" s="6">
        <v>253</v>
      </c>
      <c r="L1671" s="6">
        <v>257</v>
      </c>
      <c r="M1671" s="6">
        <v>15</v>
      </c>
      <c r="N1671">
        <f>VLOOKUP(A1671,vlookup_table!$A:$G,2,FALSE)</f>
        <v>1</v>
      </c>
      <c r="O1671" t="str">
        <f>VLOOKUP(A1671,vlookup_table!$A:$G,3,FALSE)</f>
        <v>GA</v>
      </c>
      <c r="P1671">
        <f>VLOOKUP(A1671,vlookup_table!$A:$G,4,FALSE)</f>
        <v>0</v>
      </c>
      <c r="Q1671" t="str">
        <f>VLOOKUP(A1671,vlookup_table!$A:$G,5,FALSE)</f>
        <v>R3</v>
      </c>
      <c r="R1671" t="str">
        <f>VLOOKUP(A1671,vlookup_table!$A:$G,6,FALSE)</f>
        <v>M</v>
      </c>
      <c r="S1671">
        <f>VLOOKUP(A1671,vlookup_table!$A:$G,7,FALSE)</f>
        <v>20</v>
      </c>
      <c r="T1671">
        <f t="shared" si="52"/>
        <v>96</v>
      </c>
      <c r="U1671" t="str">
        <f t="shared" si="53"/>
        <v>Rural</v>
      </c>
    </row>
    <row r="1672" spans="1:21" ht="16" x14ac:dyDescent="0.4">
      <c r="A1672" s="6">
        <v>106488</v>
      </c>
      <c r="B1672" s="6" t="s">
        <v>25</v>
      </c>
      <c r="C1672" s="6" t="s">
        <v>17</v>
      </c>
      <c r="D1672" s="6">
        <v>405</v>
      </c>
      <c r="E1672" s="6">
        <v>241</v>
      </c>
      <c r="F1672" s="6">
        <v>349</v>
      </c>
      <c r="G1672" s="6">
        <v>0</v>
      </c>
      <c r="H1672" s="6">
        <v>11254</v>
      </c>
      <c r="I1672" s="6">
        <v>4</v>
      </c>
      <c r="J1672" s="6">
        <v>59</v>
      </c>
      <c r="K1672" s="6">
        <v>274</v>
      </c>
      <c r="L1672" s="6">
        <v>291</v>
      </c>
      <c r="M1672" s="6">
        <v>21.06666667</v>
      </c>
      <c r="N1672">
        <f>VLOOKUP(A1672,vlookup_table!$A:$G,2,FALSE)</f>
        <v>0</v>
      </c>
      <c r="O1672" t="str">
        <f>VLOOKUP(A1672,vlookup_table!$A:$G,3,FALSE)</f>
        <v>KS</v>
      </c>
      <c r="P1672">
        <f>VLOOKUP(A1672,vlookup_table!$A:$G,4,FALSE)</f>
        <v>0</v>
      </c>
      <c r="Q1672" t="str">
        <f>VLOOKUP(A1672,vlookup_table!$A:$G,5,FALSE)</f>
        <v>R2</v>
      </c>
      <c r="R1672" t="str">
        <f>VLOOKUP(A1672,vlookup_table!$A:$G,6,FALSE)</f>
        <v>F</v>
      </c>
      <c r="S1672">
        <f>VLOOKUP(A1672,vlookup_table!$A:$G,7,FALSE)</f>
        <v>26</v>
      </c>
      <c r="T1672">
        <f t="shared" si="52"/>
        <v>96</v>
      </c>
      <c r="U1672" t="str">
        <f t="shared" si="53"/>
        <v>Rural</v>
      </c>
    </row>
    <row r="1673" spans="1:21" ht="16" x14ac:dyDescent="0.4">
      <c r="A1673" s="6">
        <v>70722</v>
      </c>
      <c r="B1673" s="6" t="s">
        <v>26</v>
      </c>
      <c r="C1673" s="6" t="s">
        <v>17</v>
      </c>
      <c r="D1673" s="6">
        <v>355</v>
      </c>
      <c r="E1673" s="6">
        <v>252</v>
      </c>
      <c r="F1673" s="6">
        <v>309</v>
      </c>
      <c r="G1673" s="6">
        <v>0</v>
      </c>
      <c r="H1673" s="6">
        <v>10409</v>
      </c>
      <c r="I1673" s="6">
        <v>2</v>
      </c>
      <c r="J1673" s="6">
        <v>93</v>
      </c>
      <c r="K1673" s="6">
        <v>292</v>
      </c>
      <c r="L1673" s="6">
        <v>271</v>
      </c>
      <c r="M1673" s="6">
        <v>12.33333333</v>
      </c>
      <c r="N1673">
        <f>VLOOKUP(A1673,vlookup_table!$A:$G,2,FALSE)</f>
        <v>0</v>
      </c>
      <c r="O1673" t="str">
        <f>VLOOKUP(A1673,vlookup_table!$A:$G,3,FALSE)</f>
        <v>MI</v>
      </c>
      <c r="P1673">
        <f>VLOOKUP(A1673,vlookup_table!$A:$G,4,FALSE)</f>
        <v>907</v>
      </c>
      <c r="Q1673" t="str">
        <f>VLOOKUP(A1673,vlookup_table!$A:$G,5,FALSE)</f>
        <v>C3</v>
      </c>
      <c r="R1673" t="str">
        <f>VLOOKUP(A1673,vlookup_table!$A:$G,6,FALSE)</f>
        <v>F</v>
      </c>
      <c r="S1673">
        <f>VLOOKUP(A1673,vlookup_table!$A:$G,7,FALSE)</f>
        <v>16</v>
      </c>
      <c r="T1673">
        <f t="shared" si="52"/>
        <v>6</v>
      </c>
      <c r="U1673" t="str">
        <f t="shared" si="53"/>
        <v>Ciudad</v>
      </c>
    </row>
    <row r="1674" spans="1:21" ht="16" x14ac:dyDescent="0.4">
      <c r="A1674" s="6">
        <v>187495</v>
      </c>
      <c r="B1674" s="6" t="s">
        <v>28</v>
      </c>
      <c r="C1674" s="6" t="s">
        <v>14</v>
      </c>
      <c r="D1674" s="6">
        <v>922</v>
      </c>
      <c r="E1674" s="6">
        <v>374</v>
      </c>
      <c r="F1674" s="6">
        <v>501</v>
      </c>
      <c r="G1674" s="6">
        <v>3</v>
      </c>
      <c r="H1674" s="6">
        <v>16125</v>
      </c>
      <c r="I1674" s="6">
        <v>2</v>
      </c>
      <c r="J1674" s="6">
        <v>66</v>
      </c>
      <c r="K1674" s="6">
        <v>442</v>
      </c>
      <c r="L1674" s="6">
        <v>449</v>
      </c>
      <c r="M1674" s="6">
        <v>14</v>
      </c>
      <c r="N1674">
        <f>VLOOKUP(A1674,vlookup_table!$A:$G,2,FALSE)</f>
        <v>1</v>
      </c>
      <c r="O1674" t="str">
        <f>VLOOKUP(A1674,vlookup_table!$A:$G,3,FALSE)</f>
        <v>OK</v>
      </c>
      <c r="P1674">
        <f>VLOOKUP(A1674,vlookup_table!$A:$G,4,FALSE)</f>
        <v>0</v>
      </c>
      <c r="Q1674" t="str">
        <f>VLOOKUP(A1674,vlookup_table!$A:$G,5,FALSE)</f>
        <v>T1</v>
      </c>
      <c r="R1674" t="str">
        <f>VLOOKUP(A1674,vlookup_table!$A:$G,6,FALSE)</f>
        <v>M</v>
      </c>
      <c r="S1674">
        <f>VLOOKUP(A1674,vlookup_table!$A:$G,7,FALSE)</f>
        <v>17</v>
      </c>
      <c r="T1674">
        <f t="shared" si="52"/>
        <v>96</v>
      </c>
      <c r="U1674" t="str">
        <f t="shared" si="53"/>
        <v>Pueblo</v>
      </c>
    </row>
    <row r="1675" spans="1:21" ht="16" x14ac:dyDescent="0.4">
      <c r="A1675" s="6">
        <v>18543</v>
      </c>
      <c r="B1675" s="6" t="s">
        <v>18</v>
      </c>
      <c r="C1675" s="6" t="s">
        <v>97</v>
      </c>
      <c r="D1675" s="6">
        <v>506</v>
      </c>
      <c r="E1675" s="6">
        <v>243</v>
      </c>
      <c r="F1675" s="6">
        <v>336</v>
      </c>
      <c r="G1675" s="6">
        <v>0</v>
      </c>
      <c r="H1675" s="6">
        <v>11973</v>
      </c>
      <c r="I1675" s="6">
        <v>0</v>
      </c>
      <c r="J1675" s="6">
        <v>89</v>
      </c>
      <c r="K1675" s="6">
        <v>285</v>
      </c>
      <c r="L1675" s="6">
        <v>294</v>
      </c>
      <c r="M1675" s="6">
        <v>9.0909090910000003</v>
      </c>
      <c r="N1675">
        <f>VLOOKUP(A1675,vlookup_table!$A:$G,2,FALSE)</f>
        <v>0</v>
      </c>
      <c r="O1675" t="str">
        <f>VLOOKUP(A1675,vlookup_table!$A:$G,3,FALSE)</f>
        <v>NC</v>
      </c>
      <c r="P1675">
        <f>VLOOKUP(A1675,vlookup_table!$A:$G,4,FALSE)</f>
        <v>6001</v>
      </c>
      <c r="Q1675" t="str">
        <f>VLOOKUP(A1675,vlookup_table!$A:$G,5,FALSE)</f>
        <v>T2</v>
      </c>
      <c r="R1675" t="str">
        <f>VLOOKUP(A1675,vlookup_table!$A:$G,6,FALSE)</f>
        <v>F</v>
      </c>
      <c r="S1675">
        <f>VLOOKUP(A1675,vlookup_table!$A:$G,7,FALSE)</f>
        <v>14</v>
      </c>
      <c r="T1675">
        <f t="shared" si="52"/>
        <v>36</v>
      </c>
      <c r="U1675" t="str">
        <f t="shared" si="53"/>
        <v>Pueblo</v>
      </c>
    </row>
    <row r="1676" spans="1:21" ht="16" x14ac:dyDescent="0.4">
      <c r="A1676" s="6">
        <v>38707</v>
      </c>
      <c r="B1676" s="6" t="s">
        <v>13</v>
      </c>
      <c r="C1676" s="6" t="s">
        <v>14</v>
      </c>
      <c r="D1676" s="6">
        <v>3333</v>
      </c>
      <c r="E1676" s="6">
        <v>390</v>
      </c>
      <c r="F1676" s="6">
        <v>815</v>
      </c>
      <c r="G1676" s="6">
        <v>79</v>
      </c>
      <c r="H1676" s="6">
        <v>48235</v>
      </c>
      <c r="I1676" s="6">
        <v>5</v>
      </c>
      <c r="J1676" s="6">
        <v>20</v>
      </c>
      <c r="K1676" s="6">
        <v>609</v>
      </c>
      <c r="L1676" s="6">
        <v>549</v>
      </c>
      <c r="M1676" s="6">
        <v>10</v>
      </c>
      <c r="N1676">
        <f>VLOOKUP(A1676,vlookup_table!$A:$G,2,FALSE)</f>
        <v>1</v>
      </c>
      <c r="O1676" t="str">
        <f>VLOOKUP(A1676,vlookup_table!$A:$G,3,FALSE)</f>
        <v>FL</v>
      </c>
      <c r="P1676">
        <f>VLOOKUP(A1676,vlookup_table!$A:$G,4,FALSE)</f>
        <v>0</v>
      </c>
      <c r="Q1676" t="str">
        <f>VLOOKUP(A1676,vlookup_table!$A:$G,5,FALSE)</f>
        <v>C1</v>
      </c>
      <c r="R1676" t="str">
        <f>VLOOKUP(A1676,vlookup_table!$A:$G,6,FALSE)</f>
        <v>M</v>
      </c>
      <c r="S1676">
        <f>VLOOKUP(A1676,vlookup_table!$A:$G,7,FALSE)</f>
        <v>17</v>
      </c>
      <c r="T1676">
        <f t="shared" si="52"/>
        <v>96</v>
      </c>
      <c r="U1676" t="str">
        <f t="shared" si="53"/>
        <v>Ciudad</v>
      </c>
    </row>
    <row r="1677" spans="1:21" ht="16" x14ac:dyDescent="0.4">
      <c r="A1677" s="6">
        <v>138528</v>
      </c>
      <c r="B1677" s="6" t="s">
        <v>51</v>
      </c>
      <c r="C1677" s="6" t="s">
        <v>14</v>
      </c>
      <c r="D1677" s="6">
        <v>723</v>
      </c>
      <c r="E1677" s="6">
        <v>265</v>
      </c>
      <c r="F1677" s="6">
        <v>485</v>
      </c>
      <c r="G1677" s="6">
        <v>0</v>
      </c>
      <c r="H1677" s="6">
        <v>17145</v>
      </c>
      <c r="I1677" s="6">
        <v>7</v>
      </c>
      <c r="J1677" s="6">
        <v>42</v>
      </c>
      <c r="K1677" s="6">
        <v>361</v>
      </c>
      <c r="L1677" s="6">
        <v>351</v>
      </c>
      <c r="M1677" s="6">
        <v>18.399999999999999</v>
      </c>
      <c r="N1677">
        <f>VLOOKUP(A1677,vlookup_table!$A:$G,2,FALSE)</f>
        <v>1</v>
      </c>
      <c r="O1677" t="str">
        <f>VLOOKUP(A1677,vlookup_table!$A:$G,3,FALSE)</f>
        <v>AZ</v>
      </c>
      <c r="P1677">
        <f>VLOOKUP(A1677,vlookup_table!$A:$G,4,FALSE)</f>
        <v>2406</v>
      </c>
      <c r="Q1677" t="str">
        <f>VLOOKUP(A1677,vlookup_table!$A:$G,5,FALSE)</f>
        <v>S2</v>
      </c>
      <c r="R1677" t="str">
        <f>VLOOKUP(A1677,vlookup_table!$A:$G,6,FALSE)</f>
        <v>M</v>
      </c>
      <c r="S1677">
        <f>VLOOKUP(A1677,vlookup_table!$A:$G,7,FALSE)</f>
        <v>26</v>
      </c>
      <c r="T1677">
        <f t="shared" si="52"/>
        <v>72</v>
      </c>
      <c r="U1677" t="str">
        <f t="shared" si="53"/>
        <v>Suburbano</v>
      </c>
    </row>
    <row r="1678" spans="1:21" ht="16" x14ac:dyDescent="0.4">
      <c r="A1678" s="6">
        <v>177960</v>
      </c>
      <c r="B1678" s="6" t="s">
        <v>47</v>
      </c>
      <c r="C1678" s="6" t="s">
        <v>14</v>
      </c>
      <c r="D1678" s="6">
        <v>528</v>
      </c>
      <c r="E1678" s="6">
        <v>284</v>
      </c>
      <c r="F1678" s="6">
        <v>359</v>
      </c>
      <c r="G1678" s="6">
        <v>0</v>
      </c>
      <c r="H1678" s="6">
        <v>11925</v>
      </c>
      <c r="I1678" s="6">
        <v>1</v>
      </c>
      <c r="J1678" s="6">
        <v>51</v>
      </c>
      <c r="K1678" s="6">
        <v>338</v>
      </c>
      <c r="L1678" s="6">
        <v>306</v>
      </c>
      <c r="M1678" s="6">
        <v>12.47826087</v>
      </c>
      <c r="N1678">
        <f>VLOOKUP(A1678,vlookup_table!$A:$G,2,FALSE)</f>
        <v>1</v>
      </c>
      <c r="O1678" t="str">
        <f>VLOOKUP(A1678,vlookup_table!$A:$G,3,FALSE)</f>
        <v>OR</v>
      </c>
      <c r="P1678">
        <f>VLOOKUP(A1678,vlookup_table!$A:$G,4,FALSE)</f>
        <v>3803</v>
      </c>
      <c r="Q1678" t="str">
        <f>VLOOKUP(A1678,vlookup_table!$A:$G,5,FALSE)</f>
        <v>T2</v>
      </c>
      <c r="R1678" t="str">
        <f>VLOOKUP(A1678,vlookup_table!$A:$G,6,FALSE)</f>
        <v>M</v>
      </c>
      <c r="S1678">
        <f>VLOOKUP(A1678,vlookup_table!$A:$G,7,FALSE)</f>
        <v>25</v>
      </c>
      <c r="T1678">
        <f t="shared" si="52"/>
        <v>58</v>
      </c>
      <c r="U1678" t="str">
        <f t="shared" si="53"/>
        <v>Pueblo</v>
      </c>
    </row>
    <row r="1679" spans="1:21" ht="16" x14ac:dyDescent="0.4">
      <c r="A1679" s="6">
        <v>97221</v>
      </c>
      <c r="B1679" s="6" t="s">
        <v>16</v>
      </c>
      <c r="C1679" s="6" t="s">
        <v>17</v>
      </c>
      <c r="D1679" s="6">
        <v>418</v>
      </c>
      <c r="E1679" s="6">
        <v>330</v>
      </c>
      <c r="F1679" s="6">
        <v>430</v>
      </c>
      <c r="G1679" s="6">
        <v>0</v>
      </c>
      <c r="H1679" s="6">
        <v>14006</v>
      </c>
      <c r="I1679" s="6">
        <v>0</v>
      </c>
      <c r="J1679" s="6">
        <v>90</v>
      </c>
      <c r="K1679" s="6">
        <v>343</v>
      </c>
      <c r="L1679" s="6">
        <v>381</v>
      </c>
      <c r="M1679" s="6">
        <v>11</v>
      </c>
      <c r="N1679">
        <f>VLOOKUP(A1679,vlookup_table!$A:$G,2,FALSE)</f>
        <v>0</v>
      </c>
      <c r="O1679" t="str">
        <f>VLOOKUP(A1679,vlookup_table!$A:$G,3,FALSE)</f>
        <v>IL</v>
      </c>
      <c r="P1679">
        <f>VLOOKUP(A1679,vlookup_table!$A:$G,4,FALSE)</f>
        <v>3101</v>
      </c>
      <c r="Q1679" t="str">
        <f>VLOOKUP(A1679,vlookup_table!$A:$G,5,FALSE)</f>
        <v>R2</v>
      </c>
      <c r="R1679" t="str">
        <f>VLOOKUP(A1679,vlookup_table!$A:$G,6,FALSE)</f>
        <v>F</v>
      </c>
      <c r="S1679">
        <f>VLOOKUP(A1679,vlookup_table!$A:$G,7,FALSE)</f>
        <v>25</v>
      </c>
      <c r="T1679">
        <f t="shared" si="52"/>
        <v>65</v>
      </c>
      <c r="U1679" t="str">
        <f t="shared" si="53"/>
        <v>Rural</v>
      </c>
    </row>
    <row r="1680" spans="1:21" ht="16" x14ac:dyDescent="0.4">
      <c r="A1680" s="6">
        <v>158816</v>
      </c>
      <c r="B1680" s="6" t="s">
        <v>21</v>
      </c>
      <c r="C1680" s="6" t="s">
        <v>17</v>
      </c>
      <c r="D1680" s="6">
        <v>2322</v>
      </c>
      <c r="E1680" s="6">
        <v>469</v>
      </c>
      <c r="F1680" s="6">
        <v>498</v>
      </c>
      <c r="G1680" s="6">
        <v>76</v>
      </c>
      <c r="H1680" s="6">
        <v>18806</v>
      </c>
      <c r="I1680" s="6">
        <v>12</v>
      </c>
      <c r="J1680" s="6">
        <v>48</v>
      </c>
      <c r="K1680" s="6">
        <v>472</v>
      </c>
      <c r="L1680" s="6">
        <v>499</v>
      </c>
      <c r="M1680" s="6">
        <v>7.84375</v>
      </c>
      <c r="N1680">
        <f>VLOOKUP(A1680,vlookup_table!$A:$G,2,FALSE)</f>
        <v>2</v>
      </c>
      <c r="O1680" t="str">
        <f>VLOOKUP(A1680,vlookup_table!$A:$G,3,FALSE)</f>
        <v>CA</v>
      </c>
      <c r="P1680">
        <f>VLOOKUP(A1680,vlookup_table!$A:$G,4,FALSE)</f>
        <v>3601</v>
      </c>
      <c r="Q1680" t="str">
        <f>VLOOKUP(A1680,vlookup_table!$A:$G,5,FALSE)</f>
        <v>C1</v>
      </c>
      <c r="R1680" t="str">
        <f>VLOOKUP(A1680,vlookup_table!$A:$G,6,FALSE)</f>
        <v>F</v>
      </c>
      <c r="S1680">
        <f>VLOOKUP(A1680,vlookup_table!$A:$G,7,FALSE)</f>
        <v>11</v>
      </c>
      <c r="T1680">
        <f t="shared" si="52"/>
        <v>60</v>
      </c>
      <c r="U1680" t="str">
        <f t="shared" si="53"/>
        <v>Ciudad</v>
      </c>
    </row>
    <row r="1681" spans="1:21" ht="16" x14ac:dyDescent="0.4">
      <c r="A1681" s="6">
        <v>93713</v>
      </c>
      <c r="B1681" s="6" t="s">
        <v>16</v>
      </c>
      <c r="C1681" s="6" t="s">
        <v>17</v>
      </c>
      <c r="D1681" s="6">
        <v>704</v>
      </c>
      <c r="E1681" s="6">
        <v>314</v>
      </c>
      <c r="F1681" s="6">
        <v>415</v>
      </c>
      <c r="G1681" s="6">
        <v>0</v>
      </c>
      <c r="H1681" s="6">
        <v>11865</v>
      </c>
      <c r="I1681" s="6">
        <v>19</v>
      </c>
      <c r="J1681" s="6">
        <v>73</v>
      </c>
      <c r="K1681" s="6">
        <v>349</v>
      </c>
      <c r="L1681" s="6">
        <v>358</v>
      </c>
      <c r="M1681" s="6">
        <v>13</v>
      </c>
      <c r="N1681">
        <f>VLOOKUP(A1681,vlookup_table!$A:$G,2,FALSE)</f>
        <v>0</v>
      </c>
      <c r="O1681" t="str">
        <f>VLOOKUP(A1681,vlookup_table!$A:$G,3,FALSE)</f>
        <v>IL</v>
      </c>
      <c r="P1681">
        <f>VLOOKUP(A1681,vlookup_table!$A:$G,4,FALSE)</f>
        <v>3101</v>
      </c>
      <c r="Q1681" t="str">
        <f>VLOOKUP(A1681,vlookup_table!$A:$G,5,FALSE)</f>
        <v>U3</v>
      </c>
      <c r="R1681" t="str">
        <f>VLOOKUP(A1681,vlookup_table!$A:$G,6,FALSE)</f>
        <v>F</v>
      </c>
      <c r="S1681">
        <f>VLOOKUP(A1681,vlookup_table!$A:$G,7,FALSE)</f>
        <v>20</v>
      </c>
      <c r="T1681">
        <f t="shared" si="52"/>
        <v>65</v>
      </c>
      <c r="U1681" t="str">
        <f t="shared" si="53"/>
        <v>Urbano</v>
      </c>
    </row>
    <row r="1682" spans="1:21" ht="16" x14ac:dyDescent="0.4">
      <c r="A1682" s="6">
        <v>135535</v>
      </c>
      <c r="B1682" s="6" t="s">
        <v>51</v>
      </c>
      <c r="C1682" s="6" t="s">
        <v>97</v>
      </c>
      <c r="D1682" s="6">
        <v>1060</v>
      </c>
      <c r="E1682" s="6">
        <v>519</v>
      </c>
      <c r="F1682" s="6">
        <v>631</v>
      </c>
      <c r="G1682" s="6">
        <v>0</v>
      </c>
      <c r="H1682" s="6">
        <v>18341</v>
      </c>
      <c r="I1682" s="6">
        <v>5</v>
      </c>
      <c r="J1682" s="6">
        <v>42</v>
      </c>
      <c r="K1682" s="6">
        <v>602</v>
      </c>
      <c r="L1682" s="6">
        <v>559</v>
      </c>
      <c r="M1682" s="6">
        <v>6.3571428570000004</v>
      </c>
      <c r="N1682">
        <f>VLOOKUP(A1682,vlookup_table!$A:$G,2,FALSE)</f>
        <v>28</v>
      </c>
      <c r="O1682" t="str">
        <f>VLOOKUP(A1682,vlookup_table!$A:$G,3,FALSE)</f>
        <v>AZ</v>
      </c>
      <c r="P1682">
        <f>VLOOKUP(A1682,vlookup_table!$A:$G,4,FALSE)</f>
        <v>4707</v>
      </c>
      <c r="Q1682" t="str">
        <f>VLOOKUP(A1682,vlookup_table!$A:$G,5,FALSE)</f>
        <v>U1</v>
      </c>
      <c r="R1682" t="str">
        <f>VLOOKUP(A1682,vlookup_table!$A:$G,6,FALSE)</f>
        <v>F</v>
      </c>
      <c r="S1682">
        <f>VLOOKUP(A1682,vlookup_table!$A:$G,7,FALSE)</f>
        <v>13</v>
      </c>
      <c r="T1682">
        <f t="shared" si="52"/>
        <v>49</v>
      </c>
      <c r="U1682" t="str">
        <f t="shared" si="53"/>
        <v>Urbano</v>
      </c>
    </row>
    <row r="1683" spans="1:21" ht="16" x14ac:dyDescent="0.4">
      <c r="A1683" s="6">
        <v>91194</v>
      </c>
      <c r="B1683" s="6" t="s">
        <v>16</v>
      </c>
      <c r="C1683" s="6" t="s">
        <v>17</v>
      </c>
      <c r="D1683" s="6">
        <v>539</v>
      </c>
      <c r="E1683" s="6">
        <v>254</v>
      </c>
      <c r="F1683" s="6">
        <v>343</v>
      </c>
      <c r="G1683" s="6">
        <v>0</v>
      </c>
      <c r="H1683" s="6">
        <v>12966</v>
      </c>
      <c r="I1683" s="6">
        <v>8</v>
      </c>
      <c r="J1683" s="6">
        <v>80</v>
      </c>
      <c r="K1683" s="6">
        <v>348</v>
      </c>
      <c r="L1683" s="6">
        <v>297</v>
      </c>
      <c r="M1683" s="6">
        <v>7.8947368420000004</v>
      </c>
      <c r="N1683">
        <f>VLOOKUP(A1683,vlookup_table!$A:$G,2,FALSE)</f>
        <v>0</v>
      </c>
      <c r="O1683" t="str">
        <f>VLOOKUP(A1683,vlookup_table!$A:$G,3,FALSE)</f>
        <v>IL</v>
      </c>
      <c r="P1683">
        <f>VLOOKUP(A1683,vlookup_table!$A:$G,4,FALSE)</f>
        <v>5001</v>
      </c>
      <c r="Q1683" t="str">
        <f>VLOOKUP(A1683,vlookup_table!$A:$G,5,FALSE)</f>
        <v>C3</v>
      </c>
      <c r="R1683" t="str">
        <f>VLOOKUP(A1683,vlookup_table!$A:$G,6,FALSE)</f>
        <v>F</v>
      </c>
      <c r="S1683">
        <f>VLOOKUP(A1683,vlookup_table!$A:$G,7,FALSE)</f>
        <v>7</v>
      </c>
      <c r="T1683">
        <f t="shared" si="52"/>
        <v>46</v>
      </c>
      <c r="U1683" t="str">
        <f t="shared" si="53"/>
        <v>Ciudad</v>
      </c>
    </row>
    <row r="1684" spans="1:21" ht="16" x14ac:dyDescent="0.4">
      <c r="A1684" s="6">
        <v>62232</v>
      </c>
      <c r="B1684" s="6" t="s">
        <v>30</v>
      </c>
      <c r="C1684" s="6" t="s">
        <v>17</v>
      </c>
      <c r="D1684" s="6">
        <v>1097</v>
      </c>
      <c r="E1684" s="6">
        <v>485</v>
      </c>
      <c r="F1684" s="6">
        <v>601</v>
      </c>
      <c r="G1684" s="6">
        <v>4</v>
      </c>
      <c r="H1684" s="6">
        <v>21132</v>
      </c>
      <c r="I1684" s="6">
        <v>2</v>
      </c>
      <c r="J1684" s="6">
        <v>64</v>
      </c>
      <c r="K1684" s="6">
        <v>562</v>
      </c>
      <c r="L1684" s="6">
        <v>534</v>
      </c>
      <c r="M1684" s="6">
        <v>14.6</v>
      </c>
      <c r="N1684">
        <f>VLOOKUP(A1684,vlookup_table!$A:$G,2,FALSE)</f>
        <v>0</v>
      </c>
      <c r="O1684" t="str">
        <f>VLOOKUP(A1684,vlookup_table!$A:$G,3,FALSE)</f>
        <v>IN</v>
      </c>
      <c r="P1684">
        <f>VLOOKUP(A1684,vlookup_table!$A:$G,4,FALSE)</f>
        <v>4206</v>
      </c>
      <c r="Q1684" t="str">
        <f>VLOOKUP(A1684,vlookup_table!$A:$G,5,FALSE)</f>
        <v>T1</v>
      </c>
      <c r="R1684" t="str">
        <f>VLOOKUP(A1684,vlookup_table!$A:$G,6,FALSE)</f>
        <v>F</v>
      </c>
      <c r="S1684">
        <f>VLOOKUP(A1684,vlookup_table!$A:$G,7,FALSE)</f>
        <v>19</v>
      </c>
      <c r="T1684">
        <f t="shared" si="52"/>
        <v>54</v>
      </c>
      <c r="U1684" t="str">
        <f t="shared" si="53"/>
        <v>Pueblo</v>
      </c>
    </row>
    <row r="1685" spans="1:21" ht="16" x14ac:dyDescent="0.4">
      <c r="A1685" s="6">
        <v>91507</v>
      </c>
      <c r="B1685" s="6" t="s">
        <v>16</v>
      </c>
      <c r="C1685" s="6" t="s">
        <v>17</v>
      </c>
      <c r="D1685" s="6">
        <v>1058</v>
      </c>
      <c r="E1685" s="6">
        <v>479</v>
      </c>
      <c r="F1685" s="6">
        <v>562</v>
      </c>
      <c r="G1685" s="6">
        <v>1</v>
      </c>
      <c r="H1685" s="6">
        <v>18116</v>
      </c>
      <c r="I1685" s="6">
        <v>2</v>
      </c>
      <c r="J1685" s="6">
        <v>86</v>
      </c>
      <c r="K1685" s="6">
        <v>499</v>
      </c>
      <c r="L1685" s="6">
        <v>525</v>
      </c>
      <c r="M1685" s="6">
        <v>8.75</v>
      </c>
      <c r="N1685">
        <f>VLOOKUP(A1685,vlookup_table!$A:$G,2,FALSE)</f>
        <v>0</v>
      </c>
      <c r="O1685" t="str">
        <f>VLOOKUP(A1685,vlookup_table!$A:$G,3,FALSE)</f>
        <v>IL</v>
      </c>
      <c r="P1685">
        <f>VLOOKUP(A1685,vlookup_table!$A:$G,4,FALSE)</f>
        <v>3601</v>
      </c>
      <c r="Q1685" t="str">
        <f>VLOOKUP(A1685,vlookup_table!$A:$G,5,FALSE)</f>
        <v>S1</v>
      </c>
      <c r="R1685" t="str">
        <f>VLOOKUP(A1685,vlookup_table!$A:$G,6,FALSE)</f>
        <v>F</v>
      </c>
      <c r="S1685">
        <f>VLOOKUP(A1685,vlookup_table!$A:$G,7,FALSE)</f>
        <v>14</v>
      </c>
      <c r="T1685">
        <f t="shared" si="52"/>
        <v>60</v>
      </c>
      <c r="U1685" t="str">
        <f t="shared" si="53"/>
        <v>Suburbano</v>
      </c>
    </row>
    <row r="1686" spans="1:21" ht="16" x14ac:dyDescent="0.4">
      <c r="A1686" s="6">
        <v>153467</v>
      </c>
      <c r="B1686" s="6" t="s">
        <v>21</v>
      </c>
      <c r="C1686" s="6" t="s">
        <v>14</v>
      </c>
      <c r="D1686" s="6">
        <v>1971</v>
      </c>
      <c r="E1686" s="6">
        <v>553</v>
      </c>
      <c r="F1686" s="6">
        <v>607</v>
      </c>
      <c r="G1686" s="6">
        <v>46</v>
      </c>
      <c r="H1686" s="6">
        <v>17576</v>
      </c>
      <c r="I1686" s="6">
        <v>13</v>
      </c>
      <c r="J1686" s="6">
        <v>39</v>
      </c>
      <c r="K1686" s="6">
        <v>605</v>
      </c>
      <c r="L1686" s="6">
        <v>559</v>
      </c>
      <c r="M1686" s="6">
        <v>15</v>
      </c>
      <c r="N1686">
        <f>VLOOKUP(A1686,vlookup_table!$A:$G,2,FALSE)</f>
        <v>1</v>
      </c>
      <c r="O1686" t="str">
        <f>VLOOKUP(A1686,vlookup_table!$A:$G,3,FALSE)</f>
        <v>CA</v>
      </c>
      <c r="P1686">
        <f>VLOOKUP(A1686,vlookup_table!$A:$G,4,FALSE)</f>
        <v>2301</v>
      </c>
      <c r="Q1686" t="str">
        <f>VLOOKUP(A1686,vlookup_table!$A:$G,5,FALSE)</f>
        <v>S1</v>
      </c>
      <c r="R1686" t="str">
        <f>VLOOKUP(A1686,vlookup_table!$A:$G,6,FALSE)</f>
        <v>M</v>
      </c>
      <c r="S1686">
        <f>VLOOKUP(A1686,vlookup_table!$A:$G,7,FALSE)</f>
        <v>21</v>
      </c>
      <c r="T1686">
        <f t="shared" si="52"/>
        <v>73</v>
      </c>
      <c r="U1686" t="str">
        <f t="shared" si="53"/>
        <v>Suburbano</v>
      </c>
    </row>
    <row r="1687" spans="1:21" ht="16" x14ac:dyDescent="0.4">
      <c r="A1687" s="6">
        <v>28718</v>
      </c>
      <c r="B1687" s="6" t="s">
        <v>36</v>
      </c>
      <c r="C1687" s="6" t="s">
        <v>14</v>
      </c>
      <c r="D1687" s="6">
        <v>512</v>
      </c>
      <c r="E1687" s="6">
        <v>190</v>
      </c>
      <c r="F1687" s="6">
        <v>297</v>
      </c>
      <c r="G1687" s="6">
        <v>0</v>
      </c>
      <c r="H1687" s="6">
        <v>9317</v>
      </c>
      <c r="I1687" s="6">
        <v>31</v>
      </c>
      <c r="J1687" s="6">
        <v>55</v>
      </c>
      <c r="K1687" s="6">
        <v>237</v>
      </c>
      <c r="L1687" s="6">
        <v>248</v>
      </c>
      <c r="M1687" s="6">
        <v>20</v>
      </c>
      <c r="N1687">
        <f>VLOOKUP(A1687,vlookup_table!$A:$G,2,FALSE)</f>
        <v>1</v>
      </c>
      <c r="O1687" t="str">
        <f>VLOOKUP(A1687,vlookup_table!$A:$G,3,FALSE)</f>
        <v>GA</v>
      </c>
      <c r="P1687">
        <f>VLOOKUP(A1687,vlookup_table!$A:$G,4,FALSE)</f>
        <v>2201</v>
      </c>
      <c r="Q1687" t="str">
        <f>VLOOKUP(A1687,vlookup_table!$A:$G,5,FALSE)</f>
        <v>C3</v>
      </c>
      <c r="R1687" t="str">
        <f>VLOOKUP(A1687,vlookup_table!$A:$G,6,FALSE)</f>
        <v>M</v>
      </c>
      <c r="S1687">
        <f>VLOOKUP(A1687,vlookup_table!$A:$G,7,FALSE)</f>
        <v>20</v>
      </c>
      <c r="T1687">
        <f t="shared" si="52"/>
        <v>74</v>
      </c>
      <c r="U1687" t="str">
        <f t="shared" si="53"/>
        <v>Ciudad</v>
      </c>
    </row>
    <row r="1688" spans="1:21" ht="16" x14ac:dyDescent="0.4">
      <c r="A1688" s="6">
        <v>119902</v>
      </c>
      <c r="B1688" s="6" t="s">
        <v>20</v>
      </c>
      <c r="C1688" s="6" t="s">
        <v>14</v>
      </c>
      <c r="D1688" s="6">
        <v>321</v>
      </c>
      <c r="E1688" s="6">
        <v>170</v>
      </c>
      <c r="F1688" s="6">
        <v>271</v>
      </c>
      <c r="G1688" s="6">
        <v>1</v>
      </c>
      <c r="H1688" s="6">
        <v>9720</v>
      </c>
      <c r="I1688" s="6">
        <v>0</v>
      </c>
      <c r="J1688" s="6">
        <v>81</v>
      </c>
      <c r="K1688" s="6">
        <v>189</v>
      </c>
      <c r="L1688" s="6">
        <v>233</v>
      </c>
      <c r="M1688" s="6">
        <v>10</v>
      </c>
      <c r="N1688">
        <f>VLOOKUP(A1688,vlookup_table!$A:$G,2,FALSE)</f>
        <v>1</v>
      </c>
      <c r="O1688" t="str">
        <f>VLOOKUP(A1688,vlookup_table!$A:$G,3,FALSE)</f>
        <v>TX</v>
      </c>
      <c r="P1688">
        <f>VLOOKUP(A1688,vlookup_table!$A:$G,4,FALSE)</f>
        <v>2201</v>
      </c>
      <c r="Q1688" t="str">
        <f>VLOOKUP(A1688,vlookup_table!$A:$G,5,FALSE)</f>
        <v>R3</v>
      </c>
      <c r="R1688" t="str">
        <f>VLOOKUP(A1688,vlookup_table!$A:$G,6,FALSE)</f>
        <v>M</v>
      </c>
      <c r="S1688">
        <f>VLOOKUP(A1688,vlookup_table!$A:$G,7,FALSE)</f>
        <v>5</v>
      </c>
      <c r="T1688">
        <f t="shared" si="52"/>
        <v>74</v>
      </c>
      <c r="U1688" t="str">
        <f t="shared" si="53"/>
        <v>Rural</v>
      </c>
    </row>
    <row r="1689" spans="1:21" ht="16" x14ac:dyDescent="0.4">
      <c r="A1689" s="6">
        <v>179339</v>
      </c>
      <c r="B1689" s="6" t="s">
        <v>37</v>
      </c>
      <c r="C1689" s="6" t="s">
        <v>14</v>
      </c>
      <c r="D1689" s="6">
        <v>2321</v>
      </c>
      <c r="E1689" s="6">
        <v>631</v>
      </c>
      <c r="F1689" s="6">
        <v>718</v>
      </c>
      <c r="G1689" s="6">
        <v>65</v>
      </c>
      <c r="H1689" s="6">
        <v>21434</v>
      </c>
      <c r="I1689" s="6">
        <v>2</v>
      </c>
      <c r="J1689" s="6">
        <v>61</v>
      </c>
      <c r="K1689" s="6">
        <v>638</v>
      </c>
      <c r="L1689" s="6">
        <v>713</v>
      </c>
      <c r="M1689" s="6">
        <v>6.7</v>
      </c>
      <c r="N1689">
        <f>VLOOKUP(A1689,vlookup_table!$A:$G,2,FALSE)</f>
        <v>0</v>
      </c>
      <c r="O1689" t="str">
        <f>VLOOKUP(A1689,vlookup_table!$A:$G,3,FALSE)</f>
        <v>WA</v>
      </c>
      <c r="P1689">
        <f>VLOOKUP(A1689,vlookup_table!$A:$G,4,FALSE)</f>
        <v>9310</v>
      </c>
      <c r="Q1689" t="str">
        <f>VLOOKUP(A1689,vlookup_table!$A:$G,5,FALSE)</f>
        <v>T1</v>
      </c>
      <c r="R1689" t="str">
        <f>VLOOKUP(A1689,vlookup_table!$A:$G,6,FALSE)</f>
        <v>M</v>
      </c>
      <c r="S1689">
        <f>VLOOKUP(A1689,vlookup_table!$A:$G,7,FALSE)</f>
        <v>13</v>
      </c>
      <c r="T1689">
        <f t="shared" si="52"/>
        <v>3</v>
      </c>
      <c r="U1689" t="str">
        <f t="shared" si="53"/>
        <v>Pueblo</v>
      </c>
    </row>
    <row r="1690" spans="1:21" ht="16" x14ac:dyDescent="0.4">
      <c r="A1690" s="6">
        <v>74880</v>
      </c>
      <c r="B1690" s="6" t="s">
        <v>44</v>
      </c>
      <c r="C1690" s="6" t="s">
        <v>17</v>
      </c>
      <c r="D1690" s="6">
        <v>622</v>
      </c>
      <c r="E1690" s="6">
        <v>347</v>
      </c>
      <c r="F1690" s="6">
        <v>416</v>
      </c>
      <c r="G1690" s="6">
        <v>0</v>
      </c>
      <c r="H1690" s="6">
        <v>15808</v>
      </c>
      <c r="I1690" s="6">
        <v>0</v>
      </c>
      <c r="J1690" s="6">
        <v>88</v>
      </c>
      <c r="K1690" s="6">
        <v>378</v>
      </c>
      <c r="L1690" s="6">
        <v>401</v>
      </c>
      <c r="M1690" s="6">
        <v>15</v>
      </c>
      <c r="N1690">
        <f>VLOOKUP(A1690,vlookup_table!$A:$G,2,FALSE)</f>
        <v>0</v>
      </c>
      <c r="O1690" t="str">
        <f>VLOOKUP(A1690,vlookup_table!$A:$G,3,FALSE)</f>
        <v>IA</v>
      </c>
      <c r="P1690">
        <f>VLOOKUP(A1690,vlookup_table!$A:$G,4,FALSE)</f>
        <v>2201</v>
      </c>
      <c r="Q1690" t="str">
        <f>VLOOKUP(A1690,vlookup_table!$A:$G,5,FALSE)</f>
        <v>T2</v>
      </c>
      <c r="R1690" t="str">
        <f>VLOOKUP(A1690,vlookup_table!$A:$G,6,FALSE)</f>
        <v>F</v>
      </c>
      <c r="S1690">
        <f>VLOOKUP(A1690,vlookup_table!$A:$G,7,FALSE)</f>
        <v>25</v>
      </c>
      <c r="T1690">
        <f t="shared" si="52"/>
        <v>74</v>
      </c>
      <c r="U1690" t="str">
        <f t="shared" si="53"/>
        <v>Pueblo</v>
      </c>
    </row>
    <row r="1691" spans="1:21" ht="16" x14ac:dyDescent="0.4">
      <c r="A1691" s="6">
        <v>29988</v>
      </c>
      <c r="B1691" s="6" t="s">
        <v>36</v>
      </c>
      <c r="C1691" s="6" t="s">
        <v>14</v>
      </c>
      <c r="D1691" s="6">
        <v>351</v>
      </c>
      <c r="E1691" s="6">
        <v>171</v>
      </c>
      <c r="F1691" s="6">
        <v>237</v>
      </c>
      <c r="G1691" s="6">
        <v>0</v>
      </c>
      <c r="H1691" s="6">
        <v>8814</v>
      </c>
      <c r="I1691" s="6">
        <v>0</v>
      </c>
      <c r="J1691" s="6">
        <v>78</v>
      </c>
      <c r="K1691" s="6">
        <v>186</v>
      </c>
      <c r="L1691" s="6">
        <v>219</v>
      </c>
      <c r="M1691" s="6">
        <v>25</v>
      </c>
      <c r="N1691">
        <f>VLOOKUP(A1691,vlookup_table!$A:$G,2,FALSE)</f>
        <v>1</v>
      </c>
      <c r="O1691" t="str">
        <f>VLOOKUP(A1691,vlookup_table!$A:$G,3,FALSE)</f>
        <v>GA</v>
      </c>
      <c r="P1691">
        <f>VLOOKUP(A1691,vlookup_table!$A:$G,4,FALSE)</f>
        <v>0</v>
      </c>
      <c r="Q1691" t="str">
        <f>VLOOKUP(A1691,vlookup_table!$A:$G,5,FALSE)</f>
        <v>R1</v>
      </c>
      <c r="R1691" t="str">
        <f>VLOOKUP(A1691,vlookup_table!$A:$G,6,FALSE)</f>
        <v>M</v>
      </c>
      <c r="S1691">
        <f>VLOOKUP(A1691,vlookup_table!$A:$G,7,FALSE)</f>
        <v>25</v>
      </c>
      <c r="T1691">
        <f t="shared" si="52"/>
        <v>96</v>
      </c>
      <c r="U1691" t="str">
        <f t="shared" si="53"/>
        <v>Rural</v>
      </c>
    </row>
    <row r="1692" spans="1:21" ht="16" x14ac:dyDescent="0.4">
      <c r="A1692" s="6">
        <v>132508</v>
      </c>
      <c r="B1692" s="6" t="s">
        <v>58</v>
      </c>
      <c r="C1692" s="6" t="s">
        <v>17</v>
      </c>
      <c r="D1692" s="6">
        <v>540</v>
      </c>
      <c r="E1692" s="6">
        <v>191</v>
      </c>
      <c r="F1692" s="6">
        <v>237</v>
      </c>
      <c r="G1692" s="6">
        <v>0</v>
      </c>
      <c r="H1692" s="6">
        <v>10336</v>
      </c>
      <c r="I1692" s="6">
        <v>2</v>
      </c>
      <c r="J1692" s="6">
        <v>34</v>
      </c>
      <c r="K1692" s="6">
        <v>215</v>
      </c>
      <c r="L1692" s="6">
        <v>195</v>
      </c>
      <c r="M1692" s="6">
        <v>10.5</v>
      </c>
      <c r="N1692">
        <f>VLOOKUP(A1692,vlookup_table!$A:$G,2,FALSE)</f>
        <v>28</v>
      </c>
      <c r="O1692" t="str">
        <f>VLOOKUP(A1692,vlookup_table!$A:$G,3,FALSE)</f>
        <v>WY</v>
      </c>
      <c r="P1692">
        <f>VLOOKUP(A1692,vlookup_table!$A:$G,4,FALSE)</f>
        <v>0</v>
      </c>
      <c r="Q1692" t="str">
        <f>VLOOKUP(A1692,vlookup_table!$A:$G,5,FALSE)</f>
        <v>C2</v>
      </c>
      <c r="R1692" t="str">
        <f>VLOOKUP(A1692,vlookup_table!$A:$G,6,FALSE)</f>
        <v>F</v>
      </c>
      <c r="S1692">
        <f>VLOOKUP(A1692,vlookup_table!$A:$G,7,FALSE)</f>
        <v>10</v>
      </c>
      <c r="T1692">
        <f t="shared" si="52"/>
        <v>96</v>
      </c>
      <c r="U1692" t="str">
        <f t="shared" si="53"/>
        <v>Ciudad</v>
      </c>
    </row>
    <row r="1693" spans="1:21" ht="16" x14ac:dyDescent="0.4">
      <c r="A1693" s="6">
        <v>144351</v>
      </c>
      <c r="B1693" s="6" t="s">
        <v>21</v>
      </c>
      <c r="C1693" s="6" t="s">
        <v>17</v>
      </c>
      <c r="D1693" s="6">
        <v>2855</v>
      </c>
      <c r="E1693" s="6">
        <v>311</v>
      </c>
      <c r="F1693" s="6">
        <v>537</v>
      </c>
      <c r="G1693" s="6">
        <v>78</v>
      </c>
      <c r="H1693" s="6">
        <v>18525</v>
      </c>
      <c r="I1693" s="6">
        <v>28</v>
      </c>
      <c r="J1693" s="6">
        <v>47</v>
      </c>
      <c r="K1693" s="6">
        <v>385</v>
      </c>
      <c r="L1693" s="6">
        <v>484</v>
      </c>
      <c r="M1693" s="6">
        <v>11.46153846</v>
      </c>
      <c r="N1693">
        <f>VLOOKUP(A1693,vlookup_table!$A:$G,2,FALSE)</f>
        <v>0</v>
      </c>
      <c r="O1693" t="str">
        <f>VLOOKUP(A1693,vlookup_table!$A:$G,3,FALSE)</f>
        <v>CA</v>
      </c>
      <c r="P1693">
        <f>VLOOKUP(A1693,vlookup_table!$A:$G,4,FALSE)</f>
        <v>3609</v>
      </c>
      <c r="Q1693" t="str">
        <f>VLOOKUP(A1693,vlookup_table!$A:$G,5,FALSE)</f>
        <v>U2</v>
      </c>
      <c r="R1693" t="str">
        <f>VLOOKUP(A1693,vlookup_table!$A:$G,6,FALSE)</f>
        <v>F</v>
      </c>
      <c r="S1693">
        <f>VLOOKUP(A1693,vlookup_table!$A:$G,7,FALSE)</f>
        <v>40</v>
      </c>
      <c r="T1693">
        <f t="shared" si="52"/>
        <v>60</v>
      </c>
      <c r="U1693" t="str">
        <f t="shared" si="53"/>
        <v>Urbano</v>
      </c>
    </row>
    <row r="1694" spans="1:21" ht="16" x14ac:dyDescent="0.4">
      <c r="A1694" s="6">
        <v>38388</v>
      </c>
      <c r="B1694" s="6" t="s">
        <v>13</v>
      </c>
      <c r="C1694" s="6" t="s">
        <v>17</v>
      </c>
      <c r="D1694" s="6">
        <v>955</v>
      </c>
      <c r="E1694" s="6">
        <v>324</v>
      </c>
      <c r="F1694" s="6">
        <v>444</v>
      </c>
      <c r="G1694" s="6">
        <v>2</v>
      </c>
      <c r="H1694" s="6">
        <v>12645</v>
      </c>
      <c r="I1694" s="6">
        <v>71</v>
      </c>
      <c r="J1694" s="6">
        <v>17</v>
      </c>
      <c r="K1694" s="6">
        <v>379</v>
      </c>
      <c r="L1694" s="6">
        <v>397</v>
      </c>
      <c r="M1694" s="6">
        <v>7.2643478259999998</v>
      </c>
      <c r="N1694">
        <f>VLOOKUP(A1694,vlookup_table!$A:$G,2,FALSE)</f>
        <v>2</v>
      </c>
      <c r="O1694" t="str">
        <f>VLOOKUP(A1694,vlookup_table!$A:$G,3,FALSE)</f>
        <v>FL</v>
      </c>
      <c r="P1694">
        <f>VLOOKUP(A1694,vlookup_table!$A:$G,4,FALSE)</f>
        <v>4810</v>
      </c>
      <c r="Q1694" t="str">
        <f>VLOOKUP(A1694,vlookup_table!$A:$G,5,FALSE)</f>
        <v>U2</v>
      </c>
      <c r="R1694" t="str">
        <f>VLOOKUP(A1694,vlookup_table!$A:$G,6,FALSE)</f>
        <v>F</v>
      </c>
      <c r="S1694">
        <f>VLOOKUP(A1694,vlookup_table!$A:$G,7,FALSE)</f>
        <v>10</v>
      </c>
      <c r="T1694">
        <f t="shared" si="52"/>
        <v>48</v>
      </c>
      <c r="U1694" t="str">
        <f t="shared" si="53"/>
        <v>Urbano</v>
      </c>
    </row>
    <row r="1695" spans="1:21" ht="16" x14ac:dyDescent="0.4">
      <c r="A1695" s="6">
        <v>176863</v>
      </c>
      <c r="B1695" s="6" t="s">
        <v>47</v>
      </c>
      <c r="C1695" s="6" t="s">
        <v>14</v>
      </c>
      <c r="D1695" s="6">
        <v>442</v>
      </c>
      <c r="E1695" s="6">
        <v>156</v>
      </c>
      <c r="F1695" s="6">
        <v>191</v>
      </c>
      <c r="G1695" s="6">
        <v>0</v>
      </c>
      <c r="H1695" s="6">
        <v>6370</v>
      </c>
      <c r="I1695" s="6">
        <v>2</v>
      </c>
      <c r="J1695" s="6">
        <v>53</v>
      </c>
      <c r="K1695" s="6">
        <v>195</v>
      </c>
      <c r="L1695" s="6">
        <v>165</v>
      </c>
      <c r="M1695" s="6">
        <v>16.5</v>
      </c>
      <c r="N1695">
        <f>VLOOKUP(A1695,vlookup_table!$A:$G,2,FALSE)</f>
        <v>1</v>
      </c>
      <c r="O1695" t="str">
        <f>VLOOKUP(A1695,vlookup_table!$A:$G,3,FALSE)</f>
        <v>OR</v>
      </c>
      <c r="P1695">
        <f>VLOOKUP(A1695,vlookup_table!$A:$G,4,FALSE)</f>
        <v>6101</v>
      </c>
      <c r="Q1695" t="str">
        <f>VLOOKUP(A1695,vlookup_table!$A:$G,5,FALSE)</f>
        <v>R3</v>
      </c>
      <c r="R1695" t="str">
        <f>VLOOKUP(A1695,vlookup_table!$A:$G,6,FALSE)</f>
        <v>M</v>
      </c>
      <c r="S1695">
        <f>VLOOKUP(A1695,vlookup_table!$A:$G,7,FALSE)</f>
        <v>20</v>
      </c>
      <c r="T1695">
        <f t="shared" si="52"/>
        <v>35</v>
      </c>
      <c r="U1695" t="str">
        <f t="shared" si="53"/>
        <v>Rural</v>
      </c>
    </row>
    <row r="1696" spans="1:21" ht="16" x14ac:dyDescent="0.4">
      <c r="A1696" s="6">
        <v>70696</v>
      </c>
      <c r="B1696" s="6" t="s">
        <v>26</v>
      </c>
      <c r="C1696" s="6" t="s">
        <v>17</v>
      </c>
      <c r="D1696" s="6">
        <v>569</v>
      </c>
      <c r="E1696" s="6">
        <v>356</v>
      </c>
      <c r="F1696" s="6">
        <v>515</v>
      </c>
      <c r="G1696" s="6">
        <v>2</v>
      </c>
      <c r="H1696" s="6">
        <v>19771</v>
      </c>
      <c r="I1696" s="6">
        <v>2</v>
      </c>
      <c r="J1696" s="6">
        <v>83</v>
      </c>
      <c r="K1696" s="6">
        <v>384</v>
      </c>
      <c r="L1696" s="6">
        <v>440</v>
      </c>
      <c r="M1696" s="6">
        <v>6.75</v>
      </c>
      <c r="N1696">
        <f>VLOOKUP(A1696,vlookup_table!$A:$G,2,FALSE)</f>
        <v>0</v>
      </c>
      <c r="O1696" t="str">
        <f>VLOOKUP(A1696,vlookup_table!$A:$G,3,FALSE)</f>
        <v>MI</v>
      </c>
      <c r="P1696">
        <f>VLOOKUP(A1696,vlookup_table!$A:$G,4,FALSE)</f>
        <v>4701</v>
      </c>
      <c r="Q1696" t="str">
        <f>VLOOKUP(A1696,vlookup_table!$A:$G,5,FALSE)</f>
        <v>C2</v>
      </c>
      <c r="R1696" t="str">
        <f>VLOOKUP(A1696,vlookup_table!$A:$G,6,FALSE)</f>
        <v>F</v>
      </c>
      <c r="S1696">
        <f>VLOOKUP(A1696,vlookup_table!$A:$G,7,FALSE)</f>
        <v>12</v>
      </c>
      <c r="T1696">
        <f t="shared" si="52"/>
        <v>49</v>
      </c>
      <c r="U1696" t="str">
        <f t="shared" si="53"/>
        <v>Ciudad</v>
      </c>
    </row>
    <row r="1697" spans="1:21" ht="16" x14ac:dyDescent="0.4">
      <c r="A1697" s="6">
        <v>151819</v>
      </c>
      <c r="B1697" s="6" t="s">
        <v>21</v>
      </c>
      <c r="C1697" s="6" t="s">
        <v>14</v>
      </c>
      <c r="D1697" s="6">
        <v>1170</v>
      </c>
      <c r="E1697" s="6">
        <v>210</v>
      </c>
      <c r="F1697" s="6">
        <v>255</v>
      </c>
      <c r="G1697" s="6">
        <v>3</v>
      </c>
      <c r="H1697" s="6">
        <v>7629</v>
      </c>
      <c r="I1697" s="6">
        <v>40</v>
      </c>
      <c r="J1697" s="6">
        <v>50</v>
      </c>
      <c r="K1697" s="6">
        <v>220</v>
      </c>
      <c r="L1697" s="6">
        <v>252</v>
      </c>
      <c r="M1697" s="6">
        <v>5.7</v>
      </c>
      <c r="N1697">
        <f>VLOOKUP(A1697,vlookup_table!$A:$G,2,FALSE)</f>
        <v>0</v>
      </c>
      <c r="O1697" t="str">
        <f>VLOOKUP(A1697,vlookup_table!$A:$G,3,FALSE)</f>
        <v>CA</v>
      </c>
      <c r="P1697">
        <f>VLOOKUP(A1697,vlookup_table!$A:$G,4,FALSE)</f>
        <v>4601</v>
      </c>
      <c r="Q1697" t="str">
        <f>VLOOKUP(A1697,vlookup_table!$A:$G,5,FALSE)</f>
        <v>U4</v>
      </c>
      <c r="R1697" t="str">
        <f>VLOOKUP(A1697,vlookup_table!$A:$G,6,FALSE)</f>
        <v>M</v>
      </c>
      <c r="S1697">
        <f>VLOOKUP(A1697,vlookup_table!$A:$G,7,FALSE)</f>
        <v>6</v>
      </c>
      <c r="T1697">
        <f t="shared" si="52"/>
        <v>50</v>
      </c>
      <c r="U1697" t="str">
        <f t="shared" si="53"/>
        <v>Urbano</v>
      </c>
    </row>
    <row r="1698" spans="1:21" ht="16" x14ac:dyDescent="0.4">
      <c r="A1698" s="6">
        <v>146500</v>
      </c>
      <c r="B1698" s="6" t="s">
        <v>21</v>
      </c>
      <c r="C1698" s="6" t="s">
        <v>17</v>
      </c>
      <c r="D1698" s="6">
        <v>2353</v>
      </c>
      <c r="E1698" s="6">
        <v>301</v>
      </c>
      <c r="F1698" s="6">
        <v>367</v>
      </c>
      <c r="G1698" s="6">
        <v>71</v>
      </c>
      <c r="H1698" s="6">
        <v>10333</v>
      </c>
      <c r="I1698" s="6">
        <v>46</v>
      </c>
      <c r="J1698" s="6">
        <v>33</v>
      </c>
      <c r="K1698" s="6">
        <v>316</v>
      </c>
      <c r="L1698" s="6">
        <v>333</v>
      </c>
      <c r="M1698" s="6">
        <v>25</v>
      </c>
      <c r="N1698">
        <f>VLOOKUP(A1698,vlookup_table!$A:$G,2,FALSE)</f>
        <v>28</v>
      </c>
      <c r="O1698" t="str">
        <f>VLOOKUP(A1698,vlookup_table!$A:$G,3,FALSE)</f>
        <v>CA</v>
      </c>
      <c r="P1698">
        <f>VLOOKUP(A1698,vlookup_table!$A:$G,4,FALSE)</f>
        <v>2201</v>
      </c>
      <c r="Q1698" t="str">
        <f>VLOOKUP(A1698,vlookup_table!$A:$G,5,FALSE)</f>
        <v>S2</v>
      </c>
      <c r="R1698" t="str">
        <f>VLOOKUP(A1698,vlookup_table!$A:$G,6,FALSE)</f>
        <v>F</v>
      </c>
      <c r="S1698">
        <f>VLOOKUP(A1698,vlookup_table!$A:$G,7,FALSE)</f>
        <v>25</v>
      </c>
      <c r="T1698">
        <f t="shared" si="52"/>
        <v>74</v>
      </c>
      <c r="U1698" t="str">
        <f t="shared" si="53"/>
        <v>Suburbano</v>
      </c>
    </row>
    <row r="1699" spans="1:21" ht="16" x14ac:dyDescent="0.4">
      <c r="A1699" s="6">
        <v>72679</v>
      </c>
      <c r="B1699" s="6" t="s">
        <v>26</v>
      </c>
      <c r="C1699" s="6" t="s">
        <v>17</v>
      </c>
      <c r="D1699" s="6">
        <v>330</v>
      </c>
      <c r="E1699" s="6">
        <v>249</v>
      </c>
      <c r="F1699" s="6">
        <v>357</v>
      </c>
      <c r="G1699" s="6">
        <v>0</v>
      </c>
      <c r="H1699" s="6">
        <v>10932</v>
      </c>
      <c r="I1699" s="6">
        <v>1</v>
      </c>
      <c r="J1699" s="6">
        <v>84</v>
      </c>
      <c r="K1699" s="6">
        <v>317</v>
      </c>
      <c r="L1699" s="6">
        <v>289</v>
      </c>
      <c r="M1699" s="6">
        <v>7.3333333329999997</v>
      </c>
      <c r="N1699">
        <f>VLOOKUP(A1699,vlookup_table!$A:$G,2,FALSE)</f>
        <v>0</v>
      </c>
      <c r="O1699" t="str">
        <f>VLOOKUP(A1699,vlookup_table!$A:$G,3,FALSE)</f>
        <v>MI</v>
      </c>
      <c r="P1699">
        <f>VLOOKUP(A1699,vlookup_table!$A:$G,4,FALSE)</f>
        <v>6401</v>
      </c>
      <c r="Q1699" t="str">
        <f>VLOOKUP(A1699,vlookup_table!$A:$G,5,FALSE)</f>
        <v>R2</v>
      </c>
      <c r="R1699" t="str">
        <f>VLOOKUP(A1699,vlookup_table!$A:$G,6,FALSE)</f>
        <v>F</v>
      </c>
      <c r="S1699">
        <f>VLOOKUP(A1699,vlookup_table!$A:$G,7,FALSE)</f>
        <v>10</v>
      </c>
      <c r="T1699">
        <f t="shared" si="52"/>
        <v>32</v>
      </c>
      <c r="U1699" t="str">
        <f t="shared" si="53"/>
        <v>Rural</v>
      </c>
    </row>
    <row r="1700" spans="1:21" ht="16" x14ac:dyDescent="0.4">
      <c r="A1700" s="6">
        <v>61805</v>
      </c>
      <c r="B1700" s="6" t="s">
        <v>30</v>
      </c>
      <c r="C1700" s="6" t="s">
        <v>17</v>
      </c>
      <c r="D1700" s="6">
        <v>428</v>
      </c>
      <c r="E1700" s="6">
        <v>253</v>
      </c>
      <c r="F1700" s="6">
        <v>319</v>
      </c>
      <c r="G1700" s="6">
        <v>0</v>
      </c>
      <c r="H1700" s="6">
        <v>10747</v>
      </c>
      <c r="I1700" s="6">
        <v>0</v>
      </c>
      <c r="J1700" s="6">
        <v>79</v>
      </c>
      <c r="K1700" s="6">
        <v>294</v>
      </c>
      <c r="L1700" s="6">
        <v>284</v>
      </c>
      <c r="M1700" s="6">
        <v>2.625</v>
      </c>
      <c r="N1700">
        <f>VLOOKUP(A1700,vlookup_table!$A:$G,2,FALSE)</f>
        <v>0</v>
      </c>
      <c r="O1700" t="str">
        <f>VLOOKUP(A1700,vlookup_table!$A:$G,3,FALSE)</f>
        <v>IN</v>
      </c>
      <c r="P1700">
        <f>VLOOKUP(A1700,vlookup_table!$A:$G,4,FALSE)</f>
        <v>0</v>
      </c>
      <c r="Q1700" t="str">
        <f>VLOOKUP(A1700,vlookup_table!$A:$G,5,FALSE)</f>
        <v>R2</v>
      </c>
      <c r="R1700" t="str">
        <f>VLOOKUP(A1700,vlookup_table!$A:$G,6,FALSE)</f>
        <v>F</v>
      </c>
      <c r="S1700">
        <f>VLOOKUP(A1700,vlookup_table!$A:$G,7,FALSE)</f>
        <v>5</v>
      </c>
      <c r="T1700">
        <f t="shared" si="52"/>
        <v>96</v>
      </c>
      <c r="U1700" t="str">
        <f t="shared" si="53"/>
        <v>Rural</v>
      </c>
    </row>
    <row r="1701" spans="1:21" ht="16" x14ac:dyDescent="0.4">
      <c r="A1701" s="6">
        <v>142742</v>
      </c>
      <c r="B1701" s="6" t="s">
        <v>21</v>
      </c>
      <c r="C1701" s="6" t="s">
        <v>17</v>
      </c>
      <c r="D1701" s="6">
        <v>1713</v>
      </c>
      <c r="E1701" s="6">
        <v>217</v>
      </c>
      <c r="F1701" s="6">
        <v>334</v>
      </c>
      <c r="G1701" s="6">
        <v>41</v>
      </c>
      <c r="H1701" s="6">
        <v>9763</v>
      </c>
      <c r="I1701" s="6">
        <v>59</v>
      </c>
      <c r="J1701" s="6">
        <v>26</v>
      </c>
      <c r="K1701" s="6">
        <v>244</v>
      </c>
      <c r="L1701" s="6">
        <v>310</v>
      </c>
      <c r="M1701" s="6">
        <v>15</v>
      </c>
      <c r="N1701">
        <f>VLOOKUP(A1701,vlookup_table!$A:$G,2,FALSE)</f>
        <v>2</v>
      </c>
      <c r="O1701" t="str">
        <f>VLOOKUP(A1701,vlookup_table!$A:$G,3,FALSE)</f>
        <v>CA</v>
      </c>
      <c r="P1701">
        <f>VLOOKUP(A1701,vlookup_table!$A:$G,4,FALSE)</f>
        <v>4801</v>
      </c>
      <c r="Q1701" t="str">
        <f>VLOOKUP(A1701,vlookup_table!$A:$G,5,FALSE)</f>
        <v>U3</v>
      </c>
      <c r="R1701" t="str">
        <f>VLOOKUP(A1701,vlookup_table!$A:$G,6,FALSE)</f>
        <v>F</v>
      </c>
      <c r="S1701">
        <f>VLOOKUP(A1701,vlookup_table!$A:$G,7,FALSE)</f>
        <v>15</v>
      </c>
      <c r="T1701">
        <f t="shared" si="52"/>
        <v>48</v>
      </c>
      <c r="U1701" t="str">
        <f t="shared" si="53"/>
        <v>Urbano</v>
      </c>
    </row>
    <row r="1702" spans="1:21" ht="16" x14ac:dyDescent="0.4">
      <c r="A1702" s="6">
        <v>29342</v>
      </c>
      <c r="B1702" s="6" t="s">
        <v>36</v>
      </c>
      <c r="C1702" s="6" t="s">
        <v>17</v>
      </c>
      <c r="D1702" s="6">
        <v>618</v>
      </c>
      <c r="E1702" s="6">
        <v>278</v>
      </c>
      <c r="F1702" s="6">
        <v>364</v>
      </c>
      <c r="G1702" s="6">
        <v>0</v>
      </c>
      <c r="H1702" s="6">
        <v>11899</v>
      </c>
      <c r="I1702" s="6">
        <v>1</v>
      </c>
      <c r="J1702" s="6">
        <v>81</v>
      </c>
      <c r="K1702" s="6">
        <v>291</v>
      </c>
      <c r="L1702" s="6">
        <v>322</v>
      </c>
      <c r="M1702" s="6">
        <v>7.2857142860000002</v>
      </c>
      <c r="N1702">
        <f>VLOOKUP(A1702,vlookup_table!$A:$G,2,FALSE)</f>
        <v>0</v>
      </c>
      <c r="O1702" t="str">
        <f>VLOOKUP(A1702,vlookup_table!$A:$G,3,FALSE)</f>
        <v>GA</v>
      </c>
      <c r="P1702">
        <f>VLOOKUP(A1702,vlookup_table!$A:$G,4,FALSE)</f>
        <v>0</v>
      </c>
      <c r="Q1702" t="str">
        <f>VLOOKUP(A1702,vlookup_table!$A:$G,5,FALSE)</f>
        <v/>
      </c>
      <c r="R1702" t="str">
        <f>VLOOKUP(A1702,vlookup_table!$A:$G,6,FALSE)</f>
        <v>F</v>
      </c>
      <c r="S1702">
        <f>VLOOKUP(A1702,vlookup_table!$A:$G,7,FALSE)</f>
        <v>10</v>
      </c>
      <c r="T1702">
        <f t="shared" si="52"/>
        <v>96</v>
      </c>
      <c r="U1702" t="str">
        <f t="shared" si="53"/>
        <v/>
      </c>
    </row>
    <row r="1703" spans="1:21" ht="16" x14ac:dyDescent="0.4">
      <c r="A1703" s="6">
        <v>49712</v>
      </c>
      <c r="B1703" s="6" t="s">
        <v>40</v>
      </c>
      <c r="C1703" s="6" t="s">
        <v>14</v>
      </c>
      <c r="D1703" s="6">
        <v>310</v>
      </c>
      <c r="E1703" s="6">
        <v>243</v>
      </c>
      <c r="F1703" s="6">
        <v>297</v>
      </c>
      <c r="G1703" s="6">
        <v>1</v>
      </c>
      <c r="H1703" s="6">
        <v>9642</v>
      </c>
      <c r="I1703" s="6">
        <v>0</v>
      </c>
      <c r="J1703" s="6">
        <v>94</v>
      </c>
      <c r="K1703" s="6">
        <v>308</v>
      </c>
      <c r="L1703" s="6">
        <v>265</v>
      </c>
      <c r="M1703" s="6">
        <v>11.2</v>
      </c>
      <c r="N1703">
        <f>VLOOKUP(A1703,vlookup_table!$A:$G,2,FALSE)</f>
        <v>1</v>
      </c>
      <c r="O1703" t="str">
        <f>VLOOKUP(A1703,vlookup_table!$A:$G,3,FALSE)</f>
        <v>AL</v>
      </c>
      <c r="P1703">
        <f>VLOOKUP(A1703,vlookup_table!$A:$G,4,FALSE)</f>
        <v>0</v>
      </c>
      <c r="Q1703" t="str">
        <f>VLOOKUP(A1703,vlookup_table!$A:$G,5,FALSE)</f>
        <v>R3</v>
      </c>
      <c r="R1703" t="str">
        <f>VLOOKUP(A1703,vlookup_table!$A:$G,6,FALSE)</f>
        <v>M</v>
      </c>
      <c r="S1703">
        <f>VLOOKUP(A1703,vlookup_table!$A:$G,7,FALSE)</f>
        <v>17</v>
      </c>
      <c r="T1703">
        <f t="shared" si="52"/>
        <v>96</v>
      </c>
      <c r="U1703" t="str">
        <f t="shared" si="53"/>
        <v>Rural</v>
      </c>
    </row>
    <row r="1704" spans="1:21" ht="16" x14ac:dyDescent="0.4">
      <c r="A1704" s="6">
        <v>53529</v>
      </c>
      <c r="B1704" s="6" t="s">
        <v>49</v>
      </c>
      <c r="C1704" s="6" t="s">
        <v>17</v>
      </c>
      <c r="D1704" s="6">
        <v>1183</v>
      </c>
      <c r="E1704" s="6">
        <v>496</v>
      </c>
      <c r="F1704" s="6">
        <v>654</v>
      </c>
      <c r="G1704" s="6">
        <v>1</v>
      </c>
      <c r="H1704" s="6">
        <v>27491</v>
      </c>
      <c r="I1704" s="6">
        <v>0</v>
      </c>
      <c r="J1704" s="6">
        <v>44</v>
      </c>
      <c r="K1704" s="6">
        <v>603</v>
      </c>
      <c r="L1704" s="6">
        <v>566</v>
      </c>
      <c r="M1704" s="6">
        <v>10.65217391</v>
      </c>
      <c r="N1704">
        <f>VLOOKUP(A1704,vlookup_table!$A:$G,2,FALSE)</f>
        <v>0</v>
      </c>
      <c r="O1704" t="str">
        <f>VLOOKUP(A1704,vlookup_table!$A:$G,3,FALSE)</f>
        <v>TN</v>
      </c>
      <c r="P1704">
        <f>VLOOKUP(A1704,vlookup_table!$A:$G,4,FALSE)</f>
        <v>0</v>
      </c>
      <c r="Q1704" t="str">
        <f>VLOOKUP(A1704,vlookup_table!$A:$G,5,FALSE)</f>
        <v>S1</v>
      </c>
      <c r="R1704" t="str">
        <f>VLOOKUP(A1704,vlookup_table!$A:$G,6,FALSE)</f>
        <v>F</v>
      </c>
      <c r="S1704">
        <f>VLOOKUP(A1704,vlookup_table!$A:$G,7,FALSE)</f>
        <v>5</v>
      </c>
      <c r="T1704">
        <f t="shared" si="52"/>
        <v>96</v>
      </c>
      <c r="U1704" t="str">
        <f t="shared" si="53"/>
        <v>Suburbano</v>
      </c>
    </row>
    <row r="1705" spans="1:21" ht="16" x14ac:dyDescent="0.4">
      <c r="A1705" s="6">
        <v>70803</v>
      </c>
      <c r="B1705" s="6" t="s">
        <v>26</v>
      </c>
      <c r="C1705" s="6" t="s">
        <v>14</v>
      </c>
      <c r="D1705" s="6">
        <v>299</v>
      </c>
      <c r="E1705" s="6">
        <v>244</v>
      </c>
      <c r="F1705" s="6">
        <v>303</v>
      </c>
      <c r="G1705" s="6">
        <v>0</v>
      </c>
      <c r="H1705" s="6">
        <v>10136</v>
      </c>
      <c r="I1705" s="6">
        <v>6</v>
      </c>
      <c r="J1705" s="6">
        <v>77</v>
      </c>
      <c r="K1705" s="6">
        <v>267</v>
      </c>
      <c r="L1705" s="6">
        <v>263</v>
      </c>
      <c r="M1705" s="6">
        <v>4.9375</v>
      </c>
      <c r="N1705">
        <f>VLOOKUP(A1705,vlookup_table!$A:$G,2,FALSE)</f>
        <v>1</v>
      </c>
      <c r="O1705" t="str">
        <f>VLOOKUP(A1705,vlookup_table!$A:$G,3,FALSE)</f>
        <v>MI</v>
      </c>
      <c r="P1705">
        <f>VLOOKUP(A1705,vlookup_table!$A:$G,4,FALSE)</f>
        <v>1112</v>
      </c>
      <c r="Q1705" t="str">
        <f>VLOOKUP(A1705,vlookup_table!$A:$G,5,FALSE)</f>
        <v>R3</v>
      </c>
      <c r="R1705" t="str">
        <f>VLOOKUP(A1705,vlookup_table!$A:$G,6,FALSE)</f>
        <v>M</v>
      </c>
      <c r="S1705">
        <f>VLOOKUP(A1705,vlookup_table!$A:$G,7,FALSE)</f>
        <v>4</v>
      </c>
      <c r="T1705">
        <f t="shared" si="52"/>
        <v>85</v>
      </c>
      <c r="U1705" t="str">
        <f t="shared" si="53"/>
        <v>Rural</v>
      </c>
    </row>
    <row r="1706" spans="1:21" ht="16" x14ac:dyDescent="0.4">
      <c r="A1706" s="6">
        <v>20721</v>
      </c>
      <c r="B1706" s="6" t="s">
        <v>18</v>
      </c>
      <c r="C1706" s="6" t="s">
        <v>97</v>
      </c>
      <c r="D1706" s="6">
        <v>504</v>
      </c>
      <c r="E1706" s="6">
        <v>238</v>
      </c>
      <c r="F1706" s="6">
        <v>424</v>
      </c>
      <c r="G1706" s="6">
        <v>1</v>
      </c>
      <c r="H1706" s="6">
        <v>14205</v>
      </c>
      <c r="I1706" s="6">
        <v>0</v>
      </c>
      <c r="J1706" s="6">
        <v>60</v>
      </c>
      <c r="K1706" s="6">
        <v>355</v>
      </c>
      <c r="L1706" s="6">
        <v>319</v>
      </c>
      <c r="M1706" s="6">
        <v>8.5</v>
      </c>
      <c r="N1706">
        <f>VLOOKUP(A1706,vlookup_table!$A:$G,2,FALSE)</f>
        <v>0</v>
      </c>
      <c r="O1706" t="str">
        <f>VLOOKUP(A1706,vlookup_table!$A:$G,3,FALSE)</f>
        <v>NC</v>
      </c>
      <c r="P1706">
        <f>VLOOKUP(A1706,vlookup_table!$A:$G,4,FALSE)</f>
        <v>5805</v>
      </c>
      <c r="Q1706" t="str">
        <f>VLOOKUP(A1706,vlookup_table!$A:$G,5,FALSE)</f>
        <v>R2</v>
      </c>
      <c r="R1706" t="str">
        <f>VLOOKUP(A1706,vlookup_table!$A:$G,6,FALSE)</f>
        <v>F</v>
      </c>
      <c r="S1706">
        <f>VLOOKUP(A1706,vlookup_table!$A:$G,7,FALSE)</f>
        <v>10</v>
      </c>
      <c r="T1706">
        <f t="shared" si="52"/>
        <v>38</v>
      </c>
      <c r="U1706" t="str">
        <f t="shared" si="53"/>
        <v>Rural</v>
      </c>
    </row>
    <row r="1707" spans="1:21" ht="16" x14ac:dyDescent="0.4">
      <c r="A1707" s="6">
        <v>15445</v>
      </c>
      <c r="B1707" s="6" t="s">
        <v>18</v>
      </c>
      <c r="C1707" s="6" t="s">
        <v>14</v>
      </c>
      <c r="D1707" s="6">
        <v>782</v>
      </c>
      <c r="E1707" s="6">
        <v>223</v>
      </c>
      <c r="F1707" s="6">
        <v>357</v>
      </c>
      <c r="G1707" s="6">
        <v>0</v>
      </c>
      <c r="H1707" s="6">
        <v>11910</v>
      </c>
      <c r="I1707" s="6">
        <v>5</v>
      </c>
      <c r="J1707" s="6">
        <v>45</v>
      </c>
      <c r="K1707" s="6">
        <v>341</v>
      </c>
      <c r="L1707" s="6">
        <v>272</v>
      </c>
      <c r="M1707" s="6">
        <v>10.23076923</v>
      </c>
      <c r="N1707">
        <f>VLOOKUP(A1707,vlookup_table!$A:$G,2,FALSE)</f>
        <v>1</v>
      </c>
      <c r="O1707" t="str">
        <f>VLOOKUP(A1707,vlookup_table!$A:$G,3,FALSE)</f>
        <v>NC</v>
      </c>
      <c r="P1707">
        <f>VLOOKUP(A1707,vlookup_table!$A:$G,4,FALSE)</f>
        <v>5501</v>
      </c>
      <c r="Q1707" t="str">
        <f>VLOOKUP(A1707,vlookup_table!$A:$G,5,FALSE)</f>
        <v>C2</v>
      </c>
      <c r="R1707" t="str">
        <f>VLOOKUP(A1707,vlookup_table!$A:$G,6,FALSE)</f>
        <v>M</v>
      </c>
      <c r="S1707">
        <f>VLOOKUP(A1707,vlookup_table!$A:$G,7,FALSE)</f>
        <v>20</v>
      </c>
      <c r="T1707">
        <f t="shared" si="52"/>
        <v>41</v>
      </c>
      <c r="U1707" t="str">
        <f t="shared" si="53"/>
        <v>Ciudad</v>
      </c>
    </row>
    <row r="1708" spans="1:21" ht="16" x14ac:dyDescent="0.4">
      <c r="A1708" s="6">
        <v>24030</v>
      </c>
      <c r="B1708" s="6" t="s">
        <v>43</v>
      </c>
      <c r="C1708" s="6" t="s">
        <v>17</v>
      </c>
      <c r="D1708" s="6">
        <v>383</v>
      </c>
      <c r="E1708" s="6">
        <v>76</v>
      </c>
      <c r="F1708" s="6">
        <v>180</v>
      </c>
      <c r="G1708" s="6">
        <v>0</v>
      </c>
      <c r="H1708" s="6">
        <v>5990</v>
      </c>
      <c r="I1708" s="6">
        <v>0</v>
      </c>
      <c r="J1708" s="6">
        <v>78</v>
      </c>
      <c r="K1708" s="6">
        <v>134</v>
      </c>
      <c r="L1708" s="6">
        <v>135</v>
      </c>
      <c r="M1708" s="6">
        <v>12.2</v>
      </c>
      <c r="N1708">
        <f>VLOOKUP(A1708,vlookup_table!$A:$G,2,FALSE)</f>
        <v>0</v>
      </c>
      <c r="O1708" t="str">
        <f>VLOOKUP(A1708,vlookup_table!$A:$G,3,FALSE)</f>
        <v>SC</v>
      </c>
      <c r="P1708">
        <f>VLOOKUP(A1708,vlookup_table!$A:$G,4,FALSE)</f>
        <v>3306</v>
      </c>
      <c r="Q1708" t="str">
        <f>VLOOKUP(A1708,vlookup_table!$A:$G,5,FALSE)</f>
        <v>T3</v>
      </c>
      <c r="R1708" t="str">
        <f>VLOOKUP(A1708,vlookup_table!$A:$G,6,FALSE)</f>
        <v>F</v>
      </c>
      <c r="S1708">
        <f>VLOOKUP(A1708,vlookup_table!$A:$G,7,FALSE)</f>
        <v>20</v>
      </c>
      <c r="T1708">
        <f t="shared" si="52"/>
        <v>63</v>
      </c>
      <c r="U1708" t="str">
        <f t="shared" si="53"/>
        <v>Pueblo</v>
      </c>
    </row>
    <row r="1709" spans="1:21" ht="16" x14ac:dyDescent="0.4">
      <c r="A1709" s="6">
        <v>150177</v>
      </c>
      <c r="B1709" s="6" t="s">
        <v>21</v>
      </c>
      <c r="C1709" s="6" t="s">
        <v>14</v>
      </c>
      <c r="D1709" s="6">
        <v>2044</v>
      </c>
      <c r="E1709" s="6">
        <v>329</v>
      </c>
      <c r="F1709" s="6">
        <v>423</v>
      </c>
      <c r="G1709" s="6">
        <v>53</v>
      </c>
      <c r="H1709" s="6">
        <v>13686</v>
      </c>
      <c r="I1709" s="6">
        <v>27</v>
      </c>
      <c r="J1709" s="6">
        <v>47</v>
      </c>
      <c r="K1709" s="6">
        <v>337</v>
      </c>
      <c r="L1709" s="6">
        <v>397</v>
      </c>
      <c r="M1709" s="6">
        <v>10.75</v>
      </c>
      <c r="N1709">
        <f>VLOOKUP(A1709,vlookup_table!$A:$G,2,FALSE)</f>
        <v>0</v>
      </c>
      <c r="O1709" t="str">
        <f>VLOOKUP(A1709,vlookup_table!$A:$G,3,FALSE)</f>
        <v>CA</v>
      </c>
      <c r="P1709">
        <f>VLOOKUP(A1709,vlookup_table!$A:$G,4,FALSE)</f>
        <v>2001</v>
      </c>
      <c r="Q1709" t="str">
        <f>VLOOKUP(A1709,vlookup_table!$A:$G,5,FALSE)</f>
        <v>S2</v>
      </c>
      <c r="R1709" t="str">
        <f>VLOOKUP(A1709,vlookup_table!$A:$G,6,FALSE)</f>
        <v>M</v>
      </c>
      <c r="S1709">
        <f>VLOOKUP(A1709,vlookup_table!$A:$G,7,FALSE)</f>
        <v>20</v>
      </c>
      <c r="T1709">
        <f t="shared" si="52"/>
        <v>76</v>
      </c>
      <c r="U1709" t="str">
        <f t="shared" si="53"/>
        <v>Suburbano</v>
      </c>
    </row>
    <row r="1710" spans="1:21" ht="16" x14ac:dyDescent="0.4">
      <c r="A1710" s="6">
        <v>137540</v>
      </c>
      <c r="B1710" s="6" t="s">
        <v>51</v>
      </c>
      <c r="C1710" s="6" t="s">
        <v>97</v>
      </c>
      <c r="D1710" s="6">
        <v>2158</v>
      </c>
      <c r="E1710" s="6">
        <v>411</v>
      </c>
      <c r="F1710" s="6">
        <v>640</v>
      </c>
      <c r="G1710" s="6">
        <v>54</v>
      </c>
      <c r="H1710" s="6">
        <v>33235</v>
      </c>
      <c r="I1710" s="6">
        <v>7</v>
      </c>
      <c r="J1710" s="6">
        <v>12</v>
      </c>
      <c r="K1710" s="6">
        <v>516</v>
      </c>
      <c r="L1710" s="6">
        <v>535</v>
      </c>
      <c r="M1710" s="6">
        <v>9</v>
      </c>
      <c r="N1710">
        <f>VLOOKUP(A1710,vlookup_table!$A:$G,2,FALSE)</f>
        <v>2</v>
      </c>
      <c r="O1710" t="str">
        <f>VLOOKUP(A1710,vlookup_table!$A:$G,3,FALSE)</f>
        <v>AZ</v>
      </c>
      <c r="P1710">
        <f>VLOOKUP(A1710,vlookup_table!$A:$G,4,FALSE)</f>
        <v>4801</v>
      </c>
      <c r="Q1710" t="str">
        <f>VLOOKUP(A1710,vlookup_table!$A:$G,5,FALSE)</f>
        <v>C1</v>
      </c>
      <c r="R1710" t="str">
        <f>VLOOKUP(A1710,vlookup_table!$A:$G,6,FALSE)</f>
        <v>F</v>
      </c>
      <c r="S1710">
        <f>VLOOKUP(A1710,vlookup_table!$A:$G,7,FALSE)</f>
        <v>10</v>
      </c>
      <c r="T1710">
        <f t="shared" si="52"/>
        <v>48</v>
      </c>
      <c r="U1710" t="str">
        <f t="shared" si="53"/>
        <v>Ciudad</v>
      </c>
    </row>
    <row r="1711" spans="1:21" ht="16" x14ac:dyDescent="0.4">
      <c r="A1711" s="6">
        <v>13496</v>
      </c>
      <c r="B1711" s="6" t="s">
        <v>21</v>
      </c>
      <c r="C1711" s="6" t="s">
        <v>17</v>
      </c>
      <c r="D1711" s="6">
        <v>3222</v>
      </c>
      <c r="E1711" s="6">
        <v>569</v>
      </c>
      <c r="F1711" s="6">
        <v>652</v>
      </c>
      <c r="G1711" s="6">
        <v>93</v>
      </c>
      <c r="H1711" s="6">
        <v>34407</v>
      </c>
      <c r="I1711" s="6">
        <v>23</v>
      </c>
      <c r="J1711" s="6">
        <v>35</v>
      </c>
      <c r="K1711" s="6">
        <v>614</v>
      </c>
      <c r="L1711" s="6">
        <v>607</v>
      </c>
      <c r="M1711" s="6">
        <v>16.545454549999999</v>
      </c>
      <c r="N1711">
        <f>VLOOKUP(A1711,vlookup_table!$A:$G,2,FALSE)</f>
        <v>28</v>
      </c>
      <c r="O1711" t="str">
        <f>VLOOKUP(A1711,vlookup_table!$A:$G,3,FALSE)</f>
        <v>CA</v>
      </c>
      <c r="P1711">
        <f>VLOOKUP(A1711,vlookup_table!$A:$G,4,FALSE)</f>
        <v>2801</v>
      </c>
      <c r="Q1711" t="str">
        <f>VLOOKUP(A1711,vlookup_table!$A:$G,5,FALSE)</f>
        <v>U1</v>
      </c>
      <c r="R1711" t="str">
        <f>VLOOKUP(A1711,vlookup_table!$A:$G,6,FALSE)</f>
        <v>F</v>
      </c>
      <c r="S1711">
        <f>VLOOKUP(A1711,vlookup_table!$A:$G,7,FALSE)</f>
        <v>25</v>
      </c>
      <c r="T1711">
        <f t="shared" si="52"/>
        <v>68</v>
      </c>
      <c r="U1711" t="str">
        <f t="shared" si="53"/>
        <v>Urbano</v>
      </c>
    </row>
    <row r="1712" spans="1:21" ht="16" x14ac:dyDescent="0.4">
      <c r="A1712" s="6">
        <v>28040</v>
      </c>
      <c r="B1712" s="6" t="s">
        <v>36</v>
      </c>
      <c r="C1712" s="6" t="s">
        <v>14</v>
      </c>
      <c r="D1712" s="6">
        <v>866</v>
      </c>
      <c r="E1712" s="6">
        <v>463</v>
      </c>
      <c r="F1712" s="6">
        <v>492</v>
      </c>
      <c r="G1712" s="6">
        <v>1</v>
      </c>
      <c r="H1712" s="6">
        <v>15563</v>
      </c>
      <c r="I1712" s="6">
        <v>1</v>
      </c>
      <c r="J1712" s="6">
        <v>66</v>
      </c>
      <c r="K1712" s="6">
        <v>475</v>
      </c>
      <c r="L1712" s="6">
        <v>467</v>
      </c>
      <c r="M1712" s="6">
        <v>7.5454545450000001</v>
      </c>
      <c r="N1712">
        <f>VLOOKUP(A1712,vlookup_table!$A:$G,2,FALSE)</f>
        <v>1</v>
      </c>
      <c r="O1712" t="str">
        <f>VLOOKUP(A1712,vlookup_table!$A:$G,3,FALSE)</f>
        <v>GA</v>
      </c>
      <c r="P1712">
        <f>VLOOKUP(A1712,vlookup_table!$A:$G,4,FALSE)</f>
        <v>2901</v>
      </c>
      <c r="Q1712" t="str">
        <f>VLOOKUP(A1712,vlookup_table!$A:$G,5,FALSE)</f>
        <v>T2</v>
      </c>
      <c r="R1712" t="str">
        <f>VLOOKUP(A1712,vlookup_table!$A:$G,6,FALSE)</f>
        <v>M</v>
      </c>
      <c r="S1712">
        <f>VLOOKUP(A1712,vlookup_table!$A:$G,7,FALSE)</f>
        <v>11</v>
      </c>
      <c r="T1712">
        <f t="shared" si="52"/>
        <v>67</v>
      </c>
      <c r="U1712" t="str">
        <f t="shared" si="53"/>
        <v>Pueblo</v>
      </c>
    </row>
    <row r="1713" spans="1:21" ht="16" x14ac:dyDescent="0.4">
      <c r="A1713" s="6">
        <v>156174</v>
      </c>
      <c r="B1713" s="6" t="s">
        <v>23</v>
      </c>
      <c r="C1713" s="6" t="s">
        <v>14</v>
      </c>
      <c r="D1713" s="6">
        <v>899</v>
      </c>
      <c r="E1713" s="6">
        <v>479</v>
      </c>
      <c r="F1713" s="6">
        <v>535</v>
      </c>
      <c r="G1713" s="6">
        <v>1</v>
      </c>
      <c r="H1713" s="6">
        <v>15544</v>
      </c>
      <c r="I1713" s="6">
        <v>2</v>
      </c>
      <c r="J1713" s="6">
        <v>26</v>
      </c>
      <c r="K1713" s="6">
        <v>486</v>
      </c>
      <c r="L1713" s="6">
        <v>542</v>
      </c>
      <c r="M1713" s="6">
        <v>9.4444444440000002</v>
      </c>
      <c r="N1713">
        <f>VLOOKUP(A1713,vlookup_table!$A:$G,2,FALSE)</f>
        <v>1</v>
      </c>
      <c r="O1713" t="str">
        <f>VLOOKUP(A1713,vlookup_table!$A:$G,3,FALSE)</f>
        <v>NV</v>
      </c>
      <c r="P1713">
        <f>VLOOKUP(A1713,vlookup_table!$A:$G,4,FALSE)</f>
        <v>2601</v>
      </c>
      <c r="Q1713" t="str">
        <f>VLOOKUP(A1713,vlookup_table!$A:$G,5,FALSE)</f>
        <v>C2</v>
      </c>
      <c r="R1713" t="str">
        <f>VLOOKUP(A1713,vlookup_table!$A:$G,6,FALSE)</f>
        <v>M</v>
      </c>
      <c r="S1713">
        <f>VLOOKUP(A1713,vlookup_table!$A:$G,7,FALSE)</f>
        <v>10</v>
      </c>
      <c r="T1713">
        <f t="shared" si="52"/>
        <v>70</v>
      </c>
      <c r="U1713" t="str">
        <f t="shared" si="53"/>
        <v>Ciudad</v>
      </c>
    </row>
    <row r="1714" spans="1:21" ht="16" x14ac:dyDescent="0.4">
      <c r="A1714" s="6">
        <v>75461</v>
      </c>
      <c r="B1714" s="6" t="s">
        <v>44</v>
      </c>
      <c r="C1714" s="6"/>
      <c r="D1714" s="6">
        <v>221</v>
      </c>
      <c r="E1714" s="6">
        <v>216</v>
      </c>
      <c r="F1714" s="6">
        <v>304</v>
      </c>
      <c r="G1714" s="6">
        <v>0</v>
      </c>
      <c r="H1714" s="6">
        <v>10791</v>
      </c>
      <c r="I1714" s="6">
        <v>0</v>
      </c>
      <c r="J1714" s="6">
        <v>87</v>
      </c>
      <c r="K1714" s="6">
        <v>274</v>
      </c>
      <c r="L1714" s="6">
        <v>252</v>
      </c>
      <c r="M1714" s="6">
        <v>11.33333333</v>
      </c>
      <c r="N1714">
        <f>VLOOKUP(A1714,vlookup_table!$A:$G,2,FALSE)</f>
        <v>2</v>
      </c>
      <c r="O1714" t="str">
        <f>VLOOKUP(A1714,vlookup_table!$A:$G,3,FALSE)</f>
        <v>IA</v>
      </c>
      <c r="P1714">
        <f>VLOOKUP(A1714,vlookup_table!$A:$G,4,FALSE)</f>
        <v>1612</v>
      </c>
      <c r="Q1714" t="str">
        <f>VLOOKUP(A1714,vlookup_table!$A:$G,5,FALSE)</f>
        <v/>
      </c>
      <c r="R1714" t="str">
        <f>VLOOKUP(A1714,vlookup_table!$A:$G,6,FALSE)</f>
        <v/>
      </c>
      <c r="S1714">
        <f>VLOOKUP(A1714,vlookup_table!$A:$G,7,FALSE)</f>
        <v>15</v>
      </c>
      <c r="T1714">
        <f t="shared" si="52"/>
        <v>80</v>
      </c>
      <c r="U1714" t="str">
        <f t="shared" si="53"/>
        <v/>
      </c>
    </row>
    <row r="1715" spans="1:21" ht="16" x14ac:dyDescent="0.4">
      <c r="A1715" s="6">
        <v>2781</v>
      </c>
      <c r="B1715" s="6" t="s">
        <v>21</v>
      </c>
      <c r="C1715" s="6" t="s">
        <v>17</v>
      </c>
      <c r="D1715" s="6">
        <v>2432</v>
      </c>
      <c r="E1715" s="6">
        <v>340</v>
      </c>
      <c r="F1715" s="6">
        <v>432</v>
      </c>
      <c r="G1715" s="6">
        <v>72</v>
      </c>
      <c r="H1715" s="6">
        <v>13558</v>
      </c>
      <c r="I1715" s="6">
        <v>42</v>
      </c>
      <c r="J1715" s="6">
        <v>37</v>
      </c>
      <c r="K1715" s="6">
        <v>364</v>
      </c>
      <c r="L1715" s="6">
        <v>397</v>
      </c>
      <c r="M1715" s="6">
        <v>9</v>
      </c>
      <c r="N1715">
        <f>VLOOKUP(A1715,vlookup_table!$A:$G,2,FALSE)</f>
        <v>0</v>
      </c>
      <c r="O1715" t="str">
        <f>VLOOKUP(A1715,vlookup_table!$A:$G,3,FALSE)</f>
        <v>CA</v>
      </c>
      <c r="P1715">
        <f>VLOOKUP(A1715,vlookup_table!$A:$G,4,FALSE)</f>
        <v>4501</v>
      </c>
      <c r="Q1715" t="str">
        <f>VLOOKUP(A1715,vlookup_table!$A:$G,5,FALSE)</f>
        <v>U2</v>
      </c>
      <c r="R1715" t="str">
        <f>VLOOKUP(A1715,vlookup_table!$A:$G,6,FALSE)</f>
        <v>F</v>
      </c>
      <c r="S1715">
        <f>VLOOKUP(A1715,vlookup_table!$A:$G,7,FALSE)</f>
        <v>20</v>
      </c>
      <c r="T1715">
        <f t="shared" si="52"/>
        <v>51</v>
      </c>
      <c r="U1715" t="str">
        <f t="shared" si="53"/>
        <v>Urbano</v>
      </c>
    </row>
    <row r="1716" spans="1:21" ht="16" x14ac:dyDescent="0.4">
      <c r="A1716" s="6">
        <v>85476</v>
      </c>
      <c r="B1716" s="6" t="s">
        <v>52</v>
      </c>
      <c r="C1716" s="6" t="s">
        <v>17</v>
      </c>
      <c r="D1716" s="6">
        <v>198</v>
      </c>
      <c r="E1716" s="6">
        <v>173</v>
      </c>
      <c r="F1716" s="6">
        <v>238</v>
      </c>
      <c r="G1716" s="6">
        <v>0</v>
      </c>
      <c r="H1716" s="6">
        <v>7616</v>
      </c>
      <c r="I1716" s="6">
        <v>1</v>
      </c>
      <c r="J1716" s="6">
        <v>83</v>
      </c>
      <c r="K1716" s="6">
        <v>209</v>
      </c>
      <c r="L1716" s="6">
        <v>208</v>
      </c>
      <c r="M1716" s="6">
        <v>5</v>
      </c>
      <c r="N1716">
        <f>VLOOKUP(A1716,vlookup_table!$A:$G,2,FALSE)</f>
        <v>2</v>
      </c>
      <c r="O1716" t="str">
        <f>VLOOKUP(A1716,vlookup_table!$A:$G,3,FALSE)</f>
        <v>MN</v>
      </c>
      <c r="P1716">
        <f>VLOOKUP(A1716,vlookup_table!$A:$G,4,FALSE)</f>
        <v>3801</v>
      </c>
      <c r="Q1716" t="str">
        <f>VLOOKUP(A1716,vlookup_table!$A:$G,5,FALSE)</f>
        <v>R3</v>
      </c>
      <c r="R1716" t="str">
        <f>VLOOKUP(A1716,vlookup_table!$A:$G,6,FALSE)</f>
        <v>F</v>
      </c>
      <c r="S1716">
        <f>VLOOKUP(A1716,vlookup_table!$A:$G,7,FALSE)</f>
        <v>5</v>
      </c>
      <c r="T1716">
        <f t="shared" si="52"/>
        <v>58</v>
      </c>
      <c r="U1716" t="str">
        <f t="shared" si="53"/>
        <v>Rural</v>
      </c>
    </row>
    <row r="1717" spans="1:21" ht="16" x14ac:dyDescent="0.4">
      <c r="A1717" s="6">
        <v>177640</v>
      </c>
      <c r="B1717" s="6" t="s">
        <v>47</v>
      </c>
      <c r="C1717" s="6" t="s">
        <v>14</v>
      </c>
      <c r="D1717" s="6">
        <v>600</v>
      </c>
      <c r="E1717" s="6">
        <v>236</v>
      </c>
      <c r="F1717" s="6">
        <v>275</v>
      </c>
      <c r="G1717" s="6">
        <v>2</v>
      </c>
      <c r="H1717" s="6">
        <v>9757</v>
      </c>
      <c r="I1717" s="6">
        <v>1</v>
      </c>
      <c r="J1717" s="6">
        <v>44</v>
      </c>
      <c r="K1717" s="6">
        <v>256</v>
      </c>
      <c r="L1717" s="6">
        <v>273</v>
      </c>
      <c r="M1717" s="6">
        <v>18.958333329999999</v>
      </c>
      <c r="N1717">
        <f>VLOOKUP(A1717,vlookup_table!$A:$G,2,FALSE)</f>
        <v>1</v>
      </c>
      <c r="O1717" t="str">
        <f>VLOOKUP(A1717,vlookup_table!$A:$G,3,FALSE)</f>
        <v>OR</v>
      </c>
      <c r="P1717">
        <f>VLOOKUP(A1717,vlookup_table!$A:$G,4,FALSE)</f>
        <v>4911</v>
      </c>
      <c r="Q1717" t="str">
        <f>VLOOKUP(A1717,vlookup_table!$A:$G,5,FALSE)</f>
        <v>R2</v>
      </c>
      <c r="R1717" t="str">
        <f>VLOOKUP(A1717,vlookup_table!$A:$G,6,FALSE)</f>
        <v>M</v>
      </c>
      <c r="S1717">
        <f>VLOOKUP(A1717,vlookup_table!$A:$G,7,FALSE)</f>
        <v>30</v>
      </c>
      <c r="T1717">
        <f t="shared" si="52"/>
        <v>47</v>
      </c>
      <c r="U1717" t="str">
        <f t="shared" si="53"/>
        <v>Rural</v>
      </c>
    </row>
    <row r="1718" spans="1:21" ht="16" x14ac:dyDescent="0.4">
      <c r="A1718" s="6">
        <v>183052</v>
      </c>
      <c r="B1718" s="6" t="s">
        <v>37</v>
      </c>
      <c r="C1718" s="6" t="s">
        <v>14</v>
      </c>
      <c r="D1718" s="6">
        <v>944</v>
      </c>
      <c r="E1718" s="6">
        <v>395</v>
      </c>
      <c r="F1718" s="6">
        <v>461</v>
      </c>
      <c r="G1718" s="6">
        <v>5</v>
      </c>
      <c r="H1718" s="6">
        <v>13714</v>
      </c>
      <c r="I1718" s="6">
        <v>3</v>
      </c>
      <c r="J1718" s="6">
        <v>38</v>
      </c>
      <c r="K1718" s="6">
        <v>417</v>
      </c>
      <c r="L1718" s="6">
        <v>414</v>
      </c>
      <c r="M1718" s="6">
        <v>5.266666667</v>
      </c>
      <c r="N1718">
        <f>VLOOKUP(A1718,vlookup_table!$A:$G,2,FALSE)</f>
        <v>1</v>
      </c>
      <c r="O1718" t="str">
        <f>VLOOKUP(A1718,vlookup_table!$A:$G,3,FALSE)</f>
        <v>WA</v>
      </c>
      <c r="P1718">
        <f>VLOOKUP(A1718,vlookup_table!$A:$G,4,FALSE)</f>
        <v>3511</v>
      </c>
      <c r="Q1718" t="str">
        <f>VLOOKUP(A1718,vlookup_table!$A:$G,5,FALSE)</f>
        <v>T2</v>
      </c>
      <c r="R1718" t="str">
        <f>VLOOKUP(A1718,vlookup_table!$A:$G,6,FALSE)</f>
        <v>M</v>
      </c>
      <c r="S1718">
        <f>VLOOKUP(A1718,vlookup_table!$A:$G,7,FALSE)</f>
        <v>5</v>
      </c>
      <c r="T1718">
        <f t="shared" si="52"/>
        <v>61</v>
      </c>
      <c r="U1718" t="str">
        <f t="shared" si="53"/>
        <v>Pueblo</v>
      </c>
    </row>
    <row r="1719" spans="1:21" ht="16" x14ac:dyDescent="0.4">
      <c r="A1719" s="6">
        <v>115935</v>
      </c>
      <c r="B1719" s="6" t="s">
        <v>20</v>
      </c>
      <c r="C1719" s="6" t="s">
        <v>17</v>
      </c>
      <c r="D1719" s="6">
        <v>463</v>
      </c>
      <c r="E1719" s="6">
        <v>404</v>
      </c>
      <c r="F1719" s="6">
        <v>470</v>
      </c>
      <c r="G1719" s="6">
        <v>0</v>
      </c>
      <c r="H1719" s="6">
        <v>16020</v>
      </c>
      <c r="I1719" s="6">
        <v>3</v>
      </c>
      <c r="J1719" s="6">
        <v>46</v>
      </c>
      <c r="K1719" s="6">
        <v>416</v>
      </c>
      <c r="L1719" s="6">
        <v>427</v>
      </c>
      <c r="M1719" s="6">
        <v>10.4</v>
      </c>
      <c r="N1719">
        <f>VLOOKUP(A1719,vlookup_table!$A:$G,2,FALSE)</f>
        <v>28</v>
      </c>
      <c r="O1719" t="str">
        <f>VLOOKUP(A1719,vlookup_table!$A:$G,3,FALSE)</f>
        <v>TX</v>
      </c>
      <c r="P1719">
        <f>VLOOKUP(A1719,vlookup_table!$A:$G,4,FALSE)</f>
        <v>0</v>
      </c>
      <c r="Q1719" t="str">
        <f>VLOOKUP(A1719,vlookup_table!$A:$G,5,FALSE)</f>
        <v>C2</v>
      </c>
      <c r="R1719" t="str">
        <f>VLOOKUP(A1719,vlookup_table!$A:$G,6,FALSE)</f>
        <v>F</v>
      </c>
      <c r="S1719">
        <f>VLOOKUP(A1719,vlookup_table!$A:$G,7,FALSE)</f>
        <v>20</v>
      </c>
      <c r="T1719">
        <f t="shared" si="52"/>
        <v>96</v>
      </c>
      <c r="U1719" t="str">
        <f t="shared" si="53"/>
        <v>Ciudad</v>
      </c>
    </row>
    <row r="1720" spans="1:21" ht="16" x14ac:dyDescent="0.4">
      <c r="A1720" s="6">
        <v>103872</v>
      </c>
      <c r="B1720" s="6" t="s">
        <v>33</v>
      </c>
      <c r="C1720" s="6" t="s">
        <v>17</v>
      </c>
      <c r="D1720" s="6">
        <v>290</v>
      </c>
      <c r="E1720" s="6">
        <v>182</v>
      </c>
      <c r="F1720" s="6">
        <v>277</v>
      </c>
      <c r="G1720" s="6">
        <v>0</v>
      </c>
      <c r="H1720" s="6">
        <v>9887</v>
      </c>
      <c r="I1720" s="6">
        <v>1</v>
      </c>
      <c r="J1720" s="6">
        <v>76</v>
      </c>
      <c r="K1720" s="6">
        <v>228</v>
      </c>
      <c r="L1720" s="6">
        <v>235</v>
      </c>
      <c r="M1720" s="6">
        <v>20</v>
      </c>
      <c r="N1720">
        <f>VLOOKUP(A1720,vlookup_table!$A:$G,2,FALSE)</f>
        <v>2</v>
      </c>
      <c r="O1720" t="str">
        <f>VLOOKUP(A1720,vlookup_table!$A:$G,3,FALSE)</f>
        <v>MO</v>
      </c>
      <c r="P1720">
        <f>VLOOKUP(A1720,vlookup_table!$A:$G,4,FALSE)</f>
        <v>3401</v>
      </c>
      <c r="Q1720" t="str">
        <f>VLOOKUP(A1720,vlookup_table!$A:$G,5,FALSE)</f>
        <v>R3</v>
      </c>
      <c r="R1720" t="str">
        <f>VLOOKUP(A1720,vlookup_table!$A:$G,6,FALSE)</f>
        <v>F</v>
      </c>
      <c r="S1720">
        <f>VLOOKUP(A1720,vlookup_table!$A:$G,7,FALSE)</f>
        <v>20</v>
      </c>
      <c r="T1720">
        <f t="shared" si="52"/>
        <v>62</v>
      </c>
      <c r="U1720" t="str">
        <f t="shared" si="53"/>
        <v>Rural</v>
      </c>
    </row>
    <row r="1721" spans="1:21" ht="16" x14ac:dyDescent="0.4">
      <c r="A1721" s="6">
        <v>10064</v>
      </c>
      <c r="B1721" s="6" t="s">
        <v>30</v>
      </c>
      <c r="C1721" s="6" t="s">
        <v>17</v>
      </c>
      <c r="D1721" s="6">
        <v>694</v>
      </c>
      <c r="E1721" s="6">
        <v>270</v>
      </c>
      <c r="F1721" s="6">
        <v>450</v>
      </c>
      <c r="G1721" s="6">
        <v>1</v>
      </c>
      <c r="H1721" s="6">
        <v>14428</v>
      </c>
      <c r="I1721" s="6">
        <v>0</v>
      </c>
      <c r="J1721" s="6">
        <v>76</v>
      </c>
      <c r="K1721" s="6">
        <v>376</v>
      </c>
      <c r="L1721" s="6">
        <v>339</v>
      </c>
      <c r="M1721" s="6">
        <v>13</v>
      </c>
      <c r="N1721">
        <f>VLOOKUP(A1721,vlookup_table!$A:$G,2,FALSE)</f>
        <v>0</v>
      </c>
      <c r="O1721" t="str">
        <f>VLOOKUP(A1721,vlookup_table!$A:$G,3,FALSE)</f>
        <v>IN</v>
      </c>
      <c r="P1721">
        <f>VLOOKUP(A1721,vlookup_table!$A:$G,4,FALSE)</f>
        <v>0</v>
      </c>
      <c r="Q1721" t="str">
        <f>VLOOKUP(A1721,vlookup_table!$A:$G,5,FALSE)</f>
        <v>T3</v>
      </c>
      <c r="R1721" t="str">
        <f>VLOOKUP(A1721,vlookup_table!$A:$G,6,FALSE)</f>
        <v>F</v>
      </c>
      <c r="S1721">
        <f>VLOOKUP(A1721,vlookup_table!$A:$G,7,FALSE)</f>
        <v>18</v>
      </c>
      <c r="T1721">
        <f t="shared" si="52"/>
        <v>96</v>
      </c>
      <c r="U1721" t="str">
        <f t="shared" si="53"/>
        <v>Pueblo</v>
      </c>
    </row>
    <row r="1722" spans="1:21" ht="16" x14ac:dyDescent="0.4">
      <c r="A1722" s="6">
        <v>84854</v>
      </c>
      <c r="B1722" s="6" t="s">
        <v>52</v>
      </c>
      <c r="C1722" s="6" t="s">
        <v>17</v>
      </c>
      <c r="D1722" s="6">
        <v>797</v>
      </c>
      <c r="E1722" s="6">
        <v>259</v>
      </c>
      <c r="F1722" s="6">
        <v>392</v>
      </c>
      <c r="G1722" s="6">
        <v>0</v>
      </c>
      <c r="H1722" s="6">
        <v>12827</v>
      </c>
      <c r="I1722" s="6">
        <v>4</v>
      </c>
      <c r="J1722" s="6">
        <v>70</v>
      </c>
      <c r="K1722" s="6">
        <v>378</v>
      </c>
      <c r="L1722" s="6">
        <v>318</v>
      </c>
      <c r="M1722" s="6">
        <v>3.1612903229999998</v>
      </c>
      <c r="N1722">
        <f>VLOOKUP(A1722,vlookup_table!$A:$G,2,FALSE)</f>
        <v>0</v>
      </c>
      <c r="O1722" t="str">
        <f>VLOOKUP(A1722,vlookup_table!$A:$G,3,FALSE)</f>
        <v>MN</v>
      </c>
      <c r="P1722">
        <f>VLOOKUP(A1722,vlookup_table!$A:$G,4,FALSE)</f>
        <v>3701</v>
      </c>
      <c r="Q1722" t="str">
        <f>VLOOKUP(A1722,vlookup_table!$A:$G,5,FALSE)</f>
        <v>C2</v>
      </c>
      <c r="R1722" t="str">
        <f>VLOOKUP(A1722,vlookup_table!$A:$G,6,FALSE)</f>
        <v>F</v>
      </c>
      <c r="S1722">
        <f>VLOOKUP(A1722,vlookup_table!$A:$G,7,FALSE)</f>
        <v>3</v>
      </c>
      <c r="T1722">
        <f t="shared" si="52"/>
        <v>59</v>
      </c>
      <c r="U1722" t="str">
        <f t="shared" si="53"/>
        <v>Ciudad</v>
      </c>
    </row>
    <row r="1723" spans="1:21" ht="16" x14ac:dyDescent="0.4">
      <c r="A1723" s="6">
        <v>106430</v>
      </c>
      <c r="B1723" s="6" t="s">
        <v>25</v>
      </c>
      <c r="C1723" s="6" t="s">
        <v>17</v>
      </c>
      <c r="D1723" s="6">
        <v>589</v>
      </c>
      <c r="E1723" s="6">
        <v>282</v>
      </c>
      <c r="F1723" s="6">
        <v>366</v>
      </c>
      <c r="G1723" s="6">
        <v>0</v>
      </c>
      <c r="H1723" s="6">
        <v>16020</v>
      </c>
      <c r="I1723" s="6">
        <v>0</v>
      </c>
      <c r="J1723" s="6">
        <v>74</v>
      </c>
      <c r="K1723" s="6">
        <v>286</v>
      </c>
      <c r="L1723" s="6">
        <v>337</v>
      </c>
      <c r="M1723" s="6">
        <v>10</v>
      </c>
      <c r="N1723">
        <f>VLOOKUP(A1723,vlookup_table!$A:$G,2,FALSE)</f>
        <v>3</v>
      </c>
      <c r="O1723" t="str">
        <f>VLOOKUP(A1723,vlookup_table!$A:$G,3,FALSE)</f>
        <v>KS</v>
      </c>
      <c r="P1723">
        <f>VLOOKUP(A1723,vlookup_table!$A:$G,4,FALSE)</f>
        <v>5104</v>
      </c>
      <c r="Q1723" t="str">
        <f>VLOOKUP(A1723,vlookup_table!$A:$G,5,FALSE)</f>
        <v>T2</v>
      </c>
      <c r="R1723" t="str">
        <f>VLOOKUP(A1723,vlookup_table!$A:$G,6,FALSE)</f>
        <v>F</v>
      </c>
      <c r="S1723">
        <f>VLOOKUP(A1723,vlookup_table!$A:$G,7,FALSE)</f>
        <v>14</v>
      </c>
      <c r="T1723">
        <f t="shared" si="52"/>
        <v>45</v>
      </c>
      <c r="U1723" t="str">
        <f t="shared" si="53"/>
        <v>Pueblo</v>
      </c>
    </row>
    <row r="1724" spans="1:21" ht="16" x14ac:dyDescent="0.4">
      <c r="A1724" s="6">
        <v>18438</v>
      </c>
      <c r="B1724" s="6" t="s">
        <v>18</v>
      </c>
      <c r="C1724" s="6" t="s">
        <v>14</v>
      </c>
      <c r="D1724" s="6">
        <v>1205</v>
      </c>
      <c r="E1724" s="6">
        <v>246</v>
      </c>
      <c r="F1724" s="6">
        <v>473</v>
      </c>
      <c r="G1724" s="6">
        <v>21</v>
      </c>
      <c r="H1724" s="6">
        <v>19319</v>
      </c>
      <c r="I1724" s="6">
        <v>0</v>
      </c>
      <c r="J1724" s="6">
        <v>25</v>
      </c>
      <c r="K1724" s="6">
        <v>459</v>
      </c>
      <c r="L1724" s="6">
        <v>345</v>
      </c>
      <c r="M1724" s="6">
        <v>4.1764705879999999</v>
      </c>
      <c r="N1724">
        <f>VLOOKUP(A1724,vlookup_table!$A:$G,2,FALSE)</f>
        <v>1</v>
      </c>
      <c r="O1724" t="str">
        <f>VLOOKUP(A1724,vlookup_table!$A:$G,3,FALSE)</f>
        <v>NC</v>
      </c>
      <c r="P1724">
        <f>VLOOKUP(A1724,vlookup_table!$A:$G,4,FALSE)</f>
        <v>2806</v>
      </c>
      <c r="Q1724" t="str">
        <f>VLOOKUP(A1724,vlookup_table!$A:$G,5,FALSE)</f>
        <v>R2</v>
      </c>
      <c r="R1724" t="str">
        <f>VLOOKUP(A1724,vlookup_table!$A:$G,6,FALSE)</f>
        <v>M</v>
      </c>
      <c r="S1724">
        <f>VLOOKUP(A1724,vlookup_table!$A:$G,7,FALSE)</f>
        <v>5</v>
      </c>
      <c r="T1724">
        <f t="shared" si="52"/>
        <v>68</v>
      </c>
      <c r="U1724" t="str">
        <f t="shared" si="53"/>
        <v>Rural</v>
      </c>
    </row>
    <row r="1725" spans="1:21" ht="16" x14ac:dyDescent="0.4">
      <c r="A1725" s="6">
        <v>49519</v>
      </c>
      <c r="B1725" s="6" t="s">
        <v>40</v>
      </c>
      <c r="C1725" s="6" t="s">
        <v>14</v>
      </c>
      <c r="D1725" s="6">
        <v>464</v>
      </c>
      <c r="E1725" s="6">
        <v>270</v>
      </c>
      <c r="F1725" s="6">
        <v>307</v>
      </c>
      <c r="G1725" s="6">
        <v>0</v>
      </c>
      <c r="H1725" s="6">
        <v>9942</v>
      </c>
      <c r="I1725" s="6">
        <v>1</v>
      </c>
      <c r="J1725" s="6">
        <v>77</v>
      </c>
      <c r="K1725" s="6">
        <v>288</v>
      </c>
      <c r="L1725" s="6">
        <v>289</v>
      </c>
      <c r="M1725" s="6">
        <v>6.5</v>
      </c>
      <c r="N1725">
        <f>VLOOKUP(A1725,vlookup_table!$A:$G,2,FALSE)</f>
        <v>2</v>
      </c>
      <c r="O1725" t="str">
        <f>VLOOKUP(A1725,vlookup_table!$A:$G,3,FALSE)</f>
        <v>AL</v>
      </c>
      <c r="P1725">
        <f>VLOOKUP(A1725,vlookup_table!$A:$G,4,FALSE)</f>
        <v>4007</v>
      </c>
      <c r="Q1725" t="str">
        <f>VLOOKUP(A1725,vlookup_table!$A:$G,5,FALSE)</f>
        <v>S3</v>
      </c>
      <c r="R1725" t="str">
        <f>VLOOKUP(A1725,vlookup_table!$A:$G,6,FALSE)</f>
        <v>M</v>
      </c>
      <c r="S1725">
        <f>VLOOKUP(A1725,vlookup_table!$A:$G,7,FALSE)</f>
        <v>5</v>
      </c>
      <c r="T1725">
        <f t="shared" si="52"/>
        <v>56</v>
      </c>
      <c r="U1725" t="str">
        <f t="shared" si="53"/>
        <v>Suburbano</v>
      </c>
    </row>
    <row r="1726" spans="1:21" ht="16" x14ac:dyDescent="0.4">
      <c r="A1726" s="6">
        <v>63971</v>
      </c>
      <c r="B1726" s="6" t="s">
        <v>30</v>
      </c>
      <c r="C1726" s="6" t="s">
        <v>14</v>
      </c>
      <c r="D1726" s="6">
        <v>444</v>
      </c>
      <c r="E1726" s="6">
        <v>265</v>
      </c>
      <c r="F1726" s="6">
        <v>353</v>
      </c>
      <c r="G1726" s="6">
        <v>0</v>
      </c>
      <c r="H1726" s="6">
        <v>11781</v>
      </c>
      <c r="I1726" s="6">
        <v>0</v>
      </c>
      <c r="J1726" s="6">
        <v>56</v>
      </c>
      <c r="K1726" s="6">
        <v>324</v>
      </c>
      <c r="L1726" s="6">
        <v>304</v>
      </c>
      <c r="M1726" s="6">
        <v>4.5</v>
      </c>
      <c r="N1726">
        <f>VLOOKUP(A1726,vlookup_table!$A:$G,2,FALSE)</f>
        <v>1002</v>
      </c>
      <c r="O1726" t="str">
        <f>VLOOKUP(A1726,vlookup_table!$A:$G,3,FALSE)</f>
        <v>IN</v>
      </c>
      <c r="P1726">
        <f>VLOOKUP(A1726,vlookup_table!$A:$G,4,FALSE)</f>
        <v>4201</v>
      </c>
      <c r="Q1726" t="str">
        <f>VLOOKUP(A1726,vlookup_table!$A:$G,5,FALSE)</f>
        <v>R2</v>
      </c>
      <c r="R1726" t="str">
        <f>VLOOKUP(A1726,vlookup_table!$A:$G,6,FALSE)</f>
        <v>M</v>
      </c>
      <c r="S1726">
        <f>VLOOKUP(A1726,vlookup_table!$A:$G,7,FALSE)</f>
        <v>4</v>
      </c>
      <c r="T1726">
        <f t="shared" si="52"/>
        <v>54</v>
      </c>
      <c r="U1726" t="str">
        <f t="shared" si="53"/>
        <v>Rural</v>
      </c>
    </row>
    <row r="1727" spans="1:21" ht="16" x14ac:dyDescent="0.4">
      <c r="A1727" s="6">
        <v>34079</v>
      </c>
      <c r="B1727" s="6" t="s">
        <v>13</v>
      </c>
      <c r="C1727" s="6" t="s">
        <v>17</v>
      </c>
      <c r="D1727" s="6">
        <v>801</v>
      </c>
      <c r="E1727" s="6">
        <v>324</v>
      </c>
      <c r="F1727" s="6">
        <v>478</v>
      </c>
      <c r="G1727" s="6">
        <v>11</v>
      </c>
      <c r="H1727" s="6">
        <v>19724</v>
      </c>
      <c r="I1727" s="6">
        <v>6</v>
      </c>
      <c r="J1727" s="6">
        <v>20</v>
      </c>
      <c r="K1727" s="6">
        <v>382</v>
      </c>
      <c r="L1727" s="6">
        <v>419</v>
      </c>
      <c r="M1727" s="6">
        <v>4.9000000000000004</v>
      </c>
      <c r="N1727">
        <f>VLOOKUP(A1727,vlookup_table!$A:$G,2,FALSE)</f>
        <v>0</v>
      </c>
      <c r="O1727" t="str">
        <f>VLOOKUP(A1727,vlookup_table!$A:$G,3,FALSE)</f>
        <v>FL</v>
      </c>
      <c r="P1727">
        <f>VLOOKUP(A1727,vlookup_table!$A:$G,4,FALSE)</f>
        <v>2201</v>
      </c>
      <c r="Q1727" t="str">
        <f>VLOOKUP(A1727,vlookup_table!$A:$G,5,FALSE)</f>
        <v>C2</v>
      </c>
      <c r="R1727" t="str">
        <f>VLOOKUP(A1727,vlookup_table!$A:$G,6,FALSE)</f>
        <v>F</v>
      </c>
      <c r="S1727">
        <f>VLOOKUP(A1727,vlookup_table!$A:$G,7,FALSE)</f>
        <v>5</v>
      </c>
      <c r="T1727">
        <f t="shared" si="52"/>
        <v>74</v>
      </c>
      <c r="U1727" t="str">
        <f t="shared" si="53"/>
        <v>Ciudad</v>
      </c>
    </row>
    <row r="1728" spans="1:21" ht="16" x14ac:dyDescent="0.4">
      <c r="A1728" s="6">
        <v>120509</v>
      </c>
      <c r="B1728" s="6" t="s">
        <v>20</v>
      </c>
      <c r="C1728" s="6" t="s">
        <v>17</v>
      </c>
      <c r="D1728" s="6">
        <v>337</v>
      </c>
      <c r="E1728" s="6">
        <v>204</v>
      </c>
      <c r="F1728" s="6">
        <v>298</v>
      </c>
      <c r="G1728" s="6">
        <v>1</v>
      </c>
      <c r="H1728" s="6">
        <v>12342</v>
      </c>
      <c r="I1728" s="6">
        <v>1</v>
      </c>
      <c r="J1728" s="6">
        <v>87</v>
      </c>
      <c r="K1728" s="6">
        <v>261</v>
      </c>
      <c r="L1728" s="6">
        <v>263</v>
      </c>
      <c r="M1728" s="6">
        <v>8.2941176470000002</v>
      </c>
      <c r="N1728">
        <f>VLOOKUP(A1728,vlookup_table!$A:$G,2,FALSE)</f>
        <v>2</v>
      </c>
      <c r="O1728" t="str">
        <f>VLOOKUP(A1728,vlookup_table!$A:$G,3,FALSE)</f>
        <v>TX</v>
      </c>
      <c r="P1728">
        <f>VLOOKUP(A1728,vlookup_table!$A:$G,4,FALSE)</f>
        <v>1502</v>
      </c>
      <c r="Q1728" t="str">
        <f>VLOOKUP(A1728,vlookup_table!$A:$G,5,FALSE)</f>
        <v>R3</v>
      </c>
      <c r="R1728" t="str">
        <f>VLOOKUP(A1728,vlookup_table!$A:$G,6,FALSE)</f>
        <v>F</v>
      </c>
      <c r="S1728">
        <f>VLOOKUP(A1728,vlookup_table!$A:$G,7,FALSE)</f>
        <v>10</v>
      </c>
      <c r="T1728">
        <f t="shared" si="52"/>
        <v>81</v>
      </c>
      <c r="U1728" t="str">
        <f t="shared" si="53"/>
        <v>Rural</v>
      </c>
    </row>
    <row r="1729" spans="1:21" ht="16" x14ac:dyDescent="0.4">
      <c r="A1729" s="6">
        <v>66244</v>
      </c>
      <c r="B1729" s="6" t="s">
        <v>26</v>
      </c>
      <c r="C1729" s="6" t="s">
        <v>14</v>
      </c>
      <c r="D1729" s="6">
        <v>434</v>
      </c>
      <c r="E1729" s="6">
        <v>237</v>
      </c>
      <c r="F1729" s="6">
        <v>372</v>
      </c>
      <c r="G1729" s="6">
        <v>0</v>
      </c>
      <c r="H1729" s="6">
        <v>11550</v>
      </c>
      <c r="I1729" s="6">
        <v>4</v>
      </c>
      <c r="J1729" s="6">
        <v>78</v>
      </c>
      <c r="K1729" s="6">
        <v>337</v>
      </c>
      <c r="L1729" s="6">
        <v>305</v>
      </c>
      <c r="M1729" s="6">
        <v>11.66666667</v>
      </c>
      <c r="N1729">
        <f>VLOOKUP(A1729,vlookup_table!$A:$G,2,FALSE)</f>
        <v>1002</v>
      </c>
      <c r="O1729" t="str">
        <f>VLOOKUP(A1729,vlookup_table!$A:$G,3,FALSE)</f>
        <v>MI</v>
      </c>
      <c r="P1729">
        <f>VLOOKUP(A1729,vlookup_table!$A:$G,4,FALSE)</f>
        <v>0</v>
      </c>
      <c r="Q1729" t="str">
        <f>VLOOKUP(A1729,vlookup_table!$A:$G,5,FALSE)</f>
        <v>S3</v>
      </c>
      <c r="R1729" t="str">
        <f>VLOOKUP(A1729,vlookup_table!$A:$G,6,FALSE)</f>
        <v>M</v>
      </c>
      <c r="S1729">
        <f>VLOOKUP(A1729,vlookup_table!$A:$G,7,FALSE)</f>
        <v>10</v>
      </c>
      <c r="T1729">
        <f t="shared" si="52"/>
        <v>96</v>
      </c>
      <c r="U1729" t="str">
        <f t="shared" si="53"/>
        <v>Suburbano</v>
      </c>
    </row>
    <row r="1730" spans="1:21" ht="16" x14ac:dyDescent="0.4">
      <c r="A1730" s="6">
        <v>44715</v>
      </c>
      <c r="B1730" s="6" t="s">
        <v>13</v>
      </c>
      <c r="C1730" s="6" t="s">
        <v>17</v>
      </c>
      <c r="D1730" s="6">
        <v>646</v>
      </c>
      <c r="E1730" s="6">
        <v>241</v>
      </c>
      <c r="F1730" s="6">
        <v>299</v>
      </c>
      <c r="G1730" s="6">
        <v>1</v>
      </c>
      <c r="H1730" s="6">
        <v>12694</v>
      </c>
      <c r="I1730" s="6">
        <v>8</v>
      </c>
      <c r="J1730" s="6">
        <v>9</v>
      </c>
      <c r="K1730" s="6">
        <v>257</v>
      </c>
      <c r="L1730" s="6">
        <v>278</v>
      </c>
      <c r="M1730" s="6">
        <v>7.1875</v>
      </c>
      <c r="N1730">
        <f>VLOOKUP(A1730,vlookup_table!$A:$G,2,FALSE)</f>
        <v>28</v>
      </c>
      <c r="O1730" t="str">
        <f>VLOOKUP(A1730,vlookup_table!$A:$G,3,FALSE)</f>
        <v>FL</v>
      </c>
      <c r="P1730">
        <f>VLOOKUP(A1730,vlookup_table!$A:$G,4,FALSE)</f>
        <v>2601</v>
      </c>
      <c r="Q1730" t="str">
        <f>VLOOKUP(A1730,vlookup_table!$A:$G,5,FALSE)</f>
        <v>C2</v>
      </c>
      <c r="R1730" t="str">
        <f>VLOOKUP(A1730,vlookup_table!$A:$G,6,FALSE)</f>
        <v>F</v>
      </c>
      <c r="S1730">
        <f>VLOOKUP(A1730,vlookup_table!$A:$G,7,FALSE)</f>
        <v>12</v>
      </c>
      <c r="T1730">
        <f t="shared" si="52"/>
        <v>70</v>
      </c>
      <c r="U1730" t="str">
        <f t="shared" si="53"/>
        <v>Ciudad</v>
      </c>
    </row>
    <row r="1731" spans="1:21" ht="16" x14ac:dyDescent="0.4">
      <c r="A1731" s="6">
        <v>104891</v>
      </c>
      <c r="B1731" s="6" t="s">
        <v>25</v>
      </c>
      <c r="C1731" s="6" t="s">
        <v>14</v>
      </c>
      <c r="D1731" s="6">
        <v>740</v>
      </c>
      <c r="E1731" s="6">
        <v>295</v>
      </c>
      <c r="F1731" s="6">
        <v>420</v>
      </c>
      <c r="G1731" s="6">
        <v>0</v>
      </c>
      <c r="H1731" s="6">
        <v>15354</v>
      </c>
      <c r="I1731" s="6">
        <v>2</v>
      </c>
      <c r="J1731" s="6">
        <v>37</v>
      </c>
      <c r="K1731" s="6">
        <v>376</v>
      </c>
      <c r="L1731" s="6">
        <v>329</v>
      </c>
      <c r="M1731" s="6">
        <v>12.6</v>
      </c>
      <c r="N1731">
        <f>VLOOKUP(A1731,vlookup_table!$A:$G,2,FALSE)</f>
        <v>0</v>
      </c>
      <c r="O1731" t="str">
        <f>VLOOKUP(A1731,vlookup_table!$A:$G,3,FALSE)</f>
        <v>KS</v>
      </c>
      <c r="P1731">
        <f>VLOOKUP(A1731,vlookup_table!$A:$G,4,FALSE)</f>
        <v>1706</v>
      </c>
      <c r="Q1731" t="str">
        <f>VLOOKUP(A1731,vlookup_table!$A:$G,5,FALSE)</f>
        <v>S2</v>
      </c>
      <c r="R1731" t="str">
        <f>VLOOKUP(A1731,vlookup_table!$A:$G,6,FALSE)</f>
        <v>M</v>
      </c>
      <c r="S1731">
        <f>VLOOKUP(A1731,vlookup_table!$A:$G,7,FALSE)</f>
        <v>23</v>
      </c>
      <c r="T1731">
        <f t="shared" ref="T1731:T1794" si="54">97-LEFT(P1731,2)-IF(RIGHT(P1731,2)&gt;6,1,0)</f>
        <v>79</v>
      </c>
      <c r="U1731" t="str">
        <f t="shared" ref="U1731:U1794" si="55">IF(LEFT(Q1731,1)="C","Ciudad",IF(LEFT(Q1731,1)="T","Pueblo",IF(LEFT(Q1731,1)="R","Rural",IF(LEFT(Q1731,1)="S","Suburbano",IF(LEFT(Q1731,1)="U","Urbano","")))))</f>
        <v>Suburbano</v>
      </c>
    </row>
    <row r="1732" spans="1:21" ht="16" x14ac:dyDescent="0.4">
      <c r="A1732" s="6">
        <v>30988</v>
      </c>
      <c r="B1732" s="6" t="s">
        <v>36</v>
      </c>
      <c r="C1732" s="6" t="s">
        <v>17</v>
      </c>
      <c r="D1732" s="6">
        <v>717</v>
      </c>
      <c r="E1732" s="6">
        <v>316</v>
      </c>
      <c r="F1732" s="6">
        <v>366</v>
      </c>
      <c r="G1732" s="6">
        <v>4</v>
      </c>
      <c r="H1732" s="6">
        <v>12673</v>
      </c>
      <c r="I1732" s="6">
        <v>4</v>
      </c>
      <c r="J1732" s="6">
        <v>22</v>
      </c>
      <c r="K1732" s="6">
        <v>339</v>
      </c>
      <c r="L1732" s="6">
        <v>349</v>
      </c>
      <c r="M1732" s="6">
        <v>10</v>
      </c>
      <c r="N1732">
        <f>VLOOKUP(A1732,vlookup_table!$A:$G,2,FALSE)</f>
        <v>0</v>
      </c>
      <c r="O1732" t="str">
        <f>VLOOKUP(A1732,vlookup_table!$A:$G,3,FALSE)</f>
        <v>GA</v>
      </c>
      <c r="P1732">
        <f>VLOOKUP(A1732,vlookup_table!$A:$G,4,FALSE)</f>
        <v>5401</v>
      </c>
      <c r="Q1732" t="str">
        <f>VLOOKUP(A1732,vlookup_table!$A:$G,5,FALSE)</f>
        <v>R2</v>
      </c>
      <c r="R1732" t="str">
        <f>VLOOKUP(A1732,vlookup_table!$A:$G,6,FALSE)</f>
        <v>F</v>
      </c>
      <c r="S1732">
        <f>VLOOKUP(A1732,vlookup_table!$A:$G,7,FALSE)</f>
        <v>10</v>
      </c>
      <c r="T1732">
        <f t="shared" si="54"/>
        <v>42</v>
      </c>
      <c r="U1732" t="str">
        <f t="shared" si="55"/>
        <v>Rural</v>
      </c>
    </row>
    <row r="1733" spans="1:21" ht="16" x14ac:dyDescent="0.4">
      <c r="A1733" s="6">
        <v>158389</v>
      </c>
      <c r="B1733" s="6" t="s">
        <v>21</v>
      </c>
      <c r="C1733" s="6" t="s">
        <v>14</v>
      </c>
      <c r="D1733" s="6">
        <v>2971</v>
      </c>
      <c r="E1733" s="6">
        <v>302</v>
      </c>
      <c r="F1733" s="6">
        <v>322</v>
      </c>
      <c r="G1733" s="6">
        <v>98</v>
      </c>
      <c r="H1733" s="6">
        <v>6309</v>
      </c>
      <c r="I1733" s="6">
        <v>65</v>
      </c>
      <c r="J1733" s="6">
        <v>27</v>
      </c>
      <c r="K1733" s="6">
        <v>288</v>
      </c>
      <c r="L1733" s="6">
        <v>340</v>
      </c>
      <c r="M1733" s="6">
        <v>7</v>
      </c>
      <c r="N1733">
        <f>VLOOKUP(A1733,vlookup_table!$A:$G,2,FALSE)</f>
        <v>1</v>
      </c>
      <c r="O1733" t="str">
        <f>VLOOKUP(A1733,vlookup_table!$A:$G,3,FALSE)</f>
        <v>CA</v>
      </c>
      <c r="P1733">
        <f>VLOOKUP(A1733,vlookup_table!$A:$G,4,FALSE)</f>
        <v>1101</v>
      </c>
      <c r="Q1733" t="str">
        <f>VLOOKUP(A1733,vlookup_table!$A:$G,5,FALSE)</f>
        <v>S3</v>
      </c>
      <c r="R1733" t="str">
        <f>VLOOKUP(A1733,vlookup_table!$A:$G,6,FALSE)</f>
        <v>M</v>
      </c>
      <c r="S1733">
        <f>VLOOKUP(A1733,vlookup_table!$A:$G,7,FALSE)</f>
        <v>12</v>
      </c>
      <c r="T1733">
        <f t="shared" si="54"/>
        <v>85</v>
      </c>
      <c r="U1733" t="str">
        <f t="shared" si="55"/>
        <v>Suburbano</v>
      </c>
    </row>
    <row r="1734" spans="1:21" ht="16" x14ac:dyDescent="0.4">
      <c r="A1734" s="6">
        <v>97020</v>
      </c>
      <c r="B1734" s="6" t="s">
        <v>16</v>
      </c>
      <c r="C1734" s="6" t="s">
        <v>17</v>
      </c>
      <c r="D1734" s="6">
        <v>636</v>
      </c>
      <c r="E1734" s="6">
        <v>316</v>
      </c>
      <c r="F1734" s="6">
        <v>393</v>
      </c>
      <c r="G1734" s="6">
        <v>0</v>
      </c>
      <c r="H1734" s="6">
        <v>15018</v>
      </c>
      <c r="I1734" s="6">
        <v>3</v>
      </c>
      <c r="J1734" s="6">
        <v>60</v>
      </c>
      <c r="K1734" s="6">
        <v>395</v>
      </c>
      <c r="L1734" s="6">
        <v>325</v>
      </c>
      <c r="M1734" s="6">
        <v>14.25</v>
      </c>
      <c r="N1734">
        <f>VLOOKUP(A1734,vlookup_table!$A:$G,2,FALSE)</f>
        <v>0</v>
      </c>
      <c r="O1734" t="str">
        <f>VLOOKUP(A1734,vlookup_table!$A:$G,3,FALSE)</f>
        <v>IL</v>
      </c>
      <c r="P1734">
        <f>VLOOKUP(A1734,vlookup_table!$A:$G,4,FALSE)</f>
        <v>3901</v>
      </c>
      <c r="Q1734" t="str">
        <f>VLOOKUP(A1734,vlookup_table!$A:$G,5,FALSE)</f>
        <v>C1</v>
      </c>
      <c r="R1734" t="str">
        <f>VLOOKUP(A1734,vlookup_table!$A:$G,6,FALSE)</f>
        <v>F</v>
      </c>
      <c r="S1734">
        <f>VLOOKUP(A1734,vlookup_table!$A:$G,7,FALSE)</f>
        <v>17</v>
      </c>
      <c r="T1734">
        <f t="shared" si="54"/>
        <v>57</v>
      </c>
      <c r="U1734" t="str">
        <f t="shared" si="55"/>
        <v>Ciudad</v>
      </c>
    </row>
    <row r="1735" spans="1:21" ht="16" x14ac:dyDescent="0.4">
      <c r="A1735" s="6">
        <v>92801</v>
      </c>
      <c r="B1735" s="6" t="s">
        <v>16</v>
      </c>
      <c r="C1735" s="6" t="s">
        <v>14</v>
      </c>
      <c r="D1735" s="6">
        <v>2906</v>
      </c>
      <c r="E1735" s="6">
        <v>688</v>
      </c>
      <c r="F1735" s="6">
        <v>707</v>
      </c>
      <c r="G1735" s="6">
        <v>99</v>
      </c>
      <c r="H1735" s="6">
        <v>26708</v>
      </c>
      <c r="I1735" s="6">
        <v>0</v>
      </c>
      <c r="J1735" s="6">
        <v>37</v>
      </c>
      <c r="K1735" s="6">
        <v>653</v>
      </c>
      <c r="L1735" s="6">
        <v>740</v>
      </c>
      <c r="M1735" s="6">
        <v>10.6</v>
      </c>
      <c r="N1735">
        <f>VLOOKUP(A1735,vlookup_table!$A:$G,2,FALSE)</f>
        <v>1</v>
      </c>
      <c r="O1735" t="str">
        <f>VLOOKUP(A1735,vlookup_table!$A:$G,3,FALSE)</f>
        <v>IL</v>
      </c>
      <c r="P1735">
        <f>VLOOKUP(A1735,vlookup_table!$A:$G,4,FALSE)</f>
        <v>3503</v>
      </c>
      <c r="Q1735" t="str">
        <f>VLOOKUP(A1735,vlookup_table!$A:$G,5,FALSE)</f>
        <v>U1</v>
      </c>
      <c r="R1735" t="str">
        <f>VLOOKUP(A1735,vlookup_table!$A:$G,6,FALSE)</f>
        <v>M</v>
      </c>
      <c r="S1735">
        <f>VLOOKUP(A1735,vlookup_table!$A:$G,7,FALSE)</f>
        <v>15</v>
      </c>
      <c r="T1735">
        <f t="shared" si="54"/>
        <v>61</v>
      </c>
      <c r="U1735" t="str">
        <f t="shared" si="55"/>
        <v>Urbano</v>
      </c>
    </row>
    <row r="1736" spans="1:21" ht="16" x14ac:dyDescent="0.4">
      <c r="A1736" s="6">
        <v>28960</v>
      </c>
      <c r="B1736" s="6" t="s">
        <v>36</v>
      </c>
      <c r="C1736" s="6" t="s">
        <v>17</v>
      </c>
      <c r="D1736" s="6">
        <v>717</v>
      </c>
      <c r="E1736" s="6">
        <v>327</v>
      </c>
      <c r="F1736" s="6">
        <v>364</v>
      </c>
      <c r="G1736" s="6">
        <v>2</v>
      </c>
      <c r="H1736" s="6">
        <v>12615</v>
      </c>
      <c r="I1736" s="6">
        <v>1</v>
      </c>
      <c r="J1736" s="6">
        <v>62</v>
      </c>
      <c r="K1736" s="6">
        <v>352</v>
      </c>
      <c r="L1736" s="6">
        <v>347</v>
      </c>
      <c r="M1736" s="6">
        <v>10</v>
      </c>
      <c r="N1736">
        <f>VLOOKUP(A1736,vlookup_table!$A:$G,2,FALSE)</f>
        <v>0</v>
      </c>
      <c r="O1736" t="str">
        <f>VLOOKUP(A1736,vlookup_table!$A:$G,3,FALSE)</f>
        <v>GA</v>
      </c>
      <c r="P1736">
        <f>VLOOKUP(A1736,vlookup_table!$A:$G,4,FALSE)</f>
        <v>0</v>
      </c>
      <c r="Q1736" t="str">
        <f>VLOOKUP(A1736,vlookup_table!$A:$G,5,FALSE)</f>
        <v>T2</v>
      </c>
      <c r="R1736" t="str">
        <f>VLOOKUP(A1736,vlookup_table!$A:$G,6,FALSE)</f>
        <v>F</v>
      </c>
      <c r="S1736">
        <f>VLOOKUP(A1736,vlookup_table!$A:$G,7,FALSE)</f>
        <v>10</v>
      </c>
      <c r="T1736">
        <f t="shared" si="54"/>
        <v>96</v>
      </c>
      <c r="U1736" t="str">
        <f t="shared" si="55"/>
        <v>Pueblo</v>
      </c>
    </row>
    <row r="1737" spans="1:21" ht="16" x14ac:dyDescent="0.4">
      <c r="A1737" s="6">
        <v>121969</v>
      </c>
      <c r="B1737" s="6" t="s">
        <v>20</v>
      </c>
      <c r="C1737" s="6" t="s">
        <v>17</v>
      </c>
      <c r="D1737" s="6">
        <v>715</v>
      </c>
      <c r="E1737" s="6">
        <v>295</v>
      </c>
      <c r="F1737" s="6">
        <v>355</v>
      </c>
      <c r="G1737" s="6">
        <v>5</v>
      </c>
      <c r="H1737" s="6">
        <v>9884</v>
      </c>
      <c r="I1737" s="6">
        <v>28</v>
      </c>
      <c r="J1737" s="6">
        <v>41</v>
      </c>
      <c r="K1737" s="6">
        <v>301</v>
      </c>
      <c r="L1737" s="6">
        <v>333</v>
      </c>
      <c r="M1737" s="6">
        <v>7.1111111109999996</v>
      </c>
      <c r="N1737">
        <f>VLOOKUP(A1737,vlookup_table!$A:$G,2,FALSE)</f>
        <v>0</v>
      </c>
      <c r="O1737" t="str">
        <f>VLOOKUP(A1737,vlookup_table!$A:$G,3,FALSE)</f>
        <v>TX</v>
      </c>
      <c r="P1737">
        <f>VLOOKUP(A1737,vlookup_table!$A:$G,4,FALSE)</f>
        <v>5005</v>
      </c>
      <c r="Q1737" t="str">
        <f>VLOOKUP(A1737,vlookup_table!$A:$G,5,FALSE)</f>
        <v>S2</v>
      </c>
      <c r="R1737" t="str">
        <f>VLOOKUP(A1737,vlookup_table!$A:$G,6,FALSE)</f>
        <v>F</v>
      </c>
      <c r="S1737">
        <f>VLOOKUP(A1737,vlookup_table!$A:$G,7,FALSE)</f>
        <v>8</v>
      </c>
      <c r="T1737">
        <f t="shared" si="54"/>
        <v>46</v>
      </c>
      <c r="U1737" t="str">
        <f t="shared" si="55"/>
        <v>Suburbano</v>
      </c>
    </row>
    <row r="1738" spans="1:21" ht="16" x14ac:dyDescent="0.4">
      <c r="A1738" s="6">
        <v>52330</v>
      </c>
      <c r="B1738" s="6" t="s">
        <v>49</v>
      </c>
      <c r="C1738" s="6" t="s">
        <v>27</v>
      </c>
      <c r="D1738" s="6">
        <v>565</v>
      </c>
      <c r="E1738" s="6">
        <v>294</v>
      </c>
      <c r="F1738" s="6">
        <v>344</v>
      </c>
      <c r="G1738" s="6">
        <v>0</v>
      </c>
      <c r="H1738" s="6">
        <v>11329</v>
      </c>
      <c r="I1738" s="6">
        <v>2</v>
      </c>
      <c r="J1738" s="6">
        <v>83</v>
      </c>
      <c r="K1738" s="6">
        <v>367</v>
      </c>
      <c r="L1738" s="6">
        <v>314</v>
      </c>
      <c r="M1738" s="6">
        <v>4.4545454549999999</v>
      </c>
      <c r="N1738">
        <f>VLOOKUP(A1738,vlookup_table!$A:$G,2,FALSE)</f>
        <v>0</v>
      </c>
      <c r="O1738" t="str">
        <f>VLOOKUP(A1738,vlookup_table!$A:$G,3,FALSE)</f>
        <v>TN</v>
      </c>
      <c r="P1738">
        <f>VLOOKUP(A1738,vlookup_table!$A:$G,4,FALSE)</f>
        <v>2801</v>
      </c>
      <c r="Q1738" t="str">
        <f>VLOOKUP(A1738,vlookup_table!$A:$G,5,FALSE)</f>
        <v>T2</v>
      </c>
      <c r="R1738" t="str">
        <f>VLOOKUP(A1738,vlookup_table!$A:$G,6,FALSE)</f>
        <v>U</v>
      </c>
      <c r="S1738">
        <f>VLOOKUP(A1738,vlookup_table!$A:$G,7,FALSE)</f>
        <v>3</v>
      </c>
      <c r="T1738">
        <f t="shared" si="54"/>
        <v>68</v>
      </c>
      <c r="U1738" t="str">
        <f t="shared" si="55"/>
        <v>Pueblo</v>
      </c>
    </row>
    <row r="1739" spans="1:21" ht="16" x14ac:dyDescent="0.4">
      <c r="A1739" s="6">
        <v>105709</v>
      </c>
      <c r="B1739" s="6" t="s">
        <v>25</v>
      </c>
      <c r="C1739" s="6" t="s">
        <v>14</v>
      </c>
      <c r="D1739" s="6">
        <v>386</v>
      </c>
      <c r="E1739" s="6">
        <v>293</v>
      </c>
      <c r="F1739" s="6">
        <v>356</v>
      </c>
      <c r="G1739" s="6">
        <v>0</v>
      </c>
      <c r="H1739" s="6">
        <v>11937</v>
      </c>
      <c r="I1739" s="6">
        <v>0</v>
      </c>
      <c r="J1739" s="6">
        <v>67</v>
      </c>
      <c r="K1739" s="6">
        <v>354</v>
      </c>
      <c r="L1739" s="6">
        <v>302</v>
      </c>
      <c r="M1739" s="6">
        <v>4.2173913040000004</v>
      </c>
      <c r="N1739">
        <f>VLOOKUP(A1739,vlookup_table!$A:$G,2,FALSE)</f>
        <v>1</v>
      </c>
      <c r="O1739" t="str">
        <f>VLOOKUP(A1739,vlookup_table!$A:$G,3,FALSE)</f>
        <v>KS</v>
      </c>
      <c r="P1739">
        <f>VLOOKUP(A1739,vlookup_table!$A:$G,4,FALSE)</f>
        <v>3501</v>
      </c>
      <c r="Q1739" t="str">
        <f>VLOOKUP(A1739,vlookup_table!$A:$G,5,FALSE)</f>
        <v>T2</v>
      </c>
      <c r="R1739" t="str">
        <f>VLOOKUP(A1739,vlookup_table!$A:$G,6,FALSE)</f>
        <v>M</v>
      </c>
      <c r="S1739">
        <f>VLOOKUP(A1739,vlookup_table!$A:$G,7,FALSE)</f>
        <v>5</v>
      </c>
      <c r="T1739">
        <f t="shared" si="54"/>
        <v>61</v>
      </c>
      <c r="U1739" t="str">
        <f t="shared" si="55"/>
        <v>Pueblo</v>
      </c>
    </row>
    <row r="1740" spans="1:21" ht="16" x14ac:dyDescent="0.4">
      <c r="A1740" s="6">
        <v>177329</v>
      </c>
      <c r="B1740" s="6" t="s">
        <v>47</v>
      </c>
      <c r="C1740" s="6" t="s">
        <v>17</v>
      </c>
      <c r="D1740" s="6">
        <v>684</v>
      </c>
      <c r="E1740" s="6">
        <v>290</v>
      </c>
      <c r="F1740" s="6">
        <v>356</v>
      </c>
      <c r="G1740" s="6">
        <v>3</v>
      </c>
      <c r="H1740" s="6">
        <v>11910</v>
      </c>
      <c r="I1740" s="6">
        <v>3</v>
      </c>
      <c r="J1740" s="6">
        <v>43</v>
      </c>
      <c r="K1740" s="6">
        <v>323</v>
      </c>
      <c r="L1740" s="6">
        <v>323</v>
      </c>
      <c r="M1740" s="6">
        <v>20</v>
      </c>
      <c r="N1740">
        <f>VLOOKUP(A1740,vlookup_table!$A:$G,2,FALSE)</f>
        <v>2</v>
      </c>
      <c r="O1740" t="str">
        <f>VLOOKUP(A1740,vlookup_table!$A:$G,3,FALSE)</f>
        <v>OR</v>
      </c>
      <c r="P1740">
        <f>VLOOKUP(A1740,vlookup_table!$A:$G,4,FALSE)</f>
        <v>4801</v>
      </c>
      <c r="Q1740" t="str">
        <f>VLOOKUP(A1740,vlookup_table!$A:$G,5,FALSE)</f>
        <v>T3</v>
      </c>
      <c r="R1740" t="str">
        <f>VLOOKUP(A1740,vlookup_table!$A:$G,6,FALSE)</f>
        <v>F</v>
      </c>
      <c r="S1740">
        <f>VLOOKUP(A1740,vlookup_table!$A:$G,7,FALSE)</f>
        <v>20</v>
      </c>
      <c r="T1740">
        <f t="shared" si="54"/>
        <v>48</v>
      </c>
      <c r="U1740" t="str">
        <f t="shared" si="55"/>
        <v>Pueblo</v>
      </c>
    </row>
    <row r="1741" spans="1:21" ht="16" x14ac:dyDescent="0.4">
      <c r="A1741" s="6">
        <v>18196</v>
      </c>
      <c r="B1741" s="6" t="s">
        <v>18</v>
      </c>
      <c r="C1741" s="6" t="s">
        <v>14</v>
      </c>
      <c r="D1741" s="6">
        <v>469</v>
      </c>
      <c r="E1741" s="6">
        <v>214</v>
      </c>
      <c r="F1741" s="6">
        <v>313</v>
      </c>
      <c r="G1741" s="6">
        <v>0</v>
      </c>
      <c r="H1741" s="6">
        <v>10164</v>
      </c>
      <c r="I1741" s="6">
        <v>0</v>
      </c>
      <c r="J1741" s="6">
        <v>90</v>
      </c>
      <c r="K1741" s="6">
        <v>260</v>
      </c>
      <c r="L1741" s="6">
        <v>271</v>
      </c>
      <c r="M1741" s="6">
        <v>7.4651162790000001</v>
      </c>
      <c r="N1741">
        <f>VLOOKUP(A1741,vlookup_table!$A:$G,2,FALSE)</f>
        <v>2</v>
      </c>
      <c r="O1741" t="str">
        <f>VLOOKUP(A1741,vlookup_table!$A:$G,3,FALSE)</f>
        <v>NC</v>
      </c>
      <c r="P1741">
        <f>VLOOKUP(A1741,vlookup_table!$A:$G,4,FALSE)</f>
        <v>0</v>
      </c>
      <c r="Q1741" t="str">
        <f>VLOOKUP(A1741,vlookup_table!$A:$G,5,FALSE)</f>
        <v>T2</v>
      </c>
      <c r="R1741" t="str">
        <f>VLOOKUP(A1741,vlookup_table!$A:$G,6,FALSE)</f>
        <v>M</v>
      </c>
      <c r="S1741">
        <f>VLOOKUP(A1741,vlookup_table!$A:$G,7,FALSE)</f>
        <v>12</v>
      </c>
      <c r="T1741">
        <f t="shared" si="54"/>
        <v>96</v>
      </c>
      <c r="U1741" t="str">
        <f t="shared" si="55"/>
        <v>Pueblo</v>
      </c>
    </row>
    <row r="1742" spans="1:21" ht="16" x14ac:dyDescent="0.4">
      <c r="A1742" s="6">
        <v>185572</v>
      </c>
      <c r="B1742" s="6" t="s">
        <v>53</v>
      </c>
      <c r="C1742" s="6" t="s">
        <v>14</v>
      </c>
      <c r="D1742" s="6">
        <v>884</v>
      </c>
      <c r="E1742" s="6">
        <v>332</v>
      </c>
      <c r="F1742" s="6">
        <v>404</v>
      </c>
      <c r="G1742" s="6">
        <v>0</v>
      </c>
      <c r="H1742" s="6">
        <v>14624</v>
      </c>
      <c r="I1742" s="6">
        <v>3</v>
      </c>
      <c r="J1742" s="6">
        <v>59</v>
      </c>
      <c r="K1742" s="6">
        <v>377</v>
      </c>
      <c r="L1742" s="6">
        <v>366</v>
      </c>
      <c r="M1742" s="6">
        <v>7.6666666670000003</v>
      </c>
      <c r="N1742">
        <f>VLOOKUP(A1742,vlookup_table!$A:$G,2,FALSE)</f>
        <v>1</v>
      </c>
      <c r="O1742" t="str">
        <f>VLOOKUP(A1742,vlookup_table!$A:$G,3,FALSE)</f>
        <v>KY</v>
      </c>
      <c r="P1742">
        <f>VLOOKUP(A1742,vlookup_table!$A:$G,4,FALSE)</f>
        <v>0</v>
      </c>
      <c r="Q1742" t="str">
        <f>VLOOKUP(A1742,vlookup_table!$A:$G,5,FALSE)</f>
        <v>S1</v>
      </c>
      <c r="R1742" t="str">
        <f>VLOOKUP(A1742,vlookup_table!$A:$G,6,FALSE)</f>
        <v>M</v>
      </c>
      <c r="S1742">
        <f>VLOOKUP(A1742,vlookup_table!$A:$G,7,FALSE)</f>
        <v>5</v>
      </c>
      <c r="T1742">
        <f t="shared" si="54"/>
        <v>96</v>
      </c>
      <c r="U1742" t="str">
        <f t="shared" si="55"/>
        <v>Suburbano</v>
      </c>
    </row>
    <row r="1743" spans="1:21" ht="16" x14ac:dyDescent="0.4">
      <c r="A1743" s="6">
        <v>103613</v>
      </c>
      <c r="B1743" s="6" t="s">
        <v>33</v>
      </c>
      <c r="C1743" s="6" t="s">
        <v>17</v>
      </c>
      <c r="D1743" s="6">
        <v>275</v>
      </c>
      <c r="E1743" s="6">
        <v>154</v>
      </c>
      <c r="F1743" s="6">
        <v>246</v>
      </c>
      <c r="G1743" s="6">
        <v>0</v>
      </c>
      <c r="H1743" s="6">
        <v>7925</v>
      </c>
      <c r="I1743" s="6">
        <v>1</v>
      </c>
      <c r="J1743" s="6">
        <v>73</v>
      </c>
      <c r="K1743" s="6">
        <v>161</v>
      </c>
      <c r="L1743" s="6">
        <v>224</v>
      </c>
      <c r="M1743" s="6">
        <v>9.25</v>
      </c>
      <c r="N1743">
        <f>VLOOKUP(A1743,vlookup_table!$A:$G,2,FALSE)</f>
        <v>28</v>
      </c>
      <c r="O1743" t="str">
        <f>VLOOKUP(A1743,vlookup_table!$A:$G,3,FALSE)</f>
        <v>MO</v>
      </c>
      <c r="P1743">
        <f>VLOOKUP(A1743,vlookup_table!$A:$G,4,FALSE)</f>
        <v>3801</v>
      </c>
      <c r="Q1743" t="str">
        <f>VLOOKUP(A1743,vlookup_table!$A:$G,5,FALSE)</f>
        <v>R2</v>
      </c>
      <c r="R1743" t="str">
        <f>VLOOKUP(A1743,vlookup_table!$A:$G,6,FALSE)</f>
        <v>F</v>
      </c>
      <c r="S1743">
        <f>VLOOKUP(A1743,vlookup_table!$A:$G,7,FALSE)</f>
        <v>15</v>
      </c>
      <c r="T1743">
        <f t="shared" si="54"/>
        <v>58</v>
      </c>
      <c r="U1743" t="str">
        <f t="shared" si="55"/>
        <v>Rural</v>
      </c>
    </row>
    <row r="1744" spans="1:21" ht="16" x14ac:dyDescent="0.4">
      <c r="A1744" s="6">
        <v>84144</v>
      </c>
      <c r="B1744" s="6" t="s">
        <v>52</v>
      </c>
      <c r="C1744" s="6" t="s">
        <v>17</v>
      </c>
      <c r="D1744" s="6">
        <v>1122</v>
      </c>
      <c r="E1744" s="6">
        <v>554</v>
      </c>
      <c r="F1744" s="6">
        <v>618</v>
      </c>
      <c r="G1744" s="6">
        <v>5</v>
      </c>
      <c r="H1744" s="6">
        <v>20341</v>
      </c>
      <c r="I1744" s="6">
        <v>5</v>
      </c>
      <c r="J1744" s="6">
        <v>71</v>
      </c>
      <c r="K1744" s="6">
        <v>560</v>
      </c>
      <c r="L1744" s="6">
        <v>607</v>
      </c>
      <c r="M1744" s="6">
        <v>25.125</v>
      </c>
      <c r="N1744">
        <f>VLOOKUP(A1744,vlookup_table!$A:$G,2,FALSE)</f>
        <v>0</v>
      </c>
      <c r="O1744" t="str">
        <f>VLOOKUP(A1744,vlookup_table!$A:$G,3,FALSE)</f>
        <v>MN</v>
      </c>
      <c r="P1744">
        <f>VLOOKUP(A1744,vlookup_table!$A:$G,4,FALSE)</f>
        <v>6408</v>
      </c>
      <c r="Q1744" t="str">
        <f>VLOOKUP(A1744,vlookup_table!$A:$G,5,FALSE)</f>
        <v>S1</v>
      </c>
      <c r="R1744" t="str">
        <f>VLOOKUP(A1744,vlookup_table!$A:$G,6,FALSE)</f>
        <v>F</v>
      </c>
      <c r="S1744">
        <f>VLOOKUP(A1744,vlookup_table!$A:$G,7,FALSE)</f>
        <v>20</v>
      </c>
      <c r="T1744">
        <f t="shared" si="54"/>
        <v>32</v>
      </c>
      <c r="U1744" t="str">
        <f t="shared" si="55"/>
        <v>Suburbano</v>
      </c>
    </row>
    <row r="1745" spans="1:21" ht="16" x14ac:dyDescent="0.4">
      <c r="A1745" s="6">
        <v>83530</v>
      </c>
      <c r="B1745" s="6" t="s">
        <v>52</v>
      </c>
      <c r="C1745" s="6"/>
      <c r="D1745" s="6">
        <v>656</v>
      </c>
      <c r="E1745" s="6">
        <v>272</v>
      </c>
      <c r="F1745" s="6">
        <v>373</v>
      </c>
      <c r="G1745" s="6">
        <v>1</v>
      </c>
      <c r="H1745" s="6">
        <v>14010</v>
      </c>
      <c r="I1745" s="6">
        <v>5</v>
      </c>
      <c r="J1745" s="6">
        <v>70</v>
      </c>
      <c r="K1745" s="6">
        <v>339</v>
      </c>
      <c r="L1745" s="6">
        <v>318</v>
      </c>
      <c r="M1745" s="6">
        <v>28.6</v>
      </c>
      <c r="N1745">
        <f>VLOOKUP(A1745,vlookup_table!$A:$G,2,FALSE)</f>
        <v>0</v>
      </c>
      <c r="O1745" t="str">
        <f>VLOOKUP(A1745,vlookup_table!$A:$G,3,FALSE)</f>
        <v>MN</v>
      </c>
      <c r="P1745">
        <f>VLOOKUP(A1745,vlookup_table!$A:$G,4,FALSE)</f>
        <v>2207</v>
      </c>
      <c r="Q1745" t="str">
        <f>VLOOKUP(A1745,vlookup_table!$A:$G,5,FALSE)</f>
        <v>U3</v>
      </c>
      <c r="R1745" t="str">
        <f>VLOOKUP(A1745,vlookup_table!$A:$G,6,FALSE)</f>
        <v/>
      </c>
      <c r="S1745">
        <f>VLOOKUP(A1745,vlookup_table!$A:$G,7,FALSE)</f>
        <v>5</v>
      </c>
      <c r="T1745">
        <f t="shared" si="54"/>
        <v>74</v>
      </c>
      <c r="U1745" t="str">
        <f t="shared" si="55"/>
        <v>Urbano</v>
      </c>
    </row>
    <row r="1746" spans="1:21" ht="16" x14ac:dyDescent="0.4">
      <c r="A1746" s="6">
        <v>46495</v>
      </c>
      <c r="B1746" s="6" t="s">
        <v>13</v>
      </c>
      <c r="C1746" s="6" t="s">
        <v>17</v>
      </c>
      <c r="D1746" s="6">
        <v>880</v>
      </c>
      <c r="E1746" s="6">
        <v>335</v>
      </c>
      <c r="F1746" s="6">
        <v>403</v>
      </c>
      <c r="G1746" s="6">
        <v>1</v>
      </c>
      <c r="H1746" s="6">
        <v>13951</v>
      </c>
      <c r="I1746" s="6">
        <v>4</v>
      </c>
      <c r="J1746" s="6">
        <v>22</v>
      </c>
      <c r="K1746" s="6">
        <v>343</v>
      </c>
      <c r="L1746" s="6">
        <v>386</v>
      </c>
      <c r="M1746" s="6">
        <v>17.714285709999999</v>
      </c>
      <c r="N1746">
        <f>VLOOKUP(A1746,vlookup_table!$A:$G,2,FALSE)</f>
        <v>0</v>
      </c>
      <c r="O1746" t="str">
        <f>VLOOKUP(A1746,vlookup_table!$A:$G,3,FALSE)</f>
        <v>FL</v>
      </c>
      <c r="P1746">
        <f>VLOOKUP(A1746,vlookup_table!$A:$G,4,FALSE)</f>
        <v>3005</v>
      </c>
      <c r="Q1746" t="str">
        <f>VLOOKUP(A1746,vlookup_table!$A:$G,5,FALSE)</f>
        <v>C2</v>
      </c>
      <c r="R1746" t="str">
        <f>VLOOKUP(A1746,vlookup_table!$A:$G,6,FALSE)</f>
        <v>F</v>
      </c>
      <c r="S1746">
        <f>VLOOKUP(A1746,vlookup_table!$A:$G,7,FALSE)</f>
        <v>15</v>
      </c>
      <c r="T1746">
        <f t="shared" si="54"/>
        <v>66</v>
      </c>
      <c r="U1746" t="str">
        <f t="shared" si="55"/>
        <v>Ciudad</v>
      </c>
    </row>
    <row r="1747" spans="1:21" ht="16" x14ac:dyDescent="0.4">
      <c r="A1747" s="6">
        <v>186458</v>
      </c>
      <c r="B1747" s="6" t="s">
        <v>37</v>
      </c>
      <c r="C1747" s="6" t="s">
        <v>17</v>
      </c>
      <c r="D1747" s="6">
        <v>837</v>
      </c>
      <c r="E1747" s="6">
        <v>337</v>
      </c>
      <c r="F1747" s="6">
        <v>397</v>
      </c>
      <c r="G1747" s="6">
        <v>1</v>
      </c>
      <c r="H1747" s="6">
        <v>14154</v>
      </c>
      <c r="I1747" s="6">
        <v>4</v>
      </c>
      <c r="J1747" s="6">
        <v>48</v>
      </c>
      <c r="K1747" s="6">
        <v>381</v>
      </c>
      <c r="L1747" s="6">
        <v>369</v>
      </c>
      <c r="M1747" s="6">
        <v>3.4666666670000001</v>
      </c>
      <c r="N1747">
        <f>VLOOKUP(A1747,vlookup_table!$A:$G,2,FALSE)</f>
        <v>2</v>
      </c>
      <c r="O1747" t="str">
        <f>VLOOKUP(A1747,vlookup_table!$A:$G,3,FALSE)</f>
        <v>WA</v>
      </c>
      <c r="P1747">
        <f>VLOOKUP(A1747,vlookup_table!$A:$G,4,FALSE)</f>
        <v>0</v>
      </c>
      <c r="Q1747" t="str">
        <f>VLOOKUP(A1747,vlookup_table!$A:$G,5,FALSE)</f>
        <v>C2</v>
      </c>
      <c r="R1747" t="str">
        <f>VLOOKUP(A1747,vlookup_table!$A:$G,6,FALSE)</f>
        <v>F</v>
      </c>
      <c r="S1747">
        <f>VLOOKUP(A1747,vlookup_table!$A:$G,7,FALSE)</f>
        <v>3</v>
      </c>
      <c r="T1747">
        <f t="shared" si="54"/>
        <v>96</v>
      </c>
      <c r="U1747" t="str">
        <f t="shared" si="55"/>
        <v>Ciudad</v>
      </c>
    </row>
    <row r="1748" spans="1:21" ht="16" x14ac:dyDescent="0.4">
      <c r="A1748" s="6">
        <v>162253</v>
      </c>
      <c r="B1748" s="6" t="s">
        <v>21</v>
      </c>
      <c r="C1748" s="6" t="s">
        <v>17</v>
      </c>
      <c r="D1748" s="6">
        <v>2322</v>
      </c>
      <c r="E1748" s="6">
        <v>506</v>
      </c>
      <c r="F1748" s="6">
        <v>579</v>
      </c>
      <c r="G1748" s="6">
        <v>73</v>
      </c>
      <c r="H1748" s="6">
        <v>19463</v>
      </c>
      <c r="I1748" s="6">
        <v>16</v>
      </c>
      <c r="J1748" s="6">
        <v>55</v>
      </c>
      <c r="K1748" s="6">
        <v>548</v>
      </c>
      <c r="L1748" s="6">
        <v>469</v>
      </c>
      <c r="M1748" s="6">
        <v>4.4310344830000004</v>
      </c>
      <c r="N1748">
        <f>VLOOKUP(A1748,vlookup_table!$A:$G,2,FALSE)</f>
        <v>0</v>
      </c>
      <c r="O1748" t="str">
        <f>VLOOKUP(A1748,vlookup_table!$A:$G,3,FALSE)</f>
        <v>CA</v>
      </c>
      <c r="P1748">
        <f>VLOOKUP(A1748,vlookup_table!$A:$G,4,FALSE)</f>
        <v>0</v>
      </c>
      <c r="Q1748" t="str">
        <f>VLOOKUP(A1748,vlookup_table!$A:$G,5,FALSE)</f>
        <v>S1</v>
      </c>
      <c r="R1748" t="str">
        <f>VLOOKUP(A1748,vlookup_table!$A:$G,6,FALSE)</f>
        <v>F</v>
      </c>
      <c r="S1748">
        <f>VLOOKUP(A1748,vlookup_table!$A:$G,7,FALSE)</f>
        <v>5</v>
      </c>
      <c r="T1748">
        <f t="shared" si="54"/>
        <v>96</v>
      </c>
      <c r="U1748" t="str">
        <f t="shared" si="55"/>
        <v>Suburbano</v>
      </c>
    </row>
    <row r="1749" spans="1:21" ht="16" x14ac:dyDescent="0.4">
      <c r="A1749" s="6">
        <v>24915</v>
      </c>
      <c r="B1749" s="6" t="s">
        <v>40</v>
      </c>
      <c r="C1749" s="6" t="s">
        <v>17</v>
      </c>
      <c r="D1749" s="6">
        <v>853</v>
      </c>
      <c r="E1749" s="6">
        <v>445</v>
      </c>
      <c r="F1749" s="6">
        <v>475</v>
      </c>
      <c r="G1749" s="6">
        <v>4</v>
      </c>
      <c r="H1749" s="6">
        <v>15281</v>
      </c>
      <c r="I1749" s="6">
        <v>2</v>
      </c>
      <c r="J1749" s="6">
        <v>59</v>
      </c>
      <c r="K1749" s="6">
        <v>464</v>
      </c>
      <c r="L1749" s="6">
        <v>447</v>
      </c>
      <c r="M1749" s="6">
        <v>10</v>
      </c>
      <c r="N1749">
        <f>VLOOKUP(A1749,vlookup_table!$A:$G,2,FALSE)</f>
        <v>0</v>
      </c>
      <c r="O1749" t="str">
        <f>VLOOKUP(A1749,vlookup_table!$A:$G,3,FALSE)</f>
        <v>AL</v>
      </c>
      <c r="P1749">
        <f>VLOOKUP(A1749,vlookup_table!$A:$G,4,FALSE)</f>
        <v>5301</v>
      </c>
      <c r="Q1749" t="str">
        <f>VLOOKUP(A1749,vlookup_table!$A:$G,5,FALSE)</f>
        <v/>
      </c>
      <c r="R1749" t="str">
        <f>VLOOKUP(A1749,vlookup_table!$A:$G,6,FALSE)</f>
        <v>F</v>
      </c>
      <c r="S1749">
        <f>VLOOKUP(A1749,vlookup_table!$A:$G,7,FALSE)</f>
        <v>10</v>
      </c>
      <c r="T1749">
        <f t="shared" si="54"/>
        <v>43</v>
      </c>
      <c r="U1749" t="str">
        <f t="shared" si="55"/>
        <v/>
      </c>
    </row>
    <row r="1750" spans="1:21" ht="16" x14ac:dyDescent="0.4">
      <c r="A1750" s="6">
        <v>2081</v>
      </c>
      <c r="B1750" s="6" t="s">
        <v>37</v>
      </c>
      <c r="C1750" s="6" t="s">
        <v>17</v>
      </c>
      <c r="D1750" s="6">
        <v>871</v>
      </c>
      <c r="E1750" s="6">
        <v>381</v>
      </c>
      <c r="F1750" s="6">
        <v>476</v>
      </c>
      <c r="G1750" s="6">
        <v>6</v>
      </c>
      <c r="H1750" s="6">
        <v>16559</v>
      </c>
      <c r="I1750" s="6">
        <v>4</v>
      </c>
      <c r="J1750" s="6">
        <v>51</v>
      </c>
      <c r="K1750" s="6">
        <v>412</v>
      </c>
      <c r="L1750" s="6">
        <v>436</v>
      </c>
      <c r="M1750" s="6">
        <v>7.8367346939999996</v>
      </c>
      <c r="N1750">
        <f>VLOOKUP(A1750,vlookup_table!$A:$G,2,FALSE)</f>
        <v>0</v>
      </c>
      <c r="O1750" t="str">
        <f>VLOOKUP(A1750,vlookup_table!$A:$G,3,FALSE)</f>
        <v>WA</v>
      </c>
      <c r="P1750">
        <f>VLOOKUP(A1750,vlookup_table!$A:$G,4,FALSE)</f>
        <v>0</v>
      </c>
      <c r="Q1750" t="str">
        <f>VLOOKUP(A1750,vlookup_table!$A:$G,5,FALSE)</f>
        <v/>
      </c>
      <c r="R1750" t="str">
        <f>VLOOKUP(A1750,vlookup_table!$A:$G,6,FALSE)</f>
        <v>F</v>
      </c>
      <c r="S1750">
        <f>VLOOKUP(A1750,vlookup_table!$A:$G,7,FALSE)</f>
        <v>7</v>
      </c>
      <c r="T1750">
        <f t="shared" si="54"/>
        <v>96</v>
      </c>
      <c r="U1750" t="str">
        <f t="shared" si="55"/>
        <v/>
      </c>
    </row>
    <row r="1751" spans="1:21" ht="16" x14ac:dyDescent="0.4">
      <c r="A1751" s="6">
        <v>121654</v>
      </c>
      <c r="B1751" s="6" t="s">
        <v>20</v>
      </c>
      <c r="C1751" s="6" t="s">
        <v>14</v>
      </c>
      <c r="D1751" s="6">
        <v>884</v>
      </c>
      <c r="E1751" s="6">
        <v>681</v>
      </c>
      <c r="F1751" s="6">
        <v>746</v>
      </c>
      <c r="G1751" s="6">
        <v>0</v>
      </c>
      <c r="H1751" s="6">
        <v>23287</v>
      </c>
      <c r="I1751" s="6">
        <v>8</v>
      </c>
      <c r="J1751" s="6">
        <v>40</v>
      </c>
      <c r="K1751" s="6">
        <v>692</v>
      </c>
      <c r="L1751" s="6">
        <v>737</v>
      </c>
      <c r="M1751" s="6">
        <v>9.1428571430000005</v>
      </c>
      <c r="N1751">
        <f>VLOOKUP(A1751,vlookup_table!$A:$G,2,FALSE)</f>
        <v>2</v>
      </c>
      <c r="O1751" t="str">
        <f>VLOOKUP(A1751,vlookup_table!$A:$G,3,FALSE)</f>
        <v>TX</v>
      </c>
      <c r="P1751">
        <f>VLOOKUP(A1751,vlookup_table!$A:$G,4,FALSE)</f>
        <v>4710</v>
      </c>
      <c r="Q1751" t="str">
        <f>VLOOKUP(A1751,vlookup_table!$A:$G,5,FALSE)</f>
        <v>C1</v>
      </c>
      <c r="R1751" t="str">
        <f>VLOOKUP(A1751,vlookup_table!$A:$G,6,FALSE)</f>
        <v>M</v>
      </c>
      <c r="S1751">
        <f>VLOOKUP(A1751,vlookup_table!$A:$G,7,FALSE)</f>
        <v>21</v>
      </c>
      <c r="T1751">
        <f t="shared" si="54"/>
        <v>49</v>
      </c>
      <c r="U1751" t="str">
        <f t="shared" si="55"/>
        <v>Ciudad</v>
      </c>
    </row>
    <row r="1752" spans="1:21" ht="16" x14ac:dyDescent="0.4">
      <c r="A1752" s="6">
        <v>132627</v>
      </c>
      <c r="B1752" s="6" t="s">
        <v>58</v>
      </c>
      <c r="C1752" s="6" t="s">
        <v>14</v>
      </c>
      <c r="D1752" s="6">
        <v>643</v>
      </c>
      <c r="E1752" s="6">
        <v>227</v>
      </c>
      <c r="F1752" s="6">
        <v>338</v>
      </c>
      <c r="G1752" s="6">
        <v>0</v>
      </c>
      <c r="H1752" s="6">
        <v>10980</v>
      </c>
      <c r="I1752" s="6">
        <v>2</v>
      </c>
      <c r="J1752" s="6">
        <v>44</v>
      </c>
      <c r="K1752" s="6">
        <v>311</v>
      </c>
      <c r="L1752" s="6">
        <v>293</v>
      </c>
      <c r="M1752" s="6">
        <v>6.5</v>
      </c>
      <c r="N1752">
        <f>VLOOKUP(A1752,vlookup_table!$A:$G,2,FALSE)</f>
        <v>0</v>
      </c>
      <c r="O1752" t="str">
        <f>VLOOKUP(A1752,vlookup_table!$A:$G,3,FALSE)</f>
        <v>WY</v>
      </c>
      <c r="P1752">
        <f>VLOOKUP(A1752,vlookup_table!$A:$G,4,FALSE)</f>
        <v>3601</v>
      </c>
      <c r="Q1752" t="str">
        <f>VLOOKUP(A1752,vlookup_table!$A:$G,5,FALSE)</f>
        <v>R2</v>
      </c>
      <c r="R1752" t="str">
        <f>VLOOKUP(A1752,vlookup_table!$A:$G,6,FALSE)</f>
        <v>M</v>
      </c>
      <c r="S1752">
        <f>VLOOKUP(A1752,vlookup_table!$A:$G,7,FALSE)</f>
        <v>10</v>
      </c>
      <c r="T1752">
        <f t="shared" si="54"/>
        <v>60</v>
      </c>
      <c r="U1752" t="str">
        <f t="shared" si="55"/>
        <v>Rural</v>
      </c>
    </row>
    <row r="1753" spans="1:21" ht="16" x14ac:dyDescent="0.4">
      <c r="A1753" s="6">
        <v>149089</v>
      </c>
      <c r="B1753" s="6" t="s">
        <v>21</v>
      </c>
      <c r="C1753" s="6" t="s">
        <v>17</v>
      </c>
      <c r="D1753" s="6">
        <v>5687</v>
      </c>
      <c r="E1753" s="6">
        <v>515</v>
      </c>
      <c r="F1753" s="6">
        <v>787</v>
      </c>
      <c r="G1753" s="6">
        <v>95</v>
      </c>
      <c r="H1753" s="6">
        <v>36437</v>
      </c>
      <c r="I1753" s="6">
        <v>15</v>
      </c>
      <c r="J1753" s="6">
        <v>45</v>
      </c>
      <c r="K1753" s="6">
        <v>540</v>
      </c>
      <c r="L1753" s="6">
        <v>729</v>
      </c>
      <c r="M1753" s="6">
        <v>21.5</v>
      </c>
      <c r="N1753">
        <f>VLOOKUP(A1753,vlookup_table!$A:$G,2,FALSE)</f>
        <v>2</v>
      </c>
      <c r="O1753" t="str">
        <f>VLOOKUP(A1753,vlookup_table!$A:$G,3,FALSE)</f>
        <v>CA</v>
      </c>
      <c r="P1753">
        <f>VLOOKUP(A1753,vlookup_table!$A:$G,4,FALSE)</f>
        <v>2601</v>
      </c>
      <c r="Q1753" t="str">
        <f>VLOOKUP(A1753,vlookup_table!$A:$G,5,FALSE)</f>
        <v>T1</v>
      </c>
      <c r="R1753" t="str">
        <f>VLOOKUP(A1753,vlookup_table!$A:$G,6,FALSE)</f>
        <v>F</v>
      </c>
      <c r="S1753">
        <f>VLOOKUP(A1753,vlookup_table!$A:$G,7,FALSE)</f>
        <v>20</v>
      </c>
      <c r="T1753">
        <f t="shared" si="54"/>
        <v>70</v>
      </c>
      <c r="U1753" t="str">
        <f t="shared" si="55"/>
        <v>Pueblo</v>
      </c>
    </row>
    <row r="1754" spans="1:21" ht="16" x14ac:dyDescent="0.4">
      <c r="A1754" s="6">
        <v>150497</v>
      </c>
      <c r="B1754" s="6" t="s">
        <v>21</v>
      </c>
      <c r="C1754" s="6" t="s">
        <v>14</v>
      </c>
      <c r="D1754" s="6">
        <v>3343</v>
      </c>
      <c r="E1754" s="6">
        <v>708</v>
      </c>
      <c r="F1754" s="6">
        <v>794</v>
      </c>
      <c r="G1754" s="6">
        <v>92</v>
      </c>
      <c r="H1754" s="6">
        <v>23333</v>
      </c>
      <c r="I1754" s="6">
        <v>26</v>
      </c>
      <c r="J1754" s="6">
        <v>49</v>
      </c>
      <c r="K1754" s="6">
        <v>760</v>
      </c>
      <c r="L1754" s="6">
        <v>768</v>
      </c>
      <c r="M1754" s="6">
        <v>17.5</v>
      </c>
      <c r="N1754">
        <f>VLOOKUP(A1754,vlookup_table!$A:$G,2,FALSE)</f>
        <v>0</v>
      </c>
      <c r="O1754" t="str">
        <f>VLOOKUP(A1754,vlookup_table!$A:$G,3,FALSE)</f>
        <v>CA</v>
      </c>
      <c r="P1754">
        <f>VLOOKUP(A1754,vlookup_table!$A:$G,4,FALSE)</f>
        <v>7701</v>
      </c>
      <c r="Q1754" t="str">
        <f>VLOOKUP(A1754,vlookup_table!$A:$G,5,FALSE)</f>
        <v>S1</v>
      </c>
      <c r="R1754" t="str">
        <f>VLOOKUP(A1754,vlookup_table!$A:$G,6,FALSE)</f>
        <v>M</v>
      </c>
      <c r="S1754">
        <f>VLOOKUP(A1754,vlookup_table!$A:$G,7,FALSE)</f>
        <v>40</v>
      </c>
      <c r="T1754">
        <f t="shared" si="54"/>
        <v>19</v>
      </c>
      <c r="U1754" t="str">
        <f t="shared" si="55"/>
        <v>Suburbano</v>
      </c>
    </row>
    <row r="1755" spans="1:21" ht="16" x14ac:dyDescent="0.4">
      <c r="A1755" s="6">
        <v>180633</v>
      </c>
      <c r="B1755" s="6" t="s">
        <v>37</v>
      </c>
      <c r="C1755" s="6" t="s">
        <v>17</v>
      </c>
      <c r="D1755" s="6">
        <v>949</v>
      </c>
      <c r="E1755" s="6">
        <v>429</v>
      </c>
      <c r="F1755" s="6">
        <v>468</v>
      </c>
      <c r="G1755" s="6">
        <v>9</v>
      </c>
      <c r="H1755" s="6">
        <v>15387</v>
      </c>
      <c r="I1755" s="6">
        <v>5</v>
      </c>
      <c r="J1755" s="6">
        <v>57</v>
      </c>
      <c r="K1755" s="6">
        <v>448</v>
      </c>
      <c r="L1755" s="6">
        <v>420</v>
      </c>
      <c r="M1755" s="6">
        <v>11.66666667</v>
      </c>
      <c r="N1755">
        <f>VLOOKUP(A1755,vlookup_table!$A:$G,2,FALSE)</f>
        <v>2</v>
      </c>
      <c r="O1755" t="str">
        <f>VLOOKUP(A1755,vlookup_table!$A:$G,3,FALSE)</f>
        <v>WA</v>
      </c>
      <c r="P1755">
        <f>VLOOKUP(A1755,vlookup_table!$A:$G,4,FALSE)</f>
        <v>2102</v>
      </c>
      <c r="Q1755" t="str">
        <f>VLOOKUP(A1755,vlookup_table!$A:$G,5,FALSE)</f>
        <v>T2</v>
      </c>
      <c r="R1755" t="str">
        <f>VLOOKUP(A1755,vlookup_table!$A:$G,6,FALSE)</f>
        <v>F</v>
      </c>
      <c r="S1755">
        <f>VLOOKUP(A1755,vlookup_table!$A:$G,7,FALSE)</f>
        <v>15</v>
      </c>
      <c r="T1755">
        <f t="shared" si="54"/>
        <v>75</v>
      </c>
      <c r="U1755" t="str">
        <f t="shared" si="55"/>
        <v>Pueblo</v>
      </c>
    </row>
    <row r="1756" spans="1:21" ht="16" x14ac:dyDescent="0.4">
      <c r="A1756" s="6">
        <v>50200</v>
      </c>
      <c r="B1756" s="6" t="s">
        <v>49</v>
      </c>
      <c r="C1756" s="6" t="s">
        <v>14</v>
      </c>
      <c r="D1756" s="6">
        <v>1052</v>
      </c>
      <c r="E1756" s="6">
        <v>482</v>
      </c>
      <c r="F1756" s="6">
        <v>541</v>
      </c>
      <c r="G1756" s="6">
        <v>9</v>
      </c>
      <c r="H1756" s="6">
        <v>20492</v>
      </c>
      <c r="I1756" s="6">
        <v>1</v>
      </c>
      <c r="J1756" s="6">
        <v>44</v>
      </c>
      <c r="K1756" s="6">
        <v>499</v>
      </c>
      <c r="L1756" s="6">
        <v>516</v>
      </c>
      <c r="M1756" s="6">
        <v>10.83333333</v>
      </c>
      <c r="N1756">
        <f>VLOOKUP(A1756,vlookup_table!$A:$G,2,FALSE)</f>
        <v>2</v>
      </c>
      <c r="O1756" t="str">
        <f>VLOOKUP(A1756,vlookup_table!$A:$G,3,FALSE)</f>
        <v>TN</v>
      </c>
      <c r="P1756">
        <f>VLOOKUP(A1756,vlookup_table!$A:$G,4,FALSE)</f>
        <v>2201</v>
      </c>
      <c r="Q1756" t="str">
        <f>VLOOKUP(A1756,vlookup_table!$A:$G,5,FALSE)</f>
        <v>C1</v>
      </c>
      <c r="R1756" t="str">
        <f>VLOOKUP(A1756,vlookup_table!$A:$G,6,FALSE)</f>
        <v>M</v>
      </c>
      <c r="S1756">
        <f>VLOOKUP(A1756,vlookup_table!$A:$G,7,FALSE)</f>
        <v>10</v>
      </c>
      <c r="T1756">
        <f t="shared" si="54"/>
        <v>74</v>
      </c>
      <c r="U1756" t="str">
        <f t="shared" si="55"/>
        <v>Ciudad</v>
      </c>
    </row>
    <row r="1757" spans="1:21" ht="16" x14ac:dyDescent="0.4">
      <c r="A1757" s="6">
        <v>172176</v>
      </c>
      <c r="B1757" s="6" t="s">
        <v>21</v>
      </c>
      <c r="C1757" s="6" t="s">
        <v>17</v>
      </c>
      <c r="D1757" s="6">
        <v>1788</v>
      </c>
      <c r="E1757" s="6">
        <v>368</v>
      </c>
      <c r="F1757" s="6">
        <v>514</v>
      </c>
      <c r="G1757" s="6">
        <v>44</v>
      </c>
      <c r="H1757" s="6">
        <v>23026</v>
      </c>
      <c r="I1757" s="6">
        <v>3</v>
      </c>
      <c r="J1757" s="6">
        <v>53</v>
      </c>
      <c r="K1757" s="6">
        <v>424</v>
      </c>
      <c r="L1757" s="6">
        <v>415</v>
      </c>
      <c r="M1757" s="6">
        <v>11</v>
      </c>
      <c r="N1757">
        <f>VLOOKUP(A1757,vlookup_table!$A:$G,2,FALSE)</f>
        <v>28</v>
      </c>
      <c r="O1757" t="str">
        <f>VLOOKUP(A1757,vlookup_table!$A:$G,3,FALSE)</f>
        <v>CA</v>
      </c>
      <c r="P1757">
        <f>VLOOKUP(A1757,vlookup_table!$A:$G,4,FALSE)</f>
        <v>0</v>
      </c>
      <c r="Q1757" t="str">
        <f>VLOOKUP(A1757,vlookup_table!$A:$G,5,FALSE)</f>
        <v>S1</v>
      </c>
      <c r="R1757" t="str">
        <f>VLOOKUP(A1757,vlookup_table!$A:$G,6,FALSE)</f>
        <v>F</v>
      </c>
      <c r="S1757">
        <f>VLOOKUP(A1757,vlookup_table!$A:$G,7,FALSE)</f>
        <v>20</v>
      </c>
      <c r="T1757">
        <f t="shared" si="54"/>
        <v>96</v>
      </c>
      <c r="U1757" t="str">
        <f t="shared" si="55"/>
        <v>Suburbano</v>
      </c>
    </row>
    <row r="1758" spans="1:21" ht="16" x14ac:dyDescent="0.4">
      <c r="A1758" s="6">
        <v>130884</v>
      </c>
      <c r="B1758" s="6" t="s">
        <v>45</v>
      </c>
      <c r="C1758" s="6" t="s">
        <v>17</v>
      </c>
      <c r="D1758" s="6">
        <v>1274</v>
      </c>
      <c r="E1758" s="6">
        <v>520</v>
      </c>
      <c r="F1758" s="6">
        <v>575</v>
      </c>
      <c r="G1758" s="6">
        <v>7</v>
      </c>
      <c r="H1758" s="6">
        <v>21997</v>
      </c>
      <c r="I1758" s="6">
        <v>2</v>
      </c>
      <c r="J1758" s="6">
        <v>32</v>
      </c>
      <c r="K1758" s="6">
        <v>541</v>
      </c>
      <c r="L1758" s="6">
        <v>548</v>
      </c>
      <c r="M1758" s="6">
        <v>6</v>
      </c>
      <c r="N1758">
        <f>VLOOKUP(A1758,vlookup_table!$A:$G,2,FALSE)</f>
        <v>0</v>
      </c>
      <c r="O1758" t="str">
        <f>VLOOKUP(A1758,vlookup_table!$A:$G,3,FALSE)</f>
        <v>CO</v>
      </c>
      <c r="P1758">
        <f>VLOOKUP(A1758,vlookup_table!$A:$G,4,FALSE)</f>
        <v>2711</v>
      </c>
      <c r="Q1758" t="str">
        <f>VLOOKUP(A1758,vlookup_table!$A:$G,5,FALSE)</f>
        <v>T1</v>
      </c>
      <c r="R1758" t="str">
        <f>VLOOKUP(A1758,vlookup_table!$A:$G,6,FALSE)</f>
        <v>F</v>
      </c>
      <c r="S1758">
        <f>VLOOKUP(A1758,vlookup_table!$A:$G,7,FALSE)</f>
        <v>7</v>
      </c>
      <c r="T1758">
        <f t="shared" si="54"/>
        <v>69</v>
      </c>
      <c r="U1758" t="str">
        <f t="shared" si="55"/>
        <v>Pueblo</v>
      </c>
    </row>
    <row r="1759" spans="1:21" ht="16" x14ac:dyDescent="0.4">
      <c r="A1759" s="6">
        <v>139857</v>
      </c>
      <c r="B1759" s="6" t="s">
        <v>50</v>
      </c>
      <c r="C1759" s="6" t="s">
        <v>17</v>
      </c>
      <c r="D1759" s="6">
        <v>481</v>
      </c>
      <c r="E1759" s="6">
        <v>280</v>
      </c>
      <c r="F1759" s="6">
        <v>319</v>
      </c>
      <c r="G1759" s="6">
        <v>0</v>
      </c>
      <c r="H1759" s="6">
        <v>10294</v>
      </c>
      <c r="I1759" s="6">
        <v>0</v>
      </c>
      <c r="J1759" s="6">
        <v>30</v>
      </c>
      <c r="K1759" s="6">
        <v>335</v>
      </c>
      <c r="L1759" s="6">
        <v>279</v>
      </c>
      <c r="M1759" s="6">
        <v>7.2</v>
      </c>
      <c r="N1759">
        <f>VLOOKUP(A1759,vlookup_table!$A:$G,2,FALSE)</f>
        <v>0</v>
      </c>
      <c r="O1759" t="str">
        <f>VLOOKUP(A1759,vlookup_table!$A:$G,3,FALSE)</f>
        <v>NM</v>
      </c>
      <c r="P1759">
        <f>VLOOKUP(A1759,vlookup_table!$A:$G,4,FALSE)</f>
        <v>1701</v>
      </c>
      <c r="Q1759" t="str">
        <f>VLOOKUP(A1759,vlookup_table!$A:$G,5,FALSE)</f>
        <v>T2</v>
      </c>
      <c r="R1759" t="str">
        <f>VLOOKUP(A1759,vlookup_table!$A:$G,6,FALSE)</f>
        <v>F</v>
      </c>
      <c r="S1759">
        <f>VLOOKUP(A1759,vlookup_table!$A:$G,7,FALSE)</f>
        <v>5</v>
      </c>
      <c r="T1759">
        <f t="shared" si="54"/>
        <v>79</v>
      </c>
      <c r="U1759" t="str">
        <f t="shared" si="55"/>
        <v>Pueblo</v>
      </c>
    </row>
    <row r="1760" spans="1:21" ht="16" x14ac:dyDescent="0.4">
      <c r="A1760" s="6">
        <v>152325</v>
      </c>
      <c r="B1760" s="6" t="s">
        <v>21</v>
      </c>
      <c r="C1760" s="6" t="s">
        <v>14</v>
      </c>
      <c r="D1760" s="6">
        <v>1728</v>
      </c>
      <c r="E1760" s="6">
        <v>470</v>
      </c>
      <c r="F1760" s="6">
        <v>523</v>
      </c>
      <c r="G1760" s="6">
        <v>30</v>
      </c>
      <c r="H1760" s="6">
        <v>16413</v>
      </c>
      <c r="I1760" s="6">
        <v>10</v>
      </c>
      <c r="J1760" s="6">
        <v>50</v>
      </c>
      <c r="K1760" s="6">
        <v>511</v>
      </c>
      <c r="L1760" s="6">
        <v>503</v>
      </c>
      <c r="M1760" s="6">
        <v>25</v>
      </c>
      <c r="N1760">
        <f>VLOOKUP(A1760,vlookup_table!$A:$G,2,FALSE)</f>
        <v>1</v>
      </c>
      <c r="O1760" t="str">
        <f>VLOOKUP(A1760,vlookup_table!$A:$G,3,FALSE)</f>
        <v>CA</v>
      </c>
      <c r="P1760">
        <f>VLOOKUP(A1760,vlookup_table!$A:$G,4,FALSE)</f>
        <v>4601</v>
      </c>
      <c r="Q1760" t="str">
        <f>VLOOKUP(A1760,vlookup_table!$A:$G,5,FALSE)</f>
        <v>S2</v>
      </c>
      <c r="R1760" t="str">
        <f>VLOOKUP(A1760,vlookup_table!$A:$G,6,FALSE)</f>
        <v>M</v>
      </c>
      <c r="S1760">
        <f>VLOOKUP(A1760,vlookup_table!$A:$G,7,FALSE)</f>
        <v>25</v>
      </c>
      <c r="T1760">
        <f t="shared" si="54"/>
        <v>50</v>
      </c>
      <c r="U1760" t="str">
        <f t="shared" si="55"/>
        <v>Suburbano</v>
      </c>
    </row>
    <row r="1761" spans="1:21" ht="16" x14ac:dyDescent="0.4">
      <c r="A1761" s="6">
        <v>43559</v>
      </c>
      <c r="B1761" s="6" t="s">
        <v>13</v>
      </c>
      <c r="C1761" s="6" t="s">
        <v>14</v>
      </c>
      <c r="D1761" s="6">
        <v>1322</v>
      </c>
      <c r="E1761" s="6">
        <v>355</v>
      </c>
      <c r="F1761" s="6">
        <v>454</v>
      </c>
      <c r="G1761" s="6">
        <v>7</v>
      </c>
      <c r="H1761" s="6">
        <v>14439</v>
      </c>
      <c r="I1761" s="6">
        <v>4</v>
      </c>
      <c r="J1761" s="6">
        <v>36</v>
      </c>
      <c r="K1761" s="6">
        <v>405</v>
      </c>
      <c r="L1761" s="6">
        <v>408</v>
      </c>
      <c r="M1761" s="6">
        <v>3.5666666669999998</v>
      </c>
      <c r="N1761">
        <f>VLOOKUP(A1761,vlookup_table!$A:$G,2,FALSE)</f>
        <v>0</v>
      </c>
      <c r="O1761" t="str">
        <f>VLOOKUP(A1761,vlookup_table!$A:$G,3,FALSE)</f>
        <v>FL</v>
      </c>
      <c r="P1761">
        <f>VLOOKUP(A1761,vlookup_table!$A:$G,4,FALSE)</f>
        <v>1301</v>
      </c>
      <c r="Q1761" t="str">
        <f>VLOOKUP(A1761,vlookup_table!$A:$G,5,FALSE)</f>
        <v>R1</v>
      </c>
      <c r="R1761" t="str">
        <f>VLOOKUP(A1761,vlookup_table!$A:$G,6,FALSE)</f>
        <v>M</v>
      </c>
      <c r="S1761">
        <f>VLOOKUP(A1761,vlookup_table!$A:$G,7,FALSE)</f>
        <v>2</v>
      </c>
      <c r="T1761">
        <f t="shared" si="54"/>
        <v>83</v>
      </c>
      <c r="U1761" t="str">
        <f t="shared" si="55"/>
        <v>Rural</v>
      </c>
    </row>
    <row r="1762" spans="1:21" ht="16" x14ac:dyDescent="0.4">
      <c r="A1762" s="6">
        <v>81527</v>
      </c>
      <c r="B1762" s="6" t="s">
        <v>32</v>
      </c>
      <c r="C1762" s="6" t="s">
        <v>17</v>
      </c>
      <c r="D1762" s="6">
        <v>429</v>
      </c>
      <c r="E1762" s="6">
        <v>232</v>
      </c>
      <c r="F1762" s="6">
        <v>346</v>
      </c>
      <c r="G1762" s="6">
        <v>0</v>
      </c>
      <c r="H1762" s="6">
        <v>11632</v>
      </c>
      <c r="I1762" s="6">
        <v>1</v>
      </c>
      <c r="J1762" s="6">
        <v>65</v>
      </c>
      <c r="K1762" s="6">
        <v>297</v>
      </c>
      <c r="L1762" s="6">
        <v>276</v>
      </c>
      <c r="M1762" s="6">
        <v>7.692307692</v>
      </c>
      <c r="N1762">
        <f>VLOOKUP(A1762,vlookup_table!$A:$G,2,FALSE)</f>
        <v>2</v>
      </c>
      <c r="O1762" t="str">
        <f>VLOOKUP(A1762,vlookup_table!$A:$G,3,FALSE)</f>
        <v>WI</v>
      </c>
      <c r="P1762">
        <f>VLOOKUP(A1762,vlookup_table!$A:$G,4,FALSE)</f>
        <v>1501</v>
      </c>
      <c r="Q1762" t="str">
        <f>VLOOKUP(A1762,vlookup_table!$A:$G,5,FALSE)</f>
        <v>R2</v>
      </c>
      <c r="R1762" t="str">
        <f>VLOOKUP(A1762,vlookup_table!$A:$G,6,FALSE)</f>
        <v>F</v>
      </c>
      <c r="S1762">
        <f>VLOOKUP(A1762,vlookup_table!$A:$G,7,FALSE)</f>
        <v>3</v>
      </c>
      <c r="T1762">
        <f t="shared" si="54"/>
        <v>81</v>
      </c>
      <c r="U1762" t="str">
        <f t="shared" si="55"/>
        <v>Rural</v>
      </c>
    </row>
    <row r="1763" spans="1:21" ht="16" x14ac:dyDescent="0.4">
      <c r="A1763" s="6">
        <v>146913</v>
      </c>
      <c r="B1763" s="6" t="s">
        <v>21</v>
      </c>
      <c r="C1763" s="6" t="s">
        <v>17</v>
      </c>
      <c r="D1763" s="6">
        <v>2674</v>
      </c>
      <c r="E1763" s="6">
        <v>561</v>
      </c>
      <c r="F1763" s="6">
        <v>662</v>
      </c>
      <c r="G1763" s="6">
        <v>77</v>
      </c>
      <c r="H1763" s="6">
        <v>37883</v>
      </c>
      <c r="I1763" s="6">
        <v>6</v>
      </c>
      <c r="J1763" s="6">
        <v>43</v>
      </c>
      <c r="K1763" s="6">
        <v>574</v>
      </c>
      <c r="L1763" s="6">
        <v>648</v>
      </c>
      <c r="M1763" s="6">
        <v>19.166666670000001</v>
      </c>
      <c r="N1763">
        <f>VLOOKUP(A1763,vlookup_table!$A:$G,2,FALSE)</f>
        <v>28</v>
      </c>
      <c r="O1763" t="str">
        <f>VLOOKUP(A1763,vlookup_table!$A:$G,3,FALSE)</f>
        <v>CA</v>
      </c>
      <c r="P1763">
        <f>VLOOKUP(A1763,vlookup_table!$A:$G,4,FALSE)</f>
        <v>3201</v>
      </c>
      <c r="Q1763" t="str">
        <f>VLOOKUP(A1763,vlookup_table!$A:$G,5,FALSE)</f>
        <v>S1</v>
      </c>
      <c r="R1763" t="str">
        <f>VLOOKUP(A1763,vlookup_table!$A:$G,6,FALSE)</f>
        <v>F</v>
      </c>
      <c r="S1763">
        <f>VLOOKUP(A1763,vlookup_table!$A:$G,7,FALSE)</f>
        <v>25</v>
      </c>
      <c r="T1763">
        <f t="shared" si="54"/>
        <v>64</v>
      </c>
      <c r="U1763" t="str">
        <f t="shared" si="55"/>
        <v>Suburbano</v>
      </c>
    </row>
    <row r="1764" spans="1:21" ht="16" x14ac:dyDescent="0.4">
      <c r="A1764" s="6">
        <v>5968</v>
      </c>
      <c r="B1764" s="6" t="s">
        <v>32</v>
      </c>
      <c r="C1764" s="6" t="s">
        <v>17</v>
      </c>
      <c r="D1764" s="6">
        <v>685</v>
      </c>
      <c r="E1764" s="6">
        <v>359</v>
      </c>
      <c r="F1764" s="6">
        <v>375</v>
      </c>
      <c r="G1764" s="6">
        <v>0</v>
      </c>
      <c r="H1764" s="6">
        <v>14570</v>
      </c>
      <c r="I1764" s="6">
        <v>4</v>
      </c>
      <c r="J1764" s="6">
        <v>81</v>
      </c>
      <c r="K1764" s="6">
        <v>365</v>
      </c>
      <c r="L1764" s="6">
        <v>372</v>
      </c>
      <c r="M1764" s="6">
        <v>3.5892857139999998</v>
      </c>
      <c r="N1764">
        <f>VLOOKUP(A1764,vlookup_table!$A:$G,2,FALSE)</f>
        <v>0</v>
      </c>
      <c r="O1764" t="str">
        <f>VLOOKUP(A1764,vlookup_table!$A:$G,3,FALSE)</f>
        <v>WI</v>
      </c>
      <c r="P1764">
        <f>VLOOKUP(A1764,vlookup_table!$A:$G,4,FALSE)</f>
        <v>0</v>
      </c>
      <c r="Q1764" t="str">
        <f>VLOOKUP(A1764,vlookup_table!$A:$G,5,FALSE)</f>
        <v>U1</v>
      </c>
      <c r="R1764" t="str">
        <f>VLOOKUP(A1764,vlookup_table!$A:$G,6,FALSE)</f>
        <v>F</v>
      </c>
      <c r="S1764">
        <f>VLOOKUP(A1764,vlookup_table!$A:$G,7,FALSE)</f>
        <v>12</v>
      </c>
      <c r="T1764">
        <f t="shared" si="54"/>
        <v>96</v>
      </c>
      <c r="U1764" t="str">
        <f t="shared" si="55"/>
        <v>Urbano</v>
      </c>
    </row>
    <row r="1765" spans="1:21" ht="16" x14ac:dyDescent="0.4">
      <c r="A1765" s="6">
        <v>3953</v>
      </c>
      <c r="B1765" s="6" t="s">
        <v>34</v>
      </c>
      <c r="C1765" s="6" t="s">
        <v>14</v>
      </c>
      <c r="D1765" s="6">
        <v>2254</v>
      </c>
      <c r="E1765" s="6">
        <v>484</v>
      </c>
      <c r="F1765" s="6">
        <v>518</v>
      </c>
      <c r="G1765" s="6">
        <v>60</v>
      </c>
      <c r="H1765" s="6">
        <v>15930</v>
      </c>
      <c r="I1765" s="6">
        <v>7</v>
      </c>
      <c r="J1765" s="6">
        <v>85</v>
      </c>
      <c r="K1765" s="6">
        <v>479</v>
      </c>
      <c r="L1765" s="6">
        <v>542</v>
      </c>
      <c r="M1765" s="6">
        <v>16.25</v>
      </c>
      <c r="N1765">
        <f>VLOOKUP(A1765,vlookup_table!$A:$G,2,FALSE)</f>
        <v>0</v>
      </c>
      <c r="O1765" t="str">
        <f>VLOOKUP(A1765,vlookup_table!$A:$G,3,FALSE)</f>
        <v>HI</v>
      </c>
      <c r="P1765">
        <f>VLOOKUP(A1765,vlookup_table!$A:$G,4,FALSE)</f>
        <v>0</v>
      </c>
      <c r="Q1765" t="str">
        <f>VLOOKUP(A1765,vlookup_table!$A:$G,5,FALSE)</f>
        <v>S2</v>
      </c>
      <c r="R1765" t="str">
        <f>VLOOKUP(A1765,vlookup_table!$A:$G,6,FALSE)</f>
        <v>M</v>
      </c>
      <c r="S1765">
        <f>VLOOKUP(A1765,vlookup_table!$A:$G,7,FALSE)</f>
        <v>20</v>
      </c>
      <c r="T1765">
        <f t="shared" si="54"/>
        <v>96</v>
      </c>
      <c r="U1765" t="str">
        <f t="shared" si="55"/>
        <v>Suburbano</v>
      </c>
    </row>
    <row r="1766" spans="1:21" ht="16" x14ac:dyDescent="0.4">
      <c r="A1766" s="6">
        <v>13177</v>
      </c>
      <c r="B1766" s="6" t="s">
        <v>21</v>
      </c>
      <c r="C1766" s="6" t="s">
        <v>14</v>
      </c>
      <c r="D1766" s="6">
        <v>479</v>
      </c>
      <c r="E1766" s="6">
        <v>208</v>
      </c>
      <c r="F1766" s="6">
        <v>322</v>
      </c>
      <c r="G1766" s="6">
        <v>1</v>
      </c>
      <c r="H1766" s="6">
        <v>11081</v>
      </c>
      <c r="I1766" s="6">
        <v>3</v>
      </c>
      <c r="J1766" s="6">
        <v>59</v>
      </c>
      <c r="K1766" s="6">
        <v>268</v>
      </c>
      <c r="L1766" s="6">
        <v>272</v>
      </c>
      <c r="M1766" s="6">
        <v>9.5555555559999998</v>
      </c>
      <c r="N1766">
        <f>VLOOKUP(A1766,vlookup_table!$A:$G,2,FALSE)</f>
        <v>0</v>
      </c>
      <c r="O1766" t="str">
        <f>VLOOKUP(A1766,vlookup_table!$A:$G,3,FALSE)</f>
        <v>CA</v>
      </c>
      <c r="P1766">
        <f>VLOOKUP(A1766,vlookup_table!$A:$G,4,FALSE)</f>
        <v>3901</v>
      </c>
      <c r="Q1766" t="str">
        <f>VLOOKUP(A1766,vlookup_table!$A:$G,5,FALSE)</f>
        <v>T2</v>
      </c>
      <c r="R1766" t="str">
        <f>VLOOKUP(A1766,vlookup_table!$A:$G,6,FALSE)</f>
        <v>M</v>
      </c>
      <c r="S1766">
        <f>VLOOKUP(A1766,vlookup_table!$A:$G,7,FALSE)</f>
        <v>10</v>
      </c>
      <c r="T1766">
        <f t="shared" si="54"/>
        <v>57</v>
      </c>
      <c r="U1766" t="str">
        <f t="shared" si="55"/>
        <v>Pueblo</v>
      </c>
    </row>
    <row r="1767" spans="1:21" ht="16" x14ac:dyDescent="0.4">
      <c r="A1767" s="6">
        <v>38632</v>
      </c>
      <c r="B1767" s="6" t="s">
        <v>13</v>
      </c>
      <c r="C1767" s="6" t="s">
        <v>17</v>
      </c>
      <c r="D1767" s="6">
        <v>860</v>
      </c>
      <c r="E1767" s="6">
        <v>458</v>
      </c>
      <c r="F1767" s="6">
        <v>505</v>
      </c>
      <c r="G1767" s="6">
        <v>0</v>
      </c>
      <c r="H1767" s="6">
        <v>19217</v>
      </c>
      <c r="I1767" s="6">
        <v>24</v>
      </c>
      <c r="J1767" s="6">
        <v>31</v>
      </c>
      <c r="K1767" s="6">
        <v>453</v>
      </c>
      <c r="L1767" s="6">
        <v>495</v>
      </c>
      <c r="M1767" s="6">
        <v>13.51111111</v>
      </c>
      <c r="N1767">
        <f>VLOOKUP(A1767,vlookup_table!$A:$G,2,FALSE)</f>
        <v>0</v>
      </c>
      <c r="O1767" t="str">
        <f>VLOOKUP(A1767,vlookup_table!$A:$G,3,FALSE)</f>
        <v>FL</v>
      </c>
      <c r="P1767">
        <f>VLOOKUP(A1767,vlookup_table!$A:$G,4,FALSE)</f>
        <v>5008</v>
      </c>
      <c r="Q1767" t="str">
        <f>VLOOKUP(A1767,vlookup_table!$A:$G,5,FALSE)</f>
        <v>S1</v>
      </c>
      <c r="R1767" t="str">
        <f>VLOOKUP(A1767,vlookup_table!$A:$G,6,FALSE)</f>
        <v>F</v>
      </c>
      <c r="S1767">
        <f>VLOOKUP(A1767,vlookup_table!$A:$G,7,FALSE)</f>
        <v>38</v>
      </c>
      <c r="T1767">
        <f t="shared" si="54"/>
        <v>46</v>
      </c>
      <c r="U1767" t="str">
        <f t="shared" si="55"/>
        <v>Suburbano</v>
      </c>
    </row>
    <row r="1768" spans="1:21" ht="16" x14ac:dyDescent="0.4">
      <c r="A1768" s="6">
        <v>578</v>
      </c>
      <c r="B1768" s="6" t="s">
        <v>21</v>
      </c>
      <c r="C1768" s="6" t="s">
        <v>17</v>
      </c>
      <c r="D1768" s="6">
        <v>1821</v>
      </c>
      <c r="E1768" s="6">
        <v>454</v>
      </c>
      <c r="F1768" s="6">
        <v>505</v>
      </c>
      <c r="G1768" s="6">
        <v>21</v>
      </c>
      <c r="H1768" s="6">
        <v>17008</v>
      </c>
      <c r="I1768" s="6">
        <v>7</v>
      </c>
      <c r="J1768" s="6">
        <v>39</v>
      </c>
      <c r="K1768" s="6">
        <v>466</v>
      </c>
      <c r="L1768" s="6">
        <v>486</v>
      </c>
      <c r="M1768" s="6">
        <v>7.384615385</v>
      </c>
      <c r="N1768">
        <f>VLOOKUP(A1768,vlookup_table!$A:$G,2,FALSE)</f>
        <v>28</v>
      </c>
      <c r="O1768" t="str">
        <f>VLOOKUP(A1768,vlookup_table!$A:$G,3,FALSE)</f>
        <v>CA</v>
      </c>
      <c r="P1768">
        <f>VLOOKUP(A1768,vlookup_table!$A:$G,4,FALSE)</f>
        <v>0</v>
      </c>
      <c r="Q1768" t="str">
        <f>VLOOKUP(A1768,vlookup_table!$A:$G,5,FALSE)</f>
        <v>S2</v>
      </c>
      <c r="R1768" t="str">
        <f>VLOOKUP(A1768,vlookup_table!$A:$G,6,FALSE)</f>
        <v>F</v>
      </c>
      <c r="S1768">
        <f>VLOOKUP(A1768,vlookup_table!$A:$G,7,FALSE)</f>
        <v>10</v>
      </c>
      <c r="T1768">
        <f t="shared" si="54"/>
        <v>96</v>
      </c>
      <c r="U1768" t="str">
        <f t="shared" si="55"/>
        <v>Suburbano</v>
      </c>
    </row>
    <row r="1769" spans="1:21" ht="16" x14ac:dyDescent="0.4">
      <c r="A1769" s="6">
        <v>186980</v>
      </c>
      <c r="B1769" s="6" t="s">
        <v>20</v>
      </c>
      <c r="C1769" s="6" t="s">
        <v>14</v>
      </c>
      <c r="D1769" s="6">
        <v>1076</v>
      </c>
      <c r="E1769" s="6">
        <v>490</v>
      </c>
      <c r="F1769" s="6">
        <v>578</v>
      </c>
      <c r="G1769" s="6">
        <v>2</v>
      </c>
      <c r="H1769" s="6">
        <v>19138</v>
      </c>
      <c r="I1769" s="6">
        <v>1</v>
      </c>
      <c r="J1769" s="6">
        <v>79</v>
      </c>
      <c r="K1769" s="6">
        <v>503</v>
      </c>
      <c r="L1769" s="6">
        <v>550</v>
      </c>
      <c r="M1769" s="6">
        <v>14.545454550000001</v>
      </c>
      <c r="N1769">
        <f>VLOOKUP(A1769,vlookup_table!$A:$G,2,FALSE)</f>
        <v>0</v>
      </c>
      <c r="O1769" t="str">
        <f>VLOOKUP(A1769,vlookup_table!$A:$G,3,FALSE)</f>
        <v>TX</v>
      </c>
      <c r="P1769">
        <f>VLOOKUP(A1769,vlookup_table!$A:$G,4,FALSE)</f>
        <v>5311</v>
      </c>
      <c r="Q1769" t="str">
        <f>VLOOKUP(A1769,vlookup_table!$A:$G,5,FALSE)</f>
        <v>R2</v>
      </c>
      <c r="R1769" t="str">
        <f>VLOOKUP(A1769,vlookup_table!$A:$G,6,FALSE)</f>
        <v>M</v>
      </c>
      <c r="S1769">
        <f>VLOOKUP(A1769,vlookup_table!$A:$G,7,FALSE)</f>
        <v>50</v>
      </c>
      <c r="T1769">
        <f t="shared" si="54"/>
        <v>43</v>
      </c>
      <c r="U1769" t="str">
        <f t="shared" si="55"/>
        <v>Rural</v>
      </c>
    </row>
    <row r="1770" spans="1:21" ht="16" x14ac:dyDescent="0.4">
      <c r="A1770" s="6">
        <v>172475</v>
      </c>
      <c r="B1770" s="6" t="s">
        <v>21</v>
      </c>
      <c r="C1770" s="6" t="s">
        <v>17</v>
      </c>
      <c r="D1770" s="6">
        <v>1231</v>
      </c>
      <c r="E1770" s="6">
        <v>323</v>
      </c>
      <c r="F1770" s="6">
        <v>412</v>
      </c>
      <c r="G1770" s="6">
        <v>13</v>
      </c>
      <c r="H1770" s="6">
        <v>14716</v>
      </c>
      <c r="I1770" s="6">
        <v>2</v>
      </c>
      <c r="J1770" s="6">
        <v>67</v>
      </c>
      <c r="K1770" s="6">
        <v>398</v>
      </c>
      <c r="L1770" s="6">
        <v>367</v>
      </c>
      <c r="M1770" s="6">
        <v>12.3</v>
      </c>
      <c r="N1770">
        <f>VLOOKUP(A1770,vlookup_table!$A:$G,2,FALSE)</f>
        <v>0</v>
      </c>
      <c r="O1770" t="str">
        <f>VLOOKUP(A1770,vlookup_table!$A:$G,3,FALSE)</f>
        <v>CA</v>
      </c>
      <c r="P1770">
        <f>VLOOKUP(A1770,vlookup_table!$A:$G,4,FALSE)</f>
        <v>4602</v>
      </c>
      <c r="Q1770" t="str">
        <f>VLOOKUP(A1770,vlookup_table!$A:$G,5,FALSE)</f>
        <v>T2</v>
      </c>
      <c r="R1770" t="str">
        <f>VLOOKUP(A1770,vlookup_table!$A:$G,6,FALSE)</f>
        <v>F</v>
      </c>
      <c r="S1770">
        <f>VLOOKUP(A1770,vlookup_table!$A:$G,7,FALSE)</f>
        <v>16</v>
      </c>
      <c r="T1770">
        <f t="shared" si="54"/>
        <v>50</v>
      </c>
      <c r="U1770" t="str">
        <f t="shared" si="55"/>
        <v>Pueblo</v>
      </c>
    </row>
    <row r="1771" spans="1:21" ht="16" x14ac:dyDescent="0.4">
      <c r="A1771" s="6">
        <v>33526</v>
      </c>
      <c r="B1771" s="6" t="s">
        <v>13</v>
      </c>
      <c r="C1771" s="6" t="s">
        <v>17</v>
      </c>
      <c r="D1771" s="6">
        <v>440</v>
      </c>
      <c r="E1771" s="6">
        <v>185</v>
      </c>
      <c r="F1771" s="6">
        <v>299</v>
      </c>
      <c r="G1771" s="6">
        <v>1</v>
      </c>
      <c r="H1771" s="6">
        <v>9983</v>
      </c>
      <c r="I1771" s="6">
        <v>1</v>
      </c>
      <c r="J1771" s="6">
        <v>68</v>
      </c>
      <c r="K1771" s="6">
        <v>231</v>
      </c>
      <c r="L1771" s="6">
        <v>253</v>
      </c>
      <c r="M1771" s="6">
        <v>8.9166666669999994</v>
      </c>
      <c r="N1771">
        <f>VLOOKUP(A1771,vlookup_table!$A:$G,2,FALSE)</f>
        <v>0</v>
      </c>
      <c r="O1771" t="str">
        <f>VLOOKUP(A1771,vlookup_table!$A:$G,3,FALSE)</f>
        <v>FL</v>
      </c>
      <c r="P1771">
        <f>VLOOKUP(A1771,vlookup_table!$A:$G,4,FALSE)</f>
        <v>5308</v>
      </c>
      <c r="Q1771" t="str">
        <f>VLOOKUP(A1771,vlookup_table!$A:$G,5,FALSE)</f>
        <v>R2</v>
      </c>
      <c r="R1771" t="str">
        <f>VLOOKUP(A1771,vlookup_table!$A:$G,6,FALSE)</f>
        <v>F</v>
      </c>
      <c r="S1771">
        <f>VLOOKUP(A1771,vlookup_table!$A:$G,7,FALSE)</f>
        <v>5</v>
      </c>
      <c r="T1771">
        <f t="shared" si="54"/>
        <v>43</v>
      </c>
      <c r="U1771" t="str">
        <f t="shared" si="55"/>
        <v>Rural</v>
      </c>
    </row>
    <row r="1772" spans="1:21" ht="16" x14ac:dyDescent="0.4">
      <c r="A1772" s="6">
        <v>69465</v>
      </c>
      <c r="B1772" s="6" t="s">
        <v>26</v>
      </c>
      <c r="C1772" s="6" t="s">
        <v>14</v>
      </c>
      <c r="D1772" s="6">
        <v>1572</v>
      </c>
      <c r="E1772" s="6">
        <v>566</v>
      </c>
      <c r="F1772" s="6">
        <v>684</v>
      </c>
      <c r="G1772" s="6">
        <v>31</v>
      </c>
      <c r="H1772" s="6">
        <v>23133</v>
      </c>
      <c r="I1772" s="6">
        <v>3</v>
      </c>
      <c r="J1772" s="6">
        <v>79</v>
      </c>
      <c r="K1772" s="6">
        <v>587</v>
      </c>
      <c r="L1772" s="6">
        <v>623</v>
      </c>
      <c r="M1772" s="6">
        <v>10</v>
      </c>
      <c r="N1772">
        <f>VLOOKUP(A1772,vlookup_table!$A:$G,2,FALSE)</f>
        <v>1</v>
      </c>
      <c r="O1772" t="str">
        <f>VLOOKUP(A1772,vlookup_table!$A:$G,3,FALSE)</f>
        <v>MI</v>
      </c>
      <c r="P1772">
        <f>VLOOKUP(A1772,vlookup_table!$A:$G,4,FALSE)</f>
        <v>4601</v>
      </c>
      <c r="Q1772" t="str">
        <f>VLOOKUP(A1772,vlookup_table!$A:$G,5,FALSE)</f>
        <v>S1</v>
      </c>
      <c r="R1772" t="str">
        <f>VLOOKUP(A1772,vlookup_table!$A:$G,6,FALSE)</f>
        <v>M</v>
      </c>
      <c r="S1772">
        <f>VLOOKUP(A1772,vlookup_table!$A:$G,7,FALSE)</f>
        <v>20</v>
      </c>
      <c r="T1772">
        <f t="shared" si="54"/>
        <v>50</v>
      </c>
      <c r="U1772" t="str">
        <f t="shared" si="55"/>
        <v>Suburbano</v>
      </c>
    </row>
    <row r="1773" spans="1:21" ht="16" x14ac:dyDescent="0.4">
      <c r="A1773" s="6">
        <v>190391</v>
      </c>
      <c r="B1773" s="6" t="s">
        <v>18</v>
      </c>
      <c r="C1773" s="6" t="s">
        <v>14</v>
      </c>
      <c r="D1773" s="6">
        <v>347</v>
      </c>
      <c r="E1773" s="6">
        <v>166</v>
      </c>
      <c r="F1773" s="6">
        <v>233</v>
      </c>
      <c r="G1773" s="6">
        <v>2</v>
      </c>
      <c r="H1773" s="6">
        <v>8507</v>
      </c>
      <c r="I1773" s="6">
        <v>1</v>
      </c>
      <c r="J1773" s="6">
        <v>75</v>
      </c>
      <c r="K1773" s="6">
        <v>202</v>
      </c>
      <c r="L1773" s="6">
        <v>204</v>
      </c>
      <c r="M1773" s="6">
        <v>14.75</v>
      </c>
      <c r="N1773">
        <f>VLOOKUP(A1773,vlookup_table!$A:$G,2,FALSE)</f>
        <v>1</v>
      </c>
      <c r="O1773" t="str">
        <f>VLOOKUP(A1773,vlookup_table!$A:$G,3,FALSE)</f>
        <v>NC</v>
      </c>
      <c r="P1773">
        <f>VLOOKUP(A1773,vlookup_table!$A:$G,4,FALSE)</f>
        <v>3003</v>
      </c>
      <c r="Q1773" t="str">
        <f>VLOOKUP(A1773,vlookup_table!$A:$G,5,FALSE)</f>
        <v>R3</v>
      </c>
      <c r="R1773" t="str">
        <f>VLOOKUP(A1773,vlookup_table!$A:$G,6,FALSE)</f>
        <v>M</v>
      </c>
      <c r="S1773">
        <f>VLOOKUP(A1773,vlookup_table!$A:$G,7,FALSE)</f>
        <v>16</v>
      </c>
      <c r="T1773">
        <f t="shared" si="54"/>
        <v>66</v>
      </c>
      <c r="U1773" t="str">
        <f t="shared" si="55"/>
        <v>Rural</v>
      </c>
    </row>
    <row r="1774" spans="1:21" ht="16" x14ac:dyDescent="0.4">
      <c r="A1774" s="6">
        <v>26378</v>
      </c>
      <c r="B1774" s="6" t="s">
        <v>36</v>
      </c>
      <c r="C1774" s="6"/>
      <c r="D1774" s="6">
        <v>1153</v>
      </c>
      <c r="E1774" s="6">
        <v>562</v>
      </c>
      <c r="F1774" s="6">
        <v>629</v>
      </c>
      <c r="G1774" s="6">
        <v>8</v>
      </c>
      <c r="H1774" s="6">
        <v>22327</v>
      </c>
      <c r="I1774" s="6">
        <v>6</v>
      </c>
      <c r="J1774" s="6">
        <v>41</v>
      </c>
      <c r="K1774" s="6">
        <v>583</v>
      </c>
      <c r="L1774" s="6">
        <v>609</v>
      </c>
      <c r="M1774" s="6">
        <v>50</v>
      </c>
      <c r="N1774">
        <f>VLOOKUP(A1774,vlookup_table!$A:$G,2,FALSE)</f>
        <v>0</v>
      </c>
      <c r="O1774" t="str">
        <f>VLOOKUP(A1774,vlookup_table!$A:$G,3,FALSE)</f>
        <v>GA</v>
      </c>
      <c r="P1774">
        <f>VLOOKUP(A1774,vlookup_table!$A:$G,4,FALSE)</f>
        <v>3701</v>
      </c>
      <c r="Q1774" t="str">
        <f>VLOOKUP(A1774,vlookup_table!$A:$G,5,FALSE)</f>
        <v>T1</v>
      </c>
      <c r="R1774" t="str">
        <f>VLOOKUP(A1774,vlookup_table!$A:$G,6,FALSE)</f>
        <v/>
      </c>
      <c r="S1774">
        <f>VLOOKUP(A1774,vlookup_table!$A:$G,7,FALSE)</f>
        <v>100</v>
      </c>
      <c r="T1774">
        <f t="shared" si="54"/>
        <v>59</v>
      </c>
      <c r="U1774" t="str">
        <f t="shared" si="55"/>
        <v>Pueblo</v>
      </c>
    </row>
    <row r="1775" spans="1:21" ht="16" x14ac:dyDescent="0.4">
      <c r="A1775" s="6">
        <v>12998</v>
      </c>
      <c r="B1775" s="6" t="s">
        <v>37</v>
      </c>
      <c r="C1775" s="6" t="s">
        <v>17</v>
      </c>
      <c r="D1775" s="6">
        <v>2075</v>
      </c>
      <c r="E1775" s="6">
        <v>723</v>
      </c>
      <c r="F1775" s="6">
        <v>845</v>
      </c>
      <c r="G1775" s="6">
        <v>53</v>
      </c>
      <c r="H1775" s="6">
        <v>29233</v>
      </c>
      <c r="I1775" s="6">
        <v>7</v>
      </c>
      <c r="J1775" s="6">
        <v>46</v>
      </c>
      <c r="K1775" s="6">
        <v>743</v>
      </c>
      <c r="L1775" s="6">
        <v>823</v>
      </c>
      <c r="M1775" s="6">
        <v>5.5172413789999997</v>
      </c>
      <c r="N1775">
        <f>VLOOKUP(A1775,vlookup_table!$A:$G,2,FALSE)</f>
        <v>0</v>
      </c>
      <c r="O1775" t="str">
        <f>VLOOKUP(A1775,vlookup_table!$A:$G,3,FALSE)</f>
        <v>WA</v>
      </c>
      <c r="P1775">
        <f>VLOOKUP(A1775,vlookup_table!$A:$G,4,FALSE)</f>
        <v>1801</v>
      </c>
      <c r="Q1775" t="str">
        <f>VLOOKUP(A1775,vlookup_table!$A:$G,5,FALSE)</f>
        <v>U1</v>
      </c>
      <c r="R1775" t="str">
        <f>VLOOKUP(A1775,vlookup_table!$A:$G,6,FALSE)</f>
        <v>F</v>
      </c>
      <c r="S1775">
        <f>VLOOKUP(A1775,vlookup_table!$A:$G,7,FALSE)</f>
        <v>6</v>
      </c>
      <c r="T1775">
        <f t="shared" si="54"/>
        <v>78</v>
      </c>
      <c r="U1775" t="str">
        <f t="shared" si="55"/>
        <v>Urbano</v>
      </c>
    </row>
    <row r="1776" spans="1:21" ht="16" x14ac:dyDescent="0.4">
      <c r="A1776" s="6">
        <v>128035</v>
      </c>
      <c r="B1776" s="6" t="s">
        <v>20</v>
      </c>
      <c r="C1776" s="6" t="s">
        <v>17</v>
      </c>
      <c r="D1776" s="6">
        <v>360</v>
      </c>
      <c r="E1776" s="6">
        <v>167</v>
      </c>
      <c r="F1776" s="6">
        <v>269</v>
      </c>
      <c r="G1776" s="6">
        <v>0</v>
      </c>
      <c r="H1776" s="6">
        <v>8048</v>
      </c>
      <c r="I1776" s="6">
        <v>1</v>
      </c>
      <c r="J1776" s="6">
        <v>85</v>
      </c>
      <c r="K1776" s="6">
        <v>235</v>
      </c>
      <c r="L1776" s="6">
        <v>219</v>
      </c>
      <c r="M1776" s="6">
        <v>11.9</v>
      </c>
      <c r="N1776">
        <f>VLOOKUP(A1776,vlookup_table!$A:$G,2,FALSE)</f>
        <v>1</v>
      </c>
      <c r="O1776" t="str">
        <f>VLOOKUP(A1776,vlookup_table!$A:$G,3,FALSE)</f>
        <v>TX</v>
      </c>
      <c r="P1776">
        <f>VLOOKUP(A1776,vlookup_table!$A:$G,4,FALSE)</f>
        <v>2506</v>
      </c>
      <c r="Q1776" t="str">
        <f>VLOOKUP(A1776,vlookup_table!$A:$G,5,FALSE)</f>
        <v>T2</v>
      </c>
      <c r="R1776" t="str">
        <f>VLOOKUP(A1776,vlookup_table!$A:$G,6,FALSE)</f>
        <v>F</v>
      </c>
      <c r="S1776">
        <f>VLOOKUP(A1776,vlookup_table!$A:$G,7,FALSE)</f>
        <v>21</v>
      </c>
      <c r="T1776">
        <f t="shared" si="54"/>
        <v>71</v>
      </c>
      <c r="U1776" t="str">
        <f t="shared" si="55"/>
        <v>Pueblo</v>
      </c>
    </row>
    <row r="1777" spans="1:21" ht="16" x14ac:dyDescent="0.4">
      <c r="A1777" s="6">
        <v>16756</v>
      </c>
      <c r="B1777" s="6" t="s">
        <v>18</v>
      </c>
      <c r="C1777" s="6" t="s">
        <v>14</v>
      </c>
      <c r="D1777" s="6">
        <v>542</v>
      </c>
      <c r="E1777" s="6">
        <v>211</v>
      </c>
      <c r="F1777" s="6">
        <v>361</v>
      </c>
      <c r="G1777" s="6">
        <v>1</v>
      </c>
      <c r="H1777" s="6">
        <v>19216</v>
      </c>
      <c r="I1777" s="6">
        <v>2</v>
      </c>
      <c r="J1777" s="6">
        <v>74</v>
      </c>
      <c r="K1777" s="6">
        <v>245</v>
      </c>
      <c r="L1777" s="6">
        <v>269</v>
      </c>
      <c r="M1777" s="6">
        <v>15.4</v>
      </c>
      <c r="N1777">
        <f>VLOOKUP(A1777,vlookup_table!$A:$G,2,FALSE)</f>
        <v>0</v>
      </c>
      <c r="O1777" t="str">
        <f>VLOOKUP(A1777,vlookup_table!$A:$G,3,FALSE)</f>
        <v>NC</v>
      </c>
      <c r="P1777">
        <f>VLOOKUP(A1777,vlookup_table!$A:$G,4,FALSE)</f>
        <v>6801</v>
      </c>
      <c r="Q1777" t="str">
        <f>VLOOKUP(A1777,vlookup_table!$A:$G,5,FALSE)</f>
        <v>S2</v>
      </c>
      <c r="R1777" t="str">
        <f>VLOOKUP(A1777,vlookup_table!$A:$G,6,FALSE)</f>
        <v>M</v>
      </c>
      <c r="S1777">
        <f>VLOOKUP(A1777,vlookup_table!$A:$G,7,FALSE)</f>
        <v>15</v>
      </c>
      <c r="T1777">
        <f t="shared" si="54"/>
        <v>28</v>
      </c>
      <c r="U1777" t="str">
        <f t="shared" si="55"/>
        <v>Suburbano</v>
      </c>
    </row>
    <row r="1778" spans="1:21" ht="16" x14ac:dyDescent="0.4">
      <c r="A1778" s="6">
        <v>142313</v>
      </c>
      <c r="B1778" s="6" t="s">
        <v>23</v>
      </c>
      <c r="C1778" s="6" t="s">
        <v>17</v>
      </c>
      <c r="D1778" s="6">
        <v>948</v>
      </c>
      <c r="E1778" s="6">
        <v>325</v>
      </c>
      <c r="F1778" s="6">
        <v>398</v>
      </c>
      <c r="G1778" s="6">
        <v>3</v>
      </c>
      <c r="H1778" s="6">
        <v>15038</v>
      </c>
      <c r="I1778" s="6">
        <v>9</v>
      </c>
      <c r="J1778" s="6">
        <v>19</v>
      </c>
      <c r="K1778" s="6">
        <v>353</v>
      </c>
      <c r="L1778" s="6">
        <v>367</v>
      </c>
      <c r="M1778" s="6">
        <v>3.411764706</v>
      </c>
      <c r="N1778">
        <f>VLOOKUP(A1778,vlookup_table!$A:$G,2,FALSE)</f>
        <v>28</v>
      </c>
      <c r="O1778" t="str">
        <f>VLOOKUP(A1778,vlookup_table!$A:$G,3,FALSE)</f>
        <v>NV</v>
      </c>
      <c r="P1778">
        <f>VLOOKUP(A1778,vlookup_table!$A:$G,4,FALSE)</f>
        <v>3701</v>
      </c>
      <c r="Q1778" t="str">
        <f>VLOOKUP(A1778,vlookup_table!$A:$G,5,FALSE)</f>
        <v>T2</v>
      </c>
      <c r="R1778" t="str">
        <f>VLOOKUP(A1778,vlookup_table!$A:$G,6,FALSE)</f>
        <v>F</v>
      </c>
      <c r="S1778">
        <f>VLOOKUP(A1778,vlookup_table!$A:$G,7,FALSE)</f>
        <v>1</v>
      </c>
      <c r="T1778">
        <f t="shared" si="54"/>
        <v>59</v>
      </c>
      <c r="U1778" t="str">
        <f t="shared" si="55"/>
        <v>Pueblo</v>
      </c>
    </row>
    <row r="1779" spans="1:21" ht="16" x14ac:dyDescent="0.4">
      <c r="A1779" s="6">
        <v>132903</v>
      </c>
      <c r="B1779" s="6" t="s">
        <v>58</v>
      </c>
      <c r="C1779" s="6" t="s">
        <v>17</v>
      </c>
      <c r="D1779" s="6">
        <v>483</v>
      </c>
      <c r="E1779" s="6">
        <v>180</v>
      </c>
      <c r="F1779" s="6">
        <v>223</v>
      </c>
      <c r="G1779" s="6">
        <v>2</v>
      </c>
      <c r="H1779" s="6">
        <v>7610</v>
      </c>
      <c r="I1779" s="6">
        <v>0</v>
      </c>
      <c r="J1779" s="6">
        <v>61</v>
      </c>
      <c r="K1779" s="6">
        <v>206</v>
      </c>
      <c r="L1779" s="6">
        <v>207</v>
      </c>
      <c r="M1779" s="6">
        <v>15</v>
      </c>
      <c r="N1779">
        <f>VLOOKUP(A1779,vlookup_table!$A:$G,2,FALSE)</f>
        <v>0</v>
      </c>
      <c r="O1779" t="str">
        <f>VLOOKUP(A1779,vlookup_table!$A:$G,3,FALSE)</f>
        <v>WY</v>
      </c>
      <c r="P1779">
        <f>VLOOKUP(A1779,vlookup_table!$A:$G,4,FALSE)</f>
        <v>6201</v>
      </c>
      <c r="Q1779" t="str">
        <f>VLOOKUP(A1779,vlookup_table!$A:$G,5,FALSE)</f>
        <v>R2</v>
      </c>
      <c r="R1779" t="str">
        <f>VLOOKUP(A1779,vlookup_table!$A:$G,6,FALSE)</f>
        <v>F</v>
      </c>
      <c r="S1779">
        <f>VLOOKUP(A1779,vlookup_table!$A:$G,7,FALSE)</f>
        <v>21</v>
      </c>
      <c r="T1779">
        <f t="shared" si="54"/>
        <v>34</v>
      </c>
      <c r="U1779" t="str">
        <f t="shared" si="55"/>
        <v>Rural</v>
      </c>
    </row>
    <row r="1780" spans="1:21" ht="16" x14ac:dyDescent="0.4">
      <c r="A1780" s="6">
        <v>153957</v>
      </c>
      <c r="B1780" s="6" t="s">
        <v>21</v>
      </c>
      <c r="C1780" s="6" t="s">
        <v>17</v>
      </c>
      <c r="D1780" s="6">
        <v>1488</v>
      </c>
      <c r="E1780" s="6">
        <v>406</v>
      </c>
      <c r="F1780" s="6">
        <v>407</v>
      </c>
      <c r="G1780" s="6">
        <v>5</v>
      </c>
      <c r="H1780" s="6">
        <v>10419</v>
      </c>
      <c r="I1780" s="6">
        <v>34</v>
      </c>
      <c r="J1780" s="6">
        <v>36</v>
      </c>
      <c r="K1780" s="6">
        <v>400</v>
      </c>
      <c r="L1780" s="6">
        <v>402</v>
      </c>
      <c r="M1780" s="6">
        <v>9</v>
      </c>
      <c r="N1780">
        <f>VLOOKUP(A1780,vlookup_table!$A:$G,2,FALSE)</f>
        <v>28</v>
      </c>
      <c r="O1780" t="str">
        <f>VLOOKUP(A1780,vlookup_table!$A:$G,3,FALSE)</f>
        <v>CA</v>
      </c>
      <c r="P1780">
        <f>VLOOKUP(A1780,vlookup_table!$A:$G,4,FALSE)</f>
        <v>5601</v>
      </c>
      <c r="Q1780" t="str">
        <f>VLOOKUP(A1780,vlookup_table!$A:$G,5,FALSE)</f>
        <v>S2</v>
      </c>
      <c r="R1780" t="str">
        <f>VLOOKUP(A1780,vlookup_table!$A:$G,6,FALSE)</f>
        <v>F</v>
      </c>
      <c r="S1780">
        <f>VLOOKUP(A1780,vlookup_table!$A:$G,7,FALSE)</f>
        <v>5</v>
      </c>
      <c r="T1780">
        <f t="shared" si="54"/>
        <v>40</v>
      </c>
      <c r="U1780" t="str">
        <f t="shared" si="55"/>
        <v>Suburbano</v>
      </c>
    </row>
    <row r="1781" spans="1:21" ht="16" x14ac:dyDescent="0.4">
      <c r="A1781" s="6">
        <v>61808</v>
      </c>
      <c r="B1781" s="6" t="s">
        <v>30</v>
      </c>
      <c r="C1781" s="6" t="s">
        <v>14</v>
      </c>
      <c r="D1781" s="6">
        <v>809</v>
      </c>
      <c r="E1781" s="6">
        <v>385</v>
      </c>
      <c r="F1781" s="6">
        <v>511</v>
      </c>
      <c r="G1781" s="6">
        <v>1</v>
      </c>
      <c r="H1781" s="6">
        <v>14699</v>
      </c>
      <c r="I1781" s="6">
        <v>5</v>
      </c>
      <c r="J1781" s="6">
        <v>70</v>
      </c>
      <c r="K1781" s="6">
        <v>482</v>
      </c>
      <c r="L1781" s="6">
        <v>413</v>
      </c>
      <c r="M1781" s="6">
        <v>20</v>
      </c>
      <c r="N1781">
        <f>VLOOKUP(A1781,vlookup_table!$A:$G,2,FALSE)</f>
        <v>1</v>
      </c>
      <c r="O1781" t="str">
        <f>VLOOKUP(A1781,vlookup_table!$A:$G,3,FALSE)</f>
        <v>IN</v>
      </c>
      <c r="P1781">
        <f>VLOOKUP(A1781,vlookup_table!$A:$G,4,FALSE)</f>
        <v>4901</v>
      </c>
      <c r="Q1781" t="str">
        <f>VLOOKUP(A1781,vlookup_table!$A:$G,5,FALSE)</f>
        <v>T2</v>
      </c>
      <c r="R1781" t="str">
        <f>VLOOKUP(A1781,vlookup_table!$A:$G,6,FALSE)</f>
        <v>M</v>
      </c>
      <c r="S1781">
        <f>VLOOKUP(A1781,vlookup_table!$A:$G,7,FALSE)</f>
        <v>25</v>
      </c>
      <c r="T1781">
        <f t="shared" si="54"/>
        <v>47</v>
      </c>
      <c r="U1781" t="str">
        <f t="shared" si="55"/>
        <v>Pueblo</v>
      </c>
    </row>
    <row r="1782" spans="1:21" ht="16" x14ac:dyDescent="0.4">
      <c r="A1782" s="6">
        <v>143707</v>
      </c>
      <c r="B1782" s="6" t="s">
        <v>21</v>
      </c>
      <c r="C1782" s="6" t="s">
        <v>14</v>
      </c>
      <c r="D1782" s="6">
        <v>2083</v>
      </c>
      <c r="E1782" s="6">
        <v>198</v>
      </c>
      <c r="F1782" s="6">
        <v>211</v>
      </c>
      <c r="G1782" s="6">
        <v>53</v>
      </c>
      <c r="H1782" s="6">
        <v>6972</v>
      </c>
      <c r="I1782" s="6">
        <v>72</v>
      </c>
      <c r="J1782" s="6">
        <v>20</v>
      </c>
      <c r="K1782" s="6">
        <v>186</v>
      </c>
      <c r="L1782" s="6">
        <v>220</v>
      </c>
      <c r="M1782" s="6">
        <v>3.8125</v>
      </c>
      <c r="N1782">
        <f>VLOOKUP(A1782,vlookup_table!$A:$G,2,FALSE)</f>
        <v>0</v>
      </c>
      <c r="O1782" t="str">
        <f>VLOOKUP(A1782,vlookup_table!$A:$G,3,FALSE)</f>
        <v>CA</v>
      </c>
      <c r="P1782">
        <f>VLOOKUP(A1782,vlookup_table!$A:$G,4,FALSE)</f>
        <v>5901</v>
      </c>
      <c r="Q1782" t="str">
        <f>VLOOKUP(A1782,vlookup_table!$A:$G,5,FALSE)</f>
        <v>U2</v>
      </c>
      <c r="R1782" t="str">
        <f>VLOOKUP(A1782,vlookup_table!$A:$G,6,FALSE)</f>
        <v>M</v>
      </c>
      <c r="S1782">
        <f>VLOOKUP(A1782,vlookup_table!$A:$G,7,FALSE)</f>
        <v>4</v>
      </c>
      <c r="T1782">
        <f t="shared" si="54"/>
        <v>37</v>
      </c>
      <c r="U1782" t="str">
        <f t="shared" si="55"/>
        <v>Urbano</v>
      </c>
    </row>
    <row r="1783" spans="1:21" ht="16" x14ac:dyDescent="0.4">
      <c r="A1783" s="6">
        <v>122001</v>
      </c>
      <c r="B1783" s="6" t="s">
        <v>20</v>
      </c>
      <c r="C1783" s="6" t="s">
        <v>14</v>
      </c>
      <c r="D1783" s="6">
        <v>597</v>
      </c>
      <c r="E1783" s="6">
        <v>425</v>
      </c>
      <c r="F1783" s="6">
        <v>488</v>
      </c>
      <c r="G1783" s="6">
        <v>0</v>
      </c>
      <c r="H1783" s="6">
        <v>17264</v>
      </c>
      <c r="I1783" s="6">
        <v>25</v>
      </c>
      <c r="J1783" s="6">
        <v>38</v>
      </c>
      <c r="K1783" s="6">
        <v>448</v>
      </c>
      <c r="L1783" s="6">
        <v>475</v>
      </c>
      <c r="M1783" s="6">
        <v>13</v>
      </c>
      <c r="N1783">
        <f>VLOOKUP(A1783,vlookup_table!$A:$G,2,FALSE)</f>
        <v>1</v>
      </c>
      <c r="O1783" t="str">
        <f>VLOOKUP(A1783,vlookup_table!$A:$G,3,FALSE)</f>
        <v>TX</v>
      </c>
      <c r="P1783">
        <f>VLOOKUP(A1783,vlookup_table!$A:$G,4,FALSE)</f>
        <v>6001</v>
      </c>
      <c r="Q1783" t="str">
        <f>VLOOKUP(A1783,vlookup_table!$A:$G,5,FALSE)</f>
        <v>S1</v>
      </c>
      <c r="R1783" t="str">
        <f>VLOOKUP(A1783,vlookup_table!$A:$G,6,FALSE)</f>
        <v>M</v>
      </c>
      <c r="S1783">
        <f>VLOOKUP(A1783,vlookup_table!$A:$G,7,FALSE)</f>
        <v>30</v>
      </c>
      <c r="T1783">
        <f t="shared" si="54"/>
        <v>36</v>
      </c>
      <c r="U1783" t="str">
        <f t="shared" si="55"/>
        <v>Suburbano</v>
      </c>
    </row>
    <row r="1784" spans="1:21" ht="16" x14ac:dyDescent="0.4">
      <c r="A1784" s="6">
        <v>180786</v>
      </c>
      <c r="B1784" s="6" t="s">
        <v>37</v>
      </c>
      <c r="C1784" s="6" t="s">
        <v>14</v>
      </c>
      <c r="D1784" s="6">
        <v>1271</v>
      </c>
      <c r="E1784" s="6">
        <v>324</v>
      </c>
      <c r="F1784" s="6">
        <v>417</v>
      </c>
      <c r="G1784" s="6">
        <v>22</v>
      </c>
      <c r="H1784" s="6">
        <v>17340</v>
      </c>
      <c r="I1784" s="6">
        <v>6</v>
      </c>
      <c r="J1784" s="6">
        <v>53</v>
      </c>
      <c r="K1784" s="6">
        <v>351</v>
      </c>
      <c r="L1784" s="6">
        <v>393</v>
      </c>
      <c r="M1784" s="6">
        <v>9.5</v>
      </c>
      <c r="N1784">
        <f>VLOOKUP(A1784,vlookup_table!$A:$G,2,FALSE)</f>
        <v>1</v>
      </c>
      <c r="O1784" t="str">
        <f>VLOOKUP(A1784,vlookup_table!$A:$G,3,FALSE)</f>
        <v>WA</v>
      </c>
      <c r="P1784">
        <f>VLOOKUP(A1784,vlookup_table!$A:$G,4,FALSE)</f>
        <v>2106</v>
      </c>
      <c r="Q1784" t="str">
        <f>VLOOKUP(A1784,vlookup_table!$A:$G,5,FALSE)</f>
        <v>C1</v>
      </c>
      <c r="R1784" t="str">
        <f>VLOOKUP(A1784,vlookup_table!$A:$G,6,FALSE)</f>
        <v>M</v>
      </c>
      <c r="S1784">
        <f>VLOOKUP(A1784,vlookup_table!$A:$G,7,FALSE)</f>
        <v>18</v>
      </c>
      <c r="T1784">
        <f t="shared" si="54"/>
        <v>75</v>
      </c>
      <c r="U1784" t="str">
        <f t="shared" si="55"/>
        <v>Ciudad</v>
      </c>
    </row>
    <row r="1785" spans="1:21" ht="16" x14ac:dyDescent="0.4">
      <c r="A1785" s="6">
        <v>96031</v>
      </c>
      <c r="B1785" s="6" t="s">
        <v>16</v>
      </c>
      <c r="C1785" s="6" t="s">
        <v>14</v>
      </c>
      <c r="D1785" s="6">
        <v>440</v>
      </c>
      <c r="E1785" s="6">
        <v>286</v>
      </c>
      <c r="F1785" s="6">
        <v>375</v>
      </c>
      <c r="G1785" s="6">
        <v>0</v>
      </c>
      <c r="H1785" s="6">
        <v>12840</v>
      </c>
      <c r="I1785" s="6">
        <v>1</v>
      </c>
      <c r="J1785" s="6">
        <v>88</v>
      </c>
      <c r="K1785" s="6">
        <v>331</v>
      </c>
      <c r="L1785" s="6">
        <v>323</v>
      </c>
      <c r="M1785" s="6">
        <v>6</v>
      </c>
      <c r="N1785">
        <f>VLOOKUP(A1785,vlookup_table!$A:$G,2,FALSE)</f>
        <v>1002</v>
      </c>
      <c r="O1785" t="str">
        <f>VLOOKUP(A1785,vlookup_table!$A:$G,3,FALSE)</f>
        <v>IL</v>
      </c>
      <c r="P1785">
        <f>VLOOKUP(A1785,vlookup_table!$A:$G,4,FALSE)</f>
        <v>3601</v>
      </c>
      <c r="Q1785" t="str">
        <f>VLOOKUP(A1785,vlookup_table!$A:$G,5,FALSE)</f>
        <v>R2</v>
      </c>
      <c r="R1785" t="str">
        <f>VLOOKUP(A1785,vlookup_table!$A:$G,6,FALSE)</f>
        <v>M</v>
      </c>
      <c r="S1785">
        <f>VLOOKUP(A1785,vlookup_table!$A:$G,7,FALSE)</f>
        <v>5</v>
      </c>
      <c r="T1785">
        <f t="shared" si="54"/>
        <v>60</v>
      </c>
      <c r="U1785" t="str">
        <f t="shared" si="55"/>
        <v>Rural</v>
      </c>
    </row>
    <row r="1786" spans="1:21" ht="16" x14ac:dyDescent="0.4">
      <c r="A1786" s="6">
        <v>60477</v>
      </c>
      <c r="B1786" s="6" t="s">
        <v>30</v>
      </c>
      <c r="C1786" s="6" t="s">
        <v>14</v>
      </c>
      <c r="D1786" s="6">
        <v>614</v>
      </c>
      <c r="E1786" s="6">
        <v>289</v>
      </c>
      <c r="F1786" s="6">
        <v>385</v>
      </c>
      <c r="G1786" s="6">
        <v>0</v>
      </c>
      <c r="H1786" s="6">
        <v>16415</v>
      </c>
      <c r="I1786" s="6">
        <v>2</v>
      </c>
      <c r="J1786" s="6">
        <v>76</v>
      </c>
      <c r="K1786" s="6">
        <v>317</v>
      </c>
      <c r="L1786" s="6">
        <v>335</v>
      </c>
      <c r="M1786" s="6">
        <v>15</v>
      </c>
      <c r="N1786">
        <f>VLOOKUP(A1786,vlookup_table!$A:$G,2,FALSE)</f>
        <v>30</v>
      </c>
      <c r="O1786" t="str">
        <f>VLOOKUP(A1786,vlookup_table!$A:$G,3,FALSE)</f>
        <v>IN</v>
      </c>
      <c r="P1786">
        <f>VLOOKUP(A1786,vlookup_table!$A:$G,4,FALSE)</f>
        <v>2401</v>
      </c>
      <c r="Q1786" t="str">
        <f>VLOOKUP(A1786,vlookup_table!$A:$G,5,FALSE)</f>
        <v>C3</v>
      </c>
      <c r="R1786" t="str">
        <f>VLOOKUP(A1786,vlookup_table!$A:$G,6,FALSE)</f>
        <v>M</v>
      </c>
      <c r="S1786">
        <f>VLOOKUP(A1786,vlookup_table!$A:$G,7,FALSE)</f>
        <v>20</v>
      </c>
      <c r="T1786">
        <f t="shared" si="54"/>
        <v>72</v>
      </c>
      <c r="U1786" t="str">
        <f t="shared" si="55"/>
        <v>Ciudad</v>
      </c>
    </row>
    <row r="1787" spans="1:21" ht="16" x14ac:dyDescent="0.4">
      <c r="A1787" s="6">
        <v>144310</v>
      </c>
      <c r="B1787" s="6" t="s">
        <v>21</v>
      </c>
      <c r="C1787" s="6" t="s">
        <v>14</v>
      </c>
      <c r="D1787" s="6">
        <v>2424</v>
      </c>
      <c r="E1787" s="6">
        <v>426</v>
      </c>
      <c r="F1787" s="6">
        <v>542</v>
      </c>
      <c r="G1787" s="6">
        <v>75</v>
      </c>
      <c r="H1787" s="6">
        <v>19561</v>
      </c>
      <c r="I1787" s="6">
        <v>32</v>
      </c>
      <c r="J1787" s="6">
        <v>47</v>
      </c>
      <c r="K1787" s="6">
        <v>446</v>
      </c>
      <c r="L1787" s="6">
        <v>483</v>
      </c>
      <c r="M1787" s="6">
        <v>14.5</v>
      </c>
      <c r="N1787">
        <f>VLOOKUP(A1787,vlookup_table!$A:$G,2,FALSE)</f>
        <v>1</v>
      </c>
      <c r="O1787" t="str">
        <f>VLOOKUP(A1787,vlookup_table!$A:$G,3,FALSE)</f>
        <v>CA</v>
      </c>
      <c r="P1787">
        <f>VLOOKUP(A1787,vlookup_table!$A:$G,4,FALSE)</f>
        <v>3801</v>
      </c>
      <c r="Q1787" t="str">
        <f>VLOOKUP(A1787,vlookup_table!$A:$G,5,FALSE)</f>
        <v>U2</v>
      </c>
      <c r="R1787" t="str">
        <f>VLOOKUP(A1787,vlookup_table!$A:$G,6,FALSE)</f>
        <v>M</v>
      </c>
      <c r="S1787">
        <f>VLOOKUP(A1787,vlookup_table!$A:$G,7,FALSE)</f>
        <v>6</v>
      </c>
      <c r="T1787">
        <f t="shared" si="54"/>
        <v>58</v>
      </c>
      <c r="U1787" t="str">
        <f t="shared" si="55"/>
        <v>Urbano</v>
      </c>
    </row>
    <row r="1788" spans="1:21" ht="16" x14ac:dyDescent="0.4">
      <c r="A1788" s="6">
        <v>2170</v>
      </c>
      <c r="B1788" s="6" t="s">
        <v>26</v>
      </c>
      <c r="C1788" s="6" t="s">
        <v>17</v>
      </c>
      <c r="D1788" s="6">
        <v>923</v>
      </c>
      <c r="E1788" s="6">
        <v>299</v>
      </c>
      <c r="F1788" s="6">
        <v>409</v>
      </c>
      <c r="G1788" s="6">
        <v>3</v>
      </c>
      <c r="H1788" s="6">
        <v>15965</v>
      </c>
      <c r="I1788" s="6">
        <v>3</v>
      </c>
      <c r="J1788" s="6">
        <v>79</v>
      </c>
      <c r="K1788" s="6">
        <v>364</v>
      </c>
      <c r="L1788" s="6">
        <v>353</v>
      </c>
      <c r="M1788" s="6">
        <v>7.6071428570000004</v>
      </c>
      <c r="N1788">
        <f>VLOOKUP(A1788,vlookup_table!$A:$G,2,FALSE)</f>
        <v>0</v>
      </c>
      <c r="O1788" t="str">
        <f>VLOOKUP(A1788,vlookup_table!$A:$G,3,FALSE)</f>
        <v>MI</v>
      </c>
      <c r="P1788">
        <f>VLOOKUP(A1788,vlookup_table!$A:$G,4,FALSE)</f>
        <v>3003</v>
      </c>
      <c r="Q1788" t="str">
        <f>VLOOKUP(A1788,vlookup_table!$A:$G,5,FALSE)</f>
        <v>T2</v>
      </c>
      <c r="R1788" t="str">
        <f>VLOOKUP(A1788,vlookup_table!$A:$G,6,FALSE)</f>
        <v>F</v>
      </c>
      <c r="S1788">
        <f>VLOOKUP(A1788,vlookup_table!$A:$G,7,FALSE)</f>
        <v>7</v>
      </c>
      <c r="T1788">
        <f t="shared" si="54"/>
        <v>66</v>
      </c>
      <c r="U1788" t="str">
        <f t="shared" si="55"/>
        <v>Pueblo</v>
      </c>
    </row>
    <row r="1789" spans="1:21" ht="16" x14ac:dyDescent="0.4">
      <c r="A1789" s="6">
        <v>7846</v>
      </c>
      <c r="B1789" s="6" t="s">
        <v>20</v>
      </c>
      <c r="C1789" s="6" t="s">
        <v>14</v>
      </c>
      <c r="D1789" s="6">
        <v>577</v>
      </c>
      <c r="E1789" s="6">
        <v>425</v>
      </c>
      <c r="F1789" s="6">
        <v>454</v>
      </c>
      <c r="G1789" s="6">
        <v>0</v>
      </c>
      <c r="H1789" s="6">
        <v>12951</v>
      </c>
      <c r="I1789" s="6">
        <v>18</v>
      </c>
      <c r="J1789" s="6">
        <v>62</v>
      </c>
      <c r="K1789" s="6">
        <v>437</v>
      </c>
      <c r="L1789" s="6">
        <v>437</v>
      </c>
      <c r="M1789" s="6">
        <v>7.375</v>
      </c>
      <c r="N1789">
        <f>VLOOKUP(A1789,vlookup_table!$A:$G,2,FALSE)</f>
        <v>0</v>
      </c>
      <c r="O1789" t="str">
        <f>VLOOKUP(A1789,vlookup_table!$A:$G,3,FALSE)</f>
        <v>TX</v>
      </c>
      <c r="P1789">
        <f>VLOOKUP(A1789,vlookup_table!$A:$G,4,FALSE)</f>
        <v>0</v>
      </c>
      <c r="Q1789" t="str">
        <f>VLOOKUP(A1789,vlookup_table!$A:$G,5,FALSE)</f>
        <v>S2</v>
      </c>
      <c r="R1789" t="str">
        <f>VLOOKUP(A1789,vlookup_table!$A:$G,6,FALSE)</f>
        <v>M</v>
      </c>
      <c r="S1789">
        <f>VLOOKUP(A1789,vlookup_table!$A:$G,7,FALSE)</f>
        <v>10</v>
      </c>
      <c r="T1789">
        <f t="shared" si="54"/>
        <v>96</v>
      </c>
      <c r="U1789" t="str">
        <f t="shared" si="55"/>
        <v>Suburbano</v>
      </c>
    </row>
    <row r="1790" spans="1:21" ht="16" x14ac:dyDescent="0.4">
      <c r="A1790" s="6">
        <v>71904</v>
      </c>
      <c r="B1790" s="6" t="s">
        <v>26</v>
      </c>
      <c r="C1790" s="6" t="s">
        <v>14</v>
      </c>
      <c r="D1790" s="6">
        <v>347</v>
      </c>
      <c r="E1790" s="6">
        <v>245</v>
      </c>
      <c r="F1790" s="6">
        <v>328</v>
      </c>
      <c r="G1790" s="6">
        <v>0</v>
      </c>
      <c r="H1790" s="6">
        <v>12777</v>
      </c>
      <c r="I1790" s="6">
        <v>0</v>
      </c>
      <c r="J1790" s="6">
        <v>74</v>
      </c>
      <c r="K1790" s="6">
        <v>310</v>
      </c>
      <c r="L1790" s="6">
        <v>286</v>
      </c>
      <c r="M1790" s="6">
        <v>4.904761905</v>
      </c>
      <c r="N1790">
        <f>VLOOKUP(A1790,vlookup_table!$A:$G,2,FALSE)</f>
        <v>1</v>
      </c>
      <c r="O1790" t="str">
        <f>VLOOKUP(A1790,vlookup_table!$A:$G,3,FALSE)</f>
        <v>MI</v>
      </c>
      <c r="P1790">
        <f>VLOOKUP(A1790,vlookup_table!$A:$G,4,FALSE)</f>
        <v>1901</v>
      </c>
      <c r="Q1790" t="str">
        <f>VLOOKUP(A1790,vlookup_table!$A:$G,5,FALSE)</f>
        <v>C3</v>
      </c>
      <c r="R1790" t="str">
        <f>VLOOKUP(A1790,vlookup_table!$A:$G,6,FALSE)</f>
        <v>M</v>
      </c>
      <c r="S1790">
        <f>VLOOKUP(A1790,vlookup_table!$A:$G,7,FALSE)</f>
        <v>7</v>
      </c>
      <c r="T1790">
        <f t="shared" si="54"/>
        <v>77</v>
      </c>
      <c r="U1790" t="str">
        <f t="shared" si="55"/>
        <v>Ciudad</v>
      </c>
    </row>
    <row r="1791" spans="1:21" ht="16" x14ac:dyDescent="0.4">
      <c r="A1791" s="6">
        <v>2512</v>
      </c>
      <c r="B1791" s="6" t="s">
        <v>18</v>
      </c>
      <c r="C1791" s="6" t="s">
        <v>14</v>
      </c>
      <c r="D1791" s="6">
        <v>1250</v>
      </c>
      <c r="E1791" s="6">
        <v>319</v>
      </c>
      <c r="F1791" s="6">
        <v>540</v>
      </c>
      <c r="G1791" s="6">
        <v>8</v>
      </c>
      <c r="H1791" s="6">
        <v>25660</v>
      </c>
      <c r="I1791" s="6">
        <v>3</v>
      </c>
      <c r="J1791" s="6">
        <v>33</v>
      </c>
      <c r="K1791" s="6">
        <v>411</v>
      </c>
      <c r="L1791" s="6">
        <v>429</v>
      </c>
      <c r="M1791" s="6">
        <v>25</v>
      </c>
      <c r="N1791">
        <f>VLOOKUP(A1791,vlookup_table!$A:$G,2,FALSE)</f>
        <v>1002</v>
      </c>
      <c r="O1791" t="str">
        <f>VLOOKUP(A1791,vlookup_table!$A:$G,3,FALSE)</f>
        <v>NC</v>
      </c>
      <c r="P1791">
        <f>VLOOKUP(A1791,vlookup_table!$A:$G,4,FALSE)</f>
        <v>2601</v>
      </c>
      <c r="Q1791" t="str">
        <f>VLOOKUP(A1791,vlookup_table!$A:$G,5,FALSE)</f>
        <v/>
      </c>
      <c r="R1791" t="str">
        <f>VLOOKUP(A1791,vlookup_table!$A:$G,6,FALSE)</f>
        <v>M</v>
      </c>
      <c r="S1791">
        <f>VLOOKUP(A1791,vlookup_table!$A:$G,7,FALSE)</f>
        <v>25</v>
      </c>
      <c r="T1791">
        <f t="shared" si="54"/>
        <v>70</v>
      </c>
      <c r="U1791" t="str">
        <f t="shared" si="55"/>
        <v/>
      </c>
    </row>
    <row r="1792" spans="1:21" ht="16" x14ac:dyDescent="0.4">
      <c r="A1792" s="6">
        <v>71682</v>
      </c>
      <c r="B1792" s="6" t="s">
        <v>26</v>
      </c>
      <c r="C1792" s="6" t="s">
        <v>14</v>
      </c>
      <c r="D1792" s="6">
        <v>770</v>
      </c>
      <c r="E1792" s="6">
        <v>417</v>
      </c>
      <c r="F1792" s="6">
        <v>454</v>
      </c>
      <c r="G1792" s="6">
        <v>0</v>
      </c>
      <c r="H1792" s="6">
        <v>14053</v>
      </c>
      <c r="I1792" s="6">
        <v>3</v>
      </c>
      <c r="J1792" s="6">
        <v>88</v>
      </c>
      <c r="K1792" s="6">
        <v>426</v>
      </c>
      <c r="L1792" s="6">
        <v>450</v>
      </c>
      <c r="M1792" s="6">
        <v>10.6</v>
      </c>
      <c r="N1792">
        <f>VLOOKUP(A1792,vlookup_table!$A:$G,2,FALSE)</f>
        <v>1</v>
      </c>
      <c r="O1792" t="str">
        <f>VLOOKUP(A1792,vlookup_table!$A:$G,3,FALSE)</f>
        <v>MI</v>
      </c>
      <c r="P1792">
        <f>VLOOKUP(A1792,vlookup_table!$A:$G,4,FALSE)</f>
        <v>5511</v>
      </c>
      <c r="Q1792" t="str">
        <f>VLOOKUP(A1792,vlookup_table!$A:$G,5,FALSE)</f>
        <v>T2</v>
      </c>
      <c r="R1792" t="str">
        <f>VLOOKUP(A1792,vlookup_table!$A:$G,6,FALSE)</f>
        <v>M</v>
      </c>
      <c r="S1792">
        <f>VLOOKUP(A1792,vlookup_table!$A:$G,7,FALSE)</f>
        <v>20</v>
      </c>
      <c r="T1792">
        <f t="shared" si="54"/>
        <v>41</v>
      </c>
      <c r="U1792" t="str">
        <f t="shared" si="55"/>
        <v>Pueblo</v>
      </c>
    </row>
    <row r="1793" spans="1:21" ht="16" x14ac:dyDescent="0.4">
      <c r="A1793" s="6">
        <v>142552</v>
      </c>
      <c r="B1793" s="6" t="s">
        <v>21</v>
      </c>
      <c r="C1793" s="6" t="s">
        <v>14</v>
      </c>
      <c r="D1793" s="6">
        <v>1943</v>
      </c>
      <c r="E1793" s="6">
        <v>426</v>
      </c>
      <c r="F1793" s="6">
        <v>523</v>
      </c>
      <c r="G1793" s="6">
        <v>45</v>
      </c>
      <c r="H1793" s="6">
        <v>16702</v>
      </c>
      <c r="I1793" s="6">
        <v>3</v>
      </c>
      <c r="J1793" s="6">
        <v>48</v>
      </c>
      <c r="K1793" s="6">
        <v>444</v>
      </c>
      <c r="L1793" s="6">
        <v>439</v>
      </c>
      <c r="M1793" s="6">
        <v>13.33333333</v>
      </c>
      <c r="N1793">
        <f>VLOOKUP(A1793,vlookup_table!$A:$G,2,FALSE)</f>
        <v>1</v>
      </c>
      <c r="O1793" t="str">
        <f>VLOOKUP(A1793,vlookup_table!$A:$G,3,FALSE)</f>
        <v>CA</v>
      </c>
      <c r="P1793">
        <f>VLOOKUP(A1793,vlookup_table!$A:$G,4,FALSE)</f>
        <v>2801</v>
      </c>
      <c r="Q1793" t="str">
        <f>VLOOKUP(A1793,vlookup_table!$A:$G,5,FALSE)</f>
        <v>U2</v>
      </c>
      <c r="R1793" t="str">
        <f>VLOOKUP(A1793,vlookup_table!$A:$G,6,FALSE)</f>
        <v>M</v>
      </c>
      <c r="S1793">
        <f>VLOOKUP(A1793,vlookup_table!$A:$G,7,FALSE)</f>
        <v>5</v>
      </c>
      <c r="T1793">
        <f t="shared" si="54"/>
        <v>68</v>
      </c>
      <c r="U1793" t="str">
        <f t="shared" si="55"/>
        <v>Urbano</v>
      </c>
    </row>
    <row r="1794" spans="1:21" ht="16" x14ac:dyDescent="0.4">
      <c r="A1794" s="6">
        <v>109429</v>
      </c>
      <c r="B1794" s="6" t="s">
        <v>46</v>
      </c>
      <c r="C1794" s="6" t="s">
        <v>27</v>
      </c>
      <c r="D1794" s="6">
        <v>589</v>
      </c>
      <c r="E1794" s="6">
        <v>378</v>
      </c>
      <c r="F1794" s="6">
        <v>422</v>
      </c>
      <c r="G1794" s="6">
        <v>0</v>
      </c>
      <c r="H1794" s="6">
        <v>15300</v>
      </c>
      <c r="I1794" s="6">
        <v>0</v>
      </c>
      <c r="J1794" s="6">
        <v>65</v>
      </c>
      <c r="K1794" s="6">
        <v>384</v>
      </c>
      <c r="L1794" s="6">
        <v>410</v>
      </c>
      <c r="M1794" s="6">
        <v>16</v>
      </c>
      <c r="N1794">
        <f>VLOOKUP(A1794,vlookup_table!$A:$G,2,FALSE)</f>
        <v>0</v>
      </c>
      <c r="O1794" t="str">
        <f>VLOOKUP(A1794,vlookup_table!$A:$G,3,FALSE)</f>
        <v>LA</v>
      </c>
      <c r="P1794">
        <f>VLOOKUP(A1794,vlookup_table!$A:$G,4,FALSE)</f>
        <v>0</v>
      </c>
      <c r="Q1794" t="str">
        <f>VLOOKUP(A1794,vlookup_table!$A:$G,5,FALSE)</f>
        <v>T2</v>
      </c>
      <c r="R1794" t="str">
        <f>VLOOKUP(A1794,vlookup_table!$A:$G,6,FALSE)</f>
        <v>U</v>
      </c>
      <c r="S1794">
        <f>VLOOKUP(A1794,vlookup_table!$A:$G,7,FALSE)</f>
        <v>20</v>
      </c>
      <c r="T1794">
        <f t="shared" si="54"/>
        <v>96</v>
      </c>
      <c r="U1794" t="str">
        <f t="shared" si="55"/>
        <v>Pueblo</v>
      </c>
    </row>
    <row r="1795" spans="1:21" ht="16" x14ac:dyDescent="0.4">
      <c r="A1795" s="6">
        <v>57332</v>
      </c>
      <c r="B1795" s="6" t="s">
        <v>53</v>
      </c>
      <c r="C1795" s="6" t="s">
        <v>14</v>
      </c>
      <c r="D1795" s="6">
        <v>687</v>
      </c>
      <c r="E1795" s="6">
        <v>368</v>
      </c>
      <c r="F1795" s="6">
        <v>419</v>
      </c>
      <c r="G1795" s="6">
        <v>0</v>
      </c>
      <c r="H1795" s="6">
        <v>14581</v>
      </c>
      <c r="I1795" s="6">
        <v>1</v>
      </c>
      <c r="J1795" s="6">
        <v>75</v>
      </c>
      <c r="K1795" s="6">
        <v>407</v>
      </c>
      <c r="L1795" s="6">
        <v>375</v>
      </c>
      <c r="M1795" s="6">
        <v>6.1052631579999996</v>
      </c>
      <c r="N1795">
        <f>VLOOKUP(A1795,vlookup_table!$A:$G,2,FALSE)</f>
        <v>1</v>
      </c>
      <c r="O1795" t="str">
        <f>VLOOKUP(A1795,vlookup_table!$A:$G,3,FALSE)</f>
        <v>KY</v>
      </c>
      <c r="P1795">
        <f>VLOOKUP(A1795,vlookup_table!$A:$G,4,FALSE)</f>
        <v>2808</v>
      </c>
      <c r="Q1795" t="str">
        <f>VLOOKUP(A1795,vlookup_table!$A:$G,5,FALSE)</f>
        <v>S2</v>
      </c>
      <c r="R1795" t="str">
        <f>VLOOKUP(A1795,vlookup_table!$A:$G,6,FALSE)</f>
        <v>M</v>
      </c>
      <c r="S1795">
        <f>VLOOKUP(A1795,vlookup_table!$A:$G,7,FALSE)</f>
        <v>6</v>
      </c>
      <c r="T1795">
        <f t="shared" ref="T1795:T1858" si="56">97-LEFT(P1795,2)-IF(RIGHT(P1795,2)&gt;6,1,0)</f>
        <v>68</v>
      </c>
      <c r="U1795" t="str">
        <f t="shared" ref="U1795:U1858" si="57">IF(LEFT(Q1795,1)="C","Ciudad",IF(LEFT(Q1795,1)="T","Pueblo",IF(LEFT(Q1795,1)="R","Rural",IF(LEFT(Q1795,1)="S","Suburbano",IF(LEFT(Q1795,1)="U","Urbano","")))))</f>
        <v>Suburbano</v>
      </c>
    </row>
    <row r="1796" spans="1:21" ht="16" x14ac:dyDescent="0.4">
      <c r="A1796" s="6">
        <v>190778</v>
      </c>
      <c r="B1796" s="6" t="s">
        <v>18</v>
      </c>
      <c r="C1796" s="6" t="s">
        <v>14</v>
      </c>
      <c r="D1796" s="6">
        <v>875</v>
      </c>
      <c r="E1796" s="6">
        <v>280</v>
      </c>
      <c r="F1796" s="6">
        <v>381</v>
      </c>
      <c r="G1796" s="6">
        <v>10</v>
      </c>
      <c r="H1796" s="6">
        <v>15917</v>
      </c>
      <c r="I1796" s="6">
        <v>2</v>
      </c>
      <c r="J1796" s="6">
        <v>50</v>
      </c>
      <c r="K1796" s="6">
        <v>317</v>
      </c>
      <c r="L1796" s="6">
        <v>343</v>
      </c>
      <c r="M1796" s="6">
        <v>7</v>
      </c>
      <c r="N1796">
        <f>VLOOKUP(A1796,vlookup_table!$A:$G,2,FALSE)</f>
        <v>4</v>
      </c>
      <c r="O1796" t="str">
        <f>VLOOKUP(A1796,vlookup_table!$A:$G,3,FALSE)</f>
        <v>NC</v>
      </c>
      <c r="P1796">
        <f>VLOOKUP(A1796,vlookup_table!$A:$G,4,FALSE)</f>
        <v>0</v>
      </c>
      <c r="Q1796" t="str">
        <f>VLOOKUP(A1796,vlookup_table!$A:$G,5,FALSE)</f>
        <v>R2</v>
      </c>
      <c r="R1796" t="str">
        <f>VLOOKUP(A1796,vlookup_table!$A:$G,6,FALSE)</f>
        <v>M</v>
      </c>
      <c r="S1796">
        <f>VLOOKUP(A1796,vlookup_table!$A:$G,7,FALSE)</f>
        <v>20</v>
      </c>
      <c r="T1796">
        <f t="shared" si="56"/>
        <v>96</v>
      </c>
      <c r="U1796" t="str">
        <f t="shared" si="57"/>
        <v>Rural</v>
      </c>
    </row>
    <row r="1797" spans="1:21" ht="16" x14ac:dyDescent="0.4">
      <c r="A1797" s="6">
        <v>128235</v>
      </c>
      <c r="B1797" s="6" t="s">
        <v>20</v>
      </c>
      <c r="C1797" s="6" t="s">
        <v>14</v>
      </c>
      <c r="D1797" s="6">
        <v>864</v>
      </c>
      <c r="E1797" s="6">
        <v>388</v>
      </c>
      <c r="F1797" s="6">
        <v>511</v>
      </c>
      <c r="G1797" s="6">
        <v>0</v>
      </c>
      <c r="H1797" s="6">
        <v>17015</v>
      </c>
      <c r="I1797" s="6">
        <v>2</v>
      </c>
      <c r="J1797" s="6">
        <v>67</v>
      </c>
      <c r="K1797" s="6">
        <v>480</v>
      </c>
      <c r="L1797" s="6">
        <v>402</v>
      </c>
      <c r="M1797" s="6">
        <v>8.230769231</v>
      </c>
      <c r="N1797">
        <f>VLOOKUP(A1797,vlookup_table!$A:$G,2,FALSE)</f>
        <v>2</v>
      </c>
      <c r="O1797" t="str">
        <f>VLOOKUP(A1797,vlookup_table!$A:$G,3,FALSE)</f>
        <v>TX</v>
      </c>
      <c r="P1797">
        <f>VLOOKUP(A1797,vlookup_table!$A:$G,4,FALSE)</f>
        <v>0</v>
      </c>
      <c r="Q1797" t="str">
        <f>VLOOKUP(A1797,vlookup_table!$A:$G,5,FALSE)</f>
        <v>C1</v>
      </c>
      <c r="R1797" t="str">
        <f>VLOOKUP(A1797,vlookup_table!$A:$G,6,FALSE)</f>
        <v>M</v>
      </c>
      <c r="S1797">
        <f>VLOOKUP(A1797,vlookup_table!$A:$G,7,FALSE)</f>
        <v>8</v>
      </c>
      <c r="T1797">
        <f t="shared" si="56"/>
        <v>96</v>
      </c>
      <c r="U1797" t="str">
        <f t="shared" si="57"/>
        <v>Ciudad</v>
      </c>
    </row>
    <row r="1798" spans="1:21" ht="16" x14ac:dyDescent="0.4">
      <c r="A1798" s="6">
        <v>175113</v>
      </c>
      <c r="B1798" s="6" t="s">
        <v>47</v>
      </c>
      <c r="C1798" s="6" t="s">
        <v>17</v>
      </c>
      <c r="D1798" s="6">
        <v>701</v>
      </c>
      <c r="E1798" s="6">
        <v>307</v>
      </c>
      <c r="F1798" s="6">
        <v>400</v>
      </c>
      <c r="G1798" s="6">
        <v>0</v>
      </c>
      <c r="H1798" s="6">
        <v>13820</v>
      </c>
      <c r="I1798" s="6">
        <v>5</v>
      </c>
      <c r="J1798" s="6">
        <v>45</v>
      </c>
      <c r="K1798" s="6">
        <v>352</v>
      </c>
      <c r="L1798" s="6">
        <v>353</v>
      </c>
      <c r="M1798" s="6">
        <v>25</v>
      </c>
      <c r="N1798">
        <f>VLOOKUP(A1798,vlookup_table!$A:$G,2,FALSE)</f>
        <v>28</v>
      </c>
      <c r="O1798" t="str">
        <f>VLOOKUP(A1798,vlookup_table!$A:$G,3,FALSE)</f>
        <v>OR</v>
      </c>
      <c r="P1798">
        <f>VLOOKUP(A1798,vlookup_table!$A:$G,4,FALSE)</f>
        <v>0</v>
      </c>
      <c r="Q1798" t="str">
        <f>VLOOKUP(A1798,vlookup_table!$A:$G,5,FALSE)</f>
        <v>T2</v>
      </c>
      <c r="R1798" t="str">
        <f>VLOOKUP(A1798,vlookup_table!$A:$G,6,FALSE)</f>
        <v>F</v>
      </c>
      <c r="S1798">
        <f>VLOOKUP(A1798,vlookup_table!$A:$G,7,FALSE)</f>
        <v>25</v>
      </c>
      <c r="T1798">
        <f t="shared" si="56"/>
        <v>96</v>
      </c>
      <c r="U1798" t="str">
        <f t="shared" si="57"/>
        <v>Pueblo</v>
      </c>
    </row>
    <row r="1799" spans="1:21" ht="16" x14ac:dyDescent="0.4">
      <c r="A1799" s="6">
        <v>66757</v>
      </c>
      <c r="B1799" s="6" t="s">
        <v>26</v>
      </c>
      <c r="C1799" s="6" t="s">
        <v>17</v>
      </c>
      <c r="D1799" s="6">
        <v>664</v>
      </c>
      <c r="E1799" s="6">
        <v>315</v>
      </c>
      <c r="F1799" s="6">
        <v>332</v>
      </c>
      <c r="G1799" s="6">
        <v>0</v>
      </c>
      <c r="H1799" s="6">
        <v>11283</v>
      </c>
      <c r="I1799" s="6">
        <v>0</v>
      </c>
      <c r="J1799" s="6">
        <v>63</v>
      </c>
      <c r="K1799" s="6">
        <v>308</v>
      </c>
      <c r="L1799" s="6">
        <v>336</v>
      </c>
      <c r="M1799" s="6">
        <v>3.613636364</v>
      </c>
      <c r="N1799">
        <f>VLOOKUP(A1799,vlookup_table!$A:$G,2,FALSE)</f>
        <v>2</v>
      </c>
      <c r="O1799" t="str">
        <f>VLOOKUP(A1799,vlookup_table!$A:$G,3,FALSE)</f>
        <v>MI</v>
      </c>
      <c r="P1799">
        <f>VLOOKUP(A1799,vlookup_table!$A:$G,4,FALSE)</f>
        <v>1209</v>
      </c>
      <c r="Q1799" t="str">
        <f>VLOOKUP(A1799,vlookup_table!$A:$G,5,FALSE)</f>
        <v/>
      </c>
      <c r="R1799" t="str">
        <f>VLOOKUP(A1799,vlookup_table!$A:$G,6,FALSE)</f>
        <v>F</v>
      </c>
      <c r="S1799">
        <f>VLOOKUP(A1799,vlookup_table!$A:$G,7,FALSE)</f>
        <v>4</v>
      </c>
      <c r="T1799">
        <f t="shared" si="56"/>
        <v>84</v>
      </c>
      <c r="U1799" t="str">
        <f t="shared" si="57"/>
        <v/>
      </c>
    </row>
    <row r="1800" spans="1:21" ht="16" x14ac:dyDescent="0.4">
      <c r="A1800" s="6">
        <v>154150</v>
      </c>
      <c r="B1800" s="6" t="s">
        <v>21</v>
      </c>
      <c r="C1800" s="6" t="s">
        <v>14</v>
      </c>
      <c r="D1800" s="6">
        <v>755</v>
      </c>
      <c r="E1800" s="6">
        <v>218</v>
      </c>
      <c r="F1800" s="6">
        <v>290</v>
      </c>
      <c r="G1800" s="6">
        <v>3</v>
      </c>
      <c r="H1800" s="6">
        <v>8572</v>
      </c>
      <c r="I1800" s="6">
        <v>53</v>
      </c>
      <c r="J1800" s="6">
        <v>40</v>
      </c>
      <c r="K1800" s="6">
        <v>232</v>
      </c>
      <c r="L1800" s="6">
        <v>282</v>
      </c>
      <c r="M1800" s="6">
        <v>11.33333333</v>
      </c>
      <c r="N1800">
        <f>VLOOKUP(A1800,vlookup_table!$A:$G,2,FALSE)</f>
        <v>1</v>
      </c>
      <c r="O1800" t="str">
        <f>VLOOKUP(A1800,vlookup_table!$A:$G,3,FALSE)</f>
        <v>CA</v>
      </c>
      <c r="P1800">
        <f>VLOOKUP(A1800,vlookup_table!$A:$G,4,FALSE)</f>
        <v>4801</v>
      </c>
      <c r="Q1800" t="str">
        <f>VLOOKUP(A1800,vlookup_table!$A:$G,5,FALSE)</f>
        <v>R2</v>
      </c>
      <c r="R1800" t="str">
        <f>VLOOKUP(A1800,vlookup_table!$A:$G,6,FALSE)</f>
        <v>M</v>
      </c>
      <c r="S1800">
        <f>VLOOKUP(A1800,vlookup_table!$A:$G,7,FALSE)</f>
        <v>14</v>
      </c>
      <c r="T1800">
        <f t="shared" si="56"/>
        <v>48</v>
      </c>
      <c r="U1800" t="str">
        <f t="shared" si="57"/>
        <v>Rural</v>
      </c>
    </row>
    <row r="1801" spans="1:21" ht="16" x14ac:dyDescent="0.4">
      <c r="A1801" s="6">
        <v>55392</v>
      </c>
      <c r="B1801" s="6" t="s">
        <v>56</v>
      </c>
      <c r="C1801" s="6" t="s">
        <v>14</v>
      </c>
      <c r="D1801" s="6">
        <v>423</v>
      </c>
      <c r="E1801" s="6">
        <v>212</v>
      </c>
      <c r="F1801" s="6">
        <v>287</v>
      </c>
      <c r="G1801" s="6">
        <v>0</v>
      </c>
      <c r="H1801" s="6">
        <v>9065</v>
      </c>
      <c r="I1801" s="6">
        <v>1</v>
      </c>
      <c r="J1801" s="6">
        <v>80</v>
      </c>
      <c r="K1801" s="6">
        <v>262</v>
      </c>
      <c r="L1801" s="6">
        <v>251</v>
      </c>
      <c r="M1801" s="6">
        <v>5.9594594599999997</v>
      </c>
      <c r="N1801">
        <f>VLOOKUP(A1801,vlookup_table!$A:$G,2,FALSE)</f>
        <v>0</v>
      </c>
      <c r="O1801" t="str">
        <f>VLOOKUP(A1801,vlookup_table!$A:$G,3,FALSE)</f>
        <v>MS</v>
      </c>
      <c r="P1801">
        <f>VLOOKUP(A1801,vlookup_table!$A:$G,4,FALSE)</f>
        <v>4601</v>
      </c>
      <c r="Q1801" t="str">
        <f>VLOOKUP(A1801,vlookup_table!$A:$G,5,FALSE)</f>
        <v>R2</v>
      </c>
      <c r="R1801" t="str">
        <f>VLOOKUP(A1801,vlookup_table!$A:$G,6,FALSE)</f>
        <v>M</v>
      </c>
      <c r="S1801">
        <f>VLOOKUP(A1801,vlookup_table!$A:$G,7,FALSE)</f>
        <v>6</v>
      </c>
      <c r="T1801">
        <f t="shared" si="56"/>
        <v>50</v>
      </c>
      <c r="U1801" t="str">
        <f t="shared" si="57"/>
        <v>Rural</v>
      </c>
    </row>
    <row r="1802" spans="1:21" ht="16" x14ac:dyDescent="0.4">
      <c r="A1802" s="6">
        <v>162234</v>
      </c>
      <c r="B1802" s="6" t="s">
        <v>21</v>
      </c>
      <c r="C1802" s="6" t="s">
        <v>14</v>
      </c>
      <c r="D1802" s="6">
        <v>5540</v>
      </c>
      <c r="E1802" s="6">
        <v>757</v>
      </c>
      <c r="F1802" s="6">
        <v>857</v>
      </c>
      <c r="G1802" s="6">
        <v>99</v>
      </c>
      <c r="H1802" s="6">
        <v>31488</v>
      </c>
      <c r="I1802" s="6">
        <v>14</v>
      </c>
      <c r="J1802" s="6">
        <v>49</v>
      </c>
      <c r="K1802" s="6">
        <v>815</v>
      </c>
      <c r="L1802" s="6">
        <v>814</v>
      </c>
      <c r="M1802" s="6">
        <v>21</v>
      </c>
      <c r="N1802">
        <f>VLOOKUP(A1802,vlookup_table!$A:$G,2,FALSE)</f>
        <v>1</v>
      </c>
      <c r="O1802" t="str">
        <f>VLOOKUP(A1802,vlookup_table!$A:$G,3,FALSE)</f>
        <v>CA</v>
      </c>
      <c r="P1802">
        <f>VLOOKUP(A1802,vlookup_table!$A:$G,4,FALSE)</f>
        <v>1707</v>
      </c>
      <c r="Q1802" t="str">
        <f>VLOOKUP(A1802,vlookup_table!$A:$G,5,FALSE)</f>
        <v>S1</v>
      </c>
      <c r="R1802" t="str">
        <f>VLOOKUP(A1802,vlookup_table!$A:$G,6,FALSE)</f>
        <v>M</v>
      </c>
      <c r="S1802">
        <f>VLOOKUP(A1802,vlookup_table!$A:$G,7,FALSE)</f>
        <v>26</v>
      </c>
      <c r="T1802">
        <f t="shared" si="56"/>
        <v>79</v>
      </c>
      <c r="U1802" t="str">
        <f t="shared" si="57"/>
        <v>Suburbano</v>
      </c>
    </row>
    <row r="1803" spans="1:21" ht="16" x14ac:dyDescent="0.4">
      <c r="A1803" s="6">
        <v>8880</v>
      </c>
      <c r="B1803" s="6" t="s">
        <v>21</v>
      </c>
      <c r="C1803" s="6" t="s">
        <v>17</v>
      </c>
      <c r="D1803" s="6">
        <v>2596</v>
      </c>
      <c r="E1803" s="6">
        <v>515</v>
      </c>
      <c r="F1803" s="6">
        <v>588</v>
      </c>
      <c r="G1803" s="6">
        <v>91</v>
      </c>
      <c r="H1803" s="6">
        <v>20539</v>
      </c>
      <c r="I1803" s="6">
        <v>15</v>
      </c>
      <c r="J1803" s="6">
        <v>48</v>
      </c>
      <c r="K1803" s="6">
        <v>518</v>
      </c>
      <c r="L1803" s="6">
        <v>584</v>
      </c>
      <c r="M1803" s="6">
        <v>24.166666670000001</v>
      </c>
      <c r="N1803">
        <f>VLOOKUP(A1803,vlookup_table!$A:$G,2,FALSE)</f>
        <v>0</v>
      </c>
      <c r="O1803" t="str">
        <f>VLOOKUP(A1803,vlookup_table!$A:$G,3,FALSE)</f>
        <v>CA</v>
      </c>
      <c r="P1803">
        <f>VLOOKUP(A1803,vlookup_table!$A:$G,4,FALSE)</f>
        <v>4401</v>
      </c>
      <c r="Q1803" t="str">
        <f>VLOOKUP(A1803,vlookup_table!$A:$G,5,FALSE)</f>
        <v>S1</v>
      </c>
      <c r="R1803" t="str">
        <f>VLOOKUP(A1803,vlookup_table!$A:$G,6,FALSE)</f>
        <v>F</v>
      </c>
      <c r="S1803">
        <f>VLOOKUP(A1803,vlookup_table!$A:$G,7,FALSE)</f>
        <v>25</v>
      </c>
      <c r="T1803">
        <f t="shared" si="56"/>
        <v>52</v>
      </c>
      <c r="U1803" t="str">
        <f t="shared" si="57"/>
        <v>Suburbano</v>
      </c>
    </row>
    <row r="1804" spans="1:21" ht="16" x14ac:dyDescent="0.4">
      <c r="A1804" s="6">
        <v>6643</v>
      </c>
      <c r="B1804" s="6" t="s">
        <v>21</v>
      </c>
      <c r="C1804" s="6" t="s">
        <v>14</v>
      </c>
      <c r="D1804" s="6">
        <v>3199</v>
      </c>
      <c r="E1804" s="6">
        <v>490</v>
      </c>
      <c r="F1804" s="6">
        <v>641</v>
      </c>
      <c r="G1804" s="6">
        <v>94</v>
      </c>
      <c r="H1804" s="6">
        <v>27239</v>
      </c>
      <c r="I1804" s="6">
        <v>9</v>
      </c>
      <c r="J1804" s="6">
        <v>56</v>
      </c>
      <c r="K1804" s="6">
        <v>537</v>
      </c>
      <c r="L1804" s="6">
        <v>595</v>
      </c>
      <c r="M1804" s="6">
        <v>14.7</v>
      </c>
      <c r="N1804">
        <f>VLOOKUP(A1804,vlookup_table!$A:$G,2,FALSE)</f>
        <v>1</v>
      </c>
      <c r="O1804" t="str">
        <f>VLOOKUP(A1804,vlookup_table!$A:$G,3,FALSE)</f>
        <v>CA</v>
      </c>
      <c r="P1804">
        <f>VLOOKUP(A1804,vlookup_table!$A:$G,4,FALSE)</f>
        <v>2203</v>
      </c>
      <c r="Q1804" t="str">
        <f>VLOOKUP(A1804,vlookup_table!$A:$G,5,FALSE)</f>
        <v>C1</v>
      </c>
      <c r="R1804" t="str">
        <f>VLOOKUP(A1804,vlookup_table!$A:$G,6,FALSE)</f>
        <v>M</v>
      </c>
      <c r="S1804">
        <f>VLOOKUP(A1804,vlookup_table!$A:$G,7,FALSE)</f>
        <v>16</v>
      </c>
      <c r="T1804">
        <f t="shared" si="56"/>
        <v>74</v>
      </c>
      <c r="U1804" t="str">
        <f t="shared" si="57"/>
        <v>Ciudad</v>
      </c>
    </row>
    <row r="1805" spans="1:21" ht="16" x14ac:dyDescent="0.4">
      <c r="A1805" s="6">
        <v>170827</v>
      </c>
      <c r="B1805" s="6" t="s">
        <v>21</v>
      </c>
      <c r="C1805" s="6" t="s">
        <v>17</v>
      </c>
      <c r="D1805" s="6">
        <v>1257</v>
      </c>
      <c r="E1805" s="6">
        <v>356</v>
      </c>
      <c r="F1805" s="6">
        <v>445</v>
      </c>
      <c r="G1805" s="6">
        <v>3</v>
      </c>
      <c r="H1805" s="6">
        <v>17145</v>
      </c>
      <c r="I1805" s="6">
        <v>6</v>
      </c>
      <c r="J1805" s="6">
        <v>61</v>
      </c>
      <c r="K1805" s="6">
        <v>358</v>
      </c>
      <c r="L1805" s="6">
        <v>427</v>
      </c>
      <c r="M1805" s="6">
        <v>6.384615385</v>
      </c>
      <c r="N1805">
        <f>VLOOKUP(A1805,vlookup_table!$A:$G,2,FALSE)</f>
        <v>2</v>
      </c>
      <c r="O1805" t="str">
        <f>VLOOKUP(A1805,vlookup_table!$A:$G,3,FALSE)</f>
        <v>CA</v>
      </c>
      <c r="P1805">
        <f>VLOOKUP(A1805,vlookup_table!$A:$G,4,FALSE)</f>
        <v>201</v>
      </c>
      <c r="Q1805" t="str">
        <f>VLOOKUP(A1805,vlookup_table!$A:$G,5,FALSE)</f>
        <v>S2</v>
      </c>
      <c r="R1805" t="str">
        <f>VLOOKUP(A1805,vlookup_table!$A:$G,6,FALSE)</f>
        <v>F</v>
      </c>
      <c r="S1805">
        <f>VLOOKUP(A1805,vlookup_table!$A:$G,7,FALSE)</f>
        <v>17</v>
      </c>
      <c r="T1805">
        <f t="shared" si="56"/>
        <v>76</v>
      </c>
      <c r="U1805" t="str">
        <f t="shared" si="57"/>
        <v>Suburbano</v>
      </c>
    </row>
    <row r="1806" spans="1:21" ht="16" x14ac:dyDescent="0.4">
      <c r="A1806" s="6">
        <v>105459</v>
      </c>
      <c r="B1806" s="6" t="s">
        <v>25</v>
      </c>
      <c r="C1806" s="6" t="s">
        <v>17</v>
      </c>
      <c r="D1806" s="6">
        <v>205</v>
      </c>
      <c r="E1806" s="6">
        <v>189</v>
      </c>
      <c r="F1806" s="6">
        <v>255</v>
      </c>
      <c r="G1806" s="6">
        <v>0</v>
      </c>
      <c r="H1806" s="6">
        <v>8737</v>
      </c>
      <c r="I1806" s="6">
        <v>1</v>
      </c>
      <c r="J1806" s="6">
        <v>78</v>
      </c>
      <c r="K1806" s="6">
        <v>221</v>
      </c>
      <c r="L1806" s="6">
        <v>217</v>
      </c>
      <c r="M1806" s="6">
        <v>5.1666666670000003</v>
      </c>
      <c r="N1806">
        <f>VLOOKUP(A1806,vlookup_table!$A:$G,2,FALSE)</f>
        <v>0</v>
      </c>
      <c r="O1806" t="str">
        <f>VLOOKUP(A1806,vlookup_table!$A:$G,3,FALSE)</f>
        <v>KS</v>
      </c>
      <c r="P1806">
        <f>VLOOKUP(A1806,vlookup_table!$A:$G,4,FALSE)</f>
        <v>0</v>
      </c>
      <c r="Q1806" t="str">
        <f>VLOOKUP(A1806,vlookup_table!$A:$G,5,FALSE)</f>
        <v>R3</v>
      </c>
      <c r="R1806" t="str">
        <f>VLOOKUP(A1806,vlookup_table!$A:$G,6,FALSE)</f>
        <v>F</v>
      </c>
      <c r="S1806">
        <f>VLOOKUP(A1806,vlookup_table!$A:$G,7,FALSE)</f>
        <v>5</v>
      </c>
      <c r="T1806">
        <f t="shared" si="56"/>
        <v>96</v>
      </c>
      <c r="U1806" t="str">
        <f t="shared" si="57"/>
        <v>Rural</v>
      </c>
    </row>
    <row r="1807" spans="1:21" ht="16" x14ac:dyDescent="0.4">
      <c r="A1807" s="6">
        <v>26289</v>
      </c>
      <c r="B1807" s="6" t="s">
        <v>36</v>
      </c>
      <c r="C1807" s="6" t="s">
        <v>17</v>
      </c>
      <c r="D1807" s="6">
        <v>1173</v>
      </c>
      <c r="E1807" s="6">
        <v>503</v>
      </c>
      <c r="F1807" s="6">
        <v>660</v>
      </c>
      <c r="G1807" s="6">
        <v>4</v>
      </c>
      <c r="H1807" s="6">
        <v>21302</v>
      </c>
      <c r="I1807" s="6">
        <v>2</v>
      </c>
      <c r="J1807" s="6">
        <v>60</v>
      </c>
      <c r="K1807" s="6">
        <v>625</v>
      </c>
      <c r="L1807" s="6">
        <v>562</v>
      </c>
      <c r="M1807" s="6">
        <v>8.9310344829999995</v>
      </c>
      <c r="N1807">
        <f>VLOOKUP(A1807,vlookup_table!$A:$G,2,FALSE)</f>
        <v>0</v>
      </c>
      <c r="O1807" t="str">
        <f>VLOOKUP(A1807,vlookup_table!$A:$G,3,FALSE)</f>
        <v>GA</v>
      </c>
      <c r="P1807">
        <f>VLOOKUP(A1807,vlookup_table!$A:$G,4,FALSE)</f>
        <v>4601</v>
      </c>
      <c r="Q1807" t="str">
        <f>VLOOKUP(A1807,vlookup_table!$A:$G,5,FALSE)</f>
        <v>C1</v>
      </c>
      <c r="R1807" t="str">
        <f>VLOOKUP(A1807,vlookup_table!$A:$G,6,FALSE)</f>
        <v>F</v>
      </c>
      <c r="S1807">
        <f>VLOOKUP(A1807,vlookup_table!$A:$G,7,FALSE)</f>
        <v>10</v>
      </c>
      <c r="T1807">
        <f t="shared" si="56"/>
        <v>50</v>
      </c>
      <c r="U1807" t="str">
        <f t="shared" si="57"/>
        <v>Ciudad</v>
      </c>
    </row>
    <row r="1808" spans="1:21" ht="16" x14ac:dyDescent="0.4">
      <c r="A1808" s="6">
        <v>67315</v>
      </c>
      <c r="B1808" s="6" t="s">
        <v>26</v>
      </c>
      <c r="C1808" s="6" t="s">
        <v>17</v>
      </c>
      <c r="D1808" s="6">
        <v>862</v>
      </c>
      <c r="E1808" s="6">
        <v>476</v>
      </c>
      <c r="F1808" s="6">
        <v>511</v>
      </c>
      <c r="G1808" s="6">
        <v>0</v>
      </c>
      <c r="H1808" s="6">
        <v>16332</v>
      </c>
      <c r="I1808" s="6">
        <v>6</v>
      </c>
      <c r="J1808" s="6">
        <v>81</v>
      </c>
      <c r="K1808" s="6">
        <v>519</v>
      </c>
      <c r="L1808" s="6">
        <v>478</v>
      </c>
      <c r="M1808" s="6">
        <v>20.25</v>
      </c>
      <c r="N1808">
        <f>VLOOKUP(A1808,vlookup_table!$A:$G,2,FALSE)</f>
        <v>2</v>
      </c>
      <c r="O1808" t="str">
        <f>VLOOKUP(A1808,vlookup_table!$A:$G,3,FALSE)</f>
        <v>MI</v>
      </c>
      <c r="P1808">
        <f>VLOOKUP(A1808,vlookup_table!$A:$G,4,FALSE)</f>
        <v>2005</v>
      </c>
      <c r="Q1808" t="str">
        <f>VLOOKUP(A1808,vlookup_table!$A:$G,5,FALSE)</f>
        <v>S2</v>
      </c>
      <c r="R1808" t="str">
        <f>VLOOKUP(A1808,vlookup_table!$A:$G,6,FALSE)</f>
        <v>F</v>
      </c>
      <c r="S1808">
        <f>VLOOKUP(A1808,vlookup_table!$A:$G,7,FALSE)</f>
        <v>27</v>
      </c>
      <c r="T1808">
        <f t="shared" si="56"/>
        <v>76</v>
      </c>
      <c r="U1808" t="str">
        <f t="shared" si="57"/>
        <v>Suburbano</v>
      </c>
    </row>
    <row r="1809" spans="1:21" ht="16" x14ac:dyDescent="0.4">
      <c r="A1809" s="6">
        <v>75910</v>
      </c>
      <c r="B1809" s="6" t="s">
        <v>44</v>
      </c>
      <c r="C1809" s="6" t="s">
        <v>17</v>
      </c>
      <c r="D1809" s="6">
        <v>339</v>
      </c>
      <c r="E1809" s="6">
        <v>254</v>
      </c>
      <c r="F1809" s="6">
        <v>321</v>
      </c>
      <c r="G1809" s="6">
        <v>0</v>
      </c>
      <c r="H1809" s="6">
        <v>9822</v>
      </c>
      <c r="I1809" s="6">
        <v>1</v>
      </c>
      <c r="J1809" s="6">
        <v>56</v>
      </c>
      <c r="K1809" s="6">
        <v>271</v>
      </c>
      <c r="L1809" s="6">
        <v>293</v>
      </c>
      <c r="M1809" s="6">
        <v>5.9285714289999998</v>
      </c>
      <c r="N1809">
        <f>VLOOKUP(A1809,vlookup_table!$A:$G,2,FALSE)</f>
        <v>0</v>
      </c>
      <c r="O1809" t="str">
        <f>VLOOKUP(A1809,vlookup_table!$A:$G,3,FALSE)</f>
        <v>IA</v>
      </c>
      <c r="P1809">
        <f>VLOOKUP(A1809,vlookup_table!$A:$G,4,FALSE)</f>
        <v>0</v>
      </c>
      <c r="Q1809" t="str">
        <f>VLOOKUP(A1809,vlookup_table!$A:$G,5,FALSE)</f>
        <v/>
      </c>
      <c r="R1809" t="str">
        <f>VLOOKUP(A1809,vlookup_table!$A:$G,6,FALSE)</f>
        <v>F</v>
      </c>
      <c r="S1809">
        <f>VLOOKUP(A1809,vlookup_table!$A:$G,7,FALSE)</f>
        <v>10</v>
      </c>
      <c r="T1809">
        <f t="shared" si="56"/>
        <v>96</v>
      </c>
      <c r="U1809" t="str">
        <f t="shared" si="57"/>
        <v/>
      </c>
    </row>
    <row r="1810" spans="1:21" ht="16" x14ac:dyDescent="0.4">
      <c r="A1810" s="6">
        <v>103527</v>
      </c>
      <c r="B1810" s="6" t="s">
        <v>33</v>
      </c>
      <c r="C1810" s="6" t="s">
        <v>14</v>
      </c>
      <c r="D1810" s="6">
        <v>392</v>
      </c>
      <c r="E1810" s="6">
        <v>218</v>
      </c>
      <c r="F1810" s="6">
        <v>300</v>
      </c>
      <c r="G1810" s="6">
        <v>0</v>
      </c>
      <c r="H1810" s="6">
        <v>10421</v>
      </c>
      <c r="I1810" s="6">
        <v>0</v>
      </c>
      <c r="J1810" s="6">
        <v>79</v>
      </c>
      <c r="K1810" s="6">
        <v>239</v>
      </c>
      <c r="L1810" s="6">
        <v>265</v>
      </c>
      <c r="M1810" s="6">
        <v>4.266666667</v>
      </c>
      <c r="N1810">
        <f>VLOOKUP(A1810,vlookup_table!$A:$G,2,FALSE)</f>
        <v>1</v>
      </c>
      <c r="O1810" t="str">
        <f>VLOOKUP(A1810,vlookup_table!$A:$G,3,FALSE)</f>
        <v>MO</v>
      </c>
      <c r="P1810">
        <f>VLOOKUP(A1810,vlookup_table!$A:$G,4,FALSE)</f>
        <v>5002</v>
      </c>
      <c r="Q1810" t="str">
        <f>VLOOKUP(A1810,vlookup_table!$A:$G,5,FALSE)</f>
        <v>R3</v>
      </c>
      <c r="R1810" t="str">
        <f>VLOOKUP(A1810,vlookup_table!$A:$G,6,FALSE)</f>
        <v>M</v>
      </c>
      <c r="S1810">
        <f>VLOOKUP(A1810,vlookup_table!$A:$G,7,FALSE)</f>
        <v>4</v>
      </c>
      <c r="T1810">
        <f t="shared" si="56"/>
        <v>46</v>
      </c>
      <c r="U1810" t="str">
        <f t="shared" si="57"/>
        <v>Rural</v>
      </c>
    </row>
    <row r="1811" spans="1:21" ht="16" x14ac:dyDescent="0.4">
      <c r="A1811" s="6">
        <v>16247</v>
      </c>
      <c r="B1811" s="6" t="s">
        <v>18</v>
      </c>
      <c r="C1811" s="6"/>
      <c r="D1811" s="6">
        <v>576</v>
      </c>
      <c r="E1811" s="6">
        <v>289</v>
      </c>
      <c r="F1811" s="6">
        <v>323</v>
      </c>
      <c r="G1811" s="6">
        <v>0</v>
      </c>
      <c r="H1811" s="6">
        <v>10642</v>
      </c>
      <c r="I1811" s="6">
        <v>1</v>
      </c>
      <c r="J1811" s="6">
        <v>84</v>
      </c>
      <c r="K1811" s="6">
        <v>308</v>
      </c>
      <c r="L1811" s="6">
        <v>304</v>
      </c>
      <c r="M1811" s="6">
        <v>8.923076923</v>
      </c>
      <c r="N1811">
        <f>VLOOKUP(A1811,vlookup_table!$A:$G,2,FALSE)</f>
        <v>2</v>
      </c>
      <c r="O1811" t="str">
        <f>VLOOKUP(A1811,vlookup_table!$A:$G,3,FALSE)</f>
        <v>NC</v>
      </c>
      <c r="P1811">
        <f>VLOOKUP(A1811,vlookup_table!$A:$G,4,FALSE)</f>
        <v>0</v>
      </c>
      <c r="Q1811" t="str">
        <f>VLOOKUP(A1811,vlookup_table!$A:$G,5,FALSE)</f>
        <v>R2</v>
      </c>
      <c r="R1811" t="str">
        <f>VLOOKUP(A1811,vlookup_table!$A:$G,6,FALSE)</f>
        <v/>
      </c>
      <c r="S1811">
        <f>VLOOKUP(A1811,vlookup_table!$A:$G,7,FALSE)</f>
        <v>10</v>
      </c>
      <c r="T1811">
        <f t="shared" si="56"/>
        <v>96</v>
      </c>
      <c r="U1811" t="str">
        <f t="shared" si="57"/>
        <v>Rural</v>
      </c>
    </row>
    <row r="1812" spans="1:21" ht="16" x14ac:dyDescent="0.4">
      <c r="A1812" s="6">
        <v>166770</v>
      </c>
      <c r="B1812" s="6" t="s">
        <v>21</v>
      </c>
      <c r="C1812" s="6" t="s">
        <v>17</v>
      </c>
      <c r="D1812" s="6">
        <v>2419</v>
      </c>
      <c r="E1812" s="6">
        <v>364</v>
      </c>
      <c r="F1812" s="6">
        <v>533</v>
      </c>
      <c r="G1812" s="6">
        <v>61</v>
      </c>
      <c r="H1812" s="6">
        <v>23128</v>
      </c>
      <c r="I1812" s="6">
        <v>6</v>
      </c>
      <c r="J1812" s="6">
        <v>59</v>
      </c>
      <c r="K1812" s="6">
        <v>409</v>
      </c>
      <c r="L1812" s="6">
        <v>470</v>
      </c>
      <c r="M1812" s="6">
        <v>9.8571428569999995</v>
      </c>
      <c r="N1812">
        <f>VLOOKUP(A1812,vlookup_table!$A:$G,2,FALSE)</f>
        <v>0</v>
      </c>
      <c r="O1812" t="str">
        <f>VLOOKUP(A1812,vlookup_table!$A:$G,3,FALSE)</f>
        <v>CA</v>
      </c>
      <c r="P1812">
        <f>VLOOKUP(A1812,vlookup_table!$A:$G,4,FALSE)</f>
        <v>3901</v>
      </c>
      <c r="Q1812" t="str">
        <f>VLOOKUP(A1812,vlookup_table!$A:$G,5,FALSE)</f>
        <v>R1</v>
      </c>
      <c r="R1812" t="str">
        <f>VLOOKUP(A1812,vlookup_table!$A:$G,6,FALSE)</f>
        <v>F</v>
      </c>
      <c r="S1812">
        <f>VLOOKUP(A1812,vlookup_table!$A:$G,7,FALSE)</f>
        <v>5</v>
      </c>
      <c r="T1812">
        <f t="shared" si="56"/>
        <v>57</v>
      </c>
      <c r="U1812" t="str">
        <f t="shared" si="57"/>
        <v>Rural</v>
      </c>
    </row>
    <row r="1813" spans="1:21" ht="16" x14ac:dyDescent="0.4">
      <c r="A1813" s="6">
        <v>82580</v>
      </c>
      <c r="B1813" s="6" t="s">
        <v>52</v>
      </c>
      <c r="C1813" s="6" t="s">
        <v>17</v>
      </c>
      <c r="D1813" s="6">
        <v>575</v>
      </c>
      <c r="E1813" s="6">
        <v>209</v>
      </c>
      <c r="F1813" s="6">
        <v>265</v>
      </c>
      <c r="G1813" s="6">
        <v>0</v>
      </c>
      <c r="H1813" s="6">
        <v>8620</v>
      </c>
      <c r="I1813" s="6">
        <v>13</v>
      </c>
      <c r="J1813" s="6">
        <v>62</v>
      </c>
      <c r="K1813" s="6">
        <v>212</v>
      </c>
      <c r="L1813" s="6">
        <v>247</v>
      </c>
      <c r="M1813" s="6">
        <v>4.4285714289999998</v>
      </c>
      <c r="N1813">
        <f>VLOOKUP(A1813,vlookup_table!$A:$G,2,FALSE)</f>
        <v>2</v>
      </c>
      <c r="O1813" t="str">
        <f>VLOOKUP(A1813,vlookup_table!$A:$G,3,FALSE)</f>
        <v>MN</v>
      </c>
      <c r="P1813">
        <f>VLOOKUP(A1813,vlookup_table!$A:$G,4,FALSE)</f>
        <v>1001</v>
      </c>
      <c r="Q1813" t="str">
        <f>VLOOKUP(A1813,vlookup_table!$A:$G,5,FALSE)</f>
        <v>C3</v>
      </c>
      <c r="R1813" t="str">
        <f>VLOOKUP(A1813,vlookup_table!$A:$G,6,FALSE)</f>
        <v>F</v>
      </c>
      <c r="S1813">
        <f>VLOOKUP(A1813,vlookup_table!$A:$G,7,FALSE)</f>
        <v>5</v>
      </c>
      <c r="T1813">
        <f t="shared" si="56"/>
        <v>86</v>
      </c>
      <c r="U1813" t="str">
        <f t="shared" si="57"/>
        <v>Ciudad</v>
      </c>
    </row>
    <row r="1814" spans="1:21" ht="16" x14ac:dyDescent="0.4">
      <c r="A1814" s="6">
        <v>34883</v>
      </c>
      <c r="B1814" s="6" t="s">
        <v>13</v>
      </c>
      <c r="C1814" s="6" t="s">
        <v>14</v>
      </c>
      <c r="D1814" s="6">
        <v>709</v>
      </c>
      <c r="E1814" s="6">
        <v>220</v>
      </c>
      <c r="F1814" s="6">
        <v>296</v>
      </c>
      <c r="G1814" s="6">
        <v>1</v>
      </c>
      <c r="H1814" s="6">
        <v>12538</v>
      </c>
      <c r="I1814" s="6">
        <v>3</v>
      </c>
      <c r="J1814" s="6">
        <v>15</v>
      </c>
      <c r="K1814" s="6">
        <v>254</v>
      </c>
      <c r="L1814" s="6">
        <v>264</v>
      </c>
      <c r="M1814" s="6">
        <v>7.3333333329999997</v>
      </c>
      <c r="N1814">
        <f>VLOOKUP(A1814,vlookup_table!$A:$G,2,FALSE)</f>
        <v>2</v>
      </c>
      <c r="O1814" t="str">
        <f>VLOOKUP(A1814,vlookup_table!$A:$G,3,FALSE)</f>
        <v>FL</v>
      </c>
      <c r="P1814">
        <f>VLOOKUP(A1814,vlookup_table!$A:$G,4,FALSE)</f>
        <v>3001</v>
      </c>
      <c r="Q1814" t="str">
        <f>VLOOKUP(A1814,vlookup_table!$A:$G,5,FALSE)</f>
        <v>T2</v>
      </c>
      <c r="R1814" t="str">
        <f>VLOOKUP(A1814,vlookup_table!$A:$G,6,FALSE)</f>
        <v>M</v>
      </c>
      <c r="S1814">
        <f>VLOOKUP(A1814,vlookup_table!$A:$G,7,FALSE)</f>
        <v>5</v>
      </c>
      <c r="T1814">
        <f t="shared" si="56"/>
        <v>66</v>
      </c>
      <c r="U1814" t="str">
        <f t="shared" si="57"/>
        <v>Pueblo</v>
      </c>
    </row>
    <row r="1815" spans="1:21" ht="16" x14ac:dyDescent="0.4">
      <c r="A1815" s="6">
        <v>57647</v>
      </c>
      <c r="B1815" s="6" t="s">
        <v>53</v>
      </c>
      <c r="C1815" s="6" t="s">
        <v>14</v>
      </c>
      <c r="D1815" s="6">
        <v>724</v>
      </c>
      <c r="E1815" s="6">
        <v>322</v>
      </c>
      <c r="F1815" s="6">
        <v>393</v>
      </c>
      <c r="G1815" s="6">
        <v>2</v>
      </c>
      <c r="H1815" s="6">
        <v>11652</v>
      </c>
      <c r="I1815" s="6">
        <v>1</v>
      </c>
      <c r="J1815" s="6">
        <v>67</v>
      </c>
      <c r="K1815" s="6">
        <v>380</v>
      </c>
      <c r="L1815" s="6">
        <v>363</v>
      </c>
      <c r="M1815" s="6">
        <v>17.222222219999999</v>
      </c>
      <c r="N1815">
        <f>VLOOKUP(A1815,vlookup_table!$A:$G,2,FALSE)</f>
        <v>0</v>
      </c>
      <c r="O1815" t="str">
        <f>VLOOKUP(A1815,vlookup_table!$A:$G,3,FALSE)</f>
        <v>KY</v>
      </c>
      <c r="P1815">
        <f>VLOOKUP(A1815,vlookup_table!$A:$G,4,FALSE)</f>
        <v>7309</v>
      </c>
      <c r="Q1815" t="str">
        <f>VLOOKUP(A1815,vlookup_table!$A:$G,5,FALSE)</f>
        <v>R2</v>
      </c>
      <c r="R1815" t="str">
        <f>VLOOKUP(A1815,vlookup_table!$A:$G,6,FALSE)</f>
        <v>M</v>
      </c>
      <c r="S1815">
        <f>VLOOKUP(A1815,vlookup_table!$A:$G,7,FALSE)</f>
        <v>20</v>
      </c>
      <c r="T1815">
        <f t="shared" si="56"/>
        <v>23</v>
      </c>
      <c r="U1815" t="str">
        <f t="shared" si="57"/>
        <v>Rural</v>
      </c>
    </row>
    <row r="1816" spans="1:21" ht="16" x14ac:dyDescent="0.4">
      <c r="A1816" s="6">
        <v>82995</v>
      </c>
      <c r="B1816" s="6" t="s">
        <v>52</v>
      </c>
      <c r="C1816" s="6" t="s">
        <v>14</v>
      </c>
      <c r="D1816" s="6">
        <v>719</v>
      </c>
      <c r="E1816" s="6">
        <v>365</v>
      </c>
      <c r="F1816" s="6">
        <v>519</v>
      </c>
      <c r="G1816" s="6">
        <v>0</v>
      </c>
      <c r="H1816" s="6">
        <v>18970</v>
      </c>
      <c r="I1816" s="6">
        <v>0</v>
      </c>
      <c r="J1816" s="6">
        <v>87</v>
      </c>
      <c r="K1816" s="6">
        <v>561</v>
      </c>
      <c r="L1816" s="6">
        <v>430</v>
      </c>
      <c r="M1816" s="6">
        <v>4.4000000000000004</v>
      </c>
      <c r="N1816">
        <f>VLOOKUP(A1816,vlookup_table!$A:$G,2,FALSE)</f>
        <v>1002</v>
      </c>
      <c r="O1816" t="str">
        <f>VLOOKUP(A1816,vlookup_table!$A:$G,3,FALSE)</f>
        <v>MN</v>
      </c>
      <c r="P1816">
        <f>VLOOKUP(A1816,vlookup_table!$A:$G,4,FALSE)</f>
        <v>3603</v>
      </c>
      <c r="Q1816" t="str">
        <f>VLOOKUP(A1816,vlookup_table!$A:$G,5,FALSE)</f>
        <v>S2</v>
      </c>
      <c r="R1816" t="str">
        <f>VLOOKUP(A1816,vlookup_table!$A:$G,6,FALSE)</f>
        <v>M</v>
      </c>
      <c r="S1816">
        <f>VLOOKUP(A1816,vlookup_table!$A:$G,7,FALSE)</f>
        <v>5</v>
      </c>
      <c r="T1816">
        <f t="shared" si="56"/>
        <v>60</v>
      </c>
      <c r="U1816" t="str">
        <f t="shared" si="57"/>
        <v>Suburbano</v>
      </c>
    </row>
    <row r="1817" spans="1:21" ht="16" x14ac:dyDescent="0.4">
      <c r="A1817" s="6">
        <v>74043</v>
      </c>
      <c r="B1817" s="6" t="s">
        <v>26</v>
      </c>
      <c r="C1817" s="6" t="s">
        <v>17</v>
      </c>
      <c r="D1817" s="6">
        <v>411</v>
      </c>
      <c r="E1817" s="6">
        <v>199</v>
      </c>
      <c r="F1817" s="6">
        <v>272</v>
      </c>
      <c r="G1817" s="6">
        <v>0</v>
      </c>
      <c r="H1817" s="6">
        <v>9491</v>
      </c>
      <c r="I1817" s="6">
        <v>1</v>
      </c>
      <c r="J1817" s="6">
        <v>87</v>
      </c>
      <c r="K1817" s="6">
        <v>230</v>
      </c>
      <c r="L1817" s="6">
        <v>244</v>
      </c>
      <c r="M1817" s="6">
        <v>13</v>
      </c>
      <c r="N1817">
        <f>VLOOKUP(A1817,vlookup_table!$A:$G,2,FALSE)</f>
        <v>0</v>
      </c>
      <c r="O1817" t="str">
        <f>VLOOKUP(A1817,vlookup_table!$A:$G,3,FALSE)</f>
        <v>MI</v>
      </c>
      <c r="P1817">
        <f>VLOOKUP(A1817,vlookup_table!$A:$G,4,FALSE)</f>
        <v>2401</v>
      </c>
      <c r="Q1817" t="str">
        <f>VLOOKUP(A1817,vlookup_table!$A:$G,5,FALSE)</f>
        <v>R2</v>
      </c>
      <c r="R1817" t="str">
        <f>VLOOKUP(A1817,vlookup_table!$A:$G,6,FALSE)</f>
        <v>F</v>
      </c>
      <c r="S1817">
        <f>VLOOKUP(A1817,vlookup_table!$A:$G,7,FALSE)</f>
        <v>12</v>
      </c>
      <c r="T1817">
        <f t="shared" si="56"/>
        <v>72</v>
      </c>
      <c r="U1817" t="str">
        <f t="shared" si="57"/>
        <v>Rural</v>
      </c>
    </row>
    <row r="1818" spans="1:21" ht="16" x14ac:dyDescent="0.4">
      <c r="A1818" s="6">
        <v>114438</v>
      </c>
      <c r="B1818" s="6" t="s">
        <v>28</v>
      </c>
      <c r="C1818" s="6" t="s">
        <v>14</v>
      </c>
      <c r="D1818" s="6">
        <v>498</v>
      </c>
      <c r="E1818" s="6">
        <v>284</v>
      </c>
      <c r="F1818" s="6">
        <v>315</v>
      </c>
      <c r="G1818" s="6">
        <v>0</v>
      </c>
      <c r="H1818" s="6">
        <v>9667</v>
      </c>
      <c r="I1818" s="6">
        <v>2</v>
      </c>
      <c r="J1818" s="6">
        <v>56</v>
      </c>
      <c r="K1818" s="6">
        <v>304</v>
      </c>
      <c r="L1818" s="6">
        <v>274</v>
      </c>
      <c r="M1818" s="6">
        <v>11.5</v>
      </c>
      <c r="N1818">
        <f>VLOOKUP(A1818,vlookup_table!$A:$G,2,FALSE)</f>
        <v>1</v>
      </c>
      <c r="O1818" t="str">
        <f>VLOOKUP(A1818,vlookup_table!$A:$G,3,FALSE)</f>
        <v>OK</v>
      </c>
      <c r="P1818">
        <f>VLOOKUP(A1818,vlookup_table!$A:$G,4,FALSE)</f>
        <v>2512</v>
      </c>
      <c r="Q1818" t="str">
        <f>VLOOKUP(A1818,vlookup_table!$A:$G,5,FALSE)</f>
        <v>T2</v>
      </c>
      <c r="R1818" t="str">
        <f>VLOOKUP(A1818,vlookup_table!$A:$G,6,FALSE)</f>
        <v>M</v>
      </c>
      <c r="S1818">
        <f>VLOOKUP(A1818,vlookup_table!$A:$G,7,FALSE)</f>
        <v>20</v>
      </c>
      <c r="T1818">
        <f t="shared" si="56"/>
        <v>71</v>
      </c>
      <c r="U1818" t="str">
        <f t="shared" si="57"/>
        <v>Pueblo</v>
      </c>
    </row>
    <row r="1819" spans="1:21" ht="16" x14ac:dyDescent="0.4">
      <c r="A1819" s="6">
        <v>122046</v>
      </c>
      <c r="B1819" s="6" t="s">
        <v>20</v>
      </c>
      <c r="C1819" s="6" t="s">
        <v>17</v>
      </c>
      <c r="D1819" s="6">
        <v>716</v>
      </c>
      <c r="E1819" s="6">
        <v>291</v>
      </c>
      <c r="F1819" s="6">
        <v>454</v>
      </c>
      <c r="G1819" s="6">
        <v>1</v>
      </c>
      <c r="H1819" s="6">
        <v>23868</v>
      </c>
      <c r="I1819" s="6">
        <v>11</v>
      </c>
      <c r="J1819" s="6">
        <v>40</v>
      </c>
      <c r="K1819" s="6">
        <v>438</v>
      </c>
      <c r="L1819" s="6">
        <v>351</v>
      </c>
      <c r="M1819" s="6">
        <v>20</v>
      </c>
      <c r="N1819">
        <f>VLOOKUP(A1819,vlookup_table!$A:$G,2,FALSE)</f>
        <v>0</v>
      </c>
      <c r="O1819" t="str">
        <f>VLOOKUP(A1819,vlookup_table!$A:$G,3,FALSE)</f>
        <v>TX</v>
      </c>
      <c r="P1819">
        <f>VLOOKUP(A1819,vlookup_table!$A:$G,4,FALSE)</f>
        <v>3601</v>
      </c>
      <c r="Q1819" t="str">
        <f>VLOOKUP(A1819,vlookup_table!$A:$G,5,FALSE)</f>
        <v>C1</v>
      </c>
      <c r="R1819" t="str">
        <f>VLOOKUP(A1819,vlookup_table!$A:$G,6,FALSE)</f>
        <v>F</v>
      </c>
      <c r="S1819">
        <f>VLOOKUP(A1819,vlookup_table!$A:$G,7,FALSE)</f>
        <v>25</v>
      </c>
      <c r="T1819">
        <f t="shared" si="56"/>
        <v>60</v>
      </c>
      <c r="U1819" t="str">
        <f t="shared" si="57"/>
        <v>Ciudad</v>
      </c>
    </row>
    <row r="1820" spans="1:21" ht="16" x14ac:dyDescent="0.4">
      <c r="A1820" s="6">
        <v>69122</v>
      </c>
      <c r="B1820" s="6" t="s">
        <v>26</v>
      </c>
      <c r="C1820" s="6" t="s">
        <v>14</v>
      </c>
      <c r="D1820" s="6">
        <v>732</v>
      </c>
      <c r="E1820" s="6">
        <v>404</v>
      </c>
      <c r="F1820" s="6">
        <v>481</v>
      </c>
      <c r="G1820" s="6">
        <v>1</v>
      </c>
      <c r="H1820" s="6">
        <v>15554</v>
      </c>
      <c r="I1820" s="6">
        <v>2</v>
      </c>
      <c r="J1820" s="6">
        <v>73</v>
      </c>
      <c r="K1820" s="6">
        <v>431</v>
      </c>
      <c r="L1820" s="6">
        <v>434</v>
      </c>
      <c r="M1820" s="6">
        <v>10.5</v>
      </c>
      <c r="N1820">
        <f>VLOOKUP(A1820,vlookup_table!$A:$G,2,FALSE)</f>
        <v>1</v>
      </c>
      <c r="O1820" t="str">
        <f>VLOOKUP(A1820,vlookup_table!$A:$G,3,FALSE)</f>
        <v>MI</v>
      </c>
      <c r="P1820">
        <f>VLOOKUP(A1820,vlookup_table!$A:$G,4,FALSE)</f>
        <v>2701</v>
      </c>
      <c r="Q1820" t="str">
        <f>VLOOKUP(A1820,vlookup_table!$A:$G,5,FALSE)</f>
        <v>S2</v>
      </c>
      <c r="R1820" t="str">
        <f>VLOOKUP(A1820,vlookup_table!$A:$G,6,FALSE)</f>
        <v>M</v>
      </c>
      <c r="S1820">
        <f>VLOOKUP(A1820,vlookup_table!$A:$G,7,FALSE)</f>
        <v>13</v>
      </c>
      <c r="T1820">
        <f t="shared" si="56"/>
        <v>69</v>
      </c>
      <c r="U1820" t="str">
        <f t="shared" si="57"/>
        <v>Suburbano</v>
      </c>
    </row>
    <row r="1821" spans="1:21" ht="16" x14ac:dyDescent="0.4">
      <c r="A1821" s="6">
        <v>118739</v>
      </c>
      <c r="B1821" s="6" t="s">
        <v>20</v>
      </c>
      <c r="C1821" s="6" t="s">
        <v>14</v>
      </c>
      <c r="D1821" s="6">
        <v>1155</v>
      </c>
      <c r="E1821" s="6">
        <v>684</v>
      </c>
      <c r="F1821" s="6">
        <v>750</v>
      </c>
      <c r="G1821" s="6">
        <v>0</v>
      </c>
      <c r="H1821" s="6">
        <v>22931</v>
      </c>
      <c r="I1821" s="6">
        <v>5</v>
      </c>
      <c r="J1821" s="6">
        <v>43</v>
      </c>
      <c r="K1821" s="6">
        <v>695</v>
      </c>
      <c r="L1821" s="6">
        <v>728</v>
      </c>
      <c r="M1821" s="6">
        <v>12.5</v>
      </c>
      <c r="N1821">
        <f>VLOOKUP(A1821,vlookup_table!$A:$G,2,FALSE)</f>
        <v>0</v>
      </c>
      <c r="O1821" t="str">
        <f>VLOOKUP(A1821,vlookup_table!$A:$G,3,FALSE)</f>
        <v>TX</v>
      </c>
      <c r="P1821">
        <f>VLOOKUP(A1821,vlookup_table!$A:$G,4,FALSE)</f>
        <v>4701</v>
      </c>
      <c r="Q1821" t="str">
        <f>VLOOKUP(A1821,vlookup_table!$A:$G,5,FALSE)</f>
        <v>C1</v>
      </c>
      <c r="R1821" t="str">
        <f>VLOOKUP(A1821,vlookup_table!$A:$G,6,FALSE)</f>
        <v>M</v>
      </c>
      <c r="S1821">
        <f>VLOOKUP(A1821,vlookup_table!$A:$G,7,FALSE)</f>
        <v>15</v>
      </c>
      <c r="T1821">
        <f t="shared" si="56"/>
        <v>49</v>
      </c>
      <c r="U1821" t="str">
        <f t="shared" si="57"/>
        <v>Ciudad</v>
      </c>
    </row>
    <row r="1822" spans="1:21" ht="16" x14ac:dyDescent="0.4">
      <c r="A1822" s="6">
        <v>68148</v>
      </c>
      <c r="B1822" s="6" t="s">
        <v>26</v>
      </c>
      <c r="C1822" s="6" t="s">
        <v>17</v>
      </c>
      <c r="D1822" s="6">
        <v>245</v>
      </c>
      <c r="E1822" s="6">
        <v>189</v>
      </c>
      <c r="F1822" s="6">
        <v>224</v>
      </c>
      <c r="G1822" s="6">
        <v>0</v>
      </c>
      <c r="H1822" s="6">
        <v>8638</v>
      </c>
      <c r="I1822" s="6">
        <v>2</v>
      </c>
      <c r="J1822" s="6">
        <v>62</v>
      </c>
      <c r="K1822" s="6">
        <v>176</v>
      </c>
      <c r="L1822" s="6">
        <v>246</v>
      </c>
      <c r="M1822" s="6">
        <v>9.3333333330000006</v>
      </c>
      <c r="N1822">
        <f>VLOOKUP(A1822,vlookup_table!$A:$G,2,FALSE)</f>
        <v>0</v>
      </c>
      <c r="O1822" t="str">
        <f>VLOOKUP(A1822,vlookup_table!$A:$G,3,FALSE)</f>
        <v>MI</v>
      </c>
      <c r="P1822">
        <f>VLOOKUP(A1822,vlookup_table!$A:$G,4,FALSE)</f>
        <v>5401</v>
      </c>
      <c r="Q1822" t="str">
        <f>VLOOKUP(A1822,vlookup_table!$A:$G,5,FALSE)</f>
        <v>U4</v>
      </c>
      <c r="R1822" t="str">
        <f>VLOOKUP(A1822,vlookup_table!$A:$G,6,FALSE)</f>
        <v>F</v>
      </c>
      <c r="S1822">
        <f>VLOOKUP(A1822,vlookup_table!$A:$G,7,FALSE)</f>
        <v>10</v>
      </c>
      <c r="T1822">
        <f t="shared" si="56"/>
        <v>42</v>
      </c>
      <c r="U1822" t="str">
        <f t="shared" si="57"/>
        <v>Urbano</v>
      </c>
    </row>
    <row r="1823" spans="1:21" ht="16" x14ac:dyDescent="0.4">
      <c r="A1823" s="6">
        <v>22644</v>
      </c>
      <c r="B1823" s="6" t="s">
        <v>43</v>
      </c>
      <c r="C1823" s="6" t="s">
        <v>17</v>
      </c>
      <c r="D1823" s="6">
        <v>489</v>
      </c>
      <c r="E1823" s="6">
        <v>191</v>
      </c>
      <c r="F1823" s="6">
        <v>277</v>
      </c>
      <c r="G1823" s="6">
        <v>1</v>
      </c>
      <c r="H1823" s="6">
        <v>8579</v>
      </c>
      <c r="I1823" s="6">
        <v>0</v>
      </c>
      <c r="J1823" s="6">
        <v>83</v>
      </c>
      <c r="K1823" s="6">
        <v>221</v>
      </c>
      <c r="L1823" s="6">
        <v>244</v>
      </c>
      <c r="M1823" s="6">
        <v>9.1999999999999993</v>
      </c>
      <c r="N1823">
        <f>VLOOKUP(A1823,vlookup_table!$A:$G,2,FALSE)</f>
        <v>2</v>
      </c>
      <c r="O1823" t="str">
        <f>VLOOKUP(A1823,vlookup_table!$A:$G,3,FALSE)</f>
        <v>SC</v>
      </c>
      <c r="P1823">
        <f>VLOOKUP(A1823,vlookup_table!$A:$G,4,FALSE)</f>
        <v>4201</v>
      </c>
      <c r="Q1823" t="str">
        <f>VLOOKUP(A1823,vlookup_table!$A:$G,5,FALSE)</f>
        <v>R2</v>
      </c>
      <c r="R1823" t="str">
        <f>VLOOKUP(A1823,vlookup_table!$A:$G,6,FALSE)</f>
        <v>F</v>
      </c>
      <c r="S1823">
        <f>VLOOKUP(A1823,vlookup_table!$A:$G,7,FALSE)</f>
        <v>21</v>
      </c>
      <c r="T1823">
        <f t="shared" si="56"/>
        <v>54</v>
      </c>
      <c r="U1823" t="str">
        <f t="shared" si="57"/>
        <v>Rural</v>
      </c>
    </row>
    <row r="1824" spans="1:21" ht="16" x14ac:dyDescent="0.4">
      <c r="A1824" s="6">
        <v>87239</v>
      </c>
      <c r="B1824" s="6" t="s">
        <v>31</v>
      </c>
      <c r="C1824" s="6" t="s">
        <v>14</v>
      </c>
      <c r="D1824" s="6">
        <v>590</v>
      </c>
      <c r="E1824" s="6">
        <v>292</v>
      </c>
      <c r="F1824" s="6">
        <v>362</v>
      </c>
      <c r="G1824" s="6">
        <v>0</v>
      </c>
      <c r="H1824" s="6">
        <v>11338</v>
      </c>
      <c r="I1824" s="6">
        <v>0</v>
      </c>
      <c r="J1824" s="6">
        <v>68</v>
      </c>
      <c r="K1824" s="6">
        <v>341</v>
      </c>
      <c r="L1824" s="6">
        <v>333</v>
      </c>
      <c r="M1824" s="6">
        <v>8.5833333330000006</v>
      </c>
      <c r="N1824">
        <f>VLOOKUP(A1824,vlookup_table!$A:$G,2,FALSE)</f>
        <v>1002</v>
      </c>
      <c r="O1824" t="str">
        <f>VLOOKUP(A1824,vlookup_table!$A:$G,3,FALSE)</f>
        <v>MT</v>
      </c>
      <c r="P1824">
        <f>VLOOKUP(A1824,vlookup_table!$A:$G,4,FALSE)</f>
        <v>1601</v>
      </c>
      <c r="Q1824" t="str">
        <f>VLOOKUP(A1824,vlookup_table!$A:$G,5,FALSE)</f>
        <v>T2</v>
      </c>
      <c r="R1824" t="str">
        <f>VLOOKUP(A1824,vlookup_table!$A:$G,6,FALSE)</f>
        <v>M</v>
      </c>
      <c r="S1824">
        <f>VLOOKUP(A1824,vlookup_table!$A:$G,7,FALSE)</f>
        <v>7</v>
      </c>
      <c r="T1824">
        <f t="shared" si="56"/>
        <v>80</v>
      </c>
      <c r="U1824" t="str">
        <f t="shared" si="57"/>
        <v>Pueblo</v>
      </c>
    </row>
    <row r="1825" spans="1:21" ht="16" x14ac:dyDescent="0.4">
      <c r="A1825" s="6">
        <v>108447</v>
      </c>
      <c r="B1825" s="6" t="s">
        <v>46</v>
      </c>
      <c r="C1825" s="6" t="s">
        <v>17</v>
      </c>
      <c r="D1825" s="6">
        <v>764</v>
      </c>
      <c r="E1825" s="6">
        <v>354</v>
      </c>
      <c r="F1825" s="6">
        <v>401</v>
      </c>
      <c r="G1825" s="6">
        <v>0</v>
      </c>
      <c r="H1825" s="6">
        <v>12713</v>
      </c>
      <c r="I1825" s="6">
        <v>4</v>
      </c>
      <c r="J1825" s="6">
        <v>70</v>
      </c>
      <c r="K1825" s="6">
        <v>362</v>
      </c>
      <c r="L1825" s="6">
        <v>383</v>
      </c>
      <c r="M1825" s="6">
        <v>6.25</v>
      </c>
      <c r="N1825">
        <f>VLOOKUP(A1825,vlookup_table!$A:$G,2,FALSE)</f>
        <v>0</v>
      </c>
      <c r="O1825" t="str">
        <f>VLOOKUP(A1825,vlookup_table!$A:$G,3,FALSE)</f>
        <v>LA</v>
      </c>
      <c r="P1825">
        <f>VLOOKUP(A1825,vlookup_table!$A:$G,4,FALSE)</f>
        <v>0</v>
      </c>
      <c r="Q1825" t="str">
        <f>VLOOKUP(A1825,vlookup_table!$A:$G,5,FALSE)</f>
        <v>S2</v>
      </c>
      <c r="R1825" t="str">
        <f>VLOOKUP(A1825,vlookup_table!$A:$G,6,FALSE)</f>
        <v>F</v>
      </c>
      <c r="S1825">
        <f>VLOOKUP(A1825,vlookup_table!$A:$G,7,FALSE)</f>
        <v>10</v>
      </c>
      <c r="T1825">
        <f t="shared" si="56"/>
        <v>96</v>
      </c>
      <c r="U1825" t="str">
        <f t="shared" si="57"/>
        <v>Suburbano</v>
      </c>
    </row>
    <row r="1826" spans="1:21" ht="16" x14ac:dyDescent="0.4">
      <c r="A1826" s="6">
        <v>49860</v>
      </c>
      <c r="B1826" s="6" t="s">
        <v>49</v>
      </c>
      <c r="C1826" s="6" t="s">
        <v>17</v>
      </c>
      <c r="D1826" s="6">
        <v>670</v>
      </c>
      <c r="E1826" s="6">
        <v>318</v>
      </c>
      <c r="F1826" s="6">
        <v>386</v>
      </c>
      <c r="G1826" s="6">
        <v>0</v>
      </c>
      <c r="H1826" s="6">
        <v>12457</v>
      </c>
      <c r="I1826" s="6">
        <v>4</v>
      </c>
      <c r="J1826" s="6">
        <v>68</v>
      </c>
      <c r="K1826" s="6">
        <v>358</v>
      </c>
      <c r="L1826" s="6">
        <v>354</v>
      </c>
      <c r="M1826" s="6">
        <v>4.9583333329999997</v>
      </c>
      <c r="N1826">
        <f>VLOOKUP(A1826,vlookup_table!$A:$G,2,FALSE)</f>
        <v>0</v>
      </c>
      <c r="O1826" t="str">
        <f>VLOOKUP(A1826,vlookup_table!$A:$G,3,FALSE)</f>
        <v>TN</v>
      </c>
      <c r="P1826">
        <f>VLOOKUP(A1826,vlookup_table!$A:$G,4,FALSE)</f>
        <v>3512</v>
      </c>
      <c r="Q1826" t="str">
        <f>VLOOKUP(A1826,vlookup_table!$A:$G,5,FALSE)</f>
        <v>S2</v>
      </c>
      <c r="R1826" t="str">
        <f>VLOOKUP(A1826,vlookup_table!$A:$G,6,FALSE)</f>
        <v>F</v>
      </c>
      <c r="S1826">
        <f>VLOOKUP(A1826,vlookup_table!$A:$G,7,FALSE)</f>
        <v>4</v>
      </c>
      <c r="T1826">
        <f t="shared" si="56"/>
        <v>61</v>
      </c>
      <c r="U1826" t="str">
        <f t="shared" si="57"/>
        <v>Suburbano</v>
      </c>
    </row>
    <row r="1827" spans="1:21" ht="16" x14ac:dyDescent="0.4">
      <c r="A1827" s="6">
        <v>88662</v>
      </c>
      <c r="B1827" s="6" t="s">
        <v>16</v>
      </c>
      <c r="C1827" s="6" t="s">
        <v>14</v>
      </c>
      <c r="D1827" s="6">
        <v>1000</v>
      </c>
      <c r="E1827" s="6">
        <v>453</v>
      </c>
      <c r="F1827" s="6">
        <v>478</v>
      </c>
      <c r="G1827" s="6">
        <v>0</v>
      </c>
      <c r="H1827" s="6">
        <v>15134</v>
      </c>
      <c r="I1827" s="6">
        <v>7</v>
      </c>
      <c r="J1827" s="6">
        <v>72</v>
      </c>
      <c r="K1827" s="6">
        <v>463</v>
      </c>
      <c r="L1827" s="6">
        <v>458</v>
      </c>
      <c r="M1827" s="6">
        <v>8.7727272729999992</v>
      </c>
      <c r="N1827">
        <f>VLOOKUP(A1827,vlookup_table!$A:$G,2,FALSE)</f>
        <v>0</v>
      </c>
      <c r="O1827" t="str">
        <f>VLOOKUP(A1827,vlookup_table!$A:$G,3,FALSE)</f>
        <v>IL</v>
      </c>
      <c r="P1827">
        <f>VLOOKUP(A1827,vlookup_table!$A:$G,4,FALSE)</f>
        <v>3004</v>
      </c>
      <c r="Q1827" t="str">
        <f>VLOOKUP(A1827,vlookup_table!$A:$G,5,FALSE)</f>
        <v>S2</v>
      </c>
      <c r="R1827" t="str">
        <f>VLOOKUP(A1827,vlookup_table!$A:$G,6,FALSE)</f>
        <v>M</v>
      </c>
      <c r="S1827">
        <f>VLOOKUP(A1827,vlookup_table!$A:$G,7,FALSE)</f>
        <v>12</v>
      </c>
      <c r="T1827">
        <f t="shared" si="56"/>
        <v>66</v>
      </c>
      <c r="U1827" t="str">
        <f t="shared" si="57"/>
        <v>Suburbano</v>
      </c>
    </row>
    <row r="1828" spans="1:21" ht="16" x14ac:dyDescent="0.4">
      <c r="A1828" s="6">
        <v>59225</v>
      </c>
      <c r="B1828" s="6" t="s">
        <v>30</v>
      </c>
      <c r="C1828" s="6" t="s">
        <v>17</v>
      </c>
      <c r="D1828" s="6">
        <v>519</v>
      </c>
      <c r="E1828" s="6">
        <v>314</v>
      </c>
      <c r="F1828" s="6">
        <v>381</v>
      </c>
      <c r="G1828" s="6">
        <v>0</v>
      </c>
      <c r="H1828" s="6">
        <v>12167</v>
      </c>
      <c r="I1828" s="6">
        <v>0</v>
      </c>
      <c r="J1828" s="6">
        <v>82</v>
      </c>
      <c r="K1828" s="6">
        <v>357</v>
      </c>
      <c r="L1828" s="6">
        <v>349</v>
      </c>
      <c r="M1828" s="6">
        <v>5.6875</v>
      </c>
      <c r="N1828">
        <f>VLOOKUP(A1828,vlookup_table!$A:$G,2,FALSE)</f>
        <v>2</v>
      </c>
      <c r="O1828" t="str">
        <f>VLOOKUP(A1828,vlookup_table!$A:$G,3,FALSE)</f>
        <v>IN</v>
      </c>
      <c r="P1828">
        <f>VLOOKUP(A1828,vlookup_table!$A:$G,4,FALSE)</f>
        <v>0</v>
      </c>
      <c r="Q1828" t="str">
        <f>VLOOKUP(A1828,vlookup_table!$A:$G,5,FALSE)</f>
        <v>R2</v>
      </c>
      <c r="R1828" t="str">
        <f>VLOOKUP(A1828,vlookup_table!$A:$G,6,FALSE)</f>
        <v>F</v>
      </c>
      <c r="S1828">
        <f>VLOOKUP(A1828,vlookup_table!$A:$G,7,FALSE)</f>
        <v>10</v>
      </c>
      <c r="T1828">
        <f t="shared" si="56"/>
        <v>96</v>
      </c>
      <c r="U1828" t="str">
        <f t="shared" si="57"/>
        <v>Rural</v>
      </c>
    </row>
    <row r="1829" spans="1:21" ht="16" x14ac:dyDescent="0.4">
      <c r="A1829" s="6">
        <v>190377</v>
      </c>
      <c r="B1829" s="6" t="s">
        <v>13</v>
      </c>
      <c r="C1829" s="6" t="s">
        <v>17</v>
      </c>
      <c r="D1829" s="6">
        <v>720</v>
      </c>
      <c r="E1829" s="6">
        <v>364</v>
      </c>
      <c r="F1829" s="6">
        <v>521</v>
      </c>
      <c r="G1829" s="6">
        <v>1</v>
      </c>
      <c r="H1829" s="6">
        <v>18273</v>
      </c>
      <c r="I1829" s="6">
        <v>10</v>
      </c>
      <c r="J1829" s="6">
        <v>21</v>
      </c>
      <c r="K1829" s="6">
        <v>416</v>
      </c>
      <c r="L1829" s="6">
        <v>450</v>
      </c>
      <c r="M1829" s="6">
        <v>17.89473684</v>
      </c>
      <c r="N1829">
        <f>VLOOKUP(A1829,vlookup_table!$A:$G,2,FALSE)</f>
        <v>28</v>
      </c>
      <c r="O1829" t="str">
        <f>VLOOKUP(A1829,vlookup_table!$A:$G,3,FALSE)</f>
        <v>FL</v>
      </c>
      <c r="P1829">
        <f>VLOOKUP(A1829,vlookup_table!$A:$G,4,FALSE)</f>
        <v>0</v>
      </c>
      <c r="Q1829" t="str">
        <f>VLOOKUP(A1829,vlookup_table!$A:$G,5,FALSE)</f>
        <v/>
      </c>
      <c r="R1829" t="str">
        <f>VLOOKUP(A1829,vlookup_table!$A:$G,6,FALSE)</f>
        <v>F</v>
      </c>
      <c r="S1829">
        <f>VLOOKUP(A1829,vlookup_table!$A:$G,7,FALSE)</f>
        <v>24</v>
      </c>
      <c r="T1829">
        <f t="shared" si="56"/>
        <v>96</v>
      </c>
      <c r="U1829" t="str">
        <f t="shared" si="57"/>
        <v/>
      </c>
    </row>
    <row r="1830" spans="1:21" ht="16" x14ac:dyDescent="0.4">
      <c r="A1830" s="6">
        <v>151695</v>
      </c>
      <c r="B1830" s="6" t="s">
        <v>21</v>
      </c>
      <c r="C1830" s="6" t="s">
        <v>14</v>
      </c>
      <c r="D1830" s="6">
        <v>2498</v>
      </c>
      <c r="E1830" s="6">
        <v>518</v>
      </c>
      <c r="F1830" s="6">
        <v>606</v>
      </c>
      <c r="G1830" s="6">
        <v>71</v>
      </c>
      <c r="H1830" s="6">
        <v>18830</v>
      </c>
      <c r="I1830" s="6">
        <v>7</v>
      </c>
      <c r="J1830" s="6">
        <v>55</v>
      </c>
      <c r="K1830" s="6">
        <v>550</v>
      </c>
      <c r="L1830" s="6">
        <v>570</v>
      </c>
      <c r="M1830" s="6">
        <v>25</v>
      </c>
      <c r="N1830">
        <f>VLOOKUP(A1830,vlookup_table!$A:$G,2,FALSE)</f>
        <v>1</v>
      </c>
      <c r="O1830" t="str">
        <f>VLOOKUP(A1830,vlookup_table!$A:$G,3,FALSE)</f>
        <v>CA</v>
      </c>
      <c r="P1830">
        <f>VLOOKUP(A1830,vlookup_table!$A:$G,4,FALSE)</f>
        <v>0</v>
      </c>
      <c r="Q1830" t="str">
        <f>VLOOKUP(A1830,vlookup_table!$A:$G,5,FALSE)</f>
        <v>T1</v>
      </c>
      <c r="R1830" t="str">
        <f>VLOOKUP(A1830,vlookup_table!$A:$G,6,FALSE)</f>
        <v>M</v>
      </c>
      <c r="S1830">
        <f>VLOOKUP(A1830,vlookup_table!$A:$G,7,FALSE)</f>
        <v>35</v>
      </c>
      <c r="T1830">
        <f t="shared" si="56"/>
        <v>96</v>
      </c>
      <c r="U1830" t="str">
        <f t="shared" si="57"/>
        <v>Pueblo</v>
      </c>
    </row>
    <row r="1831" spans="1:21" ht="16" x14ac:dyDescent="0.4">
      <c r="A1831" s="6">
        <v>146301</v>
      </c>
      <c r="B1831" s="6" t="s">
        <v>38</v>
      </c>
      <c r="C1831" s="6" t="s">
        <v>17</v>
      </c>
      <c r="D1831" s="6">
        <v>887</v>
      </c>
      <c r="E1831" s="6">
        <v>337</v>
      </c>
      <c r="F1831" s="6">
        <v>531</v>
      </c>
      <c r="G1831" s="6">
        <v>6</v>
      </c>
      <c r="H1831" s="6">
        <v>21539</v>
      </c>
      <c r="I1831" s="6">
        <v>2</v>
      </c>
      <c r="J1831" s="6">
        <v>43</v>
      </c>
      <c r="K1831" s="6">
        <v>459</v>
      </c>
      <c r="L1831" s="6">
        <v>433</v>
      </c>
      <c r="M1831" s="6">
        <v>9.6666666669999994</v>
      </c>
      <c r="N1831">
        <f>VLOOKUP(A1831,vlookup_table!$A:$G,2,FALSE)</f>
        <v>0</v>
      </c>
      <c r="O1831" t="str">
        <f>VLOOKUP(A1831,vlookup_table!$A:$G,3,FALSE)</f>
        <v>ID</v>
      </c>
      <c r="P1831">
        <f>VLOOKUP(A1831,vlookup_table!$A:$G,4,FALSE)</f>
        <v>6301</v>
      </c>
      <c r="Q1831" t="str">
        <f>VLOOKUP(A1831,vlookup_table!$A:$G,5,FALSE)</f>
        <v>U2</v>
      </c>
      <c r="R1831" t="str">
        <f>VLOOKUP(A1831,vlookup_table!$A:$G,6,FALSE)</f>
        <v>F</v>
      </c>
      <c r="S1831">
        <f>VLOOKUP(A1831,vlookup_table!$A:$G,7,FALSE)</f>
        <v>17</v>
      </c>
      <c r="T1831">
        <f t="shared" si="56"/>
        <v>33</v>
      </c>
      <c r="U1831" t="str">
        <f t="shared" si="57"/>
        <v>Urbano</v>
      </c>
    </row>
    <row r="1832" spans="1:21" ht="16" x14ac:dyDescent="0.4">
      <c r="A1832" s="6">
        <v>27944</v>
      </c>
      <c r="B1832" s="6" t="s">
        <v>36</v>
      </c>
      <c r="C1832" s="6" t="s">
        <v>17</v>
      </c>
      <c r="D1832" s="6">
        <v>687</v>
      </c>
      <c r="E1832" s="6">
        <v>379</v>
      </c>
      <c r="F1832" s="6">
        <v>380</v>
      </c>
      <c r="G1832" s="6">
        <v>0</v>
      </c>
      <c r="H1832" s="6">
        <v>12223</v>
      </c>
      <c r="I1832" s="6">
        <v>1</v>
      </c>
      <c r="J1832" s="6">
        <v>57</v>
      </c>
      <c r="K1832" s="6">
        <v>403</v>
      </c>
      <c r="L1832" s="6">
        <v>360</v>
      </c>
      <c r="M1832" s="6">
        <v>13.85714286</v>
      </c>
      <c r="N1832">
        <f>VLOOKUP(A1832,vlookup_table!$A:$G,2,FALSE)</f>
        <v>0</v>
      </c>
      <c r="O1832" t="str">
        <f>VLOOKUP(A1832,vlookup_table!$A:$G,3,FALSE)</f>
        <v>GA</v>
      </c>
      <c r="P1832">
        <f>VLOOKUP(A1832,vlookup_table!$A:$G,4,FALSE)</f>
        <v>5011</v>
      </c>
      <c r="Q1832" t="str">
        <f>VLOOKUP(A1832,vlookup_table!$A:$G,5,FALSE)</f>
        <v>C2</v>
      </c>
      <c r="R1832" t="str">
        <f>VLOOKUP(A1832,vlookup_table!$A:$G,6,FALSE)</f>
        <v>F</v>
      </c>
      <c r="S1832">
        <f>VLOOKUP(A1832,vlookup_table!$A:$G,7,FALSE)</f>
        <v>33</v>
      </c>
      <c r="T1832">
        <f t="shared" si="56"/>
        <v>46</v>
      </c>
      <c r="U1832" t="str">
        <f t="shared" si="57"/>
        <v>Ciudad</v>
      </c>
    </row>
    <row r="1833" spans="1:21" ht="16" x14ac:dyDescent="0.4">
      <c r="A1833" s="6">
        <v>172801</v>
      </c>
      <c r="B1833" s="6" t="s">
        <v>21</v>
      </c>
      <c r="C1833" s="6" t="s">
        <v>14</v>
      </c>
      <c r="D1833" s="6">
        <v>710</v>
      </c>
      <c r="E1833" s="6">
        <v>236</v>
      </c>
      <c r="F1833" s="6">
        <v>400</v>
      </c>
      <c r="G1833" s="6">
        <v>2</v>
      </c>
      <c r="H1833" s="6">
        <v>12318</v>
      </c>
      <c r="I1833" s="6">
        <v>4</v>
      </c>
      <c r="J1833" s="6">
        <v>79</v>
      </c>
      <c r="K1833" s="6">
        <v>388</v>
      </c>
      <c r="L1833" s="6">
        <v>313</v>
      </c>
      <c r="M1833" s="6">
        <v>13.57142857</v>
      </c>
      <c r="N1833">
        <f>VLOOKUP(A1833,vlookup_table!$A:$G,2,FALSE)</f>
        <v>1002</v>
      </c>
      <c r="O1833" t="str">
        <f>VLOOKUP(A1833,vlookup_table!$A:$G,3,FALSE)</f>
        <v>CA</v>
      </c>
      <c r="P1833">
        <f>VLOOKUP(A1833,vlookup_table!$A:$G,4,FALSE)</f>
        <v>0</v>
      </c>
      <c r="Q1833" t="str">
        <f>VLOOKUP(A1833,vlookup_table!$A:$G,5,FALSE)</f>
        <v>R2</v>
      </c>
      <c r="R1833" t="str">
        <f>VLOOKUP(A1833,vlookup_table!$A:$G,6,FALSE)</f>
        <v>M</v>
      </c>
      <c r="S1833">
        <f>VLOOKUP(A1833,vlookup_table!$A:$G,7,FALSE)</f>
        <v>10</v>
      </c>
      <c r="T1833">
        <f t="shared" si="56"/>
        <v>96</v>
      </c>
      <c r="U1833" t="str">
        <f t="shared" si="57"/>
        <v>Rural</v>
      </c>
    </row>
    <row r="1834" spans="1:21" ht="16" x14ac:dyDescent="0.4">
      <c r="A1834" s="6">
        <v>78179</v>
      </c>
      <c r="B1834" s="6" t="s">
        <v>32</v>
      </c>
      <c r="C1834" s="6" t="s">
        <v>14</v>
      </c>
      <c r="D1834" s="6">
        <v>708</v>
      </c>
      <c r="E1834" s="6">
        <v>358</v>
      </c>
      <c r="F1834" s="6">
        <v>414</v>
      </c>
      <c r="G1834" s="6">
        <v>0</v>
      </c>
      <c r="H1834" s="6">
        <v>14051</v>
      </c>
      <c r="I1834" s="6">
        <v>0</v>
      </c>
      <c r="J1834" s="6">
        <v>86</v>
      </c>
      <c r="K1834" s="6">
        <v>370</v>
      </c>
      <c r="L1834" s="6">
        <v>384</v>
      </c>
      <c r="M1834" s="6">
        <v>22.5</v>
      </c>
      <c r="N1834">
        <f>VLOOKUP(A1834,vlookup_table!$A:$G,2,FALSE)</f>
        <v>1</v>
      </c>
      <c r="O1834" t="str">
        <f>VLOOKUP(A1834,vlookup_table!$A:$G,3,FALSE)</f>
        <v>WI</v>
      </c>
      <c r="P1834">
        <f>VLOOKUP(A1834,vlookup_table!$A:$G,4,FALSE)</f>
        <v>6401</v>
      </c>
      <c r="Q1834" t="str">
        <f>VLOOKUP(A1834,vlookup_table!$A:$G,5,FALSE)</f>
        <v>C3</v>
      </c>
      <c r="R1834" t="str">
        <f>VLOOKUP(A1834,vlookup_table!$A:$G,6,FALSE)</f>
        <v>M</v>
      </c>
      <c r="S1834">
        <f>VLOOKUP(A1834,vlookup_table!$A:$G,7,FALSE)</f>
        <v>10</v>
      </c>
      <c r="T1834">
        <f t="shared" si="56"/>
        <v>32</v>
      </c>
      <c r="U1834" t="str">
        <f t="shared" si="57"/>
        <v>Ciudad</v>
      </c>
    </row>
    <row r="1835" spans="1:21" ht="16" x14ac:dyDescent="0.4">
      <c r="A1835" s="6">
        <v>121755</v>
      </c>
      <c r="B1835" s="6" t="s">
        <v>20</v>
      </c>
      <c r="C1835" s="6" t="s">
        <v>14</v>
      </c>
      <c r="D1835" s="6">
        <v>1364</v>
      </c>
      <c r="E1835" s="6">
        <v>634</v>
      </c>
      <c r="F1835" s="6">
        <v>811</v>
      </c>
      <c r="G1835" s="6">
        <v>22</v>
      </c>
      <c r="H1835" s="6">
        <v>42549</v>
      </c>
      <c r="I1835" s="6">
        <v>11</v>
      </c>
      <c r="J1835" s="6">
        <v>34</v>
      </c>
      <c r="K1835" s="6">
        <v>673</v>
      </c>
      <c r="L1835" s="6">
        <v>768</v>
      </c>
      <c r="M1835" s="6">
        <v>15</v>
      </c>
      <c r="N1835">
        <f>VLOOKUP(A1835,vlookup_table!$A:$G,2,FALSE)</f>
        <v>0</v>
      </c>
      <c r="O1835" t="str">
        <f>VLOOKUP(A1835,vlookup_table!$A:$G,3,FALSE)</f>
        <v>TX</v>
      </c>
      <c r="P1835">
        <f>VLOOKUP(A1835,vlookup_table!$A:$G,4,FALSE)</f>
        <v>2001</v>
      </c>
      <c r="Q1835" t="str">
        <f>VLOOKUP(A1835,vlookup_table!$A:$G,5,FALSE)</f>
        <v>C1</v>
      </c>
      <c r="R1835" t="str">
        <f>VLOOKUP(A1835,vlookup_table!$A:$G,6,FALSE)</f>
        <v>M</v>
      </c>
      <c r="S1835">
        <f>VLOOKUP(A1835,vlookup_table!$A:$G,7,FALSE)</f>
        <v>15</v>
      </c>
      <c r="T1835">
        <f t="shared" si="56"/>
        <v>76</v>
      </c>
      <c r="U1835" t="str">
        <f t="shared" si="57"/>
        <v>Ciudad</v>
      </c>
    </row>
    <row r="1836" spans="1:21" ht="16" x14ac:dyDescent="0.4">
      <c r="A1836" s="6">
        <v>147747</v>
      </c>
      <c r="B1836" s="6" t="s">
        <v>21</v>
      </c>
      <c r="C1836" s="6" t="s">
        <v>17</v>
      </c>
      <c r="D1836" s="6">
        <v>3005</v>
      </c>
      <c r="E1836" s="6">
        <v>348</v>
      </c>
      <c r="F1836" s="6">
        <v>503</v>
      </c>
      <c r="G1836" s="6">
        <v>87</v>
      </c>
      <c r="H1836" s="6">
        <v>18396</v>
      </c>
      <c r="I1836" s="6">
        <v>32</v>
      </c>
      <c r="J1836" s="6">
        <v>35</v>
      </c>
      <c r="K1836" s="6">
        <v>385</v>
      </c>
      <c r="L1836" s="6">
        <v>455</v>
      </c>
      <c r="M1836" s="6">
        <v>9.4705882349999992</v>
      </c>
      <c r="N1836">
        <f>VLOOKUP(A1836,vlookup_table!$A:$G,2,FALSE)</f>
        <v>0</v>
      </c>
      <c r="O1836" t="str">
        <f>VLOOKUP(A1836,vlookup_table!$A:$G,3,FALSE)</f>
        <v>CA</v>
      </c>
      <c r="P1836">
        <f>VLOOKUP(A1836,vlookup_table!$A:$G,4,FALSE)</f>
        <v>2008</v>
      </c>
      <c r="Q1836" t="str">
        <f>VLOOKUP(A1836,vlookup_table!$A:$G,5,FALSE)</f>
        <v>S1</v>
      </c>
      <c r="R1836" t="str">
        <f>VLOOKUP(A1836,vlookup_table!$A:$G,6,FALSE)</f>
        <v>F</v>
      </c>
      <c r="S1836">
        <f>VLOOKUP(A1836,vlookup_table!$A:$G,7,FALSE)</f>
        <v>13</v>
      </c>
      <c r="T1836">
        <f t="shared" si="56"/>
        <v>76</v>
      </c>
      <c r="U1836" t="str">
        <f t="shared" si="57"/>
        <v>Suburbano</v>
      </c>
    </row>
    <row r="1837" spans="1:21" ht="16" x14ac:dyDescent="0.4">
      <c r="A1837" s="6">
        <v>3685</v>
      </c>
      <c r="B1837" s="6" t="s">
        <v>37</v>
      </c>
      <c r="C1837" s="6" t="s">
        <v>17</v>
      </c>
      <c r="D1837" s="6">
        <v>827</v>
      </c>
      <c r="E1837" s="6">
        <v>277</v>
      </c>
      <c r="F1837" s="6">
        <v>371</v>
      </c>
      <c r="G1837" s="6">
        <v>1</v>
      </c>
      <c r="H1837" s="6">
        <v>12751</v>
      </c>
      <c r="I1837" s="6">
        <v>9</v>
      </c>
      <c r="J1837" s="6">
        <v>47</v>
      </c>
      <c r="K1837" s="6">
        <v>328</v>
      </c>
      <c r="L1837" s="6">
        <v>309</v>
      </c>
      <c r="M1837" s="6">
        <v>10.15789474</v>
      </c>
      <c r="N1837">
        <f>VLOOKUP(A1837,vlookup_table!$A:$G,2,FALSE)</f>
        <v>0</v>
      </c>
      <c r="O1837" t="str">
        <f>VLOOKUP(A1837,vlookup_table!$A:$G,3,FALSE)</f>
        <v>WA</v>
      </c>
      <c r="P1837">
        <f>VLOOKUP(A1837,vlookup_table!$A:$G,4,FALSE)</f>
        <v>4201</v>
      </c>
      <c r="Q1837" t="str">
        <f>VLOOKUP(A1837,vlookup_table!$A:$G,5,FALSE)</f>
        <v>S3</v>
      </c>
      <c r="R1837" t="str">
        <f>VLOOKUP(A1837,vlookup_table!$A:$G,6,FALSE)</f>
        <v>F</v>
      </c>
      <c r="S1837">
        <f>VLOOKUP(A1837,vlookup_table!$A:$G,7,FALSE)</f>
        <v>15</v>
      </c>
      <c r="T1837">
        <f t="shared" si="56"/>
        <v>54</v>
      </c>
      <c r="U1837" t="str">
        <f t="shared" si="57"/>
        <v>Suburbano</v>
      </c>
    </row>
    <row r="1838" spans="1:21" ht="16" x14ac:dyDescent="0.4">
      <c r="A1838" s="6">
        <v>128934</v>
      </c>
      <c r="B1838" s="6" t="s">
        <v>20</v>
      </c>
      <c r="C1838" s="6" t="s">
        <v>17</v>
      </c>
      <c r="D1838" s="6">
        <v>725</v>
      </c>
      <c r="E1838" s="6">
        <v>334</v>
      </c>
      <c r="F1838" s="6">
        <v>432</v>
      </c>
      <c r="G1838" s="6">
        <v>0</v>
      </c>
      <c r="H1838" s="6">
        <v>14447</v>
      </c>
      <c r="I1838" s="6">
        <v>14</v>
      </c>
      <c r="J1838" s="6">
        <v>53</v>
      </c>
      <c r="K1838" s="6">
        <v>354</v>
      </c>
      <c r="L1838" s="6">
        <v>418</v>
      </c>
      <c r="M1838" s="6">
        <v>15.4</v>
      </c>
      <c r="N1838">
        <f>VLOOKUP(A1838,vlookup_table!$A:$G,2,FALSE)</f>
        <v>0</v>
      </c>
      <c r="O1838" t="str">
        <f>VLOOKUP(A1838,vlookup_table!$A:$G,3,FALSE)</f>
        <v>TX</v>
      </c>
      <c r="P1838">
        <f>VLOOKUP(A1838,vlookup_table!$A:$G,4,FALSE)</f>
        <v>1</v>
      </c>
      <c r="Q1838" t="str">
        <f>VLOOKUP(A1838,vlookup_table!$A:$G,5,FALSE)</f>
        <v>S1</v>
      </c>
      <c r="R1838" t="str">
        <f>VLOOKUP(A1838,vlookup_table!$A:$G,6,FALSE)</f>
        <v>F</v>
      </c>
      <c r="S1838">
        <f>VLOOKUP(A1838,vlookup_table!$A:$G,7,FALSE)</f>
        <v>20</v>
      </c>
      <c r="T1838">
        <f t="shared" si="56"/>
        <v>95</v>
      </c>
      <c r="U1838" t="str">
        <f t="shared" si="57"/>
        <v>Suburbano</v>
      </c>
    </row>
    <row r="1839" spans="1:21" ht="16" x14ac:dyDescent="0.4">
      <c r="A1839" s="6">
        <v>18038</v>
      </c>
      <c r="B1839" s="6" t="s">
        <v>18</v>
      </c>
      <c r="C1839" s="6"/>
      <c r="D1839" s="6">
        <v>548</v>
      </c>
      <c r="E1839" s="6">
        <v>197</v>
      </c>
      <c r="F1839" s="6">
        <v>300</v>
      </c>
      <c r="G1839" s="6">
        <v>7</v>
      </c>
      <c r="H1839" s="6">
        <v>10044</v>
      </c>
      <c r="I1839" s="6">
        <v>0</v>
      </c>
      <c r="J1839" s="6">
        <v>83</v>
      </c>
      <c r="K1839" s="6">
        <v>246</v>
      </c>
      <c r="L1839" s="6">
        <v>259</v>
      </c>
      <c r="M1839" s="6">
        <v>12.375</v>
      </c>
      <c r="N1839">
        <f>VLOOKUP(A1839,vlookup_table!$A:$G,2,FALSE)</f>
        <v>0</v>
      </c>
      <c r="O1839" t="str">
        <f>VLOOKUP(A1839,vlookup_table!$A:$G,3,FALSE)</f>
        <v>NC</v>
      </c>
      <c r="P1839">
        <f>VLOOKUP(A1839,vlookup_table!$A:$G,4,FALSE)</f>
        <v>0</v>
      </c>
      <c r="Q1839" t="str">
        <f>VLOOKUP(A1839,vlookup_table!$A:$G,5,FALSE)</f>
        <v>R2</v>
      </c>
      <c r="R1839" t="str">
        <f>VLOOKUP(A1839,vlookup_table!$A:$G,6,FALSE)</f>
        <v/>
      </c>
      <c r="S1839">
        <f>VLOOKUP(A1839,vlookup_table!$A:$G,7,FALSE)</f>
        <v>16</v>
      </c>
      <c r="T1839">
        <f t="shared" si="56"/>
        <v>96</v>
      </c>
      <c r="U1839" t="str">
        <f t="shared" si="57"/>
        <v>Rural</v>
      </c>
    </row>
    <row r="1840" spans="1:21" ht="16" x14ac:dyDescent="0.4">
      <c r="A1840" s="6">
        <v>180272</v>
      </c>
      <c r="B1840" s="6" t="s">
        <v>37</v>
      </c>
      <c r="C1840" s="6" t="s">
        <v>17</v>
      </c>
      <c r="D1840" s="6">
        <v>1055</v>
      </c>
      <c r="E1840" s="6">
        <v>319</v>
      </c>
      <c r="F1840" s="6">
        <v>421</v>
      </c>
      <c r="G1840" s="6">
        <v>6</v>
      </c>
      <c r="H1840" s="6">
        <v>16161</v>
      </c>
      <c r="I1840" s="6">
        <v>5</v>
      </c>
      <c r="J1840" s="6">
        <v>49</v>
      </c>
      <c r="K1840" s="6">
        <v>379</v>
      </c>
      <c r="L1840" s="6">
        <v>375</v>
      </c>
      <c r="M1840" s="6">
        <v>14</v>
      </c>
      <c r="N1840">
        <f>VLOOKUP(A1840,vlookup_table!$A:$G,2,FALSE)</f>
        <v>0</v>
      </c>
      <c r="O1840" t="str">
        <f>VLOOKUP(A1840,vlookup_table!$A:$G,3,FALSE)</f>
        <v>WA</v>
      </c>
      <c r="P1840">
        <f>VLOOKUP(A1840,vlookup_table!$A:$G,4,FALSE)</f>
        <v>1801</v>
      </c>
      <c r="Q1840" t="str">
        <f>VLOOKUP(A1840,vlookup_table!$A:$G,5,FALSE)</f>
        <v>C2</v>
      </c>
      <c r="R1840" t="str">
        <f>VLOOKUP(A1840,vlookup_table!$A:$G,6,FALSE)</f>
        <v>F</v>
      </c>
      <c r="S1840">
        <f>VLOOKUP(A1840,vlookup_table!$A:$G,7,FALSE)</f>
        <v>20</v>
      </c>
      <c r="T1840">
        <f t="shared" si="56"/>
        <v>78</v>
      </c>
      <c r="U1840" t="str">
        <f t="shared" si="57"/>
        <v>Ciudad</v>
      </c>
    </row>
    <row r="1841" spans="1:21" ht="16" x14ac:dyDescent="0.4">
      <c r="A1841" s="6">
        <v>164986</v>
      </c>
      <c r="B1841" s="6" t="s">
        <v>21</v>
      </c>
      <c r="C1841" s="6" t="s">
        <v>17</v>
      </c>
      <c r="D1841" s="6">
        <v>3142</v>
      </c>
      <c r="E1841" s="6">
        <v>658</v>
      </c>
      <c r="F1841" s="6">
        <v>768</v>
      </c>
      <c r="G1841" s="6">
        <v>95</v>
      </c>
      <c r="H1841" s="6">
        <v>23169</v>
      </c>
      <c r="I1841" s="6">
        <v>8</v>
      </c>
      <c r="J1841" s="6">
        <v>69</v>
      </c>
      <c r="K1841" s="6">
        <v>770</v>
      </c>
      <c r="L1841" s="6">
        <v>675</v>
      </c>
      <c r="M1841" s="6">
        <v>12.5</v>
      </c>
      <c r="N1841">
        <f>VLOOKUP(A1841,vlookup_table!$A:$G,2,FALSE)</f>
        <v>0</v>
      </c>
      <c r="O1841" t="str">
        <f>VLOOKUP(A1841,vlookup_table!$A:$G,3,FALSE)</f>
        <v>CA</v>
      </c>
      <c r="P1841">
        <f>VLOOKUP(A1841,vlookup_table!$A:$G,4,FALSE)</f>
        <v>2901</v>
      </c>
      <c r="Q1841" t="str">
        <f>VLOOKUP(A1841,vlookup_table!$A:$G,5,FALSE)</f>
        <v>S1</v>
      </c>
      <c r="R1841" t="str">
        <f>VLOOKUP(A1841,vlookup_table!$A:$G,6,FALSE)</f>
        <v>F</v>
      </c>
      <c r="S1841">
        <f>VLOOKUP(A1841,vlookup_table!$A:$G,7,FALSE)</f>
        <v>15</v>
      </c>
      <c r="T1841">
        <f t="shared" si="56"/>
        <v>67</v>
      </c>
      <c r="U1841" t="str">
        <f t="shared" si="57"/>
        <v>Suburbano</v>
      </c>
    </row>
    <row r="1842" spans="1:21" ht="16" x14ac:dyDescent="0.4">
      <c r="A1842" s="6">
        <v>65117</v>
      </c>
      <c r="B1842" s="6" t="s">
        <v>26</v>
      </c>
      <c r="C1842" s="6" t="s">
        <v>17</v>
      </c>
      <c r="D1842" s="6">
        <v>479</v>
      </c>
      <c r="E1842" s="6">
        <v>280</v>
      </c>
      <c r="F1842" s="6">
        <v>350</v>
      </c>
      <c r="G1842" s="6">
        <v>1</v>
      </c>
      <c r="H1842" s="6">
        <v>10986</v>
      </c>
      <c r="I1842" s="6">
        <v>2</v>
      </c>
      <c r="J1842" s="6">
        <v>75</v>
      </c>
      <c r="K1842" s="6">
        <v>304</v>
      </c>
      <c r="L1842" s="6">
        <v>333</v>
      </c>
      <c r="M1842" s="6">
        <v>5.884615385</v>
      </c>
      <c r="N1842">
        <f>VLOOKUP(A1842,vlookup_table!$A:$G,2,FALSE)</f>
        <v>28</v>
      </c>
      <c r="O1842" t="str">
        <f>VLOOKUP(A1842,vlookup_table!$A:$G,3,FALSE)</f>
        <v>MI</v>
      </c>
      <c r="P1842">
        <f>VLOOKUP(A1842,vlookup_table!$A:$G,4,FALSE)</f>
        <v>5610</v>
      </c>
      <c r="Q1842" t="str">
        <f>VLOOKUP(A1842,vlookup_table!$A:$G,5,FALSE)</f>
        <v>T3</v>
      </c>
      <c r="R1842" t="str">
        <f>VLOOKUP(A1842,vlookup_table!$A:$G,6,FALSE)</f>
        <v>F</v>
      </c>
      <c r="S1842">
        <f>VLOOKUP(A1842,vlookup_table!$A:$G,7,FALSE)</f>
        <v>10</v>
      </c>
      <c r="T1842">
        <f t="shared" si="56"/>
        <v>40</v>
      </c>
      <c r="U1842" t="str">
        <f t="shared" si="57"/>
        <v>Pueblo</v>
      </c>
    </row>
    <row r="1843" spans="1:21" ht="16" x14ac:dyDescent="0.4">
      <c r="A1843" s="6">
        <v>93995</v>
      </c>
      <c r="B1843" s="6" t="s">
        <v>16</v>
      </c>
      <c r="C1843" s="6" t="s">
        <v>17</v>
      </c>
      <c r="D1843" s="6">
        <v>2172</v>
      </c>
      <c r="E1843" s="6">
        <v>427</v>
      </c>
      <c r="F1843" s="6">
        <v>805</v>
      </c>
      <c r="G1843" s="6">
        <v>54</v>
      </c>
      <c r="H1843" s="6">
        <v>34738</v>
      </c>
      <c r="I1843" s="6">
        <v>9</v>
      </c>
      <c r="J1843" s="6">
        <v>54</v>
      </c>
      <c r="K1843" s="6">
        <v>625</v>
      </c>
      <c r="L1843" s="6">
        <v>561</v>
      </c>
      <c r="M1843" s="6">
        <v>3.25</v>
      </c>
      <c r="N1843">
        <f>VLOOKUP(A1843,vlookup_table!$A:$G,2,FALSE)</f>
        <v>0</v>
      </c>
      <c r="O1843" t="str">
        <f>VLOOKUP(A1843,vlookup_table!$A:$G,3,FALSE)</f>
        <v>IL</v>
      </c>
      <c r="P1843">
        <f>VLOOKUP(A1843,vlookup_table!$A:$G,4,FALSE)</f>
        <v>0</v>
      </c>
      <c r="Q1843" t="str">
        <f>VLOOKUP(A1843,vlookup_table!$A:$G,5,FALSE)</f>
        <v>U1</v>
      </c>
      <c r="R1843" t="str">
        <f>VLOOKUP(A1843,vlookup_table!$A:$G,6,FALSE)</f>
        <v>F</v>
      </c>
      <c r="S1843">
        <f>VLOOKUP(A1843,vlookup_table!$A:$G,7,FALSE)</f>
        <v>10</v>
      </c>
      <c r="T1843">
        <f t="shared" si="56"/>
        <v>96</v>
      </c>
      <c r="U1843" t="str">
        <f t="shared" si="57"/>
        <v>Urbano</v>
      </c>
    </row>
    <row r="1844" spans="1:21" ht="16" x14ac:dyDescent="0.4">
      <c r="A1844" s="6">
        <v>84097</v>
      </c>
      <c r="B1844" s="6" t="s">
        <v>52</v>
      </c>
      <c r="C1844" s="6" t="s">
        <v>17</v>
      </c>
      <c r="D1844" s="6">
        <v>3410</v>
      </c>
      <c r="E1844" s="6">
        <v>710</v>
      </c>
      <c r="F1844" s="6">
        <v>932</v>
      </c>
      <c r="G1844" s="6">
        <v>80</v>
      </c>
      <c r="H1844" s="6">
        <v>47973</v>
      </c>
      <c r="I1844" s="6">
        <v>3</v>
      </c>
      <c r="J1844" s="6">
        <v>62</v>
      </c>
      <c r="K1844" s="6">
        <v>941</v>
      </c>
      <c r="L1844" s="6">
        <v>775</v>
      </c>
      <c r="M1844" s="6">
        <v>25</v>
      </c>
      <c r="N1844">
        <f>VLOOKUP(A1844,vlookup_table!$A:$G,2,FALSE)</f>
        <v>2</v>
      </c>
      <c r="O1844" t="str">
        <f>VLOOKUP(A1844,vlookup_table!$A:$G,3,FALSE)</f>
        <v>MN</v>
      </c>
      <c r="P1844">
        <f>VLOOKUP(A1844,vlookup_table!$A:$G,4,FALSE)</f>
        <v>1001</v>
      </c>
      <c r="Q1844" t="str">
        <f>VLOOKUP(A1844,vlookup_table!$A:$G,5,FALSE)</f>
        <v>S1</v>
      </c>
      <c r="R1844" t="str">
        <f>VLOOKUP(A1844,vlookup_table!$A:$G,6,FALSE)</f>
        <v>F</v>
      </c>
      <c r="S1844">
        <f>VLOOKUP(A1844,vlookup_table!$A:$G,7,FALSE)</f>
        <v>25</v>
      </c>
      <c r="T1844">
        <f t="shared" si="56"/>
        <v>86</v>
      </c>
      <c r="U1844" t="str">
        <f t="shared" si="57"/>
        <v>Suburbano</v>
      </c>
    </row>
    <row r="1845" spans="1:21" ht="16" x14ac:dyDescent="0.4">
      <c r="A1845" s="6">
        <v>116267</v>
      </c>
      <c r="B1845" s="6" t="s">
        <v>20</v>
      </c>
      <c r="C1845" s="6" t="s">
        <v>17</v>
      </c>
      <c r="D1845" s="6">
        <v>1088</v>
      </c>
      <c r="E1845" s="6">
        <v>421</v>
      </c>
      <c r="F1845" s="6">
        <v>557</v>
      </c>
      <c r="G1845" s="6">
        <v>3</v>
      </c>
      <c r="H1845" s="6">
        <v>21558</v>
      </c>
      <c r="I1845" s="6">
        <v>2</v>
      </c>
      <c r="J1845" s="6">
        <v>52</v>
      </c>
      <c r="K1845" s="6">
        <v>514</v>
      </c>
      <c r="L1845" s="6">
        <v>511</v>
      </c>
      <c r="M1845" s="6">
        <v>15</v>
      </c>
      <c r="N1845">
        <f>VLOOKUP(A1845,vlookup_table!$A:$G,2,FALSE)</f>
        <v>0</v>
      </c>
      <c r="O1845" t="str">
        <f>VLOOKUP(A1845,vlookup_table!$A:$G,3,FALSE)</f>
        <v>TX</v>
      </c>
      <c r="P1845">
        <f>VLOOKUP(A1845,vlookup_table!$A:$G,4,FALSE)</f>
        <v>2401</v>
      </c>
      <c r="Q1845" t="str">
        <f>VLOOKUP(A1845,vlookup_table!$A:$G,5,FALSE)</f>
        <v>S1</v>
      </c>
      <c r="R1845" t="str">
        <f>VLOOKUP(A1845,vlookup_table!$A:$G,6,FALSE)</f>
        <v>F</v>
      </c>
      <c r="S1845">
        <f>VLOOKUP(A1845,vlookup_table!$A:$G,7,FALSE)</f>
        <v>20</v>
      </c>
      <c r="T1845">
        <f t="shared" si="56"/>
        <v>72</v>
      </c>
      <c r="U1845" t="str">
        <f t="shared" si="57"/>
        <v>Suburbano</v>
      </c>
    </row>
    <row r="1846" spans="1:21" ht="16" x14ac:dyDescent="0.4">
      <c r="A1846" s="6">
        <v>153898</v>
      </c>
      <c r="B1846" s="6" t="s">
        <v>21</v>
      </c>
      <c r="C1846" s="6" t="s">
        <v>17</v>
      </c>
      <c r="D1846" s="6">
        <v>875</v>
      </c>
      <c r="E1846" s="6">
        <v>226</v>
      </c>
      <c r="F1846" s="6">
        <v>254</v>
      </c>
      <c r="G1846" s="6">
        <v>0</v>
      </c>
      <c r="H1846" s="6">
        <v>7095</v>
      </c>
      <c r="I1846" s="6">
        <v>14</v>
      </c>
      <c r="J1846" s="6">
        <v>31</v>
      </c>
      <c r="K1846" s="6">
        <v>224</v>
      </c>
      <c r="L1846" s="6">
        <v>254</v>
      </c>
      <c r="M1846" s="6">
        <v>6</v>
      </c>
      <c r="N1846">
        <f>VLOOKUP(A1846,vlookup_table!$A:$G,2,FALSE)</f>
        <v>0</v>
      </c>
      <c r="O1846" t="str">
        <f>VLOOKUP(A1846,vlookup_table!$A:$G,3,FALSE)</f>
        <v>CA</v>
      </c>
      <c r="P1846">
        <f>VLOOKUP(A1846,vlookup_table!$A:$G,4,FALSE)</f>
        <v>0</v>
      </c>
      <c r="Q1846" t="str">
        <f>VLOOKUP(A1846,vlookup_table!$A:$G,5,FALSE)</f>
        <v>U2</v>
      </c>
      <c r="R1846" t="str">
        <f>VLOOKUP(A1846,vlookup_table!$A:$G,6,FALSE)</f>
        <v>F</v>
      </c>
      <c r="S1846">
        <f>VLOOKUP(A1846,vlookup_table!$A:$G,7,FALSE)</f>
        <v>10</v>
      </c>
      <c r="T1846">
        <f t="shared" si="56"/>
        <v>96</v>
      </c>
      <c r="U1846" t="str">
        <f t="shared" si="57"/>
        <v>Urbano</v>
      </c>
    </row>
    <row r="1847" spans="1:21" ht="16" x14ac:dyDescent="0.4">
      <c r="A1847" s="6">
        <v>161627</v>
      </c>
      <c r="B1847" s="6" t="s">
        <v>21</v>
      </c>
      <c r="C1847" s="6" t="s">
        <v>14</v>
      </c>
      <c r="D1847" s="6">
        <v>883</v>
      </c>
      <c r="E1847" s="6">
        <v>247</v>
      </c>
      <c r="F1847" s="6">
        <v>336</v>
      </c>
      <c r="G1847" s="6">
        <v>1</v>
      </c>
      <c r="H1847" s="6">
        <v>11712</v>
      </c>
      <c r="I1847" s="6">
        <v>8</v>
      </c>
      <c r="J1847" s="6">
        <v>63</v>
      </c>
      <c r="K1847" s="6">
        <v>272</v>
      </c>
      <c r="L1847" s="6">
        <v>310</v>
      </c>
      <c r="M1847" s="6">
        <v>4.9444444440000002</v>
      </c>
      <c r="N1847">
        <f>VLOOKUP(A1847,vlookup_table!$A:$G,2,FALSE)</f>
        <v>2</v>
      </c>
      <c r="O1847" t="str">
        <f>VLOOKUP(A1847,vlookup_table!$A:$G,3,FALSE)</f>
        <v>CA</v>
      </c>
      <c r="P1847">
        <f>VLOOKUP(A1847,vlookup_table!$A:$G,4,FALSE)</f>
        <v>4401</v>
      </c>
      <c r="Q1847" t="str">
        <f>VLOOKUP(A1847,vlookup_table!$A:$G,5,FALSE)</f>
        <v>S2</v>
      </c>
      <c r="R1847" t="str">
        <f>VLOOKUP(A1847,vlookup_table!$A:$G,6,FALSE)</f>
        <v>M</v>
      </c>
      <c r="S1847">
        <f>VLOOKUP(A1847,vlookup_table!$A:$G,7,FALSE)</f>
        <v>21</v>
      </c>
      <c r="T1847">
        <f t="shared" si="56"/>
        <v>52</v>
      </c>
      <c r="U1847" t="str">
        <f t="shared" si="57"/>
        <v>Suburbano</v>
      </c>
    </row>
    <row r="1848" spans="1:21" ht="16" x14ac:dyDescent="0.4">
      <c r="A1848" s="6">
        <v>22337</v>
      </c>
      <c r="B1848" s="6" t="s">
        <v>18</v>
      </c>
      <c r="C1848" s="6" t="s">
        <v>97</v>
      </c>
      <c r="D1848" s="6">
        <v>514</v>
      </c>
      <c r="E1848" s="6">
        <v>239</v>
      </c>
      <c r="F1848" s="6">
        <v>322</v>
      </c>
      <c r="G1848" s="6">
        <v>0</v>
      </c>
      <c r="H1848" s="6">
        <v>11393</v>
      </c>
      <c r="I1848" s="6">
        <v>1</v>
      </c>
      <c r="J1848" s="6">
        <v>73</v>
      </c>
      <c r="K1848" s="6">
        <v>289</v>
      </c>
      <c r="L1848" s="6">
        <v>276</v>
      </c>
      <c r="M1848" s="6">
        <v>9.25</v>
      </c>
      <c r="N1848">
        <f>VLOOKUP(A1848,vlookup_table!$A:$G,2,FALSE)</f>
        <v>0</v>
      </c>
      <c r="O1848" t="str">
        <f>VLOOKUP(A1848,vlookup_table!$A:$G,3,FALSE)</f>
        <v>NC</v>
      </c>
      <c r="P1848">
        <f>VLOOKUP(A1848,vlookup_table!$A:$G,4,FALSE)</f>
        <v>0</v>
      </c>
      <c r="Q1848" t="str">
        <f>VLOOKUP(A1848,vlookup_table!$A:$G,5,FALSE)</f>
        <v>C2</v>
      </c>
      <c r="R1848" t="str">
        <f>VLOOKUP(A1848,vlookup_table!$A:$G,6,FALSE)</f>
        <v>F</v>
      </c>
      <c r="S1848">
        <f>VLOOKUP(A1848,vlookup_table!$A:$G,7,FALSE)</f>
        <v>10</v>
      </c>
      <c r="T1848">
        <f t="shared" si="56"/>
        <v>96</v>
      </c>
      <c r="U1848" t="str">
        <f t="shared" si="57"/>
        <v>Ciudad</v>
      </c>
    </row>
    <row r="1849" spans="1:21" ht="16" x14ac:dyDescent="0.4">
      <c r="A1849" s="6">
        <v>7590</v>
      </c>
      <c r="B1849" s="6" t="s">
        <v>20</v>
      </c>
      <c r="C1849" s="6" t="s">
        <v>17</v>
      </c>
      <c r="D1849" s="6">
        <v>689</v>
      </c>
      <c r="E1849" s="6">
        <v>344</v>
      </c>
      <c r="F1849" s="6">
        <v>377</v>
      </c>
      <c r="G1849" s="6">
        <v>4</v>
      </c>
      <c r="H1849" s="6">
        <v>16348</v>
      </c>
      <c r="I1849" s="6">
        <v>3</v>
      </c>
      <c r="J1849" s="6">
        <v>67</v>
      </c>
      <c r="K1849" s="6">
        <v>359</v>
      </c>
      <c r="L1849" s="6">
        <v>368</v>
      </c>
      <c r="M1849" s="6">
        <v>22.285714290000001</v>
      </c>
      <c r="N1849">
        <f>VLOOKUP(A1849,vlookup_table!$A:$G,2,FALSE)</f>
        <v>2</v>
      </c>
      <c r="O1849" t="str">
        <f>VLOOKUP(A1849,vlookup_table!$A:$G,3,FALSE)</f>
        <v>TX</v>
      </c>
      <c r="P1849">
        <f>VLOOKUP(A1849,vlookup_table!$A:$G,4,FALSE)</f>
        <v>606</v>
      </c>
      <c r="Q1849" t="str">
        <f>VLOOKUP(A1849,vlookup_table!$A:$G,5,FALSE)</f>
        <v>R2</v>
      </c>
      <c r="R1849" t="str">
        <f>VLOOKUP(A1849,vlookup_table!$A:$G,6,FALSE)</f>
        <v>F</v>
      </c>
      <c r="S1849">
        <f>VLOOKUP(A1849,vlookup_table!$A:$G,7,FALSE)</f>
        <v>30</v>
      </c>
      <c r="T1849">
        <f t="shared" si="56"/>
        <v>36</v>
      </c>
      <c r="U1849" t="str">
        <f t="shared" si="57"/>
        <v>Rural</v>
      </c>
    </row>
    <row r="1850" spans="1:21" ht="16" x14ac:dyDescent="0.4">
      <c r="A1850" s="6">
        <v>108905</v>
      </c>
      <c r="B1850" s="6" t="s">
        <v>46</v>
      </c>
      <c r="C1850" s="6" t="s">
        <v>17</v>
      </c>
      <c r="D1850" s="6">
        <v>708</v>
      </c>
      <c r="E1850" s="6">
        <v>368</v>
      </c>
      <c r="F1850" s="6">
        <v>441</v>
      </c>
      <c r="G1850" s="6">
        <v>1</v>
      </c>
      <c r="H1850" s="6">
        <v>14303</v>
      </c>
      <c r="I1850" s="6">
        <v>3</v>
      </c>
      <c r="J1850" s="6">
        <v>55</v>
      </c>
      <c r="K1850" s="6">
        <v>404</v>
      </c>
      <c r="L1850" s="6">
        <v>407</v>
      </c>
      <c r="M1850" s="6">
        <v>12.52631579</v>
      </c>
      <c r="N1850">
        <f>VLOOKUP(A1850,vlookup_table!$A:$G,2,FALSE)</f>
        <v>0</v>
      </c>
      <c r="O1850" t="str">
        <f>VLOOKUP(A1850,vlookup_table!$A:$G,3,FALSE)</f>
        <v>LA</v>
      </c>
      <c r="P1850">
        <f>VLOOKUP(A1850,vlookup_table!$A:$G,4,FALSE)</f>
        <v>0</v>
      </c>
      <c r="Q1850" t="str">
        <f>VLOOKUP(A1850,vlookup_table!$A:$G,5,FALSE)</f>
        <v>C1</v>
      </c>
      <c r="R1850" t="str">
        <f>VLOOKUP(A1850,vlookup_table!$A:$G,6,FALSE)</f>
        <v>F</v>
      </c>
      <c r="S1850">
        <f>VLOOKUP(A1850,vlookup_table!$A:$G,7,FALSE)</f>
        <v>20</v>
      </c>
      <c r="T1850">
        <f t="shared" si="56"/>
        <v>96</v>
      </c>
      <c r="U1850" t="str">
        <f t="shared" si="57"/>
        <v>Ciudad</v>
      </c>
    </row>
    <row r="1851" spans="1:21" ht="16" x14ac:dyDescent="0.4">
      <c r="A1851" s="6">
        <v>100411</v>
      </c>
      <c r="B1851" s="6" t="s">
        <v>33</v>
      </c>
      <c r="C1851" s="6" t="s">
        <v>14</v>
      </c>
      <c r="D1851" s="6">
        <v>733</v>
      </c>
      <c r="E1851" s="6">
        <v>337</v>
      </c>
      <c r="F1851" s="6">
        <v>426</v>
      </c>
      <c r="G1851" s="6">
        <v>0</v>
      </c>
      <c r="H1851" s="6">
        <v>15662</v>
      </c>
      <c r="I1851" s="6">
        <v>1</v>
      </c>
      <c r="J1851" s="6">
        <v>83</v>
      </c>
      <c r="K1851" s="6">
        <v>409</v>
      </c>
      <c r="L1851" s="6">
        <v>359</v>
      </c>
      <c r="M1851" s="6">
        <v>26.25</v>
      </c>
      <c r="N1851">
        <f>VLOOKUP(A1851,vlookup_table!$A:$G,2,FALSE)</f>
        <v>1</v>
      </c>
      <c r="O1851" t="str">
        <f>VLOOKUP(A1851,vlookup_table!$A:$G,3,FALSE)</f>
        <v>MO</v>
      </c>
      <c r="P1851">
        <f>VLOOKUP(A1851,vlookup_table!$A:$G,4,FALSE)</f>
        <v>6607</v>
      </c>
      <c r="Q1851" t="str">
        <f>VLOOKUP(A1851,vlookup_table!$A:$G,5,FALSE)</f>
        <v>S2</v>
      </c>
      <c r="R1851" t="str">
        <f>VLOOKUP(A1851,vlookup_table!$A:$G,6,FALSE)</f>
        <v>M</v>
      </c>
      <c r="S1851">
        <f>VLOOKUP(A1851,vlookup_table!$A:$G,7,FALSE)</f>
        <v>30</v>
      </c>
      <c r="T1851">
        <f t="shared" si="56"/>
        <v>30</v>
      </c>
      <c r="U1851" t="str">
        <f t="shared" si="57"/>
        <v>Suburbano</v>
      </c>
    </row>
    <row r="1852" spans="1:21" ht="16" x14ac:dyDescent="0.4">
      <c r="A1852" s="6">
        <v>103488</v>
      </c>
      <c r="B1852" s="6" t="s">
        <v>33</v>
      </c>
      <c r="C1852" s="6" t="s">
        <v>17</v>
      </c>
      <c r="D1852" s="6">
        <v>476</v>
      </c>
      <c r="E1852" s="6">
        <v>219</v>
      </c>
      <c r="F1852" s="6">
        <v>319</v>
      </c>
      <c r="G1852" s="6">
        <v>0</v>
      </c>
      <c r="H1852" s="6">
        <v>10966</v>
      </c>
      <c r="I1852" s="6">
        <v>1</v>
      </c>
      <c r="J1852" s="6">
        <v>74</v>
      </c>
      <c r="K1852" s="6">
        <v>280</v>
      </c>
      <c r="L1852" s="6">
        <v>272</v>
      </c>
      <c r="M1852" s="6">
        <v>5.434782609</v>
      </c>
      <c r="N1852">
        <f>VLOOKUP(A1852,vlookup_table!$A:$G,2,FALSE)</f>
        <v>0</v>
      </c>
      <c r="O1852" t="str">
        <f>VLOOKUP(A1852,vlookup_table!$A:$G,3,FALSE)</f>
        <v>MO</v>
      </c>
      <c r="P1852">
        <f>VLOOKUP(A1852,vlookup_table!$A:$G,4,FALSE)</f>
        <v>3001</v>
      </c>
      <c r="Q1852" t="str">
        <f>VLOOKUP(A1852,vlookup_table!$A:$G,5,FALSE)</f>
        <v>T2</v>
      </c>
      <c r="R1852" t="str">
        <f>VLOOKUP(A1852,vlookup_table!$A:$G,6,FALSE)</f>
        <v>F</v>
      </c>
      <c r="S1852">
        <f>VLOOKUP(A1852,vlookup_table!$A:$G,7,FALSE)</f>
        <v>10</v>
      </c>
      <c r="T1852">
        <f t="shared" si="56"/>
        <v>66</v>
      </c>
      <c r="U1852" t="str">
        <f t="shared" si="57"/>
        <v>Pueblo</v>
      </c>
    </row>
    <row r="1853" spans="1:21" ht="16" x14ac:dyDescent="0.4">
      <c r="A1853" s="6">
        <v>99410</v>
      </c>
      <c r="B1853" s="6" t="s">
        <v>33</v>
      </c>
      <c r="C1853" s="6" t="s">
        <v>17</v>
      </c>
      <c r="D1853" s="6">
        <v>2041</v>
      </c>
      <c r="E1853" s="6">
        <v>856</v>
      </c>
      <c r="F1853" s="6">
        <v>950</v>
      </c>
      <c r="G1853" s="6">
        <v>52</v>
      </c>
      <c r="H1853" s="6">
        <v>43661</v>
      </c>
      <c r="I1853" s="6">
        <v>7</v>
      </c>
      <c r="J1853" s="6">
        <v>68</v>
      </c>
      <c r="K1853" s="6">
        <v>858</v>
      </c>
      <c r="L1853" s="6">
        <v>943</v>
      </c>
      <c r="M1853" s="6">
        <v>9.8333333330000006</v>
      </c>
      <c r="N1853">
        <f>VLOOKUP(A1853,vlookup_table!$A:$G,2,FALSE)</f>
        <v>0</v>
      </c>
      <c r="O1853" t="str">
        <f>VLOOKUP(A1853,vlookup_table!$A:$G,3,FALSE)</f>
        <v>MO</v>
      </c>
      <c r="P1853">
        <f>VLOOKUP(A1853,vlookup_table!$A:$G,4,FALSE)</f>
        <v>2001</v>
      </c>
      <c r="Q1853" t="str">
        <f>VLOOKUP(A1853,vlookup_table!$A:$G,5,FALSE)</f>
        <v>C1</v>
      </c>
      <c r="R1853" t="str">
        <f>VLOOKUP(A1853,vlookup_table!$A:$G,6,FALSE)</f>
        <v>F</v>
      </c>
      <c r="S1853">
        <f>VLOOKUP(A1853,vlookup_table!$A:$G,7,FALSE)</f>
        <v>17</v>
      </c>
      <c r="T1853">
        <f t="shared" si="56"/>
        <v>76</v>
      </c>
      <c r="U1853" t="str">
        <f t="shared" si="57"/>
        <v>Ciudad</v>
      </c>
    </row>
    <row r="1854" spans="1:21" ht="16" x14ac:dyDescent="0.4">
      <c r="A1854" s="6">
        <v>43949</v>
      </c>
      <c r="B1854" s="6" t="s">
        <v>13</v>
      </c>
      <c r="C1854" s="6" t="s">
        <v>14</v>
      </c>
      <c r="D1854" s="6">
        <v>881</v>
      </c>
      <c r="E1854" s="6">
        <v>297</v>
      </c>
      <c r="F1854" s="6">
        <v>453</v>
      </c>
      <c r="G1854" s="6">
        <v>3</v>
      </c>
      <c r="H1854" s="6">
        <v>19104</v>
      </c>
      <c r="I1854" s="6">
        <v>6</v>
      </c>
      <c r="J1854" s="6">
        <v>13</v>
      </c>
      <c r="K1854" s="6">
        <v>363</v>
      </c>
      <c r="L1854" s="6">
        <v>375</v>
      </c>
      <c r="M1854" s="6">
        <v>6.7142857139999998</v>
      </c>
      <c r="N1854">
        <f>VLOOKUP(A1854,vlookup_table!$A:$G,2,FALSE)</f>
        <v>0</v>
      </c>
      <c r="O1854" t="str">
        <f>VLOOKUP(A1854,vlookup_table!$A:$G,3,FALSE)</f>
        <v>FL</v>
      </c>
      <c r="P1854">
        <f>VLOOKUP(A1854,vlookup_table!$A:$G,4,FALSE)</f>
        <v>1901</v>
      </c>
      <c r="Q1854" t="str">
        <f>VLOOKUP(A1854,vlookup_table!$A:$G,5,FALSE)</f>
        <v>C2</v>
      </c>
      <c r="R1854" t="str">
        <f>VLOOKUP(A1854,vlookup_table!$A:$G,6,FALSE)</f>
        <v>M</v>
      </c>
      <c r="S1854">
        <f>VLOOKUP(A1854,vlookup_table!$A:$G,7,FALSE)</f>
        <v>6</v>
      </c>
      <c r="T1854">
        <f t="shared" si="56"/>
        <v>77</v>
      </c>
      <c r="U1854" t="str">
        <f t="shared" si="57"/>
        <v>Ciudad</v>
      </c>
    </row>
    <row r="1855" spans="1:21" ht="16" x14ac:dyDescent="0.4">
      <c r="A1855" s="6">
        <v>87706</v>
      </c>
      <c r="B1855" s="6" t="s">
        <v>31</v>
      </c>
      <c r="C1855" s="6" t="s">
        <v>14</v>
      </c>
      <c r="D1855" s="6">
        <v>434</v>
      </c>
      <c r="E1855" s="6">
        <v>211</v>
      </c>
      <c r="F1855" s="6">
        <v>308</v>
      </c>
      <c r="G1855" s="6">
        <v>0</v>
      </c>
      <c r="H1855" s="6">
        <v>10350</v>
      </c>
      <c r="I1855" s="6">
        <v>1</v>
      </c>
      <c r="J1855" s="6">
        <v>55</v>
      </c>
      <c r="K1855" s="6">
        <v>299</v>
      </c>
      <c r="L1855" s="6">
        <v>243</v>
      </c>
      <c r="M1855" s="6">
        <v>11.4</v>
      </c>
      <c r="N1855">
        <f>VLOOKUP(A1855,vlookup_table!$A:$G,2,FALSE)</f>
        <v>1</v>
      </c>
      <c r="O1855" t="str">
        <f>VLOOKUP(A1855,vlookup_table!$A:$G,3,FALSE)</f>
        <v>MT</v>
      </c>
      <c r="P1855">
        <f>VLOOKUP(A1855,vlookup_table!$A:$G,4,FALSE)</f>
        <v>3201</v>
      </c>
      <c r="Q1855" t="str">
        <f>VLOOKUP(A1855,vlookup_table!$A:$G,5,FALSE)</f>
        <v>T2</v>
      </c>
      <c r="R1855" t="str">
        <f>VLOOKUP(A1855,vlookup_table!$A:$G,6,FALSE)</f>
        <v>M</v>
      </c>
      <c r="S1855">
        <f>VLOOKUP(A1855,vlookup_table!$A:$G,7,FALSE)</f>
        <v>12</v>
      </c>
      <c r="T1855">
        <f t="shared" si="56"/>
        <v>64</v>
      </c>
      <c r="U1855" t="str">
        <f t="shared" si="57"/>
        <v>Pueblo</v>
      </c>
    </row>
    <row r="1856" spans="1:21" ht="16" x14ac:dyDescent="0.4">
      <c r="A1856" s="6">
        <v>122217</v>
      </c>
      <c r="B1856" s="6" t="s">
        <v>20</v>
      </c>
      <c r="C1856" s="6" t="s">
        <v>17</v>
      </c>
      <c r="D1856" s="6">
        <v>1150</v>
      </c>
      <c r="E1856" s="6">
        <v>196</v>
      </c>
      <c r="F1856" s="6">
        <v>270</v>
      </c>
      <c r="G1856" s="6">
        <v>0</v>
      </c>
      <c r="H1856" s="6">
        <v>14466</v>
      </c>
      <c r="I1856" s="6">
        <v>36</v>
      </c>
      <c r="J1856" s="6">
        <v>35</v>
      </c>
      <c r="K1856" s="6">
        <v>212</v>
      </c>
      <c r="L1856" s="6">
        <v>245</v>
      </c>
      <c r="M1856" s="6">
        <v>7.6666666670000003</v>
      </c>
      <c r="N1856">
        <f>VLOOKUP(A1856,vlookup_table!$A:$G,2,FALSE)</f>
        <v>0</v>
      </c>
      <c r="O1856" t="str">
        <f>VLOOKUP(A1856,vlookup_table!$A:$G,3,FALSE)</f>
        <v>TX</v>
      </c>
      <c r="P1856">
        <f>VLOOKUP(A1856,vlookup_table!$A:$G,4,FALSE)</f>
        <v>3001</v>
      </c>
      <c r="Q1856" t="str">
        <f>VLOOKUP(A1856,vlookup_table!$A:$G,5,FALSE)</f>
        <v>U1</v>
      </c>
      <c r="R1856" t="str">
        <f>VLOOKUP(A1856,vlookup_table!$A:$G,6,FALSE)</f>
        <v>F</v>
      </c>
      <c r="S1856">
        <f>VLOOKUP(A1856,vlookup_table!$A:$G,7,FALSE)</f>
        <v>5</v>
      </c>
      <c r="T1856">
        <f t="shared" si="56"/>
        <v>66</v>
      </c>
      <c r="U1856" t="str">
        <f t="shared" si="57"/>
        <v>Urbano</v>
      </c>
    </row>
    <row r="1857" spans="1:21" ht="16" x14ac:dyDescent="0.4">
      <c r="A1857" s="6">
        <v>29724</v>
      </c>
      <c r="B1857" s="6" t="s">
        <v>36</v>
      </c>
      <c r="C1857" s="6" t="s">
        <v>17</v>
      </c>
      <c r="D1857" s="6">
        <v>529</v>
      </c>
      <c r="E1857" s="6">
        <v>259</v>
      </c>
      <c r="F1857" s="6">
        <v>304</v>
      </c>
      <c r="G1857" s="6">
        <v>0</v>
      </c>
      <c r="H1857" s="6">
        <v>9796</v>
      </c>
      <c r="I1857" s="6">
        <v>2</v>
      </c>
      <c r="J1857" s="6">
        <v>64</v>
      </c>
      <c r="K1857" s="6">
        <v>304</v>
      </c>
      <c r="L1857" s="6">
        <v>280</v>
      </c>
      <c r="M1857" s="6">
        <v>5.6111111109999996</v>
      </c>
      <c r="N1857">
        <f>VLOOKUP(A1857,vlookup_table!$A:$G,2,FALSE)</f>
        <v>2</v>
      </c>
      <c r="O1857" t="str">
        <f>VLOOKUP(A1857,vlookup_table!$A:$G,3,FALSE)</f>
        <v>GA</v>
      </c>
      <c r="P1857">
        <f>VLOOKUP(A1857,vlookup_table!$A:$G,4,FALSE)</f>
        <v>3606</v>
      </c>
      <c r="Q1857" t="str">
        <f>VLOOKUP(A1857,vlookup_table!$A:$G,5,FALSE)</f>
        <v>R2</v>
      </c>
      <c r="R1857" t="str">
        <f>VLOOKUP(A1857,vlookup_table!$A:$G,6,FALSE)</f>
        <v>F</v>
      </c>
      <c r="S1857">
        <f>VLOOKUP(A1857,vlookup_table!$A:$G,7,FALSE)</f>
        <v>5</v>
      </c>
      <c r="T1857">
        <f t="shared" si="56"/>
        <v>60</v>
      </c>
      <c r="U1857" t="str">
        <f t="shared" si="57"/>
        <v>Rural</v>
      </c>
    </row>
    <row r="1858" spans="1:21" ht="16" x14ac:dyDescent="0.4">
      <c r="A1858" s="6">
        <v>172214</v>
      </c>
      <c r="B1858" s="6" t="s">
        <v>21</v>
      </c>
      <c r="C1858" s="6" t="s">
        <v>17</v>
      </c>
      <c r="D1858" s="6">
        <v>1205</v>
      </c>
      <c r="E1858" s="6">
        <v>399</v>
      </c>
      <c r="F1858" s="6">
        <v>450</v>
      </c>
      <c r="G1858" s="6">
        <v>3</v>
      </c>
      <c r="H1858" s="6">
        <v>17611</v>
      </c>
      <c r="I1858" s="6">
        <v>5</v>
      </c>
      <c r="J1858" s="6">
        <v>61</v>
      </c>
      <c r="K1858" s="6">
        <v>408</v>
      </c>
      <c r="L1858" s="6">
        <v>444</v>
      </c>
      <c r="M1858" s="6">
        <v>9.8000000000000007</v>
      </c>
      <c r="N1858">
        <f>VLOOKUP(A1858,vlookup_table!$A:$G,2,FALSE)</f>
        <v>0</v>
      </c>
      <c r="O1858" t="str">
        <f>VLOOKUP(A1858,vlookup_table!$A:$G,3,FALSE)</f>
        <v>CA</v>
      </c>
      <c r="P1858">
        <f>VLOOKUP(A1858,vlookup_table!$A:$G,4,FALSE)</f>
        <v>4803</v>
      </c>
      <c r="Q1858" t="str">
        <f>VLOOKUP(A1858,vlookup_table!$A:$G,5,FALSE)</f>
        <v>S2</v>
      </c>
      <c r="R1858" t="str">
        <f>VLOOKUP(A1858,vlookup_table!$A:$G,6,FALSE)</f>
        <v>F</v>
      </c>
      <c r="S1858">
        <f>VLOOKUP(A1858,vlookup_table!$A:$G,7,FALSE)</f>
        <v>5</v>
      </c>
      <c r="T1858">
        <f t="shared" si="56"/>
        <v>48</v>
      </c>
      <c r="U1858" t="str">
        <f t="shared" si="57"/>
        <v>Suburbano</v>
      </c>
    </row>
    <row r="1859" spans="1:21" ht="16" x14ac:dyDescent="0.4">
      <c r="A1859" s="6">
        <v>106719</v>
      </c>
      <c r="B1859" s="6" t="s">
        <v>20</v>
      </c>
      <c r="C1859" s="6" t="s">
        <v>17</v>
      </c>
      <c r="D1859" s="6">
        <v>301</v>
      </c>
      <c r="E1859" s="6">
        <v>215</v>
      </c>
      <c r="F1859" s="6">
        <v>299</v>
      </c>
      <c r="G1859" s="6">
        <v>1</v>
      </c>
      <c r="H1859" s="6">
        <v>10813</v>
      </c>
      <c r="I1859" s="6">
        <v>11</v>
      </c>
      <c r="J1859" s="6">
        <v>63</v>
      </c>
      <c r="K1859" s="6">
        <v>273</v>
      </c>
      <c r="L1859" s="6">
        <v>262</v>
      </c>
      <c r="M1859" s="6">
        <v>8.9827586210000003</v>
      </c>
      <c r="N1859">
        <f>VLOOKUP(A1859,vlookup_table!$A:$G,2,FALSE)</f>
        <v>28</v>
      </c>
      <c r="O1859" t="str">
        <f>VLOOKUP(A1859,vlookup_table!$A:$G,3,FALSE)</f>
        <v>TX</v>
      </c>
      <c r="P1859">
        <f>VLOOKUP(A1859,vlookup_table!$A:$G,4,FALSE)</f>
        <v>601</v>
      </c>
      <c r="Q1859" t="str">
        <f>VLOOKUP(A1859,vlookup_table!$A:$G,5,FALSE)</f>
        <v>U3</v>
      </c>
      <c r="R1859" t="str">
        <f>VLOOKUP(A1859,vlookup_table!$A:$G,6,FALSE)</f>
        <v>F</v>
      </c>
      <c r="S1859">
        <f>VLOOKUP(A1859,vlookup_table!$A:$G,7,FALSE)</f>
        <v>10</v>
      </c>
      <c r="T1859">
        <f t="shared" ref="T1859:T1922" si="58">97-LEFT(P1859,2)-IF(RIGHT(P1859,2)&gt;6,1,0)</f>
        <v>36</v>
      </c>
      <c r="U1859" t="str">
        <f t="shared" ref="U1859:U1922" si="59">IF(LEFT(Q1859,1)="C","Ciudad",IF(LEFT(Q1859,1)="T","Pueblo",IF(LEFT(Q1859,1)="R","Rural",IF(LEFT(Q1859,1)="S","Suburbano",IF(LEFT(Q1859,1)="U","Urbano","")))))</f>
        <v>Urbano</v>
      </c>
    </row>
    <row r="1860" spans="1:21" ht="16" x14ac:dyDescent="0.4">
      <c r="A1860" s="6">
        <v>12932</v>
      </c>
      <c r="B1860" s="6" t="s">
        <v>49</v>
      </c>
      <c r="C1860" s="6" t="s">
        <v>17</v>
      </c>
      <c r="D1860" s="6">
        <v>910</v>
      </c>
      <c r="E1860" s="6">
        <v>302</v>
      </c>
      <c r="F1860" s="6">
        <v>548</v>
      </c>
      <c r="G1860" s="6">
        <v>18</v>
      </c>
      <c r="H1860" s="6">
        <v>23312</v>
      </c>
      <c r="I1860" s="6">
        <v>4</v>
      </c>
      <c r="J1860" s="6">
        <v>58</v>
      </c>
      <c r="K1860" s="6">
        <v>415</v>
      </c>
      <c r="L1860" s="6">
        <v>421</v>
      </c>
      <c r="M1860" s="6">
        <v>12.23076923</v>
      </c>
      <c r="N1860">
        <f>VLOOKUP(A1860,vlookup_table!$A:$G,2,FALSE)</f>
        <v>28</v>
      </c>
      <c r="O1860" t="str">
        <f>VLOOKUP(A1860,vlookup_table!$A:$G,3,FALSE)</f>
        <v>TN</v>
      </c>
      <c r="P1860">
        <f>VLOOKUP(A1860,vlookup_table!$A:$G,4,FALSE)</f>
        <v>4704</v>
      </c>
      <c r="Q1860" t="str">
        <f>VLOOKUP(A1860,vlookup_table!$A:$G,5,FALSE)</f>
        <v>C2</v>
      </c>
      <c r="R1860" t="str">
        <f>VLOOKUP(A1860,vlookup_table!$A:$G,6,FALSE)</f>
        <v>F</v>
      </c>
      <c r="S1860">
        <f>VLOOKUP(A1860,vlookup_table!$A:$G,7,FALSE)</f>
        <v>21</v>
      </c>
      <c r="T1860">
        <f t="shared" si="58"/>
        <v>49</v>
      </c>
      <c r="U1860" t="str">
        <f t="shared" si="59"/>
        <v>Ciudad</v>
      </c>
    </row>
    <row r="1861" spans="1:21" ht="16" x14ac:dyDescent="0.4">
      <c r="A1861" s="6">
        <v>190726</v>
      </c>
      <c r="B1861" s="6" t="s">
        <v>59</v>
      </c>
      <c r="C1861" s="6" t="s">
        <v>17</v>
      </c>
      <c r="D1861" s="6">
        <v>875</v>
      </c>
      <c r="E1861" s="6">
        <v>391</v>
      </c>
      <c r="F1861" s="6">
        <v>425</v>
      </c>
      <c r="G1861" s="6">
        <v>0</v>
      </c>
      <c r="H1861" s="6">
        <v>14468</v>
      </c>
      <c r="I1861" s="6">
        <v>3</v>
      </c>
      <c r="J1861" s="6">
        <v>71</v>
      </c>
      <c r="K1861" s="6">
        <v>415</v>
      </c>
      <c r="L1861" s="6">
        <v>381</v>
      </c>
      <c r="M1861" s="6">
        <v>11.42857143</v>
      </c>
      <c r="N1861">
        <f>VLOOKUP(A1861,vlookup_table!$A:$G,2,FALSE)</f>
        <v>2</v>
      </c>
      <c r="O1861" t="str">
        <f>VLOOKUP(A1861,vlookup_table!$A:$G,3,FALSE)</f>
        <v>MD</v>
      </c>
      <c r="P1861">
        <f>VLOOKUP(A1861,vlookup_table!$A:$G,4,FALSE)</f>
        <v>508</v>
      </c>
      <c r="Q1861" t="str">
        <f>VLOOKUP(A1861,vlookup_table!$A:$G,5,FALSE)</f>
        <v/>
      </c>
      <c r="R1861" t="str">
        <f>VLOOKUP(A1861,vlookup_table!$A:$G,6,FALSE)</f>
        <v>F</v>
      </c>
      <c r="S1861">
        <f>VLOOKUP(A1861,vlookup_table!$A:$G,7,FALSE)</f>
        <v>10</v>
      </c>
      <c r="T1861">
        <f t="shared" si="58"/>
        <v>46</v>
      </c>
      <c r="U1861" t="str">
        <f t="shared" si="59"/>
        <v/>
      </c>
    </row>
    <row r="1862" spans="1:21" ht="16" x14ac:dyDescent="0.4">
      <c r="A1862" s="6">
        <v>127511</v>
      </c>
      <c r="B1862" s="6" t="s">
        <v>20</v>
      </c>
      <c r="C1862" s="6" t="s">
        <v>17</v>
      </c>
      <c r="D1862" s="6">
        <v>945</v>
      </c>
      <c r="E1862" s="6">
        <v>398</v>
      </c>
      <c r="F1862" s="6">
        <v>563</v>
      </c>
      <c r="G1862" s="6">
        <v>0</v>
      </c>
      <c r="H1862" s="6">
        <v>19790</v>
      </c>
      <c r="I1862" s="6">
        <v>6</v>
      </c>
      <c r="J1862" s="6">
        <v>53</v>
      </c>
      <c r="K1862" s="6">
        <v>578</v>
      </c>
      <c r="L1862" s="6">
        <v>446</v>
      </c>
      <c r="M1862" s="6">
        <v>17.18181818</v>
      </c>
      <c r="N1862">
        <f>VLOOKUP(A1862,vlookup_table!$A:$G,2,FALSE)</f>
        <v>2</v>
      </c>
      <c r="O1862" t="str">
        <f>VLOOKUP(A1862,vlookup_table!$A:$G,3,FALSE)</f>
        <v>TX</v>
      </c>
      <c r="P1862">
        <f>VLOOKUP(A1862,vlookup_table!$A:$G,4,FALSE)</f>
        <v>4104</v>
      </c>
      <c r="Q1862" t="str">
        <f>VLOOKUP(A1862,vlookup_table!$A:$G,5,FALSE)</f>
        <v>S1</v>
      </c>
      <c r="R1862" t="str">
        <f>VLOOKUP(A1862,vlookup_table!$A:$G,6,FALSE)</f>
        <v>F</v>
      </c>
      <c r="S1862">
        <f>VLOOKUP(A1862,vlookup_table!$A:$G,7,FALSE)</f>
        <v>23</v>
      </c>
      <c r="T1862">
        <f t="shared" si="58"/>
        <v>55</v>
      </c>
      <c r="U1862" t="str">
        <f t="shared" si="59"/>
        <v>Suburbano</v>
      </c>
    </row>
    <row r="1863" spans="1:21" ht="16" x14ac:dyDescent="0.4">
      <c r="A1863" s="6">
        <v>56337</v>
      </c>
      <c r="B1863" s="6" t="s">
        <v>53</v>
      </c>
      <c r="C1863" s="6" t="s">
        <v>17</v>
      </c>
      <c r="D1863" s="6">
        <v>714</v>
      </c>
      <c r="E1863" s="6">
        <v>187</v>
      </c>
      <c r="F1863" s="6">
        <v>376</v>
      </c>
      <c r="G1863" s="6">
        <v>0</v>
      </c>
      <c r="H1863" s="6">
        <v>13679</v>
      </c>
      <c r="I1863" s="6">
        <v>0</v>
      </c>
      <c r="J1863" s="6">
        <v>83</v>
      </c>
      <c r="K1863" s="6">
        <v>290</v>
      </c>
      <c r="L1863" s="6">
        <v>282</v>
      </c>
      <c r="M1863" s="6">
        <v>12.07142857</v>
      </c>
      <c r="N1863">
        <f>VLOOKUP(A1863,vlookup_table!$A:$G,2,FALSE)</f>
        <v>0</v>
      </c>
      <c r="O1863" t="str">
        <f>VLOOKUP(A1863,vlookup_table!$A:$G,3,FALSE)</f>
        <v>KY</v>
      </c>
      <c r="P1863">
        <f>VLOOKUP(A1863,vlookup_table!$A:$G,4,FALSE)</f>
        <v>3710</v>
      </c>
      <c r="Q1863" t="str">
        <f>VLOOKUP(A1863,vlookup_table!$A:$G,5,FALSE)</f>
        <v>T2</v>
      </c>
      <c r="R1863" t="str">
        <f>VLOOKUP(A1863,vlookup_table!$A:$G,6,FALSE)</f>
        <v>F</v>
      </c>
      <c r="S1863">
        <f>VLOOKUP(A1863,vlookup_table!$A:$G,7,FALSE)</f>
        <v>15</v>
      </c>
      <c r="T1863">
        <f t="shared" si="58"/>
        <v>59</v>
      </c>
      <c r="U1863" t="str">
        <f t="shared" si="59"/>
        <v>Pueblo</v>
      </c>
    </row>
    <row r="1864" spans="1:21" ht="16" x14ac:dyDescent="0.4">
      <c r="A1864" s="6">
        <v>113692</v>
      </c>
      <c r="B1864" s="6" t="s">
        <v>28</v>
      </c>
      <c r="C1864" s="6" t="s">
        <v>14</v>
      </c>
      <c r="D1864" s="6">
        <v>763</v>
      </c>
      <c r="E1864" s="6">
        <v>316</v>
      </c>
      <c r="F1864" s="6">
        <v>398</v>
      </c>
      <c r="G1864" s="6">
        <v>1</v>
      </c>
      <c r="H1864" s="6">
        <v>12903</v>
      </c>
      <c r="I1864" s="6">
        <v>4</v>
      </c>
      <c r="J1864" s="6">
        <v>29</v>
      </c>
      <c r="K1864" s="6">
        <v>334</v>
      </c>
      <c r="L1864" s="6">
        <v>378</v>
      </c>
      <c r="M1864" s="6">
        <v>5.5</v>
      </c>
      <c r="N1864">
        <f>VLOOKUP(A1864,vlookup_table!$A:$G,2,FALSE)</f>
        <v>1</v>
      </c>
      <c r="O1864" t="str">
        <f>VLOOKUP(A1864,vlookup_table!$A:$G,3,FALSE)</f>
        <v>OK</v>
      </c>
      <c r="P1864">
        <f>VLOOKUP(A1864,vlookup_table!$A:$G,4,FALSE)</f>
        <v>5101</v>
      </c>
      <c r="Q1864" t="str">
        <f>VLOOKUP(A1864,vlookup_table!$A:$G,5,FALSE)</f>
        <v>T1</v>
      </c>
      <c r="R1864" t="str">
        <f>VLOOKUP(A1864,vlookup_table!$A:$G,6,FALSE)</f>
        <v>M</v>
      </c>
      <c r="S1864">
        <f>VLOOKUP(A1864,vlookup_table!$A:$G,7,FALSE)</f>
        <v>8</v>
      </c>
      <c r="T1864">
        <f t="shared" si="58"/>
        <v>45</v>
      </c>
      <c r="U1864" t="str">
        <f t="shared" si="59"/>
        <v>Pueblo</v>
      </c>
    </row>
    <row r="1865" spans="1:21" ht="16" x14ac:dyDescent="0.4">
      <c r="A1865" s="6">
        <v>79850</v>
      </c>
      <c r="B1865" s="6" t="s">
        <v>32</v>
      </c>
      <c r="C1865" s="6" t="s">
        <v>14</v>
      </c>
      <c r="D1865" s="6">
        <v>515</v>
      </c>
      <c r="E1865" s="6">
        <v>258</v>
      </c>
      <c r="F1865" s="6">
        <v>327</v>
      </c>
      <c r="G1865" s="6">
        <v>3</v>
      </c>
      <c r="H1865" s="6">
        <v>11337</v>
      </c>
      <c r="I1865" s="6">
        <v>1</v>
      </c>
      <c r="J1865" s="6">
        <v>81</v>
      </c>
      <c r="K1865" s="6">
        <v>276</v>
      </c>
      <c r="L1865" s="6">
        <v>302</v>
      </c>
      <c r="M1865" s="6">
        <v>5.8571428570000004</v>
      </c>
      <c r="N1865">
        <f>VLOOKUP(A1865,vlookup_table!$A:$G,2,FALSE)</f>
        <v>2</v>
      </c>
      <c r="O1865" t="str">
        <f>VLOOKUP(A1865,vlookup_table!$A:$G,3,FALSE)</f>
        <v>WI</v>
      </c>
      <c r="P1865">
        <f>VLOOKUP(A1865,vlookup_table!$A:$G,4,FALSE)</f>
        <v>1401</v>
      </c>
      <c r="Q1865" t="str">
        <f>VLOOKUP(A1865,vlookup_table!$A:$G,5,FALSE)</f>
        <v>R2</v>
      </c>
      <c r="R1865" t="str">
        <f>VLOOKUP(A1865,vlookup_table!$A:$G,6,FALSE)</f>
        <v>M</v>
      </c>
      <c r="S1865">
        <f>VLOOKUP(A1865,vlookup_table!$A:$G,7,FALSE)</f>
        <v>10</v>
      </c>
      <c r="T1865">
        <f t="shared" si="58"/>
        <v>82</v>
      </c>
      <c r="U1865" t="str">
        <f t="shared" si="59"/>
        <v>Rural</v>
      </c>
    </row>
    <row r="1866" spans="1:21" ht="16" x14ac:dyDescent="0.4">
      <c r="A1866" s="6">
        <v>28796</v>
      </c>
      <c r="B1866" s="6" t="s">
        <v>36</v>
      </c>
      <c r="C1866" s="6" t="s">
        <v>14</v>
      </c>
      <c r="D1866" s="6">
        <v>448</v>
      </c>
      <c r="E1866" s="6">
        <v>192</v>
      </c>
      <c r="F1866" s="6">
        <v>299</v>
      </c>
      <c r="G1866" s="6">
        <v>1</v>
      </c>
      <c r="H1866" s="6">
        <v>9533</v>
      </c>
      <c r="I1866" s="6">
        <v>1</v>
      </c>
      <c r="J1866" s="6">
        <v>88</v>
      </c>
      <c r="K1866" s="6">
        <v>241</v>
      </c>
      <c r="L1866" s="6">
        <v>254</v>
      </c>
      <c r="M1866" s="6">
        <v>8.2941176470000002</v>
      </c>
      <c r="N1866">
        <f>VLOOKUP(A1866,vlookup_table!$A:$G,2,FALSE)</f>
        <v>2</v>
      </c>
      <c r="O1866" t="str">
        <f>VLOOKUP(A1866,vlookup_table!$A:$G,3,FALSE)</f>
        <v>GA</v>
      </c>
      <c r="P1866">
        <f>VLOOKUP(A1866,vlookup_table!$A:$G,4,FALSE)</f>
        <v>0</v>
      </c>
      <c r="Q1866" t="str">
        <f>VLOOKUP(A1866,vlookup_table!$A:$G,5,FALSE)</f>
        <v>R2</v>
      </c>
      <c r="R1866" t="str">
        <f>VLOOKUP(A1866,vlookup_table!$A:$G,6,FALSE)</f>
        <v>M</v>
      </c>
      <c r="S1866">
        <f>VLOOKUP(A1866,vlookup_table!$A:$G,7,FALSE)</f>
        <v>10</v>
      </c>
      <c r="T1866">
        <f t="shared" si="58"/>
        <v>96</v>
      </c>
      <c r="U1866" t="str">
        <f t="shared" si="59"/>
        <v>Rural</v>
      </c>
    </row>
    <row r="1867" spans="1:21" ht="16" x14ac:dyDescent="0.4">
      <c r="A1867" s="6">
        <v>131032</v>
      </c>
      <c r="B1867" s="6" t="s">
        <v>45</v>
      </c>
      <c r="C1867" s="6" t="s">
        <v>17</v>
      </c>
      <c r="D1867" s="6">
        <v>524</v>
      </c>
      <c r="E1867" s="6">
        <v>264</v>
      </c>
      <c r="F1867" s="6">
        <v>325</v>
      </c>
      <c r="G1867" s="6">
        <v>0</v>
      </c>
      <c r="H1867" s="6">
        <v>11359</v>
      </c>
      <c r="I1867" s="6">
        <v>0</v>
      </c>
      <c r="J1867" s="6">
        <v>36</v>
      </c>
      <c r="K1867" s="6">
        <v>269</v>
      </c>
      <c r="L1867" s="6">
        <v>329</v>
      </c>
      <c r="M1867" s="6">
        <v>11.8</v>
      </c>
      <c r="N1867">
        <f>VLOOKUP(A1867,vlookup_table!$A:$G,2,FALSE)</f>
        <v>0</v>
      </c>
      <c r="O1867" t="str">
        <f>VLOOKUP(A1867,vlookup_table!$A:$G,3,FALSE)</f>
        <v>CO</v>
      </c>
      <c r="P1867">
        <f>VLOOKUP(A1867,vlookup_table!$A:$G,4,FALSE)</f>
        <v>5801</v>
      </c>
      <c r="Q1867" t="str">
        <f>VLOOKUP(A1867,vlookup_table!$A:$G,5,FALSE)</f>
        <v>T2</v>
      </c>
      <c r="R1867" t="str">
        <f>VLOOKUP(A1867,vlookup_table!$A:$G,6,FALSE)</f>
        <v>F</v>
      </c>
      <c r="S1867">
        <f>VLOOKUP(A1867,vlookup_table!$A:$G,7,FALSE)</f>
        <v>25</v>
      </c>
      <c r="T1867">
        <f t="shared" si="58"/>
        <v>38</v>
      </c>
      <c r="U1867" t="str">
        <f t="shared" si="59"/>
        <v>Pueblo</v>
      </c>
    </row>
    <row r="1868" spans="1:21" ht="16" x14ac:dyDescent="0.4">
      <c r="A1868" s="6">
        <v>86318</v>
      </c>
      <c r="B1868" s="6" t="s">
        <v>48</v>
      </c>
      <c r="C1868" s="6" t="s">
        <v>17</v>
      </c>
      <c r="D1868" s="6">
        <v>397</v>
      </c>
      <c r="E1868" s="6">
        <v>166</v>
      </c>
      <c r="F1868" s="6">
        <v>274</v>
      </c>
      <c r="G1868" s="6">
        <v>3</v>
      </c>
      <c r="H1868" s="6">
        <v>10630</v>
      </c>
      <c r="I1868" s="6">
        <v>1</v>
      </c>
      <c r="J1868" s="6">
        <v>61</v>
      </c>
      <c r="K1868" s="6">
        <v>211</v>
      </c>
      <c r="L1868" s="6">
        <v>227</v>
      </c>
      <c r="M1868" s="6">
        <v>8.96875</v>
      </c>
      <c r="N1868">
        <f>VLOOKUP(A1868,vlookup_table!$A:$G,2,FALSE)</f>
        <v>2</v>
      </c>
      <c r="O1868" t="str">
        <f>VLOOKUP(A1868,vlookup_table!$A:$G,3,FALSE)</f>
        <v>SD</v>
      </c>
      <c r="P1868">
        <f>VLOOKUP(A1868,vlookup_table!$A:$G,4,FALSE)</f>
        <v>0</v>
      </c>
      <c r="Q1868" t="str">
        <f>VLOOKUP(A1868,vlookup_table!$A:$G,5,FALSE)</f>
        <v>R2</v>
      </c>
      <c r="R1868" t="str">
        <f>VLOOKUP(A1868,vlookup_table!$A:$G,6,FALSE)</f>
        <v>F</v>
      </c>
      <c r="S1868">
        <f>VLOOKUP(A1868,vlookup_table!$A:$G,7,FALSE)</f>
        <v>5</v>
      </c>
      <c r="T1868">
        <f t="shared" si="58"/>
        <v>96</v>
      </c>
      <c r="U1868" t="str">
        <f t="shared" si="59"/>
        <v>Rural</v>
      </c>
    </row>
    <row r="1869" spans="1:21" ht="16" x14ac:dyDescent="0.4">
      <c r="A1869" s="6">
        <v>63725</v>
      </c>
      <c r="B1869" s="6" t="s">
        <v>30</v>
      </c>
      <c r="C1869" s="6" t="s">
        <v>14</v>
      </c>
      <c r="D1869" s="6">
        <v>637</v>
      </c>
      <c r="E1869" s="6">
        <v>286</v>
      </c>
      <c r="F1869" s="6">
        <v>371</v>
      </c>
      <c r="G1869" s="6">
        <v>1</v>
      </c>
      <c r="H1869" s="6">
        <v>13061</v>
      </c>
      <c r="I1869" s="6">
        <v>1</v>
      </c>
      <c r="J1869" s="6">
        <v>76</v>
      </c>
      <c r="K1869" s="6">
        <v>316</v>
      </c>
      <c r="L1869" s="6">
        <v>335</v>
      </c>
      <c r="M1869" s="6">
        <v>25</v>
      </c>
      <c r="N1869">
        <f>VLOOKUP(A1869,vlookup_table!$A:$G,2,FALSE)</f>
        <v>1002</v>
      </c>
      <c r="O1869" t="str">
        <f>VLOOKUP(A1869,vlookup_table!$A:$G,3,FALSE)</f>
        <v>IN</v>
      </c>
      <c r="P1869">
        <f>VLOOKUP(A1869,vlookup_table!$A:$G,4,FALSE)</f>
        <v>2301</v>
      </c>
      <c r="Q1869" t="str">
        <f>VLOOKUP(A1869,vlookup_table!$A:$G,5,FALSE)</f>
        <v>R2</v>
      </c>
      <c r="R1869" t="str">
        <f>VLOOKUP(A1869,vlookup_table!$A:$G,6,FALSE)</f>
        <v>M</v>
      </c>
      <c r="S1869">
        <f>VLOOKUP(A1869,vlookup_table!$A:$G,7,FALSE)</f>
        <v>25</v>
      </c>
      <c r="T1869">
        <f t="shared" si="58"/>
        <v>73</v>
      </c>
      <c r="U1869" t="str">
        <f t="shared" si="59"/>
        <v>Rural</v>
      </c>
    </row>
    <row r="1870" spans="1:21" ht="16" x14ac:dyDescent="0.4">
      <c r="A1870" s="6">
        <v>63572</v>
      </c>
      <c r="B1870" s="6" t="s">
        <v>30</v>
      </c>
      <c r="C1870" s="6" t="s">
        <v>17</v>
      </c>
      <c r="D1870" s="6">
        <v>778</v>
      </c>
      <c r="E1870" s="6">
        <v>377</v>
      </c>
      <c r="F1870" s="6">
        <v>527</v>
      </c>
      <c r="G1870" s="6">
        <v>5</v>
      </c>
      <c r="H1870" s="6">
        <v>17251</v>
      </c>
      <c r="I1870" s="6">
        <v>0</v>
      </c>
      <c r="J1870" s="6">
        <v>71</v>
      </c>
      <c r="K1870" s="6">
        <v>422</v>
      </c>
      <c r="L1870" s="6">
        <v>447</v>
      </c>
      <c r="M1870" s="6">
        <v>5.8218181820000003</v>
      </c>
      <c r="N1870">
        <f>VLOOKUP(A1870,vlookup_table!$A:$G,2,FALSE)</f>
        <v>0</v>
      </c>
      <c r="O1870" t="str">
        <f>VLOOKUP(A1870,vlookup_table!$A:$G,3,FALSE)</f>
        <v>IN</v>
      </c>
      <c r="P1870">
        <f>VLOOKUP(A1870,vlookup_table!$A:$G,4,FALSE)</f>
        <v>4102</v>
      </c>
      <c r="Q1870" t="str">
        <f>VLOOKUP(A1870,vlookup_table!$A:$G,5,FALSE)</f>
        <v>R1</v>
      </c>
      <c r="R1870" t="str">
        <f>VLOOKUP(A1870,vlookup_table!$A:$G,6,FALSE)</f>
        <v>F</v>
      </c>
      <c r="S1870">
        <f>VLOOKUP(A1870,vlookup_table!$A:$G,7,FALSE)</f>
        <v>12</v>
      </c>
      <c r="T1870">
        <f t="shared" si="58"/>
        <v>55</v>
      </c>
      <c r="U1870" t="str">
        <f t="shared" si="59"/>
        <v>Rural</v>
      </c>
    </row>
    <row r="1871" spans="1:21" ht="16" x14ac:dyDescent="0.4">
      <c r="A1871" s="6">
        <v>139663</v>
      </c>
      <c r="B1871" s="6" t="s">
        <v>50</v>
      </c>
      <c r="C1871" s="6" t="s">
        <v>17</v>
      </c>
      <c r="D1871" s="6">
        <v>1008</v>
      </c>
      <c r="E1871" s="6">
        <v>360</v>
      </c>
      <c r="F1871" s="6">
        <v>426</v>
      </c>
      <c r="G1871" s="6">
        <v>3</v>
      </c>
      <c r="H1871" s="6">
        <v>14990</v>
      </c>
      <c r="I1871" s="6">
        <v>4</v>
      </c>
      <c r="J1871" s="6">
        <v>40</v>
      </c>
      <c r="K1871" s="6">
        <v>397</v>
      </c>
      <c r="L1871" s="6">
        <v>388</v>
      </c>
      <c r="M1871" s="6">
        <v>8.9166666669999994</v>
      </c>
      <c r="N1871">
        <f>VLOOKUP(A1871,vlookup_table!$A:$G,2,FALSE)</f>
        <v>28</v>
      </c>
      <c r="O1871" t="str">
        <f>VLOOKUP(A1871,vlookup_table!$A:$G,3,FALSE)</f>
        <v>NM</v>
      </c>
      <c r="P1871">
        <f>VLOOKUP(A1871,vlookup_table!$A:$G,4,FALSE)</f>
        <v>0</v>
      </c>
      <c r="Q1871" t="str">
        <f>VLOOKUP(A1871,vlookup_table!$A:$G,5,FALSE)</f>
        <v>S1</v>
      </c>
      <c r="R1871" t="str">
        <f>VLOOKUP(A1871,vlookup_table!$A:$G,6,FALSE)</f>
        <v>F</v>
      </c>
      <c r="S1871">
        <f>VLOOKUP(A1871,vlookup_table!$A:$G,7,FALSE)</f>
        <v>5</v>
      </c>
      <c r="T1871">
        <f t="shared" si="58"/>
        <v>96</v>
      </c>
      <c r="U1871" t="str">
        <f t="shared" si="59"/>
        <v>Suburbano</v>
      </c>
    </row>
    <row r="1872" spans="1:21" ht="16" x14ac:dyDescent="0.4">
      <c r="A1872" s="6">
        <v>104848</v>
      </c>
      <c r="B1872" s="6" t="s">
        <v>25</v>
      </c>
      <c r="C1872" s="6" t="s">
        <v>17</v>
      </c>
      <c r="D1872" s="6">
        <v>993</v>
      </c>
      <c r="E1872" s="6">
        <v>285</v>
      </c>
      <c r="F1872" s="6">
        <v>399</v>
      </c>
      <c r="G1872" s="6">
        <v>0</v>
      </c>
      <c r="H1872" s="6">
        <v>20996</v>
      </c>
      <c r="I1872" s="6">
        <v>5</v>
      </c>
      <c r="J1872" s="6">
        <v>18</v>
      </c>
      <c r="K1872" s="6">
        <v>366</v>
      </c>
      <c r="L1872" s="6">
        <v>329</v>
      </c>
      <c r="M1872" s="6">
        <v>5.2352941179999997</v>
      </c>
      <c r="N1872">
        <f>VLOOKUP(A1872,vlookup_table!$A:$G,2,FALSE)</f>
        <v>0</v>
      </c>
      <c r="O1872" t="str">
        <f>VLOOKUP(A1872,vlookup_table!$A:$G,3,FALSE)</f>
        <v>KS</v>
      </c>
      <c r="P1872">
        <f>VLOOKUP(A1872,vlookup_table!$A:$G,4,FALSE)</f>
        <v>1501</v>
      </c>
      <c r="Q1872" t="str">
        <f>VLOOKUP(A1872,vlookup_table!$A:$G,5,FALSE)</f>
        <v>S1</v>
      </c>
      <c r="R1872" t="str">
        <f>VLOOKUP(A1872,vlookup_table!$A:$G,6,FALSE)</f>
        <v>F</v>
      </c>
      <c r="S1872">
        <f>VLOOKUP(A1872,vlookup_table!$A:$G,7,FALSE)</f>
        <v>7</v>
      </c>
      <c r="T1872">
        <f t="shared" si="58"/>
        <v>81</v>
      </c>
      <c r="U1872" t="str">
        <f t="shared" si="59"/>
        <v>Suburbano</v>
      </c>
    </row>
    <row r="1873" spans="1:21" ht="16" x14ac:dyDescent="0.4">
      <c r="A1873" s="6">
        <v>150776</v>
      </c>
      <c r="B1873" s="6" t="s">
        <v>21</v>
      </c>
      <c r="C1873" s="6" t="s">
        <v>17</v>
      </c>
      <c r="D1873" s="6">
        <v>1149</v>
      </c>
      <c r="E1873" s="6">
        <v>222</v>
      </c>
      <c r="F1873" s="6">
        <v>273</v>
      </c>
      <c r="G1873" s="6">
        <v>0</v>
      </c>
      <c r="H1873" s="6">
        <v>9856</v>
      </c>
      <c r="I1873" s="6">
        <v>22</v>
      </c>
      <c r="J1873" s="6">
        <v>56</v>
      </c>
      <c r="K1873" s="6">
        <v>263</v>
      </c>
      <c r="L1873" s="6">
        <v>250</v>
      </c>
      <c r="M1873" s="6">
        <v>6.6190476189999998</v>
      </c>
      <c r="N1873">
        <f>VLOOKUP(A1873,vlookup_table!$A:$G,2,FALSE)</f>
        <v>28028</v>
      </c>
      <c r="O1873" t="str">
        <f>VLOOKUP(A1873,vlookup_table!$A:$G,3,FALSE)</f>
        <v>CA</v>
      </c>
      <c r="P1873">
        <f>VLOOKUP(A1873,vlookup_table!$A:$G,4,FALSE)</f>
        <v>4112</v>
      </c>
      <c r="Q1873" t="str">
        <f>VLOOKUP(A1873,vlookup_table!$A:$G,5,FALSE)</f>
        <v>U3</v>
      </c>
      <c r="R1873" t="str">
        <f>VLOOKUP(A1873,vlookup_table!$A:$G,6,FALSE)</f>
        <v>F</v>
      </c>
      <c r="S1873">
        <f>VLOOKUP(A1873,vlookup_table!$A:$G,7,FALSE)</f>
        <v>8</v>
      </c>
      <c r="T1873">
        <f t="shared" si="58"/>
        <v>55</v>
      </c>
      <c r="U1873" t="str">
        <f t="shared" si="59"/>
        <v>Urbano</v>
      </c>
    </row>
    <row r="1874" spans="1:21" ht="16" x14ac:dyDescent="0.4">
      <c r="A1874" s="6">
        <v>43104</v>
      </c>
      <c r="B1874" s="6" t="s">
        <v>21</v>
      </c>
      <c r="C1874" s="6" t="s">
        <v>17</v>
      </c>
      <c r="D1874" s="6">
        <v>5000</v>
      </c>
      <c r="E1874" s="6">
        <v>498</v>
      </c>
      <c r="F1874" s="6">
        <v>782</v>
      </c>
      <c r="G1874" s="6">
        <v>92</v>
      </c>
      <c r="H1874" s="6">
        <v>35814</v>
      </c>
      <c r="I1874" s="6">
        <v>18</v>
      </c>
      <c r="J1874" s="6">
        <v>31</v>
      </c>
      <c r="K1874" s="6">
        <v>700</v>
      </c>
      <c r="L1874" s="6">
        <v>632</v>
      </c>
      <c r="M1874" s="6">
        <v>5.8409090910000003</v>
      </c>
      <c r="N1874">
        <f>VLOOKUP(A1874,vlookup_table!$A:$G,2,FALSE)</f>
        <v>1</v>
      </c>
      <c r="O1874" t="str">
        <f>VLOOKUP(A1874,vlookup_table!$A:$G,3,FALSE)</f>
        <v>CA</v>
      </c>
      <c r="P1874">
        <f>VLOOKUP(A1874,vlookup_table!$A:$G,4,FALSE)</f>
        <v>5708</v>
      </c>
      <c r="Q1874" t="str">
        <f>VLOOKUP(A1874,vlookup_table!$A:$G,5,FALSE)</f>
        <v>C1</v>
      </c>
      <c r="R1874" t="str">
        <f>VLOOKUP(A1874,vlookup_table!$A:$G,6,FALSE)</f>
        <v>F</v>
      </c>
      <c r="S1874">
        <f>VLOOKUP(A1874,vlookup_table!$A:$G,7,FALSE)</f>
        <v>9</v>
      </c>
      <c r="T1874">
        <f t="shared" si="58"/>
        <v>39</v>
      </c>
      <c r="U1874" t="str">
        <f t="shared" si="59"/>
        <v>Ciudad</v>
      </c>
    </row>
    <row r="1875" spans="1:21" ht="16" x14ac:dyDescent="0.4">
      <c r="A1875" s="6">
        <v>162254</v>
      </c>
      <c r="B1875" s="6" t="s">
        <v>21</v>
      </c>
      <c r="C1875" s="6" t="s">
        <v>17</v>
      </c>
      <c r="D1875" s="6">
        <v>5564</v>
      </c>
      <c r="E1875" s="6">
        <v>839</v>
      </c>
      <c r="F1875" s="6">
        <v>892</v>
      </c>
      <c r="G1875" s="6">
        <v>99</v>
      </c>
      <c r="H1875" s="6">
        <v>32899</v>
      </c>
      <c r="I1875" s="6">
        <v>9</v>
      </c>
      <c r="J1875" s="6">
        <v>54</v>
      </c>
      <c r="K1875" s="6">
        <v>860</v>
      </c>
      <c r="L1875" s="6">
        <v>860</v>
      </c>
      <c r="M1875" s="6">
        <v>19.166666670000001</v>
      </c>
      <c r="N1875">
        <f>VLOOKUP(A1875,vlookup_table!$A:$G,2,FALSE)</f>
        <v>0</v>
      </c>
      <c r="O1875" t="str">
        <f>VLOOKUP(A1875,vlookup_table!$A:$G,3,FALSE)</f>
        <v>CA</v>
      </c>
      <c r="P1875">
        <f>VLOOKUP(A1875,vlookup_table!$A:$G,4,FALSE)</f>
        <v>5801</v>
      </c>
      <c r="Q1875" t="str">
        <f>VLOOKUP(A1875,vlookup_table!$A:$G,5,FALSE)</f>
        <v>S1</v>
      </c>
      <c r="R1875" t="str">
        <f>VLOOKUP(A1875,vlookup_table!$A:$G,6,FALSE)</f>
        <v>F</v>
      </c>
      <c r="S1875">
        <f>VLOOKUP(A1875,vlookup_table!$A:$G,7,FALSE)</f>
        <v>35</v>
      </c>
      <c r="T1875">
        <f t="shared" si="58"/>
        <v>38</v>
      </c>
      <c r="U1875" t="str">
        <f t="shared" si="59"/>
        <v>Suburbano</v>
      </c>
    </row>
    <row r="1876" spans="1:21" ht="16" x14ac:dyDescent="0.4">
      <c r="A1876" s="6">
        <v>52902</v>
      </c>
      <c r="B1876" s="6" t="s">
        <v>49</v>
      </c>
      <c r="C1876" s="6" t="s">
        <v>17</v>
      </c>
      <c r="D1876" s="6">
        <v>929</v>
      </c>
      <c r="E1876" s="6">
        <v>505</v>
      </c>
      <c r="F1876" s="6">
        <v>606</v>
      </c>
      <c r="G1876" s="6">
        <v>4</v>
      </c>
      <c r="H1876" s="6">
        <v>22435</v>
      </c>
      <c r="I1876" s="6">
        <v>4</v>
      </c>
      <c r="J1876" s="6">
        <v>53</v>
      </c>
      <c r="K1876" s="6">
        <v>546</v>
      </c>
      <c r="L1876" s="6">
        <v>561</v>
      </c>
      <c r="M1876" s="6">
        <v>15</v>
      </c>
      <c r="N1876">
        <f>VLOOKUP(A1876,vlookup_table!$A:$G,2,FALSE)</f>
        <v>28</v>
      </c>
      <c r="O1876" t="str">
        <f>VLOOKUP(A1876,vlookup_table!$A:$G,3,FALSE)</f>
        <v>TN</v>
      </c>
      <c r="P1876">
        <f>VLOOKUP(A1876,vlookup_table!$A:$G,4,FALSE)</f>
        <v>0</v>
      </c>
      <c r="Q1876" t="str">
        <f>VLOOKUP(A1876,vlookup_table!$A:$G,5,FALSE)</f>
        <v>C1</v>
      </c>
      <c r="R1876" t="str">
        <f>VLOOKUP(A1876,vlookup_table!$A:$G,6,FALSE)</f>
        <v>F</v>
      </c>
      <c r="S1876">
        <f>VLOOKUP(A1876,vlookup_table!$A:$G,7,FALSE)</f>
        <v>17</v>
      </c>
      <c r="T1876">
        <f t="shared" si="58"/>
        <v>96</v>
      </c>
      <c r="U1876" t="str">
        <f t="shared" si="59"/>
        <v>Ciudad</v>
      </c>
    </row>
    <row r="1877" spans="1:21" ht="16" x14ac:dyDescent="0.4">
      <c r="A1877" s="6">
        <v>79213</v>
      </c>
      <c r="B1877" s="6" t="s">
        <v>32</v>
      </c>
      <c r="C1877" s="6" t="s">
        <v>14</v>
      </c>
      <c r="D1877" s="6">
        <v>575</v>
      </c>
      <c r="E1877" s="6">
        <v>318</v>
      </c>
      <c r="F1877" s="6">
        <v>414</v>
      </c>
      <c r="G1877" s="6">
        <v>0</v>
      </c>
      <c r="H1877" s="6">
        <v>12909</v>
      </c>
      <c r="I1877" s="6">
        <v>0</v>
      </c>
      <c r="J1877" s="6">
        <v>89</v>
      </c>
      <c r="K1877" s="6">
        <v>341</v>
      </c>
      <c r="L1877" s="6">
        <v>379</v>
      </c>
      <c r="M1877" s="6">
        <v>8.4736842110000001</v>
      </c>
      <c r="N1877">
        <f>VLOOKUP(A1877,vlookup_table!$A:$G,2,FALSE)</f>
        <v>2</v>
      </c>
      <c r="O1877" t="str">
        <f>VLOOKUP(A1877,vlookup_table!$A:$G,3,FALSE)</f>
        <v>WI</v>
      </c>
      <c r="P1877">
        <f>VLOOKUP(A1877,vlookup_table!$A:$G,4,FALSE)</f>
        <v>2903</v>
      </c>
      <c r="Q1877" t="str">
        <f>VLOOKUP(A1877,vlookup_table!$A:$G,5,FALSE)</f>
        <v>R2</v>
      </c>
      <c r="R1877" t="str">
        <f>VLOOKUP(A1877,vlookup_table!$A:$G,6,FALSE)</f>
        <v>M</v>
      </c>
      <c r="S1877">
        <f>VLOOKUP(A1877,vlookup_table!$A:$G,7,FALSE)</f>
        <v>12</v>
      </c>
      <c r="T1877">
        <f t="shared" si="58"/>
        <v>67</v>
      </c>
      <c r="U1877" t="str">
        <f t="shared" si="59"/>
        <v>Rural</v>
      </c>
    </row>
    <row r="1878" spans="1:21" ht="16" x14ac:dyDescent="0.4">
      <c r="A1878" s="6">
        <v>178432</v>
      </c>
      <c r="B1878" s="6" t="s">
        <v>37</v>
      </c>
      <c r="C1878" s="6" t="s">
        <v>17</v>
      </c>
      <c r="D1878" s="6">
        <v>1627</v>
      </c>
      <c r="E1878" s="6">
        <v>456</v>
      </c>
      <c r="F1878" s="6">
        <v>586</v>
      </c>
      <c r="G1878" s="6">
        <v>30</v>
      </c>
      <c r="H1878" s="6">
        <v>20311</v>
      </c>
      <c r="I1878" s="6">
        <v>6</v>
      </c>
      <c r="J1878" s="6">
        <v>53</v>
      </c>
      <c r="K1878" s="6">
        <v>508</v>
      </c>
      <c r="L1878" s="6">
        <v>537</v>
      </c>
      <c r="M1878" s="6">
        <v>9.2666666670000009</v>
      </c>
      <c r="N1878">
        <f>VLOOKUP(A1878,vlookup_table!$A:$G,2,FALSE)</f>
        <v>2</v>
      </c>
      <c r="O1878" t="str">
        <f>VLOOKUP(A1878,vlookup_table!$A:$G,3,FALSE)</f>
        <v>WA</v>
      </c>
      <c r="P1878">
        <f>VLOOKUP(A1878,vlookup_table!$A:$G,4,FALSE)</f>
        <v>2806</v>
      </c>
      <c r="Q1878" t="str">
        <f>VLOOKUP(A1878,vlookup_table!$A:$G,5,FALSE)</f>
        <v>S1</v>
      </c>
      <c r="R1878" t="str">
        <f>VLOOKUP(A1878,vlookup_table!$A:$G,6,FALSE)</f>
        <v>F</v>
      </c>
      <c r="S1878">
        <f>VLOOKUP(A1878,vlookup_table!$A:$G,7,FALSE)</f>
        <v>14</v>
      </c>
      <c r="T1878">
        <f t="shared" si="58"/>
        <v>68</v>
      </c>
      <c r="U1878" t="str">
        <f t="shared" si="59"/>
        <v>Suburbano</v>
      </c>
    </row>
    <row r="1879" spans="1:21" ht="16" x14ac:dyDescent="0.4">
      <c r="A1879" s="6">
        <v>11267</v>
      </c>
      <c r="B1879" s="6" t="s">
        <v>26</v>
      </c>
      <c r="C1879" s="6" t="s">
        <v>17</v>
      </c>
      <c r="D1879" s="6">
        <v>428</v>
      </c>
      <c r="E1879" s="6">
        <v>208</v>
      </c>
      <c r="F1879" s="6">
        <v>293</v>
      </c>
      <c r="G1879" s="6">
        <v>0</v>
      </c>
      <c r="H1879" s="6">
        <v>10491</v>
      </c>
      <c r="I1879" s="6">
        <v>1</v>
      </c>
      <c r="J1879" s="6">
        <v>85</v>
      </c>
      <c r="K1879" s="6">
        <v>243</v>
      </c>
      <c r="L1879" s="6">
        <v>268</v>
      </c>
      <c r="M1879" s="6">
        <v>6.461538462</v>
      </c>
      <c r="N1879">
        <f>VLOOKUP(A1879,vlookup_table!$A:$G,2,FALSE)</f>
        <v>2</v>
      </c>
      <c r="O1879" t="str">
        <f>VLOOKUP(A1879,vlookup_table!$A:$G,3,FALSE)</f>
        <v>MI</v>
      </c>
      <c r="P1879">
        <f>VLOOKUP(A1879,vlookup_table!$A:$G,4,FALSE)</f>
        <v>1002</v>
      </c>
      <c r="Q1879" t="str">
        <f>VLOOKUP(A1879,vlookup_table!$A:$G,5,FALSE)</f>
        <v>R2</v>
      </c>
      <c r="R1879" t="str">
        <f>VLOOKUP(A1879,vlookup_table!$A:$G,6,FALSE)</f>
        <v>F</v>
      </c>
      <c r="S1879">
        <f>VLOOKUP(A1879,vlookup_table!$A:$G,7,FALSE)</f>
        <v>6</v>
      </c>
      <c r="T1879">
        <f t="shared" si="58"/>
        <v>86</v>
      </c>
      <c r="U1879" t="str">
        <f t="shared" si="59"/>
        <v>Rural</v>
      </c>
    </row>
    <row r="1880" spans="1:21" ht="16" x14ac:dyDescent="0.4">
      <c r="A1880" s="6">
        <v>129468</v>
      </c>
      <c r="B1880" s="6" t="s">
        <v>45</v>
      </c>
      <c r="C1880" s="6" t="s">
        <v>17</v>
      </c>
      <c r="D1880" s="6">
        <v>717</v>
      </c>
      <c r="E1880" s="6">
        <v>333</v>
      </c>
      <c r="F1880" s="6">
        <v>360</v>
      </c>
      <c r="G1880" s="6">
        <v>0</v>
      </c>
      <c r="H1880" s="6">
        <v>11669</v>
      </c>
      <c r="I1880" s="6">
        <v>3</v>
      </c>
      <c r="J1880" s="6">
        <v>58</v>
      </c>
      <c r="K1880" s="6">
        <v>341</v>
      </c>
      <c r="L1880" s="6">
        <v>344</v>
      </c>
      <c r="M1880" s="6">
        <v>25</v>
      </c>
      <c r="N1880">
        <f>VLOOKUP(A1880,vlookup_table!$A:$G,2,FALSE)</f>
        <v>0</v>
      </c>
      <c r="O1880" t="str">
        <f>VLOOKUP(A1880,vlookup_table!$A:$G,3,FALSE)</f>
        <v>CO</v>
      </c>
      <c r="P1880">
        <f>VLOOKUP(A1880,vlookup_table!$A:$G,4,FALSE)</f>
        <v>5301</v>
      </c>
      <c r="Q1880" t="str">
        <f>VLOOKUP(A1880,vlookup_table!$A:$G,5,FALSE)</f>
        <v>S2</v>
      </c>
      <c r="R1880" t="str">
        <f>VLOOKUP(A1880,vlookup_table!$A:$G,6,FALSE)</f>
        <v>F</v>
      </c>
      <c r="S1880">
        <f>VLOOKUP(A1880,vlookup_table!$A:$G,7,FALSE)</f>
        <v>20</v>
      </c>
      <c r="T1880">
        <f t="shared" si="58"/>
        <v>43</v>
      </c>
      <c r="U1880" t="str">
        <f t="shared" si="59"/>
        <v>Suburbano</v>
      </c>
    </row>
    <row r="1881" spans="1:21" ht="16" x14ac:dyDescent="0.4">
      <c r="A1881" s="6">
        <v>54134</v>
      </c>
      <c r="B1881" s="6" t="s">
        <v>49</v>
      </c>
      <c r="C1881" s="6" t="s">
        <v>14</v>
      </c>
      <c r="D1881" s="6">
        <v>452</v>
      </c>
      <c r="E1881" s="6">
        <v>193</v>
      </c>
      <c r="F1881" s="6">
        <v>270</v>
      </c>
      <c r="G1881" s="6">
        <v>0</v>
      </c>
      <c r="H1881" s="6">
        <v>9283</v>
      </c>
      <c r="I1881" s="6">
        <v>0</v>
      </c>
      <c r="J1881" s="6">
        <v>79</v>
      </c>
      <c r="K1881" s="6">
        <v>256</v>
      </c>
      <c r="L1881" s="6">
        <v>230</v>
      </c>
      <c r="M1881" s="6">
        <v>5.64</v>
      </c>
      <c r="N1881">
        <f>VLOOKUP(A1881,vlookup_table!$A:$G,2,FALSE)</f>
        <v>1</v>
      </c>
      <c r="O1881" t="str">
        <f>VLOOKUP(A1881,vlookup_table!$A:$G,3,FALSE)</f>
        <v>TN</v>
      </c>
      <c r="P1881">
        <f>VLOOKUP(A1881,vlookup_table!$A:$G,4,FALSE)</f>
        <v>1601</v>
      </c>
      <c r="Q1881" t="str">
        <f>VLOOKUP(A1881,vlookup_table!$A:$G,5,FALSE)</f>
        <v>T3</v>
      </c>
      <c r="R1881" t="str">
        <f>VLOOKUP(A1881,vlookup_table!$A:$G,6,FALSE)</f>
        <v>M</v>
      </c>
      <c r="S1881">
        <f>VLOOKUP(A1881,vlookup_table!$A:$G,7,FALSE)</f>
        <v>10</v>
      </c>
      <c r="T1881">
        <f t="shared" si="58"/>
        <v>80</v>
      </c>
      <c r="U1881" t="str">
        <f t="shared" si="59"/>
        <v>Pueblo</v>
      </c>
    </row>
    <row r="1882" spans="1:21" ht="16" x14ac:dyDescent="0.4">
      <c r="A1882" s="6">
        <v>162492</v>
      </c>
      <c r="B1882" s="6" t="s">
        <v>21</v>
      </c>
      <c r="C1882" s="6" t="s">
        <v>17</v>
      </c>
      <c r="D1882" s="6">
        <v>2625</v>
      </c>
      <c r="E1882" s="6">
        <v>513</v>
      </c>
      <c r="F1882" s="6">
        <v>523</v>
      </c>
      <c r="G1882" s="6">
        <v>93</v>
      </c>
      <c r="H1882" s="6">
        <v>15740</v>
      </c>
      <c r="I1882" s="6">
        <v>10</v>
      </c>
      <c r="J1882" s="6">
        <v>65</v>
      </c>
      <c r="K1882" s="6">
        <v>533</v>
      </c>
      <c r="L1882" s="6">
        <v>517</v>
      </c>
      <c r="M1882" s="6">
        <v>12.82608696</v>
      </c>
      <c r="N1882">
        <f>VLOOKUP(A1882,vlookup_table!$A:$G,2,FALSE)</f>
        <v>0</v>
      </c>
      <c r="O1882" t="str">
        <f>VLOOKUP(A1882,vlookup_table!$A:$G,3,FALSE)</f>
        <v>CA</v>
      </c>
      <c r="P1882">
        <f>VLOOKUP(A1882,vlookup_table!$A:$G,4,FALSE)</f>
        <v>3710</v>
      </c>
      <c r="Q1882" t="str">
        <f>VLOOKUP(A1882,vlookup_table!$A:$G,5,FALSE)</f>
        <v>S1</v>
      </c>
      <c r="R1882" t="str">
        <f>VLOOKUP(A1882,vlookup_table!$A:$G,6,FALSE)</f>
        <v>F</v>
      </c>
      <c r="S1882">
        <f>VLOOKUP(A1882,vlookup_table!$A:$G,7,FALSE)</f>
        <v>10</v>
      </c>
      <c r="T1882">
        <f t="shared" si="58"/>
        <v>59</v>
      </c>
      <c r="U1882" t="str">
        <f t="shared" si="59"/>
        <v>Suburbano</v>
      </c>
    </row>
    <row r="1883" spans="1:21" ht="16" x14ac:dyDescent="0.4">
      <c r="A1883" s="6">
        <v>13342</v>
      </c>
      <c r="B1883" s="6" t="s">
        <v>21</v>
      </c>
      <c r="C1883" s="6" t="s">
        <v>17</v>
      </c>
      <c r="D1883" s="6">
        <v>2113</v>
      </c>
      <c r="E1883" s="6">
        <v>422</v>
      </c>
      <c r="F1883" s="6">
        <v>532</v>
      </c>
      <c r="G1883" s="6">
        <v>58</v>
      </c>
      <c r="H1883" s="6">
        <v>19377</v>
      </c>
      <c r="I1883" s="6">
        <v>7</v>
      </c>
      <c r="J1883" s="6">
        <v>63</v>
      </c>
      <c r="K1883" s="6">
        <v>450</v>
      </c>
      <c r="L1883" s="6">
        <v>502</v>
      </c>
      <c r="M1883" s="6">
        <v>9</v>
      </c>
      <c r="N1883">
        <f>VLOOKUP(A1883,vlookup_table!$A:$G,2,FALSE)</f>
        <v>0</v>
      </c>
      <c r="O1883" t="str">
        <f>VLOOKUP(A1883,vlookup_table!$A:$G,3,FALSE)</f>
        <v>CA</v>
      </c>
      <c r="P1883">
        <f>VLOOKUP(A1883,vlookup_table!$A:$G,4,FALSE)</f>
        <v>4601</v>
      </c>
      <c r="Q1883" t="str">
        <f>VLOOKUP(A1883,vlookup_table!$A:$G,5,FALSE)</f>
        <v>U1</v>
      </c>
      <c r="R1883" t="str">
        <f>VLOOKUP(A1883,vlookup_table!$A:$G,6,FALSE)</f>
        <v>F</v>
      </c>
      <c r="S1883">
        <f>VLOOKUP(A1883,vlookup_table!$A:$G,7,FALSE)</f>
        <v>5</v>
      </c>
      <c r="T1883">
        <f t="shared" si="58"/>
        <v>50</v>
      </c>
      <c r="U1883" t="str">
        <f t="shared" si="59"/>
        <v>Urbano</v>
      </c>
    </row>
    <row r="1884" spans="1:21" ht="16" x14ac:dyDescent="0.4">
      <c r="A1884" s="6">
        <v>169323</v>
      </c>
      <c r="B1884" s="6" t="s">
        <v>21</v>
      </c>
      <c r="C1884" s="6" t="s">
        <v>17</v>
      </c>
      <c r="D1884" s="6">
        <v>1104</v>
      </c>
      <c r="E1884" s="6">
        <v>266</v>
      </c>
      <c r="F1884" s="6">
        <v>319</v>
      </c>
      <c r="G1884" s="6">
        <v>1</v>
      </c>
      <c r="H1884" s="6">
        <v>9833</v>
      </c>
      <c r="I1884" s="6">
        <v>18</v>
      </c>
      <c r="J1884" s="6">
        <v>57</v>
      </c>
      <c r="K1884" s="6">
        <v>275</v>
      </c>
      <c r="L1884" s="6">
        <v>323</v>
      </c>
      <c r="M1884" s="6">
        <v>2.6379310340000002</v>
      </c>
      <c r="N1884">
        <f>VLOOKUP(A1884,vlookup_table!$A:$G,2,FALSE)</f>
        <v>0</v>
      </c>
      <c r="O1884" t="str">
        <f>VLOOKUP(A1884,vlookup_table!$A:$G,3,FALSE)</f>
        <v>CA</v>
      </c>
      <c r="P1884">
        <f>VLOOKUP(A1884,vlookup_table!$A:$G,4,FALSE)</f>
        <v>2608</v>
      </c>
      <c r="Q1884" t="str">
        <f>VLOOKUP(A1884,vlookup_table!$A:$G,5,FALSE)</f>
        <v>S2</v>
      </c>
      <c r="R1884" t="str">
        <f>VLOOKUP(A1884,vlookup_table!$A:$G,6,FALSE)</f>
        <v>F</v>
      </c>
      <c r="S1884">
        <f>VLOOKUP(A1884,vlookup_table!$A:$G,7,FALSE)</f>
        <v>3</v>
      </c>
      <c r="T1884">
        <f t="shared" si="58"/>
        <v>70</v>
      </c>
      <c r="U1884" t="str">
        <f t="shared" si="59"/>
        <v>Suburbano</v>
      </c>
    </row>
    <row r="1885" spans="1:21" ht="16" x14ac:dyDescent="0.4">
      <c r="A1885" s="6">
        <v>125444</v>
      </c>
      <c r="B1885" s="6" t="s">
        <v>20</v>
      </c>
      <c r="C1885" s="6" t="s">
        <v>14</v>
      </c>
      <c r="D1885" s="6">
        <v>362</v>
      </c>
      <c r="E1885" s="6">
        <v>208</v>
      </c>
      <c r="F1885" s="6">
        <v>255</v>
      </c>
      <c r="G1885" s="6">
        <v>0</v>
      </c>
      <c r="H1885" s="6">
        <v>7220</v>
      </c>
      <c r="I1885" s="6">
        <v>9</v>
      </c>
      <c r="J1885" s="6">
        <v>85</v>
      </c>
      <c r="K1885" s="6">
        <v>217</v>
      </c>
      <c r="L1885" s="6">
        <v>238</v>
      </c>
      <c r="M1885" s="6">
        <v>7.1428571429999996</v>
      </c>
      <c r="N1885">
        <f>VLOOKUP(A1885,vlookup_table!$A:$G,2,FALSE)</f>
        <v>1</v>
      </c>
      <c r="O1885" t="str">
        <f>VLOOKUP(A1885,vlookup_table!$A:$G,3,FALSE)</f>
        <v>TX</v>
      </c>
      <c r="P1885">
        <f>VLOOKUP(A1885,vlookup_table!$A:$G,4,FALSE)</f>
        <v>4811</v>
      </c>
      <c r="Q1885" t="str">
        <f>VLOOKUP(A1885,vlookup_table!$A:$G,5,FALSE)</f>
        <v>U4</v>
      </c>
      <c r="R1885" t="str">
        <f>VLOOKUP(A1885,vlookup_table!$A:$G,6,FALSE)</f>
        <v>M</v>
      </c>
      <c r="S1885">
        <f>VLOOKUP(A1885,vlookup_table!$A:$G,7,FALSE)</f>
        <v>10</v>
      </c>
      <c r="T1885">
        <f t="shared" si="58"/>
        <v>48</v>
      </c>
      <c r="U1885" t="str">
        <f t="shared" si="59"/>
        <v>Urbano</v>
      </c>
    </row>
    <row r="1886" spans="1:21" ht="16" x14ac:dyDescent="0.4">
      <c r="A1886" s="6">
        <v>70076</v>
      </c>
      <c r="B1886" s="6" t="s">
        <v>26</v>
      </c>
      <c r="C1886" s="6" t="s">
        <v>14</v>
      </c>
      <c r="D1886" s="6">
        <v>403</v>
      </c>
      <c r="E1886" s="6">
        <v>327</v>
      </c>
      <c r="F1886" s="6">
        <v>364</v>
      </c>
      <c r="G1886" s="6">
        <v>0</v>
      </c>
      <c r="H1886" s="6">
        <v>15337</v>
      </c>
      <c r="I1886" s="6">
        <v>3</v>
      </c>
      <c r="J1886" s="6">
        <v>80</v>
      </c>
      <c r="K1886" s="6">
        <v>375</v>
      </c>
      <c r="L1886" s="6">
        <v>304</v>
      </c>
      <c r="M1886" s="6">
        <v>7.32</v>
      </c>
      <c r="N1886">
        <f>VLOOKUP(A1886,vlookup_table!$A:$G,2,FALSE)</f>
        <v>1</v>
      </c>
      <c r="O1886" t="str">
        <f>VLOOKUP(A1886,vlookup_table!$A:$G,3,FALSE)</f>
        <v>MI</v>
      </c>
      <c r="P1886">
        <f>VLOOKUP(A1886,vlookup_table!$A:$G,4,FALSE)</f>
        <v>3407</v>
      </c>
      <c r="Q1886" t="str">
        <f>VLOOKUP(A1886,vlookup_table!$A:$G,5,FALSE)</f>
        <v>S3</v>
      </c>
      <c r="R1886" t="str">
        <f>VLOOKUP(A1886,vlookup_table!$A:$G,6,FALSE)</f>
        <v>M</v>
      </c>
      <c r="S1886">
        <f>VLOOKUP(A1886,vlookup_table!$A:$G,7,FALSE)</f>
        <v>10</v>
      </c>
      <c r="T1886">
        <f t="shared" si="58"/>
        <v>62</v>
      </c>
      <c r="U1886" t="str">
        <f t="shared" si="59"/>
        <v>Suburbano</v>
      </c>
    </row>
    <row r="1887" spans="1:21" ht="16" x14ac:dyDescent="0.4">
      <c r="A1887" s="6">
        <v>4048</v>
      </c>
      <c r="B1887" s="6" t="s">
        <v>16</v>
      </c>
      <c r="C1887" s="6" t="s">
        <v>17</v>
      </c>
      <c r="D1887" s="6">
        <v>1014</v>
      </c>
      <c r="E1887" s="6">
        <v>262</v>
      </c>
      <c r="F1887" s="6">
        <v>350</v>
      </c>
      <c r="G1887" s="6">
        <v>15</v>
      </c>
      <c r="H1887" s="6">
        <v>10522</v>
      </c>
      <c r="I1887" s="6">
        <v>45</v>
      </c>
      <c r="J1887" s="6">
        <v>40</v>
      </c>
      <c r="K1887" s="6">
        <v>273</v>
      </c>
      <c r="L1887" s="6">
        <v>306</v>
      </c>
      <c r="M1887" s="6">
        <v>11.1875</v>
      </c>
      <c r="N1887">
        <f>VLOOKUP(A1887,vlookup_table!$A:$G,2,FALSE)</f>
        <v>0</v>
      </c>
      <c r="O1887" t="str">
        <f>VLOOKUP(A1887,vlookup_table!$A:$G,3,FALSE)</f>
        <v>IL</v>
      </c>
      <c r="P1887">
        <f>VLOOKUP(A1887,vlookup_table!$A:$G,4,FALSE)</f>
        <v>3401</v>
      </c>
      <c r="Q1887" t="str">
        <f>VLOOKUP(A1887,vlookup_table!$A:$G,5,FALSE)</f>
        <v>U2</v>
      </c>
      <c r="R1887" t="str">
        <f>VLOOKUP(A1887,vlookup_table!$A:$G,6,FALSE)</f>
        <v>F</v>
      </c>
      <c r="S1887">
        <f>VLOOKUP(A1887,vlookup_table!$A:$G,7,FALSE)</f>
        <v>17</v>
      </c>
      <c r="T1887">
        <f t="shared" si="58"/>
        <v>62</v>
      </c>
      <c r="U1887" t="str">
        <f t="shared" si="59"/>
        <v>Urbano</v>
      </c>
    </row>
    <row r="1888" spans="1:21" ht="16" x14ac:dyDescent="0.4">
      <c r="A1888" s="6">
        <v>68669</v>
      </c>
      <c r="B1888" s="6" t="s">
        <v>26</v>
      </c>
      <c r="C1888" s="6" t="s">
        <v>17</v>
      </c>
      <c r="D1888" s="6">
        <v>732</v>
      </c>
      <c r="E1888" s="6">
        <v>377</v>
      </c>
      <c r="F1888" s="6">
        <v>453</v>
      </c>
      <c r="G1888" s="6">
        <v>0</v>
      </c>
      <c r="H1888" s="6">
        <v>14455</v>
      </c>
      <c r="I1888" s="6">
        <v>6</v>
      </c>
      <c r="J1888" s="6">
        <v>70</v>
      </c>
      <c r="K1888" s="6">
        <v>478</v>
      </c>
      <c r="L1888" s="6">
        <v>396</v>
      </c>
      <c r="M1888" s="6">
        <v>9.5</v>
      </c>
      <c r="N1888">
        <f>VLOOKUP(A1888,vlookup_table!$A:$G,2,FALSE)</f>
        <v>0</v>
      </c>
      <c r="O1888" t="str">
        <f>VLOOKUP(A1888,vlookup_table!$A:$G,3,FALSE)</f>
        <v>MI</v>
      </c>
      <c r="P1888">
        <f>VLOOKUP(A1888,vlookup_table!$A:$G,4,FALSE)</f>
        <v>1801</v>
      </c>
      <c r="Q1888" t="str">
        <f>VLOOKUP(A1888,vlookup_table!$A:$G,5,FALSE)</f>
        <v>S2</v>
      </c>
      <c r="R1888" t="str">
        <f>VLOOKUP(A1888,vlookup_table!$A:$G,6,FALSE)</f>
        <v>F</v>
      </c>
      <c r="S1888">
        <f>VLOOKUP(A1888,vlookup_table!$A:$G,7,FALSE)</f>
        <v>15</v>
      </c>
      <c r="T1888">
        <f t="shared" si="58"/>
        <v>78</v>
      </c>
      <c r="U1888" t="str">
        <f t="shared" si="59"/>
        <v>Suburbano</v>
      </c>
    </row>
    <row r="1889" spans="1:21" ht="16" x14ac:dyDescent="0.4">
      <c r="A1889" s="6">
        <v>155943</v>
      </c>
      <c r="B1889" s="6" t="s">
        <v>21</v>
      </c>
      <c r="C1889" s="6" t="s">
        <v>14</v>
      </c>
      <c r="D1889" s="6">
        <v>1309</v>
      </c>
      <c r="E1889" s="6">
        <v>409</v>
      </c>
      <c r="F1889" s="6">
        <v>432</v>
      </c>
      <c r="G1889" s="6">
        <v>1</v>
      </c>
      <c r="H1889" s="6">
        <v>12004</v>
      </c>
      <c r="I1889" s="6">
        <v>7</v>
      </c>
      <c r="J1889" s="6">
        <v>58</v>
      </c>
      <c r="K1889" s="6">
        <v>419</v>
      </c>
      <c r="L1889" s="6">
        <v>424</v>
      </c>
      <c r="M1889" s="6">
        <v>12</v>
      </c>
      <c r="N1889">
        <f>VLOOKUP(A1889,vlookup_table!$A:$G,2,FALSE)</f>
        <v>1</v>
      </c>
      <c r="O1889" t="str">
        <f>VLOOKUP(A1889,vlookup_table!$A:$G,3,FALSE)</f>
        <v>CA</v>
      </c>
      <c r="P1889">
        <f>VLOOKUP(A1889,vlookup_table!$A:$G,4,FALSE)</f>
        <v>2201</v>
      </c>
      <c r="Q1889" t="str">
        <f>VLOOKUP(A1889,vlookup_table!$A:$G,5,FALSE)</f>
        <v>C2</v>
      </c>
      <c r="R1889" t="str">
        <f>VLOOKUP(A1889,vlookup_table!$A:$G,6,FALSE)</f>
        <v>M</v>
      </c>
      <c r="S1889">
        <f>VLOOKUP(A1889,vlookup_table!$A:$G,7,FALSE)</f>
        <v>12</v>
      </c>
      <c r="T1889">
        <f t="shared" si="58"/>
        <v>74</v>
      </c>
      <c r="U1889" t="str">
        <f t="shared" si="59"/>
        <v>Ciudad</v>
      </c>
    </row>
    <row r="1890" spans="1:21" ht="16" x14ac:dyDescent="0.4">
      <c r="A1890" s="6">
        <v>40968</v>
      </c>
      <c r="B1890" s="6" t="s">
        <v>13</v>
      </c>
      <c r="C1890" s="6" t="s">
        <v>17</v>
      </c>
      <c r="D1890" s="6">
        <v>961</v>
      </c>
      <c r="E1890" s="6">
        <v>297</v>
      </c>
      <c r="F1890" s="6">
        <v>386</v>
      </c>
      <c r="G1890" s="6">
        <v>2</v>
      </c>
      <c r="H1890" s="6">
        <v>12625</v>
      </c>
      <c r="I1890" s="6">
        <v>5</v>
      </c>
      <c r="J1890" s="6">
        <v>47</v>
      </c>
      <c r="K1890" s="6">
        <v>341</v>
      </c>
      <c r="L1890" s="6">
        <v>366</v>
      </c>
      <c r="M1890" s="6">
        <v>13.66666667</v>
      </c>
      <c r="N1890">
        <f>VLOOKUP(A1890,vlookup_table!$A:$G,2,FALSE)</f>
        <v>0</v>
      </c>
      <c r="O1890" t="str">
        <f>VLOOKUP(A1890,vlookup_table!$A:$G,3,FALSE)</f>
        <v>FL</v>
      </c>
      <c r="P1890">
        <f>VLOOKUP(A1890,vlookup_table!$A:$G,4,FALSE)</f>
        <v>0</v>
      </c>
      <c r="Q1890" t="str">
        <f>VLOOKUP(A1890,vlookup_table!$A:$G,5,FALSE)</f>
        <v>T2</v>
      </c>
      <c r="R1890" t="str">
        <f>VLOOKUP(A1890,vlookup_table!$A:$G,6,FALSE)</f>
        <v>F</v>
      </c>
      <c r="S1890">
        <f>VLOOKUP(A1890,vlookup_table!$A:$G,7,FALSE)</f>
        <v>17</v>
      </c>
      <c r="T1890">
        <f t="shared" si="58"/>
        <v>96</v>
      </c>
      <c r="U1890" t="str">
        <f t="shared" si="59"/>
        <v>Pueblo</v>
      </c>
    </row>
    <row r="1891" spans="1:21" ht="16" x14ac:dyDescent="0.4">
      <c r="A1891" s="6">
        <v>101109</v>
      </c>
      <c r="B1891" s="6" t="s">
        <v>33</v>
      </c>
      <c r="C1891" s="6" t="s">
        <v>17</v>
      </c>
      <c r="D1891" s="6">
        <v>883</v>
      </c>
      <c r="E1891" s="6">
        <v>468</v>
      </c>
      <c r="F1891" s="6">
        <v>517</v>
      </c>
      <c r="G1891" s="6">
        <v>0</v>
      </c>
      <c r="H1891" s="6">
        <v>15167</v>
      </c>
      <c r="I1891" s="6">
        <v>1</v>
      </c>
      <c r="J1891" s="6">
        <v>69</v>
      </c>
      <c r="K1891" s="6">
        <v>503</v>
      </c>
      <c r="L1891" s="6">
        <v>493</v>
      </c>
      <c r="M1891" s="6">
        <v>13.8</v>
      </c>
      <c r="N1891">
        <f>VLOOKUP(A1891,vlookup_table!$A:$G,2,FALSE)</f>
        <v>0</v>
      </c>
      <c r="O1891" t="str">
        <f>VLOOKUP(A1891,vlookup_table!$A:$G,3,FALSE)</f>
        <v>MO</v>
      </c>
      <c r="P1891">
        <f>VLOOKUP(A1891,vlookup_table!$A:$G,4,FALSE)</f>
        <v>2801</v>
      </c>
      <c r="Q1891" t="str">
        <f>VLOOKUP(A1891,vlookup_table!$A:$G,5,FALSE)</f>
        <v>C1</v>
      </c>
      <c r="R1891" t="str">
        <f>VLOOKUP(A1891,vlookup_table!$A:$G,6,FALSE)</f>
        <v>F</v>
      </c>
      <c r="S1891">
        <f>VLOOKUP(A1891,vlookup_table!$A:$G,7,FALSE)</f>
        <v>10</v>
      </c>
      <c r="T1891">
        <f t="shared" si="58"/>
        <v>68</v>
      </c>
      <c r="U1891" t="str">
        <f t="shared" si="59"/>
        <v>Ciudad</v>
      </c>
    </row>
    <row r="1892" spans="1:21" ht="16" x14ac:dyDescent="0.4">
      <c r="A1892" s="6">
        <v>14279</v>
      </c>
      <c r="B1892" s="6" t="s">
        <v>45</v>
      </c>
      <c r="C1892" s="6" t="s">
        <v>14</v>
      </c>
      <c r="D1892" s="6">
        <v>1285</v>
      </c>
      <c r="E1892" s="6">
        <v>474</v>
      </c>
      <c r="F1892" s="6">
        <v>584</v>
      </c>
      <c r="G1892" s="6">
        <v>12</v>
      </c>
      <c r="H1892" s="6">
        <v>21521</v>
      </c>
      <c r="I1892" s="6">
        <v>4</v>
      </c>
      <c r="J1892" s="6">
        <v>39</v>
      </c>
      <c r="K1892" s="6">
        <v>510</v>
      </c>
      <c r="L1892" s="6">
        <v>535</v>
      </c>
      <c r="M1892" s="6">
        <v>5.1875</v>
      </c>
      <c r="N1892">
        <f>VLOOKUP(A1892,vlookup_table!$A:$G,2,FALSE)</f>
        <v>2</v>
      </c>
      <c r="O1892" t="str">
        <f>VLOOKUP(A1892,vlookup_table!$A:$G,3,FALSE)</f>
        <v>CO</v>
      </c>
      <c r="P1892">
        <f>VLOOKUP(A1892,vlookup_table!$A:$G,4,FALSE)</f>
        <v>5701</v>
      </c>
      <c r="Q1892" t="str">
        <f>VLOOKUP(A1892,vlookup_table!$A:$G,5,FALSE)</f>
        <v>T1</v>
      </c>
      <c r="R1892" t="str">
        <f>VLOOKUP(A1892,vlookup_table!$A:$G,6,FALSE)</f>
        <v>M</v>
      </c>
      <c r="S1892">
        <f>VLOOKUP(A1892,vlookup_table!$A:$G,7,FALSE)</f>
        <v>11</v>
      </c>
      <c r="T1892">
        <f t="shared" si="58"/>
        <v>39</v>
      </c>
      <c r="U1892" t="str">
        <f t="shared" si="59"/>
        <v>Pueblo</v>
      </c>
    </row>
    <row r="1893" spans="1:21" ht="16" x14ac:dyDescent="0.4">
      <c r="A1893" s="6">
        <v>83887</v>
      </c>
      <c r="B1893" s="6" t="s">
        <v>52</v>
      </c>
      <c r="C1893" s="6" t="s">
        <v>17</v>
      </c>
      <c r="D1893" s="6">
        <v>889</v>
      </c>
      <c r="E1893" s="6">
        <v>272</v>
      </c>
      <c r="F1893" s="6">
        <v>450</v>
      </c>
      <c r="G1893" s="6">
        <v>0</v>
      </c>
      <c r="H1893" s="6">
        <v>14767</v>
      </c>
      <c r="I1893" s="6">
        <v>3</v>
      </c>
      <c r="J1893" s="6">
        <v>69</v>
      </c>
      <c r="K1893" s="6">
        <v>398</v>
      </c>
      <c r="L1893" s="6">
        <v>341</v>
      </c>
      <c r="M1893" s="6">
        <v>16</v>
      </c>
      <c r="N1893">
        <f>VLOOKUP(A1893,vlookup_table!$A:$G,2,FALSE)</f>
        <v>2</v>
      </c>
      <c r="O1893" t="str">
        <f>VLOOKUP(A1893,vlookup_table!$A:$G,3,FALSE)</f>
        <v>MN</v>
      </c>
      <c r="P1893">
        <f>VLOOKUP(A1893,vlookup_table!$A:$G,4,FALSE)</f>
        <v>6801</v>
      </c>
      <c r="Q1893" t="str">
        <f>VLOOKUP(A1893,vlookup_table!$A:$G,5,FALSE)</f>
        <v>S2</v>
      </c>
      <c r="R1893" t="str">
        <f>VLOOKUP(A1893,vlookup_table!$A:$G,6,FALSE)</f>
        <v>F</v>
      </c>
      <c r="S1893">
        <f>VLOOKUP(A1893,vlookup_table!$A:$G,7,FALSE)</f>
        <v>17</v>
      </c>
      <c r="T1893">
        <f t="shared" si="58"/>
        <v>28</v>
      </c>
      <c r="U1893" t="str">
        <f t="shared" si="59"/>
        <v>Suburbano</v>
      </c>
    </row>
    <row r="1894" spans="1:21" ht="16" x14ac:dyDescent="0.4">
      <c r="A1894" s="6">
        <v>17089</v>
      </c>
      <c r="B1894" s="6" t="s">
        <v>18</v>
      </c>
      <c r="C1894" s="6" t="s">
        <v>97</v>
      </c>
      <c r="D1894" s="6">
        <v>609</v>
      </c>
      <c r="E1894" s="6">
        <v>257</v>
      </c>
      <c r="F1894" s="6">
        <v>323</v>
      </c>
      <c r="G1894" s="6">
        <v>0</v>
      </c>
      <c r="H1894" s="6">
        <v>10569</v>
      </c>
      <c r="I1894" s="6">
        <v>0</v>
      </c>
      <c r="J1894" s="6">
        <v>95</v>
      </c>
      <c r="K1894" s="6">
        <v>338</v>
      </c>
      <c r="L1894" s="6">
        <v>299</v>
      </c>
      <c r="M1894" s="6">
        <v>6</v>
      </c>
      <c r="N1894">
        <f>VLOOKUP(A1894,vlookup_table!$A:$G,2,FALSE)</f>
        <v>0</v>
      </c>
      <c r="O1894" t="str">
        <f>VLOOKUP(A1894,vlookup_table!$A:$G,3,FALSE)</f>
        <v>NC</v>
      </c>
      <c r="P1894">
        <f>VLOOKUP(A1894,vlookup_table!$A:$G,4,FALSE)</f>
        <v>0</v>
      </c>
      <c r="Q1894" t="str">
        <f>VLOOKUP(A1894,vlookup_table!$A:$G,5,FALSE)</f>
        <v>R2</v>
      </c>
      <c r="R1894" t="str">
        <f>VLOOKUP(A1894,vlookup_table!$A:$G,6,FALSE)</f>
        <v>F</v>
      </c>
      <c r="S1894">
        <f>VLOOKUP(A1894,vlookup_table!$A:$G,7,FALSE)</f>
        <v>5</v>
      </c>
      <c r="T1894">
        <f t="shared" si="58"/>
        <v>96</v>
      </c>
      <c r="U1894" t="str">
        <f t="shared" si="59"/>
        <v>Rural</v>
      </c>
    </row>
    <row r="1895" spans="1:21" ht="16" x14ac:dyDescent="0.4">
      <c r="A1895" s="6">
        <v>92183</v>
      </c>
      <c r="B1895" s="6" t="s">
        <v>16</v>
      </c>
      <c r="C1895" s="6" t="s">
        <v>17</v>
      </c>
      <c r="D1895" s="6">
        <v>1240</v>
      </c>
      <c r="E1895" s="6">
        <v>395</v>
      </c>
      <c r="F1895" s="6">
        <v>550</v>
      </c>
      <c r="G1895" s="6">
        <v>6</v>
      </c>
      <c r="H1895" s="6">
        <v>19153</v>
      </c>
      <c r="I1895" s="6">
        <v>4</v>
      </c>
      <c r="J1895" s="6">
        <v>70</v>
      </c>
      <c r="K1895" s="6">
        <v>496</v>
      </c>
      <c r="L1895" s="6">
        <v>436</v>
      </c>
      <c r="M1895" s="6">
        <v>5.375</v>
      </c>
      <c r="N1895">
        <f>VLOOKUP(A1895,vlookup_table!$A:$G,2,FALSE)</f>
        <v>28</v>
      </c>
      <c r="O1895" t="str">
        <f>VLOOKUP(A1895,vlookup_table!$A:$G,3,FALSE)</f>
        <v>IL</v>
      </c>
      <c r="P1895">
        <f>VLOOKUP(A1895,vlookup_table!$A:$G,4,FALSE)</f>
        <v>1101</v>
      </c>
      <c r="Q1895" t="str">
        <f>VLOOKUP(A1895,vlookup_table!$A:$G,5,FALSE)</f>
        <v>C1</v>
      </c>
      <c r="R1895" t="str">
        <f>VLOOKUP(A1895,vlookup_table!$A:$G,6,FALSE)</f>
        <v>F</v>
      </c>
      <c r="S1895">
        <f>VLOOKUP(A1895,vlookup_table!$A:$G,7,FALSE)</f>
        <v>5</v>
      </c>
      <c r="T1895">
        <f t="shared" si="58"/>
        <v>85</v>
      </c>
      <c r="U1895" t="str">
        <f t="shared" si="59"/>
        <v>Ciudad</v>
      </c>
    </row>
    <row r="1896" spans="1:21" ht="16" x14ac:dyDescent="0.4">
      <c r="A1896" s="6">
        <v>65374</v>
      </c>
      <c r="B1896" s="6" t="s">
        <v>26</v>
      </c>
      <c r="C1896" s="6" t="s">
        <v>14</v>
      </c>
      <c r="D1896" s="6">
        <v>426</v>
      </c>
      <c r="E1896" s="6">
        <v>267</v>
      </c>
      <c r="F1896" s="6">
        <v>343</v>
      </c>
      <c r="G1896" s="6">
        <v>0</v>
      </c>
      <c r="H1896" s="6">
        <v>13836</v>
      </c>
      <c r="I1896" s="6">
        <v>9</v>
      </c>
      <c r="J1896" s="6">
        <v>71</v>
      </c>
      <c r="K1896" s="6">
        <v>315</v>
      </c>
      <c r="L1896" s="6">
        <v>314</v>
      </c>
      <c r="M1896" s="6">
        <v>16.75</v>
      </c>
      <c r="N1896">
        <f>VLOOKUP(A1896,vlookup_table!$A:$G,2,FALSE)</f>
        <v>1</v>
      </c>
      <c r="O1896" t="str">
        <f>VLOOKUP(A1896,vlookup_table!$A:$G,3,FALSE)</f>
        <v>MI</v>
      </c>
      <c r="P1896">
        <f>VLOOKUP(A1896,vlookup_table!$A:$G,4,FALSE)</f>
        <v>2608</v>
      </c>
      <c r="Q1896" t="str">
        <f>VLOOKUP(A1896,vlookup_table!$A:$G,5,FALSE)</f>
        <v>U4</v>
      </c>
      <c r="R1896" t="str">
        <f>VLOOKUP(A1896,vlookup_table!$A:$G,6,FALSE)</f>
        <v>M</v>
      </c>
      <c r="S1896">
        <f>VLOOKUP(A1896,vlookup_table!$A:$G,7,FALSE)</f>
        <v>20</v>
      </c>
      <c r="T1896">
        <f t="shared" si="58"/>
        <v>70</v>
      </c>
      <c r="U1896" t="str">
        <f t="shared" si="59"/>
        <v>Urbano</v>
      </c>
    </row>
    <row r="1897" spans="1:21" ht="16" x14ac:dyDescent="0.4">
      <c r="A1897" s="6">
        <v>27082</v>
      </c>
      <c r="B1897" s="6" t="s">
        <v>20</v>
      </c>
      <c r="C1897" s="6" t="s">
        <v>14</v>
      </c>
      <c r="D1897" s="6">
        <v>792</v>
      </c>
      <c r="E1897" s="6">
        <v>260</v>
      </c>
      <c r="F1897" s="6">
        <v>396</v>
      </c>
      <c r="G1897" s="6">
        <v>8</v>
      </c>
      <c r="H1897" s="6">
        <v>14354</v>
      </c>
      <c r="I1897" s="6">
        <v>3</v>
      </c>
      <c r="J1897" s="6">
        <v>66</v>
      </c>
      <c r="K1897" s="6">
        <v>320</v>
      </c>
      <c r="L1897" s="6">
        <v>337</v>
      </c>
      <c r="M1897" s="6">
        <v>11.33333333</v>
      </c>
      <c r="N1897">
        <f>VLOOKUP(A1897,vlookup_table!$A:$G,2,FALSE)</f>
        <v>1</v>
      </c>
      <c r="O1897" t="str">
        <f>VLOOKUP(A1897,vlookup_table!$A:$G,3,FALSE)</f>
        <v>TX</v>
      </c>
      <c r="P1897">
        <f>VLOOKUP(A1897,vlookup_table!$A:$G,4,FALSE)</f>
        <v>4612</v>
      </c>
      <c r="Q1897" t="str">
        <f>VLOOKUP(A1897,vlookup_table!$A:$G,5,FALSE)</f>
        <v>S2</v>
      </c>
      <c r="R1897" t="str">
        <f>VLOOKUP(A1897,vlookup_table!$A:$G,6,FALSE)</f>
        <v>M</v>
      </c>
      <c r="S1897">
        <f>VLOOKUP(A1897,vlookup_table!$A:$G,7,FALSE)</f>
        <v>10</v>
      </c>
      <c r="T1897">
        <f t="shared" si="58"/>
        <v>50</v>
      </c>
      <c r="U1897" t="str">
        <f t="shared" si="59"/>
        <v>Suburbano</v>
      </c>
    </row>
    <row r="1898" spans="1:21" ht="16" x14ac:dyDescent="0.4">
      <c r="A1898" s="6">
        <v>108115</v>
      </c>
      <c r="B1898" s="6" t="s">
        <v>46</v>
      </c>
      <c r="C1898" s="6" t="s">
        <v>14</v>
      </c>
      <c r="D1898" s="6">
        <v>801</v>
      </c>
      <c r="E1898" s="6">
        <v>487</v>
      </c>
      <c r="F1898" s="6">
        <v>550</v>
      </c>
      <c r="G1898" s="6">
        <v>0</v>
      </c>
      <c r="H1898" s="6">
        <v>15880</v>
      </c>
      <c r="I1898" s="6">
        <v>7</v>
      </c>
      <c r="J1898" s="6">
        <v>73</v>
      </c>
      <c r="K1898" s="6">
        <v>523</v>
      </c>
      <c r="L1898" s="6">
        <v>509</v>
      </c>
      <c r="M1898" s="6">
        <v>13.272727270000001</v>
      </c>
      <c r="N1898">
        <f>VLOOKUP(A1898,vlookup_table!$A:$G,2,FALSE)</f>
        <v>1</v>
      </c>
      <c r="O1898" t="str">
        <f>VLOOKUP(A1898,vlookup_table!$A:$G,3,FALSE)</f>
        <v>LA</v>
      </c>
      <c r="P1898">
        <f>VLOOKUP(A1898,vlookup_table!$A:$G,4,FALSE)</f>
        <v>3511</v>
      </c>
      <c r="Q1898" t="str">
        <f>VLOOKUP(A1898,vlookup_table!$A:$G,5,FALSE)</f>
        <v>S1</v>
      </c>
      <c r="R1898" t="str">
        <f>VLOOKUP(A1898,vlookup_table!$A:$G,6,FALSE)</f>
        <v>M</v>
      </c>
      <c r="S1898">
        <f>VLOOKUP(A1898,vlookup_table!$A:$G,7,FALSE)</f>
        <v>100</v>
      </c>
      <c r="T1898">
        <f t="shared" si="58"/>
        <v>61</v>
      </c>
      <c r="U1898" t="str">
        <f t="shared" si="59"/>
        <v>Suburbano</v>
      </c>
    </row>
    <row r="1899" spans="1:21" ht="16" x14ac:dyDescent="0.4">
      <c r="A1899" s="6">
        <v>86278</v>
      </c>
      <c r="B1899" s="6" t="s">
        <v>48</v>
      </c>
      <c r="C1899" s="6" t="s">
        <v>14</v>
      </c>
      <c r="D1899" s="6">
        <v>554</v>
      </c>
      <c r="E1899" s="6">
        <v>294</v>
      </c>
      <c r="F1899" s="6">
        <v>344</v>
      </c>
      <c r="G1899" s="6">
        <v>0</v>
      </c>
      <c r="H1899" s="6">
        <v>10936</v>
      </c>
      <c r="I1899" s="6">
        <v>2</v>
      </c>
      <c r="J1899" s="6">
        <v>58</v>
      </c>
      <c r="K1899" s="6">
        <v>319</v>
      </c>
      <c r="L1899" s="6">
        <v>287</v>
      </c>
      <c r="M1899" s="6">
        <v>7.5294117649999999</v>
      </c>
      <c r="N1899">
        <f>VLOOKUP(A1899,vlookup_table!$A:$G,2,FALSE)</f>
        <v>1</v>
      </c>
      <c r="O1899" t="str">
        <f>VLOOKUP(A1899,vlookup_table!$A:$G,3,FALSE)</f>
        <v>SD</v>
      </c>
      <c r="P1899">
        <f>VLOOKUP(A1899,vlookup_table!$A:$G,4,FALSE)</f>
        <v>3201</v>
      </c>
      <c r="Q1899" t="str">
        <f>VLOOKUP(A1899,vlookup_table!$A:$G,5,FALSE)</f>
        <v>C2</v>
      </c>
      <c r="R1899" t="str">
        <f>VLOOKUP(A1899,vlookup_table!$A:$G,6,FALSE)</f>
        <v>M</v>
      </c>
      <c r="S1899">
        <f>VLOOKUP(A1899,vlookup_table!$A:$G,7,FALSE)</f>
        <v>9</v>
      </c>
      <c r="T1899">
        <f t="shared" si="58"/>
        <v>64</v>
      </c>
      <c r="U1899" t="str">
        <f t="shared" si="59"/>
        <v>Ciudad</v>
      </c>
    </row>
    <row r="1900" spans="1:21" ht="16" x14ac:dyDescent="0.4">
      <c r="A1900" s="6">
        <v>87904</v>
      </c>
      <c r="B1900" s="6" t="s">
        <v>16</v>
      </c>
      <c r="C1900" s="6" t="s">
        <v>14</v>
      </c>
      <c r="D1900" s="6">
        <v>1141</v>
      </c>
      <c r="E1900" s="6">
        <v>453</v>
      </c>
      <c r="F1900" s="6">
        <v>536</v>
      </c>
      <c r="G1900" s="6">
        <v>1</v>
      </c>
      <c r="H1900" s="6">
        <v>17140</v>
      </c>
      <c r="I1900" s="6">
        <v>4</v>
      </c>
      <c r="J1900" s="6">
        <v>74</v>
      </c>
      <c r="K1900" s="6">
        <v>498</v>
      </c>
      <c r="L1900" s="6">
        <v>481</v>
      </c>
      <c r="M1900" s="6">
        <v>8.615384615</v>
      </c>
      <c r="N1900">
        <f>VLOOKUP(A1900,vlookup_table!$A:$G,2,FALSE)</f>
        <v>1</v>
      </c>
      <c r="O1900" t="str">
        <f>VLOOKUP(A1900,vlookup_table!$A:$G,3,FALSE)</f>
        <v>IL</v>
      </c>
      <c r="P1900">
        <f>VLOOKUP(A1900,vlookup_table!$A:$G,4,FALSE)</f>
        <v>3209</v>
      </c>
      <c r="Q1900" t="str">
        <f>VLOOKUP(A1900,vlookup_table!$A:$G,5,FALSE)</f>
        <v>U2</v>
      </c>
      <c r="R1900" t="str">
        <f>VLOOKUP(A1900,vlookup_table!$A:$G,6,FALSE)</f>
        <v>M</v>
      </c>
      <c r="S1900">
        <f>VLOOKUP(A1900,vlookup_table!$A:$G,7,FALSE)</f>
        <v>21</v>
      </c>
      <c r="T1900">
        <f t="shared" si="58"/>
        <v>64</v>
      </c>
      <c r="U1900" t="str">
        <f t="shared" si="59"/>
        <v>Urbano</v>
      </c>
    </row>
    <row r="1901" spans="1:21" ht="16" x14ac:dyDescent="0.4">
      <c r="A1901" s="6">
        <v>5798</v>
      </c>
      <c r="B1901" s="6" t="s">
        <v>20</v>
      </c>
      <c r="C1901" s="6" t="s">
        <v>27</v>
      </c>
      <c r="D1901" s="6">
        <v>872</v>
      </c>
      <c r="E1901" s="6">
        <v>534</v>
      </c>
      <c r="F1901" s="6">
        <v>607</v>
      </c>
      <c r="G1901" s="6">
        <v>1</v>
      </c>
      <c r="H1901" s="6">
        <v>19255</v>
      </c>
      <c r="I1901" s="6">
        <v>1</v>
      </c>
      <c r="J1901" s="6">
        <v>63</v>
      </c>
      <c r="K1901" s="6">
        <v>548</v>
      </c>
      <c r="L1901" s="6">
        <v>594</v>
      </c>
      <c r="M1901" s="6">
        <v>79.166666669999998</v>
      </c>
      <c r="N1901">
        <f>VLOOKUP(A1901,vlookup_table!$A:$G,2,FALSE)</f>
        <v>0</v>
      </c>
      <c r="O1901" t="str">
        <f>VLOOKUP(A1901,vlookup_table!$A:$G,3,FALSE)</f>
        <v>TX</v>
      </c>
      <c r="P1901">
        <f>VLOOKUP(A1901,vlookup_table!$A:$G,4,FALSE)</f>
        <v>6501</v>
      </c>
      <c r="Q1901" t="str">
        <f>VLOOKUP(A1901,vlookup_table!$A:$G,5,FALSE)</f>
        <v>S1</v>
      </c>
      <c r="R1901" t="str">
        <f>VLOOKUP(A1901,vlookup_table!$A:$G,6,FALSE)</f>
        <v>U</v>
      </c>
      <c r="S1901">
        <f>VLOOKUP(A1901,vlookup_table!$A:$G,7,FALSE)</f>
        <v>50</v>
      </c>
      <c r="T1901">
        <f t="shared" si="58"/>
        <v>31</v>
      </c>
      <c r="U1901" t="str">
        <f t="shared" si="59"/>
        <v>Suburbano</v>
      </c>
    </row>
    <row r="1902" spans="1:21" ht="16" x14ac:dyDescent="0.4">
      <c r="A1902" s="6">
        <v>115289</v>
      </c>
      <c r="B1902" s="6" t="s">
        <v>28</v>
      </c>
      <c r="C1902" s="6" t="s">
        <v>17</v>
      </c>
      <c r="D1902" s="6">
        <v>848</v>
      </c>
      <c r="E1902" s="6">
        <v>372</v>
      </c>
      <c r="F1902" s="6">
        <v>426</v>
      </c>
      <c r="G1902" s="6">
        <v>3</v>
      </c>
      <c r="H1902" s="6">
        <v>13972</v>
      </c>
      <c r="I1902" s="6">
        <v>1</v>
      </c>
      <c r="J1902" s="6">
        <v>72</v>
      </c>
      <c r="K1902" s="6">
        <v>386</v>
      </c>
      <c r="L1902" s="6">
        <v>404</v>
      </c>
      <c r="M1902" s="6">
        <v>10</v>
      </c>
      <c r="N1902">
        <f>VLOOKUP(A1902,vlookup_table!$A:$G,2,FALSE)</f>
        <v>0</v>
      </c>
      <c r="O1902" t="str">
        <f>VLOOKUP(A1902,vlookup_table!$A:$G,3,FALSE)</f>
        <v>OK</v>
      </c>
      <c r="P1902">
        <f>VLOOKUP(A1902,vlookup_table!$A:$G,4,FALSE)</f>
        <v>3801</v>
      </c>
      <c r="Q1902" t="str">
        <f>VLOOKUP(A1902,vlookup_table!$A:$G,5,FALSE)</f>
        <v>T3</v>
      </c>
      <c r="R1902" t="str">
        <f>VLOOKUP(A1902,vlookup_table!$A:$G,6,FALSE)</f>
        <v>F</v>
      </c>
      <c r="S1902">
        <f>VLOOKUP(A1902,vlookup_table!$A:$G,7,FALSE)</f>
        <v>25</v>
      </c>
      <c r="T1902">
        <f t="shared" si="58"/>
        <v>58</v>
      </c>
      <c r="U1902" t="str">
        <f t="shared" si="59"/>
        <v>Pueblo</v>
      </c>
    </row>
    <row r="1903" spans="1:21" ht="16" x14ac:dyDescent="0.4">
      <c r="A1903" s="6">
        <v>186185</v>
      </c>
      <c r="B1903" s="6" t="s">
        <v>45</v>
      </c>
      <c r="C1903" s="6" t="s">
        <v>14</v>
      </c>
      <c r="D1903" s="6">
        <v>985</v>
      </c>
      <c r="E1903" s="6">
        <v>478</v>
      </c>
      <c r="F1903" s="6">
        <v>591</v>
      </c>
      <c r="G1903" s="6">
        <v>3</v>
      </c>
      <c r="H1903" s="6">
        <v>20164</v>
      </c>
      <c r="I1903" s="6">
        <v>3</v>
      </c>
      <c r="J1903" s="6">
        <v>50</v>
      </c>
      <c r="K1903" s="6">
        <v>495</v>
      </c>
      <c r="L1903" s="6">
        <v>508</v>
      </c>
      <c r="M1903" s="6">
        <v>12.125</v>
      </c>
      <c r="N1903">
        <f>VLOOKUP(A1903,vlookup_table!$A:$G,2,FALSE)</f>
        <v>1</v>
      </c>
      <c r="O1903" t="str">
        <f>VLOOKUP(A1903,vlookup_table!$A:$G,3,FALSE)</f>
        <v>CO</v>
      </c>
      <c r="P1903">
        <f>VLOOKUP(A1903,vlookup_table!$A:$G,4,FALSE)</f>
        <v>2010</v>
      </c>
      <c r="Q1903" t="str">
        <f>VLOOKUP(A1903,vlookup_table!$A:$G,5,FALSE)</f>
        <v>S1</v>
      </c>
      <c r="R1903" t="str">
        <f>VLOOKUP(A1903,vlookup_table!$A:$G,6,FALSE)</f>
        <v>M</v>
      </c>
      <c r="S1903">
        <f>VLOOKUP(A1903,vlookup_table!$A:$G,7,FALSE)</f>
        <v>15</v>
      </c>
      <c r="T1903">
        <f t="shared" si="58"/>
        <v>76</v>
      </c>
      <c r="U1903" t="str">
        <f t="shared" si="59"/>
        <v>Suburbano</v>
      </c>
    </row>
    <row r="1904" spans="1:21" ht="16" x14ac:dyDescent="0.4">
      <c r="A1904" s="6">
        <v>74589</v>
      </c>
      <c r="B1904" s="6" t="s">
        <v>26</v>
      </c>
      <c r="C1904" s="6" t="s">
        <v>17</v>
      </c>
      <c r="D1904" s="6">
        <v>795</v>
      </c>
      <c r="E1904" s="6">
        <v>442</v>
      </c>
      <c r="F1904" s="6">
        <v>627</v>
      </c>
      <c r="G1904" s="6">
        <v>7</v>
      </c>
      <c r="H1904" s="6">
        <v>22204</v>
      </c>
      <c r="I1904" s="6">
        <v>8</v>
      </c>
      <c r="J1904" s="6">
        <v>71</v>
      </c>
      <c r="K1904" s="6">
        <v>475</v>
      </c>
      <c r="L1904" s="6">
        <v>557</v>
      </c>
      <c r="M1904" s="6">
        <v>9</v>
      </c>
      <c r="N1904">
        <f>VLOOKUP(A1904,vlookup_table!$A:$G,2,FALSE)</f>
        <v>0</v>
      </c>
      <c r="O1904" t="str">
        <f>VLOOKUP(A1904,vlookup_table!$A:$G,3,FALSE)</f>
        <v>MI</v>
      </c>
      <c r="P1904">
        <f>VLOOKUP(A1904,vlookup_table!$A:$G,4,FALSE)</f>
        <v>5401</v>
      </c>
      <c r="Q1904" t="str">
        <f>VLOOKUP(A1904,vlookup_table!$A:$G,5,FALSE)</f>
        <v>T1</v>
      </c>
      <c r="R1904" t="str">
        <f>VLOOKUP(A1904,vlookup_table!$A:$G,6,FALSE)</f>
        <v>F</v>
      </c>
      <c r="S1904">
        <f>VLOOKUP(A1904,vlookup_table!$A:$G,7,FALSE)</f>
        <v>12</v>
      </c>
      <c r="T1904">
        <f t="shared" si="58"/>
        <v>42</v>
      </c>
      <c r="U1904" t="str">
        <f t="shared" si="59"/>
        <v>Pueblo</v>
      </c>
    </row>
    <row r="1905" spans="1:21" ht="16" x14ac:dyDescent="0.4">
      <c r="A1905" s="6">
        <v>65558</v>
      </c>
      <c r="B1905" s="6" t="s">
        <v>26</v>
      </c>
      <c r="C1905" s="6" t="s">
        <v>17</v>
      </c>
      <c r="D1905" s="6">
        <v>556</v>
      </c>
      <c r="E1905" s="6">
        <v>317</v>
      </c>
      <c r="F1905" s="6">
        <v>346</v>
      </c>
      <c r="G1905" s="6">
        <v>0</v>
      </c>
      <c r="H1905" s="6">
        <v>11613</v>
      </c>
      <c r="I1905" s="6">
        <v>2</v>
      </c>
      <c r="J1905" s="6">
        <v>82</v>
      </c>
      <c r="K1905" s="6">
        <v>324</v>
      </c>
      <c r="L1905" s="6">
        <v>313</v>
      </c>
      <c r="M1905" s="6">
        <v>5.263157895</v>
      </c>
      <c r="N1905">
        <f>VLOOKUP(A1905,vlookup_table!$A:$G,2,FALSE)</f>
        <v>0</v>
      </c>
      <c r="O1905" t="str">
        <f>VLOOKUP(A1905,vlookup_table!$A:$G,3,FALSE)</f>
        <v>MI</v>
      </c>
      <c r="P1905">
        <f>VLOOKUP(A1905,vlookup_table!$A:$G,4,FALSE)</f>
        <v>5612</v>
      </c>
      <c r="Q1905" t="str">
        <f>VLOOKUP(A1905,vlookup_table!$A:$G,5,FALSE)</f>
        <v>U3</v>
      </c>
      <c r="R1905" t="str">
        <f>VLOOKUP(A1905,vlookup_table!$A:$G,6,FALSE)</f>
        <v>F</v>
      </c>
      <c r="S1905">
        <f>VLOOKUP(A1905,vlookup_table!$A:$G,7,FALSE)</f>
        <v>10</v>
      </c>
      <c r="T1905">
        <f t="shared" si="58"/>
        <v>40</v>
      </c>
      <c r="U1905" t="str">
        <f t="shared" si="59"/>
        <v>Urbano</v>
      </c>
    </row>
    <row r="1906" spans="1:21" ht="16" x14ac:dyDescent="0.4">
      <c r="A1906" s="6">
        <v>22696</v>
      </c>
      <c r="B1906" s="6" t="s">
        <v>43</v>
      </c>
      <c r="C1906" s="6" t="s">
        <v>17</v>
      </c>
      <c r="D1906" s="6">
        <v>630</v>
      </c>
      <c r="E1906" s="6">
        <v>279</v>
      </c>
      <c r="F1906" s="6">
        <v>371</v>
      </c>
      <c r="G1906" s="6">
        <v>2</v>
      </c>
      <c r="H1906" s="6">
        <v>12137</v>
      </c>
      <c r="I1906" s="6">
        <v>1</v>
      </c>
      <c r="J1906" s="6">
        <v>85</v>
      </c>
      <c r="K1906" s="6">
        <v>323</v>
      </c>
      <c r="L1906" s="6">
        <v>329</v>
      </c>
      <c r="M1906" s="6">
        <v>11.5</v>
      </c>
      <c r="N1906">
        <f>VLOOKUP(A1906,vlookup_table!$A:$G,2,FALSE)</f>
        <v>0</v>
      </c>
      <c r="O1906" t="str">
        <f>VLOOKUP(A1906,vlookup_table!$A:$G,3,FALSE)</f>
        <v>SC</v>
      </c>
      <c r="P1906">
        <f>VLOOKUP(A1906,vlookup_table!$A:$G,4,FALSE)</f>
        <v>6201</v>
      </c>
      <c r="Q1906" t="str">
        <f>VLOOKUP(A1906,vlookup_table!$A:$G,5,FALSE)</f>
        <v>R2</v>
      </c>
      <c r="R1906" t="str">
        <f>VLOOKUP(A1906,vlookup_table!$A:$G,6,FALSE)</f>
        <v>F</v>
      </c>
      <c r="S1906">
        <f>VLOOKUP(A1906,vlookup_table!$A:$G,7,FALSE)</f>
        <v>20</v>
      </c>
      <c r="T1906">
        <f t="shared" si="58"/>
        <v>34</v>
      </c>
      <c r="U1906" t="str">
        <f t="shared" si="59"/>
        <v>Rural</v>
      </c>
    </row>
    <row r="1907" spans="1:21" ht="16" x14ac:dyDescent="0.4">
      <c r="A1907" s="6">
        <v>387</v>
      </c>
      <c r="B1907" s="6" t="s">
        <v>30</v>
      </c>
      <c r="C1907" s="6" t="s">
        <v>17</v>
      </c>
      <c r="D1907" s="6">
        <v>789</v>
      </c>
      <c r="E1907" s="6">
        <v>413</v>
      </c>
      <c r="F1907" s="6">
        <v>447</v>
      </c>
      <c r="G1907" s="6">
        <v>0</v>
      </c>
      <c r="H1907" s="6">
        <v>14123</v>
      </c>
      <c r="I1907" s="6">
        <v>5</v>
      </c>
      <c r="J1907" s="6">
        <v>72</v>
      </c>
      <c r="K1907" s="6">
        <v>430</v>
      </c>
      <c r="L1907" s="6">
        <v>425</v>
      </c>
      <c r="M1907" s="6">
        <v>5.8333333329999997</v>
      </c>
      <c r="N1907">
        <f>VLOOKUP(A1907,vlookup_table!$A:$G,2,FALSE)</f>
        <v>2</v>
      </c>
      <c r="O1907" t="str">
        <f>VLOOKUP(A1907,vlookup_table!$A:$G,3,FALSE)</f>
        <v>IN</v>
      </c>
      <c r="P1907">
        <f>VLOOKUP(A1907,vlookup_table!$A:$G,4,FALSE)</f>
        <v>0</v>
      </c>
      <c r="Q1907" t="str">
        <f>VLOOKUP(A1907,vlookup_table!$A:$G,5,FALSE)</f>
        <v>T2</v>
      </c>
      <c r="R1907" t="str">
        <f>VLOOKUP(A1907,vlookup_table!$A:$G,6,FALSE)</f>
        <v>F</v>
      </c>
      <c r="S1907">
        <f>VLOOKUP(A1907,vlookup_table!$A:$G,7,FALSE)</f>
        <v>5</v>
      </c>
      <c r="T1907">
        <f t="shared" si="58"/>
        <v>96</v>
      </c>
      <c r="U1907" t="str">
        <f t="shared" si="59"/>
        <v>Pueblo</v>
      </c>
    </row>
    <row r="1908" spans="1:21" ht="16" x14ac:dyDescent="0.4">
      <c r="A1908" s="6">
        <v>98033</v>
      </c>
      <c r="B1908" s="6" t="s">
        <v>16</v>
      </c>
      <c r="C1908" s="6" t="s">
        <v>17</v>
      </c>
      <c r="D1908" s="6">
        <v>152</v>
      </c>
      <c r="E1908" s="6">
        <v>152</v>
      </c>
      <c r="F1908" s="6">
        <v>267</v>
      </c>
      <c r="G1908" s="6">
        <v>0</v>
      </c>
      <c r="H1908" s="6">
        <v>9395</v>
      </c>
      <c r="I1908" s="6">
        <v>0</v>
      </c>
      <c r="J1908" s="6">
        <v>80</v>
      </c>
      <c r="K1908" s="6">
        <v>200</v>
      </c>
      <c r="L1908" s="6">
        <v>204</v>
      </c>
      <c r="M1908" s="6">
        <v>14.66666667</v>
      </c>
      <c r="N1908">
        <f>VLOOKUP(A1908,vlookup_table!$A:$G,2,FALSE)</f>
        <v>2</v>
      </c>
      <c r="O1908" t="str">
        <f>VLOOKUP(A1908,vlookup_table!$A:$G,3,FALSE)</f>
        <v>IL</v>
      </c>
      <c r="P1908">
        <f>VLOOKUP(A1908,vlookup_table!$A:$G,4,FALSE)</f>
        <v>1912</v>
      </c>
      <c r="Q1908" t="str">
        <f>VLOOKUP(A1908,vlookup_table!$A:$G,5,FALSE)</f>
        <v>R3</v>
      </c>
      <c r="R1908" t="str">
        <f>VLOOKUP(A1908,vlookup_table!$A:$G,6,FALSE)</f>
        <v>F</v>
      </c>
      <c r="S1908">
        <f>VLOOKUP(A1908,vlookup_table!$A:$G,7,FALSE)</f>
        <v>20</v>
      </c>
      <c r="T1908">
        <f t="shared" si="58"/>
        <v>77</v>
      </c>
      <c r="U1908" t="str">
        <f t="shared" si="59"/>
        <v>Rural</v>
      </c>
    </row>
    <row r="1909" spans="1:21" ht="16" x14ac:dyDescent="0.4">
      <c r="A1909" s="6">
        <v>110308</v>
      </c>
      <c r="B1909" s="6" t="s">
        <v>46</v>
      </c>
      <c r="C1909" s="6" t="s">
        <v>17</v>
      </c>
      <c r="D1909" s="6">
        <v>1384</v>
      </c>
      <c r="E1909" s="6">
        <v>554</v>
      </c>
      <c r="F1909" s="6">
        <v>749</v>
      </c>
      <c r="G1909" s="6">
        <v>19</v>
      </c>
      <c r="H1909" s="6">
        <v>27245</v>
      </c>
      <c r="I1909" s="6">
        <v>2</v>
      </c>
      <c r="J1909" s="6">
        <v>53</v>
      </c>
      <c r="K1909" s="6">
        <v>643</v>
      </c>
      <c r="L1909" s="6">
        <v>667</v>
      </c>
      <c r="M1909" s="6">
        <v>8</v>
      </c>
      <c r="N1909">
        <f>VLOOKUP(A1909,vlookup_table!$A:$G,2,FALSE)</f>
        <v>0</v>
      </c>
      <c r="O1909" t="str">
        <f>VLOOKUP(A1909,vlookup_table!$A:$G,3,FALSE)</f>
        <v>LA</v>
      </c>
      <c r="P1909">
        <f>VLOOKUP(A1909,vlookup_table!$A:$G,4,FALSE)</f>
        <v>3701</v>
      </c>
      <c r="Q1909" t="str">
        <f>VLOOKUP(A1909,vlookup_table!$A:$G,5,FALSE)</f>
        <v>C1</v>
      </c>
      <c r="R1909" t="str">
        <f>VLOOKUP(A1909,vlookup_table!$A:$G,6,FALSE)</f>
        <v>F</v>
      </c>
      <c r="S1909">
        <f>VLOOKUP(A1909,vlookup_table!$A:$G,7,FALSE)</f>
        <v>15</v>
      </c>
      <c r="T1909">
        <f t="shared" si="58"/>
        <v>59</v>
      </c>
      <c r="U1909" t="str">
        <f t="shared" si="59"/>
        <v>Ciudad</v>
      </c>
    </row>
    <row r="1910" spans="1:21" ht="16" x14ac:dyDescent="0.4">
      <c r="A1910" s="6">
        <v>3496</v>
      </c>
      <c r="B1910" s="6" t="s">
        <v>20</v>
      </c>
      <c r="C1910" s="6" t="s">
        <v>14</v>
      </c>
      <c r="D1910" s="6">
        <v>688</v>
      </c>
      <c r="E1910" s="6">
        <v>562</v>
      </c>
      <c r="F1910" s="6">
        <v>596</v>
      </c>
      <c r="G1910" s="6">
        <v>0</v>
      </c>
      <c r="H1910" s="6">
        <v>18272</v>
      </c>
      <c r="I1910" s="6">
        <v>11</v>
      </c>
      <c r="J1910" s="6">
        <v>46</v>
      </c>
      <c r="K1910" s="6">
        <v>564</v>
      </c>
      <c r="L1910" s="6">
        <v>582</v>
      </c>
      <c r="M1910" s="6">
        <v>12</v>
      </c>
      <c r="N1910">
        <f>VLOOKUP(A1910,vlookup_table!$A:$G,2,FALSE)</f>
        <v>1</v>
      </c>
      <c r="O1910" t="str">
        <f>VLOOKUP(A1910,vlookup_table!$A:$G,3,FALSE)</f>
        <v>TX</v>
      </c>
      <c r="P1910">
        <f>VLOOKUP(A1910,vlookup_table!$A:$G,4,FALSE)</f>
        <v>6703</v>
      </c>
      <c r="Q1910" t="str">
        <f>VLOOKUP(A1910,vlookup_table!$A:$G,5,FALSE)</f>
        <v>C1</v>
      </c>
      <c r="R1910" t="str">
        <f>VLOOKUP(A1910,vlookup_table!$A:$G,6,FALSE)</f>
        <v>M</v>
      </c>
      <c r="S1910">
        <f>VLOOKUP(A1910,vlookup_table!$A:$G,7,FALSE)</f>
        <v>10</v>
      </c>
      <c r="T1910">
        <f t="shared" si="58"/>
        <v>29</v>
      </c>
      <c r="U1910" t="str">
        <f t="shared" si="59"/>
        <v>Ciudad</v>
      </c>
    </row>
    <row r="1911" spans="1:21" ht="16" x14ac:dyDescent="0.4">
      <c r="A1911" s="6">
        <v>138262</v>
      </c>
      <c r="B1911" s="6" t="s">
        <v>51</v>
      </c>
      <c r="C1911" s="6" t="s">
        <v>97</v>
      </c>
      <c r="D1911" s="6">
        <v>569</v>
      </c>
      <c r="E1911" s="6">
        <v>156</v>
      </c>
      <c r="F1911" s="6">
        <v>202</v>
      </c>
      <c r="G1911" s="6">
        <v>0</v>
      </c>
      <c r="H1911" s="6">
        <v>7914</v>
      </c>
      <c r="I1911" s="6">
        <v>9</v>
      </c>
      <c r="J1911" s="6">
        <v>38</v>
      </c>
      <c r="K1911" s="6">
        <v>158</v>
      </c>
      <c r="L1911" s="6">
        <v>187</v>
      </c>
      <c r="M1911" s="6">
        <v>5.1666666670000003</v>
      </c>
      <c r="N1911">
        <f>VLOOKUP(A1911,vlookup_table!$A:$G,2,FALSE)</f>
        <v>28</v>
      </c>
      <c r="O1911" t="str">
        <f>VLOOKUP(A1911,vlookup_table!$A:$G,3,FALSE)</f>
        <v>AZ</v>
      </c>
      <c r="P1911">
        <f>VLOOKUP(A1911,vlookup_table!$A:$G,4,FALSE)</f>
        <v>6201</v>
      </c>
      <c r="Q1911" t="str">
        <f>VLOOKUP(A1911,vlookup_table!$A:$G,5,FALSE)</f>
        <v>C2</v>
      </c>
      <c r="R1911" t="str">
        <f>VLOOKUP(A1911,vlookup_table!$A:$G,6,FALSE)</f>
        <v>F</v>
      </c>
      <c r="S1911">
        <f>VLOOKUP(A1911,vlookup_table!$A:$G,7,FALSE)</f>
        <v>5</v>
      </c>
      <c r="T1911">
        <f t="shared" si="58"/>
        <v>34</v>
      </c>
      <c r="U1911" t="str">
        <f t="shared" si="59"/>
        <v>Ciudad</v>
      </c>
    </row>
    <row r="1912" spans="1:21" ht="16" x14ac:dyDescent="0.4">
      <c r="A1912" s="6">
        <v>80437</v>
      </c>
      <c r="B1912" s="6" t="s">
        <v>32</v>
      </c>
      <c r="C1912" s="6" t="s">
        <v>14</v>
      </c>
      <c r="D1912" s="6">
        <v>491</v>
      </c>
      <c r="E1912" s="6">
        <v>227</v>
      </c>
      <c r="F1912" s="6">
        <v>358</v>
      </c>
      <c r="G1912" s="6">
        <v>0</v>
      </c>
      <c r="H1912" s="6">
        <v>14229</v>
      </c>
      <c r="I1912" s="6">
        <v>2</v>
      </c>
      <c r="J1912" s="6">
        <v>81</v>
      </c>
      <c r="K1912" s="6">
        <v>323</v>
      </c>
      <c r="L1912" s="6">
        <v>276</v>
      </c>
      <c r="M1912" s="6">
        <v>11.84615385</v>
      </c>
      <c r="N1912">
        <f>VLOOKUP(A1912,vlookup_table!$A:$G,2,FALSE)</f>
        <v>1</v>
      </c>
      <c r="O1912" t="str">
        <f>VLOOKUP(A1912,vlookup_table!$A:$G,3,FALSE)</f>
        <v>WI</v>
      </c>
      <c r="P1912">
        <f>VLOOKUP(A1912,vlookup_table!$A:$G,4,FALSE)</f>
        <v>6702</v>
      </c>
      <c r="Q1912" t="str">
        <f>VLOOKUP(A1912,vlookup_table!$A:$G,5,FALSE)</f>
        <v>C2</v>
      </c>
      <c r="R1912" t="str">
        <f>VLOOKUP(A1912,vlookup_table!$A:$G,6,FALSE)</f>
        <v>M</v>
      </c>
      <c r="S1912">
        <f>VLOOKUP(A1912,vlookup_table!$A:$G,7,FALSE)</f>
        <v>10</v>
      </c>
      <c r="T1912">
        <f t="shared" si="58"/>
        <v>29</v>
      </c>
      <c r="U1912" t="str">
        <f t="shared" si="59"/>
        <v>Ciudad</v>
      </c>
    </row>
    <row r="1913" spans="1:21" ht="16" x14ac:dyDescent="0.4">
      <c r="A1913" s="6">
        <v>186580</v>
      </c>
      <c r="B1913" s="6" t="s">
        <v>20</v>
      </c>
      <c r="C1913" s="6" t="s">
        <v>17</v>
      </c>
      <c r="D1913" s="6">
        <v>651</v>
      </c>
      <c r="E1913" s="6">
        <v>197</v>
      </c>
      <c r="F1913" s="6">
        <v>284</v>
      </c>
      <c r="G1913" s="6">
        <v>2</v>
      </c>
      <c r="H1913" s="6">
        <v>9858</v>
      </c>
      <c r="I1913" s="6">
        <v>1</v>
      </c>
      <c r="J1913" s="6">
        <v>70</v>
      </c>
      <c r="K1913" s="6">
        <v>250</v>
      </c>
      <c r="L1913" s="6">
        <v>252</v>
      </c>
      <c r="M1913" s="6">
        <v>8.2777777780000008</v>
      </c>
      <c r="N1913">
        <f>VLOOKUP(A1913,vlookup_table!$A:$G,2,FALSE)</f>
        <v>0</v>
      </c>
      <c r="O1913" t="str">
        <f>VLOOKUP(A1913,vlookup_table!$A:$G,3,FALSE)</f>
        <v>TX</v>
      </c>
      <c r="P1913">
        <f>VLOOKUP(A1913,vlookup_table!$A:$G,4,FALSE)</f>
        <v>3007</v>
      </c>
      <c r="Q1913" t="str">
        <f>VLOOKUP(A1913,vlookup_table!$A:$G,5,FALSE)</f>
        <v>T2</v>
      </c>
      <c r="R1913" t="str">
        <f>VLOOKUP(A1913,vlookup_table!$A:$G,6,FALSE)</f>
        <v>F</v>
      </c>
      <c r="S1913">
        <f>VLOOKUP(A1913,vlookup_table!$A:$G,7,FALSE)</f>
        <v>5</v>
      </c>
      <c r="T1913">
        <f t="shared" si="58"/>
        <v>66</v>
      </c>
      <c r="U1913" t="str">
        <f t="shared" si="59"/>
        <v>Pueblo</v>
      </c>
    </row>
    <row r="1914" spans="1:21" ht="16" x14ac:dyDescent="0.4">
      <c r="A1914" s="6">
        <v>8863</v>
      </c>
      <c r="B1914" s="6" t="s">
        <v>13</v>
      </c>
      <c r="C1914" s="6" t="s">
        <v>14</v>
      </c>
      <c r="D1914" s="6">
        <v>1307</v>
      </c>
      <c r="E1914" s="6">
        <v>310</v>
      </c>
      <c r="F1914" s="6">
        <v>450</v>
      </c>
      <c r="G1914" s="6">
        <v>17</v>
      </c>
      <c r="H1914" s="6">
        <v>23204</v>
      </c>
      <c r="I1914" s="6">
        <v>13</v>
      </c>
      <c r="J1914" s="6">
        <v>19</v>
      </c>
      <c r="K1914" s="6">
        <v>381</v>
      </c>
      <c r="L1914" s="6">
        <v>383</v>
      </c>
      <c r="M1914" s="6">
        <v>18</v>
      </c>
      <c r="N1914">
        <f>VLOOKUP(A1914,vlookup_table!$A:$G,2,FALSE)</f>
        <v>1</v>
      </c>
      <c r="O1914" t="str">
        <f>VLOOKUP(A1914,vlookup_table!$A:$G,3,FALSE)</f>
        <v>FL</v>
      </c>
      <c r="P1914">
        <f>VLOOKUP(A1914,vlookup_table!$A:$G,4,FALSE)</f>
        <v>5503</v>
      </c>
      <c r="Q1914" t="str">
        <f>VLOOKUP(A1914,vlookup_table!$A:$G,5,FALSE)</f>
        <v>U2</v>
      </c>
      <c r="R1914" t="str">
        <f>VLOOKUP(A1914,vlookup_table!$A:$G,6,FALSE)</f>
        <v>M</v>
      </c>
      <c r="S1914">
        <f>VLOOKUP(A1914,vlookup_table!$A:$G,7,FALSE)</f>
        <v>40</v>
      </c>
      <c r="T1914">
        <f t="shared" si="58"/>
        <v>41</v>
      </c>
      <c r="U1914" t="str">
        <f t="shared" si="59"/>
        <v>Urbano</v>
      </c>
    </row>
    <row r="1915" spans="1:21" ht="16" x14ac:dyDescent="0.4">
      <c r="A1915" s="6">
        <v>120734</v>
      </c>
      <c r="B1915" s="6" t="s">
        <v>20</v>
      </c>
      <c r="C1915" s="6" t="s">
        <v>17</v>
      </c>
      <c r="D1915" s="6">
        <v>241</v>
      </c>
      <c r="E1915" s="6">
        <v>164</v>
      </c>
      <c r="F1915" s="6">
        <v>290</v>
      </c>
      <c r="G1915" s="6">
        <v>0</v>
      </c>
      <c r="H1915" s="6">
        <v>9397</v>
      </c>
      <c r="I1915" s="6">
        <v>3</v>
      </c>
      <c r="J1915" s="6">
        <v>85</v>
      </c>
      <c r="K1915" s="6">
        <v>241</v>
      </c>
      <c r="L1915" s="6">
        <v>231</v>
      </c>
      <c r="M1915" s="6">
        <v>8.4666666670000001</v>
      </c>
      <c r="N1915">
        <f>VLOOKUP(A1915,vlookup_table!$A:$G,2,FALSE)</f>
        <v>0</v>
      </c>
      <c r="O1915" t="str">
        <f>VLOOKUP(A1915,vlookup_table!$A:$G,3,FALSE)</f>
        <v>TX</v>
      </c>
      <c r="P1915">
        <f>VLOOKUP(A1915,vlookup_table!$A:$G,4,FALSE)</f>
        <v>0</v>
      </c>
      <c r="Q1915" t="str">
        <f>VLOOKUP(A1915,vlookup_table!$A:$G,5,FALSE)</f>
        <v>R3</v>
      </c>
      <c r="R1915" t="str">
        <f>VLOOKUP(A1915,vlookup_table!$A:$G,6,FALSE)</f>
        <v>F</v>
      </c>
      <c r="S1915">
        <f>VLOOKUP(A1915,vlookup_table!$A:$G,7,FALSE)</f>
        <v>5</v>
      </c>
      <c r="T1915">
        <f t="shared" si="58"/>
        <v>96</v>
      </c>
      <c r="U1915" t="str">
        <f t="shared" si="59"/>
        <v>Rural</v>
      </c>
    </row>
    <row r="1916" spans="1:21" ht="16" x14ac:dyDescent="0.4">
      <c r="A1916" s="6">
        <v>149414</v>
      </c>
      <c r="B1916" s="6" t="s">
        <v>21</v>
      </c>
      <c r="C1916" s="6" t="s">
        <v>17</v>
      </c>
      <c r="D1916" s="6">
        <v>4240</v>
      </c>
      <c r="E1916" s="6">
        <v>714</v>
      </c>
      <c r="F1916" s="6">
        <v>919</v>
      </c>
      <c r="G1916" s="6">
        <v>95</v>
      </c>
      <c r="H1916" s="6">
        <v>49256</v>
      </c>
      <c r="I1916" s="6">
        <v>26</v>
      </c>
      <c r="J1916" s="6">
        <v>38</v>
      </c>
      <c r="K1916" s="6">
        <v>814</v>
      </c>
      <c r="L1916" s="6">
        <v>830</v>
      </c>
      <c r="M1916" s="6">
        <v>8.4666666670000001</v>
      </c>
      <c r="N1916">
        <f>VLOOKUP(A1916,vlookup_table!$A:$G,2,FALSE)</f>
        <v>0</v>
      </c>
      <c r="O1916" t="str">
        <f>VLOOKUP(A1916,vlookup_table!$A:$G,3,FALSE)</f>
        <v>CA</v>
      </c>
      <c r="P1916">
        <f>VLOOKUP(A1916,vlookup_table!$A:$G,4,FALSE)</f>
        <v>4606</v>
      </c>
      <c r="Q1916" t="str">
        <f>VLOOKUP(A1916,vlookup_table!$A:$G,5,FALSE)</f>
        <v>U2</v>
      </c>
      <c r="R1916" t="str">
        <f>VLOOKUP(A1916,vlookup_table!$A:$G,6,FALSE)</f>
        <v>F</v>
      </c>
      <c r="S1916">
        <f>VLOOKUP(A1916,vlookup_table!$A:$G,7,FALSE)</f>
        <v>9</v>
      </c>
      <c r="T1916">
        <f t="shared" si="58"/>
        <v>50</v>
      </c>
      <c r="U1916" t="str">
        <f t="shared" si="59"/>
        <v>Urbano</v>
      </c>
    </row>
    <row r="1917" spans="1:21" ht="16" x14ac:dyDescent="0.4">
      <c r="A1917" s="6">
        <v>79900</v>
      </c>
      <c r="B1917" s="6" t="s">
        <v>32</v>
      </c>
      <c r="C1917" s="6" t="s">
        <v>17</v>
      </c>
      <c r="D1917" s="6">
        <v>617</v>
      </c>
      <c r="E1917" s="6">
        <v>221</v>
      </c>
      <c r="F1917" s="6">
        <v>289</v>
      </c>
      <c r="G1917" s="6">
        <v>0</v>
      </c>
      <c r="H1917" s="6">
        <v>9366</v>
      </c>
      <c r="I1917" s="6">
        <v>2</v>
      </c>
      <c r="J1917" s="6">
        <v>75</v>
      </c>
      <c r="K1917" s="6">
        <v>247</v>
      </c>
      <c r="L1917" s="6">
        <v>249</v>
      </c>
      <c r="M1917" s="6">
        <v>24.222222219999999</v>
      </c>
      <c r="N1917">
        <f>VLOOKUP(A1917,vlookup_table!$A:$G,2,FALSE)</f>
        <v>0</v>
      </c>
      <c r="O1917" t="str">
        <f>VLOOKUP(A1917,vlookup_table!$A:$G,3,FALSE)</f>
        <v>WI</v>
      </c>
      <c r="P1917">
        <f>VLOOKUP(A1917,vlookup_table!$A:$G,4,FALSE)</f>
        <v>2905</v>
      </c>
      <c r="Q1917" t="str">
        <f>VLOOKUP(A1917,vlookup_table!$A:$G,5,FALSE)</f>
        <v>R2</v>
      </c>
      <c r="R1917" t="str">
        <f>VLOOKUP(A1917,vlookup_table!$A:$G,6,FALSE)</f>
        <v>F</v>
      </c>
      <c r="S1917">
        <f>VLOOKUP(A1917,vlookup_table!$A:$G,7,FALSE)</f>
        <v>50</v>
      </c>
      <c r="T1917">
        <f t="shared" si="58"/>
        <v>67</v>
      </c>
      <c r="U1917" t="str">
        <f t="shared" si="59"/>
        <v>Rural</v>
      </c>
    </row>
    <row r="1918" spans="1:21" ht="16" x14ac:dyDescent="0.4">
      <c r="A1918" s="6">
        <v>154158</v>
      </c>
      <c r="B1918" s="6" t="s">
        <v>21</v>
      </c>
      <c r="C1918" s="6" t="s">
        <v>17</v>
      </c>
      <c r="D1918" s="6">
        <v>838</v>
      </c>
      <c r="E1918" s="6">
        <v>163</v>
      </c>
      <c r="F1918" s="6">
        <v>241</v>
      </c>
      <c r="G1918" s="6">
        <v>5</v>
      </c>
      <c r="H1918" s="6">
        <v>6653</v>
      </c>
      <c r="I1918" s="6">
        <v>50</v>
      </c>
      <c r="J1918" s="6">
        <v>42</v>
      </c>
      <c r="K1918" s="6">
        <v>176</v>
      </c>
      <c r="L1918" s="6">
        <v>235</v>
      </c>
      <c r="M1918" s="6">
        <v>6.6666666670000003</v>
      </c>
      <c r="N1918">
        <f>VLOOKUP(A1918,vlookup_table!$A:$G,2,FALSE)</f>
        <v>0</v>
      </c>
      <c r="O1918" t="str">
        <f>VLOOKUP(A1918,vlookup_table!$A:$G,3,FALSE)</f>
        <v>CA</v>
      </c>
      <c r="P1918">
        <f>VLOOKUP(A1918,vlookup_table!$A:$G,4,FALSE)</f>
        <v>3601</v>
      </c>
      <c r="Q1918" t="str">
        <f>VLOOKUP(A1918,vlookup_table!$A:$G,5,FALSE)</f>
        <v>R2</v>
      </c>
      <c r="R1918" t="str">
        <f>VLOOKUP(A1918,vlookup_table!$A:$G,6,FALSE)</f>
        <v>F</v>
      </c>
      <c r="S1918">
        <f>VLOOKUP(A1918,vlookup_table!$A:$G,7,FALSE)</f>
        <v>7</v>
      </c>
      <c r="T1918">
        <f t="shared" si="58"/>
        <v>60</v>
      </c>
      <c r="U1918" t="str">
        <f t="shared" si="59"/>
        <v>Rural</v>
      </c>
    </row>
    <row r="1919" spans="1:21" ht="16" x14ac:dyDescent="0.4">
      <c r="A1919" s="6">
        <v>23146</v>
      </c>
      <c r="B1919" s="6" t="s">
        <v>43</v>
      </c>
      <c r="C1919" s="6" t="s">
        <v>14</v>
      </c>
      <c r="D1919" s="6">
        <v>688</v>
      </c>
      <c r="E1919" s="6">
        <v>402</v>
      </c>
      <c r="F1919" s="6">
        <v>475</v>
      </c>
      <c r="G1919" s="6">
        <v>0</v>
      </c>
      <c r="H1919" s="6">
        <v>16158</v>
      </c>
      <c r="I1919" s="6">
        <v>1</v>
      </c>
      <c r="J1919" s="6">
        <v>64</v>
      </c>
      <c r="K1919" s="6">
        <v>432</v>
      </c>
      <c r="L1919" s="6">
        <v>442</v>
      </c>
      <c r="M1919" s="6">
        <v>9.4</v>
      </c>
      <c r="N1919">
        <f>VLOOKUP(A1919,vlookup_table!$A:$G,2,FALSE)</f>
        <v>1</v>
      </c>
      <c r="O1919" t="str">
        <f>VLOOKUP(A1919,vlookup_table!$A:$G,3,FALSE)</f>
        <v>SC</v>
      </c>
      <c r="P1919">
        <f>VLOOKUP(A1919,vlookup_table!$A:$G,4,FALSE)</f>
        <v>2801</v>
      </c>
      <c r="Q1919" t="str">
        <f>VLOOKUP(A1919,vlookup_table!$A:$G,5,FALSE)</f>
        <v>C1</v>
      </c>
      <c r="R1919" t="str">
        <f>VLOOKUP(A1919,vlookup_table!$A:$G,6,FALSE)</f>
        <v>M</v>
      </c>
      <c r="S1919">
        <f>VLOOKUP(A1919,vlookup_table!$A:$G,7,FALSE)</f>
        <v>5</v>
      </c>
      <c r="T1919">
        <f t="shared" si="58"/>
        <v>68</v>
      </c>
      <c r="U1919" t="str">
        <f t="shared" si="59"/>
        <v>Ciudad</v>
      </c>
    </row>
    <row r="1920" spans="1:21" ht="16" x14ac:dyDescent="0.4">
      <c r="A1920" s="6">
        <v>1617</v>
      </c>
      <c r="B1920" s="6" t="s">
        <v>21</v>
      </c>
      <c r="C1920" s="6" t="s">
        <v>17</v>
      </c>
      <c r="D1920" s="6">
        <v>5970</v>
      </c>
      <c r="E1920" s="6">
        <v>1386</v>
      </c>
      <c r="F1920" s="6">
        <v>1273</v>
      </c>
      <c r="G1920" s="6">
        <v>98</v>
      </c>
      <c r="H1920" s="6">
        <v>62822</v>
      </c>
      <c r="I1920" s="6">
        <v>24</v>
      </c>
      <c r="J1920" s="6">
        <v>34</v>
      </c>
      <c r="K1920" s="6">
        <v>1496</v>
      </c>
      <c r="L1920" s="6">
        <v>1208</v>
      </c>
      <c r="M1920" s="6">
        <v>10.18181818</v>
      </c>
      <c r="N1920">
        <f>VLOOKUP(A1920,vlookup_table!$A:$G,2,FALSE)</f>
        <v>0</v>
      </c>
      <c r="O1920" t="str">
        <f>VLOOKUP(A1920,vlookup_table!$A:$G,3,FALSE)</f>
        <v>CA</v>
      </c>
      <c r="P1920">
        <f>VLOOKUP(A1920,vlookup_table!$A:$G,4,FALSE)</f>
        <v>2201</v>
      </c>
      <c r="Q1920" t="str">
        <f>VLOOKUP(A1920,vlookup_table!$A:$G,5,FALSE)</f>
        <v>S1</v>
      </c>
      <c r="R1920" t="str">
        <f>VLOOKUP(A1920,vlookup_table!$A:$G,6,FALSE)</f>
        <v>F</v>
      </c>
      <c r="S1920">
        <f>VLOOKUP(A1920,vlookup_table!$A:$G,7,FALSE)</f>
        <v>15</v>
      </c>
      <c r="T1920">
        <f t="shared" si="58"/>
        <v>74</v>
      </c>
      <c r="U1920" t="str">
        <f t="shared" si="59"/>
        <v>Suburbano</v>
      </c>
    </row>
    <row r="1921" spans="1:21" ht="16" x14ac:dyDescent="0.4">
      <c r="A1921" s="6">
        <v>68022</v>
      </c>
      <c r="B1921" s="6" t="s">
        <v>26</v>
      </c>
      <c r="C1921" s="6" t="s">
        <v>17</v>
      </c>
      <c r="D1921" s="6">
        <v>435</v>
      </c>
      <c r="E1921" s="6">
        <v>304</v>
      </c>
      <c r="F1921" s="6">
        <v>365</v>
      </c>
      <c r="G1921" s="6">
        <v>0</v>
      </c>
      <c r="H1921" s="6">
        <v>12197</v>
      </c>
      <c r="I1921" s="6">
        <v>0</v>
      </c>
      <c r="J1921" s="6">
        <v>62</v>
      </c>
      <c r="K1921" s="6">
        <v>322</v>
      </c>
      <c r="L1921" s="6">
        <v>325</v>
      </c>
      <c r="M1921" s="6">
        <v>10</v>
      </c>
      <c r="N1921">
        <f>VLOOKUP(A1921,vlookup_table!$A:$G,2,FALSE)</f>
        <v>0</v>
      </c>
      <c r="O1921" t="str">
        <f>VLOOKUP(A1921,vlookup_table!$A:$G,3,FALSE)</f>
        <v>MI</v>
      </c>
      <c r="P1921">
        <f>VLOOKUP(A1921,vlookup_table!$A:$G,4,FALSE)</f>
        <v>3104</v>
      </c>
      <c r="Q1921" t="str">
        <f>VLOOKUP(A1921,vlookup_table!$A:$G,5,FALSE)</f>
        <v>U2</v>
      </c>
      <c r="R1921" t="str">
        <f>VLOOKUP(A1921,vlookup_table!$A:$G,6,FALSE)</f>
        <v>F</v>
      </c>
      <c r="S1921">
        <f>VLOOKUP(A1921,vlookup_table!$A:$G,7,FALSE)</f>
        <v>15</v>
      </c>
      <c r="T1921">
        <f t="shared" si="58"/>
        <v>65</v>
      </c>
      <c r="U1921" t="str">
        <f t="shared" si="59"/>
        <v>Urbano</v>
      </c>
    </row>
    <row r="1922" spans="1:21" ht="16" x14ac:dyDescent="0.4">
      <c r="A1922" s="6">
        <v>44705</v>
      </c>
      <c r="B1922" s="6" t="s">
        <v>13</v>
      </c>
      <c r="C1922" s="6" t="s">
        <v>17</v>
      </c>
      <c r="D1922" s="6">
        <v>677</v>
      </c>
      <c r="E1922" s="6">
        <v>242</v>
      </c>
      <c r="F1922" s="6">
        <v>302</v>
      </c>
      <c r="G1922" s="6">
        <v>2</v>
      </c>
      <c r="H1922" s="6">
        <v>13521</v>
      </c>
      <c r="I1922" s="6">
        <v>7</v>
      </c>
      <c r="J1922" s="6">
        <v>8</v>
      </c>
      <c r="K1922" s="6">
        <v>261</v>
      </c>
      <c r="L1922" s="6">
        <v>282</v>
      </c>
      <c r="M1922" s="6">
        <v>9.8000000000000007</v>
      </c>
      <c r="N1922">
        <f>VLOOKUP(A1922,vlookup_table!$A:$G,2,FALSE)</f>
        <v>28</v>
      </c>
      <c r="O1922" t="str">
        <f>VLOOKUP(A1922,vlookup_table!$A:$G,3,FALSE)</f>
        <v>FL</v>
      </c>
      <c r="P1922">
        <f>VLOOKUP(A1922,vlookup_table!$A:$G,4,FALSE)</f>
        <v>2601</v>
      </c>
      <c r="Q1922" t="str">
        <f>VLOOKUP(A1922,vlookup_table!$A:$G,5,FALSE)</f>
        <v>C2</v>
      </c>
      <c r="R1922" t="str">
        <f>VLOOKUP(A1922,vlookup_table!$A:$G,6,FALSE)</f>
        <v>F</v>
      </c>
      <c r="S1922">
        <f>VLOOKUP(A1922,vlookup_table!$A:$G,7,FALSE)</f>
        <v>15</v>
      </c>
      <c r="T1922">
        <f t="shared" si="58"/>
        <v>70</v>
      </c>
      <c r="U1922" t="str">
        <f t="shared" si="59"/>
        <v>Ciudad</v>
      </c>
    </row>
    <row r="1923" spans="1:21" ht="16" x14ac:dyDescent="0.4">
      <c r="A1923" s="6">
        <v>49943</v>
      </c>
      <c r="B1923" s="6" t="s">
        <v>13</v>
      </c>
      <c r="C1923" s="6" t="s">
        <v>14</v>
      </c>
      <c r="D1923" s="6">
        <v>980</v>
      </c>
      <c r="E1923" s="6">
        <v>335</v>
      </c>
      <c r="F1923" s="6">
        <v>435</v>
      </c>
      <c r="G1923" s="6">
        <v>12</v>
      </c>
      <c r="H1923" s="6">
        <v>14977</v>
      </c>
      <c r="I1923" s="6">
        <v>8</v>
      </c>
      <c r="J1923" s="6">
        <v>13</v>
      </c>
      <c r="K1923" s="6">
        <v>387</v>
      </c>
      <c r="L1923" s="6">
        <v>381</v>
      </c>
      <c r="M1923" s="6">
        <v>11</v>
      </c>
      <c r="N1923">
        <f>VLOOKUP(A1923,vlookup_table!$A:$G,2,FALSE)</f>
        <v>1</v>
      </c>
      <c r="O1923" t="str">
        <f>VLOOKUP(A1923,vlookup_table!$A:$G,3,FALSE)</f>
        <v>FL</v>
      </c>
      <c r="P1923">
        <f>VLOOKUP(A1923,vlookup_table!$A:$G,4,FALSE)</f>
        <v>4001</v>
      </c>
      <c r="Q1923" t="str">
        <f>VLOOKUP(A1923,vlookup_table!$A:$G,5,FALSE)</f>
        <v>R2</v>
      </c>
      <c r="R1923" t="str">
        <f>VLOOKUP(A1923,vlookup_table!$A:$G,6,FALSE)</f>
        <v>M</v>
      </c>
      <c r="S1923">
        <f>VLOOKUP(A1923,vlookup_table!$A:$G,7,FALSE)</f>
        <v>10</v>
      </c>
      <c r="T1923">
        <f t="shared" ref="T1923:T1986" si="60">97-LEFT(P1923,2)-IF(RIGHT(P1923,2)&gt;6,1,0)</f>
        <v>56</v>
      </c>
      <c r="U1923" t="str">
        <f t="shared" ref="U1923:U1986" si="61">IF(LEFT(Q1923,1)="C","Ciudad",IF(LEFT(Q1923,1)="T","Pueblo",IF(LEFT(Q1923,1)="R","Rural",IF(LEFT(Q1923,1)="S","Suburbano",IF(LEFT(Q1923,1)="U","Urbano","")))))</f>
        <v>Rural</v>
      </c>
    </row>
    <row r="1924" spans="1:21" ht="16" x14ac:dyDescent="0.4">
      <c r="A1924" s="6">
        <v>24152</v>
      </c>
      <c r="B1924" s="6" t="s">
        <v>43</v>
      </c>
      <c r="C1924" s="6" t="s">
        <v>14</v>
      </c>
      <c r="D1924" s="6">
        <v>788</v>
      </c>
      <c r="E1924" s="6">
        <v>225</v>
      </c>
      <c r="F1924" s="6">
        <v>343</v>
      </c>
      <c r="G1924" s="6">
        <v>4</v>
      </c>
      <c r="H1924" s="6">
        <v>12754</v>
      </c>
      <c r="I1924" s="6">
        <v>2</v>
      </c>
      <c r="J1924" s="6">
        <v>47</v>
      </c>
      <c r="K1924" s="6">
        <v>275</v>
      </c>
      <c r="L1924" s="6">
        <v>299</v>
      </c>
      <c r="M1924" s="6">
        <v>6.7894736839999998</v>
      </c>
      <c r="N1924">
        <f>VLOOKUP(A1924,vlookup_table!$A:$G,2,FALSE)</f>
        <v>1</v>
      </c>
      <c r="O1924" t="str">
        <f>VLOOKUP(A1924,vlookup_table!$A:$G,3,FALSE)</f>
        <v>SC</v>
      </c>
      <c r="P1924">
        <f>VLOOKUP(A1924,vlookup_table!$A:$G,4,FALSE)</f>
        <v>2406</v>
      </c>
      <c r="Q1924" t="str">
        <f>VLOOKUP(A1924,vlookup_table!$A:$G,5,FALSE)</f>
        <v>T2</v>
      </c>
      <c r="R1924" t="str">
        <f>VLOOKUP(A1924,vlookup_table!$A:$G,6,FALSE)</f>
        <v>M</v>
      </c>
      <c r="S1924">
        <f>VLOOKUP(A1924,vlookup_table!$A:$G,7,FALSE)</f>
        <v>8</v>
      </c>
      <c r="T1924">
        <f t="shared" si="60"/>
        <v>72</v>
      </c>
      <c r="U1924" t="str">
        <f t="shared" si="61"/>
        <v>Pueblo</v>
      </c>
    </row>
    <row r="1925" spans="1:21" ht="16" x14ac:dyDescent="0.4">
      <c r="A1925" s="6">
        <v>136645</v>
      </c>
      <c r="B1925" s="6" t="s">
        <v>51</v>
      </c>
      <c r="C1925" s="6" t="s">
        <v>41</v>
      </c>
      <c r="D1925" s="6">
        <v>950</v>
      </c>
      <c r="E1925" s="6">
        <v>199</v>
      </c>
      <c r="F1925" s="6">
        <v>433</v>
      </c>
      <c r="G1925" s="6">
        <v>17</v>
      </c>
      <c r="H1925" s="6">
        <v>21071</v>
      </c>
      <c r="I1925" s="6">
        <v>33</v>
      </c>
      <c r="J1925" s="6">
        <v>11</v>
      </c>
      <c r="K1925" s="6">
        <v>371</v>
      </c>
      <c r="L1925" s="6">
        <v>361</v>
      </c>
      <c r="M1925" s="6">
        <v>9</v>
      </c>
      <c r="N1925">
        <f>VLOOKUP(A1925,vlookup_table!$A:$G,2,FALSE)</f>
        <v>1002</v>
      </c>
      <c r="O1925" t="str">
        <f>VLOOKUP(A1925,vlookup_table!$A:$G,3,FALSE)</f>
        <v>AZ</v>
      </c>
      <c r="P1925">
        <f>VLOOKUP(A1925,vlookup_table!$A:$G,4,FALSE)</f>
        <v>3801</v>
      </c>
      <c r="Q1925" t="str">
        <f>VLOOKUP(A1925,vlookup_table!$A:$G,5,FALSE)</f>
        <v>S3</v>
      </c>
      <c r="R1925" t="str">
        <f>VLOOKUP(A1925,vlookup_table!$A:$G,6,FALSE)</f>
        <v>J</v>
      </c>
      <c r="S1925">
        <f>VLOOKUP(A1925,vlookup_table!$A:$G,7,FALSE)</f>
        <v>10</v>
      </c>
      <c r="T1925">
        <f t="shared" si="60"/>
        <v>58</v>
      </c>
      <c r="U1925" t="str">
        <f t="shared" si="61"/>
        <v>Suburbano</v>
      </c>
    </row>
    <row r="1926" spans="1:21" ht="16" x14ac:dyDescent="0.4">
      <c r="A1926" s="6">
        <v>58597</v>
      </c>
      <c r="B1926" s="6" t="s">
        <v>53</v>
      </c>
      <c r="C1926" s="6" t="s">
        <v>14</v>
      </c>
      <c r="D1926" s="6">
        <v>295</v>
      </c>
      <c r="E1926" s="6">
        <v>155</v>
      </c>
      <c r="F1926" s="6">
        <v>223</v>
      </c>
      <c r="G1926" s="6">
        <v>0</v>
      </c>
      <c r="H1926" s="6">
        <v>8290</v>
      </c>
      <c r="I1926" s="6">
        <v>1</v>
      </c>
      <c r="J1926" s="6">
        <v>81</v>
      </c>
      <c r="K1926" s="6">
        <v>161</v>
      </c>
      <c r="L1926" s="6">
        <v>199</v>
      </c>
      <c r="M1926" s="6">
        <v>25.11111111</v>
      </c>
      <c r="N1926">
        <f>VLOOKUP(A1926,vlookup_table!$A:$G,2,FALSE)</f>
        <v>1</v>
      </c>
      <c r="O1926" t="str">
        <f>VLOOKUP(A1926,vlookup_table!$A:$G,3,FALSE)</f>
        <v>KY</v>
      </c>
      <c r="P1926">
        <f>VLOOKUP(A1926,vlookup_table!$A:$G,4,FALSE)</f>
        <v>1707</v>
      </c>
      <c r="Q1926" t="str">
        <f>VLOOKUP(A1926,vlookup_table!$A:$G,5,FALSE)</f>
        <v>T3</v>
      </c>
      <c r="R1926" t="str">
        <f>VLOOKUP(A1926,vlookup_table!$A:$G,6,FALSE)</f>
        <v>M</v>
      </c>
      <c r="S1926">
        <f>VLOOKUP(A1926,vlookup_table!$A:$G,7,FALSE)</f>
        <v>50</v>
      </c>
      <c r="T1926">
        <f t="shared" si="60"/>
        <v>79</v>
      </c>
      <c r="U1926" t="str">
        <f t="shared" si="61"/>
        <v>Pueblo</v>
      </c>
    </row>
    <row r="1927" spans="1:21" ht="16" x14ac:dyDescent="0.4">
      <c r="A1927" s="6">
        <v>165628</v>
      </c>
      <c r="B1927" s="6" t="s">
        <v>21</v>
      </c>
      <c r="C1927" s="6" t="s">
        <v>14</v>
      </c>
      <c r="D1927" s="6">
        <v>1831</v>
      </c>
      <c r="E1927" s="6">
        <v>280</v>
      </c>
      <c r="F1927" s="6">
        <v>380</v>
      </c>
      <c r="G1927" s="6">
        <v>31</v>
      </c>
      <c r="H1927" s="6">
        <v>13119</v>
      </c>
      <c r="I1927" s="6">
        <v>22</v>
      </c>
      <c r="J1927" s="6">
        <v>41</v>
      </c>
      <c r="K1927" s="6">
        <v>324</v>
      </c>
      <c r="L1927" s="6">
        <v>313</v>
      </c>
      <c r="M1927" s="6">
        <v>5.1666666670000003</v>
      </c>
      <c r="N1927">
        <f>VLOOKUP(A1927,vlookup_table!$A:$G,2,FALSE)</f>
        <v>1</v>
      </c>
      <c r="O1927" t="str">
        <f>VLOOKUP(A1927,vlookup_table!$A:$G,3,FALSE)</f>
        <v>CA</v>
      </c>
      <c r="P1927">
        <f>VLOOKUP(A1927,vlookup_table!$A:$G,4,FALSE)</f>
        <v>2601</v>
      </c>
      <c r="Q1927" t="str">
        <f>VLOOKUP(A1927,vlookup_table!$A:$G,5,FALSE)</f>
        <v>U2</v>
      </c>
      <c r="R1927" t="str">
        <f>VLOOKUP(A1927,vlookup_table!$A:$G,6,FALSE)</f>
        <v>M</v>
      </c>
      <c r="S1927">
        <f>VLOOKUP(A1927,vlookup_table!$A:$G,7,FALSE)</f>
        <v>5</v>
      </c>
      <c r="T1927">
        <f t="shared" si="60"/>
        <v>70</v>
      </c>
      <c r="U1927" t="str">
        <f t="shared" si="61"/>
        <v>Urbano</v>
      </c>
    </row>
    <row r="1928" spans="1:21" ht="16" x14ac:dyDescent="0.4">
      <c r="A1928" s="6">
        <v>45201</v>
      </c>
      <c r="B1928" s="6" t="s">
        <v>13</v>
      </c>
      <c r="C1928" s="6" t="s">
        <v>14</v>
      </c>
      <c r="D1928" s="6">
        <v>817</v>
      </c>
      <c r="E1928" s="6">
        <v>282</v>
      </c>
      <c r="F1928" s="6">
        <v>473</v>
      </c>
      <c r="G1928" s="6">
        <v>13</v>
      </c>
      <c r="H1928" s="6">
        <v>36395</v>
      </c>
      <c r="I1928" s="6">
        <v>6</v>
      </c>
      <c r="J1928" s="6">
        <v>9</v>
      </c>
      <c r="K1928" s="6">
        <v>288</v>
      </c>
      <c r="L1928" s="6">
        <v>413</v>
      </c>
      <c r="M1928" s="6">
        <v>7.6666666670000003</v>
      </c>
      <c r="N1928">
        <f>VLOOKUP(A1928,vlookup_table!$A:$G,2,FALSE)</f>
        <v>1</v>
      </c>
      <c r="O1928" t="str">
        <f>VLOOKUP(A1928,vlookup_table!$A:$G,3,FALSE)</f>
        <v>FL</v>
      </c>
      <c r="P1928">
        <f>VLOOKUP(A1928,vlookup_table!$A:$G,4,FALSE)</f>
        <v>0</v>
      </c>
      <c r="Q1928" t="str">
        <f>VLOOKUP(A1928,vlookup_table!$A:$G,5,FALSE)</f>
        <v>U2</v>
      </c>
      <c r="R1928" t="str">
        <f>VLOOKUP(A1928,vlookup_table!$A:$G,6,FALSE)</f>
        <v>M</v>
      </c>
      <c r="S1928">
        <f>VLOOKUP(A1928,vlookup_table!$A:$G,7,FALSE)</f>
        <v>11</v>
      </c>
      <c r="T1928">
        <f t="shared" si="60"/>
        <v>96</v>
      </c>
      <c r="U1928" t="str">
        <f t="shared" si="61"/>
        <v>Urbano</v>
      </c>
    </row>
    <row r="1929" spans="1:21" ht="16" x14ac:dyDescent="0.4">
      <c r="A1929" s="6">
        <v>34735</v>
      </c>
      <c r="B1929" s="6" t="s">
        <v>13</v>
      </c>
      <c r="C1929" s="6" t="s">
        <v>17</v>
      </c>
      <c r="D1929" s="6">
        <v>838</v>
      </c>
      <c r="E1929" s="6">
        <v>354</v>
      </c>
      <c r="F1929" s="6">
        <v>437</v>
      </c>
      <c r="G1929" s="6">
        <v>1</v>
      </c>
      <c r="H1929" s="6">
        <v>17115</v>
      </c>
      <c r="I1929" s="6">
        <v>8</v>
      </c>
      <c r="J1929" s="6">
        <v>22</v>
      </c>
      <c r="K1929" s="6">
        <v>374</v>
      </c>
      <c r="L1929" s="6">
        <v>402</v>
      </c>
      <c r="M1929" s="6">
        <v>15</v>
      </c>
      <c r="N1929">
        <f>VLOOKUP(A1929,vlookup_table!$A:$G,2,FALSE)</f>
        <v>0</v>
      </c>
      <c r="O1929" t="str">
        <f>VLOOKUP(A1929,vlookup_table!$A:$G,3,FALSE)</f>
        <v>FL</v>
      </c>
      <c r="P1929">
        <f>VLOOKUP(A1929,vlookup_table!$A:$G,4,FALSE)</f>
        <v>3601</v>
      </c>
      <c r="Q1929" t="str">
        <f>VLOOKUP(A1929,vlookup_table!$A:$G,5,FALSE)</f>
        <v>S3</v>
      </c>
      <c r="R1929" t="str">
        <f>VLOOKUP(A1929,vlookup_table!$A:$G,6,FALSE)</f>
        <v>F</v>
      </c>
      <c r="S1929">
        <f>VLOOKUP(A1929,vlookup_table!$A:$G,7,FALSE)</f>
        <v>20</v>
      </c>
      <c r="T1929">
        <f t="shared" si="60"/>
        <v>60</v>
      </c>
      <c r="U1929" t="str">
        <f t="shared" si="61"/>
        <v>Suburbano</v>
      </c>
    </row>
    <row r="1930" spans="1:21" ht="16" x14ac:dyDescent="0.4">
      <c r="A1930" s="6">
        <v>6845</v>
      </c>
      <c r="B1930" s="6" t="s">
        <v>38</v>
      </c>
      <c r="C1930" s="6" t="s">
        <v>17</v>
      </c>
      <c r="D1930" s="6">
        <v>551</v>
      </c>
      <c r="E1930" s="6">
        <v>232</v>
      </c>
      <c r="F1930" s="6">
        <v>310</v>
      </c>
      <c r="G1930" s="6">
        <v>0</v>
      </c>
      <c r="H1930" s="6">
        <v>11759</v>
      </c>
      <c r="I1930" s="6">
        <v>1</v>
      </c>
      <c r="J1930" s="6">
        <v>56</v>
      </c>
      <c r="K1930" s="6">
        <v>297</v>
      </c>
      <c r="L1930" s="6">
        <v>252</v>
      </c>
      <c r="M1930" s="6">
        <v>16.866666670000001</v>
      </c>
      <c r="N1930">
        <f>VLOOKUP(A1930,vlookup_table!$A:$G,2,FALSE)</f>
        <v>0</v>
      </c>
      <c r="O1930" t="str">
        <f>VLOOKUP(A1930,vlookup_table!$A:$G,3,FALSE)</f>
        <v>ID</v>
      </c>
      <c r="P1930">
        <f>VLOOKUP(A1930,vlookup_table!$A:$G,4,FALSE)</f>
        <v>2004</v>
      </c>
      <c r="Q1930" t="str">
        <f>VLOOKUP(A1930,vlookup_table!$A:$G,5,FALSE)</f>
        <v>T2</v>
      </c>
      <c r="R1930" t="str">
        <f>VLOOKUP(A1930,vlookup_table!$A:$G,6,FALSE)</f>
        <v>F</v>
      </c>
      <c r="S1930">
        <f>VLOOKUP(A1930,vlookup_table!$A:$G,7,FALSE)</f>
        <v>20</v>
      </c>
      <c r="T1930">
        <f t="shared" si="60"/>
        <v>76</v>
      </c>
      <c r="U1930" t="str">
        <f t="shared" si="61"/>
        <v>Pueblo</v>
      </c>
    </row>
    <row r="1931" spans="1:21" ht="16" x14ac:dyDescent="0.4">
      <c r="A1931" s="6">
        <v>181799</v>
      </c>
      <c r="B1931" s="6" t="s">
        <v>37</v>
      </c>
      <c r="C1931" s="6" t="s">
        <v>14</v>
      </c>
      <c r="D1931" s="6">
        <v>2049</v>
      </c>
      <c r="E1931" s="6">
        <v>442</v>
      </c>
      <c r="F1931" s="6">
        <v>626</v>
      </c>
      <c r="G1931" s="6">
        <v>51</v>
      </c>
      <c r="H1931" s="6">
        <v>24413</v>
      </c>
      <c r="I1931" s="6">
        <v>5</v>
      </c>
      <c r="J1931" s="6">
        <v>43</v>
      </c>
      <c r="K1931" s="6">
        <v>448</v>
      </c>
      <c r="L1931" s="6">
        <v>573</v>
      </c>
      <c r="M1931" s="6">
        <v>25.4</v>
      </c>
      <c r="N1931">
        <f>VLOOKUP(A1931,vlookup_table!$A:$G,2,FALSE)</f>
        <v>0</v>
      </c>
      <c r="O1931" t="str">
        <f>VLOOKUP(A1931,vlookup_table!$A:$G,3,FALSE)</f>
        <v>WA</v>
      </c>
      <c r="P1931">
        <f>VLOOKUP(A1931,vlookup_table!$A:$G,4,FALSE)</f>
        <v>0</v>
      </c>
      <c r="Q1931" t="str">
        <f>VLOOKUP(A1931,vlookup_table!$A:$G,5,FALSE)</f>
        <v>C1</v>
      </c>
      <c r="R1931" t="str">
        <f>VLOOKUP(A1931,vlookup_table!$A:$G,6,FALSE)</f>
        <v>M</v>
      </c>
      <c r="S1931">
        <f>VLOOKUP(A1931,vlookup_table!$A:$G,7,FALSE)</f>
        <v>35</v>
      </c>
      <c r="T1931">
        <f t="shared" si="60"/>
        <v>96</v>
      </c>
      <c r="U1931" t="str">
        <f t="shared" si="61"/>
        <v>Ciudad</v>
      </c>
    </row>
    <row r="1932" spans="1:21" ht="16" x14ac:dyDescent="0.4">
      <c r="A1932" s="6">
        <v>88153</v>
      </c>
      <c r="B1932" s="6" t="s">
        <v>16</v>
      </c>
      <c r="C1932" s="6" t="s">
        <v>17</v>
      </c>
      <c r="D1932" s="6">
        <v>1380</v>
      </c>
      <c r="E1932" s="6">
        <v>385</v>
      </c>
      <c r="F1932" s="6">
        <v>485</v>
      </c>
      <c r="G1932" s="6">
        <v>11</v>
      </c>
      <c r="H1932" s="6">
        <v>16768</v>
      </c>
      <c r="I1932" s="6">
        <v>17</v>
      </c>
      <c r="J1932" s="6">
        <v>73</v>
      </c>
      <c r="K1932" s="6">
        <v>449</v>
      </c>
      <c r="L1932" s="6">
        <v>417</v>
      </c>
      <c r="M1932" s="6">
        <v>8.0625</v>
      </c>
      <c r="N1932">
        <f>VLOOKUP(A1932,vlookup_table!$A:$G,2,FALSE)</f>
        <v>2</v>
      </c>
      <c r="O1932" t="str">
        <f>VLOOKUP(A1932,vlookup_table!$A:$G,3,FALSE)</f>
        <v>IL</v>
      </c>
      <c r="P1932">
        <f>VLOOKUP(A1932,vlookup_table!$A:$G,4,FALSE)</f>
        <v>4801</v>
      </c>
      <c r="Q1932" t="str">
        <f>VLOOKUP(A1932,vlookup_table!$A:$G,5,FALSE)</f>
        <v>S2</v>
      </c>
      <c r="R1932" t="str">
        <f>VLOOKUP(A1932,vlookup_table!$A:$G,6,FALSE)</f>
        <v>F</v>
      </c>
      <c r="S1932">
        <f>VLOOKUP(A1932,vlookup_table!$A:$G,7,FALSE)</f>
        <v>13</v>
      </c>
      <c r="T1932">
        <f t="shared" si="60"/>
        <v>48</v>
      </c>
      <c r="U1932" t="str">
        <f t="shared" si="61"/>
        <v>Suburbano</v>
      </c>
    </row>
    <row r="1933" spans="1:21" ht="16" x14ac:dyDescent="0.4">
      <c r="A1933" s="6">
        <v>92514</v>
      </c>
      <c r="B1933" s="6" t="s">
        <v>16</v>
      </c>
      <c r="C1933" s="6" t="s">
        <v>17</v>
      </c>
      <c r="D1933" s="6">
        <v>1499</v>
      </c>
      <c r="E1933" s="6">
        <v>408</v>
      </c>
      <c r="F1933" s="6">
        <v>479</v>
      </c>
      <c r="G1933" s="6">
        <v>32</v>
      </c>
      <c r="H1933" s="6">
        <v>15991</v>
      </c>
      <c r="I1933" s="6">
        <v>2</v>
      </c>
      <c r="J1933" s="6">
        <v>71</v>
      </c>
      <c r="K1933" s="6">
        <v>419</v>
      </c>
      <c r="L1933" s="6">
        <v>444</v>
      </c>
      <c r="M1933" s="6">
        <v>9.1999999999999993</v>
      </c>
      <c r="N1933">
        <f>VLOOKUP(A1933,vlookup_table!$A:$G,2,FALSE)</f>
        <v>0</v>
      </c>
      <c r="O1933" t="str">
        <f>VLOOKUP(A1933,vlookup_table!$A:$G,3,FALSE)</f>
        <v>IL</v>
      </c>
      <c r="P1933">
        <f>VLOOKUP(A1933,vlookup_table!$A:$G,4,FALSE)</f>
        <v>6901</v>
      </c>
      <c r="Q1933" t="str">
        <f>VLOOKUP(A1933,vlookup_table!$A:$G,5,FALSE)</f>
        <v>S1</v>
      </c>
      <c r="R1933" t="str">
        <f>VLOOKUP(A1933,vlookup_table!$A:$G,6,FALSE)</f>
        <v>F</v>
      </c>
      <c r="S1933">
        <f>VLOOKUP(A1933,vlookup_table!$A:$G,7,FALSE)</f>
        <v>15</v>
      </c>
      <c r="T1933">
        <f t="shared" si="60"/>
        <v>27</v>
      </c>
      <c r="U1933" t="str">
        <f t="shared" si="61"/>
        <v>Suburbano</v>
      </c>
    </row>
    <row r="1934" spans="1:21" ht="16" x14ac:dyDescent="0.4">
      <c r="A1934" s="6">
        <v>183954</v>
      </c>
      <c r="B1934" s="6" t="s">
        <v>37</v>
      </c>
      <c r="C1934" s="6" t="s">
        <v>14</v>
      </c>
      <c r="D1934" s="6">
        <v>507</v>
      </c>
      <c r="E1934" s="6">
        <v>243</v>
      </c>
      <c r="F1934" s="6">
        <v>326</v>
      </c>
      <c r="G1934" s="6">
        <v>0</v>
      </c>
      <c r="H1934" s="6">
        <v>10337</v>
      </c>
      <c r="I1934" s="6">
        <v>1</v>
      </c>
      <c r="J1934" s="6">
        <v>59</v>
      </c>
      <c r="K1934" s="6">
        <v>335</v>
      </c>
      <c r="L1934" s="6">
        <v>265</v>
      </c>
      <c r="M1934" s="6">
        <v>11.66666667</v>
      </c>
      <c r="N1934">
        <f>VLOOKUP(A1934,vlookup_table!$A:$G,2,FALSE)</f>
        <v>0</v>
      </c>
      <c r="O1934" t="str">
        <f>VLOOKUP(A1934,vlookup_table!$A:$G,3,FALSE)</f>
        <v>WA</v>
      </c>
      <c r="P1934">
        <f>VLOOKUP(A1934,vlookup_table!$A:$G,4,FALSE)</f>
        <v>2201</v>
      </c>
      <c r="Q1934" t="str">
        <f>VLOOKUP(A1934,vlookup_table!$A:$G,5,FALSE)</f>
        <v>C3</v>
      </c>
      <c r="R1934" t="str">
        <f>VLOOKUP(A1934,vlookup_table!$A:$G,6,FALSE)</f>
        <v>M</v>
      </c>
      <c r="S1934">
        <f>VLOOKUP(A1934,vlookup_table!$A:$G,7,FALSE)</f>
        <v>10</v>
      </c>
      <c r="T1934">
        <f t="shared" si="60"/>
        <v>74</v>
      </c>
      <c r="U1934" t="str">
        <f t="shared" si="61"/>
        <v>Ciudad</v>
      </c>
    </row>
    <row r="1935" spans="1:21" ht="16" x14ac:dyDescent="0.4">
      <c r="A1935" s="6">
        <v>141134</v>
      </c>
      <c r="B1935" s="6" t="s">
        <v>23</v>
      </c>
      <c r="C1935" s="6" t="s">
        <v>14</v>
      </c>
      <c r="D1935" s="6">
        <v>603</v>
      </c>
      <c r="E1935" s="6">
        <v>199</v>
      </c>
      <c r="F1935" s="6">
        <v>280</v>
      </c>
      <c r="G1935" s="6">
        <v>1</v>
      </c>
      <c r="H1935" s="6">
        <v>12768</v>
      </c>
      <c r="I1935" s="6">
        <v>9</v>
      </c>
      <c r="J1935" s="6">
        <v>9</v>
      </c>
      <c r="K1935" s="6">
        <v>261</v>
      </c>
      <c r="L1935" s="6">
        <v>233</v>
      </c>
      <c r="M1935" s="6">
        <v>6.3333333329999997</v>
      </c>
      <c r="N1935">
        <f>VLOOKUP(A1935,vlookup_table!$A:$G,2,FALSE)</f>
        <v>1</v>
      </c>
      <c r="O1935" t="str">
        <f>VLOOKUP(A1935,vlookup_table!$A:$G,3,FALSE)</f>
        <v>NV</v>
      </c>
      <c r="P1935">
        <f>VLOOKUP(A1935,vlookup_table!$A:$G,4,FALSE)</f>
        <v>2601</v>
      </c>
      <c r="Q1935" t="str">
        <f>VLOOKUP(A1935,vlookup_table!$A:$G,5,FALSE)</f>
        <v>U4</v>
      </c>
      <c r="R1935" t="str">
        <f>VLOOKUP(A1935,vlookup_table!$A:$G,6,FALSE)</f>
        <v>M</v>
      </c>
      <c r="S1935">
        <f>VLOOKUP(A1935,vlookup_table!$A:$G,7,FALSE)</f>
        <v>9</v>
      </c>
      <c r="T1935">
        <f t="shared" si="60"/>
        <v>70</v>
      </c>
      <c r="U1935" t="str">
        <f t="shared" si="61"/>
        <v>Urbano</v>
      </c>
    </row>
    <row r="1936" spans="1:21" ht="16" x14ac:dyDescent="0.4">
      <c r="A1936" s="6">
        <v>66532</v>
      </c>
      <c r="B1936" s="6" t="s">
        <v>26</v>
      </c>
      <c r="C1936" s="6" t="s">
        <v>14</v>
      </c>
      <c r="D1936" s="6">
        <v>407</v>
      </c>
      <c r="E1936" s="6">
        <v>318</v>
      </c>
      <c r="F1936" s="6">
        <v>399</v>
      </c>
      <c r="G1936" s="6">
        <v>0</v>
      </c>
      <c r="H1936" s="6">
        <v>12183</v>
      </c>
      <c r="I1936" s="6">
        <v>3</v>
      </c>
      <c r="J1936" s="6">
        <v>75</v>
      </c>
      <c r="K1936" s="6">
        <v>324</v>
      </c>
      <c r="L1936" s="6">
        <v>383</v>
      </c>
      <c r="M1936" s="6">
        <v>5</v>
      </c>
      <c r="N1936">
        <f>VLOOKUP(A1936,vlookup_table!$A:$G,2,FALSE)</f>
        <v>1</v>
      </c>
      <c r="O1936" t="str">
        <f>VLOOKUP(A1936,vlookup_table!$A:$G,3,FALSE)</f>
        <v>MI</v>
      </c>
      <c r="P1936">
        <f>VLOOKUP(A1936,vlookup_table!$A:$G,4,FALSE)</f>
        <v>6801</v>
      </c>
      <c r="Q1936" t="str">
        <f>VLOOKUP(A1936,vlookup_table!$A:$G,5,FALSE)</f>
        <v>U4</v>
      </c>
      <c r="R1936" t="str">
        <f>VLOOKUP(A1936,vlookup_table!$A:$G,6,FALSE)</f>
        <v>M</v>
      </c>
      <c r="S1936">
        <f>VLOOKUP(A1936,vlookup_table!$A:$G,7,FALSE)</f>
        <v>2</v>
      </c>
      <c r="T1936">
        <f t="shared" si="60"/>
        <v>28</v>
      </c>
      <c r="U1936" t="str">
        <f t="shared" si="61"/>
        <v>Urbano</v>
      </c>
    </row>
    <row r="1937" spans="1:21" ht="16" x14ac:dyDescent="0.4">
      <c r="A1937" s="6">
        <v>7924</v>
      </c>
      <c r="B1937" s="6" t="s">
        <v>20</v>
      </c>
      <c r="C1937" s="6" t="s">
        <v>17</v>
      </c>
      <c r="D1937" s="6">
        <v>471</v>
      </c>
      <c r="E1937" s="6">
        <v>230</v>
      </c>
      <c r="F1937" s="6">
        <v>302</v>
      </c>
      <c r="G1937" s="6">
        <v>1</v>
      </c>
      <c r="H1937" s="6">
        <v>10209</v>
      </c>
      <c r="I1937" s="6">
        <v>2</v>
      </c>
      <c r="J1937" s="6">
        <v>80</v>
      </c>
      <c r="K1937" s="6">
        <v>268</v>
      </c>
      <c r="L1937" s="6">
        <v>273</v>
      </c>
      <c r="M1937" s="6">
        <v>9</v>
      </c>
      <c r="N1937">
        <f>VLOOKUP(A1937,vlookup_table!$A:$G,2,FALSE)</f>
        <v>0</v>
      </c>
      <c r="O1937" t="str">
        <f>VLOOKUP(A1937,vlookup_table!$A:$G,3,FALSE)</f>
        <v>TX</v>
      </c>
      <c r="P1937">
        <f>VLOOKUP(A1937,vlookup_table!$A:$G,4,FALSE)</f>
        <v>1912</v>
      </c>
      <c r="Q1937" t="str">
        <f>VLOOKUP(A1937,vlookup_table!$A:$G,5,FALSE)</f>
        <v/>
      </c>
      <c r="R1937" t="str">
        <f>VLOOKUP(A1937,vlookup_table!$A:$G,6,FALSE)</f>
        <v>F</v>
      </c>
      <c r="S1937">
        <f>VLOOKUP(A1937,vlookup_table!$A:$G,7,FALSE)</f>
        <v>12</v>
      </c>
      <c r="T1937">
        <f t="shared" si="60"/>
        <v>77</v>
      </c>
      <c r="U1937" t="str">
        <f t="shared" si="61"/>
        <v/>
      </c>
    </row>
    <row r="1938" spans="1:21" ht="16" x14ac:dyDescent="0.4">
      <c r="A1938" s="6">
        <v>27890</v>
      </c>
      <c r="B1938" s="6" t="s">
        <v>36</v>
      </c>
      <c r="C1938" s="6" t="s">
        <v>17</v>
      </c>
      <c r="D1938" s="6">
        <v>929</v>
      </c>
      <c r="E1938" s="6">
        <v>403</v>
      </c>
      <c r="F1938" s="6">
        <v>467</v>
      </c>
      <c r="G1938" s="6">
        <v>8</v>
      </c>
      <c r="H1938" s="6">
        <v>15864</v>
      </c>
      <c r="I1938" s="6">
        <v>2</v>
      </c>
      <c r="J1938" s="6">
        <v>61</v>
      </c>
      <c r="K1938" s="6">
        <v>420</v>
      </c>
      <c r="L1938" s="6">
        <v>418</v>
      </c>
      <c r="M1938" s="6">
        <v>7.8333333329999997</v>
      </c>
      <c r="N1938">
        <f>VLOOKUP(A1938,vlookup_table!$A:$G,2,FALSE)</f>
        <v>0</v>
      </c>
      <c r="O1938" t="str">
        <f>VLOOKUP(A1938,vlookup_table!$A:$G,3,FALSE)</f>
        <v>GA</v>
      </c>
      <c r="P1938">
        <f>VLOOKUP(A1938,vlookup_table!$A:$G,4,FALSE)</f>
        <v>4801</v>
      </c>
      <c r="Q1938" t="str">
        <f>VLOOKUP(A1938,vlookup_table!$A:$G,5,FALSE)</f>
        <v>T1</v>
      </c>
      <c r="R1938" t="str">
        <f>VLOOKUP(A1938,vlookup_table!$A:$G,6,FALSE)</f>
        <v>F</v>
      </c>
      <c r="S1938">
        <f>VLOOKUP(A1938,vlookup_table!$A:$G,7,FALSE)</f>
        <v>10</v>
      </c>
      <c r="T1938">
        <f t="shared" si="60"/>
        <v>48</v>
      </c>
      <c r="U1938" t="str">
        <f t="shared" si="61"/>
        <v>Pueblo</v>
      </c>
    </row>
    <row r="1939" spans="1:21" ht="16" x14ac:dyDescent="0.4">
      <c r="A1939" s="6">
        <v>58649</v>
      </c>
      <c r="B1939" s="6" t="s">
        <v>53</v>
      </c>
      <c r="C1939" s="6" t="s">
        <v>17</v>
      </c>
      <c r="D1939" s="6">
        <v>521</v>
      </c>
      <c r="E1939" s="6">
        <v>258</v>
      </c>
      <c r="F1939" s="6">
        <v>371</v>
      </c>
      <c r="G1939" s="6">
        <v>0</v>
      </c>
      <c r="H1939" s="6">
        <v>13218</v>
      </c>
      <c r="I1939" s="6">
        <v>0</v>
      </c>
      <c r="J1939" s="6">
        <v>87</v>
      </c>
      <c r="K1939" s="6">
        <v>330</v>
      </c>
      <c r="L1939" s="6">
        <v>315</v>
      </c>
      <c r="M1939" s="6">
        <v>8.75</v>
      </c>
      <c r="N1939">
        <f>VLOOKUP(A1939,vlookup_table!$A:$G,2,FALSE)</f>
        <v>0</v>
      </c>
      <c r="O1939" t="str">
        <f>VLOOKUP(A1939,vlookup_table!$A:$G,3,FALSE)</f>
        <v>KY</v>
      </c>
      <c r="P1939">
        <f>VLOOKUP(A1939,vlookup_table!$A:$G,4,FALSE)</f>
        <v>2201</v>
      </c>
      <c r="Q1939" t="str">
        <f>VLOOKUP(A1939,vlookup_table!$A:$G,5,FALSE)</f>
        <v>C2</v>
      </c>
      <c r="R1939" t="str">
        <f>VLOOKUP(A1939,vlookup_table!$A:$G,6,FALSE)</f>
        <v>F</v>
      </c>
      <c r="S1939">
        <f>VLOOKUP(A1939,vlookup_table!$A:$G,7,FALSE)</f>
        <v>10</v>
      </c>
      <c r="T1939">
        <f t="shared" si="60"/>
        <v>74</v>
      </c>
      <c r="U1939" t="str">
        <f t="shared" si="61"/>
        <v>Ciudad</v>
      </c>
    </row>
    <row r="1940" spans="1:21" ht="16" x14ac:dyDescent="0.4">
      <c r="A1940" s="6">
        <v>47371</v>
      </c>
      <c r="B1940" s="6" t="s">
        <v>40</v>
      </c>
      <c r="C1940" s="6" t="s">
        <v>17</v>
      </c>
      <c r="D1940" s="6">
        <v>288</v>
      </c>
      <c r="E1940" s="6">
        <v>129</v>
      </c>
      <c r="F1940" s="6">
        <v>167</v>
      </c>
      <c r="G1940" s="6">
        <v>0</v>
      </c>
      <c r="H1940" s="6">
        <v>7079</v>
      </c>
      <c r="I1940" s="6">
        <v>0</v>
      </c>
      <c r="J1940" s="6">
        <v>96</v>
      </c>
      <c r="K1940" s="6">
        <v>164</v>
      </c>
      <c r="L1940" s="6">
        <v>131</v>
      </c>
      <c r="M1940" s="6">
        <v>5.2857142860000002</v>
      </c>
      <c r="N1940">
        <f>VLOOKUP(A1940,vlookup_table!$A:$G,2,FALSE)</f>
        <v>0</v>
      </c>
      <c r="O1940" t="str">
        <f>VLOOKUP(A1940,vlookup_table!$A:$G,3,FALSE)</f>
        <v>AL</v>
      </c>
      <c r="P1940">
        <f>VLOOKUP(A1940,vlookup_table!$A:$G,4,FALSE)</f>
        <v>2107</v>
      </c>
      <c r="Q1940" t="str">
        <f>VLOOKUP(A1940,vlookup_table!$A:$G,5,FALSE)</f>
        <v>C3</v>
      </c>
      <c r="R1940" t="str">
        <f>VLOOKUP(A1940,vlookup_table!$A:$G,6,FALSE)</f>
        <v>F</v>
      </c>
      <c r="S1940">
        <f>VLOOKUP(A1940,vlookup_table!$A:$G,7,FALSE)</f>
        <v>5</v>
      </c>
      <c r="T1940">
        <f t="shared" si="60"/>
        <v>75</v>
      </c>
      <c r="U1940" t="str">
        <f t="shared" si="61"/>
        <v>Ciudad</v>
      </c>
    </row>
    <row r="1941" spans="1:21" ht="16" x14ac:dyDescent="0.4">
      <c r="A1941" s="6">
        <v>26887</v>
      </c>
      <c r="B1941" s="6" t="s">
        <v>36</v>
      </c>
      <c r="C1941" s="6" t="s">
        <v>17</v>
      </c>
      <c r="D1941" s="6">
        <v>914</v>
      </c>
      <c r="E1941" s="6">
        <v>522</v>
      </c>
      <c r="F1941" s="6">
        <v>560</v>
      </c>
      <c r="G1941" s="6">
        <v>1</v>
      </c>
      <c r="H1941" s="6">
        <v>17163</v>
      </c>
      <c r="I1941" s="6">
        <v>3</v>
      </c>
      <c r="J1941" s="6">
        <v>30</v>
      </c>
      <c r="K1941" s="6">
        <v>542</v>
      </c>
      <c r="L1941" s="6">
        <v>540</v>
      </c>
      <c r="M1941" s="6">
        <v>25</v>
      </c>
      <c r="N1941">
        <f>VLOOKUP(A1941,vlookup_table!$A:$G,2,FALSE)</f>
        <v>28</v>
      </c>
      <c r="O1941" t="str">
        <f>VLOOKUP(A1941,vlookup_table!$A:$G,3,FALSE)</f>
        <v>GA</v>
      </c>
      <c r="P1941">
        <f>VLOOKUP(A1941,vlookup_table!$A:$G,4,FALSE)</f>
        <v>4801</v>
      </c>
      <c r="Q1941" t="str">
        <f>VLOOKUP(A1941,vlookup_table!$A:$G,5,FALSE)</f>
        <v>S1</v>
      </c>
      <c r="R1941" t="str">
        <f>VLOOKUP(A1941,vlookup_table!$A:$G,6,FALSE)</f>
        <v>F</v>
      </c>
      <c r="S1941">
        <f>VLOOKUP(A1941,vlookup_table!$A:$G,7,FALSE)</f>
        <v>30</v>
      </c>
      <c r="T1941">
        <f t="shared" si="60"/>
        <v>48</v>
      </c>
      <c r="U1941" t="str">
        <f t="shared" si="61"/>
        <v>Suburbano</v>
      </c>
    </row>
    <row r="1942" spans="1:21" ht="16" x14ac:dyDescent="0.4">
      <c r="A1942" s="6">
        <v>80577</v>
      </c>
      <c r="B1942" s="6" t="s">
        <v>32</v>
      </c>
      <c r="C1942" s="6" t="s">
        <v>17</v>
      </c>
      <c r="D1942" s="6">
        <v>466</v>
      </c>
      <c r="E1942" s="6">
        <v>270</v>
      </c>
      <c r="F1942" s="6">
        <v>354</v>
      </c>
      <c r="G1942" s="6">
        <v>0</v>
      </c>
      <c r="H1942" s="6">
        <v>11581</v>
      </c>
      <c r="I1942" s="6">
        <v>2</v>
      </c>
      <c r="J1942" s="6">
        <v>78</v>
      </c>
      <c r="K1942" s="6">
        <v>309</v>
      </c>
      <c r="L1942" s="6">
        <v>318</v>
      </c>
      <c r="M1942" s="6">
        <v>11.66666667</v>
      </c>
      <c r="N1942">
        <f>VLOOKUP(A1942,vlookup_table!$A:$G,2,FALSE)</f>
        <v>0</v>
      </c>
      <c r="O1942" t="str">
        <f>VLOOKUP(A1942,vlookup_table!$A:$G,3,FALSE)</f>
        <v>WI</v>
      </c>
      <c r="P1942">
        <f>VLOOKUP(A1942,vlookup_table!$A:$G,4,FALSE)</f>
        <v>6001</v>
      </c>
      <c r="Q1942" t="str">
        <f>VLOOKUP(A1942,vlookup_table!$A:$G,5,FALSE)</f>
        <v/>
      </c>
      <c r="R1942" t="str">
        <f>VLOOKUP(A1942,vlookup_table!$A:$G,6,FALSE)</f>
        <v>F</v>
      </c>
      <c r="S1942">
        <f>VLOOKUP(A1942,vlookup_table!$A:$G,7,FALSE)</f>
        <v>10</v>
      </c>
      <c r="T1942">
        <f t="shared" si="60"/>
        <v>36</v>
      </c>
      <c r="U1942" t="str">
        <f t="shared" si="61"/>
        <v/>
      </c>
    </row>
    <row r="1943" spans="1:21" ht="16" x14ac:dyDescent="0.4">
      <c r="A1943" s="6">
        <v>61933</v>
      </c>
      <c r="B1943" s="6" t="s">
        <v>30</v>
      </c>
      <c r="C1943" s="6" t="s">
        <v>14</v>
      </c>
      <c r="D1943" s="6">
        <v>534</v>
      </c>
      <c r="E1943" s="6">
        <v>292</v>
      </c>
      <c r="F1943" s="6">
        <v>388</v>
      </c>
      <c r="G1943" s="6">
        <v>2</v>
      </c>
      <c r="H1943" s="6">
        <v>13534</v>
      </c>
      <c r="I1943" s="6">
        <v>5</v>
      </c>
      <c r="J1943" s="6">
        <v>70</v>
      </c>
      <c r="K1943" s="6">
        <v>306</v>
      </c>
      <c r="L1943" s="6">
        <v>363</v>
      </c>
      <c r="M1943" s="6">
        <v>20</v>
      </c>
      <c r="N1943">
        <f>VLOOKUP(A1943,vlookup_table!$A:$G,2,FALSE)</f>
        <v>0</v>
      </c>
      <c r="O1943" t="str">
        <f>VLOOKUP(A1943,vlookup_table!$A:$G,3,FALSE)</f>
        <v>IN</v>
      </c>
      <c r="P1943">
        <f>VLOOKUP(A1943,vlookup_table!$A:$G,4,FALSE)</f>
        <v>0</v>
      </c>
      <c r="Q1943" t="str">
        <f>VLOOKUP(A1943,vlookup_table!$A:$G,5,FALSE)</f>
        <v>C2</v>
      </c>
      <c r="R1943" t="str">
        <f>VLOOKUP(A1943,vlookup_table!$A:$G,6,FALSE)</f>
        <v>M</v>
      </c>
      <c r="S1943">
        <f>VLOOKUP(A1943,vlookup_table!$A:$G,7,FALSE)</f>
        <v>20</v>
      </c>
      <c r="T1943">
        <f t="shared" si="60"/>
        <v>96</v>
      </c>
      <c r="U1943" t="str">
        <f t="shared" si="61"/>
        <v>Ciudad</v>
      </c>
    </row>
    <row r="1944" spans="1:21" ht="16" x14ac:dyDescent="0.4">
      <c r="A1944" s="6">
        <v>174358</v>
      </c>
      <c r="B1944" s="6" t="s">
        <v>47</v>
      </c>
      <c r="C1944" s="6" t="s">
        <v>14</v>
      </c>
      <c r="D1944" s="6">
        <v>1550</v>
      </c>
      <c r="E1944" s="6">
        <v>456</v>
      </c>
      <c r="F1944" s="6">
        <v>709</v>
      </c>
      <c r="G1944" s="6">
        <v>24</v>
      </c>
      <c r="H1944" s="6">
        <v>22772</v>
      </c>
      <c r="I1944" s="6">
        <v>8</v>
      </c>
      <c r="J1944" s="6">
        <v>39</v>
      </c>
      <c r="K1944" s="6">
        <v>613</v>
      </c>
      <c r="L1944" s="6">
        <v>549</v>
      </c>
      <c r="M1944" s="6">
        <v>17.5</v>
      </c>
      <c r="N1944">
        <f>VLOOKUP(A1944,vlookup_table!$A:$G,2,FALSE)</f>
        <v>1</v>
      </c>
      <c r="O1944" t="str">
        <f>VLOOKUP(A1944,vlookup_table!$A:$G,3,FALSE)</f>
        <v>OR</v>
      </c>
      <c r="P1944">
        <f>VLOOKUP(A1944,vlookup_table!$A:$G,4,FALSE)</f>
        <v>4201</v>
      </c>
      <c r="Q1944" t="str">
        <f>VLOOKUP(A1944,vlookup_table!$A:$G,5,FALSE)</f>
        <v>S2</v>
      </c>
      <c r="R1944" t="str">
        <f>VLOOKUP(A1944,vlookup_table!$A:$G,6,FALSE)</f>
        <v>M</v>
      </c>
      <c r="S1944">
        <f>VLOOKUP(A1944,vlookup_table!$A:$G,7,FALSE)</f>
        <v>10</v>
      </c>
      <c r="T1944">
        <f t="shared" si="60"/>
        <v>54</v>
      </c>
      <c r="U1944" t="str">
        <f t="shared" si="61"/>
        <v>Suburbano</v>
      </c>
    </row>
    <row r="1945" spans="1:21" ht="16" x14ac:dyDescent="0.4">
      <c r="A1945" s="6">
        <v>133555</v>
      </c>
      <c r="B1945" s="6" t="s">
        <v>38</v>
      </c>
      <c r="C1945" s="6" t="s">
        <v>17</v>
      </c>
      <c r="D1945" s="6">
        <v>575</v>
      </c>
      <c r="E1945" s="6">
        <v>231</v>
      </c>
      <c r="F1945" s="6">
        <v>269</v>
      </c>
      <c r="G1945" s="6">
        <v>0</v>
      </c>
      <c r="H1945" s="6">
        <v>9659</v>
      </c>
      <c r="I1945" s="6">
        <v>5</v>
      </c>
      <c r="J1945" s="6">
        <v>58</v>
      </c>
      <c r="K1945" s="6">
        <v>245</v>
      </c>
      <c r="L1945" s="6">
        <v>248</v>
      </c>
      <c r="M1945" s="6">
        <v>15</v>
      </c>
      <c r="N1945">
        <f>VLOOKUP(A1945,vlookup_table!$A:$G,2,FALSE)</f>
        <v>0</v>
      </c>
      <c r="O1945" t="str">
        <f>VLOOKUP(A1945,vlookup_table!$A:$G,3,FALSE)</f>
        <v>ID</v>
      </c>
      <c r="P1945">
        <f>VLOOKUP(A1945,vlookup_table!$A:$G,4,FALSE)</f>
        <v>4701</v>
      </c>
      <c r="Q1945" t="str">
        <f>VLOOKUP(A1945,vlookup_table!$A:$G,5,FALSE)</f>
        <v>T2</v>
      </c>
      <c r="R1945" t="str">
        <f>VLOOKUP(A1945,vlookup_table!$A:$G,6,FALSE)</f>
        <v>F</v>
      </c>
      <c r="S1945">
        <f>VLOOKUP(A1945,vlookup_table!$A:$G,7,FALSE)</f>
        <v>21</v>
      </c>
      <c r="T1945">
        <f t="shared" si="60"/>
        <v>49</v>
      </c>
      <c r="U1945" t="str">
        <f t="shared" si="61"/>
        <v>Pueblo</v>
      </c>
    </row>
    <row r="1946" spans="1:21" ht="16" x14ac:dyDescent="0.4">
      <c r="A1946" s="6">
        <v>82457</v>
      </c>
      <c r="B1946" s="6" t="s">
        <v>52</v>
      </c>
      <c r="C1946" s="6" t="s">
        <v>17</v>
      </c>
      <c r="D1946" s="6">
        <v>687</v>
      </c>
      <c r="E1946" s="6">
        <v>230</v>
      </c>
      <c r="F1946" s="6">
        <v>267</v>
      </c>
      <c r="G1946" s="6">
        <v>0</v>
      </c>
      <c r="H1946" s="6">
        <v>11087</v>
      </c>
      <c r="I1946" s="6">
        <v>6</v>
      </c>
      <c r="J1946" s="6">
        <v>73</v>
      </c>
      <c r="K1946" s="6">
        <v>219</v>
      </c>
      <c r="L1946" s="6">
        <v>261</v>
      </c>
      <c r="M1946" s="6">
        <v>4.5921052629999997</v>
      </c>
      <c r="N1946">
        <f>VLOOKUP(A1946,vlookup_table!$A:$G,2,FALSE)</f>
        <v>0</v>
      </c>
      <c r="O1946" t="str">
        <f>VLOOKUP(A1946,vlookup_table!$A:$G,3,FALSE)</f>
        <v>MN</v>
      </c>
      <c r="P1946">
        <f>VLOOKUP(A1946,vlookup_table!$A:$G,4,FALSE)</f>
        <v>5301</v>
      </c>
      <c r="Q1946" t="str">
        <f>VLOOKUP(A1946,vlookup_table!$A:$G,5,FALSE)</f>
        <v>U3</v>
      </c>
      <c r="R1946" t="str">
        <f>VLOOKUP(A1946,vlookup_table!$A:$G,6,FALSE)</f>
        <v>F</v>
      </c>
      <c r="S1946">
        <f>VLOOKUP(A1946,vlookup_table!$A:$G,7,FALSE)</f>
        <v>5</v>
      </c>
      <c r="T1946">
        <f t="shared" si="60"/>
        <v>43</v>
      </c>
      <c r="U1946" t="str">
        <f t="shared" si="61"/>
        <v>Urbano</v>
      </c>
    </row>
    <row r="1947" spans="1:21" ht="16" x14ac:dyDescent="0.4">
      <c r="A1947" s="6">
        <v>23065</v>
      </c>
      <c r="B1947" s="6" t="s">
        <v>43</v>
      </c>
      <c r="C1947" s="6" t="s">
        <v>17</v>
      </c>
      <c r="D1947" s="6">
        <v>810</v>
      </c>
      <c r="E1947" s="6">
        <v>408</v>
      </c>
      <c r="F1947" s="6">
        <v>469</v>
      </c>
      <c r="G1947" s="6">
        <v>1</v>
      </c>
      <c r="H1947" s="6">
        <v>15766</v>
      </c>
      <c r="I1947" s="6">
        <v>3</v>
      </c>
      <c r="J1947" s="6">
        <v>53</v>
      </c>
      <c r="K1947" s="6">
        <v>421</v>
      </c>
      <c r="L1947" s="6">
        <v>455</v>
      </c>
      <c r="M1947" s="6">
        <v>12.83333333</v>
      </c>
      <c r="N1947">
        <f>VLOOKUP(A1947,vlookup_table!$A:$G,2,FALSE)</f>
        <v>0</v>
      </c>
      <c r="O1947" t="str">
        <f>VLOOKUP(A1947,vlookup_table!$A:$G,3,FALSE)</f>
        <v>SC</v>
      </c>
      <c r="P1947">
        <f>VLOOKUP(A1947,vlookup_table!$A:$G,4,FALSE)</f>
        <v>4809</v>
      </c>
      <c r="Q1947" t="str">
        <f>VLOOKUP(A1947,vlookup_table!$A:$G,5,FALSE)</f>
        <v>S1</v>
      </c>
      <c r="R1947" t="str">
        <f>VLOOKUP(A1947,vlookup_table!$A:$G,6,FALSE)</f>
        <v>F</v>
      </c>
      <c r="S1947">
        <f>VLOOKUP(A1947,vlookup_table!$A:$G,7,FALSE)</f>
        <v>20</v>
      </c>
      <c r="T1947">
        <f t="shared" si="60"/>
        <v>48</v>
      </c>
      <c r="U1947" t="str">
        <f t="shared" si="61"/>
        <v>Suburbano</v>
      </c>
    </row>
    <row r="1948" spans="1:21" ht="16" x14ac:dyDescent="0.4">
      <c r="A1948" s="6">
        <v>88856</v>
      </c>
      <c r="B1948" s="6" t="s">
        <v>16</v>
      </c>
      <c r="C1948" s="6" t="s">
        <v>17</v>
      </c>
      <c r="D1948" s="6">
        <v>2347</v>
      </c>
      <c r="E1948" s="6">
        <v>615</v>
      </c>
      <c r="F1948" s="6">
        <v>870</v>
      </c>
      <c r="G1948" s="6">
        <v>68</v>
      </c>
      <c r="H1948" s="6">
        <v>61923</v>
      </c>
      <c r="I1948" s="6">
        <v>13</v>
      </c>
      <c r="J1948" s="6">
        <v>63</v>
      </c>
      <c r="K1948" s="6">
        <v>736</v>
      </c>
      <c r="L1948" s="6">
        <v>786</v>
      </c>
      <c r="M1948" s="6">
        <v>3.0555555559999998</v>
      </c>
      <c r="N1948">
        <f>VLOOKUP(A1948,vlookup_table!$A:$G,2,FALSE)</f>
        <v>2</v>
      </c>
      <c r="O1948" t="str">
        <f>VLOOKUP(A1948,vlookup_table!$A:$G,3,FALSE)</f>
        <v>IL</v>
      </c>
      <c r="P1948">
        <f>VLOOKUP(A1948,vlookup_table!$A:$G,4,FALSE)</f>
        <v>3501</v>
      </c>
      <c r="Q1948" t="str">
        <f>VLOOKUP(A1948,vlookup_table!$A:$G,5,FALSE)</f>
        <v>S1</v>
      </c>
      <c r="R1948" t="str">
        <f>VLOOKUP(A1948,vlookup_table!$A:$G,6,FALSE)</f>
        <v>F</v>
      </c>
      <c r="S1948">
        <f>VLOOKUP(A1948,vlookup_table!$A:$G,7,FALSE)</f>
        <v>4</v>
      </c>
      <c r="T1948">
        <f t="shared" si="60"/>
        <v>61</v>
      </c>
      <c r="U1948" t="str">
        <f t="shared" si="61"/>
        <v>Suburbano</v>
      </c>
    </row>
    <row r="1949" spans="1:21" ht="16" x14ac:dyDescent="0.4">
      <c r="A1949" s="6">
        <v>168393</v>
      </c>
      <c r="B1949" s="6" t="s">
        <v>21</v>
      </c>
      <c r="C1949" s="6" t="s">
        <v>14</v>
      </c>
      <c r="D1949" s="6">
        <v>2298</v>
      </c>
      <c r="E1949" s="6">
        <v>290</v>
      </c>
      <c r="F1949" s="6">
        <v>322</v>
      </c>
      <c r="G1949" s="6">
        <v>72</v>
      </c>
      <c r="H1949" s="6">
        <v>13270</v>
      </c>
      <c r="I1949" s="6">
        <v>21</v>
      </c>
      <c r="J1949" s="6">
        <v>51</v>
      </c>
      <c r="K1949" s="6">
        <v>302</v>
      </c>
      <c r="L1949" s="6">
        <v>308</v>
      </c>
      <c r="M1949" s="6">
        <v>25</v>
      </c>
      <c r="N1949">
        <f>VLOOKUP(A1949,vlookup_table!$A:$G,2,FALSE)</f>
        <v>4</v>
      </c>
      <c r="O1949" t="str">
        <f>VLOOKUP(A1949,vlookup_table!$A:$G,3,FALSE)</f>
        <v>CA</v>
      </c>
      <c r="P1949">
        <f>VLOOKUP(A1949,vlookup_table!$A:$G,4,FALSE)</f>
        <v>4001</v>
      </c>
      <c r="Q1949" t="str">
        <f>VLOOKUP(A1949,vlookup_table!$A:$G,5,FALSE)</f>
        <v>U2</v>
      </c>
      <c r="R1949" t="str">
        <f>VLOOKUP(A1949,vlookup_table!$A:$G,6,FALSE)</f>
        <v>M</v>
      </c>
      <c r="S1949">
        <f>VLOOKUP(A1949,vlookup_table!$A:$G,7,FALSE)</f>
        <v>25</v>
      </c>
      <c r="T1949">
        <f t="shared" si="60"/>
        <v>56</v>
      </c>
      <c r="U1949" t="str">
        <f t="shared" si="61"/>
        <v>Urbano</v>
      </c>
    </row>
    <row r="1950" spans="1:21" ht="16" x14ac:dyDescent="0.4">
      <c r="A1950" s="6">
        <v>143936</v>
      </c>
      <c r="B1950" s="6" t="s">
        <v>21</v>
      </c>
      <c r="C1950" s="6" t="s">
        <v>14</v>
      </c>
      <c r="D1950" s="6">
        <v>4956</v>
      </c>
      <c r="E1950" s="6">
        <v>805</v>
      </c>
      <c r="F1950" s="6">
        <v>1058</v>
      </c>
      <c r="G1950" s="6">
        <v>95</v>
      </c>
      <c r="H1950" s="6">
        <v>64234</v>
      </c>
      <c r="I1950" s="6">
        <v>15</v>
      </c>
      <c r="J1950" s="6">
        <v>31</v>
      </c>
      <c r="K1950" s="6">
        <v>1081</v>
      </c>
      <c r="L1950" s="6">
        <v>861</v>
      </c>
      <c r="M1950" s="6">
        <v>32.5</v>
      </c>
      <c r="N1950">
        <f>VLOOKUP(A1950,vlookup_table!$A:$G,2,FALSE)</f>
        <v>1</v>
      </c>
      <c r="O1950" t="str">
        <f>VLOOKUP(A1950,vlookup_table!$A:$G,3,FALSE)</f>
        <v>CA</v>
      </c>
      <c r="P1950">
        <f>VLOOKUP(A1950,vlookup_table!$A:$G,4,FALSE)</f>
        <v>5101</v>
      </c>
      <c r="Q1950" t="str">
        <f>VLOOKUP(A1950,vlookup_table!$A:$G,5,FALSE)</f>
        <v>U1</v>
      </c>
      <c r="R1950" t="str">
        <f>VLOOKUP(A1950,vlookup_table!$A:$G,6,FALSE)</f>
        <v>M</v>
      </c>
      <c r="S1950">
        <f>VLOOKUP(A1950,vlookup_table!$A:$G,7,FALSE)</f>
        <v>55</v>
      </c>
      <c r="T1950">
        <f t="shared" si="60"/>
        <v>45</v>
      </c>
      <c r="U1950" t="str">
        <f t="shared" si="61"/>
        <v>Urbano</v>
      </c>
    </row>
    <row r="1951" spans="1:21" ht="16" x14ac:dyDescent="0.4">
      <c r="A1951" s="6">
        <v>86436</v>
      </c>
      <c r="B1951" s="6" t="s">
        <v>42</v>
      </c>
      <c r="C1951" s="6" t="s">
        <v>14</v>
      </c>
      <c r="D1951" s="6">
        <v>857</v>
      </c>
      <c r="E1951" s="6">
        <v>245</v>
      </c>
      <c r="F1951" s="6">
        <v>320</v>
      </c>
      <c r="G1951" s="6">
        <v>0</v>
      </c>
      <c r="H1951" s="6">
        <v>12951</v>
      </c>
      <c r="I1951" s="6">
        <v>0</v>
      </c>
      <c r="J1951" s="6">
        <v>62</v>
      </c>
      <c r="K1951" s="6">
        <v>282</v>
      </c>
      <c r="L1951" s="6">
        <v>275</v>
      </c>
      <c r="M1951" s="6">
        <v>5.628571429</v>
      </c>
      <c r="N1951">
        <f>VLOOKUP(A1951,vlookup_table!$A:$G,2,FALSE)</f>
        <v>1</v>
      </c>
      <c r="O1951" t="str">
        <f>VLOOKUP(A1951,vlookup_table!$A:$G,3,FALSE)</f>
        <v>ND</v>
      </c>
      <c r="P1951">
        <f>VLOOKUP(A1951,vlookup_table!$A:$G,4,FALSE)</f>
        <v>3011</v>
      </c>
      <c r="Q1951" t="str">
        <f>VLOOKUP(A1951,vlookup_table!$A:$G,5,FALSE)</f>
        <v>S2</v>
      </c>
      <c r="R1951" t="str">
        <f>VLOOKUP(A1951,vlookup_table!$A:$G,6,FALSE)</f>
        <v>M</v>
      </c>
      <c r="S1951">
        <f>VLOOKUP(A1951,vlookup_table!$A:$G,7,FALSE)</f>
        <v>5</v>
      </c>
      <c r="T1951">
        <f t="shared" si="60"/>
        <v>66</v>
      </c>
      <c r="U1951" t="str">
        <f t="shared" si="61"/>
        <v>Suburbano</v>
      </c>
    </row>
    <row r="1952" spans="1:21" ht="16" x14ac:dyDescent="0.4">
      <c r="A1952" s="6">
        <v>138311</v>
      </c>
      <c r="B1952" s="6" t="s">
        <v>51</v>
      </c>
      <c r="C1952" s="6" t="s">
        <v>97</v>
      </c>
      <c r="D1952" s="6">
        <v>1708</v>
      </c>
      <c r="E1952" s="6">
        <v>437</v>
      </c>
      <c r="F1952" s="6">
        <v>684</v>
      </c>
      <c r="G1952" s="6">
        <v>36</v>
      </c>
      <c r="H1952" s="6">
        <v>29098</v>
      </c>
      <c r="I1952" s="6">
        <v>7</v>
      </c>
      <c r="J1952" s="6">
        <v>19</v>
      </c>
      <c r="K1952" s="6">
        <v>586</v>
      </c>
      <c r="L1952" s="6">
        <v>551</v>
      </c>
      <c r="M1952" s="6">
        <v>9.769230769</v>
      </c>
      <c r="N1952">
        <f>VLOOKUP(A1952,vlookup_table!$A:$G,2,FALSE)</f>
        <v>2</v>
      </c>
      <c r="O1952" t="str">
        <f>VLOOKUP(A1952,vlookup_table!$A:$G,3,FALSE)</f>
        <v>AZ</v>
      </c>
      <c r="P1952">
        <f>VLOOKUP(A1952,vlookup_table!$A:$G,4,FALSE)</f>
        <v>1403</v>
      </c>
      <c r="Q1952" t="str">
        <f>VLOOKUP(A1952,vlookup_table!$A:$G,5,FALSE)</f>
        <v>S1</v>
      </c>
      <c r="R1952" t="str">
        <f>VLOOKUP(A1952,vlookup_table!$A:$G,6,FALSE)</f>
        <v>F</v>
      </c>
      <c r="S1952">
        <f>VLOOKUP(A1952,vlookup_table!$A:$G,7,FALSE)</f>
        <v>20</v>
      </c>
      <c r="T1952">
        <f t="shared" si="60"/>
        <v>82</v>
      </c>
      <c r="U1952" t="str">
        <f t="shared" si="61"/>
        <v>Suburbano</v>
      </c>
    </row>
    <row r="1953" spans="1:21" ht="16" x14ac:dyDescent="0.4">
      <c r="A1953" s="6">
        <v>123469</v>
      </c>
      <c r="B1953" s="6" t="s">
        <v>20</v>
      </c>
      <c r="C1953" s="6" t="s">
        <v>14</v>
      </c>
      <c r="D1953" s="6">
        <v>561</v>
      </c>
      <c r="E1953" s="6">
        <v>493</v>
      </c>
      <c r="F1953" s="6">
        <v>540</v>
      </c>
      <c r="G1953" s="6">
        <v>1</v>
      </c>
      <c r="H1953" s="6">
        <v>16623</v>
      </c>
      <c r="I1953" s="6">
        <v>5</v>
      </c>
      <c r="J1953" s="6">
        <v>68</v>
      </c>
      <c r="K1953" s="6">
        <v>529</v>
      </c>
      <c r="L1953" s="6">
        <v>506</v>
      </c>
      <c r="M1953" s="6">
        <v>5.2</v>
      </c>
      <c r="N1953">
        <f>VLOOKUP(A1953,vlookup_table!$A:$G,2,FALSE)</f>
        <v>0</v>
      </c>
      <c r="O1953" t="str">
        <f>VLOOKUP(A1953,vlookup_table!$A:$G,3,FALSE)</f>
        <v>TX</v>
      </c>
      <c r="P1953">
        <f>VLOOKUP(A1953,vlookup_table!$A:$G,4,FALSE)</f>
        <v>0</v>
      </c>
      <c r="Q1953" t="str">
        <f>VLOOKUP(A1953,vlookup_table!$A:$G,5,FALSE)</f>
        <v>T2</v>
      </c>
      <c r="R1953" t="str">
        <f>VLOOKUP(A1953,vlookup_table!$A:$G,6,FALSE)</f>
        <v>M</v>
      </c>
      <c r="S1953">
        <f>VLOOKUP(A1953,vlookup_table!$A:$G,7,FALSE)</f>
        <v>5</v>
      </c>
      <c r="T1953">
        <f t="shared" si="60"/>
        <v>96</v>
      </c>
      <c r="U1953" t="str">
        <f t="shared" si="61"/>
        <v>Pueblo</v>
      </c>
    </row>
    <row r="1954" spans="1:21" ht="16" x14ac:dyDescent="0.4">
      <c r="A1954" s="6">
        <v>135341</v>
      </c>
      <c r="B1954" s="6" t="s">
        <v>51</v>
      </c>
      <c r="C1954" s="6" t="s">
        <v>97</v>
      </c>
      <c r="D1954" s="6">
        <v>700</v>
      </c>
      <c r="E1954" s="6">
        <v>205</v>
      </c>
      <c r="F1954" s="6">
        <v>295</v>
      </c>
      <c r="G1954" s="6">
        <v>0</v>
      </c>
      <c r="H1954" s="6">
        <v>12713</v>
      </c>
      <c r="I1954" s="6">
        <v>9</v>
      </c>
      <c r="J1954" s="6">
        <v>12</v>
      </c>
      <c r="K1954" s="6">
        <v>221</v>
      </c>
      <c r="L1954" s="6">
        <v>276</v>
      </c>
      <c r="M1954" s="6">
        <v>12.85714286</v>
      </c>
      <c r="N1954">
        <f>VLOOKUP(A1954,vlookup_table!$A:$G,2,FALSE)</f>
        <v>0</v>
      </c>
      <c r="O1954" t="str">
        <f>VLOOKUP(A1954,vlookup_table!$A:$G,3,FALSE)</f>
        <v>AZ</v>
      </c>
      <c r="P1954">
        <f>VLOOKUP(A1954,vlookup_table!$A:$G,4,FALSE)</f>
        <v>0</v>
      </c>
      <c r="Q1954" t="str">
        <f>VLOOKUP(A1954,vlookup_table!$A:$G,5,FALSE)</f>
        <v>C2</v>
      </c>
      <c r="R1954" t="str">
        <f>VLOOKUP(A1954,vlookup_table!$A:$G,6,FALSE)</f>
        <v>F</v>
      </c>
      <c r="S1954">
        <f>VLOOKUP(A1954,vlookup_table!$A:$G,7,FALSE)</f>
        <v>12</v>
      </c>
      <c r="T1954">
        <f t="shared" si="60"/>
        <v>96</v>
      </c>
      <c r="U1954" t="str">
        <f t="shared" si="61"/>
        <v>Ciudad</v>
      </c>
    </row>
    <row r="1955" spans="1:21" ht="16" x14ac:dyDescent="0.4">
      <c r="A1955" s="6">
        <v>33284</v>
      </c>
      <c r="B1955" s="6" t="s">
        <v>13</v>
      </c>
      <c r="C1955" s="6" t="s">
        <v>14</v>
      </c>
      <c r="D1955" s="6">
        <v>696</v>
      </c>
      <c r="E1955" s="6">
        <v>303</v>
      </c>
      <c r="F1955" s="6">
        <v>369</v>
      </c>
      <c r="G1955" s="6">
        <v>1</v>
      </c>
      <c r="H1955" s="6">
        <v>11637</v>
      </c>
      <c r="I1955" s="6">
        <v>1</v>
      </c>
      <c r="J1955" s="6">
        <v>65</v>
      </c>
      <c r="K1955" s="6">
        <v>339</v>
      </c>
      <c r="L1955" s="6">
        <v>323</v>
      </c>
      <c r="M1955" s="6">
        <v>22.5</v>
      </c>
      <c r="N1955">
        <f>VLOOKUP(A1955,vlookup_table!$A:$G,2,FALSE)</f>
        <v>1</v>
      </c>
      <c r="O1955" t="str">
        <f>VLOOKUP(A1955,vlookup_table!$A:$G,3,FALSE)</f>
        <v>FL</v>
      </c>
      <c r="P1955">
        <f>VLOOKUP(A1955,vlookup_table!$A:$G,4,FALSE)</f>
        <v>3001</v>
      </c>
      <c r="Q1955" t="str">
        <f>VLOOKUP(A1955,vlookup_table!$A:$G,5,FALSE)</f>
        <v>C1</v>
      </c>
      <c r="R1955" t="str">
        <f>VLOOKUP(A1955,vlookup_table!$A:$G,6,FALSE)</f>
        <v>M</v>
      </c>
      <c r="S1955">
        <f>VLOOKUP(A1955,vlookup_table!$A:$G,7,FALSE)</f>
        <v>20</v>
      </c>
      <c r="T1955">
        <f t="shared" si="60"/>
        <v>66</v>
      </c>
      <c r="U1955" t="str">
        <f t="shared" si="61"/>
        <v>Ciudad</v>
      </c>
    </row>
    <row r="1956" spans="1:21" ht="16" x14ac:dyDescent="0.4">
      <c r="A1956" s="6">
        <v>180837</v>
      </c>
      <c r="B1956" s="6" t="s">
        <v>37</v>
      </c>
      <c r="C1956" s="6" t="s">
        <v>14</v>
      </c>
      <c r="D1956" s="6">
        <v>1039</v>
      </c>
      <c r="E1956" s="6">
        <v>279</v>
      </c>
      <c r="F1956" s="6">
        <v>435</v>
      </c>
      <c r="G1956" s="6">
        <v>4</v>
      </c>
      <c r="H1956" s="6">
        <v>15485</v>
      </c>
      <c r="I1956" s="6">
        <v>2</v>
      </c>
      <c r="J1956" s="6">
        <v>58</v>
      </c>
      <c r="K1956" s="6">
        <v>376</v>
      </c>
      <c r="L1956" s="6">
        <v>338</v>
      </c>
      <c r="M1956" s="6">
        <v>25</v>
      </c>
      <c r="N1956">
        <f>VLOOKUP(A1956,vlookup_table!$A:$G,2,FALSE)</f>
        <v>1</v>
      </c>
      <c r="O1956" t="str">
        <f>VLOOKUP(A1956,vlookup_table!$A:$G,3,FALSE)</f>
        <v>WA</v>
      </c>
      <c r="P1956">
        <f>VLOOKUP(A1956,vlookup_table!$A:$G,4,FALSE)</f>
        <v>3101</v>
      </c>
      <c r="Q1956" t="str">
        <f>VLOOKUP(A1956,vlookup_table!$A:$G,5,FALSE)</f>
        <v>C2</v>
      </c>
      <c r="R1956" t="str">
        <f>VLOOKUP(A1956,vlookup_table!$A:$G,6,FALSE)</f>
        <v>M</v>
      </c>
      <c r="S1956">
        <f>VLOOKUP(A1956,vlookup_table!$A:$G,7,FALSE)</f>
        <v>50</v>
      </c>
      <c r="T1956">
        <f t="shared" si="60"/>
        <v>65</v>
      </c>
      <c r="U1956" t="str">
        <f t="shared" si="61"/>
        <v>Ciudad</v>
      </c>
    </row>
    <row r="1957" spans="1:21" ht="16" x14ac:dyDescent="0.4">
      <c r="A1957" s="6">
        <v>37747</v>
      </c>
      <c r="B1957" s="6" t="s">
        <v>13</v>
      </c>
      <c r="C1957" s="6" t="s">
        <v>14</v>
      </c>
      <c r="D1957" s="6">
        <v>1909</v>
      </c>
      <c r="E1957" s="6">
        <v>473</v>
      </c>
      <c r="F1957" s="6">
        <v>779</v>
      </c>
      <c r="G1957" s="6">
        <v>45</v>
      </c>
      <c r="H1957" s="6">
        <v>25255</v>
      </c>
      <c r="I1957" s="6">
        <v>32</v>
      </c>
      <c r="J1957" s="6">
        <v>34</v>
      </c>
      <c r="K1957" s="6">
        <v>688</v>
      </c>
      <c r="L1957" s="6">
        <v>648</v>
      </c>
      <c r="M1957" s="6">
        <v>13.375</v>
      </c>
      <c r="N1957">
        <f>VLOOKUP(A1957,vlookup_table!$A:$G,2,FALSE)</f>
        <v>1</v>
      </c>
      <c r="O1957" t="str">
        <f>VLOOKUP(A1957,vlookup_table!$A:$G,3,FALSE)</f>
        <v>FL</v>
      </c>
      <c r="P1957">
        <f>VLOOKUP(A1957,vlookup_table!$A:$G,4,FALSE)</f>
        <v>6006</v>
      </c>
      <c r="Q1957" t="str">
        <f>VLOOKUP(A1957,vlookup_table!$A:$G,5,FALSE)</f>
        <v>U1</v>
      </c>
      <c r="R1957" t="str">
        <f>VLOOKUP(A1957,vlookup_table!$A:$G,6,FALSE)</f>
        <v>M</v>
      </c>
      <c r="S1957">
        <f>VLOOKUP(A1957,vlookup_table!$A:$G,7,FALSE)</f>
        <v>18</v>
      </c>
      <c r="T1957">
        <f t="shared" si="60"/>
        <v>36</v>
      </c>
      <c r="U1957" t="str">
        <f t="shared" si="61"/>
        <v>Urbano</v>
      </c>
    </row>
    <row r="1958" spans="1:21" ht="16" x14ac:dyDescent="0.4">
      <c r="A1958" s="6">
        <v>108983</v>
      </c>
      <c r="B1958" s="6" t="s">
        <v>46</v>
      </c>
      <c r="C1958" s="6" t="s">
        <v>14</v>
      </c>
      <c r="D1958" s="6">
        <v>535</v>
      </c>
      <c r="E1958" s="6">
        <v>165</v>
      </c>
      <c r="F1958" s="6">
        <v>199</v>
      </c>
      <c r="G1958" s="6">
        <v>0</v>
      </c>
      <c r="H1958" s="6">
        <v>7220</v>
      </c>
      <c r="I1958" s="6">
        <v>0</v>
      </c>
      <c r="J1958" s="6">
        <v>92</v>
      </c>
      <c r="K1958" s="6">
        <v>154</v>
      </c>
      <c r="L1958" s="6">
        <v>200</v>
      </c>
      <c r="M1958" s="6">
        <v>12</v>
      </c>
      <c r="N1958">
        <f>VLOOKUP(A1958,vlookup_table!$A:$G,2,FALSE)</f>
        <v>0</v>
      </c>
      <c r="O1958" t="str">
        <f>VLOOKUP(A1958,vlookup_table!$A:$G,3,FALSE)</f>
        <v>LA</v>
      </c>
      <c r="P1958">
        <f>VLOOKUP(A1958,vlookup_table!$A:$G,4,FALSE)</f>
        <v>2412</v>
      </c>
      <c r="Q1958" t="str">
        <f>VLOOKUP(A1958,vlookup_table!$A:$G,5,FALSE)</f>
        <v>C2</v>
      </c>
      <c r="R1958" t="str">
        <f>VLOOKUP(A1958,vlookup_table!$A:$G,6,FALSE)</f>
        <v>M</v>
      </c>
      <c r="S1958">
        <f>VLOOKUP(A1958,vlookup_table!$A:$G,7,FALSE)</f>
        <v>17</v>
      </c>
      <c r="T1958">
        <f t="shared" si="60"/>
        <v>72</v>
      </c>
      <c r="U1958" t="str">
        <f t="shared" si="61"/>
        <v>Ciudad</v>
      </c>
    </row>
    <row r="1959" spans="1:21" ht="16" x14ac:dyDescent="0.4">
      <c r="A1959" s="6">
        <v>34591</v>
      </c>
      <c r="B1959" s="6" t="s">
        <v>13</v>
      </c>
      <c r="C1959" s="6" t="s">
        <v>14</v>
      </c>
      <c r="D1959" s="6">
        <v>835</v>
      </c>
      <c r="E1959" s="6">
        <v>413</v>
      </c>
      <c r="F1959" s="6">
        <v>410</v>
      </c>
      <c r="G1959" s="6">
        <v>0</v>
      </c>
      <c r="H1959" s="6">
        <v>14004</v>
      </c>
      <c r="I1959" s="6">
        <v>7</v>
      </c>
      <c r="J1959" s="6">
        <v>20</v>
      </c>
      <c r="K1959" s="6">
        <v>414</v>
      </c>
      <c r="L1959" s="6">
        <v>429</v>
      </c>
      <c r="M1959" s="6">
        <v>19.666666670000001</v>
      </c>
      <c r="N1959">
        <f>VLOOKUP(A1959,vlookup_table!$A:$G,2,FALSE)</f>
        <v>1</v>
      </c>
      <c r="O1959" t="str">
        <f>VLOOKUP(A1959,vlookup_table!$A:$G,3,FALSE)</f>
        <v>FL</v>
      </c>
      <c r="P1959">
        <f>VLOOKUP(A1959,vlookup_table!$A:$G,4,FALSE)</f>
        <v>3401</v>
      </c>
      <c r="Q1959" t="str">
        <f>VLOOKUP(A1959,vlookup_table!$A:$G,5,FALSE)</f>
        <v>S2</v>
      </c>
      <c r="R1959" t="str">
        <f>VLOOKUP(A1959,vlookup_table!$A:$G,6,FALSE)</f>
        <v>M</v>
      </c>
      <c r="S1959">
        <f>VLOOKUP(A1959,vlookup_table!$A:$G,7,FALSE)</f>
        <v>23</v>
      </c>
      <c r="T1959">
        <f t="shared" si="60"/>
        <v>62</v>
      </c>
      <c r="U1959" t="str">
        <f t="shared" si="61"/>
        <v>Suburbano</v>
      </c>
    </row>
    <row r="1960" spans="1:21" ht="16" x14ac:dyDescent="0.4">
      <c r="A1960" s="6">
        <v>100691</v>
      </c>
      <c r="B1960" s="6" t="s">
        <v>33</v>
      </c>
      <c r="C1960" s="6" t="s">
        <v>14</v>
      </c>
      <c r="D1960" s="6">
        <v>553</v>
      </c>
      <c r="E1960" s="6">
        <v>196</v>
      </c>
      <c r="F1960" s="6">
        <v>236</v>
      </c>
      <c r="G1960" s="6">
        <v>0</v>
      </c>
      <c r="H1960" s="6">
        <v>9705</v>
      </c>
      <c r="I1960" s="6">
        <v>1</v>
      </c>
      <c r="J1960" s="6">
        <v>76</v>
      </c>
      <c r="K1960" s="6">
        <v>193</v>
      </c>
      <c r="L1960" s="6">
        <v>236</v>
      </c>
      <c r="M1960" s="6">
        <v>4</v>
      </c>
      <c r="N1960">
        <f>VLOOKUP(A1960,vlookup_table!$A:$G,2,FALSE)</f>
        <v>0</v>
      </c>
      <c r="O1960" t="str">
        <f>VLOOKUP(A1960,vlookup_table!$A:$G,3,FALSE)</f>
        <v>MO</v>
      </c>
      <c r="P1960">
        <f>VLOOKUP(A1960,vlookup_table!$A:$G,4,FALSE)</f>
        <v>1305</v>
      </c>
      <c r="Q1960" t="str">
        <f>VLOOKUP(A1960,vlookup_table!$A:$G,5,FALSE)</f>
        <v>C3</v>
      </c>
      <c r="R1960" t="str">
        <f>VLOOKUP(A1960,vlookup_table!$A:$G,6,FALSE)</f>
        <v>M</v>
      </c>
      <c r="S1960">
        <f>VLOOKUP(A1960,vlookup_table!$A:$G,7,FALSE)</f>
        <v>5</v>
      </c>
      <c r="T1960">
        <f t="shared" si="60"/>
        <v>83</v>
      </c>
      <c r="U1960" t="str">
        <f t="shared" si="61"/>
        <v>Ciudad</v>
      </c>
    </row>
    <row r="1961" spans="1:21" ht="16" x14ac:dyDescent="0.4">
      <c r="A1961" s="6">
        <v>95347</v>
      </c>
      <c r="B1961" s="6" t="s">
        <v>16</v>
      </c>
      <c r="C1961" s="6" t="s">
        <v>14</v>
      </c>
      <c r="D1961" s="6">
        <v>652</v>
      </c>
      <c r="E1961" s="6">
        <v>247</v>
      </c>
      <c r="F1961" s="6">
        <v>381</v>
      </c>
      <c r="G1961" s="6">
        <v>0</v>
      </c>
      <c r="H1961" s="6">
        <v>13469</v>
      </c>
      <c r="I1961" s="6">
        <v>1</v>
      </c>
      <c r="J1961" s="6">
        <v>72</v>
      </c>
      <c r="K1961" s="6">
        <v>354</v>
      </c>
      <c r="L1961" s="6">
        <v>306</v>
      </c>
      <c r="M1961" s="6">
        <v>8.2222222219999992</v>
      </c>
      <c r="N1961">
        <f>VLOOKUP(A1961,vlookup_table!$A:$G,2,FALSE)</f>
        <v>1</v>
      </c>
      <c r="O1961" t="str">
        <f>VLOOKUP(A1961,vlookup_table!$A:$G,3,FALSE)</f>
        <v>IL</v>
      </c>
      <c r="P1961">
        <f>VLOOKUP(A1961,vlookup_table!$A:$G,4,FALSE)</f>
        <v>3705</v>
      </c>
      <c r="Q1961" t="str">
        <f>VLOOKUP(A1961,vlookup_table!$A:$G,5,FALSE)</f>
        <v>T2</v>
      </c>
      <c r="R1961" t="str">
        <f>VLOOKUP(A1961,vlookup_table!$A:$G,6,FALSE)</f>
        <v>M</v>
      </c>
      <c r="S1961">
        <f>VLOOKUP(A1961,vlookup_table!$A:$G,7,FALSE)</f>
        <v>7</v>
      </c>
      <c r="T1961">
        <f t="shared" si="60"/>
        <v>59</v>
      </c>
      <c r="U1961" t="str">
        <f t="shared" si="61"/>
        <v>Pueblo</v>
      </c>
    </row>
    <row r="1962" spans="1:21" ht="16" x14ac:dyDescent="0.4">
      <c r="A1962" s="6">
        <v>14717</v>
      </c>
      <c r="B1962" s="6" t="s">
        <v>45</v>
      </c>
      <c r="C1962" s="6" t="s">
        <v>17</v>
      </c>
      <c r="D1962" s="6">
        <v>1125</v>
      </c>
      <c r="E1962" s="6">
        <v>205</v>
      </c>
      <c r="F1962" s="6">
        <v>131</v>
      </c>
      <c r="G1962" s="6">
        <v>0</v>
      </c>
      <c r="H1962" s="6">
        <v>21600</v>
      </c>
      <c r="I1962" s="6">
        <v>3</v>
      </c>
      <c r="J1962" s="6">
        <v>26</v>
      </c>
      <c r="K1962" s="6">
        <v>138</v>
      </c>
      <c r="L1962" s="6">
        <v>281</v>
      </c>
      <c r="M1962" s="6">
        <v>6.4583333329999997</v>
      </c>
      <c r="N1962">
        <f>VLOOKUP(A1962,vlookup_table!$A:$G,2,FALSE)</f>
        <v>28</v>
      </c>
      <c r="O1962" t="str">
        <f>VLOOKUP(A1962,vlookup_table!$A:$G,3,FALSE)</f>
        <v>CO</v>
      </c>
      <c r="P1962">
        <f>VLOOKUP(A1962,vlookup_table!$A:$G,4,FALSE)</f>
        <v>2610</v>
      </c>
      <c r="Q1962" t="str">
        <f>VLOOKUP(A1962,vlookup_table!$A:$G,5,FALSE)</f>
        <v>U2</v>
      </c>
      <c r="R1962" t="str">
        <f>VLOOKUP(A1962,vlookup_table!$A:$G,6,FALSE)</f>
        <v>F</v>
      </c>
      <c r="S1962">
        <f>VLOOKUP(A1962,vlookup_table!$A:$G,7,FALSE)</f>
        <v>15</v>
      </c>
      <c r="T1962">
        <f t="shared" si="60"/>
        <v>70</v>
      </c>
      <c r="U1962" t="str">
        <f t="shared" si="61"/>
        <v>Urbano</v>
      </c>
    </row>
    <row r="1963" spans="1:21" ht="16" x14ac:dyDescent="0.4">
      <c r="A1963" s="6">
        <v>63612</v>
      </c>
      <c r="B1963" s="6" t="s">
        <v>30</v>
      </c>
      <c r="C1963" s="6" t="s">
        <v>17</v>
      </c>
      <c r="D1963" s="6">
        <v>416</v>
      </c>
      <c r="E1963" s="6">
        <v>209</v>
      </c>
      <c r="F1963" s="6">
        <v>243</v>
      </c>
      <c r="G1963" s="6">
        <v>0</v>
      </c>
      <c r="H1963" s="6">
        <v>10117</v>
      </c>
      <c r="I1963" s="6">
        <v>0</v>
      </c>
      <c r="J1963" s="6">
        <v>76</v>
      </c>
      <c r="K1963" s="6">
        <v>221</v>
      </c>
      <c r="L1963" s="6">
        <v>229</v>
      </c>
      <c r="M1963" s="6">
        <v>13.5</v>
      </c>
      <c r="N1963">
        <f>VLOOKUP(A1963,vlookup_table!$A:$G,2,FALSE)</f>
        <v>0</v>
      </c>
      <c r="O1963" t="str">
        <f>VLOOKUP(A1963,vlookup_table!$A:$G,3,FALSE)</f>
        <v>IN</v>
      </c>
      <c r="P1963">
        <f>VLOOKUP(A1963,vlookup_table!$A:$G,4,FALSE)</f>
        <v>6801</v>
      </c>
      <c r="Q1963" t="str">
        <f>VLOOKUP(A1963,vlookup_table!$A:$G,5,FALSE)</f>
        <v>C2</v>
      </c>
      <c r="R1963" t="str">
        <f>VLOOKUP(A1963,vlookup_table!$A:$G,6,FALSE)</f>
        <v>F</v>
      </c>
      <c r="S1963">
        <f>VLOOKUP(A1963,vlookup_table!$A:$G,7,FALSE)</f>
        <v>18</v>
      </c>
      <c r="T1963">
        <f t="shared" si="60"/>
        <v>28</v>
      </c>
      <c r="U1963" t="str">
        <f t="shared" si="61"/>
        <v>Ciudad</v>
      </c>
    </row>
    <row r="1964" spans="1:21" ht="16" x14ac:dyDescent="0.4">
      <c r="A1964" s="6">
        <v>21097</v>
      </c>
      <c r="B1964" s="6" t="s">
        <v>18</v>
      </c>
      <c r="C1964" s="6" t="s">
        <v>14</v>
      </c>
      <c r="D1964" s="6">
        <v>623</v>
      </c>
      <c r="E1964" s="6">
        <v>273</v>
      </c>
      <c r="F1964" s="6">
        <v>319</v>
      </c>
      <c r="G1964" s="6">
        <v>0</v>
      </c>
      <c r="H1964" s="6">
        <v>10923</v>
      </c>
      <c r="I1964" s="6">
        <v>2</v>
      </c>
      <c r="J1964" s="6">
        <v>53</v>
      </c>
      <c r="K1964" s="6">
        <v>300</v>
      </c>
      <c r="L1964" s="6">
        <v>293</v>
      </c>
      <c r="M1964" s="6">
        <v>15</v>
      </c>
      <c r="N1964">
        <f>VLOOKUP(A1964,vlookup_table!$A:$G,2,FALSE)</f>
        <v>1</v>
      </c>
      <c r="O1964" t="str">
        <f>VLOOKUP(A1964,vlookup_table!$A:$G,3,FALSE)</f>
        <v>NC</v>
      </c>
      <c r="P1964">
        <f>VLOOKUP(A1964,vlookup_table!$A:$G,4,FALSE)</f>
        <v>0</v>
      </c>
      <c r="Q1964" t="str">
        <f>VLOOKUP(A1964,vlookup_table!$A:$G,5,FALSE)</f>
        <v>T2</v>
      </c>
      <c r="R1964" t="str">
        <f>VLOOKUP(A1964,vlookup_table!$A:$G,6,FALSE)</f>
        <v>M</v>
      </c>
      <c r="S1964">
        <f>VLOOKUP(A1964,vlookup_table!$A:$G,7,FALSE)</f>
        <v>25</v>
      </c>
      <c r="T1964">
        <f t="shared" si="60"/>
        <v>96</v>
      </c>
      <c r="U1964" t="str">
        <f t="shared" si="61"/>
        <v>Pueblo</v>
      </c>
    </row>
    <row r="1965" spans="1:21" ht="16" x14ac:dyDescent="0.4">
      <c r="A1965" s="6">
        <v>178598</v>
      </c>
      <c r="B1965" s="6" t="s">
        <v>37</v>
      </c>
      <c r="C1965" s="6" t="s">
        <v>17</v>
      </c>
      <c r="D1965" s="6">
        <v>1516</v>
      </c>
      <c r="E1965" s="6">
        <v>519</v>
      </c>
      <c r="F1965" s="6">
        <v>548</v>
      </c>
      <c r="G1965" s="6">
        <v>16</v>
      </c>
      <c r="H1965" s="6">
        <v>20117</v>
      </c>
      <c r="I1965" s="6">
        <v>17</v>
      </c>
      <c r="J1965" s="6">
        <v>44</v>
      </c>
      <c r="K1965" s="6">
        <v>555</v>
      </c>
      <c r="L1965" s="6">
        <v>527</v>
      </c>
      <c r="M1965" s="6">
        <v>4.1666666670000003</v>
      </c>
      <c r="N1965">
        <f>VLOOKUP(A1965,vlookup_table!$A:$G,2,FALSE)</f>
        <v>0</v>
      </c>
      <c r="O1965" t="str">
        <f>VLOOKUP(A1965,vlookup_table!$A:$G,3,FALSE)</f>
        <v>WA</v>
      </c>
      <c r="P1965">
        <f>VLOOKUP(A1965,vlookup_table!$A:$G,4,FALSE)</f>
        <v>4701</v>
      </c>
      <c r="Q1965" t="str">
        <f>VLOOKUP(A1965,vlookup_table!$A:$G,5,FALSE)</f>
        <v>S1</v>
      </c>
      <c r="R1965" t="str">
        <f>VLOOKUP(A1965,vlookup_table!$A:$G,6,FALSE)</f>
        <v>F</v>
      </c>
      <c r="S1965">
        <f>VLOOKUP(A1965,vlookup_table!$A:$G,7,FALSE)</f>
        <v>4</v>
      </c>
      <c r="T1965">
        <f t="shared" si="60"/>
        <v>49</v>
      </c>
      <c r="U1965" t="str">
        <f t="shared" si="61"/>
        <v>Suburbano</v>
      </c>
    </row>
    <row r="1966" spans="1:21" ht="16" x14ac:dyDescent="0.4">
      <c r="A1966" s="6">
        <v>81630</v>
      </c>
      <c r="B1966" s="6" t="s">
        <v>32</v>
      </c>
      <c r="C1966" s="6" t="s">
        <v>17</v>
      </c>
      <c r="D1966" s="6">
        <v>182</v>
      </c>
      <c r="E1966" s="6">
        <v>78</v>
      </c>
      <c r="F1966" s="6">
        <v>209</v>
      </c>
      <c r="G1966" s="6">
        <v>0</v>
      </c>
      <c r="H1966" s="6">
        <v>8279</v>
      </c>
      <c r="I1966" s="6">
        <v>2</v>
      </c>
      <c r="J1966" s="6">
        <v>59</v>
      </c>
      <c r="K1966" s="6">
        <v>181</v>
      </c>
      <c r="L1966" s="6">
        <v>126</v>
      </c>
      <c r="M1966" s="6">
        <v>4.3529411769999999</v>
      </c>
      <c r="N1966">
        <f>VLOOKUP(A1966,vlookup_table!$A:$G,2,FALSE)</f>
        <v>0</v>
      </c>
      <c r="O1966" t="str">
        <f>VLOOKUP(A1966,vlookup_table!$A:$G,3,FALSE)</f>
        <v>WI</v>
      </c>
      <c r="P1966">
        <f>VLOOKUP(A1966,vlookup_table!$A:$G,4,FALSE)</f>
        <v>0</v>
      </c>
      <c r="Q1966" t="str">
        <f>VLOOKUP(A1966,vlookup_table!$A:$G,5,FALSE)</f>
        <v>C3</v>
      </c>
      <c r="R1966" t="str">
        <f>VLOOKUP(A1966,vlookup_table!$A:$G,6,FALSE)</f>
        <v>F</v>
      </c>
      <c r="S1966">
        <f>VLOOKUP(A1966,vlookup_table!$A:$G,7,FALSE)</f>
        <v>12</v>
      </c>
      <c r="T1966">
        <f t="shared" si="60"/>
        <v>96</v>
      </c>
      <c r="U1966" t="str">
        <f t="shared" si="61"/>
        <v>Ciudad</v>
      </c>
    </row>
    <row r="1967" spans="1:21" ht="16" x14ac:dyDescent="0.4">
      <c r="A1967" s="6">
        <v>57087</v>
      </c>
      <c r="B1967" s="6" t="s">
        <v>53</v>
      </c>
      <c r="C1967" s="6" t="s">
        <v>14</v>
      </c>
      <c r="D1967" s="6">
        <v>821</v>
      </c>
      <c r="E1967" s="6">
        <v>259</v>
      </c>
      <c r="F1967" s="6">
        <v>334</v>
      </c>
      <c r="G1967" s="6">
        <v>1</v>
      </c>
      <c r="H1967" s="6">
        <v>10613</v>
      </c>
      <c r="I1967" s="6">
        <v>1</v>
      </c>
      <c r="J1967" s="6">
        <v>80</v>
      </c>
      <c r="K1967" s="6">
        <v>298</v>
      </c>
      <c r="L1967" s="6">
        <v>304</v>
      </c>
      <c r="M1967" s="6">
        <v>11.66666667</v>
      </c>
      <c r="N1967">
        <f>VLOOKUP(A1967,vlookup_table!$A:$G,2,FALSE)</f>
        <v>1</v>
      </c>
      <c r="O1967" t="str">
        <f>VLOOKUP(A1967,vlookup_table!$A:$G,3,FALSE)</f>
        <v>KY</v>
      </c>
      <c r="P1967">
        <f>VLOOKUP(A1967,vlookup_table!$A:$G,4,FALSE)</f>
        <v>4601</v>
      </c>
      <c r="Q1967" t="str">
        <f>VLOOKUP(A1967,vlookup_table!$A:$G,5,FALSE)</f>
        <v>R2</v>
      </c>
      <c r="R1967" t="str">
        <f>VLOOKUP(A1967,vlookup_table!$A:$G,6,FALSE)</f>
        <v>M</v>
      </c>
      <c r="S1967">
        <f>VLOOKUP(A1967,vlookup_table!$A:$G,7,FALSE)</f>
        <v>15</v>
      </c>
      <c r="T1967">
        <f t="shared" si="60"/>
        <v>50</v>
      </c>
      <c r="U1967" t="str">
        <f t="shared" si="61"/>
        <v>Rural</v>
      </c>
    </row>
    <row r="1968" spans="1:21" ht="16" x14ac:dyDescent="0.4">
      <c r="A1968" s="6">
        <v>81985</v>
      </c>
      <c r="B1968" s="6" t="s">
        <v>32</v>
      </c>
      <c r="C1968" s="6" t="s">
        <v>14</v>
      </c>
      <c r="D1968" s="6">
        <v>486</v>
      </c>
      <c r="E1968" s="6">
        <v>274</v>
      </c>
      <c r="F1968" s="6">
        <v>336</v>
      </c>
      <c r="G1968" s="6">
        <v>0</v>
      </c>
      <c r="H1968" s="6">
        <v>11085</v>
      </c>
      <c r="I1968" s="6">
        <v>0</v>
      </c>
      <c r="J1968" s="6">
        <v>83</v>
      </c>
      <c r="K1968" s="6">
        <v>327</v>
      </c>
      <c r="L1968" s="6">
        <v>289</v>
      </c>
      <c r="M1968" s="6">
        <v>7.5454545450000001</v>
      </c>
      <c r="N1968">
        <f>VLOOKUP(A1968,vlookup_table!$A:$G,2,FALSE)</f>
        <v>0</v>
      </c>
      <c r="O1968" t="str">
        <f>VLOOKUP(A1968,vlookup_table!$A:$G,3,FALSE)</f>
        <v>WI</v>
      </c>
      <c r="P1968">
        <f>VLOOKUP(A1968,vlookup_table!$A:$G,4,FALSE)</f>
        <v>6611</v>
      </c>
      <c r="Q1968" t="str">
        <f>VLOOKUP(A1968,vlookup_table!$A:$G,5,FALSE)</f>
        <v>R2</v>
      </c>
      <c r="R1968" t="str">
        <f>VLOOKUP(A1968,vlookup_table!$A:$G,6,FALSE)</f>
        <v>M</v>
      </c>
      <c r="S1968">
        <f>VLOOKUP(A1968,vlookup_table!$A:$G,7,FALSE)</f>
        <v>14</v>
      </c>
      <c r="T1968">
        <f t="shared" si="60"/>
        <v>30</v>
      </c>
      <c r="U1968" t="str">
        <f t="shared" si="61"/>
        <v>Rural</v>
      </c>
    </row>
    <row r="1969" spans="1:21" ht="16" x14ac:dyDescent="0.4">
      <c r="A1969" s="6">
        <v>148795</v>
      </c>
      <c r="B1969" s="6" t="s">
        <v>21</v>
      </c>
      <c r="C1969" s="6" t="s">
        <v>14</v>
      </c>
      <c r="D1969" s="6">
        <v>2259</v>
      </c>
      <c r="E1969" s="6">
        <v>557</v>
      </c>
      <c r="F1969" s="6">
        <v>603</v>
      </c>
      <c r="G1969" s="6">
        <v>71</v>
      </c>
      <c r="H1969" s="6">
        <v>18914</v>
      </c>
      <c r="I1969" s="6">
        <v>18</v>
      </c>
      <c r="J1969" s="6">
        <v>48</v>
      </c>
      <c r="K1969" s="6">
        <v>567</v>
      </c>
      <c r="L1969" s="6">
        <v>600</v>
      </c>
      <c r="M1969" s="6">
        <v>6.4</v>
      </c>
      <c r="N1969">
        <f>VLOOKUP(A1969,vlookup_table!$A:$G,2,FALSE)</f>
        <v>0</v>
      </c>
      <c r="O1969" t="str">
        <f>VLOOKUP(A1969,vlookup_table!$A:$G,3,FALSE)</f>
        <v>CA</v>
      </c>
      <c r="P1969">
        <f>VLOOKUP(A1969,vlookup_table!$A:$G,4,FALSE)</f>
        <v>5401</v>
      </c>
      <c r="Q1969" t="str">
        <f>VLOOKUP(A1969,vlookup_table!$A:$G,5,FALSE)</f>
        <v>S1</v>
      </c>
      <c r="R1969" t="str">
        <f>VLOOKUP(A1969,vlookup_table!$A:$G,6,FALSE)</f>
        <v>M</v>
      </c>
      <c r="S1969">
        <f>VLOOKUP(A1969,vlookup_table!$A:$G,7,FALSE)</f>
        <v>10</v>
      </c>
      <c r="T1969">
        <f t="shared" si="60"/>
        <v>42</v>
      </c>
      <c r="U1969" t="str">
        <f t="shared" si="61"/>
        <v>Suburbano</v>
      </c>
    </row>
    <row r="1970" spans="1:21" ht="16" x14ac:dyDescent="0.4">
      <c r="A1970" s="6">
        <v>78778</v>
      </c>
      <c r="B1970" s="6" t="s">
        <v>32</v>
      </c>
      <c r="C1970" s="6" t="s">
        <v>14</v>
      </c>
      <c r="D1970" s="6">
        <v>659</v>
      </c>
      <c r="E1970" s="6">
        <v>315</v>
      </c>
      <c r="F1970" s="6">
        <v>399</v>
      </c>
      <c r="G1970" s="6">
        <v>0</v>
      </c>
      <c r="H1970" s="6">
        <v>14721</v>
      </c>
      <c r="I1970" s="6">
        <v>9</v>
      </c>
      <c r="J1970" s="6">
        <v>83</v>
      </c>
      <c r="K1970" s="6">
        <v>365</v>
      </c>
      <c r="L1970" s="6">
        <v>356</v>
      </c>
      <c r="M1970" s="6">
        <v>13.16666667</v>
      </c>
      <c r="N1970">
        <f>VLOOKUP(A1970,vlookup_table!$A:$G,2,FALSE)</f>
        <v>1</v>
      </c>
      <c r="O1970" t="str">
        <f>VLOOKUP(A1970,vlookup_table!$A:$G,3,FALSE)</f>
        <v>WI</v>
      </c>
      <c r="P1970">
        <f>VLOOKUP(A1970,vlookup_table!$A:$G,4,FALSE)</f>
        <v>2706</v>
      </c>
      <c r="Q1970" t="str">
        <f>VLOOKUP(A1970,vlookup_table!$A:$G,5,FALSE)</f>
        <v>S2</v>
      </c>
      <c r="R1970" t="str">
        <f>VLOOKUP(A1970,vlookup_table!$A:$G,6,FALSE)</f>
        <v>M</v>
      </c>
      <c r="S1970">
        <f>VLOOKUP(A1970,vlookup_table!$A:$G,7,FALSE)</f>
        <v>21</v>
      </c>
      <c r="T1970">
        <f t="shared" si="60"/>
        <v>69</v>
      </c>
      <c r="U1970" t="str">
        <f t="shared" si="61"/>
        <v>Suburbano</v>
      </c>
    </row>
    <row r="1971" spans="1:21" ht="16" x14ac:dyDescent="0.4">
      <c r="A1971" s="6">
        <v>121256</v>
      </c>
      <c r="B1971" s="6" t="s">
        <v>20</v>
      </c>
      <c r="C1971" s="6" t="s">
        <v>14</v>
      </c>
      <c r="D1971" s="6">
        <v>423</v>
      </c>
      <c r="E1971" s="6">
        <v>294</v>
      </c>
      <c r="F1971" s="6">
        <v>360</v>
      </c>
      <c r="G1971" s="6">
        <v>0</v>
      </c>
      <c r="H1971" s="6">
        <v>10114</v>
      </c>
      <c r="I1971" s="6">
        <v>6</v>
      </c>
      <c r="J1971" s="6">
        <v>73</v>
      </c>
      <c r="K1971" s="6">
        <v>323</v>
      </c>
      <c r="L1971" s="6">
        <v>322</v>
      </c>
      <c r="M1971" s="6">
        <v>9.6956521739999992</v>
      </c>
      <c r="N1971">
        <f>VLOOKUP(A1971,vlookup_table!$A:$G,2,FALSE)</f>
        <v>1</v>
      </c>
      <c r="O1971" t="str">
        <f>VLOOKUP(A1971,vlookup_table!$A:$G,3,FALSE)</f>
        <v>TX</v>
      </c>
      <c r="P1971">
        <f>VLOOKUP(A1971,vlookup_table!$A:$G,4,FALSE)</f>
        <v>0</v>
      </c>
      <c r="Q1971" t="str">
        <f>VLOOKUP(A1971,vlookup_table!$A:$G,5,FALSE)</f>
        <v>S3</v>
      </c>
      <c r="R1971" t="str">
        <f>VLOOKUP(A1971,vlookup_table!$A:$G,6,FALSE)</f>
        <v>M</v>
      </c>
      <c r="S1971">
        <f>VLOOKUP(A1971,vlookup_table!$A:$G,7,FALSE)</f>
        <v>15</v>
      </c>
      <c r="T1971">
        <f t="shared" si="60"/>
        <v>96</v>
      </c>
      <c r="U1971" t="str">
        <f t="shared" si="61"/>
        <v>Suburbano</v>
      </c>
    </row>
    <row r="1972" spans="1:21" ht="16" x14ac:dyDescent="0.4">
      <c r="A1972" s="6">
        <v>177041</v>
      </c>
      <c r="B1972" s="6" t="s">
        <v>47</v>
      </c>
      <c r="C1972" s="6" t="s">
        <v>17</v>
      </c>
      <c r="D1972" s="6">
        <v>661</v>
      </c>
      <c r="E1972" s="6">
        <v>259</v>
      </c>
      <c r="F1972" s="6">
        <v>327</v>
      </c>
      <c r="G1972" s="6">
        <v>3</v>
      </c>
      <c r="H1972" s="6">
        <v>11461</v>
      </c>
      <c r="I1972" s="6">
        <v>1</v>
      </c>
      <c r="J1972" s="6">
        <v>47</v>
      </c>
      <c r="K1972" s="6">
        <v>286</v>
      </c>
      <c r="L1972" s="6">
        <v>292</v>
      </c>
      <c r="M1972" s="6">
        <v>12.5</v>
      </c>
      <c r="N1972">
        <f>VLOOKUP(A1972,vlookup_table!$A:$G,2,FALSE)</f>
        <v>2</v>
      </c>
      <c r="O1972" t="str">
        <f>VLOOKUP(A1972,vlookup_table!$A:$G,3,FALSE)</f>
        <v>OR</v>
      </c>
      <c r="P1972">
        <f>VLOOKUP(A1972,vlookup_table!$A:$G,4,FALSE)</f>
        <v>0</v>
      </c>
      <c r="Q1972" t="str">
        <f>VLOOKUP(A1972,vlookup_table!$A:$G,5,FALSE)</f>
        <v>R2</v>
      </c>
      <c r="R1972" t="str">
        <f>VLOOKUP(A1972,vlookup_table!$A:$G,6,FALSE)</f>
        <v>F</v>
      </c>
      <c r="S1972">
        <f>VLOOKUP(A1972,vlookup_table!$A:$G,7,FALSE)</f>
        <v>15</v>
      </c>
      <c r="T1972">
        <f t="shared" si="60"/>
        <v>96</v>
      </c>
      <c r="U1972" t="str">
        <f t="shared" si="61"/>
        <v>Rural</v>
      </c>
    </row>
    <row r="1973" spans="1:21" ht="16" x14ac:dyDescent="0.4">
      <c r="A1973" s="6">
        <v>141209</v>
      </c>
      <c r="B1973" s="6" t="s">
        <v>45</v>
      </c>
      <c r="C1973" s="6" t="s">
        <v>14</v>
      </c>
      <c r="D1973" s="6">
        <v>660</v>
      </c>
      <c r="E1973" s="6">
        <v>203</v>
      </c>
      <c r="F1973" s="6">
        <v>262</v>
      </c>
      <c r="G1973" s="6">
        <v>0</v>
      </c>
      <c r="H1973" s="6">
        <v>12060</v>
      </c>
      <c r="I1973" s="6">
        <v>10</v>
      </c>
      <c r="J1973" s="6">
        <v>43</v>
      </c>
      <c r="K1973" s="6">
        <v>238</v>
      </c>
      <c r="L1973" s="6">
        <v>223</v>
      </c>
      <c r="M1973" s="6">
        <v>15.33333333</v>
      </c>
      <c r="N1973">
        <f>VLOOKUP(A1973,vlookup_table!$A:$G,2,FALSE)</f>
        <v>0</v>
      </c>
      <c r="O1973" t="str">
        <f>VLOOKUP(A1973,vlookup_table!$A:$G,3,FALSE)</f>
        <v>CO</v>
      </c>
      <c r="P1973">
        <f>VLOOKUP(A1973,vlookup_table!$A:$G,4,FALSE)</f>
        <v>0</v>
      </c>
      <c r="Q1973" t="str">
        <f>VLOOKUP(A1973,vlookup_table!$A:$G,5,FALSE)</f>
        <v>S2</v>
      </c>
      <c r="R1973" t="str">
        <f>VLOOKUP(A1973,vlookup_table!$A:$G,6,FALSE)</f>
        <v>M</v>
      </c>
      <c r="S1973">
        <f>VLOOKUP(A1973,vlookup_table!$A:$G,7,FALSE)</f>
        <v>10</v>
      </c>
      <c r="T1973">
        <f t="shared" si="60"/>
        <v>96</v>
      </c>
      <c r="U1973" t="str">
        <f t="shared" si="61"/>
        <v>Suburbano</v>
      </c>
    </row>
    <row r="1974" spans="1:21" ht="16" x14ac:dyDescent="0.4">
      <c r="A1974" s="6">
        <v>75346</v>
      </c>
      <c r="B1974" s="6" t="s">
        <v>44</v>
      </c>
      <c r="C1974" s="6" t="s">
        <v>14</v>
      </c>
      <c r="D1974" s="6">
        <v>349</v>
      </c>
      <c r="E1974" s="6">
        <v>228</v>
      </c>
      <c r="F1974" s="6">
        <v>311</v>
      </c>
      <c r="G1974" s="6">
        <v>0</v>
      </c>
      <c r="H1974" s="6">
        <v>10584</v>
      </c>
      <c r="I1974" s="6">
        <v>4</v>
      </c>
      <c r="J1974" s="6">
        <v>76</v>
      </c>
      <c r="K1974" s="6">
        <v>308</v>
      </c>
      <c r="L1974" s="6">
        <v>259</v>
      </c>
      <c r="M1974" s="6">
        <v>8.1111111109999996</v>
      </c>
      <c r="N1974">
        <f>VLOOKUP(A1974,vlookup_table!$A:$G,2,FALSE)</f>
        <v>0</v>
      </c>
      <c r="O1974" t="str">
        <f>VLOOKUP(A1974,vlookup_table!$A:$G,3,FALSE)</f>
        <v>IA</v>
      </c>
      <c r="P1974">
        <f>VLOOKUP(A1974,vlookup_table!$A:$G,4,FALSE)</f>
        <v>2801</v>
      </c>
      <c r="Q1974" t="str">
        <f>VLOOKUP(A1974,vlookup_table!$A:$G,5,FALSE)</f>
        <v>R2</v>
      </c>
      <c r="R1974" t="str">
        <f>VLOOKUP(A1974,vlookup_table!$A:$G,6,FALSE)</f>
        <v>M</v>
      </c>
      <c r="S1974">
        <f>VLOOKUP(A1974,vlookup_table!$A:$G,7,FALSE)</f>
        <v>15</v>
      </c>
      <c r="T1974">
        <f t="shared" si="60"/>
        <v>68</v>
      </c>
      <c r="U1974" t="str">
        <f t="shared" si="61"/>
        <v>Rural</v>
      </c>
    </row>
    <row r="1975" spans="1:21" ht="16" x14ac:dyDescent="0.4">
      <c r="A1975" s="6">
        <v>187318</v>
      </c>
      <c r="B1975" s="6" t="s">
        <v>18</v>
      </c>
      <c r="C1975" s="6" t="s">
        <v>97</v>
      </c>
      <c r="D1975" s="6">
        <v>550</v>
      </c>
      <c r="E1975" s="6">
        <v>249</v>
      </c>
      <c r="F1975" s="6">
        <v>360</v>
      </c>
      <c r="G1975" s="6">
        <v>1</v>
      </c>
      <c r="H1975" s="6">
        <v>12591</v>
      </c>
      <c r="I1975" s="6">
        <v>2</v>
      </c>
      <c r="J1975" s="6">
        <v>79</v>
      </c>
      <c r="K1975" s="6">
        <v>356</v>
      </c>
      <c r="L1975" s="6">
        <v>293</v>
      </c>
      <c r="M1975" s="6">
        <v>12.5</v>
      </c>
      <c r="N1975">
        <f>VLOOKUP(A1975,vlookup_table!$A:$G,2,FALSE)</f>
        <v>0</v>
      </c>
      <c r="O1975" t="str">
        <f>VLOOKUP(A1975,vlookup_table!$A:$G,3,FALSE)</f>
        <v>NC</v>
      </c>
      <c r="P1975">
        <f>VLOOKUP(A1975,vlookup_table!$A:$G,4,FALSE)</f>
        <v>0</v>
      </c>
      <c r="Q1975" t="str">
        <f>VLOOKUP(A1975,vlookup_table!$A:$G,5,FALSE)</f>
        <v>T2</v>
      </c>
      <c r="R1975" t="str">
        <f>VLOOKUP(A1975,vlookup_table!$A:$G,6,FALSE)</f>
        <v>F</v>
      </c>
      <c r="S1975">
        <f>VLOOKUP(A1975,vlookup_table!$A:$G,7,FALSE)</f>
        <v>18</v>
      </c>
      <c r="T1975">
        <f t="shared" si="60"/>
        <v>96</v>
      </c>
      <c r="U1975" t="str">
        <f t="shared" si="61"/>
        <v>Pueblo</v>
      </c>
    </row>
    <row r="1976" spans="1:21" ht="16" x14ac:dyDescent="0.4">
      <c r="A1976" s="6">
        <v>22119</v>
      </c>
      <c r="B1976" s="6" t="s">
        <v>18</v>
      </c>
      <c r="C1976" s="6" t="s">
        <v>14</v>
      </c>
      <c r="D1976" s="6">
        <v>508</v>
      </c>
      <c r="E1976" s="6">
        <v>193</v>
      </c>
      <c r="F1976" s="6">
        <v>280</v>
      </c>
      <c r="G1976" s="6">
        <v>5</v>
      </c>
      <c r="H1976" s="6">
        <v>9443</v>
      </c>
      <c r="I1976" s="6">
        <v>0</v>
      </c>
      <c r="J1976" s="6">
        <v>74</v>
      </c>
      <c r="K1976" s="6">
        <v>224</v>
      </c>
      <c r="L1976" s="6">
        <v>245</v>
      </c>
      <c r="M1976" s="6">
        <v>9.4285714289999998</v>
      </c>
      <c r="N1976">
        <f>VLOOKUP(A1976,vlookup_table!$A:$G,2,FALSE)</f>
        <v>1</v>
      </c>
      <c r="O1976" t="str">
        <f>VLOOKUP(A1976,vlookup_table!$A:$G,3,FALSE)</f>
        <v>NC</v>
      </c>
      <c r="P1976">
        <f>VLOOKUP(A1976,vlookup_table!$A:$G,4,FALSE)</f>
        <v>1902</v>
      </c>
      <c r="Q1976" t="str">
        <f>VLOOKUP(A1976,vlookup_table!$A:$G,5,FALSE)</f>
        <v>R2</v>
      </c>
      <c r="R1976" t="str">
        <f>VLOOKUP(A1976,vlookup_table!$A:$G,6,FALSE)</f>
        <v>M</v>
      </c>
      <c r="S1976">
        <f>VLOOKUP(A1976,vlookup_table!$A:$G,7,FALSE)</f>
        <v>10</v>
      </c>
      <c r="T1976">
        <f t="shared" si="60"/>
        <v>77</v>
      </c>
      <c r="U1976" t="str">
        <f t="shared" si="61"/>
        <v>Rural</v>
      </c>
    </row>
    <row r="1977" spans="1:21" ht="16" x14ac:dyDescent="0.4">
      <c r="A1977" s="6">
        <v>22149</v>
      </c>
      <c r="B1977" s="6" t="s">
        <v>18</v>
      </c>
      <c r="C1977" s="6" t="s">
        <v>14</v>
      </c>
      <c r="D1977" s="6">
        <v>639</v>
      </c>
      <c r="E1977" s="6">
        <v>228</v>
      </c>
      <c r="F1977" s="6">
        <v>333</v>
      </c>
      <c r="G1977" s="6">
        <v>2</v>
      </c>
      <c r="H1977" s="6">
        <v>12224</v>
      </c>
      <c r="I1977" s="6">
        <v>1</v>
      </c>
      <c r="J1977" s="6">
        <v>77</v>
      </c>
      <c r="K1977" s="6">
        <v>269</v>
      </c>
      <c r="L1977" s="6">
        <v>289</v>
      </c>
      <c r="M1977" s="6">
        <v>9.25</v>
      </c>
      <c r="N1977">
        <f>VLOOKUP(A1977,vlookup_table!$A:$G,2,FALSE)</f>
        <v>1</v>
      </c>
      <c r="O1977" t="str">
        <f>VLOOKUP(A1977,vlookup_table!$A:$G,3,FALSE)</f>
        <v>NC</v>
      </c>
      <c r="P1977">
        <f>VLOOKUP(A1977,vlookup_table!$A:$G,4,FALSE)</f>
        <v>0</v>
      </c>
      <c r="Q1977" t="str">
        <f>VLOOKUP(A1977,vlookup_table!$A:$G,5,FALSE)</f>
        <v>R2</v>
      </c>
      <c r="R1977" t="str">
        <f>VLOOKUP(A1977,vlookup_table!$A:$G,6,FALSE)</f>
        <v>M</v>
      </c>
      <c r="S1977">
        <f>VLOOKUP(A1977,vlookup_table!$A:$G,7,FALSE)</f>
        <v>20</v>
      </c>
      <c r="T1977">
        <f t="shared" si="60"/>
        <v>96</v>
      </c>
      <c r="U1977" t="str">
        <f t="shared" si="61"/>
        <v>Rural</v>
      </c>
    </row>
    <row r="1978" spans="1:21" ht="16" x14ac:dyDescent="0.4">
      <c r="A1978" s="6">
        <v>32622</v>
      </c>
      <c r="B1978" s="6" t="s">
        <v>13</v>
      </c>
      <c r="C1978" s="6" t="s">
        <v>14</v>
      </c>
      <c r="D1978" s="6">
        <v>533</v>
      </c>
      <c r="E1978" s="6">
        <v>201</v>
      </c>
      <c r="F1978" s="6">
        <v>286</v>
      </c>
      <c r="G1978" s="6">
        <v>4</v>
      </c>
      <c r="H1978" s="6">
        <v>10597</v>
      </c>
      <c r="I1978" s="6">
        <v>3</v>
      </c>
      <c r="J1978" s="6">
        <v>25</v>
      </c>
      <c r="K1978" s="6">
        <v>230</v>
      </c>
      <c r="L1978" s="6">
        <v>256</v>
      </c>
      <c r="M1978" s="6">
        <v>23.833333329999999</v>
      </c>
      <c r="N1978">
        <f>VLOOKUP(A1978,vlookup_table!$A:$G,2,FALSE)</f>
        <v>1</v>
      </c>
      <c r="O1978" t="str">
        <f>VLOOKUP(A1978,vlookup_table!$A:$G,3,FALSE)</f>
        <v>FL</v>
      </c>
      <c r="P1978">
        <f>VLOOKUP(A1978,vlookup_table!$A:$G,4,FALSE)</f>
        <v>805</v>
      </c>
      <c r="Q1978" t="str">
        <f>VLOOKUP(A1978,vlookup_table!$A:$G,5,FALSE)</f>
        <v>R2</v>
      </c>
      <c r="R1978" t="str">
        <f>VLOOKUP(A1978,vlookup_table!$A:$G,6,FALSE)</f>
        <v>M</v>
      </c>
      <c r="S1978">
        <f>VLOOKUP(A1978,vlookup_table!$A:$G,7,FALSE)</f>
        <v>47</v>
      </c>
      <c r="T1978">
        <f t="shared" si="60"/>
        <v>16</v>
      </c>
      <c r="U1978" t="str">
        <f t="shared" si="61"/>
        <v>Rural</v>
      </c>
    </row>
    <row r="1979" spans="1:21" ht="16" x14ac:dyDescent="0.4">
      <c r="A1979" s="6">
        <v>76758</v>
      </c>
      <c r="B1979" s="6" t="s">
        <v>44</v>
      </c>
      <c r="C1979" s="6" t="s">
        <v>17</v>
      </c>
      <c r="D1979" s="6">
        <v>275</v>
      </c>
      <c r="E1979" s="6">
        <v>282</v>
      </c>
      <c r="F1979" s="6">
        <v>331</v>
      </c>
      <c r="G1979" s="6">
        <v>0</v>
      </c>
      <c r="H1979" s="6">
        <v>11044</v>
      </c>
      <c r="I1979" s="6">
        <v>0</v>
      </c>
      <c r="J1979" s="6">
        <v>89</v>
      </c>
      <c r="K1979" s="6">
        <v>319</v>
      </c>
      <c r="L1979" s="6">
        <v>288</v>
      </c>
      <c r="M1979" s="6">
        <v>5.9166666670000003</v>
      </c>
      <c r="N1979">
        <f>VLOOKUP(A1979,vlookup_table!$A:$G,2,FALSE)</f>
        <v>0</v>
      </c>
      <c r="O1979" t="str">
        <f>VLOOKUP(A1979,vlookup_table!$A:$G,3,FALSE)</f>
        <v>IA</v>
      </c>
      <c r="P1979">
        <f>VLOOKUP(A1979,vlookup_table!$A:$G,4,FALSE)</f>
        <v>2801</v>
      </c>
      <c r="Q1979" t="str">
        <f>VLOOKUP(A1979,vlookup_table!$A:$G,5,FALSE)</f>
        <v>R2</v>
      </c>
      <c r="R1979" t="str">
        <f>VLOOKUP(A1979,vlookup_table!$A:$G,6,FALSE)</f>
        <v>F</v>
      </c>
      <c r="S1979">
        <f>VLOOKUP(A1979,vlookup_table!$A:$G,7,FALSE)</f>
        <v>10</v>
      </c>
      <c r="T1979">
        <f t="shared" si="60"/>
        <v>68</v>
      </c>
      <c r="U1979" t="str">
        <f t="shared" si="61"/>
        <v>Rural</v>
      </c>
    </row>
    <row r="1980" spans="1:21" ht="16" x14ac:dyDescent="0.4">
      <c r="A1980" s="6">
        <v>161838</v>
      </c>
      <c r="B1980" s="6" t="s">
        <v>21</v>
      </c>
      <c r="C1980" s="6" t="s">
        <v>17</v>
      </c>
      <c r="D1980" s="6">
        <v>1953</v>
      </c>
      <c r="E1980" s="6">
        <v>304</v>
      </c>
      <c r="F1980" s="6">
        <v>380</v>
      </c>
      <c r="G1980" s="6">
        <v>47</v>
      </c>
      <c r="H1980" s="6">
        <v>13811</v>
      </c>
      <c r="I1980" s="6">
        <v>25</v>
      </c>
      <c r="J1980" s="6">
        <v>43</v>
      </c>
      <c r="K1980" s="6">
        <v>353</v>
      </c>
      <c r="L1980" s="6">
        <v>337</v>
      </c>
      <c r="M1980" s="6">
        <v>13.5</v>
      </c>
      <c r="N1980">
        <f>VLOOKUP(A1980,vlookup_table!$A:$G,2,FALSE)</f>
        <v>0</v>
      </c>
      <c r="O1980" t="str">
        <f>VLOOKUP(A1980,vlookup_table!$A:$G,3,FALSE)</f>
        <v>CA</v>
      </c>
      <c r="P1980">
        <f>VLOOKUP(A1980,vlookup_table!$A:$G,4,FALSE)</f>
        <v>4212</v>
      </c>
      <c r="Q1980" t="str">
        <f>VLOOKUP(A1980,vlookup_table!$A:$G,5,FALSE)</f>
        <v>C2</v>
      </c>
      <c r="R1980" t="str">
        <f>VLOOKUP(A1980,vlookup_table!$A:$G,6,FALSE)</f>
        <v>F</v>
      </c>
      <c r="S1980">
        <f>VLOOKUP(A1980,vlookup_table!$A:$G,7,FALSE)</f>
        <v>14</v>
      </c>
      <c r="T1980">
        <f t="shared" si="60"/>
        <v>54</v>
      </c>
      <c r="U1980" t="str">
        <f t="shared" si="61"/>
        <v>Ciudad</v>
      </c>
    </row>
    <row r="1981" spans="1:21" ht="16" x14ac:dyDescent="0.4">
      <c r="A1981" s="6">
        <v>70863</v>
      </c>
      <c r="B1981" s="6" t="s">
        <v>26</v>
      </c>
      <c r="C1981" s="6" t="s">
        <v>14</v>
      </c>
      <c r="D1981" s="6">
        <v>494</v>
      </c>
      <c r="E1981" s="6">
        <v>269</v>
      </c>
      <c r="F1981" s="6">
        <v>373</v>
      </c>
      <c r="G1981" s="6">
        <v>0</v>
      </c>
      <c r="H1981" s="6">
        <v>12815</v>
      </c>
      <c r="I1981" s="6">
        <v>1</v>
      </c>
      <c r="J1981" s="6">
        <v>93</v>
      </c>
      <c r="K1981" s="6">
        <v>331</v>
      </c>
      <c r="L1981" s="6">
        <v>316</v>
      </c>
      <c r="M1981" s="6">
        <v>6.5714285710000002</v>
      </c>
      <c r="N1981">
        <f>VLOOKUP(A1981,vlookup_table!$A:$G,2,FALSE)</f>
        <v>1</v>
      </c>
      <c r="O1981" t="str">
        <f>VLOOKUP(A1981,vlookup_table!$A:$G,3,FALSE)</f>
        <v>MI</v>
      </c>
      <c r="P1981">
        <f>VLOOKUP(A1981,vlookup_table!$A:$G,4,FALSE)</f>
        <v>1803</v>
      </c>
      <c r="Q1981" t="str">
        <f>VLOOKUP(A1981,vlookup_table!$A:$G,5,FALSE)</f>
        <v>R2</v>
      </c>
      <c r="R1981" t="str">
        <f>VLOOKUP(A1981,vlookup_table!$A:$G,6,FALSE)</f>
        <v>M</v>
      </c>
      <c r="S1981">
        <f>VLOOKUP(A1981,vlookup_table!$A:$G,7,FALSE)</f>
        <v>20</v>
      </c>
      <c r="T1981">
        <f t="shared" si="60"/>
        <v>78</v>
      </c>
      <c r="U1981" t="str">
        <f t="shared" si="61"/>
        <v>Rural</v>
      </c>
    </row>
    <row r="1982" spans="1:21" ht="16" x14ac:dyDescent="0.4">
      <c r="A1982" s="6">
        <v>143996</v>
      </c>
      <c r="B1982" s="6" t="s">
        <v>21</v>
      </c>
      <c r="C1982" s="6" t="s">
        <v>17</v>
      </c>
      <c r="D1982" s="6">
        <v>5951</v>
      </c>
      <c r="E1982" s="6">
        <v>1184</v>
      </c>
      <c r="F1982" s="6">
        <v>1093</v>
      </c>
      <c r="G1982" s="6">
        <v>99</v>
      </c>
      <c r="H1982" s="6">
        <v>80928</v>
      </c>
      <c r="I1982" s="6">
        <v>25</v>
      </c>
      <c r="J1982" s="6">
        <v>36</v>
      </c>
      <c r="K1982" s="6">
        <v>1330</v>
      </c>
      <c r="L1982" s="6">
        <v>1060</v>
      </c>
      <c r="M1982" s="6">
        <v>7.0833333329999997</v>
      </c>
      <c r="N1982">
        <f>VLOOKUP(A1982,vlookup_table!$A:$G,2,FALSE)</f>
        <v>28</v>
      </c>
      <c r="O1982" t="str">
        <f>VLOOKUP(A1982,vlookup_table!$A:$G,3,FALSE)</f>
        <v>CA</v>
      </c>
      <c r="P1982">
        <f>VLOOKUP(A1982,vlookup_table!$A:$G,4,FALSE)</f>
        <v>4912</v>
      </c>
      <c r="Q1982" t="str">
        <f>VLOOKUP(A1982,vlookup_table!$A:$G,5,FALSE)</f>
        <v>S1</v>
      </c>
      <c r="R1982" t="str">
        <f>VLOOKUP(A1982,vlookup_table!$A:$G,6,FALSE)</f>
        <v>F</v>
      </c>
      <c r="S1982">
        <f>VLOOKUP(A1982,vlookup_table!$A:$G,7,FALSE)</f>
        <v>10</v>
      </c>
      <c r="T1982">
        <f t="shared" si="60"/>
        <v>47</v>
      </c>
      <c r="U1982" t="str">
        <f t="shared" si="61"/>
        <v>Suburbano</v>
      </c>
    </row>
    <row r="1983" spans="1:21" ht="16" x14ac:dyDescent="0.4">
      <c r="A1983" s="6">
        <v>4314</v>
      </c>
      <c r="B1983" s="6" t="s">
        <v>16</v>
      </c>
      <c r="C1983" s="6" t="s">
        <v>17</v>
      </c>
      <c r="D1983" s="6">
        <v>678</v>
      </c>
      <c r="E1983" s="6">
        <v>267</v>
      </c>
      <c r="F1983" s="6">
        <v>370</v>
      </c>
      <c r="G1983" s="6">
        <v>1</v>
      </c>
      <c r="H1983" s="6">
        <v>11401</v>
      </c>
      <c r="I1983" s="6">
        <v>0</v>
      </c>
      <c r="J1983" s="6">
        <v>63</v>
      </c>
      <c r="K1983" s="6">
        <v>288</v>
      </c>
      <c r="L1983" s="6">
        <v>352</v>
      </c>
      <c r="M1983" s="6">
        <v>5.448275862</v>
      </c>
      <c r="N1983">
        <f>VLOOKUP(A1983,vlookup_table!$A:$G,2,FALSE)</f>
        <v>0</v>
      </c>
      <c r="O1983" t="str">
        <f>VLOOKUP(A1983,vlookup_table!$A:$G,3,FALSE)</f>
        <v>IL</v>
      </c>
      <c r="P1983">
        <f>VLOOKUP(A1983,vlookup_table!$A:$G,4,FALSE)</f>
        <v>2210</v>
      </c>
      <c r="Q1983" t="str">
        <f>VLOOKUP(A1983,vlookup_table!$A:$G,5,FALSE)</f>
        <v>U2</v>
      </c>
      <c r="R1983" t="str">
        <f>VLOOKUP(A1983,vlookup_table!$A:$G,6,FALSE)</f>
        <v>F</v>
      </c>
      <c r="S1983">
        <f>VLOOKUP(A1983,vlookup_table!$A:$G,7,FALSE)</f>
        <v>6</v>
      </c>
      <c r="T1983">
        <f t="shared" si="60"/>
        <v>74</v>
      </c>
      <c r="U1983" t="str">
        <f t="shared" si="61"/>
        <v>Urbano</v>
      </c>
    </row>
    <row r="1984" spans="1:21" ht="16" x14ac:dyDescent="0.4">
      <c r="A1984" s="6">
        <v>5835</v>
      </c>
      <c r="B1984" s="6" t="s">
        <v>52</v>
      </c>
      <c r="C1984" s="6" t="s">
        <v>17</v>
      </c>
      <c r="D1984" s="6">
        <v>404</v>
      </c>
      <c r="E1984" s="6">
        <v>256</v>
      </c>
      <c r="F1984" s="6">
        <v>347</v>
      </c>
      <c r="G1984" s="6">
        <v>0</v>
      </c>
      <c r="H1984" s="6">
        <v>11126</v>
      </c>
      <c r="I1984" s="6">
        <v>1</v>
      </c>
      <c r="J1984" s="6">
        <v>88</v>
      </c>
      <c r="K1984" s="6">
        <v>295</v>
      </c>
      <c r="L1984" s="6">
        <v>304</v>
      </c>
      <c r="M1984" s="6">
        <v>10.54761905</v>
      </c>
      <c r="N1984">
        <f>VLOOKUP(A1984,vlookup_table!$A:$G,2,FALSE)</f>
        <v>28</v>
      </c>
      <c r="O1984" t="str">
        <f>VLOOKUP(A1984,vlookup_table!$A:$G,3,FALSE)</f>
        <v>MN</v>
      </c>
      <c r="P1984">
        <f>VLOOKUP(A1984,vlookup_table!$A:$G,4,FALSE)</f>
        <v>0</v>
      </c>
      <c r="Q1984" t="str">
        <f>VLOOKUP(A1984,vlookup_table!$A:$G,5,FALSE)</f>
        <v>R2</v>
      </c>
      <c r="R1984" t="str">
        <f>VLOOKUP(A1984,vlookup_table!$A:$G,6,FALSE)</f>
        <v>F</v>
      </c>
      <c r="S1984">
        <f>VLOOKUP(A1984,vlookup_table!$A:$G,7,FALSE)</f>
        <v>30</v>
      </c>
      <c r="T1984">
        <f t="shared" si="60"/>
        <v>96</v>
      </c>
      <c r="U1984" t="str">
        <f t="shared" si="61"/>
        <v>Rural</v>
      </c>
    </row>
    <row r="1985" spans="1:21" ht="16" x14ac:dyDescent="0.4">
      <c r="A1985" s="6">
        <v>3891</v>
      </c>
      <c r="B1985" s="6" t="s">
        <v>20</v>
      </c>
      <c r="C1985" s="6" t="s">
        <v>17</v>
      </c>
      <c r="D1985" s="6">
        <v>283</v>
      </c>
      <c r="E1985" s="6">
        <v>212</v>
      </c>
      <c r="F1985" s="6">
        <v>333</v>
      </c>
      <c r="G1985" s="6">
        <v>0</v>
      </c>
      <c r="H1985" s="6">
        <v>9043</v>
      </c>
      <c r="I1985" s="6">
        <v>0</v>
      </c>
      <c r="J1985" s="6">
        <v>60</v>
      </c>
      <c r="K1985" s="6">
        <v>291</v>
      </c>
      <c r="L1985" s="6">
        <v>288</v>
      </c>
      <c r="M1985" s="6">
        <v>19.166666670000001</v>
      </c>
      <c r="N1985">
        <f>VLOOKUP(A1985,vlookup_table!$A:$G,2,FALSE)</f>
        <v>2</v>
      </c>
      <c r="O1985" t="str">
        <f>VLOOKUP(A1985,vlookup_table!$A:$G,3,FALSE)</f>
        <v>TX</v>
      </c>
      <c r="P1985">
        <f>VLOOKUP(A1985,vlookup_table!$A:$G,4,FALSE)</f>
        <v>1501</v>
      </c>
      <c r="Q1985" t="str">
        <f>VLOOKUP(A1985,vlookup_table!$A:$G,5,FALSE)</f>
        <v>T2</v>
      </c>
      <c r="R1985" t="str">
        <f>VLOOKUP(A1985,vlookup_table!$A:$G,6,FALSE)</f>
        <v>F</v>
      </c>
      <c r="S1985">
        <f>VLOOKUP(A1985,vlookup_table!$A:$G,7,FALSE)</f>
        <v>25</v>
      </c>
      <c r="T1985">
        <f t="shared" si="60"/>
        <v>81</v>
      </c>
      <c r="U1985" t="str">
        <f t="shared" si="61"/>
        <v>Pueblo</v>
      </c>
    </row>
    <row r="1986" spans="1:21" ht="16" x14ac:dyDescent="0.4">
      <c r="A1986" s="6">
        <v>87775</v>
      </c>
      <c r="B1986" s="6" t="s">
        <v>16</v>
      </c>
      <c r="C1986" s="6" t="s">
        <v>17</v>
      </c>
      <c r="D1986" s="6">
        <v>1554</v>
      </c>
      <c r="E1986" s="6">
        <v>615</v>
      </c>
      <c r="F1986" s="6">
        <v>737</v>
      </c>
      <c r="G1986" s="6">
        <v>25</v>
      </c>
      <c r="H1986" s="6">
        <v>22600</v>
      </c>
      <c r="I1986" s="6">
        <v>6</v>
      </c>
      <c r="J1986" s="6">
        <v>77</v>
      </c>
      <c r="K1986" s="6">
        <v>663</v>
      </c>
      <c r="L1986" s="6">
        <v>689</v>
      </c>
      <c r="M1986" s="6">
        <v>14.5</v>
      </c>
      <c r="N1986">
        <f>VLOOKUP(A1986,vlookup_table!$A:$G,2,FALSE)</f>
        <v>0</v>
      </c>
      <c r="O1986" t="str">
        <f>VLOOKUP(A1986,vlookup_table!$A:$G,3,FALSE)</f>
        <v>IL</v>
      </c>
      <c r="P1986">
        <f>VLOOKUP(A1986,vlookup_table!$A:$G,4,FALSE)</f>
        <v>4908</v>
      </c>
      <c r="Q1986" t="str">
        <f>VLOOKUP(A1986,vlookup_table!$A:$G,5,FALSE)</f>
        <v>U1</v>
      </c>
      <c r="R1986" t="str">
        <f>VLOOKUP(A1986,vlookup_table!$A:$G,6,FALSE)</f>
        <v>F</v>
      </c>
      <c r="S1986">
        <f>VLOOKUP(A1986,vlookup_table!$A:$G,7,FALSE)</f>
        <v>20</v>
      </c>
      <c r="T1986">
        <f t="shared" si="60"/>
        <v>47</v>
      </c>
      <c r="U1986" t="str">
        <f t="shared" si="61"/>
        <v>Urbano</v>
      </c>
    </row>
    <row r="1987" spans="1:21" ht="16" x14ac:dyDescent="0.4">
      <c r="A1987" s="6">
        <v>9727</v>
      </c>
      <c r="B1987" s="6" t="s">
        <v>21</v>
      </c>
      <c r="C1987" s="6" t="s">
        <v>17</v>
      </c>
      <c r="D1987" s="6">
        <v>5908</v>
      </c>
      <c r="E1987" s="6">
        <v>1122</v>
      </c>
      <c r="F1987" s="6">
        <v>1088</v>
      </c>
      <c r="G1987" s="6">
        <v>98</v>
      </c>
      <c r="H1987" s="6">
        <v>81205</v>
      </c>
      <c r="I1987" s="6">
        <v>8</v>
      </c>
      <c r="J1987" s="6">
        <v>48</v>
      </c>
      <c r="K1987" s="6">
        <v>1267</v>
      </c>
      <c r="L1987" s="6">
        <v>991</v>
      </c>
      <c r="M1987" s="6">
        <v>81.25</v>
      </c>
      <c r="N1987">
        <f>VLOOKUP(A1987,vlookup_table!$A:$G,2,FALSE)</f>
        <v>0</v>
      </c>
      <c r="O1987" t="str">
        <f>VLOOKUP(A1987,vlookup_table!$A:$G,3,FALSE)</f>
        <v>CA</v>
      </c>
      <c r="P1987">
        <f>VLOOKUP(A1987,vlookup_table!$A:$G,4,FALSE)</f>
        <v>4201</v>
      </c>
      <c r="Q1987" t="str">
        <f>VLOOKUP(A1987,vlookup_table!$A:$G,5,FALSE)</f>
        <v>U1</v>
      </c>
      <c r="R1987" t="str">
        <f>VLOOKUP(A1987,vlookup_table!$A:$G,6,FALSE)</f>
        <v>F</v>
      </c>
      <c r="S1987">
        <f>VLOOKUP(A1987,vlookup_table!$A:$G,7,FALSE)</f>
        <v>25</v>
      </c>
      <c r="T1987">
        <f t="shared" ref="T1987:T2050" si="62">97-LEFT(P1987,2)-IF(RIGHT(P1987,2)&gt;6,1,0)</f>
        <v>54</v>
      </c>
      <c r="U1987" t="str">
        <f t="shared" ref="U1987:U2050" si="63">IF(LEFT(Q1987,1)="C","Ciudad",IF(LEFT(Q1987,1)="T","Pueblo",IF(LEFT(Q1987,1)="R","Rural",IF(LEFT(Q1987,1)="S","Suburbano",IF(LEFT(Q1987,1)="U","Urbano","")))))</f>
        <v>Urbano</v>
      </c>
    </row>
    <row r="1988" spans="1:21" ht="16" x14ac:dyDescent="0.4">
      <c r="A1988" s="6">
        <v>188841</v>
      </c>
      <c r="B1988" s="6" t="s">
        <v>50</v>
      </c>
      <c r="C1988" s="6" t="s">
        <v>17</v>
      </c>
      <c r="D1988" s="6">
        <v>848</v>
      </c>
      <c r="E1988" s="6">
        <v>219</v>
      </c>
      <c r="F1988" s="6">
        <v>390</v>
      </c>
      <c r="G1988" s="6">
        <v>1</v>
      </c>
      <c r="H1988" s="6">
        <v>14894</v>
      </c>
      <c r="I1988" s="6">
        <v>6</v>
      </c>
      <c r="J1988" s="6">
        <v>30</v>
      </c>
      <c r="K1988" s="6">
        <v>288</v>
      </c>
      <c r="L1988" s="6">
        <v>299</v>
      </c>
      <c r="M1988" s="6">
        <v>16</v>
      </c>
      <c r="N1988">
        <f>VLOOKUP(A1988,vlookup_table!$A:$G,2,FALSE)</f>
        <v>28</v>
      </c>
      <c r="O1988" t="str">
        <f>VLOOKUP(A1988,vlookup_table!$A:$G,3,FALSE)</f>
        <v>NM</v>
      </c>
      <c r="P1988">
        <f>VLOOKUP(A1988,vlookup_table!$A:$G,4,FALSE)</f>
        <v>0</v>
      </c>
      <c r="Q1988" t="str">
        <f>VLOOKUP(A1988,vlookup_table!$A:$G,5,FALSE)</f>
        <v>C1</v>
      </c>
      <c r="R1988" t="str">
        <f>VLOOKUP(A1988,vlookup_table!$A:$G,6,FALSE)</f>
        <v>F</v>
      </c>
      <c r="S1988">
        <f>VLOOKUP(A1988,vlookup_table!$A:$G,7,FALSE)</f>
        <v>10</v>
      </c>
      <c r="T1988">
        <f t="shared" si="62"/>
        <v>96</v>
      </c>
      <c r="U1988" t="str">
        <f t="shared" si="63"/>
        <v>Ciudad</v>
      </c>
    </row>
    <row r="1989" spans="1:21" ht="16" x14ac:dyDescent="0.4">
      <c r="A1989" s="6">
        <v>15046</v>
      </c>
      <c r="B1989" s="6" t="s">
        <v>18</v>
      </c>
      <c r="C1989" s="6" t="s">
        <v>97</v>
      </c>
      <c r="D1989" s="6">
        <v>595</v>
      </c>
      <c r="E1989" s="6">
        <v>289</v>
      </c>
      <c r="F1989" s="6">
        <v>381</v>
      </c>
      <c r="G1989" s="6">
        <v>0</v>
      </c>
      <c r="H1989" s="6">
        <v>13060</v>
      </c>
      <c r="I1989" s="6">
        <v>0</v>
      </c>
      <c r="J1989" s="6">
        <v>85</v>
      </c>
      <c r="K1989" s="6">
        <v>346</v>
      </c>
      <c r="L1989" s="6">
        <v>330</v>
      </c>
      <c r="M1989" s="6">
        <v>2.636363636</v>
      </c>
      <c r="N1989">
        <f>VLOOKUP(A1989,vlookup_table!$A:$G,2,FALSE)</f>
        <v>0</v>
      </c>
      <c r="O1989" t="str">
        <f>VLOOKUP(A1989,vlookup_table!$A:$G,3,FALSE)</f>
        <v>NC</v>
      </c>
      <c r="P1989">
        <f>VLOOKUP(A1989,vlookup_table!$A:$G,4,FALSE)</f>
        <v>3801</v>
      </c>
      <c r="Q1989" t="str">
        <f>VLOOKUP(A1989,vlookup_table!$A:$G,5,FALSE)</f>
        <v>R2</v>
      </c>
      <c r="R1989" t="str">
        <f>VLOOKUP(A1989,vlookup_table!$A:$G,6,FALSE)</f>
        <v>F</v>
      </c>
      <c r="S1989">
        <f>VLOOKUP(A1989,vlookup_table!$A:$G,7,FALSE)</f>
        <v>10</v>
      </c>
      <c r="T1989">
        <f t="shared" si="62"/>
        <v>58</v>
      </c>
      <c r="U1989" t="str">
        <f t="shared" si="63"/>
        <v>Rural</v>
      </c>
    </row>
    <row r="1990" spans="1:21" ht="16" x14ac:dyDescent="0.4">
      <c r="A1990" s="6">
        <v>43781</v>
      </c>
      <c r="B1990" s="6" t="s">
        <v>13</v>
      </c>
      <c r="C1990" s="6" t="s">
        <v>14</v>
      </c>
      <c r="D1990" s="6">
        <v>1069</v>
      </c>
      <c r="E1990" s="6">
        <v>198</v>
      </c>
      <c r="F1990" s="6">
        <v>367</v>
      </c>
      <c r="G1990" s="6">
        <v>7</v>
      </c>
      <c r="H1990" s="6">
        <v>16759</v>
      </c>
      <c r="I1990" s="6">
        <v>5</v>
      </c>
      <c r="J1990" s="6">
        <v>15</v>
      </c>
      <c r="K1990" s="6">
        <v>257</v>
      </c>
      <c r="L1990" s="6">
        <v>308</v>
      </c>
      <c r="M1990" s="6">
        <v>6.125</v>
      </c>
      <c r="N1990">
        <f>VLOOKUP(A1990,vlookup_table!$A:$G,2,FALSE)</f>
        <v>1</v>
      </c>
      <c r="O1990" t="str">
        <f>VLOOKUP(A1990,vlookup_table!$A:$G,3,FALSE)</f>
        <v>FL</v>
      </c>
      <c r="P1990">
        <f>VLOOKUP(A1990,vlookup_table!$A:$G,4,FALSE)</f>
        <v>3001</v>
      </c>
      <c r="Q1990" t="str">
        <f>VLOOKUP(A1990,vlookup_table!$A:$G,5,FALSE)</f>
        <v>C2</v>
      </c>
      <c r="R1990" t="str">
        <f>VLOOKUP(A1990,vlookup_table!$A:$G,6,FALSE)</f>
        <v>M</v>
      </c>
      <c r="S1990">
        <f>VLOOKUP(A1990,vlookup_table!$A:$G,7,FALSE)</f>
        <v>10</v>
      </c>
      <c r="T1990">
        <f t="shared" si="62"/>
        <v>66</v>
      </c>
      <c r="U1990" t="str">
        <f t="shared" si="63"/>
        <v>Ciudad</v>
      </c>
    </row>
    <row r="1991" spans="1:21" ht="16" x14ac:dyDescent="0.4">
      <c r="A1991" s="6">
        <v>182319</v>
      </c>
      <c r="B1991" s="6" t="s">
        <v>37</v>
      </c>
      <c r="C1991" s="6" t="s">
        <v>14</v>
      </c>
      <c r="D1991" s="6">
        <v>874</v>
      </c>
      <c r="E1991" s="6">
        <v>355</v>
      </c>
      <c r="F1991" s="6">
        <v>418</v>
      </c>
      <c r="G1991" s="6">
        <v>2</v>
      </c>
      <c r="H1991" s="6">
        <v>13393</v>
      </c>
      <c r="I1991" s="6">
        <v>1</v>
      </c>
      <c r="J1991" s="6">
        <v>58</v>
      </c>
      <c r="K1991" s="6">
        <v>370</v>
      </c>
      <c r="L1991" s="6">
        <v>389</v>
      </c>
      <c r="M1991" s="6">
        <v>4.04</v>
      </c>
      <c r="N1991">
        <f>VLOOKUP(A1991,vlookup_table!$A:$G,2,FALSE)</f>
        <v>2</v>
      </c>
      <c r="O1991" t="str">
        <f>VLOOKUP(A1991,vlookup_table!$A:$G,3,FALSE)</f>
        <v>WA</v>
      </c>
      <c r="P1991">
        <f>VLOOKUP(A1991,vlookup_table!$A:$G,4,FALSE)</f>
        <v>1406</v>
      </c>
      <c r="Q1991" t="str">
        <f>VLOOKUP(A1991,vlookup_table!$A:$G,5,FALSE)</f>
        <v>C2</v>
      </c>
      <c r="R1991" t="str">
        <f>VLOOKUP(A1991,vlookup_table!$A:$G,6,FALSE)</f>
        <v>M</v>
      </c>
      <c r="S1991">
        <f>VLOOKUP(A1991,vlookup_table!$A:$G,7,FALSE)</f>
        <v>10</v>
      </c>
      <c r="T1991">
        <f t="shared" si="62"/>
        <v>82</v>
      </c>
      <c r="U1991" t="str">
        <f t="shared" si="63"/>
        <v>Ciudad</v>
      </c>
    </row>
    <row r="1992" spans="1:21" ht="16" x14ac:dyDescent="0.4">
      <c r="A1992" s="6">
        <v>130369</v>
      </c>
      <c r="B1992" s="6" t="s">
        <v>45</v>
      </c>
      <c r="C1992" s="6" t="s">
        <v>17</v>
      </c>
      <c r="D1992" s="6">
        <v>1017</v>
      </c>
      <c r="E1992" s="6">
        <v>496</v>
      </c>
      <c r="F1992" s="6">
        <v>554</v>
      </c>
      <c r="G1992" s="6">
        <v>0</v>
      </c>
      <c r="H1992" s="6">
        <v>21385</v>
      </c>
      <c r="I1992" s="6">
        <v>1</v>
      </c>
      <c r="J1992" s="6">
        <v>47</v>
      </c>
      <c r="K1992" s="6">
        <v>510</v>
      </c>
      <c r="L1992" s="6">
        <v>537</v>
      </c>
      <c r="M1992" s="6">
        <v>18.176470590000001</v>
      </c>
      <c r="N1992">
        <f>VLOOKUP(A1992,vlookup_table!$A:$G,2,FALSE)</f>
        <v>28</v>
      </c>
      <c r="O1992" t="str">
        <f>VLOOKUP(A1992,vlookup_table!$A:$G,3,FALSE)</f>
        <v>CO</v>
      </c>
      <c r="P1992">
        <f>VLOOKUP(A1992,vlookup_table!$A:$G,4,FALSE)</f>
        <v>4106</v>
      </c>
      <c r="Q1992" t="str">
        <f>VLOOKUP(A1992,vlookup_table!$A:$G,5,FALSE)</f>
        <v>S1</v>
      </c>
      <c r="R1992" t="str">
        <f>VLOOKUP(A1992,vlookup_table!$A:$G,6,FALSE)</f>
        <v>F</v>
      </c>
      <c r="S1992">
        <f>VLOOKUP(A1992,vlookup_table!$A:$G,7,FALSE)</f>
        <v>50</v>
      </c>
      <c r="T1992">
        <f t="shared" si="62"/>
        <v>55</v>
      </c>
      <c r="U1992" t="str">
        <f t="shared" si="63"/>
        <v>Suburbano</v>
      </c>
    </row>
    <row r="1993" spans="1:21" ht="16" x14ac:dyDescent="0.4">
      <c r="A1993" s="6">
        <v>147758</v>
      </c>
      <c r="B1993" s="6" t="s">
        <v>21</v>
      </c>
      <c r="C1993" s="6" t="s">
        <v>17</v>
      </c>
      <c r="D1993" s="6">
        <v>5643</v>
      </c>
      <c r="E1993" s="6">
        <v>772</v>
      </c>
      <c r="F1993" s="6">
        <v>971</v>
      </c>
      <c r="G1993" s="6">
        <v>98</v>
      </c>
      <c r="H1993" s="6">
        <v>55164</v>
      </c>
      <c r="I1993" s="6">
        <v>7</v>
      </c>
      <c r="J1993" s="6">
        <v>36</v>
      </c>
      <c r="K1993" s="6">
        <v>939</v>
      </c>
      <c r="L1993" s="6">
        <v>828</v>
      </c>
      <c r="M1993" s="6">
        <v>13.33333333</v>
      </c>
      <c r="N1993">
        <f>VLOOKUP(A1993,vlookup_table!$A:$G,2,FALSE)</f>
        <v>0</v>
      </c>
      <c r="O1993" t="str">
        <f>VLOOKUP(A1993,vlookup_table!$A:$G,3,FALSE)</f>
        <v>CA</v>
      </c>
      <c r="P1993">
        <f>VLOOKUP(A1993,vlookup_table!$A:$G,4,FALSE)</f>
        <v>0</v>
      </c>
      <c r="Q1993" t="str">
        <f>VLOOKUP(A1993,vlookup_table!$A:$G,5,FALSE)</f>
        <v>U1</v>
      </c>
      <c r="R1993" t="str">
        <f>VLOOKUP(A1993,vlookup_table!$A:$G,6,FALSE)</f>
        <v>F</v>
      </c>
      <c r="S1993">
        <f>VLOOKUP(A1993,vlookup_table!$A:$G,7,FALSE)</f>
        <v>25</v>
      </c>
      <c r="T1993">
        <f t="shared" si="62"/>
        <v>96</v>
      </c>
      <c r="U1993" t="str">
        <f t="shared" si="63"/>
        <v>Urbano</v>
      </c>
    </row>
    <row r="1994" spans="1:21" ht="16" x14ac:dyDescent="0.4">
      <c r="A1994" s="6">
        <v>18761</v>
      </c>
      <c r="B1994" s="6" t="s">
        <v>18</v>
      </c>
      <c r="C1994" s="6" t="s">
        <v>97</v>
      </c>
      <c r="D1994" s="6">
        <v>714</v>
      </c>
      <c r="E1994" s="6">
        <v>425</v>
      </c>
      <c r="F1994" s="6">
        <v>432</v>
      </c>
      <c r="G1994" s="6">
        <v>0</v>
      </c>
      <c r="H1994" s="6">
        <v>13695</v>
      </c>
      <c r="I1994" s="6">
        <v>4</v>
      </c>
      <c r="J1994" s="6">
        <v>60</v>
      </c>
      <c r="K1994" s="6">
        <v>434</v>
      </c>
      <c r="L1994" s="6">
        <v>419</v>
      </c>
      <c r="M1994" s="6">
        <v>9.0833333330000006</v>
      </c>
      <c r="N1994">
        <f>VLOOKUP(A1994,vlookup_table!$A:$G,2,FALSE)</f>
        <v>0</v>
      </c>
      <c r="O1994" t="str">
        <f>VLOOKUP(A1994,vlookup_table!$A:$G,3,FALSE)</f>
        <v>NC</v>
      </c>
      <c r="P1994">
        <f>VLOOKUP(A1994,vlookup_table!$A:$G,4,FALSE)</f>
        <v>4801</v>
      </c>
      <c r="Q1994" t="str">
        <f>VLOOKUP(A1994,vlookup_table!$A:$G,5,FALSE)</f>
        <v>T2</v>
      </c>
      <c r="R1994" t="str">
        <f>VLOOKUP(A1994,vlookup_table!$A:$G,6,FALSE)</f>
        <v>F</v>
      </c>
      <c r="S1994">
        <f>VLOOKUP(A1994,vlookup_table!$A:$G,7,FALSE)</f>
        <v>15</v>
      </c>
      <c r="T1994">
        <f t="shared" si="62"/>
        <v>48</v>
      </c>
      <c r="U1994" t="str">
        <f t="shared" si="63"/>
        <v>Pueblo</v>
      </c>
    </row>
    <row r="1995" spans="1:21" ht="16" x14ac:dyDescent="0.4">
      <c r="A1995" s="6">
        <v>104234</v>
      </c>
      <c r="B1995" s="6" t="s">
        <v>33</v>
      </c>
      <c r="C1995" s="6" t="s">
        <v>14</v>
      </c>
      <c r="D1995" s="6">
        <v>915</v>
      </c>
      <c r="E1995" s="6">
        <v>506</v>
      </c>
      <c r="F1995" s="6">
        <v>561</v>
      </c>
      <c r="G1995" s="6">
        <v>1</v>
      </c>
      <c r="H1995" s="6">
        <v>18191</v>
      </c>
      <c r="I1995" s="6">
        <v>0</v>
      </c>
      <c r="J1995" s="6">
        <v>60</v>
      </c>
      <c r="K1995" s="6">
        <v>513</v>
      </c>
      <c r="L1995" s="6">
        <v>559</v>
      </c>
      <c r="M1995" s="6">
        <v>9.1428571430000005</v>
      </c>
      <c r="N1995">
        <f>VLOOKUP(A1995,vlookup_table!$A:$G,2,FALSE)</f>
        <v>0</v>
      </c>
      <c r="O1995" t="str">
        <f>VLOOKUP(A1995,vlookup_table!$A:$G,3,FALSE)</f>
        <v>MO</v>
      </c>
      <c r="P1995">
        <f>VLOOKUP(A1995,vlookup_table!$A:$G,4,FALSE)</f>
        <v>5507</v>
      </c>
      <c r="Q1995" t="str">
        <f>VLOOKUP(A1995,vlookup_table!$A:$G,5,FALSE)</f>
        <v>S1</v>
      </c>
      <c r="R1995" t="str">
        <f>VLOOKUP(A1995,vlookup_table!$A:$G,6,FALSE)</f>
        <v>M</v>
      </c>
      <c r="S1995">
        <f>VLOOKUP(A1995,vlookup_table!$A:$G,7,FALSE)</f>
        <v>18</v>
      </c>
      <c r="T1995">
        <f t="shared" si="62"/>
        <v>41</v>
      </c>
      <c r="U1995" t="str">
        <f t="shared" si="63"/>
        <v>Suburbano</v>
      </c>
    </row>
    <row r="1996" spans="1:21" ht="16" x14ac:dyDescent="0.4">
      <c r="A1996" s="6">
        <v>30185</v>
      </c>
      <c r="B1996" s="6" t="s">
        <v>36</v>
      </c>
      <c r="C1996" s="6" t="s">
        <v>17</v>
      </c>
      <c r="D1996" s="6">
        <v>748</v>
      </c>
      <c r="E1996" s="6">
        <v>352</v>
      </c>
      <c r="F1996" s="6">
        <v>423</v>
      </c>
      <c r="G1996" s="6">
        <v>1</v>
      </c>
      <c r="H1996" s="6">
        <v>13998</v>
      </c>
      <c r="I1996" s="6">
        <v>1</v>
      </c>
      <c r="J1996" s="6">
        <v>62</v>
      </c>
      <c r="K1996" s="6">
        <v>372</v>
      </c>
      <c r="L1996" s="6">
        <v>369</v>
      </c>
      <c r="M1996" s="6">
        <v>10</v>
      </c>
      <c r="N1996">
        <f>VLOOKUP(A1996,vlookup_table!$A:$G,2,FALSE)</f>
        <v>0</v>
      </c>
      <c r="O1996" t="str">
        <f>VLOOKUP(A1996,vlookup_table!$A:$G,3,FALSE)</f>
        <v>GA</v>
      </c>
      <c r="P1996">
        <f>VLOOKUP(A1996,vlookup_table!$A:$G,4,FALSE)</f>
        <v>6401</v>
      </c>
      <c r="Q1996" t="str">
        <f>VLOOKUP(A1996,vlookup_table!$A:$G,5,FALSE)</f>
        <v>T2</v>
      </c>
      <c r="R1996" t="str">
        <f>VLOOKUP(A1996,vlookup_table!$A:$G,6,FALSE)</f>
        <v>F</v>
      </c>
      <c r="S1996">
        <f>VLOOKUP(A1996,vlookup_table!$A:$G,7,FALSE)</f>
        <v>30</v>
      </c>
      <c r="T1996">
        <f t="shared" si="62"/>
        <v>32</v>
      </c>
      <c r="U1996" t="str">
        <f t="shared" si="63"/>
        <v>Pueblo</v>
      </c>
    </row>
    <row r="1997" spans="1:21" ht="16" x14ac:dyDescent="0.4">
      <c r="A1997" s="6">
        <v>30907</v>
      </c>
      <c r="B1997" s="6" t="s">
        <v>36</v>
      </c>
      <c r="C1997" s="6" t="s">
        <v>14</v>
      </c>
      <c r="D1997" s="6">
        <v>803</v>
      </c>
      <c r="E1997" s="6">
        <v>450</v>
      </c>
      <c r="F1997" s="6">
        <v>597</v>
      </c>
      <c r="G1997" s="6">
        <v>2</v>
      </c>
      <c r="H1997" s="6">
        <v>21132</v>
      </c>
      <c r="I1997" s="6">
        <v>8</v>
      </c>
      <c r="J1997" s="6">
        <v>41</v>
      </c>
      <c r="K1997" s="6">
        <v>495</v>
      </c>
      <c r="L1997" s="6">
        <v>547</v>
      </c>
      <c r="M1997" s="6">
        <v>15</v>
      </c>
      <c r="N1997">
        <f>VLOOKUP(A1997,vlookup_table!$A:$G,2,FALSE)</f>
        <v>1</v>
      </c>
      <c r="O1997" t="str">
        <f>VLOOKUP(A1997,vlookup_table!$A:$G,3,FALSE)</f>
        <v>GA</v>
      </c>
      <c r="P1997">
        <f>VLOOKUP(A1997,vlookup_table!$A:$G,4,FALSE)</f>
        <v>0</v>
      </c>
      <c r="Q1997" t="str">
        <f>VLOOKUP(A1997,vlookup_table!$A:$G,5,FALSE)</f>
        <v>T2</v>
      </c>
      <c r="R1997" t="str">
        <f>VLOOKUP(A1997,vlookup_table!$A:$G,6,FALSE)</f>
        <v>M</v>
      </c>
      <c r="S1997">
        <f>VLOOKUP(A1997,vlookup_table!$A:$G,7,FALSE)</f>
        <v>15</v>
      </c>
      <c r="T1997">
        <f t="shared" si="62"/>
        <v>96</v>
      </c>
      <c r="U1997" t="str">
        <f t="shared" si="63"/>
        <v>Pueblo</v>
      </c>
    </row>
    <row r="1998" spans="1:21" ht="16" x14ac:dyDescent="0.4">
      <c r="A1998" s="6">
        <v>105371</v>
      </c>
      <c r="B1998" s="6" t="s">
        <v>25</v>
      </c>
      <c r="C1998" s="6"/>
      <c r="D1998" s="6">
        <v>208</v>
      </c>
      <c r="E1998" s="6">
        <v>201</v>
      </c>
      <c r="F1998" s="6">
        <v>296</v>
      </c>
      <c r="G1998" s="6">
        <v>0</v>
      </c>
      <c r="H1998" s="6">
        <v>11136</v>
      </c>
      <c r="I1998" s="6">
        <v>0</v>
      </c>
      <c r="J1998" s="6">
        <v>79</v>
      </c>
      <c r="K1998" s="6">
        <v>242</v>
      </c>
      <c r="L1998" s="6">
        <v>255</v>
      </c>
      <c r="M1998" s="6">
        <v>17.176470590000001</v>
      </c>
      <c r="N1998">
        <f>VLOOKUP(A1998,vlookup_table!$A:$G,2,FALSE)</f>
        <v>0</v>
      </c>
      <c r="O1998" t="str">
        <f>VLOOKUP(A1998,vlookup_table!$A:$G,3,FALSE)</f>
        <v>KS</v>
      </c>
      <c r="P1998">
        <f>VLOOKUP(A1998,vlookup_table!$A:$G,4,FALSE)</f>
        <v>3204</v>
      </c>
      <c r="Q1998" t="str">
        <f>VLOOKUP(A1998,vlookup_table!$A:$G,5,FALSE)</f>
        <v>R3</v>
      </c>
      <c r="R1998" t="str">
        <f>VLOOKUP(A1998,vlookup_table!$A:$G,6,FALSE)</f>
        <v/>
      </c>
      <c r="S1998">
        <f>VLOOKUP(A1998,vlookup_table!$A:$G,7,FALSE)</f>
        <v>20</v>
      </c>
      <c r="T1998">
        <f t="shared" si="62"/>
        <v>64</v>
      </c>
      <c r="U1998" t="str">
        <f t="shared" si="63"/>
        <v>Rural</v>
      </c>
    </row>
    <row r="1999" spans="1:21" ht="16" x14ac:dyDescent="0.4">
      <c r="A1999" s="6">
        <v>57058</v>
      </c>
      <c r="B1999" s="6" t="s">
        <v>53</v>
      </c>
      <c r="C1999" s="6" t="s">
        <v>14</v>
      </c>
      <c r="D1999" s="6">
        <v>432</v>
      </c>
      <c r="E1999" s="6">
        <v>174</v>
      </c>
      <c r="F1999" s="6">
        <v>279</v>
      </c>
      <c r="G1999" s="6">
        <v>1</v>
      </c>
      <c r="H1999" s="6">
        <v>8763</v>
      </c>
      <c r="I1999" s="6">
        <v>0</v>
      </c>
      <c r="J1999" s="6">
        <v>73</v>
      </c>
      <c r="K1999" s="6">
        <v>230</v>
      </c>
      <c r="L1999" s="6">
        <v>223</v>
      </c>
      <c r="M1999" s="6">
        <v>11.1</v>
      </c>
      <c r="N1999">
        <f>VLOOKUP(A1999,vlookup_table!$A:$G,2,FALSE)</f>
        <v>0</v>
      </c>
      <c r="O1999" t="str">
        <f>VLOOKUP(A1999,vlookup_table!$A:$G,3,FALSE)</f>
        <v>KY</v>
      </c>
      <c r="P1999">
        <f>VLOOKUP(A1999,vlookup_table!$A:$G,4,FALSE)</f>
        <v>2001</v>
      </c>
      <c r="Q1999" t="str">
        <f>VLOOKUP(A1999,vlookup_table!$A:$G,5,FALSE)</f>
        <v>R2</v>
      </c>
      <c r="R1999" t="str">
        <f>VLOOKUP(A1999,vlookup_table!$A:$G,6,FALSE)</f>
        <v>M</v>
      </c>
      <c r="S1999">
        <f>VLOOKUP(A1999,vlookup_table!$A:$G,7,FALSE)</f>
        <v>25</v>
      </c>
      <c r="T1999">
        <f t="shared" si="62"/>
        <v>76</v>
      </c>
      <c r="U1999" t="str">
        <f t="shared" si="63"/>
        <v>Rural</v>
      </c>
    </row>
    <row r="2000" spans="1:21" ht="16" x14ac:dyDescent="0.4">
      <c r="A2000" s="6">
        <v>160851</v>
      </c>
      <c r="B2000" s="6" t="s">
        <v>21</v>
      </c>
      <c r="C2000" s="6" t="s">
        <v>14</v>
      </c>
      <c r="D2000" s="6">
        <v>1485</v>
      </c>
      <c r="E2000" s="6">
        <v>399</v>
      </c>
      <c r="F2000" s="6">
        <v>469</v>
      </c>
      <c r="G2000" s="6">
        <v>4</v>
      </c>
      <c r="H2000" s="6">
        <v>15254</v>
      </c>
      <c r="I2000" s="6">
        <v>9</v>
      </c>
      <c r="J2000" s="6">
        <v>60</v>
      </c>
      <c r="K2000" s="6">
        <v>478</v>
      </c>
      <c r="L2000" s="6">
        <v>432</v>
      </c>
      <c r="M2000" s="6">
        <v>12.875</v>
      </c>
      <c r="N2000">
        <f>VLOOKUP(A2000,vlookup_table!$A:$G,2,FALSE)</f>
        <v>0</v>
      </c>
      <c r="O2000" t="str">
        <f>VLOOKUP(A2000,vlookup_table!$A:$G,3,FALSE)</f>
        <v>CA</v>
      </c>
      <c r="P2000">
        <f>VLOOKUP(A2000,vlookup_table!$A:$G,4,FALSE)</f>
        <v>4004</v>
      </c>
      <c r="Q2000" t="str">
        <f>VLOOKUP(A2000,vlookup_table!$A:$G,5,FALSE)</f>
        <v>C2</v>
      </c>
      <c r="R2000" t="str">
        <f>VLOOKUP(A2000,vlookup_table!$A:$G,6,FALSE)</f>
        <v>M</v>
      </c>
      <c r="S2000">
        <f>VLOOKUP(A2000,vlookup_table!$A:$G,7,FALSE)</f>
        <v>16</v>
      </c>
      <c r="T2000">
        <f t="shared" si="62"/>
        <v>56</v>
      </c>
      <c r="U2000" t="str">
        <f t="shared" si="63"/>
        <v>Ciudad</v>
      </c>
    </row>
    <row r="2001" spans="1:21" ht="16" x14ac:dyDescent="0.4">
      <c r="A2001" s="6">
        <v>163546</v>
      </c>
      <c r="B2001" s="6" t="s">
        <v>21</v>
      </c>
      <c r="C2001" s="6" t="s">
        <v>14</v>
      </c>
      <c r="D2001" s="6">
        <v>4169</v>
      </c>
      <c r="E2001" s="6">
        <v>540</v>
      </c>
      <c r="F2001" s="6">
        <v>667</v>
      </c>
      <c r="G2001" s="6">
        <v>95</v>
      </c>
      <c r="H2001" s="6">
        <v>24535</v>
      </c>
      <c r="I2001" s="6">
        <v>29</v>
      </c>
      <c r="J2001" s="6">
        <v>41</v>
      </c>
      <c r="K2001" s="6">
        <v>670</v>
      </c>
      <c r="L2001" s="6">
        <v>570</v>
      </c>
      <c r="M2001" s="6">
        <v>11.85714286</v>
      </c>
      <c r="N2001">
        <f>VLOOKUP(A2001,vlookup_table!$A:$G,2,FALSE)</f>
        <v>1</v>
      </c>
      <c r="O2001" t="str">
        <f>VLOOKUP(A2001,vlookup_table!$A:$G,3,FALSE)</f>
        <v>CA</v>
      </c>
      <c r="P2001">
        <f>VLOOKUP(A2001,vlookup_table!$A:$G,4,FALSE)</f>
        <v>4301</v>
      </c>
      <c r="Q2001" t="str">
        <f>VLOOKUP(A2001,vlookup_table!$A:$G,5,FALSE)</f>
        <v>U1</v>
      </c>
      <c r="R2001" t="str">
        <f>VLOOKUP(A2001,vlookup_table!$A:$G,6,FALSE)</f>
        <v>M</v>
      </c>
      <c r="S2001">
        <f>VLOOKUP(A2001,vlookup_table!$A:$G,7,FALSE)</f>
        <v>15</v>
      </c>
      <c r="T2001">
        <f t="shared" si="62"/>
        <v>53</v>
      </c>
      <c r="U2001" t="str">
        <f t="shared" si="63"/>
        <v>Urbano</v>
      </c>
    </row>
    <row r="2002" spans="1:21" ht="16" x14ac:dyDescent="0.4">
      <c r="A2002" s="6">
        <v>176053</v>
      </c>
      <c r="B2002" s="6" t="s">
        <v>47</v>
      </c>
      <c r="C2002" s="6" t="s">
        <v>14</v>
      </c>
      <c r="D2002" s="6">
        <v>0</v>
      </c>
      <c r="E2002" s="6">
        <v>0</v>
      </c>
      <c r="F2002" s="6">
        <v>0</v>
      </c>
      <c r="G2002" s="6">
        <v>0</v>
      </c>
      <c r="H2002" s="6">
        <v>0</v>
      </c>
      <c r="I2002" s="6">
        <v>0</v>
      </c>
      <c r="J2002" s="6">
        <v>0</v>
      </c>
      <c r="K2002" s="6">
        <v>0</v>
      </c>
      <c r="L2002" s="6">
        <v>0</v>
      </c>
      <c r="M2002" s="6">
        <v>9</v>
      </c>
      <c r="N2002">
        <f>VLOOKUP(A2002,vlookup_table!$A:$G,2,FALSE)</f>
        <v>1</v>
      </c>
      <c r="O2002" t="str">
        <f>VLOOKUP(A2002,vlookup_table!$A:$G,3,FALSE)</f>
        <v>OR</v>
      </c>
      <c r="P2002">
        <f>VLOOKUP(A2002,vlookup_table!$A:$G,4,FALSE)</f>
        <v>4210</v>
      </c>
      <c r="Q2002" t="str">
        <f>VLOOKUP(A2002,vlookup_table!$A:$G,5,FALSE)</f>
        <v>U3</v>
      </c>
      <c r="R2002" t="str">
        <f>VLOOKUP(A2002,vlookup_table!$A:$G,6,FALSE)</f>
        <v>M</v>
      </c>
      <c r="S2002">
        <f>VLOOKUP(A2002,vlookup_table!$A:$G,7,FALSE)</f>
        <v>12</v>
      </c>
      <c r="T2002">
        <f t="shared" si="62"/>
        <v>54</v>
      </c>
      <c r="U2002" t="str">
        <f t="shared" si="63"/>
        <v>Urbano</v>
      </c>
    </row>
    <row r="2003" spans="1:21" ht="16" x14ac:dyDescent="0.4">
      <c r="A2003" s="6">
        <v>149534</v>
      </c>
      <c r="B2003" s="6" t="s">
        <v>21</v>
      </c>
      <c r="C2003" s="6" t="s">
        <v>17</v>
      </c>
      <c r="D2003" s="6">
        <v>5000</v>
      </c>
      <c r="E2003" s="6">
        <v>850</v>
      </c>
      <c r="F2003" s="6">
        <v>931</v>
      </c>
      <c r="G2003" s="6">
        <v>98</v>
      </c>
      <c r="H2003" s="6">
        <v>39028</v>
      </c>
      <c r="I2003" s="6">
        <v>16</v>
      </c>
      <c r="J2003" s="6">
        <v>42</v>
      </c>
      <c r="K2003" s="6">
        <v>931</v>
      </c>
      <c r="L2003" s="6">
        <v>862</v>
      </c>
      <c r="M2003" s="6">
        <v>25</v>
      </c>
      <c r="N2003">
        <f>VLOOKUP(A2003,vlookup_table!$A:$G,2,FALSE)</f>
        <v>28</v>
      </c>
      <c r="O2003" t="str">
        <f>VLOOKUP(A2003,vlookup_table!$A:$G,3,FALSE)</f>
        <v>CA</v>
      </c>
      <c r="P2003">
        <f>VLOOKUP(A2003,vlookup_table!$A:$G,4,FALSE)</f>
        <v>0</v>
      </c>
      <c r="Q2003" t="str">
        <f>VLOOKUP(A2003,vlookup_table!$A:$G,5,FALSE)</f>
        <v>S1</v>
      </c>
      <c r="R2003" t="str">
        <f>VLOOKUP(A2003,vlookup_table!$A:$G,6,FALSE)</f>
        <v>F</v>
      </c>
      <c r="S2003">
        <f>VLOOKUP(A2003,vlookup_table!$A:$G,7,FALSE)</f>
        <v>30</v>
      </c>
      <c r="T2003">
        <f t="shared" si="62"/>
        <v>96</v>
      </c>
      <c r="U2003" t="str">
        <f t="shared" si="63"/>
        <v>Suburbano</v>
      </c>
    </row>
    <row r="2004" spans="1:21" ht="16" x14ac:dyDescent="0.4">
      <c r="A2004" s="6">
        <v>156152</v>
      </c>
      <c r="B2004" s="6" t="s">
        <v>21</v>
      </c>
      <c r="C2004" s="6" t="s">
        <v>17</v>
      </c>
      <c r="D2004" s="6">
        <v>1115</v>
      </c>
      <c r="E2004" s="6">
        <v>313</v>
      </c>
      <c r="F2004" s="6">
        <v>391</v>
      </c>
      <c r="G2004" s="6">
        <v>4</v>
      </c>
      <c r="H2004" s="6">
        <v>16625</v>
      </c>
      <c r="I2004" s="6">
        <v>9</v>
      </c>
      <c r="J2004" s="6">
        <v>37</v>
      </c>
      <c r="K2004" s="6">
        <v>340</v>
      </c>
      <c r="L2004" s="6">
        <v>354</v>
      </c>
      <c r="M2004" s="6">
        <v>11.4375</v>
      </c>
      <c r="N2004">
        <f>VLOOKUP(A2004,vlookup_table!$A:$G,2,FALSE)</f>
        <v>2</v>
      </c>
      <c r="O2004" t="str">
        <f>VLOOKUP(A2004,vlookup_table!$A:$G,3,FALSE)</f>
        <v>CA</v>
      </c>
      <c r="P2004">
        <f>VLOOKUP(A2004,vlookup_table!$A:$G,4,FALSE)</f>
        <v>2501</v>
      </c>
      <c r="Q2004" t="str">
        <f>VLOOKUP(A2004,vlookup_table!$A:$G,5,FALSE)</f>
        <v>T2</v>
      </c>
      <c r="R2004" t="str">
        <f>VLOOKUP(A2004,vlookup_table!$A:$G,6,FALSE)</f>
        <v>F</v>
      </c>
      <c r="S2004">
        <f>VLOOKUP(A2004,vlookup_table!$A:$G,7,FALSE)</f>
        <v>16</v>
      </c>
      <c r="T2004">
        <f t="shared" si="62"/>
        <v>71</v>
      </c>
      <c r="U2004" t="str">
        <f t="shared" si="63"/>
        <v>Pueblo</v>
      </c>
    </row>
    <row r="2005" spans="1:21" ht="16" x14ac:dyDescent="0.4">
      <c r="A2005" s="6">
        <v>67177</v>
      </c>
      <c r="B2005" s="6" t="s">
        <v>26</v>
      </c>
      <c r="C2005" s="6" t="s">
        <v>17</v>
      </c>
      <c r="D2005" s="6">
        <v>709</v>
      </c>
      <c r="E2005" s="6">
        <v>504</v>
      </c>
      <c r="F2005" s="6">
        <v>539</v>
      </c>
      <c r="G2005" s="6">
        <v>0</v>
      </c>
      <c r="H2005" s="6">
        <v>17801</v>
      </c>
      <c r="I2005" s="6">
        <v>2</v>
      </c>
      <c r="J2005" s="6">
        <v>79</v>
      </c>
      <c r="K2005" s="6">
        <v>515</v>
      </c>
      <c r="L2005" s="6">
        <v>522</v>
      </c>
      <c r="M2005" s="6">
        <v>9.9375</v>
      </c>
      <c r="N2005">
        <f>VLOOKUP(A2005,vlookup_table!$A:$G,2,FALSE)</f>
        <v>0</v>
      </c>
      <c r="O2005" t="str">
        <f>VLOOKUP(A2005,vlookup_table!$A:$G,3,FALSE)</f>
        <v>MI</v>
      </c>
      <c r="P2005">
        <f>VLOOKUP(A2005,vlookup_table!$A:$G,4,FALSE)</f>
        <v>2609</v>
      </c>
      <c r="Q2005" t="str">
        <f>VLOOKUP(A2005,vlookup_table!$A:$G,5,FALSE)</f>
        <v>S2</v>
      </c>
      <c r="R2005" t="str">
        <f>VLOOKUP(A2005,vlookup_table!$A:$G,6,FALSE)</f>
        <v>F</v>
      </c>
      <c r="S2005">
        <f>VLOOKUP(A2005,vlookup_table!$A:$G,7,FALSE)</f>
        <v>12</v>
      </c>
      <c r="T2005">
        <f t="shared" si="62"/>
        <v>70</v>
      </c>
      <c r="U2005" t="str">
        <f t="shared" si="63"/>
        <v>Suburbano</v>
      </c>
    </row>
    <row r="2006" spans="1:21" ht="16" x14ac:dyDescent="0.4">
      <c r="A2006" s="6">
        <v>34475</v>
      </c>
      <c r="B2006" s="6" t="s">
        <v>13</v>
      </c>
      <c r="C2006" s="6" t="s">
        <v>14</v>
      </c>
      <c r="D2006" s="6">
        <v>696</v>
      </c>
      <c r="E2006" s="6">
        <v>277</v>
      </c>
      <c r="F2006" s="6">
        <v>355</v>
      </c>
      <c r="G2006" s="6">
        <v>2</v>
      </c>
      <c r="H2006" s="6">
        <v>12415</v>
      </c>
      <c r="I2006" s="6">
        <v>3</v>
      </c>
      <c r="J2006" s="6">
        <v>51</v>
      </c>
      <c r="K2006" s="6">
        <v>314</v>
      </c>
      <c r="L2006" s="6">
        <v>325</v>
      </c>
      <c r="M2006" s="6">
        <v>20.399999999999999</v>
      </c>
      <c r="N2006">
        <f>VLOOKUP(A2006,vlookup_table!$A:$G,2,FALSE)</f>
        <v>2</v>
      </c>
      <c r="O2006" t="str">
        <f>VLOOKUP(A2006,vlookup_table!$A:$G,3,FALSE)</f>
        <v>FL</v>
      </c>
      <c r="P2006">
        <f>VLOOKUP(A2006,vlookup_table!$A:$G,4,FALSE)</f>
        <v>3009</v>
      </c>
      <c r="Q2006" t="str">
        <f>VLOOKUP(A2006,vlookup_table!$A:$G,5,FALSE)</f>
        <v>R2</v>
      </c>
      <c r="R2006" t="str">
        <f>VLOOKUP(A2006,vlookup_table!$A:$G,6,FALSE)</f>
        <v>M</v>
      </c>
      <c r="S2006">
        <f>VLOOKUP(A2006,vlookup_table!$A:$G,7,FALSE)</f>
        <v>20</v>
      </c>
      <c r="T2006">
        <f t="shared" si="62"/>
        <v>66</v>
      </c>
      <c r="U2006" t="str">
        <f t="shared" si="63"/>
        <v>Rural</v>
      </c>
    </row>
    <row r="2007" spans="1:21" ht="16" x14ac:dyDescent="0.4">
      <c r="A2007" s="6">
        <v>114803</v>
      </c>
      <c r="B2007" s="6" t="s">
        <v>28</v>
      </c>
      <c r="C2007" s="6" t="s">
        <v>17</v>
      </c>
      <c r="D2007" s="6">
        <v>911</v>
      </c>
      <c r="E2007" s="6">
        <v>384</v>
      </c>
      <c r="F2007" s="6">
        <v>613</v>
      </c>
      <c r="G2007" s="6">
        <v>16</v>
      </c>
      <c r="H2007" s="6">
        <v>31001</v>
      </c>
      <c r="I2007" s="6">
        <v>2</v>
      </c>
      <c r="J2007" s="6">
        <v>58</v>
      </c>
      <c r="K2007" s="6">
        <v>496</v>
      </c>
      <c r="L2007" s="6">
        <v>497</v>
      </c>
      <c r="M2007" s="6">
        <v>6.3333333329999997</v>
      </c>
      <c r="N2007">
        <f>VLOOKUP(A2007,vlookup_table!$A:$G,2,FALSE)</f>
        <v>28</v>
      </c>
      <c r="O2007" t="str">
        <f>VLOOKUP(A2007,vlookup_table!$A:$G,3,FALSE)</f>
        <v>OK</v>
      </c>
      <c r="P2007">
        <f>VLOOKUP(A2007,vlookup_table!$A:$G,4,FALSE)</f>
        <v>0</v>
      </c>
      <c r="Q2007" t="str">
        <f>VLOOKUP(A2007,vlookup_table!$A:$G,5,FALSE)</f>
        <v>C1</v>
      </c>
      <c r="R2007" t="str">
        <f>VLOOKUP(A2007,vlookup_table!$A:$G,6,FALSE)</f>
        <v>F</v>
      </c>
      <c r="S2007">
        <f>VLOOKUP(A2007,vlookup_table!$A:$G,7,FALSE)</f>
        <v>20</v>
      </c>
      <c r="T2007">
        <f t="shared" si="62"/>
        <v>96</v>
      </c>
      <c r="U2007" t="str">
        <f t="shared" si="63"/>
        <v>Ciudad</v>
      </c>
    </row>
    <row r="2008" spans="1:21" ht="16" x14ac:dyDescent="0.4">
      <c r="A2008" s="6">
        <v>15332</v>
      </c>
      <c r="B2008" s="6" t="s">
        <v>18</v>
      </c>
      <c r="C2008" s="6" t="s">
        <v>14</v>
      </c>
      <c r="D2008" s="6">
        <v>723</v>
      </c>
      <c r="E2008" s="6">
        <v>371</v>
      </c>
      <c r="F2008" s="6">
        <v>456</v>
      </c>
      <c r="G2008" s="6">
        <v>0</v>
      </c>
      <c r="H2008" s="6">
        <v>18915</v>
      </c>
      <c r="I2008" s="6">
        <v>6</v>
      </c>
      <c r="J2008" s="6">
        <v>47</v>
      </c>
      <c r="K2008" s="6">
        <v>414</v>
      </c>
      <c r="L2008" s="6">
        <v>398</v>
      </c>
      <c r="M2008" s="6">
        <v>6.538461539</v>
      </c>
      <c r="N2008">
        <f>VLOOKUP(A2008,vlookup_table!$A:$G,2,FALSE)</f>
        <v>1</v>
      </c>
      <c r="O2008" t="str">
        <f>VLOOKUP(A2008,vlookup_table!$A:$G,3,FALSE)</f>
        <v>NC</v>
      </c>
      <c r="P2008">
        <f>VLOOKUP(A2008,vlookup_table!$A:$G,4,FALSE)</f>
        <v>1701</v>
      </c>
      <c r="Q2008" t="str">
        <f>VLOOKUP(A2008,vlookup_table!$A:$G,5,FALSE)</f>
        <v>C1</v>
      </c>
      <c r="R2008" t="str">
        <f>VLOOKUP(A2008,vlookup_table!$A:$G,6,FALSE)</f>
        <v>M</v>
      </c>
      <c r="S2008">
        <f>VLOOKUP(A2008,vlookup_table!$A:$G,7,FALSE)</f>
        <v>10</v>
      </c>
      <c r="T2008">
        <f t="shared" si="62"/>
        <v>79</v>
      </c>
      <c r="U2008" t="str">
        <f t="shared" si="63"/>
        <v>Ciudad</v>
      </c>
    </row>
    <row r="2009" spans="1:21" ht="16" x14ac:dyDescent="0.4">
      <c r="A2009" s="6">
        <v>74235</v>
      </c>
      <c r="B2009" s="6" t="s">
        <v>26</v>
      </c>
      <c r="C2009" s="6" t="s">
        <v>14</v>
      </c>
      <c r="D2009" s="6">
        <v>473</v>
      </c>
      <c r="E2009" s="6">
        <v>327</v>
      </c>
      <c r="F2009" s="6">
        <v>363</v>
      </c>
      <c r="G2009" s="6">
        <v>1</v>
      </c>
      <c r="H2009" s="6">
        <v>12580</v>
      </c>
      <c r="I2009" s="6">
        <v>0</v>
      </c>
      <c r="J2009" s="6">
        <v>94</v>
      </c>
      <c r="K2009" s="6">
        <v>338</v>
      </c>
      <c r="L2009" s="6">
        <v>348</v>
      </c>
      <c r="M2009" s="6">
        <v>13.5</v>
      </c>
      <c r="N2009">
        <f>VLOOKUP(A2009,vlookup_table!$A:$G,2,FALSE)</f>
        <v>4</v>
      </c>
      <c r="O2009" t="str">
        <f>VLOOKUP(A2009,vlookup_table!$A:$G,3,FALSE)</f>
        <v>MI</v>
      </c>
      <c r="P2009">
        <f>VLOOKUP(A2009,vlookup_table!$A:$G,4,FALSE)</f>
        <v>4912</v>
      </c>
      <c r="Q2009" t="str">
        <f>VLOOKUP(A2009,vlookup_table!$A:$G,5,FALSE)</f>
        <v>T2</v>
      </c>
      <c r="R2009" t="str">
        <f>VLOOKUP(A2009,vlookup_table!$A:$G,6,FALSE)</f>
        <v>M</v>
      </c>
      <c r="S2009">
        <f>VLOOKUP(A2009,vlookup_table!$A:$G,7,FALSE)</f>
        <v>26</v>
      </c>
      <c r="T2009">
        <f t="shared" si="62"/>
        <v>47</v>
      </c>
      <c r="U2009" t="str">
        <f t="shared" si="63"/>
        <v>Pueblo</v>
      </c>
    </row>
    <row r="2010" spans="1:21" ht="16" x14ac:dyDescent="0.4">
      <c r="A2010" s="6">
        <v>167039</v>
      </c>
      <c r="B2010" s="6" t="s">
        <v>21</v>
      </c>
      <c r="C2010" s="6"/>
      <c r="D2010" s="6">
        <v>3201</v>
      </c>
      <c r="E2010" s="6">
        <v>497</v>
      </c>
      <c r="F2010" s="6">
        <v>591</v>
      </c>
      <c r="G2010" s="6">
        <v>92</v>
      </c>
      <c r="H2010" s="6">
        <v>19656</v>
      </c>
      <c r="I2010" s="6">
        <v>9</v>
      </c>
      <c r="J2010" s="6">
        <v>72</v>
      </c>
      <c r="K2010" s="6">
        <v>552</v>
      </c>
      <c r="L2010" s="6">
        <v>539</v>
      </c>
      <c r="M2010" s="6">
        <v>5</v>
      </c>
      <c r="N2010">
        <f>VLOOKUP(A2010,vlookup_table!$A:$G,2,FALSE)</f>
        <v>0</v>
      </c>
      <c r="O2010" t="str">
        <f>VLOOKUP(A2010,vlookup_table!$A:$G,3,FALSE)</f>
        <v>CA</v>
      </c>
      <c r="P2010">
        <f>VLOOKUP(A2010,vlookup_table!$A:$G,4,FALSE)</f>
        <v>0</v>
      </c>
      <c r="Q2010" t="str">
        <f>VLOOKUP(A2010,vlookup_table!$A:$G,5,FALSE)</f>
        <v>S1</v>
      </c>
      <c r="R2010" t="str">
        <f>VLOOKUP(A2010,vlookup_table!$A:$G,6,FALSE)</f>
        <v/>
      </c>
      <c r="S2010">
        <f>VLOOKUP(A2010,vlookup_table!$A:$G,7,FALSE)</f>
        <v>5</v>
      </c>
      <c r="T2010">
        <f t="shared" si="62"/>
        <v>96</v>
      </c>
      <c r="U2010" t="str">
        <f t="shared" si="63"/>
        <v>Suburbano</v>
      </c>
    </row>
    <row r="2011" spans="1:21" ht="16" x14ac:dyDescent="0.4">
      <c r="A2011" s="6">
        <v>165509</v>
      </c>
      <c r="B2011" s="6" t="s">
        <v>21</v>
      </c>
      <c r="C2011" s="6" t="s">
        <v>14</v>
      </c>
      <c r="D2011" s="6">
        <v>2213</v>
      </c>
      <c r="E2011" s="6">
        <v>447</v>
      </c>
      <c r="F2011" s="6">
        <v>491</v>
      </c>
      <c r="G2011" s="6">
        <v>77</v>
      </c>
      <c r="H2011" s="6">
        <v>16702</v>
      </c>
      <c r="I2011" s="6">
        <v>7</v>
      </c>
      <c r="J2011" s="6">
        <v>62</v>
      </c>
      <c r="K2011" s="6">
        <v>447</v>
      </c>
      <c r="L2011" s="6">
        <v>491</v>
      </c>
      <c r="M2011" s="6">
        <v>4.95</v>
      </c>
      <c r="N2011">
        <f>VLOOKUP(A2011,vlookup_table!$A:$G,2,FALSE)</f>
        <v>0</v>
      </c>
      <c r="O2011" t="str">
        <f>VLOOKUP(A2011,vlookup_table!$A:$G,3,FALSE)</f>
        <v>CA</v>
      </c>
      <c r="P2011">
        <f>VLOOKUP(A2011,vlookup_table!$A:$G,4,FALSE)</f>
        <v>0</v>
      </c>
      <c r="Q2011" t="str">
        <f>VLOOKUP(A2011,vlookup_table!$A:$G,5,FALSE)</f>
        <v>C1</v>
      </c>
      <c r="R2011" t="str">
        <f>VLOOKUP(A2011,vlookup_table!$A:$G,6,FALSE)</f>
        <v>M</v>
      </c>
      <c r="S2011">
        <f>VLOOKUP(A2011,vlookup_table!$A:$G,7,FALSE)</f>
        <v>10</v>
      </c>
      <c r="T2011">
        <f t="shared" si="62"/>
        <v>96</v>
      </c>
      <c r="U2011" t="str">
        <f t="shared" si="63"/>
        <v>Ciudad</v>
      </c>
    </row>
    <row r="2012" spans="1:21" ht="16" x14ac:dyDescent="0.4">
      <c r="A2012" s="6">
        <v>151653</v>
      </c>
      <c r="B2012" s="6" t="s">
        <v>21</v>
      </c>
      <c r="C2012" s="6"/>
      <c r="D2012" s="6">
        <v>1455</v>
      </c>
      <c r="E2012" s="6">
        <v>376</v>
      </c>
      <c r="F2012" s="6">
        <v>426</v>
      </c>
      <c r="G2012" s="6">
        <v>7</v>
      </c>
      <c r="H2012" s="6">
        <v>14860</v>
      </c>
      <c r="I2012" s="6">
        <v>19</v>
      </c>
      <c r="J2012" s="6">
        <v>39</v>
      </c>
      <c r="K2012" s="6">
        <v>417</v>
      </c>
      <c r="L2012" s="6">
        <v>393</v>
      </c>
      <c r="M2012" s="6">
        <v>6.35</v>
      </c>
      <c r="N2012">
        <f>VLOOKUP(A2012,vlookup_table!$A:$G,2,FALSE)</f>
        <v>0</v>
      </c>
      <c r="O2012" t="str">
        <f>VLOOKUP(A2012,vlookup_table!$A:$G,3,FALSE)</f>
        <v>CA</v>
      </c>
      <c r="P2012">
        <f>VLOOKUP(A2012,vlookup_table!$A:$G,4,FALSE)</f>
        <v>2401</v>
      </c>
      <c r="Q2012" t="str">
        <f>VLOOKUP(A2012,vlookup_table!$A:$G,5,FALSE)</f>
        <v>U3</v>
      </c>
      <c r="R2012" t="str">
        <f>VLOOKUP(A2012,vlookup_table!$A:$G,6,FALSE)</f>
        <v/>
      </c>
      <c r="S2012">
        <f>VLOOKUP(A2012,vlookup_table!$A:$G,7,FALSE)</f>
        <v>10</v>
      </c>
      <c r="T2012">
        <f t="shared" si="62"/>
        <v>72</v>
      </c>
      <c r="U2012" t="str">
        <f t="shared" si="63"/>
        <v>Urbano</v>
      </c>
    </row>
    <row r="2013" spans="1:21" ht="16" x14ac:dyDescent="0.4">
      <c r="A2013" s="6">
        <v>100132</v>
      </c>
      <c r="B2013" s="6" t="s">
        <v>33</v>
      </c>
      <c r="C2013" s="6" t="s">
        <v>17</v>
      </c>
      <c r="D2013" s="6">
        <v>393</v>
      </c>
      <c r="E2013" s="6">
        <v>216</v>
      </c>
      <c r="F2013" s="6">
        <v>301</v>
      </c>
      <c r="G2013" s="6">
        <v>0</v>
      </c>
      <c r="H2013" s="6">
        <v>10107</v>
      </c>
      <c r="I2013" s="6">
        <v>0</v>
      </c>
      <c r="J2013" s="6">
        <v>71</v>
      </c>
      <c r="K2013" s="6">
        <v>258</v>
      </c>
      <c r="L2013" s="6">
        <v>258</v>
      </c>
      <c r="M2013" s="6">
        <v>10</v>
      </c>
      <c r="N2013">
        <f>VLOOKUP(A2013,vlookup_table!$A:$G,2,FALSE)</f>
        <v>0</v>
      </c>
      <c r="O2013" t="str">
        <f>VLOOKUP(A2013,vlookup_table!$A:$G,3,FALSE)</f>
        <v>MO</v>
      </c>
      <c r="P2013">
        <f>VLOOKUP(A2013,vlookup_table!$A:$G,4,FALSE)</f>
        <v>2401</v>
      </c>
      <c r="Q2013" t="str">
        <f>VLOOKUP(A2013,vlookup_table!$A:$G,5,FALSE)</f>
        <v>S2</v>
      </c>
      <c r="R2013" t="str">
        <f>VLOOKUP(A2013,vlookup_table!$A:$G,6,FALSE)</f>
        <v>F</v>
      </c>
      <c r="S2013">
        <f>VLOOKUP(A2013,vlookup_table!$A:$G,7,FALSE)</f>
        <v>15</v>
      </c>
      <c r="T2013">
        <f t="shared" si="62"/>
        <v>72</v>
      </c>
      <c r="U2013" t="str">
        <f t="shared" si="63"/>
        <v>Suburbano</v>
      </c>
    </row>
    <row r="2014" spans="1:21" ht="16" x14ac:dyDescent="0.4">
      <c r="A2014" s="6">
        <v>161726</v>
      </c>
      <c r="B2014" s="6" t="s">
        <v>21</v>
      </c>
      <c r="C2014" s="6" t="s">
        <v>17</v>
      </c>
      <c r="D2014" s="6">
        <v>2453</v>
      </c>
      <c r="E2014" s="6">
        <v>438</v>
      </c>
      <c r="F2014" s="6">
        <v>475</v>
      </c>
      <c r="G2014" s="6">
        <v>86</v>
      </c>
      <c r="H2014" s="6">
        <v>15707</v>
      </c>
      <c r="I2014" s="6">
        <v>16</v>
      </c>
      <c r="J2014" s="6">
        <v>45</v>
      </c>
      <c r="K2014" s="6">
        <v>451</v>
      </c>
      <c r="L2014" s="6">
        <v>436</v>
      </c>
      <c r="M2014" s="6">
        <v>5.8125</v>
      </c>
      <c r="N2014">
        <f>VLOOKUP(A2014,vlookup_table!$A:$G,2,FALSE)</f>
        <v>0</v>
      </c>
      <c r="O2014" t="str">
        <f>VLOOKUP(A2014,vlookup_table!$A:$G,3,FALSE)</f>
        <v>CA</v>
      </c>
      <c r="P2014">
        <f>VLOOKUP(A2014,vlookup_table!$A:$G,4,FALSE)</f>
        <v>4601</v>
      </c>
      <c r="Q2014" t="str">
        <f>VLOOKUP(A2014,vlookup_table!$A:$G,5,FALSE)</f>
        <v>T1</v>
      </c>
      <c r="R2014" t="str">
        <f>VLOOKUP(A2014,vlookup_table!$A:$G,6,FALSE)</f>
        <v>F</v>
      </c>
      <c r="S2014">
        <f>VLOOKUP(A2014,vlookup_table!$A:$G,7,FALSE)</f>
        <v>7</v>
      </c>
      <c r="T2014">
        <f t="shared" si="62"/>
        <v>50</v>
      </c>
      <c r="U2014" t="str">
        <f t="shared" si="63"/>
        <v>Pueblo</v>
      </c>
    </row>
    <row r="2015" spans="1:21" ht="16" x14ac:dyDescent="0.4">
      <c r="A2015" s="6">
        <v>125986</v>
      </c>
      <c r="B2015" s="6" t="s">
        <v>20</v>
      </c>
      <c r="C2015" s="6" t="s">
        <v>14</v>
      </c>
      <c r="D2015" s="6">
        <v>533</v>
      </c>
      <c r="E2015" s="6">
        <v>246</v>
      </c>
      <c r="F2015" s="6">
        <v>308</v>
      </c>
      <c r="G2015" s="6">
        <v>1</v>
      </c>
      <c r="H2015" s="6">
        <v>10096</v>
      </c>
      <c r="I2015" s="6">
        <v>3</v>
      </c>
      <c r="J2015" s="6">
        <v>75</v>
      </c>
      <c r="K2015" s="6">
        <v>276</v>
      </c>
      <c r="L2015" s="6">
        <v>287</v>
      </c>
      <c r="M2015" s="6">
        <v>13.375</v>
      </c>
      <c r="N2015">
        <f>VLOOKUP(A2015,vlookup_table!$A:$G,2,FALSE)</f>
        <v>0</v>
      </c>
      <c r="O2015" t="str">
        <f>VLOOKUP(A2015,vlookup_table!$A:$G,3,FALSE)</f>
        <v>TX</v>
      </c>
      <c r="P2015">
        <f>VLOOKUP(A2015,vlookup_table!$A:$G,4,FALSE)</f>
        <v>4610</v>
      </c>
      <c r="Q2015" t="str">
        <f>VLOOKUP(A2015,vlookup_table!$A:$G,5,FALSE)</f>
        <v>T2</v>
      </c>
      <c r="R2015" t="str">
        <f>VLOOKUP(A2015,vlookup_table!$A:$G,6,FALSE)</f>
        <v>M</v>
      </c>
      <c r="S2015">
        <f>VLOOKUP(A2015,vlookup_table!$A:$G,7,FALSE)</f>
        <v>17</v>
      </c>
      <c r="T2015">
        <f t="shared" si="62"/>
        <v>50</v>
      </c>
      <c r="U2015" t="str">
        <f t="shared" si="63"/>
        <v>Pueblo</v>
      </c>
    </row>
    <row r="2016" spans="1:21" ht="16" x14ac:dyDescent="0.4">
      <c r="A2016" s="6">
        <v>185394</v>
      </c>
      <c r="B2016" s="6" t="s">
        <v>26</v>
      </c>
      <c r="C2016" s="6" t="s">
        <v>17</v>
      </c>
      <c r="D2016" s="6">
        <v>647</v>
      </c>
      <c r="E2016" s="6">
        <v>285</v>
      </c>
      <c r="F2016" s="6">
        <v>338</v>
      </c>
      <c r="G2016" s="6">
        <v>0</v>
      </c>
      <c r="H2016" s="6">
        <v>12910</v>
      </c>
      <c r="I2016" s="6">
        <v>7</v>
      </c>
      <c r="J2016" s="6">
        <v>80</v>
      </c>
      <c r="K2016" s="6">
        <v>317</v>
      </c>
      <c r="L2016" s="6">
        <v>300</v>
      </c>
      <c r="M2016" s="6">
        <v>8.9166666669999994</v>
      </c>
      <c r="N2016">
        <f>VLOOKUP(A2016,vlookup_table!$A:$G,2,FALSE)</f>
        <v>2</v>
      </c>
      <c r="O2016" t="str">
        <f>VLOOKUP(A2016,vlookup_table!$A:$G,3,FALSE)</f>
        <v>MI</v>
      </c>
      <c r="P2016">
        <f>VLOOKUP(A2016,vlookup_table!$A:$G,4,FALSE)</f>
        <v>2702</v>
      </c>
      <c r="Q2016" t="str">
        <f>VLOOKUP(A2016,vlookup_table!$A:$G,5,FALSE)</f>
        <v>S2</v>
      </c>
      <c r="R2016" t="str">
        <f>VLOOKUP(A2016,vlookup_table!$A:$G,6,FALSE)</f>
        <v>F</v>
      </c>
      <c r="S2016">
        <f>VLOOKUP(A2016,vlookup_table!$A:$G,7,FALSE)</f>
        <v>5</v>
      </c>
      <c r="T2016">
        <f t="shared" si="62"/>
        <v>69</v>
      </c>
      <c r="U2016" t="str">
        <f t="shared" si="63"/>
        <v>Suburbano</v>
      </c>
    </row>
    <row r="2017" spans="1:21" ht="16" x14ac:dyDescent="0.4">
      <c r="A2017" s="6">
        <v>43799</v>
      </c>
      <c r="B2017" s="6" t="s">
        <v>13</v>
      </c>
      <c r="C2017" s="6" t="s">
        <v>17</v>
      </c>
      <c r="D2017" s="6">
        <v>1044</v>
      </c>
      <c r="E2017" s="6">
        <v>366</v>
      </c>
      <c r="F2017" s="6">
        <v>499</v>
      </c>
      <c r="G2017" s="6">
        <v>15</v>
      </c>
      <c r="H2017" s="6">
        <v>22427</v>
      </c>
      <c r="I2017" s="6">
        <v>8</v>
      </c>
      <c r="J2017" s="6">
        <v>35</v>
      </c>
      <c r="K2017" s="6">
        <v>318</v>
      </c>
      <c r="L2017" s="6">
        <v>458</v>
      </c>
      <c r="M2017" s="6">
        <v>13.16666667</v>
      </c>
      <c r="N2017">
        <f>VLOOKUP(A2017,vlookup_table!$A:$G,2,FALSE)</f>
        <v>2</v>
      </c>
      <c r="O2017" t="str">
        <f>VLOOKUP(A2017,vlookup_table!$A:$G,3,FALSE)</f>
        <v>FL</v>
      </c>
      <c r="P2017">
        <f>VLOOKUP(A2017,vlookup_table!$A:$G,4,FALSE)</f>
        <v>5801</v>
      </c>
      <c r="Q2017" t="str">
        <f>VLOOKUP(A2017,vlookup_table!$A:$G,5,FALSE)</f>
        <v>T2</v>
      </c>
      <c r="R2017" t="str">
        <f>VLOOKUP(A2017,vlookup_table!$A:$G,6,FALSE)</f>
        <v>F</v>
      </c>
      <c r="S2017">
        <f>VLOOKUP(A2017,vlookup_table!$A:$G,7,FALSE)</f>
        <v>20</v>
      </c>
      <c r="T2017">
        <f t="shared" si="62"/>
        <v>38</v>
      </c>
      <c r="U2017" t="str">
        <f t="shared" si="63"/>
        <v>Pueblo</v>
      </c>
    </row>
    <row r="2018" spans="1:21" ht="16" x14ac:dyDescent="0.4">
      <c r="A2018" s="6">
        <v>161838</v>
      </c>
      <c r="B2018" s="6" t="s">
        <v>21</v>
      </c>
      <c r="C2018" s="6" t="s">
        <v>17</v>
      </c>
      <c r="D2018" s="6">
        <v>1953</v>
      </c>
      <c r="E2018" s="6">
        <v>304</v>
      </c>
      <c r="F2018" s="6">
        <v>380</v>
      </c>
      <c r="G2018" s="6">
        <v>47</v>
      </c>
      <c r="H2018" s="6">
        <v>13811</v>
      </c>
      <c r="I2018" s="6">
        <v>25</v>
      </c>
      <c r="J2018" s="6">
        <v>43</v>
      </c>
      <c r="K2018" s="6">
        <v>353</v>
      </c>
      <c r="L2018" s="6">
        <v>337</v>
      </c>
      <c r="M2018" s="6">
        <v>13.5</v>
      </c>
      <c r="N2018">
        <f>VLOOKUP(A2018,vlookup_table!$A:$G,2,FALSE)</f>
        <v>0</v>
      </c>
      <c r="O2018" t="str">
        <f>VLOOKUP(A2018,vlookup_table!$A:$G,3,FALSE)</f>
        <v>CA</v>
      </c>
      <c r="P2018">
        <f>VLOOKUP(A2018,vlookup_table!$A:$G,4,FALSE)</f>
        <v>4212</v>
      </c>
      <c r="Q2018" t="str">
        <f>VLOOKUP(A2018,vlookup_table!$A:$G,5,FALSE)</f>
        <v>C2</v>
      </c>
      <c r="R2018" t="str">
        <f>VLOOKUP(A2018,vlookup_table!$A:$G,6,FALSE)</f>
        <v>F</v>
      </c>
      <c r="S2018">
        <f>VLOOKUP(A2018,vlookup_table!$A:$G,7,FALSE)</f>
        <v>14</v>
      </c>
      <c r="T2018">
        <f t="shared" si="62"/>
        <v>54</v>
      </c>
      <c r="U2018" t="str">
        <f t="shared" si="63"/>
        <v>Ciudad</v>
      </c>
    </row>
    <row r="2019" spans="1:21" ht="16" x14ac:dyDescent="0.4">
      <c r="A2019" s="6">
        <v>161838</v>
      </c>
      <c r="B2019" s="6" t="s">
        <v>21</v>
      </c>
      <c r="C2019" s="6" t="s">
        <v>17</v>
      </c>
      <c r="D2019" s="6">
        <v>1953</v>
      </c>
      <c r="E2019" s="6">
        <v>304</v>
      </c>
      <c r="F2019" s="6">
        <v>380</v>
      </c>
      <c r="G2019" s="6">
        <v>47</v>
      </c>
      <c r="H2019" s="6">
        <v>13811</v>
      </c>
      <c r="I2019" s="6">
        <v>25</v>
      </c>
      <c r="J2019" s="6">
        <v>43</v>
      </c>
      <c r="K2019" s="6">
        <v>353</v>
      </c>
      <c r="L2019" s="6">
        <v>337</v>
      </c>
      <c r="M2019" s="6">
        <v>13.5</v>
      </c>
      <c r="N2019">
        <f>VLOOKUP(A2019,vlookup_table!$A:$G,2,FALSE)</f>
        <v>0</v>
      </c>
      <c r="O2019" t="str">
        <f>VLOOKUP(A2019,vlookup_table!$A:$G,3,FALSE)</f>
        <v>CA</v>
      </c>
      <c r="P2019">
        <f>VLOOKUP(A2019,vlookup_table!$A:$G,4,FALSE)</f>
        <v>4212</v>
      </c>
      <c r="Q2019" t="str">
        <f>VLOOKUP(A2019,vlookup_table!$A:$G,5,FALSE)</f>
        <v>C2</v>
      </c>
      <c r="R2019" t="str">
        <f>VLOOKUP(A2019,vlookup_table!$A:$G,6,FALSE)</f>
        <v>F</v>
      </c>
      <c r="S2019">
        <f>VLOOKUP(A2019,vlookup_table!$A:$G,7,FALSE)</f>
        <v>14</v>
      </c>
      <c r="T2019">
        <f t="shared" si="62"/>
        <v>54</v>
      </c>
      <c r="U2019" t="str">
        <f t="shared" si="63"/>
        <v>Ciudad</v>
      </c>
    </row>
    <row r="2020" spans="1:21" ht="16" x14ac:dyDescent="0.4">
      <c r="A2020" s="6">
        <v>161838</v>
      </c>
      <c r="B2020" s="6" t="s">
        <v>21</v>
      </c>
      <c r="C2020" s="6" t="s">
        <v>17</v>
      </c>
      <c r="D2020" s="6">
        <v>1953</v>
      </c>
      <c r="E2020" s="6">
        <v>304</v>
      </c>
      <c r="F2020" s="6">
        <v>380</v>
      </c>
      <c r="G2020" s="6">
        <v>47</v>
      </c>
      <c r="H2020" s="6">
        <v>13811</v>
      </c>
      <c r="I2020" s="6">
        <v>25</v>
      </c>
      <c r="J2020" s="6">
        <v>43</v>
      </c>
      <c r="K2020" s="6">
        <v>353</v>
      </c>
      <c r="L2020" s="6">
        <v>337</v>
      </c>
      <c r="M2020" s="6">
        <v>13.5</v>
      </c>
      <c r="N2020">
        <f>VLOOKUP(A2020,vlookup_table!$A:$G,2,FALSE)</f>
        <v>0</v>
      </c>
      <c r="O2020" t="str">
        <f>VLOOKUP(A2020,vlookup_table!$A:$G,3,FALSE)</f>
        <v>CA</v>
      </c>
      <c r="P2020">
        <f>VLOOKUP(A2020,vlookup_table!$A:$G,4,FALSE)</f>
        <v>4212</v>
      </c>
      <c r="Q2020" t="str">
        <f>VLOOKUP(A2020,vlookup_table!$A:$G,5,FALSE)</f>
        <v>C2</v>
      </c>
      <c r="R2020" t="str">
        <f>VLOOKUP(A2020,vlookup_table!$A:$G,6,FALSE)</f>
        <v>F</v>
      </c>
      <c r="S2020">
        <f>VLOOKUP(A2020,vlookup_table!$A:$G,7,FALSE)</f>
        <v>14</v>
      </c>
      <c r="T2020">
        <f t="shared" si="62"/>
        <v>54</v>
      </c>
      <c r="U2020" t="str">
        <f t="shared" si="63"/>
        <v>Ciudad</v>
      </c>
    </row>
    <row r="2021" spans="1:21" ht="16" x14ac:dyDescent="0.4">
      <c r="A2021" s="6">
        <v>138311</v>
      </c>
      <c r="B2021" s="6" t="s">
        <v>51</v>
      </c>
      <c r="C2021" s="6" t="s">
        <v>97</v>
      </c>
      <c r="D2021" s="6">
        <v>1708</v>
      </c>
      <c r="E2021" s="6">
        <v>437</v>
      </c>
      <c r="F2021" s="6">
        <v>684</v>
      </c>
      <c r="G2021" s="6">
        <v>36</v>
      </c>
      <c r="H2021" s="6">
        <v>29098</v>
      </c>
      <c r="I2021" s="6">
        <v>7</v>
      </c>
      <c r="J2021" s="6">
        <v>19</v>
      </c>
      <c r="K2021" s="6">
        <v>586</v>
      </c>
      <c r="L2021" s="6">
        <v>551</v>
      </c>
      <c r="M2021" s="6">
        <v>9.769230769</v>
      </c>
      <c r="N2021">
        <f>VLOOKUP(A2021,vlookup_table!$A:$G,2,FALSE)</f>
        <v>2</v>
      </c>
      <c r="O2021" t="str">
        <f>VLOOKUP(A2021,vlookup_table!$A:$G,3,FALSE)</f>
        <v>AZ</v>
      </c>
      <c r="P2021">
        <f>VLOOKUP(A2021,vlookup_table!$A:$G,4,FALSE)</f>
        <v>1403</v>
      </c>
      <c r="Q2021" t="str">
        <f>VLOOKUP(A2021,vlookup_table!$A:$G,5,FALSE)</f>
        <v>S1</v>
      </c>
      <c r="R2021" t="str">
        <f>VLOOKUP(A2021,vlookup_table!$A:$G,6,FALSE)</f>
        <v>F</v>
      </c>
      <c r="S2021">
        <f>VLOOKUP(A2021,vlookup_table!$A:$G,7,FALSE)</f>
        <v>20</v>
      </c>
      <c r="T2021">
        <f t="shared" si="62"/>
        <v>82</v>
      </c>
      <c r="U2021" t="str">
        <f t="shared" si="63"/>
        <v>Suburbano</v>
      </c>
    </row>
    <row r="2022" spans="1:21" ht="16" x14ac:dyDescent="0.4">
      <c r="A2022" s="6">
        <v>123469</v>
      </c>
      <c r="B2022" s="6" t="s">
        <v>20</v>
      </c>
      <c r="C2022" s="6" t="s">
        <v>14</v>
      </c>
      <c r="D2022" s="6">
        <v>561</v>
      </c>
      <c r="E2022" s="6">
        <v>493</v>
      </c>
      <c r="F2022" s="6">
        <v>540</v>
      </c>
      <c r="G2022" s="6">
        <v>1</v>
      </c>
      <c r="H2022" s="6">
        <v>16623</v>
      </c>
      <c r="I2022" s="6">
        <v>5</v>
      </c>
      <c r="J2022" s="6">
        <v>68</v>
      </c>
      <c r="K2022" s="6">
        <v>529</v>
      </c>
      <c r="L2022" s="6">
        <v>506</v>
      </c>
      <c r="M2022" s="6">
        <v>5.2</v>
      </c>
      <c r="N2022">
        <f>VLOOKUP(A2022,vlookup_table!$A:$G,2,FALSE)</f>
        <v>0</v>
      </c>
      <c r="O2022" t="str">
        <f>VLOOKUP(A2022,vlookup_table!$A:$G,3,FALSE)</f>
        <v>TX</v>
      </c>
      <c r="P2022">
        <f>VLOOKUP(A2022,vlookup_table!$A:$G,4,FALSE)</f>
        <v>0</v>
      </c>
      <c r="Q2022" t="str">
        <f>VLOOKUP(A2022,vlookup_table!$A:$G,5,FALSE)</f>
        <v>T2</v>
      </c>
      <c r="R2022" t="str">
        <f>VLOOKUP(A2022,vlookup_table!$A:$G,6,FALSE)</f>
        <v>M</v>
      </c>
      <c r="S2022">
        <f>VLOOKUP(A2022,vlookup_table!$A:$G,7,FALSE)</f>
        <v>5</v>
      </c>
      <c r="T2022">
        <f t="shared" si="62"/>
        <v>96</v>
      </c>
      <c r="U2022" t="str">
        <f t="shared" si="63"/>
        <v>Pueblo</v>
      </c>
    </row>
    <row r="2023" spans="1:21" ht="16" x14ac:dyDescent="0.4">
      <c r="A2023" s="6">
        <v>135341</v>
      </c>
      <c r="B2023" s="6" t="s">
        <v>51</v>
      </c>
      <c r="C2023" s="6" t="s">
        <v>97</v>
      </c>
      <c r="D2023" s="6">
        <v>700</v>
      </c>
      <c r="E2023" s="6">
        <v>205</v>
      </c>
      <c r="F2023" s="6">
        <v>295</v>
      </c>
      <c r="G2023" s="6">
        <v>0</v>
      </c>
      <c r="H2023" s="6">
        <v>12713</v>
      </c>
      <c r="I2023" s="6">
        <v>9</v>
      </c>
      <c r="J2023" s="6">
        <v>12</v>
      </c>
      <c r="K2023" s="6">
        <v>221</v>
      </c>
      <c r="L2023" s="6">
        <v>276</v>
      </c>
      <c r="M2023" s="6">
        <v>12.85714286</v>
      </c>
      <c r="N2023">
        <f>VLOOKUP(A2023,vlookup_table!$A:$G,2,FALSE)</f>
        <v>0</v>
      </c>
      <c r="O2023" t="str">
        <f>VLOOKUP(A2023,vlookup_table!$A:$G,3,FALSE)</f>
        <v>AZ</v>
      </c>
      <c r="P2023">
        <f>VLOOKUP(A2023,vlookup_table!$A:$G,4,FALSE)</f>
        <v>0</v>
      </c>
      <c r="Q2023" t="str">
        <f>VLOOKUP(A2023,vlookup_table!$A:$G,5,FALSE)</f>
        <v>C2</v>
      </c>
      <c r="R2023" t="str">
        <f>VLOOKUP(A2023,vlookup_table!$A:$G,6,FALSE)</f>
        <v>F</v>
      </c>
      <c r="S2023">
        <f>VLOOKUP(A2023,vlookup_table!$A:$G,7,FALSE)</f>
        <v>12</v>
      </c>
      <c r="T2023">
        <f t="shared" si="62"/>
        <v>96</v>
      </c>
      <c r="U2023" t="str">
        <f t="shared" si="63"/>
        <v>Ciudad</v>
      </c>
    </row>
    <row r="2024" spans="1:21" ht="16" x14ac:dyDescent="0.4">
      <c r="A2024" s="7">
        <v>119966</v>
      </c>
      <c r="B2024" s="7" t="s">
        <v>20</v>
      </c>
      <c r="C2024" s="7" t="s">
        <v>17</v>
      </c>
      <c r="D2024" s="7">
        <v>321</v>
      </c>
      <c r="E2024" s="7">
        <v>225</v>
      </c>
      <c r="F2024" s="7">
        <v>281</v>
      </c>
      <c r="G2024" s="7">
        <v>0</v>
      </c>
      <c r="H2024" s="7">
        <v>9372</v>
      </c>
      <c r="I2024" s="7">
        <v>3</v>
      </c>
      <c r="J2024" s="7">
        <v>68</v>
      </c>
      <c r="K2024" s="7">
        <v>264</v>
      </c>
      <c r="L2024" s="7">
        <v>243</v>
      </c>
      <c r="M2024" s="7">
        <v>8.0588235289999997</v>
      </c>
      <c r="N2024">
        <f>VLOOKUP(A2024,vlookup_table!$A:$G,2,FALSE)</f>
        <v>0</v>
      </c>
      <c r="O2024" t="str">
        <f>VLOOKUP(A2024,vlookup_table!$A:$G,3,FALSE)</f>
        <v>TX</v>
      </c>
      <c r="P2024">
        <f>VLOOKUP(A2024,vlookup_table!$A:$G,4,FALSE)</f>
        <v>3212</v>
      </c>
      <c r="Q2024" t="str">
        <f>VLOOKUP(A2024,vlookup_table!$A:$G,5,FALSE)</f>
        <v>T3</v>
      </c>
      <c r="R2024" t="str">
        <f>VLOOKUP(A2024,vlookup_table!$A:$G,6,FALSE)</f>
        <v>F</v>
      </c>
      <c r="S2024">
        <f>VLOOKUP(A2024,vlookup_table!$A:$G,7,FALSE)</f>
        <v>11</v>
      </c>
      <c r="T2024">
        <f t="shared" si="62"/>
        <v>64</v>
      </c>
      <c r="U2024" t="str">
        <f t="shared" si="63"/>
        <v>Pueblo</v>
      </c>
    </row>
    <row r="2025" spans="1:21" ht="16" x14ac:dyDescent="0.4">
      <c r="A2025" s="7">
        <v>152470</v>
      </c>
      <c r="B2025" s="7" t="s">
        <v>21</v>
      </c>
      <c r="C2025" s="7" t="s">
        <v>17</v>
      </c>
      <c r="D2025" s="7">
        <v>5725</v>
      </c>
      <c r="E2025" s="7">
        <v>610</v>
      </c>
      <c r="F2025" s="7">
        <v>807</v>
      </c>
      <c r="G2025" s="7">
        <v>97</v>
      </c>
      <c r="H2025" s="7">
        <v>53158</v>
      </c>
      <c r="I2025" s="7">
        <v>13</v>
      </c>
      <c r="J2025" s="7">
        <v>22</v>
      </c>
      <c r="K2025" s="7">
        <v>763</v>
      </c>
      <c r="L2025" s="7">
        <v>698</v>
      </c>
      <c r="M2025" s="7">
        <v>23.727272729999999</v>
      </c>
      <c r="N2025">
        <f>VLOOKUP(A2025,vlookup_table!$A:$G,2,FALSE)</f>
        <v>0</v>
      </c>
      <c r="O2025" t="str">
        <f>VLOOKUP(A2025,vlookup_table!$A:$G,3,FALSE)</f>
        <v>CA</v>
      </c>
      <c r="P2025">
        <f>VLOOKUP(A2025,vlookup_table!$A:$G,4,FALSE)</f>
        <v>0</v>
      </c>
      <c r="Q2025" t="str">
        <f>VLOOKUP(A2025,vlookup_table!$A:$G,5,FALSE)</f>
        <v>S1</v>
      </c>
      <c r="R2025" t="str">
        <f>VLOOKUP(A2025,vlookup_table!$A:$G,6,FALSE)</f>
        <v>F</v>
      </c>
      <c r="S2025">
        <f>VLOOKUP(A2025,vlookup_table!$A:$G,7,FALSE)</f>
        <v>45</v>
      </c>
      <c r="T2025">
        <f t="shared" si="62"/>
        <v>96</v>
      </c>
      <c r="U2025" t="str">
        <f t="shared" si="63"/>
        <v>Suburbano</v>
      </c>
    </row>
    <row r="2026" spans="1:21" ht="16" x14ac:dyDescent="0.4">
      <c r="A2026" s="7">
        <v>48527</v>
      </c>
      <c r="B2026" s="7" t="s">
        <v>40</v>
      </c>
      <c r="C2026" s="7" t="s">
        <v>14</v>
      </c>
      <c r="D2026" s="7">
        <v>931</v>
      </c>
      <c r="E2026" s="7">
        <v>407</v>
      </c>
      <c r="F2026" s="7">
        <v>496</v>
      </c>
      <c r="G2026" s="7">
        <v>0</v>
      </c>
      <c r="H2026" s="7">
        <v>17743</v>
      </c>
      <c r="I2026" s="7">
        <v>0</v>
      </c>
      <c r="J2026" s="7">
        <v>65</v>
      </c>
      <c r="K2026" s="7">
        <v>502</v>
      </c>
      <c r="L2026" s="7">
        <v>439</v>
      </c>
      <c r="M2026" s="7">
        <v>4.4166666670000003</v>
      </c>
      <c r="N2026">
        <f>VLOOKUP(A2026,vlookup_table!$A:$G,2,FALSE)</f>
        <v>2</v>
      </c>
      <c r="O2026" t="str">
        <f>VLOOKUP(A2026,vlookup_table!$A:$G,3,FALSE)</f>
        <v>AL</v>
      </c>
      <c r="P2026">
        <f>VLOOKUP(A2026,vlookup_table!$A:$G,4,FALSE)</f>
        <v>0</v>
      </c>
      <c r="Q2026" t="str">
        <f>VLOOKUP(A2026,vlookup_table!$A:$G,5,FALSE)</f>
        <v>R3</v>
      </c>
      <c r="R2026" t="str">
        <f>VLOOKUP(A2026,vlookup_table!$A:$G,6,FALSE)</f>
        <v>M</v>
      </c>
      <c r="S2026">
        <f>VLOOKUP(A2026,vlookup_table!$A:$G,7,FALSE)</f>
        <v>3</v>
      </c>
      <c r="T2026">
        <f t="shared" si="62"/>
        <v>96</v>
      </c>
      <c r="U2026" t="str">
        <f t="shared" si="63"/>
        <v>Rural</v>
      </c>
    </row>
    <row r="2027" spans="1:21" ht="16" x14ac:dyDescent="0.4">
      <c r="A2027" s="7">
        <v>171528</v>
      </c>
      <c r="B2027" s="7" t="s">
        <v>21</v>
      </c>
      <c r="C2027" s="7" t="s">
        <v>17</v>
      </c>
      <c r="D2027" s="7">
        <v>1895</v>
      </c>
      <c r="E2027" s="7">
        <v>317</v>
      </c>
      <c r="F2027" s="7">
        <v>471</v>
      </c>
      <c r="G2027" s="7">
        <v>46</v>
      </c>
      <c r="H2027" s="7">
        <v>17431</v>
      </c>
      <c r="I2027" s="7">
        <v>10</v>
      </c>
      <c r="J2027" s="7">
        <v>62</v>
      </c>
      <c r="K2027" s="7">
        <v>389</v>
      </c>
      <c r="L2027" s="7">
        <v>405</v>
      </c>
      <c r="M2027" s="7">
        <v>6.7058823529999998</v>
      </c>
      <c r="N2027">
        <f>VLOOKUP(A2027,vlookup_table!$A:$G,2,FALSE)</f>
        <v>0</v>
      </c>
      <c r="O2027" t="str">
        <f>VLOOKUP(A2027,vlookup_table!$A:$G,3,FALSE)</f>
        <v>CA</v>
      </c>
      <c r="P2027">
        <f>VLOOKUP(A2027,vlookup_table!$A:$G,4,FALSE)</f>
        <v>5501</v>
      </c>
      <c r="Q2027" t="str">
        <f>VLOOKUP(A2027,vlookup_table!$A:$G,5,FALSE)</f>
        <v>R2</v>
      </c>
      <c r="R2027" t="str">
        <f>VLOOKUP(A2027,vlookup_table!$A:$G,6,FALSE)</f>
        <v>F</v>
      </c>
      <c r="S2027">
        <f>VLOOKUP(A2027,vlookup_table!$A:$G,7,FALSE)</f>
        <v>5</v>
      </c>
      <c r="T2027">
        <f t="shared" si="62"/>
        <v>41</v>
      </c>
      <c r="U2027" t="str">
        <f t="shared" si="63"/>
        <v>Rural</v>
      </c>
    </row>
    <row r="2028" spans="1:21" ht="16" x14ac:dyDescent="0.4">
      <c r="A2028" s="7">
        <v>50122</v>
      </c>
      <c r="B2028" s="7" t="s">
        <v>49</v>
      </c>
      <c r="C2028" s="7" t="s">
        <v>17</v>
      </c>
      <c r="D2028" s="7">
        <v>715</v>
      </c>
      <c r="E2028" s="7">
        <v>318</v>
      </c>
      <c r="F2028" s="7">
        <v>370</v>
      </c>
      <c r="G2028" s="7">
        <v>2</v>
      </c>
      <c r="H2028" s="7">
        <v>12416</v>
      </c>
      <c r="I2028" s="7">
        <v>0</v>
      </c>
      <c r="J2028" s="7">
        <v>75</v>
      </c>
      <c r="K2028" s="7">
        <v>340</v>
      </c>
      <c r="L2028" s="7">
        <v>352</v>
      </c>
      <c r="M2028" s="7">
        <v>9.25</v>
      </c>
      <c r="N2028">
        <f>VLOOKUP(A2028,vlookup_table!$A:$G,2,FALSE)</f>
        <v>2</v>
      </c>
      <c r="O2028" t="str">
        <f>VLOOKUP(A2028,vlookup_table!$A:$G,3,FALSE)</f>
        <v>TN</v>
      </c>
      <c r="P2028">
        <f>VLOOKUP(A2028,vlookup_table!$A:$G,4,FALSE)</f>
        <v>0</v>
      </c>
      <c r="Q2028" t="str">
        <f>VLOOKUP(A2028,vlookup_table!$A:$G,5,FALSE)</f>
        <v>T1</v>
      </c>
      <c r="R2028" t="str">
        <f>VLOOKUP(A2028,vlookup_table!$A:$G,6,FALSE)</f>
        <v>F</v>
      </c>
      <c r="S2028">
        <f>VLOOKUP(A2028,vlookup_table!$A:$G,7,FALSE)</f>
        <v>10</v>
      </c>
      <c r="T2028">
        <f t="shared" si="62"/>
        <v>96</v>
      </c>
      <c r="U2028" t="str">
        <f t="shared" si="63"/>
        <v>Pueblo</v>
      </c>
    </row>
    <row r="2029" spans="1:21" ht="16" x14ac:dyDescent="0.4">
      <c r="A2029" s="7">
        <v>92293</v>
      </c>
      <c r="B2029" s="7" t="s">
        <v>16</v>
      </c>
      <c r="C2029" s="7" t="s">
        <v>17</v>
      </c>
      <c r="D2029" s="7">
        <v>3359</v>
      </c>
      <c r="E2029" s="7">
        <v>878</v>
      </c>
      <c r="F2029" s="7">
        <v>973</v>
      </c>
      <c r="G2029" s="7">
        <v>87</v>
      </c>
      <c r="H2029" s="7">
        <v>35266</v>
      </c>
      <c r="I2029" s="7">
        <v>16</v>
      </c>
      <c r="J2029" s="7">
        <v>74</v>
      </c>
      <c r="K2029" s="7">
        <v>897</v>
      </c>
      <c r="L2029" s="7">
        <v>934</v>
      </c>
      <c r="M2029" s="7">
        <v>5.8</v>
      </c>
      <c r="N2029">
        <f>VLOOKUP(A2029,vlookup_table!$A:$G,2,FALSE)</f>
        <v>0</v>
      </c>
      <c r="O2029" t="str">
        <f>VLOOKUP(A2029,vlookup_table!$A:$G,3,FALSE)</f>
        <v>IL</v>
      </c>
      <c r="P2029">
        <f>VLOOKUP(A2029,vlookup_table!$A:$G,4,FALSE)</f>
        <v>2201</v>
      </c>
      <c r="Q2029" t="str">
        <f>VLOOKUP(A2029,vlookup_table!$A:$G,5,FALSE)</f>
        <v>S1</v>
      </c>
      <c r="R2029" t="str">
        <f>VLOOKUP(A2029,vlookup_table!$A:$G,6,FALSE)</f>
        <v>F</v>
      </c>
      <c r="S2029">
        <f>VLOOKUP(A2029,vlookup_table!$A:$G,7,FALSE)</f>
        <v>5</v>
      </c>
      <c r="T2029">
        <f t="shared" si="62"/>
        <v>74</v>
      </c>
      <c r="U2029" t="str">
        <f t="shared" si="63"/>
        <v>Suburbano</v>
      </c>
    </row>
    <row r="2030" spans="1:21" ht="16" x14ac:dyDescent="0.4">
      <c r="A2030" s="7">
        <v>47191</v>
      </c>
      <c r="B2030" s="7" t="s">
        <v>40</v>
      </c>
      <c r="C2030" s="7" t="s">
        <v>17</v>
      </c>
      <c r="D2030" s="7">
        <v>950</v>
      </c>
      <c r="E2030" s="7">
        <v>264</v>
      </c>
      <c r="F2030" s="7">
        <v>378</v>
      </c>
      <c r="G2030" s="7">
        <v>3</v>
      </c>
      <c r="H2030" s="7">
        <v>20090</v>
      </c>
      <c r="I2030" s="7">
        <v>6</v>
      </c>
      <c r="J2030" s="7">
        <v>55</v>
      </c>
      <c r="K2030" s="7">
        <v>295</v>
      </c>
      <c r="L2030" s="7">
        <v>330</v>
      </c>
      <c r="M2030" s="7">
        <v>4.1428571429999996</v>
      </c>
      <c r="N2030">
        <f>VLOOKUP(A2030,vlookup_table!$A:$G,2,FALSE)</f>
        <v>2</v>
      </c>
      <c r="O2030" t="str">
        <f>VLOOKUP(A2030,vlookup_table!$A:$G,3,FALSE)</f>
        <v>AL</v>
      </c>
      <c r="P2030">
        <f>VLOOKUP(A2030,vlookup_table!$A:$G,4,FALSE)</f>
        <v>2601</v>
      </c>
      <c r="Q2030" t="str">
        <f>VLOOKUP(A2030,vlookup_table!$A:$G,5,FALSE)</f>
        <v>C1</v>
      </c>
      <c r="R2030" t="str">
        <f>VLOOKUP(A2030,vlookup_table!$A:$G,6,FALSE)</f>
        <v>F</v>
      </c>
      <c r="S2030">
        <f>VLOOKUP(A2030,vlookup_table!$A:$G,7,FALSE)</f>
        <v>5</v>
      </c>
      <c r="T2030">
        <f t="shared" si="62"/>
        <v>70</v>
      </c>
      <c r="U2030" t="str">
        <f t="shared" si="63"/>
        <v>Ciudad</v>
      </c>
    </row>
    <row r="2031" spans="1:21" ht="16" x14ac:dyDescent="0.4">
      <c r="A2031" s="7">
        <v>89288</v>
      </c>
      <c r="B2031" s="7" t="s">
        <v>16</v>
      </c>
      <c r="C2031" s="7" t="s">
        <v>17</v>
      </c>
      <c r="D2031" s="7">
        <v>1243</v>
      </c>
      <c r="E2031" s="7">
        <v>414</v>
      </c>
      <c r="F2031" s="7">
        <v>507</v>
      </c>
      <c r="G2031" s="7">
        <v>9</v>
      </c>
      <c r="H2031" s="7">
        <v>15884</v>
      </c>
      <c r="I2031" s="7">
        <v>18</v>
      </c>
      <c r="J2031" s="7">
        <v>70</v>
      </c>
      <c r="K2031" s="7">
        <v>467</v>
      </c>
      <c r="L2031" s="7">
        <v>464</v>
      </c>
      <c r="M2031" s="7">
        <v>10.4</v>
      </c>
      <c r="N2031">
        <f>VLOOKUP(A2031,vlookup_table!$A:$G,2,FALSE)</f>
        <v>0</v>
      </c>
      <c r="O2031" t="str">
        <f>VLOOKUP(A2031,vlookup_table!$A:$G,3,FALSE)</f>
        <v>IL</v>
      </c>
      <c r="P2031">
        <f>VLOOKUP(A2031,vlookup_table!$A:$G,4,FALSE)</f>
        <v>5308</v>
      </c>
      <c r="Q2031" t="str">
        <f>VLOOKUP(A2031,vlookup_table!$A:$G,5,FALSE)</f>
        <v>S2</v>
      </c>
      <c r="R2031" t="str">
        <f>VLOOKUP(A2031,vlookup_table!$A:$G,6,FALSE)</f>
        <v>F</v>
      </c>
      <c r="S2031">
        <f>VLOOKUP(A2031,vlookup_table!$A:$G,7,FALSE)</f>
        <v>15</v>
      </c>
      <c r="T2031">
        <f t="shared" si="62"/>
        <v>43</v>
      </c>
      <c r="U2031" t="str">
        <f t="shared" si="63"/>
        <v>Suburbano</v>
      </c>
    </row>
    <row r="2032" spans="1:21" ht="16" x14ac:dyDescent="0.4">
      <c r="A2032" s="7">
        <v>101676</v>
      </c>
      <c r="B2032" s="7" t="s">
        <v>33</v>
      </c>
      <c r="C2032" s="7" t="s">
        <v>14</v>
      </c>
      <c r="D2032" s="7">
        <v>1162</v>
      </c>
      <c r="E2032" s="7">
        <v>529</v>
      </c>
      <c r="F2032" s="7">
        <v>612</v>
      </c>
      <c r="G2032" s="7">
        <v>7</v>
      </c>
      <c r="H2032" s="7">
        <v>18860</v>
      </c>
      <c r="I2032" s="7">
        <v>4</v>
      </c>
      <c r="J2032" s="7">
        <v>60</v>
      </c>
      <c r="K2032" s="7">
        <v>560</v>
      </c>
      <c r="L2032" s="7">
        <v>571</v>
      </c>
      <c r="M2032" s="7">
        <v>10.125</v>
      </c>
      <c r="N2032">
        <f>VLOOKUP(A2032,vlookup_table!$A:$G,2,FALSE)</f>
        <v>1</v>
      </c>
      <c r="O2032" t="str">
        <f>VLOOKUP(A2032,vlookup_table!$A:$G,3,FALSE)</f>
        <v>MO</v>
      </c>
      <c r="P2032">
        <f>VLOOKUP(A2032,vlookup_table!$A:$G,4,FALSE)</f>
        <v>3405</v>
      </c>
      <c r="Q2032" t="str">
        <f>VLOOKUP(A2032,vlookup_table!$A:$G,5,FALSE)</f>
        <v>C1</v>
      </c>
      <c r="R2032" t="str">
        <f>VLOOKUP(A2032,vlookup_table!$A:$G,6,FALSE)</f>
        <v>M</v>
      </c>
      <c r="S2032">
        <f>VLOOKUP(A2032,vlookup_table!$A:$G,7,FALSE)</f>
        <v>15</v>
      </c>
      <c r="T2032">
        <f t="shared" si="62"/>
        <v>62</v>
      </c>
      <c r="U2032" t="str">
        <f t="shared" si="63"/>
        <v>Ciudad</v>
      </c>
    </row>
    <row r="2033" spans="1:21" ht="16" x14ac:dyDescent="0.4">
      <c r="A2033" s="7">
        <v>30051</v>
      </c>
      <c r="B2033" s="7" t="s">
        <v>36</v>
      </c>
      <c r="C2033" s="7" t="s">
        <v>17</v>
      </c>
      <c r="D2033" s="7">
        <v>359</v>
      </c>
      <c r="E2033" s="7">
        <v>205</v>
      </c>
      <c r="F2033" s="7">
        <v>292</v>
      </c>
      <c r="G2033" s="7">
        <v>0</v>
      </c>
      <c r="H2033" s="7">
        <v>9279</v>
      </c>
      <c r="I2033" s="7">
        <v>0</v>
      </c>
      <c r="J2033" s="7">
        <v>90</v>
      </c>
      <c r="K2033" s="7">
        <v>260</v>
      </c>
      <c r="L2033" s="7">
        <v>250</v>
      </c>
      <c r="M2033" s="7">
        <v>9</v>
      </c>
      <c r="N2033">
        <f>VLOOKUP(A2033,vlookup_table!$A:$G,2,FALSE)</f>
        <v>0</v>
      </c>
      <c r="O2033" t="str">
        <f>VLOOKUP(A2033,vlookup_table!$A:$G,3,FALSE)</f>
        <v>GA</v>
      </c>
      <c r="P2033">
        <f>VLOOKUP(A2033,vlookup_table!$A:$G,4,FALSE)</f>
        <v>4501</v>
      </c>
      <c r="Q2033" t="str">
        <f>VLOOKUP(A2033,vlookup_table!$A:$G,5,FALSE)</f>
        <v/>
      </c>
      <c r="R2033" t="str">
        <f>VLOOKUP(A2033,vlookup_table!$A:$G,6,FALSE)</f>
        <v>F</v>
      </c>
      <c r="S2033">
        <f>VLOOKUP(A2033,vlookup_table!$A:$G,7,FALSE)</f>
        <v>10</v>
      </c>
      <c r="T2033">
        <f t="shared" si="62"/>
        <v>51</v>
      </c>
      <c r="U2033" t="str">
        <f t="shared" si="63"/>
        <v/>
      </c>
    </row>
    <row r="2034" spans="1:21" ht="16" x14ac:dyDescent="0.4">
      <c r="A2034" s="7">
        <v>141500</v>
      </c>
      <c r="B2034" s="7" t="s">
        <v>23</v>
      </c>
      <c r="C2034" s="7" t="s">
        <v>14</v>
      </c>
      <c r="D2034" s="7">
        <v>720</v>
      </c>
      <c r="E2034" s="7">
        <v>328</v>
      </c>
      <c r="F2034" s="7">
        <v>381</v>
      </c>
      <c r="G2034" s="7">
        <v>0</v>
      </c>
      <c r="H2034" s="7">
        <v>12646</v>
      </c>
      <c r="I2034" s="7">
        <v>9</v>
      </c>
      <c r="J2034" s="7">
        <v>19</v>
      </c>
      <c r="K2034" s="7">
        <v>357</v>
      </c>
      <c r="L2034" s="7">
        <v>358</v>
      </c>
      <c r="M2034" s="7">
        <v>11.6</v>
      </c>
      <c r="N2034">
        <f>VLOOKUP(A2034,vlookup_table!$A:$G,2,FALSE)</f>
        <v>0</v>
      </c>
      <c r="O2034" t="str">
        <f>VLOOKUP(A2034,vlookup_table!$A:$G,3,FALSE)</f>
        <v>NV</v>
      </c>
      <c r="P2034">
        <f>VLOOKUP(A2034,vlookup_table!$A:$G,4,FALSE)</f>
        <v>7001</v>
      </c>
      <c r="Q2034" t="str">
        <f>VLOOKUP(A2034,vlookup_table!$A:$G,5,FALSE)</f>
        <v>S2</v>
      </c>
      <c r="R2034" t="str">
        <f>VLOOKUP(A2034,vlookup_table!$A:$G,6,FALSE)</f>
        <v>M</v>
      </c>
      <c r="S2034">
        <f>VLOOKUP(A2034,vlookup_table!$A:$G,7,FALSE)</f>
        <v>18</v>
      </c>
      <c r="T2034">
        <f t="shared" si="62"/>
        <v>26</v>
      </c>
      <c r="U2034" t="str">
        <f t="shared" si="63"/>
        <v>Suburbano</v>
      </c>
    </row>
    <row r="2035" spans="1:21" ht="16" x14ac:dyDescent="0.4">
      <c r="A2035" s="7">
        <v>21599</v>
      </c>
      <c r="B2035" s="7" t="s">
        <v>43</v>
      </c>
      <c r="C2035" s="7" t="s">
        <v>14</v>
      </c>
      <c r="D2035" s="7">
        <v>1168</v>
      </c>
      <c r="E2035" s="7">
        <v>365</v>
      </c>
      <c r="F2035" s="7">
        <v>460</v>
      </c>
      <c r="G2035" s="7">
        <v>15</v>
      </c>
      <c r="H2035" s="7">
        <v>18128</v>
      </c>
      <c r="I2035" s="7">
        <v>1</v>
      </c>
      <c r="J2035" s="7">
        <v>68</v>
      </c>
      <c r="K2035" s="7">
        <v>430</v>
      </c>
      <c r="L2035" s="7">
        <v>403</v>
      </c>
      <c r="M2035" s="7">
        <v>5</v>
      </c>
      <c r="N2035">
        <f>VLOOKUP(A2035,vlookup_table!$A:$G,2,FALSE)</f>
        <v>1</v>
      </c>
      <c r="O2035" t="str">
        <f>VLOOKUP(A2035,vlookup_table!$A:$G,3,FALSE)</f>
        <v>SC</v>
      </c>
      <c r="P2035">
        <f>VLOOKUP(A2035,vlookup_table!$A:$G,4,FALSE)</f>
        <v>0</v>
      </c>
      <c r="Q2035" t="str">
        <f>VLOOKUP(A2035,vlookup_table!$A:$G,5,FALSE)</f>
        <v>T2</v>
      </c>
      <c r="R2035" t="str">
        <f>VLOOKUP(A2035,vlookup_table!$A:$G,6,FALSE)</f>
        <v>M</v>
      </c>
      <c r="S2035">
        <f>VLOOKUP(A2035,vlookup_table!$A:$G,7,FALSE)</f>
        <v>7</v>
      </c>
      <c r="T2035">
        <f t="shared" si="62"/>
        <v>96</v>
      </c>
      <c r="U2035" t="str">
        <f t="shared" si="63"/>
        <v>Pueblo</v>
      </c>
    </row>
    <row r="2036" spans="1:21" ht="16" x14ac:dyDescent="0.4">
      <c r="A2036" s="7">
        <v>110789</v>
      </c>
      <c r="B2036" s="7" t="s">
        <v>46</v>
      </c>
      <c r="C2036" s="7" t="s">
        <v>17</v>
      </c>
      <c r="D2036" s="7">
        <v>324</v>
      </c>
      <c r="E2036" s="7">
        <v>129</v>
      </c>
      <c r="F2036" s="7">
        <v>277</v>
      </c>
      <c r="G2036" s="7">
        <v>1</v>
      </c>
      <c r="H2036" s="7">
        <v>9585</v>
      </c>
      <c r="I2036" s="7">
        <v>0</v>
      </c>
      <c r="J2036" s="7">
        <v>91</v>
      </c>
      <c r="K2036" s="7">
        <v>204</v>
      </c>
      <c r="L2036" s="7">
        <v>226</v>
      </c>
      <c r="M2036" s="7">
        <v>8.1999999999999993</v>
      </c>
      <c r="N2036">
        <f>VLOOKUP(A2036,vlookup_table!$A:$G,2,FALSE)</f>
        <v>2</v>
      </c>
      <c r="O2036" t="str">
        <f>VLOOKUP(A2036,vlookup_table!$A:$G,3,FALSE)</f>
        <v>LA</v>
      </c>
      <c r="P2036">
        <f>VLOOKUP(A2036,vlookup_table!$A:$G,4,FALSE)</f>
        <v>2912</v>
      </c>
      <c r="Q2036" t="str">
        <f>VLOOKUP(A2036,vlookup_table!$A:$G,5,FALSE)</f>
        <v>R2</v>
      </c>
      <c r="R2036" t="str">
        <f>VLOOKUP(A2036,vlookup_table!$A:$G,6,FALSE)</f>
        <v>F</v>
      </c>
      <c r="S2036">
        <f>VLOOKUP(A2036,vlookup_table!$A:$G,7,FALSE)</f>
        <v>15</v>
      </c>
      <c r="T2036">
        <f t="shared" si="62"/>
        <v>67</v>
      </c>
      <c r="U2036" t="str">
        <f t="shared" si="63"/>
        <v>Rural</v>
      </c>
    </row>
    <row r="2037" spans="1:21" ht="16" x14ac:dyDescent="0.4">
      <c r="A2037" s="7">
        <v>139512</v>
      </c>
      <c r="B2037" s="7" t="s">
        <v>50</v>
      </c>
      <c r="C2037" s="7" t="s">
        <v>14</v>
      </c>
      <c r="D2037" s="7">
        <v>828</v>
      </c>
      <c r="E2037" s="7">
        <v>318</v>
      </c>
      <c r="F2037" s="7">
        <v>416</v>
      </c>
      <c r="G2037" s="7">
        <v>2</v>
      </c>
      <c r="H2037" s="7">
        <v>14887</v>
      </c>
      <c r="I2037" s="7">
        <v>4</v>
      </c>
      <c r="J2037" s="7">
        <v>39</v>
      </c>
      <c r="K2037" s="7">
        <v>368</v>
      </c>
      <c r="L2037" s="7">
        <v>366</v>
      </c>
      <c r="M2037" s="7">
        <v>20</v>
      </c>
      <c r="N2037">
        <f>VLOOKUP(A2037,vlookup_table!$A:$G,2,FALSE)</f>
        <v>1</v>
      </c>
      <c r="O2037" t="str">
        <f>VLOOKUP(A2037,vlookup_table!$A:$G,3,FALSE)</f>
        <v>NM</v>
      </c>
      <c r="P2037">
        <f>VLOOKUP(A2037,vlookup_table!$A:$G,4,FALSE)</f>
        <v>0</v>
      </c>
      <c r="Q2037" t="str">
        <f>VLOOKUP(A2037,vlookup_table!$A:$G,5,FALSE)</f>
        <v>S1</v>
      </c>
      <c r="R2037" t="str">
        <f>VLOOKUP(A2037,vlookup_table!$A:$G,6,FALSE)</f>
        <v>M</v>
      </c>
      <c r="S2037">
        <f>VLOOKUP(A2037,vlookup_table!$A:$G,7,FALSE)</f>
        <v>20</v>
      </c>
      <c r="T2037">
        <f t="shared" si="62"/>
        <v>96</v>
      </c>
      <c r="U2037" t="str">
        <f t="shared" si="63"/>
        <v>Suburbano</v>
      </c>
    </row>
    <row r="2038" spans="1:21" ht="16" x14ac:dyDescent="0.4">
      <c r="A2038" s="7">
        <v>142662</v>
      </c>
      <c r="B2038" s="7" t="s">
        <v>21</v>
      </c>
      <c r="C2038" s="7" t="s">
        <v>17</v>
      </c>
      <c r="D2038" s="7">
        <v>1188</v>
      </c>
      <c r="E2038" s="7">
        <v>166</v>
      </c>
      <c r="F2038" s="7">
        <v>243</v>
      </c>
      <c r="G2038" s="7">
        <v>5</v>
      </c>
      <c r="H2038" s="7">
        <v>10014</v>
      </c>
      <c r="I2038" s="7">
        <v>10</v>
      </c>
      <c r="J2038" s="7">
        <v>34</v>
      </c>
      <c r="K2038" s="7">
        <v>218</v>
      </c>
      <c r="L2038" s="7">
        <v>194</v>
      </c>
      <c r="M2038" s="7">
        <v>8.3333333330000006</v>
      </c>
      <c r="N2038">
        <f>VLOOKUP(A2038,vlookup_table!$A:$G,2,FALSE)</f>
        <v>28</v>
      </c>
      <c r="O2038" t="str">
        <f>VLOOKUP(A2038,vlookup_table!$A:$G,3,FALSE)</f>
        <v>CA</v>
      </c>
      <c r="P2038">
        <f>VLOOKUP(A2038,vlookup_table!$A:$G,4,FALSE)</f>
        <v>2401</v>
      </c>
      <c r="Q2038" t="str">
        <f>VLOOKUP(A2038,vlookup_table!$A:$G,5,FALSE)</f>
        <v>U3</v>
      </c>
      <c r="R2038" t="str">
        <f>VLOOKUP(A2038,vlookup_table!$A:$G,6,FALSE)</f>
        <v>F</v>
      </c>
      <c r="S2038">
        <f>VLOOKUP(A2038,vlookup_table!$A:$G,7,FALSE)</f>
        <v>10</v>
      </c>
      <c r="T2038">
        <f t="shared" si="62"/>
        <v>72</v>
      </c>
      <c r="U2038" t="str">
        <f t="shared" si="63"/>
        <v>Urbano</v>
      </c>
    </row>
    <row r="2039" spans="1:21" ht="16" x14ac:dyDescent="0.4">
      <c r="A2039" s="7">
        <v>82920</v>
      </c>
      <c r="B2039" s="7" t="s">
        <v>52</v>
      </c>
      <c r="C2039" s="7" t="s">
        <v>17</v>
      </c>
      <c r="D2039" s="7">
        <v>915</v>
      </c>
      <c r="E2039" s="7">
        <v>469</v>
      </c>
      <c r="F2039" s="7">
        <v>566</v>
      </c>
      <c r="G2039" s="7">
        <v>0</v>
      </c>
      <c r="H2039" s="7">
        <v>17112</v>
      </c>
      <c r="I2039" s="7">
        <v>4</v>
      </c>
      <c r="J2039" s="7">
        <v>60</v>
      </c>
      <c r="K2039" s="7">
        <v>514</v>
      </c>
      <c r="L2039" s="7">
        <v>514</v>
      </c>
      <c r="M2039" s="7">
        <v>5.52631579</v>
      </c>
      <c r="N2039">
        <f>VLOOKUP(A2039,vlookup_table!$A:$G,2,FALSE)</f>
        <v>3</v>
      </c>
      <c r="O2039" t="str">
        <f>VLOOKUP(A2039,vlookup_table!$A:$G,3,FALSE)</f>
        <v>MN</v>
      </c>
      <c r="P2039">
        <f>VLOOKUP(A2039,vlookup_table!$A:$G,4,FALSE)</f>
        <v>5601</v>
      </c>
      <c r="Q2039" t="str">
        <f>VLOOKUP(A2039,vlookup_table!$A:$G,5,FALSE)</f>
        <v>S1</v>
      </c>
      <c r="R2039" t="str">
        <f>VLOOKUP(A2039,vlookup_table!$A:$G,6,FALSE)</f>
        <v>F</v>
      </c>
      <c r="S2039">
        <f>VLOOKUP(A2039,vlookup_table!$A:$G,7,FALSE)</f>
        <v>5</v>
      </c>
      <c r="T2039">
        <f t="shared" si="62"/>
        <v>40</v>
      </c>
      <c r="U2039" t="str">
        <f t="shared" si="63"/>
        <v>Suburbano</v>
      </c>
    </row>
    <row r="2040" spans="1:21" ht="16" x14ac:dyDescent="0.4">
      <c r="A2040" s="7">
        <v>168186</v>
      </c>
      <c r="B2040" s="7" t="s">
        <v>21</v>
      </c>
      <c r="C2040" s="7"/>
      <c r="D2040" s="7">
        <v>2412</v>
      </c>
      <c r="E2040" s="7">
        <v>549</v>
      </c>
      <c r="F2040" s="7">
        <v>549</v>
      </c>
      <c r="G2040" s="7">
        <v>91</v>
      </c>
      <c r="H2040" s="7">
        <v>16642</v>
      </c>
      <c r="I2040" s="7">
        <v>17</v>
      </c>
      <c r="J2040" s="7">
        <v>55</v>
      </c>
      <c r="K2040" s="7">
        <v>534</v>
      </c>
      <c r="L2040" s="7">
        <v>564</v>
      </c>
      <c r="M2040" s="7">
        <v>20</v>
      </c>
      <c r="N2040">
        <f>VLOOKUP(A2040,vlookup_table!$A:$G,2,FALSE)</f>
        <v>0</v>
      </c>
      <c r="O2040" t="str">
        <f>VLOOKUP(A2040,vlookup_table!$A:$G,3,FALSE)</f>
        <v>CA</v>
      </c>
      <c r="P2040">
        <f>VLOOKUP(A2040,vlookup_table!$A:$G,4,FALSE)</f>
        <v>0</v>
      </c>
      <c r="Q2040" t="str">
        <f>VLOOKUP(A2040,vlookup_table!$A:$G,5,FALSE)</f>
        <v>U1</v>
      </c>
      <c r="R2040" t="str">
        <f>VLOOKUP(A2040,vlookup_table!$A:$G,6,FALSE)</f>
        <v/>
      </c>
      <c r="S2040">
        <f>VLOOKUP(A2040,vlookup_table!$A:$G,7,FALSE)</f>
        <v>10</v>
      </c>
      <c r="T2040">
        <f t="shared" si="62"/>
        <v>96</v>
      </c>
      <c r="U2040" t="str">
        <f t="shared" si="63"/>
        <v>Urbano</v>
      </c>
    </row>
    <row r="2041" spans="1:21" ht="16" x14ac:dyDescent="0.4">
      <c r="A2041" s="7">
        <v>94503</v>
      </c>
      <c r="B2041" s="7" t="s">
        <v>16</v>
      </c>
      <c r="C2041" s="7" t="s">
        <v>17</v>
      </c>
      <c r="D2041" s="7">
        <v>550</v>
      </c>
      <c r="E2041" s="7">
        <v>157</v>
      </c>
      <c r="F2041" s="7">
        <v>217</v>
      </c>
      <c r="G2041" s="7">
        <v>3</v>
      </c>
      <c r="H2041" s="7">
        <v>6493</v>
      </c>
      <c r="I2041" s="7">
        <v>16</v>
      </c>
      <c r="J2041" s="7">
        <v>56</v>
      </c>
      <c r="K2041" s="7">
        <v>173</v>
      </c>
      <c r="L2041" s="7">
        <v>215</v>
      </c>
      <c r="M2041" s="7">
        <v>12.5</v>
      </c>
      <c r="N2041">
        <f>VLOOKUP(A2041,vlookup_table!$A:$G,2,FALSE)</f>
        <v>0</v>
      </c>
      <c r="O2041" t="str">
        <f>VLOOKUP(A2041,vlookup_table!$A:$G,3,FALSE)</f>
        <v>IL</v>
      </c>
      <c r="P2041">
        <f>VLOOKUP(A2041,vlookup_table!$A:$G,4,FALSE)</f>
        <v>6201</v>
      </c>
      <c r="Q2041" t="str">
        <f>VLOOKUP(A2041,vlookup_table!$A:$G,5,FALSE)</f>
        <v>U4</v>
      </c>
      <c r="R2041" t="str">
        <f>VLOOKUP(A2041,vlookup_table!$A:$G,6,FALSE)</f>
        <v>F</v>
      </c>
      <c r="S2041">
        <f>VLOOKUP(A2041,vlookup_table!$A:$G,7,FALSE)</f>
        <v>10</v>
      </c>
      <c r="T2041">
        <f t="shared" si="62"/>
        <v>34</v>
      </c>
      <c r="U2041" t="str">
        <f t="shared" si="63"/>
        <v>Urbano</v>
      </c>
    </row>
    <row r="2042" spans="1:21" ht="16" x14ac:dyDescent="0.4">
      <c r="A2042" s="7">
        <v>167406</v>
      </c>
      <c r="B2042" s="7" t="s">
        <v>21</v>
      </c>
      <c r="C2042" s="7" t="s">
        <v>17</v>
      </c>
      <c r="D2042" s="7">
        <v>4135</v>
      </c>
      <c r="E2042" s="7">
        <v>602</v>
      </c>
      <c r="F2042" s="7">
        <v>694</v>
      </c>
      <c r="G2042" s="7">
        <v>97</v>
      </c>
      <c r="H2042" s="7">
        <v>33830</v>
      </c>
      <c r="I2042" s="7">
        <v>7</v>
      </c>
      <c r="J2042" s="7">
        <v>60</v>
      </c>
      <c r="K2042" s="7">
        <v>608</v>
      </c>
      <c r="L2042" s="7">
        <v>665</v>
      </c>
      <c r="M2042" s="7">
        <v>7</v>
      </c>
      <c r="N2042">
        <f>VLOOKUP(A2042,vlookup_table!$A:$G,2,FALSE)</f>
        <v>0</v>
      </c>
      <c r="O2042" t="str">
        <f>VLOOKUP(A2042,vlookup_table!$A:$G,3,FALSE)</f>
        <v>CA</v>
      </c>
      <c r="P2042">
        <f>VLOOKUP(A2042,vlookup_table!$A:$G,4,FALSE)</f>
        <v>2601</v>
      </c>
      <c r="Q2042" t="str">
        <f>VLOOKUP(A2042,vlookup_table!$A:$G,5,FALSE)</f>
        <v>U1</v>
      </c>
      <c r="R2042" t="str">
        <f>VLOOKUP(A2042,vlookup_table!$A:$G,6,FALSE)</f>
        <v>F</v>
      </c>
      <c r="S2042">
        <f>VLOOKUP(A2042,vlookup_table!$A:$G,7,FALSE)</f>
        <v>7</v>
      </c>
      <c r="T2042">
        <f t="shared" si="62"/>
        <v>70</v>
      </c>
      <c r="U2042" t="str">
        <f t="shared" si="63"/>
        <v>Urbano</v>
      </c>
    </row>
    <row r="2043" spans="1:21" ht="16" x14ac:dyDescent="0.4">
      <c r="A2043" s="7">
        <v>170722</v>
      </c>
      <c r="B2043" s="7" t="s">
        <v>21</v>
      </c>
      <c r="C2043" s="7" t="s">
        <v>17</v>
      </c>
      <c r="D2043" s="7">
        <v>2043</v>
      </c>
      <c r="E2043" s="7">
        <v>296</v>
      </c>
      <c r="F2043" s="7">
        <v>598</v>
      </c>
      <c r="G2043" s="7">
        <v>52</v>
      </c>
      <c r="H2043" s="7">
        <v>15530</v>
      </c>
      <c r="I2043" s="7">
        <v>10</v>
      </c>
      <c r="J2043" s="7">
        <v>56</v>
      </c>
      <c r="K2043" s="7">
        <v>569</v>
      </c>
      <c r="L2043" s="7">
        <v>399</v>
      </c>
      <c r="M2043" s="7">
        <v>13.8</v>
      </c>
      <c r="N2043">
        <f>VLOOKUP(A2043,vlookup_table!$A:$G,2,FALSE)</f>
        <v>0</v>
      </c>
      <c r="O2043" t="str">
        <f>VLOOKUP(A2043,vlookup_table!$A:$G,3,FALSE)</f>
        <v>CA</v>
      </c>
      <c r="P2043">
        <f>VLOOKUP(A2043,vlookup_table!$A:$G,4,FALSE)</f>
        <v>4001</v>
      </c>
      <c r="Q2043" t="str">
        <f>VLOOKUP(A2043,vlookup_table!$A:$G,5,FALSE)</f>
        <v>C1</v>
      </c>
      <c r="R2043" t="str">
        <f>VLOOKUP(A2043,vlookup_table!$A:$G,6,FALSE)</f>
        <v>F</v>
      </c>
      <c r="S2043">
        <f>VLOOKUP(A2043,vlookup_table!$A:$G,7,FALSE)</f>
        <v>20</v>
      </c>
      <c r="T2043">
        <f t="shared" si="62"/>
        <v>56</v>
      </c>
      <c r="U2043" t="str">
        <f t="shared" si="63"/>
        <v>Ciudad</v>
      </c>
    </row>
    <row r="2044" spans="1:21" ht="16" x14ac:dyDescent="0.4">
      <c r="A2044" s="7">
        <v>101989</v>
      </c>
      <c r="B2044" s="7" t="s">
        <v>33</v>
      </c>
      <c r="C2044" s="7" t="s">
        <v>17</v>
      </c>
      <c r="D2044" s="7">
        <v>523</v>
      </c>
      <c r="E2044" s="7">
        <v>314</v>
      </c>
      <c r="F2044" s="7">
        <v>350</v>
      </c>
      <c r="G2044" s="7">
        <v>0</v>
      </c>
      <c r="H2044" s="7">
        <v>11799</v>
      </c>
      <c r="I2044" s="7">
        <v>1</v>
      </c>
      <c r="J2044" s="7">
        <v>77</v>
      </c>
      <c r="K2044" s="7">
        <v>330</v>
      </c>
      <c r="L2044" s="7">
        <v>327</v>
      </c>
      <c r="M2044" s="7">
        <v>3.0625</v>
      </c>
      <c r="N2044">
        <f>VLOOKUP(A2044,vlookup_table!$A:$G,2,FALSE)</f>
        <v>0</v>
      </c>
      <c r="O2044" t="str">
        <f>VLOOKUP(A2044,vlookup_table!$A:$G,3,FALSE)</f>
        <v>MO</v>
      </c>
      <c r="P2044">
        <f>VLOOKUP(A2044,vlookup_table!$A:$G,4,FALSE)</f>
        <v>2306</v>
      </c>
      <c r="Q2044" t="str">
        <f>VLOOKUP(A2044,vlookup_table!$A:$G,5,FALSE)</f>
        <v>R2</v>
      </c>
      <c r="R2044" t="str">
        <f>VLOOKUP(A2044,vlookup_table!$A:$G,6,FALSE)</f>
        <v>F</v>
      </c>
      <c r="S2044">
        <f>VLOOKUP(A2044,vlookup_table!$A:$G,7,FALSE)</f>
        <v>5</v>
      </c>
      <c r="T2044">
        <f t="shared" si="62"/>
        <v>73</v>
      </c>
      <c r="U2044" t="str">
        <f t="shared" si="63"/>
        <v>Rural</v>
      </c>
    </row>
    <row r="2045" spans="1:21" ht="16" x14ac:dyDescent="0.4">
      <c r="A2045" s="7">
        <v>66577</v>
      </c>
      <c r="B2045" s="7" t="s">
        <v>26</v>
      </c>
      <c r="C2045" s="7" t="s">
        <v>17</v>
      </c>
      <c r="D2045" s="7">
        <v>2417</v>
      </c>
      <c r="E2045" s="7">
        <v>575</v>
      </c>
      <c r="F2045" s="7">
        <v>905</v>
      </c>
      <c r="G2045" s="7">
        <v>69</v>
      </c>
      <c r="H2045" s="7">
        <v>34152</v>
      </c>
      <c r="I2045" s="7">
        <v>17</v>
      </c>
      <c r="J2045" s="7">
        <v>43</v>
      </c>
      <c r="K2045" s="7">
        <v>835</v>
      </c>
      <c r="L2045" s="7">
        <v>693</v>
      </c>
      <c r="M2045" s="7">
        <v>10.5</v>
      </c>
      <c r="N2045">
        <f>VLOOKUP(A2045,vlookup_table!$A:$G,2,FALSE)</f>
        <v>2</v>
      </c>
      <c r="O2045" t="str">
        <f>VLOOKUP(A2045,vlookup_table!$A:$G,3,FALSE)</f>
        <v>MI</v>
      </c>
      <c r="P2045">
        <f>VLOOKUP(A2045,vlookup_table!$A:$G,4,FALSE)</f>
        <v>2001</v>
      </c>
      <c r="Q2045" t="str">
        <f>VLOOKUP(A2045,vlookup_table!$A:$G,5,FALSE)</f>
        <v>S2</v>
      </c>
      <c r="R2045" t="str">
        <f>VLOOKUP(A2045,vlookup_table!$A:$G,6,FALSE)</f>
        <v>F</v>
      </c>
      <c r="S2045">
        <f>VLOOKUP(A2045,vlookup_table!$A:$G,7,FALSE)</f>
        <v>10</v>
      </c>
      <c r="T2045">
        <f t="shared" si="62"/>
        <v>76</v>
      </c>
      <c r="U2045" t="str">
        <f t="shared" si="63"/>
        <v>Suburbano</v>
      </c>
    </row>
    <row r="2046" spans="1:21" ht="16" x14ac:dyDescent="0.4">
      <c r="A2046" s="7">
        <v>33003</v>
      </c>
      <c r="B2046" s="7" t="s">
        <v>13</v>
      </c>
      <c r="C2046" s="7" t="s">
        <v>17</v>
      </c>
      <c r="D2046" s="7">
        <v>831</v>
      </c>
      <c r="E2046" s="7">
        <v>242</v>
      </c>
      <c r="F2046" s="7">
        <v>333</v>
      </c>
      <c r="G2046" s="7">
        <v>1</v>
      </c>
      <c r="H2046" s="7">
        <v>19039</v>
      </c>
      <c r="I2046" s="7">
        <v>5</v>
      </c>
      <c r="J2046" s="7">
        <v>17</v>
      </c>
      <c r="K2046" s="7">
        <v>286</v>
      </c>
      <c r="L2046" s="7">
        <v>281</v>
      </c>
      <c r="M2046" s="7">
        <v>7.375</v>
      </c>
      <c r="N2046">
        <f>VLOOKUP(A2046,vlookup_table!$A:$G,2,FALSE)</f>
        <v>0</v>
      </c>
      <c r="O2046" t="str">
        <f>VLOOKUP(A2046,vlookup_table!$A:$G,3,FALSE)</f>
        <v>FL</v>
      </c>
      <c r="P2046">
        <f>VLOOKUP(A2046,vlookup_table!$A:$G,4,FALSE)</f>
        <v>5201</v>
      </c>
      <c r="Q2046" t="str">
        <f>VLOOKUP(A2046,vlookup_table!$A:$G,5,FALSE)</f>
        <v>C1</v>
      </c>
      <c r="R2046" t="str">
        <f>VLOOKUP(A2046,vlookup_table!$A:$G,6,FALSE)</f>
        <v>F</v>
      </c>
      <c r="S2046">
        <f>VLOOKUP(A2046,vlookup_table!$A:$G,7,FALSE)</f>
        <v>8</v>
      </c>
      <c r="T2046">
        <f t="shared" si="62"/>
        <v>44</v>
      </c>
      <c r="U2046" t="str">
        <f t="shared" si="63"/>
        <v>Ciudad</v>
      </c>
    </row>
    <row r="2047" spans="1:21" ht="16" x14ac:dyDescent="0.4">
      <c r="A2047" s="7">
        <v>70216</v>
      </c>
      <c r="B2047" s="7" t="s">
        <v>26</v>
      </c>
      <c r="C2047" s="7" t="s">
        <v>14</v>
      </c>
      <c r="D2047" s="7">
        <v>364</v>
      </c>
      <c r="E2047" s="7">
        <v>312</v>
      </c>
      <c r="F2047" s="7">
        <v>315</v>
      </c>
      <c r="G2047" s="7">
        <v>1</v>
      </c>
      <c r="H2047" s="7">
        <v>9474</v>
      </c>
      <c r="I2047" s="7">
        <v>3</v>
      </c>
      <c r="J2047" s="7">
        <v>76</v>
      </c>
      <c r="K2047" s="7">
        <v>335</v>
      </c>
      <c r="L2047" s="7">
        <v>293</v>
      </c>
      <c r="M2047" s="7">
        <v>9.25</v>
      </c>
      <c r="N2047">
        <f>VLOOKUP(A2047,vlookup_table!$A:$G,2,FALSE)</f>
        <v>1</v>
      </c>
      <c r="O2047" t="str">
        <f>VLOOKUP(A2047,vlookup_table!$A:$G,3,FALSE)</f>
        <v>MI</v>
      </c>
      <c r="P2047">
        <f>VLOOKUP(A2047,vlookup_table!$A:$G,4,FALSE)</f>
        <v>0</v>
      </c>
      <c r="Q2047" t="str">
        <f>VLOOKUP(A2047,vlookup_table!$A:$G,5,FALSE)</f>
        <v>S3</v>
      </c>
      <c r="R2047" t="str">
        <f>VLOOKUP(A2047,vlookup_table!$A:$G,6,FALSE)</f>
        <v>M</v>
      </c>
      <c r="S2047">
        <f>VLOOKUP(A2047,vlookup_table!$A:$G,7,FALSE)</f>
        <v>20</v>
      </c>
      <c r="T2047">
        <f t="shared" si="62"/>
        <v>96</v>
      </c>
      <c r="U2047" t="str">
        <f t="shared" si="63"/>
        <v>Suburbano</v>
      </c>
    </row>
    <row r="2048" spans="1:21" ht="16" x14ac:dyDescent="0.4">
      <c r="A2048" s="7">
        <v>43086</v>
      </c>
      <c r="B2048" s="7" t="s">
        <v>13</v>
      </c>
      <c r="C2048" s="7" t="s">
        <v>17</v>
      </c>
      <c r="D2048" s="7">
        <v>795</v>
      </c>
      <c r="E2048" s="7">
        <v>352</v>
      </c>
      <c r="F2048" s="7">
        <v>444</v>
      </c>
      <c r="G2048" s="7">
        <v>0</v>
      </c>
      <c r="H2048" s="7">
        <v>18613</v>
      </c>
      <c r="I2048" s="7">
        <v>6</v>
      </c>
      <c r="J2048" s="7">
        <v>12</v>
      </c>
      <c r="K2048" s="7">
        <v>406</v>
      </c>
      <c r="L2048" s="7">
        <v>397</v>
      </c>
      <c r="M2048" s="7">
        <v>7.3333333329999997</v>
      </c>
      <c r="N2048">
        <f>VLOOKUP(A2048,vlookup_table!$A:$G,2,FALSE)</f>
        <v>28</v>
      </c>
      <c r="O2048" t="str">
        <f>VLOOKUP(A2048,vlookup_table!$A:$G,3,FALSE)</f>
        <v>FL</v>
      </c>
      <c r="P2048">
        <f>VLOOKUP(A2048,vlookup_table!$A:$G,4,FALSE)</f>
        <v>2501</v>
      </c>
      <c r="Q2048" t="str">
        <f>VLOOKUP(A2048,vlookup_table!$A:$G,5,FALSE)</f>
        <v>C2</v>
      </c>
      <c r="R2048" t="str">
        <f>VLOOKUP(A2048,vlookup_table!$A:$G,6,FALSE)</f>
        <v>F</v>
      </c>
      <c r="S2048">
        <f>VLOOKUP(A2048,vlookup_table!$A:$G,7,FALSE)</f>
        <v>20</v>
      </c>
      <c r="T2048">
        <f t="shared" si="62"/>
        <v>71</v>
      </c>
      <c r="U2048" t="str">
        <f t="shared" si="63"/>
        <v>Ciudad</v>
      </c>
    </row>
    <row r="2049" spans="1:21" ht="16" x14ac:dyDescent="0.4">
      <c r="A2049" s="7">
        <v>122110</v>
      </c>
      <c r="B2049" s="7" t="s">
        <v>20</v>
      </c>
      <c r="C2049" s="7" t="s">
        <v>27</v>
      </c>
      <c r="D2049" s="7">
        <v>408</v>
      </c>
      <c r="E2049" s="7">
        <v>254</v>
      </c>
      <c r="F2049" s="7">
        <v>324</v>
      </c>
      <c r="G2049" s="7">
        <v>0</v>
      </c>
      <c r="H2049" s="7">
        <v>8051</v>
      </c>
      <c r="I2049" s="7">
        <v>15</v>
      </c>
      <c r="J2049" s="7">
        <v>71</v>
      </c>
      <c r="K2049" s="7">
        <v>292</v>
      </c>
      <c r="L2049" s="7">
        <v>303</v>
      </c>
      <c r="M2049" s="7">
        <v>4.9375</v>
      </c>
      <c r="N2049">
        <f>VLOOKUP(A2049,vlookup_table!$A:$G,2,FALSE)</f>
        <v>0</v>
      </c>
      <c r="O2049" t="str">
        <f>VLOOKUP(A2049,vlookup_table!$A:$G,3,FALSE)</f>
        <v>TX</v>
      </c>
      <c r="P2049">
        <f>VLOOKUP(A2049,vlookup_table!$A:$G,4,FALSE)</f>
        <v>6401</v>
      </c>
      <c r="Q2049" t="str">
        <f>VLOOKUP(A2049,vlookup_table!$A:$G,5,FALSE)</f>
        <v>S3</v>
      </c>
      <c r="R2049" t="str">
        <f>VLOOKUP(A2049,vlookup_table!$A:$G,6,FALSE)</f>
        <v>U</v>
      </c>
      <c r="S2049">
        <f>VLOOKUP(A2049,vlookup_table!$A:$G,7,FALSE)</f>
        <v>10</v>
      </c>
      <c r="T2049">
        <f t="shared" si="62"/>
        <v>32</v>
      </c>
      <c r="U2049" t="str">
        <f t="shared" si="63"/>
        <v>Suburbano</v>
      </c>
    </row>
    <row r="2050" spans="1:21" ht="16" x14ac:dyDescent="0.4">
      <c r="A2050" s="7">
        <v>150684</v>
      </c>
      <c r="B2050" s="7" t="s">
        <v>21</v>
      </c>
      <c r="C2050" s="7" t="s">
        <v>14</v>
      </c>
      <c r="D2050" s="7">
        <v>2476</v>
      </c>
      <c r="E2050" s="7">
        <v>366</v>
      </c>
      <c r="F2050" s="7">
        <v>537</v>
      </c>
      <c r="G2050" s="7">
        <v>71</v>
      </c>
      <c r="H2050" s="7">
        <v>15702</v>
      </c>
      <c r="I2050" s="7">
        <v>50</v>
      </c>
      <c r="J2050" s="7">
        <v>38</v>
      </c>
      <c r="K2050" s="7">
        <v>453</v>
      </c>
      <c r="L2050" s="7">
        <v>470</v>
      </c>
      <c r="M2050" s="7">
        <v>17.666666670000001</v>
      </c>
      <c r="N2050">
        <f>VLOOKUP(A2050,vlookup_table!$A:$G,2,FALSE)</f>
        <v>1</v>
      </c>
      <c r="O2050" t="str">
        <f>VLOOKUP(A2050,vlookup_table!$A:$G,3,FALSE)</f>
        <v>CA</v>
      </c>
      <c r="P2050">
        <f>VLOOKUP(A2050,vlookup_table!$A:$G,4,FALSE)</f>
        <v>0</v>
      </c>
      <c r="Q2050" t="str">
        <f>VLOOKUP(A2050,vlookup_table!$A:$G,5,FALSE)</f>
        <v/>
      </c>
      <c r="R2050" t="str">
        <f>VLOOKUP(A2050,vlookup_table!$A:$G,6,FALSE)</f>
        <v>M</v>
      </c>
      <c r="S2050">
        <f>VLOOKUP(A2050,vlookup_table!$A:$G,7,FALSE)</f>
        <v>34</v>
      </c>
      <c r="T2050">
        <f t="shared" si="62"/>
        <v>96</v>
      </c>
      <c r="U2050" t="str">
        <f t="shared" si="63"/>
        <v/>
      </c>
    </row>
    <row r="2051" spans="1:21" ht="16" x14ac:dyDescent="0.4">
      <c r="A2051" s="7">
        <v>162341</v>
      </c>
      <c r="B2051" s="7" t="s">
        <v>21</v>
      </c>
      <c r="C2051" s="7" t="s">
        <v>17</v>
      </c>
      <c r="D2051" s="7">
        <v>3693</v>
      </c>
      <c r="E2051" s="7">
        <v>358</v>
      </c>
      <c r="F2051" s="7">
        <v>442</v>
      </c>
      <c r="G2051" s="7">
        <v>97</v>
      </c>
      <c r="H2051" s="7">
        <v>16753</v>
      </c>
      <c r="I2051" s="7">
        <v>23</v>
      </c>
      <c r="J2051" s="7">
        <v>56</v>
      </c>
      <c r="K2051" s="7">
        <v>393</v>
      </c>
      <c r="L2051" s="7">
        <v>393</v>
      </c>
      <c r="M2051" s="7">
        <v>11.28571429</v>
      </c>
      <c r="N2051">
        <f>VLOOKUP(A2051,vlookup_table!$A:$G,2,FALSE)</f>
        <v>0</v>
      </c>
      <c r="O2051" t="str">
        <f>VLOOKUP(A2051,vlookup_table!$A:$G,3,FALSE)</f>
        <v>CA</v>
      </c>
      <c r="P2051">
        <f>VLOOKUP(A2051,vlookup_table!$A:$G,4,FALSE)</f>
        <v>0</v>
      </c>
      <c r="Q2051" t="str">
        <f>VLOOKUP(A2051,vlookup_table!$A:$G,5,FALSE)</f>
        <v>S1</v>
      </c>
      <c r="R2051" t="str">
        <f>VLOOKUP(A2051,vlookup_table!$A:$G,6,FALSE)</f>
        <v>F</v>
      </c>
      <c r="S2051">
        <f>VLOOKUP(A2051,vlookup_table!$A:$G,7,FALSE)</f>
        <v>14</v>
      </c>
      <c r="T2051">
        <f t="shared" ref="T2051:T2114" si="64">97-LEFT(P2051,2)-IF(RIGHT(P2051,2)&gt;6,1,0)</f>
        <v>96</v>
      </c>
      <c r="U2051" t="str">
        <f t="shared" ref="U2051:U2114" si="65">IF(LEFT(Q2051,1)="C","Ciudad",IF(LEFT(Q2051,1)="T","Pueblo",IF(LEFT(Q2051,1)="R","Rural",IF(LEFT(Q2051,1)="S","Suburbano",IF(LEFT(Q2051,1)="U","Urbano","")))))</f>
        <v>Suburbano</v>
      </c>
    </row>
    <row r="2052" spans="1:21" ht="16" x14ac:dyDescent="0.4">
      <c r="A2052" s="7">
        <v>56407</v>
      </c>
      <c r="B2052" s="7" t="s">
        <v>53</v>
      </c>
      <c r="C2052" s="7" t="s">
        <v>17</v>
      </c>
      <c r="D2052" s="7">
        <v>382</v>
      </c>
      <c r="E2052" s="7">
        <v>173</v>
      </c>
      <c r="F2052" s="7">
        <v>259</v>
      </c>
      <c r="G2052" s="7">
        <v>0</v>
      </c>
      <c r="H2052" s="7">
        <v>9037</v>
      </c>
      <c r="I2052" s="7">
        <v>0</v>
      </c>
      <c r="J2052" s="7">
        <v>92</v>
      </c>
      <c r="K2052" s="7">
        <v>211</v>
      </c>
      <c r="L2052" s="7">
        <v>233</v>
      </c>
      <c r="M2052" s="7">
        <v>10.64705882</v>
      </c>
      <c r="N2052">
        <f>VLOOKUP(A2052,vlookup_table!$A:$G,2,FALSE)</f>
        <v>0</v>
      </c>
      <c r="O2052" t="str">
        <f>VLOOKUP(A2052,vlookup_table!$A:$G,3,FALSE)</f>
        <v>KY</v>
      </c>
      <c r="P2052">
        <f>VLOOKUP(A2052,vlookup_table!$A:$G,4,FALSE)</f>
        <v>2707</v>
      </c>
      <c r="Q2052" t="str">
        <f>VLOOKUP(A2052,vlookup_table!$A:$G,5,FALSE)</f>
        <v>R3</v>
      </c>
      <c r="R2052" t="str">
        <f>VLOOKUP(A2052,vlookup_table!$A:$G,6,FALSE)</f>
        <v>F</v>
      </c>
      <c r="S2052">
        <f>VLOOKUP(A2052,vlookup_table!$A:$G,7,FALSE)</f>
        <v>20</v>
      </c>
      <c r="T2052">
        <f t="shared" si="64"/>
        <v>69</v>
      </c>
      <c r="U2052" t="str">
        <f t="shared" si="65"/>
        <v>Rural</v>
      </c>
    </row>
    <row r="2053" spans="1:21" ht="16" x14ac:dyDescent="0.4">
      <c r="A2053" s="7">
        <v>188988</v>
      </c>
      <c r="B2053" s="7" t="s">
        <v>30</v>
      </c>
      <c r="C2053" s="7"/>
      <c r="D2053" s="7">
        <v>667</v>
      </c>
      <c r="E2053" s="7">
        <v>243</v>
      </c>
      <c r="F2053" s="7">
        <v>351</v>
      </c>
      <c r="G2053" s="7">
        <v>1</v>
      </c>
      <c r="H2053" s="7">
        <v>12239</v>
      </c>
      <c r="I2053" s="7">
        <v>2</v>
      </c>
      <c r="J2053" s="7">
        <v>70</v>
      </c>
      <c r="K2053" s="7">
        <v>311</v>
      </c>
      <c r="L2053" s="7">
        <v>298</v>
      </c>
      <c r="M2053" s="7">
        <v>6.2857142860000002</v>
      </c>
      <c r="N2053">
        <f>VLOOKUP(A2053,vlookup_table!$A:$G,2,FALSE)</f>
        <v>28</v>
      </c>
      <c r="O2053" t="str">
        <f>VLOOKUP(A2053,vlookup_table!$A:$G,3,FALSE)</f>
        <v>IN</v>
      </c>
      <c r="P2053">
        <f>VLOOKUP(A2053,vlookup_table!$A:$G,4,FALSE)</f>
        <v>0</v>
      </c>
      <c r="Q2053" t="str">
        <f>VLOOKUP(A2053,vlookup_table!$A:$G,5,FALSE)</f>
        <v/>
      </c>
      <c r="R2053" t="str">
        <f>VLOOKUP(A2053,vlookup_table!$A:$G,6,FALSE)</f>
        <v/>
      </c>
      <c r="S2053">
        <f>VLOOKUP(A2053,vlookup_table!$A:$G,7,FALSE)</f>
        <v>7</v>
      </c>
      <c r="T2053">
        <f t="shared" si="64"/>
        <v>96</v>
      </c>
      <c r="U2053" t="str">
        <f t="shared" si="65"/>
        <v/>
      </c>
    </row>
    <row r="2054" spans="1:21" ht="16" x14ac:dyDescent="0.4">
      <c r="A2054" s="7">
        <v>35581</v>
      </c>
      <c r="B2054" s="7" t="s">
        <v>13</v>
      </c>
      <c r="C2054" s="7" t="s">
        <v>14</v>
      </c>
      <c r="D2054" s="7">
        <v>906</v>
      </c>
      <c r="E2054" s="7">
        <v>296</v>
      </c>
      <c r="F2054" s="7">
        <v>473</v>
      </c>
      <c r="G2054" s="7">
        <v>3</v>
      </c>
      <c r="H2054" s="7">
        <v>16729</v>
      </c>
      <c r="I2054" s="7">
        <v>4</v>
      </c>
      <c r="J2054" s="7">
        <v>37</v>
      </c>
      <c r="K2054" s="7">
        <v>377</v>
      </c>
      <c r="L2054" s="7">
        <v>360</v>
      </c>
      <c r="M2054" s="7">
        <v>10.42857143</v>
      </c>
      <c r="N2054">
        <f>VLOOKUP(A2054,vlookup_table!$A:$G,2,FALSE)</f>
        <v>1</v>
      </c>
      <c r="O2054" t="str">
        <f>VLOOKUP(A2054,vlookup_table!$A:$G,3,FALSE)</f>
        <v>FL</v>
      </c>
      <c r="P2054">
        <f>VLOOKUP(A2054,vlookup_table!$A:$G,4,FALSE)</f>
        <v>2812</v>
      </c>
      <c r="Q2054" t="str">
        <f>VLOOKUP(A2054,vlookup_table!$A:$G,5,FALSE)</f>
        <v>S1</v>
      </c>
      <c r="R2054" t="str">
        <f>VLOOKUP(A2054,vlookup_table!$A:$G,6,FALSE)</f>
        <v>M</v>
      </c>
      <c r="S2054">
        <f>VLOOKUP(A2054,vlookup_table!$A:$G,7,FALSE)</f>
        <v>15</v>
      </c>
      <c r="T2054">
        <f t="shared" si="64"/>
        <v>68</v>
      </c>
      <c r="U2054" t="str">
        <f t="shared" si="65"/>
        <v>Suburbano</v>
      </c>
    </row>
    <row r="2055" spans="1:21" ht="16" x14ac:dyDescent="0.4">
      <c r="A2055" s="7">
        <v>46358</v>
      </c>
      <c r="B2055" s="7" t="s">
        <v>13</v>
      </c>
      <c r="C2055" s="7" t="s">
        <v>14</v>
      </c>
      <c r="D2055" s="7">
        <v>715</v>
      </c>
      <c r="E2055" s="7">
        <v>362</v>
      </c>
      <c r="F2055" s="7">
        <v>408</v>
      </c>
      <c r="G2055" s="7">
        <v>0</v>
      </c>
      <c r="H2055" s="7">
        <v>12806</v>
      </c>
      <c r="I2055" s="7">
        <v>6</v>
      </c>
      <c r="J2055" s="7">
        <v>28</v>
      </c>
      <c r="K2055" s="7">
        <v>371</v>
      </c>
      <c r="L2055" s="7">
        <v>388</v>
      </c>
      <c r="M2055" s="7">
        <v>7.4666666670000001</v>
      </c>
      <c r="N2055">
        <f>VLOOKUP(A2055,vlookup_table!$A:$G,2,FALSE)</f>
        <v>1</v>
      </c>
      <c r="O2055" t="str">
        <f>VLOOKUP(A2055,vlookup_table!$A:$G,3,FALSE)</f>
        <v>FL</v>
      </c>
      <c r="P2055">
        <f>VLOOKUP(A2055,vlookup_table!$A:$G,4,FALSE)</f>
        <v>1801</v>
      </c>
      <c r="Q2055" t="str">
        <f>VLOOKUP(A2055,vlookup_table!$A:$G,5,FALSE)</f>
        <v>T2</v>
      </c>
      <c r="R2055" t="str">
        <f>VLOOKUP(A2055,vlookup_table!$A:$G,6,FALSE)</f>
        <v>M</v>
      </c>
      <c r="S2055">
        <f>VLOOKUP(A2055,vlookup_table!$A:$G,7,FALSE)</f>
        <v>9</v>
      </c>
      <c r="T2055">
        <f t="shared" si="64"/>
        <v>78</v>
      </c>
      <c r="U2055" t="str">
        <f t="shared" si="65"/>
        <v>Pueblo</v>
      </c>
    </row>
    <row r="2056" spans="1:21" ht="16" x14ac:dyDescent="0.4">
      <c r="A2056" s="7">
        <v>109533</v>
      </c>
      <c r="B2056" s="7" t="s">
        <v>46</v>
      </c>
      <c r="C2056" s="7" t="s">
        <v>14</v>
      </c>
      <c r="D2056" s="7">
        <v>576</v>
      </c>
      <c r="E2056" s="7">
        <v>290</v>
      </c>
      <c r="F2056" s="7">
        <v>375</v>
      </c>
      <c r="G2056" s="7">
        <v>2</v>
      </c>
      <c r="H2056" s="7">
        <v>9596</v>
      </c>
      <c r="I2056" s="7">
        <v>1</v>
      </c>
      <c r="J2056" s="7">
        <v>66</v>
      </c>
      <c r="K2056" s="7">
        <v>318</v>
      </c>
      <c r="L2056" s="7">
        <v>339</v>
      </c>
      <c r="M2056" s="7">
        <v>7.5</v>
      </c>
      <c r="N2056">
        <f>VLOOKUP(A2056,vlookup_table!$A:$G,2,FALSE)</f>
        <v>0</v>
      </c>
      <c r="O2056" t="str">
        <f>VLOOKUP(A2056,vlookup_table!$A:$G,3,FALSE)</f>
        <v>LA</v>
      </c>
      <c r="P2056">
        <f>VLOOKUP(A2056,vlookup_table!$A:$G,4,FALSE)</f>
        <v>3201</v>
      </c>
      <c r="Q2056" t="str">
        <f>VLOOKUP(A2056,vlookup_table!$A:$G,5,FALSE)</f>
        <v>T2</v>
      </c>
      <c r="R2056" t="str">
        <f>VLOOKUP(A2056,vlookup_table!$A:$G,6,FALSE)</f>
        <v>M</v>
      </c>
      <c r="S2056">
        <f>VLOOKUP(A2056,vlookup_table!$A:$G,7,FALSE)</f>
        <v>25</v>
      </c>
      <c r="T2056">
        <f t="shared" si="64"/>
        <v>64</v>
      </c>
      <c r="U2056" t="str">
        <f t="shared" si="65"/>
        <v>Pueblo</v>
      </c>
    </row>
    <row r="2057" spans="1:21" ht="16" x14ac:dyDescent="0.4">
      <c r="A2057" s="7">
        <v>81322</v>
      </c>
      <c r="B2057" s="7" t="s">
        <v>32</v>
      </c>
      <c r="C2057" s="7" t="s">
        <v>14</v>
      </c>
      <c r="D2057" s="7">
        <v>335</v>
      </c>
      <c r="E2057" s="7">
        <v>209</v>
      </c>
      <c r="F2057" s="7">
        <v>311</v>
      </c>
      <c r="G2057" s="7">
        <v>0</v>
      </c>
      <c r="H2057" s="7">
        <v>9461</v>
      </c>
      <c r="I2057" s="7">
        <v>1</v>
      </c>
      <c r="J2057" s="7">
        <v>88</v>
      </c>
      <c r="K2057" s="7">
        <v>252</v>
      </c>
      <c r="L2057" s="7">
        <v>268</v>
      </c>
      <c r="M2057" s="7">
        <v>10.05555556</v>
      </c>
      <c r="N2057">
        <f>VLOOKUP(A2057,vlookup_table!$A:$G,2,FALSE)</f>
        <v>1</v>
      </c>
      <c r="O2057" t="str">
        <f>VLOOKUP(A2057,vlookup_table!$A:$G,3,FALSE)</f>
        <v>WI</v>
      </c>
      <c r="P2057">
        <f>VLOOKUP(A2057,vlookup_table!$A:$G,4,FALSE)</f>
        <v>0</v>
      </c>
      <c r="Q2057" t="str">
        <f>VLOOKUP(A2057,vlookup_table!$A:$G,5,FALSE)</f>
        <v>R3</v>
      </c>
      <c r="R2057" t="str">
        <f>VLOOKUP(A2057,vlookup_table!$A:$G,6,FALSE)</f>
        <v>M</v>
      </c>
      <c r="S2057">
        <f>VLOOKUP(A2057,vlookup_table!$A:$G,7,FALSE)</f>
        <v>15</v>
      </c>
      <c r="T2057">
        <f t="shared" si="64"/>
        <v>96</v>
      </c>
      <c r="U2057" t="str">
        <f t="shared" si="65"/>
        <v>Rural</v>
      </c>
    </row>
    <row r="2058" spans="1:21" ht="16" x14ac:dyDescent="0.4">
      <c r="A2058" s="7">
        <v>179275</v>
      </c>
      <c r="B2058" s="7" t="s">
        <v>37</v>
      </c>
      <c r="C2058" s="7" t="s">
        <v>17</v>
      </c>
      <c r="D2058" s="7">
        <v>1424</v>
      </c>
      <c r="E2058" s="7">
        <v>419</v>
      </c>
      <c r="F2058" s="7">
        <v>506</v>
      </c>
      <c r="G2058" s="7">
        <v>21</v>
      </c>
      <c r="H2058" s="7">
        <v>16767</v>
      </c>
      <c r="I2058" s="7">
        <v>4</v>
      </c>
      <c r="J2058" s="7">
        <v>56</v>
      </c>
      <c r="K2058" s="7">
        <v>446</v>
      </c>
      <c r="L2058" s="7">
        <v>477</v>
      </c>
      <c r="M2058" s="7">
        <v>9.1999999999999993</v>
      </c>
      <c r="N2058">
        <f>VLOOKUP(A2058,vlookup_table!$A:$G,2,FALSE)</f>
        <v>0</v>
      </c>
      <c r="O2058" t="str">
        <f>VLOOKUP(A2058,vlookup_table!$A:$G,3,FALSE)</f>
        <v>WA</v>
      </c>
      <c r="P2058">
        <f>VLOOKUP(A2058,vlookup_table!$A:$G,4,FALSE)</f>
        <v>4501</v>
      </c>
      <c r="Q2058" t="str">
        <f>VLOOKUP(A2058,vlookup_table!$A:$G,5,FALSE)</f>
        <v>T2</v>
      </c>
      <c r="R2058" t="str">
        <f>VLOOKUP(A2058,vlookup_table!$A:$G,6,FALSE)</f>
        <v>F</v>
      </c>
      <c r="S2058">
        <f>VLOOKUP(A2058,vlookup_table!$A:$G,7,FALSE)</f>
        <v>25</v>
      </c>
      <c r="T2058">
        <f t="shared" si="64"/>
        <v>51</v>
      </c>
      <c r="U2058" t="str">
        <f t="shared" si="65"/>
        <v>Pueblo</v>
      </c>
    </row>
    <row r="2059" spans="1:21" ht="16" x14ac:dyDescent="0.4">
      <c r="A2059" s="7">
        <v>48691</v>
      </c>
      <c r="B2059" s="7" t="s">
        <v>40</v>
      </c>
      <c r="C2059" s="7" t="s">
        <v>17</v>
      </c>
      <c r="D2059" s="7">
        <v>733</v>
      </c>
      <c r="E2059" s="7">
        <v>316</v>
      </c>
      <c r="F2059" s="7">
        <v>412</v>
      </c>
      <c r="G2059" s="7">
        <v>0</v>
      </c>
      <c r="H2059" s="7">
        <v>19790</v>
      </c>
      <c r="I2059" s="7">
        <v>1</v>
      </c>
      <c r="J2059" s="7">
        <v>75</v>
      </c>
      <c r="K2059" s="7">
        <v>378</v>
      </c>
      <c r="L2059" s="7">
        <v>374</v>
      </c>
      <c r="M2059" s="7">
        <v>10</v>
      </c>
      <c r="N2059">
        <f>VLOOKUP(A2059,vlookup_table!$A:$G,2,FALSE)</f>
        <v>0</v>
      </c>
      <c r="O2059" t="str">
        <f>VLOOKUP(A2059,vlookup_table!$A:$G,3,FALSE)</f>
        <v>AL</v>
      </c>
      <c r="P2059">
        <f>VLOOKUP(A2059,vlookup_table!$A:$G,4,FALSE)</f>
        <v>2702</v>
      </c>
      <c r="Q2059" t="str">
        <f>VLOOKUP(A2059,vlookup_table!$A:$G,5,FALSE)</f>
        <v>C2</v>
      </c>
      <c r="R2059" t="str">
        <f>VLOOKUP(A2059,vlookup_table!$A:$G,6,FALSE)</f>
        <v>F</v>
      </c>
      <c r="S2059">
        <f>VLOOKUP(A2059,vlookup_table!$A:$G,7,FALSE)</f>
        <v>20</v>
      </c>
      <c r="T2059">
        <f t="shared" si="64"/>
        <v>69</v>
      </c>
      <c r="U2059" t="str">
        <f t="shared" si="65"/>
        <v>Ciudad</v>
      </c>
    </row>
    <row r="2060" spans="1:21" ht="16" x14ac:dyDescent="0.4">
      <c r="A2060" s="7">
        <v>24420</v>
      </c>
      <c r="B2060" s="7" t="s">
        <v>43</v>
      </c>
      <c r="C2060" s="7" t="s">
        <v>17</v>
      </c>
      <c r="D2060" s="7">
        <v>1333</v>
      </c>
      <c r="E2060" s="7">
        <v>162</v>
      </c>
      <c r="F2060" s="7">
        <v>476</v>
      </c>
      <c r="G2060" s="7">
        <v>11</v>
      </c>
      <c r="H2060" s="7">
        <v>4738</v>
      </c>
      <c r="I2060" s="7">
        <v>2</v>
      </c>
      <c r="J2060" s="7">
        <v>29</v>
      </c>
      <c r="K2060" s="7">
        <v>451</v>
      </c>
      <c r="L2060" s="7">
        <v>234</v>
      </c>
      <c r="M2060" s="7">
        <v>8.625</v>
      </c>
      <c r="N2060">
        <f>VLOOKUP(A2060,vlookup_table!$A:$G,2,FALSE)</f>
        <v>4</v>
      </c>
      <c r="O2060" t="str">
        <f>VLOOKUP(A2060,vlookup_table!$A:$G,3,FALSE)</f>
        <v>SC</v>
      </c>
      <c r="P2060">
        <f>VLOOKUP(A2060,vlookup_table!$A:$G,4,FALSE)</f>
        <v>4001</v>
      </c>
      <c r="Q2060" t="str">
        <f>VLOOKUP(A2060,vlookup_table!$A:$G,5,FALSE)</f>
        <v>C1</v>
      </c>
      <c r="R2060" t="str">
        <f>VLOOKUP(A2060,vlookup_table!$A:$G,6,FALSE)</f>
        <v>F</v>
      </c>
      <c r="S2060">
        <f>VLOOKUP(A2060,vlookup_table!$A:$G,7,FALSE)</f>
        <v>12</v>
      </c>
      <c r="T2060">
        <f t="shared" si="64"/>
        <v>56</v>
      </c>
      <c r="U2060" t="str">
        <f t="shared" si="65"/>
        <v>Ciudad</v>
      </c>
    </row>
    <row r="2061" spans="1:21" ht="16" x14ac:dyDescent="0.4">
      <c r="A2061" s="7">
        <v>165368</v>
      </c>
      <c r="B2061" s="7" t="s">
        <v>21</v>
      </c>
      <c r="C2061" s="7" t="s">
        <v>14</v>
      </c>
      <c r="D2061" s="7">
        <v>3899</v>
      </c>
      <c r="E2061" s="7">
        <v>733</v>
      </c>
      <c r="F2061" s="7">
        <v>811</v>
      </c>
      <c r="G2061" s="7">
        <v>97</v>
      </c>
      <c r="H2061" s="7">
        <v>28586</v>
      </c>
      <c r="I2061" s="7">
        <v>14</v>
      </c>
      <c r="J2061" s="7">
        <v>49</v>
      </c>
      <c r="K2061" s="7">
        <v>786</v>
      </c>
      <c r="L2061" s="7">
        <v>749</v>
      </c>
      <c r="M2061" s="7">
        <v>33.333333330000002</v>
      </c>
      <c r="N2061">
        <f>VLOOKUP(A2061,vlookup_table!$A:$G,2,FALSE)</f>
        <v>1</v>
      </c>
      <c r="O2061" t="str">
        <f>VLOOKUP(A2061,vlookup_table!$A:$G,3,FALSE)</f>
        <v>CA</v>
      </c>
      <c r="P2061">
        <f>VLOOKUP(A2061,vlookup_table!$A:$G,4,FALSE)</f>
        <v>3201</v>
      </c>
      <c r="Q2061" t="str">
        <f>VLOOKUP(A2061,vlookup_table!$A:$G,5,FALSE)</f>
        <v>S1</v>
      </c>
      <c r="R2061" t="str">
        <f>VLOOKUP(A2061,vlookup_table!$A:$G,6,FALSE)</f>
        <v>M</v>
      </c>
      <c r="S2061">
        <f>VLOOKUP(A2061,vlookup_table!$A:$G,7,FALSE)</f>
        <v>20</v>
      </c>
      <c r="T2061">
        <f t="shared" si="64"/>
        <v>64</v>
      </c>
      <c r="U2061" t="str">
        <f t="shared" si="65"/>
        <v>Suburbano</v>
      </c>
    </row>
    <row r="2062" spans="1:21" ht="16" x14ac:dyDescent="0.4">
      <c r="A2062" s="7">
        <v>41545</v>
      </c>
      <c r="B2062" s="7" t="s">
        <v>13</v>
      </c>
      <c r="C2062" s="7" t="s">
        <v>14</v>
      </c>
      <c r="D2062" s="7">
        <v>658</v>
      </c>
      <c r="E2062" s="7">
        <v>373</v>
      </c>
      <c r="F2062" s="7">
        <v>436</v>
      </c>
      <c r="G2062" s="7">
        <v>0</v>
      </c>
      <c r="H2062" s="7">
        <v>14942</v>
      </c>
      <c r="I2062" s="7">
        <v>11</v>
      </c>
      <c r="J2062" s="7">
        <v>23</v>
      </c>
      <c r="K2062" s="7">
        <v>392</v>
      </c>
      <c r="L2062" s="7">
        <v>417</v>
      </c>
      <c r="M2062" s="7">
        <v>5.7894736839999998</v>
      </c>
      <c r="N2062">
        <f>VLOOKUP(A2062,vlookup_table!$A:$G,2,FALSE)</f>
        <v>1</v>
      </c>
      <c r="O2062" t="str">
        <f>VLOOKUP(A2062,vlookup_table!$A:$G,3,FALSE)</f>
        <v>FL</v>
      </c>
      <c r="P2062">
        <f>VLOOKUP(A2062,vlookup_table!$A:$G,4,FALSE)</f>
        <v>0</v>
      </c>
      <c r="Q2062" t="str">
        <f>VLOOKUP(A2062,vlookup_table!$A:$G,5,FALSE)</f>
        <v>S2</v>
      </c>
      <c r="R2062" t="str">
        <f>VLOOKUP(A2062,vlookup_table!$A:$G,6,FALSE)</f>
        <v>M</v>
      </c>
      <c r="S2062">
        <f>VLOOKUP(A2062,vlookup_table!$A:$G,7,FALSE)</f>
        <v>5</v>
      </c>
      <c r="T2062">
        <f t="shared" si="64"/>
        <v>96</v>
      </c>
      <c r="U2062" t="str">
        <f t="shared" si="65"/>
        <v>Suburbano</v>
      </c>
    </row>
    <row r="2063" spans="1:21" ht="16" x14ac:dyDescent="0.4">
      <c r="A2063" s="7">
        <v>106235</v>
      </c>
      <c r="B2063" s="7" t="s">
        <v>25</v>
      </c>
      <c r="C2063" s="7" t="s">
        <v>14</v>
      </c>
      <c r="D2063" s="7">
        <v>498</v>
      </c>
      <c r="E2063" s="7">
        <v>273</v>
      </c>
      <c r="F2063" s="7">
        <v>346</v>
      </c>
      <c r="G2063" s="7">
        <v>0</v>
      </c>
      <c r="H2063" s="7">
        <v>12893</v>
      </c>
      <c r="I2063" s="7">
        <v>0</v>
      </c>
      <c r="J2063" s="7">
        <v>69</v>
      </c>
      <c r="K2063" s="7">
        <v>302</v>
      </c>
      <c r="L2063" s="7">
        <v>304</v>
      </c>
      <c r="M2063" s="7">
        <v>5</v>
      </c>
      <c r="N2063">
        <f>VLOOKUP(A2063,vlookup_table!$A:$G,2,FALSE)</f>
        <v>1</v>
      </c>
      <c r="O2063" t="str">
        <f>VLOOKUP(A2063,vlookup_table!$A:$G,3,FALSE)</f>
        <v>KS</v>
      </c>
      <c r="P2063">
        <f>VLOOKUP(A2063,vlookup_table!$A:$G,4,FALSE)</f>
        <v>1801</v>
      </c>
      <c r="Q2063" t="str">
        <f>VLOOKUP(A2063,vlookup_table!$A:$G,5,FALSE)</f>
        <v>T2</v>
      </c>
      <c r="R2063" t="str">
        <f>VLOOKUP(A2063,vlookup_table!$A:$G,6,FALSE)</f>
        <v>M</v>
      </c>
      <c r="S2063">
        <f>VLOOKUP(A2063,vlookup_table!$A:$G,7,FALSE)</f>
        <v>5</v>
      </c>
      <c r="T2063">
        <f t="shared" si="64"/>
        <v>78</v>
      </c>
      <c r="U2063" t="str">
        <f t="shared" si="65"/>
        <v>Pueblo</v>
      </c>
    </row>
    <row r="2064" spans="1:21" ht="16" x14ac:dyDescent="0.4">
      <c r="A2064" s="7">
        <v>133640</v>
      </c>
      <c r="B2064" s="7" t="s">
        <v>38</v>
      </c>
      <c r="C2064" s="7" t="s">
        <v>14</v>
      </c>
      <c r="D2064" s="7">
        <v>793</v>
      </c>
      <c r="E2064" s="7">
        <v>359</v>
      </c>
      <c r="F2064" s="7">
        <v>505</v>
      </c>
      <c r="G2064" s="7">
        <v>16</v>
      </c>
      <c r="H2064" s="7">
        <v>19844</v>
      </c>
      <c r="I2064" s="7">
        <v>0</v>
      </c>
      <c r="J2064" s="7">
        <v>45</v>
      </c>
      <c r="K2064" s="7">
        <v>372</v>
      </c>
      <c r="L2064" s="7">
        <v>464</v>
      </c>
      <c r="M2064" s="7">
        <v>7.5</v>
      </c>
      <c r="N2064">
        <f>VLOOKUP(A2064,vlookup_table!$A:$G,2,FALSE)</f>
        <v>1</v>
      </c>
      <c r="O2064" t="str">
        <f>VLOOKUP(A2064,vlookup_table!$A:$G,3,FALSE)</f>
        <v>ID</v>
      </c>
      <c r="P2064">
        <f>VLOOKUP(A2064,vlookup_table!$A:$G,4,FALSE)</f>
        <v>3210</v>
      </c>
      <c r="Q2064" t="str">
        <f>VLOOKUP(A2064,vlookup_table!$A:$G,5,FALSE)</f>
        <v>C2</v>
      </c>
      <c r="R2064" t="str">
        <f>VLOOKUP(A2064,vlookup_table!$A:$G,6,FALSE)</f>
        <v>M</v>
      </c>
      <c r="S2064">
        <f>VLOOKUP(A2064,vlookup_table!$A:$G,7,FALSE)</f>
        <v>10</v>
      </c>
      <c r="T2064">
        <f t="shared" si="64"/>
        <v>64</v>
      </c>
      <c r="U2064" t="str">
        <f t="shared" si="65"/>
        <v>Ciudad</v>
      </c>
    </row>
    <row r="2065" spans="1:21" ht="16" x14ac:dyDescent="0.4">
      <c r="A2065" s="7">
        <v>176443</v>
      </c>
      <c r="B2065" s="7" t="s">
        <v>47</v>
      </c>
      <c r="C2065" s="7" t="s">
        <v>17</v>
      </c>
      <c r="D2065" s="7">
        <v>641</v>
      </c>
      <c r="E2065" s="7">
        <v>291</v>
      </c>
      <c r="F2065" s="7">
        <v>391</v>
      </c>
      <c r="G2065" s="7">
        <v>1</v>
      </c>
      <c r="H2065" s="7">
        <v>12815</v>
      </c>
      <c r="I2065" s="7">
        <v>4</v>
      </c>
      <c r="J2065" s="7">
        <v>45</v>
      </c>
      <c r="K2065" s="7">
        <v>300</v>
      </c>
      <c r="L2065" s="7">
        <v>356</v>
      </c>
      <c r="M2065" s="7">
        <v>14</v>
      </c>
      <c r="N2065">
        <f>VLOOKUP(A2065,vlookup_table!$A:$G,2,FALSE)</f>
        <v>0</v>
      </c>
      <c r="O2065" t="str">
        <f>VLOOKUP(A2065,vlookup_table!$A:$G,3,FALSE)</f>
        <v>OR</v>
      </c>
      <c r="P2065">
        <f>VLOOKUP(A2065,vlookup_table!$A:$G,4,FALSE)</f>
        <v>2103</v>
      </c>
      <c r="Q2065" t="str">
        <f>VLOOKUP(A2065,vlookup_table!$A:$G,5,FALSE)</f>
        <v>R2</v>
      </c>
      <c r="R2065" t="str">
        <f>VLOOKUP(A2065,vlookup_table!$A:$G,6,FALSE)</f>
        <v>F</v>
      </c>
      <c r="S2065">
        <f>VLOOKUP(A2065,vlookup_table!$A:$G,7,FALSE)</f>
        <v>10</v>
      </c>
      <c r="T2065">
        <f t="shared" si="64"/>
        <v>75</v>
      </c>
      <c r="U2065" t="str">
        <f t="shared" si="65"/>
        <v>Rural</v>
      </c>
    </row>
    <row r="2066" spans="1:21" ht="16" x14ac:dyDescent="0.4">
      <c r="A2066" s="7">
        <v>190976</v>
      </c>
      <c r="B2066" s="7" t="s">
        <v>51</v>
      </c>
      <c r="C2066" s="7"/>
      <c r="D2066" s="7">
        <v>558</v>
      </c>
      <c r="E2066" s="7">
        <v>298</v>
      </c>
      <c r="F2066" s="7">
        <v>345</v>
      </c>
      <c r="G2066" s="7">
        <v>0</v>
      </c>
      <c r="H2066" s="7">
        <v>10331</v>
      </c>
      <c r="I2066" s="7">
        <v>4</v>
      </c>
      <c r="J2066" s="7">
        <v>33</v>
      </c>
      <c r="K2066" s="7">
        <v>301</v>
      </c>
      <c r="L2066" s="7">
        <v>327</v>
      </c>
      <c r="M2066" s="7">
        <v>14.777777779999999</v>
      </c>
      <c r="N2066">
        <f>VLOOKUP(A2066,vlookup_table!$A:$G,2,FALSE)</f>
        <v>0</v>
      </c>
      <c r="O2066" t="str">
        <f>VLOOKUP(A2066,vlookup_table!$A:$G,3,FALSE)</f>
        <v>AZ</v>
      </c>
      <c r="P2066">
        <f>VLOOKUP(A2066,vlookup_table!$A:$G,4,FALSE)</f>
        <v>0</v>
      </c>
      <c r="Q2066" t="str">
        <f>VLOOKUP(A2066,vlookup_table!$A:$G,5,FALSE)</f>
        <v>C2</v>
      </c>
      <c r="R2066" t="str">
        <f>VLOOKUP(A2066,vlookup_table!$A:$G,6,FALSE)</f>
        <v/>
      </c>
      <c r="S2066">
        <f>VLOOKUP(A2066,vlookup_table!$A:$G,7,FALSE)</f>
        <v>20</v>
      </c>
      <c r="T2066">
        <f t="shared" si="64"/>
        <v>96</v>
      </c>
      <c r="U2066" t="str">
        <f t="shared" si="65"/>
        <v>Ciudad</v>
      </c>
    </row>
    <row r="2067" spans="1:21" ht="16" x14ac:dyDescent="0.4">
      <c r="A2067" s="7">
        <v>145911</v>
      </c>
      <c r="B2067" s="7" t="s">
        <v>21</v>
      </c>
      <c r="C2067" s="7" t="s">
        <v>17</v>
      </c>
      <c r="D2067" s="7">
        <v>3314</v>
      </c>
      <c r="E2067" s="7">
        <v>781</v>
      </c>
      <c r="F2067" s="7">
        <v>828</v>
      </c>
      <c r="G2067" s="7">
        <v>99</v>
      </c>
      <c r="H2067" s="7">
        <v>25608</v>
      </c>
      <c r="I2067" s="7">
        <v>33</v>
      </c>
      <c r="J2067" s="7">
        <v>47</v>
      </c>
      <c r="K2067" s="7">
        <v>755</v>
      </c>
      <c r="L2067" s="7">
        <v>820</v>
      </c>
      <c r="M2067" s="7">
        <v>11.66666667</v>
      </c>
      <c r="N2067">
        <f>VLOOKUP(A2067,vlookup_table!$A:$G,2,FALSE)</f>
        <v>0</v>
      </c>
      <c r="O2067" t="str">
        <f>VLOOKUP(A2067,vlookup_table!$A:$G,3,FALSE)</f>
        <v>CA</v>
      </c>
      <c r="P2067">
        <f>VLOOKUP(A2067,vlookup_table!$A:$G,4,FALSE)</f>
        <v>0</v>
      </c>
      <c r="Q2067" t="str">
        <f>VLOOKUP(A2067,vlookup_table!$A:$G,5,FALSE)</f>
        <v>S1</v>
      </c>
      <c r="R2067" t="str">
        <f>VLOOKUP(A2067,vlookup_table!$A:$G,6,FALSE)</f>
        <v>F</v>
      </c>
      <c r="S2067">
        <f>VLOOKUP(A2067,vlookup_table!$A:$G,7,FALSE)</f>
        <v>10</v>
      </c>
      <c r="T2067">
        <f t="shared" si="64"/>
        <v>96</v>
      </c>
      <c r="U2067" t="str">
        <f t="shared" si="65"/>
        <v>Suburbano</v>
      </c>
    </row>
    <row r="2068" spans="1:21" ht="16" x14ac:dyDescent="0.4">
      <c r="A2068" s="7">
        <v>32984</v>
      </c>
      <c r="B2068" s="7" t="s">
        <v>24</v>
      </c>
      <c r="C2068" s="7" t="s">
        <v>14</v>
      </c>
      <c r="D2068" s="7">
        <v>0</v>
      </c>
      <c r="E2068" s="7">
        <v>0</v>
      </c>
      <c r="F2068" s="7">
        <v>0</v>
      </c>
      <c r="G2068" s="7">
        <v>0</v>
      </c>
      <c r="H2068" s="7">
        <v>0</v>
      </c>
      <c r="I2068" s="7">
        <v>0</v>
      </c>
      <c r="J2068" s="7">
        <v>0</v>
      </c>
      <c r="K2068" s="7">
        <v>0</v>
      </c>
      <c r="L2068" s="7">
        <v>0</v>
      </c>
      <c r="M2068" s="7">
        <v>9.5</v>
      </c>
      <c r="N2068">
        <f>VLOOKUP(A2068,vlookup_table!$A:$G,2,FALSE)</f>
        <v>1</v>
      </c>
      <c r="O2068" t="str">
        <f>VLOOKUP(A2068,vlookup_table!$A:$G,3,FALSE)</f>
        <v>AP</v>
      </c>
      <c r="P2068">
        <f>VLOOKUP(A2068,vlookup_table!$A:$G,4,FALSE)</f>
        <v>0</v>
      </c>
      <c r="Q2068" t="str">
        <f>VLOOKUP(A2068,vlookup_table!$A:$G,5,FALSE)</f>
        <v>S1</v>
      </c>
      <c r="R2068" t="str">
        <f>VLOOKUP(A2068,vlookup_table!$A:$G,6,FALSE)</f>
        <v>M</v>
      </c>
      <c r="S2068">
        <f>VLOOKUP(A2068,vlookup_table!$A:$G,7,FALSE)</f>
        <v>8</v>
      </c>
      <c r="T2068">
        <f t="shared" si="64"/>
        <v>96</v>
      </c>
      <c r="U2068" t="str">
        <f t="shared" si="65"/>
        <v>Suburbano</v>
      </c>
    </row>
    <row r="2069" spans="1:21" ht="16" x14ac:dyDescent="0.4">
      <c r="A2069" s="7">
        <v>67541</v>
      </c>
      <c r="B2069" s="7" t="s">
        <v>26</v>
      </c>
      <c r="C2069" s="7" t="s">
        <v>17</v>
      </c>
      <c r="D2069" s="7">
        <v>558</v>
      </c>
      <c r="E2069" s="7">
        <v>344</v>
      </c>
      <c r="F2069" s="7">
        <v>414</v>
      </c>
      <c r="G2069" s="7">
        <v>0</v>
      </c>
      <c r="H2069" s="7">
        <v>14032</v>
      </c>
      <c r="I2069" s="7">
        <v>0</v>
      </c>
      <c r="J2069" s="7">
        <v>69</v>
      </c>
      <c r="K2069" s="7">
        <v>366</v>
      </c>
      <c r="L2069" s="7">
        <v>398</v>
      </c>
      <c r="M2069" s="7">
        <v>6.3636363640000004</v>
      </c>
      <c r="N2069">
        <f>VLOOKUP(A2069,vlookup_table!$A:$G,2,FALSE)</f>
        <v>28</v>
      </c>
      <c r="O2069" t="str">
        <f>VLOOKUP(A2069,vlookup_table!$A:$G,3,FALSE)</f>
        <v>MI</v>
      </c>
      <c r="P2069">
        <f>VLOOKUP(A2069,vlookup_table!$A:$G,4,FALSE)</f>
        <v>5601</v>
      </c>
      <c r="Q2069" t="str">
        <f>VLOOKUP(A2069,vlookup_table!$A:$G,5,FALSE)</f>
        <v>C2</v>
      </c>
      <c r="R2069" t="str">
        <f>VLOOKUP(A2069,vlookup_table!$A:$G,6,FALSE)</f>
        <v>F</v>
      </c>
      <c r="S2069">
        <f>VLOOKUP(A2069,vlookup_table!$A:$G,7,FALSE)</f>
        <v>7</v>
      </c>
      <c r="T2069">
        <f t="shared" si="64"/>
        <v>40</v>
      </c>
      <c r="U2069" t="str">
        <f t="shared" si="65"/>
        <v>Ciudad</v>
      </c>
    </row>
    <row r="2070" spans="1:21" ht="16" x14ac:dyDescent="0.4">
      <c r="A2070" s="7">
        <v>86803</v>
      </c>
      <c r="B2070" s="7" t="s">
        <v>31</v>
      </c>
      <c r="C2070" s="7" t="s">
        <v>97</v>
      </c>
      <c r="D2070" s="7">
        <v>419</v>
      </c>
      <c r="E2070" s="7">
        <v>184</v>
      </c>
      <c r="F2070" s="7">
        <v>279</v>
      </c>
      <c r="G2070" s="7">
        <v>1</v>
      </c>
      <c r="H2070" s="7">
        <v>9682</v>
      </c>
      <c r="I2070" s="7">
        <v>1</v>
      </c>
      <c r="J2070" s="7">
        <v>63</v>
      </c>
      <c r="K2070" s="7">
        <v>214</v>
      </c>
      <c r="L2070" s="7">
        <v>253</v>
      </c>
      <c r="M2070" s="7">
        <v>7.3333333329999997</v>
      </c>
      <c r="N2070">
        <f>VLOOKUP(A2070,vlookup_table!$A:$G,2,FALSE)</f>
        <v>2</v>
      </c>
      <c r="O2070" t="str">
        <f>VLOOKUP(A2070,vlookup_table!$A:$G,3,FALSE)</f>
        <v>MT</v>
      </c>
      <c r="P2070">
        <f>VLOOKUP(A2070,vlookup_table!$A:$G,4,FALSE)</f>
        <v>0</v>
      </c>
      <c r="Q2070" t="str">
        <f>VLOOKUP(A2070,vlookup_table!$A:$G,5,FALSE)</f>
        <v>R2</v>
      </c>
      <c r="R2070" t="str">
        <f>VLOOKUP(A2070,vlookup_table!$A:$G,6,FALSE)</f>
        <v>F</v>
      </c>
      <c r="S2070">
        <f>VLOOKUP(A2070,vlookup_table!$A:$G,7,FALSE)</f>
        <v>10</v>
      </c>
      <c r="T2070">
        <f t="shared" si="64"/>
        <v>96</v>
      </c>
      <c r="U2070" t="str">
        <f t="shared" si="65"/>
        <v>Rural</v>
      </c>
    </row>
    <row r="2071" spans="1:21" ht="16" x14ac:dyDescent="0.4">
      <c r="A2071" s="7">
        <v>100324</v>
      </c>
      <c r="B2071" s="7" t="s">
        <v>33</v>
      </c>
      <c r="C2071" s="7" t="s">
        <v>17</v>
      </c>
      <c r="D2071" s="7">
        <v>1783</v>
      </c>
      <c r="E2071" s="7">
        <v>577</v>
      </c>
      <c r="F2071" s="7">
        <v>653</v>
      </c>
      <c r="G2071" s="7">
        <v>36</v>
      </c>
      <c r="H2071" s="7">
        <v>26826</v>
      </c>
      <c r="I2071" s="7">
        <v>0</v>
      </c>
      <c r="J2071" s="7">
        <v>62</v>
      </c>
      <c r="K2071" s="7">
        <v>603</v>
      </c>
      <c r="L2071" s="7">
        <v>609</v>
      </c>
      <c r="M2071" s="7">
        <v>20</v>
      </c>
      <c r="N2071">
        <f>VLOOKUP(A2071,vlookup_table!$A:$G,2,FALSE)</f>
        <v>0</v>
      </c>
      <c r="O2071" t="str">
        <f>VLOOKUP(A2071,vlookup_table!$A:$G,3,FALSE)</f>
        <v>MO</v>
      </c>
      <c r="P2071">
        <f>VLOOKUP(A2071,vlookup_table!$A:$G,4,FALSE)</f>
        <v>4901</v>
      </c>
      <c r="Q2071" t="str">
        <f>VLOOKUP(A2071,vlookup_table!$A:$G,5,FALSE)</f>
        <v>S1</v>
      </c>
      <c r="R2071" t="str">
        <f>VLOOKUP(A2071,vlookup_table!$A:$G,6,FALSE)</f>
        <v>F</v>
      </c>
      <c r="S2071">
        <f>VLOOKUP(A2071,vlookup_table!$A:$G,7,FALSE)</f>
        <v>20</v>
      </c>
      <c r="T2071">
        <f t="shared" si="64"/>
        <v>47</v>
      </c>
      <c r="U2071" t="str">
        <f t="shared" si="65"/>
        <v>Suburbano</v>
      </c>
    </row>
    <row r="2072" spans="1:21" ht="16" x14ac:dyDescent="0.4">
      <c r="A2072" s="7">
        <v>132444</v>
      </c>
      <c r="B2072" s="7" t="s">
        <v>45</v>
      </c>
      <c r="C2072" s="7" t="s">
        <v>17</v>
      </c>
      <c r="D2072" s="7">
        <v>543</v>
      </c>
      <c r="E2072" s="7">
        <v>428</v>
      </c>
      <c r="F2072" s="7">
        <v>434</v>
      </c>
      <c r="G2072" s="7">
        <v>0</v>
      </c>
      <c r="H2072" s="7">
        <v>12010</v>
      </c>
      <c r="I2072" s="7">
        <v>1</v>
      </c>
      <c r="J2072" s="7">
        <v>55</v>
      </c>
      <c r="K2072" s="7">
        <v>431</v>
      </c>
      <c r="L2072" s="7">
        <v>421</v>
      </c>
      <c r="M2072" s="7">
        <v>15</v>
      </c>
      <c r="N2072">
        <f>VLOOKUP(A2072,vlookup_table!$A:$G,2,FALSE)</f>
        <v>0</v>
      </c>
      <c r="O2072" t="str">
        <f>VLOOKUP(A2072,vlookup_table!$A:$G,3,FALSE)</f>
        <v>CO</v>
      </c>
      <c r="P2072">
        <f>VLOOKUP(A2072,vlookup_table!$A:$G,4,FALSE)</f>
        <v>4804</v>
      </c>
      <c r="Q2072" t="str">
        <f>VLOOKUP(A2072,vlookup_table!$A:$G,5,FALSE)</f>
        <v>T2</v>
      </c>
      <c r="R2072" t="str">
        <f>VLOOKUP(A2072,vlookup_table!$A:$G,6,FALSE)</f>
        <v>F</v>
      </c>
      <c r="S2072">
        <f>VLOOKUP(A2072,vlookup_table!$A:$G,7,FALSE)</f>
        <v>20</v>
      </c>
      <c r="T2072">
        <f t="shared" si="64"/>
        <v>48</v>
      </c>
      <c r="U2072" t="str">
        <f t="shared" si="65"/>
        <v>Pueblo</v>
      </c>
    </row>
    <row r="2073" spans="1:21" ht="16" x14ac:dyDescent="0.4">
      <c r="A2073" s="7">
        <v>107235</v>
      </c>
      <c r="B2073" s="7" t="s">
        <v>55</v>
      </c>
      <c r="C2073" s="7" t="s">
        <v>14</v>
      </c>
      <c r="D2073" s="7">
        <v>1344</v>
      </c>
      <c r="E2073" s="7">
        <v>639</v>
      </c>
      <c r="F2073" s="7">
        <v>758</v>
      </c>
      <c r="G2073" s="7">
        <v>12</v>
      </c>
      <c r="H2073" s="7">
        <v>27610</v>
      </c>
      <c r="I2073" s="7">
        <v>4</v>
      </c>
      <c r="J2073" s="7">
        <v>53</v>
      </c>
      <c r="K2073" s="7">
        <v>733</v>
      </c>
      <c r="L2073" s="7">
        <v>676</v>
      </c>
      <c r="M2073" s="7">
        <v>7.2142857139999998</v>
      </c>
      <c r="N2073">
        <f>VLOOKUP(A2073,vlookup_table!$A:$G,2,FALSE)</f>
        <v>1</v>
      </c>
      <c r="O2073" t="str">
        <f>VLOOKUP(A2073,vlookup_table!$A:$G,3,FALSE)</f>
        <v>NE</v>
      </c>
      <c r="P2073">
        <f>VLOOKUP(A2073,vlookup_table!$A:$G,4,FALSE)</f>
        <v>3001</v>
      </c>
      <c r="Q2073" t="str">
        <f>VLOOKUP(A2073,vlookup_table!$A:$G,5,FALSE)</f>
        <v>S1</v>
      </c>
      <c r="R2073" t="str">
        <f>VLOOKUP(A2073,vlookup_table!$A:$G,6,FALSE)</f>
        <v>M</v>
      </c>
      <c r="S2073">
        <f>VLOOKUP(A2073,vlookup_table!$A:$G,7,FALSE)</f>
        <v>11</v>
      </c>
      <c r="T2073">
        <f t="shared" si="64"/>
        <v>66</v>
      </c>
      <c r="U2073" t="str">
        <f t="shared" si="65"/>
        <v>Suburbano</v>
      </c>
    </row>
    <row r="2074" spans="1:21" ht="16" x14ac:dyDescent="0.4">
      <c r="A2074" s="7">
        <v>67304</v>
      </c>
      <c r="B2074" s="7" t="s">
        <v>26</v>
      </c>
      <c r="C2074" s="7" t="s">
        <v>17</v>
      </c>
      <c r="D2074" s="7">
        <v>1335</v>
      </c>
      <c r="E2074" s="7">
        <v>597</v>
      </c>
      <c r="F2074" s="7">
        <v>724</v>
      </c>
      <c r="G2074" s="7">
        <v>24</v>
      </c>
      <c r="H2074" s="7">
        <v>28770</v>
      </c>
      <c r="I2074" s="7">
        <v>4</v>
      </c>
      <c r="J2074" s="7">
        <v>67</v>
      </c>
      <c r="K2074" s="7">
        <v>682</v>
      </c>
      <c r="L2074" s="7">
        <v>644</v>
      </c>
      <c r="M2074" s="7">
        <v>22.25</v>
      </c>
      <c r="N2074">
        <f>VLOOKUP(A2074,vlookup_table!$A:$G,2,FALSE)</f>
        <v>0</v>
      </c>
      <c r="O2074" t="str">
        <f>VLOOKUP(A2074,vlookup_table!$A:$G,3,FALSE)</f>
        <v>MI</v>
      </c>
      <c r="P2074">
        <f>VLOOKUP(A2074,vlookup_table!$A:$G,4,FALSE)</f>
        <v>4802</v>
      </c>
      <c r="Q2074" t="str">
        <f>VLOOKUP(A2074,vlookup_table!$A:$G,5,FALSE)</f>
        <v>T1</v>
      </c>
      <c r="R2074" t="str">
        <f>VLOOKUP(A2074,vlookup_table!$A:$G,6,FALSE)</f>
        <v>F</v>
      </c>
      <c r="S2074">
        <f>VLOOKUP(A2074,vlookup_table!$A:$G,7,FALSE)</f>
        <v>20</v>
      </c>
      <c r="T2074">
        <f t="shared" si="64"/>
        <v>48</v>
      </c>
      <c r="U2074" t="str">
        <f t="shared" si="65"/>
        <v>Pueblo</v>
      </c>
    </row>
    <row r="2075" spans="1:21" ht="16" x14ac:dyDescent="0.4">
      <c r="A2075" s="7">
        <v>82040</v>
      </c>
      <c r="B2075" s="7" t="s">
        <v>32</v>
      </c>
      <c r="C2075" s="7" t="s">
        <v>14</v>
      </c>
      <c r="D2075" s="7">
        <v>493</v>
      </c>
      <c r="E2075" s="7">
        <v>213</v>
      </c>
      <c r="F2075" s="7">
        <v>294</v>
      </c>
      <c r="G2075" s="7">
        <v>1</v>
      </c>
      <c r="H2075" s="7">
        <v>10815</v>
      </c>
      <c r="I2075" s="7">
        <v>2</v>
      </c>
      <c r="J2075" s="7">
        <v>81</v>
      </c>
      <c r="K2075" s="7">
        <v>248</v>
      </c>
      <c r="L2075" s="7">
        <v>258</v>
      </c>
      <c r="M2075" s="7">
        <v>2.6744186050000001</v>
      </c>
      <c r="N2075">
        <f>VLOOKUP(A2075,vlookup_table!$A:$G,2,FALSE)</f>
        <v>1</v>
      </c>
      <c r="O2075" t="str">
        <f>VLOOKUP(A2075,vlookup_table!$A:$G,3,FALSE)</f>
        <v>WI</v>
      </c>
      <c r="P2075">
        <f>VLOOKUP(A2075,vlookup_table!$A:$G,4,FALSE)</f>
        <v>2403</v>
      </c>
      <c r="Q2075" t="str">
        <f>VLOOKUP(A2075,vlookup_table!$A:$G,5,FALSE)</f>
        <v>R2</v>
      </c>
      <c r="R2075" t="str">
        <f>VLOOKUP(A2075,vlookup_table!$A:$G,6,FALSE)</f>
        <v>M</v>
      </c>
      <c r="S2075">
        <f>VLOOKUP(A2075,vlookup_table!$A:$G,7,FALSE)</f>
        <v>3</v>
      </c>
      <c r="T2075">
        <f t="shared" si="64"/>
        <v>72</v>
      </c>
      <c r="U2075" t="str">
        <f t="shared" si="65"/>
        <v>Rural</v>
      </c>
    </row>
    <row r="2076" spans="1:21" ht="16" x14ac:dyDescent="0.4">
      <c r="A2076" s="7">
        <v>43674</v>
      </c>
      <c r="B2076" s="7" t="s">
        <v>13</v>
      </c>
      <c r="C2076" s="7" t="s">
        <v>17</v>
      </c>
      <c r="D2076" s="7">
        <v>888</v>
      </c>
      <c r="E2076" s="7">
        <v>328</v>
      </c>
      <c r="F2076" s="7">
        <v>410</v>
      </c>
      <c r="G2076" s="7">
        <v>0</v>
      </c>
      <c r="H2076" s="7">
        <v>17342</v>
      </c>
      <c r="I2076" s="7">
        <v>5</v>
      </c>
      <c r="J2076" s="7">
        <v>13</v>
      </c>
      <c r="K2076" s="7">
        <v>368</v>
      </c>
      <c r="L2076" s="7">
        <v>371</v>
      </c>
      <c r="M2076" s="7">
        <v>5.7142857139999998</v>
      </c>
      <c r="N2076">
        <f>VLOOKUP(A2076,vlookup_table!$A:$G,2,FALSE)</f>
        <v>28</v>
      </c>
      <c r="O2076" t="str">
        <f>VLOOKUP(A2076,vlookup_table!$A:$G,3,FALSE)</f>
        <v>FL</v>
      </c>
      <c r="P2076">
        <f>VLOOKUP(A2076,vlookup_table!$A:$G,4,FALSE)</f>
        <v>0</v>
      </c>
      <c r="Q2076" t="str">
        <f>VLOOKUP(A2076,vlookup_table!$A:$G,5,FALSE)</f>
        <v>C2</v>
      </c>
      <c r="R2076" t="str">
        <f>VLOOKUP(A2076,vlookup_table!$A:$G,6,FALSE)</f>
        <v>F</v>
      </c>
      <c r="S2076">
        <f>VLOOKUP(A2076,vlookup_table!$A:$G,7,FALSE)</f>
        <v>10</v>
      </c>
      <c r="T2076">
        <f t="shared" si="64"/>
        <v>96</v>
      </c>
      <c r="U2076" t="str">
        <f t="shared" si="65"/>
        <v>Ciudad</v>
      </c>
    </row>
    <row r="2077" spans="1:21" ht="16" x14ac:dyDescent="0.4">
      <c r="A2077" s="7">
        <v>159171</v>
      </c>
      <c r="B2077" s="7" t="s">
        <v>21</v>
      </c>
      <c r="C2077" s="7" t="s">
        <v>17</v>
      </c>
      <c r="D2077" s="7">
        <v>1968</v>
      </c>
      <c r="E2077" s="7">
        <v>416</v>
      </c>
      <c r="F2077" s="7">
        <v>496</v>
      </c>
      <c r="G2077" s="7">
        <v>45</v>
      </c>
      <c r="H2077" s="7">
        <v>16541</v>
      </c>
      <c r="I2077" s="7">
        <v>9</v>
      </c>
      <c r="J2077" s="7">
        <v>50</v>
      </c>
      <c r="K2077" s="7">
        <v>485</v>
      </c>
      <c r="L2077" s="7">
        <v>449</v>
      </c>
      <c r="M2077" s="7">
        <v>9.4</v>
      </c>
      <c r="N2077">
        <f>VLOOKUP(A2077,vlookup_table!$A:$G,2,FALSE)</f>
        <v>0</v>
      </c>
      <c r="O2077" t="str">
        <f>VLOOKUP(A2077,vlookup_table!$A:$G,3,FALSE)</f>
        <v>CA</v>
      </c>
      <c r="P2077">
        <f>VLOOKUP(A2077,vlookup_table!$A:$G,4,FALSE)</f>
        <v>3308</v>
      </c>
      <c r="Q2077" t="str">
        <f>VLOOKUP(A2077,vlookup_table!$A:$G,5,FALSE)</f>
        <v>C2</v>
      </c>
      <c r="R2077" t="str">
        <f>VLOOKUP(A2077,vlookup_table!$A:$G,6,FALSE)</f>
        <v>F</v>
      </c>
      <c r="S2077">
        <f>VLOOKUP(A2077,vlookup_table!$A:$G,7,FALSE)</f>
        <v>15</v>
      </c>
      <c r="T2077">
        <f t="shared" si="64"/>
        <v>63</v>
      </c>
      <c r="U2077" t="str">
        <f t="shared" si="65"/>
        <v>Ciudad</v>
      </c>
    </row>
    <row r="2078" spans="1:21" ht="16" x14ac:dyDescent="0.4">
      <c r="A2078" s="7">
        <v>64400</v>
      </c>
      <c r="B2078" s="7" t="s">
        <v>30</v>
      </c>
      <c r="C2078" s="7" t="s">
        <v>14</v>
      </c>
      <c r="D2078" s="7">
        <v>1033</v>
      </c>
      <c r="E2078" s="7">
        <v>329</v>
      </c>
      <c r="F2078" s="7">
        <v>473</v>
      </c>
      <c r="G2078" s="7">
        <v>4</v>
      </c>
      <c r="H2078" s="7">
        <v>16482</v>
      </c>
      <c r="I2078" s="7">
        <v>14</v>
      </c>
      <c r="J2078" s="7">
        <v>47</v>
      </c>
      <c r="K2078" s="7">
        <v>460</v>
      </c>
      <c r="L2078" s="7">
        <v>376</v>
      </c>
      <c r="M2078" s="7">
        <v>15</v>
      </c>
      <c r="N2078">
        <f>VLOOKUP(A2078,vlookup_table!$A:$G,2,FALSE)</f>
        <v>1</v>
      </c>
      <c r="O2078" t="str">
        <f>VLOOKUP(A2078,vlookup_table!$A:$G,3,FALSE)</f>
        <v>IN</v>
      </c>
      <c r="P2078">
        <f>VLOOKUP(A2078,vlookup_table!$A:$G,4,FALSE)</f>
        <v>5701</v>
      </c>
      <c r="Q2078" t="str">
        <f>VLOOKUP(A2078,vlookup_table!$A:$G,5,FALSE)</f>
        <v>C1</v>
      </c>
      <c r="R2078" t="str">
        <f>VLOOKUP(A2078,vlookup_table!$A:$G,6,FALSE)</f>
        <v>M</v>
      </c>
      <c r="S2078">
        <f>VLOOKUP(A2078,vlookup_table!$A:$G,7,FALSE)</f>
        <v>21</v>
      </c>
      <c r="T2078">
        <f t="shared" si="64"/>
        <v>39</v>
      </c>
      <c r="U2078" t="str">
        <f t="shared" si="65"/>
        <v>Ciudad</v>
      </c>
    </row>
    <row r="2079" spans="1:21" ht="16" x14ac:dyDescent="0.4">
      <c r="A2079" s="7">
        <v>11284</v>
      </c>
      <c r="B2079" s="7" t="s">
        <v>13</v>
      </c>
      <c r="C2079" s="7" t="s">
        <v>14</v>
      </c>
      <c r="D2079" s="7">
        <v>934</v>
      </c>
      <c r="E2079" s="7">
        <v>324</v>
      </c>
      <c r="F2079" s="7">
        <v>478</v>
      </c>
      <c r="G2079" s="7">
        <v>9</v>
      </c>
      <c r="H2079" s="7">
        <v>17408</v>
      </c>
      <c r="I2079" s="7">
        <v>4</v>
      </c>
      <c r="J2079" s="7">
        <v>11</v>
      </c>
      <c r="K2079" s="7">
        <v>391</v>
      </c>
      <c r="L2079" s="7">
        <v>404</v>
      </c>
      <c r="M2079" s="7">
        <v>6.3666666669999996</v>
      </c>
      <c r="N2079">
        <f>VLOOKUP(A2079,vlookup_table!$A:$G,2,FALSE)</f>
        <v>0</v>
      </c>
      <c r="O2079" t="str">
        <f>VLOOKUP(A2079,vlookup_table!$A:$G,3,FALSE)</f>
        <v>FL</v>
      </c>
      <c r="P2079">
        <f>VLOOKUP(A2079,vlookup_table!$A:$G,4,FALSE)</f>
        <v>3201</v>
      </c>
      <c r="Q2079" t="str">
        <f>VLOOKUP(A2079,vlookup_table!$A:$G,5,FALSE)</f>
        <v>C2</v>
      </c>
      <c r="R2079" t="str">
        <f>VLOOKUP(A2079,vlookup_table!$A:$G,6,FALSE)</f>
        <v>M</v>
      </c>
      <c r="S2079">
        <f>VLOOKUP(A2079,vlookup_table!$A:$G,7,FALSE)</f>
        <v>4</v>
      </c>
      <c r="T2079">
        <f t="shared" si="64"/>
        <v>64</v>
      </c>
      <c r="U2079" t="str">
        <f t="shared" si="65"/>
        <v>Ciudad</v>
      </c>
    </row>
    <row r="2080" spans="1:21" ht="16" x14ac:dyDescent="0.4">
      <c r="A2080" s="7">
        <v>74419</v>
      </c>
      <c r="B2080" s="7" t="s">
        <v>26</v>
      </c>
      <c r="C2080" s="7" t="s">
        <v>17</v>
      </c>
      <c r="D2080" s="7">
        <v>578</v>
      </c>
      <c r="E2080" s="7">
        <v>242</v>
      </c>
      <c r="F2080" s="7">
        <v>328</v>
      </c>
      <c r="G2080" s="7">
        <v>1</v>
      </c>
      <c r="H2080" s="7">
        <v>12451</v>
      </c>
      <c r="I2080" s="7">
        <v>2</v>
      </c>
      <c r="J2080" s="7">
        <v>83</v>
      </c>
      <c r="K2080" s="7">
        <v>306</v>
      </c>
      <c r="L2080" s="7">
        <v>279</v>
      </c>
      <c r="M2080" s="7">
        <v>9.8571428569999995</v>
      </c>
      <c r="N2080">
        <f>VLOOKUP(A2080,vlookup_table!$A:$G,2,FALSE)</f>
        <v>0</v>
      </c>
      <c r="O2080" t="str">
        <f>VLOOKUP(A2080,vlookup_table!$A:$G,3,FALSE)</f>
        <v>MI</v>
      </c>
      <c r="P2080">
        <f>VLOOKUP(A2080,vlookup_table!$A:$G,4,FALSE)</f>
        <v>0</v>
      </c>
      <c r="Q2080" t="str">
        <f>VLOOKUP(A2080,vlookup_table!$A:$G,5,FALSE)</f>
        <v>T2</v>
      </c>
      <c r="R2080" t="str">
        <f>VLOOKUP(A2080,vlookup_table!$A:$G,6,FALSE)</f>
        <v>F</v>
      </c>
      <c r="S2080">
        <f>VLOOKUP(A2080,vlookup_table!$A:$G,7,FALSE)</f>
        <v>10</v>
      </c>
      <c r="T2080">
        <f t="shared" si="64"/>
        <v>96</v>
      </c>
      <c r="U2080" t="str">
        <f t="shared" si="65"/>
        <v>Pueblo</v>
      </c>
    </row>
    <row r="2081" spans="1:21" ht="16" x14ac:dyDescent="0.4">
      <c r="A2081" s="7">
        <v>55840</v>
      </c>
      <c r="B2081" s="7" t="s">
        <v>56</v>
      </c>
      <c r="C2081" s="7" t="s">
        <v>14</v>
      </c>
      <c r="D2081" s="7">
        <v>406</v>
      </c>
      <c r="E2081" s="7">
        <v>240</v>
      </c>
      <c r="F2081" s="7">
        <v>265</v>
      </c>
      <c r="G2081" s="7">
        <v>0</v>
      </c>
      <c r="H2081" s="7">
        <v>6733</v>
      </c>
      <c r="I2081" s="7">
        <v>1</v>
      </c>
      <c r="J2081" s="7">
        <v>61</v>
      </c>
      <c r="K2081" s="7">
        <v>243</v>
      </c>
      <c r="L2081" s="7">
        <v>255</v>
      </c>
      <c r="M2081" s="7">
        <v>17.5</v>
      </c>
      <c r="N2081">
        <f>VLOOKUP(A2081,vlookup_table!$A:$G,2,FALSE)</f>
        <v>0</v>
      </c>
      <c r="O2081" t="str">
        <f>VLOOKUP(A2081,vlookup_table!$A:$G,3,FALSE)</f>
        <v>MS</v>
      </c>
      <c r="P2081">
        <f>VLOOKUP(A2081,vlookup_table!$A:$G,4,FALSE)</f>
        <v>4701</v>
      </c>
      <c r="Q2081" t="str">
        <f>VLOOKUP(A2081,vlookup_table!$A:$G,5,FALSE)</f>
        <v>T2</v>
      </c>
      <c r="R2081" t="str">
        <f>VLOOKUP(A2081,vlookup_table!$A:$G,6,FALSE)</f>
        <v>M</v>
      </c>
      <c r="S2081">
        <f>VLOOKUP(A2081,vlookup_table!$A:$G,7,FALSE)</f>
        <v>16</v>
      </c>
      <c r="T2081">
        <f t="shared" si="64"/>
        <v>49</v>
      </c>
      <c r="U2081" t="str">
        <f t="shared" si="65"/>
        <v>Pueblo</v>
      </c>
    </row>
    <row r="2082" spans="1:21" ht="16" x14ac:dyDescent="0.4">
      <c r="A2082" s="7">
        <v>22176</v>
      </c>
      <c r="B2082" s="7" t="s">
        <v>18</v>
      </c>
      <c r="C2082" s="7" t="s">
        <v>14</v>
      </c>
      <c r="D2082" s="7">
        <v>474</v>
      </c>
      <c r="E2082" s="7">
        <v>163</v>
      </c>
      <c r="F2082" s="7">
        <v>253</v>
      </c>
      <c r="G2082" s="7">
        <v>1</v>
      </c>
      <c r="H2082" s="7">
        <v>10597</v>
      </c>
      <c r="I2082" s="7">
        <v>1</v>
      </c>
      <c r="J2082" s="7">
        <v>73</v>
      </c>
      <c r="K2082" s="7">
        <v>205</v>
      </c>
      <c r="L2082" s="7">
        <v>218</v>
      </c>
      <c r="M2082" s="7">
        <v>9.1333333329999995</v>
      </c>
      <c r="N2082">
        <f>VLOOKUP(A2082,vlookup_table!$A:$G,2,FALSE)</f>
        <v>1</v>
      </c>
      <c r="O2082" t="str">
        <f>VLOOKUP(A2082,vlookup_table!$A:$G,3,FALSE)</f>
        <v>NC</v>
      </c>
      <c r="P2082">
        <f>VLOOKUP(A2082,vlookup_table!$A:$G,4,FALSE)</f>
        <v>0</v>
      </c>
      <c r="Q2082" t="str">
        <f>VLOOKUP(A2082,vlookup_table!$A:$G,5,FALSE)</f>
        <v>R3</v>
      </c>
      <c r="R2082" t="str">
        <f>VLOOKUP(A2082,vlookup_table!$A:$G,6,FALSE)</f>
        <v>M</v>
      </c>
      <c r="S2082">
        <f>VLOOKUP(A2082,vlookup_table!$A:$G,7,FALSE)</f>
        <v>12</v>
      </c>
      <c r="T2082">
        <f t="shared" si="64"/>
        <v>96</v>
      </c>
      <c r="U2082" t="str">
        <f t="shared" si="65"/>
        <v>Rural</v>
      </c>
    </row>
    <row r="2083" spans="1:21" ht="16" x14ac:dyDescent="0.4">
      <c r="A2083" s="7">
        <v>25678</v>
      </c>
      <c r="B2083" s="7" t="s">
        <v>13</v>
      </c>
      <c r="C2083" s="7" t="s">
        <v>14</v>
      </c>
      <c r="D2083" s="7">
        <v>721</v>
      </c>
      <c r="E2083" s="7">
        <v>302</v>
      </c>
      <c r="F2083" s="7">
        <v>365</v>
      </c>
      <c r="G2083" s="7">
        <v>2</v>
      </c>
      <c r="H2083" s="7">
        <v>12474</v>
      </c>
      <c r="I2083" s="7">
        <v>3</v>
      </c>
      <c r="J2083" s="7">
        <v>51</v>
      </c>
      <c r="K2083" s="7">
        <v>339</v>
      </c>
      <c r="L2083" s="7">
        <v>335</v>
      </c>
      <c r="M2083" s="7">
        <v>8.875</v>
      </c>
      <c r="N2083">
        <f>VLOOKUP(A2083,vlookup_table!$A:$G,2,FALSE)</f>
        <v>1</v>
      </c>
      <c r="O2083" t="str">
        <f>VLOOKUP(A2083,vlookup_table!$A:$G,3,FALSE)</f>
        <v>FL</v>
      </c>
      <c r="P2083">
        <f>VLOOKUP(A2083,vlookup_table!$A:$G,4,FALSE)</f>
        <v>0</v>
      </c>
      <c r="Q2083" t="str">
        <f>VLOOKUP(A2083,vlookup_table!$A:$G,5,FALSE)</f>
        <v>C1</v>
      </c>
      <c r="R2083" t="str">
        <f>VLOOKUP(A2083,vlookup_table!$A:$G,6,FALSE)</f>
        <v>M</v>
      </c>
      <c r="S2083">
        <f>VLOOKUP(A2083,vlookup_table!$A:$G,7,FALSE)</f>
        <v>20</v>
      </c>
      <c r="T2083">
        <f t="shared" si="64"/>
        <v>96</v>
      </c>
      <c r="U2083" t="str">
        <f t="shared" si="65"/>
        <v>Ciudad</v>
      </c>
    </row>
    <row r="2084" spans="1:21" ht="16" x14ac:dyDescent="0.4">
      <c r="A2084" s="7">
        <v>107569</v>
      </c>
      <c r="B2084" s="7" t="s">
        <v>55</v>
      </c>
      <c r="C2084" s="7" t="s">
        <v>14</v>
      </c>
      <c r="D2084" s="7">
        <v>443</v>
      </c>
      <c r="E2084" s="7">
        <v>231</v>
      </c>
      <c r="F2084" s="7">
        <v>323</v>
      </c>
      <c r="G2084" s="7">
        <v>0</v>
      </c>
      <c r="H2084" s="7">
        <v>11042</v>
      </c>
      <c r="I2084" s="7">
        <v>1</v>
      </c>
      <c r="J2084" s="7">
        <v>79</v>
      </c>
      <c r="K2084" s="7">
        <v>288</v>
      </c>
      <c r="L2084" s="7">
        <v>281</v>
      </c>
      <c r="M2084" s="7">
        <v>36.111111110000003</v>
      </c>
      <c r="N2084">
        <f>VLOOKUP(A2084,vlookup_table!$A:$G,2,FALSE)</f>
        <v>1</v>
      </c>
      <c r="O2084" t="str">
        <f>VLOOKUP(A2084,vlookup_table!$A:$G,3,FALSE)</f>
        <v>NE</v>
      </c>
      <c r="P2084">
        <f>VLOOKUP(A2084,vlookup_table!$A:$G,4,FALSE)</f>
        <v>4601</v>
      </c>
      <c r="Q2084" t="str">
        <f>VLOOKUP(A2084,vlookup_table!$A:$G,5,FALSE)</f>
        <v>R2</v>
      </c>
      <c r="R2084" t="str">
        <f>VLOOKUP(A2084,vlookup_table!$A:$G,6,FALSE)</f>
        <v>M</v>
      </c>
      <c r="S2084">
        <f>VLOOKUP(A2084,vlookup_table!$A:$G,7,FALSE)</f>
        <v>50</v>
      </c>
      <c r="T2084">
        <f t="shared" si="64"/>
        <v>50</v>
      </c>
      <c r="U2084" t="str">
        <f t="shared" si="65"/>
        <v>Rural</v>
      </c>
    </row>
    <row r="2085" spans="1:21" ht="16" x14ac:dyDescent="0.4">
      <c r="A2085" s="7">
        <v>70301</v>
      </c>
      <c r="B2085" s="7" t="s">
        <v>26</v>
      </c>
      <c r="C2085" s="7" t="s">
        <v>17</v>
      </c>
      <c r="D2085" s="7">
        <v>841</v>
      </c>
      <c r="E2085" s="7">
        <v>334</v>
      </c>
      <c r="F2085" s="7">
        <v>462</v>
      </c>
      <c r="G2085" s="7">
        <v>0</v>
      </c>
      <c r="H2085" s="7">
        <v>17676</v>
      </c>
      <c r="I2085" s="7">
        <v>2</v>
      </c>
      <c r="J2085" s="7">
        <v>79</v>
      </c>
      <c r="K2085" s="7">
        <v>409</v>
      </c>
      <c r="L2085" s="7">
        <v>378</v>
      </c>
      <c r="M2085" s="7">
        <v>10</v>
      </c>
      <c r="N2085">
        <f>VLOOKUP(A2085,vlookup_table!$A:$G,2,FALSE)</f>
        <v>2</v>
      </c>
      <c r="O2085" t="str">
        <f>VLOOKUP(A2085,vlookup_table!$A:$G,3,FALSE)</f>
        <v>MI</v>
      </c>
      <c r="P2085">
        <f>VLOOKUP(A2085,vlookup_table!$A:$G,4,FALSE)</f>
        <v>3101</v>
      </c>
      <c r="Q2085" t="str">
        <f>VLOOKUP(A2085,vlookup_table!$A:$G,5,FALSE)</f>
        <v>S1</v>
      </c>
      <c r="R2085" t="str">
        <f>VLOOKUP(A2085,vlookup_table!$A:$G,6,FALSE)</f>
        <v>F</v>
      </c>
      <c r="S2085">
        <f>VLOOKUP(A2085,vlookup_table!$A:$G,7,FALSE)</f>
        <v>5</v>
      </c>
      <c r="T2085">
        <f t="shared" si="64"/>
        <v>65</v>
      </c>
      <c r="U2085" t="str">
        <f t="shared" si="65"/>
        <v>Suburbano</v>
      </c>
    </row>
    <row r="2086" spans="1:21" ht="16" x14ac:dyDescent="0.4">
      <c r="A2086" s="7">
        <v>39020</v>
      </c>
      <c r="B2086" s="7" t="s">
        <v>13</v>
      </c>
      <c r="C2086" s="7" t="s">
        <v>14</v>
      </c>
      <c r="D2086" s="7">
        <v>724</v>
      </c>
      <c r="E2086" s="7">
        <v>327</v>
      </c>
      <c r="F2086" s="7">
        <v>371</v>
      </c>
      <c r="G2086" s="7">
        <v>0</v>
      </c>
      <c r="H2086" s="7">
        <v>15784</v>
      </c>
      <c r="I2086" s="7">
        <v>19</v>
      </c>
      <c r="J2086" s="7">
        <v>25</v>
      </c>
      <c r="K2086" s="7">
        <v>384</v>
      </c>
      <c r="L2086" s="7">
        <v>319</v>
      </c>
      <c r="M2086" s="7">
        <v>12.5</v>
      </c>
      <c r="N2086">
        <f>VLOOKUP(A2086,vlookup_table!$A:$G,2,FALSE)</f>
        <v>1002</v>
      </c>
      <c r="O2086" t="str">
        <f>VLOOKUP(A2086,vlookup_table!$A:$G,3,FALSE)</f>
        <v>FL</v>
      </c>
      <c r="P2086">
        <f>VLOOKUP(A2086,vlookup_table!$A:$G,4,FALSE)</f>
        <v>4801</v>
      </c>
      <c r="Q2086" t="str">
        <f>VLOOKUP(A2086,vlookup_table!$A:$G,5,FALSE)</f>
        <v>S1</v>
      </c>
      <c r="R2086" t="str">
        <f>VLOOKUP(A2086,vlookup_table!$A:$G,6,FALSE)</f>
        <v>M</v>
      </c>
      <c r="S2086">
        <f>VLOOKUP(A2086,vlookup_table!$A:$G,7,FALSE)</f>
        <v>21</v>
      </c>
      <c r="T2086">
        <f t="shared" si="64"/>
        <v>48</v>
      </c>
      <c r="U2086" t="str">
        <f t="shared" si="65"/>
        <v>Suburbano</v>
      </c>
    </row>
    <row r="2087" spans="1:21" ht="16" x14ac:dyDescent="0.4">
      <c r="A2087" s="7">
        <v>125906</v>
      </c>
      <c r="B2087" s="7" t="s">
        <v>20</v>
      </c>
      <c r="C2087" s="7" t="s">
        <v>17</v>
      </c>
      <c r="D2087" s="7">
        <v>924</v>
      </c>
      <c r="E2087" s="7">
        <v>414</v>
      </c>
      <c r="F2087" s="7">
        <v>438</v>
      </c>
      <c r="G2087" s="7">
        <v>1</v>
      </c>
      <c r="H2087" s="7">
        <v>14092</v>
      </c>
      <c r="I2087" s="7">
        <v>3</v>
      </c>
      <c r="J2087" s="7">
        <v>55</v>
      </c>
      <c r="K2087" s="7">
        <v>443</v>
      </c>
      <c r="L2087" s="7">
        <v>427</v>
      </c>
      <c r="M2087" s="7">
        <v>4.6666666670000003</v>
      </c>
      <c r="N2087">
        <f>VLOOKUP(A2087,vlookup_table!$A:$G,2,FALSE)</f>
        <v>1</v>
      </c>
      <c r="O2087" t="str">
        <f>VLOOKUP(A2087,vlookup_table!$A:$G,3,FALSE)</f>
        <v>TX</v>
      </c>
      <c r="P2087">
        <f>VLOOKUP(A2087,vlookup_table!$A:$G,4,FALSE)</f>
        <v>2901</v>
      </c>
      <c r="Q2087" t="str">
        <f>VLOOKUP(A2087,vlookup_table!$A:$G,5,FALSE)</f>
        <v>T1</v>
      </c>
      <c r="R2087" t="str">
        <f>VLOOKUP(A2087,vlookup_table!$A:$G,6,FALSE)</f>
        <v>F</v>
      </c>
      <c r="S2087">
        <f>VLOOKUP(A2087,vlookup_table!$A:$G,7,FALSE)</f>
        <v>6</v>
      </c>
      <c r="T2087">
        <f t="shared" si="64"/>
        <v>67</v>
      </c>
      <c r="U2087" t="str">
        <f t="shared" si="65"/>
        <v>Pueblo</v>
      </c>
    </row>
    <row r="2088" spans="1:21" ht="16" x14ac:dyDescent="0.4">
      <c r="A2088" s="7">
        <v>23934</v>
      </c>
      <c r="B2088" s="7" t="s">
        <v>43</v>
      </c>
      <c r="C2088" s="7" t="s">
        <v>17</v>
      </c>
      <c r="D2088" s="7">
        <v>1056</v>
      </c>
      <c r="E2088" s="7">
        <v>405</v>
      </c>
      <c r="F2088" s="7">
        <v>485</v>
      </c>
      <c r="G2088" s="7">
        <v>5</v>
      </c>
      <c r="H2088" s="7">
        <v>15432</v>
      </c>
      <c r="I2088" s="7">
        <v>6</v>
      </c>
      <c r="J2088" s="7">
        <v>78</v>
      </c>
      <c r="K2088" s="7">
        <v>498</v>
      </c>
      <c r="L2088" s="7">
        <v>444</v>
      </c>
      <c r="M2088" s="7">
        <v>3.5892857139999998</v>
      </c>
      <c r="N2088">
        <f>VLOOKUP(A2088,vlookup_table!$A:$G,2,FALSE)</f>
        <v>2</v>
      </c>
      <c r="O2088" t="str">
        <f>VLOOKUP(A2088,vlookup_table!$A:$G,3,FALSE)</f>
        <v>SC</v>
      </c>
      <c r="P2088">
        <f>VLOOKUP(A2088,vlookup_table!$A:$G,4,FALSE)</f>
        <v>5201</v>
      </c>
      <c r="Q2088" t="str">
        <f>VLOOKUP(A2088,vlookup_table!$A:$G,5,FALSE)</f>
        <v>T2</v>
      </c>
      <c r="R2088" t="str">
        <f>VLOOKUP(A2088,vlookup_table!$A:$G,6,FALSE)</f>
        <v>F</v>
      </c>
      <c r="S2088">
        <f>VLOOKUP(A2088,vlookup_table!$A:$G,7,FALSE)</f>
        <v>25</v>
      </c>
      <c r="T2088">
        <f t="shared" si="64"/>
        <v>44</v>
      </c>
      <c r="U2088" t="str">
        <f t="shared" si="65"/>
        <v>Pueblo</v>
      </c>
    </row>
    <row r="2089" spans="1:21" ht="16" x14ac:dyDescent="0.4">
      <c r="A2089" s="7">
        <v>112751</v>
      </c>
      <c r="B2089" s="7" t="s">
        <v>28</v>
      </c>
      <c r="C2089" s="7" t="s">
        <v>17</v>
      </c>
      <c r="D2089" s="7">
        <v>1017</v>
      </c>
      <c r="E2089" s="7">
        <v>672</v>
      </c>
      <c r="F2089" s="7">
        <v>673</v>
      </c>
      <c r="G2089" s="7">
        <v>2</v>
      </c>
      <c r="H2089" s="7">
        <v>18233</v>
      </c>
      <c r="I2089" s="7">
        <v>0</v>
      </c>
      <c r="J2089" s="7">
        <v>55</v>
      </c>
      <c r="K2089" s="7">
        <v>700</v>
      </c>
      <c r="L2089" s="7">
        <v>647</v>
      </c>
      <c r="M2089" s="7">
        <v>13.8</v>
      </c>
      <c r="N2089">
        <f>VLOOKUP(A2089,vlookup_table!$A:$G,2,FALSE)</f>
        <v>0</v>
      </c>
      <c r="O2089" t="str">
        <f>VLOOKUP(A2089,vlookup_table!$A:$G,3,FALSE)</f>
        <v>OK</v>
      </c>
      <c r="P2089">
        <f>VLOOKUP(A2089,vlookup_table!$A:$G,4,FALSE)</f>
        <v>4201</v>
      </c>
      <c r="Q2089" t="str">
        <f>VLOOKUP(A2089,vlookup_table!$A:$G,5,FALSE)</f>
        <v>T1</v>
      </c>
      <c r="R2089" t="str">
        <f>VLOOKUP(A2089,vlookup_table!$A:$G,6,FALSE)</f>
        <v>F</v>
      </c>
      <c r="S2089">
        <f>VLOOKUP(A2089,vlookup_table!$A:$G,7,FALSE)</f>
        <v>50</v>
      </c>
      <c r="T2089">
        <f t="shared" si="64"/>
        <v>54</v>
      </c>
      <c r="U2089" t="str">
        <f t="shared" si="65"/>
        <v>Pueblo</v>
      </c>
    </row>
    <row r="2090" spans="1:21" ht="16" x14ac:dyDescent="0.4">
      <c r="A2090" s="7">
        <v>3651</v>
      </c>
      <c r="B2090" s="7" t="s">
        <v>26</v>
      </c>
      <c r="C2090" s="7" t="s">
        <v>17</v>
      </c>
      <c r="D2090" s="7">
        <v>668</v>
      </c>
      <c r="E2090" s="7">
        <v>300</v>
      </c>
      <c r="F2090" s="7">
        <v>385</v>
      </c>
      <c r="G2090" s="7">
        <v>8</v>
      </c>
      <c r="H2090" s="7">
        <v>14567</v>
      </c>
      <c r="I2090" s="7">
        <v>3</v>
      </c>
      <c r="J2090" s="7">
        <v>24</v>
      </c>
      <c r="K2090" s="7">
        <v>322</v>
      </c>
      <c r="L2090" s="7">
        <v>344</v>
      </c>
      <c r="M2090" s="7">
        <v>25.833333329999999</v>
      </c>
      <c r="N2090">
        <f>VLOOKUP(A2090,vlookup_table!$A:$G,2,FALSE)</f>
        <v>2</v>
      </c>
      <c r="O2090" t="str">
        <f>VLOOKUP(A2090,vlookup_table!$A:$G,3,FALSE)</f>
        <v>MI</v>
      </c>
      <c r="P2090">
        <f>VLOOKUP(A2090,vlookup_table!$A:$G,4,FALSE)</f>
        <v>3001</v>
      </c>
      <c r="Q2090" t="str">
        <f>VLOOKUP(A2090,vlookup_table!$A:$G,5,FALSE)</f>
        <v/>
      </c>
      <c r="R2090" t="str">
        <f>VLOOKUP(A2090,vlookup_table!$A:$G,6,FALSE)</f>
        <v>F</v>
      </c>
      <c r="S2090">
        <f>VLOOKUP(A2090,vlookup_table!$A:$G,7,FALSE)</f>
        <v>25</v>
      </c>
      <c r="T2090">
        <f t="shared" si="64"/>
        <v>66</v>
      </c>
      <c r="U2090" t="str">
        <f t="shared" si="65"/>
        <v/>
      </c>
    </row>
    <row r="2091" spans="1:21" ht="16" x14ac:dyDescent="0.4">
      <c r="A2091" s="7">
        <v>1068</v>
      </c>
      <c r="B2091" s="7" t="s">
        <v>21</v>
      </c>
      <c r="C2091" s="7" t="s">
        <v>17</v>
      </c>
      <c r="D2091" s="7">
        <v>3528</v>
      </c>
      <c r="E2091" s="7">
        <v>814</v>
      </c>
      <c r="F2091" s="7">
        <v>867</v>
      </c>
      <c r="G2091" s="7">
        <v>98</v>
      </c>
      <c r="H2091" s="7">
        <v>25564</v>
      </c>
      <c r="I2091" s="7">
        <v>18</v>
      </c>
      <c r="J2091" s="7">
        <v>43</v>
      </c>
      <c r="K2091" s="7">
        <v>808</v>
      </c>
      <c r="L2091" s="7">
        <v>867</v>
      </c>
      <c r="M2091" s="7">
        <v>6.1627906980000002</v>
      </c>
      <c r="N2091">
        <f>VLOOKUP(A2091,vlookup_table!$A:$G,2,FALSE)</f>
        <v>2</v>
      </c>
      <c r="O2091" t="str">
        <f>VLOOKUP(A2091,vlookup_table!$A:$G,3,FALSE)</f>
        <v>CA</v>
      </c>
      <c r="P2091">
        <f>VLOOKUP(A2091,vlookup_table!$A:$G,4,FALSE)</f>
        <v>3103</v>
      </c>
      <c r="Q2091" t="str">
        <f>VLOOKUP(A2091,vlookup_table!$A:$G,5,FALSE)</f>
        <v>S1</v>
      </c>
      <c r="R2091" t="str">
        <f>VLOOKUP(A2091,vlookup_table!$A:$G,6,FALSE)</f>
        <v>F</v>
      </c>
      <c r="S2091">
        <f>VLOOKUP(A2091,vlookup_table!$A:$G,7,FALSE)</f>
        <v>5</v>
      </c>
      <c r="T2091">
        <f t="shared" si="64"/>
        <v>65</v>
      </c>
      <c r="U2091" t="str">
        <f t="shared" si="65"/>
        <v>Suburbano</v>
      </c>
    </row>
    <row r="2092" spans="1:21" ht="16" x14ac:dyDescent="0.4">
      <c r="A2092" s="7">
        <v>120128</v>
      </c>
      <c r="B2092" s="7" t="s">
        <v>20</v>
      </c>
      <c r="C2092" s="7" t="s">
        <v>17</v>
      </c>
      <c r="D2092" s="7">
        <v>417</v>
      </c>
      <c r="E2092" s="7">
        <v>277</v>
      </c>
      <c r="F2092" s="7">
        <v>326</v>
      </c>
      <c r="G2092" s="7">
        <v>0</v>
      </c>
      <c r="H2092" s="7">
        <v>10308</v>
      </c>
      <c r="I2092" s="7">
        <v>0</v>
      </c>
      <c r="J2092" s="7">
        <v>89</v>
      </c>
      <c r="K2092" s="7">
        <v>300</v>
      </c>
      <c r="L2092" s="7">
        <v>258</v>
      </c>
      <c r="M2092" s="7">
        <v>14</v>
      </c>
      <c r="N2092">
        <f>VLOOKUP(A2092,vlookup_table!$A:$G,2,FALSE)</f>
        <v>0</v>
      </c>
      <c r="O2092" t="str">
        <f>VLOOKUP(A2092,vlookup_table!$A:$G,3,FALSE)</f>
        <v>TX</v>
      </c>
      <c r="P2092">
        <f>VLOOKUP(A2092,vlookup_table!$A:$G,4,FALSE)</f>
        <v>3501</v>
      </c>
      <c r="Q2092" t="str">
        <f>VLOOKUP(A2092,vlookup_table!$A:$G,5,FALSE)</f>
        <v>R2</v>
      </c>
      <c r="R2092" t="str">
        <f>VLOOKUP(A2092,vlookup_table!$A:$G,6,FALSE)</f>
        <v>F</v>
      </c>
      <c r="S2092">
        <f>VLOOKUP(A2092,vlookup_table!$A:$G,7,FALSE)</f>
        <v>15</v>
      </c>
      <c r="T2092">
        <f t="shared" si="64"/>
        <v>61</v>
      </c>
      <c r="U2092" t="str">
        <f t="shared" si="65"/>
        <v>Rural</v>
      </c>
    </row>
    <row r="2093" spans="1:21" ht="16" x14ac:dyDescent="0.4">
      <c r="A2093" s="7">
        <v>152092</v>
      </c>
      <c r="B2093" s="7" t="s">
        <v>21</v>
      </c>
      <c r="C2093" s="7" t="s">
        <v>17</v>
      </c>
      <c r="D2093" s="7">
        <v>1232</v>
      </c>
      <c r="E2093" s="7">
        <v>203</v>
      </c>
      <c r="F2093" s="7">
        <v>267</v>
      </c>
      <c r="G2093" s="7">
        <v>1</v>
      </c>
      <c r="H2093" s="7">
        <v>10129</v>
      </c>
      <c r="I2093" s="7">
        <v>14</v>
      </c>
      <c r="J2093" s="7">
        <v>37</v>
      </c>
      <c r="K2093" s="7">
        <v>229</v>
      </c>
      <c r="L2093" s="7">
        <v>241</v>
      </c>
      <c r="M2093" s="7">
        <v>3.7142857139999998</v>
      </c>
      <c r="N2093">
        <f>VLOOKUP(A2093,vlookup_table!$A:$G,2,FALSE)</f>
        <v>28</v>
      </c>
      <c r="O2093" t="str">
        <f>VLOOKUP(A2093,vlookup_table!$A:$G,3,FALSE)</f>
        <v>CA</v>
      </c>
      <c r="P2093">
        <f>VLOOKUP(A2093,vlookup_table!$A:$G,4,FALSE)</f>
        <v>3201</v>
      </c>
      <c r="Q2093" t="str">
        <f>VLOOKUP(A2093,vlookup_table!$A:$G,5,FALSE)</f>
        <v>C3</v>
      </c>
      <c r="R2093" t="str">
        <f>VLOOKUP(A2093,vlookup_table!$A:$G,6,FALSE)</f>
        <v>F</v>
      </c>
      <c r="S2093">
        <f>VLOOKUP(A2093,vlookup_table!$A:$G,7,FALSE)</f>
        <v>5</v>
      </c>
      <c r="T2093">
        <f t="shared" si="64"/>
        <v>64</v>
      </c>
      <c r="U2093" t="str">
        <f t="shared" si="65"/>
        <v>Ciudad</v>
      </c>
    </row>
    <row r="2094" spans="1:21" ht="16" x14ac:dyDescent="0.4">
      <c r="A2094" s="7">
        <v>85913</v>
      </c>
      <c r="B2094" s="7" t="s">
        <v>48</v>
      </c>
      <c r="C2094" s="7" t="s">
        <v>14</v>
      </c>
      <c r="D2094" s="7">
        <v>396</v>
      </c>
      <c r="E2094" s="7">
        <v>248</v>
      </c>
      <c r="F2094" s="7">
        <v>304</v>
      </c>
      <c r="G2094" s="7">
        <v>1</v>
      </c>
      <c r="H2094" s="7">
        <v>10419</v>
      </c>
      <c r="I2094" s="7">
        <v>1</v>
      </c>
      <c r="J2094" s="7">
        <v>18</v>
      </c>
      <c r="K2094" s="7">
        <v>274</v>
      </c>
      <c r="L2094" s="7">
        <v>284</v>
      </c>
      <c r="M2094" s="7">
        <v>9.7272727270000008</v>
      </c>
      <c r="N2094">
        <f>VLOOKUP(A2094,vlookup_table!$A:$G,2,FALSE)</f>
        <v>1</v>
      </c>
      <c r="O2094" t="str">
        <f>VLOOKUP(A2094,vlookup_table!$A:$G,3,FALSE)</f>
        <v>SD</v>
      </c>
      <c r="P2094">
        <f>VLOOKUP(A2094,vlookup_table!$A:$G,4,FALSE)</f>
        <v>3001</v>
      </c>
      <c r="Q2094" t="str">
        <f>VLOOKUP(A2094,vlookup_table!$A:$G,5,FALSE)</f>
        <v>R2</v>
      </c>
      <c r="R2094" t="str">
        <f>VLOOKUP(A2094,vlookup_table!$A:$G,6,FALSE)</f>
        <v>M</v>
      </c>
      <c r="S2094">
        <f>VLOOKUP(A2094,vlookup_table!$A:$G,7,FALSE)</f>
        <v>14</v>
      </c>
      <c r="T2094">
        <f t="shared" si="64"/>
        <v>66</v>
      </c>
      <c r="U2094" t="str">
        <f t="shared" si="65"/>
        <v>Rural</v>
      </c>
    </row>
    <row r="2095" spans="1:21" ht="16" x14ac:dyDescent="0.4">
      <c r="A2095" s="7">
        <v>43226</v>
      </c>
      <c r="B2095" s="7" t="s">
        <v>13</v>
      </c>
      <c r="C2095" s="7" t="s">
        <v>14</v>
      </c>
      <c r="D2095" s="7">
        <v>764</v>
      </c>
      <c r="E2095" s="7">
        <v>269</v>
      </c>
      <c r="F2095" s="7">
        <v>353</v>
      </c>
      <c r="G2095" s="7">
        <v>1</v>
      </c>
      <c r="H2095" s="7">
        <v>13439</v>
      </c>
      <c r="I2095" s="7">
        <v>10</v>
      </c>
      <c r="J2095" s="7">
        <v>9</v>
      </c>
      <c r="K2095" s="7">
        <v>307</v>
      </c>
      <c r="L2095" s="7">
        <v>317</v>
      </c>
      <c r="M2095" s="7">
        <v>15</v>
      </c>
      <c r="N2095">
        <f>VLOOKUP(A2095,vlookup_table!$A:$G,2,FALSE)</f>
        <v>1</v>
      </c>
      <c r="O2095" t="str">
        <f>VLOOKUP(A2095,vlookup_table!$A:$G,3,FALSE)</f>
        <v>FL</v>
      </c>
      <c r="P2095">
        <f>VLOOKUP(A2095,vlookup_table!$A:$G,4,FALSE)</f>
        <v>2201</v>
      </c>
      <c r="Q2095" t="str">
        <f>VLOOKUP(A2095,vlookup_table!$A:$G,5,FALSE)</f>
        <v>C2</v>
      </c>
      <c r="R2095" t="str">
        <f>VLOOKUP(A2095,vlookup_table!$A:$G,6,FALSE)</f>
        <v>M</v>
      </c>
      <c r="S2095">
        <f>VLOOKUP(A2095,vlookup_table!$A:$G,7,FALSE)</f>
        <v>20</v>
      </c>
      <c r="T2095">
        <f t="shared" si="64"/>
        <v>74</v>
      </c>
      <c r="U2095" t="str">
        <f t="shared" si="65"/>
        <v>Ciudad</v>
      </c>
    </row>
    <row r="2096" spans="1:21" ht="16" x14ac:dyDescent="0.4">
      <c r="A2096" s="7">
        <v>60738</v>
      </c>
      <c r="B2096" s="7" t="s">
        <v>30</v>
      </c>
      <c r="C2096" s="7" t="s">
        <v>17</v>
      </c>
      <c r="D2096" s="7">
        <v>877</v>
      </c>
      <c r="E2096" s="7">
        <v>419</v>
      </c>
      <c r="F2096" s="7">
        <v>496</v>
      </c>
      <c r="G2096" s="7">
        <v>0</v>
      </c>
      <c r="H2096" s="7">
        <v>16981</v>
      </c>
      <c r="I2096" s="7">
        <v>14</v>
      </c>
      <c r="J2096" s="7">
        <v>53</v>
      </c>
      <c r="K2096" s="7">
        <v>473</v>
      </c>
      <c r="L2096" s="7">
        <v>450</v>
      </c>
      <c r="M2096" s="7">
        <v>5.25</v>
      </c>
      <c r="N2096">
        <f>VLOOKUP(A2096,vlookup_table!$A:$G,2,FALSE)</f>
        <v>2</v>
      </c>
      <c r="O2096" t="str">
        <f>VLOOKUP(A2096,vlookup_table!$A:$G,3,FALSE)</f>
        <v>IN</v>
      </c>
      <c r="P2096">
        <f>VLOOKUP(A2096,vlookup_table!$A:$G,4,FALSE)</f>
        <v>4901</v>
      </c>
      <c r="Q2096" t="str">
        <f>VLOOKUP(A2096,vlookup_table!$A:$G,5,FALSE)</f>
        <v>S1</v>
      </c>
      <c r="R2096" t="str">
        <f>VLOOKUP(A2096,vlookup_table!$A:$G,6,FALSE)</f>
        <v>F</v>
      </c>
      <c r="S2096">
        <f>VLOOKUP(A2096,vlookup_table!$A:$G,7,FALSE)</f>
        <v>5</v>
      </c>
      <c r="T2096">
        <f t="shared" si="64"/>
        <v>47</v>
      </c>
      <c r="U2096" t="str">
        <f t="shared" si="65"/>
        <v>Suburbano</v>
      </c>
    </row>
    <row r="2097" spans="1:21" ht="16" x14ac:dyDescent="0.4">
      <c r="A2097" s="7">
        <v>60571</v>
      </c>
      <c r="B2097" s="7" t="s">
        <v>30</v>
      </c>
      <c r="C2097" s="7" t="s">
        <v>14</v>
      </c>
      <c r="D2097" s="7">
        <v>696</v>
      </c>
      <c r="E2097" s="7">
        <v>354</v>
      </c>
      <c r="F2097" s="7">
        <v>472</v>
      </c>
      <c r="G2097" s="7">
        <v>3</v>
      </c>
      <c r="H2097" s="7">
        <v>15493</v>
      </c>
      <c r="I2097" s="7">
        <v>0</v>
      </c>
      <c r="J2097" s="7">
        <v>73</v>
      </c>
      <c r="K2097" s="7">
        <v>402</v>
      </c>
      <c r="L2097" s="7">
        <v>407</v>
      </c>
      <c r="M2097" s="7">
        <v>10.5</v>
      </c>
      <c r="N2097">
        <f>VLOOKUP(A2097,vlookup_table!$A:$G,2,FALSE)</f>
        <v>1</v>
      </c>
      <c r="O2097" t="str">
        <f>VLOOKUP(A2097,vlookup_table!$A:$G,3,FALSE)</f>
        <v>IN</v>
      </c>
      <c r="P2097">
        <f>VLOOKUP(A2097,vlookup_table!$A:$G,4,FALSE)</f>
        <v>0</v>
      </c>
      <c r="Q2097" t="str">
        <f>VLOOKUP(A2097,vlookup_table!$A:$G,5,FALSE)</f>
        <v>T2</v>
      </c>
      <c r="R2097" t="str">
        <f>VLOOKUP(A2097,vlookup_table!$A:$G,6,FALSE)</f>
        <v>M</v>
      </c>
      <c r="S2097">
        <f>VLOOKUP(A2097,vlookup_table!$A:$G,7,FALSE)</f>
        <v>15</v>
      </c>
      <c r="T2097">
        <f t="shared" si="64"/>
        <v>96</v>
      </c>
      <c r="U2097" t="str">
        <f t="shared" si="65"/>
        <v>Pueblo</v>
      </c>
    </row>
    <row r="2098" spans="1:21" ht="16" x14ac:dyDescent="0.4">
      <c r="A2098" s="7">
        <v>131913</v>
      </c>
      <c r="B2098" s="7" t="s">
        <v>45</v>
      </c>
      <c r="C2098" s="7" t="s">
        <v>17</v>
      </c>
      <c r="D2098" s="7">
        <v>1109</v>
      </c>
      <c r="E2098" s="7">
        <v>513</v>
      </c>
      <c r="F2098" s="7">
        <v>636</v>
      </c>
      <c r="G2098" s="7">
        <v>4</v>
      </c>
      <c r="H2098" s="7">
        <v>20235</v>
      </c>
      <c r="I2098" s="7">
        <v>0</v>
      </c>
      <c r="J2098" s="7">
        <v>64</v>
      </c>
      <c r="K2098" s="7">
        <v>587</v>
      </c>
      <c r="L2098" s="7">
        <v>606</v>
      </c>
      <c r="M2098" s="7">
        <v>13.25</v>
      </c>
      <c r="N2098">
        <f>VLOOKUP(A2098,vlookup_table!$A:$G,2,FALSE)</f>
        <v>0</v>
      </c>
      <c r="O2098" t="str">
        <f>VLOOKUP(A2098,vlookup_table!$A:$G,3,FALSE)</f>
        <v>CO</v>
      </c>
      <c r="P2098">
        <f>VLOOKUP(A2098,vlookup_table!$A:$G,4,FALSE)</f>
        <v>1607</v>
      </c>
      <c r="Q2098" t="str">
        <f>VLOOKUP(A2098,vlookup_table!$A:$G,5,FALSE)</f>
        <v>S1</v>
      </c>
      <c r="R2098" t="str">
        <f>VLOOKUP(A2098,vlookup_table!$A:$G,6,FALSE)</f>
        <v>F</v>
      </c>
      <c r="S2098">
        <f>VLOOKUP(A2098,vlookup_table!$A:$G,7,FALSE)</f>
        <v>19</v>
      </c>
      <c r="T2098">
        <f t="shared" si="64"/>
        <v>80</v>
      </c>
      <c r="U2098" t="str">
        <f t="shared" si="65"/>
        <v>Suburbano</v>
      </c>
    </row>
    <row r="2099" spans="1:21" ht="16" x14ac:dyDescent="0.4">
      <c r="A2099" s="7">
        <v>172140</v>
      </c>
      <c r="B2099" s="7" t="s">
        <v>21</v>
      </c>
      <c r="C2099" s="7" t="s">
        <v>17</v>
      </c>
      <c r="D2099" s="7">
        <v>2099</v>
      </c>
      <c r="E2099" s="7">
        <v>588</v>
      </c>
      <c r="F2099" s="7">
        <v>643</v>
      </c>
      <c r="G2099" s="7">
        <v>53</v>
      </c>
      <c r="H2099" s="7">
        <v>19738</v>
      </c>
      <c r="I2099" s="7">
        <v>3</v>
      </c>
      <c r="J2099" s="7">
        <v>66</v>
      </c>
      <c r="K2099" s="7">
        <v>609</v>
      </c>
      <c r="L2099" s="7">
        <v>610</v>
      </c>
      <c r="M2099" s="7">
        <v>10.7</v>
      </c>
      <c r="N2099">
        <f>VLOOKUP(A2099,vlookup_table!$A:$G,2,FALSE)</f>
        <v>0</v>
      </c>
      <c r="O2099" t="str">
        <f>VLOOKUP(A2099,vlookup_table!$A:$G,3,FALSE)</f>
        <v>CA</v>
      </c>
      <c r="P2099">
        <f>VLOOKUP(A2099,vlookup_table!$A:$G,4,FALSE)</f>
        <v>5201</v>
      </c>
      <c r="Q2099" t="str">
        <f>VLOOKUP(A2099,vlookup_table!$A:$G,5,FALSE)</f>
        <v>T1</v>
      </c>
      <c r="R2099" t="str">
        <f>VLOOKUP(A2099,vlookup_table!$A:$G,6,FALSE)</f>
        <v>F</v>
      </c>
      <c r="S2099">
        <f>VLOOKUP(A2099,vlookup_table!$A:$G,7,FALSE)</f>
        <v>10</v>
      </c>
      <c r="T2099">
        <f t="shared" si="64"/>
        <v>44</v>
      </c>
      <c r="U2099" t="str">
        <f t="shared" si="65"/>
        <v>Pueblo</v>
      </c>
    </row>
    <row r="2100" spans="1:21" ht="16" x14ac:dyDescent="0.4">
      <c r="A2100" s="7">
        <v>147753</v>
      </c>
      <c r="B2100" s="7" t="s">
        <v>21</v>
      </c>
      <c r="C2100" s="7" t="s">
        <v>17</v>
      </c>
      <c r="D2100" s="7">
        <v>4778</v>
      </c>
      <c r="E2100" s="7">
        <v>792</v>
      </c>
      <c r="F2100" s="7">
        <v>987</v>
      </c>
      <c r="G2100" s="7">
        <v>95</v>
      </c>
      <c r="H2100" s="7">
        <v>35530</v>
      </c>
      <c r="I2100" s="7">
        <v>9</v>
      </c>
      <c r="J2100" s="7">
        <v>58</v>
      </c>
      <c r="K2100" s="7">
        <v>981</v>
      </c>
      <c r="L2100" s="7">
        <v>849</v>
      </c>
      <c r="M2100" s="7">
        <v>19.25</v>
      </c>
      <c r="N2100">
        <f>VLOOKUP(A2100,vlookup_table!$A:$G,2,FALSE)</f>
        <v>0</v>
      </c>
      <c r="O2100" t="str">
        <f>VLOOKUP(A2100,vlookup_table!$A:$G,3,FALSE)</f>
        <v>CA</v>
      </c>
      <c r="P2100">
        <f>VLOOKUP(A2100,vlookup_table!$A:$G,4,FALSE)</f>
        <v>2701</v>
      </c>
      <c r="Q2100" t="str">
        <f>VLOOKUP(A2100,vlookup_table!$A:$G,5,FALSE)</f>
        <v>S1</v>
      </c>
      <c r="R2100" t="str">
        <f>VLOOKUP(A2100,vlookup_table!$A:$G,6,FALSE)</f>
        <v>F</v>
      </c>
      <c r="S2100">
        <f>VLOOKUP(A2100,vlookup_table!$A:$G,7,FALSE)</f>
        <v>25</v>
      </c>
      <c r="T2100">
        <f t="shared" si="64"/>
        <v>69</v>
      </c>
      <c r="U2100" t="str">
        <f t="shared" si="65"/>
        <v>Suburbano</v>
      </c>
    </row>
    <row r="2101" spans="1:21" ht="16" x14ac:dyDescent="0.4">
      <c r="A2101" s="7">
        <v>161856</v>
      </c>
      <c r="B2101" s="7" t="s">
        <v>21</v>
      </c>
      <c r="C2101" s="7" t="s">
        <v>14</v>
      </c>
      <c r="D2101" s="7">
        <v>2264</v>
      </c>
      <c r="E2101" s="7">
        <v>430</v>
      </c>
      <c r="F2101" s="7">
        <v>392</v>
      </c>
      <c r="G2101" s="7">
        <v>68</v>
      </c>
      <c r="H2101" s="7">
        <v>16795</v>
      </c>
      <c r="I2101" s="7">
        <v>13</v>
      </c>
      <c r="J2101" s="7">
        <v>42</v>
      </c>
      <c r="K2101" s="7">
        <v>441</v>
      </c>
      <c r="L2101" s="7">
        <v>404</v>
      </c>
      <c r="M2101" s="7">
        <v>11</v>
      </c>
      <c r="N2101">
        <f>VLOOKUP(A2101,vlookup_table!$A:$G,2,FALSE)</f>
        <v>1</v>
      </c>
      <c r="O2101" t="str">
        <f>VLOOKUP(A2101,vlookup_table!$A:$G,3,FALSE)</f>
        <v>CA</v>
      </c>
      <c r="P2101">
        <f>VLOOKUP(A2101,vlookup_table!$A:$G,4,FALSE)</f>
        <v>1901</v>
      </c>
      <c r="Q2101" t="str">
        <f>VLOOKUP(A2101,vlookup_table!$A:$G,5,FALSE)</f>
        <v>C1</v>
      </c>
      <c r="R2101" t="str">
        <f>VLOOKUP(A2101,vlookup_table!$A:$G,6,FALSE)</f>
        <v>M</v>
      </c>
      <c r="S2101">
        <f>VLOOKUP(A2101,vlookup_table!$A:$G,7,FALSE)</f>
        <v>15</v>
      </c>
      <c r="T2101">
        <f t="shared" si="64"/>
        <v>77</v>
      </c>
      <c r="U2101" t="str">
        <f t="shared" si="65"/>
        <v>Ciudad</v>
      </c>
    </row>
    <row r="2102" spans="1:21" ht="16" x14ac:dyDescent="0.4">
      <c r="A2102" s="7">
        <v>140611</v>
      </c>
      <c r="B2102" s="7" t="s">
        <v>50</v>
      </c>
      <c r="C2102" s="7" t="s">
        <v>17</v>
      </c>
      <c r="D2102" s="7">
        <v>740</v>
      </c>
      <c r="E2102" s="7">
        <v>240</v>
      </c>
      <c r="F2102" s="7">
        <v>324</v>
      </c>
      <c r="G2102" s="7">
        <v>2</v>
      </c>
      <c r="H2102" s="7">
        <v>10701</v>
      </c>
      <c r="I2102" s="7">
        <v>9</v>
      </c>
      <c r="J2102" s="7">
        <v>26</v>
      </c>
      <c r="K2102" s="7">
        <v>288</v>
      </c>
      <c r="L2102" s="7">
        <v>294</v>
      </c>
      <c r="M2102" s="7">
        <v>4.375</v>
      </c>
      <c r="N2102">
        <f>VLOOKUP(A2102,vlookup_table!$A:$G,2,FALSE)</f>
        <v>2</v>
      </c>
      <c r="O2102" t="str">
        <f>VLOOKUP(A2102,vlookup_table!$A:$G,3,FALSE)</f>
        <v>NM</v>
      </c>
      <c r="P2102">
        <f>VLOOKUP(A2102,vlookup_table!$A:$G,4,FALSE)</f>
        <v>5101</v>
      </c>
      <c r="Q2102" t="str">
        <f>VLOOKUP(A2102,vlookup_table!$A:$G,5,FALSE)</f>
        <v>T2</v>
      </c>
      <c r="R2102" t="str">
        <f>VLOOKUP(A2102,vlookup_table!$A:$G,6,FALSE)</f>
        <v>F</v>
      </c>
      <c r="S2102">
        <f>VLOOKUP(A2102,vlookup_table!$A:$G,7,FALSE)</f>
        <v>4</v>
      </c>
      <c r="T2102">
        <f t="shared" si="64"/>
        <v>45</v>
      </c>
      <c r="U2102" t="str">
        <f t="shared" si="65"/>
        <v>Pueblo</v>
      </c>
    </row>
    <row r="2103" spans="1:21" ht="16" x14ac:dyDescent="0.4">
      <c r="A2103" s="7">
        <v>30068</v>
      </c>
      <c r="B2103" s="7" t="s">
        <v>36</v>
      </c>
      <c r="C2103" s="7" t="s">
        <v>17</v>
      </c>
      <c r="D2103" s="7">
        <v>573</v>
      </c>
      <c r="E2103" s="7">
        <v>250</v>
      </c>
      <c r="F2103" s="7">
        <v>316</v>
      </c>
      <c r="G2103" s="7">
        <v>0</v>
      </c>
      <c r="H2103" s="7">
        <v>9846</v>
      </c>
      <c r="I2103" s="7">
        <v>1</v>
      </c>
      <c r="J2103" s="7">
        <v>84</v>
      </c>
      <c r="K2103" s="7">
        <v>295</v>
      </c>
      <c r="L2103" s="7">
        <v>285</v>
      </c>
      <c r="M2103" s="7">
        <v>7.153846154</v>
      </c>
      <c r="N2103">
        <f>VLOOKUP(A2103,vlookup_table!$A:$G,2,FALSE)</f>
        <v>0</v>
      </c>
      <c r="O2103" t="str">
        <f>VLOOKUP(A2103,vlookup_table!$A:$G,3,FALSE)</f>
        <v>GA</v>
      </c>
      <c r="P2103">
        <f>VLOOKUP(A2103,vlookup_table!$A:$G,4,FALSE)</f>
        <v>5001</v>
      </c>
      <c r="Q2103" t="str">
        <f>VLOOKUP(A2103,vlookup_table!$A:$G,5,FALSE)</f>
        <v>R2</v>
      </c>
      <c r="R2103" t="str">
        <f>VLOOKUP(A2103,vlookup_table!$A:$G,6,FALSE)</f>
        <v>F</v>
      </c>
      <c r="S2103">
        <f>VLOOKUP(A2103,vlookup_table!$A:$G,7,FALSE)</f>
        <v>12</v>
      </c>
      <c r="T2103">
        <f t="shared" si="64"/>
        <v>46</v>
      </c>
      <c r="U2103" t="str">
        <f t="shared" si="65"/>
        <v>Rural</v>
      </c>
    </row>
    <row r="2104" spans="1:21" ht="16" x14ac:dyDescent="0.4">
      <c r="A2104" s="7">
        <v>96175</v>
      </c>
      <c r="B2104" s="7" t="s">
        <v>16</v>
      </c>
      <c r="C2104" s="7" t="s">
        <v>14</v>
      </c>
      <c r="D2104" s="7">
        <v>258</v>
      </c>
      <c r="E2104" s="7">
        <v>60</v>
      </c>
      <c r="F2104" s="7">
        <v>209</v>
      </c>
      <c r="G2104" s="7">
        <v>0</v>
      </c>
      <c r="H2104" s="7">
        <v>4884</v>
      </c>
      <c r="I2104" s="7">
        <v>7</v>
      </c>
      <c r="J2104" s="7">
        <v>63</v>
      </c>
      <c r="K2104" s="7">
        <v>120</v>
      </c>
      <c r="L2104" s="7">
        <v>89</v>
      </c>
      <c r="M2104" s="7">
        <v>5.5555555559999998</v>
      </c>
      <c r="N2104">
        <f>VLOOKUP(A2104,vlookup_table!$A:$G,2,FALSE)</f>
        <v>1</v>
      </c>
      <c r="O2104" t="str">
        <f>VLOOKUP(A2104,vlookup_table!$A:$G,3,FALSE)</f>
        <v>IL</v>
      </c>
      <c r="P2104">
        <f>VLOOKUP(A2104,vlookup_table!$A:$G,4,FALSE)</f>
        <v>1501</v>
      </c>
      <c r="Q2104" t="str">
        <f>VLOOKUP(A2104,vlookup_table!$A:$G,5,FALSE)</f>
        <v>T3</v>
      </c>
      <c r="R2104" t="str">
        <f>VLOOKUP(A2104,vlookup_table!$A:$G,6,FALSE)</f>
        <v>M</v>
      </c>
      <c r="S2104">
        <f>VLOOKUP(A2104,vlookup_table!$A:$G,7,FALSE)</f>
        <v>5</v>
      </c>
      <c r="T2104">
        <f t="shared" si="64"/>
        <v>81</v>
      </c>
      <c r="U2104" t="str">
        <f t="shared" si="65"/>
        <v>Pueblo</v>
      </c>
    </row>
    <row r="2105" spans="1:21" ht="16" x14ac:dyDescent="0.4">
      <c r="A2105" s="7">
        <v>727</v>
      </c>
      <c r="B2105" s="7" t="s">
        <v>44</v>
      </c>
      <c r="C2105" s="7" t="s">
        <v>17</v>
      </c>
      <c r="D2105" s="7">
        <v>240</v>
      </c>
      <c r="E2105" s="7">
        <v>232</v>
      </c>
      <c r="F2105" s="7">
        <v>315</v>
      </c>
      <c r="G2105" s="7">
        <v>0</v>
      </c>
      <c r="H2105" s="7">
        <v>10744</v>
      </c>
      <c r="I2105" s="7">
        <v>1</v>
      </c>
      <c r="J2105" s="7">
        <v>85</v>
      </c>
      <c r="K2105" s="7">
        <v>280</v>
      </c>
      <c r="L2105" s="7">
        <v>271</v>
      </c>
      <c r="M2105" s="7">
        <v>2.2608695650000001</v>
      </c>
      <c r="N2105">
        <f>VLOOKUP(A2105,vlookup_table!$A:$G,2,FALSE)</f>
        <v>0</v>
      </c>
      <c r="O2105" t="str">
        <f>VLOOKUP(A2105,vlookup_table!$A:$G,3,FALSE)</f>
        <v>IA</v>
      </c>
      <c r="P2105">
        <f>VLOOKUP(A2105,vlookup_table!$A:$G,4,FALSE)</f>
        <v>2401</v>
      </c>
      <c r="Q2105" t="str">
        <f>VLOOKUP(A2105,vlookup_table!$A:$G,5,FALSE)</f>
        <v>R3</v>
      </c>
      <c r="R2105" t="str">
        <f>VLOOKUP(A2105,vlookup_table!$A:$G,6,FALSE)</f>
        <v>F</v>
      </c>
      <c r="S2105">
        <f>VLOOKUP(A2105,vlookup_table!$A:$G,7,FALSE)</f>
        <v>2</v>
      </c>
      <c r="T2105">
        <f t="shared" si="64"/>
        <v>72</v>
      </c>
      <c r="U2105" t="str">
        <f t="shared" si="65"/>
        <v>Rural</v>
      </c>
    </row>
    <row r="2106" spans="1:21" ht="16" x14ac:dyDescent="0.4">
      <c r="A2106" s="7">
        <v>188893</v>
      </c>
      <c r="B2106" s="7" t="s">
        <v>18</v>
      </c>
      <c r="C2106" s="7" t="s">
        <v>14</v>
      </c>
      <c r="D2106" s="7">
        <v>701</v>
      </c>
      <c r="E2106" s="7">
        <v>297</v>
      </c>
      <c r="F2106" s="7">
        <v>468</v>
      </c>
      <c r="G2106" s="7">
        <v>1</v>
      </c>
      <c r="H2106" s="7">
        <v>15258</v>
      </c>
      <c r="I2106" s="7">
        <v>3</v>
      </c>
      <c r="J2106" s="7">
        <v>74</v>
      </c>
      <c r="K2106" s="7">
        <v>335</v>
      </c>
      <c r="L2106" s="7">
        <v>405</v>
      </c>
      <c r="M2106" s="7">
        <v>15.5</v>
      </c>
      <c r="N2106">
        <f>VLOOKUP(A2106,vlookup_table!$A:$G,2,FALSE)</f>
        <v>4</v>
      </c>
      <c r="O2106" t="str">
        <f>VLOOKUP(A2106,vlookup_table!$A:$G,3,FALSE)</f>
        <v>NC</v>
      </c>
      <c r="P2106">
        <f>VLOOKUP(A2106,vlookup_table!$A:$G,4,FALSE)</f>
        <v>0</v>
      </c>
      <c r="Q2106" t="str">
        <f>VLOOKUP(A2106,vlookup_table!$A:$G,5,FALSE)</f>
        <v>T2</v>
      </c>
      <c r="R2106" t="str">
        <f>VLOOKUP(A2106,vlookup_table!$A:$G,6,FALSE)</f>
        <v>M</v>
      </c>
      <c r="S2106">
        <f>VLOOKUP(A2106,vlookup_table!$A:$G,7,FALSE)</f>
        <v>25</v>
      </c>
      <c r="T2106">
        <f t="shared" si="64"/>
        <v>96</v>
      </c>
      <c r="U2106" t="str">
        <f t="shared" si="65"/>
        <v>Pueblo</v>
      </c>
    </row>
    <row r="2107" spans="1:21" ht="16" x14ac:dyDescent="0.4">
      <c r="A2107" s="7">
        <v>110425</v>
      </c>
      <c r="B2107" s="7" t="s">
        <v>46</v>
      </c>
      <c r="C2107" s="7" t="s">
        <v>17</v>
      </c>
      <c r="D2107" s="7">
        <v>305</v>
      </c>
      <c r="E2107" s="7">
        <v>95</v>
      </c>
      <c r="F2107" s="7">
        <v>182</v>
      </c>
      <c r="G2107" s="7">
        <v>1</v>
      </c>
      <c r="H2107" s="7">
        <v>6104</v>
      </c>
      <c r="I2107" s="7">
        <v>0</v>
      </c>
      <c r="J2107" s="7">
        <v>83</v>
      </c>
      <c r="K2107" s="7">
        <v>103</v>
      </c>
      <c r="L2107" s="7">
        <v>162</v>
      </c>
      <c r="M2107" s="7">
        <v>13.33333333</v>
      </c>
      <c r="N2107">
        <f>VLOOKUP(A2107,vlookup_table!$A:$G,2,FALSE)</f>
        <v>0</v>
      </c>
      <c r="O2107" t="str">
        <f>VLOOKUP(A2107,vlookup_table!$A:$G,3,FALSE)</f>
        <v>LA</v>
      </c>
      <c r="P2107">
        <f>VLOOKUP(A2107,vlookup_table!$A:$G,4,FALSE)</f>
        <v>5201</v>
      </c>
      <c r="Q2107" t="str">
        <f>VLOOKUP(A2107,vlookup_table!$A:$G,5,FALSE)</f>
        <v>R3</v>
      </c>
      <c r="R2107" t="str">
        <f>VLOOKUP(A2107,vlookup_table!$A:$G,6,FALSE)</f>
        <v>F</v>
      </c>
      <c r="S2107">
        <f>VLOOKUP(A2107,vlookup_table!$A:$G,7,FALSE)</f>
        <v>20</v>
      </c>
      <c r="T2107">
        <f t="shared" si="64"/>
        <v>44</v>
      </c>
      <c r="U2107" t="str">
        <f t="shared" si="65"/>
        <v>Rural</v>
      </c>
    </row>
    <row r="2108" spans="1:21" ht="16" x14ac:dyDescent="0.4">
      <c r="A2108" s="7">
        <v>54897</v>
      </c>
      <c r="B2108" s="7" t="s">
        <v>36</v>
      </c>
      <c r="C2108" s="7"/>
      <c r="D2108" s="7">
        <v>1271</v>
      </c>
      <c r="E2108" s="7">
        <v>733</v>
      </c>
      <c r="F2108" s="7">
        <v>752</v>
      </c>
      <c r="G2108" s="7">
        <v>4</v>
      </c>
      <c r="H2108" s="7">
        <v>23282</v>
      </c>
      <c r="I2108" s="7">
        <v>5</v>
      </c>
      <c r="J2108" s="7">
        <v>39</v>
      </c>
      <c r="K2108" s="7">
        <v>752</v>
      </c>
      <c r="L2108" s="7">
        <v>743</v>
      </c>
      <c r="M2108" s="7">
        <v>15.09090909</v>
      </c>
      <c r="N2108">
        <f>VLOOKUP(A2108,vlookup_table!$A:$G,2,FALSE)</f>
        <v>1</v>
      </c>
      <c r="O2108" t="str">
        <f>VLOOKUP(A2108,vlookup_table!$A:$G,3,FALSE)</f>
        <v>GA</v>
      </c>
      <c r="P2108">
        <f>VLOOKUP(A2108,vlookup_table!$A:$G,4,FALSE)</f>
        <v>5509</v>
      </c>
      <c r="Q2108" t="str">
        <f>VLOOKUP(A2108,vlookup_table!$A:$G,5,FALSE)</f>
        <v>S1</v>
      </c>
      <c r="R2108" t="str">
        <f>VLOOKUP(A2108,vlookup_table!$A:$G,6,FALSE)</f>
        <v/>
      </c>
      <c r="S2108">
        <f>VLOOKUP(A2108,vlookup_table!$A:$G,7,FALSE)</f>
        <v>20</v>
      </c>
      <c r="T2108">
        <f t="shared" si="64"/>
        <v>41</v>
      </c>
      <c r="U2108" t="str">
        <f t="shared" si="65"/>
        <v>Suburbano</v>
      </c>
    </row>
    <row r="2109" spans="1:21" ht="16" x14ac:dyDescent="0.4">
      <c r="A2109" s="7">
        <v>173772</v>
      </c>
      <c r="B2109" s="7" t="s">
        <v>34</v>
      </c>
      <c r="C2109" s="7" t="s">
        <v>17</v>
      </c>
      <c r="D2109" s="7">
        <v>1233</v>
      </c>
      <c r="E2109" s="7">
        <v>310</v>
      </c>
      <c r="F2109" s="7">
        <v>399</v>
      </c>
      <c r="G2109" s="7">
        <v>20</v>
      </c>
      <c r="H2109" s="7">
        <v>11450</v>
      </c>
      <c r="I2109" s="7">
        <v>11</v>
      </c>
      <c r="J2109" s="7">
        <v>71</v>
      </c>
      <c r="K2109" s="7">
        <v>347</v>
      </c>
      <c r="L2109" s="7">
        <v>365</v>
      </c>
      <c r="M2109" s="7">
        <v>7.923076923</v>
      </c>
      <c r="N2109">
        <f>VLOOKUP(A2109,vlookup_table!$A:$G,2,FALSE)</f>
        <v>0</v>
      </c>
      <c r="O2109" t="str">
        <f>VLOOKUP(A2109,vlookup_table!$A:$G,3,FALSE)</f>
        <v>HI</v>
      </c>
      <c r="P2109">
        <f>VLOOKUP(A2109,vlookup_table!$A:$G,4,FALSE)</f>
        <v>0</v>
      </c>
      <c r="Q2109" t="str">
        <f>VLOOKUP(A2109,vlookup_table!$A:$G,5,FALSE)</f>
        <v>R2</v>
      </c>
      <c r="R2109" t="str">
        <f>VLOOKUP(A2109,vlookup_table!$A:$G,6,FALSE)</f>
        <v>F</v>
      </c>
      <c r="S2109">
        <f>VLOOKUP(A2109,vlookup_table!$A:$G,7,FALSE)</f>
        <v>10</v>
      </c>
      <c r="T2109">
        <f t="shared" si="64"/>
        <v>96</v>
      </c>
      <c r="U2109" t="str">
        <f t="shared" si="65"/>
        <v>Rural</v>
      </c>
    </row>
    <row r="2110" spans="1:21" ht="16" x14ac:dyDescent="0.4">
      <c r="A2110" s="7">
        <v>25560</v>
      </c>
      <c r="B2110" s="7" t="s">
        <v>36</v>
      </c>
      <c r="C2110" s="7" t="s">
        <v>17</v>
      </c>
      <c r="D2110" s="7">
        <v>802</v>
      </c>
      <c r="E2110" s="7">
        <v>479</v>
      </c>
      <c r="F2110" s="7">
        <v>555</v>
      </c>
      <c r="G2110" s="7">
        <v>1</v>
      </c>
      <c r="H2110" s="7">
        <v>16469</v>
      </c>
      <c r="I2110" s="7">
        <v>2</v>
      </c>
      <c r="J2110" s="7">
        <v>65</v>
      </c>
      <c r="K2110" s="7">
        <v>488</v>
      </c>
      <c r="L2110" s="7">
        <v>531</v>
      </c>
      <c r="M2110" s="7">
        <v>11.05882353</v>
      </c>
      <c r="N2110">
        <f>VLOOKUP(A2110,vlookup_table!$A:$G,2,FALSE)</f>
        <v>2</v>
      </c>
      <c r="O2110" t="str">
        <f>VLOOKUP(A2110,vlookup_table!$A:$G,3,FALSE)</f>
        <v>GA</v>
      </c>
      <c r="P2110">
        <f>VLOOKUP(A2110,vlookup_table!$A:$G,4,FALSE)</f>
        <v>4101</v>
      </c>
      <c r="Q2110" t="str">
        <f>VLOOKUP(A2110,vlookup_table!$A:$G,5,FALSE)</f>
        <v>C2</v>
      </c>
      <c r="R2110" t="str">
        <f>VLOOKUP(A2110,vlookup_table!$A:$G,6,FALSE)</f>
        <v>F</v>
      </c>
      <c r="S2110">
        <f>VLOOKUP(A2110,vlookup_table!$A:$G,7,FALSE)</f>
        <v>14</v>
      </c>
      <c r="T2110">
        <f t="shared" si="64"/>
        <v>55</v>
      </c>
      <c r="U2110" t="str">
        <f t="shared" si="65"/>
        <v>Ciudad</v>
      </c>
    </row>
    <row r="2111" spans="1:21" ht="16" x14ac:dyDescent="0.4">
      <c r="A2111" s="7">
        <v>185886</v>
      </c>
      <c r="B2111" s="7" t="s">
        <v>32</v>
      </c>
      <c r="C2111" s="7" t="s">
        <v>14</v>
      </c>
      <c r="D2111" s="7">
        <v>929</v>
      </c>
      <c r="E2111" s="7">
        <v>315</v>
      </c>
      <c r="F2111" s="7">
        <v>438</v>
      </c>
      <c r="G2111" s="7">
        <v>3</v>
      </c>
      <c r="H2111" s="7">
        <v>17069</v>
      </c>
      <c r="I2111" s="7">
        <v>4</v>
      </c>
      <c r="J2111" s="7">
        <v>80</v>
      </c>
      <c r="K2111" s="7">
        <v>403</v>
      </c>
      <c r="L2111" s="7">
        <v>341</v>
      </c>
      <c r="M2111" s="7">
        <v>5.1428571429999996</v>
      </c>
      <c r="N2111">
        <f>VLOOKUP(A2111,vlookup_table!$A:$G,2,FALSE)</f>
        <v>1</v>
      </c>
      <c r="O2111" t="str">
        <f>VLOOKUP(A2111,vlookup_table!$A:$G,3,FALSE)</f>
        <v>WI</v>
      </c>
      <c r="P2111">
        <f>VLOOKUP(A2111,vlookup_table!$A:$G,4,FALSE)</f>
        <v>0</v>
      </c>
      <c r="Q2111" t="str">
        <f>VLOOKUP(A2111,vlookup_table!$A:$G,5,FALSE)</f>
        <v>S2</v>
      </c>
      <c r="R2111" t="str">
        <f>VLOOKUP(A2111,vlookup_table!$A:$G,6,FALSE)</f>
        <v>M</v>
      </c>
      <c r="S2111">
        <f>VLOOKUP(A2111,vlookup_table!$A:$G,7,FALSE)</f>
        <v>5</v>
      </c>
      <c r="T2111">
        <f t="shared" si="64"/>
        <v>96</v>
      </c>
      <c r="U2111" t="str">
        <f t="shared" si="65"/>
        <v>Suburbano</v>
      </c>
    </row>
    <row r="2112" spans="1:21" ht="16" x14ac:dyDescent="0.4">
      <c r="A2112" s="7">
        <v>175847</v>
      </c>
      <c r="B2112" s="7" t="s">
        <v>47</v>
      </c>
      <c r="C2112" s="7" t="s">
        <v>17</v>
      </c>
      <c r="D2112" s="7">
        <v>2070</v>
      </c>
      <c r="E2112" s="7">
        <v>540</v>
      </c>
      <c r="F2112" s="7">
        <v>876</v>
      </c>
      <c r="G2112" s="7">
        <v>53</v>
      </c>
      <c r="H2112" s="7">
        <v>33467</v>
      </c>
      <c r="I2112" s="7">
        <v>4</v>
      </c>
      <c r="J2112" s="7">
        <v>41</v>
      </c>
      <c r="K2112" s="7">
        <v>781</v>
      </c>
      <c r="L2112" s="7">
        <v>678</v>
      </c>
      <c r="M2112" s="7">
        <v>5.5</v>
      </c>
      <c r="N2112">
        <f>VLOOKUP(A2112,vlookup_table!$A:$G,2,FALSE)</f>
        <v>0</v>
      </c>
      <c r="O2112" t="str">
        <f>VLOOKUP(A2112,vlookup_table!$A:$G,3,FALSE)</f>
        <v>OR</v>
      </c>
      <c r="P2112">
        <f>VLOOKUP(A2112,vlookup_table!$A:$G,4,FALSE)</f>
        <v>3001</v>
      </c>
      <c r="Q2112" t="str">
        <f>VLOOKUP(A2112,vlookup_table!$A:$G,5,FALSE)</f>
        <v>S1</v>
      </c>
      <c r="R2112" t="str">
        <f>VLOOKUP(A2112,vlookup_table!$A:$G,6,FALSE)</f>
        <v>F</v>
      </c>
      <c r="S2112">
        <f>VLOOKUP(A2112,vlookup_table!$A:$G,7,FALSE)</f>
        <v>10</v>
      </c>
      <c r="T2112">
        <f t="shared" si="64"/>
        <v>66</v>
      </c>
      <c r="U2112" t="str">
        <f t="shared" si="65"/>
        <v>Suburbano</v>
      </c>
    </row>
    <row r="2113" spans="1:21" ht="16" x14ac:dyDescent="0.4">
      <c r="A2113" s="7">
        <v>29610</v>
      </c>
      <c r="B2113" s="7" t="s">
        <v>36</v>
      </c>
      <c r="C2113" s="7" t="s">
        <v>14</v>
      </c>
      <c r="D2113" s="7">
        <v>387</v>
      </c>
      <c r="E2113" s="7">
        <v>191</v>
      </c>
      <c r="F2113" s="7">
        <v>325</v>
      </c>
      <c r="G2113" s="7">
        <v>1</v>
      </c>
      <c r="H2113" s="7">
        <v>11604</v>
      </c>
      <c r="I2113" s="7">
        <v>0</v>
      </c>
      <c r="J2113" s="7">
        <v>74</v>
      </c>
      <c r="K2113" s="7">
        <v>221</v>
      </c>
      <c r="L2113" s="7">
        <v>285</v>
      </c>
      <c r="M2113" s="7">
        <v>4.923076923</v>
      </c>
      <c r="N2113">
        <f>VLOOKUP(A2113,vlookup_table!$A:$G,2,FALSE)</f>
        <v>1002</v>
      </c>
      <c r="O2113" t="str">
        <f>VLOOKUP(A2113,vlookup_table!$A:$G,3,FALSE)</f>
        <v>GA</v>
      </c>
      <c r="P2113">
        <f>VLOOKUP(A2113,vlookup_table!$A:$G,4,FALSE)</f>
        <v>0</v>
      </c>
      <c r="Q2113" t="str">
        <f>VLOOKUP(A2113,vlookup_table!$A:$G,5,FALSE)</f>
        <v>T2</v>
      </c>
      <c r="R2113" t="str">
        <f>VLOOKUP(A2113,vlookup_table!$A:$G,6,FALSE)</f>
        <v>M</v>
      </c>
      <c r="S2113">
        <f>VLOOKUP(A2113,vlookup_table!$A:$G,7,FALSE)</f>
        <v>5</v>
      </c>
      <c r="T2113">
        <f t="shared" si="64"/>
        <v>96</v>
      </c>
      <c r="U2113" t="str">
        <f t="shared" si="65"/>
        <v>Pueblo</v>
      </c>
    </row>
    <row r="2114" spans="1:21" ht="16" x14ac:dyDescent="0.4">
      <c r="A2114" s="7">
        <v>86926</v>
      </c>
      <c r="B2114" s="7" t="s">
        <v>31</v>
      </c>
      <c r="C2114" s="7" t="s">
        <v>97</v>
      </c>
      <c r="D2114" s="7">
        <v>585</v>
      </c>
      <c r="E2114" s="7">
        <v>197</v>
      </c>
      <c r="F2114" s="7">
        <v>288</v>
      </c>
      <c r="G2114" s="7">
        <v>0</v>
      </c>
      <c r="H2114" s="7">
        <v>11955</v>
      </c>
      <c r="I2114" s="7">
        <v>1</v>
      </c>
      <c r="J2114" s="7">
        <v>58</v>
      </c>
      <c r="K2114" s="7">
        <v>244</v>
      </c>
      <c r="L2114" s="7">
        <v>228</v>
      </c>
      <c r="M2114" s="7">
        <v>8.8000000000000007</v>
      </c>
      <c r="N2114">
        <f>VLOOKUP(A2114,vlookup_table!$A:$G,2,FALSE)</f>
        <v>0</v>
      </c>
      <c r="O2114" t="str">
        <f>VLOOKUP(A2114,vlookup_table!$A:$G,3,FALSE)</f>
        <v>MT</v>
      </c>
      <c r="P2114">
        <f>VLOOKUP(A2114,vlookup_table!$A:$G,4,FALSE)</f>
        <v>3001</v>
      </c>
      <c r="Q2114" t="str">
        <f>VLOOKUP(A2114,vlookup_table!$A:$G,5,FALSE)</f>
        <v>R2</v>
      </c>
      <c r="R2114" t="str">
        <f>VLOOKUP(A2114,vlookup_table!$A:$G,6,FALSE)</f>
        <v>F</v>
      </c>
      <c r="S2114">
        <f>VLOOKUP(A2114,vlookup_table!$A:$G,7,FALSE)</f>
        <v>15</v>
      </c>
      <c r="T2114">
        <f t="shared" si="64"/>
        <v>66</v>
      </c>
      <c r="U2114" t="str">
        <f t="shared" si="65"/>
        <v>Rural</v>
      </c>
    </row>
    <row r="2115" spans="1:21" ht="16" x14ac:dyDescent="0.4">
      <c r="A2115" s="7">
        <v>179235</v>
      </c>
      <c r="B2115" s="7" t="s">
        <v>37</v>
      </c>
      <c r="C2115" s="7" t="s">
        <v>14</v>
      </c>
      <c r="D2115" s="7">
        <v>1133</v>
      </c>
      <c r="E2115" s="7">
        <v>596</v>
      </c>
      <c r="F2115" s="7">
        <v>610</v>
      </c>
      <c r="G2115" s="7">
        <v>1</v>
      </c>
      <c r="H2115" s="7">
        <v>19287</v>
      </c>
      <c r="I2115" s="7">
        <v>2</v>
      </c>
      <c r="J2115" s="7">
        <v>59</v>
      </c>
      <c r="K2115" s="7">
        <v>596</v>
      </c>
      <c r="L2115" s="7">
        <v>591</v>
      </c>
      <c r="M2115" s="7">
        <v>9</v>
      </c>
      <c r="N2115">
        <f>VLOOKUP(A2115,vlookup_table!$A:$G,2,FALSE)</f>
        <v>1</v>
      </c>
      <c r="O2115" t="str">
        <f>VLOOKUP(A2115,vlookup_table!$A:$G,3,FALSE)</f>
        <v>WA</v>
      </c>
      <c r="P2115">
        <f>VLOOKUP(A2115,vlookup_table!$A:$G,4,FALSE)</f>
        <v>6401</v>
      </c>
      <c r="Q2115" t="str">
        <f>VLOOKUP(A2115,vlookup_table!$A:$G,5,FALSE)</f>
        <v>S1</v>
      </c>
      <c r="R2115" t="str">
        <f>VLOOKUP(A2115,vlookup_table!$A:$G,6,FALSE)</f>
        <v>M</v>
      </c>
      <c r="S2115">
        <f>VLOOKUP(A2115,vlookup_table!$A:$G,7,FALSE)</f>
        <v>12</v>
      </c>
      <c r="T2115">
        <f t="shared" ref="T2115:T2178" si="66">97-LEFT(P2115,2)-IF(RIGHT(P2115,2)&gt;6,1,0)</f>
        <v>32</v>
      </c>
      <c r="U2115" t="str">
        <f t="shared" ref="U2115:U2178" si="67">IF(LEFT(Q2115,1)="C","Ciudad",IF(LEFT(Q2115,1)="T","Pueblo",IF(LEFT(Q2115,1)="R","Rural",IF(LEFT(Q2115,1)="S","Suburbano",IF(LEFT(Q2115,1)="U","Urbano","")))))</f>
        <v>Suburbano</v>
      </c>
    </row>
    <row r="2116" spans="1:21" ht="16" x14ac:dyDescent="0.4">
      <c r="A2116" s="7">
        <v>8276</v>
      </c>
      <c r="B2116" s="7" t="s">
        <v>21</v>
      </c>
      <c r="C2116" s="7" t="s">
        <v>14</v>
      </c>
      <c r="D2116" s="7">
        <v>5914</v>
      </c>
      <c r="E2116" s="7">
        <v>1490</v>
      </c>
      <c r="F2116" s="7">
        <v>1282</v>
      </c>
      <c r="G2116" s="7">
        <v>98</v>
      </c>
      <c r="H2116" s="7">
        <v>58689</v>
      </c>
      <c r="I2116" s="7">
        <v>17</v>
      </c>
      <c r="J2116" s="7">
        <v>38</v>
      </c>
      <c r="K2116" s="7">
        <v>1500</v>
      </c>
      <c r="L2116" s="7">
        <v>1275</v>
      </c>
      <c r="M2116" s="7">
        <v>12.63157895</v>
      </c>
      <c r="N2116">
        <f>VLOOKUP(A2116,vlookup_table!$A:$G,2,FALSE)</f>
        <v>1</v>
      </c>
      <c r="O2116" t="str">
        <f>VLOOKUP(A2116,vlookup_table!$A:$G,3,FALSE)</f>
        <v>CA</v>
      </c>
      <c r="P2116">
        <f>VLOOKUP(A2116,vlookup_table!$A:$G,4,FALSE)</f>
        <v>4409</v>
      </c>
      <c r="Q2116" t="str">
        <f>VLOOKUP(A2116,vlookup_table!$A:$G,5,FALSE)</f>
        <v>S1</v>
      </c>
      <c r="R2116" t="str">
        <f>VLOOKUP(A2116,vlookup_table!$A:$G,6,FALSE)</f>
        <v>M</v>
      </c>
      <c r="S2116">
        <f>VLOOKUP(A2116,vlookup_table!$A:$G,7,FALSE)</f>
        <v>15</v>
      </c>
      <c r="T2116">
        <f t="shared" si="66"/>
        <v>52</v>
      </c>
      <c r="U2116" t="str">
        <f t="shared" si="67"/>
        <v>Suburbano</v>
      </c>
    </row>
    <row r="2117" spans="1:21" ht="16" x14ac:dyDescent="0.4">
      <c r="A2117" s="7">
        <v>27108</v>
      </c>
      <c r="B2117" s="7" t="s">
        <v>36</v>
      </c>
      <c r="C2117" s="7" t="s">
        <v>17</v>
      </c>
      <c r="D2117" s="7">
        <v>656</v>
      </c>
      <c r="E2117" s="7">
        <v>304</v>
      </c>
      <c r="F2117" s="7">
        <v>312</v>
      </c>
      <c r="G2117" s="7">
        <v>3</v>
      </c>
      <c r="H2117" s="7">
        <v>14123</v>
      </c>
      <c r="I2117" s="7">
        <v>0</v>
      </c>
      <c r="J2117" s="7">
        <v>58</v>
      </c>
      <c r="K2117" s="7">
        <v>309</v>
      </c>
      <c r="L2117" s="7">
        <v>308</v>
      </c>
      <c r="M2117" s="7">
        <v>7.35</v>
      </c>
      <c r="N2117">
        <f>VLOOKUP(A2117,vlookup_table!$A:$G,2,FALSE)</f>
        <v>2</v>
      </c>
      <c r="O2117" t="str">
        <f>VLOOKUP(A2117,vlookup_table!$A:$G,3,FALSE)</f>
        <v>GA</v>
      </c>
      <c r="P2117">
        <f>VLOOKUP(A2117,vlookup_table!$A:$G,4,FALSE)</f>
        <v>2101</v>
      </c>
      <c r="Q2117" t="str">
        <f>VLOOKUP(A2117,vlookup_table!$A:$G,5,FALSE)</f>
        <v>S2</v>
      </c>
      <c r="R2117" t="str">
        <f>VLOOKUP(A2117,vlookup_table!$A:$G,6,FALSE)</f>
        <v>F</v>
      </c>
      <c r="S2117">
        <f>VLOOKUP(A2117,vlookup_table!$A:$G,7,FALSE)</f>
        <v>15</v>
      </c>
      <c r="T2117">
        <f t="shared" si="66"/>
        <v>75</v>
      </c>
      <c r="U2117" t="str">
        <f t="shared" si="67"/>
        <v>Suburbano</v>
      </c>
    </row>
    <row r="2118" spans="1:21" ht="16" x14ac:dyDescent="0.4">
      <c r="A2118" s="7">
        <v>56860</v>
      </c>
      <c r="B2118" s="7" t="s">
        <v>53</v>
      </c>
      <c r="C2118" s="7" t="s">
        <v>17</v>
      </c>
      <c r="D2118" s="7">
        <v>439</v>
      </c>
      <c r="E2118" s="7">
        <v>328</v>
      </c>
      <c r="F2118" s="7">
        <v>356</v>
      </c>
      <c r="G2118" s="7">
        <v>0</v>
      </c>
      <c r="H2118" s="7">
        <v>9955</v>
      </c>
      <c r="I2118" s="7">
        <v>0</v>
      </c>
      <c r="J2118" s="7">
        <v>84</v>
      </c>
      <c r="K2118" s="7">
        <v>335</v>
      </c>
      <c r="L2118" s="7">
        <v>350</v>
      </c>
      <c r="M2118" s="7">
        <v>11.25</v>
      </c>
      <c r="N2118">
        <f>VLOOKUP(A2118,vlookup_table!$A:$G,2,FALSE)</f>
        <v>0</v>
      </c>
      <c r="O2118" t="str">
        <f>VLOOKUP(A2118,vlookup_table!$A:$G,3,FALSE)</f>
        <v>KY</v>
      </c>
      <c r="P2118">
        <f>VLOOKUP(A2118,vlookup_table!$A:$G,4,FALSE)</f>
        <v>6601</v>
      </c>
      <c r="Q2118" t="str">
        <f>VLOOKUP(A2118,vlookup_table!$A:$G,5,FALSE)</f>
        <v>T2</v>
      </c>
      <c r="R2118" t="str">
        <f>VLOOKUP(A2118,vlookup_table!$A:$G,6,FALSE)</f>
        <v>F</v>
      </c>
      <c r="S2118">
        <f>VLOOKUP(A2118,vlookup_table!$A:$G,7,FALSE)</f>
        <v>24</v>
      </c>
      <c r="T2118">
        <f t="shared" si="66"/>
        <v>30</v>
      </c>
      <c r="U2118" t="str">
        <f t="shared" si="67"/>
        <v>Pueblo</v>
      </c>
    </row>
    <row r="2119" spans="1:21" ht="16" x14ac:dyDescent="0.4">
      <c r="A2119" s="7">
        <v>157817</v>
      </c>
      <c r="B2119" s="7" t="s">
        <v>21</v>
      </c>
      <c r="C2119" s="7" t="s">
        <v>17</v>
      </c>
      <c r="D2119" s="7">
        <v>2356</v>
      </c>
      <c r="E2119" s="7">
        <v>520</v>
      </c>
      <c r="F2119" s="7">
        <v>762</v>
      </c>
      <c r="G2119" s="7">
        <v>77</v>
      </c>
      <c r="H2119" s="7">
        <v>31180</v>
      </c>
      <c r="I2119" s="7">
        <v>7</v>
      </c>
      <c r="J2119" s="7">
        <v>43</v>
      </c>
      <c r="K2119" s="7">
        <v>683</v>
      </c>
      <c r="L2119" s="7">
        <v>651</v>
      </c>
      <c r="M2119" s="7">
        <v>11.28</v>
      </c>
      <c r="N2119">
        <f>VLOOKUP(A2119,vlookup_table!$A:$G,2,FALSE)</f>
        <v>3</v>
      </c>
      <c r="O2119" t="str">
        <f>VLOOKUP(A2119,vlookup_table!$A:$G,3,FALSE)</f>
        <v>CA</v>
      </c>
      <c r="P2119">
        <f>VLOOKUP(A2119,vlookup_table!$A:$G,4,FALSE)</f>
        <v>4101</v>
      </c>
      <c r="Q2119" t="str">
        <f>VLOOKUP(A2119,vlookup_table!$A:$G,5,FALSE)</f>
        <v>S1</v>
      </c>
      <c r="R2119" t="str">
        <f>VLOOKUP(A2119,vlookup_table!$A:$G,6,FALSE)</f>
        <v>F</v>
      </c>
      <c r="S2119">
        <f>VLOOKUP(A2119,vlookup_table!$A:$G,7,FALSE)</f>
        <v>11</v>
      </c>
      <c r="T2119">
        <f t="shared" si="66"/>
        <v>55</v>
      </c>
      <c r="U2119" t="str">
        <f t="shared" si="67"/>
        <v>Suburbano</v>
      </c>
    </row>
    <row r="2120" spans="1:21" ht="16" x14ac:dyDescent="0.4">
      <c r="A2120" s="7">
        <v>135296</v>
      </c>
      <c r="B2120" s="7" t="s">
        <v>51</v>
      </c>
      <c r="C2120" s="7" t="s">
        <v>97</v>
      </c>
      <c r="D2120" s="7">
        <v>967</v>
      </c>
      <c r="E2120" s="7">
        <v>254</v>
      </c>
      <c r="F2120" s="7">
        <v>408</v>
      </c>
      <c r="G2120" s="7">
        <v>13</v>
      </c>
      <c r="H2120" s="7">
        <v>19177</v>
      </c>
      <c r="I2120" s="7">
        <v>7</v>
      </c>
      <c r="J2120" s="7">
        <v>9</v>
      </c>
      <c r="K2120" s="7">
        <v>359</v>
      </c>
      <c r="L2120" s="7">
        <v>287</v>
      </c>
      <c r="M2120" s="7">
        <v>6.3333333329999997</v>
      </c>
      <c r="N2120">
        <f>VLOOKUP(A2120,vlookup_table!$A:$G,2,FALSE)</f>
        <v>0</v>
      </c>
      <c r="O2120" t="str">
        <f>VLOOKUP(A2120,vlookup_table!$A:$G,3,FALSE)</f>
        <v>AZ</v>
      </c>
      <c r="P2120">
        <f>VLOOKUP(A2120,vlookup_table!$A:$G,4,FALSE)</f>
        <v>1501</v>
      </c>
      <c r="Q2120" t="str">
        <f>VLOOKUP(A2120,vlookup_table!$A:$G,5,FALSE)</f>
        <v>C2</v>
      </c>
      <c r="R2120" t="str">
        <f>VLOOKUP(A2120,vlookup_table!$A:$G,6,FALSE)</f>
        <v>F</v>
      </c>
      <c r="S2120">
        <f>VLOOKUP(A2120,vlookup_table!$A:$G,7,FALSE)</f>
        <v>11</v>
      </c>
      <c r="T2120">
        <f t="shared" si="66"/>
        <v>81</v>
      </c>
      <c r="U2120" t="str">
        <f t="shared" si="67"/>
        <v>Ciudad</v>
      </c>
    </row>
    <row r="2121" spans="1:21" ht="16" x14ac:dyDescent="0.4">
      <c r="A2121" s="7">
        <v>80995</v>
      </c>
      <c r="B2121" s="7" t="s">
        <v>32</v>
      </c>
      <c r="C2121" s="7" t="s">
        <v>14</v>
      </c>
      <c r="D2121" s="7">
        <v>342</v>
      </c>
      <c r="E2121" s="7">
        <v>174</v>
      </c>
      <c r="F2121" s="7">
        <v>262</v>
      </c>
      <c r="G2121" s="7">
        <v>0</v>
      </c>
      <c r="H2121" s="7">
        <v>8356</v>
      </c>
      <c r="I2121" s="7">
        <v>1</v>
      </c>
      <c r="J2121" s="7">
        <v>81</v>
      </c>
      <c r="K2121" s="7">
        <v>228</v>
      </c>
      <c r="L2121" s="7">
        <v>217</v>
      </c>
      <c r="M2121" s="7">
        <v>5.8571428570000004</v>
      </c>
      <c r="N2121">
        <f>VLOOKUP(A2121,vlookup_table!$A:$G,2,FALSE)</f>
        <v>1</v>
      </c>
      <c r="O2121" t="str">
        <f>VLOOKUP(A2121,vlookup_table!$A:$G,3,FALSE)</f>
        <v>WI</v>
      </c>
      <c r="P2121">
        <f>VLOOKUP(A2121,vlookup_table!$A:$G,4,FALSE)</f>
        <v>2509</v>
      </c>
      <c r="Q2121" t="str">
        <f>VLOOKUP(A2121,vlookup_table!$A:$G,5,FALSE)</f>
        <v>R3</v>
      </c>
      <c r="R2121" t="str">
        <f>VLOOKUP(A2121,vlookup_table!$A:$G,6,FALSE)</f>
        <v>M</v>
      </c>
      <c r="S2121">
        <f>VLOOKUP(A2121,vlookup_table!$A:$G,7,FALSE)</f>
        <v>5</v>
      </c>
      <c r="T2121">
        <f t="shared" si="66"/>
        <v>71</v>
      </c>
      <c r="U2121" t="str">
        <f t="shared" si="67"/>
        <v>Rural</v>
      </c>
    </row>
    <row r="2122" spans="1:21" ht="16" x14ac:dyDescent="0.4">
      <c r="A2122" s="7">
        <v>95943</v>
      </c>
      <c r="B2122" s="7" t="s">
        <v>16</v>
      </c>
      <c r="C2122" s="7" t="s">
        <v>14</v>
      </c>
      <c r="D2122" s="7">
        <v>435</v>
      </c>
      <c r="E2122" s="7">
        <v>353</v>
      </c>
      <c r="F2122" s="7">
        <v>373</v>
      </c>
      <c r="G2122" s="7">
        <v>1</v>
      </c>
      <c r="H2122" s="7">
        <v>13341</v>
      </c>
      <c r="I2122" s="7">
        <v>1</v>
      </c>
      <c r="J2122" s="7">
        <v>65</v>
      </c>
      <c r="K2122" s="7">
        <v>399</v>
      </c>
      <c r="L2122" s="7">
        <v>345</v>
      </c>
      <c r="M2122" s="7">
        <v>10</v>
      </c>
      <c r="N2122">
        <f>VLOOKUP(A2122,vlookup_table!$A:$G,2,FALSE)</f>
        <v>1</v>
      </c>
      <c r="O2122" t="str">
        <f>VLOOKUP(A2122,vlookup_table!$A:$G,3,FALSE)</f>
        <v>IL</v>
      </c>
      <c r="P2122">
        <f>VLOOKUP(A2122,vlookup_table!$A:$G,4,FALSE)</f>
        <v>2901</v>
      </c>
      <c r="Q2122" t="str">
        <f>VLOOKUP(A2122,vlookup_table!$A:$G,5,FALSE)</f>
        <v>C2</v>
      </c>
      <c r="R2122" t="str">
        <f>VLOOKUP(A2122,vlookup_table!$A:$G,6,FALSE)</f>
        <v>M</v>
      </c>
      <c r="S2122">
        <f>VLOOKUP(A2122,vlookup_table!$A:$G,7,FALSE)</f>
        <v>13</v>
      </c>
      <c r="T2122">
        <f t="shared" si="66"/>
        <v>67</v>
      </c>
      <c r="U2122" t="str">
        <f t="shared" si="67"/>
        <v>Ciudad</v>
      </c>
    </row>
    <row r="2123" spans="1:21" ht="16" x14ac:dyDescent="0.4">
      <c r="A2123" s="7">
        <v>188141</v>
      </c>
      <c r="B2123" s="7" t="s">
        <v>13</v>
      </c>
      <c r="C2123" s="7"/>
      <c r="D2123" s="7">
        <v>578</v>
      </c>
      <c r="E2123" s="7">
        <v>248</v>
      </c>
      <c r="F2123" s="7">
        <v>338</v>
      </c>
      <c r="G2123" s="7">
        <v>6</v>
      </c>
      <c r="H2123" s="7">
        <v>12336</v>
      </c>
      <c r="I2123" s="7">
        <v>3</v>
      </c>
      <c r="J2123" s="7">
        <v>51</v>
      </c>
      <c r="K2123" s="7">
        <v>280</v>
      </c>
      <c r="L2123" s="7">
        <v>309</v>
      </c>
      <c r="M2123" s="7">
        <v>14.42857143</v>
      </c>
      <c r="N2123">
        <f>VLOOKUP(A2123,vlookup_table!$A:$G,2,FALSE)</f>
        <v>1</v>
      </c>
      <c r="O2123" t="str">
        <f>VLOOKUP(A2123,vlookup_table!$A:$G,3,FALSE)</f>
        <v>FL</v>
      </c>
      <c r="P2123">
        <f>VLOOKUP(A2123,vlookup_table!$A:$G,4,FALSE)</f>
        <v>0</v>
      </c>
      <c r="Q2123" t="str">
        <f>VLOOKUP(A2123,vlookup_table!$A:$G,5,FALSE)</f>
        <v>S1</v>
      </c>
      <c r="R2123" t="str">
        <f>VLOOKUP(A2123,vlookup_table!$A:$G,6,FALSE)</f>
        <v/>
      </c>
      <c r="S2123">
        <f>VLOOKUP(A2123,vlookup_table!$A:$G,7,FALSE)</f>
        <v>25</v>
      </c>
      <c r="T2123">
        <f t="shared" si="66"/>
        <v>96</v>
      </c>
      <c r="U2123" t="str">
        <f t="shared" si="67"/>
        <v>Suburbano</v>
      </c>
    </row>
    <row r="2124" spans="1:21" ht="16" x14ac:dyDescent="0.4">
      <c r="A2124" s="7">
        <v>13523</v>
      </c>
      <c r="B2124" s="7" t="s">
        <v>23</v>
      </c>
      <c r="C2124" s="7" t="s">
        <v>17</v>
      </c>
      <c r="D2124" s="7">
        <v>463</v>
      </c>
      <c r="E2124" s="7">
        <v>177</v>
      </c>
      <c r="F2124" s="7">
        <v>233</v>
      </c>
      <c r="G2124" s="7">
        <v>0</v>
      </c>
      <c r="H2124" s="7">
        <v>8068</v>
      </c>
      <c r="I2124" s="7">
        <v>0</v>
      </c>
      <c r="J2124" s="7">
        <v>51</v>
      </c>
      <c r="K2124" s="7">
        <v>189</v>
      </c>
      <c r="L2124" s="7">
        <v>221</v>
      </c>
      <c r="M2124" s="7">
        <v>14</v>
      </c>
      <c r="N2124">
        <f>VLOOKUP(A2124,vlookup_table!$A:$G,2,FALSE)</f>
        <v>0</v>
      </c>
      <c r="O2124" t="str">
        <f>VLOOKUP(A2124,vlookup_table!$A:$G,3,FALSE)</f>
        <v>NV</v>
      </c>
      <c r="P2124">
        <f>VLOOKUP(A2124,vlookup_table!$A:$G,4,FALSE)</f>
        <v>4103</v>
      </c>
      <c r="Q2124" t="str">
        <f>VLOOKUP(A2124,vlookup_table!$A:$G,5,FALSE)</f>
        <v>R2</v>
      </c>
      <c r="R2124" t="str">
        <f>VLOOKUP(A2124,vlookup_table!$A:$G,6,FALSE)</f>
        <v>F</v>
      </c>
      <c r="S2124">
        <f>VLOOKUP(A2124,vlookup_table!$A:$G,7,FALSE)</f>
        <v>40</v>
      </c>
      <c r="T2124">
        <f t="shared" si="66"/>
        <v>55</v>
      </c>
      <c r="U2124" t="str">
        <f t="shared" si="67"/>
        <v>Rural</v>
      </c>
    </row>
    <row r="2125" spans="1:21" ht="16" x14ac:dyDescent="0.4">
      <c r="A2125" s="7">
        <v>7518</v>
      </c>
      <c r="B2125" s="7" t="s">
        <v>32</v>
      </c>
      <c r="C2125" s="7" t="s">
        <v>14</v>
      </c>
      <c r="D2125" s="7">
        <v>607</v>
      </c>
      <c r="E2125" s="7">
        <v>298</v>
      </c>
      <c r="F2125" s="7">
        <v>361</v>
      </c>
      <c r="G2125" s="7">
        <v>1</v>
      </c>
      <c r="H2125" s="7">
        <v>12279</v>
      </c>
      <c r="I2125" s="7">
        <v>1</v>
      </c>
      <c r="J2125" s="7">
        <v>82</v>
      </c>
      <c r="K2125" s="7">
        <v>330</v>
      </c>
      <c r="L2125" s="7">
        <v>324</v>
      </c>
      <c r="M2125" s="7">
        <v>4.8421052629999997</v>
      </c>
      <c r="N2125">
        <f>VLOOKUP(A2125,vlookup_table!$A:$G,2,FALSE)</f>
        <v>1</v>
      </c>
      <c r="O2125" t="str">
        <f>VLOOKUP(A2125,vlookup_table!$A:$G,3,FALSE)</f>
        <v>WI</v>
      </c>
      <c r="P2125">
        <f>VLOOKUP(A2125,vlookup_table!$A:$G,4,FALSE)</f>
        <v>0</v>
      </c>
      <c r="Q2125" t="str">
        <f>VLOOKUP(A2125,vlookup_table!$A:$G,5,FALSE)</f>
        <v/>
      </c>
      <c r="R2125" t="str">
        <f>VLOOKUP(A2125,vlookup_table!$A:$G,6,FALSE)</f>
        <v>M</v>
      </c>
      <c r="S2125">
        <f>VLOOKUP(A2125,vlookup_table!$A:$G,7,FALSE)</f>
        <v>5</v>
      </c>
      <c r="T2125">
        <f t="shared" si="66"/>
        <v>96</v>
      </c>
      <c r="U2125" t="str">
        <f t="shared" si="67"/>
        <v/>
      </c>
    </row>
    <row r="2126" spans="1:21" ht="16" x14ac:dyDescent="0.4">
      <c r="A2126" s="7">
        <v>7637</v>
      </c>
      <c r="B2126" s="7" t="s">
        <v>49</v>
      </c>
      <c r="C2126" s="7" t="s">
        <v>17</v>
      </c>
      <c r="D2126" s="7">
        <v>353</v>
      </c>
      <c r="E2126" s="7">
        <v>179</v>
      </c>
      <c r="F2126" s="7">
        <v>258</v>
      </c>
      <c r="G2126" s="7">
        <v>0</v>
      </c>
      <c r="H2126" s="7">
        <v>9059</v>
      </c>
      <c r="I2126" s="7">
        <v>0</v>
      </c>
      <c r="J2126" s="7">
        <v>51</v>
      </c>
      <c r="K2126" s="7">
        <v>220</v>
      </c>
      <c r="L2126" s="7">
        <v>221</v>
      </c>
      <c r="M2126" s="7">
        <v>9</v>
      </c>
      <c r="N2126">
        <f>VLOOKUP(A2126,vlookup_table!$A:$G,2,FALSE)</f>
        <v>0</v>
      </c>
      <c r="O2126" t="str">
        <f>VLOOKUP(A2126,vlookup_table!$A:$G,3,FALSE)</f>
        <v>TN</v>
      </c>
      <c r="P2126">
        <f>VLOOKUP(A2126,vlookup_table!$A:$G,4,FALSE)</f>
        <v>1801</v>
      </c>
      <c r="Q2126" t="str">
        <f>VLOOKUP(A2126,vlookup_table!$A:$G,5,FALSE)</f>
        <v>R3</v>
      </c>
      <c r="R2126" t="str">
        <f>VLOOKUP(A2126,vlookup_table!$A:$G,6,FALSE)</f>
        <v>F</v>
      </c>
      <c r="S2126">
        <f>VLOOKUP(A2126,vlookup_table!$A:$G,7,FALSE)</f>
        <v>10</v>
      </c>
      <c r="T2126">
        <f t="shared" si="66"/>
        <v>78</v>
      </c>
      <c r="U2126" t="str">
        <f t="shared" si="67"/>
        <v>Rural</v>
      </c>
    </row>
    <row r="2127" spans="1:21" ht="16" x14ac:dyDescent="0.4">
      <c r="A2127" s="7">
        <v>40655</v>
      </c>
      <c r="B2127" s="7" t="s">
        <v>13</v>
      </c>
      <c r="C2127" s="7" t="s">
        <v>14</v>
      </c>
      <c r="D2127" s="7">
        <v>810</v>
      </c>
      <c r="E2127" s="7">
        <v>295</v>
      </c>
      <c r="F2127" s="7">
        <v>430</v>
      </c>
      <c r="G2127" s="7">
        <v>0</v>
      </c>
      <c r="H2127" s="7">
        <v>19398</v>
      </c>
      <c r="I2127" s="7">
        <v>2</v>
      </c>
      <c r="J2127" s="7">
        <v>24</v>
      </c>
      <c r="K2127" s="7">
        <v>373</v>
      </c>
      <c r="L2127" s="7">
        <v>374</v>
      </c>
      <c r="M2127" s="7">
        <v>11</v>
      </c>
      <c r="N2127">
        <f>VLOOKUP(A2127,vlookup_table!$A:$G,2,FALSE)</f>
        <v>0</v>
      </c>
      <c r="O2127" t="str">
        <f>VLOOKUP(A2127,vlookup_table!$A:$G,3,FALSE)</f>
        <v>FL</v>
      </c>
      <c r="P2127">
        <f>VLOOKUP(A2127,vlookup_table!$A:$G,4,FALSE)</f>
        <v>3601</v>
      </c>
      <c r="Q2127" t="str">
        <f>VLOOKUP(A2127,vlookup_table!$A:$G,5,FALSE)</f>
        <v>C2</v>
      </c>
      <c r="R2127" t="str">
        <f>VLOOKUP(A2127,vlookup_table!$A:$G,6,FALSE)</f>
        <v>M</v>
      </c>
      <c r="S2127">
        <f>VLOOKUP(A2127,vlookup_table!$A:$G,7,FALSE)</f>
        <v>20</v>
      </c>
      <c r="T2127">
        <f t="shared" si="66"/>
        <v>60</v>
      </c>
      <c r="U2127" t="str">
        <f t="shared" si="67"/>
        <v>Ciudad</v>
      </c>
    </row>
    <row r="2128" spans="1:21" ht="16" x14ac:dyDescent="0.4">
      <c r="A2128" s="7">
        <v>87505</v>
      </c>
      <c r="B2128" s="7" t="s">
        <v>31</v>
      </c>
      <c r="C2128" s="7" t="s">
        <v>97</v>
      </c>
      <c r="D2128" s="7">
        <v>375</v>
      </c>
      <c r="E2128" s="7">
        <v>200</v>
      </c>
      <c r="F2128" s="7">
        <v>222</v>
      </c>
      <c r="G2128" s="7">
        <v>0</v>
      </c>
      <c r="H2128" s="7">
        <v>7976</v>
      </c>
      <c r="I2128" s="7">
        <v>0</v>
      </c>
      <c r="J2128" s="7">
        <v>62</v>
      </c>
      <c r="K2128" s="7">
        <v>181</v>
      </c>
      <c r="L2128" s="7">
        <v>225</v>
      </c>
      <c r="M2128" s="7">
        <v>8.3888888890000004</v>
      </c>
      <c r="N2128">
        <f>VLOOKUP(A2128,vlookup_table!$A:$G,2,FALSE)</f>
        <v>0</v>
      </c>
      <c r="O2128" t="str">
        <f>VLOOKUP(A2128,vlookup_table!$A:$G,3,FALSE)</f>
        <v>MT</v>
      </c>
      <c r="P2128">
        <f>VLOOKUP(A2128,vlookup_table!$A:$G,4,FALSE)</f>
        <v>2101</v>
      </c>
      <c r="Q2128" t="str">
        <f>VLOOKUP(A2128,vlookup_table!$A:$G,5,FALSE)</f>
        <v>C3</v>
      </c>
      <c r="R2128" t="str">
        <f>VLOOKUP(A2128,vlookup_table!$A:$G,6,FALSE)</f>
        <v>F</v>
      </c>
      <c r="S2128">
        <f>VLOOKUP(A2128,vlookup_table!$A:$G,7,FALSE)</f>
        <v>8</v>
      </c>
      <c r="T2128">
        <f t="shared" si="66"/>
        <v>75</v>
      </c>
      <c r="U2128" t="str">
        <f t="shared" si="67"/>
        <v>Ciudad</v>
      </c>
    </row>
    <row r="2129" spans="1:21" ht="16" x14ac:dyDescent="0.4">
      <c r="A2129" s="7">
        <v>176380</v>
      </c>
      <c r="B2129" s="7" t="s">
        <v>47</v>
      </c>
      <c r="C2129" s="7" t="s">
        <v>14</v>
      </c>
      <c r="D2129" s="7">
        <v>865</v>
      </c>
      <c r="E2129" s="7">
        <v>459</v>
      </c>
      <c r="F2129" s="7">
        <v>615</v>
      </c>
      <c r="G2129" s="7">
        <v>4</v>
      </c>
      <c r="H2129" s="7">
        <v>21364</v>
      </c>
      <c r="I2129" s="7">
        <v>6</v>
      </c>
      <c r="J2129" s="7">
        <v>36</v>
      </c>
      <c r="K2129" s="7">
        <v>536</v>
      </c>
      <c r="L2129" s="7">
        <v>530</v>
      </c>
      <c r="M2129" s="7">
        <v>10</v>
      </c>
      <c r="N2129">
        <f>VLOOKUP(A2129,vlookup_table!$A:$G,2,FALSE)</f>
        <v>0</v>
      </c>
      <c r="O2129" t="str">
        <f>VLOOKUP(A2129,vlookup_table!$A:$G,3,FALSE)</f>
        <v>OR</v>
      </c>
      <c r="P2129">
        <f>VLOOKUP(A2129,vlookup_table!$A:$G,4,FALSE)</f>
        <v>4901</v>
      </c>
      <c r="Q2129" t="str">
        <f>VLOOKUP(A2129,vlookup_table!$A:$G,5,FALSE)</f>
        <v>C1</v>
      </c>
      <c r="R2129" t="str">
        <f>VLOOKUP(A2129,vlookup_table!$A:$G,6,FALSE)</f>
        <v>M</v>
      </c>
      <c r="S2129">
        <f>VLOOKUP(A2129,vlookup_table!$A:$G,7,FALSE)</f>
        <v>15</v>
      </c>
      <c r="T2129">
        <f t="shared" si="66"/>
        <v>47</v>
      </c>
      <c r="U2129" t="str">
        <f t="shared" si="67"/>
        <v>Ciudad</v>
      </c>
    </row>
    <row r="2130" spans="1:21" ht="16" x14ac:dyDescent="0.4">
      <c r="A2130" s="7">
        <v>45367</v>
      </c>
      <c r="B2130" s="7" t="s">
        <v>13</v>
      </c>
      <c r="C2130" s="7" t="s">
        <v>14</v>
      </c>
      <c r="D2130" s="7">
        <v>1172</v>
      </c>
      <c r="E2130" s="7">
        <v>455</v>
      </c>
      <c r="F2130" s="7">
        <v>525</v>
      </c>
      <c r="G2130" s="7">
        <v>6</v>
      </c>
      <c r="H2130" s="7">
        <v>18415</v>
      </c>
      <c r="I2130" s="7">
        <v>3</v>
      </c>
      <c r="J2130" s="7">
        <v>28</v>
      </c>
      <c r="K2130" s="7">
        <v>502</v>
      </c>
      <c r="L2130" s="7">
        <v>487</v>
      </c>
      <c r="M2130" s="7">
        <v>25</v>
      </c>
      <c r="N2130">
        <f>VLOOKUP(A2130,vlookup_table!$A:$G,2,FALSE)</f>
        <v>1002</v>
      </c>
      <c r="O2130" t="str">
        <f>VLOOKUP(A2130,vlookup_table!$A:$G,3,FALSE)</f>
        <v>FL</v>
      </c>
      <c r="P2130">
        <f>VLOOKUP(A2130,vlookup_table!$A:$G,4,FALSE)</f>
        <v>6501</v>
      </c>
      <c r="Q2130" t="str">
        <f>VLOOKUP(A2130,vlookup_table!$A:$G,5,FALSE)</f>
        <v>U1</v>
      </c>
      <c r="R2130" t="str">
        <f>VLOOKUP(A2130,vlookup_table!$A:$G,6,FALSE)</f>
        <v>M</v>
      </c>
      <c r="S2130">
        <f>VLOOKUP(A2130,vlookup_table!$A:$G,7,FALSE)</f>
        <v>30</v>
      </c>
      <c r="T2130">
        <f t="shared" si="66"/>
        <v>31</v>
      </c>
      <c r="U2130" t="str">
        <f t="shared" si="67"/>
        <v>Urbano</v>
      </c>
    </row>
    <row r="2131" spans="1:21" ht="16" x14ac:dyDescent="0.4">
      <c r="A2131" s="7">
        <v>112496</v>
      </c>
      <c r="B2131" s="7" t="s">
        <v>29</v>
      </c>
      <c r="C2131" s="7" t="s">
        <v>97</v>
      </c>
      <c r="D2131" s="7">
        <v>1906</v>
      </c>
      <c r="E2131" s="7">
        <v>512</v>
      </c>
      <c r="F2131" s="7">
        <v>896</v>
      </c>
      <c r="G2131" s="7">
        <v>44</v>
      </c>
      <c r="H2131" s="7">
        <v>41437</v>
      </c>
      <c r="I2131" s="7">
        <v>0</v>
      </c>
      <c r="J2131" s="7">
        <v>21</v>
      </c>
      <c r="K2131" s="7">
        <v>540</v>
      </c>
      <c r="L2131" s="7">
        <v>759</v>
      </c>
      <c r="M2131" s="7">
        <v>8.125</v>
      </c>
      <c r="N2131">
        <f>VLOOKUP(A2131,vlookup_table!$A:$G,2,FALSE)</f>
        <v>0</v>
      </c>
      <c r="O2131" t="str">
        <f>VLOOKUP(A2131,vlookup_table!$A:$G,3,FALSE)</f>
        <v>AR</v>
      </c>
      <c r="P2131">
        <f>VLOOKUP(A2131,vlookup_table!$A:$G,4,FALSE)</f>
        <v>0</v>
      </c>
      <c r="Q2131" t="str">
        <f>VLOOKUP(A2131,vlookup_table!$A:$G,5,FALSE)</f>
        <v>C1</v>
      </c>
      <c r="R2131" t="str">
        <f>VLOOKUP(A2131,vlookup_table!$A:$G,6,FALSE)</f>
        <v>F</v>
      </c>
      <c r="S2131">
        <f>VLOOKUP(A2131,vlookup_table!$A:$G,7,FALSE)</f>
        <v>10</v>
      </c>
      <c r="T2131">
        <f t="shared" si="66"/>
        <v>96</v>
      </c>
      <c r="U2131" t="str">
        <f t="shared" si="67"/>
        <v>Ciudad</v>
      </c>
    </row>
    <row r="2132" spans="1:21" ht="16" x14ac:dyDescent="0.4">
      <c r="A2132" s="7">
        <v>119576</v>
      </c>
      <c r="B2132" s="7" t="s">
        <v>20</v>
      </c>
      <c r="C2132" s="7" t="s">
        <v>14</v>
      </c>
      <c r="D2132" s="7">
        <v>916</v>
      </c>
      <c r="E2132" s="7">
        <v>505</v>
      </c>
      <c r="F2132" s="7">
        <v>571</v>
      </c>
      <c r="G2132" s="7">
        <v>0</v>
      </c>
      <c r="H2132" s="7">
        <v>18849</v>
      </c>
      <c r="I2132" s="7">
        <v>3</v>
      </c>
      <c r="J2132" s="7">
        <v>68</v>
      </c>
      <c r="K2132" s="7">
        <v>571</v>
      </c>
      <c r="L2132" s="7">
        <v>496</v>
      </c>
      <c r="M2132" s="7">
        <v>9.1999999999999993</v>
      </c>
      <c r="N2132">
        <f>VLOOKUP(A2132,vlookup_table!$A:$G,2,FALSE)</f>
        <v>1</v>
      </c>
      <c r="O2132" t="str">
        <f>VLOOKUP(A2132,vlookup_table!$A:$G,3,FALSE)</f>
        <v>TX</v>
      </c>
      <c r="P2132">
        <f>VLOOKUP(A2132,vlookup_table!$A:$G,4,FALSE)</f>
        <v>5901</v>
      </c>
      <c r="Q2132" t="str">
        <f>VLOOKUP(A2132,vlookup_table!$A:$G,5,FALSE)</f>
        <v>S1</v>
      </c>
      <c r="R2132" t="str">
        <f>VLOOKUP(A2132,vlookup_table!$A:$G,6,FALSE)</f>
        <v>M</v>
      </c>
      <c r="S2132">
        <f>VLOOKUP(A2132,vlookup_table!$A:$G,7,FALSE)</f>
        <v>9</v>
      </c>
      <c r="T2132">
        <f t="shared" si="66"/>
        <v>37</v>
      </c>
      <c r="U2132" t="str">
        <f t="shared" si="67"/>
        <v>Suburbano</v>
      </c>
    </row>
    <row r="2133" spans="1:21" ht="16" x14ac:dyDescent="0.4">
      <c r="A2133" s="7">
        <v>9923</v>
      </c>
      <c r="B2133" s="7" t="s">
        <v>20</v>
      </c>
      <c r="C2133" s="7" t="s">
        <v>17</v>
      </c>
      <c r="D2133" s="7">
        <v>1234</v>
      </c>
      <c r="E2133" s="7">
        <v>363</v>
      </c>
      <c r="F2133" s="7">
        <v>561</v>
      </c>
      <c r="G2133" s="7">
        <v>19</v>
      </c>
      <c r="H2133" s="7">
        <v>21054</v>
      </c>
      <c r="I2133" s="7">
        <v>3</v>
      </c>
      <c r="J2133" s="7">
        <v>58</v>
      </c>
      <c r="K2133" s="7">
        <v>456</v>
      </c>
      <c r="L2133" s="7">
        <v>441</v>
      </c>
      <c r="M2133" s="7">
        <v>11.235294120000001</v>
      </c>
      <c r="N2133">
        <f>VLOOKUP(A2133,vlookup_table!$A:$G,2,FALSE)</f>
        <v>28</v>
      </c>
      <c r="O2133" t="str">
        <f>VLOOKUP(A2133,vlookup_table!$A:$G,3,FALSE)</f>
        <v>TX</v>
      </c>
      <c r="P2133">
        <f>VLOOKUP(A2133,vlookup_table!$A:$G,4,FALSE)</f>
        <v>4501</v>
      </c>
      <c r="Q2133" t="str">
        <f>VLOOKUP(A2133,vlookup_table!$A:$G,5,FALSE)</f>
        <v/>
      </c>
      <c r="R2133" t="str">
        <f>VLOOKUP(A2133,vlookup_table!$A:$G,6,FALSE)</f>
        <v>F</v>
      </c>
      <c r="S2133">
        <f>VLOOKUP(A2133,vlookup_table!$A:$G,7,FALSE)</f>
        <v>14</v>
      </c>
      <c r="T2133">
        <f t="shared" si="66"/>
        <v>51</v>
      </c>
      <c r="U2133" t="str">
        <f t="shared" si="67"/>
        <v/>
      </c>
    </row>
    <row r="2134" spans="1:21" ht="16" x14ac:dyDescent="0.4">
      <c r="A2134" s="7">
        <v>69963</v>
      </c>
      <c r="B2134" s="7" t="s">
        <v>26</v>
      </c>
      <c r="C2134" s="7" t="s">
        <v>17</v>
      </c>
      <c r="D2134" s="7">
        <v>567</v>
      </c>
      <c r="E2134" s="7">
        <v>359</v>
      </c>
      <c r="F2134" s="7">
        <v>405</v>
      </c>
      <c r="G2134" s="7">
        <v>0</v>
      </c>
      <c r="H2134" s="7">
        <v>14794</v>
      </c>
      <c r="I2134" s="7">
        <v>0</v>
      </c>
      <c r="J2134" s="7">
        <v>80</v>
      </c>
      <c r="K2134" s="7">
        <v>395</v>
      </c>
      <c r="L2134" s="7">
        <v>370</v>
      </c>
      <c r="M2134" s="7">
        <v>23.125</v>
      </c>
      <c r="N2134">
        <f>VLOOKUP(A2134,vlookup_table!$A:$G,2,FALSE)</f>
        <v>0</v>
      </c>
      <c r="O2134" t="str">
        <f>VLOOKUP(A2134,vlookup_table!$A:$G,3,FALSE)</f>
        <v>MI</v>
      </c>
      <c r="P2134">
        <f>VLOOKUP(A2134,vlookup_table!$A:$G,4,FALSE)</f>
        <v>3908</v>
      </c>
      <c r="Q2134" t="str">
        <f>VLOOKUP(A2134,vlookup_table!$A:$G,5,FALSE)</f>
        <v>S3</v>
      </c>
      <c r="R2134" t="str">
        <f>VLOOKUP(A2134,vlookup_table!$A:$G,6,FALSE)</f>
        <v>F</v>
      </c>
      <c r="S2134">
        <f>VLOOKUP(A2134,vlookup_table!$A:$G,7,FALSE)</f>
        <v>25</v>
      </c>
      <c r="T2134">
        <f t="shared" si="66"/>
        <v>57</v>
      </c>
      <c r="U2134" t="str">
        <f t="shared" si="67"/>
        <v>Suburbano</v>
      </c>
    </row>
    <row r="2135" spans="1:21" ht="16" x14ac:dyDescent="0.4">
      <c r="A2135" s="7">
        <v>32538</v>
      </c>
      <c r="B2135" s="7" t="s">
        <v>13</v>
      </c>
      <c r="C2135" s="7" t="s">
        <v>17</v>
      </c>
      <c r="D2135" s="7">
        <v>752</v>
      </c>
      <c r="E2135" s="7">
        <v>346</v>
      </c>
      <c r="F2135" s="7">
        <v>413</v>
      </c>
      <c r="G2135" s="7">
        <v>0</v>
      </c>
      <c r="H2135" s="7">
        <v>14353</v>
      </c>
      <c r="I2135" s="7">
        <v>9</v>
      </c>
      <c r="J2135" s="7">
        <v>24</v>
      </c>
      <c r="K2135" s="7">
        <v>367</v>
      </c>
      <c r="L2135" s="7">
        <v>374</v>
      </c>
      <c r="M2135" s="7">
        <v>5.307692308</v>
      </c>
      <c r="N2135">
        <f>VLOOKUP(A2135,vlookup_table!$A:$G,2,FALSE)</f>
        <v>0</v>
      </c>
      <c r="O2135" t="str">
        <f>VLOOKUP(A2135,vlookup_table!$A:$G,3,FALSE)</f>
        <v>FL</v>
      </c>
      <c r="P2135">
        <f>VLOOKUP(A2135,vlookup_table!$A:$G,4,FALSE)</f>
        <v>1509</v>
      </c>
      <c r="Q2135" t="str">
        <f>VLOOKUP(A2135,vlookup_table!$A:$G,5,FALSE)</f>
        <v>S2</v>
      </c>
      <c r="R2135" t="str">
        <f>VLOOKUP(A2135,vlookup_table!$A:$G,6,FALSE)</f>
        <v>F</v>
      </c>
      <c r="S2135">
        <f>VLOOKUP(A2135,vlookup_table!$A:$G,7,FALSE)</f>
        <v>6</v>
      </c>
      <c r="T2135">
        <f t="shared" si="66"/>
        <v>81</v>
      </c>
      <c r="U2135" t="str">
        <f t="shared" si="67"/>
        <v>Suburbano</v>
      </c>
    </row>
    <row r="2136" spans="1:21" ht="16" x14ac:dyDescent="0.4">
      <c r="A2136" s="7">
        <v>175139</v>
      </c>
      <c r="B2136" s="7" t="s">
        <v>47</v>
      </c>
      <c r="C2136" s="7" t="s">
        <v>14</v>
      </c>
      <c r="D2136" s="7">
        <v>685</v>
      </c>
      <c r="E2136" s="7">
        <v>237</v>
      </c>
      <c r="F2136" s="7">
        <v>338</v>
      </c>
      <c r="G2136" s="7">
        <v>0</v>
      </c>
      <c r="H2136" s="7">
        <v>11659</v>
      </c>
      <c r="I2136" s="7">
        <v>6</v>
      </c>
      <c r="J2136" s="7">
        <v>54</v>
      </c>
      <c r="K2136" s="7">
        <v>305</v>
      </c>
      <c r="L2136" s="7">
        <v>306</v>
      </c>
      <c r="M2136" s="7">
        <v>10</v>
      </c>
      <c r="N2136">
        <f>VLOOKUP(A2136,vlookup_table!$A:$G,2,FALSE)</f>
        <v>1</v>
      </c>
      <c r="O2136" t="str">
        <f>VLOOKUP(A2136,vlookup_table!$A:$G,3,FALSE)</f>
        <v>OR</v>
      </c>
      <c r="P2136">
        <f>VLOOKUP(A2136,vlookup_table!$A:$G,4,FALSE)</f>
        <v>2812</v>
      </c>
      <c r="Q2136" t="str">
        <f>VLOOKUP(A2136,vlookup_table!$A:$G,5,FALSE)</f>
        <v>T2</v>
      </c>
      <c r="R2136" t="str">
        <f>VLOOKUP(A2136,vlookup_table!$A:$G,6,FALSE)</f>
        <v>M</v>
      </c>
      <c r="S2136">
        <f>VLOOKUP(A2136,vlookup_table!$A:$G,7,FALSE)</f>
        <v>15</v>
      </c>
      <c r="T2136">
        <f t="shared" si="66"/>
        <v>68</v>
      </c>
      <c r="U2136" t="str">
        <f t="shared" si="67"/>
        <v>Pueblo</v>
      </c>
    </row>
    <row r="2137" spans="1:21" ht="16" x14ac:dyDescent="0.4">
      <c r="A2137" s="7">
        <v>138552</v>
      </c>
      <c r="B2137" s="7" t="s">
        <v>51</v>
      </c>
      <c r="C2137" s="7" t="s">
        <v>14</v>
      </c>
      <c r="D2137" s="7">
        <v>611</v>
      </c>
      <c r="E2137" s="7">
        <v>289</v>
      </c>
      <c r="F2137" s="7">
        <v>354</v>
      </c>
      <c r="G2137" s="7">
        <v>0</v>
      </c>
      <c r="H2137" s="7">
        <v>9529</v>
      </c>
      <c r="I2137" s="7">
        <v>7</v>
      </c>
      <c r="J2137" s="7">
        <v>56</v>
      </c>
      <c r="K2137" s="7">
        <v>302</v>
      </c>
      <c r="L2137" s="7">
        <v>332</v>
      </c>
      <c r="M2137" s="7">
        <v>10.30769231</v>
      </c>
      <c r="N2137">
        <f>VLOOKUP(A2137,vlookup_table!$A:$G,2,FALSE)</f>
        <v>1</v>
      </c>
      <c r="O2137" t="str">
        <f>VLOOKUP(A2137,vlookup_table!$A:$G,3,FALSE)</f>
        <v>AZ</v>
      </c>
      <c r="P2137">
        <f>VLOOKUP(A2137,vlookup_table!$A:$G,4,FALSE)</f>
        <v>2103</v>
      </c>
      <c r="Q2137" t="str">
        <f>VLOOKUP(A2137,vlookup_table!$A:$G,5,FALSE)</f>
        <v>S2</v>
      </c>
      <c r="R2137" t="str">
        <f>VLOOKUP(A2137,vlookup_table!$A:$G,6,FALSE)</f>
        <v>M</v>
      </c>
      <c r="S2137">
        <f>VLOOKUP(A2137,vlookup_table!$A:$G,7,FALSE)</f>
        <v>10</v>
      </c>
      <c r="T2137">
        <f t="shared" si="66"/>
        <v>75</v>
      </c>
      <c r="U2137" t="str">
        <f t="shared" si="67"/>
        <v>Suburbano</v>
      </c>
    </row>
    <row r="2138" spans="1:21" ht="16" x14ac:dyDescent="0.4">
      <c r="A2138" s="7">
        <v>160103</v>
      </c>
      <c r="B2138" s="7" t="s">
        <v>21</v>
      </c>
      <c r="C2138" s="7" t="s">
        <v>17</v>
      </c>
      <c r="D2138" s="7">
        <v>0</v>
      </c>
      <c r="E2138" s="7">
        <v>0</v>
      </c>
      <c r="F2138" s="7">
        <v>0</v>
      </c>
      <c r="G2138" s="7">
        <v>0</v>
      </c>
      <c r="H2138" s="7">
        <v>0</v>
      </c>
      <c r="I2138" s="7">
        <v>0</v>
      </c>
      <c r="J2138" s="7">
        <v>0</v>
      </c>
      <c r="K2138" s="7">
        <v>0</v>
      </c>
      <c r="L2138" s="7">
        <v>0</v>
      </c>
      <c r="M2138" s="7">
        <v>5.25</v>
      </c>
      <c r="N2138">
        <f>VLOOKUP(A2138,vlookup_table!$A:$G,2,FALSE)</f>
        <v>0</v>
      </c>
      <c r="O2138" t="str">
        <f>VLOOKUP(A2138,vlookup_table!$A:$G,3,FALSE)</f>
        <v>CA</v>
      </c>
      <c r="P2138">
        <f>VLOOKUP(A2138,vlookup_table!$A:$G,4,FALSE)</f>
        <v>3601</v>
      </c>
      <c r="Q2138" t="str">
        <f>VLOOKUP(A2138,vlookup_table!$A:$G,5,FALSE)</f>
        <v>S2</v>
      </c>
      <c r="R2138" t="str">
        <f>VLOOKUP(A2138,vlookup_table!$A:$G,6,FALSE)</f>
        <v>F</v>
      </c>
      <c r="S2138">
        <f>VLOOKUP(A2138,vlookup_table!$A:$G,7,FALSE)</f>
        <v>5</v>
      </c>
      <c r="T2138">
        <f t="shared" si="66"/>
        <v>60</v>
      </c>
      <c r="U2138" t="str">
        <f t="shared" si="67"/>
        <v>Suburbano</v>
      </c>
    </row>
    <row r="2139" spans="1:21" ht="16" x14ac:dyDescent="0.4">
      <c r="A2139" s="7">
        <v>152151</v>
      </c>
      <c r="B2139" s="7" t="s">
        <v>21</v>
      </c>
      <c r="C2139" s="7" t="s">
        <v>14</v>
      </c>
      <c r="D2139" s="7">
        <v>1447</v>
      </c>
      <c r="E2139" s="7">
        <v>296</v>
      </c>
      <c r="F2139" s="7">
        <v>434</v>
      </c>
      <c r="G2139" s="7">
        <v>9</v>
      </c>
      <c r="H2139" s="7">
        <v>17489</v>
      </c>
      <c r="I2139" s="7">
        <v>9</v>
      </c>
      <c r="J2139" s="7">
        <v>44</v>
      </c>
      <c r="K2139" s="7">
        <v>402</v>
      </c>
      <c r="L2139" s="7">
        <v>355</v>
      </c>
      <c r="M2139" s="7">
        <v>23.85714286</v>
      </c>
      <c r="N2139">
        <f>VLOOKUP(A2139,vlookup_table!$A:$G,2,FALSE)</f>
        <v>0</v>
      </c>
      <c r="O2139" t="str">
        <f>VLOOKUP(A2139,vlookup_table!$A:$G,3,FALSE)</f>
        <v>CA</v>
      </c>
      <c r="P2139">
        <f>VLOOKUP(A2139,vlookup_table!$A:$G,4,FALSE)</f>
        <v>0</v>
      </c>
      <c r="Q2139" t="str">
        <f>VLOOKUP(A2139,vlookup_table!$A:$G,5,FALSE)</f>
        <v>S3</v>
      </c>
      <c r="R2139" t="str">
        <f>VLOOKUP(A2139,vlookup_table!$A:$G,6,FALSE)</f>
        <v>M</v>
      </c>
      <c r="S2139">
        <f>VLOOKUP(A2139,vlookup_table!$A:$G,7,FALSE)</f>
        <v>42</v>
      </c>
      <c r="T2139">
        <f t="shared" si="66"/>
        <v>96</v>
      </c>
      <c r="U2139" t="str">
        <f t="shared" si="67"/>
        <v>Suburbano</v>
      </c>
    </row>
    <row r="2140" spans="1:21" ht="16" x14ac:dyDescent="0.4">
      <c r="A2140" s="7">
        <v>174271</v>
      </c>
      <c r="B2140" s="7" t="s">
        <v>34</v>
      </c>
      <c r="C2140" s="7" t="s">
        <v>14</v>
      </c>
      <c r="D2140" s="7">
        <v>2786</v>
      </c>
      <c r="E2140" s="7">
        <v>301</v>
      </c>
      <c r="F2140" s="7">
        <v>393</v>
      </c>
      <c r="G2140" s="7">
        <v>68</v>
      </c>
      <c r="H2140" s="7">
        <v>16808</v>
      </c>
      <c r="I2140" s="7">
        <v>19</v>
      </c>
      <c r="J2140" s="7">
        <v>67</v>
      </c>
      <c r="K2140" s="7">
        <v>366</v>
      </c>
      <c r="L2140" s="7">
        <v>340</v>
      </c>
      <c r="M2140" s="7">
        <v>15.83333333</v>
      </c>
      <c r="N2140">
        <f>VLOOKUP(A2140,vlookup_table!$A:$G,2,FALSE)</f>
        <v>1</v>
      </c>
      <c r="O2140" t="str">
        <f>VLOOKUP(A2140,vlookup_table!$A:$G,3,FALSE)</f>
        <v>HI</v>
      </c>
      <c r="P2140">
        <f>VLOOKUP(A2140,vlookup_table!$A:$G,4,FALSE)</f>
        <v>0</v>
      </c>
      <c r="Q2140" t="str">
        <f>VLOOKUP(A2140,vlookup_table!$A:$G,5,FALSE)</f>
        <v>U1</v>
      </c>
      <c r="R2140" t="str">
        <f>VLOOKUP(A2140,vlookup_table!$A:$G,6,FALSE)</f>
        <v>M</v>
      </c>
      <c r="S2140">
        <f>VLOOKUP(A2140,vlookup_table!$A:$G,7,FALSE)</f>
        <v>18</v>
      </c>
      <c r="T2140">
        <f t="shared" si="66"/>
        <v>96</v>
      </c>
      <c r="U2140" t="str">
        <f t="shared" si="67"/>
        <v>Urbano</v>
      </c>
    </row>
    <row r="2141" spans="1:21" ht="16" x14ac:dyDescent="0.4">
      <c r="A2141" s="7">
        <v>41434</v>
      </c>
      <c r="B2141" s="7" t="s">
        <v>13</v>
      </c>
      <c r="C2141" s="7" t="s">
        <v>14</v>
      </c>
      <c r="D2141" s="7">
        <v>782</v>
      </c>
      <c r="E2141" s="7">
        <v>435</v>
      </c>
      <c r="F2141" s="7">
        <v>451</v>
      </c>
      <c r="G2141" s="7">
        <v>0</v>
      </c>
      <c r="H2141" s="7">
        <v>14253</v>
      </c>
      <c r="I2141" s="7">
        <v>2</v>
      </c>
      <c r="J2141" s="7">
        <v>33</v>
      </c>
      <c r="K2141" s="7">
        <v>437</v>
      </c>
      <c r="L2141" s="7">
        <v>443</v>
      </c>
      <c r="M2141" s="7">
        <v>6.5882352940000004</v>
      </c>
      <c r="N2141">
        <f>VLOOKUP(A2141,vlookup_table!$A:$G,2,FALSE)</f>
        <v>1002</v>
      </c>
      <c r="O2141" t="str">
        <f>VLOOKUP(A2141,vlookup_table!$A:$G,3,FALSE)</f>
        <v>FL</v>
      </c>
      <c r="P2141">
        <f>VLOOKUP(A2141,vlookup_table!$A:$G,4,FALSE)</f>
        <v>4710</v>
      </c>
      <c r="Q2141" t="str">
        <f>VLOOKUP(A2141,vlookup_table!$A:$G,5,FALSE)</f>
        <v>U4</v>
      </c>
      <c r="R2141" t="str">
        <f>VLOOKUP(A2141,vlookup_table!$A:$G,6,FALSE)</f>
        <v>M</v>
      </c>
      <c r="S2141">
        <f>VLOOKUP(A2141,vlookup_table!$A:$G,7,FALSE)</f>
        <v>5</v>
      </c>
      <c r="T2141">
        <f t="shared" si="66"/>
        <v>49</v>
      </c>
      <c r="U2141" t="str">
        <f t="shared" si="67"/>
        <v>Urbano</v>
      </c>
    </row>
    <row r="2142" spans="1:21" ht="16" x14ac:dyDescent="0.4">
      <c r="A2142" s="7">
        <v>3312</v>
      </c>
      <c r="B2142" s="7" t="s">
        <v>32</v>
      </c>
      <c r="C2142" s="7" t="s">
        <v>14</v>
      </c>
      <c r="D2142" s="7">
        <v>930</v>
      </c>
      <c r="E2142" s="7">
        <v>397</v>
      </c>
      <c r="F2142" s="7">
        <v>552</v>
      </c>
      <c r="G2142" s="7">
        <v>2</v>
      </c>
      <c r="H2142" s="7">
        <v>17794</v>
      </c>
      <c r="I2142" s="7">
        <v>1</v>
      </c>
      <c r="J2142" s="7">
        <v>76</v>
      </c>
      <c r="K2142" s="7">
        <v>511</v>
      </c>
      <c r="L2142" s="7">
        <v>441</v>
      </c>
      <c r="M2142" s="7">
        <v>11.44444444</v>
      </c>
      <c r="N2142">
        <f>VLOOKUP(A2142,vlookup_table!$A:$G,2,FALSE)</f>
        <v>1</v>
      </c>
      <c r="O2142" t="str">
        <f>VLOOKUP(A2142,vlookup_table!$A:$G,3,FALSE)</f>
        <v>WI</v>
      </c>
      <c r="P2142">
        <f>VLOOKUP(A2142,vlookup_table!$A:$G,4,FALSE)</f>
        <v>5001</v>
      </c>
      <c r="Q2142" t="str">
        <f>VLOOKUP(A2142,vlookup_table!$A:$G,5,FALSE)</f>
        <v>T1</v>
      </c>
      <c r="R2142" t="str">
        <f>VLOOKUP(A2142,vlookup_table!$A:$G,6,FALSE)</f>
        <v>M</v>
      </c>
      <c r="S2142">
        <f>VLOOKUP(A2142,vlookup_table!$A:$G,7,FALSE)</f>
        <v>15</v>
      </c>
      <c r="T2142">
        <f t="shared" si="66"/>
        <v>46</v>
      </c>
      <c r="U2142" t="str">
        <f t="shared" si="67"/>
        <v>Pueblo</v>
      </c>
    </row>
    <row r="2143" spans="1:21" ht="16" x14ac:dyDescent="0.4">
      <c r="A2143" s="7">
        <v>120805</v>
      </c>
      <c r="B2143" s="7" t="s">
        <v>20</v>
      </c>
      <c r="C2143" s="7" t="s">
        <v>17</v>
      </c>
      <c r="D2143" s="7">
        <v>693</v>
      </c>
      <c r="E2143" s="7">
        <v>332</v>
      </c>
      <c r="F2143" s="7">
        <v>390</v>
      </c>
      <c r="G2143" s="7">
        <v>5</v>
      </c>
      <c r="H2143" s="7">
        <v>15009</v>
      </c>
      <c r="I2143" s="7">
        <v>3</v>
      </c>
      <c r="J2143" s="7">
        <v>75</v>
      </c>
      <c r="K2143" s="7">
        <v>339</v>
      </c>
      <c r="L2143" s="7">
        <v>367</v>
      </c>
      <c r="M2143" s="7">
        <v>6.4285714289999998</v>
      </c>
      <c r="N2143">
        <f>VLOOKUP(A2143,vlookup_table!$A:$G,2,FALSE)</f>
        <v>0</v>
      </c>
      <c r="O2143" t="str">
        <f>VLOOKUP(A2143,vlookup_table!$A:$G,3,FALSE)</f>
        <v>TX</v>
      </c>
      <c r="P2143">
        <f>VLOOKUP(A2143,vlookup_table!$A:$G,4,FALSE)</f>
        <v>3501</v>
      </c>
      <c r="Q2143" t="str">
        <f>VLOOKUP(A2143,vlookup_table!$A:$G,5,FALSE)</f>
        <v>C2</v>
      </c>
      <c r="R2143" t="str">
        <f>VLOOKUP(A2143,vlookup_table!$A:$G,6,FALSE)</f>
        <v>F</v>
      </c>
      <c r="S2143">
        <f>VLOOKUP(A2143,vlookup_table!$A:$G,7,FALSE)</f>
        <v>5</v>
      </c>
      <c r="T2143">
        <f t="shared" si="66"/>
        <v>61</v>
      </c>
      <c r="U2143" t="str">
        <f t="shared" si="67"/>
        <v>Ciudad</v>
      </c>
    </row>
    <row r="2144" spans="1:21" ht="16" x14ac:dyDescent="0.4">
      <c r="A2144" s="7">
        <v>2889</v>
      </c>
      <c r="B2144" s="7" t="s">
        <v>28</v>
      </c>
      <c r="C2144" s="7" t="s">
        <v>17</v>
      </c>
      <c r="D2144" s="7">
        <v>208</v>
      </c>
      <c r="E2144" s="7">
        <v>210</v>
      </c>
      <c r="F2144" s="7">
        <v>305</v>
      </c>
      <c r="G2144" s="7">
        <v>0</v>
      </c>
      <c r="H2144" s="7">
        <v>11711</v>
      </c>
      <c r="I2144" s="7">
        <v>0</v>
      </c>
      <c r="J2144" s="7">
        <v>60</v>
      </c>
      <c r="K2144" s="7">
        <v>261</v>
      </c>
      <c r="L2144" s="7">
        <v>261</v>
      </c>
      <c r="M2144" s="7">
        <v>3.1818181820000002</v>
      </c>
      <c r="N2144">
        <f>VLOOKUP(A2144,vlookup_table!$A:$G,2,FALSE)</f>
        <v>2</v>
      </c>
      <c r="O2144" t="str">
        <f>VLOOKUP(A2144,vlookup_table!$A:$G,3,FALSE)</f>
        <v>OK</v>
      </c>
      <c r="P2144">
        <f>VLOOKUP(A2144,vlookup_table!$A:$G,4,FALSE)</f>
        <v>1601</v>
      </c>
      <c r="Q2144" t="str">
        <f>VLOOKUP(A2144,vlookup_table!$A:$G,5,FALSE)</f>
        <v>R2</v>
      </c>
      <c r="R2144" t="str">
        <f>VLOOKUP(A2144,vlookup_table!$A:$G,6,FALSE)</f>
        <v>F</v>
      </c>
      <c r="S2144">
        <f>VLOOKUP(A2144,vlookup_table!$A:$G,7,FALSE)</f>
        <v>3</v>
      </c>
      <c r="T2144">
        <f t="shared" si="66"/>
        <v>80</v>
      </c>
      <c r="U2144" t="str">
        <f t="shared" si="67"/>
        <v>Rural</v>
      </c>
    </row>
    <row r="2145" spans="1:21" ht="16" x14ac:dyDescent="0.4">
      <c r="A2145" s="7">
        <v>162271</v>
      </c>
      <c r="B2145" s="7" t="s">
        <v>21</v>
      </c>
      <c r="C2145" s="7" t="s">
        <v>14</v>
      </c>
      <c r="D2145" s="7">
        <v>4474</v>
      </c>
      <c r="E2145" s="7">
        <v>467</v>
      </c>
      <c r="F2145" s="7">
        <v>687</v>
      </c>
      <c r="G2145" s="7">
        <v>87</v>
      </c>
      <c r="H2145" s="7">
        <v>27544</v>
      </c>
      <c r="I2145" s="7">
        <v>18</v>
      </c>
      <c r="J2145" s="7">
        <v>41</v>
      </c>
      <c r="K2145" s="7">
        <v>608</v>
      </c>
      <c r="L2145" s="7">
        <v>583</v>
      </c>
      <c r="M2145" s="7">
        <v>10</v>
      </c>
      <c r="N2145">
        <f>VLOOKUP(A2145,vlookup_table!$A:$G,2,FALSE)</f>
        <v>0</v>
      </c>
      <c r="O2145" t="str">
        <f>VLOOKUP(A2145,vlookup_table!$A:$G,3,FALSE)</f>
        <v>CA</v>
      </c>
      <c r="P2145">
        <f>VLOOKUP(A2145,vlookup_table!$A:$G,4,FALSE)</f>
        <v>0</v>
      </c>
      <c r="Q2145" t="str">
        <f>VLOOKUP(A2145,vlookup_table!$A:$G,5,FALSE)</f>
        <v>S1</v>
      </c>
      <c r="R2145" t="str">
        <f>VLOOKUP(A2145,vlookup_table!$A:$G,6,FALSE)</f>
        <v>M</v>
      </c>
      <c r="S2145">
        <f>VLOOKUP(A2145,vlookup_table!$A:$G,7,FALSE)</f>
        <v>15</v>
      </c>
      <c r="T2145">
        <f t="shared" si="66"/>
        <v>96</v>
      </c>
      <c r="U2145" t="str">
        <f t="shared" si="67"/>
        <v>Suburbano</v>
      </c>
    </row>
    <row r="2146" spans="1:21" ht="16" x14ac:dyDescent="0.4">
      <c r="A2146" s="7">
        <v>74955</v>
      </c>
      <c r="B2146" s="7" t="s">
        <v>44</v>
      </c>
      <c r="C2146" s="7" t="s">
        <v>17</v>
      </c>
      <c r="D2146" s="7">
        <v>334</v>
      </c>
      <c r="E2146" s="7">
        <v>165</v>
      </c>
      <c r="F2146" s="7">
        <v>268</v>
      </c>
      <c r="G2146" s="7">
        <v>0</v>
      </c>
      <c r="H2146" s="7">
        <v>10461</v>
      </c>
      <c r="I2146" s="7">
        <v>0</v>
      </c>
      <c r="J2146" s="7">
        <v>84</v>
      </c>
      <c r="K2146" s="7">
        <v>193</v>
      </c>
      <c r="L2146" s="7">
        <v>219</v>
      </c>
      <c r="M2146" s="7">
        <v>12.612903230000001</v>
      </c>
      <c r="N2146">
        <f>VLOOKUP(A2146,vlookup_table!$A:$G,2,FALSE)</f>
        <v>0</v>
      </c>
      <c r="O2146" t="str">
        <f>VLOOKUP(A2146,vlookup_table!$A:$G,3,FALSE)</f>
        <v>IA</v>
      </c>
      <c r="P2146">
        <f>VLOOKUP(A2146,vlookup_table!$A:$G,4,FALSE)</f>
        <v>2411</v>
      </c>
      <c r="Q2146" t="str">
        <f>VLOOKUP(A2146,vlookup_table!$A:$G,5,FALSE)</f>
        <v>T3</v>
      </c>
      <c r="R2146" t="str">
        <f>VLOOKUP(A2146,vlookup_table!$A:$G,6,FALSE)</f>
        <v>F</v>
      </c>
      <c r="S2146">
        <f>VLOOKUP(A2146,vlookup_table!$A:$G,7,FALSE)</f>
        <v>10</v>
      </c>
      <c r="T2146">
        <f t="shared" si="66"/>
        <v>72</v>
      </c>
      <c r="U2146" t="str">
        <f t="shared" si="67"/>
        <v>Pueblo</v>
      </c>
    </row>
    <row r="2147" spans="1:21" ht="16" x14ac:dyDescent="0.4">
      <c r="A2147" s="7">
        <v>151846</v>
      </c>
      <c r="B2147" s="7" t="s">
        <v>21</v>
      </c>
      <c r="C2147" s="7" t="s">
        <v>14</v>
      </c>
      <c r="D2147" s="7">
        <v>1234</v>
      </c>
      <c r="E2147" s="7">
        <v>284</v>
      </c>
      <c r="F2147" s="7">
        <v>284</v>
      </c>
      <c r="G2147" s="7">
        <v>2</v>
      </c>
      <c r="H2147" s="7">
        <v>8270</v>
      </c>
      <c r="I2147" s="7">
        <v>27</v>
      </c>
      <c r="J2147" s="7">
        <v>38</v>
      </c>
      <c r="K2147" s="7">
        <v>276</v>
      </c>
      <c r="L2147" s="7">
        <v>308</v>
      </c>
      <c r="M2147" s="7">
        <v>5.75</v>
      </c>
      <c r="N2147">
        <f>VLOOKUP(A2147,vlookup_table!$A:$G,2,FALSE)</f>
        <v>0</v>
      </c>
      <c r="O2147" t="str">
        <f>VLOOKUP(A2147,vlookup_table!$A:$G,3,FALSE)</f>
        <v>CA</v>
      </c>
      <c r="P2147">
        <f>VLOOKUP(A2147,vlookup_table!$A:$G,4,FALSE)</f>
        <v>0</v>
      </c>
      <c r="Q2147" t="str">
        <f>VLOOKUP(A2147,vlookup_table!$A:$G,5,FALSE)</f>
        <v>S1</v>
      </c>
      <c r="R2147" t="str">
        <f>VLOOKUP(A2147,vlookup_table!$A:$G,6,FALSE)</f>
        <v>M</v>
      </c>
      <c r="S2147">
        <f>VLOOKUP(A2147,vlookup_table!$A:$G,7,FALSE)</f>
        <v>10</v>
      </c>
      <c r="T2147">
        <f t="shared" si="66"/>
        <v>96</v>
      </c>
      <c r="U2147" t="str">
        <f t="shared" si="67"/>
        <v>Suburbano</v>
      </c>
    </row>
    <row r="2148" spans="1:21" ht="16" x14ac:dyDescent="0.4">
      <c r="A2148" s="7">
        <v>148546</v>
      </c>
      <c r="B2148" s="7" t="s">
        <v>21</v>
      </c>
      <c r="C2148" s="7" t="s">
        <v>14</v>
      </c>
      <c r="D2148" s="7">
        <v>4286</v>
      </c>
      <c r="E2148" s="7">
        <v>811</v>
      </c>
      <c r="F2148" s="7">
        <v>947</v>
      </c>
      <c r="G2148" s="7">
        <v>95</v>
      </c>
      <c r="H2148" s="7">
        <v>33614</v>
      </c>
      <c r="I2148" s="7">
        <v>24</v>
      </c>
      <c r="J2148" s="7">
        <v>41</v>
      </c>
      <c r="K2148" s="7">
        <v>910</v>
      </c>
      <c r="L2148" s="7">
        <v>883</v>
      </c>
      <c r="M2148" s="7">
        <v>5.1333333330000004</v>
      </c>
      <c r="N2148">
        <f>VLOOKUP(A2148,vlookup_table!$A:$G,2,FALSE)</f>
        <v>1</v>
      </c>
      <c r="O2148" t="str">
        <f>VLOOKUP(A2148,vlookup_table!$A:$G,3,FALSE)</f>
        <v>CA</v>
      </c>
      <c r="P2148">
        <f>VLOOKUP(A2148,vlookup_table!$A:$G,4,FALSE)</f>
        <v>1201</v>
      </c>
      <c r="Q2148" t="str">
        <f>VLOOKUP(A2148,vlookup_table!$A:$G,5,FALSE)</f>
        <v>S1</v>
      </c>
      <c r="R2148" t="str">
        <f>VLOOKUP(A2148,vlookup_table!$A:$G,6,FALSE)</f>
        <v>M</v>
      </c>
      <c r="S2148">
        <f>VLOOKUP(A2148,vlookup_table!$A:$G,7,FALSE)</f>
        <v>6</v>
      </c>
      <c r="T2148">
        <f t="shared" si="66"/>
        <v>84</v>
      </c>
      <c r="U2148" t="str">
        <f t="shared" si="67"/>
        <v>Suburbano</v>
      </c>
    </row>
    <row r="2149" spans="1:21" ht="16" x14ac:dyDescent="0.4">
      <c r="A2149" s="7">
        <v>12837</v>
      </c>
      <c r="B2149" s="7" t="s">
        <v>16</v>
      </c>
      <c r="C2149" s="7" t="s">
        <v>17</v>
      </c>
      <c r="D2149" s="7">
        <v>1072</v>
      </c>
      <c r="E2149" s="7">
        <v>547</v>
      </c>
      <c r="F2149" s="7">
        <v>636</v>
      </c>
      <c r="G2149" s="7">
        <v>0</v>
      </c>
      <c r="H2149" s="7">
        <v>17662</v>
      </c>
      <c r="I2149" s="7">
        <v>10</v>
      </c>
      <c r="J2149" s="7">
        <v>83</v>
      </c>
      <c r="K2149" s="7">
        <v>597</v>
      </c>
      <c r="L2149" s="7">
        <v>555</v>
      </c>
      <c r="M2149" s="7">
        <v>18.600000000000001</v>
      </c>
      <c r="N2149">
        <f>VLOOKUP(A2149,vlookup_table!$A:$G,2,FALSE)</f>
        <v>28</v>
      </c>
      <c r="O2149" t="str">
        <f>VLOOKUP(A2149,vlookup_table!$A:$G,3,FALSE)</f>
        <v>IL</v>
      </c>
      <c r="P2149">
        <f>VLOOKUP(A2149,vlookup_table!$A:$G,4,FALSE)</f>
        <v>5401</v>
      </c>
      <c r="Q2149" t="str">
        <f>VLOOKUP(A2149,vlookup_table!$A:$G,5,FALSE)</f>
        <v>S2</v>
      </c>
      <c r="R2149" t="str">
        <f>VLOOKUP(A2149,vlookup_table!$A:$G,6,FALSE)</f>
        <v>F</v>
      </c>
      <c r="S2149">
        <f>VLOOKUP(A2149,vlookup_table!$A:$G,7,FALSE)</f>
        <v>10</v>
      </c>
      <c r="T2149">
        <f t="shared" si="66"/>
        <v>42</v>
      </c>
      <c r="U2149" t="str">
        <f t="shared" si="67"/>
        <v>Suburbano</v>
      </c>
    </row>
    <row r="2150" spans="1:21" ht="16" x14ac:dyDescent="0.4">
      <c r="A2150" s="7">
        <v>119868</v>
      </c>
      <c r="B2150" s="7" t="s">
        <v>20</v>
      </c>
      <c r="C2150" s="7" t="s">
        <v>17</v>
      </c>
      <c r="D2150" s="7">
        <v>696</v>
      </c>
      <c r="E2150" s="7">
        <v>409</v>
      </c>
      <c r="F2150" s="7">
        <v>470</v>
      </c>
      <c r="G2150" s="7">
        <v>1</v>
      </c>
      <c r="H2150" s="7">
        <v>18427</v>
      </c>
      <c r="I2150" s="7">
        <v>1</v>
      </c>
      <c r="J2150" s="7">
        <v>77</v>
      </c>
      <c r="K2150" s="7">
        <v>439</v>
      </c>
      <c r="L2150" s="7">
        <v>439</v>
      </c>
      <c r="M2150" s="7">
        <v>10.42857143</v>
      </c>
      <c r="N2150">
        <f>VLOOKUP(A2150,vlookup_table!$A:$G,2,FALSE)</f>
        <v>0</v>
      </c>
      <c r="O2150" t="str">
        <f>VLOOKUP(A2150,vlookup_table!$A:$G,3,FALSE)</f>
        <v>TX</v>
      </c>
      <c r="P2150">
        <f>VLOOKUP(A2150,vlookup_table!$A:$G,4,FALSE)</f>
        <v>1302</v>
      </c>
      <c r="Q2150" t="str">
        <f>VLOOKUP(A2150,vlookup_table!$A:$G,5,FALSE)</f>
        <v>T1</v>
      </c>
      <c r="R2150" t="str">
        <f>VLOOKUP(A2150,vlookup_table!$A:$G,6,FALSE)</f>
        <v>F</v>
      </c>
      <c r="S2150">
        <f>VLOOKUP(A2150,vlookup_table!$A:$G,7,FALSE)</f>
        <v>10</v>
      </c>
      <c r="T2150">
        <f t="shared" si="66"/>
        <v>83</v>
      </c>
      <c r="U2150" t="str">
        <f t="shared" si="67"/>
        <v>Pueblo</v>
      </c>
    </row>
    <row r="2151" spans="1:21" ht="16" x14ac:dyDescent="0.4">
      <c r="A2151" s="7">
        <v>185517</v>
      </c>
      <c r="B2151" s="7" t="s">
        <v>21</v>
      </c>
      <c r="C2151" s="7" t="s">
        <v>14</v>
      </c>
      <c r="D2151" s="7">
        <v>1734</v>
      </c>
      <c r="E2151" s="7">
        <v>607</v>
      </c>
      <c r="F2151" s="7">
        <v>674</v>
      </c>
      <c r="G2151" s="7">
        <v>31</v>
      </c>
      <c r="H2151" s="7">
        <v>22234</v>
      </c>
      <c r="I2151" s="7">
        <v>5</v>
      </c>
      <c r="J2151" s="7">
        <v>50</v>
      </c>
      <c r="K2151" s="7">
        <v>635</v>
      </c>
      <c r="L2151" s="7">
        <v>638</v>
      </c>
      <c r="M2151" s="7">
        <v>8.5714285710000002</v>
      </c>
      <c r="N2151">
        <f>VLOOKUP(A2151,vlookup_table!$A:$G,2,FALSE)</f>
        <v>1</v>
      </c>
      <c r="O2151" t="str">
        <f>VLOOKUP(A2151,vlookup_table!$A:$G,3,FALSE)</f>
        <v>CA</v>
      </c>
      <c r="P2151">
        <f>VLOOKUP(A2151,vlookup_table!$A:$G,4,FALSE)</f>
        <v>3301</v>
      </c>
      <c r="Q2151" t="str">
        <f>VLOOKUP(A2151,vlookup_table!$A:$G,5,FALSE)</f>
        <v>S1</v>
      </c>
      <c r="R2151" t="str">
        <f>VLOOKUP(A2151,vlookup_table!$A:$G,6,FALSE)</f>
        <v>M</v>
      </c>
      <c r="S2151">
        <f>VLOOKUP(A2151,vlookup_table!$A:$G,7,FALSE)</f>
        <v>10</v>
      </c>
      <c r="T2151">
        <f t="shared" si="66"/>
        <v>63</v>
      </c>
      <c r="U2151" t="str">
        <f t="shared" si="67"/>
        <v>Suburbano</v>
      </c>
    </row>
    <row r="2152" spans="1:21" ht="16" x14ac:dyDescent="0.4">
      <c r="A2152" s="7">
        <v>441</v>
      </c>
      <c r="B2152" s="7" t="s">
        <v>16</v>
      </c>
      <c r="C2152" s="7" t="s">
        <v>17</v>
      </c>
      <c r="D2152" s="7">
        <v>550</v>
      </c>
      <c r="E2152" s="7">
        <v>91</v>
      </c>
      <c r="F2152" s="7">
        <v>254</v>
      </c>
      <c r="G2152" s="7">
        <v>6</v>
      </c>
      <c r="H2152" s="7">
        <v>10050</v>
      </c>
      <c r="I2152" s="7">
        <v>0</v>
      </c>
      <c r="J2152" s="7">
        <v>49</v>
      </c>
      <c r="K2152" s="7">
        <v>163</v>
      </c>
      <c r="L2152" s="7">
        <v>166</v>
      </c>
      <c r="M2152" s="7">
        <v>5.5</v>
      </c>
      <c r="N2152">
        <f>VLOOKUP(A2152,vlookup_table!$A:$G,2,FALSE)</f>
        <v>2</v>
      </c>
      <c r="O2152" t="str">
        <f>VLOOKUP(A2152,vlookup_table!$A:$G,3,FALSE)</f>
        <v>IL</v>
      </c>
      <c r="P2152">
        <f>VLOOKUP(A2152,vlookup_table!$A:$G,4,FALSE)</f>
        <v>4101</v>
      </c>
      <c r="Q2152" t="str">
        <f>VLOOKUP(A2152,vlookup_table!$A:$G,5,FALSE)</f>
        <v>U4</v>
      </c>
      <c r="R2152" t="str">
        <f>VLOOKUP(A2152,vlookup_table!$A:$G,6,FALSE)</f>
        <v>F</v>
      </c>
      <c r="S2152">
        <f>VLOOKUP(A2152,vlookup_table!$A:$G,7,FALSE)</f>
        <v>10</v>
      </c>
      <c r="T2152">
        <f t="shared" si="66"/>
        <v>55</v>
      </c>
      <c r="U2152" t="str">
        <f t="shared" si="67"/>
        <v>Urbano</v>
      </c>
    </row>
    <row r="2153" spans="1:21" ht="16" x14ac:dyDescent="0.4">
      <c r="A2153" s="7">
        <v>132347</v>
      </c>
      <c r="B2153" s="7" t="s">
        <v>21</v>
      </c>
      <c r="C2153" s="7" t="s">
        <v>14</v>
      </c>
      <c r="D2153" s="7">
        <v>3874</v>
      </c>
      <c r="E2153" s="7">
        <v>776</v>
      </c>
      <c r="F2153" s="7">
        <v>852</v>
      </c>
      <c r="G2153" s="7">
        <v>94</v>
      </c>
      <c r="H2153" s="7">
        <v>29217</v>
      </c>
      <c r="I2153" s="7">
        <v>6</v>
      </c>
      <c r="J2153" s="7">
        <v>42</v>
      </c>
      <c r="K2153" s="7">
        <v>759</v>
      </c>
      <c r="L2153" s="7">
        <v>865</v>
      </c>
      <c r="M2153" s="7">
        <v>14</v>
      </c>
      <c r="N2153">
        <f>VLOOKUP(A2153,vlookup_table!$A:$G,2,FALSE)</f>
        <v>1</v>
      </c>
      <c r="O2153" t="str">
        <f>VLOOKUP(A2153,vlookup_table!$A:$G,3,FALSE)</f>
        <v>CA</v>
      </c>
      <c r="P2153">
        <f>VLOOKUP(A2153,vlookup_table!$A:$G,4,FALSE)</f>
        <v>0</v>
      </c>
      <c r="Q2153" t="str">
        <f>VLOOKUP(A2153,vlookup_table!$A:$G,5,FALSE)</f>
        <v>C1</v>
      </c>
      <c r="R2153" t="str">
        <f>VLOOKUP(A2153,vlookup_table!$A:$G,6,FALSE)</f>
        <v>M</v>
      </c>
      <c r="S2153">
        <f>VLOOKUP(A2153,vlookup_table!$A:$G,7,FALSE)</f>
        <v>20</v>
      </c>
      <c r="T2153">
        <f t="shared" si="66"/>
        <v>96</v>
      </c>
      <c r="U2153" t="str">
        <f t="shared" si="67"/>
        <v>Ciudad</v>
      </c>
    </row>
    <row r="2154" spans="1:21" ht="16" x14ac:dyDescent="0.4">
      <c r="A2154" s="7">
        <v>127444</v>
      </c>
      <c r="B2154" s="7" t="s">
        <v>45</v>
      </c>
      <c r="C2154" s="7" t="s">
        <v>14</v>
      </c>
      <c r="D2154" s="7">
        <v>759</v>
      </c>
      <c r="E2154" s="7">
        <v>270</v>
      </c>
      <c r="F2154" s="7">
        <v>352</v>
      </c>
      <c r="G2154" s="7">
        <v>3</v>
      </c>
      <c r="H2154" s="7">
        <v>13278</v>
      </c>
      <c r="I2154" s="7">
        <v>5</v>
      </c>
      <c r="J2154" s="7">
        <v>32</v>
      </c>
      <c r="K2154" s="7">
        <v>307</v>
      </c>
      <c r="L2154" s="7">
        <v>316</v>
      </c>
      <c r="M2154" s="7">
        <v>18.5</v>
      </c>
      <c r="N2154">
        <f>VLOOKUP(A2154,vlookup_table!$A:$G,2,FALSE)</f>
        <v>1</v>
      </c>
      <c r="O2154" t="str">
        <f>VLOOKUP(A2154,vlookup_table!$A:$G,3,FALSE)</f>
        <v>CO</v>
      </c>
      <c r="P2154">
        <f>VLOOKUP(A2154,vlookup_table!$A:$G,4,FALSE)</f>
        <v>5609</v>
      </c>
      <c r="Q2154" t="str">
        <f>VLOOKUP(A2154,vlookup_table!$A:$G,5,FALSE)</f>
        <v>C1</v>
      </c>
      <c r="R2154" t="str">
        <f>VLOOKUP(A2154,vlookup_table!$A:$G,6,FALSE)</f>
        <v>M</v>
      </c>
      <c r="S2154">
        <f>VLOOKUP(A2154,vlookup_table!$A:$G,7,FALSE)</f>
        <v>21</v>
      </c>
      <c r="T2154">
        <f t="shared" si="66"/>
        <v>40</v>
      </c>
      <c r="U2154" t="str">
        <f t="shared" si="67"/>
        <v>Ciudad</v>
      </c>
    </row>
    <row r="2155" spans="1:21" ht="16" x14ac:dyDescent="0.4">
      <c r="A2155" s="7">
        <v>149767</v>
      </c>
      <c r="B2155" s="7" t="s">
        <v>21</v>
      </c>
      <c r="C2155" s="7" t="s">
        <v>14</v>
      </c>
      <c r="D2155" s="7">
        <v>2105</v>
      </c>
      <c r="E2155" s="7">
        <v>535</v>
      </c>
      <c r="F2155" s="7">
        <v>578</v>
      </c>
      <c r="G2155" s="7">
        <v>59</v>
      </c>
      <c r="H2155" s="7">
        <v>17785</v>
      </c>
      <c r="I2155" s="7">
        <v>43</v>
      </c>
      <c r="J2155" s="7">
        <v>28</v>
      </c>
      <c r="K2155" s="7">
        <v>555</v>
      </c>
      <c r="L2155" s="7">
        <v>557</v>
      </c>
      <c r="M2155" s="7">
        <v>10.44444444</v>
      </c>
      <c r="N2155">
        <f>VLOOKUP(A2155,vlookup_table!$A:$G,2,FALSE)</f>
        <v>1</v>
      </c>
      <c r="O2155" t="str">
        <f>VLOOKUP(A2155,vlookup_table!$A:$G,3,FALSE)</f>
        <v>CA</v>
      </c>
      <c r="P2155">
        <f>VLOOKUP(A2155,vlookup_table!$A:$G,4,FALSE)</f>
        <v>2903</v>
      </c>
      <c r="Q2155" t="str">
        <f>VLOOKUP(A2155,vlookup_table!$A:$G,5,FALSE)</f>
        <v>U2</v>
      </c>
      <c r="R2155" t="str">
        <f>VLOOKUP(A2155,vlookup_table!$A:$G,6,FALSE)</f>
        <v>M</v>
      </c>
      <c r="S2155">
        <f>VLOOKUP(A2155,vlookup_table!$A:$G,7,FALSE)</f>
        <v>15</v>
      </c>
      <c r="T2155">
        <f t="shared" si="66"/>
        <v>67</v>
      </c>
      <c r="U2155" t="str">
        <f t="shared" si="67"/>
        <v>Urbano</v>
      </c>
    </row>
    <row r="2156" spans="1:21" ht="16" x14ac:dyDescent="0.4">
      <c r="A2156" s="7">
        <v>172315</v>
      </c>
      <c r="B2156" s="7" t="s">
        <v>21</v>
      </c>
      <c r="C2156" s="7" t="s">
        <v>17</v>
      </c>
      <c r="D2156" s="7">
        <v>1368</v>
      </c>
      <c r="E2156" s="7">
        <v>379</v>
      </c>
      <c r="F2156" s="7">
        <v>528</v>
      </c>
      <c r="G2156" s="7">
        <v>20</v>
      </c>
      <c r="H2156" s="7">
        <v>23121</v>
      </c>
      <c r="I2156" s="7">
        <v>7</v>
      </c>
      <c r="J2156" s="7">
        <v>56</v>
      </c>
      <c r="K2156" s="7">
        <v>416</v>
      </c>
      <c r="L2156" s="7">
        <v>487</v>
      </c>
      <c r="M2156" s="7">
        <v>6.8529411769999999</v>
      </c>
      <c r="N2156">
        <f>VLOOKUP(A2156,vlookup_table!$A:$G,2,FALSE)</f>
        <v>2</v>
      </c>
      <c r="O2156" t="str">
        <f>VLOOKUP(A2156,vlookup_table!$A:$G,3,FALSE)</f>
        <v>CA</v>
      </c>
      <c r="P2156">
        <f>VLOOKUP(A2156,vlookup_table!$A:$G,4,FALSE)</f>
        <v>1506</v>
      </c>
      <c r="Q2156" t="str">
        <f>VLOOKUP(A2156,vlookup_table!$A:$G,5,FALSE)</f>
        <v>U1</v>
      </c>
      <c r="R2156" t="str">
        <f>VLOOKUP(A2156,vlookup_table!$A:$G,6,FALSE)</f>
        <v>F</v>
      </c>
      <c r="S2156">
        <f>VLOOKUP(A2156,vlookup_table!$A:$G,7,FALSE)</f>
        <v>8</v>
      </c>
      <c r="T2156">
        <f t="shared" si="66"/>
        <v>81</v>
      </c>
      <c r="U2156" t="str">
        <f t="shared" si="67"/>
        <v>Urbano</v>
      </c>
    </row>
    <row r="2157" spans="1:21" ht="16" x14ac:dyDescent="0.4">
      <c r="A2157" s="7">
        <v>43001</v>
      </c>
      <c r="B2157" s="7" t="s">
        <v>13</v>
      </c>
      <c r="C2157" s="7" t="s">
        <v>17</v>
      </c>
      <c r="D2157" s="7">
        <v>1167</v>
      </c>
      <c r="E2157" s="7">
        <v>267</v>
      </c>
      <c r="F2157" s="7">
        <v>349</v>
      </c>
      <c r="G2157" s="7">
        <v>20</v>
      </c>
      <c r="H2157" s="7">
        <v>14192</v>
      </c>
      <c r="I2157" s="7">
        <v>11</v>
      </c>
      <c r="J2157" s="7">
        <v>20</v>
      </c>
      <c r="K2157" s="7">
        <v>274</v>
      </c>
      <c r="L2157" s="7">
        <v>323</v>
      </c>
      <c r="M2157" s="7">
        <v>15</v>
      </c>
      <c r="N2157">
        <f>VLOOKUP(A2157,vlookup_table!$A:$G,2,FALSE)</f>
        <v>0</v>
      </c>
      <c r="O2157" t="str">
        <f>VLOOKUP(A2157,vlookup_table!$A:$G,3,FALSE)</f>
        <v>FL</v>
      </c>
      <c r="P2157">
        <f>VLOOKUP(A2157,vlookup_table!$A:$G,4,FALSE)</f>
        <v>0</v>
      </c>
      <c r="Q2157" t="str">
        <f>VLOOKUP(A2157,vlookup_table!$A:$G,5,FALSE)</f>
        <v>C2</v>
      </c>
      <c r="R2157" t="str">
        <f>VLOOKUP(A2157,vlookup_table!$A:$G,6,FALSE)</f>
        <v>F</v>
      </c>
      <c r="S2157">
        <f>VLOOKUP(A2157,vlookup_table!$A:$G,7,FALSE)</f>
        <v>15</v>
      </c>
      <c r="T2157">
        <f t="shared" si="66"/>
        <v>96</v>
      </c>
      <c r="U2157" t="str">
        <f t="shared" si="67"/>
        <v>Ciudad</v>
      </c>
    </row>
    <row r="2158" spans="1:21" ht="16" x14ac:dyDescent="0.4">
      <c r="A2158" s="7">
        <v>15416</v>
      </c>
      <c r="B2158" s="7" t="s">
        <v>18</v>
      </c>
      <c r="C2158" s="7" t="s">
        <v>14</v>
      </c>
      <c r="D2158" s="7">
        <v>859</v>
      </c>
      <c r="E2158" s="7">
        <v>428</v>
      </c>
      <c r="F2158" s="7">
        <v>482</v>
      </c>
      <c r="G2158" s="7">
        <v>0</v>
      </c>
      <c r="H2158" s="7">
        <v>15841</v>
      </c>
      <c r="I2158" s="7">
        <v>1</v>
      </c>
      <c r="J2158" s="7">
        <v>71</v>
      </c>
      <c r="K2158" s="7">
        <v>454</v>
      </c>
      <c r="L2158" s="7">
        <v>442</v>
      </c>
      <c r="M2158" s="7">
        <v>20</v>
      </c>
      <c r="N2158">
        <f>VLOOKUP(A2158,vlookup_table!$A:$G,2,FALSE)</f>
        <v>1</v>
      </c>
      <c r="O2158" t="str">
        <f>VLOOKUP(A2158,vlookup_table!$A:$G,3,FALSE)</f>
        <v>NC</v>
      </c>
      <c r="P2158">
        <f>VLOOKUP(A2158,vlookup_table!$A:$G,4,FALSE)</f>
        <v>5001</v>
      </c>
      <c r="Q2158" t="str">
        <f>VLOOKUP(A2158,vlookup_table!$A:$G,5,FALSE)</f>
        <v>C2</v>
      </c>
      <c r="R2158" t="str">
        <f>VLOOKUP(A2158,vlookup_table!$A:$G,6,FALSE)</f>
        <v>M</v>
      </c>
      <c r="S2158">
        <f>VLOOKUP(A2158,vlookup_table!$A:$G,7,FALSE)</f>
        <v>30</v>
      </c>
      <c r="T2158">
        <f t="shared" si="66"/>
        <v>46</v>
      </c>
      <c r="U2158" t="str">
        <f t="shared" si="67"/>
        <v>Ciudad</v>
      </c>
    </row>
    <row r="2159" spans="1:21" ht="16" x14ac:dyDescent="0.4">
      <c r="A2159" s="7">
        <v>141396</v>
      </c>
      <c r="B2159" s="7" t="s">
        <v>23</v>
      </c>
      <c r="C2159" s="7" t="s">
        <v>14</v>
      </c>
      <c r="D2159" s="7">
        <v>1291</v>
      </c>
      <c r="E2159" s="7">
        <v>349</v>
      </c>
      <c r="F2159" s="7">
        <v>447</v>
      </c>
      <c r="G2159" s="7">
        <v>20</v>
      </c>
      <c r="H2159" s="7">
        <v>14894</v>
      </c>
      <c r="I2159" s="7">
        <v>4</v>
      </c>
      <c r="J2159" s="7">
        <v>23</v>
      </c>
      <c r="K2159" s="7">
        <v>373</v>
      </c>
      <c r="L2159" s="7">
        <v>402</v>
      </c>
      <c r="M2159" s="7">
        <v>10.5</v>
      </c>
      <c r="N2159">
        <f>VLOOKUP(A2159,vlookup_table!$A:$G,2,FALSE)</f>
        <v>1</v>
      </c>
      <c r="O2159" t="str">
        <f>VLOOKUP(A2159,vlookup_table!$A:$G,3,FALSE)</f>
        <v>NV</v>
      </c>
      <c r="P2159">
        <f>VLOOKUP(A2159,vlookup_table!$A:$G,4,FALSE)</f>
        <v>0</v>
      </c>
      <c r="Q2159" t="str">
        <f>VLOOKUP(A2159,vlookup_table!$A:$G,5,FALSE)</f>
        <v>S1</v>
      </c>
      <c r="R2159" t="str">
        <f>VLOOKUP(A2159,vlookup_table!$A:$G,6,FALSE)</f>
        <v>M</v>
      </c>
      <c r="S2159">
        <f>VLOOKUP(A2159,vlookup_table!$A:$G,7,FALSE)</f>
        <v>10</v>
      </c>
      <c r="T2159">
        <f t="shared" si="66"/>
        <v>96</v>
      </c>
      <c r="U2159" t="str">
        <f t="shared" si="67"/>
        <v>Suburbano</v>
      </c>
    </row>
    <row r="2160" spans="1:21" ht="16" x14ac:dyDescent="0.4">
      <c r="A2160" s="7">
        <v>137743</v>
      </c>
      <c r="B2160" s="7" t="s">
        <v>51</v>
      </c>
      <c r="C2160" s="7" t="s">
        <v>97</v>
      </c>
      <c r="D2160" s="7">
        <v>962</v>
      </c>
      <c r="E2160" s="7">
        <v>349</v>
      </c>
      <c r="F2160" s="7">
        <v>487</v>
      </c>
      <c r="G2160" s="7">
        <v>1</v>
      </c>
      <c r="H2160" s="7">
        <v>20739</v>
      </c>
      <c r="I2160" s="7">
        <v>13</v>
      </c>
      <c r="J2160" s="7">
        <v>4</v>
      </c>
      <c r="K2160" s="7">
        <v>379</v>
      </c>
      <c r="L2160" s="7">
        <v>419</v>
      </c>
      <c r="M2160" s="7">
        <v>5.733333333</v>
      </c>
      <c r="N2160">
        <f>VLOOKUP(A2160,vlookup_table!$A:$G,2,FALSE)</f>
        <v>2</v>
      </c>
      <c r="O2160" t="str">
        <f>VLOOKUP(A2160,vlookup_table!$A:$G,3,FALSE)</f>
        <v>AZ</v>
      </c>
      <c r="P2160">
        <f>VLOOKUP(A2160,vlookup_table!$A:$G,4,FALSE)</f>
        <v>2309</v>
      </c>
      <c r="Q2160" t="str">
        <f>VLOOKUP(A2160,vlookup_table!$A:$G,5,FALSE)</f>
        <v>C1</v>
      </c>
      <c r="R2160" t="str">
        <f>VLOOKUP(A2160,vlookup_table!$A:$G,6,FALSE)</f>
        <v>F</v>
      </c>
      <c r="S2160">
        <f>VLOOKUP(A2160,vlookup_table!$A:$G,7,FALSE)</f>
        <v>8</v>
      </c>
      <c r="T2160">
        <f t="shared" si="66"/>
        <v>73</v>
      </c>
      <c r="U2160" t="str">
        <f t="shared" si="67"/>
        <v>Ciudad</v>
      </c>
    </row>
    <row r="2161" spans="1:21" ht="16" x14ac:dyDescent="0.4">
      <c r="A2161" s="7">
        <v>118487</v>
      </c>
      <c r="B2161" s="7" t="s">
        <v>20</v>
      </c>
      <c r="C2161" s="7" t="s">
        <v>17</v>
      </c>
      <c r="D2161" s="7">
        <v>420</v>
      </c>
      <c r="E2161" s="7">
        <v>171</v>
      </c>
      <c r="F2161" s="7">
        <v>293</v>
      </c>
      <c r="G2161" s="7">
        <v>1</v>
      </c>
      <c r="H2161" s="7">
        <v>10643</v>
      </c>
      <c r="I2161" s="7">
        <v>1</v>
      </c>
      <c r="J2161" s="7">
        <v>78</v>
      </c>
      <c r="K2161" s="7">
        <v>234</v>
      </c>
      <c r="L2161" s="7">
        <v>247</v>
      </c>
      <c r="M2161" s="7">
        <v>15</v>
      </c>
      <c r="N2161">
        <f>VLOOKUP(A2161,vlookup_table!$A:$G,2,FALSE)</f>
        <v>0</v>
      </c>
      <c r="O2161" t="str">
        <f>VLOOKUP(A2161,vlookup_table!$A:$G,3,FALSE)</f>
        <v>TX</v>
      </c>
      <c r="P2161">
        <f>VLOOKUP(A2161,vlookup_table!$A:$G,4,FALSE)</f>
        <v>6801</v>
      </c>
      <c r="Q2161" t="str">
        <f>VLOOKUP(A2161,vlookup_table!$A:$G,5,FALSE)</f>
        <v>R2</v>
      </c>
      <c r="R2161" t="str">
        <f>VLOOKUP(A2161,vlookup_table!$A:$G,6,FALSE)</f>
        <v>F</v>
      </c>
      <c r="S2161">
        <f>VLOOKUP(A2161,vlookup_table!$A:$G,7,FALSE)</f>
        <v>20</v>
      </c>
      <c r="T2161">
        <f t="shared" si="66"/>
        <v>28</v>
      </c>
      <c r="U2161" t="str">
        <f t="shared" si="67"/>
        <v>Rural</v>
      </c>
    </row>
    <row r="2162" spans="1:21" ht="16" x14ac:dyDescent="0.4">
      <c r="A2162" s="7">
        <v>33393</v>
      </c>
      <c r="B2162" s="7" t="s">
        <v>13</v>
      </c>
      <c r="C2162" s="7" t="s">
        <v>17</v>
      </c>
      <c r="D2162" s="7">
        <v>1571</v>
      </c>
      <c r="E2162" s="7">
        <v>473</v>
      </c>
      <c r="F2162" s="7">
        <v>526</v>
      </c>
      <c r="G2162" s="7">
        <v>28</v>
      </c>
      <c r="H2162" s="7">
        <v>21109</v>
      </c>
      <c r="I2162" s="7">
        <v>17</v>
      </c>
      <c r="J2162" s="7">
        <v>15</v>
      </c>
      <c r="K2162" s="7">
        <v>496</v>
      </c>
      <c r="L2162" s="7">
        <v>518</v>
      </c>
      <c r="M2162" s="7">
        <v>22.5</v>
      </c>
      <c r="N2162">
        <f>VLOOKUP(A2162,vlookup_table!$A:$G,2,FALSE)</f>
        <v>28</v>
      </c>
      <c r="O2162" t="str">
        <f>VLOOKUP(A2162,vlookup_table!$A:$G,3,FALSE)</f>
        <v>FL</v>
      </c>
      <c r="P2162">
        <f>VLOOKUP(A2162,vlookup_table!$A:$G,4,FALSE)</f>
        <v>5101</v>
      </c>
      <c r="Q2162" t="str">
        <f>VLOOKUP(A2162,vlookup_table!$A:$G,5,FALSE)</f>
        <v>T1</v>
      </c>
      <c r="R2162" t="str">
        <f>VLOOKUP(A2162,vlookup_table!$A:$G,6,FALSE)</f>
        <v>F</v>
      </c>
      <c r="S2162">
        <f>VLOOKUP(A2162,vlookup_table!$A:$G,7,FALSE)</f>
        <v>10</v>
      </c>
      <c r="T2162">
        <f t="shared" si="66"/>
        <v>45</v>
      </c>
      <c r="U2162" t="str">
        <f t="shared" si="67"/>
        <v>Pueblo</v>
      </c>
    </row>
    <row r="2163" spans="1:21" ht="16" x14ac:dyDescent="0.4">
      <c r="A2163" s="7">
        <v>79622</v>
      </c>
      <c r="B2163" s="7" t="s">
        <v>32</v>
      </c>
      <c r="C2163" s="7" t="s">
        <v>17</v>
      </c>
      <c r="D2163" s="7">
        <v>842</v>
      </c>
      <c r="E2163" s="7">
        <v>463</v>
      </c>
      <c r="F2163" s="7">
        <v>493</v>
      </c>
      <c r="G2163" s="7">
        <v>0</v>
      </c>
      <c r="H2163" s="7">
        <v>15371</v>
      </c>
      <c r="I2163" s="7">
        <v>3</v>
      </c>
      <c r="J2163" s="7">
        <v>70</v>
      </c>
      <c r="K2163" s="7">
        <v>469</v>
      </c>
      <c r="L2163" s="7">
        <v>492</v>
      </c>
      <c r="M2163" s="7">
        <v>9.9130434780000005</v>
      </c>
      <c r="N2163">
        <f>VLOOKUP(A2163,vlookup_table!$A:$G,2,FALSE)</f>
        <v>202</v>
      </c>
      <c r="O2163" t="str">
        <f>VLOOKUP(A2163,vlookup_table!$A:$G,3,FALSE)</f>
        <v>WI</v>
      </c>
      <c r="P2163">
        <f>VLOOKUP(A2163,vlookup_table!$A:$G,4,FALSE)</f>
        <v>1610</v>
      </c>
      <c r="Q2163" t="str">
        <f>VLOOKUP(A2163,vlookup_table!$A:$G,5,FALSE)</f>
        <v>T2</v>
      </c>
      <c r="R2163" t="str">
        <f>VLOOKUP(A2163,vlookup_table!$A:$G,6,FALSE)</f>
        <v>F</v>
      </c>
      <c r="S2163">
        <f>VLOOKUP(A2163,vlookup_table!$A:$G,7,FALSE)</f>
        <v>5</v>
      </c>
      <c r="T2163">
        <f t="shared" si="66"/>
        <v>80</v>
      </c>
      <c r="U2163" t="str">
        <f t="shared" si="67"/>
        <v>Pueblo</v>
      </c>
    </row>
    <row r="2164" spans="1:21" ht="16" x14ac:dyDescent="0.4">
      <c r="A2164" s="7">
        <v>99209</v>
      </c>
      <c r="B2164" s="7" t="s">
        <v>16</v>
      </c>
      <c r="C2164" s="7" t="s">
        <v>17</v>
      </c>
      <c r="D2164" s="7">
        <v>517</v>
      </c>
      <c r="E2164" s="7">
        <v>303</v>
      </c>
      <c r="F2164" s="7">
        <v>416</v>
      </c>
      <c r="G2164" s="7">
        <v>1</v>
      </c>
      <c r="H2164" s="7">
        <v>15032</v>
      </c>
      <c r="I2164" s="7">
        <v>0</v>
      </c>
      <c r="J2164" s="7">
        <v>74</v>
      </c>
      <c r="K2164" s="7">
        <v>344</v>
      </c>
      <c r="L2164" s="7">
        <v>348</v>
      </c>
      <c r="M2164" s="7">
        <v>2.5789473680000001</v>
      </c>
      <c r="N2164">
        <f>VLOOKUP(A2164,vlookup_table!$A:$G,2,FALSE)</f>
        <v>2</v>
      </c>
      <c r="O2164" t="str">
        <f>VLOOKUP(A2164,vlookup_table!$A:$G,3,FALSE)</f>
        <v>IL</v>
      </c>
      <c r="P2164">
        <f>VLOOKUP(A2164,vlookup_table!$A:$G,4,FALSE)</f>
        <v>701</v>
      </c>
      <c r="Q2164" t="str">
        <f>VLOOKUP(A2164,vlookup_table!$A:$G,5,FALSE)</f>
        <v>C2</v>
      </c>
      <c r="R2164" t="str">
        <f>VLOOKUP(A2164,vlookup_table!$A:$G,6,FALSE)</f>
        <v>F</v>
      </c>
      <c r="S2164">
        <f>VLOOKUP(A2164,vlookup_table!$A:$G,7,FALSE)</f>
        <v>3</v>
      </c>
      <c r="T2164">
        <f t="shared" si="66"/>
        <v>26</v>
      </c>
      <c r="U2164" t="str">
        <f t="shared" si="67"/>
        <v>Ciudad</v>
      </c>
    </row>
    <row r="2165" spans="1:21" ht="16" x14ac:dyDescent="0.4">
      <c r="A2165" s="7">
        <v>23056</v>
      </c>
      <c r="B2165" s="7" t="s">
        <v>43</v>
      </c>
      <c r="C2165" s="7" t="s">
        <v>17</v>
      </c>
      <c r="D2165" s="7">
        <v>1299</v>
      </c>
      <c r="E2165" s="7">
        <v>577</v>
      </c>
      <c r="F2165" s="7">
        <v>596</v>
      </c>
      <c r="G2165" s="7">
        <v>2</v>
      </c>
      <c r="H2165" s="7">
        <v>19461</v>
      </c>
      <c r="I2165" s="7">
        <v>0</v>
      </c>
      <c r="J2165" s="7">
        <v>43</v>
      </c>
      <c r="K2165" s="7">
        <v>589</v>
      </c>
      <c r="L2165" s="7">
        <v>590</v>
      </c>
      <c r="M2165" s="7">
        <v>4</v>
      </c>
      <c r="N2165">
        <f>VLOOKUP(A2165,vlookup_table!$A:$G,2,FALSE)</f>
        <v>0</v>
      </c>
      <c r="O2165" t="str">
        <f>VLOOKUP(A2165,vlookup_table!$A:$G,3,FALSE)</f>
        <v>SC</v>
      </c>
      <c r="P2165">
        <f>VLOOKUP(A2165,vlookup_table!$A:$G,4,FALSE)</f>
        <v>4601</v>
      </c>
      <c r="Q2165" t="str">
        <f>VLOOKUP(A2165,vlookup_table!$A:$G,5,FALSE)</f>
        <v>S1</v>
      </c>
      <c r="R2165" t="str">
        <f>VLOOKUP(A2165,vlookup_table!$A:$G,6,FALSE)</f>
        <v>F</v>
      </c>
      <c r="S2165">
        <f>VLOOKUP(A2165,vlookup_table!$A:$G,7,FALSE)</f>
        <v>125</v>
      </c>
      <c r="T2165">
        <f t="shared" si="66"/>
        <v>50</v>
      </c>
      <c r="U2165" t="str">
        <f t="shared" si="67"/>
        <v>Suburbano</v>
      </c>
    </row>
    <row r="2166" spans="1:21" ht="16" x14ac:dyDescent="0.4">
      <c r="A2166" s="7">
        <v>105068</v>
      </c>
      <c r="B2166" s="7" t="s">
        <v>25</v>
      </c>
      <c r="C2166" s="7" t="s">
        <v>27</v>
      </c>
      <c r="D2166" s="7">
        <v>731</v>
      </c>
      <c r="E2166" s="7">
        <v>354</v>
      </c>
      <c r="F2166" s="7">
        <v>423</v>
      </c>
      <c r="G2166" s="7">
        <v>2</v>
      </c>
      <c r="H2166" s="7">
        <v>14555</v>
      </c>
      <c r="I2166" s="7">
        <v>0</v>
      </c>
      <c r="J2166" s="7">
        <v>76</v>
      </c>
      <c r="K2166" s="7">
        <v>370</v>
      </c>
      <c r="L2166" s="7">
        <v>398</v>
      </c>
      <c r="M2166" s="7">
        <v>5.3043478259999999</v>
      </c>
      <c r="N2166">
        <f>VLOOKUP(A2166,vlookup_table!$A:$G,2,FALSE)</f>
        <v>0</v>
      </c>
      <c r="O2166" t="str">
        <f>VLOOKUP(A2166,vlookup_table!$A:$G,3,FALSE)</f>
        <v>KS</v>
      </c>
      <c r="P2166">
        <f>VLOOKUP(A2166,vlookup_table!$A:$G,4,FALSE)</f>
        <v>0</v>
      </c>
      <c r="Q2166" t="str">
        <f>VLOOKUP(A2166,vlookup_table!$A:$G,5,FALSE)</f>
        <v>R2</v>
      </c>
      <c r="R2166" t="str">
        <f>VLOOKUP(A2166,vlookup_table!$A:$G,6,FALSE)</f>
        <v>U</v>
      </c>
      <c r="S2166">
        <f>VLOOKUP(A2166,vlookup_table!$A:$G,7,FALSE)</f>
        <v>7</v>
      </c>
      <c r="T2166">
        <f t="shared" si="66"/>
        <v>96</v>
      </c>
      <c r="U2166" t="str">
        <f t="shared" si="67"/>
        <v>Rural</v>
      </c>
    </row>
    <row r="2167" spans="1:21" ht="16" x14ac:dyDescent="0.4">
      <c r="A2167" s="7">
        <v>170479</v>
      </c>
      <c r="B2167" s="7" t="s">
        <v>21</v>
      </c>
      <c r="C2167" s="7" t="s">
        <v>17</v>
      </c>
      <c r="D2167" s="7">
        <v>670</v>
      </c>
      <c r="E2167" s="7">
        <v>182</v>
      </c>
      <c r="F2167" s="7">
        <v>252</v>
      </c>
      <c r="G2167" s="7">
        <v>1</v>
      </c>
      <c r="H2167" s="7">
        <v>8448</v>
      </c>
      <c r="I2167" s="7">
        <v>1</v>
      </c>
      <c r="J2167" s="7">
        <v>74</v>
      </c>
      <c r="K2167" s="7">
        <v>194</v>
      </c>
      <c r="L2167" s="7">
        <v>239</v>
      </c>
      <c r="M2167" s="7">
        <v>8.8571428569999995</v>
      </c>
      <c r="N2167">
        <f>VLOOKUP(A2167,vlookup_table!$A:$G,2,FALSE)</f>
        <v>0</v>
      </c>
      <c r="O2167" t="str">
        <f>VLOOKUP(A2167,vlookup_table!$A:$G,3,FALSE)</f>
        <v>CA</v>
      </c>
      <c r="P2167">
        <f>VLOOKUP(A2167,vlookup_table!$A:$G,4,FALSE)</f>
        <v>4201</v>
      </c>
      <c r="Q2167" t="str">
        <f>VLOOKUP(A2167,vlookup_table!$A:$G,5,FALSE)</f>
        <v>R2</v>
      </c>
      <c r="R2167" t="str">
        <f>VLOOKUP(A2167,vlookup_table!$A:$G,6,FALSE)</f>
        <v>F</v>
      </c>
      <c r="S2167">
        <f>VLOOKUP(A2167,vlookup_table!$A:$G,7,FALSE)</f>
        <v>10</v>
      </c>
      <c r="T2167">
        <f t="shared" si="66"/>
        <v>54</v>
      </c>
      <c r="U2167" t="str">
        <f t="shared" si="67"/>
        <v>Rural</v>
      </c>
    </row>
    <row r="2168" spans="1:21" ht="16" x14ac:dyDescent="0.4">
      <c r="A2168" s="7">
        <v>135174</v>
      </c>
      <c r="B2168" s="7" t="s">
        <v>51</v>
      </c>
      <c r="C2168" s="7" t="s">
        <v>97</v>
      </c>
      <c r="D2168" s="7">
        <v>593</v>
      </c>
      <c r="E2168" s="7">
        <v>230</v>
      </c>
      <c r="F2168" s="7">
        <v>317</v>
      </c>
      <c r="G2168" s="7">
        <v>0</v>
      </c>
      <c r="H2168" s="7">
        <v>11405</v>
      </c>
      <c r="I2168" s="7">
        <v>3</v>
      </c>
      <c r="J2168" s="7">
        <v>42</v>
      </c>
      <c r="K2168" s="7">
        <v>319</v>
      </c>
      <c r="L2168" s="7">
        <v>272</v>
      </c>
      <c r="M2168" s="7">
        <v>12.75</v>
      </c>
      <c r="N2168">
        <f>VLOOKUP(A2168,vlookup_table!$A:$G,2,FALSE)</f>
        <v>28</v>
      </c>
      <c r="O2168" t="str">
        <f>VLOOKUP(A2168,vlookup_table!$A:$G,3,FALSE)</f>
        <v>AZ</v>
      </c>
      <c r="P2168">
        <f>VLOOKUP(A2168,vlookup_table!$A:$G,4,FALSE)</f>
        <v>3002</v>
      </c>
      <c r="Q2168" t="str">
        <f>VLOOKUP(A2168,vlookup_table!$A:$G,5,FALSE)</f>
        <v>U3</v>
      </c>
      <c r="R2168" t="str">
        <f>VLOOKUP(A2168,vlookup_table!$A:$G,6,FALSE)</f>
        <v>F</v>
      </c>
      <c r="S2168">
        <f>VLOOKUP(A2168,vlookup_table!$A:$G,7,FALSE)</f>
        <v>25</v>
      </c>
      <c r="T2168">
        <f t="shared" si="66"/>
        <v>66</v>
      </c>
      <c r="U2168" t="str">
        <f t="shared" si="67"/>
        <v>Urbano</v>
      </c>
    </row>
    <row r="2169" spans="1:21" ht="16" x14ac:dyDescent="0.4">
      <c r="A2169" s="7">
        <v>116669</v>
      </c>
      <c r="B2169" s="7" t="s">
        <v>20</v>
      </c>
      <c r="C2169" s="7" t="s">
        <v>14</v>
      </c>
      <c r="D2169" s="7">
        <v>444</v>
      </c>
      <c r="E2169" s="7">
        <v>203</v>
      </c>
      <c r="F2169" s="7">
        <v>286</v>
      </c>
      <c r="G2169" s="7">
        <v>0</v>
      </c>
      <c r="H2169" s="7">
        <v>9449</v>
      </c>
      <c r="I2169" s="7">
        <v>1</v>
      </c>
      <c r="J2169" s="7">
        <v>80</v>
      </c>
      <c r="K2169" s="7">
        <v>241</v>
      </c>
      <c r="L2169" s="7">
        <v>249</v>
      </c>
      <c r="M2169" s="7">
        <v>5.8</v>
      </c>
      <c r="N2169">
        <f>VLOOKUP(A2169,vlookup_table!$A:$G,2,FALSE)</f>
        <v>1</v>
      </c>
      <c r="O2169" t="str">
        <f>VLOOKUP(A2169,vlookup_table!$A:$G,3,FALSE)</f>
        <v>TX</v>
      </c>
      <c r="P2169">
        <f>VLOOKUP(A2169,vlookup_table!$A:$G,4,FALSE)</f>
        <v>3201</v>
      </c>
      <c r="Q2169" t="str">
        <f>VLOOKUP(A2169,vlookup_table!$A:$G,5,FALSE)</f>
        <v>S2</v>
      </c>
      <c r="R2169" t="str">
        <f>VLOOKUP(A2169,vlookup_table!$A:$G,6,FALSE)</f>
        <v>M</v>
      </c>
      <c r="S2169">
        <f>VLOOKUP(A2169,vlookup_table!$A:$G,7,FALSE)</f>
        <v>10</v>
      </c>
      <c r="T2169">
        <f t="shared" si="66"/>
        <v>64</v>
      </c>
      <c r="U2169" t="str">
        <f t="shared" si="67"/>
        <v>Suburbano</v>
      </c>
    </row>
    <row r="2170" spans="1:21" ht="16" x14ac:dyDescent="0.4">
      <c r="A2170" s="7">
        <v>126415</v>
      </c>
      <c r="B2170" s="7" t="s">
        <v>20</v>
      </c>
      <c r="C2170" s="7" t="s">
        <v>14</v>
      </c>
      <c r="D2170" s="7">
        <v>509</v>
      </c>
      <c r="E2170" s="7">
        <v>237</v>
      </c>
      <c r="F2170" s="7">
        <v>291</v>
      </c>
      <c r="G2170" s="7">
        <v>2</v>
      </c>
      <c r="H2170" s="7">
        <v>9830</v>
      </c>
      <c r="I2170" s="7">
        <v>26</v>
      </c>
      <c r="J2170" s="7">
        <v>49</v>
      </c>
      <c r="K2170" s="7">
        <v>262</v>
      </c>
      <c r="L2170" s="7">
        <v>263</v>
      </c>
      <c r="M2170" s="7">
        <v>5.3333333329999997</v>
      </c>
      <c r="N2170">
        <f>VLOOKUP(A2170,vlookup_table!$A:$G,2,FALSE)</f>
        <v>1</v>
      </c>
      <c r="O2170" t="str">
        <f>VLOOKUP(A2170,vlookup_table!$A:$G,3,FALSE)</f>
        <v>TX</v>
      </c>
      <c r="P2170">
        <f>VLOOKUP(A2170,vlookup_table!$A:$G,4,FALSE)</f>
        <v>3501</v>
      </c>
      <c r="Q2170" t="str">
        <f>VLOOKUP(A2170,vlookup_table!$A:$G,5,FALSE)</f>
        <v>S2</v>
      </c>
      <c r="R2170" t="str">
        <f>VLOOKUP(A2170,vlookup_table!$A:$G,6,FALSE)</f>
        <v>M</v>
      </c>
      <c r="S2170">
        <f>VLOOKUP(A2170,vlookup_table!$A:$G,7,FALSE)</f>
        <v>5</v>
      </c>
      <c r="T2170">
        <f t="shared" si="66"/>
        <v>61</v>
      </c>
      <c r="U2170" t="str">
        <f t="shared" si="67"/>
        <v>Suburbano</v>
      </c>
    </row>
    <row r="2171" spans="1:21" ht="16" x14ac:dyDescent="0.4">
      <c r="A2171" s="7">
        <v>97736</v>
      </c>
      <c r="B2171" s="7" t="s">
        <v>16</v>
      </c>
      <c r="C2171" s="7" t="s">
        <v>14</v>
      </c>
      <c r="D2171" s="7">
        <v>570</v>
      </c>
      <c r="E2171" s="7">
        <v>273</v>
      </c>
      <c r="F2171" s="7">
        <v>406</v>
      </c>
      <c r="G2171" s="7">
        <v>0</v>
      </c>
      <c r="H2171" s="7">
        <v>15035</v>
      </c>
      <c r="I2171" s="7">
        <v>6</v>
      </c>
      <c r="J2171" s="7">
        <v>68</v>
      </c>
      <c r="K2171" s="7">
        <v>322</v>
      </c>
      <c r="L2171" s="7">
        <v>341</v>
      </c>
      <c r="M2171" s="7">
        <v>8</v>
      </c>
      <c r="N2171">
        <f>VLOOKUP(A2171,vlookup_table!$A:$G,2,FALSE)</f>
        <v>1</v>
      </c>
      <c r="O2171" t="str">
        <f>VLOOKUP(A2171,vlookup_table!$A:$G,3,FALSE)</f>
        <v>IL</v>
      </c>
      <c r="P2171">
        <f>VLOOKUP(A2171,vlookup_table!$A:$G,4,FALSE)</f>
        <v>5303</v>
      </c>
      <c r="Q2171" t="str">
        <f>VLOOKUP(A2171,vlookup_table!$A:$G,5,FALSE)</f>
        <v>C2</v>
      </c>
      <c r="R2171" t="str">
        <f>VLOOKUP(A2171,vlookup_table!$A:$G,6,FALSE)</f>
        <v>M</v>
      </c>
      <c r="S2171">
        <f>VLOOKUP(A2171,vlookup_table!$A:$G,7,FALSE)</f>
        <v>15</v>
      </c>
      <c r="T2171">
        <f t="shared" si="66"/>
        <v>43</v>
      </c>
      <c r="U2171" t="str">
        <f t="shared" si="67"/>
        <v>Ciudad</v>
      </c>
    </row>
    <row r="2172" spans="1:21" ht="16" x14ac:dyDescent="0.4">
      <c r="A2172" s="7">
        <v>132437</v>
      </c>
      <c r="B2172" s="7" t="s">
        <v>45</v>
      </c>
      <c r="C2172" s="7" t="s">
        <v>17</v>
      </c>
      <c r="D2172" s="7">
        <v>516</v>
      </c>
      <c r="E2172" s="7">
        <v>231</v>
      </c>
      <c r="F2172" s="7">
        <v>295</v>
      </c>
      <c r="G2172" s="7">
        <v>2</v>
      </c>
      <c r="H2172" s="7">
        <v>10607</v>
      </c>
      <c r="I2172" s="7">
        <v>1</v>
      </c>
      <c r="J2172" s="7">
        <v>56</v>
      </c>
      <c r="K2172" s="7">
        <v>252</v>
      </c>
      <c r="L2172" s="7">
        <v>275</v>
      </c>
      <c r="M2172" s="7">
        <v>9.8571428569999995</v>
      </c>
      <c r="N2172">
        <f>VLOOKUP(A2172,vlookup_table!$A:$G,2,FALSE)</f>
        <v>2</v>
      </c>
      <c r="O2172" t="str">
        <f>VLOOKUP(A2172,vlookup_table!$A:$G,3,FALSE)</f>
        <v>CO</v>
      </c>
      <c r="P2172">
        <f>VLOOKUP(A2172,vlookup_table!$A:$G,4,FALSE)</f>
        <v>3501</v>
      </c>
      <c r="Q2172" t="str">
        <f>VLOOKUP(A2172,vlookup_table!$A:$G,5,FALSE)</f>
        <v>R2</v>
      </c>
      <c r="R2172" t="str">
        <f>VLOOKUP(A2172,vlookup_table!$A:$G,6,FALSE)</f>
        <v>F</v>
      </c>
      <c r="S2172">
        <f>VLOOKUP(A2172,vlookup_table!$A:$G,7,FALSE)</f>
        <v>13</v>
      </c>
      <c r="T2172">
        <f t="shared" si="66"/>
        <v>61</v>
      </c>
      <c r="U2172" t="str">
        <f t="shared" si="67"/>
        <v>Rural</v>
      </c>
    </row>
    <row r="2173" spans="1:21" ht="16" x14ac:dyDescent="0.4">
      <c r="A2173" s="7">
        <v>169198</v>
      </c>
      <c r="B2173" s="7" t="s">
        <v>21</v>
      </c>
      <c r="C2173" s="7" t="s">
        <v>17</v>
      </c>
      <c r="D2173" s="7">
        <v>960</v>
      </c>
      <c r="E2173" s="7">
        <v>288</v>
      </c>
      <c r="F2173" s="7">
        <v>314</v>
      </c>
      <c r="G2173" s="7">
        <v>2</v>
      </c>
      <c r="H2173" s="7">
        <v>13094</v>
      </c>
      <c r="I2173" s="7">
        <v>6</v>
      </c>
      <c r="J2173" s="7">
        <v>60</v>
      </c>
      <c r="K2173" s="7">
        <v>272</v>
      </c>
      <c r="L2173" s="7">
        <v>329</v>
      </c>
      <c r="M2173" s="7">
        <v>23.75</v>
      </c>
      <c r="N2173">
        <f>VLOOKUP(A2173,vlookup_table!$A:$G,2,FALSE)</f>
        <v>0</v>
      </c>
      <c r="O2173" t="str">
        <f>VLOOKUP(A2173,vlookup_table!$A:$G,3,FALSE)</f>
        <v>CA</v>
      </c>
      <c r="P2173">
        <f>VLOOKUP(A2173,vlookup_table!$A:$G,4,FALSE)</f>
        <v>4201</v>
      </c>
      <c r="Q2173" t="str">
        <f>VLOOKUP(A2173,vlookup_table!$A:$G,5,FALSE)</f>
        <v>C2</v>
      </c>
      <c r="R2173" t="str">
        <f>VLOOKUP(A2173,vlookup_table!$A:$G,6,FALSE)</f>
        <v>F</v>
      </c>
      <c r="S2173">
        <f>VLOOKUP(A2173,vlookup_table!$A:$G,7,FALSE)</f>
        <v>25</v>
      </c>
      <c r="T2173">
        <f t="shared" si="66"/>
        <v>54</v>
      </c>
      <c r="U2173" t="str">
        <f t="shared" si="67"/>
        <v>Ciudad</v>
      </c>
    </row>
    <row r="2174" spans="1:21" ht="16" x14ac:dyDescent="0.4">
      <c r="A2174" s="7">
        <v>126949</v>
      </c>
      <c r="B2174" s="7" t="s">
        <v>20</v>
      </c>
      <c r="C2174" s="7" t="s">
        <v>17</v>
      </c>
      <c r="D2174" s="7">
        <v>0</v>
      </c>
      <c r="E2174" s="7">
        <v>0</v>
      </c>
      <c r="F2174" s="7">
        <v>0</v>
      </c>
      <c r="G2174" s="7">
        <v>0</v>
      </c>
      <c r="H2174" s="7">
        <v>0</v>
      </c>
      <c r="I2174" s="7">
        <v>0</v>
      </c>
      <c r="J2174" s="7">
        <v>0</v>
      </c>
      <c r="K2174" s="7">
        <v>0</v>
      </c>
      <c r="L2174" s="7">
        <v>0</v>
      </c>
      <c r="M2174" s="7">
        <v>10.5</v>
      </c>
      <c r="N2174">
        <f>VLOOKUP(A2174,vlookup_table!$A:$G,2,FALSE)</f>
        <v>0</v>
      </c>
      <c r="O2174" t="str">
        <f>VLOOKUP(A2174,vlookup_table!$A:$G,3,FALSE)</f>
        <v>TX</v>
      </c>
      <c r="P2174">
        <f>VLOOKUP(A2174,vlookup_table!$A:$G,4,FALSE)</f>
        <v>4001</v>
      </c>
      <c r="Q2174" t="str">
        <f>VLOOKUP(A2174,vlookup_table!$A:$G,5,FALSE)</f>
        <v>C3</v>
      </c>
      <c r="R2174" t="str">
        <f>VLOOKUP(A2174,vlookup_table!$A:$G,6,FALSE)</f>
        <v>F</v>
      </c>
      <c r="S2174">
        <f>VLOOKUP(A2174,vlookup_table!$A:$G,7,FALSE)</f>
        <v>10</v>
      </c>
      <c r="T2174">
        <f t="shared" si="66"/>
        <v>56</v>
      </c>
      <c r="U2174" t="str">
        <f t="shared" si="67"/>
        <v>Ciudad</v>
      </c>
    </row>
    <row r="2175" spans="1:21" ht="16" x14ac:dyDescent="0.4">
      <c r="A2175" s="7">
        <v>24040</v>
      </c>
      <c r="B2175" s="7" t="s">
        <v>43</v>
      </c>
      <c r="C2175" s="7" t="s">
        <v>14</v>
      </c>
      <c r="D2175" s="7">
        <v>781</v>
      </c>
      <c r="E2175" s="7">
        <v>357</v>
      </c>
      <c r="F2175" s="7">
        <v>408</v>
      </c>
      <c r="G2175" s="7">
        <v>1</v>
      </c>
      <c r="H2175" s="7">
        <v>13977</v>
      </c>
      <c r="I2175" s="7">
        <v>1</v>
      </c>
      <c r="J2175" s="7">
        <v>54</v>
      </c>
      <c r="K2175" s="7">
        <v>375</v>
      </c>
      <c r="L2175" s="7">
        <v>373</v>
      </c>
      <c r="M2175" s="7">
        <v>8.769230769</v>
      </c>
      <c r="N2175">
        <f>VLOOKUP(A2175,vlookup_table!$A:$G,2,FALSE)</f>
        <v>2</v>
      </c>
      <c r="O2175" t="str">
        <f>VLOOKUP(A2175,vlookup_table!$A:$G,3,FALSE)</f>
        <v>SC</v>
      </c>
      <c r="P2175">
        <f>VLOOKUP(A2175,vlookup_table!$A:$G,4,FALSE)</f>
        <v>3504</v>
      </c>
      <c r="Q2175" t="str">
        <f>VLOOKUP(A2175,vlookup_table!$A:$G,5,FALSE)</f>
        <v>T1</v>
      </c>
      <c r="R2175" t="str">
        <f>VLOOKUP(A2175,vlookup_table!$A:$G,6,FALSE)</f>
        <v>M</v>
      </c>
      <c r="S2175">
        <f>VLOOKUP(A2175,vlookup_table!$A:$G,7,FALSE)</f>
        <v>20</v>
      </c>
      <c r="T2175">
        <f t="shared" si="66"/>
        <v>61</v>
      </c>
      <c r="U2175" t="str">
        <f t="shared" si="67"/>
        <v>Pueblo</v>
      </c>
    </row>
    <row r="2176" spans="1:21" ht="16" x14ac:dyDescent="0.4">
      <c r="A2176" s="7">
        <v>51692</v>
      </c>
      <c r="B2176" s="7" t="s">
        <v>49</v>
      </c>
      <c r="C2176" s="7" t="s">
        <v>17</v>
      </c>
      <c r="D2176" s="7">
        <v>829</v>
      </c>
      <c r="E2176" s="7">
        <v>345</v>
      </c>
      <c r="F2176" s="7">
        <v>432</v>
      </c>
      <c r="G2176" s="7">
        <v>1</v>
      </c>
      <c r="H2176" s="7">
        <v>16592</v>
      </c>
      <c r="I2176" s="7">
        <v>0</v>
      </c>
      <c r="J2176" s="7">
        <v>57</v>
      </c>
      <c r="K2176" s="7">
        <v>394</v>
      </c>
      <c r="L2176" s="7">
        <v>404</v>
      </c>
      <c r="M2176" s="7">
        <v>10.6</v>
      </c>
      <c r="N2176">
        <f>VLOOKUP(A2176,vlookup_table!$A:$G,2,FALSE)</f>
        <v>0</v>
      </c>
      <c r="O2176" t="str">
        <f>VLOOKUP(A2176,vlookup_table!$A:$G,3,FALSE)</f>
        <v>TN</v>
      </c>
      <c r="P2176">
        <f>VLOOKUP(A2176,vlookup_table!$A:$G,4,FALSE)</f>
        <v>2607</v>
      </c>
      <c r="Q2176" t="str">
        <f>VLOOKUP(A2176,vlookup_table!$A:$G,5,FALSE)</f>
        <v>T1</v>
      </c>
      <c r="R2176" t="str">
        <f>VLOOKUP(A2176,vlookup_table!$A:$G,6,FALSE)</f>
        <v>F</v>
      </c>
      <c r="S2176">
        <f>VLOOKUP(A2176,vlookup_table!$A:$G,7,FALSE)</f>
        <v>15</v>
      </c>
      <c r="T2176">
        <f t="shared" si="66"/>
        <v>70</v>
      </c>
      <c r="U2176" t="str">
        <f t="shared" si="67"/>
        <v>Pueblo</v>
      </c>
    </row>
    <row r="2177" spans="1:21" ht="16" x14ac:dyDescent="0.4">
      <c r="A2177" s="7">
        <v>38539</v>
      </c>
      <c r="B2177" s="7" t="s">
        <v>13</v>
      </c>
      <c r="C2177" s="7" t="s">
        <v>17</v>
      </c>
      <c r="D2177" s="7">
        <v>1458</v>
      </c>
      <c r="E2177" s="7">
        <v>275</v>
      </c>
      <c r="F2177" s="7">
        <v>597</v>
      </c>
      <c r="G2177" s="7">
        <v>24</v>
      </c>
      <c r="H2177" s="7">
        <v>34713</v>
      </c>
      <c r="I2177" s="7">
        <v>22</v>
      </c>
      <c r="J2177" s="7">
        <v>3</v>
      </c>
      <c r="K2177" s="7">
        <v>446</v>
      </c>
      <c r="L2177" s="7">
        <v>427</v>
      </c>
      <c r="M2177" s="7">
        <v>5.5</v>
      </c>
      <c r="N2177">
        <f>VLOOKUP(A2177,vlookup_table!$A:$G,2,FALSE)</f>
        <v>0</v>
      </c>
      <c r="O2177" t="str">
        <f>VLOOKUP(A2177,vlookup_table!$A:$G,3,FALSE)</f>
        <v>FL</v>
      </c>
      <c r="P2177">
        <f>VLOOKUP(A2177,vlookup_table!$A:$G,4,FALSE)</f>
        <v>3205</v>
      </c>
      <c r="Q2177" t="str">
        <f>VLOOKUP(A2177,vlookup_table!$A:$G,5,FALSE)</f>
        <v>C1</v>
      </c>
      <c r="R2177" t="str">
        <f>VLOOKUP(A2177,vlookup_table!$A:$G,6,FALSE)</f>
        <v>F</v>
      </c>
      <c r="S2177">
        <f>VLOOKUP(A2177,vlookup_table!$A:$G,7,FALSE)</f>
        <v>13</v>
      </c>
      <c r="T2177">
        <f t="shared" si="66"/>
        <v>64</v>
      </c>
      <c r="U2177" t="str">
        <f t="shared" si="67"/>
        <v>Ciudad</v>
      </c>
    </row>
    <row r="2178" spans="1:21" ht="16" x14ac:dyDescent="0.4">
      <c r="A2178" s="7">
        <v>181462</v>
      </c>
      <c r="B2178" s="7" t="s">
        <v>37</v>
      </c>
      <c r="C2178" s="7" t="s">
        <v>17</v>
      </c>
      <c r="D2178" s="7">
        <v>978</v>
      </c>
      <c r="E2178" s="7">
        <v>312</v>
      </c>
      <c r="F2178" s="7">
        <v>384</v>
      </c>
      <c r="G2178" s="7">
        <v>5</v>
      </c>
      <c r="H2178" s="7">
        <v>12859</v>
      </c>
      <c r="I2178" s="7">
        <v>3</v>
      </c>
      <c r="J2178" s="7">
        <v>58</v>
      </c>
      <c r="K2178" s="7">
        <v>329</v>
      </c>
      <c r="L2178" s="7">
        <v>369</v>
      </c>
      <c r="M2178" s="7">
        <v>15.33333333</v>
      </c>
      <c r="N2178">
        <f>VLOOKUP(A2178,vlookup_table!$A:$G,2,FALSE)</f>
        <v>2</v>
      </c>
      <c r="O2178" t="str">
        <f>VLOOKUP(A2178,vlookup_table!$A:$G,3,FALSE)</f>
        <v>WA</v>
      </c>
      <c r="P2178">
        <f>VLOOKUP(A2178,vlookup_table!$A:$G,4,FALSE)</f>
        <v>2001</v>
      </c>
      <c r="Q2178" t="str">
        <f>VLOOKUP(A2178,vlookup_table!$A:$G,5,FALSE)</f>
        <v>R1</v>
      </c>
      <c r="R2178" t="str">
        <f>VLOOKUP(A2178,vlookup_table!$A:$G,6,FALSE)</f>
        <v>F</v>
      </c>
      <c r="S2178">
        <f>VLOOKUP(A2178,vlookup_table!$A:$G,7,FALSE)</f>
        <v>23</v>
      </c>
      <c r="T2178">
        <f t="shared" si="66"/>
        <v>76</v>
      </c>
      <c r="U2178" t="str">
        <f t="shared" si="67"/>
        <v>Rural</v>
      </c>
    </row>
    <row r="2179" spans="1:21" ht="16" x14ac:dyDescent="0.4">
      <c r="A2179" s="7">
        <v>153771</v>
      </c>
      <c r="B2179" s="7" t="s">
        <v>21</v>
      </c>
      <c r="C2179" s="7" t="s">
        <v>17</v>
      </c>
      <c r="D2179" s="7">
        <v>2111</v>
      </c>
      <c r="E2179" s="7">
        <v>463</v>
      </c>
      <c r="F2179" s="7">
        <v>580</v>
      </c>
      <c r="G2179" s="7">
        <v>56</v>
      </c>
      <c r="H2179" s="7">
        <v>22198</v>
      </c>
      <c r="I2179" s="7">
        <v>6</v>
      </c>
      <c r="J2179" s="7">
        <v>32</v>
      </c>
      <c r="K2179" s="7">
        <v>551</v>
      </c>
      <c r="L2179" s="7">
        <v>529</v>
      </c>
      <c r="M2179" s="7">
        <v>20</v>
      </c>
      <c r="N2179">
        <f>VLOOKUP(A2179,vlookup_table!$A:$G,2,FALSE)</f>
        <v>0</v>
      </c>
      <c r="O2179" t="str">
        <f>VLOOKUP(A2179,vlookup_table!$A:$G,3,FALSE)</f>
        <v>CA</v>
      </c>
      <c r="P2179">
        <f>VLOOKUP(A2179,vlookup_table!$A:$G,4,FALSE)</f>
        <v>3201</v>
      </c>
      <c r="Q2179" t="str">
        <f>VLOOKUP(A2179,vlookup_table!$A:$G,5,FALSE)</f>
        <v>C1</v>
      </c>
      <c r="R2179" t="str">
        <f>VLOOKUP(A2179,vlookup_table!$A:$G,6,FALSE)</f>
        <v>F</v>
      </c>
      <c r="S2179">
        <f>VLOOKUP(A2179,vlookup_table!$A:$G,7,FALSE)</f>
        <v>25</v>
      </c>
      <c r="T2179">
        <f t="shared" ref="T2179:T2242" si="68">97-LEFT(P2179,2)-IF(RIGHT(P2179,2)&gt;6,1,0)</f>
        <v>64</v>
      </c>
      <c r="U2179" t="str">
        <f t="shared" ref="U2179:U2242" si="69">IF(LEFT(Q2179,1)="C","Ciudad",IF(LEFT(Q2179,1)="T","Pueblo",IF(LEFT(Q2179,1)="R","Rural",IF(LEFT(Q2179,1)="S","Suburbano",IF(LEFT(Q2179,1)="U","Urbano","")))))</f>
        <v>Ciudad</v>
      </c>
    </row>
    <row r="2180" spans="1:21" ht="16" x14ac:dyDescent="0.4">
      <c r="A2180" s="7">
        <v>25558</v>
      </c>
      <c r="B2180" s="7" t="s">
        <v>36</v>
      </c>
      <c r="C2180" s="7" t="s">
        <v>14</v>
      </c>
      <c r="D2180" s="7">
        <v>899</v>
      </c>
      <c r="E2180" s="7">
        <v>489</v>
      </c>
      <c r="F2180" s="7">
        <v>513</v>
      </c>
      <c r="G2180" s="7">
        <v>1</v>
      </c>
      <c r="H2180" s="7">
        <v>16749</v>
      </c>
      <c r="I2180" s="7">
        <v>4</v>
      </c>
      <c r="J2180" s="7">
        <v>60</v>
      </c>
      <c r="K2180" s="7">
        <v>503</v>
      </c>
      <c r="L2180" s="7">
        <v>503</v>
      </c>
      <c r="M2180" s="7">
        <v>10.5</v>
      </c>
      <c r="N2180">
        <f>VLOOKUP(A2180,vlookup_table!$A:$G,2,FALSE)</f>
        <v>1</v>
      </c>
      <c r="O2180" t="str">
        <f>VLOOKUP(A2180,vlookup_table!$A:$G,3,FALSE)</f>
        <v>GA</v>
      </c>
      <c r="P2180">
        <f>VLOOKUP(A2180,vlookup_table!$A:$G,4,FALSE)</f>
        <v>4901</v>
      </c>
      <c r="Q2180" t="str">
        <f>VLOOKUP(A2180,vlookup_table!$A:$G,5,FALSE)</f>
        <v>C2</v>
      </c>
      <c r="R2180" t="str">
        <f>VLOOKUP(A2180,vlookup_table!$A:$G,6,FALSE)</f>
        <v>M</v>
      </c>
      <c r="S2180">
        <f>VLOOKUP(A2180,vlookup_table!$A:$G,7,FALSE)</f>
        <v>15</v>
      </c>
      <c r="T2180">
        <f t="shared" si="68"/>
        <v>47</v>
      </c>
      <c r="U2180" t="str">
        <f t="shared" si="69"/>
        <v>Ciudad</v>
      </c>
    </row>
    <row r="2181" spans="1:21" ht="16" x14ac:dyDescent="0.4">
      <c r="A2181" s="7">
        <v>182916</v>
      </c>
      <c r="B2181" s="7" t="s">
        <v>37</v>
      </c>
      <c r="C2181" s="7" t="s">
        <v>17</v>
      </c>
      <c r="D2181" s="7">
        <v>666</v>
      </c>
      <c r="E2181" s="7">
        <v>358</v>
      </c>
      <c r="F2181" s="7">
        <v>486</v>
      </c>
      <c r="G2181" s="7">
        <v>1</v>
      </c>
      <c r="H2181" s="7">
        <v>17162</v>
      </c>
      <c r="I2181" s="7">
        <v>4</v>
      </c>
      <c r="J2181" s="7">
        <v>43</v>
      </c>
      <c r="K2181" s="7">
        <v>432</v>
      </c>
      <c r="L2181" s="7">
        <v>394</v>
      </c>
      <c r="M2181" s="7">
        <v>20</v>
      </c>
      <c r="N2181">
        <f>VLOOKUP(A2181,vlookup_table!$A:$G,2,FALSE)</f>
        <v>28</v>
      </c>
      <c r="O2181" t="str">
        <f>VLOOKUP(A2181,vlookup_table!$A:$G,3,FALSE)</f>
        <v>WA</v>
      </c>
      <c r="P2181">
        <f>VLOOKUP(A2181,vlookup_table!$A:$G,4,FALSE)</f>
        <v>3401</v>
      </c>
      <c r="Q2181" t="str">
        <f>VLOOKUP(A2181,vlookup_table!$A:$G,5,FALSE)</f>
        <v>C2</v>
      </c>
      <c r="R2181" t="str">
        <f>VLOOKUP(A2181,vlookup_table!$A:$G,6,FALSE)</f>
        <v>F</v>
      </c>
      <c r="S2181">
        <f>VLOOKUP(A2181,vlookup_table!$A:$G,7,FALSE)</f>
        <v>25</v>
      </c>
      <c r="T2181">
        <f t="shared" si="68"/>
        <v>62</v>
      </c>
      <c r="U2181" t="str">
        <f t="shared" si="69"/>
        <v>Ciudad</v>
      </c>
    </row>
    <row r="2182" spans="1:21" ht="16" x14ac:dyDescent="0.4">
      <c r="A2182" s="7">
        <v>162213</v>
      </c>
      <c r="B2182" s="7" t="s">
        <v>21</v>
      </c>
      <c r="C2182" s="7" t="s">
        <v>14</v>
      </c>
      <c r="D2182" s="7">
        <v>5000</v>
      </c>
      <c r="E2182" s="7">
        <v>665</v>
      </c>
      <c r="F2182" s="7">
        <v>827</v>
      </c>
      <c r="G2182" s="7">
        <v>98</v>
      </c>
      <c r="H2182" s="7">
        <v>37898</v>
      </c>
      <c r="I2182" s="7">
        <v>9</v>
      </c>
      <c r="J2182" s="7">
        <v>44</v>
      </c>
      <c r="K2182" s="7">
        <v>780</v>
      </c>
      <c r="L2182" s="7">
        <v>737</v>
      </c>
      <c r="M2182" s="7">
        <v>10.30769231</v>
      </c>
      <c r="N2182">
        <f>VLOOKUP(A2182,vlookup_table!$A:$G,2,FALSE)</f>
        <v>1</v>
      </c>
      <c r="O2182" t="str">
        <f>VLOOKUP(A2182,vlookup_table!$A:$G,3,FALSE)</f>
        <v>CA</v>
      </c>
      <c r="P2182">
        <f>VLOOKUP(A2182,vlookup_table!$A:$G,4,FALSE)</f>
        <v>2201</v>
      </c>
      <c r="Q2182" t="str">
        <f>VLOOKUP(A2182,vlookup_table!$A:$G,5,FALSE)</f>
        <v>S1</v>
      </c>
      <c r="R2182" t="str">
        <f>VLOOKUP(A2182,vlookup_table!$A:$G,6,FALSE)</f>
        <v>M</v>
      </c>
      <c r="S2182">
        <f>VLOOKUP(A2182,vlookup_table!$A:$G,7,FALSE)</f>
        <v>7</v>
      </c>
      <c r="T2182">
        <f t="shared" si="68"/>
        <v>74</v>
      </c>
      <c r="U2182" t="str">
        <f t="shared" si="69"/>
        <v>Suburbano</v>
      </c>
    </row>
    <row r="2183" spans="1:21" ht="16" x14ac:dyDescent="0.4">
      <c r="A2183" s="7">
        <v>177039</v>
      </c>
      <c r="B2183" s="7" t="s">
        <v>47</v>
      </c>
      <c r="C2183" s="7" t="s">
        <v>17</v>
      </c>
      <c r="D2183" s="7">
        <v>620</v>
      </c>
      <c r="E2183" s="7">
        <v>232</v>
      </c>
      <c r="F2183" s="7">
        <v>331</v>
      </c>
      <c r="G2183" s="7">
        <v>0</v>
      </c>
      <c r="H2183" s="7">
        <v>11354</v>
      </c>
      <c r="I2183" s="7">
        <v>3</v>
      </c>
      <c r="J2183" s="7">
        <v>44</v>
      </c>
      <c r="K2183" s="7">
        <v>288</v>
      </c>
      <c r="L2183" s="7">
        <v>284</v>
      </c>
      <c r="M2183" s="7">
        <v>9.7291666669999994</v>
      </c>
      <c r="N2183">
        <f>VLOOKUP(A2183,vlookup_table!$A:$G,2,FALSE)</f>
        <v>0</v>
      </c>
      <c r="O2183" t="str">
        <f>VLOOKUP(A2183,vlookup_table!$A:$G,3,FALSE)</f>
        <v>OR</v>
      </c>
      <c r="P2183">
        <f>VLOOKUP(A2183,vlookup_table!$A:$G,4,FALSE)</f>
        <v>2206</v>
      </c>
      <c r="Q2183" t="str">
        <f>VLOOKUP(A2183,vlookup_table!$A:$G,5,FALSE)</f>
        <v>R2</v>
      </c>
      <c r="R2183" t="str">
        <f>VLOOKUP(A2183,vlookup_table!$A:$G,6,FALSE)</f>
        <v>F</v>
      </c>
      <c r="S2183">
        <f>VLOOKUP(A2183,vlookup_table!$A:$G,7,FALSE)</f>
        <v>21</v>
      </c>
      <c r="T2183">
        <f t="shared" si="68"/>
        <v>74</v>
      </c>
      <c r="U2183" t="str">
        <f t="shared" si="69"/>
        <v>Rural</v>
      </c>
    </row>
    <row r="2184" spans="1:21" ht="16" x14ac:dyDescent="0.4">
      <c r="A2184" s="7">
        <v>107264</v>
      </c>
      <c r="B2184" s="7" t="s">
        <v>55</v>
      </c>
      <c r="C2184" s="7" t="s">
        <v>14</v>
      </c>
      <c r="D2184" s="7">
        <v>612</v>
      </c>
      <c r="E2184" s="7">
        <v>359</v>
      </c>
      <c r="F2184" s="7">
        <v>400</v>
      </c>
      <c r="G2184" s="7">
        <v>0</v>
      </c>
      <c r="H2184" s="7">
        <v>14320</v>
      </c>
      <c r="I2184" s="7">
        <v>3</v>
      </c>
      <c r="J2184" s="7">
        <v>64</v>
      </c>
      <c r="K2184" s="7">
        <v>404</v>
      </c>
      <c r="L2184" s="7">
        <v>380</v>
      </c>
      <c r="M2184" s="7">
        <v>13</v>
      </c>
      <c r="N2184">
        <f>VLOOKUP(A2184,vlookup_table!$A:$G,2,FALSE)</f>
        <v>2</v>
      </c>
      <c r="O2184" t="str">
        <f>VLOOKUP(A2184,vlookup_table!$A:$G,3,FALSE)</f>
        <v>NE</v>
      </c>
      <c r="P2184">
        <f>VLOOKUP(A2184,vlookup_table!$A:$G,4,FALSE)</f>
        <v>5201</v>
      </c>
      <c r="Q2184" t="str">
        <f>VLOOKUP(A2184,vlookup_table!$A:$G,5,FALSE)</f>
        <v>C1</v>
      </c>
      <c r="R2184" t="str">
        <f>VLOOKUP(A2184,vlookup_table!$A:$G,6,FALSE)</f>
        <v>M</v>
      </c>
      <c r="S2184">
        <f>VLOOKUP(A2184,vlookup_table!$A:$G,7,FALSE)</f>
        <v>20</v>
      </c>
      <c r="T2184">
        <f t="shared" si="68"/>
        <v>44</v>
      </c>
      <c r="U2184" t="str">
        <f t="shared" si="69"/>
        <v>Ciudad</v>
      </c>
    </row>
    <row r="2185" spans="1:21" ht="16" x14ac:dyDescent="0.4">
      <c r="A2185" s="7">
        <v>60708</v>
      </c>
      <c r="B2185" s="7" t="s">
        <v>30</v>
      </c>
      <c r="C2185" s="7" t="s">
        <v>27</v>
      </c>
      <c r="D2185" s="7">
        <v>482</v>
      </c>
      <c r="E2185" s="7">
        <v>344</v>
      </c>
      <c r="F2185" s="7">
        <v>447</v>
      </c>
      <c r="G2185" s="7">
        <v>0</v>
      </c>
      <c r="H2185" s="7">
        <v>13525</v>
      </c>
      <c r="I2185" s="7">
        <v>0</v>
      </c>
      <c r="J2185" s="7">
        <v>55</v>
      </c>
      <c r="K2185" s="7">
        <v>429</v>
      </c>
      <c r="L2185" s="7">
        <v>401</v>
      </c>
      <c r="M2185" s="7">
        <v>3.1176470589999998</v>
      </c>
      <c r="N2185">
        <f>VLOOKUP(A2185,vlookup_table!$A:$G,2,FALSE)</f>
        <v>2</v>
      </c>
      <c r="O2185" t="str">
        <f>VLOOKUP(A2185,vlookup_table!$A:$G,3,FALSE)</f>
        <v>IN</v>
      </c>
      <c r="P2185">
        <f>VLOOKUP(A2185,vlookup_table!$A:$G,4,FALSE)</f>
        <v>0</v>
      </c>
      <c r="Q2185" t="str">
        <f>VLOOKUP(A2185,vlookup_table!$A:$G,5,FALSE)</f>
        <v>T2</v>
      </c>
      <c r="R2185" t="str">
        <f>VLOOKUP(A2185,vlookup_table!$A:$G,6,FALSE)</f>
        <v>U</v>
      </c>
      <c r="S2185">
        <f>VLOOKUP(A2185,vlookup_table!$A:$G,7,FALSE)</f>
        <v>5</v>
      </c>
      <c r="T2185">
        <f t="shared" si="68"/>
        <v>96</v>
      </c>
      <c r="U2185" t="str">
        <f t="shared" si="69"/>
        <v>Pueblo</v>
      </c>
    </row>
    <row r="2186" spans="1:21" ht="16" x14ac:dyDescent="0.4">
      <c r="A2186" s="7">
        <v>12234</v>
      </c>
      <c r="B2186" s="7" t="s">
        <v>21</v>
      </c>
      <c r="C2186" s="7" t="s">
        <v>17</v>
      </c>
      <c r="D2186" s="7">
        <v>2247</v>
      </c>
      <c r="E2186" s="7">
        <v>357</v>
      </c>
      <c r="F2186" s="7">
        <v>500</v>
      </c>
      <c r="G2186" s="7">
        <v>60</v>
      </c>
      <c r="H2186" s="7">
        <v>18748</v>
      </c>
      <c r="I2186" s="7">
        <v>10</v>
      </c>
      <c r="J2186" s="7">
        <v>56</v>
      </c>
      <c r="K2186" s="7">
        <v>425</v>
      </c>
      <c r="L2186" s="7">
        <v>430</v>
      </c>
      <c r="M2186" s="7">
        <v>9.5172413789999997</v>
      </c>
      <c r="N2186">
        <f>VLOOKUP(A2186,vlookup_table!$A:$G,2,FALSE)</f>
        <v>0</v>
      </c>
      <c r="O2186" t="str">
        <f>VLOOKUP(A2186,vlookup_table!$A:$G,3,FALSE)</f>
        <v>CA</v>
      </c>
      <c r="P2186">
        <f>VLOOKUP(A2186,vlookup_table!$A:$G,4,FALSE)</f>
        <v>2201</v>
      </c>
      <c r="Q2186" t="str">
        <f>VLOOKUP(A2186,vlookup_table!$A:$G,5,FALSE)</f>
        <v>C2</v>
      </c>
      <c r="R2186" t="str">
        <f>VLOOKUP(A2186,vlookup_table!$A:$G,6,FALSE)</f>
        <v>F</v>
      </c>
      <c r="S2186">
        <f>VLOOKUP(A2186,vlookup_table!$A:$G,7,FALSE)</f>
        <v>10</v>
      </c>
      <c r="T2186">
        <f t="shared" si="68"/>
        <v>74</v>
      </c>
      <c r="U2186" t="str">
        <f t="shared" si="69"/>
        <v>Ciudad</v>
      </c>
    </row>
    <row r="2187" spans="1:21" ht="16" x14ac:dyDescent="0.4">
      <c r="A2187" s="7">
        <v>59240</v>
      </c>
      <c r="B2187" s="7" t="s">
        <v>30</v>
      </c>
      <c r="C2187" s="7" t="s">
        <v>17</v>
      </c>
      <c r="D2187" s="7">
        <v>1395</v>
      </c>
      <c r="E2187" s="7">
        <v>575</v>
      </c>
      <c r="F2187" s="7">
        <v>704</v>
      </c>
      <c r="G2187" s="7">
        <v>28</v>
      </c>
      <c r="H2187" s="7">
        <v>24518</v>
      </c>
      <c r="I2187" s="7">
        <v>7</v>
      </c>
      <c r="J2187" s="7">
        <v>61</v>
      </c>
      <c r="K2187" s="7">
        <v>580</v>
      </c>
      <c r="L2187" s="7">
        <v>687</v>
      </c>
      <c r="M2187" s="7">
        <v>9</v>
      </c>
      <c r="N2187">
        <f>VLOOKUP(A2187,vlookup_table!$A:$G,2,FALSE)</f>
        <v>0</v>
      </c>
      <c r="O2187" t="str">
        <f>VLOOKUP(A2187,vlookup_table!$A:$G,3,FALSE)</f>
        <v>IN</v>
      </c>
      <c r="P2187">
        <f>VLOOKUP(A2187,vlookup_table!$A:$G,4,FALSE)</f>
        <v>0</v>
      </c>
      <c r="Q2187" t="str">
        <f>VLOOKUP(A2187,vlookup_table!$A:$G,5,FALSE)</f>
        <v>S1</v>
      </c>
      <c r="R2187" t="str">
        <f>VLOOKUP(A2187,vlookup_table!$A:$G,6,FALSE)</f>
        <v>F</v>
      </c>
      <c r="S2187">
        <f>VLOOKUP(A2187,vlookup_table!$A:$G,7,FALSE)</f>
        <v>10</v>
      </c>
      <c r="T2187">
        <f t="shared" si="68"/>
        <v>96</v>
      </c>
      <c r="U2187" t="str">
        <f t="shared" si="69"/>
        <v>Suburbano</v>
      </c>
    </row>
    <row r="2188" spans="1:21" ht="16" x14ac:dyDescent="0.4">
      <c r="A2188" s="7">
        <v>127028</v>
      </c>
      <c r="B2188" s="7" t="s">
        <v>20</v>
      </c>
      <c r="C2188" s="7" t="s">
        <v>17</v>
      </c>
      <c r="D2188" s="7">
        <v>586</v>
      </c>
      <c r="E2188" s="7">
        <v>242</v>
      </c>
      <c r="F2188" s="7">
        <v>348</v>
      </c>
      <c r="G2188" s="7">
        <v>0</v>
      </c>
      <c r="H2188" s="7">
        <v>13539</v>
      </c>
      <c r="I2188" s="7">
        <v>2</v>
      </c>
      <c r="J2188" s="7">
        <v>65</v>
      </c>
      <c r="K2188" s="7">
        <v>295</v>
      </c>
      <c r="L2188" s="7">
        <v>288</v>
      </c>
      <c r="M2188" s="7">
        <v>9.1428571430000005</v>
      </c>
      <c r="N2188">
        <f>VLOOKUP(A2188,vlookup_table!$A:$G,2,FALSE)</f>
        <v>0</v>
      </c>
      <c r="O2188" t="str">
        <f>VLOOKUP(A2188,vlookup_table!$A:$G,3,FALSE)</f>
        <v>TX</v>
      </c>
      <c r="P2188">
        <f>VLOOKUP(A2188,vlookup_table!$A:$G,4,FALSE)</f>
        <v>0</v>
      </c>
      <c r="Q2188" t="str">
        <f>VLOOKUP(A2188,vlookup_table!$A:$G,5,FALSE)</f>
        <v>S2</v>
      </c>
      <c r="R2188" t="str">
        <f>VLOOKUP(A2188,vlookup_table!$A:$G,6,FALSE)</f>
        <v>F</v>
      </c>
      <c r="S2188">
        <f>VLOOKUP(A2188,vlookup_table!$A:$G,7,FALSE)</f>
        <v>18</v>
      </c>
      <c r="T2188">
        <f t="shared" si="68"/>
        <v>96</v>
      </c>
      <c r="U2188" t="str">
        <f t="shared" si="69"/>
        <v>Suburbano</v>
      </c>
    </row>
    <row r="2189" spans="1:21" ht="16" x14ac:dyDescent="0.4">
      <c r="A2189" s="7">
        <v>72321</v>
      </c>
      <c r="B2189" s="7" t="s">
        <v>26</v>
      </c>
      <c r="C2189" s="7" t="s">
        <v>14</v>
      </c>
      <c r="D2189" s="7">
        <v>628</v>
      </c>
      <c r="E2189" s="7">
        <v>310</v>
      </c>
      <c r="F2189" s="7">
        <v>369</v>
      </c>
      <c r="G2189" s="7">
        <v>2</v>
      </c>
      <c r="H2189" s="7">
        <v>12788</v>
      </c>
      <c r="I2189" s="7">
        <v>3</v>
      </c>
      <c r="J2189" s="7">
        <v>71</v>
      </c>
      <c r="K2189" s="7">
        <v>344</v>
      </c>
      <c r="L2189" s="7">
        <v>337</v>
      </c>
      <c r="M2189" s="7">
        <v>8.3333333330000006</v>
      </c>
      <c r="N2189">
        <f>VLOOKUP(A2189,vlookup_table!$A:$G,2,FALSE)</f>
        <v>1</v>
      </c>
      <c r="O2189" t="str">
        <f>VLOOKUP(A2189,vlookup_table!$A:$G,3,FALSE)</f>
        <v>MI</v>
      </c>
      <c r="P2189">
        <f>VLOOKUP(A2189,vlookup_table!$A:$G,4,FALSE)</f>
        <v>0</v>
      </c>
      <c r="Q2189" t="str">
        <f>VLOOKUP(A2189,vlookup_table!$A:$G,5,FALSE)</f>
        <v>R2</v>
      </c>
      <c r="R2189" t="str">
        <f>VLOOKUP(A2189,vlookup_table!$A:$G,6,FALSE)</f>
        <v>M</v>
      </c>
      <c r="S2189">
        <f>VLOOKUP(A2189,vlookup_table!$A:$G,7,FALSE)</f>
        <v>10</v>
      </c>
      <c r="T2189">
        <f t="shared" si="68"/>
        <v>96</v>
      </c>
      <c r="U2189" t="str">
        <f t="shared" si="69"/>
        <v>Rural</v>
      </c>
    </row>
    <row r="2190" spans="1:21" ht="16" x14ac:dyDescent="0.4">
      <c r="A2190" s="7">
        <v>161309</v>
      </c>
      <c r="B2190" s="7" t="s">
        <v>21</v>
      </c>
      <c r="C2190" s="7" t="s">
        <v>14</v>
      </c>
      <c r="D2190" s="7">
        <v>1601</v>
      </c>
      <c r="E2190" s="7">
        <v>329</v>
      </c>
      <c r="F2190" s="7">
        <v>492</v>
      </c>
      <c r="G2190" s="7">
        <v>21</v>
      </c>
      <c r="H2190" s="7">
        <v>14811</v>
      </c>
      <c r="I2190" s="7">
        <v>13</v>
      </c>
      <c r="J2190" s="7">
        <v>62</v>
      </c>
      <c r="K2190" s="7">
        <v>351</v>
      </c>
      <c r="L2190" s="7">
        <v>453</v>
      </c>
      <c r="M2190" s="7">
        <v>11.85714286</v>
      </c>
      <c r="N2190">
        <f>VLOOKUP(A2190,vlookup_table!$A:$G,2,FALSE)</f>
        <v>1</v>
      </c>
      <c r="O2190" t="str">
        <f>VLOOKUP(A2190,vlookup_table!$A:$G,3,FALSE)</f>
        <v>CA</v>
      </c>
      <c r="P2190">
        <f>VLOOKUP(A2190,vlookup_table!$A:$G,4,FALSE)</f>
        <v>5509</v>
      </c>
      <c r="Q2190" t="str">
        <f>VLOOKUP(A2190,vlookup_table!$A:$G,5,FALSE)</f>
        <v>R1</v>
      </c>
      <c r="R2190" t="str">
        <f>VLOOKUP(A2190,vlookup_table!$A:$G,6,FALSE)</f>
        <v>M</v>
      </c>
      <c r="S2190">
        <f>VLOOKUP(A2190,vlookup_table!$A:$G,7,FALSE)</f>
        <v>18</v>
      </c>
      <c r="T2190">
        <f t="shared" si="68"/>
        <v>41</v>
      </c>
      <c r="U2190" t="str">
        <f t="shared" si="69"/>
        <v>Rural</v>
      </c>
    </row>
    <row r="2191" spans="1:21" ht="16" x14ac:dyDescent="0.4">
      <c r="A2191" s="7">
        <v>58991</v>
      </c>
      <c r="B2191" s="7" t="s">
        <v>53</v>
      </c>
      <c r="C2191" s="7" t="s">
        <v>14</v>
      </c>
      <c r="D2191" s="7">
        <v>277</v>
      </c>
      <c r="E2191" s="7">
        <v>112</v>
      </c>
      <c r="F2191" s="7">
        <v>168</v>
      </c>
      <c r="G2191" s="7">
        <v>0</v>
      </c>
      <c r="H2191" s="7">
        <v>5611</v>
      </c>
      <c r="I2191" s="7">
        <v>0</v>
      </c>
      <c r="J2191" s="7">
        <v>74</v>
      </c>
      <c r="K2191" s="7">
        <v>123</v>
      </c>
      <c r="L2191" s="7">
        <v>154</v>
      </c>
      <c r="M2191" s="7">
        <v>20</v>
      </c>
      <c r="N2191">
        <f>VLOOKUP(A2191,vlookup_table!$A:$G,2,FALSE)</f>
        <v>1</v>
      </c>
      <c r="O2191" t="str">
        <f>VLOOKUP(A2191,vlookup_table!$A:$G,3,FALSE)</f>
        <v>KY</v>
      </c>
      <c r="P2191">
        <f>VLOOKUP(A2191,vlookup_table!$A:$G,4,FALSE)</f>
        <v>3302</v>
      </c>
      <c r="Q2191" t="str">
        <f>VLOOKUP(A2191,vlookup_table!$A:$G,5,FALSE)</f>
        <v>R3</v>
      </c>
      <c r="R2191" t="str">
        <f>VLOOKUP(A2191,vlookup_table!$A:$G,6,FALSE)</f>
        <v>M</v>
      </c>
      <c r="S2191">
        <f>VLOOKUP(A2191,vlookup_table!$A:$G,7,FALSE)</f>
        <v>10</v>
      </c>
      <c r="T2191">
        <f t="shared" si="68"/>
        <v>63</v>
      </c>
      <c r="U2191" t="str">
        <f t="shared" si="69"/>
        <v>Rural</v>
      </c>
    </row>
    <row r="2192" spans="1:21" ht="16" x14ac:dyDescent="0.4">
      <c r="A2192" s="7">
        <v>136772</v>
      </c>
      <c r="B2192" s="7" t="s">
        <v>51</v>
      </c>
      <c r="C2192" s="7"/>
      <c r="D2192" s="7">
        <v>801</v>
      </c>
      <c r="E2192" s="7">
        <v>349</v>
      </c>
      <c r="F2192" s="7">
        <v>476</v>
      </c>
      <c r="G2192" s="7">
        <v>0</v>
      </c>
      <c r="H2192" s="7">
        <v>15610</v>
      </c>
      <c r="I2192" s="7">
        <v>2</v>
      </c>
      <c r="J2192" s="7">
        <v>34</v>
      </c>
      <c r="K2192" s="7">
        <v>416</v>
      </c>
      <c r="L2192" s="7">
        <v>410</v>
      </c>
      <c r="M2192" s="7">
        <v>12.222222220000001</v>
      </c>
      <c r="N2192">
        <f>VLOOKUP(A2192,vlookup_table!$A:$G,2,FALSE)</f>
        <v>980</v>
      </c>
      <c r="O2192" t="str">
        <f>VLOOKUP(A2192,vlookup_table!$A:$G,3,FALSE)</f>
        <v>AZ</v>
      </c>
      <c r="P2192">
        <f>VLOOKUP(A2192,vlookup_table!$A:$G,4,FALSE)</f>
        <v>5206</v>
      </c>
      <c r="Q2192" t="str">
        <f>VLOOKUP(A2192,vlookup_table!$A:$G,5,FALSE)</f>
        <v>S2</v>
      </c>
      <c r="R2192" t="str">
        <f>VLOOKUP(A2192,vlookup_table!$A:$G,6,FALSE)</f>
        <v/>
      </c>
      <c r="S2192">
        <f>VLOOKUP(A2192,vlookup_table!$A:$G,7,FALSE)</f>
        <v>19</v>
      </c>
      <c r="T2192">
        <f t="shared" si="68"/>
        <v>44</v>
      </c>
      <c r="U2192" t="str">
        <f t="shared" si="69"/>
        <v>Suburbano</v>
      </c>
    </row>
    <row r="2193" spans="1:21" ht="16" x14ac:dyDescent="0.4">
      <c r="A2193" s="7">
        <v>190560</v>
      </c>
      <c r="B2193" s="7" t="s">
        <v>25</v>
      </c>
      <c r="C2193" s="7" t="s">
        <v>14</v>
      </c>
      <c r="D2193" s="7">
        <v>220</v>
      </c>
      <c r="E2193" s="7">
        <v>181</v>
      </c>
      <c r="F2193" s="7">
        <v>272</v>
      </c>
      <c r="G2193" s="7">
        <v>0</v>
      </c>
      <c r="H2193" s="7">
        <v>9296</v>
      </c>
      <c r="I2193" s="7">
        <v>2</v>
      </c>
      <c r="J2193" s="7">
        <v>71</v>
      </c>
      <c r="K2193" s="7">
        <v>238</v>
      </c>
      <c r="L2193" s="7">
        <v>220</v>
      </c>
      <c r="M2193" s="7">
        <v>3.7272727269999999</v>
      </c>
      <c r="N2193">
        <f>VLOOKUP(A2193,vlookup_table!$A:$G,2,FALSE)</f>
        <v>0</v>
      </c>
      <c r="O2193" t="str">
        <f>VLOOKUP(A2193,vlookup_table!$A:$G,3,FALSE)</f>
        <v>KS</v>
      </c>
      <c r="P2193">
        <f>VLOOKUP(A2193,vlookup_table!$A:$G,4,FALSE)</f>
        <v>2601</v>
      </c>
      <c r="Q2193" t="str">
        <f>VLOOKUP(A2193,vlookup_table!$A:$G,5,FALSE)</f>
        <v/>
      </c>
      <c r="R2193" t="str">
        <f>VLOOKUP(A2193,vlookup_table!$A:$G,6,FALSE)</f>
        <v>M</v>
      </c>
      <c r="S2193">
        <f>VLOOKUP(A2193,vlookup_table!$A:$G,7,FALSE)</f>
        <v>5</v>
      </c>
      <c r="T2193">
        <f t="shared" si="68"/>
        <v>70</v>
      </c>
      <c r="U2193" t="str">
        <f t="shared" si="69"/>
        <v/>
      </c>
    </row>
    <row r="2194" spans="1:21" ht="16" x14ac:dyDescent="0.4">
      <c r="A2194" s="7">
        <v>158022</v>
      </c>
      <c r="B2194" s="7" t="s">
        <v>21</v>
      </c>
      <c r="C2194" s="7" t="s">
        <v>17</v>
      </c>
      <c r="D2194" s="7">
        <v>2380</v>
      </c>
      <c r="E2194" s="7">
        <v>420</v>
      </c>
      <c r="F2194" s="7">
        <v>586</v>
      </c>
      <c r="G2194" s="7">
        <v>77</v>
      </c>
      <c r="H2194" s="7">
        <v>32129</v>
      </c>
      <c r="I2194" s="7">
        <v>6</v>
      </c>
      <c r="J2194" s="7">
        <v>21</v>
      </c>
      <c r="K2194" s="7">
        <v>490</v>
      </c>
      <c r="L2194" s="7">
        <v>567</v>
      </c>
      <c r="M2194" s="7">
        <v>8.4782608699999997</v>
      </c>
      <c r="N2194">
        <f>VLOOKUP(A2194,vlookup_table!$A:$G,2,FALSE)</f>
        <v>0</v>
      </c>
      <c r="O2194" t="str">
        <f>VLOOKUP(A2194,vlookup_table!$A:$G,3,FALSE)</f>
        <v>CA</v>
      </c>
      <c r="P2194">
        <f>VLOOKUP(A2194,vlookup_table!$A:$G,4,FALSE)</f>
        <v>1801</v>
      </c>
      <c r="Q2194" t="str">
        <f>VLOOKUP(A2194,vlookup_table!$A:$G,5,FALSE)</f>
        <v>C1</v>
      </c>
      <c r="R2194" t="str">
        <f>VLOOKUP(A2194,vlookup_table!$A:$G,6,FALSE)</f>
        <v>F</v>
      </c>
      <c r="S2194">
        <f>VLOOKUP(A2194,vlookup_table!$A:$G,7,FALSE)</f>
        <v>15</v>
      </c>
      <c r="T2194">
        <f t="shared" si="68"/>
        <v>78</v>
      </c>
      <c r="U2194" t="str">
        <f t="shared" si="69"/>
        <v>Ciudad</v>
      </c>
    </row>
    <row r="2195" spans="1:21" ht="16" x14ac:dyDescent="0.4">
      <c r="A2195" s="7">
        <v>177260</v>
      </c>
      <c r="B2195" s="7" t="s">
        <v>47</v>
      </c>
      <c r="C2195" s="7" t="s">
        <v>14</v>
      </c>
      <c r="D2195" s="7">
        <v>492</v>
      </c>
      <c r="E2195" s="7">
        <v>198</v>
      </c>
      <c r="F2195" s="7">
        <v>284</v>
      </c>
      <c r="G2195" s="7">
        <v>1</v>
      </c>
      <c r="H2195" s="7">
        <v>9629</v>
      </c>
      <c r="I2195" s="7">
        <v>2</v>
      </c>
      <c r="J2195" s="7">
        <v>39</v>
      </c>
      <c r="K2195" s="7">
        <v>229</v>
      </c>
      <c r="L2195" s="7">
        <v>247</v>
      </c>
      <c r="M2195" s="7">
        <v>5.9166666670000003</v>
      </c>
      <c r="N2195">
        <f>VLOOKUP(A2195,vlookup_table!$A:$G,2,FALSE)</f>
        <v>1</v>
      </c>
      <c r="O2195" t="str">
        <f>VLOOKUP(A2195,vlookup_table!$A:$G,3,FALSE)</f>
        <v>OR</v>
      </c>
      <c r="P2195">
        <f>VLOOKUP(A2195,vlookup_table!$A:$G,4,FALSE)</f>
        <v>4606</v>
      </c>
      <c r="Q2195" t="str">
        <f>VLOOKUP(A2195,vlookup_table!$A:$G,5,FALSE)</f>
        <v>R2</v>
      </c>
      <c r="R2195" t="str">
        <f>VLOOKUP(A2195,vlookup_table!$A:$G,6,FALSE)</f>
        <v>M</v>
      </c>
      <c r="S2195">
        <f>VLOOKUP(A2195,vlookup_table!$A:$G,7,FALSE)</f>
        <v>2</v>
      </c>
      <c r="T2195">
        <f t="shared" si="68"/>
        <v>50</v>
      </c>
      <c r="U2195" t="str">
        <f t="shared" si="69"/>
        <v>Rural</v>
      </c>
    </row>
    <row r="2196" spans="1:21" ht="16" x14ac:dyDescent="0.4">
      <c r="A2196" s="7">
        <v>179257</v>
      </c>
      <c r="B2196" s="7" t="s">
        <v>37</v>
      </c>
      <c r="C2196" s="7" t="s">
        <v>14</v>
      </c>
      <c r="D2196" s="7">
        <v>1449</v>
      </c>
      <c r="E2196" s="7">
        <v>605</v>
      </c>
      <c r="F2196" s="7">
        <v>657</v>
      </c>
      <c r="G2196" s="7">
        <v>3</v>
      </c>
      <c r="H2196" s="7">
        <v>17504</v>
      </c>
      <c r="I2196" s="7">
        <v>10</v>
      </c>
      <c r="J2196" s="7">
        <v>46</v>
      </c>
      <c r="K2196" s="7">
        <v>618</v>
      </c>
      <c r="L2196" s="7">
        <v>635</v>
      </c>
      <c r="M2196" s="7">
        <v>6.6666666670000003</v>
      </c>
      <c r="N2196">
        <f>VLOOKUP(A2196,vlookup_table!$A:$G,2,FALSE)</f>
        <v>1</v>
      </c>
      <c r="O2196" t="str">
        <f>VLOOKUP(A2196,vlookup_table!$A:$G,3,FALSE)</f>
        <v>WA</v>
      </c>
      <c r="P2196">
        <f>VLOOKUP(A2196,vlookup_table!$A:$G,4,FALSE)</f>
        <v>6201</v>
      </c>
      <c r="Q2196" t="str">
        <f>VLOOKUP(A2196,vlookup_table!$A:$G,5,FALSE)</f>
        <v>S1</v>
      </c>
      <c r="R2196" t="str">
        <f>VLOOKUP(A2196,vlookup_table!$A:$G,6,FALSE)</f>
        <v>M</v>
      </c>
      <c r="S2196">
        <f>VLOOKUP(A2196,vlookup_table!$A:$G,7,FALSE)</f>
        <v>10</v>
      </c>
      <c r="T2196">
        <f t="shared" si="68"/>
        <v>34</v>
      </c>
      <c r="U2196" t="str">
        <f t="shared" si="69"/>
        <v>Suburbano</v>
      </c>
    </row>
    <row r="2197" spans="1:21" ht="16" x14ac:dyDescent="0.4">
      <c r="A2197" s="7">
        <v>13434</v>
      </c>
      <c r="B2197" s="7" t="s">
        <v>18</v>
      </c>
      <c r="C2197" s="7" t="s">
        <v>14</v>
      </c>
      <c r="D2197" s="7">
        <v>1044</v>
      </c>
      <c r="E2197" s="7">
        <v>269</v>
      </c>
      <c r="F2197" s="7">
        <v>329</v>
      </c>
      <c r="G2197" s="7">
        <v>15</v>
      </c>
      <c r="H2197" s="7">
        <v>12648</v>
      </c>
      <c r="I2197" s="7">
        <v>5</v>
      </c>
      <c r="J2197" s="7">
        <v>40</v>
      </c>
      <c r="K2197" s="7">
        <v>299</v>
      </c>
      <c r="L2197" s="7">
        <v>278</v>
      </c>
      <c r="M2197" s="7">
        <v>10.10526316</v>
      </c>
      <c r="N2197">
        <f>VLOOKUP(A2197,vlookup_table!$A:$G,2,FALSE)</f>
        <v>2</v>
      </c>
      <c r="O2197" t="str">
        <f>VLOOKUP(A2197,vlookup_table!$A:$G,3,FALSE)</f>
        <v>NC</v>
      </c>
      <c r="P2197">
        <f>VLOOKUP(A2197,vlookup_table!$A:$G,4,FALSE)</f>
        <v>2202</v>
      </c>
      <c r="Q2197" t="str">
        <f>VLOOKUP(A2197,vlookup_table!$A:$G,5,FALSE)</f>
        <v>R2</v>
      </c>
      <c r="R2197" t="str">
        <f>VLOOKUP(A2197,vlookup_table!$A:$G,6,FALSE)</f>
        <v>M</v>
      </c>
      <c r="S2197">
        <f>VLOOKUP(A2197,vlookup_table!$A:$G,7,FALSE)</f>
        <v>15</v>
      </c>
      <c r="T2197">
        <f t="shared" si="68"/>
        <v>74</v>
      </c>
      <c r="U2197" t="str">
        <f t="shared" si="69"/>
        <v>Rural</v>
      </c>
    </row>
    <row r="2198" spans="1:21" ht="16" x14ac:dyDescent="0.4">
      <c r="A2198" s="7">
        <v>45351</v>
      </c>
      <c r="B2198" s="7" t="s">
        <v>13</v>
      </c>
      <c r="C2198" s="7" t="s">
        <v>17</v>
      </c>
      <c r="D2198" s="7">
        <v>969</v>
      </c>
      <c r="E2198" s="7">
        <v>356</v>
      </c>
      <c r="F2198" s="7">
        <v>460</v>
      </c>
      <c r="G2198" s="7">
        <v>8</v>
      </c>
      <c r="H2198" s="7">
        <v>18690</v>
      </c>
      <c r="I2198" s="7">
        <v>6</v>
      </c>
      <c r="J2198" s="7">
        <v>14</v>
      </c>
      <c r="K2198" s="7">
        <v>390</v>
      </c>
      <c r="L2198" s="7">
        <v>401</v>
      </c>
      <c r="M2198" s="7">
        <v>26</v>
      </c>
      <c r="N2198">
        <f>VLOOKUP(A2198,vlookup_table!$A:$G,2,FALSE)</f>
        <v>2</v>
      </c>
      <c r="O2198" t="str">
        <f>VLOOKUP(A2198,vlookup_table!$A:$G,3,FALSE)</f>
        <v>FL</v>
      </c>
      <c r="P2198">
        <f>VLOOKUP(A2198,vlookup_table!$A:$G,4,FALSE)</f>
        <v>2906</v>
      </c>
      <c r="Q2198" t="str">
        <f>VLOOKUP(A2198,vlookup_table!$A:$G,5,FALSE)</f>
        <v>C2</v>
      </c>
      <c r="R2198" t="str">
        <f>VLOOKUP(A2198,vlookup_table!$A:$G,6,FALSE)</f>
        <v>F</v>
      </c>
      <c r="S2198">
        <f>VLOOKUP(A2198,vlookup_table!$A:$G,7,FALSE)</f>
        <v>25</v>
      </c>
      <c r="T2198">
        <f t="shared" si="68"/>
        <v>67</v>
      </c>
      <c r="U2198" t="str">
        <f t="shared" si="69"/>
        <v>Ciudad</v>
      </c>
    </row>
    <row r="2199" spans="1:21" ht="16" x14ac:dyDescent="0.4">
      <c r="A2199" s="7">
        <v>102534</v>
      </c>
      <c r="B2199" s="7" t="s">
        <v>51</v>
      </c>
      <c r="C2199" s="7" t="s">
        <v>14</v>
      </c>
      <c r="D2199" s="7">
        <v>1390</v>
      </c>
      <c r="E2199" s="7">
        <v>386</v>
      </c>
      <c r="F2199" s="7">
        <v>482</v>
      </c>
      <c r="G2199" s="7">
        <v>18</v>
      </c>
      <c r="H2199" s="7">
        <v>25272</v>
      </c>
      <c r="I2199" s="7">
        <v>6</v>
      </c>
      <c r="J2199" s="7">
        <v>0</v>
      </c>
      <c r="K2199" s="7">
        <v>412</v>
      </c>
      <c r="L2199" s="7">
        <v>457</v>
      </c>
      <c r="M2199" s="7">
        <v>12.55555556</v>
      </c>
      <c r="N2199">
        <f>VLOOKUP(A2199,vlookup_table!$A:$G,2,FALSE)</f>
        <v>2</v>
      </c>
      <c r="O2199" t="str">
        <f>VLOOKUP(A2199,vlookup_table!$A:$G,3,FALSE)</f>
        <v>AZ</v>
      </c>
      <c r="P2199">
        <f>VLOOKUP(A2199,vlookup_table!$A:$G,4,FALSE)</f>
        <v>2209</v>
      </c>
      <c r="Q2199" t="str">
        <f>VLOOKUP(A2199,vlookup_table!$A:$G,5,FALSE)</f>
        <v>T1</v>
      </c>
      <c r="R2199" t="str">
        <f>VLOOKUP(A2199,vlookup_table!$A:$G,6,FALSE)</f>
        <v>M</v>
      </c>
      <c r="S2199">
        <f>VLOOKUP(A2199,vlookup_table!$A:$G,7,FALSE)</f>
        <v>10</v>
      </c>
      <c r="T2199">
        <f t="shared" si="68"/>
        <v>74</v>
      </c>
      <c r="U2199" t="str">
        <f t="shared" si="69"/>
        <v>Pueblo</v>
      </c>
    </row>
    <row r="2200" spans="1:21" ht="16" x14ac:dyDescent="0.4">
      <c r="A2200" s="7">
        <v>134159</v>
      </c>
      <c r="B2200" s="7" t="s">
        <v>35</v>
      </c>
      <c r="C2200" s="7" t="s">
        <v>17</v>
      </c>
      <c r="D2200" s="7">
        <v>693</v>
      </c>
      <c r="E2200" s="7">
        <v>343</v>
      </c>
      <c r="F2200" s="7">
        <v>383</v>
      </c>
      <c r="G2200" s="7">
        <v>0</v>
      </c>
      <c r="H2200" s="7">
        <v>9139</v>
      </c>
      <c r="I2200" s="7">
        <v>2</v>
      </c>
      <c r="J2200" s="7">
        <v>81</v>
      </c>
      <c r="K2200" s="7">
        <v>357</v>
      </c>
      <c r="L2200" s="7">
        <v>367</v>
      </c>
      <c r="M2200" s="7">
        <v>20</v>
      </c>
      <c r="N2200">
        <f>VLOOKUP(A2200,vlookup_table!$A:$G,2,FALSE)</f>
        <v>0</v>
      </c>
      <c r="O2200" t="str">
        <f>VLOOKUP(A2200,vlookup_table!$A:$G,3,FALSE)</f>
        <v>UT</v>
      </c>
      <c r="P2200">
        <f>VLOOKUP(A2200,vlookup_table!$A:$G,4,FALSE)</f>
        <v>0</v>
      </c>
      <c r="Q2200" t="str">
        <f>VLOOKUP(A2200,vlookup_table!$A:$G,5,FALSE)</f>
        <v>T2</v>
      </c>
      <c r="R2200" t="str">
        <f>VLOOKUP(A2200,vlookup_table!$A:$G,6,FALSE)</f>
        <v>F</v>
      </c>
      <c r="S2200">
        <f>VLOOKUP(A2200,vlookup_table!$A:$G,7,FALSE)</f>
        <v>15</v>
      </c>
      <c r="T2200">
        <f t="shared" si="68"/>
        <v>96</v>
      </c>
      <c r="U2200" t="str">
        <f t="shared" si="69"/>
        <v>Pueblo</v>
      </c>
    </row>
    <row r="2201" spans="1:21" ht="16" x14ac:dyDescent="0.4">
      <c r="A2201" s="7">
        <v>59746</v>
      </c>
      <c r="B2201" s="7" t="s">
        <v>30</v>
      </c>
      <c r="C2201" s="7" t="s">
        <v>17</v>
      </c>
      <c r="D2201" s="7">
        <v>537</v>
      </c>
      <c r="E2201" s="7">
        <v>341</v>
      </c>
      <c r="F2201" s="7">
        <v>428</v>
      </c>
      <c r="G2201" s="7">
        <v>1</v>
      </c>
      <c r="H2201" s="7">
        <v>13705</v>
      </c>
      <c r="I2201" s="7">
        <v>1</v>
      </c>
      <c r="J2201" s="7">
        <v>82</v>
      </c>
      <c r="K2201" s="7">
        <v>393</v>
      </c>
      <c r="L2201" s="7">
        <v>388</v>
      </c>
      <c r="M2201" s="7">
        <v>4.8484848490000001</v>
      </c>
      <c r="N2201">
        <f>VLOOKUP(A2201,vlookup_table!$A:$G,2,FALSE)</f>
        <v>2</v>
      </c>
      <c r="O2201" t="str">
        <f>VLOOKUP(A2201,vlookup_table!$A:$G,3,FALSE)</f>
        <v>IN</v>
      </c>
      <c r="P2201">
        <f>VLOOKUP(A2201,vlookup_table!$A:$G,4,FALSE)</f>
        <v>0</v>
      </c>
      <c r="Q2201" t="str">
        <f>VLOOKUP(A2201,vlookup_table!$A:$G,5,FALSE)</f>
        <v>T2</v>
      </c>
      <c r="R2201" t="str">
        <f>VLOOKUP(A2201,vlookup_table!$A:$G,6,FALSE)</f>
        <v>F</v>
      </c>
      <c r="S2201">
        <f>VLOOKUP(A2201,vlookup_table!$A:$G,7,FALSE)</f>
        <v>4</v>
      </c>
      <c r="T2201">
        <f t="shared" si="68"/>
        <v>96</v>
      </c>
      <c r="U2201" t="str">
        <f t="shared" si="69"/>
        <v>Pueblo</v>
      </c>
    </row>
    <row r="2202" spans="1:21" ht="16" x14ac:dyDescent="0.4">
      <c r="A2202" s="7">
        <v>102953</v>
      </c>
      <c r="B2202" s="7" t="s">
        <v>33</v>
      </c>
      <c r="C2202" s="7" t="s">
        <v>17</v>
      </c>
      <c r="D2202" s="7">
        <v>652</v>
      </c>
      <c r="E2202" s="7">
        <v>236</v>
      </c>
      <c r="F2202" s="7">
        <v>372</v>
      </c>
      <c r="G2202" s="7">
        <v>5</v>
      </c>
      <c r="H2202" s="7">
        <v>13699</v>
      </c>
      <c r="I2202" s="7">
        <v>2</v>
      </c>
      <c r="J2202" s="7">
        <v>57</v>
      </c>
      <c r="K2202" s="7">
        <v>309</v>
      </c>
      <c r="L2202" s="7">
        <v>303</v>
      </c>
      <c r="M2202" s="7">
        <v>15</v>
      </c>
      <c r="N2202">
        <f>VLOOKUP(A2202,vlookup_table!$A:$G,2,FALSE)</f>
        <v>0</v>
      </c>
      <c r="O2202" t="str">
        <f>VLOOKUP(A2202,vlookup_table!$A:$G,3,FALSE)</f>
        <v>MO</v>
      </c>
      <c r="P2202">
        <f>VLOOKUP(A2202,vlookup_table!$A:$G,4,FALSE)</f>
        <v>5601</v>
      </c>
      <c r="Q2202" t="str">
        <f>VLOOKUP(A2202,vlookup_table!$A:$G,5,FALSE)</f>
        <v>T2</v>
      </c>
      <c r="R2202" t="str">
        <f>VLOOKUP(A2202,vlookup_table!$A:$G,6,FALSE)</f>
        <v>F</v>
      </c>
      <c r="S2202">
        <f>VLOOKUP(A2202,vlookup_table!$A:$G,7,FALSE)</f>
        <v>21</v>
      </c>
      <c r="T2202">
        <f t="shared" si="68"/>
        <v>40</v>
      </c>
      <c r="U2202" t="str">
        <f t="shared" si="69"/>
        <v>Pueblo</v>
      </c>
    </row>
    <row r="2203" spans="1:21" ht="16" x14ac:dyDescent="0.4">
      <c r="A2203" s="7">
        <v>149598</v>
      </c>
      <c r="B2203" s="7" t="s">
        <v>21</v>
      </c>
      <c r="C2203" s="7" t="s">
        <v>17</v>
      </c>
      <c r="D2203" s="7">
        <v>2679</v>
      </c>
      <c r="E2203" s="7">
        <v>564</v>
      </c>
      <c r="F2203" s="7">
        <v>592</v>
      </c>
      <c r="G2203" s="7">
        <v>83</v>
      </c>
      <c r="H2203" s="7">
        <v>25475</v>
      </c>
      <c r="I2203" s="7">
        <v>16</v>
      </c>
      <c r="J2203" s="7">
        <v>44</v>
      </c>
      <c r="K2203" s="7">
        <v>600</v>
      </c>
      <c r="L2203" s="7">
        <v>595</v>
      </c>
      <c r="M2203" s="7">
        <v>8.9499999999999993</v>
      </c>
      <c r="N2203">
        <f>VLOOKUP(A2203,vlookup_table!$A:$G,2,FALSE)</f>
        <v>2</v>
      </c>
      <c r="O2203" t="str">
        <f>VLOOKUP(A2203,vlookup_table!$A:$G,3,FALSE)</f>
        <v>CA</v>
      </c>
      <c r="P2203">
        <f>VLOOKUP(A2203,vlookup_table!$A:$G,4,FALSE)</f>
        <v>710</v>
      </c>
      <c r="Q2203" t="str">
        <f>VLOOKUP(A2203,vlookup_table!$A:$G,5,FALSE)</f>
        <v>U1</v>
      </c>
      <c r="R2203" t="str">
        <f>VLOOKUP(A2203,vlookup_table!$A:$G,6,FALSE)</f>
        <v>F</v>
      </c>
      <c r="S2203">
        <f>VLOOKUP(A2203,vlookup_table!$A:$G,7,FALSE)</f>
        <v>10</v>
      </c>
      <c r="T2203">
        <f t="shared" si="68"/>
        <v>25</v>
      </c>
      <c r="U2203" t="str">
        <f t="shared" si="69"/>
        <v>Urbano</v>
      </c>
    </row>
    <row r="2204" spans="1:21" ht="16" x14ac:dyDescent="0.4">
      <c r="A2204" s="7">
        <v>45968</v>
      </c>
      <c r="B2204" s="7" t="s">
        <v>13</v>
      </c>
      <c r="C2204" s="7" t="s">
        <v>17</v>
      </c>
      <c r="D2204" s="7">
        <v>1155</v>
      </c>
      <c r="E2204" s="7">
        <v>328</v>
      </c>
      <c r="F2204" s="7">
        <v>458</v>
      </c>
      <c r="G2204" s="7">
        <v>12</v>
      </c>
      <c r="H2204" s="7">
        <v>15451</v>
      </c>
      <c r="I2204" s="7">
        <v>2</v>
      </c>
      <c r="J2204" s="7">
        <v>35</v>
      </c>
      <c r="K2204" s="7">
        <v>399</v>
      </c>
      <c r="L2204" s="7">
        <v>399</v>
      </c>
      <c r="M2204" s="7">
        <v>12.5</v>
      </c>
      <c r="N2204">
        <f>VLOOKUP(A2204,vlookup_table!$A:$G,2,FALSE)</f>
        <v>0</v>
      </c>
      <c r="O2204" t="str">
        <f>VLOOKUP(A2204,vlookup_table!$A:$G,3,FALSE)</f>
        <v>FL</v>
      </c>
      <c r="P2204">
        <f>VLOOKUP(A2204,vlookup_table!$A:$G,4,FALSE)</f>
        <v>6101</v>
      </c>
      <c r="Q2204" t="str">
        <f>VLOOKUP(A2204,vlookup_table!$A:$G,5,FALSE)</f>
        <v>R2</v>
      </c>
      <c r="R2204" t="str">
        <f>VLOOKUP(A2204,vlookup_table!$A:$G,6,FALSE)</f>
        <v>F</v>
      </c>
      <c r="S2204">
        <f>VLOOKUP(A2204,vlookup_table!$A:$G,7,FALSE)</f>
        <v>18</v>
      </c>
      <c r="T2204">
        <f t="shared" si="68"/>
        <v>35</v>
      </c>
      <c r="U2204" t="str">
        <f t="shared" si="69"/>
        <v>Rural</v>
      </c>
    </row>
    <row r="2205" spans="1:21" ht="16" x14ac:dyDescent="0.4">
      <c r="A2205" s="7">
        <v>94486</v>
      </c>
      <c r="B2205" s="7" t="s">
        <v>16</v>
      </c>
      <c r="C2205" s="7" t="s">
        <v>14</v>
      </c>
      <c r="D2205" s="7">
        <v>1358</v>
      </c>
      <c r="E2205" s="7">
        <v>447</v>
      </c>
      <c r="F2205" s="7">
        <v>501</v>
      </c>
      <c r="G2205" s="7">
        <v>3</v>
      </c>
      <c r="H2205" s="7">
        <v>18607</v>
      </c>
      <c r="I2205" s="7">
        <v>25</v>
      </c>
      <c r="J2205" s="7">
        <v>61</v>
      </c>
      <c r="K2205" s="7">
        <v>481</v>
      </c>
      <c r="L2205" s="7">
        <v>470</v>
      </c>
      <c r="M2205" s="7">
        <v>7.5454545450000001</v>
      </c>
      <c r="N2205">
        <f>VLOOKUP(A2205,vlookup_table!$A:$G,2,FALSE)</f>
        <v>1</v>
      </c>
      <c r="O2205" t="str">
        <f>VLOOKUP(A2205,vlookup_table!$A:$G,3,FALSE)</f>
        <v>IL</v>
      </c>
      <c r="P2205">
        <f>VLOOKUP(A2205,vlookup_table!$A:$G,4,FALSE)</f>
        <v>1501</v>
      </c>
      <c r="Q2205" t="str">
        <f>VLOOKUP(A2205,vlookup_table!$A:$G,5,FALSE)</f>
        <v>U1</v>
      </c>
      <c r="R2205" t="str">
        <f>VLOOKUP(A2205,vlookup_table!$A:$G,6,FALSE)</f>
        <v>M</v>
      </c>
      <c r="S2205">
        <f>VLOOKUP(A2205,vlookup_table!$A:$G,7,FALSE)</f>
        <v>6</v>
      </c>
      <c r="T2205">
        <f t="shared" si="68"/>
        <v>81</v>
      </c>
      <c r="U2205" t="str">
        <f t="shared" si="69"/>
        <v>Urbano</v>
      </c>
    </row>
    <row r="2206" spans="1:21" ht="16" x14ac:dyDescent="0.4">
      <c r="A2206" s="7">
        <v>165641</v>
      </c>
      <c r="B2206" s="7" t="s">
        <v>21</v>
      </c>
      <c r="C2206" s="7" t="s">
        <v>17</v>
      </c>
      <c r="D2206" s="7">
        <v>2192</v>
      </c>
      <c r="E2206" s="7">
        <v>364</v>
      </c>
      <c r="F2206" s="7">
        <v>487</v>
      </c>
      <c r="G2206" s="7">
        <v>68</v>
      </c>
      <c r="H2206" s="7">
        <v>17677</v>
      </c>
      <c r="I2206" s="7">
        <v>14</v>
      </c>
      <c r="J2206" s="7">
        <v>62</v>
      </c>
      <c r="K2206" s="7">
        <v>425</v>
      </c>
      <c r="L2206" s="7">
        <v>407</v>
      </c>
      <c r="M2206" s="7">
        <v>3.7777777779999999</v>
      </c>
      <c r="N2206">
        <f>VLOOKUP(A2206,vlookup_table!$A:$G,2,FALSE)</f>
        <v>2</v>
      </c>
      <c r="O2206" t="str">
        <f>VLOOKUP(A2206,vlookup_table!$A:$G,3,FALSE)</f>
        <v>CA</v>
      </c>
      <c r="P2206">
        <f>VLOOKUP(A2206,vlookup_table!$A:$G,4,FALSE)</f>
        <v>2501</v>
      </c>
      <c r="Q2206" t="str">
        <f>VLOOKUP(A2206,vlookup_table!$A:$G,5,FALSE)</f>
        <v>U1</v>
      </c>
      <c r="R2206" t="str">
        <f>VLOOKUP(A2206,vlookup_table!$A:$G,6,FALSE)</f>
        <v>F</v>
      </c>
      <c r="S2206">
        <f>VLOOKUP(A2206,vlookup_table!$A:$G,7,FALSE)</f>
        <v>4</v>
      </c>
      <c r="T2206">
        <f t="shared" si="68"/>
        <v>71</v>
      </c>
      <c r="U2206" t="str">
        <f t="shared" si="69"/>
        <v>Urbano</v>
      </c>
    </row>
    <row r="2207" spans="1:21" ht="16" x14ac:dyDescent="0.4">
      <c r="A2207" s="7">
        <v>19779</v>
      </c>
      <c r="B2207" s="7" t="s">
        <v>18</v>
      </c>
      <c r="C2207" s="7" t="s">
        <v>14</v>
      </c>
      <c r="D2207" s="7">
        <v>1285</v>
      </c>
      <c r="E2207" s="7">
        <v>608</v>
      </c>
      <c r="F2207" s="7">
        <v>676</v>
      </c>
      <c r="G2207" s="7">
        <v>11</v>
      </c>
      <c r="H2207" s="7">
        <v>23458</v>
      </c>
      <c r="I2207" s="7">
        <v>3</v>
      </c>
      <c r="J2207" s="7">
        <v>41</v>
      </c>
      <c r="K2207" s="7">
        <v>636</v>
      </c>
      <c r="L2207" s="7">
        <v>640</v>
      </c>
      <c r="M2207" s="7">
        <v>17.625</v>
      </c>
      <c r="N2207">
        <f>VLOOKUP(A2207,vlookup_table!$A:$G,2,FALSE)</f>
        <v>1</v>
      </c>
      <c r="O2207" t="str">
        <f>VLOOKUP(A2207,vlookup_table!$A:$G,3,FALSE)</f>
        <v>NC</v>
      </c>
      <c r="P2207">
        <f>VLOOKUP(A2207,vlookup_table!$A:$G,4,FALSE)</f>
        <v>4301</v>
      </c>
      <c r="Q2207" t="str">
        <f>VLOOKUP(A2207,vlookup_table!$A:$G,5,FALSE)</f>
        <v>S1</v>
      </c>
      <c r="R2207" t="str">
        <f>VLOOKUP(A2207,vlookup_table!$A:$G,6,FALSE)</f>
        <v>M</v>
      </c>
      <c r="S2207">
        <f>VLOOKUP(A2207,vlookup_table!$A:$G,7,FALSE)</f>
        <v>15</v>
      </c>
      <c r="T2207">
        <f t="shared" si="68"/>
        <v>53</v>
      </c>
      <c r="U2207" t="str">
        <f t="shared" si="69"/>
        <v>Suburbano</v>
      </c>
    </row>
    <row r="2208" spans="1:21" ht="16" x14ac:dyDescent="0.4">
      <c r="A2208" s="7">
        <v>1249</v>
      </c>
      <c r="B2208" s="7" t="s">
        <v>16</v>
      </c>
      <c r="C2208" s="7" t="s">
        <v>14</v>
      </c>
      <c r="D2208" s="7">
        <v>1435</v>
      </c>
      <c r="E2208" s="7">
        <v>423</v>
      </c>
      <c r="F2208" s="7">
        <v>517</v>
      </c>
      <c r="G2208" s="7">
        <v>6</v>
      </c>
      <c r="H2208" s="7">
        <v>18160</v>
      </c>
      <c r="I2208" s="7">
        <v>10</v>
      </c>
      <c r="J2208" s="7">
        <v>78</v>
      </c>
      <c r="K2208" s="7">
        <v>473</v>
      </c>
      <c r="L2208" s="7">
        <v>485</v>
      </c>
      <c r="M2208" s="7">
        <v>9.384615385</v>
      </c>
      <c r="N2208">
        <f>VLOOKUP(A2208,vlookup_table!$A:$G,2,FALSE)</f>
        <v>1</v>
      </c>
      <c r="O2208" t="str">
        <f>VLOOKUP(A2208,vlookup_table!$A:$G,3,FALSE)</f>
        <v>IL</v>
      </c>
      <c r="P2208">
        <f>VLOOKUP(A2208,vlookup_table!$A:$G,4,FALSE)</f>
        <v>0</v>
      </c>
      <c r="Q2208" t="str">
        <f>VLOOKUP(A2208,vlookup_table!$A:$G,5,FALSE)</f>
        <v>S2</v>
      </c>
      <c r="R2208" t="str">
        <f>VLOOKUP(A2208,vlookup_table!$A:$G,6,FALSE)</f>
        <v>M</v>
      </c>
      <c r="S2208">
        <f>VLOOKUP(A2208,vlookup_table!$A:$G,7,FALSE)</f>
        <v>32</v>
      </c>
      <c r="T2208">
        <f t="shared" si="68"/>
        <v>96</v>
      </c>
      <c r="U2208" t="str">
        <f t="shared" si="69"/>
        <v>Suburbano</v>
      </c>
    </row>
    <row r="2209" spans="1:21" ht="16" x14ac:dyDescent="0.4">
      <c r="A2209" s="7">
        <v>57119</v>
      </c>
      <c r="B2209" s="7" t="s">
        <v>53</v>
      </c>
      <c r="C2209" s="7" t="s">
        <v>14</v>
      </c>
      <c r="D2209" s="7">
        <v>556</v>
      </c>
      <c r="E2209" s="7">
        <v>247</v>
      </c>
      <c r="F2209" s="7">
        <v>322</v>
      </c>
      <c r="G2209" s="7">
        <v>0</v>
      </c>
      <c r="H2209" s="7">
        <v>10031</v>
      </c>
      <c r="I2209" s="7">
        <v>1</v>
      </c>
      <c r="J2209" s="7">
        <v>82</v>
      </c>
      <c r="K2209" s="7">
        <v>288</v>
      </c>
      <c r="L2209" s="7">
        <v>274</v>
      </c>
      <c r="M2209" s="7">
        <v>10.545454550000001</v>
      </c>
      <c r="N2209">
        <f>VLOOKUP(A2209,vlookup_table!$A:$G,2,FALSE)</f>
        <v>2</v>
      </c>
      <c r="O2209" t="str">
        <f>VLOOKUP(A2209,vlookup_table!$A:$G,3,FALSE)</f>
        <v>KY</v>
      </c>
      <c r="P2209">
        <f>VLOOKUP(A2209,vlookup_table!$A:$G,4,FALSE)</f>
        <v>2111</v>
      </c>
      <c r="Q2209" t="str">
        <f>VLOOKUP(A2209,vlookup_table!$A:$G,5,FALSE)</f>
        <v>T2</v>
      </c>
      <c r="R2209" t="str">
        <f>VLOOKUP(A2209,vlookup_table!$A:$G,6,FALSE)</f>
        <v>M</v>
      </c>
      <c r="S2209">
        <f>VLOOKUP(A2209,vlookup_table!$A:$G,7,FALSE)</f>
        <v>20</v>
      </c>
      <c r="T2209">
        <f t="shared" si="68"/>
        <v>75</v>
      </c>
      <c r="U2209" t="str">
        <f t="shared" si="69"/>
        <v>Pueblo</v>
      </c>
    </row>
    <row r="2210" spans="1:21" ht="16" x14ac:dyDescent="0.4">
      <c r="A2210" s="7">
        <v>158615</v>
      </c>
      <c r="B2210" s="7" t="s">
        <v>21</v>
      </c>
      <c r="C2210" s="7" t="s">
        <v>17</v>
      </c>
      <c r="D2210" s="7">
        <v>2875</v>
      </c>
      <c r="E2210" s="7">
        <v>290</v>
      </c>
      <c r="F2210" s="7">
        <v>442</v>
      </c>
      <c r="G2210" s="7">
        <v>75</v>
      </c>
      <c r="H2210" s="7">
        <v>24936</v>
      </c>
      <c r="I2210" s="7">
        <v>14</v>
      </c>
      <c r="J2210" s="7">
        <v>34</v>
      </c>
      <c r="K2210" s="7">
        <v>374</v>
      </c>
      <c r="L2210" s="7">
        <v>347</v>
      </c>
      <c r="M2210" s="7">
        <v>10</v>
      </c>
      <c r="N2210">
        <f>VLOOKUP(A2210,vlookup_table!$A:$G,2,FALSE)</f>
        <v>0</v>
      </c>
      <c r="O2210" t="str">
        <f>VLOOKUP(A2210,vlookup_table!$A:$G,3,FALSE)</f>
        <v>CA</v>
      </c>
      <c r="P2210">
        <f>VLOOKUP(A2210,vlookup_table!$A:$G,4,FALSE)</f>
        <v>2601</v>
      </c>
      <c r="Q2210" t="str">
        <f>VLOOKUP(A2210,vlookup_table!$A:$G,5,FALSE)</f>
        <v>S1</v>
      </c>
      <c r="R2210" t="str">
        <f>VLOOKUP(A2210,vlookup_table!$A:$G,6,FALSE)</f>
        <v>F</v>
      </c>
      <c r="S2210">
        <f>VLOOKUP(A2210,vlookup_table!$A:$G,7,FALSE)</f>
        <v>15</v>
      </c>
      <c r="T2210">
        <f t="shared" si="68"/>
        <v>70</v>
      </c>
      <c r="U2210" t="str">
        <f t="shared" si="69"/>
        <v>Suburbano</v>
      </c>
    </row>
    <row r="2211" spans="1:21" ht="16" x14ac:dyDescent="0.4">
      <c r="A2211" s="7">
        <v>153353</v>
      </c>
      <c r="B2211" s="7" t="s">
        <v>21</v>
      </c>
      <c r="C2211" s="7" t="s">
        <v>17</v>
      </c>
      <c r="D2211" s="7">
        <v>885</v>
      </c>
      <c r="E2211" s="7">
        <v>207</v>
      </c>
      <c r="F2211" s="7">
        <v>220</v>
      </c>
      <c r="G2211" s="7">
        <v>1</v>
      </c>
      <c r="H2211" s="7">
        <v>6142</v>
      </c>
      <c r="I2211" s="7">
        <v>35</v>
      </c>
      <c r="J2211" s="7">
        <v>47</v>
      </c>
      <c r="K2211" s="7">
        <v>171</v>
      </c>
      <c r="L2211" s="7">
        <v>263</v>
      </c>
      <c r="M2211" s="7">
        <v>18.2</v>
      </c>
      <c r="N2211">
        <f>VLOOKUP(A2211,vlookup_table!$A:$G,2,FALSE)</f>
        <v>2</v>
      </c>
      <c r="O2211" t="str">
        <f>VLOOKUP(A2211,vlookup_table!$A:$G,3,FALSE)</f>
        <v>CA</v>
      </c>
      <c r="P2211">
        <f>VLOOKUP(A2211,vlookup_table!$A:$G,4,FALSE)</f>
        <v>2710</v>
      </c>
      <c r="Q2211" t="str">
        <f>VLOOKUP(A2211,vlookup_table!$A:$G,5,FALSE)</f>
        <v>U4</v>
      </c>
      <c r="R2211" t="str">
        <f>VLOOKUP(A2211,vlookup_table!$A:$G,6,FALSE)</f>
        <v>F</v>
      </c>
      <c r="S2211">
        <f>VLOOKUP(A2211,vlookup_table!$A:$G,7,FALSE)</f>
        <v>27</v>
      </c>
      <c r="T2211">
        <f t="shared" si="68"/>
        <v>69</v>
      </c>
      <c r="U2211" t="str">
        <f t="shared" si="69"/>
        <v>Urbano</v>
      </c>
    </row>
    <row r="2212" spans="1:21" ht="16" x14ac:dyDescent="0.4">
      <c r="A2212" s="7">
        <v>42686</v>
      </c>
      <c r="B2212" s="7" t="s">
        <v>13</v>
      </c>
      <c r="C2212" s="7" t="s">
        <v>17</v>
      </c>
      <c r="D2212" s="7">
        <v>824</v>
      </c>
      <c r="E2212" s="7">
        <v>263</v>
      </c>
      <c r="F2212" s="7">
        <v>352</v>
      </c>
      <c r="G2212" s="7">
        <v>3</v>
      </c>
      <c r="H2212" s="7">
        <v>13532</v>
      </c>
      <c r="I2212" s="7">
        <v>8</v>
      </c>
      <c r="J2212" s="7">
        <v>13</v>
      </c>
      <c r="K2212" s="7">
        <v>289</v>
      </c>
      <c r="L2212" s="7">
        <v>313</v>
      </c>
      <c r="M2212" s="7">
        <v>20</v>
      </c>
      <c r="N2212">
        <f>VLOOKUP(A2212,vlookup_table!$A:$G,2,FALSE)</f>
        <v>0</v>
      </c>
      <c r="O2212" t="str">
        <f>VLOOKUP(A2212,vlookup_table!$A:$G,3,FALSE)</f>
        <v>FL</v>
      </c>
      <c r="P2212">
        <f>VLOOKUP(A2212,vlookup_table!$A:$G,4,FALSE)</f>
        <v>0</v>
      </c>
      <c r="Q2212" t="str">
        <f>VLOOKUP(A2212,vlookup_table!$A:$G,5,FALSE)</f>
        <v>C2</v>
      </c>
      <c r="R2212" t="str">
        <f>VLOOKUP(A2212,vlookup_table!$A:$G,6,FALSE)</f>
        <v>F</v>
      </c>
      <c r="S2212">
        <f>VLOOKUP(A2212,vlookup_table!$A:$G,7,FALSE)</f>
        <v>20</v>
      </c>
      <c r="T2212">
        <f t="shared" si="68"/>
        <v>96</v>
      </c>
      <c r="U2212" t="str">
        <f t="shared" si="69"/>
        <v>Ciudad</v>
      </c>
    </row>
    <row r="2213" spans="1:21" ht="16" x14ac:dyDescent="0.4">
      <c r="A2213" s="7">
        <v>71744</v>
      </c>
      <c r="B2213" s="7" t="s">
        <v>26</v>
      </c>
      <c r="C2213" s="7" t="s">
        <v>14</v>
      </c>
      <c r="D2213" s="7">
        <v>727</v>
      </c>
      <c r="E2213" s="7">
        <v>148</v>
      </c>
      <c r="F2213" s="7">
        <v>463</v>
      </c>
      <c r="G2213" s="7">
        <v>2</v>
      </c>
      <c r="H2213" s="7">
        <v>18187</v>
      </c>
      <c r="I2213" s="7">
        <v>5</v>
      </c>
      <c r="J2213" s="7">
        <v>63</v>
      </c>
      <c r="K2213" s="7">
        <v>383</v>
      </c>
      <c r="L2213" s="7">
        <v>260</v>
      </c>
      <c r="M2213" s="7">
        <v>17</v>
      </c>
      <c r="N2213">
        <f>VLOOKUP(A2213,vlookup_table!$A:$G,2,FALSE)</f>
        <v>1</v>
      </c>
      <c r="O2213" t="str">
        <f>VLOOKUP(A2213,vlookup_table!$A:$G,3,FALSE)</f>
        <v>MI</v>
      </c>
      <c r="P2213">
        <f>VLOOKUP(A2213,vlookup_table!$A:$G,4,FALSE)</f>
        <v>1104</v>
      </c>
      <c r="Q2213" t="str">
        <f>VLOOKUP(A2213,vlookup_table!$A:$G,5,FALSE)</f>
        <v>C2</v>
      </c>
      <c r="R2213" t="str">
        <f>VLOOKUP(A2213,vlookup_table!$A:$G,6,FALSE)</f>
        <v>M</v>
      </c>
      <c r="S2213">
        <f>VLOOKUP(A2213,vlookup_table!$A:$G,7,FALSE)</f>
        <v>36</v>
      </c>
      <c r="T2213">
        <f t="shared" si="68"/>
        <v>85</v>
      </c>
      <c r="U2213" t="str">
        <f t="shared" si="69"/>
        <v>Ciudad</v>
      </c>
    </row>
    <row r="2214" spans="1:21" ht="16" x14ac:dyDescent="0.4">
      <c r="A2214" s="7">
        <v>116608</v>
      </c>
      <c r="B2214" s="7" t="s">
        <v>20</v>
      </c>
      <c r="C2214" s="7" t="s">
        <v>17</v>
      </c>
      <c r="D2214" s="7">
        <v>570</v>
      </c>
      <c r="E2214" s="7">
        <v>226</v>
      </c>
      <c r="F2214" s="7">
        <v>301</v>
      </c>
      <c r="G2214" s="7">
        <v>2</v>
      </c>
      <c r="H2214" s="7">
        <v>10637</v>
      </c>
      <c r="I2214" s="7">
        <v>1</v>
      </c>
      <c r="J2214" s="7">
        <v>76</v>
      </c>
      <c r="K2214" s="7">
        <v>249</v>
      </c>
      <c r="L2214" s="7">
        <v>276</v>
      </c>
      <c r="M2214" s="7">
        <v>10.0625</v>
      </c>
      <c r="N2214">
        <f>VLOOKUP(A2214,vlookup_table!$A:$G,2,FALSE)</f>
        <v>2</v>
      </c>
      <c r="O2214" t="str">
        <f>VLOOKUP(A2214,vlookup_table!$A:$G,3,FALSE)</f>
        <v>TX</v>
      </c>
      <c r="P2214">
        <f>VLOOKUP(A2214,vlookup_table!$A:$G,4,FALSE)</f>
        <v>2201</v>
      </c>
      <c r="Q2214" t="str">
        <f>VLOOKUP(A2214,vlookup_table!$A:$G,5,FALSE)</f>
        <v>R2</v>
      </c>
      <c r="R2214" t="str">
        <f>VLOOKUP(A2214,vlookup_table!$A:$G,6,FALSE)</f>
        <v>F</v>
      </c>
      <c r="S2214">
        <f>VLOOKUP(A2214,vlookup_table!$A:$G,7,FALSE)</f>
        <v>25</v>
      </c>
      <c r="T2214">
        <f t="shared" si="68"/>
        <v>74</v>
      </c>
      <c r="U2214" t="str">
        <f t="shared" si="69"/>
        <v>Rural</v>
      </c>
    </row>
    <row r="2215" spans="1:21" ht="16" x14ac:dyDescent="0.4">
      <c r="A2215" s="7">
        <v>176138</v>
      </c>
      <c r="B2215" s="7" t="s">
        <v>47</v>
      </c>
      <c r="C2215" s="7" t="s">
        <v>14</v>
      </c>
      <c r="D2215" s="7">
        <v>0</v>
      </c>
      <c r="E2215" s="7">
        <v>0</v>
      </c>
      <c r="F2215" s="7">
        <v>0</v>
      </c>
      <c r="G2215" s="7">
        <v>0</v>
      </c>
      <c r="H2215" s="7">
        <v>0</v>
      </c>
      <c r="I2215" s="7">
        <v>0</v>
      </c>
      <c r="J2215" s="7">
        <v>0</v>
      </c>
      <c r="K2215" s="7">
        <v>0</v>
      </c>
      <c r="L2215" s="7">
        <v>0</v>
      </c>
      <c r="M2215" s="7">
        <v>8.3125</v>
      </c>
      <c r="N2215">
        <f>VLOOKUP(A2215,vlookup_table!$A:$G,2,FALSE)</f>
        <v>2</v>
      </c>
      <c r="O2215" t="str">
        <f>VLOOKUP(A2215,vlookup_table!$A:$G,3,FALSE)</f>
        <v>OR</v>
      </c>
      <c r="P2215">
        <f>VLOOKUP(A2215,vlookup_table!$A:$G,4,FALSE)</f>
        <v>0</v>
      </c>
      <c r="Q2215" t="str">
        <f>VLOOKUP(A2215,vlookup_table!$A:$G,5,FALSE)</f>
        <v>C2</v>
      </c>
      <c r="R2215" t="str">
        <f>VLOOKUP(A2215,vlookup_table!$A:$G,6,FALSE)</f>
        <v>M</v>
      </c>
      <c r="S2215">
        <f>VLOOKUP(A2215,vlookup_table!$A:$G,7,FALSE)</f>
        <v>10</v>
      </c>
      <c r="T2215">
        <f t="shared" si="68"/>
        <v>96</v>
      </c>
      <c r="U2215" t="str">
        <f t="shared" si="69"/>
        <v>Ciudad</v>
      </c>
    </row>
    <row r="2216" spans="1:21" ht="16" x14ac:dyDescent="0.4">
      <c r="A2216" s="7">
        <v>190789</v>
      </c>
      <c r="B2216" s="7" t="s">
        <v>26</v>
      </c>
      <c r="C2216" s="7" t="s">
        <v>14</v>
      </c>
      <c r="D2216" s="7">
        <v>1770</v>
      </c>
      <c r="E2216" s="7">
        <v>712</v>
      </c>
      <c r="F2216" s="7">
        <v>730</v>
      </c>
      <c r="G2216" s="7">
        <v>15</v>
      </c>
      <c r="H2216" s="7">
        <v>24238</v>
      </c>
      <c r="I2216" s="7">
        <v>10</v>
      </c>
      <c r="J2216" s="7">
        <v>79</v>
      </c>
      <c r="K2216" s="7">
        <v>720</v>
      </c>
      <c r="L2216" s="7">
        <v>713</v>
      </c>
      <c r="M2216" s="7">
        <v>12</v>
      </c>
      <c r="N2216">
        <f>VLOOKUP(A2216,vlookup_table!$A:$G,2,FALSE)</f>
        <v>0</v>
      </c>
      <c r="O2216" t="str">
        <f>VLOOKUP(A2216,vlookup_table!$A:$G,3,FALSE)</f>
        <v>MI</v>
      </c>
      <c r="P2216">
        <f>VLOOKUP(A2216,vlookup_table!$A:$G,4,FALSE)</f>
        <v>1707</v>
      </c>
      <c r="Q2216" t="str">
        <f>VLOOKUP(A2216,vlookup_table!$A:$G,5,FALSE)</f>
        <v>S1</v>
      </c>
      <c r="R2216" t="str">
        <f>VLOOKUP(A2216,vlookup_table!$A:$G,6,FALSE)</f>
        <v>M</v>
      </c>
      <c r="S2216">
        <f>VLOOKUP(A2216,vlookup_table!$A:$G,7,FALSE)</f>
        <v>18</v>
      </c>
      <c r="T2216">
        <f t="shared" si="68"/>
        <v>79</v>
      </c>
      <c r="U2216" t="str">
        <f t="shared" si="69"/>
        <v>Suburbano</v>
      </c>
    </row>
    <row r="2217" spans="1:21" ht="16" x14ac:dyDescent="0.4">
      <c r="A2217" s="7">
        <v>109450</v>
      </c>
      <c r="B2217" s="7" t="s">
        <v>46</v>
      </c>
      <c r="C2217" s="7" t="s">
        <v>17</v>
      </c>
      <c r="D2217" s="7">
        <v>590</v>
      </c>
      <c r="E2217" s="7">
        <v>252</v>
      </c>
      <c r="F2217" s="7">
        <v>329</v>
      </c>
      <c r="G2217" s="7">
        <v>0</v>
      </c>
      <c r="H2217" s="7">
        <v>11072</v>
      </c>
      <c r="I2217" s="7">
        <v>0</v>
      </c>
      <c r="J2217" s="7">
        <v>77</v>
      </c>
      <c r="K2217" s="7">
        <v>282</v>
      </c>
      <c r="L2217" s="7">
        <v>309</v>
      </c>
      <c r="M2217" s="7">
        <v>7.5454545450000001</v>
      </c>
      <c r="N2217">
        <f>VLOOKUP(A2217,vlookup_table!$A:$G,2,FALSE)</f>
        <v>2</v>
      </c>
      <c r="O2217" t="str">
        <f>VLOOKUP(A2217,vlookup_table!$A:$G,3,FALSE)</f>
        <v>LA</v>
      </c>
      <c r="P2217">
        <f>VLOOKUP(A2217,vlookup_table!$A:$G,4,FALSE)</f>
        <v>2501</v>
      </c>
      <c r="Q2217" t="str">
        <f>VLOOKUP(A2217,vlookup_table!$A:$G,5,FALSE)</f>
        <v>T2</v>
      </c>
      <c r="R2217" t="str">
        <f>VLOOKUP(A2217,vlookup_table!$A:$G,6,FALSE)</f>
        <v>F</v>
      </c>
      <c r="S2217">
        <f>VLOOKUP(A2217,vlookup_table!$A:$G,7,FALSE)</f>
        <v>11</v>
      </c>
      <c r="T2217">
        <f t="shared" si="68"/>
        <v>71</v>
      </c>
      <c r="U2217" t="str">
        <f t="shared" si="69"/>
        <v>Pueblo</v>
      </c>
    </row>
    <row r="2218" spans="1:21" ht="16" x14ac:dyDescent="0.4">
      <c r="A2218" s="7">
        <v>102741</v>
      </c>
      <c r="B2218" s="7" t="s">
        <v>33</v>
      </c>
      <c r="C2218" s="7" t="s">
        <v>17</v>
      </c>
      <c r="D2218" s="7">
        <v>238</v>
      </c>
      <c r="E2218" s="7">
        <v>176</v>
      </c>
      <c r="F2218" s="7">
        <v>287</v>
      </c>
      <c r="G2218" s="7">
        <v>0</v>
      </c>
      <c r="H2218" s="7">
        <v>10253</v>
      </c>
      <c r="I2218" s="7">
        <v>0</v>
      </c>
      <c r="J2218" s="7">
        <v>82</v>
      </c>
      <c r="K2218" s="7">
        <v>225</v>
      </c>
      <c r="L2218" s="7">
        <v>233</v>
      </c>
      <c r="M2218" s="7">
        <v>14.42857143</v>
      </c>
      <c r="N2218">
        <f>VLOOKUP(A2218,vlookup_table!$A:$G,2,FALSE)</f>
        <v>0</v>
      </c>
      <c r="O2218" t="str">
        <f>VLOOKUP(A2218,vlookup_table!$A:$G,3,FALSE)</f>
        <v>MO</v>
      </c>
      <c r="P2218">
        <f>VLOOKUP(A2218,vlookup_table!$A:$G,4,FALSE)</f>
        <v>2201</v>
      </c>
      <c r="Q2218" t="str">
        <f>VLOOKUP(A2218,vlookup_table!$A:$G,5,FALSE)</f>
        <v>R2</v>
      </c>
      <c r="R2218" t="str">
        <f>VLOOKUP(A2218,vlookup_table!$A:$G,6,FALSE)</f>
        <v>F</v>
      </c>
      <c r="S2218">
        <f>VLOOKUP(A2218,vlookup_table!$A:$G,7,FALSE)</f>
        <v>20</v>
      </c>
      <c r="T2218">
        <f t="shared" si="68"/>
        <v>74</v>
      </c>
      <c r="U2218" t="str">
        <f t="shared" si="69"/>
        <v>Rural</v>
      </c>
    </row>
    <row r="2219" spans="1:21" ht="16" x14ac:dyDescent="0.4">
      <c r="A2219" s="7">
        <v>59598</v>
      </c>
      <c r="B2219" s="7" t="s">
        <v>30</v>
      </c>
      <c r="C2219" s="7" t="s">
        <v>14</v>
      </c>
      <c r="D2219" s="7">
        <v>521</v>
      </c>
      <c r="E2219" s="7">
        <v>252</v>
      </c>
      <c r="F2219" s="7">
        <v>343</v>
      </c>
      <c r="G2219" s="7">
        <v>0</v>
      </c>
      <c r="H2219" s="7">
        <v>10057</v>
      </c>
      <c r="I2219" s="7">
        <v>2</v>
      </c>
      <c r="J2219" s="7">
        <v>71</v>
      </c>
      <c r="K2219" s="7">
        <v>297</v>
      </c>
      <c r="L2219" s="7">
        <v>293</v>
      </c>
      <c r="M2219" s="7">
        <v>18.18181818</v>
      </c>
      <c r="N2219">
        <f>VLOOKUP(A2219,vlookup_table!$A:$G,2,FALSE)</f>
        <v>2</v>
      </c>
      <c r="O2219" t="str">
        <f>VLOOKUP(A2219,vlookup_table!$A:$G,3,FALSE)</f>
        <v>IN</v>
      </c>
      <c r="P2219">
        <f>VLOOKUP(A2219,vlookup_table!$A:$G,4,FALSE)</f>
        <v>0</v>
      </c>
      <c r="Q2219" t="str">
        <f>VLOOKUP(A2219,vlookup_table!$A:$G,5,FALSE)</f>
        <v>T2</v>
      </c>
      <c r="R2219" t="str">
        <f>VLOOKUP(A2219,vlookup_table!$A:$G,6,FALSE)</f>
        <v>M</v>
      </c>
      <c r="S2219">
        <f>VLOOKUP(A2219,vlookup_table!$A:$G,7,FALSE)</f>
        <v>15</v>
      </c>
      <c r="T2219">
        <f t="shared" si="68"/>
        <v>96</v>
      </c>
      <c r="U2219" t="str">
        <f t="shared" si="69"/>
        <v>Pueblo</v>
      </c>
    </row>
    <row r="2220" spans="1:21" ht="16" x14ac:dyDescent="0.4">
      <c r="A2220" s="7">
        <v>157481</v>
      </c>
      <c r="B2220" s="7" t="s">
        <v>21</v>
      </c>
      <c r="C2220" s="7"/>
      <c r="D2220" s="7">
        <v>2439</v>
      </c>
      <c r="E2220" s="7">
        <v>521</v>
      </c>
      <c r="F2220" s="7">
        <v>619</v>
      </c>
      <c r="G2220" s="7">
        <v>68</v>
      </c>
      <c r="H2220" s="7">
        <v>21808</v>
      </c>
      <c r="I2220" s="7">
        <v>17</v>
      </c>
      <c r="J2220" s="7">
        <v>48</v>
      </c>
      <c r="K2220" s="7">
        <v>572</v>
      </c>
      <c r="L2220" s="7">
        <v>574</v>
      </c>
      <c r="M2220" s="7">
        <v>17</v>
      </c>
      <c r="N2220">
        <f>VLOOKUP(A2220,vlookup_table!$A:$G,2,FALSE)</f>
        <v>0</v>
      </c>
      <c r="O2220" t="str">
        <f>VLOOKUP(A2220,vlookup_table!$A:$G,3,FALSE)</f>
        <v>CA</v>
      </c>
      <c r="P2220">
        <f>VLOOKUP(A2220,vlookup_table!$A:$G,4,FALSE)</f>
        <v>5201</v>
      </c>
      <c r="Q2220" t="str">
        <f>VLOOKUP(A2220,vlookup_table!$A:$G,5,FALSE)</f>
        <v>S1</v>
      </c>
      <c r="R2220" t="str">
        <f>VLOOKUP(A2220,vlookup_table!$A:$G,6,FALSE)</f>
        <v/>
      </c>
      <c r="S2220">
        <f>VLOOKUP(A2220,vlookup_table!$A:$G,7,FALSE)</f>
        <v>19</v>
      </c>
      <c r="T2220">
        <f t="shared" si="68"/>
        <v>44</v>
      </c>
      <c r="U2220" t="str">
        <f t="shared" si="69"/>
        <v>Suburbano</v>
      </c>
    </row>
    <row r="2221" spans="1:21" ht="16" x14ac:dyDescent="0.4">
      <c r="A2221" s="7">
        <v>21922</v>
      </c>
      <c r="B2221" s="7" t="s">
        <v>18</v>
      </c>
      <c r="C2221" s="7" t="s">
        <v>97</v>
      </c>
      <c r="D2221" s="7">
        <v>844</v>
      </c>
      <c r="E2221" s="7">
        <v>263</v>
      </c>
      <c r="F2221" s="7">
        <v>352</v>
      </c>
      <c r="G2221" s="7">
        <v>21</v>
      </c>
      <c r="H2221" s="7">
        <v>12936</v>
      </c>
      <c r="I2221" s="7">
        <v>0</v>
      </c>
      <c r="J2221" s="7">
        <v>55</v>
      </c>
      <c r="K2221" s="7">
        <v>286</v>
      </c>
      <c r="L2221" s="7">
        <v>323</v>
      </c>
      <c r="M2221" s="7">
        <v>15.53571429</v>
      </c>
      <c r="N2221">
        <f>VLOOKUP(A2221,vlookup_table!$A:$G,2,FALSE)</f>
        <v>0</v>
      </c>
      <c r="O2221" t="str">
        <f>VLOOKUP(A2221,vlookup_table!$A:$G,3,FALSE)</f>
        <v>NC</v>
      </c>
      <c r="P2221">
        <f>VLOOKUP(A2221,vlookup_table!$A:$G,4,FALSE)</f>
        <v>3001</v>
      </c>
      <c r="Q2221" t="str">
        <f>VLOOKUP(A2221,vlookup_table!$A:$G,5,FALSE)</f>
        <v>R3</v>
      </c>
      <c r="R2221" t="str">
        <f>VLOOKUP(A2221,vlookup_table!$A:$G,6,FALSE)</f>
        <v>F</v>
      </c>
      <c r="S2221">
        <f>VLOOKUP(A2221,vlookup_table!$A:$G,7,FALSE)</f>
        <v>20</v>
      </c>
      <c r="T2221">
        <f t="shared" si="68"/>
        <v>66</v>
      </c>
      <c r="U2221" t="str">
        <f t="shared" si="69"/>
        <v>Rural</v>
      </c>
    </row>
    <row r="2222" spans="1:21" ht="16" x14ac:dyDescent="0.4">
      <c r="A2222" s="7">
        <v>35908</v>
      </c>
      <c r="B2222" s="7" t="s">
        <v>13</v>
      </c>
      <c r="C2222" s="7" t="s">
        <v>17</v>
      </c>
      <c r="D2222" s="7">
        <v>693</v>
      </c>
      <c r="E2222" s="7">
        <v>373</v>
      </c>
      <c r="F2222" s="7">
        <v>463</v>
      </c>
      <c r="G2222" s="7">
        <v>7</v>
      </c>
      <c r="H2222" s="7">
        <v>16854</v>
      </c>
      <c r="I2222" s="7">
        <v>1</v>
      </c>
      <c r="J2222" s="7">
        <v>24</v>
      </c>
      <c r="K2222" s="7">
        <v>457</v>
      </c>
      <c r="L2222" s="7">
        <v>413</v>
      </c>
      <c r="M2222" s="7">
        <v>15</v>
      </c>
      <c r="N2222">
        <f>VLOOKUP(A2222,vlookup_table!$A:$G,2,FALSE)</f>
        <v>0</v>
      </c>
      <c r="O2222" t="str">
        <f>VLOOKUP(A2222,vlookup_table!$A:$G,3,FALSE)</f>
        <v>FL</v>
      </c>
      <c r="P2222">
        <f>VLOOKUP(A2222,vlookup_table!$A:$G,4,FALSE)</f>
        <v>5001</v>
      </c>
      <c r="Q2222" t="str">
        <f>VLOOKUP(A2222,vlookup_table!$A:$G,5,FALSE)</f>
        <v>S2</v>
      </c>
      <c r="R2222" t="str">
        <f>VLOOKUP(A2222,vlookup_table!$A:$G,6,FALSE)</f>
        <v>F</v>
      </c>
      <c r="S2222">
        <f>VLOOKUP(A2222,vlookup_table!$A:$G,7,FALSE)</f>
        <v>20</v>
      </c>
      <c r="T2222">
        <f t="shared" si="68"/>
        <v>46</v>
      </c>
      <c r="U2222" t="str">
        <f t="shared" si="69"/>
        <v>Suburbano</v>
      </c>
    </row>
    <row r="2223" spans="1:21" ht="16" x14ac:dyDescent="0.4">
      <c r="A2223" s="7">
        <v>105331</v>
      </c>
      <c r="B2223" s="7" t="s">
        <v>25</v>
      </c>
      <c r="C2223" s="7" t="s">
        <v>14</v>
      </c>
      <c r="D2223" s="7">
        <v>237</v>
      </c>
      <c r="E2223" s="7">
        <v>194</v>
      </c>
      <c r="F2223" s="7">
        <v>261</v>
      </c>
      <c r="G2223" s="7">
        <v>0</v>
      </c>
      <c r="H2223" s="7">
        <v>9190</v>
      </c>
      <c r="I2223" s="7">
        <v>0</v>
      </c>
      <c r="J2223" s="7">
        <v>80</v>
      </c>
      <c r="K2223" s="7">
        <v>222</v>
      </c>
      <c r="L2223" s="7">
        <v>218</v>
      </c>
      <c r="M2223" s="7">
        <v>12.5</v>
      </c>
      <c r="N2223">
        <f>VLOOKUP(A2223,vlookup_table!$A:$G,2,FALSE)</f>
        <v>1</v>
      </c>
      <c r="O2223" t="str">
        <f>VLOOKUP(A2223,vlookup_table!$A:$G,3,FALSE)</f>
        <v>KS</v>
      </c>
      <c r="P2223">
        <f>VLOOKUP(A2223,vlookup_table!$A:$G,4,FALSE)</f>
        <v>4801</v>
      </c>
      <c r="Q2223" t="str">
        <f>VLOOKUP(A2223,vlookup_table!$A:$G,5,FALSE)</f>
        <v>R2</v>
      </c>
      <c r="R2223" t="str">
        <f>VLOOKUP(A2223,vlookup_table!$A:$G,6,FALSE)</f>
        <v>M</v>
      </c>
      <c r="S2223">
        <f>VLOOKUP(A2223,vlookup_table!$A:$G,7,FALSE)</f>
        <v>20</v>
      </c>
      <c r="T2223">
        <f t="shared" si="68"/>
        <v>48</v>
      </c>
      <c r="U2223" t="str">
        <f t="shared" si="69"/>
        <v>Rural</v>
      </c>
    </row>
    <row r="2224" spans="1:21" ht="16" x14ac:dyDescent="0.4">
      <c r="A2224" s="7">
        <v>157728</v>
      </c>
      <c r="B2224" s="7" t="s">
        <v>21</v>
      </c>
      <c r="C2224" s="7" t="s">
        <v>14</v>
      </c>
      <c r="D2224" s="7">
        <v>2102</v>
      </c>
      <c r="E2224" s="7">
        <v>342</v>
      </c>
      <c r="F2224" s="7">
        <v>463</v>
      </c>
      <c r="G2224" s="7">
        <v>57</v>
      </c>
      <c r="H2224" s="7">
        <v>16054</v>
      </c>
      <c r="I2224" s="7">
        <v>14</v>
      </c>
      <c r="J2224" s="7">
        <v>57</v>
      </c>
      <c r="K2224" s="7">
        <v>412</v>
      </c>
      <c r="L2224" s="7">
        <v>416</v>
      </c>
      <c r="M2224" s="7">
        <v>15</v>
      </c>
      <c r="N2224">
        <f>VLOOKUP(A2224,vlookup_table!$A:$G,2,FALSE)</f>
        <v>1</v>
      </c>
      <c r="O2224" t="str">
        <f>VLOOKUP(A2224,vlookup_table!$A:$G,3,FALSE)</f>
        <v>CA</v>
      </c>
      <c r="P2224">
        <f>VLOOKUP(A2224,vlookup_table!$A:$G,4,FALSE)</f>
        <v>0</v>
      </c>
      <c r="Q2224" t="str">
        <f>VLOOKUP(A2224,vlookup_table!$A:$G,5,FALSE)</f>
        <v>S2</v>
      </c>
      <c r="R2224" t="str">
        <f>VLOOKUP(A2224,vlookup_table!$A:$G,6,FALSE)</f>
        <v>M</v>
      </c>
      <c r="S2224">
        <f>VLOOKUP(A2224,vlookup_table!$A:$G,7,FALSE)</f>
        <v>20</v>
      </c>
      <c r="T2224">
        <f t="shared" si="68"/>
        <v>96</v>
      </c>
      <c r="U2224" t="str">
        <f t="shared" si="69"/>
        <v>Suburbano</v>
      </c>
    </row>
    <row r="2225" spans="1:21" ht="16" x14ac:dyDescent="0.4">
      <c r="A2225" s="7">
        <v>81073</v>
      </c>
      <c r="B2225" s="7" t="s">
        <v>32</v>
      </c>
      <c r="C2225" s="7" t="s">
        <v>17</v>
      </c>
      <c r="D2225" s="7">
        <v>571</v>
      </c>
      <c r="E2225" s="7">
        <v>243</v>
      </c>
      <c r="F2225" s="7">
        <v>349</v>
      </c>
      <c r="G2225" s="7">
        <v>0</v>
      </c>
      <c r="H2225" s="7">
        <v>13144</v>
      </c>
      <c r="I2225" s="7">
        <v>3</v>
      </c>
      <c r="J2225" s="7">
        <v>74</v>
      </c>
      <c r="K2225" s="7">
        <v>307</v>
      </c>
      <c r="L2225" s="7">
        <v>295</v>
      </c>
      <c r="M2225" s="7">
        <v>9.1666666669999994</v>
      </c>
      <c r="N2225">
        <f>VLOOKUP(A2225,vlookup_table!$A:$G,2,FALSE)</f>
        <v>2</v>
      </c>
      <c r="O2225" t="str">
        <f>VLOOKUP(A2225,vlookup_table!$A:$G,3,FALSE)</f>
        <v>WI</v>
      </c>
      <c r="P2225">
        <f>VLOOKUP(A2225,vlookup_table!$A:$G,4,FALSE)</f>
        <v>4701</v>
      </c>
      <c r="Q2225" t="str">
        <f>VLOOKUP(A2225,vlookup_table!$A:$G,5,FALSE)</f>
        <v>C2</v>
      </c>
      <c r="R2225" t="str">
        <f>VLOOKUP(A2225,vlookup_table!$A:$G,6,FALSE)</f>
        <v>F</v>
      </c>
      <c r="S2225">
        <f>VLOOKUP(A2225,vlookup_table!$A:$G,7,FALSE)</f>
        <v>10</v>
      </c>
      <c r="T2225">
        <f t="shared" si="68"/>
        <v>49</v>
      </c>
      <c r="U2225" t="str">
        <f t="shared" si="69"/>
        <v>Ciudad</v>
      </c>
    </row>
    <row r="2226" spans="1:21" ht="16" x14ac:dyDescent="0.4">
      <c r="A2226" s="7">
        <v>38471</v>
      </c>
      <c r="B2226" s="7" t="s">
        <v>13</v>
      </c>
      <c r="C2226" s="7" t="s">
        <v>17</v>
      </c>
      <c r="D2226" s="7">
        <v>1033</v>
      </c>
      <c r="E2226" s="7">
        <v>471</v>
      </c>
      <c r="F2226" s="7">
        <v>598</v>
      </c>
      <c r="G2226" s="7">
        <v>25</v>
      </c>
      <c r="H2226" s="7">
        <v>22327</v>
      </c>
      <c r="I2226" s="7">
        <v>6</v>
      </c>
      <c r="J2226" s="7">
        <v>36</v>
      </c>
      <c r="K2226" s="7">
        <v>545</v>
      </c>
      <c r="L2226" s="7">
        <v>544</v>
      </c>
      <c r="M2226" s="7">
        <v>13.777777779999999</v>
      </c>
      <c r="N2226">
        <f>VLOOKUP(A2226,vlookup_table!$A:$G,2,FALSE)</f>
        <v>2</v>
      </c>
      <c r="O2226" t="str">
        <f>VLOOKUP(A2226,vlookup_table!$A:$G,3,FALSE)</f>
        <v>FL</v>
      </c>
      <c r="P2226">
        <f>VLOOKUP(A2226,vlookup_table!$A:$G,4,FALSE)</f>
        <v>5001</v>
      </c>
      <c r="Q2226" t="str">
        <f>VLOOKUP(A2226,vlookup_table!$A:$G,5,FALSE)</f>
        <v/>
      </c>
      <c r="R2226" t="str">
        <f>VLOOKUP(A2226,vlookup_table!$A:$G,6,FALSE)</f>
        <v>F</v>
      </c>
      <c r="S2226">
        <f>VLOOKUP(A2226,vlookup_table!$A:$G,7,FALSE)</f>
        <v>25</v>
      </c>
      <c r="T2226">
        <f t="shared" si="68"/>
        <v>46</v>
      </c>
      <c r="U2226" t="str">
        <f t="shared" si="69"/>
        <v/>
      </c>
    </row>
    <row r="2227" spans="1:21" ht="16" x14ac:dyDescent="0.4">
      <c r="A2227" s="7">
        <v>163675</v>
      </c>
      <c r="B2227" s="7" t="s">
        <v>21</v>
      </c>
      <c r="C2227" s="7"/>
      <c r="D2227" s="7">
        <v>1693</v>
      </c>
      <c r="E2227" s="7">
        <v>423</v>
      </c>
      <c r="F2227" s="7">
        <v>492</v>
      </c>
      <c r="G2227" s="7">
        <v>23</v>
      </c>
      <c r="H2227" s="7">
        <v>17493</v>
      </c>
      <c r="I2227" s="7">
        <v>6</v>
      </c>
      <c r="J2227" s="7">
        <v>58</v>
      </c>
      <c r="K2227" s="7">
        <v>467</v>
      </c>
      <c r="L2227" s="7">
        <v>457</v>
      </c>
      <c r="M2227" s="7">
        <v>10.875</v>
      </c>
      <c r="N2227">
        <f>VLOOKUP(A2227,vlookup_table!$A:$G,2,FALSE)</f>
        <v>0</v>
      </c>
      <c r="O2227" t="str">
        <f>VLOOKUP(A2227,vlookup_table!$A:$G,3,FALSE)</f>
        <v>CA</v>
      </c>
      <c r="P2227">
        <f>VLOOKUP(A2227,vlookup_table!$A:$G,4,FALSE)</f>
        <v>3501</v>
      </c>
      <c r="Q2227" t="str">
        <f>VLOOKUP(A2227,vlookup_table!$A:$G,5,FALSE)</f>
        <v>U2</v>
      </c>
      <c r="R2227" t="str">
        <f>VLOOKUP(A2227,vlookup_table!$A:$G,6,FALSE)</f>
        <v/>
      </c>
      <c r="S2227">
        <f>VLOOKUP(A2227,vlookup_table!$A:$G,7,FALSE)</f>
        <v>10</v>
      </c>
      <c r="T2227">
        <f t="shared" si="68"/>
        <v>61</v>
      </c>
      <c r="U2227" t="str">
        <f t="shared" si="69"/>
        <v>Urbano</v>
      </c>
    </row>
    <row r="2228" spans="1:21" ht="16" x14ac:dyDescent="0.4">
      <c r="A2228" s="7">
        <v>11195</v>
      </c>
      <c r="B2228" s="7" t="s">
        <v>31</v>
      </c>
      <c r="C2228" s="7" t="s">
        <v>14</v>
      </c>
      <c r="D2228" s="7">
        <v>589</v>
      </c>
      <c r="E2228" s="7">
        <v>289</v>
      </c>
      <c r="F2228" s="7">
        <v>334</v>
      </c>
      <c r="G2228" s="7">
        <v>0</v>
      </c>
      <c r="H2228" s="7">
        <v>12204</v>
      </c>
      <c r="I2228" s="7">
        <v>0</v>
      </c>
      <c r="J2228" s="7">
        <v>54</v>
      </c>
      <c r="K2228" s="7">
        <v>318</v>
      </c>
      <c r="L2228" s="7">
        <v>294</v>
      </c>
      <c r="M2228" s="7">
        <v>11.8</v>
      </c>
      <c r="N2228">
        <f>VLOOKUP(A2228,vlookup_table!$A:$G,2,FALSE)</f>
        <v>2</v>
      </c>
      <c r="O2228" t="str">
        <f>VLOOKUP(A2228,vlookup_table!$A:$G,3,FALSE)</f>
        <v>MT</v>
      </c>
      <c r="P2228">
        <f>VLOOKUP(A2228,vlookup_table!$A:$G,4,FALSE)</f>
        <v>1801</v>
      </c>
      <c r="Q2228" t="str">
        <f>VLOOKUP(A2228,vlookup_table!$A:$G,5,FALSE)</f>
        <v>C2</v>
      </c>
      <c r="R2228" t="str">
        <f>VLOOKUP(A2228,vlookup_table!$A:$G,6,FALSE)</f>
        <v>M</v>
      </c>
      <c r="S2228">
        <f>VLOOKUP(A2228,vlookup_table!$A:$G,7,FALSE)</f>
        <v>10</v>
      </c>
      <c r="T2228">
        <f t="shared" si="68"/>
        <v>78</v>
      </c>
      <c r="U2228" t="str">
        <f t="shared" si="69"/>
        <v>Ciudad</v>
      </c>
    </row>
    <row r="2229" spans="1:21" ht="16" x14ac:dyDescent="0.4">
      <c r="A2229" s="7">
        <v>5144</v>
      </c>
      <c r="B2229" s="7" t="s">
        <v>20</v>
      </c>
      <c r="C2229" s="7" t="s">
        <v>14</v>
      </c>
      <c r="D2229" s="7">
        <v>1938</v>
      </c>
      <c r="E2229" s="7">
        <v>171</v>
      </c>
      <c r="F2229" s="7">
        <v>205</v>
      </c>
      <c r="G2229" s="7">
        <v>50</v>
      </c>
      <c r="H2229" s="7">
        <v>7708</v>
      </c>
      <c r="I2229" s="7">
        <v>33</v>
      </c>
      <c r="J2229" s="7">
        <v>40</v>
      </c>
      <c r="K2229" s="7">
        <v>174</v>
      </c>
      <c r="L2229" s="7">
        <v>197</v>
      </c>
      <c r="M2229" s="7">
        <v>10.06060606</v>
      </c>
      <c r="N2229">
        <f>VLOOKUP(A2229,vlookup_table!$A:$G,2,FALSE)</f>
        <v>1</v>
      </c>
      <c r="O2229" t="str">
        <f>VLOOKUP(A2229,vlookup_table!$A:$G,3,FALSE)</f>
        <v>TX</v>
      </c>
      <c r="P2229">
        <f>VLOOKUP(A2229,vlookup_table!$A:$G,4,FALSE)</f>
        <v>0</v>
      </c>
      <c r="Q2229" t="str">
        <f>VLOOKUP(A2229,vlookup_table!$A:$G,5,FALSE)</f>
        <v>C2</v>
      </c>
      <c r="R2229" t="str">
        <f>VLOOKUP(A2229,vlookup_table!$A:$G,6,FALSE)</f>
        <v>M</v>
      </c>
      <c r="S2229">
        <f>VLOOKUP(A2229,vlookup_table!$A:$G,7,FALSE)</f>
        <v>15</v>
      </c>
      <c r="T2229">
        <f t="shared" si="68"/>
        <v>96</v>
      </c>
      <c r="U2229" t="str">
        <f t="shared" si="69"/>
        <v>Ciudad</v>
      </c>
    </row>
    <row r="2230" spans="1:21" ht="16" x14ac:dyDescent="0.4">
      <c r="A2230" s="7">
        <v>37221</v>
      </c>
      <c r="B2230" s="7" t="s">
        <v>13</v>
      </c>
      <c r="C2230" s="7" t="s">
        <v>14</v>
      </c>
      <c r="D2230" s="7">
        <v>775</v>
      </c>
      <c r="E2230" s="7">
        <v>236</v>
      </c>
      <c r="F2230" s="7">
        <v>363</v>
      </c>
      <c r="G2230" s="7">
        <v>0</v>
      </c>
      <c r="H2230" s="7">
        <v>15628</v>
      </c>
      <c r="I2230" s="7">
        <v>14</v>
      </c>
      <c r="J2230" s="7">
        <v>8</v>
      </c>
      <c r="K2230" s="7">
        <v>296</v>
      </c>
      <c r="L2230" s="7">
        <v>308</v>
      </c>
      <c r="M2230" s="7">
        <v>3.9565217389999998</v>
      </c>
      <c r="N2230">
        <f>VLOOKUP(A2230,vlookup_table!$A:$G,2,FALSE)</f>
        <v>0</v>
      </c>
      <c r="O2230" t="str">
        <f>VLOOKUP(A2230,vlookup_table!$A:$G,3,FALSE)</f>
        <v>FL</v>
      </c>
      <c r="P2230">
        <f>VLOOKUP(A2230,vlookup_table!$A:$G,4,FALSE)</f>
        <v>1107</v>
      </c>
      <c r="Q2230" t="str">
        <f>VLOOKUP(A2230,vlookup_table!$A:$G,5,FALSE)</f>
        <v>U3</v>
      </c>
      <c r="R2230" t="str">
        <f>VLOOKUP(A2230,vlookup_table!$A:$G,6,FALSE)</f>
        <v>M</v>
      </c>
      <c r="S2230">
        <f>VLOOKUP(A2230,vlookup_table!$A:$G,7,FALSE)</f>
        <v>6</v>
      </c>
      <c r="T2230">
        <f t="shared" si="68"/>
        <v>85</v>
      </c>
      <c r="U2230" t="str">
        <f t="shared" si="69"/>
        <v>Urbano</v>
      </c>
    </row>
    <row r="2231" spans="1:21" ht="16" x14ac:dyDescent="0.4">
      <c r="A2231" s="7">
        <v>187959</v>
      </c>
      <c r="B2231" s="7" t="s">
        <v>18</v>
      </c>
      <c r="C2231" s="7"/>
      <c r="D2231" s="7">
        <v>1024</v>
      </c>
      <c r="E2231" s="7">
        <v>360</v>
      </c>
      <c r="F2231" s="7">
        <v>429</v>
      </c>
      <c r="G2231" s="7">
        <v>11</v>
      </c>
      <c r="H2231" s="7">
        <v>15002</v>
      </c>
      <c r="I2231" s="7">
        <v>1</v>
      </c>
      <c r="J2231" s="7">
        <v>33</v>
      </c>
      <c r="K2231" s="7">
        <v>364</v>
      </c>
      <c r="L2231" s="7">
        <v>396</v>
      </c>
      <c r="M2231" s="7">
        <v>7.5</v>
      </c>
      <c r="N2231">
        <f>VLOOKUP(A2231,vlookup_table!$A:$G,2,FALSE)</f>
        <v>0</v>
      </c>
      <c r="O2231" t="str">
        <f>VLOOKUP(A2231,vlookup_table!$A:$G,3,FALSE)</f>
        <v>NC</v>
      </c>
      <c r="P2231">
        <f>VLOOKUP(A2231,vlookup_table!$A:$G,4,FALSE)</f>
        <v>0</v>
      </c>
      <c r="Q2231" t="str">
        <f>VLOOKUP(A2231,vlookup_table!$A:$G,5,FALSE)</f>
        <v>T2</v>
      </c>
      <c r="R2231" t="str">
        <f>VLOOKUP(A2231,vlookup_table!$A:$G,6,FALSE)</f>
        <v/>
      </c>
      <c r="S2231">
        <f>VLOOKUP(A2231,vlookup_table!$A:$G,7,FALSE)</f>
        <v>10</v>
      </c>
      <c r="T2231">
        <f t="shared" si="68"/>
        <v>96</v>
      </c>
      <c r="U2231" t="str">
        <f t="shared" si="69"/>
        <v>Pueblo</v>
      </c>
    </row>
    <row r="2232" spans="1:21" ht="16" x14ac:dyDescent="0.4">
      <c r="A2232" s="7">
        <v>95536</v>
      </c>
      <c r="B2232" s="7" t="s">
        <v>16</v>
      </c>
      <c r="C2232" s="7" t="s">
        <v>17</v>
      </c>
      <c r="D2232" s="7">
        <v>886</v>
      </c>
      <c r="E2232" s="7">
        <v>482</v>
      </c>
      <c r="F2232" s="7">
        <v>433</v>
      </c>
      <c r="G2232" s="7">
        <v>3</v>
      </c>
      <c r="H2232" s="7">
        <v>13887</v>
      </c>
      <c r="I2232" s="7">
        <v>0</v>
      </c>
      <c r="J2232" s="7">
        <v>68</v>
      </c>
      <c r="K2232" s="7">
        <v>465</v>
      </c>
      <c r="L2232" s="7">
        <v>447</v>
      </c>
      <c r="M2232" s="7">
        <v>16.666666670000001</v>
      </c>
      <c r="N2232">
        <f>VLOOKUP(A2232,vlookup_table!$A:$G,2,FALSE)</f>
        <v>28</v>
      </c>
      <c r="O2232" t="str">
        <f>VLOOKUP(A2232,vlookup_table!$A:$G,3,FALSE)</f>
        <v>IL</v>
      </c>
      <c r="P2232">
        <f>VLOOKUP(A2232,vlookup_table!$A:$G,4,FALSE)</f>
        <v>4601</v>
      </c>
      <c r="Q2232" t="str">
        <f>VLOOKUP(A2232,vlookup_table!$A:$G,5,FALSE)</f>
        <v>T2</v>
      </c>
      <c r="R2232" t="str">
        <f>VLOOKUP(A2232,vlookup_table!$A:$G,6,FALSE)</f>
        <v>F</v>
      </c>
      <c r="S2232">
        <f>VLOOKUP(A2232,vlookup_table!$A:$G,7,FALSE)</f>
        <v>20</v>
      </c>
      <c r="T2232">
        <f t="shared" si="68"/>
        <v>50</v>
      </c>
      <c r="U2232" t="str">
        <f t="shared" si="69"/>
        <v>Pueblo</v>
      </c>
    </row>
    <row r="2233" spans="1:21" ht="16" x14ac:dyDescent="0.4">
      <c r="A2233" s="7">
        <v>103330</v>
      </c>
      <c r="B2233" s="7" t="s">
        <v>33</v>
      </c>
      <c r="C2233" s="7" t="s">
        <v>17</v>
      </c>
      <c r="D2233" s="7">
        <v>915</v>
      </c>
      <c r="E2233" s="7">
        <v>377</v>
      </c>
      <c r="F2233" s="7">
        <v>492</v>
      </c>
      <c r="G2233" s="7">
        <v>7</v>
      </c>
      <c r="H2233" s="7">
        <v>16206</v>
      </c>
      <c r="I2233" s="7">
        <v>3</v>
      </c>
      <c r="J2233" s="7">
        <v>62</v>
      </c>
      <c r="K2233" s="7">
        <v>432</v>
      </c>
      <c r="L2233" s="7">
        <v>445</v>
      </c>
      <c r="M2233" s="7">
        <v>10.33333333</v>
      </c>
      <c r="N2233">
        <f>VLOOKUP(A2233,vlookup_table!$A:$G,2,FALSE)</f>
        <v>0</v>
      </c>
      <c r="O2233" t="str">
        <f>VLOOKUP(A2233,vlookup_table!$A:$G,3,FALSE)</f>
        <v>MO</v>
      </c>
      <c r="P2233">
        <f>VLOOKUP(A2233,vlookup_table!$A:$G,4,FALSE)</f>
        <v>4508</v>
      </c>
      <c r="Q2233" t="str">
        <f>VLOOKUP(A2233,vlookup_table!$A:$G,5,FALSE)</f>
        <v>T1</v>
      </c>
      <c r="R2233" t="str">
        <f>VLOOKUP(A2233,vlookup_table!$A:$G,6,FALSE)</f>
        <v>F</v>
      </c>
      <c r="S2233">
        <f>VLOOKUP(A2233,vlookup_table!$A:$G,7,FALSE)</f>
        <v>50</v>
      </c>
      <c r="T2233">
        <f t="shared" si="68"/>
        <v>51</v>
      </c>
      <c r="U2233" t="str">
        <f t="shared" si="69"/>
        <v>Pueblo</v>
      </c>
    </row>
    <row r="2234" spans="1:21" ht="16" x14ac:dyDescent="0.4">
      <c r="A2234" s="7">
        <v>174360</v>
      </c>
      <c r="B2234" s="7" t="s">
        <v>47</v>
      </c>
      <c r="C2234" s="7" t="s">
        <v>17</v>
      </c>
      <c r="D2234" s="7">
        <v>1163</v>
      </c>
      <c r="E2234" s="7">
        <v>617</v>
      </c>
      <c r="F2234" s="7">
        <v>655</v>
      </c>
      <c r="G2234" s="7">
        <v>2</v>
      </c>
      <c r="H2234" s="7">
        <v>24280</v>
      </c>
      <c r="I2234" s="7">
        <v>12</v>
      </c>
      <c r="J2234" s="7">
        <v>30</v>
      </c>
      <c r="K2234" s="7">
        <v>631</v>
      </c>
      <c r="L2234" s="7">
        <v>633</v>
      </c>
      <c r="M2234" s="7">
        <v>8.9166666669999994</v>
      </c>
      <c r="N2234">
        <f>VLOOKUP(A2234,vlookup_table!$A:$G,2,FALSE)</f>
        <v>0</v>
      </c>
      <c r="O2234" t="str">
        <f>VLOOKUP(A2234,vlookup_table!$A:$G,3,FALSE)</f>
        <v>OR</v>
      </c>
      <c r="P2234">
        <f>VLOOKUP(A2234,vlookup_table!$A:$G,4,FALSE)</f>
        <v>5408</v>
      </c>
      <c r="Q2234" t="str">
        <f>VLOOKUP(A2234,vlookup_table!$A:$G,5,FALSE)</f>
        <v>S1</v>
      </c>
      <c r="R2234" t="str">
        <f>VLOOKUP(A2234,vlookup_table!$A:$G,6,FALSE)</f>
        <v>F</v>
      </c>
      <c r="S2234">
        <f>VLOOKUP(A2234,vlookup_table!$A:$G,7,FALSE)</f>
        <v>11</v>
      </c>
      <c r="T2234">
        <f t="shared" si="68"/>
        <v>42</v>
      </c>
      <c r="U2234" t="str">
        <f t="shared" si="69"/>
        <v>Suburbano</v>
      </c>
    </row>
    <row r="2235" spans="1:21" ht="16" x14ac:dyDescent="0.4">
      <c r="A2235" s="7">
        <v>173805</v>
      </c>
      <c r="B2235" s="7" t="s">
        <v>34</v>
      </c>
      <c r="C2235" s="7" t="s">
        <v>17</v>
      </c>
      <c r="D2235" s="7">
        <v>2506</v>
      </c>
      <c r="E2235" s="7">
        <v>449</v>
      </c>
      <c r="F2235" s="7">
        <v>517</v>
      </c>
      <c r="G2235" s="7">
        <v>70</v>
      </c>
      <c r="H2235" s="7">
        <v>16302</v>
      </c>
      <c r="I2235" s="7">
        <v>8</v>
      </c>
      <c r="J2235" s="7">
        <v>55</v>
      </c>
      <c r="K2235" s="7">
        <v>455</v>
      </c>
      <c r="L2235" s="7">
        <v>501</v>
      </c>
      <c r="M2235" s="7">
        <v>8.875</v>
      </c>
      <c r="N2235">
        <f>VLOOKUP(A2235,vlookup_table!$A:$G,2,FALSE)</f>
        <v>28</v>
      </c>
      <c r="O2235" t="str">
        <f>VLOOKUP(A2235,vlookup_table!$A:$G,3,FALSE)</f>
        <v>HI</v>
      </c>
      <c r="P2235">
        <f>VLOOKUP(A2235,vlookup_table!$A:$G,4,FALSE)</f>
        <v>1501</v>
      </c>
      <c r="Q2235" t="str">
        <f>VLOOKUP(A2235,vlookup_table!$A:$G,5,FALSE)</f>
        <v>T1</v>
      </c>
      <c r="R2235" t="str">
        <f>VLOOKUP(A2235,vlookup_table!$A:$G,6,FALSE)</f>
        <v>F</v>
      </c>
      <c r="S2235">
        <f>VLOOKUP(A2235,vlookup_table!$A:$G,7,FALSE)</f>
        <v>50</v>
      </c>
      <c r="T2235">
        <f t="shared" si="68"/>
        <v>81</v>
      </c>
      <c r="U2235" t="str">
        <f t="shared" si="69"/>
        <v>Pueblo</v>
      </c>
    </row>
    <row r="2236" spans="1:21" ht="16" x14ac:dyDescent="0.4">
      <c r="A2236" s="7">
        <v>30745</v>
      </c>
      <c r="B2236" s="7" t="s">
        <v>36</v>
      </c>
      <c r="C2236" s="7" t="s">
        <v>17</v>
      </c>
      <c r="D2236" s="7">
        <v>717</v>
      </c>
      <c r="E2236" s="7">
        <v>339</v>
      </c>
      <c r="F2236" s="7">
        <v>424</v>
      </c>
      <c r="G2236" s="7">
        <v>3</v>
      </c>
      <c r="H2236" s="7">
        <v>14609</v>
      </c>
      <c r="I2236" s="7">
        <v>3</v>
      </c>
      <c r="J2236" s="7">
        <v>53</v>
      </c>
      <c r="K2236" s="7">
        <v>388</v>
      </c>
      <c r="L2236" s="7">
        <v>381</v>
      </c>
      <c r="M2236" s="7">
        <v>12.5</v>
      </c>
      <c r="N2236">
        <f>VLOOKUP(A2236,vlookup_table!$A:$G,2,FALSE)</f>
        <v>0</v>
      </c>
      <c r="O2236" t="str">
        <f>VLOOKUP(A2236,vlookup_table!$A:$G,3,FALSE)</f>
        <v>GA</v>
      </c>
      <c r="P2236">
        <f>VLOOKUP(A2236,vlookup_table!$A:$G,4,FALSE)</f>
        <v>0</v>
      </c>
      <c r="Q2236" t="str">
        <f>VLOOKUP(A2236,vlookup_table!$A:$G,5,FALSE)</f>
        <v>T3</v>
      </c>
      <c r="R2236" t="str">
        <f>VLOOKUP(A2236,vlookup_table!$A:$G,6,FALSE)</f>
        <v>F</v>
      </c>
      <c r="S2236">
        <f>VLOOKUP(A2236,vlookup_table!$A:$G,7,FALSE)</f>
        <v>25</v>
      </c>
      <c r="T2236">
        <f t="shared" si="68"/>
        <v>96</v>
      </c>
      <c r="U2236" t="str">
        <f t="shared" si="69"/>
        <v>Pueblo</v>
      </c>
    </row>
    <row r="2237" spans="1:21" ht="16" x14ac:dyDescent="0.4">
      <c r="A2237" s="7">
        <v>20645</v>
      </c>
      <c r="B2237" s="7" t="s">
        <v>18</v>
      </c>
      <c r="C2237" s="7" t="s">
        <v>97</v>
      </c>
      <c r="D2237" s="7">
        <v>405</v>
      </c>
      <c r="E2237" s="7">
        <v>187</v>
      </c>
      <c r="F2237" s="7">
        <v>214</v>
      </c>
      <c r="G2237" s="7">
        <v>0</v>
      </c>
      <c r="H2237" s="7">
        <v>7303</v>
      </c>
      <c r="I2237" s="7">
        <v>1</v>
      </c>
      <c r="J2237" s="7">
        <v>91</v>
      </c>
      <c r="K2237" s="7">
        <v>182</v>
      </c>
      <c r="L2237" s="7">
        <v>216</v>
      </c>
      <c r="M2237" s="7">
        <v>11.33333333</v>
      </c>
      <c r="N2237">
        <f>VLOOKUP(A2237,vlookup_table!$A:$G,2,FALSE)</f>
        <v>0</v>
      </c>
      <c r="O2237" t="str">
        <f>VLOOKUP(A2237,vlookup_table!$A:$G,3,FALSE)</f>
        <v>NC</v>
      </c>
      <c r="P2237">
        <f>VLOOKUP(A2237,vlookup_table!$A:$G,4,FALSE)</f>
        <v>0</v>
      </c>
      <c r="Q2237" t="str">
        <f>VLOOKUP(A2237,vlookup_table!$A:$G,5,FALSE)</f>
        <v>R3</v>
      </c>
      <c r="R2237" t="str">
        <f>VLOOKUP(A2237,vlookup_table!$A:$G,6,FALSE)</f>
        <v>F</v>
      </c>
      <c r="S2237">
        <f>VLOOKUP(A2237,vlookup_table!$A:$G,7,FALSE)</f>
        <v>10</v>
      </c>
      <c r="T2237">
        <f t="shared" si="68"/>
        <v>96</v>
      </c>
      <c r="U2237" t="str">
        <f t="shared" si="69"/>
        <v>Rural</v>
      </c>
    </row>
    <row r="2238" spans="1:21" ht="16" x14ac:dyDescent="0.4">
      <c r="A2238" s="7">
        <v>27928</v>
      </c>
      <c r="B2238" s="7" t="s">
        <v>36</v>
      </c>
      <c r="C2238" s="7" t="s">
        <v>14</v>
      </c>
      <c r="D2238" s="7">
        <v>1025</v>
      </c>
      <c r="E2238" s="7">
        <v>425</v>
      </c>
      <c r="F2238" s="7">
        <v>519</v>
      </c>
      <c r="G2238" s="7">
        <v>4</v>
      </c>
      <c r="H2238" s="7">
        <v>17688</v>
      </c>
      <c r="I2238" s="7">
        <v>1</v>
      </c>
      <c r="J2238" s="7">
        <v>58</v>
      </c>
      <c r="K2238" s="7">
        <v>493</v>
      </c>
      <c r="L2238" s="7">
        <v>470</v>
      </c>
      <c r="M2238" s="7">
        <v>13</v>
      </c>
      <c r="N2238">
        <f>VLOOKUP(A2238,vlookup_table!$A:$G,2,FALSE)</f>
        <v>1</v>
      </c>
      <c r="O2238" t="str">
        <f>VLOOKUP(A2238,vlookup_table!$A:$G,3,FALSE)</f>
        <v>GA</v>
      </c>
      <c r="P2238">
        <f>VLOOKUP(A2238,vlookup_table!$A:$G,4,FALSE)</f>
        <v>1804</v>
      </c>
      <c r="Q2238" t="str">
        <f>VLOOKUP(A2238,vlookup_table!$A:$G,5,FALSE)</f>
        <v>T1</v>
      </c>
      <c r="R2238" t="str">
        <f>VLOOKUP(A2238,vlookup_table!$A:$G,6,FALSE)</f>
        <v>M</v>
      </c>
      <c r="S2238">
        <f>VLOOKUP(A2238,vlookup_table!$A:$G,7,FALSE)</f>
        <v>12</v>
      </c>
      <c r="T2238">
        <f t="shared" si="68"/>
        <v>78</v>
      </c>
      <c r="U2238" t="str">
        <f t="shared" si="69"/>
        <v>Pueblo</v>
      </c>
    </row>
    <row r="2239" spans="1:21" ht="16" x14ac:dyDescent="0.4">
      <c r="A2239" s="7">
        <v>80866</v>
      </c>
      <c r="B2239" s="7" t="s">
        <v>32</v>
      </c>
      <c r="C2239" s="7" t="s">
        <v>17</v>
      </c>
      <c r="D2239" s="7">
        <v>438</v>
      </c>
      <c r="E2239" s="7">
        <v>342</v>
      </c>
      <c r="F2239" s="7">
        <v>373</v>
      </c>
      <c r="G2239" s="7">
        <v>0</v>
      </c>
      <c r="H2239" s="7">
        <v>11227</v>
      </c>
      <c r="I2239" s="7">
        <v>0</v>
      </c>
      <c r="J2239" s="7">
        <v>81</v>
      </c>
      <c r="K2239" s="7">
        <v>360</v>
      </c>
      <c r="L2239" s="7">
        <v>339</v>
      </c>
      <c r="M2239" s="7">
        <v>4.5454545460000002</v>
      </c>
      <c r="N2239">
        <f>VLOOKUP(A2239,vlookup_table!$A:$G,2,FALSE)</f>
        <v>0</v>
      </c>
      <c r="O2239" t="str">
        <f>VLOOKUP(A2239,vlookup_table!$A:$G,3,FALSE)</f>
        <v>WI</v>
      </c>
      <c r="P2239">
        <f>VLOOKUP(A2239,vlookup_table!$A:$G,4,FALSE)</f>
        <v>2701</v>
      </c>
      <c r="Q2239" t="str">
        <f>VLOOKUP(A2239,vlookup_table!$A:$G,5,FALSE)</f>
        <v>R2</v>
      </c>
      <c r="R2239" t="str">
        <f>VLOOKUP(A2239,vlookup_table!$A:$G,6,FALSE)</f>
        <v>F</v>
      </c>
      <c r="S2239">
        <f>VLOOKUP(A2239,vlookup_table!$A:$G,7,FALSE)</f>
        <v>4</v>
      </c>
      <c r="T2239">
        <f t="shared" si="68"/>
        <v>69</v>
      </c>
      <c r="U2239" t="str">
        <f t="shared" si="69"/>
        <v>Rural</v>
      </c>
    </row>
    <row r="2240" spans="1:21" ht="16" x14ac:dyDescent="0.4">
      <c r="A2240" s="7">
        <v>55408</v>
      </c>
      <c r="B2240" s="7" t="s">
        <v>56</v>
      </c>
      <c r="C2240" s="7" t="s">
        <v>14</v>
      </c>
      <c r="D2240" s="7">
        <v>1449</v>
      </c>
      <c r="E2240" s="7">
        <v>735</v>
      </c>
      <c r="F2240" s="7">
        <v>791</v>
      </c>
      <c r="G2240" s="7">
        <v>28</v>
      </c>
      <c r="H2240" s="7">
        <v>29612</v>
      </c>
      <c r="I2240" s="7">
        <v>0</v>
      </c>
      <c r="J2240" s="7">
        <v>74</v>
      </c>
      <c r="K2240" s="7">
        <v>783</v>
      </c>
      <c r="L2240" s="7">
        <v>720</v>
      </c>
      <c r="M2240" s="7">
        <v>5.25</v>
      </c>
      <c r="N2240">
        <f>VLOOKUP(A2240,vlookup_table!$A:$G,2,FALSE)</f>
        <v>28</v>
      </c>
      <c r="O2240" t="str">
        <f>VLOOKUP(A2240,vlookup_table!$A:$G,3,FALSE)</f>
        <v>MS</v>
      </c>
      <c r="P2240">
        <f>VLOOKUP(A2240,vlookup_table!$A:$G,4,FALSE)</f>
        <v>4612</v>
      </c>
      <c r="Q2240" t="str">
        <f>VLOOKUP(A2240,vlookup_table!$A:$G,5,FALSE)</f>
        <v>T1</v>
      </c>
      <c r="R2240" t="str">
        <f>VLOOKUP(A2240,vlookup_table!$A:$G,6,FALSE)</f>
        <v>M</v>
      </c>
      <c r="S2240">
        <f>VLOOKUP(A2240,vlookup_table!$A:$G,7,FALSE)</f>
        <v>4</v>
      </c>
      <c r="T2240">
        <f t="shared" si="68"/>
        <v>50</v>
      </c>
      <c r="U2240" t="str">
        <f t="shared" si="69"/>
        <v>Pueblo</v>
      </c>
    </row>
    <row r="2241" spans="1:21" ht="16" x14ac:dyDescent="0.4">
      <c r="A2241" s="7">
        <v>54674</v>
      </c>
      <c r="B2241" s="7" t="s">
        <v>56</v>
      </c>
      <c r="C2241" s="7" t="s">
        <v>14</v>
      </c>
      <c r="D2241" s="7">
        <v>440</v>
      </c>
      <c r="E2241" s="7">
        <v>270</v>
      </c>
      <c r="F2241" s="7">
        <v>364</v>
      </c>
      <c r="G2241" s="7">
        <v>0</v>
      </c>
      <c r="H2241" s="7">
        <v>11109</v>
      </c>
      <c r="I2241" s="7">
        <v>0</v>
      </c>
      <c r="J2241" s="7">
        <v>75</v>
      </c>
      <c r="K2241" s="7">
        <v>288</v>
      </c>
      <c r="L2241" s="7">
        <v>315</v>
      </c>
      <c r="M2241" s="7">
        <v>4.7058823529999998</v>
      </c>
      <c r="N2241">
        <f>VLOOKUP(A2241,vlookup_table!$A:$G,2,FALSE)</f>
        <v>1</v>
      </c>
      <c r="O2241" t="str">
        <f>VLOOKUP(A2241,vlookup_table!$A:$G,3,FALSE)</f>
        <v>MS</v>
      </c>
      <c r="P2241">
        <f>VLOOKUP(A2241,vlookup_table!$A:$G,4,FALSE)</f>
        <v>2201</v>
      </c>
      <c r="Q2241" t="str">
        <f>VLOOKUP(A2241,vlookup_table!$A:$G,5,FALSE)</f>
        <v>T2</v>
      </c>
      <c r="R2241" t="str">
        <f>VLOOKUP(A2241,vlookup_table!$A:$G,6,FALSE)</f>
        <v>M</v>
      </c>
      <c r="S2241">
        <f>VLOOKUP(A2241,vlookup_table!$A:$G,7,FALSE)</f>
        <v>5</v>
      </c>
      <c r="T2241">
        <f t="shared" si="68"/>
        <v>74</v>
      </c>
      <c r="U2241" t="str">
        <f t="shared" si="69"/>
        <v>Pueblo</v>
      </c>
    </row>
    <row r="2242" spans="1:21" ht="16" x14ac:dyDescent="0.4">
      <c r="A2242" s="7">
        <v>185287</v>
      </c>
      <c r="B2242" s="7" t="s">
        <v>21</v>
      </c>
      <c r="C2242" s="7" t="s">
        <v>17</v>
      </c>
      <c r="D2242" s="7">
        <v>1812</v>
      </c>
      <c r="E2242" s="7">
        <v>415</v>
      </c>
      <c r="F2242" s="7">
        <v>464</v>
      </c>
      <c r="G2242" s="7">
        <v>19</v>
      </c>
      <c r="H2242" s="7">
        <v>16451</v>
      </c>
      <c r="I2242" s="7">
        <v>7</v>
      </c>
      <c r="J2242" s="7">
        <v>52</v>
      </c>
      <c r="K2242" s="7">
        <v>452</v>
      </c>
      <c r="L2242" s="7">
        <v>435</v>
      </c>
      <c r="M2242" s="7">
        <v>4.615384615</v>
      </c>
      <c r="N2242">
        <f>VLOOKUP(A2242,vlookup_table!$A:$G,2,FALSE)</f>
        <v>2</v>
      </c>
      <c r="O2242" t="str">
        <f>VLOOKUP(A2242,vlookup_table!$A:$G,3,FALSE)</f>
        <v>CA</v>
      </c>
      <c r="P2242">
        <f>VLOOKUP(A2242,vlookup_table!$A:$G,4,FALSE)</f>
        <v>6301</v>
      </c>
      <c r="Q2242" t="str">
        <f>VLOOKUP(A2242,vlookup_table!$A:$G,5,FALSE)</f>
        <v>S2</v>
      </c>
      <c r="R2242" t="str">
        <f>VLOOKUP(A2242,vlookup_table!$A:$G,6,FALSE)</f>
        <v>F</v>
      </c>
      <c r="S2242">
        <f>VLOOKUP(A2242,vlookup_table!$A:$G,7,FALSE)</f>
        <v>5</v>
      </c>
      <c r="T2242">
        <f t="shared" si="68"/>
        <v>33</v>
      </c>
      <c r="U2242" t="str">
        <f t="shared" si="69"/>
        <v>Suburbano</v>
      </c>
    </row>
    <row r="2243" spans="1:21" ht="16" x14ac:dyDescent="0.4">
      <c r="A2243" s="7">
        <v>178009</v>
      </c>
      <c r="B2243" s="7" t="s">
        <v>47</v>
      </c>
      <c r="C2243" s="7" t="s">
        <v>14</v>
      </c>
      <c r="D2243" s="7">
        <v>779</v>
      </c>
      <c r="E2243" s="7">
        <v>215</v>
      </c>
      <c r="F2243" s="7">
        <v>262</v>
      </c>
      <c r="G2243" s="7">
        <v>1</v>
      </c>
      <c r="H2243" s="7">
        <v>9279</v>
      </c>
      <c r="I2243" s="7">
        <v>4</v>
      </c>
      <c r="J2243" s="7">
        <v>25</v>
      </c>
      <c r="K2243" s="7">
        <v>223</v>
      </c>
      <c r="L2243" s="7">
        <v>249</v>
      </c>
      <c r="M2243" s="7">
        <v>4.0370370370000002</v>
      </c>
      <c r="N2243">
        <f>VLOOKUP(A2243,vlookup_table!$A:$G,2,FALSE)</f>
        <v>1</v>
      </c>
      <c r="O2243" t="str">
        <f>VLOOKUP(A2243,vlookup_table!$A:$G,3,FALSE)</f>
        <v>OR</v>
      </c>
      <c r="P2243">
        <f>VLOOKUP(A2243,vlookup_table!$A:$G,4,FALSE)</f>
        <v>1803</v>
      </c>
      <c r="Q2243" t="str">
        <f>VLOOKUP(A2243,vlookup_table!$A:$G,5,FALSE)</f>
        <v>R2</v>
      </c>
      <c r="R2243" t="str">
        <f>VLOOKUP(A2243,vlookup_table!$A:$G,6,FALSE)</f>
        <v>M</v>
      </c>
      <c r="S2243">
        <f>VLOOKUP(A2243,vlookup_table!$A:$G,7,FALSE)</f>
        <v>5</v>
      </c>
      <c r="T2243">
        <f t="shared" ref="T2243:T2306" si="70">97-LEFT(P2243,2)-IF(RIGHT(P2243,2)&gt;6,1,0)</f>
        <v>78</v>
      </c>
      <c r="U2243" t="str">
        <f t="shared" ref="U2243:U2306" si="71">IF(LEFT(Q2243,1)="C","Ciudad",IF(LEFT(Q2243,1)="T","Pueblo",IF(LEFT(Q2243,1)="R","Rural",IF(LEFT(Q2243,1)="S","Suburbano",IF(LEFT(Q2243,1)="U","Urbano","")))))</f>
        <v>Rural</v>
      </c>
    </row>
    <row r="2244" spans="1:21" ht="16" x14ac:dyDescent="0.4">
      <c r="A2244" s="7">
        <v>143069</v>
      </c>
      <c r="B2244" s="7" t="s">
        <v>21</v>
      </c>
      <c r="C2244" s="7" t="s">
        <v>14</v>
      </c>
      <c r="D2244" s="7">
        <v>3431</v>
      </c>
      <c r="E2244" s="7">
        <v>549</v>
      </c>
      <c r="F2244" s="7">
        <v>664</v>
      </c>
      <c r="G2244" s="7">
        <v>86</v>
      </c>
      <c r="H2244" s="7">
        <v>20683</v>
      </c>
      <c r="I2244" s="7">
        <v>20</v>
      </c>
      <c r="J2244" s="7">
        <v>51</v>
      </c>
      <c r="K2244" s="7">
        <v>626</v>
      </c>
      <c r="L2244" s="7">
        <v>610</v>
      </c>
      <c r="M2244" s="7">
        <v>15.2</v>
      </c>
      <c r="N2244">
        <f>VLOOKUP(A2244,vlookup_table!$A:$G,2,FALSE)</f>
        <v>1</v>
      </c>
      <c r="O2244" t="str">
        <f>VLOOKUP(A2244,vlookup_table!$A:$G,3,FALSE)</f>
        <v>CA</v>
      </c>
      <c r="P2244">
        <f>VLOOKUP(A2244,vlookup_table!$A:$G,4,FALSE)</f>
        <v>2601</v>
      </c>
      <c r="Q2244" t="str">
        <f>VLOOKUP(A2244,vlookup_table!$A:$G,5,FALSE)</f>
        <v>U3</v>
      </c>
      <c r="R2244" t="str">
        <f>VLOOKUP(A2244,vlookup_table!$A:$G,6,FALSE)</f>
        <v>M</v>
      </c>
      <c r="S2244">
        <f>VLOOKUP(A2244,vlookup_table!$A:$G,7,FALSE)</f>
        <v>20</v>
      </c>
      <c r="T2244">
        <f t="shared" si="70"/>
        <v>70</v>
      </c>
      <c r="U2244" t="str">
        <f t="shared" si="71"/>
        <v>Urbano</v>
      </c>
    </row>
    <row r="2245" spans="1:21" ht="16" x14ac:dyDescent="0.4">
      <c r="A2245" s="7">
        <v>28874</v>
      </c>
      <c r="B2245" s="7" t="s">
        <v>36</v>
      </c>
      <c r="C2245" s="7" t="s">
        <v>14</v>
      </c>
      <c r="D2245" s="7">
        <v>928</v>
      </c>
      <c r="E2245" s="7">
        <v>243</v>
      </c>
      <c r="F2245" s="7">
        <v>472</v>
      </c>
      <c r="G2245" s="7">
        <v>18</v>
      </c>
      <c r="H2245" s="7">
        <v>17216</v>
      </c>
      <c r="I2245" s="7">
        <v>11</v>
      </c>
      <c r="J2245" s="7">
        <v>68</v>
      </c>
      <c r="K2245" s="7">
        <v>310</v>
      </c>
      <c r="L2245" s="7">
        <v>396</v>
      </c>
      <c r="M2245" s="7">
        <v>17.5</v>
      </c>
      <c r="N2245">
        <f>VLOOKUP(A2245,vlookup_table!$A:$G,2,FALSE)</f>
        <v>2</v>
      </c>
      <c r="O2245" t="str">
        <f>VLOOKUP(A2245,vlookup_table!$A:$G,3,FALSE)</f>
        <v>GA</v>
      </c>
      <c r="P2245">
        <f>VLOOKUP(A2245,vlookup_table!$A:$G,4,FALSE)</f>
        <v>3601</v>
      </c>
      <c r="Q2245" t="str">
        <f>VLOOKUP(A2245,vlookup_table!$A:$G,5,FALSE)</f>
        <v>T2</v>
      </c>
      <c r="R2245" t="str">
        <f>VLOOKUP(A2245,vlookup_table!$A:$G,6,FALSE)</f>
        <v>M</v>
      </c>
      <c r="S2245">
        <f>VLOOKUP(A2245,vlookup_table!$A:$G,7,FALSE)</f>
        <v>21</v>
      </c>
      <c r="T2245">
        <f t="shared" si="70"/>
        <v>60</v>
      </c>
      <c r="U2245" t="str">
        <f t="shared" si="71"/>
        <v>Pueblo</v>
      </c>
    </row>
    <row r="2246" spans="1:21" ht="16" x14ac:dyDescent="0.4">
      <c r="A2246" s="7">
        <v>144110</v>
      </c>
      <c r="B2246" s="7" t="s">
        <v>21</v>
      </c>
      <c r="C2246" s="7" t="s">
        <v>17</v>
      </c>
      <c r="D2246" s="7">
        <v>5882</v>
      </c>
      <c r="E2246" s="7">
        <v>533</v>
      </c>
      <c r="F2246" s="7">
        <v>657</v>
      </c>
      <c r="G2246" s="7">
        <v>98</v>
      </c>
      <c r="H2246" s="7">
        <v>31652</v>
      </c>
      <c r="I2246" s="7">
        <v>40</v>
      </c>
      <c r="J2246" s="7">
        <v>23</v>
      </c>
      <c r="K2246" s="7">
        <v>596</v>
      </c>
      <c r="L2246" s="7">
        <v>623</v>
      </c>
      <c r="M2246" s="7">
        <v>9.7777777780000008</v>
      </c>
      <c r="N2246">
        <f>VLOOKUP(A2246,vlookup_table!$A:$G,2,FALSE)</f>
        <v>0</v>
      </c>
      <c r="O2246" t="str">
        <f>VLOOKUP(A2246,vlookup_table!$A:$G,3,FALSE)</f>
        <v>CA</v>
      </c>
      <c r="P2246">
        <f>VLOOKUP(A2246,vlookup_table!$A:$G,4,FALSE)</f>
        <v>3509</v>
      </c>
      <c r="Q2246" t="str">
        <f>VLOOKUP(A2246,vlookup_table!$A:$G,5,FALSE)</f>
        <v>U1</v>
      </c>
      <c r="R2246" t="str">
        <f>VLOOKUP(A2246,vlookup_table!$A:$G,6,FALSE)</f>
        <v>F</v>
      </c>
      <c r="S2246">
        <f>VLOOKUP(A2246,vlookup_table!$A:$G,7,FALSE)</f>
        <v>15</v>
      </c>
      <c r="T2246">
        <f t="shared" si="70"/>
        <v>61</v>
      </c>
      <c r="U2246" t="str">
        <f t="shared" si="71"/>
        <v>Urbano</v>
      </c>
    </row>
    <row r="2247" spans="1:21" ht="16" x14ac:dyDescent="0.4">
      <c r="A2247" s="7">
        <v>77116</v>
      </c>
      <c r="B2247" s="7" t="s">
        <v>32</v>
      </c>
      <c r="C2247" s="7" t="s">
        <v>17</v>
      </c>
      <c r="D2247" s="7">
        <v>660</v>
      </c>
      <c r="E2247" s="7">
        <v>308</v>
      </c>
      <c r="F2247" s="7">
        <v>370</v>
      </c>
      <c r="G2247" s="7">
        <v>1</v>
      </c>
      <c r="H2247" s="7">
        <v>11996</v>
      </c>
      <c r="I2247" s="7">
        <v>2</v>
      </c>
      <c r="J2247" s="7">
        <v>90</v>
      </c>
      <c r="K2247" s="7">
        <v>326</v>
      </c>
      <c r="L2247" s="7">
        <v>351</v>
      </c>
      <c r="M2247" s="7">
        <v>9.1111111109999996</v>
      </c>
      <c r="N2247">
        <f>VLOOKUP(A2247,vlookup_table!$A:$G,2,FALSE)</f>
        <v>0</v>
      </c>
      <c r="O2247" t="str">
        <f>VLOOKUP(A2247,vlookup_table!$A:$G,3,FALSE)</f>
        <v>WI</v>
      </c>
      <c r="P2247">
        <f>VLOOKUP(A2247,vlookup_table!$A:$G,4,FALSE)</f>
        <v>6101</v>
      </c>
      <c r="Q2247" t="str">
        <f>VLOOKUP(A2247,vlookup_table!$A:$G,5,FALSE)</f>
        <v>R2</v>
      </c>
      <c r="R2247" t="str">
        <f>VLOOKUP(A2247,vlookup_table!$A:$G,6,FALSE)</f>
        <v>F</v>
      </c>
      <c r="S2247">
        <f>VLOOKUP(A2247,vlookup_table!$A:$G,7,FALSE)</f>
        <v>10</v>
      </c>
      <c r="T2247">
        <f t="shared" si="70"/>
        <v>35</v>
      </c>
      <c r="U2247" t="str">
        <f t="shared" si="71"/>
        <v>Rural</v>
      </c>
    </row>
    <row r="2248" spans="1:21" ht="16" x14ac:dyDescent="0.4">
      <c r="A2248" s="7">
        <v>3553</v>
      </c>
      <c r="B2248" s="7" t="s">
        <v>37</v>
      </c>
      <c r="C2248" s="7" t="s">
        <v>14</v>
      </c>
      <c r="D2248" s="7">
        <v>732</v>
      </c>
      <c r="E2248" s="7">
        <v>411</v>
      </c>
      <c r="F2248" s="7">
        <v>445</v>
      </c>
      <c r="G2248" s="7">
        <v>0</v>
      </c>
      <c r="H2248" s="7">
        <v>13863</v>
      </c>
      <c r="I2248" s="7">
        <v>3</v>
      </c>
      <c r="J2248" s="7">
        <v>33</v>
      </c>
      <c r="K2248" s="7">
        <v>425</v>
      </c>
      <c r="L2248" s="7">
        <v>434</v>
      </c>
      <c r="M2248" s="7">
        <v>16.285714290000001</v>
      </c>
      <c r="N2248">
        <f>VLOOKUP(A2248,vlookup_table!$A:$G,2,FALSE)</f>
        <v>1</v>
      </c>
      <c r="O2248" t="str">
        <f>VLOOKUP(A2248,vlookup_table!$A:$G,3,FALSE)</f>
        <v>WA</v>
      </c>
      <c r="P2248">
        <f>VLOOKUP(A2248,vlookup_table!$A:$G,4,FALSE)</f>
        <v>1601</v>
      </c>
      <c r="Q2248" t="str">
        <f>VLOOKUP(A2248,vlookup_table!$A:$G,5,FALSE)</f>
        <v>S2</v>
      </c>
      <c r="R2248" t="str">
        <f>VLOOKUP(A2248,vlookup_table!$A:$G,6,FALSE)</f>
        <v>M</v>
      </c>
      <c r="S2248">
        <f>VLOOKUP(A2248,vlookup_table!$A:$G,7,FALSE)</f>
        <v>20</v>
      </c>
      <c r="T2248">
        <f t="shared" si="70"/>
        <v>80</v>
      </c>
      <c r="U2248" t="str">
        <f t="shared" si="71"/>
        <v>Suburbano</v>
      </c>
    </row>
    <row r="2249" spans="1:21" ht="16" x14ac:dyDescent="0.4">
      <c r="A2249" s="7">
        <v>60265</v>
      </c>
      <c r="B2249" s="7" t="s">
        <v>30</v>
      </c>
      <c r="C2249" s="7" t="s">
        <v>17</v>
      </c>
      <c r="D2249" s="7">
        <v>225</v>
      </c>
      <c r="E2249" s="7">
        <v>191</v>
      </c>
      <c r="F2249" s="7">
        <v>226</v>
      </c>
      <c r="G2249" s="7">
        <v>0</v>
      </c>
      <c r="H2249" s="7">
        <v>7426</v>
      </c>
      <c r="I2249" s="7">
        <v>0</v>
      </c>
      <c r="J2249" s="7">
        <v>79</v>
      </c>
      <c r="K2249" s="7">
        <v>198</v>
      </c>
      <c r="L2249" s="7">
        <v>185</v>
      </c>
      <c r="M2249" s="7">
        <v>3.15</v>
      </c>
      <c r="N2249">
        <f>VLOOKUP(A2249,vlookup_table!$A:$G,2,FALSE)</f>
        <v>0</v>
      </c>
      <c r="O2249" t="str">
        <f>VLOOKUP(A2249,vlookup_table!$A:$G,3,FALSE)</f>
        <v>IN</v>
      </c>
      <c r="P2249">
        <f>VLOOKUP(A2249,vlookup_table!$A:$G,4,FALSE)</f>
        <v>3803</v>
      </c>
      <c r="Q2249" t="str">
        <f>VLOOKUP(A2249,vlookup_table!$A:$G,5,FALSE)</f>
        <v>C3</v>
      </c>
      <c r="R2249" t="str">
        <f>VLOOKUP(A2249,vlookup_table!$A:$G,6,FALSE)</f>
        <v>F</v>
      </c>
      <c r="S2249">
        <f>VLOOKUP(A2249,vlookup_table!$A:$G,7,FALSE)</f>
        <v>5</v>
      </c>
      <c r="T2249">
        <f t="shared" si="70"/>
        <v>58</v>
      </c>
      <c r="U2249" t="str">
        <f t="shared" si="71"/>
        <v>Ciudad</v>
      </c>
    </row>
    <row r="2250" spans="1:21" ht="16" x14ac:dyDescent="0.4">
      <c r="A2250" s="7">
        <v>74552</v>
      </c>
      <c r="B2250" s="7" t="s">
        <v>26</v>
      </c>
      <c r="C2250" s="7" t="s">
        <v>17</v>
      </c>
      <c r="D2250" s="7">
        <v>376</v>
      </c>
      <c r="E2250" s="7">
        <v>253</v>
      </c>
      <c r="F2250" s="7">
        <v>321</v>
      </c>
      <c r="G2250" s="7">
        <v>0</v>
      </c>
      <c r="H2250" s="7">
        <v>10637</v>
      </c>
      <c r="I2250" s="7">
        <v>1</v>
      </c>
      <c r="J2250" s="7">
        <v>89</v>
      </c>
      <c r="K2250" s="7">
        <v>304</v>
      </c>
      <c r="L2250" s="7">
        <v>281</v>
      </c>
      <c r="M2250" s="7">
        <v>4.5555555559999998</v>
      </c>
      <c r="N2250">
        <f>VLOOKUP(A2250,vlookup_table!$A:$G,2,FALSE)</f>
        <v>0</v>
      </c>
      <c r="O2250" t="str">
        <f>VLOOKUP(A2250,vlookup_table!$A:$G,3,FALSE)</f>
        <v>MI</v>
      </c>
      <c r="P2250">
        <f>VLOOKUP(A2250,vlookup_table!$A:$G,4,FALSE)</f>
        <v>0</v>
      </c>
      <c r="Q2250" t="str">
        <f>VLOOKUP(A2250,vlookup_table!$A:$G,5,FALSE)</f>
        <v>T2</v>
      </c>
      <c r="R2250" t="str">
        <f>VLOOKUP(A2250,vlookup_table!$A:$G,6,FALSE)</f>
        <v>F</v>
      </c>
      <c r="S2250">
        <f>VLOOKUP(A2250,vlookup_table!$A:$G,7,FALSE)</f>
        <v>3</v>
      </c>
      <c r="T2250">
        <f t="shared" si="70"/>
        <v>96</v>
      </c>
      <c r="U2250" t="str">
        <f t="shared" si="71"/>
        <v>Pueblo</v>
      </c>
    </row>
    <row r="2251" spans="1:21" ht="16" x14ac:dyDescent="0.4">
      <c r="A2251" s="7">
        <v>29215</v>
      </c>
      <c r="B2251" s="7" t="s">
        <v>36</v>
      </c>
      <c r="C2251" s="7" t="s">
        <v>17</v>
      </c>
      <c r="D2251" s="7">
        <v>920</v>
      </c>
      <c r="E2251" s="7">
        <v>323</v>
      </c>
      <c r="F2251" s="7">
        <v>449</v>
      </c>
      <c r="G2251" s="7">
        <v>9</v>
      </c>
      <c r="H2251" s="7">
        <v>15305</v>
      </c>
      <c r="I2251" s="7">
        <v>1</v>
      </c>
      <c r="J2251" s="7">
        <v>65</v>
      </c>
      <c r="K2251" s="7">
        <v>375</v>
      </c>
      <c r="L2251" s="7">
        <v>404</v>
      </c>
      <c r="M2251" s="7">
        <v>17.375</v>
      </c>
      <c r="N2251">
        <f>VLOOKUP(A2251,vlookup_table!$A:$G,2,FALSE)</f>
        <v>0</v>
      </c>
      <c r="O2251" t="str">
        <f>VLOOKUP(A2251,vlookup_table!$A:$G,3,FALSE)</f>
        <v>GA</v>
      </c>
      <c r="P2251">
        <f>VLOOKUP(A2251,vlookup_table!$A:$G,4,FALSE)</f>
        <v>2009</v>
      </c>
      <c r="Q2251" t="str">
        <f>VLOOKUP(A2251,vlookup_table!$A:$G,5,FALSE)</f>
        <v>C1</v>
      </c>
      <c r="R2251" t="str">
        <f>VLOOKUP(A2251,vlookup_table!$A:$G,6,FALSE)</f>
        <v>F</v>
      </c>
      <c r="S2251">
        <f>VLOOKUP(A2251,vlookup_table!$A:$G,7,FALSE)</f>
        <v>38</v>
      </c>
      <c r="T2251">
        <f t="shared" si="70"/>
        <v>76</v>
      </c>
      <c r="U2251" t="str">
        <f t="shared" si="71"/>
        <v>Ciudad</v>
      </c>
    </row>
    <row r="2252" spans="1:21" ht="16" x14ac:dyDescent="0.4">
      <c r="A2252" s="7">
        <v>3504</v>
      </c>
      <c r="B2252" s="7" t="s">
        <v>47</v>
      </c>
      <c r="C2252" s="7" t="s">
        <v>17</v>
      </c>
      <c r="D2252" s="7">
        <v>700</v>
      </c>
      <c r="E2252" s="7">
        <v>360</v>
      </c>
      <c r="F2252" s="7">
        <v>424</v>
      </c>
      <c r="G2252" s="7">
        <v>0</v>
      </c>
      <c r="H2252" s="7">
        <v>13620</v>
      </c>
      <c r="I2252" s="7">
        <v>4</v>
      </c>
      <c r="J2252" s="7">
        <v>54</v>
      </c>
      <c r="K2252" s="7">
        <v>390</v>
      </c>
      <c r="L2252" s="7">
        <v>394</v>
      </c>
      <c r="M2252" s="7">
        <v>15.777777779999999</v>
      </c>
      <c r="N2252">
        <f>VLOOKUP(A2252,vlookup_table!$A:$G,2,FALSE)</f>
        <v>0</v>
      </c>
      <c r="O2252" t="str">
        <f>VLOOKUP(A2252,vlookup_table!$A:$G,3,FALSE)</f>
        <v>OR</v>
      </c>
      <c r="P2252">
        <f>VLOOKUP(A2252,vlookup_table!$A:$G,4,FALSE)</f>
        <v>1901</v>
      </c>
      <c r="Q2252" t="str">
        <f>VLOOKUP(A2252,vlookup_table!$A:$G,5,FALSE)</f>
        <v>S2</v>
      </c>
      <c r="R2252" t="str">
        <f>VLOOKUP(A2252,vlookup_table!$A:$G,6,FALSE)</f>
        <v>F</v>
      </c>
      <c r="S2252">
        <f>VLOOKUP(A2252,vlookup_table!$A:$G,7,FALSE)</f>
        <v>17</v>
      </c>
      <c r="T2252">
        <f t="shared" si="70"/>
        <v>77</v>
      </c>
      <c r="U2252" t="str">
        <f t="shared" si="71"/>
        <v>Suburbano</v>
      </c>
    </row>
    <row r="2253" spans="1:21" ht="16" x14ac:dyDescent="0.4">
      <c r="A2253" s="7">
        <v>65114</v>
      </c>
      <c r="B2253" s="7" t="s">
        <v>26</v>
      </c>
      <c r="C2253" s="7" t="s">
        <v>14</v>
      </c>
      <c r="D2253" s="7">
        <v>764</v>
      </c>
      <c r="E2253" s="7">
        <v>221</v>
      </c>
      <c r="F2253" s="7">
        <v>458</v>
      </c>
      <c r="G2253" s="7">
        <v>1</v>
      </c>
      <c r="H2253" s="7">
        <v>16824</v>
      </c>
      <c r="I2253" s="7">
        <v>3</v>
      </c>
      <c r="J2253" s="7">
        <v>74</v>
      </c>
      <c r="K2253" s="7">
        <v>385</v>
      </c>
      <c r="L2253" s="7">
        <v>305</v>
      </c>
      <c r="M2253" s="7">
        <v>3.9666666670000001</v>
      </c>
      <c r="N2253">
        <f>VLOOKUP(A2253,vlookup_table!$A:$G,2,FALSE)</f>
        <v>2</v>
      </c>
      <c r="O2253" t="str">
        <f>VLOOKUP(A2253,vlookup_table!$A:$G,3,FALSE)</f>
        <v>MI</v>
      </c>
      <c r="P2253">
        <f>VLOOKUP(A2253,vlookup_table!$A:$G,4,FALSE)</f>
        <v>0</v>
      </c>
      <c r="Q2253" t="str">
        <f>VLOOKUP(A2253,vlookup_table!$A:$G,5,FALSE)</f>
        <v>T2</v>
      </c>
      <c r="R2253" t="str">
        <f>VLOOKUP(A2253,vlookup_table!$A:$G,6,FALSE)</f>
        <v>M</v>
      </c>
      <c r="S2253">
        <f>VLOOKUP(A2253,vlookup_table!$A:$G,7,FALSE)</f>
        <v>3</v>
      </c>
      <c r="T2253">
        <f t="shared" si="70"/>
        <v>96</v>
      </c>
      <c r="U2253" t="str">
        <f t="shared" si="71"/>
        <v>Pueblo</v>
      </c>
    </row>
    <row r="2254" spans="1:21" ht="16" x14ac:dyDescent="0.4">
      <c r="A2254" s="7">
        <v>105823</v>
      </c>
      <c r="B2254" s="7" t="s">
        <v>25</v>
      </c>
      <c r="C2254" s="7" t="s">
        <v>14</v>
      </c>
      <c r="D2254" s="7">
        <v>738</v>
      </c>
      <c r="E2254" s="7">
        <v>458</v>
      </c>
      <c r="F2254" s="7">
        <v>503</v>
      </c>
      <c r="G2254" s="7">
        <v>0</v>
      </c>
      <c r="H2254" s="7">
        <v>17494</v>
      </c>
      <c r="I2254" s="7">
        <v>1</v>
      </c>
      <c r="J2254" s="7">
        <v>60</v>
      </c>
      <c r="K2254" s="7">
        <v>509</v>
      </c>
      <c r="L2254" s="7">
        <v>479</v>
      </c>
      <c r="M2254" s="7">
        <v>6.5</v>
      </c>
      <c r="N2254">
        <f>VLOOKUP(A2254,vlookup_table!$A:$G,2,FALSE)</f>
        <v>1</v>
      </c>
      <c r="O2254" t="str">
        <f>VLOOKUP(A2254,vlookup_table!$A:$G,3,FALSE)</f>
        <v>KS</v>
      </c>
      <c r="P2254">
        <f>VLOOKUP(A2254,vlookup_table!$A:$G,4,FALSE)</f>
        <v>4601</v>
      </c>
      <c r="Q2254" t="str">
        <f>VLOOKUP(A2254,vlookup_table!$A:$G,5,FALSE)</f>
        <v>S1</v>
      </c>
      <c r="R2254" t="str">
        <f>VLOOKUP(A2254,vlookup_table!$A:$G,6,FALSE)</f>
        <v>M</v>
      </c>
      <c r="S2254">
        <f>VLOOKUP(A2254,vlookup_table!$A:$G,7,FALSE)</f>
        <v>25</v>
      </c>
      <c r="T2254">
        <f t="shared" si="70"/>
        <v>50</v>
      </c>
      <c r="U2254" t="str">
        <f t="shared" si="71"/>
        <v>Suburbano</v>
      </c>
    </row>
    <row r="2255" spans="1:21" ht="16" x14ac:dyDescent="0.4">
      <c r="A2255" s="7">
        <v>26410</v>
      </c>
      <c r="B2255" s="7" t="s">
        <v>36</v>
      </c>
      <c r="C2255" s="7" t="s">
        <v>17</v>
      </c>
      <c r="D2255" s="7">
        <v>821</v>
      </c>
      <c r="E2255" s="7">
        <v>361</v>
      </c>
      <c r="F2255" s="7">
        <v>442</v>
      </c>
      <c r="G2255" s="7">
        <v>0</v>
      </c>
      <c r="H2255" s="7">
        <v>16822</v>
      </c>
      <c r="I2255" s="7">
        <v>9</v>
      </c>
      <c r="J2255" s="7">
        <v>36</v>
      </c>
      <c r="K2255" s="7">
        <v>413</v>
      </c>
      <c r="L2255" s="7">
        <v>407</v>
      </c>
      <c r="M2255" s="7">
        <v>20.333333329999999</v>
      </c>
      <c r="N2255">
        <f>VLOOKUP(A2255,vlookup_table!$A:$G,2,FALSE)</f>
        <v>28</v>
      </c>
      <c r="O2255" t="str">
        <f>VLOOKUP(A2255,vlookup_table!$A:$G,3,FALSE)</f>
        <v>GA</v>
      </c>
      <c r="P2255">
        <f>VLOOKUP(A2255,vlookup_table!$A:$G,4,FALSE)</f>
        <v>2201</v>
      </c>
      <c r="Q2255" t="str">
        <f>VLOOKUP(A2255,vlookup_table!$A:$G,5,FALSE)</f>
        <v>S1</v>
      </c>
      <c r="R2255" t="str">
        <f>VLOOKUP(A2255,vlookup_table!$A:$G,6,FALSE)</f>
        <v>F</v>
      </c>
      <c r="S2255">
        <f>VLOOKUP(A2255,vlookup_table!$A:$G,7,FALSE)</f>
        <v>28</v>
      </c>
      <c r="T2255">
        <f t="shared" si="70"/>
        <v>74</v>
      </c>
      <c r="U2255" t="str">
        <f t="shared" si="71"/>
        <v>Suburbano</v>
      </c>
    </row>
    <row r="2256" spans="1:21" ht="16" x14ac:dyDescent="0.4">
      <c r="A2256" s="7">
        <v>24080</v>
      </c>
      <c r="B2256" s="7" t="s">
        <v>43</v>
      </c>
      <c r="C2256" s="7" t="s">
        <v>14</v>
      </c>
      <c r="D2256" s="7">
        <v>475</v>
      </c>
      <c r="E2256" s="7">
        <v>285</v>
      </c>
      <c r="F2256" s="7">
        <v>301</v>
      </c>
      <c r="G2256" s="7">
        <v>1</v>
      </c>
      <c r="H2256" s="7">
        <v>9446</v>
      </c>
      <c r="I2256" s="7">
        <v>0</v>
      </c>
      <c r="J2256" s="7">
        <v>86</v>
      </c>
      <c r="K2256" s="7">
        <v>302</v>
      </c>
      <c r="L2256" s="7">
        <v>275</v>
      </c>
      <c r="M2256" s="7">
        <v>25</v>
      </c>
      <c r="N2256">
        <f>VLOOKUP(A2256,vlookup_table!$A:$G,2,FALSE)</f>
        <v>0</v>
      </c>
      <c r="O2256" t="str">
        <f>VLOOKUP(A2256,vlookup_table!$A:$G,3,FALSE)</f>
        <v>SC</v>
      </c>
      <c r="P2256">
        <f>VLOOKUP(A2256,vlookup_table!$A:$G,4,FALSE)</f>
        <v>4501</v>
      </c>
      <c r="Q2256" t="str">
        <f>VLOOKUP(A2256,vlookup_table!$A:$G,5,FALSE)</f>
        <v>R2</v>
      </c>
      <c r="R2256" t="str">
        <f>VLOOKUP(A2256,vlookup_table!$A:$G,6,FALSE)</f>
        <v>M</v>
      </c>
      <c r="S2256">
        <f>VLOOKUP(A2256,vlookup_table!$A:$G,7,FALSE)</f>
        <v>25</v>
      </c>
      <c r="T2256">
        <f t="shared" si="70"/>
        <v>51</v>
      </c>
      <c r="U2256" t="str">
        <f t="shared" si="71"/>
        <v>Rural</v>
      </c>
    </row>
    <row r="2257" spans="1:21" ht="16" x14ac:dyDescent="0.4">
      <c r="A2257" s="7">
        <v>159696</v>
      </c>
      <c r="B2257" s="7" t="s">
        <v>21</v>
      </c>
      <c r="C2257" s="7" t="s">
        <v>17</v>
      </c>
      <c r="D2257" s="7">
        <v>1392</v>
      </c>
      <c r="E2257" s="7">
        <v>343</v>
      </c>
      <c r="F2257" s="7">
        <v>516</v>
      </c>
      <c r="G2257" s="7">
        <v>16</v>
      </c>
      <c r="H2257" s="7">
        <v>19194</v>
      </c>
      <c r="I2257" s="7">
        <v>14</v>
      </c>
      <c r="J2257" s="7">
        <v>72</v>
      </c>
      <c r="K2257" s="7">
        <v>381</v>
      </c>
      <c r="L2257" s="7">
        <v>484</v>
      </c>
      <c r="M2257" s="7">
        <v>15</v>
      </c>
      <c r="N2257">
        <f>VLOOKUP(A2257,vlookup_table!$A:$G,2,FALSE)</f>
        <v>28</v>
      </c>
      <c r="O2257" t="str">
        <f>VLOOKUP(A2257,vlookup_table!$A:$G,3,FALSE)</f>
        <v>CA</v>
      </c>
      <c r="P2257">
        <f>VLOOKUP(A2257,vlookup_table!$A:$G,4,FALSE)</f>
        <v>5401</v>
      </c>
      <c r="Q2257" t="str">
        <f>VLOOKUP(A2257,vlookup_table!$A:$G,5,FALSE)</f>
        <v>R2</v>
      </c>
      <c r="R2257" t="str">
        <f>VLOOKUP(A2257,vlookup_table!$A:$G,6,FALSE)</f>
        <v>F</v>
      </c>
      <c r="S2257">
        <f>VLOOKUP(A2257,vlookup_table!$A:$G,7,FALSE)</f>
        <v>15</v>
      </c>
      <c r="T2257">
        <f t="shared" si="70"/>
        <v>42</v>
      </c>
      <c r="U2257" t="str">
        <f t="shared" si="71"/>
        <v>Rural</v>
      </c>
    </row>
    <row r="2258" spans="1:21" ht="16" x14ac:dyDescent="0.4">
      <c r="A2258" s="7">
        <v>24644</v>
      </c>
      <c r="B2258" s="7" t="s">
        <v>35</v>
      </c>
      <c r="C2258" s="7" t="s">
        <v>17</v>
      </c>
      <c r="D2258" s="7">
        <v>866</v>
      </c>
      <c r="E2258" s="7">
        <v>399</v>
      </c>
      <c r="F2258" s="7">
        <v>475</v>
      </c>
      <c r="G2258" s="7">
        <v>2</v>
      </c>
      <c r="H2258" s="7">
        <v>10550</v>
      </c>
      <c r="I2258" s="7">
        <v>0</v>
      </c>
      <c r="J2258" s="7">
        <v>77</v>
      </c>
      <c r="K2258" s="7">
        <v>426</v>
      </c>
      <c r="L2258" s="7">
        <v>446</v>
      </c>
      <c r="M2258" s="7">
        <v>8.1666666669999994</v>
      </c>
      <c r="N2258">
        <f>VLOOKUP(A2258,vlookup_table!$A:$G,2,FALSE)</f>
        <v>28</v>
      </c>
      <c r="O2258" t="str">
        <f>VLOOKUP(A2258,vlookup_table!$A:$G,3,FALSE)</f>
        <v>UT</v>
      </c>
      <c r="P2258">
        <f>VLOOKUP(A2258,vlookup_table!$A:$G,4,FALSE)</f>
        <v>5201</v>
      </c>
      <c r="Q2258" t="str">
        <f>VLOOKUP(A2258,vlookup_table!$A:$G,5,FALSE)</f>
        <v>T2</v>
      </c>
      <c r="R2258" t="str">
        <f>VLOOKUP(A2258,vlookup_table!$A:$G,6,FALSE)</f>
        <v>F</v>
      </c>
      <c r="S2258">
        <f>VLOOKUP(A2258,vlookup_table!$A:$G,7,FALSE)</f>
        <v>25</v>
      </c>
      <c r="T2258">
        <f t="shared" si="70"/>
        <v>44</v>
      </c>
      <c r="U2258" t="str">
        <f t="shared" si="71"/>
        <v>Pueblo</v>
      </c>
    </row>
    <row r="2259" spans="1:21" ht="16" x14ac:dyDescent="0.4">
      <c r="A2259" s="7">
        <v>6457</v>
      </c>
      <c r="B2259" s="7" t="s">
        <v>21</v>
      </c>
      <c r="C2259" s="7" t="s">
        <v>17</v>
      </c>
      <c r="D2259" s="7">
        <v>956</v>
      </c>
      <c r="E2259" s="7">
        <v>205</v>
      </c>
      <c r="F2259" s="7">
        <v>325</v>
      </c>
      <c r="G2259" s="7">
        <v>6</v>
      </c>
      <c r="H2259" s="7">
        <v>13234</v>
      </c>
      <c r="I2259" s="7">
        <v>8</v>
      </c>
      <c r="J2259" s="7">
        <v>34</v>
      </c>
      <c r="K2259" s="7">
        <v>272</v>
      </c>
      <c r="L2259" s="7">
        <v>272</v>
      </c>
      <c r="M2259" s="7">
        <v>6.085714286</v>
      </c>
      <c r="N2259">
        <f>VLOOKUP(A2259,vlookup_table!$A:$G,2,FALSE)</f>
        <v>2</v>
      </c>
      <c r="O2259" t="str">
        <f>VLOOKUP(A2259,vlookup_table!$A:$G,3,FALSE)</f>
        <v>CA</v>
      </c>
      <c r="P2259">
        <f>VLOOKUP(A2259,vlookup_table!$A:$G,4,FALSE)</f>
        <v>0</v>
      </c>
      <c r="Q2259" t="str">
        <f>VLOOKUP(A2259,vlookup_table!$A:$G,5,FALSE)</f>
        <v>T2</v>
      </c>
      <c r="R2259" t="str">
        <f>VLOOKUP(A2259,vlookup_table!$A:$G,6,FALSE)</f>
        <v>F</v>
      </c>
      <c r="S2259">
        <f>VLOOKUP(A2259,vlookup_table!$A:$G,7,FALSE)</f>
        <v>15</v>
      </c>
      <c r="T2259">
        <f t="shared" si="70"/>
        <v>96</v>
      </c>
      <c r="U2259" t="str">
        <f t="shared" si="71"/>
        <v>Pueblo</v>
      </c>
    </row>
    <row r="2260" spans="1:21" ht="16" x14ac:dyDescent="0.4">
      <c r="A2260" s="7">
        <v>168317</v>
      </c>
      <c r="B2260" s="7" t="s">
        <v>21</v>
      </c>
      <c r="C2260" s="7" t="s">
        <v>27</v>
      </c>
      <c r="D2260" s="7">
        <v>2341</v>
      </c>
      <c r="E2260" s="7">
        <v>311</v>
      </c>
      <c r="F2260" s="7">
        <v>502</v>
      </c>
      <c r="G2260" s="7">
        <v>70</v>
      </c>
      <c r="H2260" s="7">
        <v>13577</v>
      </c>
      <c r="I2260" s="7">
        <v>12</v>
      </c>
      <c r="J2260" s="7">
        <v>50</v>
      </c>
      <c r="K2260" s="7">
        <v>469</v>
      </c>
      <c r="L2260" s="7">
        <v>427</v>
      </c>
      <c r="M2260" s="7">
        <v>8</v>
      </c>
      <c r="N2260">
        <f>VLOOKUP(A2260,vlookup_table!$A:$G,2,FALSE)</f>
        <v>0</v>
      </c>
      <c r="O2260" t="str">
        <f>VLOOKUP(A2260,vlookup_table!$A:$G,3,FALSE)</f>
        <v>CA</v>
      </c>
      <c r="P2260">
        <f>VLOOKUP(A2260,vlookup_table!$A:$G,4,FALSE)</f>
        <v>0</v>
      </c>
      <c r="Q2260" t="str">
        <f>VLOOKUP(A2260,vlookup_table!$A:$G,5,FALSE)</f>
        <v>U1</v>
      </c>
      <c r="R2260" t="str">
        <f>VLOOKUP(A2260,vlookup_table!$A:$G,6,FALSE)</f>
        <v>U</v>
      </c>
      <c r="S2260">
        <f>VLOOKUP(A2260,vlookup_table!$A:$G,7,FALSE)</f>
        <v>13</v>
      </c>
      <c r="T2260">
        <f t="shared" si="70"/>
        <v>96</v>
      </c>
      <c r="U2260" t="str">
        <f t="shared" si="71"/>
        <v>Urbano</v>
      </c>
    </row>
    <row r="2261" spans="1:21" ht="16" x14ac:dyDescent="0.4">
      <c r="A2261" s="7">
        <v>159553</v>
      </c>
      <c r="B2261" s="7" t="s">
        <v>37</v>
      </c>
      <c r="C2261" s="7" t="s">
        <v>14</v>
      </c>
      <c r="D2261" s="7">
        <v>1009</v>
      </c>
      <c r="E2261" s="7">
        <v>557</v>
      </c>
      <c r="F2261" s="7">
        <v>619</v>
      </c>
      <c r="G2261" s="7">
        <v>4</v>
      </c>
      <c r="H2261" s="7">
        <v>17660</v>
      </c>
      <c r="I2261" s="7">
        <v>1</v>
      </c>
      <c r="J2261" s="7">
        <v>44</v>
      </c>
      <c r="K2261" s="7">
        <v>562</v>
      </c>
      <c r="L2261" s="7">
        <v>615</v>
      </c>
      <c r="M2261" s="7">
        <v>5.3333333329999997</v>
      </c>
      <c r="N2261">
        <f>VLOOKUP(A2261,vlookup_table!$A:$G,2,FALSE)</f>
        <v>1</v>
      </c>
      <c r="O2261" t="str">
        <f>VLOOKUP(A2261,vlookup_table!$A:$G,3,FALSE)</f>
        <v>WA</v>
      </c>
      <c r="P2261">
        <f>VLOOKUP(A2261,vlookup_table!$A:$G,4,FALSE)</f>
        <v>3601</v>
      </c>
      <c r="Q2261" t="str">
        <f>VLOOKUP(A2261,vlookup_table!$A:$G,5,FALSE)</f>
        <v>R2</v>
      </c>
      <c r="R2261" t="str">
        <f>VLOOKUP(A2261,vlookup_table!$A:$G,6,FALSE)</f>
        <v>M</v>
      </c>
      <c r="S2261">
        <f>VLOOKUP(A2261,vlookup_table!$A:$G,7,FALSE)</f>
        <v>7</v>
      </c>
      <c r="T2261">
        <f t="shared" si="70"/>
        <v>60</v>
      </c>
      <c r="U2261" t="str">
        <f t="shared" si="71"/>
        <v>Rural</v>
      </c>
    </row>
    <row r="2262" spans="1:21" ht="16" x14ac:dyDescent="0.4">
      <c r="A2262" s="7">
        <v>56049</v>
      </c>
      <c r="B2262" s="7" t="s">
        <v>56</v>
      </c>
      <c r="C2262" s="7" t="s">
        <v>97</v>
      </c>
      <c r="D2262" s="7">
        <v>398</v>
      </c>
      <c r="E2262" s="7">
        <v>243</v>
      </c>
      <c r="F2262" s="7">
        <v>309</v>
      </c>
      <c r="G2262" s="7">
        <v>0</v>
      </c>
      <c r="H2262" s="7">
        <v>9897</v>
      </c>
      <c r="I2262" s="7">
        <v>1</v>
      </c>
      <c r="J2262" s="7">
        <v>81</v>
      </c>
      <c r="K2262" s="7">
        <v>277</v>
      </c>
      <c r="L2262" s="7">
        <v>270</v>
      </c>
      <c r="M2262" s="7">
        <v>9.5</v>
      </c>
      <c r="N2262">
        <f>VLOOKUP(A2262,vlookup_table!$A:$G,2,FALSE)</f>
        <v>0</v>
      </c>
      <c r="O2262" t="str">
        <f>VLOOKUP(A2262,vlookup_table!$A:$G,3,FALSE)</f>
        <v>MS</v>
      </c>
      <c r="P2262">
        <f>VLOOKUP(A2262,vlookup_table!$A:$G,4,FALSE)</f>
        <v>2709</v>
      </c>
      <c r="Q2262" t="str">
        <f>VLOOKUP(A2262,vlookup_table!$A:$G,5,FALSE)</f>
        <v>R2</v>
      </c>
      <c r="R2262" t="str">
        <f>VLOOKUP(A2262,vlookup_table!$A:$G,6,FALSE)</f>
        <v>F</v>
      </c>
      <c r="S2262">
        <f>VLOOKUP(A2262,vlookup_table!$A:$G,7,FALSE)</f>
        <v>14</v>
      </c>
      <c r="T2262">
        <f t="shared" si="70"/>
        <v>69</v>
      </c>
      <c r="U2262" t="str">
        <f t="shared" si="71"/>
        <v>Rural</v>
      </c>
    </row>
    <row r="2263" spans="1:21" ht="16" x14ac:dyDescent="0.4">
      <c r="A2263" s="7">
        <v>63865</v>
      </c>
      <c r="B2263" s="7" t="s">
        <v>30</v>
      </c>
      <c r="C2263" s="7" t="s">
        <v>14</v>
      </c>
      <c r="D2263" s="7">
        <v>448</v>
      </c>
      <c r="E2263" s="7">
        <v>239</v>
      </c>
      <c r="F2263" s="7">
        <v>320</v>
      </c>
      <c r="G2263" s="7">
        <v>0</v>
      </c>
      <c r="H2263" s="7">
        <v>11284</v>
      </c>
      <c r="I2263" s="7">
        <v>0</v>
      </c>
      <c r="J2263" s="7">
        <v>80</v>
      </c>
      <c r="K2263" s="7">
        <v>291</v>
      </c>
      <c r="L2263" s="7">
        <v>274</v>
      </c>
      <c r="M2263" s="7">
        <v>5.5789473679999997</v>
      </c>
      <c r="N2263">
        <f>VLOOKUP(A2263,vlookup_table!$A:$G,2,FALSE)</f>
        <v>1</v>
      </c>
      <c r="O2263" t="str">
        <f>VLOOKUP(A2263,vlookup_table!$A:$G,3,FALSE)</f>
        <v>IN</v>
      </c>
      <c r="P2263">
        <f>VLOOKUP(A2263,vlookup_table!$A:$G,4,FALSE)</f>
        <v>3506</v>
      </c>
      <c r="Q2263" t="str">
        <f>VLOOKUP(A2263,vlookup_table!$A:$G,5,FALSE)</f>
        <v>T2</v>
      </c>
      <c r="R2263" t="str">
        <f>VLOOKUP(A2263,vlookup_table!$A:$G,6,FALSE)</f>
        <v>M</v>
      </c>
      <c r="S2263">
        <f>VLOOKUP(A2263,vlookup_table!$A:$G,7,FALSE)</f>
        <v>12</v>
      </c>
      <c r="T2263">
        <f t="shared" si="70"/>
        <v>61</v>
      </c>
      <c r="U2263" t="str">
        <f t="shared" si="71"/>
        <v>Pueblo</v>
      </c>
    </row>
    <row r="2264" spans="1:21" ht="16" x14ac:dyDescent="0.4">
      <c r="A2264" s="7">
        <v>62084</v>
      </c>
      <c r="B2264" s="7" t="s">
        <v>30</v>
      </c>
      <c r="C2264" s="7" t="s">
        <v>14</v>
      </c>
      <c r="D2264" s="7">
        <v>522</v>
      </c>
      <c r="E2264" s="7">
        <v>280</v>
      </c>
      <c r="F2264" s="7">
        <v>334</v>
      </c>
      <c r="G2264" s="7">
        <v>1</v>
      </c>
      <c r="H2264" s="7">
        <v>10311</v>
      </c>
      <c r="I2264" s="7">
        <v>1</v>
      </c>
      <c r="J2264" s="7">
        <v>64</v>
      </c>
      <c r="K2264" s="7">
        <v>293</v>
      </c>
      <c r="L2264" s="7">
        <v>323</v>
      </c>
      <c r="M2264" s="7">
        <v>13.41666667</v>
      </c>
      <c r="N2264">
        <f>VLOOKUP(A2264,vlookup_table!$A:$G,2,FALSE)</f>
        <v>1</v>
      </c>
      <c r="O2264" t="str">
        <f>VLOOKUP(A2264,vlookup_table!$A:$G,3,FALSE)</f>
        <v>IN</v>
      </c>
      <c r="P2264">
        <f>VLOOKUP(A2264,vlookup_table!$A:$G,4,FALSE)</f>
        <v>0</v>
      </c>
      <c r="Q2264" t="str">
        <f>VLOOKUP(A2264,vlookup_table!$A:$G,5,FALSE)</f>
        <v>R2</v>
      </c>
      <c r="R2264" t="str">
        <f>VLOOKUP(A2264,vlookup_table!$A:$G,6,FALSE)</f>
        <v>M</v>
      </c>
      <c r="S2264">
        <f>VLOOKUP(A2264,vlookup_table!$A:$G,7,FALSE)</f>
        <v>20</v>
      </c>
      <c r="T2264">
        <f t="shared" si="70"/>
        <v>96</v>
      </c>
      <c r="U2264" t="str">
        <f t="shared" si="71"/>
        <v>Rural</v>
      </c>
    </row>
    <row r="2265" spans="1:21" ht="16" x14ac:dyDescent="0.4">
      <c r="A2265" s="7">
        <v>165719</v>
      </c>
      <c r="B2265" s="7" t="s">
        <v>21</v>
      </c>
      <c r="C2265" s="7" t="s">
        <v>17</v>
      </c>
      <c r="D2265" s="7">
        <v>3567</v>
      </c>
      <c r="E2265" s="7">
        <v>639</v>
      </c>
      <c r="F2265" s="7">
        <v>832</v>
      </c>
      <c r="G2265" s="7">
        <v>88</v>
      </c>
      <c r="H2265" s="7">
        <v>35491</v>
      </c>
      <c r="I2265" s="7">
        <v>6</v>
      </c>
      <c r="J2265" s="7">
        <v>46</v>
      </c>
      <c r="K2265" s="7">
        <v>739</v>
      </c>
      <c r="L2265" s="7">
        <v>710</v>
      </c>
      <c r="M2265" s="7">
        <v>3.411764706</v>
      </c>
      <c r="N2265">
        <f>VLOOKUP(A2265,vlookup_table!$A:$G,2,FALSE)</f>
        <v>0</v>
      </c>
      <c r="O2265" t="str">
        <f>VLOOKUP(A2265,vlookup_table!$A:$G,3,FALSE)</f>
        <v>CA</v>
      </c>
      <c r="P2265">
        <f>VLOOKUP(A2265,vlookup_table!$A:$G,4,FALSE)</f>
        <v>4901</v>
      </c>
      <c r="Q2265" t="str">
        <f>VLOOKUP(A2265,vlookup_table!$A:$G,5,FALSE)</f>
        <v>C1</v>
      </c>
      <c r="R2265" t="str">
        <f>VLOOKUP(A2265,vlookup_table!$A:$G,6,FALSE)</f>
        <v>F</v>
      </c>
      <c r="S2265">
        <f>VLOOKUP(A2265,vlookup_table!$A:$G,7,FALSE)</f>
        <v>4</v>
      </c>
      <c r="T2265">
        <f t="shared" si="70"/>
        <v>47</v>
      </c>
      <c r="U2265" t="str">
        <f t="shared" si="71"/>
        <v>Ciudad</v>
      </c>
    </row>
    <row r="2266" spans="1:21" ht="16" x14ac:dyDescent="0.4">
      <c r="A2266" s="7">
        <v>171950</v>
      </c>
      <c r="B2266" s="7" t="s">
        <v>21</v>
      </c>
      <c r="C2266" s="7" t="s">
        <v>17</v>
      </c>
      <c r="D2266" s="7">
        <v>1444</v>
      </c>
      <c r="E2266" s="7">
        <v>439</v>
      </c>
      <c r="F2266" s="7">
        <v>485</v>
      </c>
      <c r="G2266" s="7">
        <v>10</v>
      </c>
      <c r="H2266" s="7">
        <v>16815</v>
      </c>
      <c r="I2266" s="7">
        <v>8</v>
      </c>
      <c r="J2266" s="7">
        <v>60</v>
      </c>
      <c r="K2266" s="7">
        <v>441</v>
      </c>
      <c r="L2266" s="7">
        <v>475</v>
      </c>
      <c r="M2266" s="7">
        <v>6.8</v>
      </c>
      <c r="N2266">
        <f>VLOOKUP(A2266,vlookup_table!$A:$G,2,FALSE)</f>
        <v>0</v>
      </c>
      <c r="O2266" t="str">
        <f>VLOOKUP(A2266,vlookup_table!$A:$G,3,FALSE)</f>
        <v>CA</v>
      </c>
      <c r="P2266">
        <f>VLOOKUP(A2266,vlookup_table!$A:$G,4,FALSE)</f>
        <v>3001</v>
      </c>
      <c r="Q2266" t="str">
        <f>VLOOKUP(A2266,vlookup_table!$A:$G,5,FALSE)</f>
        <v>S2</v>
      </c>
      <c r="R2266" t="str">
        <f>VLOOKUP(A2266,vlookup_table!$A:$G,6,FALSE)</f>
        <v>F</v>
      </c>
      <c r="S2266">
        <f>VLOOKUP(A2266,vlookup_table!$A:$G,7,FALSE)</f>
        <v>10</v>
      </c>
      <c r="T2266">
        <f t="shared" si="70"/>
        <v>66</v>
      </c>
      <c r="U2266" t="str">
        <f t="shared" si="71"/>
        <v>Suburbano</v>
      </c>
    </row>
    <row r="2267" spans="1:21" ht="16" x14ac:dyDescent="0.4">
      <c r="A2267" s="7">
        <v>118367</v>
      </c>
      <c r="B2267" s="7" t="s">
        <v>20</v>
      </c>
      <c r="C2267" s="7"/>
      <c r="D2267" s="7">
        <v>462</v>
      </c>
      <c r="E2267" s="7">
        <v>214</v>
      </c>
      <c r="F2267" s="7">
        <v>311</v>
      </c>
      <c r="G2267" s="7">
        <v>0</v>
      </c>
      <c r="H2267" s="7">
        <v>10650</v>
      </c>
      <c r="I2267" s="7">
        <v>2</v>
      </c>
      <c r="J2267" s="7">
        <v>76</v>
      </c>
      <c r="K2267" s="7">
        <v>266</v>
      </c>
      <c r="L2267" s="7">
        <v>274</v>
      </c>
      <c r="M2267" s="7">
        <v>10</v>
      </c>
      <c r="N2267">
        <f>VLOOKUP(A2267,vlookup_table!$A:$G,2,FALSE)</f>
        <v>1</v>
      </c>
      <c r="O2267" t="str">
        <f>VLOOKUP(A2267,vlookup_table!$A:$G,3,FALSE)</f>
        <v>TX</v>
      </c>
      <c r="P2267">
        <f>VLOOKUP(A2267,vlookup_table!$A:$G,4,FALSE)</f>
        <v>3701</v>
      </c>
      <c r="Q2267" t="str">
        <f>VLOOKUP(A2267,vlookup_table!$A:$G,5,FALSE)</f>
        <v>R2</v>
      </c>
      <c r="R2267" t="str">
        <f>VLOOKUP(A2267,vlookup_table!$A:$G,6,FALSE)</f>
        <v/>
      </c>
      <c r="S2267">
        <f>VLOOKUP(A2267,vlookup_table!$A:$G,7,FALSE)</f>
        <v>19</v>
      </c>
      <c r="T2267">
        <f t="shared" si="70"/>
        <v>59</v>
      </c>
      <c r="U2267" t="str">
        <f t="shared" si="71"/>
        <v>Rural</v>
      </c>
    </row>
    <row r="2268" spans="1:21" ht="16" x14ac:dyDescent="0.4">
      <c r="A2268" s="7">
        <v>41187</v>
      </c>
      <c r="B2268" s="7" t="s">
        <v>13</v>
      </c>
      <c r="C2268" s="7" t="s">
        <v>14</v>
      </c>
      <c r="D2268" s="7">
        <v>514</v>
      </c>
      <c r="E2268" s="7">
        <v>222</v>
      </c>
      <c r="F2268" s="7">
        <v>298</v>
      </c>
      <c r="G2268" s="7">
        <v>1</v>
      </c>
      <c r="H2268" s="7">
        <v>11184</v>
      </c>
      <c r="I2268" s="7">
        <v>9</v>
      </c>
      <c r="J2268" s="7">
        <v>53</v>
      </c>
      <c r="K2268" s="7">
        <v>258</v>
      </c>
      <c r="L2268" s="7">
        <v>268</v>
      </c>
      <c r="M2268" s="7">
        <v>15</v>
      </c>
      <c r="N2268">
        <f>VLOOKUP(A2268,vlookup_table!$A:$G,2,FALSE)</f>
        <v>0</v>
      </c>
      <c r="O2268" t="str">
        <f>VLOOKUP(A2268,vlookup_table!$A:$G,3,FALSE)</f>
        <v>FL</v>
      </c>
      <c r="P2268">
        <f>VLOOKUP(A2268,vlookup_table!$A:$G,4,FALSE)</f>
        <v>0</v>
      </c>
      <c r="Q2268" t="str">
        <f>VLOOKUP(A2268,vlookup_table!$A:$G,5,FALSE)</f>
        <v>U4</v>
      </c>
      <c r="R2268" t="str">
        <f>VLOOKUP(A2268,vlookup_table!$A:$G,6,FALSE)</f>
        <v>M</v>
      </c>
      <c r="S2268">
        <f>VLOOKUP(A2268,vlookup_table!$A:$G,7,FALSE)</f>
        <v>15</v>
      </c>
      <c r="T2268">
        <f t="shared" si="70"/>
        <v>96</v>
      </c>
      <c r="U2268" t="str">
        <f t="shared" si="71"/>
        <v>Urbano</v>
      </c>
    </row>
    <row r="2269" spans="1:21" ht="16" x14ac:dyDescent="0.4">
      <c r="A2269" s="7">
        <v>132304</v>
      </c>
      <c r="B2269" s="7" t="s">
        <v>45</v>
      </c>
      <c r="C2269" s="7" t="s">
        <v>17</v>
      </c>
      <c r="D2269" s="7">
        <v>774</v>
      </c>
      <c r="E2269" s="7">
        <v>360</v>
      </c>
      <c r="F2269" s="7">
        <v>396</v>
      </c>
      <c r="G2269" s="7">
        <v>1</v>
      </c>
      <c r="H2269" s="7">
        <v>16493</v>
      </c>
      <c r="I2269" s="7">
        <v>0</v>
      </c>
      <c r="J2269" s="7">
        <v>36</v>
      </c>
      <c r="K2269" s="7">
        <v>367</v>
      </c>
      <c r="L2269" s="7">
        <v>392</v>
      </c>
      <c r="M2269" s="7">
        <v>5.8888888890000004</v>
      </c>
      <c r="N2269">
        <f>VLOOKUP(A2269,vlookup_table!$A:$G,2,FALSE)</f>
        <v>0</v>
      </c>
      <c r="O2269" t="str">
        <f>VLOOKUP(A2269,vlookup_table!$A:$G,3,FALSE)</f>
        <v>CO</v>
      </c>
      <c r="P2269">
        <f>VLOOKUP(A2269,vlookup_table!$A:$G,4,FALSE)</f>
        <v>2001</v>
      </c>
      <c r="Q2269" t="str">
        <f>VLOOKUP(A2269,vlookup_table!$A:$G,5,FALSE)</f>
        <v>T1</v>
      </c>
      <c r="R2269" t="str">
        <f>VLOOKUP(A2269,vlookup_table!$A:$G,6,FALSE)</f>
        <v>F</v>
      </c>
      <c r="S2269">
        <f>VLOOKUP(A2269,vlookup_table!$A:$G,7,FALSE)</f>
        <v>10</v>
      </c>
      <c r="T2269">
        <f t="shared" si="70"/>
        <v>76</v>
      </c>
      <c r="U2269" t="str">
        <f t="shared" si="71"/>
        <v>Pueblo</v>
      </c>
    </row>
    <row r="2270" spans="1:21" ht="16" x14ac:dyDescent="0.4">
      <c r="A2270" s="7">
        <v>138944</v>
      </c>
      <c r="B2270" s="7" t="s">
        <v>51</v>
      </c>
      <c r="C2270" s="7" t="s">
        <v>97</v>
      </c>
      <c r="D2270" s="7">
        <v>1436</v>
      </c>
      <c r="E2270" s="7">
        <v>298</v>
      </c>
      <c r="F2270" s="7">
        <v>466</v>
      </c>
      <c r="G2270" s="7">
        <v>25</v>
      </c>
      <c r="H2270" s="7">
        <v>20792</v>
      </c>
      <c r="I2270" s="7">
        <v>9</v>
      </c>
      <c r="J2270" s="7">
        <v>12</v>
      </c>
      <c r="K2270" s="7">
        <v>378</v>
      </c>
      <c r="L2270" s="7">
        <v>395</v>
      </c>
      <c r="M2270" s="7">
        <v>7.5714285710000002</v>
      </c>
      <c r="N2270">
        <f>VLOOKUP(A2270,vlookup_table!$A:$G,2,FALSE)</f>
        <v>0</v>
      </c>
      <c r="O2270" t="str">
        <f>VLOOKUP(A2270,vlookup_table!$A:$G,3,FALSE)</f>
        <v>AZ</v>
      </c>
      <c r="P2270">
        <f>VLOOKUP(A2270,vlookup_table!$A:$G,4,FALSE)</f>
        <v>3201</v>
      </c>
      <c r="Q2270" t="str">
        <f>VLOOKUP(A2270,vlookup_table!$A:$G,5,FALSE)</f>
        <v>C1</v>
      </c>
      <c r="R2270" t="str">
        <f>VLOOKUP(A2270,vlookup_table!$A:$G,6,FALSE)</f>
        <v>F</v>
      </c>
      <c r="S2270">
        <f>VLOOKUP(A2270,vlookup_table!$A:$G,7,FALSE)</f>
        <v>11</v>
      </c>
      <c r="T2270">
        <f t="shared" si="70"/>
        <v>64</v>
      </c>
      <c r="U2270" t="str">
        <f t="shared" si="71"/>
        <v>Ciudad</v>
      </c>
    </row>
    <row r="2271" spans="1:21" ht="16" x14ac:dyDescent="0.4">
      <c r="A2271" s="7">
        <v>161204</v>
      </c>
      <c r="B2271" s="7" t="s">
        <v>21</v>
      </c>
      <c r="C2271" s="7" t="s">
        <v>14</v>
      </c>
      <c r="D2271" s="7">
        <v>633</v>
      </c>
      <c r="E2271" s="7">
        <v>269</v>
      </c>
      <c r="F2271" s="7">
        <v>299</v>
      </c>
      <c r="G2271" s="7">
        <v>1</v>
      </c>
      <c r="H2271" s="7">
        <v>9551</v>
      </c>
      <c r="I2271" s="7">
        <v>12</v>
      </c>
      <c r="J2271" s="7">
        <v>64</v>
      </c>
      <c r="K2271" s="7">
        <v>273</v>
      </c>
      <c r="L2271" s="7">
        <v>291</v>
      </c>
      <c r="M2271" s="7">
        <v>25</v>
      </c>
      <c r="N2271">
        <f>VLOOKUP(A2271,vlookup_table!$A:$G,2,FALSE)</f>
        <v>1</v>
      </c>
      <c r="O2271" t="str">
        <f>VLOOKUP(A2271,vlookup_table!$A:$G,3,FALSE)</f>
        <v>CA</v>
      </c>
      <c r="P2271">
        <f>VLOOKUP(A2271,vlookup_table!$A:$G,4,FALSE)</f>
        <v>0</v>
      </c>
      <c r="Q2271" t="str">
        <f>VLOOKUP(A2271,vlookup_table!$A:$G,5,FALSE)</f>
        <v>R2</v>
      </c>
      <c r="R2271" t="str">
        <f>VLOOKUP(A2271,vlookup_table!$A:$G,6,FALSE)</f>
        <v>M</v>
      </c>
      <c r="S2271">
        <f>VLOOKUP(A2271,vlookup_table!$A:$G,7,FALSE)</f>
        <v>20</v>
      </c>
      <c r="T2271">
        <f t="shared" si="70"/>
        <v>96</v>
      </c>
      <c r="U2271" t="str">
        <f t="shared" si="71"/>
        <v>Rural</v>
      </c>
    </row>
    <row r="2272" spans="1:21" ht="16" x14ac:dyDescent="0.4">
      <c r="A2272" s="7">
        <v>186579</v>
      </c>
      <c r="B2272" s="7" t="s">
        <v>21</v>
      </c>
      <c r="C2272" s="7" t="s">
        <v>17</v>
      </c>
      <c r="D2272" s="7">
        <v>1869</v>
      </c>
      <c r="E2272" s="7">
        <v>559</v>
      </c>
      <c r="F2272" s="7">
        <v>600</v>
      </c>
      <c r="G2272" s="7">
        <v>38</v>
      </c>
      <c r="H2272" s="7">
        <v>20539</v>
      </c>
      <c r="I2272" s="7">
        <v>5</v>
      </c>
      <c r="J2272" s="7">
        <v>61</v>
      </c>
      <c r="K2272" s="7">
        <v>560</v>
      </c>
      <c r="L2272" s="7">
        <v>577</v>
      </c>
      <c r="M2272" s="7">
        <v>6.1578947370000003</v>
      </c>
      <c r="N2272">
        <f>VLOOKUP(A2272,vlookup_table!$A:$G,2,FALSE)</f>
        <v>0</v>
      </c>
      <c r="O2272" t="str">
        <f>VLOOKUP(A2272,vlookup_table!$A:$G,3,FALSE)</f>
        <v>CA</v>
      </c>
      <c r="P2272">
        <f>VLOOKUP(A2272,vlookup_table!$A:$G,4,FALSE)</f>
        <v>0</v>
      </c>
      <c r="Q2272" t="str">
        <f>VLOOKUP(A2272,vlookup_table!$A:$G,5,FALSE)</f>
        <v>T2</v>
      </c>
      <c r="R2272" t="str">
        <f>VLOOKUP(A2272,vlookup_table!$A:$G,6,FALSE)</f>
        <v>F</v>
      </c>
      <c r="S2272">
        <f>VLOOKUP(A2272,vlookup_table!$A:$G,7,FALSE)</f>
        <v>5</v>
      </c>
      <c r="T2272">
        <f t="shared" si="70"/>
        <v>96</v>
      </c>
      <c r="U2272" t="str">
        <f t="shared" si="71"/>
        <v>Pueblo</v>
      </c>
    </row>
    <row r="2273" spans="1:21" ht="16" x14ac:dyDescent="0.4">
      <c r="A2273" s="7">
        <v>11978</v>
      </c>
      <c r="B2273" s="7" t="s">
        <v>45</v>
      </c>
      <c r="C2273" s="7" t="s">
        <v>14</v>
      </c>
      <c r="D2273" s="7">
        <v>1213</v>
      </c>
      <c r="E2273" s="7">
        <v>363</v>
      </c>
      <c r="F2273" s="7">
        <v>493</v>
      </c>
      <c r="G2273" s="7">
        <v>19</v>
      </c>
      <c r="H2273" s="7">
        <v>18860</v>
      </c>
      <c r="I2273" s="7">
        <v>3</v>
      </c>
      <c r="J2273" s="7">
        <v>33</v>
      </c>
      <c r="K2273" s="7">
        <v>416</v>
      </c>
      <c r="L2273" s="7">
        <v>436</v>
      </c>
      <c r="M2273" s="7">
        <v>12.46076923</v>
      </c>
      <c r="N2273">
        <f>VLOOKUP(A2273,vlookup_table!$A:$G,2,FALSE)</f>
        <v>1</v>
      </c>
      <c r="O2273" t="str">
        <f>VLOOKUP(A2273,vlookup_table!$A:$G,3,FALSE)</f>
        <v>CO</v>
      </c>
      <c r="P2273">
        <f>VLOOKUP(A2273,vlookup_table!$A:$G,4,FALSE)</f>
        <v>4401</v>
      </c>
      <c r="Q2273" t="str">
        <f>VLOOKUP(A2273,vlookup_table!$A:$G,5,FALSE)</f>
        <v>R1</v>
      </c>
      <c r="R2273" t="str">
        <f>VLOOKUP(A2273,vlookup_table!$A:$G,6,FALSE)</f>
        <v>M</v>
      </c>
      <c r="S2273">
        <f>VLOOKUP(A2273,vlookup_table!$A:$G,7,FALSE)</f>
        <v>15</v>
      </c>
      <c r="T2273">
        <f t="shared" si="70"/>
        <v>52</v>
      </c>
      <c r="U2273" t="str">
        <f t="shared" si="71"/>
        <v>Rural</v>
      </c>
    </row>
    <row r="2274" spans="1:21" ht="16" x14ac:dyDescent="0.4">
      <c r="A2274" s="7">
        <v>117711</v>
      </c>
      <c r="B2274" s="7" t="s">
        <v>20</v>
      </c>
      <c r="C2274" s="7" t="s">
        <v>17</v>
      </c>
      <c r="D2274" s="7">
        <v>271</v>
      </c>
      <c r="E2274" s="7">
        <v>114</v>
      </c>
      <c r="F2274" s="7">
        <v>258</v>
      </c>
      <c r="G2274" s="7">
        <v>0</v>
      </c>
      <c r="H2274" s="7">
        <v>7545</v>
      </c>
      <c r="I2274" s="7">
        <v>0</v>
      </c>
      <c r="J2274" s="7">
        <v>76</v>
      </c>
      <c r="K2274" s="7">
        <v>180</v>
      </c>
      <c r="L2274" s="7">
        <v>168</v>
      </c>
      <c r="M2274" s="7">
        <v>13.6</v>
      </c>
      <c r="N2274">
        <f>VLOOKUP(A2274,vlookup_table!$A:$G,2,FALSE)</f>
        <v>0</v>
      </c>
      <c r="O2274" t="str">
        <f>VLOOKUP(A2274,vlookup_table!$A:$G,3,FALSE)</f>
        <v>TX</v>
      </c>
      <c r="P2274">
        <f>VLOOKUP(A2274,vlookup_table!$A:$G,4,FALSE)</f>
        <v>3004</v>
      </c>
      <c r="Q2274" t="str">
        <f>VLOOKUP(A2274,vlookup_table!$A:$G,5,FALSE)</f>
        <v>C2</v>
      </c>
      <c r="R2274" t="str">
        <f>VLOOKUP(A2274,vlookup_table!$A:$G,6,FALSE)</f>
        <v>F</v>
      </c>
      <c r="S2274">
        <f>VLOOKUP(A2274,vlookup_table!$A:$G,7,FALSE)</f>
        <v>16</v>
      </c>
      <c r="T2274">
        <f t="shared" si="70"/>
        <v>66</v>
      </c>
      <c r="U2274" t="str">
        <f t="shared" si="71"/>
        <v>Ciudad</v>
      </c>
    </row>
    <row r="2275" spans="1:21" ht="16" x14ac:dyDescent="0.4">
      <c r="A2275" s="7">
        <v>38924</v>
      </c>
      <c r="B2275" s="7" t="s">
        <v>13</v>
      </c>
      <c r="C2275" s="7" t="s">
        <v>14</v>
      </c>
      <c r="D2275" s="7">
        <v>740</v>
      </c>
      <c r="E2275" s="7">
        <v>314</v>
      </c>
      <c r="F2275" s="7">
        <v>348</v>
      </c>
      <c r="G2275" s="7">
        <v>0</v>
      </c>
      <c r="H2275" s="7">
        <v>11579</v>
      </c>
      <c r="I2275" s="7">
        <v>18</v>
      </c>
      <c r="J2275" s="7">
        <v>23</v>
      </c>
      <c r="K2275" s="7">
        <v>318</v>
      </c>
      <c r="L2275" s="7">
        <v>348</v>
      </c>
      <c r="M2275" s="7">
        <v>15</v>
      </c>
      <c r="N2275">
        <f>VLOOKUP(A2275,vlookup_table!$A:$G,2,FALSE)</f>
        <v>1</v>
      </c>
      <c r="O2275" t="str">
        <f>VLOOKUP(A2275,vlookup_table!$A:$G,3,FALSE)</f>
        <v>FL</v>
      </c>
      <c r="P2275">
        <f>VLOOKUP(A2275,vlookup_table!$A:$G,4,FALSE)</f>
        <v>3201</v>
      </c>
      <c r="Q2275" t="str">
        <f>VLOOKUP(A2275,vlookup_table!$A:$G,5,FALSE)</f>
        <v>U3</v>
      </c>
      <c r="R2275" t="str">
        <f>VLOOKUP(A2275,vlookup_table!$A:$G,6,FALSE)</f>
        <v>M</v>
      </c>
      <c r="S2275">
        <f>VLOOKUP(A2275,vlookup_table!$A:$G,7,FALSE)</f>
        <v>20</v>
      </c>
      <c r="T2275">
        <f t="shared" si="70"/>
        <v>64</v>
      </c>
      <c r="U2275" t="str">
        <f t="shared" si="71"/>
        <v>Urbano</v>
      </c>
    </row>
    <row r="2276" spans="1:21" ht="16" x14ac:dyDescent="0.4">
      <c r="A2276" s="7">
        <v>47448</v>
      </c>
      <c r="B2276" s="7" t="s">
        <v>40</v>
      </c>
      <c r="C2276" s="7" t="s">
        <v>14</v>
      </c>
      <c r="D2276" s="7">
        <v>714</v>
      </c>
      <c r="E2276" s="7">
        <v>324</v>
      </c>
      <c r="F2276" s="7">
        <v>463</v>
      </c>
      <c r="G2276" s="7">
        <v>0</v>
      </c>
      <c r="H2276" s="7">
        <v>16087</v>
      </c>
      <c r="I2276" s="7">
        <v>3</v>
      </c>
      <c r="J2276" s="7">
        <v>81</v>
      </c>
      <c r="K2276" s="7">
        <v>463</v>
      </c>
      <c r="L2276" s="7">
        <v>383</v>
      </c>
      <c r="M2276" s="7">
        <v>4.5714285710000002</v>
      </c>
      <c r="N2276">
        <f>VLOOKUP(A2276,vlookup_table!$A:$G,2,FALSE)</f>
        <v>1</v>
      </c>
      <c r="O2276" t="str">
        <f>VLOOKUP(A2276,vlookup_table!$A:$G,3,FALSE)</f>
        <v>AL</v>
      </c>
      <c r="P2276">
        <f>VLOOKUP(A2276,vlookup_table!$A:$G,4,FALSE)</f>
        <v>0</v>
      </c>
      <c r="Q2276" t="str">
        <f>VLOOKUP(A2276,vlookup_table!$A:$G,5,FALSE)</f>
        <v>S2</v>
      </c>
      <c r="R2276" t="str">
        <f>VLOOKUP(A2276,vlookup_table!$A:$G,6,FALSE)</f>
        <v>M</v>
      </c>
      <c r="S2276">
        <f>VLOOKUP(A2276,vlookup_table!$A:$G,7,FALSE)</f>
        <v>5</v>
      </c>
      <c r="T2276">
        <f t="shared" si="70"/>
        <v>96</v>
      </c>
      <c r="U2276" t="str">
        <f t="shared" si="71"/>
        <v>Suburbano</v>
      </c>
    </row>
    <row r="2277" spans="1:21" ht="16" x14ac:dyDescent="0.4">
      <c r="A2277" s="7">
        <v>182479</v>
      </c>
      <c r="B2277" s="7" t="s">
        <v>37</v>
      </c>
      <c r="C2277" s="7" t="s">
        <v>17</v>
      </c>
      <c r="D2277" s="7">
        <v>457</v>
      </c>
      <c r="E2277" s="7">
        <v>259</v>
      </c>
      <c r="F2277" s="7">
        <v>370</v>
      </c>
      <c r="G2277" s="7">
        <v>0</v>
      </c>
      <c r="H2277" s="7">
        <v>12804</v>
      </c>
      <c r="I2277" s="7">
        <v>4</v>
      </c>
      <c r="J2277" s="7">
        <v>63</v>
      </c>
      <c r="K2277" s="7">
        <v>323</v>
      </c>
      <c r="L2277" s="7">
        <v>308</v>
      </c>
      <c r="M2277" s="7">
        <v>6.8</v>
      </c>
      <c r="N2277">
        <f>VLOOKUP(A2277,vlookup_table!$A:$G,2,FALSE)</f>
        <v>28</v>
      </c>
      <c r="O2277" t="str">
        <f>VLOOKUP(A2277,vlookup_table!$A:$G,3,FALSE)</f>
        <v>WA</v>
      </c>
      <c r="P2277">
        <f>VLOOKUP(A2277,vlookup_table!$A:$G,4,FALSE)</f>
        <v>0</v>
      </c>
      <c r="Q2277" t="str">
        <f>VLOOKUP(A2277,vlookup_table!$A:$G,5,FALSE)</f>
        <v>T2</v>
      </c>
      <c r="R2277" t="str">
        <f>VLOOKUP(A2277,vlookup_table!$A:$G,6,FALSE)</f>
        <v>F</v>
      </c>
      <c r="S2277">
        <f>VLOOKUP(A2277,vlookup_table!$A:$G,7,FALSE)</f>
        <v>15</v>
      </c>
      <c r="T2277">
        <f t="shared" si="70"/>
        <v>96</v>
      </c>
      <c r="U2277" t="str">
        <f t="shared" si="71"/>
        <v>Pueblo</v>
      </c>
    </row>
    <row r="2278" spans="1:21" ht="16" x14ac:dyDescent="0.4">
      <c r="A2278" s="7">
        <v>96075</v>
      </c>
      <c r="B2278" s="7" t="s">
        <v>16</v>
      </c>
      <c r="C2278" s="7" t="s">
        <v>14</v>
      </c>
      <c r="D2278" s="7">
        <v>568</v>
      </c>
      <c r="E2278" s="7">
        <v>220</v>
      </c>
      <c r="F2278" s="7">
        <v>353</v>
      </c>
      <c r="G2278" s="7">
        <v>0</v>
      </c>
      <c r="H2278" s="7">
        <v>12599</v>
      </c>
      <c r="I2278" s="7">
        <v>0</v>
      </c>
      <c r="J2278" s="7">
        <v>84</v>
      </c>
      <c r="K2278" s="7">
        <v>279</v>
      </c>
      <c r="L2278" s="7">
        <v>282</v>
      </c>
      <c r="M2278" s="7">
        <v>4.7</v>
      </c>
      <c r="N2278">
        <f>VLOOKUP(A2278,vlookup_table!$A:$G,2,FALSE)</f>
        <v>1</v>
      </c>
      <c r="O2278" t="str">
        <f>VLOOKUP(A2278,vlookup_table!$A:$G,3,FALSE)</f>
        <v>IL</v>
      </c>
      <c r="P2278">
        <f>VLOOKUP(A2278,vlookup_table!$A:$G,4,FALSE)</f>
        <v>2402</v>
      </c>
      <c r="Q2278" t="str">
        <f>VLOOKUP(A2278,vlookup_table!$A:$G,5,FALSE)</f>
        <v>T2</v>
      </c>
      <c r="R2278" t="str">
        <f>VLOOKUP(A2278,vlookup_table!$A:$G,6,FALSE)</f>
        <v>M</v>
      </c>
      <c r="S2278">
        <f>VLOOKUP(A2278,vlookup_table!$A:$G,7,FALSE)</f>
        <v>5</v>
      </c>
      <c r="T2278">
        <f t="shared" si="70"/>
        <v>72</v>
      </c>
      <c r="U2278" t="str">
        <f t="shared" si="71"/>
        <v>Pueblo</v>
      </c>
    </row>
    <row r="2279" spans="1:21" ht="16" x14ac:dyDescent="0.4">
      <c r="A2279" s="7">
        <v>138997</v>
      </c>
      <c r="B2279" s="7" t="s">
        <v>51</v>
      </c>
      <c r="C2279" s="7" t="s">
        <v>14</v>
      </c>
      <c r="D2279" s="7">
        <v>480</v>
      </c>
      <c r="E2279" s="7">
        <v>173</v>
      </c>
      <c r="F2279" s="7">
        <v>235</v>
      </c>
      <c r="G2279" s="7">
        <v>1</v>
      </c>
      <c r="H2279" s="7">
        <v>9091</v>
      </c>
      <c r="I2279" s="7">
        <v>2</v>
      </c>
      <c r="J2279" s="7">
        <v>21</v>
      </c>
      <c r="K2279" s="7">
        <v>214</v>
      </c>
      <c r="L2279" s="7">
        <v>214</v>
      </c>
      <c r="M2279" s="7">
        <v>9.7142857140000007</v>
      </c>
      <c r="N2279">
        <f>VLOOKUP(A2279,vlookup_table!$A:$G,2,FALSE)</f>
        <v>1</v>
      </c>
      <c r="O2279" t="str">
        <f>VLOOKUP(A2279,vlookup_table!$A:$G,3,FALSE)</f>
        <v>AZ</v>
      </c>
      <c r="P2279">
        <f>VLOOKUP(A2279,vlookup_table!$A:$G,4,FALSE)</f>
        <v>2506</v>
      </c>
      <c r="Q2279" t="str">
        <f>VLOOKUP(A2279,vlookup_table!$A:$G,5,FALSE)</f>
        <v>T3</v>
      </c>
      <c r="R2279" t="str">
        <f>VLOOKUP(A2279,vlookup_table!$A:$G,6,FALSE)</f>
        <v>M</v>
      </c>
      <c r="S2279">
        <f>VLOOKUP(A2279,vlookup_table!$A:$G,7,FALSE)</f>
        <v>12</v>
      </c>
      <c r="T2279">
        <f t="shared" si="70"/>
        <v>71</v>
      </c>
      <c r="U2279" t="str">
        <f t="shared" si="71"/>
        <v>Pueblo</v>
      </c>
    </row>
    <row r="2280" spans="1:21" ht="16" x14ac:dyDescent="0.4">
      <c r="A2280" s="7">
        <v>108989</v>
      </c>
      <c r="B2280" s="7" t="s">
        <v>46</v>
      </c>
      <c r="C2280" s="7" t="s">
        <v>17</v>
      </c>
      <c r="D2280" s="7">
        <v>1381</v>
      </c>
      <c r="E2280" s="7">
        <v>631</v>
      </c>
      <c r="F2280" s="7">
        <v>776</v>
      </c>
      <c r="G2280" s="7">
        <v>19</v>
      </c>
      <c r="H2280" s="7">
        <v>29012</v>
      </c>
      <c r="I2280" s="7">
        <v>1</v>
      </c>
      <c r="J2280" s="7">
        <v>64</v>
      </c>
      <c r="K2280" s="7">
        <v>672</v>
      </c>
      <c r="L2280" s="7">
        <v>718</v>
      </c>
      <c r="M2280" s="7">
        <v>15</v>
      </c>
      <c r="N2280">
        <f>VLOOKUP(A2280,vlookup_table!$A:$G,2,FALSE)</f>
        <v>0</v>
      </c>
      <c r="O2280" t="str">
        <f>VLOOKUP(A2280,vlookup_table!$A:$G,3,FALSE)</f>
        <v>LA</v>
      </c>
      <c r="P2280">
        <f>VLOOKUP(A2280,vlookup_table!$A:$G,4,FALSE)</f>
        <v>5701</v>
      </c>
      <c r="Q2280" t="str">
        <f>VLOOKUP(A2280,vlookup_table!$A:$G,5,FALSE)</f>
        <v>C1</v>
      </c>
      <c r="R2280" t="str">
        <f>VLOOKUP(A2280,vlookup_table!$A:$G,6,FALSE)</f>
        <v>F</v>
      </c>
      <c r="S2280">
        <f>VLOOKUP(A2280,vlookup_table!$A:$G,7,FALSE)</f>
        <v>15</v>
      </c>
      <c r="T2280">
        <f t="shared" si="70"/>
        <v>39</v>
      </c>
      <c r="U2280" t="str">
        <f t="shared" si="71"/>
        <v>Ciudad</v>
      </c>
    </row>
    <row r="2281" spans="1:21" ht="16" x14ac:dyDescent="0.4">
      <c r="A2281" s="7">
        <v>87016</v>
      </c>
      <c r="B2281" s="7" t="s">
        <v>31</v>
      </c>
      <c r="C2281" s="7" t="s">
        <v>97</v>
      </c>
      <c r="D2281" s="7">
        <v>425</v>
      </c>
      <c r="E2281" s="7">
        <v>169</v>
      </c>
      <c r="F2281" s="7">
        <v>163</v>
      </c>
      <c r="G2281" s="7">
        <v>0</v>
      </c>
      <c r="H2281" s="7">
        <v>17618</v>
      </c>
      <c r="I2281" s="7">
        <v>0</v>
      </c>
      <c r="J2281" s="7">
        <v>70</v>
      </c>
      <c r="K2281" s="7">
        <v>163</v>
      </c>
      <c r="L2281" s="7">
        <v>277</v>
      </c>
      <c r="M2281" s="7">
        <v>22.833333329999999</v>
      </c>
      <c r="N2281">
        <f>VLOOKUP(A2281,vlookup_table!$A:$G,2,FALSE)</f>
        <v>2</v>
      </c>
      <c r="O2281" t="str">
        <f>VLOOKUP(A2281,vlookup_table!$A:$G,3,FALSE)</f>
        <v>MT</v>
      </c>
      <c r="P2281">
        <f>VLOOKUP(A2281,vlookup_table!$A:$G,4,FALSE)</f>
        <v>0</v>
      </c>
      <c r="Q2281" t="str">
        <f>VLOOKUP(A2281,vlookup_table!$A:$G,5,FALSE)</f>
        <v>R2</v>
      </c>
      <c r="R2281" t="str">
        <f>VLOOKUP(A2281,vlookup_table!$A:$G,6,FALSE)</f>
        <v>F</v>
      </c>
      <c r="S2281">
        <f>VLOOKUP(A2281,vlookup_table!$A:$G,7,FALSE)</f>
        <v>23</v>
      </c>
      <c r="T2281">
        <f t="shared" si="70"/>
        <v>96</v>
      </c>
      <c r="U2281" t="str">
        <f t="shared" si="71"/>
        <v>Rural</v>
      </c>
    </row>
    <row r="2282" spans="1:21" ht="16" x14ac:dyDescent="0.4">
      <c r="A2282" s="7">
        <v>12666</v>
      </c>
      <c r="B2282" s="7" t="s">
        <v>51</v>
      </c>
      <c r="C2282" s="7" t="s">
        <v>14</v>
      </c>
      <c r="D2282" s="7">
        <v>863</v>
      </c>
      <c r="E2282" s="7">
        <v>274</v>
      </c>
      <c r="F2282" s="7">
        <v>446</v>
      </c>
      <c r="G2282" s="7">
        <v>0</v>
      </c>
      <c r="H2282" s="7">
        <v>22486</v>
      </c>
      <c r="I2282" s="7">
        <v>4</v>
      </c>
      <c r="J2282" s="7">
        <v>0</v>
      </c>
      <c r="K2282" s="7">
        <v>325</v>
      </c>
      <c r="L2282" s="7">
        <v>368</v>
      </c>
      <c r="M2282" s="7">
        <v>68.8</v>
      </c>
      <c r="N2282">
        <f>VLOOKUP(A2282,vlookup_table!$A:$G,2,FALSE)</f>
        <v>0</v>
      </c>
      <c r="O2282" t="str">
        <f>VLOOKUP(A2282,vlookup_table!$A:$G,3,FALSE)</f>
        <v>AZ</v>
      </c>
      <c r="P2282">
        <f>VLOOKUP(A2282,vlookup_table!$A:$G,4,FALSE)</f>
        <v>3201</v>
      </c>
      <c r="Q2282" t="str">
        <f>VLOOKUP(A2282,vlookup_table!$A:$G,5,FALSE)</f>
        <v>T1</v>
      </c>
      <c r="R2282" t="str">
        <f>VLOOKUP(A2282,vlookup_table!$A:$G,6,FALSE)</f>
        <v>M</v>
      </c>
      <c r="S2282">
        <f>VLOOKUP(A2282,vlookup_table!$A:$G,7,FALSE)</f>
        <v>75</v>
      </c>
      <c r="T2282">
        <f t="shared" si="70"/>
        <v>64</v>
      </c>
      <c r="U2282" t="str">
        <f t="shared" si="71"/>
        <v>Pueblo</v>
      </c>
    </row>
    <row r="2283" spans="1:21" ht="16" x14ac:dyDescent="0.4">
      <c r="A2283" s="7">
        <v>34302</v>
      </c>
      <c r="B2283" s="7" t="s">
        <v>13</v>
      </c>
      <c r="C2283" s="7" t="s">
        <v>17</v>
      </c>
      <c r="D2283" s="7">
        <v>837</v>
      </c>
      <c r="E2283" s="7">
        <v>321</v>
      </c>
      <c r="F2283" s="7">
        <v>431</v>
      </c>
      <c r="G2283" s="7">
        <v>8</v>
      </c>
      <c r="H2283" s="7">
        <v>13796</v>
      </c>
      <c r="I2283" s="7">
        <v>3</v>
      </c>
      <c r="J2283" s="7">
        <v>49</v>
      </c>
      <c r="K2283" s="7">
        <v>341</v>
      </c>
      <c r="L2283" s="7">
        <v>397</v>
      </c>
      <c r="M2283" s="7">
        <v>11.47619048</v>
      </c>
      <c r="N2283">
        <f>VLOOKUP(A2283,vlookup_table!$A:$G,2,FALSE)</f>
        <v>0</v>
      </c>
      <c r="O2283" t="str">
        <f>VLOOKUP(A2283,vlookup_table!$A:$G,3,FALSE)</f>
        <v>FL</v>
      </c>
      <c r="P2283">
        <f>VLOOKUP(A2283,vlookup_table!$A:$G,4,FALSE)</f>
        <v>2403</v>
      </c>
      <c r="Q2283" t="str">
        <f>VLOOKUP(A2283,vlookup_table!$A:$G,5,FALSE)</f>
        <v>T2</v>
      </c>
      <c r="R2283" t="str">
        <f>VLOOKUP(A2283,vlookup_table!$A:$G,6,FALSE)</f>
        <v>F</v>
      </c>
      <c r="S2283">
        <f>VLOOKUP(A2283,vlookup_table!$A:$G,7,FALSE)</f>
        <v>14</v>
      </c>
      <c r="T2283">
        <f t="shared" si="70"/>
        <v>72</v>
      </c>
      <c r="U2283" t="str">
        <f t="shared" si="71"/>
        <v>Pueblo</v>
      </c>
    </row>
    <row r="2284" spans="1:21" ht="16" x14ac:dyDescent="0.4">
      <c r="A2284" s="7">
        <v>3018</v>
      </c>
      <c r="B2284" s="7" t="s">
        <v>21</v>
      </c>
      <c r="C2284" s="7" t="s">
        <v>17</v>
      </c>
      <c r="D2284" s="7">
        <v>1429</v>
      </c>
      <c r="E2284" s="7">
        <v>260</v>
      </c>
      <c r="F2284" s="7">
        <v>329</v>
      </c>
      <c r="G2284" s="7">
        <v>12</v>
      </c>
      <c r="H2284" s="7">
        <v>9400</v>
      </c>
      <c r="I2284" s="7">
        <v>35</v>
      </c>
      <c r="J2284" s="7">
        <v>44</v>
      </c>
      <c r="K2284" s="7">
        <v>253</v>
      </c>
      <c r="L2284" s="7">
        <v>315</v>
      </c>
      <c r="M2284" s="7">
        <v>12</v>
      </c>
      <c r="N2284">
        <f>VLOOKUP(A2284,vlookup_table!$A:$G,2,FALSE)</f>
        <v>76</v>
      </c>
      <c r="O2284" t="str">
        <f>VLOOKUP(A2284,vlookup_table!$A:$G,3,FALSE)</f>
        <v>CA</v>
      </c>
      <c r="P2284">
        <f>VLOOKUP(A2284,vlookup_table!$A:$G,4,FALSE)</f>
        <v>0</v>
      </c>
      <c r="Q2284" t="str">
        <f>VLOOKUP(A2284,vlookup_table!$A:$G,5,FALSE)</f>
        <v/>
      </c>
      <c r="R2284" t="str">
        <f>VLOOKUP(A2284,vlookup_table!$A:$G,6,FALSE)</f>
        <v>F</v>
      </c>
      <c r="S2284">
        <f>VLOOKUP(A2284,vlookup_table!$A:$G,7,FALSE)</f>
        <v>25</v>
      </c>
      <c r="T2284">
        <f t="shared" si="70"/>
        <v>96</v>
      </c>
      <c r="U2284" t="str">
        <f t="shared" si="71"/>
        <v/>
      </c>
    </row>
    <row r="2285" spans="1:21" ht="16" x14ac:dyDescent="0.4">
      <c r="A2285" s="7">
        <v>145231</v>
      </c>
      <c r="B2285" s="7" t="s">
        <v>21</v>
      </c>
      <c r="C2285" s="7"/>
      <c r="D2285" s="7">
        <v>0</v>
      </c>
      <c r="E2285" s="7">
        <v>303</v>
      </c>
      <c r="F2285" s="7">
        <v>725</v>
      </c>
      <c r="G2285" s="7">
        <v>0</v>
      </c>
      <c r="H2285" s="7">
        <v>33139</v>
      </c>
      <c r="I2285" s="7">
        <v>22</v>
      </c>
      <c r="J2285" s="7">
        <v>16</v>
      </c>
      <c r="K2285" s="7">
        <v>664</v>
      </c>
      <c r="L2285" s="7">
        <v>388</v>
      </c>
      <c r="M2285" s="7">
        <v>5.4666666670000001</v>
      </c>
      <c r="N2285">
        <f>VLOOKUP(A2285,vlookup_table!$A:$G,2,FALSE)</f>
        <v>0</v>
      </c>
      <c r="O2285" t="str">
        <f>VLOOKUP(A2285,vlookup_table!$A:$G,3,FALSE)</f>
        <v>CA</v>
      </c>
      <c r="P2285">
        <f>VLOOKUP(A2285,vlookup_table!$A:$G,4,FALSE)</f>
        <v>0</v>
      </c>
      <c r="Q2285" t="str">
        <f>VLOOKUP(A2285,vlookup_table!$A:$G,5,FALSE)</f>
        <v>U2</v>
      </c>
      <c r="R2285" t="str">
        <f>VLOOKUP(A2285,vlookup_table!$A:$G,6,FALSE)</f>
        <v/>
      </c>
      <c r="S2285">
        <f>VLOOKUP(A2285,vlookup_table!$A:$G,7,FALSE)</f>
        <v>6</v>
      </c>
      <c r="T2285">
        <f t="shared" si="70"/>
        <v>96</v>
      </c>
      <c r="U2285" t="str">
        <f t="shared" si="71"/>
        <v>Urbano</v>
      </c>
    </row>
    <row r="2286" spans="1:21" ht="16" x14ac:dyDescent="0.4">
      <c r="A2286" s="7">
        <v>152418</v>
      </c>
      <c r="B2286" s="7" t="s">
        <v>21</v>
      </c>
      <c r="C2286" s="7" t="s">
        <v>14</v>
      </c>
      <c r="D2286" s="7">
        <v>1637</v>
      </c>
      <c r="E2286" s="7">
        <v>345</v>
      </c>
      <c r="F2286" s="7">
        <v>454</v>
      </c>
      <c r="G2286" s="7">
        <v>33</v>
      </c>
      <c r="H2286" s="7">
        <v>15788</v>
      </c>
      <c r="I2286" s="7">
        <v>8</v>
      </c>
      <c r="J2286" s="7">
        <v>46</v>
      </c>
      <c r="K2286" s="7">
        <v>405</v>
      </c>
      <c r="L2286" s="7">
        <v>403</v>
      </c>
      <c r="M2286" s="7">
        <v>11.625</v>
      </c>
      <c r="N2286">
        <f>VLOOKUP(A2286,vlookup_table!$A:$G,2,FALSE)</f>
        <v>1</v>
      </c>
      <c r="O2286" t="str">
        <f>VLOOKUP(A2286,vlookup_table!$A:$G,3,FALSE)</f>
        <v>CA</v>
      </c>
      <c r="P2286">
        <f>VLOOKUP(A2286,vlookup_table!$A:$G,4,FALSE)</f>
        <v>3101</v>
      </c>
      <c r="Q2286" t="str">
        <f>VLOOKUP(A2286,vlookup_table!$A:$G,5,FALSE)</f>
        <v>R2</v>
      </c>
      <c r="R2286" t="str">
        <f>VLOOKUP(A2286,vlookup_table!$A:$G,6,FALSE)</f>
        <v>M</v>
      </c>
      <c r="S2286">
        <f>VLOOKUP(A2286,vlookup_table!$A:$G,7,FALSE)</f>
        <v>12</v>
      </c>
      <c r="T2286">
        <f t="shared" si="70"/>
        <v>65</v>
      </c>
      <c r="U2286" t="str">
        <f t="shared" si="71"/>
        <v>Rural</v>
      </c>
    </row>
    <row r="2287" spans="1:21" ht="16" x14ac:dyDescent="0.4">
      <c r="A2287" s="7">
        <v>65061</v>
      </c>
      <c r="B2287" s="7" t="s">
        <v>26</v>
      </c>
      <c r="C2287" s="7" t="s">
        <v>14</v>
      </c>
      <c r="D2287" s="7">
        <v>1559</v>
      </c>
      <c r="E2287" s="7">
        <v>557</v>
      </c>
      <c r="F2287" s="7">
        <v>666</v>
      </c>
      <c r="G2287" s="7">
        <v>27</v>
      </c>
      <c r="H2287" s="7">
        <v>25181</v>
      </c>
      <c r="I2287" s="7">
        <v>7</v>
      </c>
      <c r="J2287" s="7">
        <v>80</v>
      </c>
      <c r="K2287" s="7">
        <v>621</v>
      </c>
      <c r="L2287" s="7">
        <v>604</v>
      </c>
      <c r="M2287" s="7">
        <v>20</v>
      </c>
      <c r="N2287">
        <f>VLOOKUP(A2287,vlookup_table!$A:$G,2,FALSE)</f>
        <v>0</v>
      </c>
      <c r="O2287" t="str">
        <f>VLOOKUP(A2287,vlookup_table!$A:$G,3,FALSE)</f>
        <v>MI</v>
      </c>
      <c r="P2287">
        <f>VLOOKUP(A2287,vlookup_table!$A:$G,4,FALSE)</f>
        <v>5211</v>
      </c>
      <c r="Q2287" t="str">
        <f>VLOOKUP(A2287,vlookup_table!$A:$G,5,FALSE)</f>
        <v>S1</v>
      </c>
      <c r="R2287" t="str">
        <f>VLOOKUP(A2287,vlookup_table!$A:$G,6,FALSE)</f>
        <v>M</v>
      </c>
      <c r="S2287">
        <f>VLOOKUP(A2287,vlookup_table!$A:$G,7,FALSE)</f>
        <v>25</v>
      </c>
      <c r="T2287">
        <f t="shared" si="70"/>
        <v>44</v>
      </c>
      <c r="U2287" t="str">
        <f t="shared" si="71"/>
        <v>Suburbano</v>
      </c>
    </row>
    <row r="2288" spans="1:21" ht="16" x14ac:dyDescent="0.4">
      <c r="A2288" s="7">
        <v>72220</v>
      </c>
      <c r="B2288" s="7" t="s">
        <v>26</v>
      </c>
      <c r="C2288" s="7" t="s">
        <v>17</v>
      </c>
      <c r="D2288" s="7">
        <v>835</v>
      </c>
      <c r="E2288" s="7">
        <v>473</v>
      </c>
      <c r="F2288" s="7">
        <v>507</v>
      </c>
      <c r="G2288" s="7">
        <v>2</v>
      </c>
      <c r="H2288" s="7">
        <v>16227</v>
      </c>
      <c r="I2288" s="7">
        <v>5</v>
      </c>
      <c r="J2288" s="7">
        <v>67</v>
      </c>
      <c r="K2288" s="7">
        <v>497</v>
      </c>
      <c r="L2288" s="7">
        <v>477</v>
      </c>
      <c r="M2288" s="7">
        <v>9.375</v>
      </c>
      <c r="N2288">
        <f>VLOOKUP(A2288,vlookup_table!$A:$G,2,FALSE)</f>
        <v>2</v>
      </c>
      <c r="O2288" t="str">
        <f>VLOOKUP(A2288,vlookup_table!$A:$G,3,FALSE)</f>
        <v>MI</v>
      </c>
      <c r="P2288">
        <f>VLOOKUP(A2288,vlookup_table!$A:$G,4,FALSE)</f>
        <v>2307</v>
      </c>
      <c r="Q2288" t="str">
        <f>VLOOKUP(A2288,vlookup_table!$A:$G,5,FALSE)</f>
        <v>C1</v>
      </c>
      <c r="R2288" t="str">
        <f>VLOOKUP(A2288,vlookup_table!$A:$G,6,FALSE)</f>
        <v>F</v>
      </c>
      <c r="S2288">
        <f>VLOOKUP(A2288,vlookup_table!$A:$G,7,FALSE)</f>
        <v>15</v>
      </c>
      <c r="T2288">
        <f t="shared" si="70"/>
        <v>73</v>
      </c>
      <c r="U2288" t="str">
        <f t="shared" si="71"/>
        <v>Ciudad</v>
      </c>
    </row>
    <row r="2289" spans="1:21" ht="16" x14ac:dyDescent="0.4">
      <c r="A2289" s="7">
        <v>112288</v>
      </c>
      <c r="B2289" s="7" t="s">
        <v>21</v>
      </c>
      <c r="C2289" s="7" t="s">
        <v>17</v>
      </c>
      <c r="D2289" s="7">
        <v>1259</v>
      </c>
      <c r="E2289" s="7">
        <v>389</v>
      </c>
      <c r="F2289" s="7">
        <v>458</v>
      </c>
      <c r="G2289" s="7">
        <v>13</v>
      </c>
      <c r="H2289" s="7">
        <v>15213</v>
      </c>
      <c r="I2289" s="7">
        <v>10</v>
      </c>
      <c r="J2289" s="7">
        <v>54</v>
      </c>
      <c r="K2289" s="7">
        <v>396</v>
      </c>
      <c r="L2289" s="7">
        <v>434</v>
      </c>
      <c r="M2289" s="7">
        <v>13.16666667</v>
      </c>
      <c r="N2289">
        <f>VLOOKUP(A2289,vlookup_table!$A:$G,2,FALSE)</f>
        <v>0</v>
      </c>
      <c r="O2289" t="str">
        <f>VLOOKUP(A2289,vlookup_table!$A:$G,3,FALSE)</f>
        <v>CA</v>
      </c>
      <c r="P2289">
        <f>VLOOKUP(A2289,vlookup_table!$A:$G,4,FALSE)</f>
        <v>3001</v>
      </c>
      <c r="Q2289" t="str">
        <f>VLOOKUP(A2289,vlookup_table!$A:$G,5,FALSE)</f>
        <v>R3</v>
      </c>
      <c r="R2289" t="str">
        <f>VLOOKUP(A2289,vlookup_table!$A:$G,6,FALSE)</f>
        <v>F</v>
      </c>
      <c r="S2289">
        <f>VLOOKUP(A2289,vlookup_table!$A:$G,7,FALSE)</f>
        <v>12</v>
      </c>
      <c r="T2289">
        <f t="shared" si="70"/>
        <v>66</v>
      </c>
      <c r="U2289" t="str">
        <f t="shared" si="71"/>
        <v>Rural</v>
      </c>
    </row>
    <row r="2290" spans="1:21" ht="16" x14ac:dyDescent="0.4">
      <c r="A2290" s="7">
        <v>109539</v>
      </c>
      <c r="B2290" s="7" t="s">
        <v>46</v>
      </c>
      <c r="C2290" s="7" t="s">
        <v>17</v>
      </c>
      <c r="D2290" s="7">
        <v>599</v>
      </c>
      <c r="E2290" s="7">
        <v>271</v>
      </c>
      <c r="F2290" s="7">
        <v>352</v>
      </c>
      <c r="G2290" s="7">
        <v>0</v>
      </c>
      <c r="H2290" s="7">
        <v>11920</v>
      </c>
      <c r="I2290" s="7">
        <v>0</v>
      </c>
      <c r="J2290" s="7">
        <v>83</v>
      </c>
      <c r="K2290" s="7">
        <v>335</v>
      </c>
      <c r="L2290" s="7">
        <v>302</v>
      </c>
      <c r="M2290" s="7">
        <v>13.733333330000001</v>
      </c>
      <c r="N2290">
        <f>VLOOKUP(A2290,vlookup_table!$A:$G,2,FALSE)</f>
        <v>2</v>
      </c>
      <c r="O2290" t="str">
        <f>VLOOKUP(A2290,vlookup_table!$A:$G,3,FALSE)</f>
        <v>LA</v>
      </c>
      <c r="P2290">
        <f>VLOOKUP(A2290,vlookup_table!$A:$G,4,FALSE)</f>
        <v>5212</v>
      </c>
      <c r="Q2290" t="str">
        <f>VLOOKUP(A2290,vlookup_table!$A:$G,5,FALSE)</f>
        <v>T2</v>
      </c>
      <c r="R2290" t="str">
        <f>VLOOKUP(A2290,vlookup_table!$A:$G,6,FALSE)</f>
        <v>F</v>
      </c>
      <c r="S2290">
        <f>VLOOKUP(A2290,vlookup_table!$A:$G,7,FALSE)</f>
        <v>20</v>
      </c>
      <c r="T2290">
        <f t="shared" si="70"/>
        <v>44</v>
      </c>
      <c r="U2290" t="str">
        <f t="shared" si="71"/>
        <v>Pueblo</v>
      </c>
    </row>
    <row r="2291" spans="1:21" ht="16" x14ac:dyDescent="0.4">
      <c r="A2291" s="7">
        <v>7836</v>
      </c>
      <c r="B2291" s="7" t="s">
        <v>21</v>
      </c>
      <c r="C2291" s="7" t="s">
        <v>14</v>
      </c>
      <c r="D2291" s="7">
        <v>2123</v>
      </c>
      <c r="E2291" s="7">
        <v>458</v>
      </c>
      <c r="F2291" s="7">
        <v>539</v>
      </c>
      <c r="G2291" s="7">
        <v>56</v>
      </c>
      <c r="H2291" s="7">
        <v>16611</v>
      </c>
      <c r="I2291" s="7">
        <v>11</v>
      </c>
      <c r="J2291" s="7">
        <v>49</v>
      </c>
      <c r="K2291" s="7">
        <v>480</v>
      </c>
      <c r="L2291" s="7">
        <v>517</v>
      </c>
      <c r="M2291" s="7">
        <v>24.11538462</v>
      </c>
      <c r="N2291">
        <f>VLOOKUP(A2291,vlookup_table!$A:$G,2,FALSE)</f>
        <v>1002</v>
      </c>
      <c r="O2291" t="str">
        <f>VLOOKUP(A2291,vlookup_table!$A:$G,3,FALSE)</f>
        <v>CA</v>
      </c>
      <c r="P2291">
        <f>VLOOKUP(A2291,vlookup_table!$A:$G,4,FALSE)</f>
        <v>2201</v>
      </c>
      <c r="Q2291" t="str">
        <f>VLOOKUP(A2291,vlookup_table!$A:$G,5,FALSE)</f>
        <v>T1</v>
      </c>
      <c r="R2291" t="str">
        <f>VLOOKUP(A2291,vlookup_table!$A:$G,6,FALSE)</f>
        <v>M</v>
      </c>
      <c r="S2291">
        <f>VLOOKUP(A2291,vlookup_table!$A:$G,7,FALSE)</f>
        <v>25</v>
      </c>
      <c r="T2291">
        <f t="shared" si="70"/>
        <v>74</v>
      </c>
      <c r="U2291" t="str">
        <f t="shared" si="71"/>
        <v>Pueblo</v>
      </c>
    </row>
    <row r="2292" spans="1:21" ht="16" x14ac:dyDescent="0.4">
      <c r="A2292" s="7">
        <v>41448</v>
      </c>
      <c r="B2292" s="7" t="s">
        <v>13</v>
      </c>
      <c r="C2292" s="7" t="s">
        <v>17</v>
      </c>
      <c r="D2292" s="7">
        <v>1503</v>
      </c>
      <c r="E2292" s="7">
        <v>396</v>
      </c>
      <c r="F2292" s="7">
        <v>659</v>
      </c>
      <c r="G2292" s="7">
        <v>29</v>
      </c>
      <c r="H2292" s="7">
        <v>25969</v>
      </c>
      <c r="I2292" s="7">
        <v>8</v>
      </c>
      <c r="J2292" s="7">
        <v>33</v>
      </c>
      <c r="K2292" s="7">
        <v>572</v>
      </c>
      <c r="L2292" s="7">
        <v>519</v>
      </c>
      <c r="M2292" s="7">
        <v>9.8571428569999995</v>
      </c>
      <c r="N2292">
        <f>VLOOKUP(A2292,vlookup_table!$A:$G,2,FALSE)</f>
        <v>0</v>
      </c>
      <c r="O2292" t="str">
        <f>VLOOKUP(A2292,vlookup_table!$A:$G,3,FALSE)</f>
        <v>FL</v>
      </c>
      <c r="P2292">
        <f>VLOOKUP(A2292,vlookup_table!$A:$G,4,FALSE)</f>
        <v>4206</v>
      </c>
      <c r="Q2292" t="str">
        <f>VLOOKUP(A2292,vlookup_table!$A:$G,5,FALSE)</f>
        <v>U1</v>
      </c>
      <c r="R2292" t="str">
        <f>VLOOKUP(A2292,vlookup_table!$A:$G,6,FALSE)</f>
        <v>F</v>
      </c>
      <c r="S2292">
        <f>VLOOKUP(A2292,vlookup_table!$A:$G,7,FALSE)</f>
        <v>15</v>
      </c>
      <c r="T2292">
        <f t="shared" si="70"/>
        <v>54</v>
      </c>
      <c r="U2292" t="str">
        <f t="shared" si="71"/>
        <v>Urbano</v>
      </c>
    </row>
    <row r="2293" spans="1:21" ht="16" x14ac:dyDescent="0.4">
      <c r="A2293" s="7">
        <v>110822</v>
      </c>
      <c r="B2293" s="7" t="s">
        <v>29</v>
      </c>
      <c r="C2293" s="7" t="s">
        <v>97</v>
      </c>
      <c r="D2293" s="7">
        <v>576</v>
      </c>
      <c r="E2293" s="7">
        <v>284</v>
      </c>
      <c r="F2293" s="7">
        <v>351</v>
      </c>
      <c r="G2293" s="7">
        <v>0</v>
      </c>
      <c r="H2293" s="7">
        <v>10860</v>
      </c>
      <c r="I2293" s="7">
        <v>1</v>
      </c>
      <c r="J2293" s="7">
        <v>78</v>
      </c>
      <c r="K2293" s="7">
        <v>311</v>
      </c>
      <c r="L2293" s="7">
        <v>326</v>
      </c>
      <c r="M2293" s="7">
        <v>12.4</v>
      </c>
      <c r="N2293">
        <f>VLOOKUP(A2293,vlookup_table!$A:$G,2,FALSE)</f>
        <v>2</v>
      </c>
      <c r="O2293" t="str">
        <f>VLOOKUP(A2293,vlookup_table!$A:$G,3,FALSE)</f>
        <v>AR</v>
      </c>
      <c r="P2293">
        <f>VLOOKUP(A2293,vlookup_table!$A:$G,4,FALSE)</f>
        <v>0</v>
      </c>
      <c r="Q2293" t="str">
        <f>VLOOKUP(A2293,vlookup_table!$A:$G,5,FALSE)</f>
        <v>C1</v>
      </c>
      <c r="R2293" t="str">
        <f>VLOOKUP(A2293,vlookup_table!$A:$G,6,FALSE)</f>
        <v>F</v>
      </c>
      <c r="S2293">
        <f>VLOOKUP(A2293,vlookup_table!$A:$G,7,FALSE)</f>
        <v>20</v>
      </c>
      <c r="T2293">
        <f t="shared" si="70"/>
        <v>96</v>
      </c>
      <c r="U2293" t="str">
        <f t="shared" si="71"/>
        <v>Ciudad</v>
      </c>
    </row>
    <row r="2294" spans="1:21" ht="16" x14ac:dyDescent="0.4">
      <c r="A2294" s="7">
        <v>66163</v>
      </c>
      <c r="B2294" s="7" t="s">
        <v>26</v>
      </c>
      <c r="C2294" s="7" t="s">
        <v>17</v>
      </c>
      <c r="D2294" s="7">
        <v>922</v>
      </c>
      <c r="E2294" s="7">
        <v>448</v>
      </c>
      <c r="F2294" s="7">
        <v>526</v>
      </c>
      <c r="G2294" s="7">
        <v>1</v>
      </c>
      <c r="H2294" s="7">
        <v>20513</v>
      </c>
      <c r="I2294" s="7">
        <v>2</v>
      </c>
      <c r="J2294" s="7">
        <v>77</v>
      </c>
      <c r="K2294" s="7">
        <v>481</v>
      </c>
      <c r="L2294" s="7">
        <v>504</v>
      </c>
      <c r="M2294" s="7">
        <v>10.5</v>
      </c>
      <c r="N2294">
        <f>VLOOKUP(A2294,vlookup_table!$A:$G,2,FALSE)</f>
        <v>2</v>
      </c>
      <c r="O2294" t="str">
        <f>VLOOKUP(A2294,vlookup_table!$A:$G,3,FALSE)</f>
        <v>MI</v>
      </c>
      <c r="P2294">
        <f>VLOOKUP(A2294,vlookup_table!$A:$G,4,FALSE)</f>
        <v>0</v>
      </c>
      <c r="Q2294" t="str">
        <f>VLOOKUP(A2294,vlookup_table!$A:$G,5,FALSE)</f>
        <v>S1</v>
      </c>
      <c r="R2294" t="str">
        <f>VLOOKUP(A2294,vlookup_table!$A:$G,6,FALSE)</f>
        <v>F</v>
      </c>
      <c r="S2294">
        <f>VLOOKUP(A2294,vlookup_table!$A:$G,7,FALSE)</f>
        <v>10</v>
      </c>
      <c r="T2294">
        <f t="shared" si="70"/>
        <v>96</v>
      </c>
      <c r="U2294" t="str">
        <f t="shared" si="71"/>
        <v>Suburbano</v>
      </c>
    </row>
    <row r="2295" spans="1:21" ht="16" x14ac:dyDescent="0.4">
      <c r="A2295" s="7">
        <v>6183</v>
      </c>
      <c r="B2295" s="7" t="s">
        <v>37</v>
      </c>
      <c r="C2295" s="7" t="s">
        <v>14</v>
      </c>
      <c r="D2295" s="7">
        <v>1598</v>
      </c>
      <c r="E2295" s="7">
        <v>510</v>
      </c>
      <c r="F2295" s="7">
        <v>568</v>
      </c>
      <c r="G2295" s="7">
        <v>9</v>
      </c>
      <c r="H2295" s="7">
        <v>17443</v>
      </c>
      <c r="I2295" s="7">
        <v>6</v>
      </c>
      <c r="J2295" s="7">
        <v>42</v>
      </c>
      <c r="K2295" s="7">
        <v>514</v>
      </c>
      <c r="L2295" s="7">
        <v>557</v>
      </c>
      <c r="M2295" s="7">
        <v>25.8</v>
      </c>
      <c r="N2295">
        <f>VLOOKUP(A2295,vlookup_table!$A:$G,2,FALSE)</f>
        <v>1</v>
      </c>
      <c r="O2295" t="str">
        <f>VLOOKUP(A2295,vlookup_table!$A:$G,3,FALSE)</f>
        <v>WA</v>
      </c>
      <c r="P2295">
        <f>VLOOKUP(A2295,vlookup_table!$A:$G,4,FALSE)</f>
        <v>2409</v>
      </c>
      <c r="Q2295" t="str">
        <f>VLOOKUP(A2295,vlookup_table!$A:$G,5,FALSE)</f>
        <v/>
      </c>
      <c r="R2295" t="str">
        <f>VLOOKUP(A2295,vlookup_table!$A:$G,6,FALSE)</f>
        <v>M</v>
      </c>
      <c r="S2295">
        <f>VLOOKUP(A2295,vlookup_table!$A:$G,7,FALSE)</f>
        <v>100</v>
      </c>
      <c r="T2295">
        <f t="shared" si="70"/>
        <v>72</v>
      </c>
      <c r="U2295" t="str">
        <f t="shared" si="71"/>
        <v/>
      </c>
    </row>
    <row r="2296" spans="1:21" ht="16" x14ac:dyDescent="0.4">
      <c r="A2296" s="7">
        <v>124787</v>
      </c>
      <c r="B2296" s="7" t="s">
        <v>20</v>
      </c>
      <c r="C2296" s="7" t="s">
        <v>17</v>
      </c>
      <c r="D2296" s="7">
        <v>626</v>
      </c>
      <c r="E2296" s="7">
        <v>235</v>
      </c>
      <c r="F2296" s="7">
        <v>272</v>
      </c>
      <c r="G2296" s="7">
        <v>2</v>
      </c>
      <c r="H2296" s="7">
        <v>7918</v>
      </c>
      <c r="I2296" s="7">
        <v>22</v>
      </c>
      <c r="J2296" s="7">
        <v>68</v>
      </c>
      <c r="K2296" s="7">
        <v>246</v>
      </c>
      <c r="L2296" s="7">
        <v>258</v>
      </c>
      <c r="M2296" s="7">
        <v>15</v>
      </c>
      <c r="N2296">
        <f>VLOOKUP(A2296,vlookup_table!$A:$G,2,FALSE)</f>
        <v>0</v>
      </c>
      <c r="O2296" t="str">
        <f>VLOOKUP(A2296,vlookup_table!$A:$G,3,FALSE)</f>
        <v>TX</v>
      </c>
      <c r="P2296">
        <f>VLOOKUP(A2296,vlookup_table!$A:$G,4,FALSE)</f>
        <v>0</v>
      </c>
      <c r="Q2296" t="str">
        <f>VLOOKUP(A2296,vlookup_table!$A:$G,5,FALSE)</f>
        <v>S2</v>
      </c>
      <c r="R2296" t="str">
        <f>VLOOKUP(A2296,vlookup_table!$A:$G,6,FALSE)</f>
        <v>F</v>
      </c>
      <c r="S2296">
        <f>VLOOKUP(A2296,vlookup_table!$A:$G,7,FALSE)</f>
        <v>20</v>
      </c>
      <c r="T2296">
        <f t="shared" si="70"/>
        <v>96</v>
      </c>
      <c r="U2296" t="str">
        <f t="shared" si="71"/>
        <v>Suburbano</v>
      </c>
    </row>
    <row r="2297" spans="1:21" ht="16" x14ac:dyDescent="0.4">
      <c r="A2297" s="7">
        <v>109644</v>
      </c>
      <c r="B2297" s="7" t="s">
        <v>13</v>
      </c>
      <c r="C2297" s="7" t="s">
        <v>41</v>
      </c>
      <c r="D2297" s="7">
        <v>546</v>
      </c>
      <c r="E2297" s="7">
        <v>250</v>
      </c>
      <c r="F2297" s="7">
        <v>270</v>
      </c>
      <c r="G2297" s="7">
        <v>0</v>
      </c>
      <c r="H2297" s="7">
        <v>10078</v>
      </c>
      <c r="I2297" s="7">
        <v>8</v>
      </c>
      <c r="J2297" s="7">
        <v>27</v>
      </c>
      <c r="K2297" s="7">
        <v>258</v>
      </c>
      <c r="L2297" s="7">
        <v>262</v>
      </c>
      <c r="M2297" s="7">
        <v>12.07692308</v>
      </c>
      <c r="N2297">
        <f>VLOOKUP(A2297,vlookup_table!$A:$G,2,FALSE)</f>
        <v>1002</v>
      </c>
      <c r="O2297" t="str">
        <f>VLOOKUP(A2297,vlookup_table!$A:$G,3,FALSE)</f>
        <v>FL</v>
      </c>
      <c r="P2297">
        <f>VLOOKUP(A2297,vlookup_table!$A:$G,4,FALSE)</f>
        <v>2509</v>
      </c>
      <c r="Q2297" t="str">
        <f>VLOOKUP(A2297,vlookup_table!$A:$G,5,FALSE)</f>
        <v>T2</v>
      </c>
      <c r="R2297" t="str">
        <f>VLOOKUP(A2297,vlookup_table!$A:$G,6,FALSE)</f>
        <v>J</v>
      </c>
      <c r="S2297">
        <f>VLOOKUP(A2297,vlookup_table!$A:$G,7,FALSE)</f>
        <v>5</v>
      </c>
      <c r="T2297">
        <f t="shared" si="70"/>
        <v>71</v>
      </c>
      <c r="U2297" t="str">
        <f t="shared" si="71"/>
        <v>Pueblo</v>
      </c>
    </row>
    <row r="2298" spans="1:21" ht="16" x14ac:dyDescent="0.4">
      <c r="A2298" s="7">
        <v>105650</v>
      </c>
      <c r="B2298" s="7" t="s">
        <v>25</v>
      </c>
      <c r="C2298" s="7" t="s">
        <v>17</v>
      </c>
      <c r="D2298" s="7">
        <v>491</v>
      </c>
      <c r="E2298" s="7">
        <v>325</v>
      </c>
      <c r="F2298" s="7">
        <v>356</v>
      </c>
      <c r="G2298" s="7">
        <v>0</v>
      </c>
      <c r="H2298" s="7">
        <v>13143</v>
      </c>
      <c r="I2298" s="7">
        <v>0</v>
      </c>
      <c r="J2298" s="7">
        <v>74</v>
      </c>
      <c r="K2298" s="7">
        <v>342</v>
      </c>
      <c r="L2298" s="7">
        <v>334</v>
      </c>
      <c r="M2298" s="7">
        <v>4.3333333329999997</v>
      </c>
      <c r="N2298">
        <f>VLOOKUP(A2298,vlookup_table!$A:$G,2,FALSE)</f>
        <v>0</v>
      </c>
      <c r="O2298" t="str">
        <f>VLOOKUP(A2298,vlookup_table!$A:$G,3,FALSE)</f>
        <v>KS</v>
      </c>
      <c r="P2298">
        <f>VLOOKUP(A2298,vlookup_table!$A:$G,4,FALSE)</f>
        <v>1901</v>
      </c>
      <c r="Q2298" t="str">
        <f>VLOOKUP(A2298,vlookup_table!$A:$G,5,FALSE)</f>
        <v>T2</v>
      </c>
      <c r="R2298" t="str">
        <f>VLOOKUP(A2298,vlookup_table!$A:$G,6,FALSE)</f>
        <v>F</v>
      </c>
      <c r="S2298">
        <f>VLOOKUP(A2298,vlookup_table!$A:$G,7,FALSE)</f>
        <v>10</v>
      </c>
      <c r="T2298">
        <f t="shared" si="70"/>
        <v>77</v>
      </c>
      <c r="U2298" t="str">
        <f t="shared" si="71"/>
        <v>Pueblo</v>
      </c>
    </row>
    <row r="2299" spans="1:21" ht="16" x14ac:dyDescent="0.4">
      <c r="A2299" s="7">
        <v>45982</v>
      </c>
      <c r="B2299" s="7" t="s">
        <v>13</v>
      </c>
      <c r="C2299" s="7" t="s">
        <v>17</v>
      </c>
      <c r="D2299" s="7">
        <v>607</v>
      </c>
      <c r="E2299" s="7">
        <v>285</v>
      </c>
      <c r="F2299" s="7">
        <v>362</v>
      </c>
      <c r="G2299" s="7">
        <v>1</v>
      </c>
      <c r="H2299" s="7">
        <v>12378</v>
      </c>
      <c r="I2299" s="7">
        <v>2</v>
      </c>
      <c r="J2299" s="7">
        <v>29</v>
      </c>
      <c r="K2299" s="7">
        <v>344</v>
      </c>
      <c r="L2299" s="7">
        <v>331</v>
      </c>
      <c r="M2299" s="7">
        <v>8</v>
      </c>
      <c r="N2299">
        <f>VLOOKUP(A2299,vlookup_table!$A:$G,2,FALSE)</f>
        <v>0</v>
      </c>
      <c r="O2299" t="str">
        <f>VLOOKUP(A2299,vlookup_table!$A:$G,3,FALSE)</f>
        <v>FL</v>
      </c>
      <c r="P2299">
        <f>VLOOKUP(A2299,vlookup_table!$A:$G,4,FALSE)</f>
        <v>0</v>
      </c>
      <c r="Q2299" t="str">
        <f>VLOOKUP(A2299,vlookup_table!$A:$G,5,FALSE)</f>
        <v>T2</v>
      </c>
      <c r="R2299" t="str">
        <f>VLOOKUP(A2299,vlookup_table!$A:$G,6,FALSE)</f>
        <v>F</v>
      </c>
      <c r="S2299">
        <f>VLOOKUP(A2299,vlookup_table!$A:$G,7,FALSE)</f>
        <v>15</v>
      </c>
      <c r="T2299">
        <f t="shared" si="70"/>
        <v>96</v>
      </c>
      <c r="U2299" t="str">
        <f t="shared" si="71"/>
        <v>Pueblo</v>
      </c>
    </row>
    <row r="2300" spans="1:21" ht="16" x14ac:dyDescent="0.4">
      <c r="A2300" s="7">
        <v>14437</v>
      </c>
      <c r="B2300" s="7" t="s">
        <v>45</v>
      </c>
      <c r="C2300" s="7" t="s">
        <v>14</v>
      </c>
      <c r="D2300" s="7">
        <v>844</v>
      </c>
      <c r="E2300" s="7">
        <v>350</v>
      </c>
      <c r="F2300" s="7">
        <v>393</v>
      </c>
      <c r="G2300" s="7">
        <v>0</v>
      </c>
      <c r="H2300" s="7">
        <v>13175</v>
      </c>
      <c r="I2300" s="7">
        <v>1</v>
      </c>
      <c r="J2300" s="7">
        <v>49</v>
      </c>
      <c r="K2300" s="7">
        <v>356</v>
      </c>
      <c r="L2300" s="7">
        <v>386</v>
      </c>
      <c r="M2300" s="7">
        <v>8.3448275859999992</v>
      </c>
      <c r="N2300">
        <f>VLOOKUP(A2300,vlookup_table!$A:$G,2,FALSE)</f>
        <v>1</v>
      </c>
      <c r="O2300" t="str">
        <f>VLOOKUP(A2300,vlookup_table!$A:$G,3,FALSE)</f>
        <v>CO</v>
      </c>
      <c r="P2300">
        <f>VLOOKUP(A2300,vlookup_table!$A:$G,4,FALSE)</f>
        <v>2705</v>
      </c>
      <c r="Q2300" t="str">
        <f>VLOOKUP(A2300,vlookup_table!$A:$G,5,FALSE)</f>
        <v>S2</v>
      </c>
      <c r="R2300" t="str">
        <f>VLOOKUP(A2300,vlookup_table!$A:$G,6,FALSE)</f>
        <v>M</v>
      </c>
      <c r="S2300">
        <f>VLOOKUP(A2300,vlookup_table!$A:$G,7,FALSE)</f>
        <v>20</v>
      </c>
      <c r="T2300">
        <f t="shared" si="70"/>
        <v>69</v>
      </c>
      <c r="U2300" t="str">
        <f t="shared" si="71"/>
        <v>Suburbano</v>
      </c>
    </row>
    <row r="2301" spans="1:21" ht="16" x14ac:dyDescent="0.4">
      <c r="A2301" s="7">
        <v>10399</v>
      </c>
      <c r="B2301" s="7" t="s">
        <v>55</v>
      </c>
      <c r="C2301" s="7" t="s">
        <v>17</v>
      </c>
      <c r="D2301" s="7">
        <v>275</v>
      </c>
      <c r="E2301" s="7">
        <v>192</v>
      </c>
      <c r="F2301" s="7">
        <v>338</v>
      </c>
      <c r="G2301" s="7">
        <v>0</v>
      </c>
      <c r="H2301" s="7">
        <v>11164</v>
      </c>
      <c r="I2301" s="7">
        <v>0</v>
      </c>
      <c r="J2301" s="7">
        <v>89</v>
      </c>
      <c r="K2301" s="7">
        <v>252</v>
      </c>
      <c r="L2301" s="7">
        <v>286</v>
      </c>
      <c r="M2301" s="7">
        <v>10</v>
      </c>
      <c r="N2301">
        <f>VLOOKUP(A2301,vlookup_table!$A:$G,2,FALSE)</f>
        <v>2</v>
      </c>
      <c r="O2301" t="str">
        <f>VLOOKUP(A2301,vlookup_table!$A:$G,3,FALSE)</f>
        <v>NE</v>
      </c>
      <c r="P2301">
        <f>VLOOKUP(A2301,vlookup_table!$A:$G,4,FALSE)</f>
        <v>0</v>
      </c>
      <c r="Q2301" t="str">
        <f>VLOOKUP(A2301,vlookup_table!$A:$G,5,FALSE)</f>
        <v>R2</v>
      </c>
      <c r="R2301" t="str">
        <f>VLOOKUP(A2301,vlookup_table!$A:$G,6,FALSE)</f>
        <v>F</v>
      </c>
      <c r="S2301">
        <f>VLOOKUP(A2301,vlookup_table!$A:$G,7,FALSE)</f>
        <v>10</v>
      </c>
      <c r="T2301">
        <f t="shared" si="70"/>
        <v>96</v>
      </c>
      <c r="U2301" t="str">
        <f t="shared" si="71"/>
        <v>Rural</v>
      </c>
    </row>
    <row r="2302" spans="1:21" ht="16" x14ac:dyDescent="0.4">
      <c r="A2302" s="7">
        <v>151828</v>
      </c>
      <c r="B2302" s="7" t="s">
        <v>21</v>
      </c>
      <c r="C2302" s="7" t="s">
        <v>14</v>
      </c>
      <c r="D2302" s="7">
        <v>956</v>
      </c>
      <c r="E2302" s="7">
        <v>190</v>
      </c>
      <c r="F2302" s="7">
        <v>303</v>
      </c>
      <c r="G2302" s="7">
        <v>4</v>
      </c>
      <c r="H2302" s="7">
        <v>8899</v>
      </c>
      <c r="I2302" s="7">
        <v>27</v>
      </c>
      <c r="J2302" s="7">
        <v>44</v>
      </c>
      <c r="K2302" s="7">
        <v>278</v>
      </c>
      <c r="L2302" s="7">
        <v>257</v>
      </c>
      <c r="M2302" s="7">
        <v>9.6666666669999994</v>
      </c>
      <c r="N2302">
        <f>VLOOKUP(A2302,vlookup_table!$A:$G,2,FALSE)</f>
        <v>1</v>
      </c>
      <c r="O2302" t="str">
        <f>VLOOKUP(A2302,vlookup_table!$A:$G,3,FALSE)</f>
        <v>CA</v>
      </c>
      <c r="P2302">
        <f>VLOOKUP(A2302,vlookup_table!$A:$G,4,FALSE)</f>
        <v>2701</v>
      </c>
      <c r="Q2302" t="str">
        <f>VLOOKUP(A2302,vlookup_table!$A:$G,5,FALSE)</f>
        <v>U4</v>
      </c>
      <c r="R2302" t="str">
        <f>VLOOKUP(A2302,vlookup_table!$A:$G,6,FALSE)</f>
        <v>M</v>
      </c>
      <c r="S2302">
        <f>VLOOKUP(A2302,vlookup_table!$A:$G,7,FALSE)</f>
        <v>10</v>
      </c>
      <c r="T2302">
        <f t="shared" si="70"/>
        <v>69</v>
      </c>
      <c r="U2302" t="str">
        <f t="shared" si="71"/>
        <v>Urbano</v>
      </c>
    </row>
    <row r="2303" spans="1:21" ht="16" x14ac:dyDescent="0.4">
      <c r="A2303" s="7">
        <v>162606</v>
      </c>
      <c r="B2303" s="7" t="s">
        <v>21</v>
      </c>
      <c r="C2303" s="7" t="s">
        <v>17</v>
      </c>
      <c r="D2303" s="7">
        <v>2653</v>
      </c>
      <c r="E2303" s="7">
        <v>418</v>
      </c>
      <c r="F2303" s="7">
        <v>444</v>
      </c>
      <c r="G2303" s="7">
        <v>86</v>
      </c>
      <c r="H2303" s="7">
        <v>13440</v>
      </c>
      <c r="I2303" s="7">
        <v>31</v>
      </c>
      <c r="J2303" s="7">
        <v>50</v>
      </c>
      <c r="K2303" s="7">
        <v>417</v>
      </c>
      <c r="L2303" s="7">
        <v>448</v>
      </c>
      <c r="M2303" s="7">
        <v>12.5</v>
      </c>
      <c r="N2303">
        <f>VLOOKUP(A2303,vlookup_table!$A:$G,2,FALSE)</f>
        <v>0</v>
      </c>
      <c r="O2303" t="str">
        <f>VLOOKUP(A2303,vlookup_table!$A:$G,3,FALSE)</f>
        <v>CA</v>
      </c>
      <c r="P2303">
        <f>VLOOKUP(A2303,vlookup_table!$A:$G,4,FALSE)</f>
        <v>4301</v>
      </c>
      <c r="Q2303" t="str">
        <f>VLOOKUP(A2303,vlookup_table!$A:$G,5,FALSE)</f>
        <v>S2</v>
      </c>
      <c r="R2303" t="str">
        <f>VLOOKUP(A2303,vlookup_table!$A:$G,6,FALSE)</f>
        <v>F</v>
      </c>
      <c r="S2303">
        <f>VLOOKUP(A2303,vlookup_table!$A:$G,7,FALSE)</f>
        <v>9</v>
      </c>
      <c r="T2303">
        <f t="shared" si="70"/>
        <v>53</v>
      </c>
      <c r="U2303" t="str">
        <f t="shared" si="71"/>
        <v>Suburbano</v>
      </c>
    </row>
    <row r="2304" spans="1:21" ht="16" x14ac:dyDescent="0.4">
      <c r="A2304" s="7">
        <v>141809</v>
      </c>
      <c r="B2304" s="7" t="s">
        <v>21</v>
      </c>
      <c r="C2304" s="7" t="s">
        <v>17</v>
      </c>
      <c r="D2304" s="7">
        <v>788</v>
      </c>
      <c r="E2304" s="7">
        <v>71</v>
      </c>
      <c r="F2304" s="7">
        <v>155</v>
      </c>
      <c r="G2304" s="7">
        <v>0</v>
      </c>
      <c r="H2304" s="7">
        <v>6409</v>
      </c>
      <c r="I2304" s="7">
        <v>28</v>
      </c>
      <c r="J2304" s="7">
        <v>33</v>
      </c>
      <c r="K2304" s="7">
        <v>119</v>
      </c>
      <c r="L2304" s="7">
        <v>116</v>
      </c>
      <c r="M2304" s="7">
        <v>8.1999999999999993</v>
      </c>
      <c r="N2304">
        <f>VLOOKUP(A2304,vlookup_table!$A:$G,2,FALSE)</f>
        <v>2</v>
      </c>
      <c r="O2304" t="str">
        <f>VLOOKUP(A2304,vlookup_table!$A:$G,3,FALSE)</f>
        <v>CA</v>
      </c>
      <c r="P2304">
        <f>VLOOKUP(A2304,vlookup_table!$A:$G,4,FALSE)</f>
        <v>0</v>
      </c>
      <c r="Q2304" t="str">
        <f>VLOOKUP(A2304,vlookup_table!$A:$G,5,FALSE)</f>
        <v>T3</v>
      </c>
      <c r="R2304" t="str">
        <f>VLOOKUP(A2304,vlookup_table!$A:$G,6,FALSE)</f>
        <v>F</v>
      </c>
      <c r="S2304">
        <f>VLOOKUP(A2304,vlookup_table!$A:$G,7,FALSE)</f>
        <v>8</v>
      </c>
      <c r="T2304">
        <f t="shared" si="70"/>
        <v>96</v>
      </c>
      <c r="U2304" t="str">
        <f t="shared" si="71"/>
        <v>Pueblo</v>
      </c>
    </row>
    <row r="2305" spans="1:21" ht="16" x14ac:dyDescent="0.4">
      <c r="A2305" s="7">
        <v>178884</v>
      </c>
      <c r="B2305" s="7" t="s">
        <v>37</v>
      </c>
      <c r="C2305" s="7" t="s">
        <v>14</v>
      </c>
      <c r="D2305" s="7">
        <v>1244</v>
      </c>
      <c r="E2305" s="7">
        <v>418</v>
      </c>
      <c r="F2305" s="7">
        <v>459</v>
      </c>
      <c r="G2305" s="7">
        <v>2</v>
      </c>
      <c r="H2305" s="7">
        <v>14816</v>
      </c>
      <c r="I2305" s="7">
        <v>10</v>
      </c>
      <c r="J2305" s="7">
        <v>46</v>
      </c>
      <c r="K2305" s="7">
        <v>423</v>
      </c>
      <c r="L2305" s="7">
        <v>450</v>
      </c>
      <c r="M2305" s="7">
        <v>15</v>
      </c>
      <c r="N2305">
        <f>VLOOKUP(A2305,vlookup_table!$A:$G,2,FALSE)</f>
        <v>2</v>
      </c>
      <c r="O2305" t="str">
        <f>VLOOKUP(A2305,vlookup_table!$A:$G,3,FALSE)</f>
        <v>WA</v>
      </c>
      <c r="P2305">
        <f>VLOOKUP(A2305,vlookup_table!$A:$G,4,FALSE)</f>
        <v>5201</v>
      </c>
      <c r="Q2305" t="str">
        <f>VLOOKUP(A2305,vlookup_table!$A:$G,5,FALSE)</f>
        <v>S2</v>
      </c>
      <c r="R2305" t="str">
        <f>VLOOKUP(A2305,vlookup_table!$A:$G,6,FALSE)</f>
        <v>M</v>
      </c>
      <c r="S2305">
        <f>VLOOKUP(A2305,vlookup_table!$A:$G,7,FALSE)</f>
        <v>15</v>
      </c>
      <c r="T2305">
        <f t="shared" si="70"/>
        <v>44</v>
      </c>
      <c r="U2305" t="str">
        <f t="shared" si="71"/>
        <v>Suburbano</v>
      </c>
    </row>
    <row r="2306" spans="1:21" ht="16" x14ac:dyDescent="0.4">
      <c r="A2306" s="7">
        <v>178098</v>
      </c>
      <c r="B2306" s="7" t="s">
        <v>47</v>
      </c>
      <c r="C2306" s="7" t="s">
        <v>17</v>
      </c>
      <c r="D2306" s="7">
        <v>407</v>
      </c>
      <c r="E2306" s="7">
        <v>186</v>
      </c>
      <c r="F2306" s="7">
        <v>271</v>
      </c>
      <c r="G2306" s="7">
        <v>0</v>
      </c>
      <c r="H2306" s="7">
        <v>9728</v>
      </c>
      <c r="I2306" s="7">
        <v>1</v>
      </c>
      <c r="J2306" s="7">
        <v>53</v>
      </c>
      <c r="K2306" s="7">
        <v>220</v>
      </c>
      <c r="L2306" s="7">
        <v>232</v>
      </c>
      <c r="M2306" s="7">
        <v>4.4117647059999996</v>
      </c>
      <c r="N2306">
        <f>VLOOKUP(A2306,vlookup_table!$A:$G,2,FALSE)</f>
        <v>2</v>
      </c>
      <c r="O2306" t="str">
        <f>VLOOKUP(A2306,vlookup_table!$A:$G,3,FALSE)</f>
        <v>OR</v>
      </c>
      <c r="P2306">
        <f>VLOOKUP(A2306,vlookup_table!$A:$G,4,FALSE)</f>
        <v>3103</v>
      </c>
      <c r="Q2306" t="str">
        <f>VLOOKUP(A2306,vlookup_table!$A:$G,5,FALSE)</f>
        <v>R2</v>
      </c>
      <c r="R2306" t="str">
        <f>VLOOKUP(A2306,vlookup_table!$A:$G,6,FALSE)</f>
        <v>F</v>
      </c>
      <c r="S2306">
        <f>VLOOKUP(A2306,vlookup_table!$A:$G,7,FALSE)</f>
        <v>6</v>
      </c>
      <c r="T2306">
        <f t="shared" si="70"/>
        <v>65</v>
      </c>
      <c r="U2306" t="str">
        <f t="shared" si="71"/>
        <v>Rural</v>
      </c>
    </row>
    <row r="2307" spans="1:21" ht="16" x14ac:dyDescent="0.4">
      <c r="A2307" s="7">
        <v>116082</v>
      </c>
      <c r="B2307" s="7" t="s">
        <v>20</v>
      </c>
      <c r="C2307" s="7" t="s">
        <v>14</v>
      </c>
      <c r="D2307" s="7">
        <v>569</v>
      </c>
      <c r="E2307" s="7">
        <v>328</v>
      </c>
      <c r="F2307" s="7">
        <v>359</v>
      </c>
      <c r="G2307" s="7">
        <v>0</v>
      </c>
      <c r="H2307" s="7">
        <v>11879</v>
      </c>
      <c r="I2307" s="7">
        <v>6</v>
      </c>
      <c r="J2307" s="7">
        <v>63</v>
      </c>
      <c r="K2307" s="7">
        <v>336</v>
      </c>
      <c r="L2307" s="7">
        <v>342</v>
      </c>
      <c r="M2307" s="7">
        <v>7.3333333329999997</v>
      </c>
      <c r="N2307">
        <f>VLOOKUP(A2307,vlookup_table!$A:$G,2,FALSE)</f>
        <v>1</v>
      </c>
      <c r="O2307" t="str">
        <f>VLOOKUP(A2307,vlookup_table!$A:$G,3,FALSE)</f>
        <v>TX</v>
      </c>
      <c r="P2307">
        <f>VLOOKUP(A2307,vlookup_table!$A:$G,4,FALSE)</f>
        <v>3301</v>
      </c>
      <c r="Q2307" t="str">
        <f>VLOOKUP(A2307,vlookup_table!$A:$G,5,FALSE)</f>
        <v>C2</v>
      </c>
      <c r="R2307" t="str">
        <f>VLOOKUP(A2307,vlookup_table!$A:$G,6,FALSE)</f>
        <v>M</v>
      </c>
      <c r="S2307">
        <f>VLOOKUP(A2307,vlookup_table!$A:$G,7,FALSE)</f>
        <v>10</v>
      </c>
      <c r="T2307">
        <f t="shared" ref="T2307:T2370" si="72">97-LEFT(P2307,2)-IF(RIGHT(P2307,2)&gt;6,1,0)</f>
        <v>63</v>
      </c>
      <c r="U2307" t="str">
        <f t="shared" ref="U2307:U2370" si="73">IF(LEFT(Q2307,1)="C","Ciudad",IF(LEFT(Q2307,1)="T","Pueblo",IF(LEFT(Q2307,1)="R","Rural",IF(LEFT(Q2307,1)="S","Suburbano",IF(LEFT(Q2307,1)="U","Urbano","")))))</f>
        <v>Ciudad</v>
      </c>
    </row>
    <row r="2308" spans="1:21" ht="16" x14ac:dyDescent="0.4">
      <c r="A2308" s="7">
        <v>190769</v>
      </c>
      <c r="B2308" s="7" t="s">
        <v>29</v>
      </c>
      <c r="C2308" s="7" t="s">
        <v>14</v>
      </c>
      <c r="D2308" s="7">
        <v>855</v>
      </c>
      <c r="E2308" s="7">
        <v>257</v>
      </c>
      <c r="F2308" s="7">
        <v>374</v>
      </c>
      <c r="G2308" s="7">
        <v>6</v>
      </c>
      <c r="H2308" s="7">
        <v>14500</v>
      </c>
      <c r="I2308" s="7">
        <v>1</v>
      </c>
      <c r="J2308" s="7">
        <v>56</v>
      </c>
      <c r="K2308" s="7">
        <v>267</v>
      </c>
      <c r="L2308" s="7">
        <v>345</v>
      </c>
      <c r="M2308" s="7">
        <v>10</v>
      </c>
      <c r="N2308">
        <f>VLOOKUP(A2308,vlookup_table!$A:$G,2,FALSE)</f>
        <v>0</v>
      </c>
      <c r="O2308" t="str">
        <f>VLOOKUP(A2308,vlookup_table!$A:$G,3,FALSE)</f>
        <v>AR</v>
      </c>
      <c r="P2308">
        <f>VLOOKUP(A2308,vlookup_table!$A:$G,4,FALSE)</f>
        <v>0</v>
      </c>
      <c r="Q2308" t="str">
        <f>VLOOKUP(A2308,vlookup_table!$A:$G,5,FALSE)</f>
        <v>S2</v>
      </c>
      <c r="R2308" t="str">
        <f>VLOOKUP(A2308,vlookup_table!$A:$G,6,FALSE)</f>
        <v>M</v>
      </c>
      <c r="S2308">
        <f>VLOOKUP(A2308,vlookup_table!$A:$G,7,FALSE)</f>
        <v>10</v>
      </c>
      <c r="T2308">
        <f t="shared" si="72"/>
        <v>96</v>
      </c>
      <c r="U2308" t="str">
        <f t="shared" si="73"/>
        <v>Suburbano</v>
      </c>
    </row>
    <row r="2309" spans="1:21" ht="16" x14ac:dyDescent="0.4">
      <c r="A2309" s="7">
        <v>177087</v>
      </c>
      <c r="B2309" s="7" t="s">
        <v>47</v>
      </c>
      <c r="C2309" s="7" t="s">
        <v>14</v>
      </c>
      <c r="D2309" s="7">
        <v>619</v>
      </c>
      <c r="E2309" s="7">
        <v>372</v>
      </c>
      <c r="F2309" s="7">
        <v>423</v>
      </c>
      <c r="G2309" s="7">
        <v>0</v>
      </c>
      <c r="H2309" s="7">
        <v>13208</v>
      </c>
      <c r="I2309" s="7">
        <v>0</v>
      </c>
      <c r="J2309" s="7">
        <v>42</v>
      </c>
      <c r="K2309" s="7">
        <v>394</v>
      </c>
      <c r="L2309" s="7">
        <v>409</v>
      </c>
      <c r="M2309" s="7">
        <v>11.4</v>
      </c>
      <c r="N2309">
        <f>VLOOKUP(A2309,vlookup_table!$A:$G,2,FALSE)</f>
        <v>0</v>
      </c>
      <c r="O2309" t="str">
        <f>VLOOKUP(A2309,vlookup_table!$A:$G,3,FALSE)</f>
        <v>OR</v>
      </c>
      <c r="P2309">
        <f>VLOOKUP(A2309,vlookup_table!$A:$G,4,FALSE)</f>
        <v>6401</v>
      </c>
      <c r="Q2309" t="str">
        <f>VLOOKUP(A2309,vlookup_table!$A:$G,5,FALSE)</f>
        <v>C2</v>
      </c>
      <c r="R2309" t="str">
        <f>VLOOKUP(A2309,vlookup_table!$A:$G,6,FALSE)</f>
        <v>M</v>
      </c>
      <c r="S2309">
        <f>VLOOKUP(A2309,vlookup_table!$A:$G,7,FALSE)</f>
        <v>12</v>
      </c>
      <c r="T2309">
        <f t="shared" si="72"/>
        <v>32</v>
      </c>
      <c r="U2309" t="str">
        <f t="shared" si="73"/>
        <v>Ciudad</v>
      </c>
    </row>
    <row r="2310" spans="1:21" ht="16" x14ac:dyDescent="0.4">
      <c r="A2310" s="7">
        <v>101654</v>
      </c>
      <c r="B2310" s="7" t="s">
        <v>33</v>
      </c>
      <c r="C2310" s="7" t="s">
        <v>17</v>
      </c>
      <c r="D2310" s="7">
        <v>634</v>
      </c>
      <c r="E2310" s="7">
        <v>322</v>
      </c>
      <c r="F2310" s="7">
        <v>406</v>
      </c>
      <c r="G2310" s="7">
        <v>0</v>
      </c>
      <c r="H2310" s="7">
        <v>14128</v>
      </c>
      <c r="I2310" s="7">
        <v>1</v>
      </c>
      <c r="J2310" s="7">
        <v>64</v>
      </c>
      <c r="K2310" s="7">
        <v>378</v>
      </c>
      <c r="L2310" s="7">
        <v>355</v>
      </c>
      <c r="M2310" s="7">
        <v>15.33333333</v>
      </c>
      <c r="N2310">
        <f>VLOOKUP(A2310,vlookup_table!$A:$G,2,FALSE)</f>
        <v>0</v>
      </c>
      <c r="O2310" t="str">
        <f>VLOOKUP(A2310,vlookup_table!$A:$G,3,FALSE)</f>
        <v>MO</v>
      </c>
      <c r="P2310">
        <f>VLOOKUP(A2310,vlookup_table!$A:$G,4,FALSE)</f>
        <v>4201</v>
      </c>
      <c r="Q2310" t="str">
        <f>VLOOKUP(A2310,vlookup_table!$A:$G,5,FALSE)</f>
        <v>C2</v>
      </c>
      <c r="R2310" t="str">
        <f>VLOOKUP(A2310,vlookup_table!$A:$G,6,FALSE)</f>
        <v>F</v>
      </c>
      <c r="S2310">
        <f>VLOOKUP(A2310,vlookup_table!$A:$G,7,FALSE)</f>
        <v>18</v>
      </c>
      <c r="T2310">
        <f t="shared" si="72"/>
        <v>54</v>
      </c>
      <c r="U2310" t="str">
        <f t="shared" si="73"/>
        <v>Ciudad</v>
      </c>
    </row>
    <row r="2311" spans="1:21" ht="16" x14ac:dyDescent="0.4">
      <c r="A2311" s="7">
        <v>62760</v>
      </c>
      <c r="B2311" s="7" t="s">
        <v>30</v>
      </c>
      <c r="C2311" s="7" t="s">
        <v>14</v>
      </c>
      <c r="D2311" s="7">
        <v>397</v>
      </c>
      <c r="E2311" s="7">
        <v>297</v>
      </c>
      <c r="F2311" s="7">
        <v>362</v>
      </c>
      <c r="G2311" s="7">
        <v>0</v>
      </c>
      <c r="H2311" s="7">
        <v>11981</v>
      </c>
      <c r="I2311" s="7">
        <v>1</v>
      </c>
      <c r="J2311" s="7">
        <v>79</v>
      </c>
      <c r="K2311" s="7">
        <v>340</v>
      </c>
      <c r="L2311" s="7">
        <v>317</v>
      </c>
      <c r="M2311" s="7">
        <v>3.7</v>
      </c>
      <c r="N2311">
        <f>VLOOKUP(A2311,vlookup_table!$A:$G,2,FALSE)</f>
        <v>0</v>
      </c>
      <c r="O2311" t="str">
        <f>VLOOKUP(A2311,vlookup_table!$A:$G,3,FALSE)</f>
        <v>IN</v>
      </c>
      <c r="P2311">
        <f>VLOOKUP(A2311,vlookup_table!$A:$G,4,FALSE)</f>
        <v>0</v>
      </c>
      <c r="Q2311" t="str">
        <f>VLOOKUP(A2311,vlookup_table!$A:$G,5,FALSE)</f>
        <v>R2</v>
      </c>
      <c r="R2311" t="str">
        <f>VLOOKUP(A2311,vlookup_table!$A:$G,6,FALSE)</f>
        <v>M</v>
      </c>
      <c r="S2311">
        <f>VLOOKUP(A2311,vlookup_table!$A:$G,7,FALSE)</f>
        <v>5</v>
      </c>
      <c r="T2311">
        <f t="shared" si="72"/>
        <v>96</v>
      </c>
      <c r="U2311" t="str">
        <f t="shared" si="73"/>
        <v>Rural</v>
      </c>
    </row>
    <row r="2312" spans="1:21" ht="16" x14ac:dyDescent="0.4">
      <c r="A2312" s="7">
        <v>135406</v>
      </c>
      <c r="B2312" s="7" t="s">
        <v>51</v>
      </c>
      <c r="C2312" s="7" t="s">
        <v>14</v>
      </c>
      <c r="D2312" s="7">
        <v>742</v>
      </c>
      <c r="E2312" s="7">
        <v>395</v>
      </c>
      <c r="F2312" s="7">
        <v>441</v>
      </c>
      <c r="G2312" s="7">
        <v>0</v>
      </c>
      <c r="H2312" s="7">
        <v>13179</v>
      </c>
      <c r="I2312" s="7">
        <v>2</v>
      </c>
      <c r="J2312" s="7">
        <v>36</v>
      </c>
      <c r="K2312" s="7">
        <v>399</v>
      </c>
      <c r="L2312" s="7">
        <v>421</v>
      </c>
      <c r="M2312" s="7">
        <v>11</v>
      </c>
      <c r="N2312">
        <f>VLOOKUP(A2312,vlookup_table!$A:$G,2,FALSE)</f>
        <v>1</v>
      </c>
      <c r="O2312" t="str">
        <f>VLOOKUP(A2312,vlookup_table!$A:$G,3,FALSE)</f>
        <v>AZ</v>
      </c>
      <c r="P2312">
        <f>VLOOKUP(A2312,vlookup_table!$A:$G,4,FALSE)</f>
        <v>4106</v>
      </c>
      <c r="Q2312" t="str">
        <f>VLOOKUP(A2312,vlookup_table!$A:$G,5,FALSE)</f>
        <v>S2</v>
      </c>
      <c r="R2312" t="str">
        <f>VLOOKUP(A2312,vlookup_table!$A:$G,6,FALSE)</f>
        <v>M</v>
      </c>
      <c r="S2312">
        <f>VLOOKUP(A2312,vlookup_table!$A:$G,7,FALSE)</f>
        <v>25</v>
      </c>
      <c r="T2312">
        <f t="shared" si="72"/>
        <v>55</v>
      </c>
      <c r="U2312" t="str">
        <f t="shared" si="73"/>
        <v>Suburbano</v>
      </c>
    </row>
    <row r="2313" spans="1:21" ht="16" x14ac:dyDescent="0.4">
      <c r="A2313" s="7">
        <v>142409</v>
      </c>
      <c r="B2313" s="7" t="s">
        <v>23</v>
      </c>
      <c r="C2313" s="7" t="s">
        <v>14</v>
      </c>
      <c r="D2313" s="7">
        <v>607</v>
      </c>
      <c r="E2313" s="7">
        <v>356</v>
      </c>
      <c r="F2313" s="7">
        <v>431</v>
      </c>
      <c r="G2313" s="7">
        <v>1</v>
      </c>
      <c r="H2313" s="7">
        <v>13714</v>
      </c>
      <c r="I2313" s="7">
        <v>7</v>
      </c>
      <c r="J2313" s="7">
        <v>26</v>
      </c>
      <c r="K2313" s="7">
        <v>397</v>
      </c>
      <c r="L2313" s="7">
        <v>393</v>
      </c>
      <c r="M2313" s="7">
        <v>7.6666666670000003</v>
      </c>
      <c r="N2313">
        <f>VLOOKUP(A2313,vlookup_table!$A:$G,2,FALSE)</f>
        <v>1</v>
      </c>
      <c r="O2313" t="str">
        <f>VLOOKUP(A2313,vlookup_table!$A:$G,3,FALSE)</f>
        <v>NV</v>
      </c>
      <c r="P2313">
        <f>VLOOKUP(A2313,vlookup_table!$A:$G,4,FALSE)</f>
        <v>2201</v>
      </c>
      <c r="Q2313" t="str">
        <f>VLOOKUP(A2313,vlookup_table!$A:$G,5,FALSE)</f>
        <v>R2</v>
      </c>
      <c r="R2313" t="str">
        <f>VLOOKUP(A2313,vlookup_table!$A:$G,6,FALSE)</f>
        <v>M</v>
      </c>
      <c r="S2313">
        <f>VLOOKUP(A2313,vlookup_table!$A:$G,7,FALSE)</f>
        <v>10</v>
      </c>
      <c r="T2313">
        <f t="shared" si="72"/>
        <v>74</v>
      </c>
      <c r="U2313" t="str">
        <f t="shared" si="73"/>
        <v>Rural</v>
      </c>
    </row>
    <row r="2314" spans="1:21" ht="16" x14ac:dyDescent="0.4">
      <c r="A2314" s="7">
        <v>79627</v>
      </c>
      <c r="B2314" s="7" t="s">
        <v>32</v>
      </c>
      <c r="C2314" s="7" t="s">
        <v>14</v>
      </c>
      <c r="D2314" s="7">
        <v>2083</v>
      </c>
      <c r="E2314" s="7">
        <v>264</v>
      </c>
      <c r="F2314" s="7">
        <v>493</v>
      </c>
      <c r="G2314" s="7">
        <v>52</v>
      </c>
      <c r="H2314" s="7">
        <v>19012</v>
      </c>
      <c r="I2314" s="7">
        <v>6</v>
      </c>
      <c r="J2314" s="7">
        <v>61</v>
      </c>
      <c r="K2314" s="7">
        <v>338</v>
      </c>
      <c r="L2314" s="7">
        <v>393</v>
      </c>
      <c r="M2314" s="7">
        <v>9.375</v>
      </c>
      <c r="N2314">
        <f>VLOOKUP(A2314,vlookup_table!$A:$G,2,FALSE)</f>
        <v>1</v>
      </c>
      <c r="O2314" t="str">
        <f>VLOOKUP(A2314,vlookup_table!$A:$G,3,FALSE)</f>
        <v>WI</v>
      </c>
      <c r="P2314">
        <f>VLOOKUP(A2314,vlookup_table!$A:$G,4,FALSE)</f>
        <v>2408</v>
      </c>
      <c r="Q2314" t="str">
        <f>VLOOKUP(A2314,vlookup_table!$A:$G,5,FALSE)</f>
        <v>S1</v>
      </c>
      <c r="R2314" t="str">
        <f>VLOOKUP(A2314,vlookup_table!$A:$G,6,FALSE)</f>
        <v>M</v>
      </c>
      <c r="S2314">
        <f>VLOOKUP(A2314,vlookup_table!$A:$G,7,FALSE)</f>
        <v>10</v>
      </c>
      <c r="T2314">
        <f t="shared" si="72"/>
        <v>72</v>
      </c>
      <c r="U2314" t="str">
        <f t="shared" si="73"/>
        <v>Suburbano</v>
      </c>
    </row>
    <row r="2315" spans="1:21" ht="16" x14ac:dyDescent="0.4">
      <c r="A2315" s="7">
        <v>27310</v>
      </c>
      <c r="B2315" s="7" t="s">
        <v>36</v>
      </c>
      <c r="C2315" s="7" t="s">
        <v>14</v>
      </c>
      <c r="D2315" s="7">
        <v>866</v>
      </c>
      <c r="E2315" s="7">
        <v>457</v>
      </c>
      <c r="F2315" s="7">
        <v>506</v>
      </c>
      <c r="G2315" s="7">
        <v>0</v>
      </c>
      <c r="H2315" s="7">
        <v>15079</v>
      </c>
      <c r="I2315" s="7">
        <v>1</v>
      </c>
      <c r="J2315" s="7">
        <v>63</v>
      </c>
      <c r="K2315" s="7">
        <v>458</v>
      </c>
      <c r="L2315" s="7">
        <v>501</v>
      </c>
      <c r="M2315" s="7">
        <v>10</v>
      </c>
      <c r="N2315">
        <f>VLOOKUP(A2315,vlookup_table!$A:$G,2,FALSE)</f>
        <v>1</v>
      </c>
      <c r="O2315" t="str">
        <f>VLOOKUP(A2315,vlookup_table!$A:$G,3,FALSE)</f>
        <v>GA</v>
      </c>
      <c r="P2315">
        <f>VLOOKUP(A2315,vlookup_table!$A:$G,4,FALSE)</f>
        <v>2101</v>
      </c>
      <c r="Q2315" t="str">
        <f>VLOOKUP(A2315,vlookup_table!$A:$G,5,FALSE)</f>
        <v>T2</v>
      </c>
      <c r="R2315" t="str">
        <f>VLOOKUP(A2315,vlookup_table!$A:$G,6,FALSE)</f>
        <v>M</v>
      </c>
      <c r="S2315">
        <f>VLOOKUP(A2315,vlookup_table!$A:$G,7,FALSE)</f>
        <v>15</v>
      </c>
      <c r="T2315">
        <f t="shared" si="72"/>
        <v>75</v>
      </c>
      <c r="U2315" t="str">
        <f t="shared" si="73"/>
        <v>Pueblo</v>
      </c>
    </row>
    <row r="2316" spans="1:21" ht="16" x14ac:dyDescent="0.4">
      <c r="A2316" s="7">
        <v>122131</v>
      </c>
      <c r="B2316" s="7" t="s">
        <v>20</v>
      </c>
      <c r="C2316" s="7" t="s">
        <v>17</v>
      </c>
      <c r="D2316" s="7">
        <v>831</v>
      </c>
      <c r="E2316" s="7">
        <v>597</v>
      </c>
      <c r="F2316" s="7">
        <v>629</v>
      </c>
      <c r="G2316" s="7">
        <v>0</v>
      </c>
      <c r="H2316" s="7">
        <v>18705</v>
      </c>
      <c r="I2316" s="7">
        <v>12</v>
      </c>
      <c r="J2316" s="7">
        <v>59</v>
      </c>
      <c r="K2316" s="7">
        <v>601</v>
      </c>
      <c r="L2316" s="7">
        <v>625</v>
      </c>
      <c r="M2316" s="7">
        <v>19.25</v>
      </c>
      <c r="N2316">
        <f>VLOOKUP(A2316,vlookup_table!$A:$G,2,FALSE)</f>
        <v>0</v>
      </c>
      <c r="O2316" t="str">
        <f>VLOOKUP(A2316,vlookup_table!$A:$G,3,FALSE)</f>
        <v>TX</v>
      </c>
      <c r="P2316">
        <f>VLOOKUP(A2316,vlookup_table!$A:$G,4,FALSE)</f>
        <v>4601</v>
      </c>
      <c r="Q2316" t="str">
        <f>VLOOKUP(A2316,vlookup_table!$A:$G,5,FALSE)</f>
        <v>S1</v>
      </c>
      <c r="R2316" t="str">
        <f>VLOOKUP(A2316,vlookup_table!$A:$G,6,FALSE)</f>
        <v>F</v>
      </c>
      <c r="S2316">
        <f>VLOOKUP(A2316,vlookup_table!$A:$G,7,FALSE)</f>
        <v>15</v>
      </c>
      <c r="T2316">
        <f t="shared" si="72"/>
        <v>50</v>
      </c>
      <c r="U2316" t="str">
        <f t="shared" si="73"/>
        <v>Suburbano</v>
      </c>
    </row>
    <row r="2317" spans="1:21" ht="16" x14ac:dyDescent="0.4">
      <c r="A2317" s="7">
        <v>131169</v>
      </c>
      <c r="B2317" s="7" t="s">
        <v>45</v>
      </c>
      <c r="C2317" s="7" t="s">
        <v>17</v>
      </c>
      <c r="D2317" s="7">
        <v>1782</v>
      </c>
      <c r="E2317" s="7">
        <v>537</v>
      </c>
      <c r="F2317" s="7">
        <v>749</v>
      </c>
      <c r="G2317" s="7">
        <v>35</v>
      </c>
      <c r="H2317" s="7">
        <v>28303</v>
      </c>
      <c r="I2317" s="7">
        <v>5</v>
      </c>
      <c r="J2317" s="7">
        <v>36</v>
      </c>
      <c r="K2317" s="7">
        <v>704</v>
      </c>
      <c r="L2317" s="7">
        <v>650</v>
      </c>
      <c r="M2317" s="7">
        <v>18.125</v>
      </c>
      <c r="N2317">
        <f>VLOOKUP(A2317,vlookup_table!$A:$G,2,FALSE)</f>
        <v>2</v>
      </c>
      <c r="O2317" t="str">
        <f>VLOOKUP(A2317,vlookup_table!$A:$G,3,FALSE)</f>
        <v>CO</v>
      </c>
      <c r="P2317">
        <f>VLOOKUP(A2317,vlookup_table!$A:$G,4,FALSE)</f>
        <v>2612</v>
      </c>
      <c r="Q2317" t="str">
        <f>VLOOKUP(A2317,vlookup_table!$A:$G,5,FALSE)</f>
        <v>C2</v>
      </c>
      <c r="R2317" t="str">
        <f>VLOOKUP(A2317,vlookup_table!$A:$G,6,FALSE)</f>
        <v>F</v>
      </c>
      <c r="S2317">
        <f>VLOOKUP(A2317,vlookup_table!$A:$G,7,FALSE)</f>
        <v>25</v>
      </c>
      <c r="T2317">
        <f t="shared" si="72"/>
        <v>70</v>
      </c>
      <c r="U2317" t="str">
        <f t="shared" si="73"/>
        <v>Ciudad</v>
      </c>
    </row>
    <row r="2318" spans="1:21" ht="16" x14ac:dyDescent="0.4">
      <c r="A2318" s="7">
        <v>78009</v>
      </c>
      <c r="B2318" s="7" t="s">
        <v>32</v>
      </c>
      <c r="C2318" s="7" t="s">
        <v>17</v>
      </c>
      <c r="D2318" s="7">
        <v>804</v>
      </c>
      <c r="E2318" s="7">
        <v>426</v>
      </c>
      <c r="F2318" s="7">
        <v>470</v>
      </c>
      <c r="G2318" s="7">
        <v>0</v>
      </c>
      <c r="H2318" s="7">
        <v>14328</v>
      </c>
      <c r="I2318" s="7">
        <v>2</v>
      </c>
      <c r="J2318" s="7">
        <v>89</v>
      </c>
      <c r="K2318" s="7">
        <v>445</v>
      </c>
      <c r="L2318" s="7">
        <v>454</v>
      </c>
      <c r="M2318" s="7">
        <v>20</v>
      </c>
      <c r="N2318">
        <f>VLOOKUP(A2318,vlookup_table!$A:$G,2,FALSE)</f>
        <v>0</v>
      </c>
      <c r="O2318" t="str">
        <f>VLOOKUP(A2318,vlookup_table!$A:$G,3,FALSE)</f>
        <v>WI</v>
      </c>
      <c r="P2318">
        <f>VLOOKUP(A2318,vlookup_table!$A:$G,4,FALSE)</f>
        <v>0</v>
      </c>
      <c r="Q2318" t="str">
        <f>VLOOKUP(A2318,vlookup_table!$A:$G,5,FALSE)</f>
        <v>T2</v>
      </c>
      <c r="R2318" t="str">
        <f>VLOOKUP(A2318,vlookup_table!$A:$G,6,FALSE)</f>
        <v>F</v>
      </c>
      <c r="S2318">
        <f>VLOOKUP(A2318,vlookup_table!$A:$G,7,FALSE)</f>
        <v>20</v>
      </c>
      <c r="T2318">
        <f t="shared" si="72"/>
        <v>96</v>
      </c>
      <c r="U2318" t="str">
        <f t="shared" si="73"/>
        <v>Pueblo</v>
      </c>
    </row>
    <row r="2319" spans="1:21" ht="16" x14ac:dyDescent="0.4">
      <c r="A2319" s="7">
        <v>86445</v>
      </c>
      <c r="B2319" s="7" t="s">
        <v>42</v>
      </c>
      <c r="C2319" s="7" t="s">
        <v>17</v>
      </c>
      <c r="D2319" s="7">
        <v>751</v>
      </c>
      <c r="E2319" s="7">
        <v>304</v>
      </c>
      <c r="F2319" s="7">
        <v>381</v>
      </c>
      <c r="G2319" s="7">
        <v>0</v>
      </c>
      <c r="H2319" s="7">
        <v>13051</v>
      </c>
      <c r="I2319" s="7">
        <v>1</v>
      </c>
      <c r="J2319" s="7">
        <v>64</v>
      </c>
      <c r="K2319" s="7">
        <v>340</v>
      </c>
      <c r="L2319" s="7">
        <v>338</v>
      </c>
      <c r="M2319" s="7">
        <v>8.625</v>
      </c>
      <c r="N2319">
        <f>VLOOKUP(A2319,vlookup_table!$A:$G,2,FALSE)</f>
        <v>0</v>
      </c>
      <c r="O2319" t="str">
        <f>VLOOKUP(A2319,vlookup_table!$A:$G,3,FALSE)</f>
        <v>ND</v>
      </c>
      <c r="P2319">
        <f>VLOOKUP(A2319,vlookup_table!$A:$G,4,FALSE)</f>
        <v>4506</v>
      </c>
      <c r="Q2319" t="str">
        <f>VLOOKUP(A2319,vlookup_table!$A:$G,5,FALSE)</f>
        <v>C1</v>
      </c>
      <c r="R2319" t="str">
        <f>VLOOKUP(A2319,vlookup_table!$A:$G,6,FALSE)</f>
        <v>F</v>
      </c>
      <c r="S2319">
        <f>VLOOKUP(A2319,vlookup_table!$A:$G,7,FALSE)</f>
        <v>15</v>
      </c>
      <c r="T2319">
        <f t="shared" si="72"/>
        <v>51</v>
      </c>
      <c r="U2319" t="str">
        <f t="shared" si="73"/>
        <v>Ciudad</v>
      </c>
    </row>
    <row r="2320" spans="1:21" ht="16" x14ac:dyDescent="0.4">
      <c r="A2320" s="7">
        <v>162343</v>
      </c>
      <c r="B2320" s="7" t="s">
        <v>21</v>
      </c>
      <c r="C2320" s="7" t="s">
        <v>14</v>
      </c>
      <c r="D2320" s="7">
        <v>5283</v>
      </c>
      <c r="E2320" s="7">
        <v>613</v>
      </c>
      <c r="F2320" s="7">
        <v>742</v>
      </c>
      <c r="G2320" s="7">
        <v>99</v>
      </c>
      <c r="H2320" s="7">
        <v>29050</v>
      </c>
      <c r="I2320" s="7">
        <v>30</v>
      </c>
      <c r="J2320" s="7">
        <v>50</v>
      </c>
      <c r="K2320" s="7">
        <v>696</v>
      </c>
      <c r="L2320" s="7">
        <v>674</v>
      </c>
      <c r="M2320" s="7">
        <v>10.636363640000001</v>
      </c>
      <c r="N2320">
        <f>VLOOKUP(A2320,vlookup_table!$A:$G,2,FALSE)</f>
        <v>0</v>
      </c>
      <c r="O2320" t="str">
        <f>VLOOKUP(A2320,vlookup_table!$A:$G,3,FALSE)</f>
        <v>CA</v>
      </c>
      <c r="P2320">
        <f>VLOOKUP(A2320,vlookup_table!$A:$G,4,FALSE)</f>
        <v>4701</v>
      </c>
      <c r="Q2320" t="str">
        <f>VLOOKUP(A2320,vlookup_table!$A:$G,5,FALSE)</f>
        <v>S1</v>
      </c>
      <c r="R2320" t="str">
        <f>VLOOKUP(A2320,vlookup_table!$A:$G,6,FALSE)</f>
        <v>M</v>
      </c>
      <c r="S2320">
        <f>VLOOKUP(A2320,vlookup_table!$A:$G,7,FALSE)</f>
        <v>20</v>
      </c>
      <c r="T2320">
        <f t="shared" si="72"/>
        <v>49</v>
      </c>
      <c r="U2320" t="str">
        <f t="shared" si="73"/>
        <v>Suburbano</v>
      </c>
    </row>
    <row r="2321" spans="1:21" ht="16" x14ac:dyDescent="0.4">
      <c r="A2321" s="7">
        <v>35316</v>
      </c>
      <c r="B2321" s="7" t="s">
        <v>13</v>
      </c>
      <c r="C2321" s="7" t="s">
        <v>17</v>
      </c>
      <c r="D2321" s="7">
        <v>845</v>
      </c>
      <c r="E2321" s="7">
        <v>289</v>
      </c>
      <c r="F2321" s="7">
        <v>436</v>
      </c>
      <c r="G2321" s="7">
        <v>1</v>
      </c>
      <c r="H2321" s="7">
        <v>16460</v>
      </c>
      <c r="I2321" s="7">
        <v>11</v>
      </c>
      <c r="J2321" s="7">
        <v>20</v>
      </c>
      <c r="K2321" s="7">
        <v>372</v>
      </c>
      <c r="L2321" s="7">
        <v>358</v>
      </c>
      <c r="M2321" s="7">
        <v>9.9375</v>
      </c>
      <c r="N2321">
        <f>VLOOKUP(A2321,vlookup_table!$A:$G,2,FALSE)</f>
        <v>28</v>
      </c>
      <c r="O2321" t="str">
        <f>VLOOKUP(A2321,vlookup_table!$A:$G,3,FALSE)</f>
        <v>FL</v>
      </c>
      <c r="P2321">
        <f>VLOOKUP(A2321,vlookup_table!$A:$G,4,FALSE)</f>
        <v>2403</v>
      </c>
      <c r="Q2321" t="str">
        <f>VLOOKUP(A2321,vlookup_table!$A:$G,5,FALSE)</f>
        <v>C2</v>
      </c>
      <c r="R2321" t="str">
        <f>VLOOKUP(A2321,vlookup_table!$A:$G,6,FALSE)</f>
        <v>F</v>
      </c>
      <c r="S2321">
        <f>VLOOKUP(A2321,vlookup_table!$A:$G,7,FALSE)</f>
        <v>14</v>
      </c>
      <c r="T2321">
        <f t="shared" si="72"/>
        <v>72</v>
      </c>
      <c r="U2321" t="str">
        <f t="shared" si="73"/>
        <v>Ciudad</v>
      </c>
    </row>
    <row r="2322" spans="1:21" ht="16" x14ac:dyDescent="0.4">
      <c r="A2322" s="7">
        <v>148946</v>
      </c>
      <c r="B2322" s="7" t="s">
        <v>21</v>
      </c>
      <c r="C2322" s="7" t="s">
        <v>17</v>
      </c>
      <c r="D2322" s="7">
        <v>1756</v>
      </c>
      <c r="E2322" s="7">
        <v>349</v>
      </c>
      <c r="F2322" s="7">
        <v>388</v>
      </c>
      <c r="G2322" s="7">
        <v>18</v>
      </c>
      <c r="H2322" s="7">
        <v>10285</v>
      </c>
      <c r="I2322" s="7">
        <v>48</v>
      </c>
      <c r="J2322" s="7">
        <v>38</v>
      </c>
      <c r="K2322" s="7">
        <v>355</v>
      </c>
      <c r="L2322" s="7">
        <v>384</v>
      </c>
      <c r="M2322" s="7">
        <v>13</v>
      </c>
      <c r="N2322">
        <f>VLOOKUP(A2322,vlookup_table!$A:$G,2,FALSE)</f>
        <v>0</v>
      </c>
      <c r="O2322" t="str">
        <f>VLOOKUP(A2322,vlookup_table!$A:$G,3,FALSE)</f>
        <v>CA</v>
      </c>
      <c r="P2322">
        <f>VLOOKUP(A2322,vlookup_table!$A:$G,4,FALSE)</f>
        <v>0</v>
      </c>
      <c r="Q2322" t="str">
        <f>VLOOKUP(A2322,vlookup_table!$A:$G,5,FALSE)</f>
        <v>U3</v>
      </c>
      <c r="R2322" t="str">
        <f>VLOOKUP(A2322,vlookup_table!$A:$G,6,FALSE)</f>
        <v>F</v>
      </c>
      <c r="S2322">
        <f>VLOOKUP(A2322,vlookup_table!$A:$G,7,FALSE)</f>
        <v>10</v>
      </c>
      <c r="T2322">
        <f t="shared" si="72"/>
        <v>96</v>
      </c>
      <c r="U2322" t="str">
        <f t="shared" si="73"/>
        <v>Urbano</v>
      </c>
    </row>
    <row r="2323" spans="1:21" ht="16" x14ac:dyDescent="0.4">
      <c r="A2323" s="7">
        <v>5524</v>
      </c>
      <c r="B2323" s="7" t="s">
        <v>51</v>
      </c>
      <c r="C2323" s="7" t="s">
        <v>97</v>
      </c>
      <c r="D2323" s="7">
        <v>1084</v>
      </c>
      <c r="E2323" s="7">
        <v>365</v>
      </c>
      <c r="F2323" s="7">
        <v>462</v>
      </c>
      <c r="G2323" s="7">
        <v>2</v>
      </c>
      <c r="H2323" s="7">
        <v>17575</v>
      </c>
      <c r="I2323" s="7">
        <v>7</v>
      </c>
      <c r="J2323" s="7">
        <v>18</v>
      </c>
      <c r="K2323" s="7">
        <v>411</v>
      </c>
      <c r="L2323" s="7">
        <v>434</v>
      </c>
      <c r="M2323" s="7">
        <v>13.88888889</v>
      </c>
      <c r="N2323">
        <f>VLOOKUP(A2323,vlookup_table!$A:$G,2,FALSE)</f>
        <v>2</v>
      </c>
      <c r="O2323" t="str">
        <f>VLOOKUP(A2323,vlookup_table!$A:$G,3,FALSE)</f>
        <v>AZ</v>
      </c>
      <c r="P2323">
        <f>VLOOKUP(A2323,vlookup_table!$A:$G,4,FALSE)</f>
        <v>2301</v>
      </c>
      <c r="Q2323" t="str">
        <f>VLOOKUP(A2323,vlookup_table!$A:$G,5,FALSE)</f>
        <v>T1</v>
      </c>
      <c r="R2323" t="str">
        <f>VLOOKUP(A2323,vlookup_table!$A:$G,6,FALSE)</f>
        <v>F</v>
      </c>
      <c r="S2323">
        <f>VLOOKUP(A2323,vlookup_table!$A:$G,7,FALSE)</f>
        <v>15</v>
      </c>
      <c r="T2323">
        <f t="shared" si="72"/>
        <v>73</v>
      </c>
      <c r="U2323" t="str">
        <f t="shared" si="73"/>
        <v>Pueblo</v>
      </c>
    </row>
    <row r="2324" spans="1:21" ht="16" x14ac:dyDescent="0.4">
      <c r="A2324" s="7">
        <v>57593</v>
      </c>
      <c r="B2324" s="7" t="s">
        <v>53</v>
      </c>
      <c r="C2324" s="7" t="s">
        <v>14</v>
      </c>
      <c r="D2324" s="7">
        <v>310</v>
      </c>
      <c r="E2324" s="7">
        <v>128</v>
      </c>
      <c r="F2324" s="7">
        <v>233</v>
      </c>
      <c r="G2324" s="7">
        <v>0</v>
      </c>
      <c r="H2324" s="7">
        <v>7656</v>
      </c>
      <c r="I2324" s="7">
        <v>0</v>
      </c>
      <c r="J2324" s="7">
        <v>84</v>
      </c>
      <c r="K2324" s="7">
        <v>171</v>
      </c>
      <c r="L2324" s="7">
        <v>199</v>
      </c>
      <c r="M2324" s="7">
        <v>5.736842105</v>
      </c>
      <c r="N2324">
        <f>VLOOKUP(A2324,vlookup_table!$A:$G,2,FALSE)</f>
        <v>1</v>
      </c>
      <c r="O2324" t="str">
        <f>VLOOKUP(A2324,vlookup_table!$A:$G,3,FALSE)</f>
        <v>KY</v>
      </c>
      <c r="P2324">
        <f>VLOOKUP(A2324,vlookup_table!$A:$G,4,FALSE)</f>
        <v>0</v>
      </c>
      <c r="Q2324" t="str">
        <f>VLOOKUP(A2324,vlookup_table!$A:$G,5,FALSE)</f>
        <v>R3</v>
      </c>
      <c r="R2324" t="str">
        <f>VLOOKUP(A2324,vlookup_table!$A:$G,6,FALSE)</f>
        <v>M</v>
      </c>
      <c r="S2324">
        <f>VLOOKUP(A2324,vlookup_table!$A:$G,7,FALSE)</f>
        <v>5</v>
      </c>
      <c r="T2324">
        <f t="shared" si="72"/>
        <v>96</v>
      </c>
      <c r="U2324" t="str">
        <f t="shared" si="73"/>
        <v>Rural</v>
      </c>
    </row>
    <row r="2325" spans="1:21" ht="16" x14ac:dyDescent="0.4">
      <c r="A2325" s="7">
        <v>144339</v>
      </c>
      <c r="B2325" s="7" t="s">
        <v>21</v>
      </c>
      <c r="C2325" s="7" t="s">
        <v>27</v>
      </c>
      <c r="D2325" s="7">
        <v>2941</v>
      </c>
      <c r="E2325" s="7">
        <v>677</v>
      </c>
      <c r="F2325" s="7">
        <v>819</v>
      </c>
      <c r="G2325" s="7">
        <v>83</v>
      </c>
      <c r="H2325" s="7">
        <v>28577</v>
      </c>
      <c r="I2325" s="7">
        <v>20</v>
      </c>
      <c r="J2325" s="7">
        <v>53</v>
      </c>
      <c r="K2325" s="7">
        <v>804</v>
      </c>
      <c r="L2325" s="7">
        <v>712</v>
      </c>
      <c r="M2325" s="7">
        <v>11.66666667</v>
      </c>
      <c r="N2325">
        <f>VLOOKUP(A2325,vlookup_table!$A:$G,2,FALSE)</f>
        <v>980</v>
      </c>
      <c r="O2325" t="str">
        <f>VLOOKUP(A2325,vlookup_table!$A:$G,3,FALSE)</f>
        <v>CA</v>
      </c>
      <c r="P2325">
        <f>VLOOKUP(A2325,vlookup_table!$A:$G,4,FALSE)</f>
        <v>6601</v>
      </c>
      <c r="Q2325" t="str">
        <f>VLOOKUP(A2325,vlookup_table!$A:$G,5,FALSE)</f>
        <v>U1</v>
      </c>
      <c r="R2325" t="str">
        <f>VLOOKUP(A2325,vlookup_table!$A:$G,6,FALSE)</f>
        <v>U</v>
      </c>
      <c r="S2325">
        <f>VLOOKUP(A2325,vlookup_table!$A:$G,7,FALSE)</f>
        <v>10</v>
      </c>
      <c r="T2325">
        <f t="shared" si="72"/>
        <v>30</v>
      </c>
      <c r="U2325" t="str">
        <f t="shared" si="73"/>
        <v>Urbano</v>
      </c>
    </row>
    <row r="2326" spans="1:21" ht="16" x14ac:dyDescent="0.4">
      <c r="A2326" s="7">
        <v>158355</v>
      </c>
      <c r="B2326" s="7" t="s">
        <v>21</v>
      </c>
      <c r="C2326" s="7" t="s">
        <v>14</v>
      </c>
      <c r="D2326" s="7">
        <v>1857</v>
      </c>
      <c r="E2326" s="7">
        <v>484</v>
      </c>
      <c r="F2326" s="7">
        <v>531</v>
      </c>
      <c r="G2326" s="7">
        <v>17</v>
      </c>
      <c r="H2326" s="7">
        <v>13912</v>
      </c>
      <c r="I2326" s="7">
        <v>26</v>
      </c>
      <c r="J2326" s="7">
        <v>52</v>
      </c>
      <c r="K2326" s="7">
        <v>497</v>
      </c>
      <c r="L2326" s="7">
        <v>526</v>
      </c>
      <c r="M2326" s="7">
        <v>20</v>
      </c>
      <c r="N2326">
        <f>VLOOKUP(A2326,vlookup_table!$A:$G,2,FALSE)</f>
        <v>1</v>
      </c>
      <c r="O2326" t="str">
        <f>VLOOKUP(A2326,vlookup_table!$A:$G,3,FALSE)</f>
        <v>CA</v>
      </c>
      <c r="P2326">
        <f>VLOOKUP(A2326,vlookup_table!$A:$G,4,FALSE)</f>
        <v>4801</v>
      </c>
      <c r="Q2326" t="str">
        <f>VLOOKUP(A2326,vlookup_table!$A:$G,5,FALSE)</f>
        <v>U1</v>
      </c>
      <c r="R2326" t="str">
        <f>VLOOKUP(A2326,vlookup_table!$A:$G,6,FALSE)</f>
        <v>M</v>
      </c>
      <c r="S2326">
        <f>VLOOKUP(A2326,vlookup_table!$A:$G,7,FALSE)</f>
        <v>15</v>
      </c>
      <c r="T2326">
        <f t="shared" si="72"/>
        <v>48</v>
      </c>
      <c r="U2326" t="str">
        <f t="shared" si="73"/>
        <v>Urbano</v>
      </c>
    </row>
    <row r="2327" spans="1:21" ht="16" x14ac:dyDescent="0.4">
      <c r="A2327" s="7">
        <v>24311</v>
      </c>
      <c r="B2327" s="7" t="s">
        <v>18</v>
      </c>
      <c r="C2327" s="7" t="s">
        <v>97</v>
      </c>
      <c r="D2327" s="7">
        <v>877</v>
      </c>
      <c r="E2327" s="7">
        <v>293</v>
      </c>
      <c r="F2327" s="7">
        <v>405</v>
      </c>
      <c r="G2327" s="7">
        <v>7</v>
      </c>
      <c r="H2327" s="7">
        <v>13707</v>
      </c>
      <c r="I2327" s="7">
        <v>1</v>
      </c>
      <c r="J2327" s="7">
        <v>63</v>
      </c>
      <c r="K2327" s="7">
        <v>336</v>
      </c>
      <c r="L2327" s="7">
        <v>362</v>
      </c>
      <c r="M2327" s="7">
        <v>10.222222220000001</v>
      </c>
      <c r="N2327">
        <f>VLOOKUP(A2327,vlookup_table!$A:$G,2,FALSE)</f>
        <v>28</v>
      </c>
      <c r="O2327" t="str">
        <f>VLOOKUP(A2327,vlookup_table!$A:$G,3,FALSE)</f>
        <v>NC</v>
      </c>
      <c r="P2327">
        <f>VLOOKUP(A2327,vlookup_table!$A:$G,4,FALSE)</f>
        <v>0</v>
      </c>
      <c r="Q2327" t="str">
        <f>VLOOKUP(A2327,vlookup_table!$A:$G,5,FALSE)</f>
        <v>R1</v>
      </c>
      <c r="R2327" t="str">
        <f>VLOOKUP(A2327,vlookup_table!$A:$G,6,FALSE)</f>
        <v>F</v>
      </c>
      <c r="S2327">
        <f>VLOOKUP(A2327,vlookup_table!$A:$G,7,FALSE)</f>
        <v>3</v>
      </c>
      <c r="T2327">
        <f t="shared" si="72"/>
        <v>96</v>
      </c>
      <c r="U2327" t="str">
        <f t="shared" si="73"/>
        <v>Rural</v>
      </c>
    </row>
    <row r="2328" spans="1:21" ht="16" x14ac:dyDescent="0.4">
      <c r="A2328" s="7">
        <v>44009</v>
      </c>
      <c r="B2328" s="7" t="s">
        <v>13</v>
      </c>
      <c r="C2328" s="7" t="s">
        <v>17</v>
      </c>
      <c r="D2328" s="7">
        <v>1086</v>
      </c>
      <c r="E2328" s="7">
        <v>384</v>
      </c>
      <c r="F2328" s="7">
        <v>502</v>
      </c>
      <c r="G2328" s="7">
        <v>12</v>
      </c>
      <c r="H2328" s="7">
        <v>17091</v>
      </c>
      <c r="I2328" s="7">
        <v>4</v>
      </c>
      <c r="J2328" s="7">
        <v>24</v>
      </c>
      <c r="K2328" s="7">
        <v>433</v>
      </c>
      <c r="L2328" s="7">
        <v>457</v>
      </c>
      <c r="M2328" s="7">
        <v>9.375</v>
      </c>
      <c r="N2328">
        <f>VLOOKUP(A2328,vlookup_table!$A:$G,2,FALSE)</f>
        <v>0</v>
      </c>
      <c r="O2328" t="str">
        <f>VLOOKUP(A2328,vlookup_table!$A:$G,3,FALSE)</f>
        <v>FL</v>
      </c>
      <c r="P2328">
        <f>VLOOKUP(A2328,vlookup_table!$A:$G,4,FALSE)</f>
        <v>1103</v>
      </c>
      <c r="Q2328" t="str">
        <f>VLOOKUP(A2328,vlookup_table!$A:$G,5,FALSE)</f>
        <v>S2</v>
      </c>
      <c r="R2328" t="str">
        <f>VLOOKUP(A2328,vlookup_table!$A:$G,6,FALSE)</f>
        <v>F</v>
      </c>
      <c r="S2328">
        <f>VLOOKUP(A2328,vlookup_table!$A:$G,7,FALSE)</f>
        <v>20</v>
      </c>
      <c r="T2328">
        <f t="shared" si="72"/>
        <v>85</v>
      </c>
      <c r="U2328" t="str">
        <f t="shared" si="73"/>
        <v>Suburbano</v>
      </c>
    </row>
    <row r="2329" spans="1:21" ht="16" x14ac:dyDescent="0.4">
      <c r="A2329" s="7">
        <v>7059</v>
      </c>
      <c r="B2329" s="7" t="s">
        <v>43</v>
      </c>
      <c r="C2329" s="7" t="s">
        <v>17</v>
      </c>
      <c r="D2329" s="7">
        <v>1015</v>
      </c>
      <c r="E2329" s="7">
        <v>478</v>
      </c>
      <c r="F2329" s="7">
        <v>533</v>
      </c>
      <c r="G2329" s="7">
        <v>0</v>
      </c>
      <c r="H2329" s="7">
        <v>17763</v>
      </c>
      <c r="I2329" s="7">
        <v>14</v>
      </c>
      <c r="J2329" s="7">
        <v>40</v>
      </c>
      <c r="K2329" s="7">
        <v>500</v>
      </c>
      <c r="L2329" s="7">
        <v>516</v>
      </c>
      <c r="M2329" s="7">
        <v>9.5714285710000002</v>
      </c>
      <c r="N2329">
        <f>VLOOKUP(A2329,vlookup_table!$A:$G,2,FALSE)</f>
        <v>2</v>
      </c>
      <c r="O2329" t="str">
        <f>VLOOKUP(A2329,vlookup_table!$A:$G,3,FALSE)</f>
        <v>SC</v>
      </c>
      <c r="P2329">
        <f>VLOOKUP(A2329,vlookup_table!$A:$G,4,FALSE)</f>
        <v>2007</v>
      </c>
      <c r="Q2329" t="str">
        <f>VLOOKUP(A2329,vlookup_table!$A:$G,5,FALSE)</f>
        <v>S1</v>
      </c>
      <c r="R2329" t="str">
        <f>VLOOKUP(A2329,vlookup_table!$A:$G,6,FALSE)</f>
        <v>F</v>
      </c>
      <c r="S2329">
        <f>VLOOKUP(A2329,vlookup_table!$A:$G,7,FALSE)</f>
        <v>10</v>
      </c>
      <c r="T2329">
        <f t="shared" si="72"/>
        <v>76</v>
      </c>
      <c r="U2329" t="str">
        <f t="shared" si="73"/>
        <v>Suburbano</v>
      </c>
    </row>
    <row r="2330" spans="1:21" ht="16" x14ac:dyDescent="0.4">
      <c r="A2330" s="7">
        <v>11399</v>
      </c>
      <c r="B2330" s="7" t="s">
        <v>21</v>
      </c>
      <c r="C2330" s="7" t="s">
        <v>17</v>
      </c>
      <c r="D2330" s="7">
        <v>809</v>
      </c>
      <c r="E2330" s="7">
        <v>159</v>
      </c>
      <c r="F2330" s="7">
        <v>227</v>
      </c>
      <c r="G2330" s="7">
        <v>0</v>
      </c>
      <c r="H2330" s="7">
        <v>7074</v>
      </c>
      <c r="I2330" s="7">
        <v>30</v>
      </c>
      <c r="J2330" s="7">
        <v>52</v>
      </c>
      <c r="K2330" s="7">
        <v>191</v>
      </c>
      <c r="L2330" s="7">
        <v>209</v>
      </c>
      <c r="M2330" s="7">
        <v>4.585714286</v>
      </c>
      <c r="N2330">
        <f>VLOOKUP(A2330,vlookup_table!$A:$G,2,FALSE)</f>
        <v>2</v>
      </c>
      <c r="O2330" t="str">
        <f>VLOOKUP(A2330,vlookup_table!$A:$G,3,FALSE)</f>
        <v>CA</v>
      </c>
      <c r="P2330">
        <f>VLOOKUP(A2330,vlookup_table!$A:$G,4,FALSE)</f>
        <v>1102</v>
      </c>
      <c r="Q2330" t="str">
        <f>VLOOKUP(A2330,vlookup_table!$A:$G,5,FALSE)</f>
        <v>C1</v>
      </c>
      <c r="R2330" t="str">
        <f>VLOOKUP(A2330,vlookup_table!$A:$G,6,FALSE)</f>
        <v>F</v>
      </c>
      <c r="S2330">
        <f>VLOOKUP(A2330,vlookup_table!$A:$G,7,FALSE)</f>
        <v>8</v>
      </c>
      <c r="T2330">
        <f t="shared" si="72"/>
        <v>85</v>
      </c>
      <c r="U2330" t="str">
        <f t="shared" si="73"/>
        <v>Ciudad</v>
      </c>
    </row>
    <row r="2331" spans="1:21" ht="16" x14ac:dyDescent="0.4">
      <c r="A2331" s="7">
        <v>50262</v>
      </c>
      <c r="B2331" s="7" t="s">
        <v>49</v>
      </c>
      <c r="C2331" s="7" t="s">
        <v>14</v>
      </c>
      <c r="D2331" s="7">
        <v>648</v>
      </c>
      <c r="E2331" s="7">
        <v>320</v>
      </c>
      <c r="F2331" s="7">
        <v>362</v>
      </c>
      <c r="G2331" s="7">
        <v>0</v>
      </c>
      <c r="H2331" s="7">
        <v>12611</v>
      </c>
      <c r="I2331" s="7">
        <v>0</v>
      </c>
      <c r="J2331" s="7">
        <v>86</v>
      </c>
      <c r="K2331" s="7">
        <v>325</v>
      </c>
      <c r="L2331" s="7">
        <v>352</v>
      </c>
      <c r="M2331" s="7">
        <v>5.8666666669999996</v>
      </c>
      <c r="N2331">
        <f>VLOOKUP(A2331,vlookup_table!$A:$G,2,FALSE)</f>
        <v>1</v>
      </c>
      <c r="O2331" t="str">
        <f>VLOOKUP(A2331,vlookup_table!$A:$G,3,FALSE)</f>
        <v>TN</v>
      </c>
      <c r="P2331">
        <f>VLOOKUP(A2331,vlookup_table!$A:$G,4,FALSE)</f>
        <v>4801</v>
      </c>
      <c r="Q2331" t="str">
        <f>VLOOKUP(A2331,vlookup_table!$A:$G,5,FALSE)</f>
        <v>R2</v>
      </c>
      <c r="R2331" t="str">
        <f>VLOOKUP(A2331,vlookup_table!$A:$G,6,FALSE)</f>
        <v>M</v>
      </c>
      <c r="S2331">
        <f>VLOOKUP(A2331,vlookup_table!$A:$G,7,FALSE)</f>
        <v>10</v>
      </c>
      <c r="T2331">
        <f t="shared" si="72"/>
        <v>48</v>
      </c>
      <c r="U2331" t="str">
        <f t="shared" si="73"/>
        <v>Rural</v>
      </c>
    </row>
    <row r="2332" spans="1:21" ht="16" x14ac:dyDescent="0.4">
      <c r="A2332" s="7">
        <v>40338</v>
      </c>
      <c r="B2332" s="7" t="s">
        <v>13</v>
      </c>
      <c r="C2332" s="7" t="s">
        <v>17</v>
      </c>
      <c r="D2332" s="7">
        <v>902</v>
      </c>
      <c r="E2332" s="7">
        <v>410</v>
      </c>
      <c r="F2332" s="7">
        <v>461</v>
      </c>
      <c r="G2332" s="7">
        <v>4</v>
      </c>
      <c r="H2332" s="7">
        <v>15332</v>
      </c>
      <c r="I2332" s="7">
        <v>13</v>
      </c>
      <c r="J2332" s="7">
        <v>28</v>
      </c>
      <c r="K2332" s="7">
        <v>413</v>
      </c>
      <c r="L2332" s="7">
        <v>460</v>
      </c>
      <c r="M2332" s="7">
        <v>12.4</v>
      </c>
      <c r="N2332">
        <f>VLOOKUP(A2332,vlookup_table!$A:$G,2,FALSE)</f>
        <v>0</v>
      </c>
      <c r="O2332" t="str">
        <f>VLOOKUP(A2332,vlookup_table!$A:$G,3,FALSE)</f>
        <v>FL</v>
      </c>
      <c r="P2332">
        <f>VLOOKUP(A2332,vlookup_table!$A:$G,4,FALSE)</f>
        <v>6901</v>
      </c>
      <c r="Q2332" t="str">
        <f>VLOOKUP(A2332,vlookup_table!$A:$G,5,FALSE)</f>
        <v>S2</v>
      </c>
      <c r="R2332" t="str">
        <f>VLOOKUP(A2332,vlookup_table!$A:$G,6,FALSE)</f>
        <v>F</v>
      </c>
      <c r="S2332">
        <f>VLOOKUP(A2332,vlookup_table!$A:$G,7,FALSE)</f>
        <v>21</v>
      </c>
      <c r="T2332">
        <f t="shared" si="72"/>
        <v>27</v>
      </c>
      <c r="U2332" t="str">
        <f t="shared" si="73"/>
        <v>Suburbano</v>
      </c>
    </row>
    <row r="2333" spans="1:21" ht="16" x14ac:dyDescent="0.4">
      <c r="A2333" s="7">
        <v>91101</v>
      </c>
      <c r="B2333" s="7" t="s">
        <v>16</v>
      </c>
      <c r="C2333" s="7" t="s">
        <v>14</v>
      </c>
      <c r="D2333" s="7">
        <v>889</v>
      </c>
      <c r="E2333" s="7">
        <v>510</v>
      </c>
      <c r="F2333" s="7">
        <v>513</v>
      </c>
      <c r="G2333" s="7">
        <v>0</v>
      </c>
      <c r="H2333" s="7">
        <v>16731</v>
      </c>
      <c r="I2333" s="7">
        <v>0</v>
      </c>
      <c r="J2333" s="7">
        <v>86</v>
      </c>
      <c r="K2333" s="7">
        <v>518</v>
      </c>
      <c r="L2333" s="7">
        <v>517</v>
      </c>
      <c r="M2333" s="7">
        <v>16.399999999999999</v>
      </c>
      <c r="N2333">
        <f>VLOOKUP(A2333,vlookup_table!$A:$G,2,FALSE)</f>
        <v>0</v>
      </c>
      <c r="O2333" t="str">
        <f>VLOOKUP(A2333,vlookup_table!$A:$G,3,FALSE)</f>
        <v>IL</v>
      </c>
      <c r="P2333">
        <f>VLOOKUP(A2333,vlookup_table!$A:$G,4,FALSE)</f>
        <v>4507</v>
      </c>
      <c r="Q2333" t="str">
        <f>VLOOKUP(A2333,vlookup_table!$A:$G,5,FALSE)</f>
        <v>S2</v>
      </c>
      <c r="R2333" t="str">
        <f>VLOOKUP(A2333,vlookup_table!$A:$G,6,FALSE)</f>
        <v>M</v>
      </c>
      <c r="S2333">
        <f>VLOOKUP(A2333,vlookup_table!$A:$G,7,FALSE)</f>
        <v>25</v>
      </c>
      <c r="T2333">
        <f t="shared" si="72"/>
        <v>51</v>
      </c>
      <c r="U2333" t="str">
        <f t="shared" si="73"/>
        <v>Suburbano</v>
      </c>
    </row>
    <row r="2334" spans="1:21" ht="16" x14ac:dyDescent="0.4">
      <c r="A2334" s="7">
        <v>130969</v>
      </c>
      <c r="B2334" s="7" t="s">
        <v>45</v>
      </c>
      <c r="C2334" s="7" t="s">
        <v>17</v>
      </c>
      <c r="D2334" s="7">
        <v>1309</v>
      </c>
      <c r="E2334" s="7">
        <v>494</v>
      </c>
      <c r="F2334" s="7">
        <v>606</v>
      </c>
      <c r="G2334" s="7">
        <v>10</v>
      </c>
      <c r="H2334" s="7">
        <v>23951</v>
      </c>
      <c r="I2334" s="7">
        <v>3</v>
      </c>
      <c r="J2334" s="7">
        <v>38</v>
      </c>
      <c r="K2334" s="7">
        <v>528</v>
      </c>
      <c r="L2334" s="7">
        <v>572</v>
      </c>
      <c r="M2334" s="7">
        <v>7.1</v>
      </c>
      <c r="N2334">
        <f>VLOOKUP(A2334,vlookup_table!$A:$G,2,FALSE)</f>
        <v>2</v>
      </c>
      <c r="O2334" t="str">
        <f>VLOOKUP(A2334,vlookup_table!$A:$G,3,FALSE)</f>
        <v>CO</v>
      </c>
      <c r="P2334">
        <f>VLOOKUP(A2334,vlookup_table!$A:$G,4,FALSE)</f>
        <v>301</v>
      </c>
      <c r="Q2334" t="str">
        <f>VLOOKUP(A2334,vlookup_table!$A:$G,5,FALSE)</f>
        <v>C1</v>
      </c>
      <c r="R2334" t="str">
        <f>VLOOKUP(A2334,vlookup_table!$A:$G,6,FALSE)</f>
        <v>F</v>
      </c>
      <c r="S2334">
        <f>VLOOKUP(A2334,vlookup_table!$A:$G,7,FALSE)</f>
        <v>20</v>
      </c>
      <c r="T2334">
        <f t="shared" si="72"/>
        <v>66</v>
      </c>
      <c r="U2334" t="str">
        <f t="shared" si="73"/>
        <v>Ciudad</v>
      </c>
    </row>
    <row r="2335" spans="1:21" ht="16" x14ac:dyDescent="0.4">
      <c r="A2335" s="7">
        <v>128122</v>
      </c>
      <c r="B2335" s="7" t="s">
        <v>20</v>
      </c>
      <c r="C2335" s="7" t="s">
        <v>14</v>
      </c>
      <c r="D2335" s="7">
        <v>438</v>
      </c>
      <c r="E2335" s="7">
        <v>215</v>
      </c>
      <c r="F2335" s="7">
        <v>267</v>
      </c>
      <c r="G2335" s="7">
        <v>3</v>
      </c>
      <c r="H2335" s="7">
        <v>8729</v>
      </c>
      <c r="I2335" s="7">
        <v>1</v>
      </c>
      <c r="J2335" s="7">
        <v>68</v>
      </c>
      <c r="K2335" s="7">
        <v>264</v>
      </c>
      <c r="L2335" s="7">
        <v>240</v>
      </c>
      <c r="M2335" s="7">
        <v>6.125</v>
      </c>
      <c r="N2335">
        <f>VLOOKUP(A2335,vlookup_table!$A:$G,2,FALSE)</f>
        <v>0</v>
      </c>
      <c r="O2335" t="str">
        <f>VLOOKUP(A2335,vlookup_table!$A:$G,3,FALSE)</f>
        <v>TX</v>
      </c>
      <c r="P2335">
        <f>VLOOKUP(A2335,vlookup_table!$A:$G,4,FALSE)</f>
        <v>0</v>
      </c>
      <c r="Q2335" t="str">
        <f>VLOOKUP(A2335,vlookup_table!$A:$G,5,FALSE)</f>
        <v>T2</v>
      </c>
      <c r="R2335" t="str">
        <f>VLOOKUP(A2335,vlookup_table!$A:$G,6,FALSE)</f>
        <v>M</v>
      </c>
      <c r="S2335">
        <f>VLOOKUP(A2335,vlookup_table!$A:$G,7,FALSE)</f>
        <v>5</v>
      </c>
      <c r="T2335">
        <f t="shared" si="72"/>
        <v>96</v>
      </c>
      <c r="U2335" t="str">
        <f t="shared" si="73"/>
        <v>Pueblo</v>
      </c>
    </row>
    <row r="2336" spans="1:21" ht="16" x14ac:dyDescent="0.4">
      <c r="A2336" s="7">
        <v>167149</v>
      </c>
      <c r="B2336" s="7" t="s">
        <v>21</v>
      </c>
      <c r="C2336" s="7" t="s">
        <v>14</v>
      </c>
      <c r="D2336" s="7">
        <v>2961</v>
      </c>
      <c r="E2336" s="7">
        <v>664</v>
      </c>
      <c r="F2336" s="7">
        <v>708</v>
      </c>
      <c r="G2336" s="7">
        <v>95</v>
      </c>
      <c r="H2336" s="7">
        <v>23204</v>
      </c>
      <c r="I2336" s="7">
        <v>16</v>
      </c>
      <c r="J2336" s="7">
        <v>51</v>
      </c>
      <c r="K2336" s="7">
        <v>665</v>
      </c>
      <c r="L2336" s="7">
        <v>716</v>
      </c>
      <c r="M2336" s="7">
        <v>14.66666667</v>
      </c>
      <c r="N2336">
        <f>VLOOKUP(A2336,vlookup_table!$A:$G,2,FALSE)</f>
        <v>1</v>
      </c>
      <c r="O2336" t="str">
        <f>VLOOKUP(A2336,vlookup_table!$A:$G,3,FALSE)</f>
        <v>CA</v>
      </c>
      <c r="P2336">
        <f>VLOOKUP(A2336,vlookup_table!$A:$G,4,FALSE)</f>
        <v>4501</v>
      </c>
      <c r="Q2336" t="str">
        <f>VLOOKUP(A2336,vlookup_table!$A:$G,5,FALSE)</f>
        <v>U1</v>
      </c>
      <c r="R2336" t="str">
        <f>VLOOKUP(A2336,vlookup_table!$A:$G,6,FALSE)</f>
        <v>M</v>
      </c>
      <c r="S2336">
        <f>VLOOKUP(A2336,vlookup_table!$A:$G,7,FALSE)</f>
        <v>20</v>
      </c>
      <c r="T2336">
        <f t="shared" si="72"/>
        <v>51</v>
      </c>
      <c r="U2336" t="str">
        <f t="shared" si="73"/>
        <v>Urbano</v>
      </c>
    </row>
    <row r="2337" spans="1:21" ht="16" x14ac:dyDescent="0.4">
      <c r="A2337" s="7">
        <v>67742</v>
      </c>
      <c r="B2337" s="7" t="s">
        <v>26</v>
      </c>
      <c r="C2337" s="7" t="s">
        <v>17</v>
      </c>
      <c r="D2337" s="7">
        <v>1101</v>
      </c>
      <c r="E2337" s="7">
        <v>515</v>
      </c>
      <c r="F2337" s="7">
        <v>624</v>
      </c>
      <c r="G2337" s="7">
        <v>18</v>
      </c>
      <c r="H2337" s="7">
        <v>19857</v>
      </c>
      <c r="I2337" s="7">
        <v>1</v>
      </c>
      <c r="J2337" s="7">
        <v>81</v>
      </c>
      <c r="K2337" s="7">
        <v>560</v>
      </c>
      <c r="L2337" s="7">
        <v>554</v>
      </c>
      <c r="M2337" s="7">
        <v>7.9</v>
      </c>
      <c r="N2337">
        <f>VLOOKUP(A2337,vlookup_table!$A:$G,2,FALSE)</f>
        <v>0</v>
      </c>
      <c r="O2337" t="str">
        <f>VLOOKUP(A2337,vlookup_table!$A:$G,3,FALSE)</f>
        <v>MI</v>
      </c>
      <c r="P2337">
        <f>VLOOKUP(A2337,vlookup_table!$A:$G,4,FALSE)</f>
        <v>2309</v>
      </c>
      <c r="Q2337" t="str">
        <f>VLOOKUP(A2337,vlookup_table!$A:$G,5,FALSE)</f>
        <v>T1</v>
      </c>
      <c r="R2337" t="str">
        <f>VLOOKUP(A2337,vlookup_table!$A:$G,6,FALSE)</f>
        <v>F</v>
      </c>
      <c r="S2337">
        <f>VLOOKUP(A2337,vlookup_table!$A:$G,7,FALSE)</f>
        <v>5</v>
      </c>
      <c r="T2337">
        <f t="shared" si="72"/>
        <v>73</v>
      </c>
      <c r="U2337" t="str">
        <f t="shared" si="73"/>
        <v>Pueblo</v>
      </c>
    </row>
    <row r="2338" spans="1:21" ht="16" x14ac:dyDescent="0.4">
      <c r="A2338" s="7">
        <v>66303</v>
      </c>
      <c r="B2338" s="7" t="s">
        <v>26</v>
      </c>
      <c r="C2338" s="7" t="s">
        <v>17</v>
      </c>
      <c r="D2338" s="7">
        <v>704</v>
      </c>
      <c r="E2338" s="7">
        <v>471</v>
      </c>
      <c r="F2338" s="7">
        <v>511</v>
      </c>
      <c r="G2338" s="7">
        <v>0</v>
      </c>
      <c r="H2338" s="7">
        <v>16111</v>
      </c>
      <c r="I2338" s="7">
        <v>22</v>
      </c>
      <c r="J2338" s="7">
        <v>66</v>
      </c>
      <c r="K2338" s="7">
        <v>494</v>
      </c>
      <c r="L2338" s="7">
        <v>481</v>
      </c>
      <c r="M2338" s="7">
        <v>3.7272727269999999</v>
      </c>
      <c r="N2338">
        <f>VLOOKUP(A2338,vlookup_table!$A:$G,2,FALSE)</f>
        <v>0</v>
      </c>
      <c r="O2338" t="str">
        <f>VLOOKUP(A2338,vlookup_table!$A:$G,3,FALSE)</f>
        <v>MI</v>
      </c>
      <c r="P2338">
        <f>VLOOKUP(A2338,vlookup_table!$A:$G,4,FALSE)</f>
        <v>1401</v>
      </c>
      <c r="Q2338" t="str">
        <f>VLOOKUP(A2338,vlookup_table!$A:$G,5,FALSE)</f>
        <v>U2</v>
      </c>
      <c r="R2338" t="str">
        <f>VLOOKUP(A2338,vlookup_table!$A:$G,6,FALSE)</f>
        <v>F</v>
      </c>
      <c r="S2338">
        <f>VLOOKUP(A2338,vlookup_table!$A:$G,7,FALSE)</f>
        <v>2</v>
      </c>
      <c r="T2338">
        <f t="shared" si="72"/>
        <v>82</v>
      </c>
      <c r="U2338" t="str">
        <f t="shared" si="73"/>
        <v>Urbano</v>
      </c>
    </row>
    <row r="2339" spans="1:21" ht="16" x14ac:dyDescent="0.4">
      <c r="A2339" s="7">
        <v>86205</v>
      </c>
      <c r="B2339" s="7" t="s">
        <v>48</v>
      </c>
      <c r="C2339" s="7" t="s">
        <v>17</v>
      </c>
      <c r="D2339" s="7">
        <v>527</v>
      </c>
      <c r="E2339" s="7">
        <v>275</v>
      </c>
      <c r="F2339" s="7">
        <v>340</v>
      </c>
      <c r="G2339" s="7">
        <v>0</v>
      </c>
      <c r="H2339" s="7">
        <v>10866</v>
      </c>
      <c r="I2339" s="7">
        <v>2</v>
      </c>
      <c r="J2339" s="7">
        <v>71</v>
      </c>
      <c r="K2339" s="7">
        <v>321</v>
      </c>
      <c r="L2339" s="7">
        <v>311</v>
      </c>
      <c r="M2339" s="7">
        <v>12.90909091</v>
      </c>
      <c r="N2339">
        <f>VLOOKUP(A2339,vlookup_table!$A:$G,2,FALSE)</f>
        <v>3</v>
      </c>
      <c r="O2339" t="str">
        <f>VLOOKUP(A2339,vlookup_table!$A:$G,3,FALSE)</f>
        <v>SD</v>
      </c>
      <c r="P2339">
        <f>VLOOKUP(A2339,vlookup_table!$A:$G,4,FALSE)</f>
        <v>5007</v>
      </c>
      <c r="Q2339" t="str">
        <f>VLOOKUP(A2339,vlookup_table!$A:$G,5,FALSE)</f>
        <v>T2</v>
      </c>
      <c r="R2339" t="str">
        <f>VLOOKUP(A2339,vlookup_table!$A:$G,6,FALSE)</f>
        <v>F</v>
      </c>
      <c r="S2339">
        <f>VLOOKUP(A2339,vlookup_table!$A:$G,7,FALSE)</f>
        <v>25</v>
      </c>
      <c r="T2339">
        <f t="shared" si="72"/>
        <v>46</v>
      </c>
      <c r="U2339" t="str">
        <f t="shared" si="73"/>
        <v>Pueblo</v>
      </c>
    </row>
    <row r="2340" spans="1:21" ht="16" x14ac:dyDescent="0.4">
      <c r="A2340" s="7">
        <v>1899</v>
      </c>
      <c r="B2340" s="7" t="s">
        <v>21</v>
      </c>
      <c r="C2340" s="7" t="s">
        <v>14</v>
      </c>
      <c r="D2340" s="7">
        <v>1519</v>
      </c>
      <c r="E2340" s="7">
        <v>346</v>
      </c>
      <c r="F2340" s="7">
        <v>429</v>
      </c>
      <c r="G2340" s="7">
        <v>14</v>
      </c>
      <c r="H2340" s="7">
        <v>14162</v>
      </c>
      <c r="I2340" s="7">
        <v>9</v>
      </c>
      <c r="J2340" s="7">
        <v>65</v>
      </c>
      <c r="K2340" s="7">
        <v>381</v>
      </c>
      <c r="L2340" s="7">
        <v>406</v>
      </c>
      <c r="M2340" s="7">
        <v>10.222222220000001</v>
      </c>
      <c r="N2340">
        <f>VLOOKUP(A2340,vlookup_table!$A:$G,2,FALSE)</f>
        <v>1</v>
      </c>
      <c r="O2340" t="str">
        <f>VLOOKUP(A2340,vlookup_table!$A:$G,3,FALSE)</f>
        <v>CA</v>
      </c>
      <c r="P2340">
        <f>VLOOKUP(A2340,vlookup_table!$A:$G,4,FALSE)</f>
        <v>4801</v>
      </c>
      <c r="Q2340" t="str">
        <f>VLOOKUP(A2340,vlookup_table!$A:$G,5,FALSE)</f>
        <v>S2</v>
      </c>
      <c r="R2340" t="str">
        <f>VLOOKUP(A2340,vlookup_table!$A:$G,6,FALSE)</f>
        <v>M</v>
      </c>
      <c r="S2340">
        <f>VLOOKUP(A2340,vlookup_table!$A:$G,7,FALSE)</f>
        <v>125</v>
      </c>
      <c r="T2340">
        <f t="shared" si="72"/>
        <v>48</v>
      </c>
      <c r="U2340" t="str">
        <f t="shared" si="73"/>
        <v>Suburbano</v>
      </c>
    </row>
    <row r="2341" spans="1:21" ht="16" x14ac:dyDescent="0.4">
      <c r="A2341" s="7">
        <v>184690</v>
      </c>
      <c r="B2341" s="7" t="s">
        <v>60</v>
      </c>
      <c r="C2341" s="7" t="s">
        <v>14</v>
      </c>
      <c r="D2341" s="7">
        <v>778</v>
      </c>
      <c r="E2341" s="7">
        <v>473</v>
      </c>
      <c r="F2341" s="7">
        <v>568</v>
      </c>
      <c r="G2341" s="7">
        <v>0</v>
      </c>
      <c r="H2341" s="7">
        <v>20008</v>
      </c>
      <c r="I2341" s="7">
        <v>15</v>
      </c>
      <c r="J2341" s="7">
        <v>27</v>
      </c>
      <c r="K2341" s="7">
        <v>446</v>
      </c>
      <c r="L2341" s="7">
        <v>546</v>
      </c>
      <c r="M2341" s="7">
        <v>15</v>
      </c>
      <c r="N2341">
        <f>VLOOKUP(A2341,vlookup_table!$A:$G,2,FALSE)</f>
        <v>0</v>
      </c>
      <c r="O2341" t="str">
        <f>VLOOKUP(A2341,vlookup_table!$A:$G,3,FALSE)</f>
        <v>AK</v>
      </c>
      <c r="P2341">
        <f>VLOOKUP(A2341,vlookup_table!$A:$G,4,FALSE)</f>
        <v>0</v>
      </c>
      <c r="Q2341" t="str">
        <f>VLOOKUP(A2341,vlookup_table!$A:$G,5,FALSE)</f>
        <v>C2</v>
      </c>
      <c r="R2341" t="str">
        <f>VLOOKUP(A2341,vlookup_table!$A:$G,6,FALSE)</f>
        <v>M</v>
      </c>
      <c r="S2341">
        <f>VLOOKUP(A2341,vlookup_table!$A:$G,7,FALSE)</f>
        <v>20</v>
      </c>
      <c r="T2341">
        <f t="shared" si="72"/>
        <v>96</v>
      </c>
      <c r="U2341" t="str">
        <f t="shared" si="73"/>
        <v>Ciudad</v>
      </c>
    </row>
    <row r="2342" spans="1:21" ht="16" x14ac:dyDescent="0.4">
      <c r="A2342" s="7">
        <v>7265</v>
      </c>
      <c r="B2342" s="7" t="s">
        <v>21</v>
      </c>
      <c r="C2342" s="7" t="s">
        <v>17</v>
      </c>
      <c r="D2342" s="7">
        <v>1465</v>
      </c>
      <c r="E2342" s="7">
        <v>283</v>
      </c>
      <c r="F2342" s="7">
        <v>519</v>
      </c>
      <c r="G2342" s="7">
        <v>1</v>
      </c>
      <c r="H2342" s="7">
        <v>24555</v>
      </c>
      <c r="I2342" s="7">
        <v>16</v>
      </c>
      <c r="J2342" s="7">
        <v>25</v>
      </c>
      <c r="K2342" s="7">
        <v>341</v>
      </c>
      <c r="L2342" s="7">
        <v>369</v>
      </c>
      <c r="M2342" s="7">
        <v>10.70588235</v>
      </c>
      <c r="N2342">
        <f>VLOOKUP(A2342,vlookup_table!$A:$G,2,FALSE)</f>
        <v>0</v>
      </c>
      <c r="O2342" t="str">
        <f>VLOOKUP(A2342,vlookup_table!$A:$G,3,FALSE)</f>
        <v>CA</v>
      </c>
      <c r="P2342">
        <f>VLOOKUP(A2342,vlookup_table!$A:$G,4,FALSE)</f>
        <v>0</v>
      </c>
      <c r="Q2342" t="str">
        <f>VLOOKUP(A2342,vlookup_table!$A:$G,5,FALSE)</f>
        <v/>
      </c>
      <c r="R2342" t="str">
        <f>VLOOKUP(A2342,vlookup_table!$A:$G,6,FALSE)</f>
        <v>F</v>
      </c>
      <c r="S2342">
        <f>VLOOKUP(A2342,vlookup_table!$A:$G,7,FALSE)</f>
        <v>10</v>
      </c>
      <c r="T2342">
        <f t="shared" si="72"/>
        <v>96</v>
      </c>
      <c r="U2342" t="str">
        <f t="shared" si="73"/>
        <v/>
      </c>
    </row>
    <row r="2343" spans="1:21" ht="16" x14ac:dyDescent="0.4">
      <c r="A2343" s="7">
        <v>159178</v>
      </c>
      <c r="B2343" s="7" t="s">
        <v>21</v>
      </c>
      <c r="C2343" s="7" t="s">
        <v>14</v>
      </c>
      <c r="D2343" s="7">
        <v>2765</v>
      </c>
      <c r="E2343" s="7">
        <v>695</v>
      </c>
      <c r="F2343" s="7">
        <v>753</v>
      </c>
      <c r="G2343" s="7">
        <v>93</v>
      </c>
      <c r="H2343" s="7">
        <v>22508</v>
      </c>
      <c r="I2343" s="7">
        <v>10</v>
      </c>
      <c r="J2343" s="7">
        <v>54</v>
      </c>
      <c r="K2343" s="7">
        <v>709</v>
      </c>
      <c r="L2343" s="7">
        <v>733</v>
      </c>
      <c r="M2343" s="7">
        <v>8.8333333330000006</v>
      </c>
      <c r="N2343">
        <f>VLOOKUP(A2343,vlookup_table!$A:$G,2,FALSE)</f>
        <v>1</v>
      </c>
      <c r="O2343" t="str">
        <f>VLOOKUP(A2343,vlookup_table!$A:$G,3,FALSE)</f>
        <v>CA</v>
      </c>
      <c r="P2343">
        <f>VLOOKUP(A2343,vlookup_table!$A:$G,4,FALSE)</f>
        <v>0</v>
      </c>
      <c r="Q2343" t="str">
        <f>VLOOKUP(A2343,vlookup_table!$A:$G,5,FALSE)</f>
        <v>C1</v>
      </c>
      <c r="R2343" t="str">
        <f>VLOOKUP(A2343,vlookup_table!$A:$G,6,FALSE)</f>
        <v>M</v>
      </c>
      <c r="S2343">
        <f>VLOOKUP(A2343,vlookup_table!$A:$G,7,FALSE)</f>
        <v>10</v>
      </c>
      <c r="T2343">
        <f t="shared" si="72"/>
        <v>96</v>
      </c>
      <c r="U2343" t="str">
        <f t="shared" si="73"/>
        <v>Ciudad</v>
      </c>
    </row>
    <row r="2344" spans="1:21" ht="16" x14ac:dyDescent="0.4">
      <c r="A2344" s="7">
        <v>49812</v>
      </c>
      <c r="B2344" s="7" t="s">
        <v>40</v>
      </c>
      <c r="C2344" s="7" t="s">
        <v>17</v>
      </c>
      <c r="D2344" s="7">
        <v>384</v>
      </c>
      <c r="E2344" s="7">
        <v>139</v>
      </c>
      <c r="F2344" s="7">
        <v>271</v>
      </c>
      <c r="G2344" s="7">
        <v>0</v>
      </c>
      <c r="H2344" s="7">
        <v>8615</v>
      </c>
      <c r="I2344" s="7">
        <v>0</v>
      </c>
      <c r="J2344" s="7">
        <v>66</v>
      </c>
      <c r="K2344" s="7">
        <v>203</v>
      </c>
      <c r="L2344" s="7">
        <v>212</v>
      </c>
      <c r="M2344" s="7">
        <v>3.6590909090000001</v>
      </c>
      <c r="N2344">
        <f>VLOOKUP(A2344,vlookup_table!$A:$G,2,FALSE)</f>
        <v>2</v>
      </c>
      <c r="O2344" t="str">
        <f>VLOOKUP(A2344,vlookup_table!$A:$G,3,FALSE)</f>
        <v>AL</v>
      </c>
      <c r="P2344">
        <f>VLOOKUP(A2344,vlookup_table!$A:$G,4,FALSE)</f>
        <v>3701</v>
      </c>
      <c r="Q2344" t="str">
        <f>VLOOKUP(A2344,vlookup_table!$A:$G,5,FALSE)</f>
        <v>R3</v>
      </c>
      <c r="R2344" t="str">
        <f>VLOOKUP(A2344,vlookup_table!$A:$G,6,FALSE)</f>
        <v>F</v>
      </c>
      <c r="S2344">
        <f>VLOOKUP(A2344,vlookup_table!$A:$G,7,FALSE)</f>
        <v>3</v>
      </c>
      <c r="T2344">
        <f t="shared" si="72"/>
        <v>59</v>
      </c>
      <c r="U2344" t="str">
        <f t="shared" si="73"/>
        <v>Rural</v>
      </c>
    </row>
    <row r="2345" spans="1:21" ht="16" x14ac:dyDescent="0.4">
      <c r="A2345" s="7">
        <v>33135</v>
      </c>
      <c r="B2345" s="7" t="s">
        <v>13</v>
      </c>
      <c r="C2345" s="7" t="s">
        <v>17</v>
      </c>
      <c r="D2345" s="7">
        <v>754</v>
      </c>
      <c r="E2345" s="7">
        <v>351</v>
      </c>
      <c r="F2345" s="7">
        <v>435</v>
      </c>
      <c r="G2345" s="7">
        <v>1</v>
      </c>
      <c r="H2345" s="7">
        <v>14518</v>
      </c>
      <c r="I2345" s="7">
        <v>2</v>
      </c>
      <c r="J2345" s="7">
        <v>47</v>
      </c>
      <c r="K2345" s="7">
        <v>377</v>
      </c>
      <c r="L2345" s="7">
        <v>402</v>
      </c>
      <c r="M2345" s="7">
        <v>9.8125</v>
      </c>
      <c r="N2345">
        <f>VLOOKUP(A2345,vlookup_table!$A:$G,2,FALSE)</f>
        <v>0</v>
      </c>
      <c r="O2345" t="str">
        <f>VLOOKUP(A2345,vlookup_table!$A:$G,3,FALSE)</f>
        <v>FL</v>
      </c>
      <c r="P2345">
        <f>VLOOKUP(A2345,vlookup_table!$A:$G,4,FALSE)</f>
        <v>3410</v>
      </c>
      <c r="Q2345" t="str">
        <f>VLOOKUP(A2345,vlookup_table!$A:$G,5,FALSE)</f>
        <v>S3</v>
      </c>
      <c r="R2345" t="str">
        <f>VLOOKUP(A2345,vlookup_table!$A:$G,6,FALSE)</f>
        <v>F</v>
      </c>
      <c r="S2345">
        <f>VLOOKUP(A2345,vlookup_table!$A:$G,7,FALSE)</f>
        <v>10</v>
      </c>
      <c r="T2345">
        <f t="shared" si="72"/>
        <v>62</v>
      </c>
      <c r="U2345" t="str">
        <f t="shared" si="73"/>
        <v>Suburbano</v>
      </c>
    </row>
    <row r="2346" spans="1:21" ht="16" x14ac:dyDescent="0.4">
      <c r="A2346" s="7">
        <v>23459</v>
      </c>
      <c r="B2346" s="7" t="s">
        <v>43</v>
      </c>
      <c r="C2346" s="7" t="s">
        <v>17</v>
      </c>
      <c r="D2346" s="7">
        <v>689</v>
      </c>
      <c r="E2346" s="7">
        <v>313</v>
      </c>
      <c r="F2346" s="7">
        <v>350</v>
      </c>
      <c r="G2346" s="7">
        <v>0</v>
      </c>
      <c r="H2346" s="7">
        <v>12601</v>
      </c>
      <c r="I2346" s="7">
        <v>1</v>
      </c>
      <c r="J2346" s="7">
        <v>69</v>
      </c>
      <c r="K2346" s="7">
        <v>320</v>
      </c>
      <c r="L2346" s="7">
        <v>343</v>
      </c>
      <c r="M2346" s="7">
        <v>13.16666667</v>
      </c>
      <c r="N2346">
        <f>VLOOKUP(A2346,vlookup_table!$A:$G,2,FALSE)</f>
        <v>28</v>
      </c>
      <c r="O2346" t="str">
        <f>VLOOKUP(A2346,vlookup_table!$A:$G,3,FALSE)</f>
        <v>SC</v>
      </c>
      <c r="P2346">
        <f>VLOOKUP(A2346,vlookup_table!$A:$G,4,FALSE)</f>
        <v>0</v>
      </c>
      <c r="Q2346" t="str">
        <f>VLOOKUP(A2346,vlookup_table!$A:$G,5,FALSE)</f>
        <v>S2</v>
      </c>
      <c r="R2346" t="str">
        <f>VLOOKUP(A2346,vlookup_table!$A:$G,6,FALSE)</f>
        <v>F</v>
      </c>
      <c r="S2346">
        <f>VLOOKUP(A2346,vlookup_table!$A:$G,7,FALSE)</f>
        <v>25</v>
      </c>
      <c r="T2346">
        <f t="shared" si="72"/>
        <v>96</v>
      </c>
      <c r="U2346" t="str">
        <f t="shared" si="73"/>
        <v>Suburbano</v>
      </c>
    </row>
    <row r="2347" spans="1:21" ht="16" x14ac:dyDescent="0.4">
      <c r="A2347" s="7">
        <v>186271</v>
      </c>
      <c r="B2347" s="7" t="s">
        <v>21</v>
      </c>
      <c r="C2347" s="7" t="s">
        <v>14</v>
      </c>
      <c r="D2347" s="7">
        <v>3529</v>
      </c>
      <c r="E2347" s="7">
        <v>564</v>
      </c>
      <c r="F2347" s="7">
        <v>719</v>
      </c>
      <c r="G2347" s="7">
        <v>93</v>
      </c>
      <c r="H2347" s="7">
        <v>26107</v>
      </c>
      <c r="I2347" s="7">
        <v>9</v>
      </c>
      <c r="J2347" s="7">
        <v>56</v>
      </c>
      <c r="K2347" s="7">
        <v>648</v>
      </c>
      <c r="L2347" s="7">
        <v>633</v>
      </c>
      <c r="M2347" s="7">
        <v>19.85714286</v>
      </c>
      <c r="N2347">
        <f>VLOOKUP(A2347,vlookup_table!$A:$G,2,FALSE)</f>
        <v>1</v>
      </c>
      <c r="O2347" t="str">
        <f>VLOOKUP(A2347,vlookup_table!$A:$G,3,FALSE)</f>
        <v>CA</v>
      </c>
      <c r="P2347">
        <f>VLOOKUP(A2347,vlookup_table!$A:$G,4,FALSE)</f>
        <v>2001</v>
      </c>
      <c r="Q2347" t="str">
        <f>VLOOKUP(A2347,vlookup_table!$A:$G,5,FALSE)</f>
        <v>U1</v>
      </c>
      <c r="R2347" t="str">
        <f>VLOOKUP(A2347,vlookup_table!$A:$G,6,FALSE)</f>
        <v>M</v>
      </c>
      <c r="S2347">
        <f>VLOOKUP(A2347,vlookup_table!$A:$G,7,FALSE)</f>
        <v>40</v>
      </c>
      <c r="T2347">
        <f t="shared" si="72"/>
        <v>76</v>
      </c>
      <c r="U2347" t="str">
        <f t="shared" si="73"/>
        <v>Urbano</v>
      </c>
    </row>
    <row r="2348" spans="1:21" ht="16" x14ac:dyDescent="0.4">
      <c r="A2348" s="7">
        <v>55624</v>
      </c>
      <c r="B2348" s="7" t="s">
        <v>56</v>
      </c>
      <c r="C2348" s="7" t="s">
        <v>97</v>
      </c>
      <c r="D2348" s="7">
        <v>403</v>
      </c>
      <c r="E2348" s="7">
        <v>197</v>
      </c>
      <c r="F2348" s="7">
        <v>365</v>
      </c>
      <c r="G2348" s="7">
        <v>2</v>
      </c>
      <c r="H2348" s="7">
        <v>19178</v>
      </c>
      <c r="I2348" s="7">
        <v>0</v>
      </c>
      <c r="J2348" s="7">
        <v>79</v>
      </c>
      <c r="K2348" s="7">
        <v>230</v>
      </c>
      <c r="L2348" s="7">
        <v>293</v>
      </c>
      <c r="M2348" s="7">
        <v>9.7058823529999998</v>
      </c>
      <c r="N2348">
        <f>VLOOKUP(A2348,vlookup_table!$A:$G,2,FALSE)</f>
        <v>0</v>
      </c>
      <c r="O2348" t="str">
        <f>VLOOKUP(A2348,vlookup_table!$A:$G,3,FALSE)</f>
        <v>MS</v>
      </c>
      <c r="P2348">
        <f>VLOOKUP(A2348,vlookup_table!$A:$G,4,FALSE)</f>
        <v>2311</v>
      </c>
      <c r="Q2348" t="str">
        <f>VLOOKUP(A2348,vlookup_table!$A:$G,5,FALSE)</f>
        <v>T3</v>
      </c>
      <c r="R2348" t="str">
        <f>VLOOKUP(A2348,vlookup_table!$A:$G,6,FALSE)</f>
        <v>F</v>
      </c>
      <c r="S2348">
        <f>VLOOKUP(A2348,vlookup_table!$A:$G,7,FALSE)</f>
        <v>10</v>
      </c>
      <c r="T2348">
        <f t="shared" si="72"/>
        <v>73</v>
      </c>
      <c r="U2348" t="str">
        <f t="shared" si="73"/>
        <v>Pueblo</v>
      </c>
    </row>
    <row r="2349" spans="1:21" ht="16" x14ac:dyDescent="0.4">
      <c r="A2349" s="7">
        <v>129912</v>
      </c>
      <c r="B2349" s="7" t="s">
        <v>45</v>
      </c>
      <c r="C2349" s="7" t="s">
        <v>14</v>
      </c>
      <c r="D2349" s="7">
        <v>0</v>
      </c>
      <c r="E2349" s="7">
        <v>382</v>
      </c>
      <c r="F2349" s="7">
        <v>427</v>
      </c>
      <c r="G2349" s="7">
        <v>0</v>
      </c>
      <c r="H2349" s="7">
        <v>29436</v>
      </c>
      <c r="I2349" s="7">
        <v>7</v>
      </c>
      <c r="J2349" s="7">
        <v>17</v>
      </c>
      <c r="K2349" s="7">
        <v>411</v>
      </c>
      <c r="L2349" s="7">
        <v>407</v>
      </c>
      <c r="M2349" s="7">
        <v>13.33333333</v>
      </c>
      <c r="N2349">
        <f>VLOOKUP(A2349,vlookup_table!$A:$G,2,FALSE)</f>
        <v>1</v>
      </c>
      <c r="O2349" t="str">
        <f>VLOOKUP(A2349,vlookup_table!$A:$G,3,FALSE)</f>
        <v>CO</v>
      </c>
      <c r="P2349">
        <f>VLOOKUP(A2349,vlookup_table!$A:$G,4,FALSE)</f>
        <v>0</v>
      </c>
      <c r="Q2349" t="str">
        <f>VLOOKUP(A2349,vlookup_table!$A:$G,5,FALSE)</f>
        <v>U1</v>
      </c>
      <c r="R2349" t="str">
        <f>VLOOKUP(A2349,vlookup_table!$A:$G,6,FALSE)</f>
        <v>M</v>
      </c>
      <c r="S2349">
        <f>VLOOKUP(A2349,vlookup_table!$A:$G,7,FALSE)</f>
        <v>50</v>
      </c>
      <c r="T2349">
        <f t="shared" si="72"/>
        <v>96</v>
      </c>
      <c r="U2349" t="str">
        <f t="shared" si="73"/>
        <v>Urbano</v>
      </c>
    </row>
    <row r="2350" spans="1:21" ht="16" x14ac:dyDescent="0.4">
      <c r="A2350" s="7">
        <v>8657</v>
      </c>
      <c r="B2350" s="7" t="s">
        <v>37</v>
      </c>
      <c r="C2350" s="7" t="s">
        <v>17</v>
      </c>
      <c r="D2350" s="7">
        <v>1734</v>
      </c>
      <c r="E2350" s="7">
        <v>353</v>
      </c>
      <c r="F2350" s="7">
        <v>430</v>
      </c>
      <c r="G2350" s="7">
        <v>29</v>
      </c>
      <c r="H2350" s="7">
        <v>15831</v>
      </c>
      <c r="I2350" s="7">
        <v>3</v>
      </c>
      <c r="J2350" s="7">
        <v>44</v>
      </c>
      <c r="K2350" s="7">
        <v>405</v>
      </c>
      <c r="L2350" s="7">
        <v>396</v>
      </c>
      <c r="M2350" s="7">
        <v>16.428571430000002</v>
      </c>
      <c r="N2350">
        <f>VLOOKUP(A2350,vlookup_table!$A:$G,2,FALSE)</f>
        <v>0</v>
      </c>
      <c r="O2350" t="str">
        <f>VLOOKUP(A2350,vlookup_table!$A:$G,3,FALSE)</f>
        <v>WA</v>
      </c>
      <c r="P2350">
        <f>VLOOKUP(A2350,vlookup_table!$A:$G,4,FALSE)</f>
        <v>2107</v>
      </c>
      <c r="Q2350" t="str">
        <f>VLOOKUP(A2350,vlookup_table!$A:$G,5,FALSE)</f>
        <v>S2</v>
      </c>
      <c r="R2350" t="str">
        <f>VLOOKUP(A2350,vlookup_table!$A:$G,6,FALSE)</f>
        <v>F</v>
      </c>
      <c r="S2350">
        <f>VLOOKUP(A2350,vlookup_table!$A:$G,7,FALSE)</f>
        <v>15</v>
      </c>
      <c r="T2350">
        <f t="shared" si="72"/>
        <v>75</v>
      </c>
      <c r="U2350" t="str">
        <f t="shared" si="73"/>
        <v>Suburbano</v>
      </c>
    </row>
    <row r="2351" spans="1:21" ht="16" x14ac:dyDescent="0.4">
      <c r="A2351" s="7">
        <v>129174</v>
      </c>
      <c r="B2351" s="7" t="s">
        <v>51</v>
      </c>
      <c r="C2351" s="7" t="s">
        <v>27</v>
      </c>
      <c r="D2351" s="7">
        <v>850</v>
      </c>
      <c r="E2351" s="7">
        <v>309</v>
      </c>
      <c r="F2351" s="7">
        <v>409</v>
      </c>
      <c r="G2351" s="7">
        <v>3</v>
      </c>
      <c r="H2351" s="7">
        <v>14718</v>
      </c>
      <c r="I2351" s="7">
        <v>4</v>
      </c>
      <c r="J2351" s="7">
        <v>22</v>
      </c>
      <c r="K2351" s="7">
        <v>371</v>
      </c>
      <c r="L2351" s="7">
        <v>356</v>
      </c>
      <c r="M2351" s="7">
        <v>9.1666666669999994</v>
      </c>
      <c r="N2351">
        <f>VLOOKUP(A2351,vlookup_table!$A:$G,2,FALSE)</f>
        <v>0</v>
      </c>
      <c r="O2351" t="str">
        <f>VLOOKUP(A2351,vlookup_table!$A:$G,3,FALSE)</f>
        <v>AZ</v>
      </c>
      <c r="P2351">
        <f>VLOOKUP(A2351,vlookup_table!$A:$G,4,FALSE)</f>
        <v>0</v>
      </c>
      <c r="Q2351" t="str">
        <f>VLOOKUP(A2351,vlookup_table!$A:$G,5,FALSE)</f>
        <v/>
      </c>
      <c r="R2351" t="str">
        <f>VLOOKUP(A2351,vlookup_table!$A:$G,6,FALSE)</f>
        <v>U</v>
      </c>
      <c r="S2351">
        <f>VLOOKUP(A2351,vlookup_table!$A:$G,7,FALSE)</f>
        <v>10</v>
      </c>
      <c r="T2351">
        <f t="shared" si="72"/>
        <v>96</v>
      </c>
      <c r="U2351" t="str">
        <f t="shared" si="73"/>
        <v/>
      </c>
    </row>
    <row r="2352" spans="1:21" ht="16" x14ac:dyDescent="0.4">
      <c r="A2352" s="7">
        <v>129453</v>
      </c>
      <c r="B2352" s="7" t="s">
        <v>45</v>
      </c>
      <c r="C2352" s="7" t="s">
        <v>17</v>
      </c>
      <c r="D2352" s="7">
        <v>1174</v>
      </c>
      <c r="E2352" s="7">
        <v>460</v>
      </c>
      <c r="F2352" s="7">
        <v>603</v>
      </c>
      <c r="G2352" s="7">
        <v>9</v>
      </c>
      <c r="H2352" s="7">
        <v>21646</v>
      </c>
      <c r="I2352" s="7">
        <v>3</v>
      </c>
      <c r="J2352" s="7">
        <v>40</v>
      </c>
      <c r="K2352" s="7">
        <v>550</v>
      </c>
      <c r="L2352" s="7">
        <v>525</v>
      </c>
      <c r="M2352" s="7">
        <v>5.4444444440000002</v>
      </c>
      <c r="N2352">
        <f>VLOOKUP(A2352,vlookup_table!$A:$G,2,FALSE)</f>
        <v>0</v>
      </c>
      <c r="O2352" t="str">
        <f>VLOOKUP(A2352,vlookup_table!$A:$G,3,FALSE)</f>
        <v>CO</v>
      </c>
      <c r="P2352">
        <f>VLOOKUP(A2352,vlookup_table!$A:$G,4,FALSE)</f>
        <v>2801</v>
      </c>
      <c r="Q2352" t="str">
        <f>VLOOKUP(A2352,vlookup_table!$A:$G,5,FALSE)</f>
        <v>T1</v>
      </c>
      <c r="R2352" t="str">
        <f>VLOOKUP(A2352,vlookup_table!$A:$G,6,FALSE)</f>
        <v>F</v>
      </c>
      <c r="S2352">
        <f>VLOOKUP(A2352,vlookup_table!$A:$G,7,FALSE)</f>
        <v>5</v>
      </c>
      <c r="T2352">
        <f t="shared" si="72"/>
        <v>68</v>
      </c>
      <c r="U2352" t="str">
        <f t="shared" si="73"/>
        <v>Pueblo</v>
      </c>
    </row>
    <row r="2353" spans="1:21" ht="16" x14ac:dyDescent="0.4">
      <c r="A2353" s="7">
        <v>50027</v>
      </c>
      <c r="B2353" s="7" t="s">
        <v>49</v>
      </c>
      <c r="C2353" s="7" t="s">
        <v>17</v>
      </c>
      <c r="D2353" s="7">
        <v>776</v>
      </c>
      <c r="E2353" s="7">
        <v>312</v>
      </c>
      <c r="F2353" s="7">
        <v>397</v>
      </c>
      <c r="G2353" s="7">
        <v>1</v>
      </c>
      <c r="H2353" s="7">
        <v>12653</v>
      </c>
      <c r="I2353" s="7">
        <v>1</v>
      </c>
      <c r="J2353" s="7">
        <v>77</v>
      </c>
      <c r="K2353" s="7">
        <v>356</v>
      </c>
      <c r="L2353" s="7">
        <v>367</v>
      </c>
      <c r="M2353" s="7">
        <v>5.6363636359999996</v>
      </c>
      <c r="N2353">
        <f>VLOOKUP(A2353,vlookup_table!$A:$G,2,FALSE)</f>
        <v>0</v>
      </c>
      <c r="O2353" t="str">
        <f>VLOOKUP(A2353,vlookup_table!$A:$G,3,FALSE)</f>
        <v>TN</v>
      </c>
      <c r="P2353">
        <f>VLOOKUP(A2353,vlookup_table!$A:$G,4,FALSE)</f>
        <v>0</v>
      </c>
      <c r="Q2353" t="str">
        <f>VLOOKUP(A2353,vlookup_table!$A:$G,5,FALSE)</f>
        <v>R2</v>
      </c>
      <c r="R2353" t="str">
        <f>VLOOKUP(A2353,vlookup_table!$A:$G,6,FALSE)</f>
        <v>F</v>
      </c>
      <c r="S2353">
        <f>VLOOKUP(A2353,vlookup_table!$A:$G,7,FALSE)</f>
        <v>40</v>
      </c>
      <c r="T2353">
        <f t="shared" si="72"/>
        <v>96</v>
      </c>
      <c r="U2353" t="str">
        <f t="shared" si="73"/>
        <v>Rural</v>
      </c>
    </row>
    <row r="2354" spans="1:21" ht="16" x14ac:dyDescent="0.4">
      <c r="A2354" s="7">
        <v>85804</v>
      </c>
      <c r="B2354" s="7" t="s">
        <v>52</v>
      </c>
      <c r="C2354" s="7" t="s">
        <v>14</v>
      </c>
      <c r="D2354" s="7">
        <v>267</v>
      </c>
      <c r="E2354" s="7">
        <v>208</v>
      </c>
      <c r="F2354" s="7">
        <v>256</v>
      </c>
      <c r="G2354" s="7">
        <v>0</v>
      </c>
      <c r="H2354" s="7">
        <v>8548</v>
      </c>
      <c r="I2354" s="7">
        <v>2</v>
      </c>
      <c r="J2354" s="7">
        <v>75</v>
      </c>
      <c r="K2354" s="7">
        <v>238</v>
      </c>
      <c r="L2354" s="7">
        <v>233</v>
      </c>
      <c r="M2354" s="7">
        <v>17.100000000000001</v>
      </c>
      <c r="N2354">
        <f>VLOOKUP(A2354,vlookup_table!$A:$G,2,FALSE)</f>
        <v>1</v>
      </c>
      <c r="O2354" t="str">
        <f>VLOOKUP(A2354,vlookup_table!$A:$G,3,FALSE)</f>
        <v>MN</v>
      </c>
      <c r="P2354">
        <f>VLOOKUP(A2354,vlookup_table!$A:$G,4,FALSE)</f>
        <v>2501</v>
      </c>
      <c r="Q2354" t="str">
        <f>VLOOKUP(A2354,vlookup_table!$A:$G,5,FALSE)</f>
        <v>R3</v>
      </c>
      <c r="R2354" t="str">
        <f>VLOOKUP(A2354,vlookup_table!$A:$G,6,FALSE)</f>
        <v>M</v>
      </c>
      <c r="S2354">
        <f>VLOOKUP(A2354,vlookup_table!$A:$G,7,FALSE)</f>
        <v>20</v>
      </c>
      <c r="T2354">
        <f t="shared" si="72"/>
        <v>71</v>
      </c>
      <c r="U2354" t="str">
        <f t="shared" si="73"/>
        <v>Rural</v>
      </c>
    </row>
    <row r="2355" spans="1:21" ht="16" x14ac:dyDescent="0.4">
      <c r="A2355" s="7">
        <v>9742</v>
      </c>
      <c r="B2355" s="7" t="s">
        <v>47</v>
      </c>
      <c r="C2355" s="7" t="s">
        <v>14</v>
      </c>
      <c r="D2355" s="7">
        <v>661</v>
      </c>
      <c r="E2355" s="7">
        <v>322</v>
      </c>
      <c r="F2355" s="7">
        <v>378</v>
      </c>
      <c r="G2355" s="7">
        <v>0</v>
      </c>
      <c r="H2355" s="7">
        <v>12749</v>
      </c>
      <c r="I2355" s="7">
        <v>7</v>
      </c>
      <c r="J2355" s="7">
        <v>56</v>
      </c>
      <c r="K2355" s="7">
        <v>346</v>
      </c>
      <c r="L2355" s="7">
        <v>356</v>
      </c>
      <c r="M2355" s="7">
        <v>9.2380952379999997</v>
      </c>
      <c r="N2355">
        <f>VLOOKUP(A2355,vlookup_table!$A:$G,2,FALSE)</f>
        <v>0</v>
      </c>
      <c r="O2355" t="str">
        <f>VLOOKUP(A2355,vlookup_table!$A:$G,3,FALSE)</f>
        <v>OR</v>
      </c>
      <c r="P2355">
        <f>VLOOKUP(A2355,vlookup_table!$A:$G,4,FALSE)</f>
        <v>4701</v>
      </c>
      <c r="Q2355" t="str">
        <f>VLOOKUP(A2355,vlookup_table!$A:$G,5,FALSE)</f>
        <v>S2</v>
      </c>
      <c r="R2355" t="str">
        <f>VLOOKUP(A2355,vlookup_table!$A:$G,6,FALSE)</f>
        <v>M</v>
      </c>
      <c r="S2355">
        <f>VLOOKUP(A2355,vlookup_table!$A:$G,7,FALSE)</f>
        <v>14</v>
      </c>
      <c r="T2355">
        <f t="shared" si="72"/>
        <v>49</v>
      </c>
      <c r="U2355" t="str">
        <f t="shared" si="73"/>
        <v>Suburbano</v>
      </c>
    </row>
    <row r="2356" spans="1:21" ht="16" x14ac:dyDescent="0.4">
      <c r="A2356" s="7">
        <v>1986</v>
      </c>
      <c r="B2356" s="7" t="s">
        <v>21</v>
      </c>
      <c r="C2356" s="7" t="s">
        <v>17</v>
      </c>
      <c r="D2356" s="7">
        <v>1368</v>
      </c>
      <c r="E2356" s="7">
        <v>379</v>
      </c>
      <c r="F2356" s="7">
        <v>528</v>
      </c>
      <c r="G2356" s="7">
        <v>20</v>
      </c>
      <c r="H2356" s="7">
        <v>23121</v>
      </c>
      <c r="I2356" s="7">
        <v>7</v>
      </c>
      <c r="J2356" s="7">
        <v>56</v>
      </c>
      <c r="K2356" s="7">
        <v>416</v>
      </c>
      <c r="L2356" s="7">
        <v>487</v>
      </c>
      <c r="M2356" s="7">
        <v>5.551724138</v>
      </c>
      <c r="N2356">
        <f>VLOOKUP(A2356,vlookup_table!$A:$G,2,FALSE)</f>
        <v>2</v>
      </c>
      <c r="O2356" t="str">
        <f>VLOOKUP(A2356,vlookup_table!$A:$G,3,FALSE)</f>
        <v>CA</v>
      </c>
      <c r="P2356">
        <f>VLOOKUP(A2356,vlookup_table!$A:$G,4,FALSE)</f>
        <v>2201</v>
      </c>
      <c r="Q2356" t="str">
        <f>VLOOKUP(A2356,vlookup_table!$A:$G,5,FALSE)</f>
        <v>U1</v>
      </c>
      <c r="R2356" t="str">
        <f>VLOOKUP(A2356,vlookup_table!$A:$G,6,FALSE)</f>
        <v>F</v>
      </c>
      <c r="S2356">
        <f>VLOOKUP(A2356,vlookup_table!$A:$G,7,FALSE)</f>
        <v>5</v>
      </c>
      <c r="T2356">
        <f t="shared" si="72"/>
        <v>74</v>
      </c>
      <c r="U2356" t="str">
        <f t="shared" si="73"/>
        <v>Urbano</v>
      </c>
    </row>
    <row r="2357" spans="1:21" ht="16" x14ac:dyDescent="0.4">
      <c r="A2357" s="7">
        <v>26924</v>
      </c>
      <c r="B2357" s="7" t="s">
        <v>36</v>
      </c>
      <c r="C2357" s="7" t="s">
        <v>14</v>
      </c>
      <c r="D2357" s="7">
        <v>1166</v>
      </c>
      <c r="E2357" s="7">
        <v>541</v>
      </c>
      <c r="F2357" s="7">
        <v>609</v>
      </c>
      <c r="G2357" s="7">
        <v>7</v>
      </c>
      <c r="H2357" s="7">
        <v>18462</v>
      </c>
      <c r="I2357" s="7">
        <v>1</v>
      </c>
      <c r="J2357" s="7">
        <v>49</v>
      </c>
      <c r="K2357" s="7">
        <v>577</v>
      </c>
      <c r="L2357" s="7">
        <v>589</v>
      </c>
      <c r="M2357" s="7">
        <v>23.75</v>
      </c>
      <c r="N2357">
        <f>VLOOKUP(A2357,vlookup_table!$A:$G,2,FALSE)</f>
        <v>1</v>
      </c>
      <c r="O2357" t="str">
        <f>VLOOKUP(A2357,vlookup_table!$A:$G,3,FALSE)</f>
        <v>GA</v>
      </c>
      <c r="P2357">
        <f>VLOOKUP(A2357,vlookup_table!$A:$G,4,FALSE)</f>
        <v>2901</v>
      </c>
      <c r="Q2357" t="str">
        <f>VLOOKUP(A2357,vlookup_table!$A:$G,5,FALSE)</f>
        <v/>
      </c>
      <c r="R2357" t="str">
        <f>VLOOKUP(A2357,vlookup_table!$A:$G,6,FALSE)</f>
        <v>M</v>
      </c>
      <c r="S2357">
        <f>VLOOKUP(A2357,vlookup_table!$A:$G,7,FALSE)</f>
        <v>60</v>
      </c>
      <c r="T2357">
        <f t="shared" si="72"/>
        <v>67</v>
      </c>
      <c r="U2357" t="str">
        <f t="shared" si="73"/>
        <v/>
      </c>
    </row>
    <row r="2358" spans="1:21" ht="16" x14ac:dyDescent="0.4">
      <c r="A2358" s="7">
        <v>145480</v>
      </c>
      <c r="B2358" s="7" t="s">
        <v>21</v>
      </c>
      <c r="C2358" s="7" t="s">
        <v>17</v>
      </c>
      <c r="D2358" s="7">
        <v>3326</v>
      </c>
      <c r="E2358" s="7">
        <v>528</v>
      </c>
      <c r="F2358" s="7">
        <v>603</v>
      </c>
      <c r="G2358" s="7">
        <v>97</v>
      </c>
      <c r="H2358" s="7">
        <v>20390</v>
      </c>
      <c r="I2358" s="7">
        <v>21</v>
      </c>
      <c r="J2358" s="7">
        <v>51</v>
      </c>
      <c r="K2358" s="7">
        <v>600</v>
      </c>
      <c r="L2358" s="7">
        <v>582</v>
      </c>
      <c r="M2358" s="7">
        <v>7.7857142860000002</v>
      </c>
      <c r="N2358">
        <f>VLOOKUP(A2358,vlookup_table!$A:$G,2,FALSE)</f>
        <v>2</v>
      </c>
      <c r="O2358" t="str">
        <f>VLOOKUP(A2358,vlookup_table!$A:$G,3,FALSE)</f>
        <v>CA</v>
      </c>
      <c r="P2358">
        <f>VLOOKUP(A2358,vlookup_table!$A:$G,4,FALSE)</f>
        <v>4201</v>
      </c>
      <c r="Q2358" t="str">
        <f>VLOOKUP(A2358,vlookup_table!$A:$G,5,FALSE)</f>
        <v>U1</v>
      </c>
      <c r="R2358" t="str">
        <f>VLOOKUP(A2358,vlookup_table!$A:$G,6,FALSE)</f>
        <v>F</v>
      </c>
      <c r="S2358">
        <f>VLOOKUP(A2358,vlookup_table!$A:$G,7,FALSE)</f>
        <v>12</v>
      </c>
      <c r="T2358">
        <f t="shared" si="72"/>
        <v>54</v>
      </c>
      <c r="U2358" t="str">
        <f t="shared" si="73"/>
        <v>Urbano</v>
      </c>
    </row>
    <row r="2359" spans="1:21" ht="16" x14ac:dyDescent="0.4">
      <c r="A2359" s="7">
        <v>45824</v>
      </c>
      <c r="B2359" s="7" t="s">
        <v>13</v>
      </c>
      <c r="C2359" s="7" t="s">
        <v>14</v>
      </c>
      <c r="D2359" s="7">
        <v>1385</v>
      </c>
      <c r="E2359" s="7">
        <v>404</v>
      </c>
      <c r="F2359" s="7">
        <v>545</v>
      </c>
      <c r="G2359" s="7">
        <v>19</v>
      </c>
      <c r="H2359" s="7">
        <v>21473</v>
      </c>
      <c r="I2359" s="7">
        <v>7</v>
      </c>
      <c r="J2359" s="7">
        <v>11</v>
      </c>
      <c r="K2359" s="7">
        <v>464</v>
      </c>
      <c r="L2359" s="7">
        <v>495</v>
      </c>
      <c r="M2359" s="7">
        <v>15.8</v>
      </c>
      <c r="N2359">
        <f>VLOOKUP(A2359,vlookup_table!$A:$G,2,FALSE)</f>
        <v>1</v>
      </c>
      <c r="O2359" t="str">
        <f>VLOOKUP(A2359,vlookup_table!$A:$G,3,FALSE)</f>
        <v>FL</v>
      </c>
      <c r="P2359">
        <f>VLOOKUP(A2359,vlookup_table!$A:$G,4,FALSE)</f>
        <v>5704</v>
      </c>
      <c r="Q2359" t="str">
        <f>VLOOKUP(A2359,vlookup_table!$A:$G,5,FALSE)</f>
        <v>S1</v>
      </c>
      <c r="R2359" t="str">
        <f>VLOOKUP(A2359,vlookup_table!$A:$G,6,FALSE)</f>
        <v>M</v>
      </c>
      <c r="S2359">
        <f>VLOOKUP(A2359,vlookup_table!$A:$G,7,FALSE)</f>
        <v>25</v>
      </c>
      <c r="T2359">
        <f t="shared" si="72"/>
        <v>39</v>
      </c>
      <c r="U2359" t="str">
        <f t="shared" si="73"/>
        <v>Suburbano</v>
      </c>
    </row>
    <row r="2360" spans="1:21" ht="16" x14ac:dyDescent="0.4">
      <c r="A2360" s="7">
        <v>187417</v>
      </c>
      <c r="B2360" s="7" t="s">
        <v>63</v>
      </c>
      <c r="C2360" s="7" t="s">
        <v>14</v>
      </c>
      <c r="D2360" s="7">
        <v>0</v>
      </c>
      <c r="E2360" s="7">
        <v>0</v>
      </c>
      <c r="F2360" s="7">
        <v>0</v>
      </c>
      <c r="G2360" s="7">
        <v>0</v>
      </c>
      <c r="H2360" s="7">
        <v>0</v>
      </c>
      <c r="I2360" s="7">
        <v>0</v>
      </c>
      <c r="J2360" s="7">
        <v>0</v>
      </c>
      <c r="K2360" s="7">
        <v>0</v>
      </c>
      <c r="L2360" s="7">
        <v>0</v>
      </c>
      <c r="M2360" s="7">
        <v>10.66666667</v>
      </c>
      <c r="N2360">
        <f>VLOOKUP(A2360,vlookup_table!$A:$G,2,FALSE)</f>
        <v>1</v>
      </c>
      <c r="O2360" t="str">
        <f>VLOOKUP(A2360,vlookup_table!$A:$G,3,FALSE)</f>
        <v>AA</v>
      </c>
      <c r="P2360">
        <f>VLOOKUP(A2360,vlookup_table!$A:$G,4,FALSE)</f>
        <v>0</v>
      </c>
      <c r="Q2360" t="str">
        <f>VLOOKUP(A2360,vlookup_table!$A:$G,5,FALSE)</f>
        <v>U4</v>
      </c>
      <c r="R2360" t="str">
        <f>VLOOKUP(A2360,vlookup_table!$A:$G,6,FALSE)</f>
        <v>M</v>
      </c>
      <c r="S2360">
        <f>VLOOKUP(A2360,vlookup_table!$A:$G,7,FALSE)</f>
        <v>45</v>
      </c>
      <c r="T2360">
        <f t="shared" si="72"/>
        <v>96</v>
      </c>
      <c r="U2360" t="str">
        <f t="shared" si="73"/>
        <v>Urbano</v>
      </c>
    </row>
    <row r="2361" spans="1:21" ht="16" x14ac:dyDescent="0.4">
      <c r="A2361" s="7">
        <v>173094</v>
      </c>
      <c r="B2361" s="7" t="s">
        <v>21</v>
      </c>
      <c r="C2361" s="7" t="s">
        <v>14</v>
      </c>
      <c r="D2361" s="7">
        <v>609</v>
      </c>
      <c r="E2361" s="7">
        <v>220</v>
      </c>
      <c r="F2361" s="7">
        <v>319</v>
      </c>
      <c r="G2361" s="7">
        <v>2</v>
      </c>
      <c r="H2361" s="7">
        <v>11902</v>
      </c>
      <c r="I2361" s="7">
        <v>4</v>
      </c>
      <c r="J2361" s="7">
        <v>57</v>
      </c>
      <c r="K2361" s="7">
        <v>238</v>
      </c>
      <c r="L2361" s="7">
        <v>297</v>
      </c>
      <c r="M2361" s="7">
        <v>9.1666666669999994</v>
      </c>
      <c r="N2361">
        <f>VLOOKUP(A2361,vlookup_table!$A:$G,2,FALSE)</f>
        <v>0</v>
      </c>
      <c r="O2361" t="str">
        <f>VLOOKUP(A2361,vlookup_table!$A:$G,3,FALSE)</f>
        <v>CA</v>
      </c>
      <c r="P2361">
        <f>VLOOKUP(A2361,vlookup_table!$A:$G,4,FALSE)</f>
        <v>2401</v>
      </c>
      <c r="Q2361" t="str">
        <f>VLOOKUP(A2361,vlookup_table!$A:$G,5,FALSE)</f>
        <v>R3</v>
      </c>
      <c r="R2361" t="str">
        <f>VLOOKUP(A2361,vlookup_table!$A:$G,6,FALSE)</f>
        <v>M</v>
      </c>
      <c r="S2361">
        <f>VLOOKUP(A2361,vlookup_table!$A:$G,7,FALSE)</f>
        <v>15</v>
      </c>
      <c r="T2361">
        <f t="shared" si="72"/>
        <v>72</v>
      </c>
      <c r="U2361" t="str">
        <f t="shared" si="73"/>
        <v>Rural</v>
      </c>
    </row>
    <row r="2362" spans="1:21" ht="16" x14ac:dyDescent="0.4">
      <c r="A2362" s="7">
        <v>182573</v>
      </c>
      <c r="B2362" s="7" t="s">
        <v>37</v>
      </c>
      <c r="C2362" s="7" t="s">
        <v>14</v>
      </c>
      <c r="D2362" s="7">
        <v>634</v>
      </c>
      <c r="E2362" s="7">
        <v>266</v>
      </c>
      <c r="F2362" s="7">
        <v>372</v>
      </c>
      <c r="G2362" s="7">
        <v>1</v>
      </c>
      <c r="H2362" s="7">
        <v>12161</v>
      </c>
      <c r="I2362" s="7">
        <v>2</v>
      </c>
      <c r="J2362" s="7">
        <v>58</v>
      </c>
      <c r="K2362" s="7">
        <v>320</v>
      </c>
      <c r="L2362" s="7">
        <v>323</v>
      </c>
      <c r="M2362" s="7">
        <v>6.5833333329999997</v>
      </c>
      <c r="N2362">
        <f>VLOOKUP(A2362,vlookup_table!$A:$G,2,FALSE)</f>
        <v>0</v>
      </c>
      <c r="O2362" t="str">
        <f>VLOOKUP(A2362,vlookup_table!$A:$G,3,FALSE)</f>
        <v>WA</v>
      </c>
      <c r="P2362">
        <f>VLOOKUP(A2362,vlookup_table!$A:$G,4,FALSE)</f>
        <v>3504</v>
      </c>
      <c r="Q2362" t="str">
        <f>VLOOKUP(A2362,vlookup_table!$A:$G,5,FALSE)</f>
        <v>R2</v>
      </c>
      <c r="R2362" t="str">
        <f>VLOOKUP(A2362,vlookup_table!$A:$G,6,FALSE)</f>
        <v>M</v>
      </c>
      <c r="S2362">
        <f>VLOOKUP(A2362,vlookup_table!$A:$G,7,FALSE)</f>
        <v>12</v>
      </c>
      <c r="T2362">
        <f t="shared" si="72"/>
        <v>61</v>
      </c>
      <c r="U2362" t="str">
        <f t="shared" si="73"/>
        <v>Rural</v>
      </c>
    </row>
    <row r="2363" spans="1:21" ht="16" x14ac:dyDescent="0.4">
      <c r="A2363" s="7">
        <v>185815</v>
      </c>
      <c r="B2363" s="7" t="s">
        <v>13</v>
      </c>
      <c r="C2363" s="7" t="s">
        <v>17</v>
      </c>
      <c r="D2363" s="7">
        <v>550</v>
      </c>
      <c r="E2363" s="7">
        <v>175</v>
      </c>
      <c r="F2363" s="7">
        <v>196</v>
      </c>
      <c r="G2363" s="7">
        <v>3</v>
      </c>
      <c r="H2363" s="7">
        <v>7958</v>
      </c>
      <c r="I2363" s="7">
        <v>29</v>
      </c>
      <c r="J2363" s="7">
        <v>20</v>
      </c>
      <c r="K2363" s="7">
        <v>188</v>
      </c>
      <c r="L2363" s="7">
        <v>191</v>
      </c>
      <c r="M2363" s="7">
        <v>5.25</v>
      </c>
      <c r="N2363">
        <f>VLOOKUP(A2363,vlookup_table!$A:$G,2,FALSE)</f>
        <v>0</v>
      </c>
      <c r="O2363" t="str">
        <f>VLOOKUP(A2363,vlookup_table!$A:$G,3,FALSE)</f>
        <v>FL</v>
      </c>
      <c r="P2363">
        <f>VLOOKUP(A2363,vlookup_table!$A:$G,4,FALSE)</f>
        <v>2901</v>
      </c>
      <c r="Q2363" t="str">
        <f>VLOOKUP(A2363,vlookup_table!$A:$G,5,FALSE)</f>
        <v>U3</v>
      </c>
      <c r="R2363" t="str">
        <f>VLOOKUP(A2363,vlookup_table!$A:$G,6,FALSE)</f>
        <v>F</v>
      </c>
      <c r="S2363">
        <f>VLOOKUP(A2363,vlookup_table!$A:$G,7,FALSE)</f>
        <v>7</v>
      </c>
      <c r="T2363">
        <f t="shared" si="72"/>
        <v>67</v>
      </c>
      <c r="U2363" t="str">
        <f t="shared" si="73"/>
        <v>Urbano</v>
      </c>
    </row>
    <row r="2364" spans="1:21" ht="16" x14ac:dyDescent="0.4">
      <c r="A2364" s="7">
        <v>86580</v>
      </c>
      <c r="B2364" s="7" t="s">
        <v>42</v>
      </c>
      <c r="C2364" s="7" t="s">
        <v>17</v>
      </c>
      <c r="D2364" s="7">
        <v>263</v>
      </c>
      <c r="E2364" s="7">
        <v>198</v>
      </c>
      <c r="F2364" s="7">
        <v>295</v>
      </c>
      <c r="G2364" s="7">
        <v>0</v>
      </c>
      <c r="H2364" s="7">
        <v>10661</v>
      </c>
      <c r="I2364" s="7">
        <v>0</v>
      </c>
      <c r="J2364" s="7">
        <v>86</v>
      </c>
      <c r="K2364" s="7">
        <v>288</v>
      </c>
      <c r="L2364" s="7">
        <v>240</v>
      </c>
      <c r="M2364" s="7">
        <v>3.8157894739999998</v>
      </c>
      <c r="N2364">
        <f>VLOOKUP(A2364,vlookup_table!$A:$G,2,FALSE)</f>
        <v>2</v>
      </c>
      <c r="O2364" t="str">
        <f>VLOOKUP(A2364,vlookup_table!$A:$G,3,FALSE)</f>
        <v>ND</v>
      </c>
      <c r="P2364">
        <f>VLOOKUP(A2364,vlookup_table!$A:$G,4,FALSE)</f>
        <v>601</v>
      </c>
      <c r="Q2364" t="str">
        <f>VLOOKUP(A2364,vlookup_table!$A:$G,5,FALSE)</f>
        <v>R2</v>
      </c>
      <c r="R2364" t="str">
        <f>VLOOKUP(A2364,vlookup_table!$A:$G,6,FALSE)</f>
        <v>F</v>
      </c>
      <c r="S2364">
        <f>VLOOKUP(A2364,vlookup_table!$A:$G,7,FALSE)</f>
        <v>5</v>
      </c>
      <c r="T2364">
        <f t="shared" si="72"/>
        <v>36</v>
      </c>
      <c r="U2364" t="str">
        <f t="shared" si="73"/>
        <v>Rural</v>
      </c>
    </row>
    <row r="2365" spans="1:21" ht="16" x14ac:dyDescent="0.4">
      <c r="A2365" s="7">
        <v>113680</v>
      </c>
      <c r="B2365" s="7" t="s">
        <v>20</v>
      </c>
      <c r="C2365" s="7" t="s">
        <v>14</v>
      </c>
      <c r="D2365" s="7">
        <v>331</v>
      </c>
      <c r="E2365" s="7">
        <v>219</v>
      </c>
      <c r="F2365" s="7">
        <v>301</v>
      </c>
      <c r="G2365" s="7">
        <v>0</v>
      </c>
      <c r="H2365" s="7">
        <v>9911</v>
      </c>
      <c r="I2365" s="7">
        <v>4</v>
      </c>
      <c r="J2365" s="7">
        <v>85</v>
      </c>
      <c r="K2365" s="7">
        <v>258</v>
      </c>
      <c r="L2365" s="7">
        <v>269</v>
      </c>
      <c r="M2365" s="7">
        <v>20</v>
      </c>
      <c r="N2365">
        <f>VLOOKUP(A2365,vlookup_table!$A:$G,2,FALSE)</f>
        <v>1002</v>
      </c>
      <c r="O2365" t="str">
        <f>VLOOKUP(A2365,vlookup_table!$A:$G,3,FALSE)</f>
        <v>TX</v>
      </c>
      <c r="P2365">
        <f>VLOOKUP(A2365,vlookup_table!$A:$G,4,FALSE)</f>
        <v>5201</v>
      </c>
      <c r="Q2365" t="str">
        <f>VLOOKUP(A2365,vlookup_table!$A:$G,5,FALSE)</f>
        <v>T3</v>
      </c>
      <c r="R2365" t="str">
        <f>VLOOKUP(A2365,vlookup_table!$A:$G,6,FALSE)</f>
        <v>M</v>
      </c>
      <c r="S2365">
        <f>VLOOKUP(A2365,vlookup_table!$A:$G,7,FALSE)</f>
        <v>30</v>
      </c>
      <c r="T2365">
        <f t="shared" si="72"/>
        <v>44</v>
      </c>
      <c r="U2365" t="str">
        <f t="shared" si="73"/>
        <v>Pueblo</v>
      </c>
    </row>
    <row r="2366" spans="1:21" ht="16" x14ac:dyDescent="0.4">
      <c r="A2366" s="7">
        <v>179876</v>
      </c>
      <c r="B2366" s="7" t="s">
        <v>37</v>
      </c>
      <c r="C2366" s="7" t="s">
        <v>17</v>
      </c>
      <c r="D2366" s="7">
        <v>1373</v>
      </c>
      <c r="E2366" s="7">
        <v>379</v>
      </c>
      <c r="F2366" s="7">
        <v>529</v>
      </c>
      <c r="G2366" s="7">
        <v>12</v>
      </c>
      <c r="H2366" s="7">
        <v>19190</v>
      </c>
      <c r="I2366" s="7">
        <v>6</v>
      </c>
      <c r="J2366" s="7">
        <v>53</v>
      </c>
      <c r="K2366" s="7">
        <v>539</v>
      </c>
      <c r="L2366" s="7">
        <v>445</v>
      </c>
      <c r="M2366" s="7">
        <v>7.75</v>
      </c>
      <c r="N2366">
        <f>VLOOKUP(A2366,vlookup_table!$A:$G,2,FALSE)</f>
        <v>0</v>
      </c>
      <c r="O2366" t="str">
        <f>VLOOKUP(A2366,vlookup_table!$A:$G,3,FALSE)</f>
        <v>WA</v>
      </c>
      <c r="P2366">
        <f>VLOOKUP(A2366,vlookup_table!$A:$G,4,FALSE)</f>
        <v>2801</v>
      </c>
      <c r="Q2366" t="str">
        <f>VLOOKUP(A2366,vlookup_table!$A:$G,5,FALSE)</f>
        <v>C3</v>
      </c>
      <c r="R2366" t="str">
        <f>VLOOKUP(A2366,vlookup_table!$A:$G,6,FALSE)</f>
        <v>F</v>
      </c>
      <c r="S2366">
        <f>VLOOKUP(A2366,vlookup_table!$A:$G,7,FALSE)</f>
        <v>10</v>
      </c>
      <c r="T2366">
        <f t="shared" si="72"/>
        <v>68</v>
      </c>
      <c r="U2366" t="str">
        <f t="shared" si="73"/>
        <v>Ciudad</v>
      </c>
    </row>
    <row r="2367" spans="1:21" ht="16" x14ac:dyDescent="0.4">
      <c r="A2367" s="7">
        <v>52171</v>
      </c>
      <c r="B2367" s="7" t="s">
        <v>49</v>
      </c>
      <c r="C2367" s="7" t="s">
        <v>14</v>
      </c>
      <c r="D2367" s="7">
        <v>416</v>
      </c>
      <c r="E2367" s="7">
        <v>185</v>
      </c>
      <c r="F2367" s="7">
        <v>261</v>
      </c>
      <c r="G2367" s="7">
        <v>0</v>
      </c>
      <c r="H2367" s="7">
        <v>8507</v>
      </c>
      <c r="I2367" s="7">
        <v>0</v>
      </c>
      <c r="J2367" s="7">
        <v>80</v>
      </c>
      <c r="K2367" s="7">
        <v>221</v>
      </c>
      <c r="L2367" s="7">
        <v>229</v>
      </c>
      <c r="M2367" s="7">
        <v>4.25</v>
      </c>
      <c r="N2367">
        <f>VLOOKUP(A2367,vlookup_table!$A:$G,2,FALSE)</f>
        <v>1002</v>
      </c>
      <c r="O2367" t="str">
        <f>VLOOKUP(A2367,vlookup_table!$A:$G,3,FALSE)</f>
        <v>TN</v>
      </c>
      <c r="P2367">
        <f>VLOOKUP(A2367,vlookup_table!$A:$G,4,FALSE)</f>
        <v>0</v>
      </c>
      <c r="Q2367" t="str">
        <f>VLOOKUP(A2367,vlookup_table!$A:$G,5,FALSE)</f>
        <v>T2</v>
      </c>
      <c r="R2367" t="str">
        <f>VLOOKUP(A2367,vlookup_table!$A:$G,6,FALSE)</f>
        <v>M</v>
      </c>
      <c r="S2367">
        <f>VLOOKUP(A2367,vlookup_table!$A:$G,7,FALSE)</f>
        <v>5</v>
      </c>
      <c r="T2367">
        <f t="shared" si="72"/>
        <v>96</v>
      </c>
      <c r="U2367" t="str">
        <f t="shared" si="73"/>
        <v>Pueblo</v>
      </c>
    </row>
    <row r="2368" spans="1:21" ht="16" x14ac:dyDescent="0.4">
      <c r="A2368" s="7">
        <v>2586</v>
      </c>
      <c r="B2368" s="7" t="s">
        <v>36</v>
      </c>
      <c r="C2368" s="7" t="s">
        <v>14</v>
      </c>
      <c r="D2368" s="7">
        <v>916</v>
      </c>
      <c r="E2368" s="7">
        <v>338</v>
      </c>
      <c r="F2368" s="7">
        <v>480</v>
      </c>
      <c r="G2368" s="7">
        <v>0</v>
      </c>
      <c r="H2368" s="7">
        <v>19463</v>
      </c>
      <c r="I2368" s="7">
        <v>15</v>
      </c>
      <c r="J2368" s="7">
        <v>31</v>
      </c>
      <c r="K2368" s="7">
        <v>419</v>
      </c>
      <c r="L2368" s="7">
        <v>383</v>
      </c>
      <c r="M2368" s="7">
        <v>20</v>
      </c>
      <c r="N2368">
        <f>VLOOKUP(A2368,vlookup_table!$A:$G,2,FALSE)</f>
        <v>0</v>
      </c>
      <c r="O2368" t="str">
        <f>VLOOKUP(A2368,vlookup_table!$A:$G,3,FALSE)</f>
        <v>GA</v>
      </c>
      <c r="P2368">
        <f>VLOOKUP(A2368,vlookup_table!$A:$G,4,FALSE)</f>
        <v>4201</v>
      </c>
      <c r="Q2368" t="str">
        <f>VLOOKUP(A2368,vlookup_table!$A:$G,5,FALSE)</f>
        <v>S1</v>
      </c>
      <c r="R2368" t="str">
        <f>VLOOKUP(A2368,vlookup_table!$A:$G,6,FALSE)</f>
        <v>M</v>
      </c>
      <c r="S2368">
        <f>VLOOKUP(A2368,vlookup_table!$A:$G,7,FALSE)</f>
        <v>20</v>
      </c>
      <c r="T2368">
        <f t="shared" si="72"/>
        <v>54</v>
      </c>
      <c r="U2368" t="str">
        <f t="shared" si="73"/>
        <v>Suburbano</v>
      </c>
    </row>
    <row r="2369" spans="1:21" ht="16" x14ac:dyDescent="0.4">
      <c r="A2369" s="7">
        <v>22499</v>
      </c>
      <c r="B2369" s="7" t="s">
        <v>43</v>
      </c>
      <c r="C2369" s="7" t="s">
        <v>17</v>
      </c>
      <c r="D2369" s="7">
        <v>438</v>
      </c>
      <c r="E2369" s="7">
        <v>201</v>
      </c>
      <c r="F2369" s="7">
        <v>272</v>
      </c>
      <c r="G2369" s="7">
        <v>0</v>
      </c>
      <c r="H2369" s="7">
        <v>8303</v>
      </c>
      <c r="I2369" s="7">
        <v>0</v>
      </c>
      <c r="J2369" s="7">
        <v>84</v>
      </c>
      <c r="K2369" s="7">
        <v>257</v>
      </c>
      <c r="L2369" s="7">
        <v>242</v>
      </c>
      <c r="M2369" s="7">
        <v>15.61538462</v>
      </c>
      <c r="N2369">
        <f>VLOOKUP(A2369,vlookup_table!$A:$G,2,FALSE)</f>
        <v>0</v>
      </c>
      <c r="O2369" t="str">
        <f>VLOOKUP(A2369,vlookup_table!$A:$G,3,FALSE)</f>
        <v>SC</v>
      </c>
      <c r="P2369">
        <f>VLOOKUP(A2369,vlookup_table!$A:$G,4,FALSE)</f>
        <v>3102</v>
      </c>
      <c r="Q2369" t="str">
        <f>VLOOKUP(A2369,vlookup_table!$A:$G,5,FALSE)</f>
        <v>R3</v>
      </c>
      <c r="R2369" t="str">
        <f>VLOOKUP(A2369,vlookup_table!$A:$G,6,FALSE)</f>
        <v>F</v>
      </c>
      <c r="S2369">
        <f>VLOOKUP(A2369,vlookup_table!$A:$G,7,FALSE)</f>
        <v>10</v>
      </c>
      <c r="T2369">
        <f t="shared" si="72"/>
        <v>65</v>
      </c>
      <c r="U2369" t="str">
        <f t="shared" si="73"/>
        <v>Rural</v>
      </c>
    </row>
    <row r="2370" spans="1:21" ht="16" x14ac:dyDescent="0.4">
      <c r="A2370" s="7">
        <v>186773</v>
      </c>
      <c r="B2370" s="7" t="s">
        <v>53</v>
      </c>
      <c r="C2370" s="7" t="s">
        <v>17</v>
      </c>
      <c r="D2370" s="7">
        <v>722</v>
      </c>
      <c r="E2370" s="7">
        <v>267</v>
      </c>
      <c r="F2370" s="7">
        <v>399</v>
      </c>
      <c r="G2370" s="7">
        <v>0</v>
      </c>
      <c r="H2370" s="7">
        <v>14988</v>
      </c>
      <c r="I2370" s="7">
        <v>2</v>
      </c>
      <c r="J2370" s="7">
        <v>71</v>
      </c>
      <c r="K2370" s="7">
        <v>317</v>
      </c>
      <c r="L2370" s="7">
        <v>324</v>
      </c>
      <c r="M2370" s="7">
        <v>4.8529411769999999</v>
      </c>
      <c r="N2370">
        <f>VLOOKUP(A2370,vlookup_table!$A:$G,2,FALSE)</f>
        <v>0</v>
      </c>
      <c r="O2370" t="str">
        <f>VLOOKUP(A2370,vlookup_table!$A:$G,3,FALSE)</f>
        <v>KY</v>
      </c>
      <c r="P2370">
        <f>VLOOKUP(A2370,vlookup_table!$A:$G,4,FALSE)</f>
        <v>0</v>
      </c>
      <c r="Q2370" t="str">
        <f>VLOOKUP(A2370,vlookup_table!$A:$G,5,FALSE)</f>
        <v>S2</v>
      </c>
      <c r="R2370" t="str">
        <f>VLOOKUP(A2370,vlookup_table!$A:$G,6,FALSE)</f>
        <v>F</v>
      </c>
      <c r="S2370">
        <f>VLOOKUP(A2370,vlookup_table!$A:$G,7,FALSE)</f>
        <v>8</v>
      </c>
      <c r="T2370">
        <f t="shared" si="72"/>
        <v>96</v>
      </c>
      <c r="U2370" t="str">
        <f t="shared" si="73"/>
        <v>Suburbano</v>
      </c>
    </row>
    <row r="2371" spans="1:21" ht="16" x14ac:dyDescent="0.4">
      <c r="A2371" s="7">
        <v>90680</v>
      </c>
      <c r="B2371" s="7" t="s">
        <v>16</v>
      </c>
      <c r="C2371" s="7" t="s">
        <v>17</v>
      </c>
      <c r="D2371" s="7">
        <v>2169</v>
      </c>
      <c r="E2371" s="7">
        <v>862</v>
      </c>
      <c r="F2371" s="7">
        <v>951</v>
      </c>
      <c r="G2371" s="7">
        <v>60</v>
      </c>
      <c r="H2371" s="7">
        <v>35357</v>
      </c>
      <c r="I2371" s="7">
        <v>2</v>
      </c>
      <c r="J2371" s="7">
        <v>69</v>
      </c>
      <c r="K2371" s="7">
        <v>911</v>
      </c>
      <c r="L2371" s="7">
        <v>899</v>
      </c>
      <c r="M2371" s="7">
        <v>12.61538462</v>
      </c>
      <c r="N2371">
        <f>VLOOKUP(A2371,vlookup_table!$A:$G,2,FALSE)</f>
        <v>0</v>
      </c>
      <c r="O2371" t="str">
        <f>VLOOKUP(A2371,vlookup_table!$A:$G,3,FALSE)</f>
        <v>IL</v>
      </c>
      <c r="P2371">
        <f>VLOOKUP(A2371,vlookup_table!$A:$G,4,FALSE)</f>
        <v>4801</v>
      </c>
      <c r="Q2371" t="str">
        <f>VLOOKUP(A2371,vlookup_table!$A:$G,5,FALSE)</f>
        <v>U1</v>
      </c>
      <c r="R2371" t="str">
        <f>VLOOKUP(A2371,vlookup_table!$A:$G,6,FALSE)</f>
        <v>F</v>
      </c>
      <c r="S2371">
        <f>VLOOKUP(A2371,vlookup_table!$A:$G,7,FALSE)</f>
        <v>24</v>
      </c>
      <c r="T2371">
        <f t="shared" ref="T2371:T2434" si="74">97-LEFT(P2371,2)-IF(RIGHT(P2371,2)&gt;6,1,0)</f>
        <v>48</v>
      </c>
      <c r="U2371" t="str">
        <f t="shared" ref="U2371:U2434" si="75">IF(LEFT(Q2371,1)="C","Ciudad",IF(LEFT(Q2371,1)="T","Pueblo",IF(LEFT(Q2371,1)="R","Rural",IF(LEFT(Q2371,1)="S","Suburbano",IF(LEFT(Q2371,1)="U","Urbano","")))))</f>
        <v>Urbano</v>
      </c>
    </row>
    <row r="2372" spans="1:21" ht="16" x14ac:dyDescent="0.4">
      <c r="A2372" s="7">
        <v>123669</v>
      </c>
      <c r="B2372" s="7" t="s">
        <v>20</v>
      </c>
      <c r="C2372" s="7"/>
      <c r="D2372" s="7">
        <v>923</v>
      </c>
      <c r="E2372" s="7">
        <v>554</v>
      </c>
      <c r="F2372" s="7">
        <v>711</v>
      </c>
      <c r="G2372" s="7">
        <v>6</v>
      </c>
      <c r="H2372" s="7">
        <v>25962</v>
      </c>
      <c r="I2372" s="7">
        <v>4</v>
      </c>
      <c r="J2372" s="7">
        <v>55</v>
      </c>
      <c r="K2372" s="7">
        <v>584</v>
      </c>
      <c r="L2372" s="7">
        <v>661</v>
      </c>
      <c r="M2372" s="7">
        <v>9.230769231</v>
      </c>
      <c r="N2372">
        <f>VLOOKUP(A2372,vlookup_table!$A:$G,2,FALSE)</f>
        <v>0</v>
      </c>
      <c r="O2372" t="str">
        <f>VLOOKUP(A2372,vlookup_table!$A:$G,3,FALSE)</f>
        <v>TX</v>
      </c>
      <c r="P2372">
        <f>VLOOKUP(A2372,vlookup_table!$A:$G,4,FALSE)</f>
        <v>608</v>
      </c>
      <c r="Q2372" t="str">
        <f>VLOOKUP(A2372,vlookup_table!$A:$G,5,FALSE)</f>
        <v>T1</v>
      </c>
      <c r="R2372" t="str">
        <f>VLOOKUP(A2372,vlookup_table!$A:$G,6,FALSE)</f>
        <v/>
      </c>
      <c r="S2372">
        <f>VLOOKUP(A2372,vlookup_table!$A:$G,7,FALSE)</f>
        <v>10</v>
      </c>
      <c r="T2372">
        <f t="shared" si="74"/>
        <v>36</v>
      </c>
      <c r="U2372" t="str">
        <f t="shared" si="75"/>
        <v>Pueblo</v>
      </c>
    </row>
    <row r="2373" spans="1:21" ht="16" x14ac:dyDescent="0.4">
      <c r="A2373" s="7">
        <v>106850</v>
      </c>
      <c r="B2373" s="7" t="s">
        <v>55</v>
      </c>
      <c r="C2373" s="7" t="s">
        <v>17</v>
      </c>
      <c r="D2373" s="7">
        <v>901</v>
      </c>
      <c r="E2373" s="7">
        <v>409</v>
      </c>
      <c r="F2373" s="7">
        <v>504</v>
      </c>
      <c r="G2373" s="7">
        <v>0</v>
      </c>
      <c r="H2373" s="7">
        <v>14154</v>
      </c>
      <c r="I2373" s="7">
        <v>5</v>
      </c>
      <c r="J2373" s="7">
        <v>21</v>
      </c>
      <c r="K2373" s="7">
        <v>472</v>
      </c>
      <c r="L2373" s="7">
        <v>459</v>
      </c>
      <c r="M2373" s="7">
        <v>15</v>
      </c>
      <c r="N2373">
        <f>VLOOKUP(A2373,vlookup_table!$A:$G,2,FALSE)</f>
        <v>28</v>
      </c>
      <c r="O2373" t="str">
        <f>VLOOKUP(A2373,vlookup_table!$A:$G,3,FALSE)</f>
        <v>NE</v>
      </c>
      <c r="P2373">
        <f>VLOOKUP(A2373,vlookup_table!$A:$G,4,FALSE)</f>
        <v>6301</v>
      </c>
      <c r="Q2373" t="str">
        <f>VLOOKUP(A2373,vlookup_table!$A:$G,5,FALSE)</f>
        <v>T1</v>
      </c>
      <c r="R2373" t="str">
        <f>VLOOKUP(A2373,vlookup_table!$A:$G,6,FALSE)</f>
        <v>F</v>
      </c>
      <c r="S2373">
        <f>VLOOKUP(A2373,vlookup_table!$A:$G,7,FALSE)</f>
        <v>23</v>
      </c>
      <c r="T2373">
        <f t="shared" si="74"/>
        <v>33</v>
      </c>
      <c r="U2373" t="str">
        <f t="shared" si="75"/>
        <v>Pueblo</v>
      </c>
    </row>
    <row r="2374" spans="1:21" ht="16" x14ac:dyDescent="0.4">
      <c r="A2374" s="7">
        <v>172068</v>
      </c>
      <c r="B2374" s="7" t="s">
        <v>21</v>
      </c>
      <c r="C2374" s="7" t="s">
        <v>14</v>
      </c>
      <c r="D2374" s="7">
        <v>1345</v>
      </c>
      <c r="E2374" s="7">
        <v>446</v>
      </c>
      <c r="F2374" s="7">
        <v>503</v>
      </c>
      <c r="G2374" s="7">
        <v>1</v>
      </c>
      <c r="H2374" s="7">
        <v>16265</v>
      </c>
      <c r="I2374" s="7">
        <v>17</v>
      </c>
      <c r="J2374" s="7">
        <v>49</v>
      </c>
      <c r="K2374" s="7">
        <v>488</v>
      </c>
      <c r="L2374" s="7">
        <v>477</v>
      </c>
      <c r="M2374" s="7">
        <v>11.94444444</v>
      </c>
      <c r="N2374">
        <f>VLOOKUP(A2374,vlookup_table!$A:$G,2,FALSE)</f>
        <v>1</v>
      </c>
      <c r="O2374" t="str">
        <f>VLOOKUP(A2374,vlookup_table!$A:$G,3,FALSE)</f>
        <v>CA</v>
      </c>
      <c r="P2374">
        <f>VLOOKUP(A2374,vlookup_table!$A:$G,4,FALSE)</f>
        <v>4602</v>
      </c>
      <c r="Q2374" t="str">
        <f>VLOOKUP(A2374,vlookup_table!$A:$G,5,FALSE)</f>
        <v>U1</v>
      </c>
      <c r="R2374" t="str">
        <f>VLOOKUP(A2374,vlookup_table!$A:$G,6,FALSE)</f>
        <v>M</v>
      </c>
      <c r="S2374">
        <f>VLOOKUP(A2374,vlookup_table!$A:$G,7,FALSE)</f>
        <v>20</v>
      </c>
      <c r="T2374">
        <f t="shared" si="74"/>
        <v>50</v>
      </c>
      <c r="U2374" t="str">
        <f t="shared" si="75"/>
        <v>Urbano</v>
      </c>
    </row>
    <row r="2375" spans="1:21" ht="16" x14ac:dyDescent="0.4">
      <c r="A2375" s="7">
        <v>109451</v>
      </c>
      <c r="B2375" s="7" t="s">
        <v>46</v>
      </c>
      <c r="C2375" s="7" t="s">
        <v>17</v>
      </c>
      <c r="D2375" s="7">
        <v>608</v>
      </c>
      <c r="E2375" s="7">
        <v>383</v>
      </c>
      <c r="F2375" s="7">
        <v>402</v>
      </c>
      <c r="G2375" s="7">
        <v>0</v>
      </c>
      <c r="H2375" s="7">
        <v>10899</v>
      </c>
      <c r="I2375" s="7">
        <v>1</v>
      </c>
      <c r="J2375" s="7">
        <v>81</v>
      </c>
      <c r="K2375" s="7">
        <v>410</v>
      </c>
      <c r="L2375" s="7">
        <v>380</v>
      </c>
      <c r="M2375" s="7">
        <v>7.25</v>
      </c>
      <c r="N2375">
        <f>VLOOKUP(A2375,vlookup_table!$A:$G,2,FALSE)</f>
        <v>0</v>
      </c>
      <c r="O2375" t="str">
        <f>VLOOKUP(A2375,vlookup_table!$A:$G,3,FALSE)</f>
        <v>LA</v>
      </c>
      <c r="P2375">
        <f>VLOOKUP(A2375,vlookup_table!$A:$G,4,FALSE)</f>
        <v>5801</v>
      </c>
      <c r="Q2375" t="str">
        <f>VLOOKUP(A2375,vlookup_table!$A:$G,5,FALSE)</f>
        <v>R2</v>
      </c>
      <c r="R2375" t="str">
        <f>VLOOKUP(A2375,vlookup_table!$A:$G,6,FALSE)</f>
        <v>F</v>
      </c>
      <c r="S2375">
        <f>VLOOKUP(A2375,vlookup_table!$A:$G,7,FALSE)</f>
        <v>25</v>
      </c>
      <c r="T2375">
        <f t="shared" si="74"/>
        <v>38</v>
      </c>
      <c r="U2375" t="str">
        <f t="shared" si="75"/>
        <v>Rural</v>
      </c>
    </row>
    <row r="2376" spans="1:21" ht="16" x14ac:dyDescent="0.4">
      <c r="A2376" s="7">
        <v>113891</v>
      </c>
      <c r="B2376" s="7" t="s">
        <v>28</v>
      </c>
      <c r="C2376" s="7" t="s">
        <v>14</v>
      </c>
      <c r="D2376" s="7">
        <v>290</v>
      </c>
      <c r="E2376" s="7">
        <v>173</v>
      </c>
      <c r="F2376" s="7">
        <v>303</v>
      </c>
      <c r="G2376" s="7">
        <v>0</v>
      </c>
      <c r="H2376" s="7">
        <v>10700</v>
      </c>
      <c r="I2376" s="7">
        <v>2</v>
      </c>
      <c r="J2376" s="7">
        <v>72</v>
      </c>
      <c r="K2376" s="7">
        <v>228</v>
      </c>
      <c r="L2376" s="7">
        <v>244</v>
      </c>
      <c r="M2376" s="7">
        <v>8.538461539</v>
      </c>
      <c r="N2376">
        <f>VLOOKUP(A2376,vlookup_table!$A:$G,2,FALSE)</f>
        <v>0</v>
      </c>
      <c r="O2376" t="str">
        <f>VLOOKUP(A2376,vlookup_table!$A:$G,3,FALSE)</f>
        <v>OK</v>
      </c>
      <c r="P2376">
        <f>VLOOKUP(A2376,vlookup_table!$A:$G,4,FALSE)</f>
        <v>5601</v>
      </c>
      <c r="Q2376" t="str">
        <f>VLOOKUP(A2376,vlookup_table!$A:$G,5,FALSE)</f>
        <v>R2</v>
      </c>
      <c r="R2376" t="str">
        <f>VLOOKUP(A2376,vlookup_table!$A:$G,6,FALSE)</f>
        <v>M</v>
      </c>
      <c r="S2376">
        <f>VLOOKUP(A2376,vlookup_table!$A:$G,7,FALSE)</f>
        <v>11</v>
      </c>
      <c r="T2376">
        <f t="shared" si="74"/>
        <v>40</v>
      </c>
      <c r="U2376" t="str">
        <f t="shared" si="75"/>
        <v>Rural</v>
      </c>
    </row>
    <row r="2377" spans="1:21" ht="16" x14ac:dyDescent="0.4">
      <c r="A2377" s="7">
        <v>148991</v>
      </c>
      <c r="B2377" s="7" t="s">
        <v>21</v>
      </c>
      <c r="C2377" s="7" t="s">
        <v>17</v>
      </c>
      <c r="D2377" s="7">
        <v>3209</v>
      </c>
      <c r="E2377" s="7">
        <v>568</v>
      </c>
      <c r="F2377" s="7">
        <v>759</v>
      </c>
      <c r="G2377" s="7">
        <v>74</v>
      </c>
      <c r="H2377" s="7">
        <v>28817</v>
      </c>
      <c r="I2377" s="7">
        <v>10</v>
      </c>
      <c r="J2377" s="7">
        <v>47</v>
      </c>
      <c r="K2377" s="7">
        <v>728</v>
      </c>
      <c r="L2377" s="7">
        <v>648</v>
      </c>
      <c r="M2377" s="7">
        <v>19.399999999999999</v>
      </c>
      <c r="N2377">
        <f>VLOOKUP(A2377,vlookup_table!$A:$G,2,FALSE)</f>
        <v>28</v>
      </c>
      <c r="O2377" t="str">
        <f>VLOOKUP(A2377,vlookup_table!$A:$G,3,FALSE)</f>
        <v>CA</v>
      </c>
      <c r="P2377">
        <f>VLOOKUP(A2377,vlookup_table!$A:$G,4,FALSE)</f>
        <v>4401</v>
      </c>
      <c r="Q2377" t="str">
        <f>VLOOKUP(A2377,vlookup_table!$A:$G,5,FALSE)</f>
        <v>C1</v>
      </c>
      <c r="R2377" t="str">
        <f>VLOOKUP(A2377,vlookup_table!$A:$G,6,FALSE)</f>
        <v>F</v>
      </c>
      <c r="S2377">
        <f>VLOOKUP(A2377,vlookup_table!$A:$G,7,FALSE)</f>
        <v>25</v>
      </c>
      <c r="T2377">
        <f t="shared" si="74"/>
        <v>52</v>
      </c>
      <c r="U2377" t="str">
        <f t="shared" si="75"/>
        <v>Ciudad</v>
      </c>
    </row>
    <row r="2378" spans="1:21" ht="16" x14ac:dyDescent="0.4">
      <c r="A2378" s="7">
        <v>63941</v>
      </c>
      <c r="B2378" s="7" t="s">
        <v>30</v>
      </c>
      <c r="C2378" s="7" t="s">
        <v>17</v>
      </c>
      <c r="D2378" s="7">
        <v>700</v>
      </c>
      <c r="E2378" s="7">
        <v>379</v>
      </c>
      <c r="F2378" s="7">
        <v>446</v>
      </c>
      <c r="G2378" s="7">
        <v>2</v>
      </c>
      <c r="H2378" s="7">
        <v>13332</v>
      </c>
      <c r="I2378" s="7">
        <v>0</v>
      </c>
      <c r="J2378" s="7">
        <v>75</v>
      </c>
      <c r="K2378" s="7">
        <v>385</v>
      </c>
      <c r="L2378" s="7">
        <v>432</v>
      </c>
      <c r="M2378" s="7">
        <v>8.1578947369999995</v>
      </c>
      <c r="N2378">
        <f>VLOOKUP(A2378,vlookup_table!$A:$G,2,FALSE)</f>
        <v>0</v>
      </c>
      <c r="O2378" t="str">
        <f>VLOOKUP(A2378,vlookup_table!$A:$G,3,FALSE)</f>
        <v>IN</v>
      </c>
      <c r="P2378">
        <f>VLOOKUP(A2378,vlookup_table!$A:$G,4,FALSE)</f>
        <v>0</v>
      </c>
      <c r="Q2378" t="str">
        <f>VLOOKUP(A2378,vlookup_table!$A:$G,5,FALSE)</f>
        <v>R2</v>
      </c>
      <c r="R2378" t="str">
        <f>VLOOKUP(A2378,vlookup_table!$A:$G,6,FALSE)</f>
        <v>F</v>
      </c>
      <c r="S2378">
        <f>VLOOKUP(A2378,vlookup_table!$A:$G,7,FALSE)</f>
        <v>10</v>
      </c>
      <c r="T2378">
        <f t="shared" si="74"/>
        <v>96</v>
      </c>
      <c r="U2378" t="str">
        <f t="shared" si="75"/>
        <v>Rural</v>
      </c>
    </row>
    <row r="2379" spans="1:21" ht="16" x14ac:dyDescent="0.4">
      <c r="A2379" s="7">
        <v>48006</v>
      </c>
      <c r="B2379" s="7" t="s">
        <v>40</v>
      </c>
      <c r="C2379" s="7" t="s">
        <v>17</v>
      </c>
      <c r="D2379" s="7">
        <v>486</v>
      </c>
      <c r="E2379" s="7">
        <v>237</v>
      </c>
      <c r="F2379" s="7">
        <v>315</v>
      </c>
      <c r="G2379" s="7">
        <v>3</v>
      </c>
      <c r="H2379" s="7">
        <v>10807</v>
      </c>
      <c r="I2379" s="7">
        <v>1</v>
      </c>
      <c r="J2379" s="7">
        <v>80</v>
      </c>
      <c r="K2379" s="7">
        <v>283</v>
      </c>
      <c r="L2379" s="7">
        <v>281</v>
      </c>
      <c r="M2379" s="7">
        <v>6.6</v>
      </c>
      <c r="N2379">
        <f>VLOOKUP(A2379,vlookup_table!$A:$G,2,FALSE)</f>
        <v>28</v>
      </c>
      <c r="O2379" t="str">
        <f>VLOOKUP(A2379,vlookup_table!$A:$G,3,FALSE)</f>
        <v>AL</v>
      </c>
      <c r="P2379">
        <f>VLOOKUP(A2379,vlookup_table!$A:$G,4,FALSE)</f>
        <v>0</v>
      </c>
      <c r="Q2379" t="str">
        <f>VLOOKUP(A2379,vlookup_table!$A:$G,5,FALSE)</f>
        <v>R2</v>
      </c>
      <c r="R2379" t="str">
        <f>VLOOKUP(A2379,vlookup_table!$A:$G,6,FALSE)</f>
        <v>F</v>
      </c>
      <c r="S2379">
        <f>VLOOKUP(A2379,vlookup_table!$A:$G,7,FALSE)</f>
        <v>5</v>
      </c>
      <c r="T2379">
        <f t="shared" si="74"/>
        <v>96</v>
      </c>
      <c r="U2379" t="str">
        <f t="shared" si="75"/>
        <v>Rural</v>
      </c>
    </row>
    <row r="2380" spans="1:21" ht="16" x14ac:dyDescent="0.4">
      <c r="A2380" s="7">
        <v>170998</v>
      </c>
      <c r="B2380" s="7" t="s">
        <v>21</v>
      </c>
      <c r="C2380" s="7" t="s">
        <v>17</v>
      </c>
      <c r="D2380" s="7">
        <v>621</v>
      </c>
      <c r="E2380" s="7">
        <v>250</v>
      </c>
      <c r="F2380" s="7">
        <v>307</v>
      </c>
      <c r="G2380" s="7">
        <v>0</v>
      </c>
      <c r="H2380" s="7">
        <v>10599</v>
      </c>
      <c r="I2380" s="7">
        <v>8</v>
      </c>
      <c r="J2380" s="7">
        <v>59</v>
      </c>
      <c r="K2380" s="7">
        <v>266</v>
      </c>
      <c r="L2380" s="7">
        <v>275</v>
      </c>
      <c r="M2380" s="7">
        <v>10.16666667</v>
      </c>
      <c r="N2380">
        <f>VLOOKUP(A2380,vlookup_table!$A:$G,2,FALSE)</f>
        <v>0</v>
      </c>
      <c r="O2380" t="str">
        <f>VLOOKUP(A2380,vlookup_table!$A:$G,3,FALSE)</f>
        <v>CA</v>
      </c>
      <c r="P2380">
        <f>VLOOKUP(A2380,vlookup_table!$A:$G,4,FALSE)</f>
        <v>1401</v>
      </c>
      <c r="Q2380" t="str">
        <f>VLOOKUP(A2380,vlookup_table!$A:$G,5,FALSE)</f>
        <v>R2</v>
      </c>
      <c r="R2380" t="str">
        <f>VLOOKUP(A2380,vlookup_table!$A:$G,6,FALSE)</f>
        <v>F</v>
      </c>
      <c r="S2380">
        <f>VLOOKUP(A2380,vlookup_table!$A:$G,7,FALSE)</f>
        <v>10</v>
      </c>
      <c r="T2380">
        <f t="shared" si="74"/>
        <v>82</v>
      </c>
      <c r="U2380" t="str">
        <f t="shared" si="75"/>
        <v>Rural</v>
      </c>
    </row>
    <row r="2381" spans="1:21" ht="16" x14ac:dyDescent="0.4">
      <c r="A2381" s="7">
        <v>31959</v>
      </c>
      <c r="B2381" s="7" t="s">
        <v>13</v>
      </c>
      <c r="C2381" s="7" t="s">
        <v>14</v>
      </c>
      <c r="D2381" s="7">
        <v>1548</v>
      </c>
      <c r="E2381" s="7">
        <v>572</v>
      </c>
      <c r="F2381" s="7">
        <v>736</v>
      </c>
      <c r="G2381" s="7">
        <v>35</v>
      </c>
      <c r="H2381" s="7">
        <v>40741</v>
      </c>
      <c r="I2381" s="7">
        <v>5</v>
      </c>
      <c r="J2381" s="7">
        <v>20</v>
      </c>
      <c r="K2381" s="7">
        <v>632</v>
      </c>
      <c r="L2381" s="7">
        <v>646</v>
      </c>
      <c r="M2381" s="7">
        <v>25</v>
      </c>
      <c r="N2381">
        <f>VLOOKUP(A2381,vlookup_table!$A:$G,2,FALSE)</f>
        <v>0</v>
      </c>
      <c r="O2381" t="str">
        <f>VLOOKUP(A2381,vlookup_table!$A:$G,3,FALSE)</f>
        <v>FL</v>
      </c>
      <c r="P2381">
        <f>VLOOKUP(A2381,vlookup_table!$A:$G,4,FALSE)</f>
        <v>3401</v>
      </c>
      <c r="Q2381" t="str">
        <f>VLOOKUP(A2381,vlookup_table!$A:$G,5,FALSE)</f>
        <v>T1</v>
      </c>
      <c r="R2381" t="str">
        <f>VLOOKUP(A2381,vlookup_table!$A:$G,6,FALSE)</f>
        <v>M</v>
      </c>
      <c r="S2381">
        <f>VLOOKUP(A2381,vlookup_table!$A:$G,7,FALSE)</f>
        <v>20</v>
      </c>
      <c r="T2381">
        <f t="shared" si="74"/>
        <v>62</v>
      </c>
      <c r="U2381" t="str">
        <f t="shared" si="75"/>
        <v>Pueblo</v>
      </c>
    </row>
    <row r="2382" spans="1:21" ht="16" x14ac:dyDescent="0.4">
      <c r="A2382" s="7">
        <v>13805</v>
      </c>
      <c r="B2382" s="7" t="s">
        <v>21</v>
      </c>
      <c r="C2382" s="7" t="s">
        <v>14</v>
      </c>
      <c r="D2382" s="7">
        <v>1315</v>
      </c>
      <c r="E2382" s="7">
        <v>304</v>
      </c>
      <c r="F2382" s="7">
        <v>409</v>
      </c>
      <c r="G2382" s="7">
        <v>17</v>
      </c>
      <c r="H2382" s="7">
        <v>15193</v>
      </c>
      <c r="I2382" s="7">
        <v>4</v>
      </c>
      <c r="J2382" s="7">
        <v>62</v>
      </c>
      <c r="K2382" s="7">
        <v>369</v>
      </c>
      <c r="L2382" s="7">
        <v>355</v>
      </c>
      <c r="M2382" s="7">
        <v>27.5</v>
      </c>
      <c r="N2382">
        <f>VLOOKUP(A2382,vlookup_table!$A:$G,2,FALSE)</f>
        <v>0</v>
      </c>
      <c r="O2382" t="str">
        <f>VLOOKUP(A2382,vlookup_table!$A:$G,3,FALSE)</f>
        <v>CA</v>
      </c>
      <c r="P2382">
        <f>VLOOKUP(A2382,vlookup_table!$A:$G,4,FALSE)</f>
        <v>3201</v>
      </c>
      <c r="Q2382" t="str">
        <f>VLOOKUP(A2382,vlookup_table!$A:$G,5,FALSE)</f>
        <v>R1</v>
      </c>
      <c r="R2382" t="str">
        <f>VLOOKUP(A2382,vlookup_table!$A:$G,6,FALSE)</f>
        <v>M</v>
      </c>
      <c r="S2382">
        <f>VLOOKUP(A2382,vlookup_table!$A:$G,7,FALSE)</f>
        <v>107</v>
      </c>
      <c r="T2382">
        <f t="shared" si="74"/>
        <v>64</v>
      </c>
      <c r="U2382" t="str">
        <f t="shared" si="75"/>
        <v>Rural</v>
      </c>
    </row>
    <row r="2383" spans="1:21" ht="16" x14ac:dyDescent="0.4">
      <c r="A2383" s="7">
        <v>104170</v>
      </c>
      <c r="B2383" s="7" t="s">
        <v>33</v>
      </c>
      <c r="C2383" s="7" t="s">
        <v>14</v>
      </c>
      <c r="D2383" s="7">
        <v>889</v>
      </c>
      <c r="E2383" s="7">
        <v>408</v>
      </c>
      <c r="F2383" s="7">
        <v>528</v>
      </c>
      <c r="G2383" s="7">
        <v>0</v>
      </c>
      <c r="H2383" s="7">
        <v>16268</v>
      </c>
      <c r="I2383" s="7">
        <v>2</v>
      </c>
      <c r="J2383" s="7">
        <v>64</v>
      </c>
      <c r="K2383" s="7">
        <v>483</v>
      </c>
      <c r="L2383" s="7">
        <v>468</v>
      </c>
      <c r="M2383" s="7">
        <v>3.72</v>
      </c>
      <c r="N2383">
        <f>VLOOKUP(A2383,vlookup_table!$A:$G,2,FALSE)</f>
        <v>2</v>
      </c>
      <c r="O2383" t="str">
        <f>VLOOKUP(A2383,vlookup_table!$A:$G,3,FALSE)</f>
        <v>MO</v>
      </c>
      <c r="P2383">
        <f>VLOOKUP(A2383,vlookup_table!$A:$G,4,FALSE)</f>
        <v>1603</v>
      </c>
      <c r="Q2383" t="str">
        <f>VLOOKUP(A2383,vlookup_table!$A:$G,5,FALSE)</f>
        <v>C1</v>
      </c>
      <c r="R2383" t="str">
        <f>VLOOKUP(A2383,vlookup_table!$A:$G,6,FALSE)</f>
        <v>M</v>
      </c>
      <c r="S2383">
        <f>VLOOKUP(A2383,vlookup_table!$A:$G,7,FALSE)</f>
        <v>5</v>
      </c>
      <c r="T2383">
        <f t="shared" si="74"/>
        <v>80</v>
      </c>
      <c r="U2383" t="str">
        <f t="shared" si="75"/>
        <v>Ciudad</v>
      </c>
    </row>
    <row r="2384" spans="1:21" ht="16" x14ac:dyDescent="0.4">
      <c r="A2384" s="7">
        <v>28339</v>
      </c>
      <c r="B2384" s="7" t="s">
        <v>36</v>
      </c>
      <c r="C2384" s="7" t="s">
        <v>17</v>
      </c>
      <c r="D2384" s="7">
        <v>2152</v>
      </c>
      <c r="E2384" s="7">
        <v>389</v>
      </c>
      <c r="F2384" s="7">
        <v>738</v>
      </c>
      <c r="G2384" s="7">
        <v>59</v>
      </c>
      <c r="H2384" s="7">
        <v>28753</v>
      </c>
      <c r="I2384" s="7">
        <v>4</v>
      </c>
      <c r="J2384" s="7">
        <v>42</v>
      </c>
      <c r="K2384" s="7">
        <v>634</v>
      </c>
      <c r="L2384" s="7">
        <v>501</v>
      </c>
      <c r="M2384" s="7">
        <v>11.1</v>
      </c>
      <c r="N2384">
        <f>VLOOKUP(A2384,vlookup_table!$A:$G,2,FALSE)</f>
        <v>0</v>
      </c>
      <c r="O2384" t="str">
        <f>VLOOKUP(A2384,vlookup_table!$A:$G,3,FALSE)</f>
        <v>GA</v>
      </c>
      <c r="P2384">
        <f>VLOOKUP(A2384,vlookup_table!$A:$G,4,FALSE)</f>
        <v>0</v>
      </c>
      <c r="Q2384" t="str">
        <f>VLOOKUP(A2384,vlookup_table!$A:$G,5,FALSE)</f>
        <v>C1</v>
      </c>
      <c r="R2384" t="str">
        <f>VLOOKUP(A2384,vlookup_table!$A:$G,6,FALSE)</f>
        <v>F</v>
      </c>
      <c r="S2384">
        <f>VLOOKUP(A2384,vlookup_table!$A:$G,7,FALSE)</f>
        <v>11</v>
      </c>
      <c r="T2384">
        <f t="shared" si="74"/>
        <v>96</v>
      </c>
      <c r="U2384" t="str">
        <f t="shared" si="75"/>
        <v>Ciudad</v>
      </c>
    </row>
    <row r="2385" spans="1:21" ht="16" x14ac:dyDescent="0.4">
      <c r="A2385" s="7">
        <v>1920</v>
      </c>
      <c r="B2385" s="7" t="s">
        <v>23</v>
      </c>
      <c r="C2385" s="7" t="s">
        <v>14</v>
      </c>
      <c r="D2385" s="7">
        <v>1032</v>
      </c>
      <c r="E2385" s="7">
        <v>305</v>
      </c>
      <c r="F2385" s="7">
        <v>454</v>
      </c>
      <c r="G2385" s="7">
        <v>15</v>
      </c>
      <c r="H2385" s="7">
        <v>18324</v>
      </c>
      <c r="I2385" s="7">
        <v>12</v>
      </c>
      <c r="J2385" s="7">
        <v>16</v>
      </c>
      <c r="K2385" s="7">
        <v>361</v>
      </c>
      <c r="L2385" s="7">
        <v>390</v>
      </c>
      <c r="M2385" s="7">
        <v>6.9193548390000004</v>
      </c>
      <c r="N2385">
        <f>VLOOKUP(A2385,vlookup_table!$A:$G,2,FALSE)</f>
        <v>1002</v>
      </c>
      <c r="O2385" t="str">
        <f>VLOOKUP(A2385,vlookup_table!$A:$G,3,FALSE)</f>
        <v>NV</v>
      </c>
      <c r="P2385">
        <f>VLOOKUP(A2385,vlookup_table!$A:$G,4,FALSE)</f>
        <v>1610</v>
      </c>
      <c r="Q2385" t="str">
        <f>VLOOKUP(A2385,vlookup_table!$A:$G,5,FALSE)</f>
        <v>U3</v>
      </c>
      <c r="R2385" t="str">
        <f>VLOOKUP(A2385,vlookup_table!$A:$G,6,FALSE)</f>
        <v>M</v>
      </c>
      <c r="S2385">
        <f>VLOOKUP(A2385,vlookup_table!$A:$G,7,FALSE)</f>
        <v>10</v>
      </c>
      <c r="T2385">
        <f t="shared" si="74"/>
        <v>80</v>
      </c>
      <c r="U2385" t="str">
        <f t="shared" si="75"/>
        <v>Urbano</v>
      </c>
    </row>
    <row r="2386" spans="1:21" ht="16" x14ac:dyDescent="0.4">
      <c r="A2386" s="7">
        <v>88920</v>
      </c>
      <c r="B2386" s="7" t="s">
        <v>16</v>
      </c>
      <c r="C2386" s="7" t="s">
        <v>17</v>
      </c>
      <c r="D2386" s="7">
        <v>1364</v>
      </c>
      <c r="E2386" s="7">
        <v>451</v>
      </c>
      <c r="F2386" s="7">
        <v>561</v>
      </c>
      <c r="G2386" s="7">
        <v>16</v>
      </c>
      <c r="H2386" s="7">
        <v>21988</v>
      </c>
      <c r="I2386" s="7">
        <v>9</v>
      </c>
      <c r="J2386" s="7">
        <v>62</v>
      </c>
      <c r="K2386" s="7">
        <v>468</v>
      </c>
      <c r="L2386" s="7">
        <v>518</v>
      </c>
      <c r="M2386" s="7">
        <v>25</v>
      </c>
      <c r="N2386">
        <f>VLOOKUP(A2386,vlookup_table!$A:$G,2,FALSE)</f>
        <v>0</v>
      </c>
      <c r="O2386" t="str">
        <f>VLOOKUP(A2386,vlookup_table!$A:$G,3,FALSE)</f>
        <v>IL</v>
      </c>
      <c r="P2386">
        <f>VLOOKUP(A2386,vlookup_table!$A:$G,4,FALSE)</f>
        <v>5501</v>
      </c>
      <c r="Q2386" t="str">
        <f>VLOOKUP(A2386,vlookup_table!$A:$G,5,FALSE)</f>
        <v>S1</v>
      </c>
      <c r="R2386" t="str">
        <f>VLOOKUP(A2386,vlookup_table!$A:$G,6,FALSE)</f>
        <v>F</v>
      </c>
      <c r="S2386">
        <f>VLOOKUP(A2386,vlookup_table!$A:$G,7,FALSE)</f>
        <v>25</v>
      </c>
      <c r="T2386">
        <f t="shared" si="74"/>
        <v>41</v>
      </c>
      <c r="U2386" t="str">
        <f t="shared" si="75"/>
        <v>Suburbano</v>
      </c>
    </row>
    <row r="2387" spans="1:21" ht="16" x14ac:dyDescent="0.4">
      <c r="A2387" s="7">
        <v>45656</v>
      </c>
      <c r="B2387" s="7" t="s">
        <v>13</v>
      </c>
      <c r="C2387" s="7" t="s">
        <v>14</v>
      </c>
      <c r="D2387" s="7">
        <v>566</v>
      </c>
      <c r="E2387" s="7">
        <v>218</v>
      </c>
      <c r="F2387" s="7">
        <v>272</v>
      </c>
      <c r="G2387" s="7">
        <v>0</v>
      </c>
      <c r="H2387" s="7">
        <v>11438</v>
      </c>
      <c r="I2387" s="7">
        <v>9</v>
      </c>
      <c r="J2387" s="7">
        <v>8</v>
      </c>
      <c r="K2387" s="7">
        <v>242</v>
      </c>
      <c r="L2387" s="7">
        <v>249</v>
      </c>
      <c r="M2387" s="7">
        <v>27.5</v>
      </c>
      <c r="N2387">
        <f>VLOOKUP(A2387,vlookup_table!$A:$G,2,FALSE)</f>
        <v>1002</v>
      </c>
      <c r="O2387" t="str">
        <f>VLOOKUP(A2387,vlookup_table!$A:$G,3,FALSE)</f>
        <v>FL</v>
      </c>
      <c r="P2387">
        <f>VLOOKUP(A2387,vlookup_table!$A:$G,4,FALSE)</f>
        <v>4301</v>
      </c>
      <c r="Q2387" t="str">
        <f>VLOOKUP(A2387,vlookup_table!$A:$G,5,FALSE)</f>
        <v>C3</v>
      </c>
      <c r="R2387" t="str">
        <f>VLOOKUP(A2387,vlookup_table!$A:$G,6,FALSE)</f>
        <v>M</v>
      </c>
      <c r="S2387">
        <f>VLOOKUP(A2387,vlookup_table!$A:$G,7,FALSE)</f>
        <v>27</v>
      </c>
      <c r="T2387">
        <f t="shared" si="74"/>
        <v>53</v>
      </c>
      <c r="U2387" t="str">
        <f t="shared" si="75"/>
        <v>Ciudad</v>
      </c>
    </row>
    <row r="2388" spans="1:21" ht="16" x14ac:dyDescent="0.4">
      <c r="A2388" s="7">
        <v>175471</v>
      </c>
      <c r="B2388" s="7" t="s">
        <v>47</v>
      </c>
      <c r="C2388" s="7" t="s">
        <v>17</v>
      </c>
      <c r="D2388" s="7">
        <v>813</v>
      </c>
      <c r="E2388" s="7">
        <v>239</v>
      </c>
      <c r="F2388" s="7">
        <v>411</v>
      </c>
      <c r="G2388" s="7">
        <v>5</v>
      </c>
      <c r="H2388" s="7">
        <v>16248</v>
      </c>
      <c r="I2388" s="7">
        <v>5</v>
      </c>
      <c r="J2388" s="7">
        <v>37</v>
      </c>
      <c r="K2388" s="7">
        <v>368</v>
      </c>
      <c r="L2388" s="7">
        <v>301</v>
      </c>
      <c r="M2388" s="7">
        <v>6.5714285710000002</v>
      </c>
      <c r="N2388">
        <f>VLOOKUP(A2388,vlookup_table!$A:$G,2,FALSE)</f>
        <v>28</v>
      </c>
      <c r="O2388" t="str">
        <f>VLOOKUP(A2388,vlookup_table!$A:$G,3,FALSE)</f>
        <v>OR</v>
      </c>
      <c r="P2388">
        <f>VLOOKUP(A2388,vlookup_table!$A:$G,4,FALSE)</f>
        <v>0</v>
      </c>
      <c r="Q2388" t="str">
        <f>VLOOKUP(A2388,vlookup_table!$A:$G,5,FALSE)</f>
        <v>U2</v>
      </c>
      <c r="R2388" t="str">
        <f>VLOOKUP(A2388,vlookup_table!$A:$G,6,FALSE)</f>
        <v>F</v>
      </c>
      <c r="S2388">
        <f>VLOOKUP(A2388,vlookup_table!$A:$G,7,FALSE)</f>
        <v>5</v>
      </c>
      <c r="T2388">
        <f t="shared" si="74"/>
        <v>96</v>
      </c>
      <c r="U2388" t="str">
        <f t="shared" si="75"/>
        <v>Urbano</v>
      </c>
    </row>
    <row r="2389" spans="1:21" ht="16" x14ac:dyDescent="0.4">
      <c r="A2389" s="7">
        <v>108820</v>
      </c>
      <c r="B2389" s="7" t="s">
        <v>46</v>
      </c>
      <c r="C2389" s="7" t="s">
        <v>14</v>
      </c>
      <c r="D2389" s="7">
        <v>465</v>
      </c>
      <c r="E2389" s="7">
        <v>198</v>
      </c>
      <c r="F2389" s="7">
        <v>292</v>
      </c>
      <c r="G2389" s="7">
        <v>1</v>
      </c>
      <c r="H2389" s="7">
        <v>8982</v>
      </c>
      <c r="I2389" s="7">
        <v>0</v>
      </c>
      <c r="J2389" s="7">
        <v>84</v>
      </c>
      <c r="K2389" s="7">
        <v>239</v>
      </c>
      <c r="L2389" s="7">
        <v>260</v>
      </c>
      <c r="M2389" s="7">
        <v>4.8333333329999997</v>
      </c>
      <c r="N2389">
        <f>VLOOKUP(A2389,vlookup_table!$A:$G,2,FALSE)</f>
        <v>1</v>
      </c>
      <c r="O2389" t="str">
        <f>VLOOKUP(A2389,vlookup_table!$A:$G,3,FALSE)</f>
        <v>LA</v>
      </c>
      <c r="P2389">
        <f>VLOOKUP(A2389,vlookup_table!$A:$G,4,FALSE)</f>
        <v>2301</v>
      </c>
      <c r="Q2389" t="str">
        <f>VLOOKUP(A2389,vlookup_table!$A:$G,5,FALSE)</f>
        <v>R2</v>
      </c>
      <c r="R2389" t="str">
        <f>VLOOKUP(A2389,vlookup_table!$A:$G,6,FALSE)</f>
        <v>M</v>
      </c>
      <c r="S2389">
        <f>VLOOKUP(A2389,vlookup_table!$A:$G,7,FALSE)</f>
        <v>5</v>
      </c>
      <c r="T2389">
        <f t="shared" si="74"/>
        <v>73</v>
      </c>
      <c r="U2389" t="str">
        <f t="shared" si="75"/>
        <v>Rural</v>
      </c>
    </row>
    <row r="2390" spans="1:21" ht="16" x14ac:dyDescent="0.4">
      <c r="A2390" s="7">
        <v>190619</v>
      </c>
      <c r="B2390" s="7" t="s">
        <v>26</v>
      </c>
      <c r="C2390" s="7" t="s">
        <v>17</v>
      </c>
      <c r="D2390" s="7">
        <v>943</v>
      </c>
      <c r="E2390" s="7">
        <v>406</v>
      </c>
      <c r="F2390" s="7">
        <v>515</v>
      </c>
      <c r="G2390" s="7">
        <v>2</v>
      </c>
      <c r="H2390" s="7">
        <v>16625</v>
      </c>
      <c r="I2390" s="7">
        <v>1</v>
      </c>
      <c r="J2390" s="7">
        <v>85</v>
      </c>
      <c r="K2390" s="7">
        <v>502</v>
      </c>
      <c r="L2390" s="7">
        <v>453</v>
      </c>
      <c r="M2390" s="7">
        <v>3.5185185190000001</v>
      </c>
      <c r="N2390">
        <f>VLOOKUP(A2390,vlookup_table!$A:$G,2,FALSE)</f>
        <v>2</v>
      </c>
      <c r="O2390" t="str">
        <f>VLOOKUP(A2390,vlookup_table!$A:$G,3,FALSE)</f>
        <v>MI</v>
      </c>
      <c r="P2390">
        <f>VLOOKUP(A2390,vlookup_table!$A:$G,4,FALSE)</f>
        <v>1710</v>
      </c>
      <c r="Q2390" t="str">
        <f>VLOOKUP(A2390,vlookup_table!$A:$G,5,FALSE)</f>
        <v>T2</v>
      </c>
      <c r="R2390" t="str">
        <f>VLOOKUP(A2390,vlookup_table!$A:$G,6,FALSE)</f>
        <v>F</v>
      </c>
      <c r="S2390">
        <f>VLOOKUP(A2390,vlookup_table!$A:$G,7,FALSE)</f>
        <v>3</v>
      </c>
      <c r="T2390">
        <f t="shared" si="74"/>
        <v>79</v>
      </c>
      <c r="U2390" t="str">
        <f t="shared" si="75"/>
        <v>Pueblo</v>
      </c>
    </row>
    <row r="2391" spans="1:21" ht="16" x14ac:dyDescent="0.4">
      <c r="A2391" s="7">
        <v>13727</v>
      </c>
      <c r="B2391" s="7" t="s">
        <v>55</v>
      </c>
      <c r="C2391" s="7" t="s">
        <v>17</v>
      </c>
      <c r="D2391" s="7">
        <v>675</v>
      </c>
      <c r="E2391" s="7">
        <v>284</v>
      </c>
      <c r="F2391" s="7">
        <v>308</v>
      </c>
      <c r="G2391" s="7">
        <v>0</v>
      </c>
      <c r="H2391" s="7">
        <v>18892</v>
      </c>
      <c r="I2391" s="7">
        <v>5</v>
      </c>
      <c r="J2391" s="7">
        <v>39</v>
      </c>
      <c r="K2391" s="7">
        <v>288</v>
      </c>
      <c r="L2391" s="7">
        <v>317</v>
      </c>
      <c r="M2391" s="7">
        <v>20.46153846</v>
      </c>
      <c r="N2391">
        <f>VLOOKUP(A2391,vlookup_table!$A:$G,2,FALSE)</f>
        <v>0</v>
      </c>
      <c r="O2391" t="str">
        <f>VLOOKUP(A2391,vlookup_table!$A:$G,3,FALSE)</f>
        <v>NE</v>
      </c>
      <c r="P2391">
        <f>VLOOKUP(A2391,vlookup_table!$A:$G,4,FALSE)</f>
        <v>5807</v>
      </c>
      <c r="Q2391" t="str">
        <f>VLOOKUP(A2391,vlookup_table!$A:$G,5,FALSE)</f>
        <v>T1</v>
      </c>
      <c r="R2391" t="str">
        <f>VLOOKUP(A2391,vlookup_table!$A:$G,6,FALSE)</f>
        <v>F</v>
      </c>
      <c r="S2391">
        <f>VLOOKUP(A2391,vlookup_table!$A:$G,7,FALSE)</f>
        <v>30</v>
      </c>
      <c r="T2391">
        <f t="shared" si="74"/>
        <v>38</v>
      </c>
      <c r="U2391" t="str">
        <f t="shared" si="75"/>
        <v>Pueblo</v>
      </c>
    </row>
    <row r="2392" spans="1:21" ht="16" x14ac:dyDescent="0.4">
      <c r="A2392" s="7">
        <v>114909</v>
      </c>
      <c r="B2392" s="7" t="s">
        <v>20</v>
      </c>
      <c r="C2392" s="7" t="s">
        <v>14</v>
      </c>
      <c r="D2392" s="7">
        <v>733</v>
      </c>
      <c r="E2392" s="7">
        <v>452</v>
      </c>
      <c r="F2392" s="7">
        <v>503</v>
      </c>
      <c r="G2392" s="7">
        <v>0</v>
      </c>
      <c r="H2392" s="7">
        <v>14468</v>
      </c>
      <c r="I2392" s="7">
        <v>17</v>
      </c>
      <c r="J2392" s="7">
        <v>50</v>
      </c>
      <c r="K2392" s="7">
        <v>453</v>
      </c>
      <c r="L2392" s="7">
        <v>496</v>
      </c>
      <c r="M2392" s="7">
        <v>9</v>
      </c>
      <c r="N2392">
        <f>VLOOKUP(A2392,vlookup_table!$A:$G,2,FALSE)</f>
        <v>93</v>
      </c>
      <c r="O2392" t="str">
        <f>VLOOKUP(A2392,vlookup_table!$A:$G,3,FALSE)</f>
        <v>TX</v>
      </c>
      <c r="P2392">
        <f>VLOOKUP(A2392,vlookup_table!$A:$G,4,FALSE)</f>
        <v>0</v>
      </c>
      <c r="Q2392" t="str">
        <f>VLOOKUP(A2392,vlookup_table!$A:$G,5,FALSE)</f>
        <v>T2</v>
      </c>
      <c r="R2392" t="str">
        <f>VLOOKUP(A2392,vlookup_table!$A:$G,6,FALSE)</f>
        <v>M</v>
      </c>
      <c r="S2392">
        <f>VLOOKUP(A2392,vlookup_table!$A:$G,7,FALSE)</f>
        <v>10</v>
      </c>
      <c r="T2392">
        <f t="shared" si="74"/>
        <v>96</v>
      </c>
      <c r="U2392" t="str">
        <f t="shared" si="75"/>
        <v>Pueblo</v>
      </c>
    </row>
    <row r="2393" spans="1:21" ht="16" x14ac:dyDescent="0.4">
      <c r="A2393" s="7">
        <v>190410</v>
      </c>
      <c r="B2393" s="7" t="s">
        <v>18</v>
      </c>
      <c r="C2393" s="7" t="s">
        <v>97</v>
      </c>
      <c r="D2393" s="7">
        <v>1070</v>
      </c>
      <c r="E2393" s="7">
        <v>310</v>
      </c>
      <c r="F2393" s="7">
        <v>435</v>
      </c>
      <c r="G2393" s="7">
        <v>21</v>
      </c>
      <c r="H2393" s="7">
        <v>16741</v>
      </c>
      <c r="I2393" s="7">
        <v>3</v>
      </c>
      <c r="J2393" s="7">
        <v>53</v>
      </c>
      <c r="K2393" s="7">
        <v>354</v>
      </c>
      <c r="L2393" s="7">
        <v>384</v>
      </c>
      <c r="M2393" s="7">
        <v>8.6829268289999995</v>
      </c>
      <c r="N2393">
        <f>VLOOKUP(A2393,vlookup_table!$A:$G,2,FALSE)</f>
        <v>0</v>
      </c>
      <c r="O2393" t="str">
        <f>VLOOKUP(A2393,vlookup_table!$A:$G,3,FALSE)</f>
        <v>NC</v>
      </c>
      <c r="P2393">
        <f>VLOOKUP(A2393,vlookup_table!$A:$G,4,FALSE)</f>
        <v>0</v>
      </c>
      <c r="Q2393" t="str">
        <f>VLOOKUP(A2393,vlookup_table!$A:$G,5,FALSE)</f>
        <v>C2</v>
      </c>
      <c r="R2393" t="str">
        <f>VLOOKUP(A2393,vlookup_table!$A:$G,6,FALSE)</f>
        <v>F</v>
      </c>
      <c r="S2393">
        <f>VLOOKUP(A2393,vlookup_table!$A:$G,7,FALSE)</f>
        <v>9</v>
      </c>
      <c r="T2393">
        <f t="shared" si="74"/>
        <v>96</v>
      </c>
      <c r="U2393" t="str">
        <f t="shared" si="75"/>
        <v>Ciudad</v>
      </c>
    </row>
    <row r="2394" spans="1:21" ht="16" x14ac:dyDescent="0.4">
      <c r="A2394" s="7">
        <v>166711</v>
      </c>
      <c r="B2394" s="7" t="s">
        <v>21</v>
      </c>
      <c r="C2394" s="7" t="s">
        <v>17</v>
      </c>
      <c r="D2394" s="7">
        <v>675</v>
      </c>
      <c r="E2394" s="7">
        <v>344</v>
      </c>
      <c r="F2394" s="7">
        <v>589</v>
      </c>
      <c r="G2394" s="7">
        <v>0</v>
      </c>
      <c r="H2394" s="7">
        <v>23719</v>
      </c>
      <c r="I2394" s="7">
        <v>11</v>
      </c>
      <c r="J2394" s="7">
        <v>43</v>
      </c>
      <c r="K2394" s="7">
        <v>520</v>
      </c>
      <c r="L2394" s="7">
        <v>438</v>
      </c>
      <c r="M2394" s="7">
        <v>22.666666670000001</v>
      </c>
      <c r="N2394">
        <f>VLOOKUP(A2394,vlookup_table!$A:$G,2,FALSE)</f>
        <v>0</v>
      </c>
      <c r="O2394" t="str">
        <f>VLOOKUP(A2394,vlookup_table!$A:$G,3,FALSE)</f>
        <v>CA</v>
      </c>
      <c r="P2394">
        <f>VLOOKUP(A2394,vlookup_table!$A:$G,4,FALSE)</f>
        <v>3508</v>
      </c>
      <c r="Q2394" t="str">
        <f>VLOOKUP(A2394,vlookup_table!$A:$G,5,FALSE)</f>
        <v>S2</v>
      </c>
      <c r="R2394" t="str">
        <f>VLOOKUP(A2394,vlookup_table!$A:$G,6,FALSE)</f>
        <v>F</v>
      </c>
      <c r="S2394">
        <f>VLOOKUP(A2394,vlookup_table!$A:$G,7,FALSE)</f>
        <v>45</v>
      </c>
      <c r="T2394">
        <f t="shared" si="74"/>
        <v>61</v>
      </c>
      <c r="U2394" t="str">
        <f t="shared" si="75"/>
        <v>Suburbano</v>
      </c>
    </row>
    <row r="2395" spans="1:21" ht="16" x14ac:dyDescent="0.4">
      <c r="A2395" s="7">
        <v>78669</v>
      </c>
      <c r="B2395" s="7" t="s">
        <v>32</v>
      </c>
      <c r="C2395" s="7" t="s">
        <v>17</v>
      </c>
      <c r="D2395" s="7">
        <v>693</v>
      </c>
      <c r="E2395" s="7">
        <v>124</v>
      </c>
      <c r="F2395" s="7">
        <v>383</v>
      </c>
      <c r="G2395" s="7">
        <v>0</v>
      </c>
      <c r="H2395" s="7">
        <v>12596</v>
      </c>
      <c r="I2395" s="7">
        <v>6</v>
      </c>
      <c r="J2395" s="7">
        <v>82</v>
      </c>
      <c r="K2395" s="7">
        <v>389</v>
      </c>
      <c r="L2395" s="7">
        <v>223</v>
      </c>
      <c r="M2395" s="7">
        <v>4.5</v>
      </c>
      <c r="N2395">
        <f>VLOOKUP(A2395,vlookup_table!$A:$G,2,FALSE)</f>
        <v>28</v>
      </c>
      <c r="O2395" t="str">
        <f>VLOOKUP(A2395,vlookup_table!$A:$G,3,FALSE)</f>
        <v>WI</v>
      </c>
      <c r="P2395">
        <f>VLOOKUP(A2395,vlookup_table!$A:$G,4,FALSE)</f>
        <v>1801</v>
      </c>
      <c r="Q2395" t="str">
        <f>VLOOKUP(A2395,vlookup_table!$A:$G,5,FALSE)</f>
        <v>C3</v>
      </c>
      <c r="R2395" t="str">
        <f>VLOOKUP(A2395,vlookup_table!$A:$G,6,FALSE)</f>
        <v>F</v>
      </c>
      <c r="S2395">
        <f>VLOOKUP(A2395,vlookup_table!$A:$G,7,FALSE)</f>
        <v>6</v>
      </c>
      <c r="T2395">
        <f t="shared" si="74"/>
        <v>78</v>
      </c>
      <c r="U2395" t="str">
        <f t="shared" si="75"/>
        <v>Ciudad</v>
      </c>
    </row>
    <row r="2396" spans="1:21" ht="16" x14ac:dyDescent="0.4">
      <c r="A2396" s="7">
        <v>35267</v>
      </c>
      <c r="B2396" s="7" t="s">
        <v>13</v>
      </c>
      <c r="C2396" s="7" t="s">
        <v>14</v>
      </c>
      <c r="D2396" s="7">
        <v>895</v>
      </c>
      <c r="E2396" s="7">
        <v>334</v>
      </c>
      <c r="F2396" s="7">
        <v>460</v>
      </c>
      <c r="G2396" s="7">
        <v>11</v>
      </c>
      <c r="H2396" s="7">
        <v>19627</v>
      </c>
      <c r="I2396" s="7">
        <v>2</v>
      </c>
      <c r="J2396" s="7">
        <v>28</v>
      </c>
      <c r="K2396" s="7">
        <v>366</v>
      </c>
      <c r="L2396" s="7">
        <v>399</v>
      </c>
      <c r="M2396" s="7">
        <v>11.84615385</v>
      </c>
      <c r="N2396">
        <f>VLOOKUP(A2396,vlookup_table!$A:$G,2,FALSE)</f>
        <v>1002</v>
      </c>
      <c r="O2396" t="str">
        <f>VLOOKUP(A2396,vlookup_table!$A:$G,3,FALSE)</f>
        <v>FL</v>
      </c>
      <c r="P2396">
        <f>VLOOKUP(A2396,vlookup_table!$A:$G,4,FALSE)</f>
        <v>1703</v>
      </c>
      <c r="Q2396" t="str">
        <f>VLOOKUP(A2396,vlookup_table!$A:$G,5,FALSE)</f>
        <v>C2</v>
      </c>
      <c r="R2396" t="str">
        <f>VLOOKUP(A2396,vlookup_table!$A:$G,6,FALSE)</f>
        <v>M</v>
      </c>
      <c r="S2396">
        <f>VLOOKUP(A2396,vlookup_table!$A:$G,7,FALSE)</f>
        <v>17</v>
      </c>
      <c r="T2396">
        <f t="shared" si="74"/>
        <v>79</v>
      </c>
      <c r="U2396" t="str">
        <f t="shared" si="75"/>
        <v>Ciudad</v>
      </c>
    </row>
    <row r="2397" spans="1:21" ht="16" x14ac:dyDescent="0.4">
      <c r="A2397" s="7">
        <v>14547</v>
      </c>
      <c r="B2397" s="7" t="s">
        <v>21</v>
      </c>
      <c r="C2397" s="7" t="s">
        <v>17</v>
      </c>
      <c r="D2397" s="7">
        <v>1884</v>
      </c>
      <c r="E2397" s="7">
        <v>518</v>
      </c>
      <c r="F2397" s="7">
        <v>636</v>
      </c>
      <c r="G2397" s="7">
        <v>36</v>
      </c>
      <c r="H2397" s="7">
        <v>19818</v>
      </c>
      <c r="I2397" s="7">
        <v>4</v>
      </c>
      <c r="J2397" s="7">
        <v>65</v>
      </c>
      <c r="K2397" s="7">
        <v>580</v>
      </c>
      <c r="L2397" s="7">
        <v>542</v>
      </c>
      <c r="M2397" s="7">
        <v>16</v>
      </c>
      <c r="N2397">
        <f>VLOOKUP(A2397,vlookup_table!$A:$G,2,FALSE)</f>
        <v>0</v>
      </c>
      <c r="O2397" t="str">
        <f>VLOOKUP(A2397,vlookup_table!$A:$G,3,FALSE)</f>
        <v>CA</v>
      </c>
      <c r="P2397">
        <f>VLOOKUP(A2397,vlookup_table!$A:$G,4,FALSE)</f>
        <v>5501</v>
      </c>
      <c r="Q2397" t="str">
        <f>VLOOKUP(A2397,vlookup_table!$A:$G,5,FALSE)</f>
        <v>S1</v>
      </c>
      <c r="R2397" t="str">
        <f>VLOOKUP(A2397,vlookup_table!$A:$G,6,FALSE)</f>
        <v>F</v>
      </c>
      <c r="S2397">
        <f>VLOOKUP(A2397,vlookup_table!$A:$G,7,FALSE)</f>
        <v>20</v>
      </c>
      <c r="T2397">
        <f t="shared" si="74"/>
        <v>41</v>
      </c>
      <c r="U2397" t="str">
        <f t="shared" si="75"/>
        <v>Suburbano</v>
      </c>
    </row>
    <row r="2398" spans="1:21" ht="16" x14ac:dyDescent="0.4">
      <c r="A2398" s="7">
        <v>136721</v>
      </c>
      <c r="B2398" s="7" t="s">
        <v>51</v>
      </c>
      <c r="C2398" s="7" t="s">
        <v>97</v>
      </c>
      <c r="D2398" s="7">
        <v>891</v>
      </c>
      <c r="E2398" s="7">
        <v>427</v>
      </c>
      <c r="F2398" s="7">
        <v>449</v>
      </c>
      <c r="G2398" s="7">
        <v>1</v>
      </c>
      <c r="H2398" s="7">
        <v>14471</v>
      </c>
      <c r="I2398" s="7">
        <v>5</v>
      </c>
      <c r="J2398" s="7">
        <v>29</v>
      </c>
      <c r="K2398" s="7">
        <v>429</v>
      </c>
      <c r="L2398" s="7">
        <v>440</v>
      </c>
      <c r="M2398" s="7">
        <v>22.5</v>
      </c>
      <c r="N2398">
        <f>VLOOKUP(A2398,vlookup_table!$A:$G,2,FALSE)</f>
        <v>0</v>
      </c>
      <c r="O2398" t="str">
        <f>VLOOKUP(A2398,vlookup_table!$A:$G,3,FALSE)</f>
        <v>AZ</v>
      </c>
      <c r="P2398">
        <f>VLOOKUP(A2398,vlookup_table!$A:$G,4,FALSE)</f>
        <v>3401</v>
      </c>
      <c r="Q2398" t="str">
        <f>VLOOKUP(A2398,vlookup_table!$A:$G,5,FALSE)</f>
        <v>U1</v>
      </c>
      <c r="R2398" t="str">
        <f>VLOOKUP(A2398,vlookup_table!$A:$G,6,FALSE)</f>
        <v>F</v>
      </c>
      <c r="S2398">
        <f>VLOOKUP(A2398,vlookup_table!$A:$G,7,FALSE)</f>
        <v>30</v>
      </c>
      <c r="T2398">
        <f t="shared" si="74"/>
        <v>62</v>
      </c>
      <c r="U2398" t="str">
        <f t="shared" si="75"/>
        <v>Urbano</v>
      </c>
    </row>
    <row r="2399" spans="1:21" ht="16" x14ac:dyDescent="0.4">
      <c r="A2399" s="7">
        <v>162026</v>
      </c>
      <c r="B2399" s="7" t="s">
        <v>21</v>
      </c>
      <c r="C2399" s="7" t="s">
        <v>14</v>
      </c>
      <c r="D2399" s="7">
        <v>5965</v>
      </c>
      <c r="E2399" s="7">
        <v>1168</v>
      </c>
      <c r="F2399" s="7">
        <v>1089</v>
      </c>
      <c r="G2399" s="7">
        <v>99</v>
      </c>
      <c r="H2399" s="7">
        <v>68814</v>
      </c>
      <c r="I2399" s="7">
        <v>23</v>
      </c>
      <c r="J2399" s="7">
        <v>49</v>
      </c>
      <c r="K2399" s="7">
        <v>1261</v>
      </c>
      <c r="L2399" s="7">
        <v>1053</v>
      </c>
      <c r="M2399" s="7">
        <v>9.8571428569999995</v>
      </c>
      <c r="N2399">
        <f>VLOOKUP(A2399,vlookup_table!$A:$G,2,FALSE)</f>
        <v>1</v>
      </c>
      <c r="O2399" t="str">
        <f>VLOOKUP(A2399,vlookup_table!$A:$G,3,FALSE)</f>
        <v>CA</v>
      </c>
      <c r="P2399">
        <f>VLOOKUP(A2399,vlookup_table!$A:$G,4,FALSE)</f>
        <v>3501</v>
      </c>
      <c r="Q2399" t="str">
        <f>VLOOKUP(A2399,vlookup_table!$A:$G,5,FALSE)</f>
        <v>S1</v>
      </c>
      <c r="R2399" t="str">
        <f>VLOOKUP(A2399,vlookup_table!$A:$G,6,FALSE)</f>
        <v>M</v>
      </c>
      <c r="S2399">
        <f>VLOOKUP(A2399,vlookup_table!$A:$G,7,FALSE)</f>
        <v>16</v>
      </c>
      <c r="T2399">
        <f t="shared" si="74"/>
        <v>61</v>
      </c>
      <c r="U2399" t="str">
        <f t="shared" si="75"/>
        <v>Suburbano</v>
      </c>
    </row>
    <row r="2400" spans="1:21" ht="16" x14ac:dyDescent="0.4">
      <c r="A2400" s="7">
        <v>172359</v>
      </c>
      <c r="B2400" s="7" t="s">
        <v>21</v>
      </c>
      <c r="C2400" s="7"/>
      <c r="D2400" s="7">
        <v>566</v>
      </c>
      <c r="E2400" s="7">
        <v>208</v>
      </c>
      <c r="F2400" s="7">
        <v>253</v>
      </c>
      <c r="G2400" s="7">
        <v>0</v>
      </c>
      <c r="H2400" s="7">
        <v>6854</v>
      </c>
      <c r="I2400" s="7">
        <v>25</v>
      </c>
      <c r="J2400" s="7">
        <v>53</v>
      </c>
      <c r="K2400" s="7">
        <v>223</v>
      </c>
      <c r="L2400" s="7">
        <v>241</v>
      </c>
      <c r="M2400" s="7">
        <v>8.0588235289999997</v>
      </c>
      <c r="N2400">
        <f>VLOOKUP(A2400,vlookup_table!$A:$G,2,FALSE)</f>
        <v>0</v>
      </c>
      <c r="O2400" t="str">
        <f>VLOOKUP(A2400,vlookup_table!$A:$G,3,FALSE)</f>
        <v>CA</v>
      </c>
      <c r="P2400">
        <f>VLOOKUP(A2400,vlookup_table!$A:$G,4,FALSE)</f>
        <v>3503</v>
      </c>
      <c r="Q2400" t="str">
        <f>VLOOKUP(A2400,vlookup_table!$A:$G,5,FALSE)</f>
        <v>C3</v>
      </c>
      <c r="R2400" t="str">
        <f>VLOOKUP(A2400,vlookup_table!$A:$G,6,FALSE)</f>
        <v/>
      </c>
      <c r="S2400">
        <f>VLOOKUP(A2400,vlookup_table!$A:$G,7,FALSE)</f>
        <v>20</v>
      </c>
      <c r="T2400">
        <f t="shared" si="74"/>
        <v>61</v>
      </c>
      <c r="U2400" t="str">
        <f t="shared" si="75"/>
        <v>Ciudad</v>
      </c>
    </row>
    <row r="2401" spans="1:21" ht="16" x14ac:dyDescent="0.4">
      <c r="A2401" s="7">
        <v>90727</v>
      </c>
      <c r="B2401" s="7" t="s">
        <v>16</v>
      </c>
      <c r="C2401" s="7" t="s">
        <v>14</v>
      </c>
      <c r="D2401" s="7">
        <v>3671</v>
      </c>
      <c r="E2401" s="7">
        <v>1107</v>
      </c>
      <c r="F2401" s="7">
        <v>1108</v>
      </c>
      <c r="G2401" s="7">
        <v>93</v>
      </c>
      <c r="H2401" s="7">
        <v>37135</v>
      </c>
      <c r="I2401" s="7">
        <v>9</v>
      </c>
      <c r="J2401" s="7">
        <v>87</v>
      </c>
      <c r="K2401" s="7">
        <v>1158</v>
      </c>
      <c r="L2401" s="7">
        <v>1043</v>
      </c>
      <c r="M2401" s="7">
        <v>5.3571428570000004</v>
      </c>
      <c r="N2401">
        <f>VLOOKUP(A2401,vlookup_table!$A:$G,2,FALSE)</f>
        <v>2</v>
      </c>
      <c r="O2401" t="str">
        <f>VLOOKUP(A2401,vlookup_table!$A:$G,3,FALSE)</f>
        <v>IL</v>
      </c>
      <c r="P2401">
        <f>VLOOKUP(A2401,vlookup_table!$A:$G,4,FALSE)</f>
        <v>4610</v>
      </c>
      <c r="Q2401" t="str">
        <f>VLOOKUP(A2401,vlookup_table!$A:$G,5,FALSE)</f>
        <v>S1</v>
      </c>
      <c r="R2401" t="str">
        <f>VLOOKUP(A2401,vlookup_table!$A:$G,6,FALSE)</f>
        <v>M</v>
      </c>
      <c r="S2401">
        <f>VLOOKUP(A2401,vlookup_table!$A:$G,7,FALSE)</f>
        <v>5</v>
      </c>
      <c r="T2401">
        <f t="shared" si="74"/>
        <v>50</v>
      </c>
      <c r="U2401" t="str">
        <f t="shared" si="75"/>
        <v>Suburbano</v>
      </c>
    </row>
    <row r="2402" spans="1:21" ht="16" x14ac:dyDescent="0.4">
      <c r="A2402" s="7">
        <v>46560</v>
      </c>
      <c r="B2402" s="7" t="s">
        <v>13</v>
      </c>
      <c r="C2402" s="7" t="s">
        <v>14</v>
      </c>
      <c r="D2402" s="7">
        <v>1930</v>
      </c>
      <c r="E2402" s="7">
        <v>462</v>
      </c>
      <c r="F2402" s="7">
        <v>648</v>
      </c>
      <c r="G2402" s="7">
        <v>49</v>
      </c>
      <c r="H2402" s="7">
        <v>31606</v>
      </c>
      <c r="I2402" s="7">
        <v>3</v>
      </c>
      <c r="J2402" s="7">
        <v>23</v>
      </c>
      <c r="K2402" s="7">
        <v>520</v>
      </c>
      <c r="L2402" s="7">
        <v>581</v>
      </c>
      <c r="M2402" s="7">
        <v>9.3636363639999995</v>
      </c>
      <c r="N2402">
        <f>VLOOKUP(A2402,vlookup_table!$A:$G,2,FALSE)</f>
        <v>1</v>
      </c>
      <c r="O2402" t="str">
        <f>VLOOKUP(A2402,vlookup_table!$A:$G,3,FALSE)</f>
        <v>FL</v>
      </c>
      <c r="P2402">
        <f>VLOOKUP(A2402,vlookup_table!$A:$G,4,FALSE)</f>
        <v>5801</v>
      </c>
      <c r="Q2402" t="str">
        <f>VLOOKUP(A2402,vlookup_table!$A:$G,5,FALSE)</f>
        <v>T1</v>
      </c>
      <c r="R2402" t="str">
        <f>VLOOKUP(A2402,vlookup_table!$A:$G,6,FALSE)</f>
        <v>M</v>
      </c>
      <c r="S2402">
        <f>VLOOKUP(A2402,vlookup_table!$A:$G,7,FALSE)</f>
        <v>5</v>
      </c>
      <c r="T2402">
        <f t="shared" si="74"/>
        <v>38</v>
      </c>
      <c r="U2402" t="str">
        <f t="shared" si="75"/>
        <v>Pueblo</v>
      </c>
    </row>
    <row r="2403" spans="1:21" ht="16" x14ac:dyDescent="0.4">
      <c r="A2403" s="7">
        <v>2321</v>
      </c>
      <c r="B2403" s="7" t="s">
        <v>21</v>
      </c>
      <c r="C2403" s="7" t="s">
        <v>14</v>
      </c>
      <c r="D2403" s="7">
        <v>2170</v>
      </c>
      <c r="E2403" s="7">
        <v>412</v>
      </c>
      <c r="F2403" s="7">
        <v>500</v>
      </c>
      <c r="G2403" s="7">
        <v>60</v>
      </c>
      <c r="H2403" s="7">
        <v>16335</v>
      </c>
      <c r="I2403" s="7">
        <v>3</v>
      </c>
      <c r="J2403" s="7">
        <v>65</v>
      </c>
      <c r="K2403" s="7">
        <v>421</v>
      </c>
      <c r="L2403" s="7">
        <v>461</v>
      </c>
      <c r="M2403" s="7">
        <v>38.666666669999998</v>
      </c>
      <c r="N2403">
        <f>VLOOKUP(A2403,vlookup_table!$A:$G,2,FALSE)</f>
        <v>1</v>
      </c>
      <c r="O2403" t="str">
        <f>VLOOKUP(A2403,vlookup_table!$A:$G,3,FALSE)</f>
        <v>CA</v>
      </c>
      <c r="P2403">
        <f>VLOOKUP(A2403,vlookup_table!$A:$G,4,FALSE)</f>
        <v>3101</v>
      </c>
      <c r="Q2403" t="str">
        <f>VLOOKUP(A2403,vlookup_table!$A:$G,5,FALSE)</f>
        <v>S2</v>
      </c>
      <c r="R2403" t="str">
        <f>VLOOKUP(A2403,vlookup_table!$A:$G,6,FALSE)</f>
        <v>M</v>
      </c>
      <c r="S2403">
        <f>VLOOKUP(A2403,vlookup_table!$A:$G,7,FALSE)</f>
        <v>25</v>
      </c>
      <c r="T2403">
        <f t="shared" si="74"/>
        <v>65</v>
      </c>
      <c r="U2403" t="str">
        <f t="shared" si="75"/>
        <v>Suburbano</v>
      </c>
    </row>
    <row r="2404" spans="1:21" ht="16" x14ac:dyDescent="0.4">
      <c r="A2404" s="7">
        <v>179262</v>
      </c>
      <c r="B2404" s="7" t="s">
        <v>37</v>
      </c>
      <c r="C2404" s="7" t="s">
        <v>27</v>
      </c>
      <c r="D2404" s="7">
        <v>1801</v>
      </c>
      <c r="E2404" s="7">
        <v>533</v>
      </c>
      <c r="F2404" s="7">
        <v>630</v>
      </c>
      <c r="G2404" s="7">
        <v>35</v>
      </c>
      <c r="H2404" s="7">
        <v>19928</v>
      </c>
      <c r="I2404" s="7">
        <v>6</v>
      </c>
      <c r="J2404" s="7">
        <v>50</v>
      </c>
      <c r="K2404" s="7">
        <v>601</v>
      </c>
      <c r="L2404" s="7">
        <v>570</v>
      </c>
      <c r="M2404" s="7">
        <v>6</v>
      </c>
      <c r="N2404">
        <f>VLOOKUP(A2404,vlookup_table!$A:$G,2,FALSE)</f>
        <v>0</v>
      </c>
      <c r="O2404" t="str">
        <f>VLOOKUP(A2404,vlookup_table!$A:$G,3,FALSE)</f>
        <v>WA</v>
      </c>
      <c r="P2404">
        <f>VLOOKUP(A2404,vlookup_table!$A:$G,4,FALSE)</f>
        <v>4701</v>
      </c>
      <c r="Q2404" t="str">
        <f>VLOOKUP(A2404,vlookup_table!$A:$G,5,FALSE)</f>
        <v>S1</v>
      </c>
      <c r="R2404" t="str">
        <f>VLOOKUP(A2404,vlookup_table!$A:$G,6,FALSE)</f>
        <v>U</v>
      </c>
      <c r="S2404">
        <f>VLOOKUP(A2404,vlookup_table!$A:$G,7,FALSE)</f>
        <v>10</v>
      </c>
      <c r="T2404">
        <f t="shared" si="74"/>
        <v>49</v>
      </c>
      <c r="U2404" t="str">
        <f t="shared" si="75"/>
        <v>Suburbano</v>
      </c>
    </row>
    <row r="2405" spans="1:21" ht="16" x14ac:dyDescent="0.4">
      <c r="A2405" s="7">
        <v>28890</v>
      </c>
      <c r="B2405" s="7" t="s">
        <v>36</v>
      </c>
      <c r="C2405" s="7" t="s">
        <v>14</v>
      </c>
      <c r="D2405" s="7">
        <v>553</v>
      </c>
      <c r="E2405" s="7">
        <v>279</v>
      </c>
      <c r="F2405" s="7">
        <v>362</v>
      </c>
      <c r="G2405" s="7">
        <v>1</v>
      </c>
      <c r="H2405" s="7">
        <v>12145</v>
      </c>
      <c r="I2405" s="7">
        <v>1</v>
      </c>
      <c r="J2405" s="7">
        <v>87</v>
      </c>
      <c r="K2405" s="7">
        <v>307</v>
      </c>
      <c r="L2405" s="7">
        <v>324</v>
      </c>
      <c r="M2405" s="7">
        <v>8</v>
      </c>
      <c r="N2405">
        <f>VLOOKUP(A2405,vlookup_table!$A:$G,2,FALSE)</f>
        <v>0</v>
      </c>
      <c r="O2405" t="str">
        <f>VLOOKUP(A2405,vlookup_table!$A:$G,3,FALSE)</f>
        <v>GA</v>
      </c>
      <c r="P2405">
        <f>VLOOKUP(A2405,vlookup_table!$A:$G,4,FALSE)</f>
        <v>4501</v>
      </c>
      <c r="Q2405" t="str">
        <f>VLOOKUP(A2405,vlookup_table!$A:$G,5,FALSE)</f>
        <v>T2</v>
      </c>
      <c r="R2405" t="str">
        <f>VLOOKUP(A2405,vlookup_table!$A:$G,6,FALSE)</f>
        <v>M</v>
      </c>
      <c r="S2405">
        <f>VLOOKUP(A2405,vlookup_table!$A:$G,7,FALSE)</f>
        <v>15</v>
      </c>
      <c r="T2405">
        <f t="shared" si="74"/>
        <v>51</v>
      </c>
      <c r="U2405" t="str">
        <f t="shared" si="75"/>
        <v>Pueblo</v>
      </c>
    </row>
    <row r="2406" spans="1:21" ht="16" x14ac:dyDescent="0.4">
      <c r="A2406" s="7">
        <v>143787</v>
      </c>
      <c r="B2406" s="7" t="s">
        <v>21</v>
      </c>
      <c r="C2406" s="7" t="s">
        <v>17</v>
      </c>
      <c r="D2406" s="7">
        <v>2423</v>
      </c>
      <c r="E2406" s="7">
        <v>527</v>
      </c>
      <c r="F2406" s="7">
        <v>610</v>
      </c>
      <c r="G2406" s="7">
        <v>83</v>
      </c>
      <c r="H2406" s="7">
        <v>19438</v>
      </c>
      <c r="I2406" s="7">
        <v>17</v>
      </c>
      <c r="J2406" s="7">
        <v>49</v>
      </c>
      <c r="K2406" s="7">
        <v>561</v>
      </c>
      <c r="L2406" s="7">
        <v>578</v>
      </c>
      <c r="M2406" s="7">
        <v>21.666666670000001</v>
      </c>
      <c r="N2406">
        <f>VLOOKUP(A2406,vlookup_table!$A:$G,2,FALSE)</f>
        <v>3</v>
      </c>
      <c r="O2406" t="str">
        <f>VLOOKUP(A2406,vlookup_table!$A:$G,3,FALSE)</f>
        <v>CA</v>
      </c>
      <c r="P2406">
        <f>VLOOKUP(A2406,vlookup_table!$A:$G,4,FALSE)</f>
        <v>0</v>
      </c>
      <c r="Q2406" t="str">
        <f>VLOOKUP(A2406,vlookup_table!$A:$G,5,FALSE)</f>
        <v>U1</v>
      </c>
      <c r="R2406" t="str">
        <f>VLOOKUP(A2406,vlookup_table!$A:$G,6,FALSE)</f>
        <v>F</v>
      </c>
      <c r="S2406">
        <f>VLOOKUP(A2406,vlookup_table!$A:$G,7,FALSE)</f>
        <v>10</v>
      </c>
      <c r="T2406">
        <f t="shared" si="74"/>
        <v>96</v>
      </c>
      <c r="U2406" t="str">
        <f t="shared" si="75"/>
        <v>Urbano</v>
      </c>
    </row>
    <row r="2407" spans="1:21" ht="16" x14ac:dyDescent="0.4">
      <c r="A2407" s="7">
        <v>88735</v>
      </c>
      <c r="B2407" s="7" t="s">
        <v>16</v>
      </c>
      <c r="C2407" s="7" t="s">
        <v>17</v>
      </c>
      <c r="D2407" s="7">
        <v>617</v>
      </c>
      <c r="E2407" s="7">
        <v>129</v>
      </c>
      <c r="F2407" s="7">
        <v>308</v>
      </c>
      <c r="G2407" s="7">
        <v>1</v>
      </c>
      <c r="H2407" s="7">
        <v>9955</v>
      </c>
      <c r="I2407" s="7">
        <v>16</v>
      </c>
      <c r="J2407" s="7">
        <v>45</v>
      </c>
      <c r="K2407" s="7">
        <v>322</v>
      </c>
      <c r="L2407" s="7">
        <v>200</v>
      </c>
      <c r="M2407" s="7">
        <v>5.88</v>
      </c>
      <c r="N2407">
        <f>VLOOKUP(A2407,vlookup_table!$A:$G,2,FALSE)</f>
        <v>3</v>
      </c>
      <c r="O2407" t="str">
        <f>VLOOKUP(A2407,vlookup_table!$A:$G,3,FALSE)</f>
        <v>IL</v>
      </c>
      <c r="P2407">
        <f>VLOOKUP(A2407,vlookup_table!$A:$G,4,FALSE)</f>
        <v>2702</v>
      </c>
      <c r="Q2407" t="str">
        <f>VLOOKUP(A2407,vlookup_table!$A:$G,5,FALSE)</f>
        <v>S2</v>
      </c>
      <c r="R2407" t="str">
        <f>VLOOKUP(A2407,vlookup_table!$A:$G,6,FALSE)</f>
        <v>F</v>
      </c>
      <c r="S2407">
        <f>VLOOKUP(A2407,vlookup_table!$A:$G,7,FALSE)</f>
        <v>10</v>
      </c>
      <c r="T2407">
        <f t="shared" si="74"/>
        <v>69</v>
      </c>
      <c r="U2407" t="str">
        <f t="shared" si="75"/>
        <v>Suburbano</v>
      </c>
    </row>
    <row r="2408" spans="1:21" ht="16" x14ac:dyDescent="0.4">
      <c r="A2408" s="7">
        <v>89367</v>
      </c>
      <c r="B2408" s="7" t="s">
        <v>16</v>
      </c>
      <c r="C2408" s="7" t="s">
        <v>14</v>
      </c>
      <c r="D2408" s="7">
        <v>1209</v>
      </c>
      <c r="E2408" s="7">
        <v>466</v>
      </c>
      <c r="F2408" s="7">
        <v>516</v>
      </c>
      <c r="G2408" s="7">
        <v>0</v>
      </c>
      <c r="H2408" s="7">
        <v>16254</v>
      </c>
      <c r="I2408" s="7">
        <v>6</v>
      </c>
      <c r="J2408" s="7">
        <v>70</v>
      </c>
      <c r="K2408" s="7">
        <v>467</v>
      </c>
      <c r="L2408" s="7">
        <v>517</v>
      </c>
      <c r="M2408" s="7">
        <v>3.21875</v>
      </c>
      <c r="N2408">
        <f>VLOOKUP(A2408,vlookup_table!$A:$G,2,FALSE)</f>
        <v>0</v>
      </c>
      <c r="O2408" t="str">
        <f>VLOOKUP(A2408,vlookup_table!$A:$G,3,FALSE)</f>
        <v>IL</v>
      </c>
      <c r="P2408">
        <f>VLOOKUP(A2408,vlookup_table!$A:$G,4,FALSE)</f>
        <v>6707</v>
      </c>
      <c r="Q2408" t="str">
        <f>VLOOKUP(A2408,vlookup_table!$A:$G,5,FALSE)</f>
        <v>S1</v>
      </c>
      <c r="R2408" t="str">
        <f>VLOOKUP(A2408,vlookup_table!$A:$G,6,FALSE)</f>
        <v>M</v>
      </c>
      <c r="S2408">
        <f>VLOOKUP(A2408,vlookup_table!$A:$G,7,FALSE)</f>
        <v>3</v>
      </c>
      <c r="T2408">
        <f t="shared" si="74"/>
        <v>29</v>
      </c>
      <c r="U2408" t="str">
        <f t="shared" si="75"/>
        <v>Suburbano</v>
      </c>
    </row>
    <row r="2409" spans="1:21" ht="16" x14ac:dyDescent="0.4">
      <c r="A2409" s="7">
        <v>75703</v>
      </c>
      <c r="B2409" s="7" t="s">
        <v>44</v>
      </c>
      <c r="C2409" s="7" t="s">
        <v>17</v>
      </c>
      <c r="D2409" s="7">
        <v>150</v>
      </c>
      <c r="E2409" s="7">
        <v>218</v>
      </c>
      <c r="F2409" s="7">
        <v>290</v>
      </c>
      <c r="G2409" s="7">
        <v>1</v>
      </c>
      <c r="H2409" s="7">
        <v>9942</v>
      </c>
      <c r="I2409" s="7">
        <v>0</v>
      </c>
      <c r="J2409" s="7">
        <v>85</v>
      </c>
      <c r="K2409" s="7">
        <v>252</v>
      </c>
      <c r="L2409" s="7">
        <v>244</v>
      </c>
      <c r="M2409" s="7">
        <v>5.8333333329999997</v>
      </c>
      <c r="N2409">
        <f>VLOOKUP(A2409,vlookup_table!$A:$G,2,FALSE)</f>
        <v>2</v>
      </c>
      <c r="O2409" t="str">
        <f>VLOOKUP(A2409,vlookup_table!$A:$G,3,FALSE)</f>
        <v>IA</v>
      </c>
      <c r="P2409">
        <f>VLOOKUP(A2409,vlookup_table!$A:$G,4,FALSE)</f>
        <v>4401</v>
      </c>
      <c r="Q2409" t="str">
        <f>VLOOKUP(A2409,vlookup_table!$A:$G,5,FALSE)</f>
        <v>R3</v>
      </c>
      <c r="R2409" t="str">
        <f>VLOOKUP(A2409,vlookup_table!$A:$G,6,FALSE)</f>
        <v>F</v>
      </c>
      <c r="S2409">
        <f>VLOOKUP(A2409,vlookup_table!$A:$G,7,FALSE)</f>
        <v>6</v>
      </c>
      <c r="T2409">
        <f t="shared" si="74"/>
        <v>52</v>
      </c>
      <c r="U2409" t="str">
        <f t="shared" si="75"/>
        <v>Rural</v>
      </c>
    </row>
    <row r="2410" spans="1:21" ht="16" x14ac:dyDescent="0.4">
      <c r="A2410" s="7">
        <v>19641</v>
      </c>
      <c r="B2410" s="7" t="s">
        <v>18</v>
      </c>
      <c r="C2410" s="7" t="s">
        <v>97</v>
      </c>
      <c r="D2410" s="7">
        <v>562</v>
      </c>
      <c r="E2410" s="7">
        <v>373</v>
      </c>
      <c r="F2410" s="7">
        <v>388</v>
      </c>
      <c r="G2410" s="7">
        <v>0</v>
      </c>
      <c r="H2410" s="7">
        <v>10064</v>
      </c>
      <c r="I2410" s="7">
        <v>0</v>
      </c>
      <c r="J2410" s="7">
        <v>80</v>
      </c>
      <c r="K2410" s="7">
        <v>375</v>
      </c>
      <c r="L2410" s="7">
        <v>378</v>
      </c>
      <c r="M2410" s="7">
        <v>17.5</v>
      </c>
      <c r="N2410">
        <f>VLOOKUP(A2410,vlookup_table!$A:$G,2,FALSE)</f>
        <v>0</v>
      </c>
      <c r="O2410" t="str">
        <f>VLOOKUP(A2410,vlookup_table!$A:$G,3,FALSE)</f>
        <v>NC</v>
      </c>
      <c r="P2410">
        <f>VLOOKUP(A2410,vlookup_table!$A:$G,4,FALSE)</f>
        <v>4401</v>
      </c>
      <c r="Q2410" t="str">
        <f>VLOOKUP(A2410,vlookup_table!$A:$G,5,FALSE)</f>
        <v>S2</v>
      </c>
      <c r="R2410" t="str">
        <f>VLOOKUP(A2410,vlookup_table!$A:$G,6,FALSE)</f>
        <v>F</v>
      </c>
      <c r="S2410">
        <f>VLOOKUP(A2410,vlookup_table!$A:$G,7,FALSE)</f>
        <v>30</v>
      </c>
      <c r="T2410">
        <f t="shared" si="74"/>
        <v>52</v>
      </c>
      <c r="U2410" t="str">
        <f t="shared" si="75"/>
        <v>Suburbano</v>
      </c>
    </row>
    <row r="2411" spans="1:21" ht="16" x14ac:dyDescent="0.4">
      <c r="A2411" s="7">
        <v>191531</v>
      </c>
      <c r="B2411" s="7" t="s">
        <v>21</v>
      </c>
      <c r="C2411" s="7"/>
      <c r="D2411" s="7">
        <v>1073</v>
      </c>
      <c r="E2411" s="7">
        <v>359</v>
      </c>
      <c r="F2411" s="7">
        <v>453</v>
      </c>
      <c r="G2411" s="7">
        <v>17</v>
      </c>
      <c r="H2411" s="7">
        <v>16918</v>
      </c>
      <c r="I2411" s="7">
        <v>14</v>
      </c>
      <c r="J2411" s="7">
        <v>47</v>
      </c>
      <c r="K2411" s="7">
        <v>392</v>
      </c>
      <c r="L2411" s="7">
        <v>432</v>
      </c>
      <c r="M2411" s="7">
        <v>9</v>
      </c>
      <c r="N2411">
        <f>VLOOKUP(A2411,vlookup_table!$A:$G,2,FALSE)</f>
        <v>4</v>
      </c>
      <c r="O2411" t="str">
        <f>VLOOKUP(A2411,vlookup_table!$A:$G,3,FALSE)</f>
        <v>CA</v>
      </c>
      <c r="P2411">
        <f>VLOOKUP(A2411,vlookup_table!$A:$G,4,FALSE)</f>
        <v>3701</v>
      </c>
      <c r="Q2411" t="str">
        <f>VLOOKUP(A2411,vlookup_table!$A:$G,5,FALSE)</f>
        <v/>
      </c>
      <c r="R2411" t="str">
        <f>VLOOKUP(A2411,vlookup_table!$A:$G,6,FALSE)</f>
        <v/>
      </c>
      <c r="S2411">
        <f>VLOOKUP(A2411,vlookup_table!$A:$G,7,FALSE)</f>
        <v>13</v>
      </c>
      <c r="T2411">
        <f t="shared" si="74"/>
        <v>59</v>
      </c>
      <c r="U2411" t="str">
        <f t="shared" si="75"/>
        <v/>
      </c>
    </row>
    <row r="2412" spans="1:21" ht="16" x14ac:dyDescent="0.4">
      <c r="A2412" s="7">
        <v>1092</v>
      </c>
      <c r="B2412" s="7" t="s">
        <v>21</v>
      </c>
      <c r="C2412" s="7" t="s">
        <v>14</v>
      </c>
      <c r="D2412" s="7">
        <v>5817</v>
      </c>
      <c r="E2412" s="7">
        <v>931</v>
      </c>
      <c r="F2412" s="7">
        <v>1047</v>
      </c>
      <c r="G2412" s="7">
        <v>98</v>
      </c>
      <c r="H2412" s="7">
        <v>91576</v>
      </c>
      <c r="I2412" s="7">
        <v>16</v>
      </c>
      <c r="J2412" s="7">
        <v>22</v>
      </c>
      <c r="K2412" s="7">
        <v>1445</v>
      </c>
      <c r="L2412" s="7">
        <v>957</v>
      </c>
      <c r="M2412" s="7">
        <v>9.84375</v>
      </c>
      <c r="N2412">
        <f>VLOOKUP(A2412,vlookup_table!$A:$G,2,FALSE)</f>
        <v>0</v>
      </c>
      <c r="O2412" t="str">
        <f>VLOOKUP(A2412,vlookup_table!$A:$G,3,FALSE)</f>
        <v>CA</v>
      </c>
      <c r="P2412">
        <f>VLOOKUP(A2412,vlookup_table!$A:$G,4,FALSE)</f>
        <v>2801</v>
      </c>
      <c r="Q2412" t="str">
        <f>VLOOKUP(A2412,vlookup_table!$A:$G,5,FALSE)</f>
        <v>U1</v>
      </c>
      <c r="R2412" t="str">
        <f>VLOOKUP(A2412,vlookup_table!$A:$G,6,FALSE)</f>
        <v>M</v>
      </c>
      <c r="S2412">
        <f>VLOOKUP(A2412,vlookup_table!$A:$G,7,FALSE)</f>
        <v>15</v>
      </c>
      <c r="T2412">
        <f t="shared" si="74"/>
        <v>68</v>
      </c>
      <c r="U2412" t="str">
        <f t="shared" si="75"/>
        <v>Urbano</v>
      </c>
    </row>
    <row r="2413" spans="1:21" ht="16" x14ac:dyDescent="0.4">
      <c r="A2413" s="7">
        <v>69034</v>
      </c>
      <c r="B2413" s="7" t="s">
        <v>26</v>
      </c>
      <c r="C2413" s="7" t="s">
        <v>14</v>
      </c>
      <c r="D2413" s="7">
        <v>895</v>
      </c>
      <c r="E2413" s="7">
        <v>465</v>
      </c>
      <c r="F2413" s="7">
        <v>551</v>
      </c>
      <c r="G2413" s="7">
        <v>0</v>
      </c>
      <c r="H2413" s="7">
        <v>16892</v>
      </c>
      <c r="I2413" s="7">
        <v>4</v>
      </c>
      <c r="J2413" s="7">
        <v>84</v>
      </c>
      <c r="K2413" s="7">
        <v>465</v>
      </c>
      <c r="L2413" s="7">
        <v>560</v>
      </c>
      <c r="M2413" s="7">
        <v>25</v>
      </c>
      <c r="N2413">
        <f>VLOOKUP(A2413,vlookup_table!$A:$G,2,FALSE)</f>
        <v>1</v>
      </c>
      <c r="O2413" t="str">
        <f>VLOOKUP(A2413,vlookup_table!$A:$G,3,FALSE)</f>
        <v>MI</v>
      </c>
      <c r="P2413">
        <f>VLOOKUP(A2413,vlookup_table!$A:$G,4,FALSE)</f>
        <v>2001</v>
      </c>
      <c r="Q2413" t="str">
        <f>VLOOKUP(A2413,vlookup_table!$A:$G,5,FALSE)</f>
        <v>C1</v>
      </c>
      <c r="R2413" t="str">
        <f>VLOOKUP(A2413,vlookup_table!$A:$G,6,FALSE)</f>
        <v>M</v>
      </c>
      <c r="S2413">
        <f>VLOOKUP(A2413,vlookup_table!$A:$G,7,FALSE)</f>
        <v>25</v>
      </c>
      <c r="T2413">
        <f t="shared" si="74"/>
        <v>76</v>
      </c>
      <c r="U2413" t="str">
        <f t="shared" si="75"/>
        <v>Ciudad</v>
      </c>
    </row>
    <row r="2414" spans="1:21" ht="16" x14ac:dyDescent="0.4">
      <c r="A2414" s="7">
        <v>40919</v>
      </c>
      <c r="B2414" s="7" t="s">
        <v>13</v>
      </c>
      <c r="C2414" s="7" t="s">
        <v>41</v>
      </c>
      <c r="D2414" s="7">
        <v>772</v>
      </c>
      <c r="E2414" s="7">
        <v>312</v>
      </c>
      <c r="F2414" s="7">
        <v>376</v>
      </c>
      <c r="G2414" s="7">
        <v>3</v>
      </c>
      <c r="H2414" s="7">
        <v>12012</v>
      </c>
      <c r="I2414" s="7">
        <v>3</v>
      </c>
      <c r="J2414" s="7">
        <v>58</v>
      </c>
      <c r="K2414" s="7">
        <v>338</v>
      </c>
      <c r="L2414" s="7">
        <v>349</v>
      </c>
      <c r="M2414" s="7">
        <v>7.1666666670000003</v>
      </c>
      <c r="N2414">
        <f>VLOOKUP(A2414,vlookup_table!$A:$G,2,FALSE)</f>
        <v>0</v>
      </c>
      <c r="O2414" t="str">
        <f>VLOOKUP(A2414,vlookup_table!$A:$G,3,FALSE)</f>
        <v>FL</v>
      </c>
      <c r="P2414">
        <f>VLOOKUP(A2414,vlookup_table!$A:$G,4,FALSE)</f>
        <v>1801</v>
      </c>
      <c r="Q2414" t="str">
        <f>VLOOKUP(A2414,vlookup_table!$A:$G,5,FALSE)</f>
        <v>C2</v>
      </c>
      <c r="R2414" t="str">
        <f>VLOOKUP(A2414,vlookup_table!$A:$G,6,FALSE)</f>
        <v>J</v>
      </c>
      <c r="S2414">
        <f>VLOOKUP(A2414,vlookup_table!$A:$G,7,FALSE)</f>
        <v>10</v>
      </c>
      <c r="T2414">
        <f t="shared" si="74"/>
        <v>78</v>
      </c>
      <c r="U2414" t="str">
        <f t="shared" si="75"/>
        <v>Ciudad</v>
      </c>
    </row>
    <row r="2415" spans="1:21" ht="16" x14ac:dyDescent="0.4">
      <c r="A2415" s="7">
        <v>64203</v>
      </c>
      <c r="B2415" s="7" t="s">
        <v>30</v>
      </c>
      <c r="C2415" s="7" t="s">
        <v>14</v>
      </c>
      <c r="D2415" s="7">
        <v>404</v>
      </c>
      <c r="E2415" s="7">
        <v>256</v>
      </c>
      <c r="F2415" s="7">
        <v>363</v>
      </c>
      <c r="G2415" s="7">
        <v>0</v>
      </c>
      <c r="H2415" s="7">
        <v>13067</v>
      </c>
      <c r="I2415" s="7">
        <v>2</v>
      </c>
      <c r="J2415" s="7">
        <v>75</v>
      </c>
      <c r="K2415" s="7">
        <v>351</v>
      </c>
      <c r="L2415" s="7">
        <v>289</v>
      </c>
      <c r="M2415" s="7">
        <v>6.1891891890000004</v>
      </c>
      <c r="N2415">
        <f>VLOOKUP(A2415,vlookup_table!$A:$G,2,FALSE)</f>
        <v>1</v>
      </c>
      <c r="O2415" t="str">
        <f>VLOOKUP(A2415,vlookup_table!$A:$G,3,FALSE)</f>
        <v>IN</v>
      </c>
      <c r="P2415">
        <f>VLOOKUP(A2415,vlookup_table!$A:$G,4,FALSE)</f>
        <v>3610</v>
      </c>
      <c r="Q2415" t="str">
        <f>VLOOKUP(A2415,vlookup_table!$A:$G,5,FALSE)</f>
        <v>C2</v>
      </c>
      <c r="R2415" t="str">
        <f>VLOOKUP(A2415,vlookup_table!$A:$G,6,FALSE)</f>
        <v>M</v>
      </c>
      <c r="S2415">
        <f>VLOOKUP(A2415,vlookup_table!$A:$G,7,FALSE)</f>
        <v>6</v>
      </c>
      <c r="T2415">
        <f t="shared" si="74"/>
        <v>60</v>
      </c>
      <c r="U2415" t="str">
        <f t="shared" si="75"/>
        <v>Ciudad</v>
      </c>
    </row>
    <row r="2416" spans="1:21" ht="16" x14ac:dyDescent="0.4">
      <c r="A2416" s="7">
        <v>151995</v>
      </c>
      <c r="B2416" s="7" t="s">
        <v>21</v>
      </c>
      <c r="C2416" s="7" t="s">
        <v>17</v>
      </c>
      <c r="D2416" s="7">
        <v>1881</v>
      </c>
      <c r="E2416" s="7">
        <v>413</v>
      </c>
      <c r="F2416" s="7">
        <v>507</v>
      </c>
      <c r="G2416" s="7">
        <v>36</v>
      </c>
      <c r="H2416" s="7">
        <v>25215</v>
      </c>
      <c r="I2416" s="7">
        <v>9</v>
      </c>
      <c r="J2416" s="7">
        <v>29</v>
      </c>
      <c r="K2416" s="7">
        <v>499</v>
      </c>
      <c r="L2416" s="7">
        <v>475</v>
      </c>
      <c r="M2416" s="7">
        <v>22.8</v>
      </c>
      <c r="N2416">
        <f>VLOOKUP(A2416,vlookup_table!$A:$G,2,FALSE)</f>
        <v>2</v>
      </c>
      <c r="O2416" t="str">
        <f>VLOOKUP(A2416,vlookup_table!$A:$G,3,FALSE)</f>
        <v>CA</v>
      </c>
      <c r="P2416">
        <f>VLOOKUP(A2416,vlookup_table!$A:$G,4,FALSE)</f>
        <v>2212</v>
      </c>
      <c r="Q2416" t="str">
        <f>VLOOKUP(A2416,vlookup_table!$A:$G,5,FALSE)</f>
        <v>S1</v>
      </c>
      <c r="R2416" t="str">
        <f>VLOOKUP(A2416,vlookup_table!$A:$G,6,FALSE)</f>
        <v>F</v>
      </c>
      <c r="S2416">
        <f>VLOOKUP(A2416,vlookup_table!$A:$G,7,FALSE)</f>
        <v>25</v>
      </c>
      <c r="T2416">
        <f t="shared" si="74"/>
        <v>74</v>
      </c>
      <c r="U2416" t="str">
        <f t="shared" si="75"/>
        <v>Suburbano</v>
      </c>
    </row>
    <row r="2417" spans="1:21" ht="16" x14ac:dyDescent="0.4">
      <c r="A2417" s="7">
        <v>188284</v>
      </c>
      <c r="B2417" s="7" t="s">
        <v>18</v>
      </c>
      <c r="C2417" s="7" t="s">
        <v>97</v>
      </c>
      <c r="D2417" s="7">
        <v>2989</v>
      </c>
      <c r="E2417" s="7">
        <v>289</v>
      </c>
      <c r="F2417" s="7">
        <v>470</v>
      </c>
      <c r="G2417" s="7">
        <v>66</v>
      </c>
      <c r="H2417" s="7">
        <v>21395</v>
      </c>
      <c r="I2417" s="7">
        <v>6</v>
      </c>
      <c r="J2417" s="7">
        <v>55</v>
      </c>
      <c r="K2417" s="7">
        <v>358</v>
      </c>
      <c r="L2417" s="7">
        <v>387</v>
      </c>
      <c r="M2417" s="7">
        <v>5.0999999999999996</v>
      </c>
      <c r="N2417">
        <f>VLOOKUP(A2417,vlookup_table!$A:$G,2,FALSE)</f>
        <v>0</v>
      </c>
      <c r="O2417" t="str">
        <f>VLOOKUP(A2417,vlookup_table!$A:$G,3,FALSE)</f>
        <v>NC</v>
      </c>
      <c r="P2417">
        <f>VLOOKUP(A2417,vlookup_table!$A:$G,4,FALSE)</f>
        <v>3801</v>
      </c>
      <c r="Q2417" t="str">
        <f>VLOOKUP(A2417,vlookup_table!$A:$G,5,FALSE)</f>
        <v>C1</v>
      </c>
      <c r="R2417" t="str">
        <f>VLOOKUP(A2417,vlookup_table!$A:$G,6,FALSE)</f>
        <v>F</v>
      </c>
      <c r="S2417">
        <f>VLOOKUP(A2417,vlookup_table!$A:$G,7,FALSE)</f>
        <v>5</v>
      </c>
      <c r="T2417">
        <f t="shared" si="74"/>
        <v>58</v>
      </c>
      <c r="U2417" t="str">
        <f t="shared" si="75"/>
        <v>Ciudad</v>
      </c>
    </row>
    <row r="2418" spans="1:21" ht="16" x14ac:dyDescent="0.4">
      <c r="A2418" s="7">
        <v>58147</v>
      </c>
      <c r="B2418" s="7" t="s">
        <v>53</v>
      </c>
      <c r="C2418" s="7" t="s">
        <v>14</v>
      </c>
      <c r="D2418" s="7">
        <v>318</v>
      </c>
      <c r="E2418" s="7">
        <v>149</v>
      </c>
      <c r="F2418" s="7">
        <v>207</v>
      </c>
      <c r="G2418" s="7">
        <v>0</v>
      </c>
      <c r="H2418" s="7">
        <v>7827</v>
      </c>
      <c r="I2418" s="7">
        <v>0</v>
      </c>
      <c r="J2418" s="7">
        <v>90</v>
      </c>
      <c r="K2418" s="7">
        <v>163</v>
      </c>
      <c r="L2418" s="7">
        <v>192</v>
      </c>
      <c r="M2418" s="7">
        <v>4.4090909089999997</v>
      </c>
      <c r="N2418">
        <f>VLOOKUP(A2418,vlookup_table!$A:$G,2,FALSE)</f>
        <v>1</v>
      </c>
      <c r="O2418" t="str">
        <f>VLOOKUP(A2418,vlookup_table!$A:$G,3,FALSE)</f>
        <v>KY</v>
      </c>
      <c r="P2418">
        <f>VLOOKUP(A2418,vlookup_table!$A:$G,4,FALSE)</f>
        <v>4106</v>
      </c>
      <c r="Q2418" t="str">
        <f>VLOOKUP(A2418,vlookup_table!$A:$G,5,FALSE)</f>
        <v>R3</v>
      </c>
      <c r="R2418" t="str">
        <f>VLOOKUP(A2418,vlookup_table!$A:$G,6,FALSE)</f>
        <v>M</v>
      </c>
      <c r="S2418">
        <f>VLOOKUP(A2418,vlookup_table!$A:$G,7,FALSE)</f>
        <v>5</v>
      </c>
      <c r="T2418">
        <f t="shared" si="74"/>
        <v>55</v>
      </c>
      <c r="U2418" t="str">
        <f t="shared" si="75"/>
        <v>Rural</v>
      </c>
    </row>
    <row r="2419" spans="1:21" ht="16" x14ac:dyDescent="0.4">
      <c r="A2419" s="7">
        <v>51269</v>
      </c>
      <c r="B2419" s="7" t="s">
        <v>49</v>
      </c>
      <c r="C2419" s="7" t="s">
        <v>17</v>
      </c>
      <c r="D2419" s="7">
        <v>476</v>
      </c>
      <c r="E2419" s="7">
        <v>204</v>
      </c>
      <c r="F2419" s="7">
        <v>289</v>
      </c>
      <c r="G2419" s="7">
        <v>0</v>
      </c>
      <c r="H2419" s="7">
        <v>9524</v>
      </c>
      <c r="I2419" s="7">
        <v>1</v>
      </c>
      <c r="J2419" s="7">
        <v>78</v>
      </c>
      <c r="K2419" s="7">
        <v>254</v>
      </c>
      <c r="L2419" s="7">
        <v>250</v>
      </c>
      <c r="M2419" s="7">
        <v>5.0869565220000004</v>
      </c>
      <c r="N2419">
        <f>VLOOKUP(A2419,vlookup_table!$A:$G,2,FALSE)</f>
        <v>0</v>
      </c>
      <c r="O2419" t="str">
        <f>VLOOKUP(A2419,vlookup_table!$A:$G,3,FALSE)</f>
        <v>TN</v>
      </c>
      <c r="P2419">
        <f>VLOOKUP(A2419,vlookup_table!$A:$G,4,FALSE)</f>
        <v>4801</v>
      </c>
      <c r="Q2419" t="str">
        <f>VLOOKUP(A2419,vlookup_table!$A:$G,5,FALSE)</f>
        <v>R3</v>
      </c>
      <c r="R2419" t="str">
        <f>VLOOKUP(A2419,vlookup_table!$A:$G,6,FALSE)</f>
        <v>F</v>
      </c>
      <c r="S2419">
        <f>VLOOKUP(A2419,vlookup_table!$A:$G,7,FALSE)</f>
        <v>5</v>
      </c>
      <c r="T2419">
        <f t="shared" si="74"/>
        <v>48</v>
      </c>
      <c r="U2419" t="str">
        <f t="shared" si="75"/>
        <v>Rural</v>
      </c>
    </row>
    <row r="2420" spans="1:21" ht="16" x14ac:dyDescent="0.4">
      <c r="A2420" s="7">
        <v>113261</v>
      </c>
      <c r="B2420" s="7" t="s">
        <v>28</v>
      </c>
      <c r="C2420" s="7" t="s">
        <v>14</v>
      </c>
      <c r="D2420" s="7">
        <v>466</v>
      </c>
      <c r="E2420" s="7">
        <v>222</v>
      </c>
      <c r="F2420" s="7">
        <v>306</v>
      </c>
      <c r="G2420" s="7">
        <v>0</v>
      </c>
      <c r="H2420" s="7">
        <v>13774</v>
      </c>
      <c r="I2420" s="7">
        <v>0</v>
      </c>
      <c r="J2420" s="7">
        <v>54</v>
      </c>
      <c r="K2420" s="7">
        <v>260</v>
      </c>
      <c r="L2420" s="7">
        <v>263</v>
      </c>
      <c r="M2420" s="7">
        <v>7.615384615</v>
      </c>
      <c r="N2420">
        <f>VLOOKUP(A2420,vlookup_table!$A:$G,2,FALSE)</f>
        <v>1002</v>
      </c>
      <c r="O2420" t="str">
        <f>VLOOKUP(A2420,vlookup_table!$A:$G,3,FALSE)</f>
        <v>OK</v>
      </c>
      <c r="P2420">
        <f>VLOOKUP(A2420,vlookup_table!$A:$G,4,FALSE)</f>
        <v>0</v>
      </c>
      <c r="Q2420" t="str">
        <f>VLOOKUP(A2420,vlookup_table!$A:$G,5,FALSE)</f>
        <v>C3</v>
      </c>
      <c r="R2420" t="str">
        <f>VLOOKUP(A2420,vlookup_table!$A:$G,6,FALSE)</f>
        <v>M</v>
      </c>
      <c r="S2420">
        <f>VLOOKUP(A2420,vlookup_table!$A:$G,7,FALSE)</f>
        <v>7</v>
      </c>
      <c r="T2420">
        <f t="shared" si="74"/>
        <v>96</v>
      </c>
      <c r="U2420" t="str">
        <f t="shared" si="75"/>
        <v>Ciudad</v>
      </c>
    </row>
    <row r="2421" spans="1:21" ht="16" x14ac:dyDescent="0.4">
      <c r="A2421" s="7">
        <v>12785</v>
      </c>
      <c r="B2421" s="7" t="s">
        <v>16</v>
      </c>
      <c r="C2421" s="7" t="s">
        <v>17</v>
      </c>
      <c r="D2421" s="7">
        <v>852</v>
      </c>
      <c r="E2421" s="7">
        <v>364</v>
      </c>
      <c r="F2421" s="7">
        <v>459</v>
      </c>
      <c r="G2421" s="7">
        <v>0</v>
      </c>
      <c r="H2421" s="7">
        <v>15238</v>
      </c>
      <c r="I2421" s="7">
        <v>7</v>
      </c>
      <c r="J2421" s="7">
        <v>87</v>
      </c>
      <c r="K2421" s="7">
        <v>393</v>
      </c>
      <c r="L2421" s="7">
        <v>408</v>
      </c>
      <c r="M2421" s="7">
        <v>7.9333333330000002</v>
      </c>
      <c r="N2421">
        <f>VLOOKUP(A2421,vlookup_table!$A:$G,2,FALSE)</f>
        <v>28</v>
      </c>
      <c r="O2421" t="str">
        <f>VLOOKUP(A2421,vlookup_table!$A:$G,3,FALSE)</f>
        <v>IL</v>
      </c>
      <c r="P2421">
        <f>VLOOKUP(A2421,vlookup_table!$A:$G,4,FALSE)</f>
        <v>1001</v>
      </c>
      <c r="Q2421" t="str">
        <f>VLOOKUP(A2421,vlookup_table!$A:$G,5,FALSE)</f>
        <v/>
      </c>
      <c r="R2421" t="str">
        <f>VLOOKUP(A2421,vlookup_table!$A:$G,6,FALSE)</f>
        <v>F</v>
      </c>
      <c r="S2421">
        <f>VLOOKUP(A2421,vlookup_table!$A:$G,7,FALSE)</f>
        <v>10</v>
      </c>
      <c r="T2421">
        <f t="shared" si="74"/>
        <v>86</v>
      </c>
      <c r="U2421" t="str">
        <f t="shared" si="75"/>
        <v/>
      </c>
    </row>
    <row r="2422" spans="1:21" ht="16" x14ac:dyDescent="0.4">
      <c r="A2422" s="7">
        <v>364</v>
      </c>
      <c r="B2422" s="7" t="s">
        <v>21</v>
      </c>
      <c r="C2422" s="7" t="s">
        <v>17</v>
      </c>
      <c r="D2422" s="7">
        <v>3100</v>
      </c>
      <c r="E2422" s="7">
        <v>133</v>
      </c>
      <c r="F2422" s="7">
        <v>497</v>
      </c>
      <c r="G2422" s="7">
        <v>79</v>
      </c>
      <c r="H2422" s="7">
        <v>18262</v>
      </c>
      <c r="I2422" s="7">
        <v>35</v>
      </c>
      <c r="J2422" s="7">
        <v>25</v>
      </c>
      <c r="K2422" s="7">
        <v>488</v>
      </c>
      <c r="L2422" s="7">
        <v>306</v>
      </c>
      <c r="M2422" s="7">
        <v>13.52380952</v>
      </c>
      <c r="N2422">
        <f>VLOOKUP(A2422,vlookup_table!$A:$G,2,FALSE)</f>
        <v>28</v>
      </c>
      <c r="O2422" t="str">
        <f>VLOOKUP(A2422,vlookup_table!$A:$G,3,FALSE)</f>
        <v>CA</v>
      </c>
      <c r="P2422">
        <f>VLOOKUP(A2422,vlookup_table!$A:$G,4,FALSE)</f>
        <v>3801</v>
      </c>
      <c r="Q2422" t="str">
        <f>VLOOKUP(A2422,vlookup_table!$A:$G,5,FALSE)</f>
        <v>U1</v>
      </c>
      <c r="R2422" t="str">
        <f>VLOOKUP(A2422,vlookup_table!$A:$G,6,FALSE)</f>
        <v>F</v>
      </c>
      <c r="S2422">
        <f>VLOOKUP(A2422,vlookup_table!$A:$G,7,FALSE)</f>
        <v>10</v>
      </c>
      <c r="T2422">
        <f t="shared" si="74"/>
        <v>58</v>
      </c>
      <c r="U2422" t="str">
        <f t="shared" si="75"/>
        <v>Urbano</v>
      </c>
    </row>
    <row r="2423" spans="1:21" ht="16" x14ac:dyDescent="0.4">
      <c r="A2423" s="7">
        <v>163857</v>
      </c>
      <c r="B2423" s="7" t="s">
        <v>21</v>
      </c>
      <c r="C2423" s="7" t="s">
        <v>14</v>
      </c>
      <c r="D2423" s="7">
        <v>3564</v>
      </c>
      <c r="E2423" s="7">
        <v>456</v>
      </c>
      <c r="F2423" s="7">
        <v>594</v>
      </c>
      <c r="G2423" s="7">
        <v>95</v>
      </c>
      <c r="H2423" s="7">
        <v>22726</v>
      </c>
      <c r="I2423" s="7">
        <v>22</v>
      </c>
      <c r="J2423" s="7">
        <v>47</v>
      </c>
      <c r="K2423" s="7">
        <v>534</v>
      </c>
      <c r="L2423" s="7">
        <v>518</v>
      </c>
      <c r="M2423" s="7">
        <v>20</v>
      </c>
      <c r="N2423">
        <f>VLOOKUP(A2423,vlookup_table!$A:$G,2,FALSE)</f>
        <v>1</v>
      </c>
      <c r="O2423" t="str">
        <f>VLOOKUP(A2423,vlookup_table!$A:$G,3,FALSE)</f>
        <v>CA</v>
      </c>
      <c r="P2423">
        <f>VLOOKUP(A2423,vlookup_table!$A:$G,4,FALSE)</f>
        <v>0</v>
      </c>
      <c r="Q2423" t="str">
        <f>VLOOKUP(A2423,vlookup_table!$A:$G,5,FALSE)</f>
        <v>U1</v>
      </c>
      <c r="R2423" t="str">
        <f>VLOOKUP(A2423,vlookup_table!$A:$G,6,FALSE)</f>
        <v>M</v>
      </c>
      <c r="S2423">
        <f>VLOOKUP(A2423,vlookup_table!$A:$G,7,FALSE)</f>
        <v>25</v>
      </c>
      <c r="T2423">
        <f t="shared" si="74"/>
        <v>96</v>
      </c>
      <c r="U2423" t="str">
        <f t="shared" si="75"/>
        <v>Urbano</v>
      </c>
    </row>
    <row r="2424" spans="1:21" ht="16" x14ac:dyDescent="0.4">
      <c r="A2424" s="7">
        <v>12312</v>
      </c>
      <c r="B2424" s="7" t="s">
        <v>21</v>
      </c>
      <c r="C2424" s="7" t="s">
        <v>17</v>
      </c>
      <c r="D2424" s="7">
        <v>1398</v>
      </c>
      <c r="E2424" s="7">
        <v>150</v>
      </c>
      <c r="F2424" s="7">
        <v>272</v>
      </c>
      <c r="G2424" s="7">
        <v>7</v>
      </c>
      <c r="H2424" s="7">
        <v>8690</v>
      </c>
      <c r="I2424" s="7">
        <v>23</v>
      </c>
      <c r="J2424" s="7">
        <v>43</v>
      </c>
      <c r="K2424" s="7">
        <v>213</v>
      </c>
      <c r="L2424" s="7">
        <v>223</v>
      </c>
      <c r="M2424" s="7">
        <v>122.16666669999999</v>
      </c>
      <c r="N2424">
        <f>VLOOKUP(A2424,vlookup_table!$A:$G,2,FALSE)</f>
        <v>0</v>
      </c>
      <c r="O2424" t="str">
        <f>VLOOKUP(A2424,vlookup_table!$A:$G,3,FALSE)</f>
        <v>CA</v>
      </c>
      <c r="P2424">
        <f>VLOOKUP(A2424,vlookup_table!$A:$G,4,FALSE)</f>
        <v>0</v>
      </c>
      <c r="Q2424" t="str">
        <f>VLOOKUP(A2424,vlookup_table!$A:$G,5,FALSE)</f>
        <v>C3</v>
      </c>
      <c r="R2424" t="str">
        <f>VLOOKUP(A2424,vlookup_table!$A:$G,6,FALSE)</f>
        <v>F</v>
      </c>
      <c r="S2424">
        <f>VLOOKUP(A2424,vlookup_table!$A:$G,7,FALSE)</f>
        <v>95</v>
      </c>
      <c r="T2424">
        <f t="shared" si="74"/>
        <v>96</v>
      </c>
      <c r="U2424" t="str">
        <f t="shared" si="75"/>
        <v>Ciudad</v>
      </c>
    </row>
    <row r="2425" spans="1:21" ht="16" x14ac:dyDescent="0.4">
      <c r="A2425" s="7">
        <v>95351</v>
      </c>
      <c r="B2425" s="7" t="s">
        <v>16</v>
      </c>
      <c r="C2425" s="7" t="s">
        <v>17</v>
      </c>
      <c r="D2425" s="7">
        <v>818</v>
      </c>
      <c r="E2425" s="7">
        <v>473</v>
      </c>
      <c r="F2425" s="7">
        <v>558</v>
      </c>
      <c r="G2425" s="7">
        <v>3</v>
      </c>
      <c r="H2425" s="7">
        <v>21695</v>
      </c>
      <c r="I2425" s="7">
        <v>7</v>
      </c>
      <c r="J2425" s="7">
        <v>76</v>
      </c>
      <c r="K2425" s="7">
        <v>520</v>
      </c>
      <c r="L2425" s="7">
        <v>514</v>
      </c>
      <c r="M2425" s="7">
        <v>8.0717857140000007</v>
      </c>
      <c r="N2425">
        <f>VLOOKUP(A2425,vlookup_table!$A:$G,2,FALSE)</f>
        <v>2</v>
      </c>
      <c r="O2425" t="str">
        <f>VLOOKUP(A2425,vlookup_table!$A:$G,3,FALSE)</f>
        <v>IL</v>
      </c>
      <c r="P2425">
        <f>VLOOKUP(A2425,vlookup_table!$A:$G,4,FALSE)</f>
        <v>3804</v>
      </c>
      <c r="Q2425" t="str">
        <f>VLOOKUP(A2425,vlookup_table!$A:$G,5,FALSE)</f>
        <v>T1</v>
      </c>
      <c r="R2425" t="str">
        <f>VLOOKUP(A2425,vlookup_table!$A:$G,6,FALSE)</f>
        <v>F</v>
      </c>
      <c r="S2425">
        <f>VLOOKUP(A2425,vlookup_table!$A:$G,7,FALSE)</f>
        <v>12</v>
      </c>
      <c r="T2425">
        <f t="shared" si="74"/>
        <v>58</v>
      </c>
      <c r="U2425" t="str">
        <f t="shared" si="75"/>
        <v>Pueblo</v>
      </c>
    </row>
    <row r="2426" spans="1:21" ht="16" x14ac:dyDescent="0.4">
      <c r="A2426" s="7">
        <v>147464</v>
      </c>
      <c r="B2426" s="7" t="s">
        <v>21</v>
      </c>
      <c r="C2426" s="7" t="s">
        <v>14</v>
      </c>
      <c r="D2426" s="7">
        <v>2287</v>
      </c>
      <c r="E2426" s="7">
        <v>600</v>
      </c>
      <c r="F2426" s="7">
        <v>652</v>
      </c>
      <c r="G2426" s="7">
        <v>74</v>
      </c>
      <c r="H2426" s="7">
        <v>24286</v>
      </c>
      <c r="I2426" s="7">
        <v>28</v>
      </c>
      <c r="J2426" s="7">
        <v>34</v>
      </c>
      <c r="K2426" s="7">
        <v>615</v>
      </c>
      <c r="L2426" s="7">
        <v>630</v>
      </c>
      <c r="M2426" s="7">
        <v>20</v>
      </c>
      <c r="N2426">
        <f>VLOOKUP(A2426,vlookup_table!$A:$G,2,FALSE)</f>
        <v>0</v>
      </c>
      <c r="O2426" t="str">
        <f>VLOOKUP(A2426,vlookup_table!$A:$G,3,FALSE)</f>
        <v>CA</v>
      </c>
      <c r="P2426">
        <f>VLOOKUP(A2426,vlookup_table!$A:$G,4,FALSE)</f>
        <v>3301</v>
      </c>
      <c r="Q2426" t="str">
        <f>VLOOKUP(A2426,vlookup_table!$A:$G,5,FALSE)</f>
        <v>S1</v>
      </c>
      <c r="R2426" t="str">
        <f>VLOOKUP(A2426,vlookup_table!$A:$G,6,FALSE)</f>
        <v>M</v>
      </c>
      <c r="S2426">
        <f>VLOOKUP(A2426,vlookup_table!$A:$G,7,FALSE)</f>
        <v>30</v>
      </c>
      <c r="T2426">
        <f t="shared" si="74"/>
        <v>63</v>
      </c>
      <c r="U2426" t="str">
        <f t="shared" si="75"/>
        <v>Suburbano</v>
      </c>
    </row>
    <row r="2427" spans="1:21" ht="16" x14ac:dyDescent="0.4">
      <c r="A2427" s="7">
        <v>155388</v>
      </c>
      <c r="B2427" s="7" t="s">
        <v>21</v>
      </c>
      <c r="C2427" s="7" t="s">
        <v>17</v>
      </c>
      <c r="D2427" s="7">
        <v>883</v>
      </c>
      <c r="E2427" s="7">
        <v>322</v>
      </c>
      <c r="F2427" s="7">
        <v>351</v>
      </c>
      <c r="G2427" s="7">
        <v>0</v>
      </c>
      <c r="H2427" s="7">
        <v>13596</v>
      </c>
      <c r="I2427" s="7">
        <v>3</v>
      </c>
      <c r="J2427" s="7">
        <v>58</v>
      </c>
      <c r="K2427" s="7">
        <v>351</v>
      </c>
      <c r="L2427" s="7">
        <v>344</v>
      </c>
      <c r="M2427" s="7">
        <v>12.5</v>
      </c>
      <c r="N2427">
        <f>VLOOKUP(A2427,vlookup_table!$A:$G,2,FALSE)</f>
        <v>0</v>
      </c>
      <c r="O2427" t="str">
        <f>VLOOKUP(A2427,vlookup_table!$A:$G,3,FALSE)</f>
        <v>CA</v>
      </c>
      <c r="P2427">
        <f>VLOOKUP(A2427,vlookup_table!$A:$G,4,FALSE)</f>
        <v>3201</v>
      </c>
      <c r="Q2427" t="str">
        <f>VLOOKUP(A2427,vlookup_table!$A:$G,5,FALSE)</f>
        <v>S2</v>
      </c>
      <c r="R2427" t="str">
        <f>VLOOKUP(A2427,vlookup_table!$A:$G,6,FALSE)</f>
        <v>F</v>
      </c>
      <c r="S2427">
        <f>VLOOKUP(A2427,vlookup_table!$A:$G,7,FALSE)</f>
        <v>20</v>
      </c>
      <c r="T2427">
        <f t="shared" si="74"/>
        <v>64</v>
      </c>
      <c r="U2427" t="str">
        <f t="shared" si="75"/>
        <v>Suburbano</v>
      </c>
    </row>
    <row r="2428" spans="1:21" ht="16" x14ac:dyDescent="0.4">
      <c r="A2428" s="7">
        <v>90566</v>
      </c>
      <c r="B2428" s="7" t="s">
        <v>16</v>
      </c>
      <c r="C2428" s="7" t="s">
        <v>17</v>
      </c>
      <c r="D2428" s="7">
        <v>1181</v>
      </c>
      <c r="E2428" s="7">
        <v>417</v>
      </c>
      <c r="F2428" s="7">
        <v>449</v>
      </c>
      <c r="G2428" s="7">
        <v>0</v>
      </c>
      <c r="H2428" s="7">
        <v>13716</v>
      </c>
      <c r="I2428" s="7">
        <v>2</v>
      </c>
      <c r="J2428" s="7">
        <v>69</v>
      </c>
      <c r="K2428" s="7">
        <v>424</v>
      </c>
      <c r="L2428" s="7">
        <v>444</v>
      </c>
      <c r="M2428" s="7">
        <v>8.4285714289999998</v>
      </c>
      <c r="N2428">
        <f>VLOOKUP(A2428,vlookup_table!$A:$G,2,FALSE)</f>
        <v>0</v>
      </c>
      <c r="O2428" t="str">
        <f>VLOOKUP(A2428,vlookup_table!$A:$G,3,FALSE)</f>
        <v>IL</v>
      </c>
      <c r="P2428">
        <f>VLOOKUP(A2428,vlookup_table!$A:$G,4,FALSE)</f>
        <v>5703</v>
      </c>
      <c r="Q2428" t="str">
        <f>VLOOKUP(A2428,vlookup_table!$A:$G,5,FALSE)</f>
        <v>C2</v>
      </c>
      <c r="R2428" t="str">
        <f>VLOOKUP(A2428,vlookup_table!$A:$G,6,FALSE)</f>
        <v>F</v>
      </c>
      <c r="S2428">
        <f>VLOOKUP(A2428,vlookup_table!$A:$G,7,FALSE)</f>
        <v>15</v>
      </c>
      <c r="T2428">
        <f t="shared" si="74"/>
        <v>39</v>
      </c>
      <c r="U2428" t="str">
        <f t="shared" si="75"/>
        <v>Ciudad</v>
      </c>
    </row>
    <row r="2429" spans="1:21" ht="16" x14ac:dyDescent="0.4">
      <c r="A2429" s="7">
        <v>186013</v>
      </c>
      <c r="B2429" s="7" t="s">
        <v>40</v>
      </c>
      <c r="C2429" s="7" t="s">
        <v>17</v>
      </c>
      <c r="D2429" s="7">
        <v>554</v>
      </c>
      <c r="E2429" s="7">
        <v>296</v>
      </c>
      <c r="F2429" s="7">
        <v>391</v>
      </c>
      <c r="G2429" s="7">
        <v>4</v>
      </c>
      <c r="H2429" s="7">
        <v>12774</v>
      </c>
      <c r="I2429" s="7">
        <v>1</v>
      </c>
      <c r="J2429" s="7">
        <v>63</v>
      </c>
      <c r="K2429" s="7">
        <v>316</v>
      </c>
      <c r="L2429" s="7">
        <v>351</v>
      </c>
      <c r="M2429" s="7">
        <v>9.5</v>
      </c>
      <c r="N2429">
        <f>VLOOKUP(A2429,vlookup_table!$A:$G,2,FALSE)</f>
        <v>0</v>
      </c>
      <c r="O2429" t="str">
        <f>VLOOKUP(A2429,vlookup_table!$A:$G,3,FALSE)</f>
        <v>AL</v>
      </c>
      <c r="P2429">
        <f>VLOOKUP(A2429,vlookup_table!$A:$G,4,FALSE)</f>
        <v>2002</v>
      </c>
      <c r="Q2429" t="str">
        <f>VLOOKUP(A2429,vlookup_table!$A:$G,5,FALSE)</f>
        <v>T2</v>
      </c>
      <c r="R2429" t="str">
        <f>VLOOKUP(A2429,vlookup_table!$A:$G,6,FALSE)</f>
        <v>F</v>
      </c>
      <c r="S2429">
        <f>VLOOKUP(A2429,vlookup_table!$A:$G,7,FALSE)</f>
        <v>15</v>
      </c>
      <c r="T2429">
        <f t="shared" si="74"/>
        <v>76</v>
      </c>
      <c r="U2429" t="str">
        <f t="shared" si="75"/>
        <v>Pueblo</v>
      </c>
    </row>
    <row r="2430" spans="1:21" ht="16" x14ac:dyDescent="0.4">
      <c r="A2430" s="7">
        <v>112406</v>
      </c>
      <c r="B2430" s="7" t="s">
        <v>29</v>
      </c>
      <c r="C2430" s="7" t="s">
        <v>97</v>
      </c>
      <c r="D2430" s="7">
        <v>490</v>
      </c>
      <c r="E2430" s="7">
        <v>229</v>
      </c>
      <c r="F2430" s="7">
        <v>310</v>
      </c>
      <c r="G2430" s="7">
        <v>0</v>
      </c>
      <c r="H2430" s="7">
        <v>10200</v>
      </c>
      <c r="I2430" s="7">
        <v>1</v>
      </c>
      <c r="J2430" s="7">
        <v>63</v>
      </c>
      <c r="K2430" s="7">
        <v>271</v>
      </c>
      <c r="L2430" s="7">
        <v>275</v>
      </c>
      <c r="M2430" s="7">
        <v>22.5</v>
      </c>
      <c r="N2430">
        <f>VLOOKUP(A2430,vlookup_table!$A:$G,2,FALSE)</f>
        <v>0</v>
      </c>
      <c r="O2430" t="str">
        <f>VLOOKUP(A2430,vlookup_table!$A:$G,3,FALSE)</f>
        <v>AR</v>
      </c>
      <c r="P2430">
        <f>VLOOKUP(A2430,vlookup_table!$A:$G,4,FALSE)</f>
        <v>0</v>
      </c>
      <c r="Q2430" t="str">
        <f>VLOOKUP(A2430,vlookup_table!$A:$G,5,FALSE)</f>
        <v>R2</v>
      </c>
      <c r="R2430" t="str">
        <f>VLOOKUP(A2430,vlookup_table!$A:$G,6,FALSE)</f>
        <v>F</v>
      </c>
      <c r="S2430">
        <f>VLOOKUP(A2430,vlookup_table!$A:$G,7,FALSE)</f>
        <v>25</v>
      </c>
      <c r="T2430">
        <f t="shared" si="74"/>
        <v>96</v>
      </c>
      <c r="U2430" t="str">
        <f t="shared" si="75"/>
        <v>Rural</v>
      </c>
    </row>
    <row r="2431" spans="1:21" ht="16" x14ac:dyDescent="0.4">
      <c r="A2431" s="7">
        <v>14191</v>
      </c>
      <c r="B2431" s="7" t="s">
        <v>20</v>
      </c>
      <c r="C2431" s="7" t="s">
        <v>14</v>
      </c>
      <c r="D2431" s="7">
        <v>520</v>
      </c>
      <c r="E2431" s="7">
        <v>157</v>
      </c>
      <c r="F2431" s="7">
        <v>266</v>
      </c>
      <c r="G2431" s="7">
        <v>0</v>
      </c>
      <c r="H2431" s="7">
        <v>9635</v>
      </c>
      <c r="I2431" s="7">
        <v>0</v>
      </c>
      <c r="J2431" s="7">
        <v>78</v>
      </c>
      <c r="K2431" s="7">
        <v>209</v>
      </c>
      <c r="L2431" s="7">
        <v>222</v>
      </c>
      <c r="M2431" s="7">
        <v>5.1956521740000001</v>
      </c>
      <c r="N2431">
        <f>VLOOKUP(A2431,vlookup_table!$A:$G,2,FALSE)</f>
        <v>1</v>
      </c>
      <c r="O2431" t="str">
        <f>VLOOKUP(A2431,vlookup_table!$A:$G,3,FALSE)</f>
        <v>TX</v>
      </c>
      <c r="P2431">
        <f>VLOOKUP(A2431,vlookup_table!$A:$G,4,FALSE)</f>
        <v>0</v>
      </c>
      <c r="Q2431" t="str">
        <f>VLOOKUP(A2431,vlookup_table!$A:$G,5,FALSE)</f>
        <v>R2</v>
      </c>
      <c r="R2431" t="str">
        <f>VLOOKUP(A2431,vlookup_table!$A:$G,6,FALSE)</f>
        <v>M</v>
      </c>
      <c r="S2431">
        <f>VLOOKUP(A2431,vlookup_table!$A:$G,7,FALSE)</f>
        <v>5</v>
      </c>
      <c r="T2431">
        <f t="shared" si="74"/>
        <v>96</v>
      </c>
      <c r="U2431" t="str">
        <f t="shared" si="75"/>
        <v>Rural</v>
      </c>
    </row>
    <row r="2432" spans="1:21" ht="16" x14ac:dyDescent="0.4">
      <c r="A2432" s="7">
        <v>95132</v>
      </c>
      <c r="B2432" s="7" t="s">
        <v>16</v>
      </c>
      <c r="C2432" s="7" t="s">
        <v>17</v>
      </c>
      <c r="D2432" s="7">
        <v>512</v>
      </c>
      <c r="E2432" s="7">
        <v>269</v>
      </c>
      <c r="F2432" s="7">
        <v>357</v>
      </c>
      <c r="G2432" s="7">
        <v>1</v>
      </c>
      <c r="H2432" s="7">
        <v>12842</v>
      </c>
      <c r="I2432" s="7">
        <v>1</v>
      </c>
      <c r="J2432" s="7">
        <v>73</v>
      </c>
      <c r="K2432" s="7">
        <v>329</v>
      </c>
      <c r="L2432" s="7">
        <v>295</v>
      </c>
      <c r="M2432" s="7">
        <v>14</v>
      </c>
      <c r="N2432">
        <f>VLOOKUP(A2432,vlookup_table!$A:$G,2,FALSE)</f>
        <v>0</v>
      </c>
      <c r="O2432" t="str">
        <f>VLOOKUP(A2432,vlookup_table!$A:$G,3,FALSE)</f>
        <v>IL</v>
      </c>
      <c r="P2432">
        <f>VLOOKUP(A2432,vlookup_table!$A:$G,4,FALSE)</f>
        <v>1601</v>
      </c>
      <c r="Q2432" t="str">
        <f>VLOOKUP(A2432,vlookup_table!$A:$G,5,FALSE)</f>
        <v>R2</v>
      </c>
      <c r="R2432" t="str">
        <f>VLOOKUP(A2432,vlookup_table!$A:$G,6,FALSE)</f>
        <v>F</v>
      </c>
      <c r="S2432">
        <f>VLOOKUP(A2432,vlookup_table!$A:$G,7,FALSE)</f>
        <v>25</v>
      </c>
      <c r="T2432">
        <f t="shared" si="74"/>
        <v>80</v>
      </c>
      <c r="U2432" t="str">
        <f t="shared" si="75"/>
        <v>Rural</v>
      </c>
    </row>
    <row r="2433" spans="1:21" ht="16" x14ac:dyDescent="0.4">
      <c r="A2433" s="7">
        <v>130926</v>
      </c>
      <c r="B2433" s="7" t="s">
        <v>45</v>
      </c>
      <c r="C2433" s="7" t="s">
        <v>17</v>
      </c>
      <c r="D2433" s="7">
        <v>1175</v>
      </c>
      <c r="E2433" s="7">
        <v>517</v>
      </c>
      <c r="F2433" s="7">
        <v>599</v>
      </c>
      <c r="G2433" s="7">
        <v>8</v>
      </c>
      <c r="H2433" s="7">
        <v>18850</v>
      </c>
      <c r="I2433" s="7">
        <v>2</v>
      </c>
      <c r="J2433" s="7">
        <v>38</v>
      </c>
      <c r="K2433" s="7">
        <v>568</v>
      </c>
      <c r="L2433" s="7">
        <v>565</v>
      </c>
      <c r="M2433" s="7">
        <v>5.2222222220000001</v>
      </c>
      <c r="N2433">
        <f>VLOOKUP(A2433,vlookup_table!$A:$G,2,FALSE)</f>
        <v>0</v>
      </c>
      <c r="O2433" t="str">
        <f>VLOOKUP(A2433,vlookup_table!$A:$G,3,FALSE)</f>
        <v>CO</v>
      </c>
      <c r="P2433">
        <f>VLOOKUP(A2433,vlookup_table!$A:$G,4,FALSE)</f>
        <v>3001</v>
      </c>
      <c r="Q2433" t="str">
        <f>VLOOKUP(A2433,vlookup_table!$A:$G,5,FALSE)</f>
        <v>T1</v>
      </c>
      <c r="R2433" t="str">
        <f>VLOOKUP(A2433,vlookup_table!$A:$G,6,FALSE)</f>
        <v>F</v>
      </c>
      <c r="S2433">
        <f>VLOOKUP(A2433,vlookup_table!$A:$G,7,FALSE)</f>
        <v>5</v>
      </c>
      <c r="T2433">
        <f t="shared" si="74"/>
        <v>66</v>
      </c>
      <c r="U2433" t="str">
        <f t="shared" si="75"/>
        <v>Pueblo</v>
      </c>
    </row>
    <row r="2434" spans="1:21" ht="16" x14ac:dyDescent="0.4">
      <c r="A2434" s="7">
        <v>168535</v>
      </c>
      <c r="B2434" s="7" t="s">
        <v>21</v>
      </c>
      <c r="C2434" s="7" t="s">
        <v>14</v>
      </c>
      <c r="D2434" s="7">
        <v>2103</v>
      </c>
      <c r="E2434" s="7">
        <v>333</v>
      </c>
      <c r="F2434" s="7">
        <v>368</v>
      </c>
      <c r="G2434" s="7">
        <v>58</v>
      </c>
      <c r="H2434" s="7">
        <v>9513</v>
      </c>
      <c r="I2434" s="7">
        <v>52</v>
      </c>
      <c r="J2434" s="7">
        <v>37</v>
      </c>
      <c r="K2434" s="7">
        <v>306</v>
      </c>
      <c r="L2434" s="7">
        <v>385</v>
      </c>
      <c r="M2434" s="7">
        <v>25</v>
      </c>
      <c r="N2434">
        <f>VLOOKUP(A2434,vlookup_table!$A:$G,2,FALSE)</f>
        <v>0</v>
      </c>
      <c r="O2434" t="str">
        <f>VLOOKUP(A2434,vlookup_table!$A:$G,3,FALSE)</f>
        <v>CA</v>
      </c>
      <c r="P2434">
        <f>VLOOKUP(A2434,vlookup_table!$A:$G,4,FALSE)</f>
        <v>5401</v>
      </c>
      <c r="Q2434" t="str">
        <f>VLOOKUP(A2434,vlookup_table!$A:$G,5,FALSE)</f>
        <v>U2</v>
      </c>
      <c r="R2434" t="str">
        <f>VLOOKUP(A2434,vlookup_table!$A:$G,6,FALSE)</f>
        <v>M</v>
      </c>
      <c r="S2434">
        <f>VLOOKUP(A2434,vlookup_table!$A:$G,7,FALSE)</f>
        <v>35</v>
      </c>
      <c r="T2434">
        <f t="shared" si="74"/>
        <v>42</v>
      </c>
      <c r="U2434" t="str">
        <f t="shared" si="75"/>
        <v>Urbano</v>
      </c>
    </row>
    <row r="2435" spans="1:21" ht="16" x14ac:dyDescent="0.4">
      <c r="A2435" s="7">
        <v>92749</v>
      </c>
      <c r="B2435" s="7" t="s">
        <v>16</v>
      </c>
      <c r="C2435" s="7" t="s">
        <v>14</v>
      </c>
      <c r="D2435" s="7">
        <v>1578</v>
      </c>
      <c r="E2435" s="7">
        <v>531</v>
      </c>
      <c r="F2435" s="7">
        <v>617</v>
      </c>
      <c r="G2435" s="7">
        <v>11</v>
      </c>
      <c r="H2435" s="7">
        <v>17870</v>
      </c>
      <c r="I2435" s="7">
        <v>4</v>
      </c>
      <c r="J2435" s="7">
        <v>63</v>
      </c>
      <c r="K2435" s="7">
        <v>600</v>
      </c>
      <c r="L2435" s="7">
        <v>535</v>
      </c>
      <c r="M2435" s="7">
        <v>9.8333333330000006</v>
      </c>
      <c r="N2435">
        <f>VLOOKUP(A2435,vlookup_table!$A:$G,2,FALSE)</f>
        <v>1</v>
      </c>
      <c r="O2435" t="str">
        <f>VLOOKUP(A2435,vlookup_table!$A:$G,3,FALSE)</f>
        <v>IL</v>
      </c>
      <c r="P2435">
        <f>VLOOKUP(A2435,vlookup_table!$A:$G,4,FALSE)</f>
        <v>4201</v>
      </c>
      <c r="Q2435" t="str">
        <f>VLOOKUP(A2435,vlookup_table!$A:$G,5,FALSE)</f>
        <v>S1</v>
      </c>
      <c r="R2435" t="str">
        <f>VLOOKUP(A2435,vlookup_table!$A:$G,6,FALSE)</f>
        <v>M</v>
      </c>
      <c r="S2435">
        <f>VLOOKUP(A2435,vlookup_table!$A:$G,7,FALSE)</f>
        <v>15</v>
      </c>
      <c r="T2435">
        <f t="shared" ref="T2435:T2498" si="76">97-LEFT(P2435,2)-IF(RIGHT(P2435,2)&gt;6,1,0)</f>
        <v>54</v>
      </c>
      <c r="U2435" t="str">
        <f t="shared" ref="U2435:U2498" si="77">IF(LEFT(Q2435,1)="C","Ciudad",IF(LEFT(Q2435,1)="T","Pueblo",IF(LEFT(Q2435,1)="R","Rural",IF(LEFT(Q2435,1)="S","Suburbano",IF(LEFT(Q2435,1)="U","Urbano","")))))</f>
        <v>Suburbano</v>
      </c>
    </row>
    <row r="2436" spans="1:21" ht="16" x14ac:dyDescent="0.4">
      <c r="A2436" s="7">
        <v>19129</v>
      </c>
      <c r="B2436" s="7" t="s">
        <v>18</v>
      </c>
      <c r="C2436" s="7" t="s">
        <v>97</v>
      </c>
      <c r="D2436" s="7">
        <v>538</v>
      </c>
      <c r="E2436" s="7">
        <v>227</v>
      </c>
      <c r="F2436" s="7">
        <v>374</v>
      </c>
      <c r="G2436" s="7">
        <v>1</v>
      </c>
      <c r="H2436" s="7">
        <v>13593</v>
      </c>
      <c r="I2436" s="7">
        <v>0</v>
      </c>
      <c r="J2436" s="7">
        <v>78</v>
      </c>
      <c r="K2436" s="7">
        <v>288</v>
      </c>
      <c r="L2436" s="7">
        <v>299</v>
      </c>
      <c r="M2436" s="7">
        <v>11.33333333</v>
      </c>
      <c r="N2436">
        <f>VLOOKUP(A2436,vlookup_table!$A:$G,2,FALSE)</f>
        <v>0</v>
      </c>
      <c r="O2436" t="str">
        <f>VLOOKUP(A2436,vlookup_table!$A:$G,3,FALSE)</f>
        <v>NC</v>
      </c>
      <c r="P2436">
        <f>VLOOKUP(A2436,vlookup_table!$A:$G,4,FALSE)</f>
        <v>4201</v>
      </c>
      <c r="Q2436" t="str">
        <f>VLOOKUP(A2436,vlookup_table!$A:$G,5,FALSE)</f>
        <v>T2</v>
      </c>
      <c r="R2436" t="str">
        <f>VLOOKUP(A2436,vlookup_table!$A:$G,6,FALSE)</f>
        <v>F</v>
      </c>
      <c r="S2436">
        <f>VLOOKUP(A2436,vlookup_table!$A:$G,7,FALSE)</f>
        <v>5</v>
      </c>
      <c r="T2436">
        <f t="shared" si="76"/>
        <v>54</v>
      </c>
      <c r="U2436" t="str">
        <f t="shared" si="77"/>
        <v>Pueblo</v>
      </c>
    </row>
    <row r="2437" spans="1:21" ht="16" x14ac:dyDescent="0.4">
      <c r="A2437" s="7">
        <v>114912</v>
      </c>
      <c r="B2437" s="7" t="s">
        <v>28</v>
      </c>
      <c r="C2437" s="7" t="s">
        <v>17</v>
      </c>
      <c r="D2437" s="7">
        <v>622</v>
      </c>
      <c r="E2437" s="7">
        <v>306</v>
      </c>
      <c r="F2437" s="7">
        <v>345</v>
      </c>
      <c r="G2437" s="7">
        <v>0</v>
      </c>
      <c r="H2437" s="7">
        <v>10625</v>
      </c>
      <c r="I2437" s="7">
        <v>0</v>
      </c>
      <c r="J2437" s="7">
        <v>64</v>
      </c>
      <c r="K2437" s="7">
        <v>338</v>
      </c>
      <c r="L2437" s="7">
        <v>316</v>
      </c>
      <c r="M2437" s="7">
        <v>16.65384615</v>
      </c>
      <c r="N2437">
        <f>VLOOKUP(A2437,vlookup_table!$A:$G,2,FALSE)</f>
        <v>2</v>
      </c>
      <c r="O2437" t="str">
        <f>VLOOKUP(A2437,vlookup_table!$A:$G,3,FALSE)</f>
        <v>OK</v>
      </c>
      <c r="P2437">
        <f>VLOOKUP(A2437,vlookup_table!$A:$G,4,FALSE)</f>
        <v>0</v>
      </c>
      <c r="Q2437" t="str">
        <f>VLOOKUP(A2437,vlookup_table!$A:$G,5,FALSE)</f>
        <v>T2</v>
      </c>
      <c r="R2437" t="str">
        <f>VLOOKUP(A2437,vlookup_table!$A:$G,6,FALSE)</f>
        <v>F</v>
      </c>
      <c r="S2437">
        <f>VLOOKUP(A2437,vlookup_table!$A:$G,7,FALSE)</f>
        <v>25</v>
      </c>
      <c r="T2437">
        <f t="shared" si="76"/>
        <v>96</v>
      </c>
      <c r="U2437" t="str">
        <f t="shared" si="77"/>
        <v>Pueblo</v>
      </c>
    </row>
    <row r="2438" spans="1:21" ht="16" x14ac:dyDescent="0.4">
      <c r="A2438" s="7">
        <v>164651</v>
      </c>
      <c r="B2438" s="7" t="s">
        <v>21</v>
      </c>
      <c r="C2438" s="7" t="s">
        <v>17</v>
      </c>
      <c r="D2438" s="7">
        <v>2208</v>
      </c>
      <c r="E2438" s="7">
        <v>313</v>
      </c>
      <c r="F2438" s="7">
        <v>411</v>
      </c>
      <c r="G2438" s="7">
        <v>71</v>
      </c>
      <c r="H2438" s="7">
        <v>14497</v>
      </c>
      <c r="I2438" s="7">
        <v>25</v>
      </c>
      <c r="J2438" s="7">
        <v>46</v>
      </c>
      <c r="K2438" s="7">
        <v>334</v>
      </c>
      <c r="L2438" s="7">
        <v>393</v>
      </c>
      <c r="M2438" s="7">
        <v>11.5</v>
      </c>
      <c r="N2438">
        <f>VLOOKUP(A2438,vlookup_table!$A:$G,2,FALSE)</f>
        <v>0</v>
      </c>
      <c r="O2438" t="str">
        <f>VLOOKUP(A2438,vlookup_table!$A:$G,3,FALSE)</f>
        <v>CA</v>
      </c>
      <c r="P2438">
        <f>VLOOKUP(A2438,vlookup_table!$A:$G,4,FALSE)</f>
        <v>3201</v>
      </c>
      <c r="Q2438" t="str">
        <f>VLOOKUP(A2438,vlookup_table!$A:$G,5,FALSE)</f>
        <v>U2</v>
      </c>
      <c r="R2438" t="str">
        <f>VLOOKUP(A2438,vlookup_table!$A:$G,6,FALSE)</f>
        <v>F</v>
      </c>
      <c r="S2438">
        <f>VLOOKUP(A2438,vlookup_table!$A:$G,7,FALSE)</f>
        <v>5</v>
      </c>
      <c r="T2438">
        <f t="shared" si="76"/>
        <v>64</v>
      </c>
      <c r="U2438" t="str">
        <f t="shared" si="77"/>
        <v>Urbano</v>
      </c>
    </row>
    <row r="2439" spans="1:21" ht="16" x14ac:dyDescent="0.4">
      <c r="A2439" s="7">
        <v>94113</v>
      </c>
      <c r="B2439" s="7" t="s">
        <v>16</v>
      </c>
      <c r="C2439" s="7" t="s">
        <v>17</v>
      </c>
      <c r="D2439" s="7">
        <v>698</v>
      </c>
      <c r="E2439" s="7">
        <v>164</v>
      </c>
      <c r="F2439" s="7">
        <v>293</v>
      </c>
      <c r="G2439" s="7">
        <v>26</v>
      </c>
      <c r="H2439" s="7">
        <v>10618</v>
      </c>
      <c r="I2439" s="7">
        <v>5</v>
      </c>
      <c r="J2439" s="7">
        <v>57</v>
      </c>
      <c r="K2439" s="7">
        <v>201</v>
      </c>
      <c r="L2439" s="7">
        <v>250</v>
      </c>
      <c r="M2439" s="7">
        <v>10.625</v>
      </c>
      <c r="N2439">
        <f>VLOOKUP(A2439,vlookup_table!$A:$G,2,FALSE)</f>
        <v>0</v>
      </c>
      <c r="O2439" t="str">
        <f>VLOOKUP(A2439,vlookup_table!$A:$G,3,FALSE)</f>
        <v>IL</v>
      </c>
      <c r="P2439">
        <f>VLOOKUP(A2439,vlookup_table!$A:$G,4,FALSE)</f>
        <v>4711</v>
      </c>
      <c r="Q2439" t="str">
        <f>VLOOKUP(A2439,vlookup_table!$A:$G,5,FALSE)</f>
        <v>U4</v>
      </c>
      <c r="R2439" t="str">
        <f>VLOOKUP(A2439,vlookup_table!$A:$G,6,FALSE)</f>
        <v>F</v>
      </c>
      <c r="S2439">
        <f>VLOOKUP(A2439,vlookup_table!$A:$G,7,FALSE)</f>
        <v>10</v>
      </c>
      <c r="T2439">
        <f t="shared" si="76"/>
        <v>49</v>
      </c>
      <c r="U2439" t="str">
        <f t="shared" si="77"/>
        <v>Urbano</v>
      </c>
    </row>
    <row r="2440" spans="1:21" ht="16" x14ac:dyDescent="0.4">
      <c r="A2440" s="7">
        <v>116453</v>
      </c>
      <c r="B2440" s="7" t="s">
        <v>20</v>
      </c>
      <c r="C2440" s="7" t="s">
        <v>17</v>
      </c>
      <c r="D2440" s="7">
        <v>849</v>
      </c>
      <c r="E2440" s="7">
        <v>394</v>
      </c>
      <c r="F2440" s="7">
        <v>457</v>
      </c>
      <c r="G2440" s="7">
        <v>3</v>
      </c>
      <c r="H2440" s="7">
        <v>14757</v>
      </c>
      <c r="I2440" s="7">
        <v>2</v>
      </c>
      <c r="J2440" s="7">
        <v>70</v>
      </c>
      <c r="K2440" s="7">
        <v>422</v>
      </c>
      <c r="L2440" s="7">
        <v>430</v>
      </c>
      <c r="M2440" s="7">
        <v>15</v>
      </c>
      <c r="N2440">
        <f>VLOOKUP(A2440,vlookup_table!$A:$G,2,FALSE)</f>
        <v>0</v>
      </c>
      <c r="O2440" t="str">
        <f>VLOOKUP(A2440,vlookup_table!$A:$G,3,FALSE)</f>
        <v>TX</v>
      </c>
      <c r="P2440">
        <f>VLOOKUP(A2440,vlookup_table!$A:$G,4,FALSE)</f>
        <v>7201</v>
      </c>
      <c r="Q2440" t="str">
        <f>VLOOKUP(A2440,vlookup_table!$A:$G,5,FALSE)</f>
        <v>S1</v>
      </c>
      <c r="R2440" t="str">
        <f>VLOOKUP(A2440,vlookup_table!$A:$G,6,FALSE)</f>
        <v>F</v>
      </c>
      <c r="S2440">
        <f>VLOOKUP(A2440,vlookup_table!$A:$G,7,FALSE)</f>
        <v>15</v>
      </c>
      <c r="T2440">
        <f t="shared" si="76"/>
        <v>24</v>
      </c>
      <c r="U2440" t="str">
        <f t="shared" si="77"/>
        <v>Suburbano</v>
      </c>
    </row>
    <row r="2441" spans="1:21" ht="16" x14ac:dyDescent="0.4">
      <c r="A2441" s="7">
        <v>72409</v>
      </c>
      <c r="B2441" s="7" t="s">
        <v>26</v>
      </c>
      <c r="C2441" s="7" t="s">
        <v>17</v>
      </c>
      <c r="D2441" s="7">
        <v>318</v>
      </c>
      <c r="E2441" s="7">
        <v>296</v>
      </c>
      <c r="F2441" s="7">
        <v>299</v>
      </c>
      <c r="G2441" s="7">
        <v>0</v>
      </c>
      <c r="H2441" s="7">
        <v>11236</v>
      </c>
      <c r="I2441" s="7">
        <v>2</v>
      </c>
      <c r="J2441" s="7">
        <v>50</v>
      </c>
      <c r="K2441" s="7">
        <v>292</v>
      </c>
      <c r="L2441" s="7">
        <v>296</v>
      </c>
      <c r="M2441" s="7">
        <v>8.8947368420000004</v>
      </c>
      <c r="N2441">
        <f>VLOOKUP(A2441,vlookup_table!$A:$G,2,FALSE)</f>
        <v>0</v>
      </c>
      <c r="O2441" t="str">
        <f>VLOOKUP(A2441,vlookup_table!$A:$G,3,FALSE)</f>
        <v>MI</v>
      </c>
      <c r="P2441">
        <f>VLOOKUP(A2441,vlookup_table!$A:$G,4,FALSE)</f>
        <v>811</v>
      </c>
      <c r="Q2441" t="str">
        <f>VLOOKUP(A2441,vlookup_table!$A:$G,5,FALSE)</f>
        <v>T3</v>
      </c>
      <c r="R2441" t="str">
        <f>VLOOKUP(A2441,vlookup_table!$A:$G,6,FALSE)</f>
        <v>F</v>
      </c>
      <c r="S2441">
        <f>VLOOKUP(A2441,vlookup_table!$A:$G,7,FALSE)</f>
        <v>10</v>
      </c>
      <c r="T2441">
        <f t="shared" si="76"/>
        <v>15</v>
      </c>
      <c r="U2441" t="str">
        <f t="shared" si="77"/>
        <v>Pueblo</v>
      </c>
    </row>
    <row r="2442" spans="1:21" ht="16" x14ac:dyDescent="0.4">
      <c r="A2442" s="7">
        <v>190634</v>
      </c>
      <c r="B2442" s="7" t="s">
        <v>43</v>
      </c>
      <c r="C2442" s="7"/>
      <c r="D2442" s="7">
        <v>834</v>
      </c>
      <c r="E2442" s="7">
        <v>389</v>
      </c>
      <c r="F2442" s="7">
        <v>436</v>
      </c>
      <c r="G2442" s="7">
        <v>0</v>
      </c>
      <c r="H2442" s="7">
        <v>17338</v>
      </c>
      <c r="I2442" s="7">
        <v>6</v>
      </c>
      <c r="J2442" s="7">
        <v>42</v>
      </c>
      <c r="K2442" s="7">
        <v>398</v>
      </c>
      <c r="L2442" s="7">
        <v>423</v>
      </c>
      <c r="M2442" s="7">
        <v>8</v>
      </c>
      <c r="N2442">
        <f>VLOOKUP(A2442,vlookup_table!$A:$G,2,FALSE)</f>
        <v>0</v>
      </c>
      <c r="O2442" t="str">
        <f>VLOOKUP(A2442,vlookup_table!$A:$G,3,FALSE)</f>
        <v>SC</v>
      </c>
      <c r="P2442">
        <f>VLOOKUP(A2442,vlookup_table!$A:$G,4,FALSE)</f>
        <v>1711</v>
      </c>
      <c r="Q2442" t="str">
        <f>VLOOKUP(A2442,vlookup_table!$A:$G,5,FALSE)</f>
        <v>C1</v>
      </c>
      <c r="R2442" t="str">
        <f>VLOOKUP(A2442,vlookup_table!$A:$G,6,FALSE)</f>
        <v/>
      </c>
      <c r="S2442">
        <f>VLOOKUP(A2442,vlookup_table!$A:$G,7,FALSE)</f>
        <v>20</v>
      </c>
      <c r="T2442">
        <f t="shared" si="76"/>
        <v>79</v>
      </c>
      <c r="U2442" t="str">
        <f t="shared" si="77"/>
        <v>Ciudad</v>
      </c>
    </row>
    <row r="2443" spans="1:21" ht="16" x14ac:dyDescent="0.4">
      <c r="A2443" s="7">
        <v>128975</v>
      </c>
      <c r="B2443" s="7" t="s">
        <v>63</v>
      </c>
      <c r="C2443" s="7" t="s">
        <v>14</v>
      </c>
      <c r="D2443" s="7">
        <v>0</v>
      </c>
      <c r="E2443" s="7">
        <v>0</v>
      </c>
      <c r="F2443" s="7">
        <v>0</v>
      </c>
      <c r="G2443" s="7">
        <v>0</v>
      </c>
      <c r="H2443" s="7">
        <v>0</v>
      </c>
      <c r="I2443" s="7">
        <v>0</v>
      </c>
      <c r="J2443" s="7">
        <v>0</v>
      </c>
      <c r="K2443" s="7">
        <v>0</v>
      </c>
      <c r="L2443" s="7">
        <v>0</v>
      </c>
      <c r="M2443" s="7">
        <v>8.2666666670000009</v>
      </c>
      <c r="N2443">
        <f>VLOOKUP(A2443,vlookup_table!$A:$G,2,FALSE)</f>
        <v>0</v>
      </c>
      <c r="O2443" t="str">
        <f>VLOOKUP(A2443,vlookup_table!$A:$G,3,FALSE)</f>
        <v>AA</v>
      </c>
      <c r="P2443">
        <f>VLOOKUP(A2443,vlookup_table!$A:$G,4,FALSE)</f>
        <v>6007</v>
      </c>
      <c r="Q2443" t="str">
        <f>VLOOKUP(A2443,vlookup_table!$A:$G,5,FALSE)</f>
        <v>S2</v>
      </c>
      <c r="R2443" t="str">
        <f>VLOOKUP(A2443,vlookup_table!$A:$G,6,FALSE)</f>
        <v>M</v>
      </c>
      <c r="S2443">
        <f>VLOOKUP(A2443,vlookup_table!$A:$G,7,FALSE)</f>
        <v>15</v>
      </c>
      <c r="T2443">
        <f t="shared" si="76"/>
        <v>36</v>
      </c>
      <c r="U2443" t="str">
        <f t="shared" si="77"/>
        <v>Suburbano</v>
      </c>
    </row>
    <row r="2444" spans="1:21" ht="16" x14ac:dyDescent="0.4">
      <c r="A2444" s="7">
        <v>137039</v>
      </c>
      <c r="B2444" s="7" t="s">
        <v>51</v>
      </c>
      <c r="C2444" s="7" t="s">
        <v>97</v>
      </c>
      <c r="D2444" s="7">
        <v>1568</v>
      </c>
      <c r="E2444" s="7">
        <v>493</v>
      </c>
      <c r="F2444" s="7">
        <v>633</v>
      </c>
      <c r="G2444" s="7">
        <v>23</v>
      </c>
      <c r="H2444" s="7">
        <v>22025</v>
      </c>
      <c r="I2444" s="7">
        <v>3</v>
      </c>
      <c r="J2444" s="7">
        <v>25</v>
      </c>
      <c r="K2444" s="7">
        <v>524</v>
      </c>
      <c r="L2444" s="7">
        <v>600</v>
      </c>
      <c r="M2444" s="7">
        <v>20</v>
      </c>
      <c r="N2444">
        <f>VLOOKUP(A2444,vlookup_table!$A:$G,2,FALSE)</f>
        <v>2</v>
      </c>
      <c r="O2444" t="str">
        <f>VLOOKUP(A2444,vlookup_table!$A:$G,3,FALSE)</f>
        <v>AZ</v>
      </c>
      <c r="P2444">
        <f>VLOOKUP(A2444,vlookup_table!$A:$G,4,FALSE)</f>
        <v>3601</v>
      </c>
      <c r="Q2444" t="str">
        <f>VLOOKUP(A2444,vlookup_table!$A:$G,5,FALSE)</f>
        <v>T1</v>
      </c>
      <c r="R2444" t="str">
        <f>VLOOKUP(A2444,vlookup_table!$A:$G,6,FALSE)</f>
        <v>F</v>
      </c>
      <c r="S2444">
        <f>VLOOKUP(A2444,vlookup_table!$A:$G,7,FALSE)</f>
        <v>10</v>
      </c>
      <c r="T2444">
        <f t="shared" si="76"/>
        <v>60</v>
      </c>
      <c r="U2444" t="str">
        <f t="shared" si="77"/>
        <v>Pueblo</v>
      </c>
    </row>
    <row r="2445" spans="1:21" ht="16" x14ac:dyDescent="0.4">
      <c r="A2445" s="7">
        <v>177927</v>
      </c>
      <c r="B2445" s="7" t="s">
        <v>47</v>
      </c>
      <c r="C2445" s="7" t="s">
        <v>14</v>
      </c>
      <c r="D2445" s="7">
        <v>709</v>
      </c>
      <c r="E2445" s="7">
        <v>262</v>
      </c>
      <c r="F2445" s="7">
        <v>372</v>
      </c>
      <c r="G2445" s="7">
        <v>8</v>
      </c>
      <c r="H2445" s="7">
        <v>13486</v>
      </c>
      <c r="I2445" s="7">
        <v>3</v>
      </c>
      <c r="J2445" s="7">
        <v>44</v>
      </c>
      <c r="K2445" s="7">
        <v>304</v>
      </c>
      <c r="L2445" s="7">
        <v>339</v>
      </c>
      <c r="M2445" s="7">
        <v>11.25</v>
      </c>
      <c r="N2445">
        <f>VLOOKUP(A2445,vlookup_table!$A:$G,2,FALSE)</f>
        <v>0</v>
      </c>
      <c r="O2445" t="str">
        <f>VLOOKUP(A2445,vlookup_table!$A:$G,3,FALSE)</f>
        <v>OR</v>
      </c>
      <c r="P2445">
        <f>VLOOKUP(A2445,vlookup_table!$A:$G,4,FALSE)</f>
        <v>2310</v>
      </c>
      <c r="Q2445" t="str">
        <f>VLOOKUP(A2445,vlookup_table!$A:$G,5,FALSE)</f>
        <v>R2</v>
      </c>
      <c r="R2445" t="str">
        <f>VLOOKUP(A2445,vlookup_table!$A:$G,6,FALSE)</f>
        <v>M</v>
      </c>
      <c r="S2445">
        <f>VLOOKUP(A2445,vlookup_table!$A:$G,7,FALSE)</f>
        <v>15</v>
      </c>
      <c r="T2445">
        <f t="shared" si="76"/>
        <v>73</v>
      </c>
      <c r="U2445" t="str">
        <f t="shared" si="77"/>
        <v>Rural</v>
      </c>
    </row>
    <row r="2446" spans="1:21" ht="16" x14ac:dyDescent="0.4">
      <c r="A2446" s="7">
        <v>122988</v>
      </c>
      <c r="B2446" s="7" t="s">
        <v>20</v>
      </c>
      <c r="C2446" s="7" t="s">
        <v>17</v>
      </c>
      <c r="D2446" s="7">
        <v>735</v>
      </c>
      <c r="E2446" s="7">
        <v>418</v>
      </c>
      <c r="F2446" s="7">
        <v>553</v>
      </c>
      <c r="G2446" s="7">
        <v>0</v>
      </c>
      <c r="H2446" s="7">
        <v>16097</v>
      </c>
      <c r="I2446" s="7">
        <v>12</v>
      </c>
      <c r="J2446" s="7">
        <v>42</v>
      </c>
      <c r="K2446" s="7">
        <v>571</v>
      </c>
      <c r="L2446" s="7">
        <v>461</v>
      </c>
      <c r="M2446" s="7">
        <v>15</v>
      </c>
      <c r="N2446">
        <f>VLOOKUP(A2446,vlookup_table!$A:$G,2,FALSE)</f>
        <v>0</v>
      </c>
      <c r="O2446" t="str">
        <f>VLOOKUP(A2446,vlookup_table!$A:$G,3,FALSE)</f>
        <v>TX</v>
      </c>
      <c r="P2446">
        <f>VLOOKUP(A2446,vlookup_table!$A:$G,4,FALSE)</f>
        <v>5601</v>
      </c>
      <c r="Q2446" t="str">
        <f>VLOOKUP(A2446,vlookup_table!$A:$G,5,FALSE)</f>
        <v>C1</v>
      </c>
      <c r="R2446" t="str">
        <f>VLOOKUP(A2446,vlookup_table!$A:$G,6,FALSE)</f>
        <v>F</v>
      </c>
      <c r="S2446">
        <f>VLOOKUP(A2446,vlookup_table!$A:$G,7,FALSE)</f>
        <v>14</v>
      </c>
      <c r="T2446">
        <f t="shared" si="76"/>
        <v>40</v>
      </c>
      <c r="U2446" t="str">
        <f t="shared" si="77"/>
        <v>Ciudad</v>
      </c>
    </row>
    <row r="2447" spans="1:21" ht="16" x14ac:dyDescent="0.4">
      <c r="A2447" s="7">
        <v>142765</v>
      </c>
      <c r="B2447" s="7" t="s">
        <v>21</v>
      </c>
      <c r="C2447" s="7" t="s">
        <v>14</v>
      </c>
      <c r="D2447" s="7">
        <v>2578</v>
      </c>
      <c r="E2447" s="7">
        <v>338</v>
      </c>
      <c r="F2447" s="7">
        <v>430</v>
      </c>
      <c r="G2447" s="7">
        <v>71</v>
      </c>
      <c r="H2447" s="7">
        <v>11844</v>
      </c>
      <c r="I2447" s="7">
        <v>58</v>
      </c>
      <c r="J2447" s="7">
        <v>24</v>
      </c>
      <c r="K2447" s="7">
        <v>347</v>
      </c>
      <c r="L2447" s="7">
        <v>415</v>
      </c>
      <c r="M2447" s="7">
        <v>13.18181818</v>
      </c>
      <c r="N2447">
        <f>VLOOKUP(A2447,vlookup_table!$A:$G,2,FALSE)</f>
        <v>1</v>
      </c>
      <c r="O2447" t="str">
        <f>VLOOKUP(A2447,vlookup_table!$A:$G,3,FALSE)</f>
        <v>CA</v>
      </c>
      <c r="P2447">
        <f>VLOOKUP(A2447,vlookup_table!$A:$G,4,FALSE)</f>
        <v>6601</v>
      </c>
      <c r="Q2447" t="str">
        <f>VLOOKUP(A2447,vlookup_table!$A:$G,5,FALSE)</f>
        <v>U2</v>
      </c>
      <c r="R2447" t="str">
        <f>VLOOKUP(A2447,vlookup_table!$A:$G,6,FALSE)</f>
        <v>M</v>
      </c>
      <c r="S2447">
        <f>VLOOKUP(A2447,vlookup_table!$A:$G,7,FALSE)</f>
        <v>20</v>
      </c>
      <c r="T2447">
        <f t="shared" si="76"/>
        <v>30</v>
      </c>
      <c r="U2447" t="str">
        <f t="shared" si="77"/>
        <v>Urbano</v>
      </c>
    </row>
    <row r="2448" spans="1:21" ht="16" x14ac:dyDescent="0.4">
      <c r="A2448" s="7">
        <v>48506</v>
      </c>
      <c r="B2448" s="7" t="s">
        <v>40</v>
      </c>
      <c r="C2448" s="7" t="s">
        <v>17</v>
      </c>
      <c r="D2448" s="7">
        <v>875</v>
      </c>
      <c r="E2448" s="7">
        <v>138</v>
      </c>
      <c r="F2448" s="7">
        <v>213</v>
      </c>
      <c r="G2448" s="7">
        <v>3</v>
      </c>
      <c r="H2448" s="7">
        <v>6125</v>
      </c>
      <c r="I2448" s="7">
        <v>0</v>
      </c>
      <c r="J2448" s="7">
        <v>89</v>
      </c>
      <c r="K2448" s="7">
        <v>213</v>
      </c>
      <c r="L2448" s="7">
        <v>188</v>
      </c>
      <c r="M2448" s="7">
        <v>11.45833333</v>
      </c>
      <c r="N2448">
        <f>VLOOKUP(A2448,vlookup_table!$A:$G,2,FALSE)</f>
        <v>2</v>
      </c>
      <c r="O2448" t="str">
        <f>VLOOKUP(A2448,vlookup_table!$A:$G,3,FALSE)</f>
        <v>AL</v>
      </c>
      <c r="P2448">
        <f>VLOOKUP(A2448,vlookup_table!$A:$G,4,FALSE)</f>
        <v>0</v>
      </c>
      <c r="Q2448" t="str">
        <f>VLOOKUP(A2448,vlookup_table!$A:$G,5,FALSE)</f>
        <v>R3</v>
      </c>
      <c r="R2448" t="str">
        <f>VLOOKUP(A2448,vlookup_table!$A:$G,6,FALSE)</f>
        <v>F</v>
      </c>
      <c r="S2448">
        <f>VLOOKUP(A2448,vlookup_table!$A:$G,7,FALSE)</f>
        <v>18</v>
      </c>
      <c r="T2448">
        <f t="shared" si="76"/>
        <v>96</v>
      </c>
      <c r="U2448" t="str">
        <f t="shared" si="77"/>
        <v>Rural</v>
      </c>
    </row>
    <row r="2449" spans="1:21" ht="16" x14ac:dyDescent="0.4">
      <c r="A2449" s="7">
        <v>189666</v>
      </c>
      <c r="B2449" s="7" t="s">
        <v>47</v>
      </c>
      <c r="C2449" s="7" t="s">
        <v>17</v>
      </c>
      <c r="D2449" s="7">
        <v>1373</v>
      </c>
      <c r="E2449" s="7">
        <v>518</v>
      </c>
      <c r="F2449" s="7">
        <v>655</v>
      </c>
      <c r="G2449" s="7">
        <v>23</v>
      </c>
      <c r="H2449" s="7">
        <v>26092</v>
      </c>
      <c r="I2449" s="7">
        <v>3</v>
      </c>
      <c r="J2449" s="7">
        <v>37</v>
      </c>
      <c r="K2449" s="7">
        <v>534</v>
      </c>
      <c r="L2449" s="7">
        <v>612</v>
      </c>
      <c r="M2449" s="7">
        <v>15</v>
      </c>
      <c r="N2449">
        <f>VLOOKUP(A2449,vlookup_table!$A:$G,2,FALSE)</f>
        <v>2</v>
      </c>
      <c r="O2449" t="str">
        <f>VLOOKUP(A2449,vlookup_table!$A:$G,3,FALSE)</f>
        <v>OR</v>
      </c>
      <c r="P2449">
        <f>VLOOKUP(A2449,vlookup_table!$A:$G,4,FALSE)</f>
        <v>0</v>
      </c>
      <c r="Q2449" t="str">
        <f>VLOOKUP(A2449,vlookup_table!$A:$G,5,FALSE)</f>
        <v>S1</v>
      </c>
      <c r="R2449" t="str">
        <f>VLOOKUP(A2449,vlookup_table!$A:$G,6,FALSE)</f>
        <v>F</v>
      </c>
      <c r="S2449">
        <f>VLOOKUP(A2449,vlookup_table!$A:$G,7,FALSE)</f>
        <v>15</v>
      </c>
      <c r="T2449">
        <f t="shared" si="76"/>
        <v>96</v>
      </c>
      <c r="U2449" t="str">
        <f t="shared" si="77"/>
        <v>Suburbano</v>
      </c>
    </row>
    <row r="2450" spans="1:21" ht="16" x14ac:dyDescent="0.4">
      <c r="A2450" s="7">
        <v>159826</v>
      </c>
      <c r="B2450" s="7" t="s">
        <v>21</v>
      </c>
      <c r="C2450" s="7" t="s">
        <v>17</v>
      </c>
      <c r="D2450" s="7">
        <v>1292</v>
      </c>
      <c r="E2450" s="7">
        <v>266</v>
      </c>
      <c r="F2450" s="7">
        <v>498</v>
      </c>
      <c r="G2450" s="7">
        <v>20</v>
      </c>
      <c r="H2450" s="7">
        <v>16678</v>
      </c>
      <c r="I2450" s="7">
        <v>17</v>
      </c>
      <c r="J2450" s="7">
        <v>66</v>
      </c>
      <c r="K2450" s="7">
        <v>355</v>
      </c>
      <c r="L2450" s="7">
        <v>436</v>
      </c>
      <c r="M2450" s="7">
        <v>10.76190476</v>
      </c>
      <c r="N2450">
        <f>VLOOKUP(A2450,vlookup_table!$A:$G,2,FALSE)</f>
        <v>2</v>
      </c>
      <c r="O2450" t="str">
        <f>VLOOKUP(A2450,vlookup_table!$A:$G,3,FALSE)</f>
        <v>CA</v>
      </c>
      <c r="P2450">
        <f>VLOOKUP(A2450,vlookup_table!$A:$G,4,FALSE)</f>
        <v>2401</v>
      </c>
      <c r="Q2450" t="str">
        <f>VLOOKUP(A2450,vlookup_table!$A:$G,5,FALSE)</f>
        <v>C2</v>
      </c>
      <c r="R2450" t="str">
        <f>VLOOKUP(A2450,vlookup_table!$A:$G,6,FALSE)</f>
        <v>F</v>
      </c>
      <c r="S2450">
        <f>VLOOKUP(A2450,vlookup_table!$A:$G,7,FALSE)</f>
        <v>5</v>
      </c>
      <c r="T2450">
        <f t="shared" si="76"/>
        <v>72</v>
      </c>
      <c r="U2450" t="str">
        <f t="shared" si="77"/>
        <v>Ciudad</v>
      </c>
    </row>
    <row r="2451" spans="1:21" ht="16" x14ac:dyDescent="0.4">
      <c r="A2451" s="7">
        <v>181891</v>
      </c>
      <c r="B2451" s="7" t="s">
        <v>37</v>
      </c>
      <c r="C2451" s="7" t="s">
        <v>27</v>
      </c>
      <c r="D2451" s="7">
        <v>759</v>
      </c>
      <c r="E2451" s="7">
        <v>263</v>
      </c>
      <c r="F2451" s="7">
        <v>287</v>
      </c>
      <c r="G2451" s="7">
        <v>1</v>
      </c>
      <c r="H2451" s="7">
        <v>8915</v>
      </c>
      <c r="I2451" s="7">
        <v>3</v>
      </c>
      <c r="J2451" s="7">
        <v>44</v>
      </c>
      <c r="K2451" s="7">
        <v>270</v>
      </c>
      <c r="L2451" s="7">
        <v>281</v>
      </c>
      <c r="M2451" s="7">
        <v>14.7</v>
      </c>
      <c r="N2451">
        <f>VLOOKUP(A2451,vlookup_table!$A:$G,2,FALSE)</f>
        <v>0</v>
      </c>
      <c r="O2451" t="str">
        <f>VLOOKUP(A2451,vlookup_table!$A:$G,3,FALSE)</f>
        <v>WA</v>
      </c>
      <c r="P2451">
        <f>VLOOKUP(A2451,vlookup_table!$A:$G,4,FALSE)</f>
        <v>3401</v>
      </c>
      <c r="Q2451" t="str">
        <f>VLOOKUP(A2451,vlookup_table!$A:$G,5,FALSE)</f>
        <v>T2</v>
      </c>
      <c r="R2451" t="str">
        <f>VLOOKUP(A2451,vlookup_table!$A:$G,6,FALSE)</f>
        <v>U</v>
      </c>
      <c r="S2451">
        <f>VLOOKUP(A2451,vlookup_table!$A:$G,7,FALSE)</f>
        <v>25</v>
      </c>
      <c r="T2451">
        <f t="shared" si="76"/>
        <v>62</v>
      </c>
      <c r="U2451" t="str">
        <f t="shared" si="77"/>
        <v>Pueblo</v>
      </c>
    </row>
    <row r="2452" spans="1:21" ht="16" x14ac:dyDescent="0.4">
      <c r="A2452" s="7">
        <v>128162</v>
      </c>
      <c r="B2452" s="7" t="s">
        <v>20</v>
      </c>
      <c r="C2452" s="7" t="s">
        <v>17</v>
      </c>
      <c r="D2452" s="7">
        <v>621</v>
      </c>
      <c r="E2452" s="7">
        <v>314</v>
      </c>
      <c r="F2452" s="7">
        <v>383</v>
      </c>
      <c r="G2452" s="7">
        <v>1</v>
      </c>
      <c r="H2452" s="7">
        <v>14581</v>
      </c>
      <c r="I2452" s="7">
        <v>2</v>
      </c>
      <c r="J2452" s="7">
        <v>73</v>
      </c>
      <c r="K2452" s="7">
        <v>315</v>
      </c>
      <c r="L2452" s="7">
        <v>378</v>
      </c>
      <c r="M2452" s="7">
        <v>7</v>
      </c>
      <c r="N2452">
        <f>VLOOKUP(A2452,vlookup_table!$A:$G,2,FALSE)</f>
        <v>3</v>
      </c>
      <c r="O2452" t="str">
        <f>VLOOKUP(A2452,vlookup_table!$A:$G,3,FALSE)</f>
        <v>TX</v>
      </c>
      <c r="P2452">
        <f>VLOOKUP(A2452,vlookup_table!$A:$G,4,FALSE)</f>
        <v>2901</v>
      </c>
      <c r="Q2452" t="str">
        <f>VLOOKUP(A2452,vlookup_table!$A:$G,5,FALSE)</f>
        <v>C1</v>
      </c>
      <c r="R2452" t="str">
        <f>VLOOKUP(A2452,vlookup_table!$A:$G,6,FALSE)</f>
        <v>F</v>
      </c>
      <c r="S2452">
        <f>VLOOKUP(A2452,vlookup_table!$A:$G,7,FALSE)</f>
        <v>8</v>
      </c>
      <c r="T2452">
        <f t="shared" si="76"/>
        <v>67</v>
      </c>
      <c r="U2452" t="str">
        <f t="shared" si="77"/>
        <v>Ciudad</v>
      </c>
    </row>
    <row r="2453" spans="1:21" ht="16" x14ac:dyDescent="0.4">
      <c r="A2453" s="7">
        <v>107040</v>
      </c>
      <c r="B2453" s="7" t="s">
        <v>55</v>
      </c>
      <c r="C2453" s="7" t="s">
        <v>14</v>
      </c>
      <c r="D2453" s="7">
        <v>613</v>
      </c>
      <c r="E2453" s="7">
        <v>259</v>
      </c>
      <c r="F2453" s="7">
        <v>402</v>
      </c>
      <c r="G2453" s="7">
        <v>0</v>
      </c>
      <c r="H2453" s="7">
        <v>17455</v>
      </c>
      <c r="I2453" s="7">
        <v>4</v>
      </c>
      <c r="J2453" s="7">
        <v>51</v>
      </c>
      <c r="K2453" s="7">
        <v>348</v>
      </c>
      <c r="L2453" s="7">
        <v>299</v>
      </c>
      <c r="M2453" s="7">
        <v>7.076923077</v>
      </c>
      <c r="N2453">
        <f>VLOOKUP(A2453,vlookup_table!$A:$G,2,FALSE)</f>
        <v>0</v>
      </c>
      <c r="O2453" t="str">
        <f>VLOOKUP(A2453,vlookup_table!$A:$G,3,FALSE)</f>
        <v>NE</v>
      </c>
      <c r="P2453">
        <f>VLOOKUP(A2453,vlookup_table!$A:$G,4,FALSE)</f>
        <v>2701</v>
      </c>
      <c r="Q2453" t="str">
        <f>VLOOKUP(A2453,vlookup_table!$A:$G,5,FALSE)</f>
        <v>C2</v>
      </c>
      <c r="R2453" t="str">
        <f>VLOOKUP(A2453,vlookup_table!$A:$G,6,FALSE)</f>
        <v>M</v>
      </c>
      <c r="S2453">
        <f>VLOOKUP(A2453,vlookup_table!$A:$G,7,FALSE)</f>
        <v>10</v>
      </c>
      <c r="T2453">
        <f t="shared" si="76"/>
        <v>69</v>
      </c>
      <c r="U2453" t="str">
        <f t="shared" si="77"/>
        <v>Ciudad</v>
      </c>
    </row>
    <row r="2454" spans="1:21" ht="16" x14ac:dyDescent="0.4">
      <c r="A2454" s="7">
        <v>97596</v>
      </c>
      <c r="B2454" s="7" t="s">
        <v>16</v>
      </c>
      <c r="C2454" s="7" t="s">
        <v>17</v>
      </c>
      <c r="D2454" s="7">
        <v>350</v>
      </c>
      <c r="E2454" s="7">
        <v>283</v>
      </c>
      <c r="F2454" s="7">
        <v>350</v>
      </c>
      <c r="G2454" s="7">
        <v>0</v>
      </c>
      <c r="H2454" s="7">
        <v>11446</v>
      </c>
      <c r="I2454" s="7">
        <v>0</v>
      </c>
      <c r="J2454" s="7">
        <v>83</v>
      </c>
      <c r="K2454" s="7">
        <v>333</v>
      </c>
      <c r="L2454" s="7">
        <v>286</v>
      </c>
      <c r="M2454" s="7">
        <v>10</v>
      </c>
      <c r="N2454">
        <f>VLOOKUP(A2454,vlookup_table!$A:$G,2,FALSE)</f>
        <v>0</v>
      </c>
      <c r="O2454" t="str">
        <f>VLOOKUP(A2454,vlookup_table!$A:$G,3,FALSE)</f>
        <v>IL</v>
      </c>
      <c r="P2454">
        <f>VLOOKUP(A2454,vlookup_table!$A:$G,4,FALSE)</f>
        <v>5801</v>
      </c>
      <c r="Q2454" t="str">
        <f>VLOOKUP(A2454,vlookup_table!$A:$G,5,FALSE)</f>
        <v>C3</v>
      </c>
      <c r="R2454" t="str">
        <f>VLOOKUP(A2454,vlookup_table!$A:$G,6,FALSE)</f>
        <v>F</v>
      </c>
      <c r="S2454">
        <f>VLOOKUP(A2454,vlookup_table!$A:$G,7,FALSE)</f>
        <v>15</v>
      </c>
      <c r="T2454">
        <f t="shared" si="76"/>
        <v>38</v>
      </c>
      <c r="U2454" t="str">
        <f t="shared" si="77"/>
        <v>Ciudad</v>
      </c>
    </row>
    <row r="2455" spans="1:21" ht="16" x14ac:dyDescent="0.4">
      <c r="A2455" s="7">
        <v>12049</v>
      </c>
      <c r="B2455" s="7" t="s">
        <v>29</v>
      </c>
      <c r="C2455" s="7" t="s">
        <v>14</v>
      </c>
      <c r="D2455" s="7">
        <v>326</v>
      </c>
      <c r="E2455" s="7">
        <v>125</v>
      </c>
      <c r="F2455" s="7">
        <v>213</v>
      </c>
      <c r="G2455" s="7">
        <v>0</v>
      </c>
      <c r="H2455" s="7">
        <v>8845</v>
      </c>
      <c r="I2455" s="7">
        <v>1</v>
      </c>
      <c r="J2455" s="7">
        <v>32</v>
      </c>
      <c r="K2455" s="7">
        <v>189</v>
      </c>
      <c r="L2455" s="7">
        <v>189</v>
      </c>
      <c r="M2455" s="7">
        <v>6.3</v>
      </c>
      <c r="N2455">
        <f>VLOOKUP(A2455,vlookup_table!$A:$G,2,FALSE)</f>
        <v>0</v>
      </c>
      <c r="O2455" t="str">
        <f>VLOOKUP(A2455,vlookup_table!$A:$G,3,FALSE)</f>
        <v>AR</v>
      </c>
      <c r="P2455">
        <f>VLOOKUP(A2455,vlookup_table!$A:$G,4,FALSE)</f>
        <v>2812</v>
      </c>
      <c r="Q2455" t="str">
        <f>VLOOKUP(A2455,vlookup_table!$A:$G,5,FALSE)</f>
        <v>R3</v>
      </c>
      <c r="R2455" t="str">
        <f>VLOOKUP(A2455,vlookup_table!$A:$G,6,FALSE)</f>
        <v>M</v>
      </c>
      <c r="S2455">
        <f>VLOOKUP(A2455,vlookup_table!$A:$G,7,FALSE)</f>
        <v>5</v>
      </c>
      <c r="T2455">
        <f t="shared" si="76"/>
        <v>68</v>
      </c>
      <c r="U2455" t="str">
        <f t="shared" si="77"/>
        <v>Rural</v>
      </c>
    </row>
    <row r="2456" spans="1:21" ht="16" x14ac:dyDescent="0.4">
      <c r="A2456" s="7">
        <v>160334</v>
      </c>
      <c r="B2456" s="7" t="s">
        <v>21</v>
      </c>
      <c r="C2456" s="7" t="s">
        <v>17</v>
      </c>
      <c r="D2456" s="7">
        <v>1724</v>
      </c>
      <c r="E2456" s="7">
        <v>455</v>
      </c>
      <c r="F2456" s="7">
        <v>539</v>
      </c>
      <c r="G2456" s="7">
        <v>31</v>
      </c>
      <c r="H2456" s="7">
        <v>20019</v>
      </c>
      <c r="I2456" s="7">
        <v>4</v>
      </c>
      <c r="J2456" s="7">
        <v>56</v>
      </c>
      <c r="K2456" s="7">
        <v>462</v>
      </c>
      <c r="L2456" s="7">
        <v>492</v>
      </c>
      <c r="M2456" s="7">
        <v>8.6470588240000001</v>
      </c>
      <c r="N2456">
        <f>VLOOKUP(A2456,vlookup_table!$A:$G,2,FALSE)</f>
        <v>2</v>
      </c>
      <c r="O2456" t="str">
        <f>VLOOKUP(A2456,vlookup_table!$A:$G,3,FALSE)</f>
        <v>CA</v>
      </c>
      <c r="P2456">
        <f>VLOOKUP(A2456,vlookup_table!$A:$G,4,FALSE)</f>
        <v>2001</v>
      </c>
      <c r="Q2456" t="str">
        <f>VLOOKUP(A2456,vlookup_table!$A:$G,5,FALSE)</f>
        <v>C1</v>
      </c>
      <c r="R2456" t="str">
        <f>VLOOKUP(A2456,vlookup_table!$A:$G,6,FALSE)</f>
        <v>F</v>
      </c>
      <c r="S2456">
        <f>VLOOKUP(A2456,vlookup_table!$A:$G,7,FALSE)</f>
        <v>15</v>
      </c>
      <c r="T2456">
        <f t="shared" si="76"/>
        <v>76</v>
      </c>
      <c r="U2456" t="str">
        <f t="shared" si="77"/>
        <v>Ciudad</v>
      </c>
    </row>
    <row r="2457" spans="1:21" ht="16" x14ac:dyDescent="0.4">
      <c r="A2457" s="7">
        <v>132522</v>
      </c>
      <c r="B2457" s="7" t="s">
        <v>58</v>
      </c>
      <c r="C2457" s="7" t="s">
        <v>14</v>
      </c>
      <c r="D2457" s="7">
        <v>1188</v>
      </c>
      <c r="E2457" s="7">
        <v>102</v>
      </c>
      <c r="F2457" s="7">
        <v>269</v>
      </c>
      <c r="G2457" s="7">
        <v>33</v>
      </c>
      <c r="H2457" s="7">
        <v>12641</v>
      </c>
      <c r="I2457" s="7">
        <v>2</v>
      </c>
      <c r="J2457" s="7">
        <v>36</v>
      </c>
      <c r="K2457" s="7">
        <v>169</v>
      </c>
      <c r="L2457" s="7">
        <v>187</v>
      </c>
      <c r="M2457" s="7">
        <v>5.5</v>
      </c>
      <c r="N2457">
        <f>VLOOKUP(A2457,vlookup_table!$A:$G,2,FALSE)</f>
        <v>1</v>
      </c>
      <c r="O2457" t="str">
        <f>VLOOKUP(A2457,vlookup_table!$A:$G,3,FALSE)</f>
        <v>WY</v>
      </c>
      <c r="P2457">
        <f>VLOOKUP(A2457,vlookup_table!$A:$G,4,FALSE)</f>
        <v>0</v>
      </c>
      <c r="Q2457" t="str">
        <f>VLOOKUP(A2457,vlookup_table!$A:$G,5,FALSE)</f>
        <v>C2</v>
      </c>
      <c r="R2457" t="str">
        <f>VLOOKUP(A2457,vlookup_table!$A:$G,6,FALSE)</f>
        <v>M</v>
      </c>
      <c r="S2457">
        <f>VLOOKUP(A2457,vlookup_table!$A:$G,7,FALSE)</f>
        <v>7</v>
      </c>
      <c r="T2457">
        <f t="shared" si="76"/>
        <v>96</v>
      </c>
      <c r="U2457" t="str">
        <f t="shared" si="77"/>
        <v>Ciudad</v>
      </c>
    </row>
    <row r="2458" spans="1:21" ht="16" x14ac:dyDescent="0.4">
      <c r="A2458" s="7">
        <v>190155</v>
      </c>
      <c r="B2458" s="7" t="s">
        <v>51</v>
      </c>
      <c r="C2458" s="7" t="s">
        <v>97</v>
      </c>
      <c r="D2458" s="7">
        <v>641</v>
      </c>
      <c r="E2458" s="7">
        <v>278</v>
      </c>
      <c r="F2458" s="7">
        <v>322</v>
      </c>
      <c r="G2458" s="7">
        <v>0</v>
      </c>
      <c r="H2458" s="7">
        <v>13653</v>
      </c>
      <c r="I2458" s="7">
        <v>2</v>
      </c>
      <c r="J2458" s="7">
        <v>28</v>
      </c>
      <c r="K2458" s="7">
        <v>289</v>
      </c>
      <c r="L2458" s="7">
        <v>304</v>
      </c>
      <c r="M2458" s="7">
        <v>10.6</v>
      </c>
      <c r="N2458">
        <f>VLOOKUP(A2458,vlookup_table!$A:$G,2,FALSE)</f>
        <v>0</v>
      </c>
      <c r="O2458" t="str">
        <f>VLOOKUP(A2458,vlookup_table!$A:$G,3,FALSE)</f>
        <v>AZ</v>
      </c>
      <c r="P2458">
        <f>VLOOKUP(A2458,vlookup_table!$A:$G,4,FALSE)</f>
        <v>0</v>
      </c>
      <c r="Q2458" t="str">
        <f>VLOOKUP(A2458,vlookup_table!$A:$G,5,FALSE)</f>
        <v>U3</v>
      </c>
      <c r="R2458" t="str">
        <f>VLOOKUP(A2458,vlookup_table!$A:$G,6,FALSE)</f>
        <v>F</v>
      </c>
      <c r="S2458">
        <f>VLOOKUP(A2458,vlookup_table!$A:$G,7,FALSE)</f>
        <v>15</v>
      </c>
      <c r="T2458">
        <f t="shared" si="76"/>
        <v>96</v>
      </c>
      <c r="U2458" t="str">
        <f t="shared" si="77"/>
        <v>Urbano</v>
      </c>
    </row>
    <row r="2459" spans="1:21" ht="16" x14ac:dyDescent="0.4">
      <c r="A2459" s="7">
        <v>151484</v>
      </c>
      <c r="B2459" s="7" t="s">
        <v>21</v>
      </c>
      <c r="C2459" s="7" t="s">
        <v>14</v>
      </c>
      <c r="D2459" s="7">
        <v>2546</v>
      </c>
      <c r="E2459" s="7">
        <v>364</v>
      </c>
      <c r="F2459" s="7">
        <v>462</v>
      </c>
      <c r="G2459" s="7">
        <v>78</v>
      </c>
      <c r="H2459" s="7">
        <v>15100</v>
      </c>
      <c r="I2459" s="7">
        <v>43</v>
      </c>
      <c r="J2459" s="7">
        <v>37</v>
      </c>
      <c r="K2459" s="7">
        <v>389</v>
      </c>
      <c r="L2459" s="7">
        <v>444</v>
      </c>
      <c r="M2459" s="7">
        <v>7.7647058820000003</v>
      </c>
      <c r="N2459">
        <f>VLOOKUP(A2459,vlookup_table!$A:$G,2,FALSE)</f>
        <v>1</v>
      </c>
      <c r="O2459" t="str">
        <f>VLOOKUP(A2459,vlookup_table!$A:$G,3,FALSE)</f>
        <v>CA</v>
      </c>
      <c r="P2459">
        <f>VLOOKUP(A2459,vlookup_table!$A:$G,4,FALSE)</f>
        <v>6201</v>
      </c>
      <c r="Q2459" t="str">
        <f>VLOOKUP(A2459,vlookup_table!$A:$G,5,FALSE)</f>
        <v>U1</v>
      </c>
      <c r="R2459" t="str">
        <f>VLOOKUP(A2459,vlookup_table!$A:$G,6,FALSE)</f>
        <v>M</v>
      </c>
      <c r="S2459">
        <f>VLOOKUP(A2459,vlookup_table!$A:$G,7,FALSE)</f>
        <v>14</v>
      </c>
      <c r="T2459">
        <f t="shared" si="76"/>
        <v>34</v>
      </c>
      <c r="U2459" t="str">
        <f t="shared" si="77"/>
        <v>Urbano</v>
      </c>
    </row>
    <row r="2460" spans="1:21" ht="16" x14ac:dyDescent="0.4">
      <c r="A2460" s="7">
        <v>6981</v>
      </c>
      <c r="B2460" s="7" t="s">
        <v>16</v>
      </c>
      <c r="C2460" s="7" t="s">
        <v>17</v>
      </c>
      <c r="D2460" s="7">
        <v>397</v>
      </c>
      <c r="E2460" s="7">
        <v>287</v>
      </c>
      <c r="F2460" s="7">
        <v>374</v>
      </c>
      <c r="G2460" s="7">
        <v>0</v>
      </c>
      <c r="H2460" s="7">
        <v>12683</v>
      </c>
      <c r="I2460" s="7">
        <v>0</v>
      </c>
      <c r="J2460" s="7">
        <v>85</v>
      </c>
      <c r="K2460" s="7">
        <v>333</v>
      </c>
      <c r="L2460" s="7">
        <v>329</v>
      </c>
      <c r="M2460" s="7">
        <v>5.1290322579999996</v>
      </c>
      <c r="N2460">
        <f>VLOOKUP(A2460,vlookup_table!$A:$G,2,FALSE)</f>
        <v>2</v>
      </c>
      <c r="O2460" t="str">
        <f>VLOOKUP(A2460,vlookup_table!$A:$G,3,FALSE)</f>
        <v>IL</v>
      </c>
      <c r="P2460">
        <f>VLOOKUP(A2460,vlookup_table!$A:$G,4,FALSE)</f>
        <v>0</v>
      </c>
      <c r="Q2460" t="str">
        <f>VLOOKUP(A2460,vlookup_table!$A:$G,5,FALSE)</f>
        <v/>
      </c>
      <c r="R2460" t="str">
        <f>VLOOKUP(A2460,vlookup_table!$A:$G,6,FALSE)</f>
        <v>F</v>
      </c>
      <c r="S2460">
        <f>VLOOKUP(A2460,vlookup_table!$A:$G,7,FALSE)</f>
        <v>10</v>
      </c>
      <c r="T2460">
        <f t="shared" si="76"/>
        <v>96</v>
      </c>
      <c r="U2460" t="str">
        <f t="shared" si="77"/>
        <v/>
      </c>
    </row>
    <row r="2461" spans="1:21" ht="16" x14ac:dyDescent="0.4">
      <c r="A2461" s="7">
        <v>154055</v>
      </c>
      <c r="B2461" s="7" t="s">
        <v>21</v>
      </c>
      <c r="C2461" s="7" t="s">
        <v>17</v>
      </c>
      <c r="D2461" s="7">
        <v>2953</v>
      </c>
      <c r="E2461" s="7">
        <v>247</v>
      </c>
      <c r="F2461" s="7">
        <v>384</v>
      </c>
      <c r="G2461" s="7">
        <v>87</v>
      </c>
      <c r="H2461" s="7">
        <v>16742</v>
      </c>
      <c r="I2461" s="7">
        <v>17</v>
      </c>
      <c r="J2461" s="7">
        <v>27</v>
      </c>
      <c r="K2461" s="7">
        <v>307</v>
      </c>
      <c r="L2461" s="7">
        <v>303</v>
      </c>
      <c r="M2461" s="7">
        <v>7.923076923</v>
      </c>
      <c r="N2461">
        <f>VLOOKUP(A2461,vlookup_table!$A:$G,2,FALSE)</f>
        <v>0</v>
      </c>
      <c r="O2461" t="str">
        <f>VLOOKUP(A2461,vlookup_table!$A:$G,3,FALSE)</f>
        <v>CA</v>
      </c>
      <c r="P2461">
        <f>VLOOKUP(A2461,vlookup_table!$A:$G,4,FALSE)</f>
        <v>0</v>
      </c>
      <c r="Q2461" t="str">
        <f>VLOOKUP(A2461,vlookup_table!$A:$G,5,FALSE)</f>
        <v>S1</v>
      </c>
      <c r="R2461" t="str">
        <f>VLOOKUP(A2461,vlookup_table!$A:$G,6,FALSE)</f>
        <v>F</v>
      </c>
      <c r="S2461">
        <f>VLOOKUP(A2461,vlookup_table!$A:$G,7,FALSE)</f>
        <v>10</v>
      </c>
      <c r="T2461">
        <f t="shared" si="76"/>
        <v>96</v>
      </c>
      <c r="U2461" t="str">
        <f t="shared" si="77"/>
        <v>Suburbano</v>
      </c>
    </row>
    <row r="2462" spans="1:21" ht="16" x14ac:dyDescent="0.4">
      <c r="A2462" s="7">
        <v>122664</v>
      </c>
      <c r="B2462" s="7" t="s">
        <v>20</v>
      </c>
      <c r="C2462" s="7" t="s">
        <v>17</v>
      </c>
      <c r="D2462" s="7">
        <v>745</v>
      </c>
      <c r="E2462" s="7">
        <v>275</v>
      </c>
      <c r="F2462" s="7">
        <v>325</v>
      </c>
      <c r="G2462" s="7">
        <v>3</v>
      </c>
      <c r="H2462" s="7">
        <v>10957</v>
      </c>
      <c r="I2462" s="7">
        <v>5</v>
      </c>
      <c r="J2462" s="7">
        <v>68</v>
      </c>
      <c r="K2462" s="7">
        <v>301</v>
      </c>
      <c r="L2462" s="7">
        <v>295</v>
      </c>
      <c r="M2462" s="7">
        <v>20</v>
      </c>
      <c r="N2462">
        <f>VLOOKUP(A2462,vlookup_table!$A:$G,2,FALSE)</f>
        <v>0</v>
      </c>
      <c r="O2462" t="str">
        <f>VLOOKUP(A2462,vlookup_table!$A:$G,3,FALSE)</f>
        <v>TX</v>
      </c>
      <c r="P2462">
        <f>VLOOKUP(A2462,vlookup_table!$A:$G,4,FALSE)</f>
        <v>4501</v>
      </c>
      <c r="Q2462" t="str">
        <f>VLOOKUP(A2462,vlookup_table!$A:$G,5,FALSE)</f>
        <v>T2</v>
      </c>
      <c r="R2462" t="str">
        <f>VLOOKUP(A2462,vlookup_table!$A:$G,6,FALSE)</f>
        <v>F</v>
      </c>
      <c r="S2462">
        <f>VLOOKUP(A2462,vlookup_table!$A:$G,7,FALSE)</f>
        <v>20</v>
      </c>
      <c r="T2462">
        <f t="shared" si="76"/>
        <v>51</v>
      </c>
      <c r="U2462" t="str">
        <f t="shared" si="77"/>
        <v>Pueblo</v>
      </c>
    </row>
    <row r="2463" spans="1:21" ht="16" x14ac:dyDescent="0.4">
      <c r="A2463" s="7">
        <v>157275</v>
      </c>
      <c r="B2463" s="7" t="s">
        <v>21</v>
      </c>
      <c r="C2463" s="7" t="s">
        <v>17</v>
      </c>
      <c r="D2463" s="7">
        <v>3454</v>
      </c>
      <c r="E2463" s="7">
        <v>470</v>
      </c>
      <c r="F2463" s="7">
        <v>665</v>
      </c>
      <c r="G2463" s="7">
        <v>94</v>
      </c>
      <c r="H2463" s="7">
        <v>34702</v>
      </c>
      <c r="I2463" s="7">
        <v>10</v>
      </c>
      <c r="J2463" s="7">
        <v>36</v>
      </c>
      <c r="K2463" s="7">
        <v>571</v>
      </c>
      <c r="L2463" s="7">
        <v>553</v>
      </c>
      <c r="M2463" s="7">
        <v>13.5625</v>
      </c>
      <c r="N2463">
        <f>VLOOKUP(A2463,vlookup_table!$A:$G,2,FALSE)</f>
        <v>0</v>
      </c>
      <c r="O2463" t="str">
        <f>VLOOKUP(A2463,vlookup_table!$A:$G,3,FALSE)</f>
        <v>CA</v>
      </c>
      <c r="P2463">
        <f>VLOOKUP(A2463,vlookup_table!$A:$G,4,FALSE)</f>
        <v>2001</v>
      </c>
      <c r="Q2463" t="str">
        <f>VLOOKUP(A2463,vlookup_table!$A:$G,5,FALSE)</f>
        <v>S1</v>
      </c>
      <c r="R2463" t="str">
        <f>VLOOKUP(A2463,vlookup_table!$A:$G,6,FALSE)</f>
        <v>F</v>
      </c>
      <c r="S2463">
        <f>VLOOKUP(A2463,vlookup_table!$A:$G,7,FALSE)</f>
        <v>10</v>
      </c>
      <c r="T2463">
        <f t="shared" si="76"/>
        <v>76</v>
      </c>
      <c r="U2463" t="str">
        <f t="shared" si="77"/>
        <v>Suburbano</v>
      </c>
    </row>
    <row r="2464" spans="1:21" ht="16" x14ac:dyDescent="0.4">
      <c r="A2464" s="7">
        <v>149769</v>
      </c>
      <c r="B2464" s="7" t="s">
        <v>21</v>
      </c>
      <c r="C2464" s="7" t="s">
        <v>17</v>
      </c>
      <c r="D2464" s="7">
        <v>2172</v>
      </c>
      <c r="E2464" s="7">
        <v>352</v>
      </c>
      <c r="F2464" s="7">
        <v>369</v>
      </c>
      <c r="G2464" s="7">
        <v>63</v>
      </c>
      <c r="H2464" s="7">
        <v>11235</v>
      </c>
      <c r="I2464" s="7">
        <v>47</v>
      </c>
      <c r="J2464" s="7">
        <v>34</v>
      </c>
      <c r="K2464" s="7">
        <v>344</v>
      </c>
      <c r="L2464" s="7">
        <v>413</v>
      </c>
      <c r="M2464" s="7">
        <v>22.75</v>
      </c>
      <c r="N2464">
        <f>VLOOKUP(A2464,vlookup_table!$A:$G,2,FALSE)</f>
        <v>2</v>
      </c>
      <c r="O2464" t="str">
        <f>VLOOKUP(A2464,vlookup_table!$A:$G,3,FALSE)</f>
        <v>CA</v>
      </c>
      <c r="P2464">
        <f>VLOOKUP(A2464,vlookup_table!$A:$G,4,FALSE)</f>
        <v>3001</v>
      </c>
      <c r="Q2464" t="str">
        <f>VLOOKUP(A2464,vlookup_table!$A:$G,5,FALSE)</f>
        <v>U2</v>
      </c>
      <c r="R2464" t="str">
        <f>VLOOKUP(A2464,vlookup_table!$A:$G,6,FALSE)</f>
        <v>F</v>
      </c>
      <c r="S2464">
        <f>VLOOKUP(A2464,vlookup_table!$A:$G,7,FALSE)</f>
        <v>46</v>
      </c>
      <c r="T2464">
        <f t="shared" si="76"/>
        <v>66</v>
      </c>
      <c r="U2464" t="str">
        <f t="shared" si="77"/>
        <v>Urbano</v>
      </c>
    </row>
    <row r="2465" spans="1:21" ht="16" x14ac:dyDescent="0.4">
      <c r="A2465" s="7">
        <v>90314</v>
      </c>
      <c r="B2465" s="7" t="s">
        <v>16</v>
      </c>
      <c r="C2465" s="7" t="s">
        <v>17</v>
      </c>
      <c r="D2465" s="7">
        <v>1081</v>
      </c>
      <c r="E2465" s="7">
        <v>474</v>
      </c>
      <c r="F2465" s="7">
        <v>495</v>
      </c>
      <c r="G2465" s="7">
        <v>1</v>
      </c>
      <c r="H2465" s="7">
        <v>15312</v>
      </c>
      <c r="I2465" s="7">
        <v>5</v>
      </c>
      <c r="J2465" s="7">
        <v>71</v>
      </c>
      <c r="K2465" s="7">
        <v>484</v>
      </c>
      <c r="L2465" s="7">
        <v>489</v>
      </c>
      <c r="M2465" s="7">
        <v>7.9411764710000003</v>
      </c>
      <c r="N2465">
        <f>VLOOKUP(A2465,vlookup_table!$A:$G,2,FALSE)</f>
        <v>2</v>
      </c>
      <c r="O2465" t="str">
        <f>VLOOKUP(A2465,vlookup_table!$A:$G,3,FALSE)</f>
        <v>IL</v>
      </c>
      <c r="P2465">
        <f>VLOOKUP(A2465,vlookup_table!$A:$G,4,FALSE)</f>
        <v>3407</v>
      </c>
      <c r="Q2465" t="str">
        <f>VLOOKUP(A2465,vlookup_table!$A:$G,5,FALSE)</f>
        <v>S1</v>
      </c>
      <c r="R2465" t="str">
        <f>VLOOKUP(A2465,vlookup_table!$A:$G,6,FALSE)</f>
        <v>F</v>
      </c>
      <c r="S2465">
        <f>VLOOKUP(A2465,vlookup_table!$A:$G,7,FALSE)</f>
        <v>7</v>
      </c>
      <c r="T2465">
        <f t="shared" si="76"/>
        <v>62</v>
      </c>
      <c r="U2465" t="str">
        <f t="shared" si="77"/>
        <v>Suburbano</v>
      </c>
    </row>
    <row r="2466" spans="1:21" ht="16" x14ac:dyDescent="0.4">
      <c r="A2466" s="7">
        <v>175396</v>
      </c>
      <c r="B2466" s="7" t="s">
        <v>47</v>
      </c>
      <c r="C2466" s="7" t="s">
        <v>17</v>
      </c>
      <c r="D2466" s="7">
        <v>409</v>
      </c>
      <c r="E2466" s="7">
        <v>220</v>
      </c>
      <c r="F2466" s="7">
        <v>297</v>
      </c>
      <c r="G2466" s="7">
        <v>0</v>
      </c>
      <c r="H2466" s="7">
        <v>10461</v>
      </c>
      <c r="I2466" s="7">
        <v>5</v>
      </c>
      <c r="J2466" s="7">
        <v>58</v>
      </c>
      <c r="K2466" s="7">
        <v>275</v>
      </c>
      <c r="L2466" s="7">
        <v>275</v>
      </c>
      <c r="M2466" s="7">
        <v>13</v>
      </c>
      <c r="N2466">
        <f>VLOOKUP(A2466,vlookup_table!$A:$G,2,FALSE)</f>
        <v>0</v>
      </c>
      <c r="O2466" t="str">
        <f>VLOOKUP(A2466,vlookup_table!$A:$G,3,FALSE)</f>
        <v>OR</v>
      </c>
      <c r="P2466">
        <f>VLOOKUP(A2466,vlookup_table!$A:$G,4,FALSE)</f>
        <v>5312</v>
      </c>
      <c r="Q2466" t="str">
        <f>VLOOKUP(A2466,vlookup_table!$A:$G,5,FALSE)</f>
        <v>U4</v>
      </c>
      <c r="R2466" t="str">
        <f>VLOOKUP(A2466,vlookup_table!$A:$G,6,FALSE)</f>
        <v>F</v>
      </c>
      <c r="S2466">
        <f>VLOOKUP(A2466,vlookup_table!$A:$G,7,FALSE)</f>
        <v>22</v>
      </c>
      <c r="T2466">
        <f t="shared" si="76"/>
        <v>43</v>
      </c>
      <c r="U2466" t="str">
        <f t="shared" si="77"/>
        <v>Urbano</v>
      </c>
    </row>
    <row r="2467" spans="1:21" ht="16" x14ac:dyDescent="0.4">
      <c r="A2467" s="7">
        <v>133949</v>
      </c>
      <c r="B2467" s="7" t="s">
        <v>35</v>
      </c>
      <c r="C2467" s="7" t="s">
        <v>14</v>
      </c>
      <c r="D2467" s="7">
        <v>723</v>
      </c>
      <c r="E2467" s="7">
        <v>317</v>
      </c>
      <c r="F2467" s="7">
        <v>386</v>
      </c>
      <c r="G2467" s="7">
        <v>3</v>
      </c>
      <c r="H2467" s="7">
        <v>8903</v>
      </c>
      <c r="I2467" s="7">
        <v>1</v>
      </c>
      <c r="J2467" s="7">
        <v>76</v>
      </c>
      <c r="K2467" s="7">
        <v>340</v>
      </c>
      <c r="L2467" s="7">
        <v>360</v>
      </c>
      <c r="M2467" s="7">
        <v>6.0943750000000003</v>
      </c>
      <c r="N2467">
        <f>VLOOKUP(A2467,vlookup_table!$A:$G,2,FALSE)</f>
        <v>1</v>
      </c>
      <c r="O2467" t="str">
        <f>VLOOKUP(A2467,vlookup_table!$A:$G,3,FALSE)</f>
        <v>UT</v>
      </c>
      <c r="P2467">
        <f>VLOOKUP(A2467,vlookup_table!$A:$G,4,FALSE)</f>
        <v>0</v>
      </c>
      <c r="Q2467" t="str">
        <f>VLOOKUP(A2467,vlookup_table!$A:$G,5,FALSE)</f>
        <v>T2</v>
      </c>
      <c r="R2467" t="str">
        <f>VLOOKUP(A2467,vlookup_table!$A:$G,6,FALSE)</f>
        <v>M</v>
      </c>
      <c r="S2467">
        <f>VLOOKUP(A2467,vlookup_table!$A:$G,7,FALSE)</f>
        <v>6</v>
      </c>
      <c r="T2467">
        <f t="shared" si="76"/>
        <v>96</v>
      </c>
      <c r="U2467" t="str">
        <f t="shared" si="77"/>
        <v>Pueblo</v>
      </c>
    </row>
    <row r="2468" spans="1:21" ht="16" x14ac:dyDescent="0.4">
      <c r="A2468" s="7">
        <v>164461</v>
      </c>
      <c r="B2468" s="7" t="s">
        <v>21</v>
      </c>
      <c r="C2468" s="7" t="s">
        <v>14</v>
      </c>
      <c r="D2468" s="7">
        <v>2632</v>
      </c>
      <c r="E2468" s="7">
        <v>517</v>
      </c>
      <c r="F2468" s="7">
        <v>618</v>
      </c>
      <c r="G2468" s="7">
        <v>79</v>
      </c>
      <c r="H2468" s="7">
        <v>22438</v>
      </c>
      <c r="I2468" s="7">
        <v>22</v>
      </c>
      <c r="J2468" s="7">
        <v>39</v>
      </c>
      <c r="K2468" s="7">
        <v>572</v>
      </c>
      <c r="L2468" s="7">
        <v>571</v>
      </c>
      <c r="M2468" s="7">
        <v>6.6</v>
      </c>
      <c r="N2468">
        <f>VLOOKUP(A2468,vlookup_table!$A:$G,2,FALSE)</f>
        <v>0</v>
      </c>
      <c r="O2468" t="str">
        <f>VLOOKUP(A2468,vlookup_table!$A:$G,3,FALSE)</f>
        <v>CA</v>
      </c>
      <c r="P2468">
        <f>VLOOKUP(A2468,vlookup_table!$A:$G,4,FALSE)</f>
        <v>5601</v>
      </c>
      <c r="Q2468" t="str">
        <f>VLOOKUP(A2468,vlookup_table!$A:$G,5,FALSE)</f>
        <v>S1</v>
      </c>
      <c r="R2468" t="str">
        <f>VLOOKUP(A2468,vlookup_table!$A:$G,6,FALSE)</f>
        <v>M</v>
      </c>
      <c r="S2468">
        <f>VLOOKUP(A2468,vlookup_table!$A:$G,7,FALSE)</f>
        <v>8</v>
      </c>
      <c r="T2468">
        <f t="shared" si="76"/>
        <v>40</v>
      </c>
      <c r="U2468" t="str">
        <f t="shared" si="77"/>
        <v>Suburbano</v>
      </c>
    </row>
    <row r="2469" spans="1:21" ht="16" x14ac:dyDescent="0.4">
      <c r="A2469" s="7">
        <v>119089</v>
      </c>
      <c r="B2469" s="7" t="s">
        <v>20</v>
      </c>
      <c r="C2469" s="7" t="s">
        <v>14</v>
      </c>
      <c r="D2469" s="7">
        <v>1038</v>
      </c>
      <c r="E2469" s="7">
        <v>482</v>
      </c>
      <c r="F2469" s="7">
        <v>626</v>
      </c>
      <c r="G2469" s="7">
        <v>0</v>
      </c>
      <c r="H2469" s="7">
        <v>24816</v>
      </c>
      <c r="I2469" s="7">
        <v>0</v>
      </c>
      <c r="J2469" s="7">
        <v>61</v>
      </c>
      <c r="K2469" s="7">
        <v>535</v>
      </c>
      <c r="L2469" s="7">
        <v>580</v>
      </c>
      <c r="M2469" s="7">
        <v>8.1</v>
      </c>
      <c r="N2469">
        <f>VLOOKUP(A2469,vlookup_table!$A:$G,2,FALSE)</f>
        <v>0</v>
      </c>
      <c r="O2469" t="str">
        <f>VLOOKUP(A2469,vlookup_table!$A:$G,3,FALSE)</f>
        <v>TX</v>
      </c>
      <c r="P2469">
        <f>VLOOKUP(A2469,vlookup_table!$A:$G,4,FALSE)</f>
        <v>2301</v>
      </c>
      <c r="Q2469" t="str">
        <f>VLOOKUP(A2469,vlookup_table!$A:$G,5,FALSE)</f>
        <v>R2</v>
      </c>
      <c r="R2469" t="str">
        <f>VLOOKUP(A2469,vlookup_table!$A:$G,6,FALSE)</f>
        <v>M</v>
      </c>
      <c r="S2469">
        <f>VLOOKUP(A2469,vlookup_table!$A:$G,7,FALSE)</f>
        <v>11</v>
      </c>
      <c r="T2469">
        <f t="shared" si="76"/>
        <v>73</v>
      </c>
      <c r="U2469" t="str">
        <f t="shared" si="77"/>
        <v>Rural</v>
      </c>
    </row>
    <row r="2470" spans="1:21" ht="16" x14ac:dyDescent="0.4">
      <c r="A2470" s="7">
        <v>61421</v>
      </c>
      <c r="B2470" s="7" t="s">
        <v>30</v>
      </c>
      <c r="C2470" s="7" t="s">
        <v>17</v>
      </c>
      <c r="D2470" s="7">
        <v>666</v>
      </c>
      <c r="E2470" s="7">
        <v>341</v>
      </c>
      <c r="F2470" s="7">
        <v>417</v>
      </c>
      <c r="G2470" s="7">
        <v>0</v>
      </c>
      <c r="H2470" s="7">
        <v>13897</v>
      </c>
      <c r="I2470" s="7">
        <v>3</v>
      </c>
      <c r="J2470" s="7">
        <v>68</v>
      </c>
      <c r="K2470" s="7">
        <v>399</v>
      </c>
      <c r="L2470" s="7">
        <v>403</v>
      </c>
      <c r="M2470" s="7">
        <v>17.166666670000001</v>
      </c>
      <c r="N2470">
        <f>VLOOKUP(A2470,vlookup_table!$A:$G,2,FALSE)</f>
        <v>2</v>
      </c>
      <c r="O2470" t="str">
        <f>VLOOKUP(A2470,vlookup_table!$A:$G,3,FALSE)</f>
        <v>IN</v>
      </c>
      <c r="P2470">
        <f>VLOOKUP(A2470,vlookup_table!$A:$G,4,FALSE)</f>
        <v>1807</v>
      </c>
      <c r="Q2470" t="str">
        <f>VLOOKUP(A2470,vlookup_table!$A:$G,5,FALSE)</f>
        <v>C3</v>
      </c>
      <c r="R2470" t="str">
        <f>VLOOKUP(A2470,vlookup_table!$A:$G,6,FALSE)</f>
        <v>F</v>
      </c>
      <c r="S2470">
        <f>VLOOKUP(A2470,vlookup_table!$A:$G,7,FALSE)</f>
        <v>20</v>
      </c>
      <c r="T2470">
        <f t="shared" si="76"/>
        <v>78</v>
      </c>
      <c r="U2470" t="str">
        <f t="shared" si="77"/>
        <v>Ciudad</v>
      </c>
    </row>
    <row r="2471" spans="1:21" ht="16" x14ac:dyDescent="0.4">
      <c r="A2471" s="7">
        <v>5546</v>
      </c>
      <c r="B2471" s="7" t="s">
        <v>13</v>
      </c>
      <c r="C2471" s="7" t="s">
        <v>17</v>
      </c>
      <c r="D2471" s="7">
        <v>717</v>
      </c>
      <c r="E2471" s="7">
        <v>278</v>
      </c>
      <c r="F2471" s="7">
        <v>360</v>
      </c>
      <c r="G2471" s="7">
        <v>1</v>
      </c>
      <c r="H2471" s="7">
        <v>13366</v>
      </c>
      <c r="I2471" s="7">
        <v>5</v>
      </c>
      <c r="J2471" s="7">
        <v>14</v>
      </c>
      <c r="K2471" s="7">
        <v>315</v>
      </c>
      <c r="L2471" s="7">
        <v>316</v>
      </c>
      <c r="M2471" s="7">
        <v>9.4444444440000002</v>
      </c>
      <c r="N2471">
        <f>VLOOKUP(A2471,vlookup_table!$A:$G,2,FALSE)</f>
        <v>2</v>
      </c>
      <c r="O2471" t="str">
        <f>VLOOKUP(A2471,vlookup_table!$A:$G,3,FALSE)</f>
        <v>FL</v>
      </c>
      <c r="P2471">
        <f>VLOOKUP(A2471,vlookup_table!$A:$G,4,FALSE)</f>
        <v>1905</v>
      </c>
      <c r="Q2471" t="str">
        <f>VLOOKUP(A2471,vlookup_table!$A:$G,5,FALSE)</f>
        <v>C2</v>
      </c>
      <c r="R2471" t="str">
        <f>VLOOKUP(A2471,vlookup_table!$A:$G,6,FALSE)</f>
        <v>F</v>
      </c>
      <c r="S2471">
        <f>VLOOKUP(A2471,vlookup_table!$A:$G,7,FALSE)</f>
        <v>10</v>
      </c>
      <c r="T2471">
        <f t="shared" si="76"/>
        <v>77</v>
      </c>
      <c r="U2471" t="str">
        <f t="shared" si="77"/>
        <v>Ciudad</v>
      </c>
    </row>
    <row r="2472" spans="1:21" ht="16" x14ac:dyDescent="0.4">
      <c r="A2472" s="7">
        <v>183747</v>
      </c>
      <c r="B2472" s="7" t="s">
        <v>37</v>
      </c>
      <c r="C2472" s="7" t="s">
        <v>17</v>
      </c>
      <c r="D2472" s="7">
        <v>902</v>
      </c>
      <c r="E2472" s="7">
        <v>374</v>
      </c>
      <c r="F2472" s="7">
        <v>505</v>
      </c>
      <c r="G2472" s="7">
        <v>8</v>
      </c>
      <c r="H2472" s="7">
        <v>20810</v>
      </c>
      <c r="I2472" s="7">
        <v>2</v>
      </c>
      <c r="J2472" s="7">
        <v>45</v>
      </c>
      <c r="K2472" s="7">
        <v>367</v>
      </c>
      <c r="L2472" s="7">
        <v>505</v>
      </c>
      <c r="M2472" s="7">
        <v>18.75</v>
      </c>
      <c r="N2472">
        <f>VLOOKUP(A2472,vlookup_table!$A:$G,2,FALSE)</f>
        <v>0</v>
      </c>
      <c r="O2472" t="str">
        <f>VLOOKUP(A2472,vlookup_table!$A:$G,3,FALSE)</f>
        <v>WA</v>
      </c>
      <c r="P2472">
        <f>VLOOKUP(A2472,vlookup_table!$A:$G,4,FALSE)</f>
        <v>4701</v>
      </c>
      <c r="Q2472" t="str">
        <f>VLOOKUP(A2472,vlookup_table!$A:$G,5,FALSE)</f>
        <v>R1</v>
      </c>
      <c r="R2472" t="str">
        <f>VLOOKUP(A2472,vlookup_table!$A:$G,6,FALSE)</f>
        <v>F</v>
      </c>
      <c r="S2472">
        <f>VLOOKUP(A2472,vlookup_table!$A:$G,7,FALSE)</f>
        <v>25</v>
      </c>
      <c r="T2472">
        <f t="shared" si="76"/>
        <v>49</v>
      </c>
      <c r="U2472" t="str">
        <f t="shared" si="77"/>
        <v>Rural</v>
      </c>
    </row>
    <row r="2473" spans="1:21" ht="16" x14ac:dyDescent="0.4">
      <c r="A2473" s="7">
        <v>20802</v>
      </c>
      <c r="B2473" s="7" t="s">
        <v>18</v>
      </c>
      <c r="C2473" s="7" t="s">
        <v>27</v>
      </c>
      <c r="D2473" s="7">
        <v>436</v>
      </c>
      <c r="E2473" s="7">
        <v>160</v>
      </c>
      <c r="F2473" s="7">
        <v>258</v>
      </c>
      <c r="G2473" s="7">
        <v>1</v>
      </c>
      <c r="H2473" s="7">
        <v>8631</v>
      </c>
      <c r="I2473" s="7">
        <v>1</v>
      </c>
      <c r="J2473" s="7">
        <v>89</v>
      </c>
      <c r="K2473" s="7">
        <v>206</v>
      </c>
      <c r="L2473" s="7">
        <v>214</v>
      </c>
      <c r="M2473" s="7">
        <v>15</v>
      </c>
      <c r="N2473">
        <f>VLOOKUP(A2473,vlookup_table!$A:$G,2,FALSE)</f>
        <v>0</v>
      </c>
      <c r="O2473" t="str">
        <f>VLOOKUP(A2473,vlookup_table!$A:$G,3,FALSE)</f>
        <v>NC</v>
      </c>
      <c r="P2473">
        <f>VLOOKUP(A2473,vlookup_table!$A:$G,4,FALSE)</f>
        <v>2501</v>
      </c>
      <c r="Q2473" t="str">
        <f>VLOOKUP(A2473,vlookup_table!$A:$G,5,FALSE)</f>
        <v>T2</v>
      </c>
      <c r="R2473" t="str">
        <f>VLOOKUP(A2473,vlookup_table!$A:$G,6,FALSE)</f>
        <v>U</v>
      </c>
      <c r="S2473">
        <f>VLOOKUP(A2473,vlookup_table!$A:$G,7,FALSE)</f>
        <v>25</v>
      </c>
      <c r="T2473">
        <f t="shared" si="76"/>
        <v>71</v>
      </c>
      <c r="U2473" t="str">
        <f t="shared" si="77"/>
        <v>Pueblo</v>
      </c>
    </row>
    <row r="2474" spans="1:21" ht="16" x14ac:dyDescent="0.4">
      <c r="A2474" s="7">
        <v>107644</v>
      </c>
      <c r="B2474" s="7" t="s">
        <v>55</v>
      </c>
      <c r="C2474" s="7" t="s">
        <v>14</v>
      </c>
      <c r="D2474" s="7">
        <v>422</v>
      </c>
      <c r="E2474" s="7">
        <v>268</v>
      </c>
      <c r="F2474" s="7">
        <v>376</v>
      </c>
      <c r="G2474" s="7">
        <v>0</v>
      </c>
      <c r="H2474" s="7">
        <v>13261</v>
      </c>
      <c r="I2474" s="7">
        <v>0</v>
      </c>
      <c r="J2474" s="7">
        <v>81</v>
      </c>
      <c r="K2474" s="7">
        <v>326</v>
      </c>
      <c r="L2474" s="7">
        <v>320</v>
      </c>
      <c r="M2474" s="7">
        <v>6.1875</v>
      </c>
      <c r="N2474">
        <f>VLOOKUP(A2474,vlookup_table!$A:$G,2,FALSE)</f>
        <v>1</v>
      </c>
      <c r="O2474" t="str">
        <f>VLOOKUP(A2474,vlookup_table!$A:$G,3,FALSE)</f>
        <v>NE</v>
      </c>
      <c r="P2474">
        <f>VLOOKUP(A2474,vlookup_table!$A:$G,4,FALSE)</f>
        <v>2109</v>
      </c>
      <c r="Q2474" t="str">
        <f>VLOOKUP(A2474,vlookup_table!$A:$G,5,FALSE)</f>
        <v>R2</v>
      </c>
      <c r="R2474" t="str">
        <f>VLOOKUP(A2474,vlookup_table!$A:$G,6,FALSE)</f>
        <v>M</v>
      </c>
      <c r="S2474">
        <f>VLOOKUP(A2474,vlookup_table!$A:$G,7,FALSE)</f>
        <v>7</v>
      </c>
      <c r="T2474">
        <f t="shared" si="76"/>
        <v>75</v>
      </c>
      <c r="U2474" t="str">
        <f t="shared" si="77"/>
        <v>Rural</v>
      </c>
    </row>
    <row r="2475" spans="1:21" ht="16" x14ac:dyDescent="0.4">
      <c r="A2475" s="7">
        <v>139563</v>
      </c>
      <c r="B2475" s="7" t="s">
        <v>50</v>
      </c>
      <c r="C2475" s="7" t="s">
        <v>14</v>
      </c>
      <c r="D2475" s="7">
        <v>1647</v>
      </c>
      <c r="E2475" s="7">
        <v>541</v>
      </c>
      <c r="F2475" s="7">
        <v>642</v>
      </c>
      <c r="G2475" s="7">
        <v>21</v>
      </c>
      <c r="H2475" s="7">
        <v>26255</v>
      </c>
      <c r="I2475" s="7">
        <v>9</v>
      </c>
      <c r="J2475" s="7">
        <v>22</v>
      </c>
      <c r="K2475" s="7">
        <v>599</v>
      </c>
      <c r="L2475" s="7">
        <v>611</v>
      </c>
      <c r="M2475" s="7">
        <v>7.3888888890000004</v>
      </c>
      <c r="N2475">
        <f>VLOOKUP(A2475,vlookup_table!$A:$G,2,FALSE)</f>
        <v>0</v>
      </c>
      <c r="O2475" t="str">
        <f>VLOOKUP(A2475,vlookup_table!$A:$G,3,FALSE)</f>
        <v>NM</v>
      </c>
      <c r="P2475">
        <f>VLOOKUP(A2475,vlookup_table!$A:$G,4,FALSE)</f>
        <v>0</v>
      </c>
      <c r="Q2475" t="str">
        <f>VLOOKUP(A2475,vlookup_table!$A:$G,5,FALSE)</f>
        <v>S1</v>
      </c>
      <c r="R2475" t="str">
        <f>VLOOKUP(A2475,vlookup_table!$A:$G,6,FALSE)</f>
        <v>M</v>
      </c>
      <c r="S2475">
        <f>VLOOKUP(A2475,vlookup_table!$A:$G,7,FALSE)</f>
        <v>8</v>
      </c>
      <c r="T2475">
        <f t="shared" si="76"/>
        <v>96</v>
      </c>
      <c r="U2475" t="str">
        <f t="shared" si="77"/>
        <v>Suburbano</v>
      </c>
    </row>
    <row r="2476" spans="1:21" ht="16" x14ac:dyDescent="0.4">
      <c r="A2476" s="7">
        <v>191134</v>
      </c>
      <c r="B2476" s="7" t="s">
        <v>25</v>
      </c>
      <c r="C2476" s="7" t="s">
        <v>17</v>
      </c>
      <c r="D2476" s="7">
        <v>431</v>
      </c>
      <c r="E2476" s="7">
        <v>222</v>
      </c>
      <c r="F2476" s="7">
        <v>284</v>
      </c>
      <c r="G2476" s="7">
        <v>0</v>
      </c>
      <c r="H2476" s="7">
        <v>8886</v>
      </c>
      <c r="I2476" s="7">
        <v>13</v>
      </c>
      <c r="J2476" s="7">
        <v>61</v>
      </c>
      <c r="K2476" s="7">
        <v>261</v>
      </c>
      <c r="L2476" s="7">
        <v>264</v>
      </c>
      <c r="M2476" s="7">
        <v>5.8055555559999998</v>
      </c>
      <c r="N2476">
        <f>VLOOKUP(A2476,vlookup_table!$A:$G,2,FALSE)</f>
        <v>0</v>
      </c>
      <c r="O2476" t="str">
        <f>VLOOKUP(A2476,vlookup_table!$A:$G,3,FALSE)</f>
        <v>KS</v>
      </c>
      <c r="P2476">
        <f>VLOOKUP(A2476,vlookup_table!$A:$G,4,FALSE)</f>
        <v>0</v>
      </c>
      <c r="Q2476" t="str">
        <f>VLOOKUP(A2476,vlookup_table!$A:$G,5,FALSE)</f>
        <v>T3</v>
      </c>
      <c r="R2476" t="str">
        <f>VLOOKUP(A2476,vlookup_table!$A:$G,6,FALSE)</f>
        <v>F</v>
      </c>
      <c r="S2476">
        <f>VLOOKUP(A2476,vlookup_table!$A:$G,7,FALSE)</f>
        <v>5</v>
      </c>
      <c r="T2476">
        <f t="shared" si="76"/>
        <v>96</v>
      </c>
      <c r="U2476" t="str">
        <f t="shared" si="77"/>
        <v>Pueblo</v>
      </c>
    </row>
    <row r="2477" spans="1:21" ht="16" x14ac:dyDescent="0.4">
      <c r="A2477" s="7">
        <v>183043</v>
      </c>
      <c r="B2477" s="7" t="s">
        <v>37</v>
      </c>
      <c r="C2477" s="7" t="s">
        <v>14</v>
      </c>
      <c r="D2477" s="7">
        <v>876</v>
      </c>
      <c r="E2477" s="7">
        <v>337</v>
      </c>
      <c r="F2477" s="7">
        <v>439</v>
      </c>
      <c r="G2477" s="7">
        <v>3</v>
      </c>
      <c r="H2477" s="7">
        <v>15017</v>
      </c>
      <c r="I2477" s="7">
        <v>4</v>
      </c>
      <c r="J2477" s="7">
        <v>37</v>
      </c>
      <c r="K2477" s="7">
        <v>353</v>
      </c>
      <c r="L2477" s="7">
        <v>403</v>
      </c>
      <c r="M2477" s="7">
        <v>20</v>
      </c>
      <c r="N2477">
        <f>VLOOKUP(A2477,vlookup_table!$A:$G,2,FALSE)</f>
        <v>0</v>
      </c>
      <c r="O2477" t="str">
        <f>VLOOKUP(A2477,vlookup_table!$A:$G,3,FALSE)</f>
        <v>WA</v>
      </c>
      <c r="P2477">
        <f>VLOOKUP(A2477,vlookup_table!$A:$G,4,FALSE)</f>
        <v>3201</v>
      </c>
      <c r="Q2477" t="str">
        <f>VLOOKUP(A2477,vlookup_table!$A:$G,5,FALSE)</f>
        <v>S2</v>
      </c>
      <c r="R2477" t="str">
        <f>VLOOKUP(A2477,vlookup_table!$A:$G,6,FALSE)</f>
        <v>M</v>
      </c>
      <c r="S2477">
        <f>VLOOKUP(A2477,vlookup_table!$A:$G,7,FALSE)</f>
        <v>25</v>
      </c>
      <c r="T2477">
        <f t="shared" si="76"/>
        <v>64</v>
      </c>
      <c r="U2477" t="str">
        <f t="shared" si="77"/>
        <v>Suburbano</v>
      </c>
    </row>
    <row r="2478" spans="1:21" ht="16" x14ac:dyDescent="0.4">
      <c r="A2478" s="7">
        <v>165392</v>
      </c>
      <c r="B2478" s="7" t="s">
        <v>21</v>
      </c>
      <c r="C2478" s="7" t="s">
        <v>14</v>
      </c>
      <c r="D2478" s="7">
        <v>1911</v>
      </c>
      <c r="E2478" s="7">
        <v>462</v>
      </c>
      <c r="F2478" s="7">
        <v>517</v>
      </c>
      <c r="G2478" s="7">
        <v>41</v>
      </c>
      <c r="H2478" s="7">
        <v>16099</v>
      </c>
      <c r="I2478" s="7">
        <v>16</v>
      </c>
      <c r="J2478" s="7">
        <v>54</v>
      </c>
      <c r="K2478" s="7">
        <v>486</v>
      </c>
      <c r="L2478" s="7">
        <v>489</v>
      </c>
      <c r="M2478" s="7">
        <v>15</v>
      </c>
      <c r="N2478">
        <f>VLOOKUP(A2478,vlookup_table!$A:$G,2,FALSE)</f>
        <v>1</v>
      </c>
      <c r="O2478" t="str">
        <f>VLOOKUP(A2478,vlookup_table!$A:$G,3,FALSE)</f>
        <v>CA</v>
      </c>
      <c r="P2478">
        <f>VLOOKUP(A2478,vlookup_table!$A:$G,4,FALSE)</f>
        <v>0</v>
      </c>
      <c r="Q2478" t="str">
        <f>VLOOKUP(A2478,vlookup_table!$A:$G,5,FALSE)</f>
        <v>S2</v>
      </c>
      <c r="R2478" t="str">
        <f>VLOOKUP(A2478,vlookup_table!$A:$G,6,FALSE)</f>
        <v>M</v>
      </c>
      <c r="S2478">
        <f>VLOOKUP(A2478,vlookup_table!$A:$G,7,FALSE)</f>
        <v>21</v>
      </c>
      <c r="T2478">
        <f t="shared" si="76"/>
        <v>96</v>
      </c>
      <c r="U2478" t="str">
        <f t="shared" si="77"/>
        <v>Suburbano</v>
      </c>
    </row>
    <row r="2479" spans="1:21" ht="16" x14ac:dyDescent="0.4">
      <c r="A2479" s="7">
        <v>50684</v>
      </c>
      <c r="B2479" s="7" t="s">
        <v>49</v>
      </c>
      <c r="C2479" s="7" t="s">
        <v>17</v>
      </c>
      <c r="D2479" s="7">
        <v>467</v>
      </c>
      <c r="E2479" s="7">
        <v>203</v>
      </c>
      <c r="F2479" s="7">
        <v>332</v>
      </c>
      <c r="G2479" s="7">
        <v>2</v>
      </c>
      <c r="H2479" s="7">
        <v>11278</v>
      </c>
      <c r="I2479" s="7">
        <v>0</v>
      </c>
      <c r="J2479" s="7">
        <v>69</v>
      </c>
      <c r="K2479" s="7">
        <v>239</v>
      </c>
      <c r="L2479" s="7">
        <v>282</v>
      </c>
      <c r="M2479" s="7">
        <v>4.4285714289999998</v>
      </c>
      <c r="N2479">
        <f>VLOOKUP(A2479,vlookup_table!$A:$G,2,FALSE)</f>
        <v>2</v>
      </c>
      <c r="O2479" t="str">
        <f>VLOOKUP(A2479,vlookup_table!$A:$G,3,FALSE)</f>
        <v>TN</v>
      </c>
      <c r="P2479">
        <f>VLOOKUP(A2479,vlookup_table!$A:$G,4,FALSE)</f>
        <v>0</v>
      </c>
      <c r="Q2479" t="str">
        <f>VLOOKUP(A2479,vlookup_table!$A:$G,5,FALSE)</f>
        <v>R2</v>
      </c>
      <c r="R2479" t="str">
        <f>VLOOKUP(A2479,vlookup_table!$A:$G,6,FALSE)</f>
        <v>F</v>
      </c>
      <c r="S2479">
        <f>VLOOKUP(A2479,vlookup_table!$A:$G,7,FALSE)</f>
        <v>2</v>
      </c>
      <c r="T2479">
        <f t="shared" si="76"/>
        <v>96</v>
      </c>
      <c r="U2479" t="str">
        <f t="shared" si="77"/>
        <v>Rural</v>
      </c>
    </row>
    <row r="2480" spans="1:21" ht="16" x14ac:dyDescent="0.4">
      <c r="A2480" s="7">
        <v>126819</v>
      </c>
      <c r="B2480" s="7" t="s">
        <v>20</v>
      </c>
      <c r="C2480" s="7" t="s">
        <v>14</v>
      </c>
      <c r="D2480" s="7">
        <v>867</v>
      </c>
      <c r="E2480" s="7">
        <v>312</v>
      </c>
      <c r="F2480" s="7">
        <v>420</v>
      </c>
      <c r="G2480" s="7">
        <v>10</v>
      </c>
      <c r="H2480" s="7">
        <v>15180</v>
      </c>
      <c r="I2480" s="7">
        <v>3</v>
      </c>
      <c r="J2480" s="7">
        <v>59</v>
      </c>
      <c r="K2480" s="7">
        <v>352</v>
      </c>
      <c r="L2480" s="7">
        <v>383</v>
      </c>
      <c r="M2480" s="7">
        <v>11.4</v>
      </c>
      <c r="N2480">
        <f>VLOOKUP(A2480,vlookup_table!$A:$G,2,FALSE)</f>
        <v>1</v>
      </c>
      <c r="O2480" t="str">
        <f>VLOOKUP(A2480,vlookup_table!$A:$G,3,FALSE)</f>
        <v>TX</v>
      </c>
      <c r="P2480">
        <f>VLOOKUP(A2480,vlookup_table!$A:$G,4,FALSE)</f>
        <v>6201</v>
      </c>
      <c r="Q2480" t="str">
        <f>VLOOKUP(A2480,vlookup_table!$A:$G,5,FALSE)</f>
        <v>R1</v>
      </c>
      <c r="R2480" t="str">
        <f>VLOOKUP(A2480,vlookup_table!$A:$G,6,FALSE)</f>
        <v>M</v>
      </c>
      <c r="S2480">
        <f>VLOOKUP(A2480,vlookup_table!$A:$G,7,FALSE)</f>
        <v>15</v>
      </c>
      <c r="T2480">
        <f t="shared" si="76"/>
        <v>34</v>
      </c>
      <c r="U2480" t="str">
        <f t="shared" si="77"/>
        <v>Rural</v>
      </c>
    </row>
    <row r="2481" spans="1:21" ht="16" x14ac:dyDescent="0.4">
      <c r="A2481" s="7">
        <v>190412</v>
      </c>
      <c r="B2481" s="7" t="s">
        <v>45</v>
      </c>
      <c r="C2481" s="7"/>
      <c r="D2481" s="7">
        <v>1956</v>
      </c>
      <c r="E2481" s="7">
        <v>768</v>
      </c>
      <c r="F2481" s="7">
        <v>874</v>
      </c>
      <c r="G2481" s="7">
        <v>47</v>
      </c>
      <c r="H2481" s="7">
        <v>36868</v>
      </c>
      <c r="I2481" s="7">
        <v>3</v>
      </c>
      <c r="J2481" s="7">
        <v>34</v>
      </c>
      <c r="K2481" s="7">
        <v>803</v>
      </c>
      <c r="L2481" s="7">
        <v>842</v>
      </c>
      <c r="M2481" s="7">
        <v>18.0952381</v>
      </c>
      <c r="N2481">
        <f>VLOOKUP(A2481,vlookup_table!$A:$G,2,FALSE)</f>
        <v>2</v>
      </c>
      <c r="O2481" t="str">
        <f>VLOOKUP(A2481,vlookup_table!$A:$G,3,FALSE)</f>
        <v>CO</v>
      </c>
      <c r="P2481">
        <f>VLOOKUP(A2481,vlookup_table!$A:$G,4,FALSE)</f>
        <v>610</v>
      </c>
      <c r="Q2481" t="str">
        <f>VLOOKUP(A2481,vlookup_table!$A:$G,5,FALSE)</f>
        <v>S1</v>
      </c>
      <c r="R2481" t="str">
        <f>VLOOKUP(A2481,vlookup_table!$A:$G,6,FALSE)</f>
        <v/>
      </c>
      <c r="S2481">
        <f>VLOOKUP(A2481,vlookup_table!$A:$G,7,FALSE)</f>
        <v>20</v>
      </c>
      <c r="T2481">
        <f t="shared" si="76"/>
        <v>35</v>
      </c>
      <c r="U2481" t="str">
        <f t="shared" si="77"/>
        <v>Suburbano</v>
      </c>
    </row>
    <row r="2482" spans="1:21" ht="16" x14ac:dyDescent="0.4">
      <c r="A2482" s="7">
        <v>92085</v>
      </c>
      <c r="B2482" s="7" t="s">
        <v>16</v>
      </c>
      <c r="C2482" s="7" t="s">
        <v>14</v>
      </c>
      <c r="D2482" s="7">
        <v>1102</v>
      </c>
      <c r="E2482" s="7">
        <v>271</v>
      </c>
      <c r="F2482" s="7">
        <v>588</v>
      </c>
      <c r="G2482" s="7">
        <v>6</v>
      </c>
      <c r="H2482" s="7">
        <v>22625</v>
      </c>
      <c r="I2482" s="7">
        <v>10</v>
      </c>
      <c r="J2482" s="7">
        <v>67</v>
      </c>
      <c r="K2482" s="7">
        <v>469</v>
      </c>
      <c r="L2482" s="7">
        <v>457</v>
      </c>
      <c r="M2482" s="7">
        <v>8.769230769</v>
      </c>
      <c r="N2482">
        <f>VLOOKUP(A2482,vlookup_table!$A:$G,2,FALSE)</f>
        <v>1</v>
      </c>
      <c r="O2482" t="str">
        <f>VLOOKUP(A2482,vlookup_table!$A:$G,3,FALSE)</f>
        <v>IL</v>
      </c>
      <c r="P2482">
        <f>VLOOKUP(A2482,vlookup_table!$A:$G,4,FALSE)</f>
        <v>1909</v>
      </c>
      <c r="Q2482" t="str">
        <f>VLOOKUP(A2482,vlookup_table!$A:$G,5,FALSE)</f>
        <v>C1</v>
      </c>
      <c r="R2482" t="str">
        <f>VLOOKUP(A2482,vlookup_table!$A:$G,6,FALSE)</f>
        <v>M</v>
      </c>
      <c r="S2482">
        <f>VLOOKUP(A2482,vlookup_table!$A:$G,7,FALSE)</f>
        <v>15</v>
      </c>
      <c r="T2482">
        <f t="shared" si="76"/>
        <v>77</v>
      </c>
      <c r="U2482" t="str">
        <f t="shared" si="77"/>
        <v>Ciudad</v>
      </c>
    </row>
    <row r="2483" spans="1:21" ht="16" x14ac:dyDescent="0.4">
      <c r="A2483" s="7">
        <v>176825</v>
      </c>
      <c r="B2483" s="7" t="s">
        <v>47</v>
      </c>
      <c r="C2483" s="7" t="s">
        <v>14</v>
      </c>
      <c r="D2483" s="7">
        <v>908</v>
      </c>
      <c r="E2483" s="7">
        <v>389</v>
      </c>
      <c r="F2483" s="7">
        <v>509</v>
      </c>
      <c r="G2483" s="7">
        <v>11</v>
      </c>
      <c r="H2483" s="7">
        <v>18876</v>
      </c>
      <c r="I2483" s="7">
        <v>3</v>
      </c>
      <c r="J2483" s="7">
        <v>47</v>
      </c>
      <c r="K2483" s="7">
        <v>421</v>
      </c>
      <c r="L2483" s="7">
        <v>442</v>
      </c>
      <c r="M2483" s="7">
        <v>5.0222222219999999</v>
      </c>
      <c r="N2483">
        <f>VLOOKUP(A2483,vlookup_table!$A:$G,2,FALSE)</f>
        <v>1</v>
      </c>
      <c r="O2483" t="str">
        <f>VLOOKUP(A2483,vlookup_table!$A:$G,3,FALSE)</f>
        <v>OR</v>
      </c>
      <c r="P2483">
        <f>VLOOKUP(A2483,vlookup_table!$A:$G,4,FALSE)</f>
        <v>1702</v>
      </c>
      <c r="Q2483" t="str">
        <f>VLOOKUP(A2483,vlookup_table!$A:$G,5,FALSE)</f>
        <v/>
      </c>
      <c r="R2483" t="str">
        <f>VLOOKUP(A2483,vlookup_table!$A:$G,6,FALSE)</f>
        <v>M</v>
      </c>
      <c r="S2483">
        <f>VLOOKUP(A2483,vlookup_table!$A:$G,7,FALSE)</f>
        <v>12</v>
      </c>
      <c r="T2483">
        <f t="shared" si="76"/>
        <v>79</v>
      </c>
      <c r="U2483" t="str">
        <f t="shared" si="77"/>
        <v/>
      </c>
    </row>
    <row r="2484" spans="1:21" ht="16" x14ac:dyDescent="0.4">
      <c r="A2484" s="7">
        <v>168259</v>
      </c>
      <c r="B2484" s="7" t="s">
        <v>21</v>
      </c>
      <c r="C2484" s="7" t="s">
        <v>14</v>
      </c>
      <c r="D2484" s="7">
        <v>3365</v>
      </c>
      <c r="E2484" s="7">
        <v>725</v>
      </c>
      <c r="F2484" s="7">
        <v>771</v>
      </c>
      <c r="G2484" s="7">
        <v>97</v>
      </c>
      <c r="H2484" s="7">
        <v>25852</v>
      </c>
      <c r="I2484" s="7">
        <v>8</v>
      </c>
      <c r="J2484" s="7">
        <v>54</v>
      </c>
      <c r="K2484" s="7">
        <v>742</v>
      </c>
      <c r="L2484" s="7">
        <v>766</v>
      </c>
      <c r="M2484" s="7">
        <v>15.375</v>
      </c>
      <c r="N2484">
        <f>VLOOKUP(A2484,vlookup_table!$A:$G,2,FALSE)</f>
        <v>1</v>
      </c>
      <c r="O2484" t="str">
        <f>VLOOKUP(A2484,vlookup_table!$A:$G,3,FALSE)</f>
        <v>CA</v>
      </c>
      <c r="P2484">
        <f>VLOOKUP(A2484,vlookup_table!$A:$G,4,FALSE)</f>
        <v>2106</v>
      </c>
      <c r="Q2484" t="str">
        <f>VLOOKUP(A2484,vlookup_table!$A:$G,5,FALSE)</f>
        <v>U1</v>
      </c>
      <c r="R2484" t="str">
        <f>VLOOKUP(A2484,vlookup_table!$A:$G,6,FALSE)</f>
        <v>M</v>
      </c>
      <c r="S2484">
        <f>VLOOKUP(A2484,vlookup_table!$A:$G,7,FALSE)</f>
        <v>10</v>
      </c>
      <c r="T2484">
        <f t="shared" si="76"/>
        <v>75</v>
      </c>
      <c r="U2484" t="str">
        <f t="shared" si="77"/>
        <v>Urbano</v>
      </c>
    </row>
    <row r="2485" spans="1:21" ht="16" x14ac:dyDescent="0.4">
      <c r="A2485" s="7">
        <v>188801</v>
      </c>
      <c r="B2485" s="7" t="s">
        <v>13</v>
      </c>
      <c r="C2485" s="7" t="s">
        <v>27</v>
      </c>
      <c r="D2485" s="7">
        <v>577</v>
      </c>
      <c r="E2485" s="7">
        <v>245</v>
      </c>
      <c r="F2485" s="7">
        <v>300</v>
      </c>
      <c r="G2485" s="7">
        <v>0</v>
      </c>
      <c r="H2485" s="7">
        <v>11975</v>
      </c>
      <c r="I2485" s="7">
        <v>10</v>
      </c>
      <c r="J2485" s="7">
        <v>10</v>
      </c>
      <c r="K2485" s="7">
        <v>257</v>
      </c>
      <c r="L2485" s="7">
        <v>279</v>
      </c>
      <c r="M2485" s="7">
        <v>8.6428571430000005</v>
      </c>
      <c r="N2485">
        <f>VLOOKUP(A2485,vlookup_table!$A:$G,2,FALSE)</f>
        <v>0</v>
      </c>
      <c r="O2485" t="str">
        <f>VLOOKUP(A2485,vlookup_table!$A:$G,3,FALSE)</f>
        <v>FL</v>
      </c>
      <c r="P2485">
        <f>VLOOKUP(A2485,vlookup_table!$A:$G,4,FALSE)</f>
        <v>0</v>
      </c>
      <c r="Q2485" t="str">
        <f>VLOOKUP(A2485,vlookup_table!$A:$G,5,FALSE)</f>
        <v>C2</v>
      </c>
      <c r="R2485" t="str">
        <f>VLOOKUP(A2485,vlookup_table!$A:$G,6,FALSE)</f>
        <v>U</v>
      </c>
      <c r="S2485">
        <f>VLOOKUP(A2485,vlookup_table!$A:$G,7,FALSE)</f>
        <v>15</v>
      </c>
      <c r="T2485">
        <f t="shared" si="76"/>
        <v>96</v>
      </c>
      <c r="U2485" t="str">
        <f t="shared" si="77"/>
        <v>Ciudad</v>
      </c>
    </row>
    <row r="2486" spans="1:21" ht="16" x14ac:dyDescent="0.4">
      <c r="A2486" s="7">
        <v>80960</v>
      </c>
      <c r="B2486" s="7" t="s">
        <v>32</v>
      </c>
      <c r="C2486" s="7" t="s">
        <v>14</v>
      </c>
      <c r="D2486" s="7">
        <v>422</v>
      </c>
      <c r="E2486" s="7">
        <v>224</v>
      </c>
      <c r="F2486" s="7">
        <v>350</v>
      </c>
      <c r="G2486" s="7">
        <v>0</v>
      </c>
      <c r="H2486" s="7">
        <v>12611</v>
      </c>
      <c r="I2486" s="7">
        <v>0</v>
      </c>
      <c r="J2486" s="7">
        <v>77</v>
      </c>
      <c r="K2486" s="7">
        <v>274</v>
      </c>
      <c r="L2486" s="7">
        <v>282</v>
      </c>
      <c r="M2486" s="7">
        <v>4.7727272730000001</v>
      </c>
      <c r="N2486">
        <f>VLOOKUP(A2486,vlookup_table!$A:$G,2,FALSE)</f>
        <v>2</v>
      </c>
      <c r="O2486" t="str">
        <f>VLOOKUP(A2486,vlookup_table!$A:$G,3,FALSE)</f>
        <v>WI</v>
      </c>
      <c r="P2486">
        <f>VLOOKUP(A2486,vlookup_table!$A:$G,4,FALSE)</f>
        <v>2204</v>
      </c>
      <c r="Q2486" t="str">
        <f>VLOOKUP(A2486,vlookup_table!$A:$G,5,FALSE)</f>
        <v>T2</v>
      </c>
      <c r="R2486" t="str">
        <f>VLOOKUP(A2486,vlookup_table!$A:$G,6,FALSE)</f>
        <v>M</v>
      </c>
      <c r="S2486">
        <f>VLOOKUP(A2486,vlookup_table!$A:$G,7,FALSE)</f>
        <v>5</v>
      </c>
      <c r="T2486">
        <f t="shared" si="76"/>
        <v>74</v>
      </c>
      <c r="U2486" t="str">
        <f t="shared" si="77"/>
        <v>Pueblo</v>
      </c>
    </row>
    <row r="2487" spans="1:21" ht="16" x14ac:dyDescent="0.4">
      <c r="A2487" s="7">
        <v>130407</v>
      </c>
      <c r="B2487" s="7" t="s">
        <v>13</v>
      </c>
      <c r="C2487" s="7" t="s">
        <v>17</v>
      </c>
      <c r="D2487" s="7">
        <v>533</v>
      </c>
      <c r="E2487" s="7">
        <v>176</v>
      </c>
      <c r="F2487" s="7">
        <v>242</v>
      </c>
      <c r="G2487" s="7">
        <v>1</v>
      </c>
      <c r="H2487" s="7">
        <v>12595</v>
      </c>
      <c r="I2487" s="7">
        <v>3</v>
      </c>
      <c r="J2487" s="7">
        <v>6</v>
      </c>
      <c r="K2487" s="7">
        <v>189</v>
      </c>
      <c r="L2487" s="7">
        <v>216</v>
      </c>
      <c r="M2487" s="7">
        <v>13</v>
      </c>
      <c r="N2487">
        <f>VLOOKUP(A2487,vlookup_table!$A:$G,2,FALSE)</f>
        <v>0</v>
      </c>
      <c r="O2487" t="str">
        <f>VLOOKUP(A2487,vlookup_table!$A:$G,3,FALSE)</f>
        <v>FL</v>
      </c>
      <c r="P2487">
        <f>VLOOKUP(A2487,vlookup_table!$A:$G,4,FALSE)</f>
        <v>3101</v>
      </c>
      <c r="Q2487" t="str">
        <f>VLOOKUP(A2487,vlookup_table!$A:$G,5,FALSE)</f>
        <v>S1</v>
      </c>
      <c r="R2487" t="str">
        <f>VLOOKUP(A2487,vlookup_table!$A:$G,6,FALSE)</f>
        <v>F</v>
      </c>
      <c r="S2487">
        <f>VLOOKUP(A2487,vlookup_table!$A:$G,7,FALSE)</f>
        <v>22</v>
      </c>
      <c r="T2487">
        <f t="shared" si="76"/>
        <v>65</v>
      </c>
      <c r="U2487" t="str">
        <f t="shared" si="77"/>
        <v>Suburbano</v>
      </c>
    </row>
    <row r="2488" spans="1:21" ht="16" x14ac:dyDescent="0.4">
      <c r="A2488" s="7">
        <v>80335</v>
      </c>
      <c r="B2488" s="7" t="s">
        <v>32</v>
      </c>
      <c r="C2488" s="7" t="s">
        <v>14</v>
      </c>
      <c r="D2488" s="7">
        <v>417</v>
      </c>
      <c r="E2488" s="7">
        <v>261</v>
      </c>
      <c r="F2488" s="7">
        <v>319</v>
      </c>
      <c r="G2488" s="7">
        <v>0</v>
      </c>
      <c r="H2488" s="7">
        <v>12051</v>
      </c>
      <c r="I2488" s="7">
        <v>1</v>
      </c>
      <c r="J2488" s="7">
        <v>90</v>
      </c>
      <c r="K2488" s="7">
        <v>309</v>
      </c>
      <c r="L2488" s="7">
        <v>262</v>
      </c>
      <c r="M2488" s="7">
        <v>5.9375</v>
      </c>
      <c r="N2488">
        <f>VLOOKUP(A2488,vlookup_table!$A:$G,2,FALSE)</f>
        <v>1</v>
      </c>
      <c r="O2488" t="str">
        <f>VLOOKUP(A2488,vlookup_table!$A:$G,3,FALSE)</f>
        <v>WI</v>
      </c>
      <c r="P2488">
        <f>VLOOKUP(A2488,vlookup_table!$A:$G,4,FALSE)</f>
        <v>1101</v>
      </c>
      <c r="Q2488" t="str">
        <f>VLOOKUP(A2488,vlookup_table!$A:$G,5,FALSE)</f>
        <v>C3</v>
      </c>
      <c r="R2488" t="str">
        <f>VLOOKUP(A2488,vlookup_table!$A:$G,6,FALSE)</f>
        <v>M</v>
      </c>
      <c r="S2488">
        <f>VLOOKUP(A2488,vlookup_table!$A:$G,7,FALSE)</f>
        <v>5</v>
      </c>
      <c r="T2488">
        <f t="shared" si="76"/>
        <v>85</v>
      </c>
      <c r="U2488" t="str">
        <f t="shared" si="77"/>
        <v>Ciudad</v>
      </c>
    </row>
    <row r="2489" spans="1:21" ht="16" x14ac:dyDescent="0.4">
      <c r="A2489" s="7">
        <v>183793</v>
      </c>
      <c r="B2489" s="7" t="s">
        <v>37</v>
      </c>
      <c r="C2489" s="7" t="s">
        <v>17</v>
      </c>
      <c r="D2489" s="7">
        <v>747</v>
      </c>
      <c r="E2489" s="7">
        <v>373</v>
      </c>
      <c r="F2489" s="7">
        <v>421</v>
      </c>
      <c r="G2489" s="7">
        <v>1</v>
      </c>
      <c r="H2489" s="7">
        <v>13628</v>
      </c>
      <c r="I2489" s="7">
        <v>2</v>
      </c>
      <c r="J2489" s="7">
        <v>53</v>
      </c>
      <c r="K2489" s="7">
        <v>380</v>
      </c>
      <c r="L2489" s="7">
        <v>409</v>
      </c>
      <c r="M2489" s="7">
        <v>10</v>
      </c>
      <c r="N2489">
        <f>VLOOKUP(A2489,vlookup_table!$A:$G,2,FALSE)</f>
        <v>0</v>
      </c>
      <c r="O2489" t="str">
        <f>VLOOKUP(A2489,vlookup_table!$A:$G,3,FALSE)</f>
        <v>WA</v>
      </c>
      <c r="P2489">
        <f>VLOOKUP(A2489,vlookup_table!$A:$G,4,FALSE)</f>
        <v>0</v>
      </c>
      <c r="Q2489" t="str">
        <f>VLOOKUP(A2489,vlookup_table!$A:$G,5,FALSE)</f>
        <v>C1</v>
      </c>
      <c r="R2489" t="str">
        <f>VLOOKUP(A2489,vlookup_table!$A:$G,6,FALSE)</f>
        <v>F</v>
      </c>
      <c r="S2489">
        <f>VLOOKUP(A2489,vlookup_table!$A:$G,7,FALSE)</f>
        <v>12</v>
      </c>
      <c r="T2489">
        <f t="shared" si="76"/>
        <v>96</v>
      </c>
      <c r="U2489" t="str">
        <f t="shared" si="77"/>
        <v>Ciudad</v>
      </c>
    </row>
    <row r="2490" spans="1:21" ht="16" x14ac:dyDescent="0.4">
      <c r="A2490" s="7">
        <v>170229</v>
      </c>
      <c r="B2490" s="7" t="s">
        <v>21</v>
      </c>
      <c r="C2490" s="7" t="s">
        <v>17</v>
      </c>
      <c r="D2490" s="7">
        <v>1493</v>
      </c>
      <c r="E2490" s="7">
        <v>229</v>
      </c>
      <c r="F2490" s="7">
        <v>320</v>
      </c>
      <c r="G2490" s="7">
        <v>20</v>
      </c>
      <c r="H2490" s="7">
        <v>10841</v>
      </c>
      <c r="I2490" s="7">
        <v>8</v>
      </c>
      <c r="J2490" s="7">
        <v>62</v>
      </c>
      <c r="K2490" s="7">
        <v>298</v>
      </c>
      <c r="L2490" s="7">
        <v>276</v>
      </c>
      <c r="M2490" s="7">
        <v>9.3030303029999999</v>
      </c>
      <c r="N2490">
        <f>VLOOKUP(A2490,vlookup_table!$A:$G,2,FALSE)</f>
        <v>0</v>
      </c>
      <c r="O2490" t="str">
        <f>VLOOKUP(A2490,vlookup_table!$A:$G,3,FALSE)</f>
        <v>CA</v>
      </c>
      <c r="P2490">
        <f>VLOOKUP(A2490,vlookup_table!$A:$G,4,FALSE)</f>
        <v>0</v>
      </c>
      <c r="Q2490" t="str">
        <f>VLOOKUP(A2490,vlookup_table!$A:$G,5,FALSE)</f>
        <v>T2</v>
      </c>
      <c r="R2490" t="str">
        <f>VLOOKUP(A2490,vlookup_table!$A:$G,6,FALSE)</f>
        <v>F</v>
      </c>
      <c r="S2490">
        <f>VLOOKUP(A2490,vlookup_table!$A:$G,7,FALSE)</f>
        <v>11</v>
      </c>
      <c r="T2490">
        <f t="shared" si="76"/>
        <v>96</v>
      </c>
      <c r="U2490" t="str">
        <f t="shared" si="77"/>
        <v>Pueblo</v>
      </c>
    </row>
    <row r="2491" spans="1:21" ht="16" x14ac:dyDescent="0.4">
      <c r="A2491" s="7">
        <v>86073</v>
      </c>
      <c r="B2491" s="7" t="s">
        <v>48</v>
      </c>
      <c r="C2491" s="7" t="s">
        <v>14</v>
      </c>
      <c r="D2491" s="7">
        <v>216</v>
      </c>
      <c r="E2491" s="7">
        <v>211</v>
      </c>
      <c r="F2491" s="7">
        <v>299</v>
      </c>
      <c r="G2491" s="7">
        <v>0</v>
      </c>
      <c r="H2491" s="7">
        <v>9250</v>
      </c>
      <c r="I2491" s="7">
        <v>0</v>
      </c>
      <c r="J2491" s="7">
        <v>80</v>
      </c>
      <c r="K2491" s="7">
        <v>272</v>
      </c>
      <c r="L2491" s="7">
        <v>258</v>
      </c>
      <c r="M2491" s="7">
        <v>5.9375</v>
      </c>
      <c r="N2491">
        <f>VLOOKUP(A2491,vlookup_table!$A:$G,2,FALSE)</f>
        <v>0</v>
      </c>
      <c r="O2491" t="str">
        <f>VLOOKUP(A2491,vlookup_table!$A:$G,3,FALSE)</f>
        <v>SD</v>
      </c>
      <c r="P2491">
        <f>VLOOKUP(A2491,vlookup_table!$A:$G,4,FALSE)</f>
        <v>3801</v>
      </c>
      <c r="Q2491" t="str">
        <f>VLOOKUP(A2491,vlookup_table!$A:$G,5,FALSE)</f>
        <v>R2</v>
      </c>
      <c r="R2491" t="str">
        <f>VLOOKUP(A2491,vlookup_table!$A:$G,6,FALSE)</f>
        <v>M</v>
      </c>
      <c r="S2491">
        <f>VLOOKUP(A2491,vlookup_table!$A:$G,7,FALSE)</f>
        <v>10</v>
      </c>
      <c r="T2491">
        <f t="shared" si="76"/>
        <v>58</v>
      </c>
      <c r="U2491" t="str">
        <f t="shared" si="77"/>
        <v>Rural</v>
      </c>
    </row>
    <row r="2492" spans="1:21" ht="16" x14ac:dyDescent="0.4">
      <c r="A2492" s="7">
        <v>114942</v>
      </c>
      <c r="B2492" s="7" t="s">
        <v>28</v>
      </c>
      <c r="C2492" s="7" t="s">
        <v>17</v>
      </c>
      <c r="D2492" s="7">
        <v>325</v>
      </c>
      <c r="E2492" s="7">
        <v>305</v>
      </c>
      <c r="F2492" s="7">
        <v>303</v>
      </c>
      <c r="G2492" s="7">
        <v>0</v>
      </c>
      <c r="H2492" s="7">
        <v>10083</v>
      </c>
      <c r="I2492" s="7">
        <v>4</v>
      </c>
      <c r="J2492" s="7">
        <v>66</v>
      </c>
      <c r="K2492" s="7">
        <v>332</v>
      </c>
      <c r="L2492" s="7">
        <v>271</v>
      </c>
      <c r="M2492" s="7">
        <v>12.5</v>
      </c>
      <c r="N2492">
        <f>VLOOKUP(A2492,vlookup_table!$A:$G,2,FALSE)</f>
        <v>2</v>
      </c>
      <c r="O2492" t="str">
        <f>VLOOKUP(A2492,vlookup_table!$A:$G,3,FALSE)</f>
        <v>OK</v>
      </c>
      <c r="P2492">
        <f>VLOOKUP(A2492,vlookup_table!$A:$G,4,FALSE)</f>
        <v>2201</v>
      </c>
      <c r="Q2492" t="str">
        <f>VLOOKUP(A2492,vlookup_table!$A:$G,5,FALSE)</f>
        <v>T2</v>
      </c>
      <c r="R2492" t="str">
        <f>VLOOKUP(A2492,vlookup_table!$A:$G,6,FALSE)</f>
        <v>F</v>
      </c>
      <c r="S2492">
        <f>VLOOKUP(A2492,vlookup_table!$A:$G,7,FALSE)</f>
        <v>20</v>
      </c>
      <c r="T2492">
        <f t="shared" si="76"/>
        <v>74</v>
      </c>
      <c r="U2492" t="str">
        <f t="shared" si="77"/>
        <v>Pueblo</v>
      </c>
    </row>
    <row r="2493" spans="1:21" ht="16" x14ac:dyDescent="0.4">
      <c r="A2493" s="7">
        <v>31239</v>
      </c>
      <c r="B2493" s="7" t="s">
        <v>36</v>
      </c>
      <c r="C2493" s="7" t="s">
        <v>17</v>
      </c>
      <c r="D2493" s="7">
        <v>475</v>
      </c>
      <c r="E2493" s="7">
        <v>248</v>
      </c>
      <c r="F2493" s="7">
        <v>329</v>
      </c>
      <c r="G2493" s="7">
        <v>3</v>
      </c>
      <c r="H2493" s="7">
        <v>10549</v>
      </c>
      <c r="I2493" s="7">
        <v>0</v>
      </c>
      <c r="J2493" s="7">
        <v>76</v>
      </c>
      <c r="K2493" s="7">
        <v>263</v>
      </c>
      <c r="L2493" s="7">
        <v>307</v>
      </c>
      <c r="M2493" s="7">
        <v>9.6666666669999994</v>
      </c>
      <c r="N2493">
        <f>VLOOKUP(A2493,vlookup_table!$A:$G,2,FALSE)</f>
        <v>0</v>
      </c>
      <c r="O2493" t="str">
        <f>VLOOKUP(A2493,vlookup_table!$A:$G,3,FALSE)</f>
        <v>GA</v>
      </c>
      <c r="P2493">
        <f>VLOOKUP(A2493,vlookup_table!$A:$G,4,FALSE)</f>
        <v>0</v>
      </c>
      <c r="Q2493" t="str">
        <f>VLOOKUP(A2493,vlookup_table!$A:$G,5,FALSE)</f>
        <v>R2</v>
      </c>
      <c r="R2493" t="str">
        <f>VLOOKUP(A2493,vlookup_table!$A:$G,6,FALSE)</f>
        <v>F</v>
      </c>
      <c r="S2493">
        <f>VLOOKUP(A2493,vlookup_table!$A:$G,7,FALSE)</f>
        <v>10</v>
      </c>
      <c r="T2493">
        <f t="shared" si="76"/>
        <v>96</v>
      </c>
      <c r="U2493" t="str">
        <f t="shared" si="77"/>
        <v>Rural</v>
      </c>
    </row>
    <row r="2494" spans="1:21" ht="16" x14ac:dyDescent="0.4">
      <c r="A2494" s="7">
        <v>185937</v>
      </c>
      <c r="B2494" s="7" t="s">
        <v>39</v>
      </c>
      <c r="C2494" s="7" t="s">
        <v>14</v>
      </c>
      <c r="D2494" s="7">
        <v>1392</v>
      </c>
      <c r="E2494" s="7">
        <v>279</v>
      </c>
      <c r="F2494" s="7">
        <v>401</v>
      </c>
      <c r="G2494" s="7">
        <v>17</v>
      </c>
      <c r="H2494" s="7">
        <v>14099</v>
      </c>
      <c r="I2494" s="7">
        <v>6</v>
      </c>
      <c r="J2494" s="7">
        <v>48</v>
      </c>
      <c r="K2494" s="7">
        <v>343</v>
      </c>
      <c r="L2494" s="7">
        <v>342</v>
      </c>
      <c r="M2494" s="7">
        <v>8.5</v>
      </c>
      <c r="N2494">
        <f>VLOOKUP(A2494,vlookup_table!$A:$G,2,FALSE)</f>
        <v>1</v>
      </c>
      <c r="O2494" t="str">
        <f>VLOOKUP(A2494,vlookup_table!$A:$G,3,FALSE)</f>
        <v>CT</v>
      </c>
      <c r="P2494">
        <f>VLOOKUP(A2494,vlookup_table!$A:$G,4,FALSE)</f>
        <v>0</v>
      </c>
      <c r="Q2494" t="str">
        <f>VLOOKUP(A2494,vlookup_table!$A:$G,5,FALSE)</f>
        <v/>
      </c>
      <c r="R2494" t="str">
        <f>VLOOKUP(A2494,vlookup_table!$A:$G,6,FALSE)</f>
        <v>M</v>
      </c>
      <c r="S2494">
        <f>VLOOKUP(A2494,vlookup_table!$A:$G,7,FALSE)</f>
        <v>10</v>
      </c>
      <c r="T2494">
        <f t="shared" si="76"/>
        <v>96</v>
      </c>
      <c r="U2494" t="str">
        <f t="shared" si="77"/>
        <v/>
      </c>
    </row>
    <row r="2495" spans="1:21" ht="16" x14ac:dyDescent="0.4">
      <c r="A2495" s="7">
        <v>167799</v>
      </c>
      <c r="B2495" s="7" t="s">
        <v>21</v>
      </c>
      <c r="C2495" s="7" t="s">
        <v>17</v>
      </c>
      <c r="D2495" s="7">
        <v>2291</v>
      </c>
      <c r="E2495" s="7">
        <v>353</v>
      </c>
      <c r="F2495" s="7">
        <v>440</v>
      </c>
      <c r="G2495" s="7">
        <v>68</v>
      </c>
      <c r="H2495" s="7">
        <v>13687</v>
      </c>
      <c r="I2495" s="7">
        <v>14</v>
      </c>
      <c r="J2495" s="7">
        <v>58</v>
      </c>
      <c r="K2495" s="7">
        <v>407</v>
      </c>
      <c r="L2495" s="7">
        <v>402</v>
      </c>
      <c r="M2495" s="7">
        <v>18</v>
      </c>
      <c r="N2495">
        <f>VLOOKUP(A2495,vlookup_table!$A:$G,2,FALSE)</f>
        <v>0</v>
      </c>
      <c r="O2495" t="str">
        <f>VLOOKUP(A2495,vlookup_table!$A:$G,3,FALSE)</f>
        <v>CA</v>
      </c>
      <c r="P2495">
        <f>VLOOKUP(A2495,vlookup_table!$A:$G,4,FALSE)</f>
        <v>601</v>
      </c>
      <c r="Q2495" t="str">
        <f>VLOOKUP(A2495,vlookup_table!$A:$G,5,FALSE)</f>
        <v>C2</v>
      </c>
      <c r="R2495" t="str">
        <f>VLOOKUP(A2495,vlookup_table!$A:$G,6,FALSE)</f>
        <v>F</v>
      </c>
      <c r="S2495">
        <f>VLOOKUP(A2495,vlookup_table!$A:$G,7,FALSE)</f>
        <v>20</v>
      </c>
      <c r="T2495">
        <f t="shared" si="76"/>
        <v>36</v>
      </c>
      <c r="U2495" t="str">
        <f t="shared" si="77"/>
        <v>Ciudad</v>
      </c>
    </row>
    <row r="2496" spans="1:21" ht="16" x14ac:dyDescent="0.4">
      <c r="A2496" s="7">
        <v>23778</v>
      </c>
      <c r="B2496" s="7" t="s">
        <v>43</v>
      </c>
      <c r="C2496" s="7" t="s">
        <v>17</v>
      </c>
      <c r="D2496" s="7">
        <v>1082</v>
      </c>
      <c r="E2496" s="7">
        <v>369</v>
      </c>
      <c r="F2496" s="7">
        <v>515</v>
      </c>
      <c r="G2496" s="7">
        <v>10</v>
      </c>
      <c r="H2496" s="7">
        <v>20355</v>
      </c>
      <c r="I2496" s="7">
        <v>2</v>
      </c>
      <c r="J2496" s="7">
        <v>43</v>
      </c>
      <c r="K2496" s="7">
        <v>454</v>
      </c>
      <c r="L2496" s="7">
        <v>432</v>
      </c>
      <c r="M2496" s="7">
        <v>13</v>
      </c>
      <c r="N2496">
        <f>VLOOKUP(A2496,vlookup_table!$A:$G,2,FALSE)</f>
        <v>0</v>
      </c>
      <c r="O2496" t="str">
        <f>VLOOKUP(A2496,vlookup_table!$A:$G,3,FALSE)</f>
        <v>SC</v>
      </c>
      <c r="P2496">
        <f>VLOOKUP(A2496,vlookup_table!$A:$G,4,FALSE)</f>
        <v>1411</v>
      </c>
      <c r="Q2496" t="str">
        <f>VLOOKUP(A2496,vlookup_table!$A:$G,5,FALSE)</f>
        <v>S1</v>
      </c>
      <c r="R2496" t="str">
        <f>VLOOKUP(A2496,vlookup_table!$A:$G,6,FALSE)</f>
        <v>F</v>
      </c>
      <c r="S2496">
        <f>VLOOKUP(A2496,vlookup_table!$A:$G,7,FALSE)</f>
        <v>100</v>
      </c>
      <c r="T2496">
        <f t="shared" si="76"/>
        <v>82</v>
      </c>
      <c r="U2496" t="str">
        <f t="shared" si="77"/>
        <v>Suburbano</v>
      </c>
    </row>
    <row r="2497" spans="1:21" ht="16" x14ac:dyDescent="0.4">
      <c r="A2497" s="7">
        <v>66322</v>
      </c>
      <c r="B2497" s="7" t="s">
        <v>26</v>
      </c>
      <c r="C2497" s="7" t="s">
        <v>14</v>
      </c>
      <c r="D2497" s="7">
        <v>1152</v>
      </c>
      <c r="E2497" s="7">
        <v>522</v>
      </c>
      <c r="F2497" s="7">
        <v>649</v>
      </c>
      <c r="G2497" s="7">
        <v>3</v>
      </c>
      <c r="H2497" s="7">
        <v>22796</v>
      </c>
      <c r="I2497" s="7">
        <v>6</v>
      </c>
      <c r="J2497" s="7">
        <v>58</v>
      </c>
      <c r="K2497" s="7">
        <v>563</v>
      </c>
      <c r="L2497" s="7">
        <v>585</v>
      </c>
      <c r="M2497" s="7">
        <v>7.3333333329999997</v>
      </c>
      <c r="N2497">
        <f>VLOOKUP(A2497,vlookup_table!$A:$G,2,FALSE)</f>
        <v>1</v>
      </c>
      <c r="O2497" t="str">
        <f>VLOOKUP(A2497,vlookup_table!$A:$G,3,FALSE)</f>
        <v>MI</v>
      </c>
      <c r="P2497">
        <f>VLOOKUP(A2497,vlookup_table!$A:$G,4,FALSE)</f>
        <v>1301</v>
      </c>
      <c r="Q2497" t="str">
        <f>VLOOKUP(A2497,vlookup_table!$A:$G,5,FALSE)</f>
        <v>S2</v>
      </c>
      <c r="R2497" t="str">
        <f>VLOOKUP(A2497,vlookup_table!$A:$G,6,FALSE)</f>
        <v>M</v>
      </c>
      <c r="S2497">
        <f>VLOOKUP(A2497,vlookup_table!$A:$G,7,FALSE)</f>
        <v>10</v>
      </c>
      <c r="T2497">
        <f t="shared" si="76"/>
        <v>83</v>
      </c>
      <c r="U2497" t="str">
        <f t="shared" si="77"/>
        <v>Suburbano</v>
      </c>
    </row>
    <row r="2498" spans="1:21" ht="16" x14ac:dyDescent="0.4">
      <c r="A2498" s="7">
        <v>177458</v>
      </c>
      <c r="B2498" s="7" t="s">
        <v>47</v>
      </c>
      <c r="C2498" s="7"/>
      <c r="D2498" s="7">
        <v>573</v>
      </c>
      <c r="E2498" s="7">
        <v>150</v>
      </c>
      <c r="F2498" s="7">
        <v>182</v>
      </c>
      <c r="G2498" s="7">
        <v>1</v>
      </c>
      <c r="H2498" s="7">
        <v>6572</v>
      </c>
      <c r="I2498" s="7">
        <v>1</v>
      </c>
      <c r="J2498" s="7">
        <v>23</v>
      </c>
      <c r="K2498" s="7">
        <v>166</v>
      </c>
      <c r="L2498" s="7">
        <v>159</v>
      </c>
      <c r="M2498" s="7">
        <v>9.8888888890000004</v>
      </c>
      <c r="N2498">
        <f>VLOOKUP(A2498,vlookup_table!$A:$G,2,FALSE)</f>
        <v>0</v>
      </c>
      <c r="O2498" t="str">
        <f>VLOOKUP(A2498,vlookup_table!$A:$G,3,FALSE)</f>
        <v>OR</v>
      </c>
      <c r="P2498">
        <f>VLOOKUP(A2498,vlookup_table!$A:$G,4,FALSE)</f>
        <v>0</v>
      </c>
      <c r="Q2498" t="str">
        <f>VLOOKUP(A2498,vlookup_table!$A:$G,5,FALSE)</f>
        <v>R2</v>
      </c>
      <c r="R2498" t="str">
        <f>VLOOKUP(A2498,vlookup_table!$A:$G,6,FALSE)</f>
        <v/>
      </c>
      <c r="S2498">
        <f>VLOOKUP(A2498,vlookup_table!$A:$G,7,FALSE)</f>
        <v>6</v>
      </c>
      <c r="T2498">
        <f t="shared" si="76"/>
        <v>96</v>
      </c>
      <c r="U2498" t="str">
        <f t="shared" si="77"/>
        <v>Rural</v>
      </c>
    </row>
    <row r="2499" spans="1:21" ht="16" x14ac:dyDescent="0.4">
      <c r="A2499" s="7">
        <v>102222</v>
      </c>
      <c r="B2499" s="7" t="s">
        <v>33</v>
      </c>
      <c r="C2499" s="7" t="s">
        <v>17</v>
      </c>
      <c r="D2499" s="7">
        <v>545</v>
      </c>
      <c r="E2499" s="7">
        <v>321</v>
      </c>
      <c r="F2499" s="7">
        <v>371</v>
      </c>
      <c r="G2499" s="7">
        <v>0</v>
      </c>
      <c r="H2499" s="7">
        <v>13748</v>
      </c>
      <c r="I2499" s="7">
        <v>4</v>
      </c>
      <c r="J2499" s="7">
        <v>64</v>
      </c>
      <c r="K2499" s="7">
        <v>353</v>
      </c>
      <c r="L2499" s="7">
        <v>336</v>
      </c>
      <c r="M2499" s="7">
        <v>8.6190476189999998</v>
      </c>
      <c r="N2499">
        <f>VLOOKUP(A2499,vlookup_table!$A:$G,2,FALSE)</f>
        <v>0</v>
      </c>
      <c r="O2499" t="str">
        <f>VLOOKUP(A2499,vlookup_table!$A:$G,3,FALSE)</f>
        <v>MO</v>
      </c>
      <c r="P2499">
        <f>VLOOKUP(A2499,vlookup_table!$A:$G,4,FALSE)</f>
        <v>3307</v>
      </c>
      <c r="Q2499" t="str">
        <f>VLOOKUP(A2499,vlookup_table!$A:$G,5,FALSE)</f>
        <v>S2</v>
      </c>
      <c r="R2499" t="str">
        <f>VLOOKUP(A2499,vlookup_table!$A:$G,6,FALSE)</f>
        <v>F</v>
      </c>
      <c r="S2499">
        <f>VLOOKUP(A2499,vlookup_table!$A:$G,7,FALSE)</f>
        <v>10</v>
      </c>
      <c r="T2499">
        <f t="shared" ref="T2499:T2562" si="78">97-LEFT(P2499,2)-IF(RIGHT(P2499,2)&gt;6,1,0)</f>
        <v>63</v>
      </c>
      <c r="U2499" t="str">
        <f t="shared" ref="U2499:U2562" si="79">IF(LEFT(Q2499,1)="C","Ciudad",IF(LEFT(Q2499,1)="T","Pueblo",IF(LEFT(Q2499,1)="R","Rural",IF(LEFT(Q2499,1)="S","Suburbano",IF(LEFT(Q2499,1)="U","Urbano","")))))</f>
        <v>Suburbano</v>
      </c>
    </row>
    <row r="2500" spans="1:21" ht="16" x14ac:dyDescent="0.4">
      <c r="A2500" s="7">
        <v>158977</v>
      </c>
      <c r="B2500" s="7" t="s">
        <v>21</v>
      </c>
      <c r="C2500" s="7" t="s">
        <v>14</v>
      </c>
      <c r="D2500" s="7">
        <v>1951</v>
      </c>
      <c r="E2500" s="7">
        <v>366</v>
      </c>
      <c r="F2500" s="7">
        <v>400</v>
      </c>
      <c r="G2500" s="7">
        <v>43</v>
      </c>
      <c r="H2500" s="7">
        <v>12255</v>
      </c>
      <c r="I2500" s="7">
        <v>35</v>
      </c>
      <c r="J2500" s="7">
        <v>33</v>
      </c>
      <c r="K2500" s="7">
        <v>385</v>
      </c>
      <c r="L2500" s="7">
        <v>369</v>
      </c>
      <c r="M2500" s="7">
        <v>4.6190476189999998</v>
      </c>
      <c r="N2500">
        <f>VLOOKUP(A2500,vlookup_table!$A:$G,2,FALSE)</f>
        <v>0</v>
      </c>
      <c r="O2500" t="str">
        <f>VLOOKUP(A2500,vlookup_table!$A:$G,3,FALSE)</f>
        <v>CA</v>
      </c>
      <c r="P2500">
        <f>VLOOKUP(A2500,vlookup_table!$A:$G,4,FALSE)</f>
        <v>2112</v>
      </c>
      <c r="Q2500" t="str">
        <f>VLOOKUP(A2500,vlookup_table!$A:$G,5,FALSE)</f>
        <v>S2</v>
      </c>
      <c r="R2500" t="str">
        <f>VLOOKUP(A2500,vlookup_table!$A:$G,6,FALSE)</f>
        <v>M</v>
      </c>
      <c r="S2500">
        <f>VLOOKUP(A2500,vlookup_table!$A:$G,7,FALSE)</f>
        <v>5</v>
      </c>
      <c r="T2500">
        <f t="shared" si="78"/>
        <v>75</v>
      </c>
      <c r="U2500" t="str">
        <f t="shared" si="79"/>
        <v>Suburbano</v>
      </c>
    </row>
    <row r="2501" spans="1:21" ht="16" x14ac:dyDescent="0.4">
      <c r="A2501" s="7">
        <v>127030</v>
      </c>
      <c r="B2501" s="7" t="s">
        <v>20</v>
      </c>
      <c r="C2501" s="7" t="s">
        <v>17</v>
      </c>
      <c r="D2501" s="7">
        <v>517</v>
      </c>
      <c r="E2501" s="7">
        <v>223</v>
      </c>
      <c r="F2501" s="7">
        <v>398</v>
      </c>
      <c r="G2501" s="7">
        <v>0</v>
      </c>
      <c r="H2501" s="7">
        <v>17671</v>
      </c>
      <c r="I2501" s="7">
        <v>11</v>
      </c>
      <c r="J2501" s="7">
        <v>51</v>
      </c>
      <c r="K2501" s="7">
        <v>321</v>
      </c>
      <c r="L2501" s="7">
        <v>287</v>
      </c>
      <c r="M2501" s="7">
        <v>8</v>
      </c>
      <c r="N2501">
        <f>VLOOKUP(A2501,vlookup_table!$A:$G,2,FALSE)</f>
        <v>0</v>
      </c>
      <c r="O2501" t="str">
        <f>VLOOKUP(A2501,vlookup_table!$A:$G,3,FALSE)</f>
        <v>TX</v>
      </c>
      <c r="P2501">
        <f>VLOOKUP(A2501,vlookup_table!$A:$G,4,FALSE)</f>
        <v>0</v>
      </c>
      <c r="Q2501" t="str">
        <f>VLOOKUP(A2501,vlookup_table!$A:$G,5,FALSE)</f>
        <v>U1</v>
      </c>
      <c r="R2501" t="str">
        <f>VLOOKUP(A2501,vlookup_table!$A:$G,6,FALSE)</f>
        <v>F</v>
      </c>
      <c r="S2501">
        <f>VLOOKUP(A2501,vlookup_table!$A:$G,7,FALSE)</f>
        <v>10</v>
      </c>
      <c r="T2501">
        <f t="shared" si="78"/>
        <v>96</v>
      </c>
      <c r="U2501" t="str">
        <f t="shared" si="79"/>
        <v>Urbano</v>
      </c>
    </row>
    <row r="2502" spans="1:21" ht="16" x14ac:dyDescent="0.4">
      <c r="A2502" s="7">
        <v>151698</v>
      </c>
      <c r="B2502" s="7" t="s">
        <v>47</v>
      </c>
      <c r="C2502" s="7" t="s">
        <v>14</v>
      </c>
      <c r="D2502" s="7">
        <v>388</v>
      </c>
      <c r="E2502" s="7">
        <v>186</v>
      </c>
      <c r="F2502" s="7">
        <v>220</v>
      </c>
      <c r="G2502" s="7">
        <v>0</v>
      </c>
      <c r="H2502" s="7">
        <v>9703</v>
      </c>
      <c r="I2502" s="7">
        <v>2</v>
      </c>
      <c r="J2502" s="7">
        <v>43</v>
      </c>
      <c r="K2502" s="7">
        <v>198</v>
      </c>
      <c r="L2502" s="7">
        <v>209</v>
      </c>
      <c r="M2502" s="7">
        <v>15</v>
      </c>
      <c r="N2502">
        <f>VLOOKUP(A2502,vlookup_table!$A:$G,2,FALSE)</f>
        <v>1</v>
      </c>
      <c r="O2502" t="str">
        <f>VLOOKUP(A2502,vlookup_table!$A:$G,3,FALSE)</f>
        <v>OR</v>
      </c>
      <c r="P2502">
        <f>VLOOKUP(A2502,vlookup_table!$A:$G,4,FALSE)</f>
        <v>3201</v>
      </c>
      <c r="Q2502" t="str">
        <f>VLOOKUP(A2502,vlookup_table!$A:$G,5,FALSE)</f>
        <v>T1</v>
      </c>
      <c r="R2502" t="str">
        <f>VLOOKUP(A2502,vlookup_table!$A:$G,6,FALSE)</f>
        <v>M</v>
      </c>
      <c r="S2502">
        <f>VLOOKUP(A2502,vlookup_table!$A:$G,7,FALSE)</f>
        <v>20</v>
      </c>
      <c r="T2502">
        <f t="shared" si="78"/>
        <v>64</v>
      </c>
      <c r="U2502" t="str">
        <f t="shared" si="79"/>
        <v>Pueblo</v>
      </c>
    </row>
    <row r="2503" spans="1:21" ht="16" x14ac:dyDescent="0.4">
      <c r="A2503" s="7">
        <v>1054</v>
      </c>
      <c r="B2503" s="7" t="s">
        <v>21</v>
      </c>
      <c r="C2503" s="7" t="s">
        <v>17</v>
      </c>
      <c r="D2503" s="7">
        <v>1161</v>
      </c>
      <c r="E2503" s="7">
        <v>197</v>
      </c>
      <c r="F2503" s="7">
        <v>350</v>
      </c>
      <c r="G2503" s="7">
        <v>7</v>
      </c>
      <c r="H2503" s="7">
        <v>12764</v>
      </c>
      <c r="I2503" s="7">
        <v>15</v>
      </c>
      <c r="J2503" s="7">
        <v>58</v>
      </c>
      <c r="K2503" s="7">
        <v>289</v>
      </c>
      <c r="L2503" s="7">
        <v>262</v>
      </c>
      <c r="M2503" s="7">
        <v>6.3</v>
      </c>
      <c r="N2503">
        <f>VLOOKUP(A2503,vlookup_table!$A:$G,2,FALSE)</f>
        <v>0</v>
      </c>
      <c r="O2503" t="str">
        <f>VLOOKUP(A2503,vlookup_table!$A:$G,3,FALSE)</f>
        <v>CA</v>
      </c>
      <c r="P2503">
        <f>VLOOKUP(A2503,vlookup_table!$A:$G,4,FALSE)</f>
        <v>0</v>
      </c>
      <c r="Q2503" t="str">
        <f>VLOOKUP(A2503,vlookup_table!$A:$G,5,FALSE)</f>
        <v>T2</v>
      </c>
      <c r="R2503" t="str">
        <f>VLOOKUP(A2503,vlookup_table!$A:$G,6,FALSE)</f>
        <v>F</v>
      </c>
      <c r="S2503">
        <f>VLOOKUP(A2503,vlookup_table!$A:$G,7,FALSE)</f>
        <v>8</v>
      </c>
      <c r="T2503">
        <f t="shared" si="78"/>
        <v>96</v>
      </c>
      <c r="U2503" t="str">
        <f t="shared" si="79"/>
        <v>Pueblo</v>
      </c>
    </row>
    <row r="2504" spans="1:21" ht="16" x14ac:dyDescent="0.4">
      <c r="A2504" s="7">
        <v>178293</v>
      </c>
      <c r="B2504" s="7" t="s">
        <v>37</v>
      </c>
      <c r="C2504" s="7" t="s">
        <v>17</v>
      </c>
      <c r="D2504" s="7">
        <v>1862</v>
      </c>
      <c r="E2504" s="7">
        <v>541</v>
      </c>
      <c r="F2504" s="7">
        <v>593</v>
      </c>
      <c r="G2504" s="7">
        <v>45</v>
      </c>
      <c r="H2504" s="7">
        <v>30096</v>
      </c>
      <c r="I2504" s="7">
        <v>15</v>
      </c>
      <c r="J2504" s="7">
        <v>36</v>
      </c>
      <c r="K2504" s="7">
        <v>548</v>
      </c>
      <c r="L2504" s="7">
        <v>575</v>
      </c>
      <c r="M2504" s="7">
        <v>8.5833333330000006</v>
      </c>
      <c r="N2504">
        <f>VLOOKUP(A2504,vlookup_table!$A:$G,2,FALSE)</f>
        <v>2</v>
      </c>
      <c r="O2504" t="str">
        <f>VLOOKUP(A2504,vlookup_table!$A:$G,3,FALSE)</f>
        <v>WA</v>
      </c>
      <c r="P2504">
        <f>VLOOKUP(A2504,vlookup_table!$A:$G,4,FALSE)</f>
        <v>0</v>
      </c>
      <c r="Q2504" t="str">
        <f>VLOOKUP(A2504,vlookup_table!$A:$G,5,FALSE)</f>
        <v>S1</v>
      </c>
      <c r="R2504" t="str">
        <f>VLOOKUP(A2504,vlookup_table!$A:$G,6,FALSE)</f>
        <v>F</v>
      </c>
      <c r="S2504">
        <f>VLOOKUP(A2504,vlookup_table!$A:$G,7,FALSE)</f>
        <v>12</v>
      </c>
      <c r="T2504">
        <f t="shared" si="78"/>
        <v>96</v>
      </c>
      <c r="U2504" t="str">
        <f t="shared" si="79"/>
        <v>Suburbano</v>
      </c>
    </row>
    <row r="2505" spans="1:21" ht="16" x14ac:dyDescent="0.4">
      <c r="A2505" s="7">
        <v>187082</v>
      </c>
      <c r="B2505" s="7" t="s">
        <v>18</v>
      </c>
      <c r="C2505" s="7" t="s">
        <v>97</v>
      </c>
      <c r="D2505" s="7">
        <v>1055</v>
      </c>
      <c r="E2505" s="7">
        <v>288</v>
      </c>
      <c r="F2505" s="7">
        <v>396</v>
      </c>
      <c r="G2505" s="7">
        <v>3</v>
      </c>
      <c r="H2505" s="7">
        <v>13839</v>
      </c>
      <c r="I2505" s="7">
        <v>0</v>
      </c>
      <c r="J2505" s="7">
        <v>49</v>
      </c>
      <c r="K2505" s="7">
        <v>312</v>
      </c>
      <c r="L2505" s="7">
        <v>355</v>
      </c>
      <c r="M2505" s="7">
        <v>7.9</v>
      </c>
      <c r="N2505">
        <f>VLOOKUP(A2505,vlookup_table!$A:$G,2,FALSE)</f>
        <v>2</v>
      </c>
      <c r="O2505" t="str">
        <f>VLOOKUP(A2505,vlookup_table!$A:$G,3,FALSE)</f>
        <v>NC</v>
      </c>
      <c r="P2505">
        <f>VLOOKUP(A2505,vlookup_table!$A:$G,4,FALSE)</f>
        <v>2001</v>
      </c>
      <c r="Q2505" t="str">
        <f>VLOOKUP(A2505,vlookup_table!$A:$G,5,FALSE)</f>
        <v>R2</v>
      </c>
      <c r="R2505" t="str">
        <f>VLOOKUP(A2505,vlookup_table!$A:$G,6,FALSE)</f>
        <v>F</v>
      </c>
      <c r="S2505">
        <f>VLOOKUP(A2505,vlookup_table!$A:$G,7,FALSE)</f>
        <v>8</v>
      </c>
      <c r="T2505">
        <f t="shared" si="78"/>
        <v>76</v>
      </c>
      <c r="U2505" t="str">
        <f t="shared" si="79"/>
        <v>Rural</v>
      </c>
    </row>
    <row r="2506" spans="1:21" ht="16" x14ac:dyDescent="0.4">
      <c r="A2506" s="7">
        <v>156034</v>
      </c>
      <c r="B2506" s="7" t="s">
        <v>21</v>
      </c>
      <c r="C2506" s="7" t="s">
        <v>14</v>
      </c>
      <c r="D2506" s="7">
        <v>1873</v>
      </c>
      <c r="E2506" s="7">
        <v>394</v>
      </c>
      <c r="F2506" s="7">
        <v>481</v>
      </c>
      <c r="G2506" s="7">
        <v>39</v>
      </c>
      <c r="H2506" s="7">
        <v>19031</v>
      </c>
      <c r="I2506" s="7">
        <v>12</v>
      </c>
      <c r="J2506" s="7">
        <v>44</v>
      </c>
      <c r="K2506" s="7">
        <v>428</v>
      </c>
      <c r="L2506" s="7">
        <v>453</v>
      </c>
      <c r="M2506" s="7">
        <v>20</v>
      </c>
      <c r="N2506">
        <f>VLOOKUP(A2506,vlookup_table!$A:$G,2,FALSE)</f>
        <v>1</v>
      </c>
      <c r="O2506" t="str">
        <f>VLOOKUP(A2506,vlookup_table!$A:$G,3,FALSE)</f>
        <v>CA</v>
      </c>
      <c r="P2506">
        <f>VLOOKUP(A2506,vlookup_table!$A:$G,4,FALSE)</f>
        <v>6001</v>
      </c>
      <c r="Q2506" t="str">
        <f>VLOOKUP(A2506,vlookup_table!$A:$G,5,FALSE)</f>
        <v>T2</v>
      </c>
      <c r="R2506" t="str">
        <f>VLOOKUP(A2506,vlookup_table!$A:$G,6,FALSE)</f>
        <v>M</v>
      </c>
      <c r="S2506">
        <f>VLOOKUP(A2506,vlookup_table!$A:$G,7,FALSE)</f>
        <v>15</v>
      </c>
      <c r="T2506">
        <f t="shared" si="78"/>
        <v>36</v>
      </c>
      <c r="U2506" t="str">
        <f t="shared" si="79"/>
        <v>Pueblo</v>
      </c>
    </row>
    <row r="2507" spans="1:21" ht="16" x14ac:dyDescent="0.4">
      <c r="A2507" s="7">
        <v>72048</v>
      </c>
      <c r="B2507" s="7" t="s">
        <v>26</v>
      </c>
      <c r="C2507" s="7" t="s">
        <v>14</v>
      </c>
      <c r="D2507" s="7">
        <v>531</v>
      </c>
      <c r="E2507" s="7">
        <v>311</v>
      </c>
      <c r="F2507" s="7">
        <v>384</v>
      </c>
      <c r="G2507" s="7">
        <v>0</v>
      </c>
      <c r="H2507" s="7">
        <v>13152</v>
      </c>
      <c r="I2507" s="7">
        <v>1</v>
      </c>
      <c r="J2507" s="7">
        <v>85</v>
      </c>
      <c r="K2507" s="7">
        <v>342</v>
      </c>
      <c r="L2507" s="7">
        <v>351</v>
      </c>
      <c r="M2507" s="7">
        <v>8.0833333330000006</v>
      </c>
      <c r="N2507">
        <f>VLOOKUP(A2507,vlookup_table!$A:$G,2,FALSE)</f>
        <v>1</v>
      </c>
      <c r="O2507" t="str">
        <f>VLOOKUP(A2507,vlookup_table!$A:$G,3,FALSE)</f>
        <v>MI</v>
      </c>
      <c r="P2507">
        <f>VLOOKUP(A2507,vlookup_table!$A:$G,4,FALSE)</f>
        <v>6001</v>
      </c>
      <c r="Q2507" t="str">
        <f>VLOOKUP(A2507,vlookup_table!$A:$G,5,FALSE)</f>
        <v>R2</v>
      </c>
      <c r="R2507" t="str">
        <f>VLOOKUP(A2507,vlookup_table!$A:$G,6,FALSE)</f>
        <v>M</v>
      </c>
      <c r="S2507">
        <f>VLOOKUP(A2507,vlookup_table!$A:$G,7,FALSE)</f>
        <v>10</v>
      </c>
      <c r="T2507">
        <f t="shared" si="78"/>
        <v>36</v>
      </c>
      <c r="U2507" t="str">
        <f t="shared" si="79"/>
        <v>Rural</v>
      </c>
    </row>
    <row r="2508" spans="1:21" ht="16" x14ac:dyDescent="0.4">
      <c r="A2508" s="7">
        <v>104427</v>
      </c>
      <c r="B2508" s="7" t="s">
        <v>25</v>
      </c>
      <c r="C2508" s="7" t="s">
        <v>17</v>
      </c>
      <c r="D2508" s="7">
        <v>857</v>
      </c>
      <c r="E2508" s="7">
        <v>340</v>
      </c>
      <c r="F2508" s="7">
        <v>510</v>
      </c>
      <c r="G2508" s="7">
        <v>1</v>
      </c>
      <c r="H2508" s="7">
        <v>17128</v>
      </c>
      <c r="I2508" s="7">
        <v>1</v>
      </c>
      <c r="J2508" s="7">
        <v>52</v>
      </c>
      <c r="K2508" s="7">
        <v>481</v>
      </c>
      <c r="L2508" s="7">
        <v>399</v>
      </c>
      <c r="M2508" s="7">
        <v>20</v>
      </c>
      <c r="N2508">
        <f>VLOOKUP(A2508,vlookup_table!$A:$G,2,FALSE)</f>
        <v>0</v>
      </c>
      <c r="O2508" t="str">
        <f>VLOOKUP(A2508,vlookup_table!$A:$G,3,FALSE)</f>
        <v>KS</v>
      </c>
      <c r="P2508">
        <f>VLOOKUP(A2508,vlookup_table!$A:$G,4,FALSE)</f>
        <v>4601</v>
      </c>
      <c r="Q2508" t="str">
        <f>VLOOKUP(A2508,vlookup_table!$A:$G,5,FALSE)</f>
        <v>R2</v>
      </c>
      <c r="R2508" t="str">
        <f>VLOOKUP(A2508,vlookup_table!$A:$G,6,FALSE)</f>
        <v>F</v>
      </c>
      <c r="S2508">
        <f>VLOOKUP(A2508,vlookup_table!$A:$G,7,FALSE)</f>
        <v>15</v>
      </c>
      <c r="T2508">
        <f t="shared" si="78"/>
        <v>50</v>
      </c>
      <c r="U2508" t="str">
        <f t="shared" si="79"/>
        <v>Rural</v>
      </c>
    </row>
    <row r="2509" spans="1:21" ht="16" x14ac:dyDescent="0.4">
      <c r="A2509" s="7">
        <v>34448</v>
      </c>
      <c r="B2509" s="7" t="s">
        <v>13</v>
      </c>
      <c r="C2509" s="7" t="s">
        <v>17</v>
      </c>
      <c r="D2509" s="7">
        <v>431</v>
      </c>
      <c r="E2509" s="7">
        <v>220</v>
      </c>
      <c r="F2509" s="7">
        <v>306</v>
      </c>
      <c r="G2509" s="7">
        <v>0</v>
      </c>
      <c r="H2509" s="7">
        <v>10129</v>
      </c>
      <c r="I2509" s="7">
        <v>2</v>
      </c>
      <c r="J2509" s="7">
        <v>63</v>
      </c>
      <c r="K2509" s="7">
        <v>259</v>
      </c>
      <c r="L2509" s="7">
        <v>281</v>
      </c>
      <c r="M2509" s="7">
        <v>25</v>
      </c>
      <c r="N2509">
        <f>VLOOKUP(A2509,vlookup_table!$A:$G,2,FALSE)</f>
        <v>2</v>
      </c>
      <c r="O2509" t="str">
        <f>VLOOKUP(A2509,vlookup_table!$A:$G,3,FALSE)</f>
        <v>FL</v>
      </c>
      <c r="P2509">
        <f>VLOOKUP(A2509,vlookup_table!$A:$G,4,FALSE)</f>
        <v>1601</v>
      </c>
      <c r="Q2509" t="str">
        <f>VLOOKUP(A2509,vlookup_table!$A:$G,5,FALSE)</f>
        <v>R2</v>
      </c>
      <c r="R2509" t="str">
        <f>VLOOKUP(A2509,vlookup_table!$A:$G,6,FALSE)</f>
        <v>F</v>
      </c>
      <c r="S2509">
        <f>VLOOKUP(A2509,vlookup_table!$A:$G,7,FALSE)</f>
        <v>10</v>
      </c>
      <c r="T2509">
        <f t="shared" si="78"/>
        <v>80</v>
      </c>
      <c r="U2509" t="str">
        <f t="shared" si="79"/>
        <v>Rural</v>
      </c>
    </row>
    <row r="2510" spans="1:21" ht="16" x14ac:dyDescent="0.4">
      <c r="A2510" s="7">
        <v>10247</v>
      </c>
      <c r="B2510" s="7" t="s">
        <v>21</v>
      </c>
      <c r="C2510" s="7" t="s">
        <v>17</v>
      </c>
      <c r="D2510" s="7">
        <v>1580</v>
      </c>
      <c r="E2510" s="7">
        <v>503</v>
      </c>
      <c r="F2510" s="7">
        <v>483</v>
      </c>
      <c r="G2510" s="7">
        <v>11</v>
      </c>
      <c r="H2510" s="7">
        <v>15111</v>
      </c>
      <c r="I2510" s="7">
        <v>8</v>
      </c>
      <c r="J2510" s="7">
        <v>55</v>
      </c>
      <c r="K2510" s="7">
        <v>490</v>
      </c>
      <c r="L2510" s="7">
        <v>515</v>
      </c>
      <c r="M2510" s="7">
        <v>9</v>
      </c>
      <c r="N2510">
        <f>VLOOKUP(A2510,vlookup_table!$A:$G,2,FALSE)</f>
        <v>0</v>
      </c>
      <c r="O2510" t="str">
        <f>VLOOKUP(A2510,vlookup_table!$A:$G,3,FALSE)</f>
        <v>CA</v>
      </c>
      <c r="P2510">
        <f>VLOOKUP(A2510,vlookup_table!$A:$G,4,FALSE)</f>
        <v>3005</v>
      </c>
      <c r="Q2510" t="str">
        <f>VLOOKUP(A2510,vlookup_table!$A:$G,5,FALSE)</f>
        <v>C1</v>
      </c>
      <c r="R2510" t="str">
        <f>VLOOKUP(A2510,vlookup_table!$A:$G,6,FALSE)</f>
        <v>F</v>
      </c>
      <c r="S2510">
        <f>VLOOKUP(A2510,vlookup_table!$A:$G,7,FALSE)</f>
        <v>10</v>
      </c>
      <c r="T2510">
        <f t="shared" si="78"/>
        <v>66</v>
      </c>
      <c r="U2510" t="str">
        <f t="shared" si="79"/>
        <v>Ciudad</v>
      </c>
    </row>
    <row r="2511" spans="1:21" ht="16" x14ac:dyDescent="0.4">
      <c r="A2511" s="7">
        <v>158679</v>
      </c>
      <c r="B2511" s="7" t="s">
        <v>21</v>
      </c>
      <c r="C2511" s="7" t="s">
        <v>14</v>
      </c>
      <c r="D2511" s="7">
        <v>2211</v>
      </c>
      <c r="E2511" s="7">
        <v>592</v>
      </c>
      <c r="F2511" s="7">
        <v>639</v>
      </c>
      <c r="G2511" s="7">
        <v>74</v>
      </c>
      <c r="H2511" s="7">
        <v>18973</v>
      </c>
      <c r="I2511" s="7">
        <v>4</v>
      </c>
      <c r="J2511" s="7">
        <v>61</v>
      </c>
      <c r="K2511" s="7">
        <v>584</v>
      </c>
      <c r="L2511" s="7">
        <v>625</v>
      </c>
      <c r="M2511" s="7">
        <v>12.363636359999999</v>
      </c>
      <c r="N2511">
        <f>VLOOKUP(A2511,vlookup_table!$A:$G,2,FALSE)</f>
        <v>1</v>
      </c>
      <c r="O2511" t="str">
        <f>VLOOKUP(A2511,vlookup_table!$A:$G,3,FALSE)</f>
        <v>CA</v>
      </c>
      <c r="P2511">
        <f>VLOOKUP(A2511,vlookup_table!$A:$G,4,FALSE)</f>
        <v>0</v>
      </c>
      <c r="Q2511" t="str">
        <f>VLOOKUP(A2511,vlookup_table!$A:$G,5,FALSE)</f>
        <v>S2</v>
      </c>
      <c r="R2511" t="str">
        <f>VLOOKUP(A2511,vlookup_table!$A:$G,6,FALSE)</f>
        <v>M</v>
      </c>
      <c r="S2511">
        <f>VLOOKUP(A2511,vlookup_table!$A:$G,7,FALSE)</f>
        <v>16</v>
      </c>
      <c r="T2511">
        <f t="shared" si="78"/>
        <v>96</v>
      </c>
      <c r="U2511" t="str">
        <f t="shared" si="79"/>
        <v>Suburbano</v>
      </c>
    </row>
    <row r="2512" spans="1:21" ht="16" x14ac:dyDescent="0.4">
      <c r="A2512" s="7">
        <v>141742</v>
      </c>
      <c r="B2512" s="7" t="s">
        <v>23</v>
      </c>
      <c r="C2512" s="7" t="s">
        <v>14</v>
      </c>
      <c r="D2512" s="7">
        <v>1167</v>
      </c>
      <c r="E2512" s="7">
        <v>497</v>
      </c>
      <c r="F2512" s="7">
        <v>575</v>
      </c>
      <c r="G2512" s="7">
        <v>6</v>
      </c>
      <c r="H2512" s="7">
        <v>22162</v>
      </c>
      <c r="I2512" s="7">
        <v>3</v>
      </c>
      <c r="J2512" s="7">
        <v>18</v>
      </c>
      <c r="K2512" s="7">
        <v>503</v>
      </c>
      <c r="L2512" s="7">
        <v>547</v>
      </c>
      <c r="M2512" s="7">
        <v>8.3333333330000006</v>
      </c>
      <c r="N2512">
        <f>VLOOKUP(A2512,vlookup_table!$A:$G,2,FALSE)</f>
        <v>2</v>
      </c>
      <c r="O2512" t="str">
        <f>VLOOKUP(A2512,vlookup_table!$A:$G,3,FALSE)</f>
        <v>NV</v>
      </c>
      <c r="P2512">
        <f>VLOOKUP(A2512,vlookup_table!$A:$G,4,FALSE)</f>
        <v>2801</v>
      </c>
      <c r="Q2512" t="str">
        <f>VLOOKUP(A2512,vlookup_table!$A:$G,5,FALSE)</f>
        <v>T2</v>
      </c>
      <c r="R2512" t="str">
        <f>VLOOKUP(A2512,vlookup_table!$A:$G,6,FALSE)</f>
        <v>M</v>
      </c>
      <c r="S2512">
        <f>VLOOKUP(A2512,vlookup_table!$A:$G,7,FALSE)</f>
        <v>8</v>
      </c>
      <c r="T2512">
        <f t="shared" si="78"/>
        <v>68</v>
      </c>
      <c r="U2512" t="str">
        <f t="shared" si="79"/>
        <v>Pueblo</v>
      </c>
    </row>
    <row r="2513" spans="1:21" ht="16" x14ac:dyDescent="0.4">
      <c r="A2513" s="7">
        <v>96679</v>
      </c>
      <c r="B2513" s="7" t="s">
        <v>16</v>
      </c>
      <c r="C2513" s="7" t="s">
        <v>14</v>
      </c>
      <c r="D2513" s="7">
        <v>870</v>
      </c>
      <c r="E2513" s="7">
        <v>396</v>
      </c>
      <c r="F2513" s="7">
        <v>549</v>
      </c>
      <c r="G2513" s="7">
        <v>4</v>
      </c>
      <c r="H2513" s="7">
        <v>21366</v>
      </c>
      <c r="I2513" s="7">
        <v>4</v>
      </c>
      <c r="J2513" s="7">
        <v>64</v>
      </c>
      <c r="K2513" s="7">
        <v>510</v>
      </c>
      <c r="L2513" s="7">
        <v>456</v>
      </c>
      <c r="M2513" s="7">
        <v>6.4285714289999998</v>
      </c>
      <c r="N2513">
        <f>VLOOKUP(A2513,vlookup_table!$A:$G,2,FALSE)</f>
        <v>0</v>
      </c>
      <c r="O2513" t="str">
        <f>VLOOKUP(A2513,vlookup_table!$A:$G,3,FALSE)</f>
        <v>IL</v>
      </c>
      <c r="P2513">
        <f>VLOOKUP(A2513,vlookup_table!$A:$G,4,FALSE)</f>
        <v>5001</v>
      </c>
      <c r="Q2513" t="str">
        <f>VLOOKUP(A2513,vlookup_table!$A:$G,5,FALSE)</f>
        <v>S1</v>
      </c>
      <c r="R2513" t="str">
        <f>VLOOKUP(A2513,vlookup_table!$A:$G,6,FALSE)</f>
        <v>M</v>
      </c>
      <c r="S2513">
        <f>VLOOKUP(A2513,vlookup_table!$A:$G,7,FALSE)</f>
        <v>5</v>
      </c>
      <c r="T2513">
        <f t="shared" si="78"/>
        <v>46</v>
      </c>
      <c r="U2513" t="str">
        <f t="shared" si="79"/>
        <v>Suburbano</v>
      </c>
    </row>
    <row r="2514" spans="1:21" ht="16" x14ac:dyDescent="0.4">
      <c r="A2514" s="7">
        <v>151513</v>
      </c>
      <c r="B2514" s="7" t="s">
        <v>21</v>
      </c>
      <c r="C2514" s="7" t="s">
        <v>17</v>
      </c>
      <c r="D2514" s="7">
        <v>2346</v>
      </c>
      <c r="E2514" s="7">
        <v>569</v>
      </c>
      <c r="F2514" s="7">
        <v>617</v>
      </c>
      <c r="G2514" s="7">
        <v>71</v>
      </c>
      <c r="H2514" s="7">
        <v>21982</v>
      </c>
      <c r="I2514" s="7">
        <v>13</v>
      </c>
      <c r="J2514" s="7">
        <v>42</v>
      </c>
      <c r="K2514" s="7">
        <v>568</v>
      </c>
      <c r="L2514" s="7">
        <v>644</v>
      </c>
      <c r="M2514" s="7">
        <v>6.923076923</v>
      </c>
      <c r="N2514">
        <f>VLOOKUP(A2514,vlookup_table!$A:$G,2,FALSE)</f>
        <v>0</v>
      </c>
      <c r="O2514" t="str">
        <f>VLOOKUP(A2514,vlookup_table!$A:$G,3,FALSE)</f>
        <v>CA</v>
      </c>
      <c r="P2514">
        <f>VLOOKUP(A2514,vlookup_table!$A:$G,4,FALSE)</f>
        <v>2201</v>
      </c>
      <c r="Q2514" t="str">
        <f>VLOOKUP(A2514,vlookup_table!$A:$G,5,FALSE)</f>
        <v>U1</v>
      </c>
      <c r="R2514" t="str">
        <f>VLOOKUP(A2514,vlookup_table!$A:$G,6,FALSE)</f>
        <v>F</v>
      </c>
      <c r="S2514">
        <f>VLOOKUP(A2514,vlookup_table!$A:$G,7,FALSE)</f>
        <v>15</v>
      </c>
      <c r="T2514">
        <f t="shared" si="78"/>
        <v>74</v>
      </c>
      <c r="U2514" t="str">
        <f t="shared" si="79"/>
        <v>Urbano</v>
      </c>
    </row>
    <row r="2515" spans="1:21" ht="16" x14ac:dyDescent="0.4">
      <c r="A2515" s="7">
        <v>2085</v>
      </c>
      <c r="B2515" s="7" t="s">
        <v>13</v>
      </c>
      <c r="C2515" s="7" t="s">
        <v>14</v>
      </c>
      <c r="D2515" s="7">
        <v>852</v>
      </c>
      <c r="E2515" s="7">
        <v>426</v>
      </c>
      <c r="F2515" s="7">
        <v>485</v>
      </c>
      <c r="G2515" s="7">
        <v>1</v>
      </c>
      <c r="H2515" s="7">
        <v>14762</v>
      </c>
      <c r="I2515" s="7">
        <v>4</v>
      </c>
      <c r="J2515" s="7">
        <v>44</v>
      </c>
      <c r="K2515" s="7">
        <v>438</v>
      </c>
      <c r="L2515" s="7">
        <v>455</v>
      </c>
      <c r="M2515" s="7">
        <v>19.30769231</v>
      </c>
      <c r="N2515">
        <f>VLOOKUP(A2515,vlookup_table!$A:$G,2,FALSE)</f>
        <v>1</v>
      </c>
      <c r="O2515" t="str">
        <f>VLOOKUP(A2515,vlookup_table!$A:$G,3,FALSE)</f>
        <v>FL</v>
      </c>
      <c r="P2515">
        <f>VLOOKUP(A2515,vlookup_table!$A:$G,4,FALSE)</f>
        <v>4412</v>
      </c>
      <c r="Q2515" t="str">
        <f>VLOOKUP(A2515,vlookup_table!$A:$G,5,FALSE)</f>
        <v>C2</v>
      </c>
      <c r="R2515" t="str">
        <f>VLOOKUP(A2515,vlookup_table!$A:$G,6,FALSE)</f>
        <v>M</v>
      </c>
      <c r="S2515">
        <f>VLOOKUP(A2515,vlookup_table!$A:$G,7,FALSE)</f>
        <v>20</v>
      </c>
      <c r="T2515">
        <f t="shared" si="78"/>
        <v>52</v>
      </c>
      <c r="U2515" t="str">
        <f t="shared" si="79"/>
        <v>Ciudad</v>
      </c>
    </row>
    <row r="2516" spans="1:21" ht="16" x14ac:dyDescent="0.4">
      <c r="A2516" s="7">
        <v>112532</v>
      </c>
      <c r="B2516" s="7" t="s">
        <v>29</v>
      </c>
      <c r="C2516" s="7" t="s">
        <v>97</v>
      </c>
      <c r="D2516" s="7">
        <v>472</v>
      </c>
      <c r="E2516" s="7">
        <v>225</v>
      </c>
      <c r="F2516" s="7">
        <v>336</v>
      </c>
      <c r="G2516" s="7">
        <v>1</v>
      </c>
      <c r="H2516" s="7">
        <v>13758</v>
      </c>
      <c r="I2516" s="7">
        <v>2</v>
      </c>
      <c r="J2516" s="7">
        <v>55</v>
      </c>
      <c r="K2516" s="7">
        <v>250</v>
      </c>
      <c r="L2516" s="7">
        <v>290</v>
      </c>
      <c r="M2516" s="7">
        <v>9.5217391300000003</v>
      </c>
      <c r="N2516">
        <f>VLOOKUP(A2516,vlookup_table!$A:$G,2,FALSE)</f>
        <v>0</v>
      </c>
      <c r="O2516" t="str">
        <f>VLOOKUP(A2516,vlookup_table!$A:$G,3,FALSE)</f>
        <v>AR</v>
      </c>
      <c r="P2516">
        <f>VLOOKUP(A2516,vlookup_table!$A:$G,4,FALSE)</f>
        <v>0</v>
      </c>
      <c r="Q2516" t="str">
        <f>VLOOKUP(A2516,vlookup_table!$A:$G,5,FALSE)</f>
        <v>R2</v>
      </c>
      <c r="R2516" t="str">
        <f>VLOOKUP(A2516,vlookup_table!$A:$G,6,FALSE)</f>
        <v>F</v>
      </c>
      <c r="S2516">
        <f>VLOOKUP(A2516,vlookup_table!$A:$G,7,FALSE)</f>
        <v>11</v>
      </c>
      <c r="T2516">
        <f t="shared" si="78"/>
        <v>96</v>
      </c>
      <c r="U2516" t="str">
        <f t="shared" si="79"/>
        <v>Rural</v>
      </c>
    </row>
    <row r="2517" spans="1:21" ht="16" x14ac:dyDescent="0.4">
      <c r="A2517" s="7">
        <v>164987</v>
      </c>
      <c r="B2517" s="7" t="s">
        <v>21</v>
      </c>
      <c r="C2517" s="7" t="s">
        <v>14</v>
      </c>
      <c r="D2517" s="7">
        <v>4026</v>
      </c>
      <c r="E2517" s="7">
        <v>762</v>
      </c>
      <c r="F2517" s="7">
        <v>835</v>
      </c>
      <c r="G2517" s="7">
        <v>99</v>
      </c>
      <c r="H2517" s="7">
        <v>31860</v>
      </c>
      <c r="I2517" s="7">
        <v>7</v>
      </c>
      <c r="J2517" s="7">
        <v>56</v>
      </c>
      <c r="K2517" s="7">
        <v>787</v>
      </c>
      <c r="L2517" s="7">
        <v>794</v>
      </c>
      <c r="M2517" s="7">
        <v>11.71428571</v>
      </c>
      <c r="N2517">
        <f>VLOOKUP(A2517,vlookup_table!$A:$G,2,FALSE)</f>
        <v>0</v>
      </c>
      <c r="O2517" t="str">
        <f>VLOOKUP(A2517,vlookup_table!$A:$G,3,FALSE)</f>
        <v>CA</v>
      </c>
      <c r="P2517">
        <f>VLOOKUP(A2517,vlookup_table!$A:$G,4,FALSE)</f>
        <v>5201</v>
      </c>
      <c r="Q2517" t="str">
        <f>VLOOKUP(A2517,vlookup_table!$A:$G,5,FALSE)</f>
        <v>S1</v>
      </c>
      <c r="R2517" t="str">
        <f>VLOOKUP(A2517,vlookup_table!$A:$G,6,FALSE)</f>
        <v>M</v>
      </c>
      <c r="S2517">
        <f>VLOOKUP(A2517,vlookup_table!$A:$G,7,FALSE)</f>
        <v>12</v>
      </c>
      <c r="T2517">
        <f t="shared" si="78"/>
        <v>44</v>
      </c>
      <c r="U2517" t="str">
        <f t="shared" si="79"/>
        <v>Suburbano</v>
      </c>
    </row>
    <row r="2518" spans="1:21" ht="16" x14ac:dyDescent="0.4">
      <c r="A2518" s="7">
        <v>142013</v>
      </c>
      <c r="B2518" s="7" t="s">
        <v>23</v>
      </c>
      <c r="C2518" s="7" t="s">
        <v>17</v>
      </c>
      <c r="D2518" s="7">
        <v>1009</v>
      </c>
      <c r="E2518" s="7">
        <v>367</v>
      </c>
      <c r="F2518" s="7">
        <v>417</v>
      </c>
      <c r="G2518" s="7">
        <v>1</v>
      </c>
      <c r="H2518" s="7">
        <v>14199</v>
      </c>
      <c r="I2518" s="7">
        <v>3</v>
      </c>
      <c r="J2518" s="7">
        <v>40</v>
      </c>
      <c r="K2518" s="7">
        <v>391</v>
      </c>
      <c r="L2518" s="7">
        <v>393</v>
      </c>
      <c r="M2518" s="7">
        <v>23</v>
      </c>
      <c r="N2518">
        <f>VLOOKUP(A2518,vlookup_table!$A:$G,2,FALSE)</f>
        <v>0</v>
      </c>
      <c r="O2518" t="str">
        <f>VLOOKUP(A2518,vlookup_table!$A:$G,3,FALSE)</f>
        <v>NV</v>
      </c>
      <c r="P2518">
        <f>VLOOKUP(A2518,vlookup_table!$A:$G,4,FALSE)</f>
        <v>4401</v>
      </c>
      <c r="Q2518" t="str">
        <f>VLOOKUP(A2518,vlookup_table!$A:$G,5,FALSE)</f>
        <v>R2</v>
      </c>
      <c r="R2518" t="str">
        <f>VLOOKUP(A2518,vlookup_table!$A:$G,6,FALSE)</f>
        <v>F</v>
      </c>
      <c r="S2518">
        <f>VLOOKUP(A2518,vlookup_table!$A:$G,7,FALSE)</f>
        <v>23</v>
      </c>
      <c r="T2518">
        <f t="shared" si="78"/>
        <v>52</v>
      </c>
      <c r="U2518" t="str">
        <f t="shared" si="79"/>
        <v>Rural</v>
      </c>
    </row>
    <row r="2519" spans="1:21" ht="16" x14ac:dyDescent="0.4">
      <c r="A2519" s="7">
        <v>185803</v>
      </c>
      <c r="B2519" s="7" t="s">
        <v>52</v>
      </c>
      <c r="C2519" s="7" t="s">
        <v>14</v>
      </c>
      <c r="D2519" s="7">
        <v>887</v>
      </c>
      <c r="E2519" s="7">
        <v>533</v>
      </c>
      <c r="F2519" s="7">
        <v>652</v>
      </c>
      <c r="G2519" s="7">
        <v>0</v>
      </c>
      <c r="H2519" s="7">
        <v>16830</v>
      </c>
      <c r="I2519" s="7">
        <v>5</v>
      </c>
      <c r="J2519" s="7">
        <v>54</v>
      </c>
      <c r="K2519" s="7">
        <v>544</v>
      </c>
      <c r="L2519" s="7">
        <v>597</v>
      </c>
      <c r="M2519" s="7">
        <v>15</v>
      </c>
      <c r="N2519">
        <f>VLOOKUP(A2519,vlookup_table!$A:$G,2,FALSE)</f>
        <v>0</v>
      </c>
      <c r="O2519" t="str">
        <f>VLOOKUP(A2519,vlookup_table!$A:$G,3,FALSE)</f>
        <v>MN</v>
      </c>
      <c r="P2519">
        <f>VLOOKUP(A2519,vlookup_table!$A:$G,4,FALSE)</f>
        <v>3808</v>
      </c>
      <c r="Q2519" t="str">
        <f>VLOOKUP(A2519,vlookup_table!$A:$G,5,FALSE)</f>
        <v/>
      </c>
      <c r="R2519" t="str">
        <f>VLOOKUP(A2519,vlookup_table!$A:$G,6,FALSE)</f>
        <v>M</v>
      </c>
      <c r="S2519">
        <f>VLOOKUP(A2519,vlookup_table!$A:$G,7,FALSE)</f>
        <v>20</v>
      </c>
      <c r="T2519">
        <f t="shared" si="78"/>
        <v>58</v>
      </c>
      <c r="U2519" t="str">
        <f t="shared" si="79"/>
        <v/>
      </c>
    </row>
    <row r="2520" spans="1:21" ht="16" x14ac:dyDescent="0.4">
      <c r="A2520" s="7">
        <v>130908</v>
      </c>
      <c r="B2520" s="7" t="s">
        <v>45</v>
      </c>
      <c r="C2520" s="7" t="s">
        <v>17</v>
      </c>
      <c r="D2520" s="7">
        <v>477</v>
      </c>
      <c r="E2520" s="7">
        <v>265</v>
      </c>
      <c r="F2520" s="7">
        <v>359</v>
      </c>
      <c r="G2520" s="7">
        <v>0</v>
      </c>
      <c r="H2520" s="7">
        <v>11854</v>
      </c>
      <c r="I2520" s="7">
        <v>0</v>
      </c>
      <c r="J2520" s="7">
        <v>61</v>
      </c>
      <c r="K2520" s="7">
        <v>305</v>
      </c>
      <c r="L2520" s="7">
        <v>309</v>
      </c>
      <c r="M2520" s="7">
        <v>15</v>
      </c>
      <c r="N2520">
        <f>VLOOKUP(A2520,vlookup_table!$A:$G,2,FALSE)</f>
        <v>3</v>
      </c>
      <c r="O2520" t="str">
        <f>VLOOKUP(A2520,vlookup_table!$A:$G,3,FALSE)</f>
        <v>CO</v>
      </c>
      <c r="P2520">
        <f>VLOOKUP(A2520,vlookup_table!$A:$G,4,FALSE)</f>
        <v>0</v>
      </c>
      <c r="Q2520" t="str">
        <f>VLOOKUP(A2520,vlookup_table!$A:$G,5,FALSE)</f>
        <v>R2</v>
      </c>
      <c r="R2520" t="str">
        <f>VLOOKUP(A2520,vlookup_table!$A:$G,6,FALSE)</f>
        <v>F</v>
      </c>
      <c r="S2520">
        <f>VLOOKUP(A2520,vlookup_table!$A:$G,7,FALSE)</f>
        <v>25</v>
      </c>
      <c r="T2520">
        <f t="shared" si="78"/>
        <v>96</v>
      </c>
      <c r="U2520" t="str">
        <f t="shared" si="79"/>
        <v>Rural</v>
      </c>
    </row>
    <row r="2521" spans="1:21" ht="16" x14ac:dyDescent="0.4">
      <c r="A2521" s="7">
        <v>121208</v>
      </c>
      <c r="B2521" s="7" t="s">
        <v>20</v>
      </c>
      <c r="C2521" s="7" t="s">
        <v>17</v>
      </c>
      <c r="D2521" s="7">
        <v>5149</v>
      </c>
      <c r="E2521" s="7">
        <v>659</v>
      </c>
      <c r="F2521" s="7">
        <v>1013</v>
      </c>
      <c r="G2521" s="7">
        <v>86</v>
      </c>
      <c r="H2521" s="7">
        <v>72797</v>
      </c>
      <c r="I2521" s="7">
        <v>11</v>
      </c>
      <c r="J2521" s="7">
        <v>46</v>
      </c>
      <c r="K2521" s="7">
        <v>1122</v>
      </c>
      <c r="L2521" s="7">
        <v>807</v>
      </c>
      <c r="M2521" s="7">
        <v>9.961538462</v>
      </c>
      <c r="N2521">
        <f>VLOOKUP(A2521,vlookup_table!$A:$G,2,FALSE)</f>
        <v>0</v>
      </c>
      <c r="O2521" t="str">
        <f>VLOOKUP(A2521,vlookup_table!$A:$G,3,FALSE)</f>
        <v>TX</v>
      </c>
      <c r="P2521">
        <f>VLOOKUP(A2521,vlookup_table!$A:$G,4,FALSE)</f>
        <v>6909</v>
      </c>
      <c r="Q2521" t="str">
        <f>VLOOKUP(A2521,vlookup_table!$A:$G,5,FALSE)</f>
        <v>U1</v>
      </c>
      <c r="R2521" t="str">
        <f>VLOOKUP(A2521,vlookup_table!$A:$G,6,FALSE)</f>
        <v>F</v>
      </c>
      <c r="S2521">
        <f>VLOOKUP(A2521,vlookup_table!$A:$G,7,FALSE)</f>
        <v>13</v>
      </c>
      <c r="T2521">
        <f t="shared" si="78"/>
        <v>27</v>
      </c>
      <c r="U2521" t="str">
        <f t="shared" si="79"/>
        <v>Urbano</v>
      </c>
    </row>
    <row r="2522" spans="1:21" ht="16" x14ac:dyDescent="0.4">
      <c r="A2522" s="7">
        <v>96441</v>
      </c>
      <c r="B2522" s="7" t="s">
        <v>16</v>
      </c>
      <c r="C2522" s="7" t="s">
        <v>14</v>
      </c>
      <c r="D2522" s="7">
        <v>915</v>
      </c>
      <c r="E2522" s="7">
        <v>524</v>
      </c>
      <c r="F2522" s="7">
        <v>592</v>
      </c>
      <c r="G2522" s="7">
        <v>1</v>
      </c>
      <c r="H2522" s="7">
        <v>18503</v>
      </c>
      <c r="I2522" s="7">
        <v>1</v>
      </c>
      <c r="J2522" s="7">
        <v>79</v>
      </c>
      <c r="K2522" s="7">
        <v>547</v>
      </c>
      <c r="L2522" s="7">
        <v>573</v>
      </c>
      <c r="M2522" s="7">
        <v>14.7</v>
      </c>
      <c r="N2522">
        <f>VLOOKUP(A2522,vlookup_table!$A:$G,2,FALSE)</f>
        <v>0</v>
      </c>
      <c r="O2522" t="str">
        <f>VLOOKUP(A2522,vlookup_table!$A:$G,3,FALSE)</f>
        <v>IL</v>
      </c>
      <c r="P2522">
        <f>VLOOKUP(A2522,vlookup_table!$A:$G,4,FALSE)</f>
        <v>2409</v>
      </c>
      <c r="Q2522" t="str">
        <f>VLOOKUP(A2522,vlookup_table!$A:$G,5,FALSE)</f>
        <v>T1</v>
      </c>
      <c r="R2522" t="str">
        <f>VLOOKUP(A2522,vlookup_table!$A:$G,6,FALSE)</f>
        <v>M</v>
      </c>
      <c r="S2522">
        <f>VLOOKUP(A2522,vlookup_table!$A:$G,7,FALSE)</f>
        <v>25</v>
      </c>
      <c r="T2522">
        <f t="shared" si="78"/>
        <v>72</v>
      </c>
      <c r="U2522" t="str">
        <f t="shared" si="79"/>
        <v>Pueblo</v>
      </c>
    </row>
    <row r="2523" spans="1:21" ht="16" x14ac:dyDescent="0.4">
      <c r="A2523" s="7">
        <v>177190</v>
      </c>
      <c r="B2523" s="7" t="s">
        <v>47</v>
      </c>
      <c r="C2523" s="7" t="s">
        <v>17</v>
      </c>
      <c r="D2523" s="7">
        <v>478</v>
      </c>
      <c r="E2523" s="7">
        <v>213</v>
      </c>
      <c r="F2523" s="7">
        <v>264</v>
      </c>
      <c r="G2523" s="7">
        <v>0</v>
      </c>
      <c r="H2523" s="7">
        <v>8810</v>
      </c>
      <c r="I2523" s="7">
        <v>1</v>
      </c>
      <c r="J2523" s="7">
        <v>51</v>
      </c>
      <c r="K2523" s="7">
        <v>243</v>
      </c>
      <c r="L2523" s="7">
        <v>230</v>
      </c>
      <c r="M2523" s="7">
        <v>7.25</v>
      </c>
      <c r="N2523">
        <f>VLOOKUP(A2523,vlookup_table!$A:$G,2,FALSE)</f>
        <v>28</v>
      </c>
      <c r="O2523" t="str">
        <f>VLOOKUP(A2523,vlookup_table!$A:$G,3,FALSE)</f>
        <v>OR</v>
      </c>
      <c r="P2523">
        <f>VLOOKUP(A2523,vlookup_table!$A:$G,4,FALSE)</f>
        <v>0</v>
      </c>
      <c r="Q2523" t="str">
        <f>VLOOKUP(A2523,vlookup_table!$A:$G,5,FALSE)</f>
        <v>C3</v>
      </c>
      <c r="R2523" t="str">
        <f>VLOOKUP(A2523,vlookup_table!$A:$G,6,FALSE)</f>
        <v>F</v>
      </c>
      <c r="S2523">
        <f>VLOOKUP(A2523,vlookup_table!$A:$G,7,FALSE)</f>
        <v>8</v>
      </c>
      <c r="T2523">
        <f t="shared" si="78"/>
        <v>96</v>
      </c>
      <c r="U2523" t="str">
        <f t="shared" si="79"/>
        <v>Ciudad</v>
      </c>
    </row>
    <row r="2524" spans="1:21" ht="16" x14ac:dyDescent="0.4">
      <c r="A2524" s="7">
        <v>113502</v>
      </c>
      <c r="B2524" s="7" t="s">
        <v>28</v>
      </c>
      <c r="C2524" s="7" t="s">
        <v>17</v>
      </c>
      <c r="D2524" s="7">
        <v>236</v>
      </c>
      <c r="E2524" s="7">
        <v>203</v>
      </c>
      <c r="F2524" s="7">
        <v>317</v>
      </c>
      <c r="G2524" s="7">
        <v>0</v>
      </c>
      <c r="H2524" s="7">
        <v>12434</v>
      </c>
      <c r="I2524" s="7">
        <v>0</v>
      </c>
      <c r="J2524" s="7">
        <v>75</v>
      </c>
      <c r="K2524" s="7">
        <v>250</v>
      </c>
      <c r="L2524" s="7">
        <v>285</v>
      </c>
      <c r="M2524" s="7">
        <v>5.875</v>
      </c>
      <c r="N2524">
        <f>VLOOKUP(A2524,vlookup_table!$A:$G,2,FALSE)</f>
        <v>2</v>
      </c>
      <c r="O2524" t="str">
        <f>VLOOKUP(A2524,vlookup_table!$A:$G,3,FALSE)</f>
        <v>OK</v>
      </c>
      <c r="P2524">
        <f>VLOOKUP(A2524,vlookup_table!$A:$G,4,FALSE)</f>
        <v>601</v>
      </c>
      <c r="Q2524" t="str">
        <f>VLOOKUP(A2524,vlookup_table!$A:$G,5,FALSE)</f>
        <v>C2</v>
      </c>
      <c r="R2524" t="str">
        <f>VLOOKUP(A2524,vlookup_table!$A:$G,6,FALSE)</f>
        <v>F</v>
      </c>
      <c r="S2524">
        <f>VLOOKUP(A2524,vlookup_table!$A:$G,7,FALSE)</f>
        <v>7</v>
      </c>
      <c r="T2524">
        <f t="shared" si="78"/>
        <v>36</v>
      </c>
      <c r="U2524" t="str">
        <f t="shared" si="79"/>
        <v>Ciudad</v>
      </c>
    </row>
    <row r="2525" spans="1:21" ht="16" x14ac:dyDescent="0.4">
      <c r="A2525" s="7">
        <v>175016</v>
      </c>
      <c r="B2525" s="7" t="s">
        <v>47</v>
      </c>
      <c r="C2525" s="7" t="s">
        <v>17</v>
      </c>
      <c r="D2525" s="7">
        <v>734</v>
      </c>
      <c r="E2525" s="7">
        <v>366</v>
      </c>
      <c r="F2525" s="7">
        <v>448</v>
      </c>
      <c r="G2525" s="7">
        <v>1</v>
      </c>
      <c r="H2525" s="7">
        <v>14179</v>
      </c>
      <c r="I2525" s="7">
        <v>4</v>
      </c>
      <c r="J2525" s="7">
        <v>51</v>
      </c>
      <c r="K2525" s="7">
        <v>427</v>
      </c>
      <c r="L2525" s="7">
        <v>398</v>
      </c>
      <c r="M2525" s="7">
        <v>8.3333333330000006</v>
      </c>
      <c r="N2525">
        <f>VLOOKUP(A2525,vlookup_table!$A:$G,2,FALSE)</f>
        <v>2</v>
      </c>
      <c r="O2525" t="str">
        <f>VLOOKUP(A2525,vlookup_table!$A:$G,3,FALSE)</f>
        <v>OR</v>
      </c>
      <c r="P2525">
        <f>VLOOKUP(A2525,vlookup_table!$A:$G,4,FALSE)</f>
        <v>0</v>
      </c>
      <c r="Q2525" t="str">
        <f>VLOOKUP(A2525,vlookup_table!$A:$G,5,FALSE)</f>
        <v>T2</v>
      </c>
      <c r="R2525" t="str">
        <f>VLOOKUP(A2525,vlookup_table!$A:$G,6,FALSE)</f>
        <v>F</v>
      </c>
      <c r="S2525">
        <f>VLOOKUP(A2525,vlookup_table!$A:$G,7,FALSE)</f>
        <v>9</v>
      </c>
      <c r="T2525">
        <f t="shared" si="78"/>
        <v>96</v>
      </c>
      <c r="U2525" t="str">
        <f t="shared" si="79"/>
        <v>Pueblo</v>
      </c>
    </row>
    <row r="2526" spans="1:21" ht="16" x14ac:dyDescent="0.4">
      <c r="A2526" s="7">
        <v>150644</v>
      </c>
      <c r="B2526" s="7" t="s">
        <v>21</v>
      </c>
      <c r="C2526" s="7" t="s">
        <v>17</v>
      </c>
      <c r="D2526" s="7">
        <v>3304</v>
      </c>
      <c r="E2526" s="7">
        <v>567</v>
      </c>
      <c r="F2526" s="7">
        <v>669</v>
      </c>
      <c r="G2526" s="7">
        <v>82</v>
      </c>
      <c r="H2526" s="7">
        <v>21745</v>
      </c>
      <c r="I2526" s="7">
        <v>42</v>
      </c>
      <c r="J2526" s="7">
        <v>37</v>
      </c>
      <c r="K2526" s="7">
        <v>614</v>
      </c>
      <c r="L2526" s="7">
        <v>629</v>
      </c>
      <c r="M2526" s="7">
        <v>32.5</v>
      </c>
      <c r="N2526">
        <f>VLOOKUP(A2526,vlookup_table!$A:$G,2,FALSE)</f>
        <v>0</v>
      </c>
      <c r="O2526" t="str">
        <f>VLOOKUP(A2526,vlookup_table!$A:$G,3,FALSE)</f>
        <v>CA</v>
      </c>
      <c r="P2526">
        <f>VLOOKUP(A2526,vlookup_table!$A:$G,4,FALSE)</f>
        <v>4801</v>
      </c>
      <c r="Q2526" t="str">
        <f>VLOOKUP(A2526,vlookup_table!$A:$G,5,FALSE)</f>
        <v>U1</v>
      </c>
      <c r="R2526" t="str">
        <f>VLOOKUP(A2526,vlookup_table!$A:$G,6,FALSE)</f>
        <v>F</v>
      </c>
      <c r="S2526">
        <f>VLOOKUP(A2526,vlookup_table!$A:$G,7,FALSE)</f>
        <v>35</v>
      </c>
      <c r="T2526">
        <f t="shared" si="78"/>
        <v>48</v>
      </c>
      <c r="U2526" t="str">
        <f t="shared" si="79"/>
        <v>Urbano</v>
      </c>
    </row>
    <row r="2527" spans="1:21" ht="16" x14ac:dyDescent="0.4">
      <c r="A2527" s="7">
        <v>50003</v>
      </c>
      <c r="B2527" s="7" t="s">
        <v>49</v>
      </c>
      <c r="C2527" s="7" t="s">
        <v>17</v>
      </c>
      <c r="D2527" s="7">
        <v>591</v>
      </c>
      <c r="E2527" s="7">
        <v>194</v>
      </c>
      <c r="F2527" s="7">
        <v>237</v>
      </c>
      <c r="G2527" s="7">
        <v>0</v>
      </c>
      <c r="H2527" s="7">
        <v>8445</v>
      </c>
      <c r="I2527" s="7">
        <v>7</v>
      </c>
      <c r="J2527" s="7">
        <v>16</v>
      </c>
      <c r="K2527" s="7">
        <v>200</v>
      </c>
      <c r="L2527" s="7">
        <v>233</v>
      </c>
      <c r="M2527" s="7">
        <v>7.6190476189999998</v>
      </c>
      <c r="N2527">
        <f>VLOOKUP(A2527,vlookup_table!$A:$G,2,FALSE)</f>
        <v>2</v>
      </c>
      <c r="O2527" t="str">
        <f>VLOOKUP(A2527,vlookup_table!$A:$G,3,FALSE)</f>
        <v>TN</v>
      </c>
      <c r="P2527">
        <f>VLOOKUP(A2527,vlookup_table!$A:$G,4,FALSE)</f>
        <v>2706</v>
      </c>
      <c r="Q2527" t="str">
        <f>VLOOKUP(A2527,vlookup_table!$A:$G,5,FALSE)</f>
        <v>T2</v>
      </c>
      <c r="R2527" t="str">
        <f>VLOOKUP(A2527,vlookup_table!$A:$G,6,FALSE)</f>
        <v>F</v>
      </c>
      <c r="S2527">
        <f>VLOOKUP(A2527,vlookup_table!$A:$G,7,FALSE)</f>
        <v>10</v>
      </c>
      <c r="T2527">
        <f t="shared" si="78"/>
        <v>69</v>
      </c>
      <c r="U2527" t="str">
        <f t="shared" si="79"/>
        <v>Pueblo</v>
      </c>
    </row>
    <row r="2528" spans="1:21" ht="16" x14ac:dyDescent="0.4">
      <c r="A2528" s="7">
        <v>106896</v>
      </c>
      <c r="B2528" s="7" t="s">
        <v>55</v>
      </c>
      <c r="C2528" s="7" t="s">
        <v>17</v>
      </c>
      <c r="D2528" s="7">
        <v>643</v>
      </c>
      <c r="E2528" s="7">
        <v>300</v>
      </c>
      <c r="F2528" s="7">
        <v>472</v>
      </c>
      <c r="G2528" s="7">
        <v>1</v>
      </c>
      <c r="H2528" s="7">
        <v>15003</v>
      </c>
      <c r="I2528" s="7">
        <v>1</v>
      </c>
      <c r="J2528" s="7">
        <v>65</v>
      </c>
      <c r="K2528" s="7">
        <v>384</v>
      </c>
      <c r="L2528" s="7">
        <v>396</v>
      </c>
      <c r="M2528" s="7">
        <v>6.25</v>
      </c>
      <c r="N2528">
        <f>VLOOKUP(A2528,vlookup_table!$A:$G,2,FALSE)</f>
        <v>0</v>
      </c>
      <c r="O2528" t="str">
        <f>VLOOKUP(A2528,vlookup_table!$A:$G,3,FALSE)</f>
        <v>NE</v>
      </c>
      <c r="P2528">
        <f>VLOOKUP(A2528,vlookup_table!$A:$G,4,FALSE)</f>
        <v>2401</v>
      </c>
      <c r="Q2528" t="str">
        <f>VLOOKUP(A2528,vlookup_table!$A:$G,5,FALSE)</f>
        <v>S2</v>
      </c>
      <c r="R2528" t="str">
        <f>VLOOKUP(A2528,vlookup_table!$A:$G,6,FALSE)</f>
        <v>F</v>
      </c>
      <c r="S2528">
        <f>VLOOKUP(A2528,vlookup_table!$A:$G,7,FALSE)</f>
        <v>5</v>
      </c>
      <c r="T2528">
        <f t="shared" si="78"/>
        <v>72</v>
      </c>
      <c r="U2528" t="str">
        <f t="shared" si="79"/>
        <v>Suburbano</v>
      </c>
    </row>
    <row r="2529" spans="1:21" ht="16" x14ac:dyDescent="0.4">
      <c r="A2529" s="7">
        <v>14898</v>
      </c>
      <c r="B2529" s="7" t="s">
        <v>25</v>
      </c>
      <c r="C2529" s="7" t="s">
        <v>14</v>
      </c>
      <c r="D2529" s="7">
        <v>3939</v>
      </c>
      <c r="E2529" s="7">
        <v>1144</v>
      </c>
      <c r="F2529" s="7">
        <v>1068</v>
      </c>
      <c r="G2529" s="7">
        <v>94</v>
      </c>
      <c r="H2529" s="7">
        <v>79386</v>
      </c>
      <c r="I2529" s="7">
        <v>3</v>
      </c>
      <c r="J2529" s="7">
        <v>18</v>
      </c>
      <c r="K2529" s="7">
        <v>1344</v>
      </c>
      <c r="L2529" s="7">
        <v>1036</v>
      </c>
      <c r="M2529" s="7">
        <v>9.8571428569999995</v>
      </c>
      <c r="N2529">
        <f>VLOOKUP(A2529,vlookup_table!$A:$G,2,FALSE)</f>
        <v>1</v>
      </c>
      <c r="O2529" t="str">
        <f>VLOOKUP(A2529,vlookup_table!$A:$G,3,FALSE)</f>
        <v>KS</v>
      </c>
      <c r="P2529">
        <f>VLOOKUP(A2529,vlookup_table!$A:$G,4,FALSE)</f>
        <v>1408</v>
      </c>
      <c r="Q2529" t="str">
        <f>VLOOKUP(A2529,vlookup_table!$A:$G,5,FALSE)</f>
        <v>S1</v>
      </c>
      <c r="R2529" t="str">
        <f>VLOOKUP(A2529,vlookup_table!$A:$G,6,FALSE)</f>
        <v>M</v>
      </c>
      <c r="S2529">
        <f>VLOOKUP(A2529,vlookup_table!$A:$G,7,FALSE)</f>
        <v>15</v>
      </c>
      <c r="T2529">
        <f t="shared" si="78"/>
        <v>82</v>
      </c>
      <c r="U2529" t="str">
        <f t="shared" si="79"/>
        <v>Suburbano</v>
      </c>
    </row>
    <row r="2530" spans="1:21" ht="16" x14ac:dyDescent="0.4">
      <c r="A2530" s="7">
        <v>139463</v>
      </c>
      <c r="B2530" s="7" t="s">
        <v>50</v>
      </c>
      <c r="C2530" s="7" t="s">
        <v>17</v>
      </c>
      <c r="D2530" s="7">
        <v>690</v>
      </c>
      <c r="E2530" s="7">
        <v>328</v>
      </c>
      <c r="F2530" s="7">
        <v>370</v>
      </c>
      <c r="G2530" s="7">
        <v>0</v>
      </c>
      <c r="H2530" s="7">
        <v>12881</v>
      </c>
      <c r="I2530" s="7">
        <v>6</v>
      </c>
      <c r="J2530" s="7">
        <v>50</v>
      </c>
      <c r="K2530" s="7">
        <v>361</v>
      </c>
      <c r="L2530" s="7">
        <v>340</v>
      </c>
      <c r="M2530" s="7">
        <v>6.8</v>
      </c>
      <c r="N2530">
        <f>VLOOKUP(A2530,vlookup_table!$A:$G,2,FALSE)</f>
        <v>28</v>
      </c>
      <c r="O2530" t="str">
        <f>VLOOKUP(A2530,vlookup_table!$A:$G,3,FALSE)</f>
        <v>NM</v>
      </c>
      <c r="P2530">
        <f>VLOOKUP(A2530,vlookup_table!$A:$G,4,FALSE)</f>
        <v>4901</v>
      </c>
      <c r="Q2530" t="str">
        <f>VLOOKUP(A2530,vlookup_table!$A:$G,5,FALSE)</f>
        <v>U2</v>
      </c>
      <c r="R2530" t="str">
        <f>VLOOKUP(A2530,vlookup_table!$A:$G,6,FALSE)</f>
        <v>F</v>
      </c>
      <c r="S2530">
        <f>VLOOKUP(A2530,vlookup_table!$A:$G,7,FALSE)</f>
        <v>9</v>
      </c>
      <c r="T2530">
        <f t="shared" si="78"/>
        <v>47</v>
      </c>
      <c r="U2530" t="str">
        <f t="shared" si="79"/>
        <v>Urbano</v>
      </c>
    </row>
    <row r="2531" spans="1:21" ht="16" x14ac:dyDescent="0.4">
      <c r="A2531" s="7">
        <v>12900</v>
      </c>
      <c r="B2531" s="7" t="s">
        <v>37</v>
      </c>
      <c r="C2531" s="7" t="s">
        <v>17</v>
      </c>
      <c r="D2531" s="7">
        <v>1351</v>
      </c>
      <c r="E2531" s="7">
        <v>430</v>
      </c>
      <c r="F2531" s="7">
        <v>538</v>
      </c>
      <c r="G2531" s="7">
        <v>7</v>
      </c>
      <c r="H2531" s="7">
        <v>18642</v>
      </c>
      <c r="I2531" s="7">
        <v>12</v>
      </c>
      <c r="J2531" s="7">
        <v>45</v>
      </c>
      <c r="K2531" s="7">
        <v>526</v>
      </c>
      <c r="L2531" s="7">
        <v>466</v>
      </c>
      <c r="M2531" s="7">
        <v>7.3333333329999997</v>
      </c>
      <c r="N2531">
        <f>VLOOKUP(A2531,vlookup_table!$A:$G,2,FALSE)</f>
        <v>0</v>
      </c>
      <c r="O2531" t="str">
        <f>VLOOKUP(A2531,vlookup_table!$A:$G,3,FALSE)</f>
        <v>WA</v>
      </c>
      <c r="P2531">
        <f>VLOOKUP(A2531,vlookup_table!$A:$G,4,FALSE)</f>
        <v>0</v>
      </c>
      <c r="Q2531" t="str">
        <f>VLOOKUP(A2531,vlookup_table!$A:$G,5,FALSE)</f>
        <v>S1</v>
      </c>
      <c r="R2531" t="str">
        <f>VLOOKUP(A2531,vlookup_table!$A:$G,6,FALSE)</f>
        <v>F</v>
      </c>
      <c r="S2531">
        <f>VLOOKUP(A2531,vlookup_table!$A:$G,7,FALSE)</f>
        <v>5</v>
      </c>
      <c r="T2531">
        <f t="shared" si="78"/>
        <v>96</v>
      </c>
      <c r="U2531" t="str">
        <f t="shared" si="79"/>
        <v>Suburbano</v>
      </c>
    </row>
    <row r="2532" spans="1:21" ht="16" x14ac:dyDescent="0.4">
      <c r="A2532" s="7">
        <v>60897</v>
      </c>
      <c r="B2532" s="7" t="s">
        <v>30</v>
      </c>
      <c r="C2532" s="7" t="s">
        <v>17</v>
      </c>
      <c r="D2532" s="7">
        <v>496</v>
      </c>
      <c r="E2532" s="7">
        <v>345</v>
      </c>
      <c r="F2532" s="7">
        <v>378</v>
      </c>
      <c r="G2532" s="7">
        <v>0</v>
      </c>
      <c r="H2532" s="7">
        <v>12641</v>
      </c>
      <c r="I2532" s="7">
        <v>3</v>
      </c>
      <c r="J2532" s="7">
        <v>64</v>
      </c>
      <c r="K2532" s="7">
        <v>373</v>
      </c>
      <c r="L2532" s="7">
        <v>337</v>
      </c>
      <c r="M2532" s="7">
        <v>3.2222222220000001</v>
      </c>
      <c r="N2532">
        <f>VLOOKUP(A2532,vlookup_table!$A:$G,2,FALSE)</f>
        <v>0</v>
      </c>
      <c r="O2532" t="str">
        <f>VLOOKUP(A2532,vlookup_table!$A:$G,3,FALSE)</f>
        <v>IN</v>
      </c>
      <c r="P2532">
        <f>VLOOKUP(A2532,vlookup_table!$A:$G,4,FALSE)</f>
        <v>0</v>
      </c>
      <c r="Q2532" t="str">
        <f>VLOOKUP(A2532,vlookup_table!$A:$G,5,FALSE)</f>
        <v>S2</v>
      </c>
      <c r="R2532" t="str">
        <f>VLOOKUP(A2532,vlookup_table!$A:$G,6,FALSE)</f>
        <v>F</v>
      </c>
      <c r="S2532">
        <f>VLOOKUP(A2532,vlookup_table!$A:$G,7,FALSE)</f>
        <v>5</v>
      </c>
      <c r="T2532">
        <f t="shared" si="78"/>
        <v>96</v>
      </c>
      <c r="U2532" t="str">
        <f t="shared" si="79"/>
        <v>Suburbano</v>
      </c>
    </row>
    <row r="2533" spans="1:21" ht="16" x14ac:dyDescent="0.4">
      <c r="A2533" s="7">
        <v>5180</v>
      </c>
      <c r="B2533" s="7" t="s">
        <v>47</v>
      </c>
      <c r="C2533" s="7" t="s">
        <v>17</v>
      </c>
      <c r="D2533" s="7">
        <v>469</v>
      </c>
      <c r="E2533" s="7">
        <v>285</v>
      </c>
      <c r="F2533" s="7">
        <v>311</v>
      </c>
      <c r="G2533" s="7">
        <v>0</v>
      </c>
      <c r="H2533" s="7">
        <v>11456</v>
      </c>
      <c r="I2533" s="7">
        <v>1</v>
      </c>
      <c r="J2533" s="7">
        <v>57</v>
      </c>
      <c r="K2533" s="7">
        <v>300</v>
      </c>
      <c r="L2533" s="7">
        <v>288</v>
      </c>
      <c r="M2533" s="7">
        <v>9.3939393940000002</v>
      </c>
      <c r="N2533">
        <f>VLOOKUP(A2533,vlookup_table!$A:$G,2,FALSE)</f>
        <v>2</v>
      </c>
      <c r="O2533" t="str">
        <f>VLOOKUP(A2533,vlookup_table!$A:$G,3,FALSE)</f>
        <v>OR</v>
      </c>
      <c r="P2533">
        <f>VLOOKUP(A2533,vlookup_table!$A:$G,4,FALSE)</f>
        <v>1901</v>
      </c>
      <c r="Q2533" t="str">
        <f>VLOOKUP(A2533,vlookup_table!$A:$G,5,FALSE)</f>
        <v>S2</v>
      </c>
      <c r="R2533" t="str">
        <f>VLOOKUP(A2533,vlookup_table!$A:$G,6,FALSE)</f>
        <v>F</v>
      </c>
      <c r="S2533">
        <f>VLOOKUP(A2533,vlookup_table!$A:$G,7,FALSE)</f>
        <v>13</v>
      </c>
      <c r="T2533">
        <f t="shared" si="78"/>
        <v>77</v>
      </c>
      <c r="U2533" t="str">
        <f t="shared" si="79"/>
        <v>Suburbano</v>
      </c>
    </row>
    <row r="2534" spans="1:21" ht="16" x14ac:dyDescent="0.4">
      <c r="A2534" s="7">
        <v>137835</v>
      </c>
      <c r="B2534" s="7" t="s">
        <v>51</v>
      </c>
      <c r="C2534" s="7" t="s">
        <v>97</v>
      </c>
      <c r="D2534" s="7">
        <v>560</v>
      </c>
      <c r="E2534" s="7">
        <v>191</v>
      </c>
      <c r="F2534" s="7">
        <v>317</v>
      </c>
      <c r="G2534" s="7">
        <v>0</v>
      </c>
      <c r="H2534" s="7">
        <v>10191</v>
      </c>
      <c r="I2534" s="7">
        <v>4</v>
      </c>
      <c r="J2534" s="7">
        <v>42</v>
      </c>
      <c r="K2534" s="7">
        <v>202</v>
      </c>
      <c r="L2534" s="7">
        <v>274</v>
      </c>
      <c r="M2534" s="7">
        <v>13.66666667</v>
      </c>
      <c r="N2534">
        <f>VLOOKUP(A2534,vlookup_table!$A:$G,2,FALSE)</f>
        <v>28</v>
      </c>
      <c r="O2534" t="str">
        <f>VLOOKUP(A2534,vlookup_table!$A:$G,3,FALSE)</f>
        <v>AZ</v>
      </c>
      <c r="P2534">
        <f>VLOOKUP(A2534,vlookup_table!$A:$G,4,FALSE)</f>
        <v>0</v>
      </c>
      <c r="Q2534" t="str">
        <f>VLOOKUP(A2534,vlookup_table!$A:$G,5,FALSE)</f>
        <v>T2</v>
      </c>
      <c r="R2534" t="str">
        <f>VLOOKUP(A2534,vlookup_table!$A:$G,6,FALSE)</f>
        <v>F</v>
      </c>
      <c r="S2534">
        <f>VLOOKUP(A2534,vlookup_table!$A:$G,7,FALSE)</f>
        <v>11</v>
      </c>
      <c r="T2534">
        <f t="shared" si="78"/>
        <v>96</v>
      </c>
      <c r="U2534" t="str">
        <f t="shared" si="79"/>
        <v>Pueblo</v>
      </c>
    </row>
    <row r="2535" spans="1:21" ht="16" x14ac:dyDescent="0.4">
      <c r="A2535" s="7">
        <v>2867</v>
      </c>
      <c r="B2535" s="7" t="s">
        <v>28</v>
      </c>
      <c r="C2535" s="7" t="s">
        <v>17</v>
      </c>
      <c r="D2535" s="7">
        <v>476</v>
      </c>
      <c r="E2535" s="7">
        <v>200</v>
      </c>
      <c r="F2535" s="7">
        <v>296</v>
      </c>
      <c r="G2535" s="7">
        <v>0</v>
      </c>
      <c r="H2535" s="7">
        <v>9379</v>
      </c>
      <c r="I2535" s="7">
        <v>1</v>
      </c>
      <c r="J2535" s="7">
        <v>76</v>
      </c>
      <c r="K2535" s="7">
        <v>235</v>
      </c>
      <c r="L2535" s="7">
        <v>277</v>
      </c>
      <c r="M2535" s="7">
        <v>11.25</v>
      </c>
      <c r="N2535">
        <f>VLOOKUP(A2535,vlookup_table!$A:$G,2,FALSE)</f>
        <v>0</v>
      </c>
      <c r="O2535" t="str">
        <f>VLOOKUP(A2535,vlookup_table!$A:$G,3,FALSE)</f>
        <v>OK</v>
      </c>
      <c r="P2535">
        <f>VLOOKUP(A2535,vlookup_table!$A:$G,4,FALSE)</f>
        <v>0</v>
      </c>
      <c r="Q2535" t="str">
        <f>VLOOKUP(A2535,vlookup_table!$A:$G,5,FALSE)</f>
        <v>R2</v>
      </c>
      <c r="R2535" t="str">
        <f>VLOOKUP(A2535,vlookup_table!$A:$G,6,FALSE)</f>
        <v>F</v>
      </c>
      <c r="S2535">
        <f>VLOOKUP(A2535,vlookup_table!$A:$G,7,FALSE)</f>
        <v>13</v>
      </c>
      <c r="T2535">
        <f t="shared" si="78"/>
        <v>96</v>
      </c>
      <c r="U2535" t="str">
        <f t="shared" si="79"/>
        <v>Rural</v>
      </c>
    </row>
    <row r="2536" spans="1:21" ht="16" x14ac:dyDescent="0.4">
      <c r="A2536" s="7">
        <v>150025</v>
      </c>
      <c r="B2536" s="7" t="s">
        <v>21</v>
      </c>
      <c r="C2536" s="7" t="s">
        <v>17</v>
      </c>
      <c r="D2536" s="7">
        <v>1577</v>
      </c>
      <c r="E2536" s="7">
        <v>364</v>
      </c>
      <c r="F2536" s="7">
        <v>440</v>
      </c>
      <c r="G2536" s="7">
        <v>18</v>
      </c>
      <c r="H2536" s="7">
        <v>12819</v>
      </c>
      <c r="I2536" s="7">
        <v>18</v>
      </c>
      <c r="J2536" s="7">
        <v>56</v>
      </c>
      <c r="K2536" s="7">
        <v>377</v>
      </c>
      <c r="L2536" s="7">
        <v>422</v>
      </c>
      <c r="M2536" s="7">
        <v>6.3529411769999999</v>
      </c>
      <c r="N2536">
        <f>VLOOKUP(A2536,vlookup_table!$A:$G,2,FALSE)</f>
        <v>0</v>
      </c>
      <c r="O2536" t="str">
        <f>VLOOKUP(A2536,vlookup_table!$A:$G,3,FALSE)</f>
        <v>CA</v>
      </c>
      <c r="P2536">
        <f>VLOOKUP(A2536,vlookup_table!$A:$G,4,FALSE)</f>
        <v>2005</v>
      </c>
      <c r="Q2536" t="str">
        <f>VLOOKUP(A2536,vlookup_table!$A:$G,5,FALSE)</f>
        <v>S2</v>
      </c>
      <c r="R2536" t="str">
        <f>VLOOKUP(A2536,vlookup_table!$A:$G,6,FALSE)</f>
        <v>F</v>
      </c>
      <c r="S2536">
        <f>VLOOKUP(A2536,vlookup_table!$A:$G,7,FALSE)</f>
        <v>3</v>
      </c>
      <c r="T2536">
        <f t="shared" si="78"/>
        <v>76</v>
      </c>
      <c r="U2536" t="str">
        <f t="shared" si="79"/>
        <v>Suburbano</v>
      </c>
    </row>
    <row r="2537" spans="1:21" ht="16" x14ac:dyDescent="0.4">
      <c r="A2537" s="7">
        <v>111045</v>
      </c>
      <c r="B2537" s="7" t="s">
        <v>29</v>
      </c>
      <c r="C2537" s="7"/>
      <c r="D2537" s="7">
        <v>428</v>
      </c>
      <c r="E2537" s="7">
        <v>208</v>
      </c>
      <c r="F2537" s="7">
        <v>276</v>
      </c>
      <c r="G2537" s="7">
        <v>1</v>
      </c>
      <c r="H2537" s="7">
        <v>10201</v>
      </c>
      <c r="I2537" s="7">
        <v>0</v>
      </c>
      <c r="J2537" s="7">
        <v>76</v>
      </c>
      <c r="K2537" s="7">
        <v>227</v>
      </c>
      <c r="L2537" s="7">
        <v>251</v>
      </c>
      <c r="M2537" s="7">
        <v>10.35714286</v>
      </c>
      <c r="N2537">
        <f>VLOOKUP(A2537,vlookup_table!$A:$G,2,FALSE)</f>
        <v>0</v>
      </c>
      <c r="O2537" t="str">
        <f>VLOOKUP(A2537,vlookup_table!$A:$G,3,FALSE)</f>
        <v>AR</v>
      </c>
      <c r="P2537">
        <f>VLOOKUP(A2537,vlookup_table!$A:$G,4,FALSE)</f>
        <v>1812</v>
      </c>
      <c r="Q2537" t="str">
        <f>VLOOKUP(A2537,vlookup_table!$A:$G,5,FALSE)</f>
        <v>R2</v>
      </c>
      <c r="R2537" t="str">
        <f>VLOOKUP(A2537,vlookup_table!$A:$G,6,FALSE)</f>
        <v/>
      </c>
      <c r="S2537">
        <f>VLOOKUP(A2537,vlookup_table!$A:$G,7,FALSE)</f>
        <v>10</v>
      </c>
      <c r="T2537">
        <f t="shared" si="78"/>
        <v>78</v>
      </c>
      <c r="U2537" t="str">
        <f t="shared" si="79"/>
        <v>Rural</v>
      </c>
    </row>
    <row r="2538" spans="1:21" ht="16" x14ac:dyDescent="0.4">
      <c r="A2538" s="7">
        <v>3109</v>
      </c>
      <c r="B2538" s="7" t="s">
        <v>16</v>
      </c>
      <c r="C2538" s="7" t="s">
        <v>14</v>
      </c>
      <c r="D2538" s="7">
        <v>1002</v>
      </c>
      <c r="E2538" s="7">
        <v>434</v>
      </c>
      <c r="F2538" s="7">
        <v>597</v>
      </c>
      <c r="G2538" s="7">
        <v>2</v>
      </c>
      <c r="H2538" s="7">
        <v>21023</v>
      </c>
      <c r="I2538" s="7">
        <v>8</v>
      </c>
      <c r="J2538" s="7">
        <v>54</v>
      </c>
      <c r="K2538" s="7">
        <v>566</v>
      </c>
      <c r="L2538" s="7">
        <v>495</v>
      </c>
      <c r="M2538" s="7">
        <v>21.270270270000001</v>
      </c>
      <c r="N2538">
        <f>VLOOKUP(A2538,vlookup_table!$A:$G,2,FALSE)</f>
        <v>0</v>
      </c>
      <c r="O2538" t="str">
        <f>VLOOKUP(A2538,vlookup_table!$A:$G,3,FALSE)</f>
        <v>IL</v>
      </c>
      <c r="P2538">
        <f>VLOOKUP(A2538,vlookup_table!$A:$G,4,FALSE)</f>
        <v>3408</v>
      </c>
      <c r="Q2538" t="str">
        <f>VLOOKUP(A2538,vlookup_table!$A:$G,5,FALSE)</f>
        <v>C1</v>
      </c>
      <c r="R2538" t="str">
        <f>VLOOKUP(A2538,vlookup_table!$A:$G,6,FALSE)</f>
        <v>M</v>
      </c>
      <c r="S2538">
        <f>VLOOKUP(A2538,vlookup_table!$A:$G,7,FALSE)</f>
        <v>25</v>
      </c>
      <c r="T2538">
        <f t="shared" si="78"/>
        <v>62</v>
      </c>
      <c r="U2538" t="str">
        <f t="shared" si="79"/>
        <v>Ciudad</v>
      </c>
    </row>
    <row r="2539" spans="1:21" ht="16" x14ac:dyDescent="0.4">
      <c r="A2539" s="7">
        <v>45134</v>
      </c>
      <c r="B2539" s="7" t="s">
        <v>13</v>
      </c>
      <c r="C2539" s="7" t="s">
        <v>14</v>
      </c>
      <c r="D2539" s="7">
        <v>736</v>
      </c>
      <c r="E2539" s="7">
        <v>235</v>
      </c>
      <c r="F2539" s="7">
        <v>351</v>
      </c>
      <c r="G2539" s="7">
        <v>0</v>
      </c>
      <c r="H2539" s="7">
        <v>14532</v>
      </c>
      <c r="I2539" s="7">
        <v>12</v>
      </c>
      <c r="J2539" s="7">
        <v>11</v>
      </c>
      <c r="K2539" s="7">
        <v>288</v>
      </c>
      <c r="L2539" s="7">
        <v>291</v>
      </c>
      <c r="M2539" s="7">
        <v>12.66666667</v>
      </c>
      <c r="N2539">
        <f>VLOOKUP(A2539,vlookup_table!$A:$G,2,FALSE)</f>
        <v>1</v>
      </c>
      <c r="O2539" t="str">
        <f>VLOOKUP(A2539,vlookup_table!$A:$G,3,FALSE)</f>
        <v>FL</v>
      </c>
      <c r="P2539">
        <f>VLOOKUP(A2539,vlookup_table!$A:$G,4,FALSE)</f>
        <v>1312</v>
      </c>
      <c r="Q2539" t="str">
        <f>VLOOKUP(A2539,vlookup_table!$A:$G,5,FALSE)</f>
        <v>C2</v>
      </c>
      <c r="R2539" t="str">
        <f>VLOOKUP(A2539,vlookup_table!$A:$G,6,FALSE)</f>
        <v>M</v>
      </c>
      <c r="S2539">
        <f>VLOOKUP(A2539,vlookup_table!$A:$G,7,FALSE)</f>
        <v>12</v>
      </c>
      <c r="T2539">
        <f t="shared" si="78"/>
        <v>83</v>
      </c>
      <c r="U2539" t="str">
        <f t="shared" si="79"/>
        <v>Ciudad</v>
      </c>
    </row>
    <row r="2540" spans="1:21" ht="16" x14ac:dyDescent="0.4">
      <c r="A2540" s="7">
        <v>85396</v>
      </c>
      <c r="B2540" s="7" t="s">
        <v>52</v>
      </c>
      <c r="C2540" s="7" t="s">
        <v>17</v>
      </c>
      <c r="D2540" s="7">
        <v>784</v>
      </c>
      <c r="E2540" s="7">
        <v>389</v>
      </c>
      <c r="F2540" s="7">
        <v>491</v>
      </c>
      <c r="G2540" s="7">
        <v>3</v>
      </c>
      <c r="H2540" s="7">
        <v>15497</v>
      </c>
      <c r="I2540" s="7">
        <v>0</v>
      </c>
      <c r="J2540" s="7">
        <v>84</v>
      </c>
      <c r="K2540" s="7">
        <v>436</v>
      </c>
      <c r="L2540" s="7">
        <v>450</v>
      </c>
      <c r="M2540" s="7">
        <v>5.875</v>
      </c>
      <c r="N2540">
        <f>VLOOKUP(A2540,vlookup_table!$A:$G,2,FALSE)</f>
        <v>0</v>
      </c>
      <c r="O2540" t="str">
        <f>VLOOKUP(A2540,vlookup_table!$A:$G,3,FALSE)</f>
        <v>MN</v>
      </c>
      <c r="P2540">
        <f>VLOOKUP(A2540,vlookup_table!$A:$G,4,FALSE)</f>
        <v>6301</v>
      </c>
      <c r="Q2540" t="str">
        <f>VLOOKUP(A2540,vlookup_table!$A:$G,5,FALSE)</f>
        <v>T1</v>
      </c>
      <c r="R2540" t="str">
        <f>VLOOKUP(A2540,vlookup_table!$A:$G,6,FALSE)</f>
        <v>F</v>
      </c>
      <c r="S2540">
        <f>VLOOKUP(A2540,vlookup_table!$A:$G,7,FALSE)</f>
        <v>9</v>
      </c>
      <c r="T2540">
        <f t="shared" si="78"/>
        <v>33</v>
      </c>
      <c r="U2540" t="str">
        <f t="shared" si="79"/>
        <v>Pueblo</v>
      </c>
    </row>
    <row r="2541" spans="1:21" ht="16" x14ac:dyDescent="0.4">
      <c r="A2541" s="7">
        <v>164246</v>
      </c>
      <c r="B2541" s="7" t="s">
        <v>21</v>
      </c>
      <c r="C2541" s="7" t="s">
        <v>17</v>
      </c>
      <c r="D2541" s="7">
        <v>2982</v>
      </c>
      <c r="E2541" s="7">
        <v>609</v>
      </c>
      <c r="F2541" s="7">
        <v>713</v>
      </c>
      <c r="G2541" s="7">
        <v>83</v>
      </c>
      <c r="H2541" s="7">
        <v>21687</v>
      </c>
      <c r="I2541" s="7">
        <v>13</v>
      </c>
      <c r="J2541" s="7">
        <v>54</v>
      </c>
      <c r="K2541" s="7">
        <v>660</v>
      </c>
      <c r="L2541" s="7">
        <v>635</v>
      </c>
      <c r="M2541" s="7">
        <v>7.2352941179999997</v>
      </c>
      <c r="N2541">
        <f>VLOOKUP(A2541,vlookup_table!$A:$G,2,FALSE)</f>
        <v>2</v>
      </c>
      <c r="O2541" t="str">
        <f>VLOOKUP(A2541,vlookup_table!$A:$G,3,FALSE)</f>
        <v>CA</v>
      </c>
      <c r="P2541">
        <f>VLOOKUP(A2541,vlookup_table!$A:$G,4,FALSE)</f>
        <v>5001</v>
      </c>
      <c r="Q2541" t="str">
        <f>VLOOKUP(A2541,vlookup_table!$A:$G,5,FALSE)</f>
        <v>U1</v>
      </c>
      <c r="R2541" t="str">
        <f>VLOOKUP(A2541,vlookup_table!$A:$G,6,FALSE)</f>
        <v>F</v>
      </c>
      <c r="S2541">
        <f>VLOOKUP(A2541,vlookup_table!$A:$G,7,FALSE)</f>
        <v>15</v>
      </c>
      <c r="T2541">
        <f t="shared" si="78"/>
        <v>46</v>
      </c>
      <c r="U2541" t="str">
        <f t="shared" si="79"/>
        <v>Urbano</v>
      </c>
    </row>
    <row r="2542" spans="1:21" ht="16" x14ac:dyDescent="0.4">
      <c r="A2542" s="7">
        <v>49109</v>
      </c>
      <c r="B2542" s="7" t="s">
        <v>40</v>
      </c>
      <c r="C2542" s="7"/>
      <c r="D2542" s="7">
        <v>394</v>
      </c>
      <c r="E2542" s="7">
        <v>248</v>
      </c>
      <c r="F2542" s="7">
        <v>313</v>
      </c>
      <c r="G2542" s="7">
        <v>0</v>
      </c>
      <c r="H2542" s="7">
        <v>10581</v>
      </c>
      <c r="I2542" s="7">
        <v>0</v>
      </c>
      <c r="J2542" s="7">
        <v>81</v>
      </c>
      <c r="K2542" s="7">
        <v>281</v>
      </c>
      <c r="L2542" s="7">
        <v>272</v>
      </c>
      <c r="M2542" s="7">
        <v>5.2857142860000002</v>
      </c>
      <c r="N2542">
        <f>VLOOKUP(A2542,vlookup_table!$A:$G,2,FALSE)</f>
        <v>0</v>
      </c>
      <c r="O2542" t="str">
        <f>VLOOKUP(A2542,vlookup_table!$A:$G,3,FALSE)</f>
        <v>AL</v>
      </c>
      <c r="P2542">
        <f>VLOOKUP(A2542,vlookup_table!$A:$G,4,FALSE)</f>
        <v>0</v>
      </c>
      <c r="Q2542" t="str">
        <f>VLOOKUP(A2542,vlookup_table!$A:$G,5,FALSE)</f>
        <v>R2</v>
      </c>
      <c r="R2542" t="str">
        <f>VLOOKUP(A2542,vlookup_table!$A:$G,6,FALSE)</f>
        <v/>
      </c>
      <c r="S2542">
        <f>VLOOKUP(A2542,vlookup_table!$A:$G,7,FALSE)</f>
        <v>6</v>
      </c>
      <c r="T2542">
        <f t="shared" si="78"/>
        <v>96</v>
      </c>
      <c r="U2542" t="str">
        <f t="shared" si="79"/>
        <v>Rural</v>
      </c>
    </row>
    <row r="2543" spans="1:21" ht="16" x14ac:dyDescent="0.4">
      <c r="A2543" s="7">
        <v>127346</v>
      </c>
      <c r="B2543" s="7" t="s">
        <v>64</v>
      </c>
      <c r="C2543" s="7" t="s">
        <v>17</v>
      </c>
      <c r="D2543" s="7">
        <v>2189</v>
      </c>
      <c r="E2543" s="7">
        <v>656</v>
      </c>
      <c r="F2543" s="7">
        <v>723</v>
      </c>
      <c r="G2543" s="7">
        <v>63</v>
      </c>
      <c r="H2543" s="7">
        <v>22182</v>
      </c>
      <c r="I2543" s="7">
        <v>3</v>
      </c>
      <c r="J2543" s="7">
        <v>61</v>
      </c>
      <c r="K2543" s="7">
        <v>664</v>
      </c>
      <c r="L2543" s="7">
        <v>711</v>
      </c>
      <c r="M2543" s="7">
        <v>15</v>
      </c>
      <c r="N2543">
        <f>VLOOKUP(A2543,vlookup_table!$A:$G,2,FALSE)</f>
        <v>0</v>
      </c>
      <c r="O2543" t="str">
        <f>VLOOKUP(A2543,vlookup_table!$A:$G,3,FALSE)</f>
        <v>PA</v>
      </c>
      <c r="P2543">
        <f>VLOOKUP(A2543,vlookup_table!$A:$G,4,FALSE)</f>
        <v>5001</v>
      </c>
      <c r="Q2543" t="str">
        <f>VLOOKUP(A2543,vlookup_table!$A:$G,5,FALSE)</f>
        <v>S1</v>
      </c>
      <c r="R2543" t="str">
        <f>VLOOKUP(A2543,vlookup_table!$A:$G,6,FALSE)</f>
        <v>F</v>
      </c>
      <c r="S2543">
        <f>VLOOKUP(A2543,vlookup_table!$A:$G,7,FALSE)</f>
        <v>10</v>
      </c>
      <c r="T2543">
        <f t="shared" si="78"/>
        <v>46</v>
      </c>
      <c r="U2543" t="str">
        <f t="shared" si="79"/>
        <v>Suburbano</v>
      </c>
    </row>
    <row r="2544" spans="1:21" ht="16" x14ac:dyDescent="0.4">
      <c r="A2544" s="7">
        <v>54123</v>
      </c>
      <c r="B2544" s="7" t="s">
        <v>49</v>
      </c>
      <c r="C2544" s="7" t="s">
        <v>17</v>
      </c>
      <c r="D2544" s="7">
        <v>452</v>
      </c>
      <c r="E2544" s="7">
        <v>193</v>
      </c>
      <c r="F2544" s="7">
        <v>270</v>
      </c>
      <c r="G2544" s="7">
        <v>0</v>
      </c>
      <c r="H2544" s="7">
        <v>9283</v>
      </c>
      <c r="I2544" s="7">
        <v>0</v>
      </c>
      <c r="J2544" s="7">
        <v>79</v>
      </c>
      <c r="K2544" s="7">
        <v>256</v>
      </c>
      <c r="L2544" s="7">
        <v>230</v>
      </c>
      <c r="M2544" s="7">
        <v>5</v>
      </c>
      <c r="N2544">
        <f>VLOOKUP(A2544,vlookup_table!$A:$G,2,FALSE)</f>
        <v>0</v>
      </c>
      <c r="O2544" t="str">
        <f>VLOOKUP(A2544,vlookup_table!$A:$G,3,FALSE)</f>
        <v>TN</v>
      </c>
      <c r="P2544">
        <f>VLOOKUP(A2544,vlookup_table!$A:$G,4,FALSE)</f>
        <v>0</v>
      </c>
      <c r="Q2544" t="str">
        <f>VLOOKUP(A2544,vlookup_table!$A:$G,5,FALSE)</f>
        <v>T2</v>
      </c>
      <c r="R2544" t="str">
        <f>VLOOKUP(A2544,vlookup_table!$A:$G,6,FALSE)</f>
        <v>F</v>
      </c>
      <c r="S2544">
        <f>VLOOKUP(A2544,vlookup_table!$A:$G,7,FALSE)</f>
        <v>5</v>
      </c>
      <c r="T2544">
        <f t="shared" si="78"/>
        <v>96</v>
      </c>
      <c r="U2544" t="str">
        <f t="shared" si="79"/>
        <v>Pueblo</v>
      </c>
    </row>
    <row r="2545" spans="1:21" ht="16" x14ac:dyDescent="0.4">
      <c r="A2545" s="7">
        <v>125999</v>
      </c>
      <c r="B2545" s="7" t="s">
        <v>20</v>
      </c>
      <c r="C2545" s="7" t="s">
        <v>17</v>
      </c>
      <c r="D2545" s="7">
        <v>281</v>
      </c>
      <c r="E2545" s="7">
        <v>138</v>
      </c>
      <c r="F2545" s="7">
        <v>193</v>
      </c>
      <c r="G2545" s="7">
        <v>0</v>
      </c>
      <c r="H2545" s="7">
        <v>5843</v>
      </c>
      <c r="I2545" s="7">
        <v>8</v>
      </c>
      <c r="J2545" s="7">
        <v>89</v>
      </c>
      <c r="K2545" s="7">
        <v>158</v>
      </c>
      <c r="L2545" s="7">
        <v>173</v>
      </c>
      <c r="M2545" s="7">
        <v>9.4090909089999997</v>
      </c>
      <c r="N2545">
        <f>VLOOKUP(A2545,vlookup_table!$A:$G,2,FALSE)</f>
        <v>2</v>
      </c>
      <c r="O2545" t="str">
        <f>VLOOKUP(A2545,vlookup_table!$A:$G,3,FALSE)</f>
        <v>TX</v>
      </c>
      <c r="P2545">
        <f>VLOOKUP(A2545,vlookup_table!$A:$G,4,FALSE)</f>
        <v>5701</v>
      </c>
      <c r="Q2545" t="str">
        <f>VLOOKUP(A2545,vlookup_table!$A:$G,5,FALSE)</f>
        <v>T3</v>
      </c>
      <c r="R2545" t="str">
        <f>VLOOKUP(A2545,vlookup_table!$A:$G,6,FALSE)</f>
        <v>F</v>
      </c>
      <c r="S2545">
        <f>VLOOKUP(A2545,vlookup_table!$A:$G,7,FALSE)</f>
        <v>20</v>
      </c>
      <c r="T2545">
        <f t="shared" si="78"/>
        <v>39</v>
      </c>
      <c r="U2545" t="str">
        <f t="shared" si="79"/>
        <v>Pueblo</v>
      </c>
    </row>
    <row r="2546" spans="1:21" ht="16" x14ac:dyDescent="0.4">
      <c r="A2546" s="7">
        <v>130989</v>
      </c>
      <c r="B2546" s="7" t="s">
        <v>45</v>
      </c>
      <c r="C2546" s="7" t="s">
        <v>14</v>
      </c>
      <c r="D2546" s="7">
        <v>1175</v>
      </c>
      <c r="E2546" s="7">
        <v>517</v>
      </c>
      <c r="F2546" s="7">
        <v>599</v>
      </c>
      <c r="G2546" s="7">
        <v>8</v>
      </c>
      <c r="H2546" s="7">
        <v>18850</v>
      </c>
      <c r="I2546" s="7">
        <v>2</v>
      </c>
      <c r="J2546" s="7">
        <v>38</v>
      </c>
      <c r="K2546" s="7">
        <v>568</v>
      </c>
      <c r="L2546" s="7">
        <v>565</v>
      </c>
      <c r="M2546" s="7">
        <v>5.6666666670000003</v>
      </c>
      <c r="N2546">
        <f>VLOOKUP(A2546,vlookup_table!$A:$G,2,FALSE)</f>
        <v>1</v>
      </c>
      <c r="O2546" t="str">
        <f>VLOOKUP(A2546,vlookup_table!$A:$G,3,FALSE)</f>
        <v>CO</v>
      </c>
      <c r="P2546">
        <f>VLOOKUP(A2546,vlookup_table!$A:$G,4,FALSE)</f>
        <v>0</v>
      </c>
      <c r="Q2546" t="str">
        <f>VLOOKUP(A2546,vlookup_table!$A:$G,5,FALSE)</f>
        <v>T1</v>
      </c>
      <c r="R2546" t="str">
        <f>VLOOKUP(A2546,vlookup_table!$A:$G,6,FALSE)</f>
        <v>M</v>
      </c>
      <c r="S2546">
        <f>VLOOKUP(A2546,vlookup_table!$A:$G,7,FALSE)</f>
        <v>25</v>
      </c>
      <c r="T2546">
        <f t="shared" si="78"/>
        <v>96</v>
      </c>
      <c r="U2546" t="str">
        <f t="shared" si="79"/>
        <v>Pueblo</v>
      </c>
    </row>
    <row r="2547" spans="1:21" ht="16" x14ac:dyDescent="0.4">
      <c r="A2547" s="7">
        <v>62721</v>
      </c>
      <c r="B2547" s="7" t="s">
        <v>30</v>
      </c>
      <c r="C2547" s="7" t="s">
        <v>27</v>
      </c>
      <c r="D2547" s="7">
        <v>413</v>
      </c>
      <c r="E2547" s="7">
        <v>283</v>
      </c>
      <c r="F2547" s="7">
        <v>372</v>
      </c>
      <c r="G2547" s="7">
        <v>0</v>
      </c>
      <c r="H2547" s="7">
        <v>12509</v>
      </c>
      <c r="I2547" s="7">
        <v>0</v>
      </c>
      <c r="J2547" s="7">
        <v>79</v>
      </c>
      <c r="K2547" s="7">
        <v>324</v>
      </c>
      <c r="L2547" s="7">
        <v>320</v>
      </c>
      <c r="M2547" s="7">
        <v>6.4</v>
      </c>
      <c r="N2547">
        <f>VLOOKUP(A2547,vlookup_table!$A:$G,2,FALSE)</f>
        <v>1</v>
      </c>
      <c r="O2547" t="str">
        <f>VLOOKUP(A2547,vlookup_table!$A:$G,3,FALSE)</f>
        <v>IN</v>
      </c>
      <c r="P2547">
        <f>VLOOKUP(A2547,vlookup_table!$A:$G,4,FALSE)</f>
        <v>0</v>
      </c>
      <c r="Q2547" t="str">
        <f>VLOOKUP(A2547,vlookup_table!$A:$G,5,FALSE)</f>
        <v>R2</v>
      </c>
      <c r="R2547" t="str">
        <f>VLOOKUP(A2547,vlookup_table!$A:$G,6,FALSE)</f>
        <v>U</v>
      </c>
      <c r="S2547">
        <f>VLOOKUP(A2547,vlookup_table!$A:$G,7,FALSE)</f>
        <v>6</v>
      </c>
      <c r="T2547">
        <f t="shared" si="78"/>
        <v>96</v>
      </c>
      <c r="U2547" t="str">
        <f t="shared" si="79"/>
        <v>Rural</v>
      </c>
    </row>
    <row r="2548" spans="1:21" ht="16" x14ac:dyDescent="0.4">
      <c r="A2548" s="7">
        <v>104177</v>
      </c>
      <c r="B2548" s="7" t="s">
        <v>33</v>
      </c>
      <c r="C2548" s="7" t="s">
        <v>17</v>
      </c>
      <c r="D2548" s="7">
        <v>985</v>
      </c>
      <c r="E2548" s="7">
        <v>492</v>
      </c>
      <c r="F2548" s="7">
        <v>680</v>
      </c>
      <c r="G2548" s="7">
        <v>2</v>
      </c>
      <c r="H2548" s="7">
        <v>24807</v>
      </c>
      <c r="I2548" s="7">
        <v>1</v>
      </c>
      <c r="J2548" s="7">
        <v>60</v>
      </c>
      <c r="K2548" s="7">
        <v>568</v>
      </c>
      <c r="L2548" s="7">
        <v>595</v>
      </c>
      <c r="M2548" s="7">
        <v>6.4285714289999998</v>
      </c>
      <c r="N2548">
        <f>VLOOKUP(A2548,vlookup_table!$A:$G,2,FALSE)</f>
        <v>0</v>
      </c>
      <c r="O2548" t="str">
        <f>VLOOKUP(A2548,vlookup_table!$A:$G,3,FALSE)</f>
        <v>MO</v>
      </c>
      <c r="P2548">
        <f>VLOOKUP(A2548,vlookup_table!$A:$G,4,FALSE)</f>
        <v>4201</v>
      </c>
      <c r="Q2548" t="str">
        <f>VLOOKUP(A2548,vlookup_table!$A:$G,5,FALSE)</f>
        <v>S1</v>
      </c>
      <c r="R2548" t="str">
        <f>VLOOKUP(A2548,vlookup_table!$A:$G,6,FALSE)</f>
        <v>F</v>
      </c>
      <c r="S2548">
        <f>VLOOKUP(A2548,vlookup_table!$A:$G,7,FALSE)</f>
        <v>15</v>
      </c>
      <c r="T2548">
        <f t="shared" si="78"/>
        <v>54</v>
      </c>
      <c r="U2548" t="str">
        <f t="shared" si="79"/>
        <v>Suburbano</v>
      </c>
    </row>
    <row r="2549" spans="1:21" ht="16" x14ac:dyDescent="0.4">
      <c r="A2549" s="7">
        <v>70217</v>
      </c>
      <c r="B2549" s="7" t="s">
        <v>26</v>
      </c>
      <c r="C2549" s="7" t="s">
        <v>17</v>
      </c>
      <c r="D2549" s="7">
        <v>320</v>
      </c>
      <c r="E2549" s="7">
        <v>226</v>
      </c>
      <c r="F2549" s="7">
        <v>324</v>
      </c>
      <c r="G2549" s="7">
        <v>0</v>
      </c>
      <c r="H2549" s="7">
        <v>10003</v>
      </c>
      <c r="I2549" s="7">
        <v>1</v>
      </c>
      <c r="J2549" s="7">
        <v>80</v>
      </c>
      <c r="K2549" s="7">
        <v>310</v>
      </c>
      <c r="L2549" s="7">
        <v>282</v>
      </c>
      <c r="M2549" s="7">
        <v>5.2</v>
      </c>
      <c r="N2549">
        <f>VLOOKUP(A2549,vlookup_table!$A:$G,2,FALSE)</f>
        <v>28</v>
      </c>
      <c r="O2549" t="str">
        <f>VLOOKUP(A2549,vlookup_table!$A:$G,3,FALSE)</f>
        <v>MI</v>
      </c>
      <c r="P2549">
        <f>VLOOKUP(A2549,vlookup_table!$A:$G,4,FALSE)</f>
        <v>5201</v>
      </c>
      <c r="Q2549" t="str">
        <f>VLOOKUP(A2549,vlookup_table!$A:$G,5,FALSE)</f>
        <v>S3</v>
      </c>
      <c r="R2549" t="str">
        <f>VLOOKUP(A2549,vlookup_table!$A:$G,6,FALSE)</f>
        <v>F</v>
      </c>
      <c r="S2549">
        <f>VLOOKUP(A2549,vlookup_table!$A:$G,7,FALSE)</f>
        <v>10</v>
      </c>
      <c r="T2549">
        <f t="shared" si="78"/>
        <v>44</v>
      </c>
      <c r="U2549" t="str">
        <f t="shared" si="79"/>
        <v>Suburbano</v>
      </c>
    </row>
    <row r="2550" spans="1:21" ht="16" x14ac:dyDescent="0.4">
      <c r="A2550" s="7">
        <v>160394</v>
      </c>
      <c r="B2550" s="7" t="s">
        <v>21</v>
      </c>
      <c r="C2550" s="7" t="s">
        <v>17</v>
      </c>
      <c r="D2550" s="7">
        <v>882</v>
      </c>
      <c r="E2550" s="7">
        <v>406</v>
      </c>
      <c r="F2550" s="7">
        <v>444</v>
      </c>
      <c r="G2550" s="7">
        <v>0</v>
      </c>
      <c r="H2550" s="7">
        <v>12842</v>
      </c>
      <c r="I2550" s="7">
        <v>3</v>
      </c>
      <c r="J2550" s="7">
        <v>69</v>
      </c>
      <c r="K2550" s="7">
        <v>431</v>
      </c>
      <c r="L2550" s="7">
        <v>419</v>
      </c>
      <c r="M2550" s="7">
        <v>6.0526315789999998</v>
      </c>
      <c r="N2550">
        <f>VLOOKUP(A2550,vlookup_table!$A:$G,2,FALSE)</f>
        <v>0</v>
      </c>
      <c r="O2550" t="str">
        <f>VLOOKUP(A2550,vlookup_table!$A:$G,3,FALSE)</f>
        <v>CA</v>
      </c>
      <c r="P2550">
        <f>VLOOKUP(A2550,vlookup_table!$A:$G,4,FALSE)</f>
        <v>1001</v>
      </c>
      <c r="Q2550" t="str">
        <f>VLOOKUP(A2550,vlookup_table!$A:$G,5,FALSE)</f>
        <v>S2</v>
      </c>
      <c r="R2550" t="str">
        <f>VLOOKUP(A2550,vlookup_table!$A:$G,6,FALSE)</f>
        <v>F</v>
      </c>
      <c r="S2550">
        <f>VLOOKUP(A2550,vlookup_table!$A:$G,7,FALSE)</f>
        <v>8</v>
      </c>
      <c r="T2550">
        <f t="shared" si="78"/>
        <v>86</v>
      </c>
      <c r="U2550" t="str">
        <f t="shared" si="79"/>
        <v>Suburbano</v>
      </c>
    </row>
    <row r="2551" spans="1:21" ht="16" x14ac:dyDescent="0.4">
      <c r="A2551" s="7">
        <v>134115</v>
      </c>
      <c r="B2551" s="7" t="s">
        <v>24</v>
      </c>
      <c r="C2551" s="7" t="s">
        <v>14</v>
      </c>
      <c r="D2551" s="7">
        <v>0</v>
      </c>
      <c r="E2551" s="7">
        <v>0</v>
      </c>
      <c r="F2551" s="7">
        <v>0</v>
      </c>
      <c r="G2551" s="7">
        <v>0</v>
      </c>
      <c r="H2551" s="7">
        <v>0</v>
      </c>
      <c r="I2551" s="7">
        <v>0</v>
      </c>
      <c r="J2551" s="7">
        <v>0</v>
      </c>
      <c r="K2551" s="7">
        <v>0</v>
      </c>
      <c r="L2551" s="7">
        <v>0</v>
      </c>
      <c r="M2551" s="7">
        <v>11.45454546</v>
      </c>
      <c r="N2551">
        <f>VLOOKUP(A2551,vlookup_table!$A:$G,2,FALSE)</f>
        <v>1002</v>
      </c>
      <c r="O2551" t="str">
        <f>VLOOKUP(A2551,vlookup_table!$A:$G,3,FALSE)</f>
        <v>AP</v>
      </c>
      <c r="P2551">
        <f>VLOOKUP(A2551,vlookup_table!$A:$G,4,FALSE)</f>
        <v>5706</v>
      </c>
      <c r="Q2551" t="str">
        <f>VLOOKUP(A2551,vlookup_table!$A:$G,5,FALSE)</f>
        <v>T2</v>
      </c>
      <c r="R2551" t="str">
        <f>VLOOKUP(A2551,vlookup_table!$A:$G,6,FALSE)</f>
        <v>M</v>
      </c>
      <c r="S2551">
        <f>VLOOKUP(A2551,vlookup_table!$A:$G,7,FALSE)</f>
        <v>20</v>
      </c>
      <c r="T2551">
        <f t="shared" si="78"/>
        <v>39</v>
      </c>
      <c r="U2551" t="str">
        <f t="shared" si="79"/>
        <v>Pueblo</v>
      </c>
    </row>
    <row r="2552" spans="1:21" ht="16" x14ac:dyDescent="0.4">
      <c r="A2552" s="7">
        <v>175602</v>
      </c>
      <c r="B2552" s="7" t="s">
        <v>47</v>
      </c>
      <c r="C2552" s="7" t="s">
        <v>17</v>
      </c>
      <c r="D2552" s="7">
        <v>217</v>
      </c>
      <c r="E2552" s="7">
        <v>97</v>
      </c>
      <c r="F2552" s="7">
        <v>149</v>
      </c>
      <c r="G2552" s="7">
        <v>0</v>
      </c>
      <c r="H2552" s="7">
        <v>4914</v>
      </c>
      <c r="I2552" s="7">
        <v>1</v>
      </c>
      <c r="J2552" s="7">
        <v>40</v>
      </c>
      <c r="K2552" s="7">
        <v>163</v>
      </c>
      <c r="L2552" s="7">
        <v>129</v>
      </c>
      <c r="M2552" s="7">
        <v>3.4259259260000001</v>
      </c>
      <c r="N2552">
        <f>VLOOKUP(A2552,vlookup_table!$A:$G,2,FALSE)</f>
        <v>2</v>
      </c>
      <c r="O2552" t="str">
        <f>VLOOKUP(A2552,vlookup_table!$A:$G,3,FALSE)</f>
        <v>OR</v>
      </c>
      <c r="P2552">
        <f>VLOOKUP(A2552,vlookup_table!$A:$G,4,FALSE)</f>
        <v>2301</v>
      </c>
      <c r="Q2552" t="str">
        <f>VLOOKUP(A2552,vlookup_table!$A:$G,5,FALSE)</f>
        <v>U4</v>
      </c>
      <c r="R2552" t="str">
        <f>VLOOKUP(A2552,vlookup_table!$A:$G,6,FALSE)</f>
        <v>F</v>
      </c>
      <c r="S2552">
        <f>VLOOKUP(A2552,vlookup_table!$A:$G,7,FALSE)</f>
        <v>3</v>
      </c>
      <c r="T2552">
        <f t="shared" si="78"/>
        <v>73</v>
      </c>
      <c r="U2552" t="str">
        <f t="shared" si="79"/>
        <v>Urbano</v>
      </c>
    </row>
    <row r="2553" spans="1:21" ht="16" x14ac:dyDescent="0.4">
      <c r="A2553" s="7">
        <v>88489</v>
      </c>
      <c r="B2553" s="7" t="s">
        <v>16</v>
      </c>
      <c r="C2553" s="7" t="s">
        <v>17</v>
      </c>
      <c r="D2553" s="7">
        <v>1833</v>
      </c>
      <c r="E2553" s="7">
        <v>594</v>
      </c>
      <c r="F2553" s="7">
        <v>706</v>
      </c>
      <c r="G2553" s="7">
        <v>37</v>
      </c>
      <c r="H2553" s="7">
        <v>21653</v>
      </c>
      <c r="I2553" s="7">
        <v>17</v>
      </c>
      <c r="J2553" s="7">
        <v>46</v>
      </c>
      <c r="K2553" s="7">
        <v>642</v>
      </c>
      <c r="L2553" s="7">
        <v>668</v>
      </c>
      <c r="M2553" s="7">
        <v>17</v>
      </c>
      <c r="N2553">
        <f>VLOOKUP(A2553,vlookup_table!$A:$G,2,FALSE)</f>
        <v>0</v>
      </c>
      <c r="O2553" t="str">
        <f>VLOOKUP(A2553,vlookup_table!$A:$G,3,FALSE)</f>
        <v>IL</v>
      </c>
      <c r="P2553">
        <f>VLOOKUP(A2553,vlookup_table!$A:$G,4,FALSE)</f>
        <v>3011</v>
      </c>
      <c r="Q2553" t="str">
        <f>VLOOKUP(A2553,vlookup_table!$A:$G,5,FALSE)</f>
        <v>S1</v>
      </c>
      <c r="R2553" t="str">
        <f>VLOOKUP(A2553,vlookup_table!$A:$G,6,FALSE)</f>
        <v>F</v>
      </c>
      <c r="S2553">
        <f>VLOOKUP(A2553,vlookup_table!$A:$G,7,FALSE)</f>
        <v>25</v>
      </c>
      <c r="T2553">
        <f t="shared" si="78"/>
        <v>66</v>
      </c>
      <c r="U2553" t="str">
        <f t="shared" si="79"/>
        <v>Suburbano</v>
      </c>
    </row>
    <row r="2554" spans="1:21" ht="16" x14ac:dyDescent="0.4">
      <c r="A2554" s="7">
        <v>139664</v>
      </c>
      <c r="B2554" s="7" t="s">
        <v>50</v>
      </c>
      <c r="C2554" s="7" t="s">
        <v>17</v>
      </c>
      <c r="D2554" s="7">
        <v>952</v>
      </c>
      <c r="E2554" s="7">
        <v>474</v>
      </c>
      <c r="F2554" s="7">
        <v>482</v>
      </c>
      <c r="G2554" s="7">
        <v>3</v>
      </c>
      <c r="H2554" s="7">
        <v>17141</v>
      </c>
      <c r="I2554" s="7">
        <v>2</v>
      </c>
      <c r="J2554" s="7">
        <v>37</v>
      </c>
      <c r="K2554" s="7">
        <v>478</v>
      </c>
      <c r="L2554" s="7">
        <v>467</v>
      </c>
      <c r="M2554" s="7">
        <v>14.58823529</v>
      </c>
      <c r="N2554">
        <f>VLOOKUP(A2554,vlookup_table!$A:$G,2,FALSE)</f>
        <v>28</v>
      </c>
      <c r="O2554" t="str">
        <f>VLOOKUP(A2554,vlookup_table!$A:$G,3,FALSE)</f>
        <v>NM</v>
      </c>
      <c r="P2554">
        <f>VLOOKUP(A2554,vlookup_table!$A:$G,4,FALSE)</f>
        <v>4408</v>
      </c>
      <c r="Q2554" t="str">
        <f>VLOOKUP(A2554,vlookup_table!$A:$G,5,FALSE)</f>
        <v>S1</v>
      </c>
      <c r="R2554" t="str">
        <f>VLOOKUP(A2554,vlookup_table!$A:$G,6,FALSE)</f>
        <v>F</v>
      </c>
      <c r="S2554">
        <f>VLOOKUP(A2554,vlookup_table!$A:$G,7,FALSE)</f>
        <v>16</v>
      </c>
      <c r="T2554">
        <f t="shared" si="78"/>
        <v>52</v>
      </c>
      <c r="U2554" t="str">
        <f t="shared" si="79"/>
        <v>Suburbano</v>
      </c>
    </row>
    <row r="2555" spans="1:21" ht="16" x14ac:dyDescent="0.4">
      <c r="A2555" s="7">
        <v>9947</v>
      </c>
      <c r="B2555" s="7" t="s">
        <v>45</v>
      </c>
      <c r="C2555" s="7" t="s">
        <v>14</v>
      </c>
      <c r="D2555" s="7">
        <v>793</v>
      </c>
      <c r="E2555" s="7">
        <v>429</v>
      </c>
      <c r="F2555" s="7">
        <v>458</v>
      </c>
      <c r="G2555" s="7">
        <v>0</v>
      </c>
      <c r="H2555" s="7">
        <v>12976</v>
      </c>
      <c r="I2555" s="7">
        <v>1</v>
      </c>
      <c r="J2555" s="7">
        <v>66</v>
      </c>
      <c r="K2555" s="7">
        <v>454</v>
      </c>
      <c r="L2555" s="7">
        <v>447</v>
      </c>
      <c r="M2555" s="7">
        <v>6.615384615</v>
      </c>
      <c r="N2555">
        <f>VLOOKUP(A2555,vlookup_table!$A:$G,2,FALSE)</f>
        <v>1</v>
      </c>
      <c r="O2555" t="str">
        <f>VLOOKUP(A2555,vlookup_table!$A:$G,3,FALSE)</f>
        <v>CO</v>
      </c>
      <c r="P2555">
        <f>VLOOKUP(A2555,vlookup_table!$A:$G,4,FALSE)</f>
        <v>2001</v>
      </c>
      <c r="Q2555" t="str">
        <f>VLOOKUP(A2555,vlookup_table!$A:$G,5,FALSE)</f>
        <v>S2</v>
      </c>
      <c r="R2555" t="str">
        <f>VLOOKUP(A2555,vlookup_table!$A:$G,6,FALSE)</f>
        <v>M</v>
      </c>
      <c r="S2555">
        <f>VLOOKUP(A2555,vlookup_table!$A:$G,7,FALSE)</f>
        <v>10</v>
      </c>
      <c r="T2555">
        <f t="shared" si="78"/>
        <v>76</v>
      </c>
      <c r="U2555" t="str">
        <f t="shared" si="79"/>
        <v>Suburbano</v>
      </c>
    </row>
    <row r="2556" spans="1:21" ht="16" x14ac:dyDescent="0.4">
      <c r="A2556" s="7">
        <v>168368</v>
      </c>
      <c r="B2556" s="7" t="s">
        <v>21</v>
      </c>
      <c r="C2556" s="7" t="s">
        <v>14</v>
      </c>
      <c r="D2556" s="7">
        <v>3256</v>
      </c>
      <c r="E2556" s="7">
        <v>538</v>
      </c>
      <c r="F2556" s="7">
        <v>628</v>
      </c>
      <c r="G2556" s="7">
        <v>90</v>
      </c>
      <c r="H2556" s="7">
        <v>21944</v>
      </c>
      <c r="I2556" s="7">
        <v>19</v>
      </c>
      <c r="J2556" s="7">
        <v>43</v>
      </c>
      <c r="K2556" s="7">
        <v>603</v>
      </c>
      <c r="L2556" s="7">
        <v>624</v>
      </c>
      <c r="M2556" s="7">
        <v>14.28571429</v>
      </c>
      <c r="N2556">
        <f>VLOOKUP(A2556,vlookup_table!$A:$G,2,FALSE)</f>
        <v>0</v>
      </c>
      <c r="O2556" t="str">
        <f>VLOOKUP(A2556,vlookup_table!$A:$G,3,FALSE)</f>
        <v>CA</v>
      </c>
      <c r="P2556">
        <f>VLOOKUP(A2556,vlookup_table!$A:$G,4,FALSE)</f>
        <v>4406</v>
      </c>
      <c r="Q2556" t="str">
        <f>VLOOKUP(A2556,vlookup_table!$A:$G,5,FALSE)</f>
        <v>S1</v>
      </c>
      <c r="R2556" t="str">
        <f>VLOOKUP(A2556,vlookup_table!$A:$G,6,FALSE)</f>
        <v>M</v>
      </c>
      <c r="S2556">
        <f>VLOOKUP(A2556,vlookup_table!$A:$G,7,FALSE)</f>
        <v>10</v>
      </c>
      <c r="T2556">
        <f t="shared" si="78"/>
        <v>52</v>
      </c>
      <c r="U2556" t="str">
        <f t="shared" si="79"/>
        <v>Suburbano</v>
      </c>
    </row>
    <row r="2557" spans="1:21" ht="16" x14ac:dyDescent="0.4">
      <c r="A2557" s="7">
        <v>166927</v>
      </c>
      <c r="B2557" s="7" t="s">
        <v>21</v>
      </c>
      <c r="C2557" s="7" t="s">
        <v>14</v>
      </c>
      <c r="D2557" s="7">
        <v>2763</v>
      </c>
      <c r="E2557" s="7">
        <v>465</v>
      </c>
      <c r="F2557" s="7">
        <v>626</v>
      </c>
      <c r="G2557" s="7">
        <v>83</v>
      </c>
      <c r="H2557" s="7">
        <v>22975</v>
      </c>
      <c r="I2557" s="7">
        <v>13</v>
      </c>
      <c r="J2557" s="7">
        <v>49</v>
      </c>
      <c r="K2557" s="7">
        <v>571</v>
      </c>
      <c r="L2557" s="7">
        <v>530</v>
      </c>
      <c r="M2557" s="7">
        <v>20</v>
      </c>
      <c r="N2557">
        <f>VLOOKUP(A2557,vlookup_table!$A:$G,2,FALSE)</f>
        <v>1002</v>
      </c>
      <c r="O2557" t="str">
        <f>VLOOKUP(A2557,vlookup_table!$A:$G,3,FALSE)</f>
        <v>CA</v>
      </c>
      <c r="P2557">
        <f>VLOOKUP(A2557,vlookup_table!$A:$G,4,FALSE)</f>
        <v>2908</v>
      </c>
      <c r="Q2557" t="str">
        <f>VLOOKUP(A2557,vlookup_table!$A:$G,5,FALSE)</f>
        <v>S1</v>
      </c>
      <c r="R2557" t="str">
        <f>VLOOKUP(A2557,vlookup_table!$A:$G,6,FALSE)</f>
        <v>M</v>
      </c>
      <c r="S2557">
        <f>VLOOKUP(A2557,vlookup_table!$A:$G,7,FALSE)</f>
        <v>20</v>
      </c>
      <c r="T2557">
        <f t="shared" si="78"/>
        <v>67</v>
      </c>
      <c r="U2557" t="str">
        <f t="shared" si="79"/>
        <v>Suburbano</v>
      </c>
    </row>
    <row r="2558" spans="1:21" ht="16" x14ac:dyDescent="0.4">
      <c r="A2558" s="7">
        <v>189723</v>
      </c>
      <c r="B2558" s="7" t="s">
        <v>45</v>
      </c>
      <c r="C2558" s="7" t="s">
        <v>17</v>
      </c>
      <c r="D2558" s="7">
        <v>952</v>
      </c>
      <c r="E2558" s="7">
        <v>358</v>
      </c>
      <c r="F2558" s="7">
        <v>461</v>
      </c>
      <c r="G2558" s="7">
        <v>1</v>
      </c>
      <c r="H2558" s="7">
        <v>16123</v>
      </c>
      <c r="I2558" s="7">
        <v>3</v>
      </c>
      <c r="J2558" s="7">
        <v>37</v>
      </c>
      <c r="K2558" s="7">
        <v>432</v>
      </c>
      <c r="L2558" s="7">
        <v>423</v>
      </c>
      <c r="M2558" s="7">
        <v>26.666666670000001</v>
      </c>
      <c r="N2558">
        <f>VLOOKUP(A2558,vlookup_table!$A:$G,2,FALSE)</f>
        <v>0</v>
      </c>
      <c r="O2558" t="str">
        <f>VLOOKUP(A2558,vlookup_table!$A:$G,3,FALSE)</f>
        <v>CO</v>
      </c>
      <c r="P2558">
        <f>VLOOKUP(A2558,vlookup_table!$A:$G,4,FALSE)</f>
        <v>0</v>
      </c>
      <c r="Q2558" t="str">
        <f>VLOOKUP(A2558,vlookup_table!$A:$G,5,FALSE)</f>
        <v>S1</v>
      </c>
      <c r="R2558" t="str">
        <f>VLOOKUP(A2558,vlookup_table!$A:$G,6,FALSE)</f>
        <v>F</v>
      </c>
      <c r="S2558">
        <f>VLOOKUP(A2558,vlookup_table!$A:$G,7,FALSE)</f>
        <v>10</v>
      </c>
      <c r="T2558">
        <f t="shared" si="78"/>
        <v>96</v>
      </c>
      <c r="U2558" t="str">
        <f t="shared" si="79"/>
        <v>Suburbano</v>
      </c>
    </row>
    <row r="2559" spans="1:21" ht="16" x14ac:dyDescent="0.4">
      <c r="A2559" s="7">
        <v>156559</v>
      </c>
      <c r="B2559" s="7" t="s">
        <v>21</v>
      </c>
      <c r="C2559" s="7" t="s">
        <v>14</v>
      </c>
      <c r="D2559" s="7">
        <v>2158</v>
      </c>
      <c r="E2559" s="7">
        <v>576</v>
      </c>
      <c r="F2559" s="7">
        <v>651</v>
      </c>
      <c r="G2559" s="7">
        <v>62</v>
      </c>
      <c r="H2559" s="7">
        <v>20066</v>
      </c>
      <c r="I2559" s="7">
        <v>11</v>
      </c>
      <c r="J2559" s="7">
        <v>51</v>
      </c>
      <c r="K2559" s="7">
        <v>617</v>
      </c>
      <c r="L2559" s="7">
        <v>604</v>
      </c>
      <c r="M2559" s="7">
        <v>9.8571428569999995</v>
      </c>
      <c r="N2559">
        <f>VLOOKUP(A2559,vlookup_table!$A:$G,2,FALSE)</f>
        <v>1</v>
      </c>
      <c r="O2559" t="str">
        <f>VLOOKUP(A2559,vlookup_table!$A:$G,3,FALSE)</f>
        <v>CA</v>
      </c>
      <c r="P2559">
        <f>VLOOKUP(A2559,vlookup_table!$A:$G,4,FALSE)</f>
        <v>4601</v>
      </c>
      <c r="Q2559" t="str">
        <f>VLOOKUP(A2559,vlookup_table!$A:$G,5,FALSE)</f>
        <v>S1</v>
      </c>
      <c r="R2559" t="str">
        <f>VLOOKUP(A2559,vlookup_table!$A:$G,6,FALSE)</f>
        <v>M</v>
      </c>
      <c r="S2559">
        <f>VLOOKUP(A2559,vlookup_table!$A:$G,7,FALSE)</f>
        <v>12</v>
      </c>
      <c r="T2559">
        <f t="shared" si="78"/>
        <v>50</v>
      </c>
      <c r="U2559" t="str">
        <f t="shared" si="79"/>
        <v>Suburbano</v>
      </c>
    </row>
    <row r="2560" spans="1:21" ht="16" x14ac:dyDescent="0.4">
      <c r="A2560" s="7">
        <v>64683</v>
      </c>
      <c r="B2560" s="7" t="s">
        <v>26</v>
      </c>
      <c r="C2560" s="7" t="s">
        <v>17</v>
      </c>
      <c r="D2560" s="7">
        <v>477</v>
      </c>
      <c r="E2560" s="7">
        <v>328</v>
      </c>
      <c r="F2560" s="7">
        <v>446</v>
      </c>
      <c r="G2560" s="7">
        <v>0</v>
      </c>
      <c r="H2560" s="7">
        <v>15065</v>
      </c>
      <c r="I2560" s="7">
        <v>6</v>
      </c>
      <c r="J2560" s="7">
        <v>75</v>
      </c>
      <c r="K2560" s="7">
        <v>431</v>
      </c>
      <c r="L2560" s="7">
        <v>386</v>
      </c>
      <c r="M2560" s="7">
        <v>15</v>
      </c>
      <c r="N2560">
        <f>VLOOKUP(A2560,vlookup_table!$A:$G,2,FALSE)</f>
        <v>28</v>
      </c>
      <c r="O2560" t="str">
        <f>VLOOKUP(A2560,vlookup_table!$A:$G,3,FALSE)</f>
        <v>MI</v>
      </c>
      <c r="P2560">
        <f>VLOOKUP(A2560,vlookup_table!$A:$G,4,FALSE)</f>
        <v>5001</v>
      </c>
      <c r="Q2560" t="str">
        <f>VLOOKUP(A2560,vlookup_table!$A:$G,5,FALSE)</f>
        <v>U3</v>
      </c>
      <c r="R2560" t="str">
        <f>VLOOKUP(A2560,vlookup_table!$A:$G,6,FALSE)</f>
        <v>F</v>
      </c>
      <c r="S2560">
        <f>VLOOKUP(A2560,vlookup_table!$A:$G,7,FALSE)</f>
        <v>10</v>
      </c>
      <c r="T2560">
        <f t="shared" si="78"/>
        <v>46</v>
      </c>
      <c r="U2560" t="str">
        <f t="shared" si="79"/>
        <v>Urbano</v>
      </c>
    </row>
    <row r="2561" spans="1:21" ht="16" x14ac:dyDescent="0.4">
      <c r="A2561" s="7">
        <v>164697</v>
      </c>
      <c r="B2561" s="7" t="s">
        <v>21</v>
      </c>
      <c r="C2561" s="7" t="s">
        <v>17</v>
      </c>
      <c r="D2561" s="7">
        <v>2235</v>
      </c>
      <c r="E2561" s="7">
        <v>441</v>
      </c>
      <c r="F2561" s="7">
        <v>478</v>
      </c>
      <c r="G2561" s="7">
        <v>66</v>
      </c>
      <c r="H2561" s="7">
        <v>15262</v>
      </c>
      <c r="I2561" s="7">
        <v>14</v>
      </c>
      <c r="J2561" s="7">
        <v>55</v>
      </c>
      <c r="K2561" s="7">
        <v>459</v>
      </c>
      <c r="L2561" s="7">
        <v>449</v>
      </c>
      <c r="M2561" s="7">
        <v>5.6</v>
      </c>
      <c r="N2561">
        <f>VLOOKUP(A2561,vlookup_table!$A:$G,2,FALSE)</f>
        <v>28</v>
      </c>
      <c r="O2561" t="str">
        <f>VLOOKUP(A2561,vlookup_table!$A:$G,3,FALSE)</f>
        <v>CA</v>
      </c>
      <c r="P2561">
        <f>VLOOKUP(A2561,vlookup_table!$A:$G,4,FALSE)</f>
        <v>1701</v>
      </c>
      <c r="Q2561" t="str">
        <f>VLOOKUP(A2561,vlookup_table!$A:$G,5,FALSE)</f>
        <v>S2</v>
      </c>
      <c r="R2561" t="str">
        <f>VLOOKUP(A2561,vlookup_table!$A:$G,6,FALSE)</f>
        <v>F</v>
      </c>
      <c r="S2561">
        <f>VLOOKUP(A2561,vlookup_table!$A:$G,7,FALSE)</f>
        <v>20</v>
      </c>
      <c r="T2561">
        <f t="shared" si="78"/>
        <v>79</v>
      </c>
      <c r="U2561" t="str">
        <f t="shared" si="79"/>
        <v>Suburbano</v>
      </c>
    </row>
    <row r="2562" spans="1:21" ht="16" x14ac:dyDescent="0.4">
      <c r="A2562" s="7">
        <v>111918</v>
      </c>
      <c r="B2562" s="7" t="s">
        <v>29</v>
      </c>
      <c r="C2562" s="7" t="s">
        <v>97</v>
      </c>
      <c r="D2562" s="7">
        <v>427</v>
      </c>
      <c r="E2562" s="7">
        <v>250</v>
      </c>
      <c r="F2562" s="7">
        <v>356</v>
      </c>
      <c r="G2562" s="7">
        <v>0</v>
      </c>
      <c r="H2562" s="7">
        <v>14425</v>
      </c>
      <c r="I2562" s="7">
        <v>0</v>
      </c>
      <c r="J2562" s="7">
        <v>77</v>
      </c>
      <c r="K2562" s="7">
        <v>286</v>
      </c>
      <c r="L2562" s="7">
        <v>296</v>
      </c>
      <c r="M2562" s="7">
        <v>7.076923077</v>
      </c>
      <c r="N2562">
        <f>VLOOKUP(A2562,vlookup_table!$A:$G,2,FALSE)</f>
        <v>0</v>
      </c>
      <c r="O2562" t="str">
        <f>VLOOKUP(A2562,vlookup_table!$A:$G,3,FALSE)</f>
        <v>AR</v>
      </c>
      <c r="P2562">
        <f>VLOOKUP(A2562,vlookup_table!$A:$G,4,FALSE)</f>
        <v>3201</v>
      </c>
      <c r="Q2562" t="str">
        <f>VLOOKUP(A2562,vlookup_table!$A:$G,5,FALSE)</f>
        <v>T2</v>
      </c>
      <c r="R2562" t="str">
        <f>VLOOKUP(A2562,vlookup_table!$A:$G,6,FALSE)</f>
        <v>F</v>
      </c>
      <c r="S2562">
        <f>VLOOKUP(A2562,vlookup_table!$A:$G,7,FALSE)</f>
        <v>5</v>
      </c>
      <c r="T2562">
        <f t="shared" si="78"/>
        <v>64</v>
      </c>
      <c r="U2562" t="str">
        <f t="shared" si="79"/>
        <v>Pueblo</v>
      </c>
    </row>
    <row r="2563" spans="1:21" ht="16" x14ac:dyDescent="0.4">
      <c r="A2563" s="7">
        <v>89816</v>
      </c>
      <c r="B2563" s="7" t="s">
        <v>16</v>
      </c>
      <c r="C2563" s="7" t="s">
        <v>14</v>
      </c>
      <c r="D2563" s="7">
        <v>2000</v>
      </c>
      <c r="E2563" s="7">
        <v>760</v>
      </c>
      <c r="F2563" s="7">
        <v>759</v>
      </c>
      <c r="G2563" s="7">
        <v>50</v>
      </c>
      <c r="H2563" s="7">
        <v>22531</v>
      </c>
      <c r="I2563" s="7">
        <v>2</v>
      </c>
      <c r="J2563" s="7">
        <v>72</v>
      </c>
      <c r="K2563" s="7">
        <v>773</v>
      </c>
      <c r="L2563" s="7">
        <v>727</v>
      </c>
      <c r="M2563" s="7">
        <v>35</v>
      </c>
      <c r="N2563">
        <f>VLOOKUP(A2563,vlookup_table!$A:$G,2,FALSE)</f>
        <v>0</v>
      </c>
      <c r="O2563" t="str">
        <f>VLOOKUP(A2563,vlookup_table!$A:$G,3,FALSE)</f>
        <v>IL</v>
      </c>
      <c r="P2563">
        <f>VLOOKUP(A2563,vlookup_table!$A:$G,4,FALSE)</f>
        <v>4707</v>
      </c>
      <c r="Q2563" t="str">
        <f>VLOOKUP(A2563,vlookup_table!$A:$G,5,FALSE)</f>
        <v>S1</v>
      </c>
      <c r="R2563" t="str">
        <f>VLOOKUP(A2563,vlookup_table!$A:$G,6,FALSE)</f>
        <v>M</v>
      </c>
      <c r="S2563">
        <f>VLOOKUP(A2563,vlookup_table!$A:$G,7,FALSE)</f>
        <v>25</v>
      </c>
      <c r="T2563">
        <f t="shared" ref="T2563:T2626" si="80">97-LEFT(P2563,2)-IF(RIGHT(P2563,2)&gt;6,1,0)</f>
        <v>49</v>
      </c>
      <c r="U2563" t="str">
        <f t="shared" ref="U2563:U2626" si="81">IF(LEFT(Q2563,1)="C","Ciudad",IF(LEFT(Q2563,1)="T","Pueblo",IF(LEFT(Q2563,1)="R","Rural",IF(LEFT(Q2563,1)="S","Suburbano",IF(LEFT(Q2563,1)="U","Urbano","")))))</f>
        <v>Suburbano</v>
      </c>
    </row>
    <row r="2564" spans="1:21" ht="16" x14ac:dyDescent="0.4">
      <c r="A2564" s="7">
        <v>161115</v>
      </c>
      <c r="B2564" s="7" t="s">
        <v>21</v>
      </c>
      <c r="C2564" s="7" t="s">
        <v>27</v>
      </c>
      <c r="D2564" s="7">
        <v>728</v>
      </c>
      <c r="E2564" s="7">
        <v>180</v>
      </c>
      <c r="F2564" s="7">
        <v>286</v>
      </c>
      <c r="G2564" s="7">
        <v>0</v>
      </c>
      <c r="H2564" s="7">
        <v>11426</v>
      </c>
      <c r="I2564" s="7">
        <v>0</v>
      </c>
      <c r="J2564" s="7">
        <v>54</v>
      </c>
      <c r="K2564" s="7">
        <v>241</v>
      </c>
      <c r="L2564" s="7">
        <v>214</v>
      </c>
      <c r="M2564" s="7">
        <v>8.625</v>
      </c>
      <c r="N2564">
        <f>VLOOKUP(A2564,vlookup_table!$A:$G,2,FALSE)</f>
        <v>2</v>
      </c>
      <c r="O2564" t="str">
        <f>VLOOKUP(A2564,vlookup_table!$A:$G,3,FALSE)</f>
        <v>CA</v>
      </c>
      <c r="P2564">
        <f>VLOOKUP(A2564,vlookup_table!$A:$G,4,FALSE)</f>
        <v>0</v>
      </c>
      <c r="Q2564" t="str">
        <f>VLOOKUP(A2564,vlookup_table!$A:$G,5,FALSE)</f>
        <v>C2</v>
      </c>
      <c r="R2564" t="str">
        <f>VLOOKUP(A2564,vlookup_table!$A:$G,6,FALSE)</f>
        <v>U</v>
      </c>
      <c r="S2564">
        <f>VLOOKUP(A2564,vlookup_table!$A:$G,7,FALSE)</f>
        <v>10</v>
      </c>
      <c r="T2564">
        <f t="shared" si="80"/>
        <v>96</v>
      </c>
      <c r="U2564" t="str">
        <f t="shared" si="81"/>
        <v>Ciudad</v>
      </c>
    </row>
    <row r="2565" spans="1:21" ht="16" x14ac:dyDescent="0.4">
      <c r="A2565" s="7">
        <v>165753</v>
      </c>
      <c r="B2565" s="7" t="s">
        <v>21</v>
      </c>
      <c r="C2565" s="7" t="s">
        <v>14</v>
      </c>
      <c r="D2565" s="7">
        <v>1345</v>
      </c>
      <c r="E2565" s="7">
        <v>372</v>
      </c>
      <c r="F2565" s="7">
        <v>437</v>
      </c>
      <c r="G2565" s="7">
        <v>2</v>
      </c>
      <c r="H2565" s="7">
        <v>17201</v>
      </c>
      <c r="I2565" s="7">
        <v>12</v>
      </c>
      <c r="J2565" s="7">
        <v>56</v>
      </c>
      <c r="K2565" s="7">
        <v>436</v>
      </c>
      <c r="L2565" s="7">
        <v>407</v>
      </c>
      <c r="M2565" s="7">
        <v>15</v>
      </c>
      <c r="N2565">
        <f>VLOOKUP(A2565,vlookup_table!$A:$G,2,FALSE)</f>
        <v>0</v>
      </c>
      <c r="O2565" t="str">
        <f>VLOOKUP(A2565,vlookup_table!$A:$G,3,FALSE)</f>
        <v>CA</v>
      </c>
      <c r="P2565">
        <f>VLOOKUP(A2565,vlookup_table!$A:$G,4,FALSE)</f>
        <v>2801</v>
      </c>
      <c r="Q2565" t="str">
        <f>VLOOKUP(A2565,vlookup_table!$A:$G,5,FALSE)</f>
        <v>S2</v>
      </c>
      <c r="R2565" t="str">
        <f>VLOOKUP(A2565,vlookup_table!$A:$G,6,FALSE)</f>
        <v>M</v>
      </c>
      <c r="S2565">
        <f>VLOOKUP(A2565,vlookup_table!$A:$G,7,FALSE)</f>
        <v>15</v>
      </c>
      <c r="T2565">
        <f t="shared" si="80"/>
        <v>68</v>
      </c>
      <c r="U2565" t="str">
        <f t="shared" si="81"/>
        <v>Suburbano</v>
      </c>
    </row>
    <row r="2566" spans="1:21" ht="16" x14ac:dyDescent="0.4">
      <c r="A2566" s="7">
        <v>117411</v>
      </c>
      <c r="B2566" s="7" t="s">
        <v>20</v>
      </c>
      <c r="C2566" s="7" t="s">
        <v>17</v>
      </c>
      <c r="D2566" s="7">
        <v>904</v>
      </c>
      <c r="E2566" s="7">
        <v>117</v>
      </c>
      <c r="F2566" s="7">
        <v>382</v>
      </c>
      <c r="G2566" s="7">
        <v>0</v>
      </c>
      <c r="H2566" s="7">
        <v>10892</v>
      </c>
      <c r="I2566" s="7">
        <v>24</v>
      </c>
      <c r="J2566" s="7">
        <v>46</v>
      </c>
      <c r="K2566" s="7">
        <v>374</v>
      </c>
      <c r="L2566" s="7">
        <v>185</v>
      </c>
      <c r="M2566" s="7">
        <v>13.80555556</v>
      </c>
      <c r="N2566">
        <f>VLOOKUP(A2566,vlookup_table!$A:$G,2,FALSE)</f>
        <v>0</v>
      </c>
      <c r="O2566" t="str">
        <f>VLOOKUP(A2566,vlookup_table!$A:$G,3,FALSE)</f>
        <v>TX</v>
      </c>
      <c r="P2566">
        <f>VLOOKUP(A2566,vlookup_table!$A:$G,4,FALSE)</f>
        <v>2009</v>
      </c>
      <c r="Q2566" t="str">
        <f>VLOOKUP(A2566,vlookup_table!$A:$G,5,FALSE)</f>
        <v>S1</v>
      </c>
      <c r="R2566" t="str">
        <f>VLOOKUP(A2566,vlookup_table!$A:$G,6,FALSE)</f>
        <v>F</v>
      </c>
      <c r="S2566">
        <f>VLOOKUP(A2566,vlookup_table!$A:$G,7,FALSE)</f>
        <v>20</v>
      </c>
      <c r="T2566">
        <f t="shared" si="80"/>
        <v>76</v>
      </c>
      <c r="U2566" t="str">
        <f t="shared" si="81"/>
        <v>Suburbano</v>
      </c>
    </row>
    <row r="2567" spans="1:21" ht="16" x14ac:dyDescent="0.4">
      <c r="A2567" s="7">
        <v>112750</v>
      </c>
      <c r="B2567" s="7" t="s">
        <v>28</v>
      </c>
      <c r="C2567" s="7" t="s">
        <v>17</v>
      </c>
      <c r="D2567" s="7">
        <v>428</v>
      </c>
      <c r="E2567" s="7">
        <v>267</v>
      </c>
      <c r="F2567" s="7">
        <v>347</v>
      </c>
      <c r="G2567" s="7">
        <v>0</v>
      </c>
      <c r="H2567" s="7">
        <v>11716</v>
      </c>
      <c r="I2567" s="7">
        <v>2</v>
      </c>
      <c r="J2567" s="7">
        <v>72</v>
      </c>
      <c r="K2567" s="7">
        <v>306</v>
      </c>
      <c r="L2567" s="7">
        <v>315</v>
      </c>
      <c r="M2567" s="7">
        <v>12.75</v>
      </c>
      <c r="N2567">
        <f>VLOOKUP(A2567,vlookup_table!$A:$G,2,FALSE)</f>
        <v>0</v>
      </c>
      <c r="O2567" t="str">
        <f>VLOOKUP(A2567,vlookup_table!$A:$G,3,FALSE)</f>
        <v>OK</v>
      </c>
      <c r="P2567">
        <f>VLOOKUP(A2567,vlookup_table!$A:$G,4,FALSE)</f>
        <v>5801</v>
      </c>
      <c r="Q2567" t="str">
        <f>VLOOKUP(A2567,vlookup_table!$A:$G,5,FALSE)</f>
        <v>S1</v>
      </c>
      <c r="R2567" t="str">
        <f>VLOOKUP(A2567,vlookup_table!$A:$G,6,FALSE)</f>
        <v>F</v>
      </c>
      <c r="S2567">
        <f>VLOOKUP(A2567,vlookup_table!$A:$G,7,FALSE)</f>
        <v>20</v>
      </c>
      <c r="T2567">
        <f t="shared" si="80"/>
        <v>38</v>
      </c>
      <c r="U2567" t="str">
        <f t="shared" si="81"/>
        <v>Suburbano</v>
      </c>
    </row>
    <row r="2568" spans="1:21" ht="16" x14ac:dyDescent="0.4">
      <c r="A2568" s="7">
        <v>134852</v>
      </c>
      <c r="B2568" s="7" t="s">
        <v>35</v>
      </c>
      <c r="C2568" s="7" t="s">
        <v>14</v>
      </c>
      <c r="D2568" s="7">
        <v>735</v>
      </c>
      <c r="E2568" s="7">
        <v>289</v>
      </c>
      <c r="F2568" s="7">
        <v>358</v>
      </c>
      <c r="G2568" s="7">
        <v>2</v>
      </c>
      <c r="H2568" s="7">
        <v>9048</v>
      </c>
      <c r="I2568" s="7">
        <v>2</v>
      </c>
      <c r="J2568" s="7">
        <v>86</v>
      </c>
      <c r="K2568" s="7">
        <v>343</v>
      </c>
      <c r="L2568" s="7">
        <v>334</v>
      </c>
      <c r="M2568" s="7">
        <v>50</v>
      </c>
      <c r="N2568">
        <f>VLOOKUP(A2568,vlookup_table!$A:$G,2,FALSE)</f>
        <v>1</v>
      </c>
      <c r="O2568" t="str">
        <f>VLOOKUP(A2568,vlookup_table!$A:$G,3,FALSE)</f>
        <v>UT</v>
      </c>
      <c r="P2568">
        <f>VLOOKUP(A2568,vlookup_table!$A:$G,4,FALSE)</f>
        <v>4901</v>
      </c>
      <c r="Q2568" t="str">
        <f>VLOOKUP(A2568,vlookup_table!$A:$G,5,FALSE)</f>
        <v>R2</v>
      </c>
      <c r="R2568" t="str">
        <f>VLOOKUP(A2568,vlookup_table!$A:$G,6,FALSE)</f>
        <v>M</v>
      </c>
      <c r="S2568">
        <f>VLOOKUP(A2568,vlookup_table!$A:$G,7,FALSE)</f>
        <v>50</v>
      </c>
      <c r="T2568">
        <f t="shared" si="80"/>
        <v>47</v>
      </c>
      <c r="U2568" t="str">
        <f t="shared" si="81"/>
        <v>Rural</v>
      </c>
    </row>
    <row r="2569" spans="1:21" ht="16" x14ac:dyDescent="0.4">
      <c r="A2569" s="7">
        <v>69506</v>
      </c>
      <c r="B2569" s="7" t="s">
        <v>26</v>
      </c>
      <c r="C2569" s="7" t="s">
        <v>17</v>
      </c>
      <c r="D2569" s="7">
        <v>921</v>
      </c>
      <c r="E2569" s="7">
        <v>451</v>
      </c>
      <c r="F2569" s="7">
        <v>534</v>
      </c>
      <c r="G2569" s="7">
        <v>7</v>
      </c>
      <c r="H2569" s="7">
        <v>17564</v>
      </c>
      <c r="I2569" s="7">
        <v>2</v>
      </c>
      <c r="J2569" s="7">
        <v>86</v>
      </c>
      <c r="K2569" s="7">
        <v>466</v>
      </c>
      <c r="L2569" s="7">
        <v>512</v>
      </c>
      <c r="M2569" s="7">
        <v>13</v>
      </c>
      <c r="N2569">
        <f>VLOOKUP(A2569,vlookup_table!$A:$G,2,FALSE)</f>
        <v>0</v>
      </c>
      <c r="O2569" t="str">
        <f>VLOOKUP(A2569,vlookup_table!$A:$G,3,FALSE)</f>
        <v>MI</v>
      </c>
      <c r="P2569">
        <f>VLOOKUP(A2569,vlookup_table!$A:$G,4,FALSE)</f>
        <v>2005</v>
      </c>
      <c r="Q2569" t="str">
        <f>VLOOKUP(A2569,vlookup_table!$A:$G,5,FALSE)</f>
        <v>S2</v>
      </c>
      <c r="R2569" t="str">
        <f>VLOOKUP(A2569,vlookup_table!$A:$G,6,FALSE)</f>
        <v>F</v>
      </c>
      <c r="S2569">
        <f>VLOOKUP(A2569,vlookup_table!$A:$G,7,FALSE)</f>
        <v>15</v>
      </c>
      <c r="T2569">
        <f t="shared" si="80"/>
        <v>76</v>
      </c>
      <c r="U2569" t="str">
        <f t="shared" si="81"/>
        <v>Suburbano</v>
      </c>
    </row>
    <row r="2570" spans="1:21" ht="16" x14ac:dyDescent="0.4">
      <c r="A2570" s="7">
        <v>94920</v>
      </c>
      <c r="B2570" s="7" t="s">
        <v>16</v>
      </c>
      <c r="C2570" s="7" t="s">
        <v>17</v>
      </c>
      <c r="D2570" s="7">
        <v>1349</v>
      </c>
      <c r="E2570" s="7">
        <v>411</v>
      </c>
      <c r="F2570" s="7">
        <v>488</v>
      </c>
      <c r="G2570" s="7">
        <v>10</v>
      </c>
      <c r="H2570" s="7">
        <v>18814</v>
      </c>
      <c r="I2570" s="7">
        <v>30</v>
      </c>
      <c r="J2570" s="7">
        <v>54</v>
      </c>
      <c r="K2570" s="7">
        <v>428</v>
      </c>
      <c r="L2570" s="7">
        <v>465</v>
      </c>
      <c r="M2570" s="7">
        <v>21.166666670000001</v>
      </c>
      <c r="N2570">
        <f>VLOOKUP(A2570,vlookup_table!$A:$G,2,FALSE)</f>
        <v>0</v>
      </c>
      <c r="O2570" t="str">
        <f>VLOOKUP(A2570,vlookup_table!$A:$G,3,FALSE)</f>
        <v>IL</v>
      </c>
      <c r="P2570">
        <f>VLOOKUP(A2570,vlookup_table!$A:$G,4,FALSE)</f>
        <v>4105</v>
      </c>
      <c r="Q2570" t="str">
        <f>VLOOKUP(A2570,vlookup_table!$A:$G,5,FALSE)</f>
        <v>U1</v>
      </c>
      <c r="R2570" t="str">
        <f>VLOOKUP(A2570,vlookup_table!$A:$G,6,FALSE)</f>
        <v>F</v>
      </c>
      <c r="S2570">
        <f>VLOOKUP(A2570,vlookup_table!$A:$G,7,FALSE)</f>
        <v>15</v>
      </c>
      <c r="T2570">
        <f t="shared" si="80"/>
        <v>55</v>
      </c>
      <c r="U2570" t="str">
        <f t="shared" si="81"/>
        <v>Urbano</v>
      </c>
    </row>
    <row r="2571" spans="1:21" ht="16" x14ac:dyDescent="0.4">
      <c r="A2571" s="7">
        <v>186699</v>
      </c>
      <c r="B2571" s="7" t="s">
        <v>32</v>
      </c>
      <c r="C2571" s="7" t="s">
        <v>17</v>
      </c>
      <c r="D2571" s="7">
        <v>338</v>
      </c>
      <c r="E2571" s="7">
        <v>149</v>
      </c>
      <c r="F2571" s="7">
        <v>218</v>
      </c>
      <c r="G2571" s="7">
        <v>0</v>
      </c>
      <c r="H2571" s="7">
        <v>5317</v>
      </c>
      <c r="I2571" s="7">
        <v>0</v>
      </c>
      <c r="J2571" s="7">
        <v>62</v>
      </c>
      <c r="K2571" s="7">
        <v>145</v>
      </c>
      <c r="L2571" s="7">
        <v>214</v>
      </c>
      <c r="M2571" s="7">
        <v>9.6875</v>
      </c>
      <c r="N2571">
        <f>VLOOKUP(A2571,vlookup_table!$A:$G,2,FALSE)</f>
        <v>2</v>
      </c>
      <c r="O2571" t="str">
        <f>VLOOKUP(A2571,vlookup_table!$A:$G,3,FALSE)</f>
        <v>WI</v>
      </c>
      <c r="P2571">
        <f>VLOOKUP(A2571,vlookup_table!$A:$G,4,FALSE)</f>
        <v>0</v>
      </c>
      <c r="Q2571" t="str">
        <f>VLOOKUP(A2571,vlookup_table!$A:$G,5,FALSE)</f>
        <v>U4</v>
      </c>
      <c r="R2571" t="str">
        <f>VLOOKUP(A2571,vlookup_table!$A:$G,6,FALSE)</f>
        <v>F</v>
      </c>
      <c r="S2571">
        <f>VLOOKUP(A2571,vlookup_table!$A:$G,7,FALSE)</f>
        <v>20</v>
      </c>
      <c r="T2571">
        <f t="shared" si="80"/>
        <v>96</v>
      </c>
      <c r="U2571" t="str">
        <f t="shared" si="81"/>
        <v>Urbano</v>
      </c>
    </row>
    <row r="2572" spans="1:21" ht="16" x14ac:dyDescent="0.4">
      <c r="A2572" s="7">
        <v>99276</v>
      </c>
      <c r="B2572" s="7" t="s">
        <v>33</v>
      </c>
      <c r="C2572" s="7" t="s">
        <v>17</v>
      </c>
      <c r="D2572" s="7">
        <v>2941</v>
      </c>
      <c r="E2572" s="7">
        <v>654</v>
      </c>
      <c r="F2572" s="7">
        <v>879</v>
      </c>
      <c r="G2572" s="7">
        <v>71</v>
      </c>
      <c r="H2572" s="7">
        <v>33387</v>
      </c>
      <c r="I2572" s="7">
        <v>5</v>
      </c>
      <c r="J2572" s="7">
        <v>47</v>
      </c>
      <c r="K2572" s="7">
        <v>843</v>
      </c>
      <c r="L2572" s="7">
        <v>729</v>
      </c>
      <c r="M2572" s="7">
        <v>13.55555556</v>
      </c>
      <c r="N2572">
        <f>VLOOKUP(A2572,vlookup_table!$A:$G,2,FALSE)</f>
        <v>2</v>
      </c>
      <c r="O2572" t="str">
        <f>VLOOKUP(A2572,vlookup_table!$A:$G,3,FALSE)</f>
        <v>MO</v>
      </c>
      <c r="P2572">
        <f>VLOOKUP(A2572,vlookup_table!$A:$G,4,FALSE)</f>
        <v>5801</v>
      </c>
      <c r="Q2572" t="str">
        <f>VLOOKUP(A2572,vlookup_table!$A:$G,5,FALSE)</f>
        <v>S1</v>
      </c>
      <c r="R2572" t="str">
        <f>VLOOKUP(A2572,vlookup_table!$A:$G,6,FALSE)</f>
        <v>F</v>
      </c>
      <c r="S2572">
        <f>VLOOKUP(A2572,vlookup_table!$A:$G,7,FALSE)</f>
        <v>15</v>
      </c>
      <c r="T2572">
        <f t="shared" si="80"/>
        <v>38</v>
      </c>
      <c r="U2572" t="str">
        <f t="shared" si="81"/>
        <v>Suburbano</v>
      </c>
    </row>
    <row r="2573" spans="1:21" ht="16" x14ac:dyDescent="0.4">
      <c r="A2573" s="7">
        <v>84582</v>
      </c>
      <c r="B2573" s="7" t="s">
        <v>52</v>
      </c>
      <c r="C2573" s="7" t="s">
        <v>17</v>
      </c>
      <c r="D2573" s="7">
        <v>973</v>
      </c>
      <c r="E2573" s="7">
        <v>468</v>
      </c>
      <c r="F2573" s="7">
        <v>542</v>
      </c>
      <c r="G2573" s="7">
        <v>0</v>
      </c>
      <c r="H2573" s="7">
        <v>17726</v>
      </c>
      <c r="I2573" s="7">
        <v>6</v>
      </c>
      <c r="J2573" s="7">
        <v>61</v>
      </c>
      <c r="K2573" s="7">
        <v>514</v>
      </c>
      <c r="L2573" s="7">
        <v>506</v>
      </c>
      <c r="M2573" s="7">
        <v>11.4</v>
      </c>
      <c r="N2573">
        <f>VLOOKUP(A2573,vlookup_table!$A:$G,2,FALSE)</f>
        <v>2</v>
      </c>
      <c r="O2573" t="str">
        <f>VLOOKUP(A2573,vlookup_table!$A:$G,3,FALSE)</f>
        <v>MN</v>
      </c>
      <c r="P2573">
        <f>VLOOKUP(A2573,vlookup_table!$A:$G,4,FALSE)</f>
        <v>3512</v>
      </c>
      <c r="Q2573" t="str">
        <f>VLOOKUP(A2573,vlookup_table!$A:$G,5,FALSE)</f>
        <v>C1</v>
      </c>
      <c r="R2573" t="str">
        <f>VLOOKUP(A2573,vlookup_table!$A:$G,6,FALSE)</f>
        <v>F</v>
      </c>
      <c r="S2573">
        <f>VLOOKUP(A2573,vlookup_table!$A:$G,7,FALSE)</f>
        <v>25</v>
      </c>
      <c r="T2573">
        <f t="shared" si="80"/>
        <v>61</v>
      </c>
      <c r="U2573" t="str">
        <f t="shared" si="81"/>
        <v>Ciudad</v>
      </c>
    </row>
    <row r="2574" spans="1:21" ht="16" x14ac:dyDescent="0.4">
      <c r="A2574" s="7">
        <v>132339</v>
      </c>
      <c r="B2574" s="7" t="s">
        <v>45</v>
      </c>
      <c r="C2574" s="7" t="s">
        <v>14</v>
      </c>
      <c r="D2574" s="7">
        <v>779</v>
      </c>
      <c r="E2574" s="7">
        <v>260</v>
      </c>
      <c r="F2574" s="7">
        <v>328</v>
      </c>
      <c r="G2574" s="7">
        <v>3</v>
      </c>
      <c r="H2574" s="7">
        <v>16604</v>
      </c>
      <c r="I2574" s="7">
        <v>2</v>
      </c>
      <c r="J2574" s="7">
        <v>67</v>
      </c>
      <c r="K2574" s="7">
        <v>258</v>
      </c>
      <c r="L2574" s="7">
        <v>318</v>
      </c>
      <c r="M2574" s="7">
        <v>8.8888888890000004</v>
      </c>
      <c r="N2574">
        <f>VLOOKUP(A2574,vlookup_table!$A:$G,2,FALSE)</f>
        <v>0</v>
      </c>
      <c r="O2574" t="str">
        <f>VLOOKUP(A2574,vlookup_table!$A:$G,3,FALSE)</f>
        <v>CO</v>
      </c>
      <c r="P2574">
        <f>VLOOKUP(A2574,vlookup_table!$A:$G,4,FALSE)</f>
        <v>3001</v>
      </c>
      <c r="Q2574" t="str">
        <f>VLOOKUP(A2574,vlookup_table!$A:$G,5,FALSE)</f>
        <v>R2</v>
      </c>
      <c r="R2574" t="str">
        <f>VLOOKUP(A2574,vlookup_table!$A:$G,6,FALSE)</f>
        <v>M</v>
      </c>
      <c r="S2574">
        <f>VLOOKUP(A2574,vlookup_table!$A:$G,7,FALSE)</f>
        <v>11</v>
      </c>
      <c r="T2574">
        <f t="shared" si="80"/>
        <v>66</v>
      </c>
      <c r="U2574" t="str">
        <f t="shared" si="81"/>
        <v>Rural</v>
      </c>
    </row>
    <row r="2575" spans="1:21" ht="16" x14ac:dyDescent="0.4">
      <c r="A2575" s="7">
        <v>12011</v>
      </c>
      <c r="B2575" s="7" t="s">
        <v>21</v>
      </c>
      <c r="C2575" s="7" t="s">
        <v>14</v>
      </c>
      <c r="D2575" s="7">
        <v>3514</v>
      </c>
      <c r="E2575" s="7">
        <v>691</v>
      </c>
      <c r="F2575" s="7">
        <v>795</v>
      </c>
      <c r="G2575" s="7">
        <v>98</v>
      </c>
      <c r="H2575" s="7">
        <v>28298</v>
      </c>
      <c r="I2575" s="7">
        <v>10</v>
      </c>
      <c r="J2575" s="7">
        <v>40</v>
      </c>
      <c r="K2575" s="7">
        <v>728</v>
      </c>
      <c r="L2575" s="7">
        <v>763</v>
      </c>
      <c r="M2575" s="7">
        <v>8.3529411769999999</v>
      </c>
      <c r="N2575">
        <f>VLOOKUP(A2575,vlookup_table!$A:$G,2,FALSE)</f>
        <v>1</v>
      </c>
      <c r="O2575" t="str">
        <f>VLOOKUP(A2575,vlookup_table!$A:$G,3,FALSE)</f>
        <v>CA</v>
      </c>
      <c r="P2575">
        <f>VLOOKUP(A2575,vlookup_table!$A:$G,4,FALSE)</f>
        <v>2801</v>
      </c>
      <c r="Q2575" t="str">
        <f>VLOOKUP(A2575,vlookup_table!$A:$G,5,FALSE)</f>
        <v>C3</v>
      </c>
      <c r="R2575" t="str">
        <f>VLOOKUP(A2575,vlookup_table!$A:$G,6,FALSE)</f>
        <v>M</v>
      </c>
      <c r="S2575">
        <f>VLOOKUP(A2575,vlookup_table!$A:$G,7,FALSE)</f>
        <v>11</v>
      </c>
      <c r="T2575">
        <f t="shared" si="80"/>
        <v>68</v>
      </c>
      <c r="U2575" t="str">
        <f t="shared" si="81"/>
        <v>Ciudad</v>
      </c>
    </row>
    <row r="2576" spans="1:21" ht="16" x14ac:dyDescent="0.4">
      <c r="A2576" s="7">
        <v>117673</v>
      </c>
      <c r="B2576" s="7" t="s">
        <v>20</v>
      </c>
      <c r="C2576" s="7" t="s">
        <v>14</v>
      </c>
      <c r="D2576" s="7">
        <v>762</v>
      </c>
      <c r="E2576" s="7">
        <v>439</v>
      </c>
      <c r="F2576" s="7">
        <v>518</v>
      </c>
      <c r="G2576" s="7">
        <v>1</v>
      </c>
      <c r="H2576" s="7">
        <v>16107</v>
      </c>
      <c r="I2576" s="7">
        <v>4</v>
      </c>
      <c r="J2576" s="7">
        <v>67</v>
      </c>
      <c r="K2576" s="7">
        <v>475</v>
      </c>
      <c r="L2576" s="7">
        <v>481</v>
      </c>
      <c r="M2576" s="7">
        <v>9.7272727270000008</v>
      </c>
      <c r="N2576">
        <f>VLOOKUP(A2576,vlookup_table!$A:$G,2,FALSE)</f>
        <v>1</v>
      </c>
      <c r="O2576" t="str">
        <f>VLOOKUP(A2576,vlookup_table!$A:$G,3,FALSE)</f>
        <v>TX</v>
      </c>
      <c r="P2576">
        <f>VLOOKUP(A2576,vlookup_table!$A:$G,4,FALSE)</f>
        <v>3801</v>
      </c>
      <c r="Q2576" t="str">
        <f>VLOOKUP(A2576,vlookup_table!$A:$G,5,FALSE)</f>
        <v>T2</v>
      </c>
      <c r="R2576" t="str">
        <f>VLOOKUP(A2576,vlookup_table!$A:$G,6,FALSE)</f>
        <v>M</v>
      </c>
      <c r="S2576">
        <f>VLOOKUP(A2576,vlookup_table!$A:$G,7,FALSE)</f>
        <v>15</v>
      </c>
      <c r="T2576">
        <f t="shared" si="80"/>
        <v>58</v>
      </c>
      <c r="U2576" t="str">
        <f t="shared" si="81"/>
        <v>Pueblo</v>
      </c>
    </row>
    <row r="2577" spans="1:21" ht="16" x14ac:dyDescent="0.4">
      <c r="A2577" s="7">
        <v>186170</v>
      </c>
      <c r="B2577" s="7" t="s">
        <v>20</v>
      </c>
      <c r="C2577" s="7" t="s">
        <v>14</v>
      </c>
      <c r="D2577" s="7">
        <v>591</v>
      </c>
      <c r="E2577" s="7">
        <v>292</v>
      </c>
      <c r="F2577" s="7">
        <v>377</v>
      </c>
      <c r="G2577" s="7">
        <v>0</v>
      </c>
      <c r="H2577" s="7">
        <v>12912</v>
      </c>
      <c r="I2577" s="7">
        <v>0</v>
      </c>
      <c r="J2577" s="7">
        <v>88</v>
      </c>
      <c r="K2577" s="7">
        <v>339</v>
      </c>
      <c r="L2577" s="7">
        <v>333</v>
      </c>
      <c r="M2577" s="7">
        <v>13.38888889</v>
      </c>
      <c r="N2577">
        <f>VLOOKUP(A2577,vlookup_table!$A:$G,2,FALSE)</f>
        <v>1</v>
      </c>
      <c r="O2577" t="str">
        <f>VLOOKUP(A2577,vlookup_table!$A:$G,3,FALSE)</f>
        <v>TX</v>
      </c>
      <c r="P2577">
        <f>VLOOKUP(A2577,vlookup_table!$A:$G,4,FALSE)</f>
        <v>1801</v>
      </c>
      <c r="Q2577" t="str">
        <f>VLOOKUP(A2577,vlookup_table!$A:$G,5,FALSE)</f>
        <v>R2</v>
      </c>
      <c r="R2577" t="str">
        <f>VLOOKUP(A2577,vlookup_table!$A:$G,6,FALSE)</f>
        <v>M</v>
      </c>
      <c r="S2577">
        <f>VLOOKUP(A2577,vlookup_table!$A:$G,7,FALSE)</f>
        <v>17</v>
      </c>
      <c r="T2577">
        <f t="shared" si="80"/>
        <v>78</v>
      </c>
      <c r="U2577" t="str">
        <f t="shared" si="81"/>
        <v>Rural</v>
      </c>
    </row>
    <row r="2578" spans="1:21" ht="16" x14ac:dyDescent="0.4">
      <c r="A2578" s="7">
        <v>150186</v>
      </c>
      <c r="B2578" s="7" t="s">
        <v>21</v>
      </c>
      <c r="C2578" s="7" t="s">
        <v>17</v>
      </c>
      <c r="D2578" s="7">
        <v>2166</v>
      </c>
      <c r="E2578" s="7">
        <v>427</v>
      </c>
      <c r="F2578" s="7">
        <v>559</v>
      </c>
      <c r="G2578" s="7">
        <v>68</v>
      </c>
      <c r="H2578" s="7">
        <v>15653</v>
      </c>
      <c r="I2578" s="7">
        <v>15</v>
      </c>
      <c r="J2578" s="7">
        <v>54</v>
      </c>
      <c r="K2578" s="7">
        <v>515</v>
      </c>
      <c r="L2578" s="7">
        <v>471</v>
      </c>
      <c r="M2578" s="7">
        <v>14.33333333</v>
      </c>
      <c r="N2578">
        <f>VLOOKUP(A2578,vlookup_table!$A:$G,2,FALSE)</f>
        <v>28</v>
      </c>
      <c r="O2578" t="str">
        <f>VLOOKUP(A2578,vlookup_table!$A:$G,3,FALSE)</f>
        <v>CA</v>
      </c>
      <c r="P2578">
        <f>VLOOKUP(A2578,vlookup_table!$A:$G,4,FALSE)</f>
        <v>0</v>
      </c>
      <c r="Q2578" t="str">
        <f>VLOOKUP(A2578,vlookup_table!$A:$G,5,FALSE)</f>
        <v>S2</v>
      </c>
      <c r="R2578" t="str">
        <f>VLOOKUP(A2578,vlookup_table!$A:$G,6,FALSE)</f>
        <v>F</v>
      </c>
      <c r="S2578">
        <f>VLOOKUP(A2578,vlookup_table!$A:$G,7,FALSE)</f>
        <v>10</v>
      </c>
      <c r="T2578">
        <f t="shared" si="80"/>
        <v>96</v>
      </c>
      <c r="U2578" t="str">
        <f t="shared" si="81"/>
        <v>Suburbano</v>
      </c>
    </row>
    <row r="2579" spans="1:21" ht="16" x14ac:dyDescent="0.4">
      <c r="A2579" s="7">
        <v>3638</v>
      </c>
      <c r="B2579" s="7" t="s">
        <v>26</v>
      </c>
      <c r="C2579" s="7" t="s">
        <v>17</v>
      </c>
      <c r="D2579" s="7">
        <v>951</v>
      </c>
      <c r="E2579" s="7">
        <v>411</v>
      </c>
      <c r="F2579" s="7">
        <v>623</v>
      </c>
      <c r="G2579" s="7">
        <v>1</v>
      </c>
      <c r="H2579" s="7">
        <v>20137</v>
      </c>
      <c r="I2579" s="7">
        <v>7</v>
      </c>
      <c r="J2579" s="7">
        <v>68</v>
      </c>
      <c r="K2579" s="7">
        <v>548</v>
      </c>
      <c r="L2579" s="7">
        <v>483</v>
      </c>
      <c r="M2579" s="7">
        <v>12.2</v>
      </c>
      <c r="N2579">
        <f>VLOOKUP(A2579,vlookup_table!$A:$G,2,FALSE)</f>
        <v>0</v>
      </c>
      <c r="O2579" t="str">
        <f>VLOOKUP(A2579,vlookup_table!$A:$G,3,FALSE)</f>
        <v>MI</v>
      </c>
      <c r="P2579">
        <f>VLOOKUP(A2579,vlookup_table!$A:$G,4,FALSE)</f>
        <v>0</v>
      </c>
      <c r="Q2579" t="str">
        <f>VLOOKUP(A2579,vlookup_table!$A:$G,5,FALSE)</f>
        <v/>
      </c>
      <c r="R2579" t="str">
        <f>VLOOKUP(A2579,vlookup_table!$A:$G,6,FALSE)</f>
        <v>F</v>
      </c>
      <c r="S2579">
        <f>VLOOKUP(A2579,vlookup_table!$A:$G,7,FALSE)</f>
        <v>15</v>
      </c>
      <c r="T2579">
        <f t="shared" si="80"/>
        <v>96</v>
      </c>
      <c r="U2579" t="str">
        <f t="shared" si="81"/>
        <v/>
      </c>
    </row>
    <row r="2580" spans="1:21" ht="16" x14ac:dyDescent="0.4">
      <c r="A2580" s="7">
        <v>160633</v>
      </c>
      <c r="B2580" s="7" t="s">
        <v>21</v>
      </c>
      <c r="C2580" s="7" t="s">
        <v>17</v>
      </c>
      <c r="D2580" s="7">
        <v>945</v>
      </c>
      <c r="E2580" s="7">
        <v>275</v>
      </c>
      <c r="F2580" s="7">
        <v>347</v>
      </c>
      <c r="G2580" s="7">
        <v>2</v>
      </c>
      <c r="H2580" s="7">
        <v>12089</v>
      </c>
      <c r="I2580" s="7">
        <v>4</v>
      </c>
      <c r="J2580" s="7">
        <v>65</v>
      </c>
      <c r="K2580" s="7">
        <v>324</v>
      </c>
      <c r="L2580" s="7">
        <v>317</v>
      </c>
      <c r="M2580" s="7">
        <v>13.33333333</v>
      </c>
      <c r="N2580">
        <f>VLOOKUP(A2580,vlookup_table!$A:$G,2,FALSE)</f>
        <v>0</v>
      </c>
      <c r="O2580" t="str">
        <f>VLOOKUP(A2580,vlookup_table!$A:$G,3,FALSE)</f>
        <v>CA</v>
      </c>
      <c r="P2580">
        <f>VLOOKUP(A2580,vlookup_table!$A:$G,4,FALSE)</f>
        <v>4201</v>
      </c>
      <c r="Q2580" t="str">
        <f>VLOOKUP(A2580,vlookup_table!$A:$G,5,FALSE)</f>
        <v>R2</v>
      </c>
      <c r="R2580" t="str">
        <f>VLOOKUP(A2580,vlookup_table!$A:$G,6,FALSE)</f>
        <v>F</v>
      </c>
      <c r="S2580">
        <f>VLOOKUP(A2580,vlookup_table!$A:$G,7,FALSE)</f>
        <v>25</v>
      </c>
      <c r="T2580">
        <f t="shared" si="80"/>
        <v>54</v>
      </c>
      <c r="U2580" t="str">
        <f t="shared" si="81"/>
        <v>Rural</v>
      </c>
    </row>
    <row r="2581" spans="1:21" ht="16" x14ac:dyDescent="0.4">
      <c r="A2581" s="7">
        <v>161514</v>
      </c>
      <c r="B2581" s="7" t="s">
        <v>21</v>
      </c>
      <c r="C2581" s="7" t="s">
        <v>17</v>
      </c>
      <c r="D2581" s="7">
        <v>1408</v>
      </c>
      <c r="E2581" s="7">
        <v>390</v>
      </c>
      <c r="F2581" s="7">
        <v>508</v>
      </c>
      <c r="G2581" s="7">
        <v>16</v>
      </c>
      <c r="H2581" s="7">
        <v>17886</v>
      </c>
      <c r="I2581" s="7">
        <v>13</v>
      </c>
      <c r="J2581" s="7">
        <v>59</v>
      </c>
      <c r="K2581" s="7">
        <v>469</v>
      </c>
      <c r="L2581" s="7">
        <v>432</v>
      </c>
      <c r="M2581" s="7">
        <v>3.2857142860000002</v>
      </c>
      <c r="N2581">
        <f>VLOOKUP(A2581,vlookup_table!$A:$G,2,FALSE)</f>
        <v>0</v>
      </c>
      <c r="O2581" t="str">
        <f>VLOOKUP(A2581,vlookup_table!$A:$G,3,FALSE)</f>
        <v>CA</v>
      </c>
      <c r="P2581">
        <f>VLOOKUP(A2581,vlookup_table!$A:$G,4,FALSE)</f>
        <v>1001</v>
      </c>
      <c r="Q2581" t="str">
        <f>VLOOKUP(A2581,vlookup_table!$A:$G,5,FALSE)</f>
        <v>S1</v>
      </c>
      <c r="R2581" t="str">
        <f>VLOOKUP(A2581,vlookup_table!$A:$G,6,FALSE)</f>
        <v>F</v>
      </c>
      <c r="S2581">
        <f>VLOOKUP(A2581,vlookup_table!$A:$G,7,FALSE)</f>
        <v>5</v>
      </c>
      <c r="T2581">
        <f t="shared" si="80"/>
        <v>86</v>
      </c>
      <c r="U2581" t="str">
        <f t="shared" si="81"/>
        <v>Suburbano</v>
      </c>
    </row>
    <row r="2582" spans="1:21" ht="16" x14ac:dyDescent="0.4">
      <c r="A2582" s="7">
        <v>110539</v>
      </c>
      <c r="B2582" s="7" t="s">
        <v>46</v>
      </c>
      <c r="C2582" s="7" t="s">
        <v>14</v>
      </c>
      <c r="D2582" s="7">
        <v>554</v>
      </c>
      <c r="E2582" s="7">
        <v>241</v>
      </c>
      <c r="F2582" s="7">
        <v>316</v>
      </c>
      <c r="G2582" s="7">
        <v>0</v>
      </c>
      <c r="H2582" s="7">
        <v>9759</v>
      </c>
      <c r="I2582" s="7">
        <v>0</v>
      </c>
      <c r="J2582" s="7">
        <v>86</v>
      </c>
      <c r="K2582" s="7">
        <v>281</v>
      </c>
      <c r="L2582" s="7">
        <v>288</v>
      </c>
      <c r="M2582" s="7">
        <v>10.375</v>
      </c>
      <c r="N2582">
        <f>VLOOKUP(A2582,vlookup_table!$A:$G,2,FALSE)</f>
        <v>2</v>
      </c>
      <c r="O2582" t="str">
        <f>VLOOKUP(A2582,vlookup_table!$A:$G,3,FALSE)</f>
        <v>LA</v>
      </c>
      <c r="P2582">
        <f>VLOOKUP(A2582,vlookup_table!$A:$G,4,FALSE)</f>
        <v>4702</v>
      </c>
      <c r="Q2582" t="str">
        <f>VLOOKUP(A2582,vlookup_table!$A:$G,5,FALSE)</f>
        <v>R2</v>
      </c>
      <c r="R2582" t="str">
        <f>VLOOKUP(A2582,vlookup_table!$A:$G,6,FALSE)</f>
        <v>M</v>
      </c>
      <c r="S2582">
        <f>VLOOKUP(A2582,vlookup_table!$A:$G,7,FALSE)</f>
        <v>20</v>
      </c>
      <c r="T2582">
        <f t="shared" si="80"/>
        <v>49</v>
      </c>
      <c r="U2582" t="str">
        <f t="shared" si="81"/>
        <v>Rural</v>
      </c>
    </row>
    <row r="2583" spans="1:21" ht="16" x14ac:dyDescent="0.4">
      <c r="A2583" s="7">
        <v>77379</v>
      </c>
      <c r="B2583" s="7" t="s">
        <v>32</v>
      </c>
      <c r="C2583" s="7"/>
      <c r="D2583" s="7">
        <v>789</v>
      </c>
      <c r="E2583" s="7">
        <v>415</v>
      </c>
      <c r="F2583" s="7">
        <v>472</v>
      </c>
      <c r="G2583" s="7">
        <v>0</v>
      </c>
      <c r="H2583" s="7">
        <v>16332</v>
      </c>
      <c r="I2583" s="7">
        <v>0</v>
      </c>
      <c r="J2583" s="7">
        <v>88</v>
      </c>
      <c r="K2583" s="7">
        <v>427</v>
      </c>
      <c r="L2583" s="7">
        <v>465</v>
      </c>
      <c r="M2583" s="7">
        <v>17.5</v>
      </c>
      <c r="N2583">
        <f>VLOOKUP(A2583,vlookup_table!$A:$G,2,FALSE)</f>
        <v>0</v>
      </c>
      <c r="O2583" t="str">
        <f>VLOOKUP(A2583,vlookup_table!$A:$G,3,FALSE)</f>
        <v>WI</v>
      </c>
      <c r="P2583">
        <f>VLOOKUP(A2583,vlookup_table!$A:$G,4,FALSE)</f>
        <v>0</v>
      </c>
      <c r="Q2583" t="str">
        <f>VLOOKUP(A2583,vlookup_table!$A:$G,5,FALSE)</f>
        <v>T2</v>
      </c>
      <c r="R2583" t="str">
        <f>VLOOKUP(A2583,vlookup_table!$A:$G,6,FALSE)</f>
        <v/>
      </c>
      <c r="S2583">
        <f>VLOOKUP(A2583,vlookup_table!$A:$G,7,FALSE)</f>
        <v>20</v>
      </c>
      <c r="T2583">
        <f t="shared" si="80"/>
        <v>96</v>
      </c>
      <c r="U2583" t="str">
        <f t="shared" si="81"/>
        <v>Pueblo</v>
      </c>
    </row>
    <row r="2584" spans="1:21" ht="16" x14ac:dyDescent="0.4">
      <c r="A2584" s="7">
        <v>176881</v>
      </c>
      <c r="B2584" s="7" t="s">
        <v>47</v>
      </c>
      <c r="C2584" s="7" t="s">
        <v>17</v>
      </c>
      <c r="D2584" s="7">
        <v>415</v>
      </c>
      <c r="E2584" s="7">
        <v>205</v>
      </c>
      <c r="F2584" s="7">
        <v>251</v>
      </c>
      <c r="G2584" s="7">
        <v>0</v>
      </c>
      <c r="H2584" s="7">
        <v>8605</v>
      </c>
      <c r="I2584" s="7">
        <v>2</v>
      </c>
      <c r="J2584" s="7">
        <v>49</v>
      </c>
      <c r="K2584" s="7">
        <v>221</v>
      </c>
      <c r="L2584" s="7">
        <v>239</v>
      </c>
      <c r="M2584" s="7">
        <v>5.4285714289999998</v>
      </c>
      <c r="N2584">
        <f>VLOOKUP(A2584,vlookup_table!$A:$G,2,FALSE)</f>
        <v>2</v>
      </c>
      <c r="O2584" t="str">
        <f>VLOOKUP(A2584,vlookup_table!$A:$G,3,FALSE)</f>
        <v>OR</v>
      </c>
      <c r="P2584">
        <f>VLOOKUP(A2584,vlookup_table!$A:$G,4,FALSE)</f>
        <v>3001</v>
      </c>
      <c r="Q2584" t="str">
        <f>VLOOKUP(A2584,vlookup_table!$A:$G,5,FALSE)</f>
        <v>T2</v>
      </c>
      <c r="R2584" t="str">
        <f>VLOOKUP(A2584,vlookup_table!$A:$G,6,FALSE)</f>
        <v>F</v>
      </c>
      <c r="S2584">
        <f>VLOOKUP(A2584,vlookup_table!$A:$G,7,FALSE)</f>
        <v>5</v>
      </c>
      <c r="T2584">
        <f t="shared" si="80"/>
        <v>66</v>
      </c>
      <c r="U2584" t="str">
        <f t="shared" si="81"/>
        <v>Pueblo</v>
      </c>
    </row>
    <row r="2585" spans="1:21" ht="16" x14ac:dyDescent="0.4">
      <c r="A2585" s="7">
        <v>115833</v>
      </c>
      <c r="B2585" s="7" t="s">
        <v>20</v>
      </c>
      <c r="C2585" s="7" t="s">
        <v>14</v>
      </c>
      <c r="D2585" s="7">
        <v>818</v>
      </c>
      <c r="E2585" s="7">
        <v>385</v>
      </c>
      <c r="F2585" s="7">
        <v>485</v>
      </c>
      <c r="G2585" s="7">
        <v>0</v>
      </c>
      <c r="H2585" s="7">
        <v>18461</v>
      </c>
      <c r="I2585" s="7">
        <v>3</v>
      </c>
      <c r="J2585" s="7">
        <v>60</v>
      </c>
      <c r="K2585" s="7">
        <v>453</v>
      </c>
      <c r="L2585" s="7">
        <v>451</v>
      </c>
      <c r="M2585" s="7">
        <v>4.692307692</v>
      </c>
      <c r="N2585">
        <f>VLOOKUP(A2585,vlookup_table!$A:$G,2,FALSE)</f>
        <v>1</v>
      </c>
      <c r="O2585" t="str">
        <f>VLOOKUP(A2585,vlookup_table!$A:$G,3,FALSE)</f>
        <v>TX</v>
      </c>
      <c r="P2585">
        <f>VLOOKUP(A2585,vlookup_table!$A:$G,4,FALSE)</f>
        <v>3106</v>
      </c>
      <c r="Q2585" t="str">
        <f>VLOOKUP(A2585,vlookup_table!$A:$G,5,FALSE)</f>
        <v>U2</v>
      </c>
      <c r="R2585" t="str">
        <f>VLOOKUP(A2585,vlookup_table!$A:$G,6,FALSE)</f>
        <v>M</v>
      </c>
      <c r="S2585">
        <f>VLOOKUP(A2585,vlookup_table!$A:$G,7,FALSE)</f>
        <v>5</v>
      </c>
      <c r="T2585">
        <f t="shared" si="80"/>
        <v>65</v>
      </c>
      <c r="U2585" t="str">
        <f t="shared" si="81"/>
        <v>Urbano</v>
      </c>
    </row>
    <row r="2586" spans="1:21" ht="16" x14ac:dyDescent="0.4">
      <c r="A2586" s="7">
        <v>65421</v>
      </c>
      <c r="B2586" s="7" t="s">
        <v>26</v>
      </c>
      <c r="C2586" s="7" t="s">
        <v>17</v>
      </c>
      <c r="D2586" s="7">
        <v>727</v>
      </c>
      <c r="E2586" s="7">
        <v>418</v>
      </c>
      <c r="F2586" s="7">
        <v>481</v>
      </c>
      <c r="G2586" s="7">
        <v>0</v>
      </c>
      <c r="H2586" s="7">
        <v>15227</v>
      </c>
      <c r="I2586" s="7">
        <v>4</v>
      </c>
      <c r="J2586" s="7">
        <v>85</v>
      </c>
      <c r="K2586" s="7">
        <v>466</v>
      </c>
      <c r="L2586" s="7">
        <v>425</v>
      </c>
      <c r="M2586" s="7">
        <v>14.2</v>
      </c>
      <c r="N2586">
        <f>VLOOKUP(A2586,vlookup_table!$A:$G,2,FALSE)</f>
        <v>2</v>
      </c>
      <c r="O2586" t="str">
        <f>VLOOKUP(A2586,vlookup_table!$A:$G,3,FALSE)</f>
        <v>MI</v>
      </c>
      <c r="P2586">
        <f>VLOOKUP(A2586,vlookup_table!$A:$G,4,FALSE)</f>
        <v>6301</v>
      </c>
      <c r="Q2586" t="str">
        <f>VLOOKUP(A2586,vlookup_table!$A:$G,5,FALSE)</f>
        <v>S2</v>
      </c>
      <c r="R2586" t="str">
        <f>VLOOKUP(A2586,vlookup_table!$A:$G,6,FALSE)</f>
        <v>F</v>
      </c>
      <c r="S2586">
        <f>VLOOKUP(A2586,vlookup_table!$A:$G,7,FALSE)</f>
        <v>15</v>
      </c>
      <c r="T2586">
        <f t="shared" si="80"/>
        <v>33</v>
      </c>
      <c r="U2586" t="str">
        <f t="shared" si="81"/>
        <v>Suburbano</v>
      </c>
    </row>
    <row r="2587" spans="1:21" ht="16" x14ac:dyDescent="0.4">
      <c r="A2587" s="7">
        <v>132157</v>
      </c>
      <c r="B2587" s="7" t="s">
        <v>45</v>
      </c>
      <c r="C2587" s="7" t="s">
        <v>17</v>
      </c>
      <c r="D2587" s="7">
        <v>1070</v>
      </c>
      <c r="E2587" s="7">
        <v>271</v>
      </c>
      <c r="F2587" s="7">
        <v>394</v>
      </c>
      <c r="G2587" s="7">
        <v>2</v>
      </c>
      <c r="H2587" s="7">
        <v>13186</v>
      </c>
      <c r="I2587" s="7">
        <v>3</v>
      </c>
      <c r="J2587" s="7">
        <v>36</v>
      </c>
      <c r="K2587" s="7">
        <v>388</v>
      </c>
      <c r="L2587" s="7">
        <v>330</v>
      </c>
      <c r="M2587" s="7">
        <v>13.57142857</v>
      </c>
      <c r="N2587">
        <f>VLOOKUP(A2587,vlookup_table!$A:$G,2,FALSE)</f>
        <v>0</v>
      </c>
      <c r="O2587" t="str">
        <f>VLOOKUP(A2587,vlookup_table!$A:$G,3,FALSE)</f>
        <v>CO</v>
      </c>
      <c r="P2587">
        <f>VLOOKUP(A2587,vlookup_table!$A:$G,4,FALSE)</f>
        <v>4201</v>
      </c>
      <c r="Q2587" t="str">
        <f>VLOOKUP(A2587,vlookup_table!$A:$G,5,FALSE)</f>
        <v>T2</v>
      </c>
      <c r="R2587" t="str">
        <f>VLOOKUP(A2587,vlookup_table!$A:$G,6,FALSE)</f>
        <v>F</v>
      </c>
      <c r="S2587">
        <f>VLOOKUP(A2587,vlookup_table!$A:$G,7,FALSE)</f>
        <v>25</v>
      </c>
      <c r="T2587">
        <f t="shared" si="80"/>
        <v>54</v>
      </c>
      <c r="U2587" t="str">
        <f t="shared" si="81"/>
        <v>Pueblo</v>
      </c>
    </row>
    <row r="2588" spans="1:21" ht="16" x14ac:dyDescent="0.4">
      <c r="A2588" s="7">
        <v>36576</v>
      </c>
      <c r="B2588" s="7" t="s">
        <v>13</v>
      </c>
      <c r="C2588" s="7"/>
      <c r="D2588" s="7">
        <v>1342</v>
      </c>
      <c r="E2588" s="7">
        <v>472</v>
      </c>
      <c r="F2588" s="7">
        <v>607</v>
      </c>
      <c r="G2588" s="7">
        <v>7</v>
      </c>
      <c r="H2588" s="7">
        <v>23348</v>
      </c>
      <c r="I2588" s="7">
        <v>28</v>
      </c>
      <c r="J2588" s="7">
        <v>30</v>
      </c>
      <c r="K2588" s="7">
        <v>543</v>
      </c>
      <c r="L2588" s="7">
        <v>551</v>
      </c>
      <c r="M2588" s="7">
        <v>4.5208333329999997</v>
      </c>
      <c r="N2588">
        <f>VLOOKUP(A2588,vlookup_table!$A:$G,2,FALSE)</f>
        <v>0</v>
      </c>
      <c r="O2588" t="str">
        <f>VLOOKUP(A2588,vlookup_table!$A:$G,3,FALSE)</f>
        <v>FL</v>
      </c>
      <c r="P2588">
        <f>VLOOKUP(A2588,vlookup_table!$A:$G,4,FALSE)</f>
        <v>0</v>
      </c>
      <c r="Q2588" t="str">
        <f>VLOOKUP(A2588,vlookup_table!$A:$G,5,FALSE)</f>
        <v>S1</v>
      </c>
      <c r="R2588" t="str">
        <f>VLOOKUP(A2588,vlookup_table!$A:$G,6,FALSE)</f>
        <v/>
      </c>
      <c r="S2588">
        <f>VLOOKUP(A2588,vlookup_table!$A:$G,7,FALSE)</f>
        <v>5</v>
      </c>
      <c r="T2588">
        <f t="shared" si="80"/>
        <v>96</v>
      </c>
      <c r="U2588" t="str">
        <f t="shared" si="81"/>
        <v>Suburbano</v>
      </c>
    </row>
    <row r="2589" spans="1:21" ht="16" x14ac:dyDescent="0.4">
      <c r="A2589" s="7">
        <v>157739</v>
      </c>
      <c r="B2589" s="7" t="s">
        <v>21</v>
      </c>
      <c r="C2589" s="7" t="s">
        <v>14</v>
      </c>
      <c r="D2589" s="7">
        <v>2278</v>
      </c>
      <c r="E2589" s="7">
        <v>370</v>
      </c>
      <c r="F2589" s="7">
        <v>508</v>
      </c>
      <c r="G2589" s="7">
        <v>66</v>
      </c>
      <c r="H2589" s="7">
        <v>18777</v>
      </c>
      <c r="I2589" s="7">
        <v>15</v>
      </c>
      <c r="J2589" s="7">
        <v>49</v>
      </c>
      <c r="K2589" s="7">
        <v>424</v>
      </c>
      <c r="L2589" s="7">
        <v>462</v>
      </c>
      <c r="M2589" s="7">
        <v>9.625</v>
      </c>
      <c r="N2589">
        <f>VLOOKUP(A2589,vlookup_table!$A:$G,2,FALSE)</f>
        <v>1</v>
      </c>
      <c r="O2589" t="str">
        <f>VLOOKUP(A2589,vlookup_table!$A:$G,3,FALSE)</f>
        <v>CA</v>
      </c>
      <c r="P2589">
        <f>VLOOKUP(A2589,vlookup_table!$A:$G,4,FALSE)</f>
        <v>2705</v>
      </c>
      <c r="Q2589" t="str">
        <f>VLOOKUP(A2589,vlookup_table!$A:$G,5,FALSE)</f>
        <v>S1</v>
      </c>
      <c r="R2589" t="str">
        <f>VLOOKUP(A2589,vlookup_table!$A:$G,6,FALSE)</f>
        <v>M</v>
      </c>
      <c r="S2589">
        <f>VLOOKUP(A2589,vlookup_table!$A:$G,7,FALSE)</f>
        <v>14</v>
      </c>
      <c r="T2589">
        <f t="shared" si="80"/>
        <v>69</v>
      </c>
      <c r="U2589" t="str">
        <f t="shared" si="81"/>
        <v>Suburbano</v>
      </c>
    </row>
    <row r="2590" spans="1:21" ht="16" x14ac:dyDescent="0.4">
      <c r="A2590" s="7">
        <v>157660</v>
      </c>
      <c r="B2590" s="7" t="s">
        <v>21</v>
      </c>
      <c r="C2590" s="7" t="s">
        <v>17</v>
      </c>
      <c r="D2590" s="7">
        <v>5811</v>
      </c>
      <c r="E2590" s="7">
        <v>1040</v>
      </c>
      <c r="F2590" s="7">
        <v>1078</v>
      </c>
      <c r="G2590" s="7">
        <v>99</v>
      </c>
      <c r="H2590" s="7">
        <v>61440</v>
      </c>
      <c r="I2590" s="7">
        <v>7</v>
      </c>
      <c r="J2590" s="7">
        <v>47</v>
      </c>
      <c r="K2590" s="7">
        <v>1179</v>
      </c>
      <c r="L2590" s="7">
        <v>966</v>
      </c>
      <c r="M2590" s="7">
        <v>16.5</v>
      </c>
      <c r="N2590">
        <f>VLOOKUP(A2590,vlookup_table!$A:$G,2,FALSE)</f>
        <v>0</v>
      </c>
      <c r="O2590" t="str">
        <f>VLOOKUP(A2590,vlookup_table!$A:$G,3,FALSE)</f>
        <v>CA</v>
      </c>
      <c r="P2590">
        <f>VLOOKUP(A2590,vlookup_table!$A:$G,4,FALSE)</f>
        <v>3201</v>
      </c>
      <c r="Q2590" t="str">
        <f>VLOOKUP(A2590,vlookup_table!$A:$G,5,FALSE)</f>
        <v>C1</v>
      </c>
      <c r="R2590" t="str">
        <f>VLOOKUP(A2590,vlookup_table!$A:$G,6,FALSE)</f>
        <v>F</v>
      </c>
      <c r="S2590">
        <f>VLOOKUP(A2590,vlookup_table!$A:$G,7,FALSE)</f>
        <v>20</v>
      </c>
      <c r="T2590">
        <f t="shared" si="80"/>
        <v>64</v>
      </c>
      <c r="U2590" t="str">
        <f t="shared" si="81"/>
        <v>Ciudad</v>
      </c>
    </row>
    <row r="2591" spans="1:21" ht="16" x14ac:dyDescent="0.4">
      <c r="A2591" s="7">
        <v>34681</v>
      </c>
      <c r="B2591" s="7" t="s">
        <v>13</v>
      </c>
      <c r="C2591" s="7" t="s">
        <v>17</v>
      </c>
      <c r="D2591" s="7">
        <v>1145</v>
      </c>
      <c r="E2591" s="7">
        <v>498</v>
      </c>
      <c r="F2591" s="7">
        <v>561</v>
      </c>
      <c r="G2591" s="7">
        <v>14</v>
      </c>
      <c r="H2591" s="7">
        <v>21059</v>
      </c>
      <c r="I2591" s="7">
        <v>9</v>
      </c>
      <c r="J2591" s="7">
        <v>27</v>
      </c>
      <c r="K2591" s="7">
        <v>516</v>
      </c>
      <c r="L2591" s="7">
        <v>536</v>
      </c>
      <c r="M2591" s="7">
        <v>12.222222220000001</v>
      </c>
      <c r="N2591">
        <f>VLOOKUP(A2591,vlookup_table!$A:$G,2,FALSE)</f>
        <v>0</v>
      </c>
      <c r="O2591" t="str">
        <f>VLOOKUP(A2591,vlookup_table!$A:$G,3,FALSE)</f>
        <v>FL</v>
      </c>
      <c r="P2591">
        <f>VLOOKUP(A2591,vlookup_table!$A:$G,4,FALSE)</f>
        <v>6108</v>
      </c>
      <c r="Q2591" t="str">
        <f>VLOOKUP(A2591,vlookup_table!$A:$G,5,FALSE)</f>
        <v>S1</v>
      </c>
      <c r="R2591" t="str">
        <f>VLOOKUP(A2591,vlookup_table!$A:$G,6,FALSE)</f>
        <v>F</v>
      </c>
      <c r="S2591">
        <f>VLOOKUP(A2591,vlookup_table!$A:$G,7,FALSE)</f>
        <v>21</v>
      </c>
      <c r="T2591">
        <f t="shared" si="80"/>
        <v>35</v>
      </c>
      <c r="U2591" t="str">
        <f t="shared" si="81"/>
        <v>Suburbano</v>
      </c>
    </row>
    <row r="2592" spans="1:21" ht="16" x14ac:dyDescent="0.4">
      <c r="A2592" s="7">
        <v>72139</v>
      </c>
      <c r="B2592" s="7" t="s">
        <v>26</v>
      </c>
      <c r="C2592" s="7" t="s">
        <v>17</v>
      </c>
      <c r="D2592" s="7">
        <v>486</v>
      </c>
      <c r="E2592" s="7">
        <v>293</v>
      </c>
      <c r="F2592" s="7">
        <v>343</v>
      </c>
      <c r="G2592" s="7">
        <v>0</v>
      </c>
      <c r="H2592" s="7">
        <v>10516</v>
      </c>
      <c r="I2592" s="7">
        <v>1</v>
      </c>
      <c r="J2592" s="7">
        <v>89</v>
      </c>
      <c r="K2592" s="7">
        <v>309</v>
      </c>
      <c r="L2592" s="7">
        <v>324</v>
      </c>
      <c r="M2592" s="7">
        <v>8.2941176470000002</v>
      </c>
      <c r="N2592">
        <f>VLOOKUP(A2592,vlookup_table!$A:$G,2,FALSE)</f>
        <v>0</v>
      </c>
      <c r="O2592" t="str">
        <f>VLOOKUP(A2592,vlookup_table!$A:$G,3,FALSE)</f>
        <v>MI</v>
      </c>
      <c r="P2592">
        <f>VLOOKUP(A2592,vlookup_table!$A:$G,4,FALSE)</f>
        <v>3811</v>
      </c>
      <c r="Q2592" t="str">
        <f>VLOOKUP(A2592,vlookup_table!$A:$G,5,FALSE)</f>
        <v>R2</v>
      </c>
      <c r="R2592" t="str">
        <f>VLOOKUP(A2592,vlookup_table!$A:$G,6,FALSE)</f>
        <v>F</v>
      </c>
      <c r="S2592">
        <f>VLOOKUP(A2592,vlookup_table!$A:$G,7,FALSE)</f>
        <v>10</v>
      </c>
      <c r="T2592">
        <f t="shared" si="80"/>
        <v>58</v>
      </c>
      <c r="U2592" t="str">
        <f t="shared" si="81"/>
        <v>Rural</v>
      </c>
    </row>
    <row r="2593" spans="1:21" ht="16" x14ac:dyDescent="0.4">
      <c r="A2593" s="7">
        <v>47525</v>
      </c>
      <c r="B2593" s="7" t="s">
        <v>40</v>
      </c>
      <c r="C2593" s="7" t="s">
        <v>14</v>
      </c>
      <c r="D2593" s="7">
        <v>349</v>
      </c>
      <c r="E2593" s="7">
        <v>161</v>
      </c>
      <c r="F2593" s="7">
        <v>231</v>
      </c>
      <c r="G2593" s="7">
        <v>0</v>
      </c>
      <c r="H2593" s="7">
        <v>6934</v>
      </c>
      <c r="I2593" s="7">
        <v>0</v>
      </c>
      <c r="J2593" s="7">
        <v>95</v>
      </c>
      <c r="K2593" s="7">
        <v>192</v>
      </c>
      <c r="L2593" s="7">
        <v>195</v>
      </c>
      <c r="M2593" s="7">
        <v>14</v>
      </c>
      <c r="N2593">
        <f>VLOOKUP(A2593,vlookup_table!$A:$G,2,FALSE)</f>
        <v>1</v>
      </c>
      <c r="O2593" t="str">
        <f>VLOOKUP(A2593,vlookup_table!$A:$G,3,FALSE)</f>
        <v>AL</v>
      </c>
      <c r="P2593">
        <f>VLOOKUP(A2593,vlookup_table!$A:$G,4,FALSE)</f>
        <v>3601</v>
      </c>
      <c r="Q2593" t="str">
        <f>VLOOKUP(A2593,vlookup_table!$A:$G,5,FALSE)</f>
        <v>C3</v>
      </c>
      <c r="R2593" t="str">
        <f>VLOOKUP(A2593,vlookup_table!$A:$G,6,FALSE)</f>
        <v>M</v>
      </c>
      <c r="S2593">
        <f>VLOOKUP(A2593,vlookup_table!$A:$G,7,FALSE)</f>
        <v>20</v>
      </c>
      <c r="T2593">
        <f t="shared" si="80"/>
        <v>60</v>
      </c>
      <c r="U2593" t="str">
        <f t="shared" si="81"/>
        <v>Ciudad</v>
      </c>
    </row>
    <row r="2594" spans="1:21" ht="16" x14ac:dyDescent="0.4">
      <c r="A2594" s="7">
        <v>51467</v>
      </c>
      <c r="B2594" s="7" t="s">
        <v>49</v>
      </c>
      <c r="C2594" s="7" t="s">
        <v>17</v>
      </c>
      <c r="D2594" s="7">
        <v>359</v>
      </c>
      <c r="E2594" s="7">
        <v>162</v>
      </c>
      <c r="F2594" s="7">
        <v>236</v>
      </c>
      <c r="G2594" s="7">
        <v>2</v>
      </c>
      <c r="H2594" s="7">
        <v>8321</v>
      </c>
      <c r="I2594" s="7">
        <v>1</v>
      </c>
      <c r="J2594" s="7">
        <v>61</v>
      </c>
      <c r="K2594" s="7">
        <v>189</v>
      </c>
      <c r="L2594" s="7">
        <v>211</v>
      </c>
      <c r="M2594" s="7">
        <v>8.6</v>
      </c>
      <c r="N2594">
        <f>VLOOKUP(A2594,vlookup_table!$A:$G,2,FALSE)</f>
        <v>0</v>
      </c>
      <c r="O2594" t="str">
        <f>VLOOKUP(A2594,vlookup_table!$A:$G,3,FALSE)</f>
        <v>TN</v>
      </c>
      <c r="P2594">
        <f>VLOOKUP(A2594,vlookup_table!$A:$G,4,FALSE)</f>
        <v>0</v>
      </c>
      <c r="Q2594" t="str">
        <f>VLOOKUP(A2594,vlookup_table!$A:$G,5,FALSE)</f>
        <v>C3</v>
      </c>
      <c r="R2594" t="str">
        <f>VLOOKUP(A2594,vlookup_table!$A:$G,6,FALSE)</f>
        <v>F</v>
      </c>
      <c r="S2594">
        <f>VLOOKUP(A2594,vlookup_table!$A:$G,7,FALSE)</f>
        <v>11</v>
      </c>
      <c r="T2594">
        <f t="shared" si="80"/>
        <v>96</v>
      </c>
      <c r="U2594" t="str">
        <f t="shared" si="81"/>
        <v>Ciudad</v>
      </c>
    </row>
    <row r="2595" spans="1:21" ht="16" x14ac:dyDescent="0.4">
      <c r="A2595" s="7">
        <v>34800</v>
      </c>
      <c r="B2595" s="7" t="s">
        <v>13</v>
      </c>
      <c r="C2595" s="7" t="s">
        <v>17</v>
      </c>
      <c r="D2595" s="7">
        <v>756</v>
      </c>
      <c r="E2595" s="7">
        <v>305</v>
      </c>
      <c r="F2595" s="7">
        <v>354</v>
      </c>
      <c r="G2595" s="7">
        <v>0</v>
      </c>
      <c r="H2595" s="7">
        <v>12909</v>
      </c>
      <c r="I2595" s="7">
        <v>7</v>
      </c>
      <c r="J2595" s="7">
        <v>12</v>
      </c>
      <c r="K2595" s="7">
        <v>321</v>
      </c>
      <c r="L2595" s="7">
        <v>333</v>
      </c>
      <c r="M2595" s="7">
        <v>13.46153846</v>
      </c>
      <c r="N2595">
        <f>VLOOKUP(A2595,vlookup_table!$A:$G,2,FALSE)</f>
        <v>28</v>
      </c>
      <c r="O2595" t="str">
        <f>VLOOKUP(A2595,vlookup_table!$A:$G,3,FALSE)</f>
        <v>FL</v>
      </c>
      <c r="P2595">
        <f>VLOOKUP(A2595,vlookup_table!$A:$G,4,FALSE)</f>
        <v>2801</v>
      </c>
      <c r="Q2595" t="str">
        <f>VLOOKUP(A2595,vlookup_table!$A:$G,5,FALSE)</f>
        <v>C2</v>
      </c>
      <c r="R2595" t="str">
        <f>VLOOKUP(A2595,vlookup_table!$A:$G,6,FALSE)</f>
        <v>F</v>
      </c>
      <c r="S2595">
        <f>VLOOKUP(A2595,vlookup_table!$A:$G,7,FALSE)</f>
        <v>10</v>
      </c>
      <c r="T2595">
        <f t="shared" si="80"/>
        <v>68</v>
      </c>
      <c r="U2595" t="str">
        <f t="shared" si="81"/>
        <v>Ciudad</v>
      </c>
    </row>
    <row r="2596" spans="1:21" ht="16" x14ac:dyDescent="0.4">
      <c r="A2596" s="7">
        <v>186809</v>
      </c>
      <c r="B2596" s="7" t="s">
        <v>21</v>
      </c>
      <c r="C2596" s="7" t="s">
        <v>17</v>
      </c>
      <c r="D2596" s="7">
        <v>2443</v>
      </c>
      <c r="E2596" s="7">
        <v>423</v>
      </c>
      <c r="F2596" s="7">
        <v>580</v>
      </c>
      <c r="G2596" s="7">
        <v>72</v>
      </c>
      <c r="H2596" s="7">
        <v>21089</v>
      </c>
      <c r="I2596" s="7">
        <v>5</v>
      </c>
      <c r="J2596" s="7">
        <v>51</v>
      </c>
      <c r="K2596" s="7">
        <v>502</v>
      </c>
      <c r="L2596" s="7">
        <v>506</v>
      </c>
      <c r="M2596" s="7">
        <v>12.5</v>
      </c>
      <c r="N2596">
        <f>VLOOKUP(A2596,vlookup_table!$A:$G,2,FALSE)</f>
        <v>2</v>
      </c>
      <c r="O2596" t="str">
        <f>VLOOKUP(A2596,vlookup_table!$A:$G,3,FALSE)</f>
        <v>CA</v>
      </c>
      <c r="P2596">
        <f>VLOOKUP(A2596,vlookup_table!$A:$G,4,FALSE)</f>
        <v>3201</v>
      </c>
      <c r="Q2596" t="str">
        <f>VLOOKUP(A2596,vlookup_table!$A:$G,5,FALSE)</f>
        <v>S1</v>
      </c>
      <c r="R2596" t="str">
        <f>VLOOKUP(A2596,vlookup_table!$A:$G,6,FALSE)</f>
        <v>F</v>
      </c>
      <c r="S2596">
        <f>VLOOKUP(A2596,vlookup_table!$A:$G,7,FALSE)</f>
        <v>15</v>
      </c>
      <c r="T2596">
        <f t="shared" si="80"/>
        <v>64</v>
      </c>
      <c r="U2596" t="str">
        <f t="shared" si="81"/>
        <v>Suburbano</v>
      </c>
    </row>
    <row r="2597" spans="1:21" ht="16" x14ac:dyDescent="0.4">
      <c r="A2597" s="7">
        <v>3118</v>
      </c>
      <c r="B2597" s="7" t="s">
        <v>50</v>
      </c>
      <c r="C2597" s="7" t="s">
        <v>17</v>
      </c>
      <c r="D2597" s="7">
        <v>871</v>
      </c>
      <c r="E2597" s="7">
        <v>383</v>
      </c>
      <c r="F2597" s="7">
        <v>386</v>
      </c>
      <c r="G2597" s="7">
        <v>0</v>
      </c>
      <c r="H2597" s="7">
        <v>15366</v>
      </c>
      <c r="I2597" s="7">
        <v>5</v>
      </c>
      <c r="J2597" s="7">
        <v>37</v>
      </c>
      <c r="K2597" s="7">
        <v>403</v>
      </c>
      <c r="L2597" s="7">
        <v>380</v>
      </c>
      <c r="M2597" s="7">
        <v>13.66666667</v>
      </c>
      <c r="N2597">
        <f>VLOOKUP(A2597,vlookup_table!$A:$G,2,FALSE)</f>
        <v>28</v>
      </c>
      <c r="O2597" t="str">
        <f>VLOOKUP(A2597,vlookup_table!$A:$G,3,FALSE)</f>
        <v>NM</v>
      </c>
      <c r="P2597">
        <f>VLOOKUP(A2597,vlookup_table!$A:$G,4,FALSE)</f>
        <v>6201</v>
      </c>
      <c r="Q2597" t="str">
        <f>VLOOKUP(A2597,vlookup_table!$A:$G,5,FALSE)</f>
        <v>S1</v>
      </c>
      <c r="R2597" t="str">
        <f>VLOOKUP(A2597,vlookup_table!$A:$G,6,FALSE)</f>
        <v>F</v>
      </c>
      <c r="S2597">
        <f>VLOOKUP(A2597,vlookup_table!$A:$G,7,FALSE)</f>
        <v>10</v>
      </c>
      <c r="T2597">
        <f t="shared" si="80"/>
        <v>34</v>
      </c>
      <c r="U2597" t="str">
        <f t="shared" si="81"/>
        <v>Suburbano</v>
      </c>
    </row>
    <row r="2598" spans="1:21" ht="16" x14ac:dyDescent="0.4">
      <c r="A2598" s="7">
        <v>120972</v>
      </c>
      <c r="B2598" s="7" t="s">
        <v>20</v>
      </c>
      <c r="C2598" s="7" t="s">
        <v>17</v>
      </c>
      <c r="D2598" s="7">
        <v>280</v>
      </c>
      <c r="E2598" s="7">
        <v>164</v>
      </c>
      <c r="F2598" s="7">
        <v>233</v>
      </c>
      <c r="G2598" s="7">
        <v>0</v>
      </c>
      <c r="H2598" s="7">
        <v>4967</v>
      </c>
      <c r="I2598" s="7">
        <v>43</v>
      </c>
      <c r="J2598" s="7">
        <v>49</v>
      </c>
      <c r="K2598" s="7">
        <v>213</v>
      </c>
      <c r="L2598" s="7">
        <v>208</v>
      </c>
      <c r="M2598" s="7">
        <v>8.7311538459999998</v>
      </c>
      <c r="N2598">
        <f>VLOOKUP(A2598,vlookup_table!$A:$G,2,FALSE)</f>
        <v>0</v>
      </c>
      <c r="O2598" t="str">
        <f>VLOOKUP(A2598,vlookup_table!$A:$G,3,FALSE)</f>
        <v>TX</v>
      </c>
      <c r="P2598">
        <f>VLOOKUP(A2598,vlookup_table!$A:$G,4,FALSE)</f>
        <v>2606</v>
      </c>
      <c r="Q2598" t="str">
        <f>VLOOKUP(A2598,vlookup_table!$A:$G,5,FALSE)</f>
        <v>U4</v>
      </c>
      <c r="R2598" t="str">
        <f>VLOOKUP(A2598,vlookup_table!$A:$G,6,FALSE)</f>
        <v>F</v>
      </c>
      <c r="S2598">
        <f>VLOOKUP(A2598,vlookup_table!$A:$G,7,FALSE)</f>
        <v>7</v>
      </c>
      <c r="T2598">
        <f t="shared" si="80"/>
        <v>70</v>
      </c>
      <c r="U2598" t="str">
        <f t="shared" si="81"/>
        <v>Urbano</v>
      </c>
    </row>
    <row r="2599" spans="1:21" ht="16" x14ac:dyDescent="0.4">
      <c r="A2599" s="7">
        <v>53853</v>
      </c>
      <c r="B2599" s="7" t="s">
        <v>49</v>
      </c>
      <c r="C2599" s="7" t="s">
        <v>17</v>
      </c>
      <c r="D2599" s="7">
        <v>186</v>
      </c>
      <c r="E2599" s="7">
        <v>77</v>
      </c>
      <c r="F2599" s="7">
        <v>130</v>
      </c>
      <c r="G2599" s="7">
        <v>0</v>
      </c>
      <c r="H2599" s="7">
        <v>4365</v>
      </c>
      <c r="I2599" s="7">
        <v>1</v>
      </c>
      <c r="J2599" s="7">
        <v>78</v>
      </c>
      <c r="K2599" s="7">
        <v>91</v>
      </c>
      <c r="L2599" s="7">
        <v>119</v>
      </c>
      <c r="M2599" s="7">
        <v>6.25</v>
      </c>
      <c r="N2599">
        <f>VLOOKUP(A2599,vlookup_table!$A:$G,2,FALSE)</f>
        <v>0</v>
      </c>
      <c r="O2599" t="str">
        <f>VLOOKUP(A2599,vlookup_table!$A:$G,3,FALSE)</f>
        <v>TN</v>
      </c>
      <c r="P2599">
        <f>VLOOKUP(A2599,vlookup_table!$A:$G,4,FALSE)</f>
        <v>0</v>
      </c>
      <c r="Q2599" t="str">
        <f>VLOOKUP(A2599,vlookup_table!$A:$G,5,FALSE)</f>
        <v>T3</v>
      </c>
      <c r="R2599" t="str">
        <f>VLOOKUP(A2599,vlookup_table!$A:$G,6,FALSE)</f>
        <v>F</v>
      </c>
      <c r="S2599">
        <f>VLOOKUP(A2599,vlookup_table!$A:$G,7,FALSE)</f>
        <v>8</v>
      </c>
      <c r="T2599">
        <f t="shared" si="80"/>
        <v>96</v>
      </c>
      <c r="U2599" t="str">
        <f t="shared" si="81"/>
        <v>Pueblo</v>
      </c>
    </row>
    <row r="2600" spans="1:21" ht="16" x14ac:dyDescent="0.4">
      <c r="A2600" s="7">
        <v>2320</v>
      </c>
      <c r="B2600" s="7" t="s">
        <v>25</v>
      </c>
      <c r="C2600" s="7" t="s">
        <v>17</v>
      </c>
      <c r="D2600" s="7">
        <v>634</v>
      </c>
      <c r="E2600" s="7">
        <v>336</v>
      </c>
      <c r="F2600" s="7">
        <v>421</v>
      </c>
      <c r="G2600" s="7">
        <v>0</v>
      </c>
      <c r="H2600" s="7">
        <v>14507</v>
      </c>
      <c r="I2600" s="7">
        <v>0</v>
      </c>
      <c r="J2600" s="7">
        <v>68</v>
      </c>
      <c r="K2600" s="7">
        <v>403</v>
      </c>
      <c r="L2600" s="7">
        <v>332</v>
      </c>
      <c r="M2600" s="7">
        <v>3.8387096770000002</v>
      </c>
      <c r="N2600">
        <f>VLOOKUP(A2600,vlookup_table!$A:$G,2,FALSE)</f>
        <v>0</v>
      </c>
      <c r="O2600" t="str">
        <f>VLOOKUP(A2600,vlookup_table!$A:$G,3,FALSE)</f>
        <v>KS</v>
      </c>
      <c r="P2600">
        <f>VLOOKUP(A2600,vlookup_table!$A:$G,4,FALSE)</f>
        <v>8103</v>
      </c>
      <c r="Q2600" t="str">
        <f>VLOOKUP(A2600,vlookup_table!$A:$G,5,FALSE)</f>
        <v>S2</v>
      </c>
      <c r="R2600" t="str">
        <f>VLOOKUP(A2600,vlookup_table!$A:$G,6,FALSE)</f>
        <v>F</v>
      </c>
      <c r="S2600">
        <f>VLOOKUP(A2600,vlookup_table!$A:$G,7,FALSE)</f>
        <v>6</v>
      </c>
      <c r="T2600">
        <f t="shared" si="80"/>
        <v>15</v>
      </c>
      <c r="U2600" t="str">
        <f t="shared" si="81"/>
        <v>Suburbano</v>
      </c>
    </row>
    <row r="2601" spans="1:21" ht="16" x14ac:dyDescent="0.4">
      <c r="A2601" s="7">
        <v>154799</v>
      </c>
      <c r="B2601" s="7" t="s">
        <v>21</v>
      </c>
      <c r="C2601" s="7" t="s">
        <v>14</v>
      </c>
      <c r="D2601" s="7">
        <v>1314</v>
      </c>
      <c r="E2601" s="7">
        <v>363</v>
      </c>
      <c r="F2601" s="7">
        <v>398</v>
      </c>
      <c r="G2601" s="7">
        <v>12</v>
      </c>
      <c r="H2601" s="7">
        <v>12406</v>
      </c>
      <c r="I2601" s="7">
        <v>6</v>
      </c>
      <c r="J2601" s="7">
        <v>60</v>
      </c>
      <c r="K2601" s="7">
        <v>379</v>
      </c>
      <c r="L2601" s="7">
        <v>376</v>
      </c>
      <c r="M2601" s="7">
        <v>17.5</v>
      </c>
      <c r="N2601">
        <f>VLOOKUP(A2601,vlookup_table!$A:$G,2,FALSE)</f>
        <v>1</v>
      </c>
      <c r="O2601" t="str">
        <f>VLOOKUP(A2601,vlookup_table!$A:$G,3,FALSE)</f>
        <v>CA</v>
      </c>
      <c r="P2601">
        <f>VLOOKUP(A2601,vlookup_table!$A:$G,4,FALSE)</f>
        <v>0</v>
      </c>
      <c r="Q2601" t="str">
        <f>VLOOKUP(A2601,vlookup_table!$A:$G,5,FALSE)</f>
        <v>R2</v>
      </c>
      <c r="R2601" t="str">
        <f>VLOOKUP(A2601,vlookup_table!$A:$G,6,FALSE)</f>
        <v>M</v>
      </c>
      <c r="S2601">
        <f>VLOOKUP(A2601,vlookup_table!$A:$G,7,FALSE)</f>
        <v>50</v>
      </c>
      <c r="T2601">
        <f t="shared" si="80"/>
        <v>96</v>
      </c>
      <c r="U2601" t="str">
        <f t="shared" si="81"/>
        <v>Rural</v>
      </c>
    </row>
    <row r="2602" spans="1:21" ht="16" x14ac:dyDescent="0.4">
      <c r="A2602" s="7">
        <v>102521</v>
      </c>
      <c r="B2602" s="7" t="s">
        <v>33</v>
      </c>
      <c r="C2602" s="7" t="s">
        <v>14</v>
      </c>
      <c r="D2602" s="7">
        <v>695</v>
      </c>
      <c r="E2602" s="7">
        <v>350</v>
      </c>
      <c r="F2602" s="7">
        <v>439</v>
      </c>
      <c r="G2602" s="7">
        <v>4</v>
      </c>
      <c r="H2602" s="7">
        <v>12831</v>
      </c>
      <c r="I2602" s="7">
        <v>0</v>
      </c>
      <c r="J2602" s="7">
        <v>61</v>
      </c>
      <c r="K2602" s="7">
        <v>482</v>
      </c>
      <c r="L2602" s="7">
        <v>395</v>
      </c>
      <c r="M2602" s="7">
        <v>12.5</v>
      </c>
      <c r="N2602">
        <f>VLOOKUP(A2602,vlookup_table!$A:$G,2,FALSE)</f>
        <v>1</v>
      </c>
      <c r="O2602" t="str">
        <f>VLOOKUP(A2602,vlookup_table!$A:$G,3,FALSE)</f>
        <v>MO</v>
      </c>
      <c r="P2602">
        <f>VLOOKUP(A2602,vlookup_table!$A:$G,4,FALSE)</f>
        <v>4401</v>
      </c>
      <c r="Q2602" t="str">
        <f>VLOOKUP(A2602,vlookup_table!$A:$G,5,FALSE)</f>
        <v>R2</v>
      </c>
      <c r="R2602" t="str">
        <f>VLOOKUP(A2602,vlookup_table!$A:$G,6,FALSE)</f>
        <v>M</v>
      </c>
      <c r="S2602">
        <f>VLOOKUP(A2602,vlookup_table!$A:$G,7,FALSE)</f>
        <v>5</v>
      </c>
      <c r="T2602">
        <f t="shared" si="80"/>
        <v>52</v>
      </c>
      <c r="U2602" t="str">
        <f t="shared" si="81"/>
        <v>Rural</v>
      </c>
    </row>
    <row r="2603" spans="1:21" ht="16" x14ac:dyDescent="0.4">
      <c r="A2603" s="7">
        <v>30029</v>
      </c>
      <c r="B2603" s="7" t="s">
        <v>36</v>
      </c>
      <c r="C2603" s="7" t="s">
        <v>17</v>
      </c>
      <c r="D2603" s="7">
        <v>646</v>
      </c>
      <c r="E2603" s="7">
        <v>279</v>
      </c>
      <c r="F2603" s="7">
        <v>452</v>
      </c>
      <c r="G2603" s="7">
        <v>2</v>
      </c>
      <c r="H2603" s="7">
        <v>18434</v>
      </c>
      <c r="I2603" s="7">
        <v>0</v>
      </c>
      <c r="J2603" s="7">
        <v>83</v>
      </c>
      <c r="K2603" s="7">
        <v>359</v>
      </c>
      <c r="L2603" s="7">
        <v>371</v>
      </c>
      <c r="M2603" s="7">
        <v>7.7037037039999996</v>
      </c>
      <c r="N2603">
        <f>VLOOKUP(A2603,vlookup_table!$A:$G,2,FALSE)</f>
        <v>0</v>
      </c>
      <c r="O2603" t="str">
        <f>VLOOKUP(A2603,vlookup_table!$A:$G,3,FALSE)</f>
        <v>GA</v>
      </c>
      <c r="P2603">
        <f>VLOOKUP(A2603,vlookup_table!$A:$G,4,FALSE)</f>
        <v>3001</v>
      </c>
      <c r="Q2603" t="str">
        <f>VLOOKUP(A2603,vlookup_table!$A:$G,5,FALSE)</f>
        <v>T1</v>
      </c>
      <c r="R2603" t="str">
        <f>VLOOKUP(A2603,vlookup_table!$A:$G,6,FALSE)</f>
        <v>F</v>
      </c>
      <c r="S2603">
        <f>VLOOKUP(A2603,vlookup_table!$A:$G,7,FALSE)</f>
        <v>14</v>
      </c>
      <c r="T2603">
        <f t="shared" si="80"/>
        <v>66</v>
      </c>
      <c r="U2603" t="str">
        <f t="shared" si="81"/>
        <v>Pueblo</v>
      </c>
    </row>
    <row r="2604" spans="1:21" ht="16" x14ac:dyDescent="0.4">
      <c r="A2604" s="7">
        <v>148883</v>
      </c>
      <c r="B2604" s="7" t="s">
        <v>21</v>
      </c>
      <c r="C2604" s="7" t="s">
        <v>14</v>
      </c>
      <c r="D2604" s="7">
        <v>2252</v>
      </c>
      <c r="E2604" s="7">
        <v>595</v>
      </c>
      <c r="F2604" s="7">
        <v>658</v>
      </c>
      <c r="G2604" s="7">
        <v>68</v>
      </c>
      <c r="H2604" s="7">
        <v>20460</v>
      </c>
      <c r="I2604" s="7">
        <v>7</v>
      </c>
      <c r="J2604" s="7">
        <v>57</v>
      </c>
      <c r="K2604" s="7">
        <v>608</v>
      </c>
      <c r="L2604" s="7">
        <v>645</v>
      </c>
      <c r="M2604" s="7">
        <v>15</v>
      </c>
      <c r="N2604">
        <f>VLOOKUP(A2604,vlookup_table!$A:$G,2,FALSE)</f>
        <v>1</v>
      </c>
      <c r="O2604" t="str">
        <f>VLOOKUP(A2604,vlookup_table!$A:$G,3,FALSE)</f>
        <v>CA</v>
      </c>
      <c r="P2604">
        <f>VLOOKUP(A2604,vlookup_table!$A:$G,4,FALSE)</f>
        <v>4701</v>
      </c>
      <c r="Q2604" t="str">
        <f>VLOOKUP(A2604,vlookup_table!$A:$G,5,FALSE)</f>
        <v>T1</v>
      </c>
      <c r="R2604" t="str">
        <f>VLOOKUP(A2604,vlookup_table!$A:$G,6,FALSE)</f>
        <v>M</v>
      </c>
      <c r="S2604">
        <f>VLOOKUP(A2604,vlookup_table!$A:$G,7,FALSE)</f>
        <v>21</v>
      </c>
      <c r="T2604">
        <f t="shared" si="80"/>
        <v>49</v>
      </c>
      <c r="U2604" t="str">
        <f t="shared" si="81"/>
        <v>Pueblo</v>
      </c>
    </row>
    <row r="2605" spans="1:21" ht="16" x14ac:dyDescent="0.4">
      <c r="A2605" s="7">
        <v>177837</v>
      </c>
      <c r="B2605" s="7" t="s">
        <v>47</v>
      </c>
      <c r="C2605" s="7" t="s">
        <v>14</v>
      </c>
      <c r="D2605" s="7">
        <v>597</v>
      </c>
      <c r="E2605" s="7">
        <v>214</v>
      </c>
      <c r="F2605" s="7">
        <v>280</v>
      </c>
      <c r="G2605" s="7">
        <v>8</v>
      </c>
      <c r="H2605" s="7">
        <v>10247</v>
      </c>
      <c r="I2605" s="7">
        <v>1</v>
      </c>
      <c r="J2605" s="7">
        <v>41</v>
      </c>
      <c r="K2605" s="7">
        <v>239</v>
      </c>
      <c r="L2605" s="7">
        <v>252</v>
      </c>
      <c r="M2605" s="7">
        <v>57.5</v>
      </c>
      <c r="N2605">
        <f>VLOOKUP(A2605,vlookup_table!$A:$G,2,FALSE)</f>
        <v>0</v>
      </c>
      <c r="O2605" t="str">
        <f>VLOOKUP(A2605,vlookup_table!$A:$G,3,FALSE)</f>
        <v>OR</v>
      </c>
      <c r="P2605">
        <f>VLOOKUP(A2605,vlookup_table!$A:$G,4,FALSE)</f>
        <v>0</v>
      </c>
      <c r="Q2605" t="str">
        <f>VLOOKUP(A2605,vlookup_table!$A:$G,5,FALSE)</f>
        <v/>
      </c>
      <c r="R2605" t="str">
        <f>VLOOKUP(A2605,vlookup_table!$A:$G,6,FALSE)</f>
        <v>M</v>
      </c>
      <c r="S2605">
        <f>VLOOKUP(A2605,vlookup_table!$A:$G,7,FALSE)</f>
        <v>100</v>
      </c>
      <c r="T2605">
        <f t="shared" si="80"/>
        <v>96</v>
      </c>
      <c r="U2605" t="str">
        <f t="shared" si="81"/>
        <v/>
      </c>
    </row>
    <row r="2606" spans="1:21" ht="16" x14ac:dyDescent="0.4">
      <c r="A2606" s="7">
        <v>140377</v>
      </c>
      <c r="B2606" s="7" t="s">
        <v>50</v>
      </c>
      <c r="C2606" s="7" t="s">
        <v>17</v>
      </c>
      <c r="D2606" s="7">
        <v>657</v>
      </c>
      <c r="E2606" s="7">
        <v>264</v>
      </c>
      <c r="F2606" s="7">
        <v>332</v>
      </c>
      <c r="G2606" s="7">
        <v>1</v>
      </c>
      <c r="H2606" s="7">
        <v>11148</v>
      </c>
      <c r="I2606" s="7">
        <v>2</v>
      </c>
      <c r="J2606" s="7">
        <v>53</v>
      </c>
      <c r="K2606" s="7">
        <v>290</v>
      </c>
      <c r="L2606" s="7">
        <v>308</v>
      </c>
      <c r="M2606" s="7">
        <v>10.61538462</v>
      </c>
      <c r="N2606">
        <f>VLOOKUP(A2606,vlookup_table!$A:$G,2,FALSE)</f>
        <v>0</v>
      </c>
      <c r="O2606" t="str">
        <f>VLOOKUP(A2606,vlookup_table!$A:$G,3,FALSE)</f>
        <v>NM</v>
      </c>
      <c r="P2606">
        <f>VLOOKUP(A2606,vlookup_table!$A:$G,4,FALSE)</f>
        <v>3801</v>
      </c>
      <c r="Q2606" t="str">
        <f>VLOOKUP(A2606,vlookup_table!$A:$G,5,FALSE)</f>
        <v>T2</v>
      </c>
      <c r="R2606" t="str">
        <f>VLOOKUP(A2606,vlookup_table!$A:$G,6,FALSE)</f>
        <v>F</v>
      </c>
      <c r="S2606">
        <f>VLOOKUP(A2606,vlookup_table!$A:$G,7,FALSE)</f>
        <v>15</v>
      </c>
      <c r="T2606">
        <f t="shared" si="80"/>
        <v>58</v>
      </c>
      <c r="U2606" t="str">
        <f t="shared" si="81"/>
        <v>Pueblo</v>
      </c>
    </row>
    <row r="2607" spans="1:21" ht="16" x14ac:dyDescent="0.4">
      <c r="A2607" s="7">
        <v>139363</v>
      </c>
      <c r="B2607" s="7" t="s">
        <v>50</v>
      </c>
      <c r="C2607" s="7" t="s">
        <v>14</v>
      </c>
      <c r="D2607" s="7">
        <v>782</v>
      </c>
      <c r="E2607" s="7">
        <v>222</v>
      </c>
      <c r="F2607" s="7">
        <v>453</v>
      </c>
      <c r="G2607" s="7">
        <v>1</v>
      </c>
      <c r="H2607" s="7">
        <v>20867</v>
      </c>
      <c r="I2607" s="7">
        <v>11</v>
      </c>
      <c r="J2607" s="7">
        <v>30</v>
      </c>
      <c r="K2607" s="7">
        <v>294</v>
      </c>
      <c r="L2607" s="7">
        <v>307</v>
      </c>
      <c r="M2607" s="7">
        <v>13</v>
      </c>
      <c r="N2607">
        <f>VLOOKUP(A2607,vlookup_table!$A:$G,2,FALSE)</f>
        <v>0</v>
      </c>
      <c r="O2607" t="str">
        <f>VLOOKUP(A2607,vlookup_table!$A:$G,3,FALSE)</f>
        <v>NM</v>
      </c>
      <c r="P2607">
        <f>VLOOKUP(A2607,vlookup_table!$A:$G,4,FALSE)</f>
        <v>5501</v>
      </c>
      <c r="Q2607" t="str">
        <f>VLOOKUP(A2607,vlookup_table!$A:$G,5,FALSE)</f>
        <v>C1</v>
      </c>
      <c r="R2607" t="str">
        <f>VLOOKUP(A2607,vlookup_table!$A:$G,6,FALSE)</f>
        <v>M</v>
      </c>
      <c r="S2607">
        <f>VLOOKUP(A2607,vlookup_table!$A:$G,7,FALSE)</f>
        <v>12</v>
      </c>
      <c r="T2607">
        <f t="shared" si="80"/>
        <v>41</v>
      </c>
      <c r="U2607" t="str">
        <f t="shared" si="81"/>
        <v>Ciudad</v>
      </c>
    </row>
    <row r="2608" spans="1:21" ht="16" x14ac:dyDescent="0.4">
      <c r="A2608" s="7">
        <v>148131</v>
      </c>
      <c r="B2608" s="7" t="s">
        <v>21</v>
      </c>
      <c r="C2608" s="7" t="s">
        <v>17</v>
      </c>
      <c r="D2608" s="7">
        <v>3992</v>
      </c>
      <c r="E2608" s="7">
        <v>801</v>
      </c>
      <c r="F2608" s="7">
        <v>858</v>
      </c>
      <c r="G2608" s="7">
        <v>96</v>
      </c>
      <c r="H2608" s="7">
        <v>29156</v>
      </c>
      <c r="I2608" s="7">
        <v>15</v>
      </c>
      <c r="J2608" s="7">
        <v>46</v>
      </c>
      <c r="K2608" s="7">
        <v>821</v>
      </c>
      <c r="L2608" s="7">
        <v>839</v>
      </c>
      <c r="M2608" s="7">
        <v>10</v>
      </c>
      <c r="N2608">
        <f>VLOOKUP(A2608,vlookup_table!$A:$G,2,FALSE)</f>
        <v>0</v>
      </c>
      <c r="O2608" t="str">
        <f>VLOOKUP(A2608,vlookup_table!$A:$G,3,FALSE)</f>
        <v>CA</v>
      </c>
      <c r="P2608">
        <f>VLOOKUP(A2608,vlookup_table!$A:$G,4,FALSE)</f>
        <v>5601</v>
      </c>
      <c r="Q2608" t="str">
        <f>VLOOKUP(A2608,vlookup_table!$A:$G,5,FALSE)</f>
        <v>C1</v>
      </c>
      <c r="R2608" t="str">
        <f>VLOOKUP(A2608,vlookup_table!$A:$G,6,FALSE)</f>
        <v>F</v>
      </c>
      <c r="S2608">
        <f>VLOOKUP(A2608,vlookup_table!$A:$G,7,FALSE)</f>
        <v>20</v>
      </c>
      <c r="T2608">
        <f t="shared" si="80"/>
        <v>40</v>
      </c>
      <c r="U2608" t="str">
        <f t="shared" si="81"/>
        <v>Ciudad</v>
      </c>
    </row>
    <row r="2609" spans="1:21" ht="16" x14ac:dyDescent="0.4">
      <c r="A2609" s="7">
        <v>175902</v>
      </c>
      <c r="B2609" s="7" t="s">
        <v>47</v>
      </c>
      <c r="C2609" s="7" t="s">
        <v>17</v>
      </c>
      <c r="D2609" s="7">
        <v>807</v>
      </c>
      <c r="E2609" s="7">
        <v>351</v>
      </c>
      <c r="F2609" s="7">
        <v>420</v>
      </c>
      <c r="G2609" s="7">
        <v>0</v>
      </c>
      <c r="H2609" s="7">
        <v>16532</v>
      </c>
      <c r="I2609" s="7">
        <v>7</v>
      </c>
      <c r="J2609" s="7">
        <v>51</v>
      </c>
      <c r="K2609" s="7">
        <v>388</v>
      </c>
      <c r="L2609" s="7">
        <v>377</v>
      </c>
      <c r="M2609" s="7">
        <v>9.0714285710000002</v>
      </c>
      <c r="N2609">
        <f>VLOOKUP(A2609,vlookup_table!$A:$G,2,FALSE)</f>
        <v>2</v>
      </c>
      <c r="O2609" t="str">
        <f>VLOOKUP(A2609,vlookup_table!$A:$G,3,FALSE)</f>
        <v>OR</v>
      </c>
      <c r="P2609">
        <f>VLOOKUP(A2609,vlookup_table!$A:$G,4,FALSE)</f>
        <v>0</v>
      </c>
      <c r="Q2609" t="str">
        <f>VLOOKUP(A2609,vlookup_table!$A:$G,5,FALSE)</f>
        <v>C2</v>
      </c>
      <c r="R2609" t="str">
        <f>VLOOKUP(A2609,vlookup_table!$A:$G,6,FALSE)</f>
        <v>F</v>
      </c>
      <c r="S2609">
        <f>VLOOKUP(A2609,vlookup_table!$A:$G,7,FALSE)</f>
        <v>15</v>
      </c>
      <c r="T2609">
        <f t="shared" si="80"/>
        <v>96</v>
      </c>
      <c r="U2609" t="str">
        <f t="shared" si="81"/>
        <v>Ciudad</v>
      </c>
    </row>
    <row r="2610" spans="1:21" ht="16" x14ac:dyDescent="0.4">
      <c r="A2610" s="7">
        <v>148030</v>
      </c>
      <c r="B2610" s="7" t="s">
        <v>21</v>
      </c>
      <c r="C2610" s="7" t="s">
        <v>17</v>
      </c>
      <c r="D2610" s="7">
        <v>1875</v>
      </c>
      <c r="E2610" s="7">
        <v>226</v>
      </c>
      <c r="F2610" s="7">
        <v>622</v>
      </c>
      <c r="G2610" s="7">
        <v>33</v>
      </c>
      <c r="H2610" s="7">
        <v>23383</v>
      </c>
      <c r="I2610" s="7">
        <v>30</v>
      </c>
      <c r="J2610" s="7">
        <v>22</v>
      </c>
      <c r="K2610" s="7">
        <v>575</v>
      </c>
      <c r="L2610" s="7">
        <v>343</v>
      </c>
      <c r="M2610" s="7">
        <v>6.0833333329999997</v>
      </c>
      <c r="N2610">
        <f>VLOOKUP(A2610,vlookup_table!$A:$G,2,FALSE)</f>
        <v>3</v>
      </c>
      <c r="O2610" t="str">
        <f>VLOOKUP(A2610,vlookup_table!$A:$G,3,FALSE)</f>
        <v>CA</v>
      </c>
      <c r="P2610">
        <f>VLOOKUP(A2610,vlookup_table!$A:$G,4,FALSE)</f>
        <v>0</v>
      </c>
      <c r="Q2610" t="str">
        <f>VLOOKUP(A2610,vlookup_table!$A:$G,5,FALSE)</f>
        <v>U2</v>
      </c>
      <c r="R2610" t="str">
        <f>VLOOKUP(A2610,vlookup_table!$A:$G,6,FALSE)</f>
        <v>F</v>
      </c>
      <c r="S2610">
        <f>VLOOKUP(A2610,vlookup_table!$A:$G,7,FALSE)</f>
        <v>10</v>
      </c>
      <c r="T2610">
        <f t="shared" si="80"/>
        <v>96</v>
      </c>
      <c r="U2610" t="str">
        <f t="shared" si="81"/>
        <v>Urbano</v>
      </c>
    </row>
    <row r="2611" spans="1:21" ht="16" x14ac:dyDescent="0.4">
      <c r="A2611" s="7">
        <v>54003</v>
      </c>
      <c r="B2611" s="7" t="s">
        <v>49</v>
      </c>
      <c r="C2611" s="7" t="s">
        <v>27</v>
      </c>
      <c r="D2611" s="7">
        <v>486</v>
      </c>
      <c r="E2611" s="7">
        <v>247</v>
      </c>
      <c r="F2611" s="7">
        <v>393</v>
      </c>
      <c r="G2611" s="7">
        <v>2</v>
      </c>
      <c r="H2611" s="7">
        <v>15388</v>
      </c>
      <c r="I2611" s="7">
        <v>0</v>
      </c>
      <c r="J2611" s="7">
        <v>84</v>
      </c>
      <c r="K2611" s="7">
        <v>273</v>
      </c>
      <c r="L2611" s="7">
        <v>346</v>
      </c>
      <c r="M2611" s="7">
        <v>13.66666667</v>
      </c>
      <c r="N2611">
        <f>VLOOKUP(A2611,vlookup_table!$A:$G,2,FALSE)</f>
        <v>0</v>
      </c>
      <c r="O2611" t="str">
        <f>VLOOKUP(A2611,vlookup_table!$A:$G,3,FALSE)</f>
        <v>TN</v>
      </c>
      <c r="P2611">
        <f>VLOOKUP(A2611,vlookup_table!$A:$G,4,FALSE)</f>
        <v>3509</v>
      </c>
      <c r="Q2611" t="str">
        <f>VLOOKUP(A2611,vlookup_table!$A:$G,5,FALSE)</f>
        <v>T2</v>
      </c>
      <c r="R2611" t="str">
        <f>VLOOKUP(A2611,vlookup_table!$A:$G,6,FALSE)</f>
        <v>U</v>
      </c>
      <c r="S2611">
        <f>VLOOKUP(A2611,vlookup_table!$A:$G,7,FALSE)</f>
        <v>15</v>
      </c>
      <c r="T2611">
        <f t="shared" si="80"/>
        <v>61</v>
      </c>
      <c r="U2611" t="str">
        <f t="shared" si="81"/>
        <v>Pueblo</v>
      </c>
    </row>
    <row r="2612" spans="1:21" ht="16" x14ac:dyDescent="0.4">
      <c r="A2612" s="7">
        <v>163412</v>
      </c>
      <c r="B2612" s="7" t="s">
        <v>21</v>
      </c>
      <c r="C2612" s="7" t="s">
        <v>17</v>
      </c>
      <c r="D2612" s="7">
        <v>2841</v>
      </c>
      <c r="E2612" s="7">
        <v>426</v>
      </c>
      <c r="F2612" s="7">
        <v>512</v>
      </c>
      <c r="G2612" s="7">
        <v>87</v>
      </c>
      <c r="H2612" s="7">
        <v>15278</v>
      </c>
      <c r="I2612" s="7">
        <v>55</v>
      </c>
      <c r="J2612" s="7">
        <v>35</v>
      </c>
      <c r="K2612" s="7">
        <v>460</v>
      </c>
      <c r="L2612" s="7">
        <v>476</v>
      </c>
      <c r="M2612" s="7">
        <v>20</v>
      </c>
      <c r="N2612">
        <f>VLOOKUP(A2612,vlookup_table!$A:$G,2,FALSE)</f>
        <v>0</v>
      </c>
      <c r="O2612" t="str">
        <f>VLOOKUP(A2612,vlookup_table!$A:$G,3,FALSE)</f>
        <v>CA</v>
      </c>
      <c r="P2612">
        <f>VLOOKUP(A2612,vlookup_table!$A:$G,4,FALSE)</f>
        <v>0</v>
      </c>
      <c r="Q2612" t="str">
        <f>VLOOKUP(A2612,vlookup_table!$A:$G,5,FALSE)</f>
        <v>U1</v>
      </c>
      <c r="R2612" t="str">
        <f>VLOOKUP(A2612,vlookup_table!$A:$G,6,FALSE)</f>
        <v>F</v>
      </c>
      <c r="S2612">
        <f>VLOOKUP(A2612,vlookup_table!$A:$G,7,FALSE)</f>
        <v>20</v>
      </c>
      <c r="T2612">
        <f t="shared" si="80"/>
        <v>96</v>
      </c>
      <c r="U2612" t="str">
        <f t="shared" si="81"/>
        <v>Urbano</v>
      </c>
    </row>
    <row r="2613" spans="1:21" ht="16" x14ac:dyDescent="0.4">
      <c r="A2613" s="7">
        <v>134325</v>
      </c>
      <c r="B2613" s="7" t="s">
        <v>35</v>
      </c>
      <c r="C2613" s="7" t="s">
        <v>14</v>
      </c>
      <c r="D2613" s="7">
        <v>542</v>
      </c>
      <c r="E2613" s="7">
        <v>171</v>
      </c>
      <c r="F2613" s="7">
        <v>237</v>
      </c>
      <c r="G2613" s="7">
        <v>0</v>
      </c>
      <c r="H2613" s="7">
        <v>10735</v>
      </c>
      <c r="I2613" s="7">
        <v>17</v>
      </c>
      <c r="J2613" s="7">
        <v>41</v>
      </c>
      <c r="K2613" s="7">
        <v>172</v>
      </c>
      <c r="L2613" s="7">
        <v>228</v>
      </c>
      <c r="M2613" s="7">
        <v>4.4000000000000004</v>
      </c>
      <c r="N2613">
        <f>VLOOKUP(A2613,vlookup_table!$A:$G,2,FALSE)</f>
        <v>1</v>
      </c>
      <c r="O2613" t="str">
        <f>VLOOKUP(A2613,vlookup_table!$A:$G,3,FALSE)</f>
        <v>UT</v>
      </c>
      <c r="P2613">
        <f>VLOOKUP(A2613,vlookup_table!$A:$G,4,FALSE)</f>
        <v>0</v>
      </c>
      <c r="Q2613" t="str">
        <f>VLOOKUP(A2613,vlookup_table!$A:$G,5,FALSE)</f>
        <v>C2</v>
      </c>
      <c r="R2613" t="str">
        <f>VLOOKUP(A2613,vlookup_table!$A:$G,6,FALSE)</f>
        <v>M</v>
      </c>
      <c r="S2613">
        <f>VLOOKUP(A2613,vlookup_table!$A:$G,7,FALSE)</f>
        <v>5</v>
      </c>
      <c r="T2613">
        <f t="shared" si="80"/>
        <v>96</v>
      </c>
      <c r="U2613" t="str">
        <f t="shared" si="81"/>
        <v>Ciudad</v>
      </c>
    </row>
    <row r="2614" spans="1:21" ht="16" x14ac:dyDescent="0.4">
      <c r="A2614" s="7">
        <v>21135</v>
      </c>
      <c r="B2614" s="7" t="s">
        <v>18</v>
      </c>
      <c r="C2614" s="7" t="s">
        <v>14</v>
      </c>
      <c r="D2614" s="7">
        <v>694</v>
      </c>
      <c r="E2614" s="7">
        <v>251</v>
      </c>
      <c r="F2614" s="7">
        <v>343</v>
      </c>
      <c r="G2614" s="7">
        <v>7</v>
      </c>
      <c r="H2614" s="7">
        <v>12282</v>
      </c>
      <c r="I2614" s="7">
        <v>1</v>
      </c>
      <c r="J2614" s="7">
        <v>73</v>
      </c>
      <c r="K2614" s="7">
        <v>291</v>
      </c>
      <c r="L2614" s="7">
        <v>296</v>
      </c>
      <c r="M2614" s="7">
        <v>7.2352941179999997</v>
      </c>
      <c r="N2614">
        <f>VLOOKUP(A2614,vlookup_table!$A:$G,2,FALSE)</f>
        <v>14</v>
      </c>
      <c r="O2614" t="str">
        <f>VLOOKUP(A2614,vlookup_table!$A:$G,3,FALSE)</f>
        <v>NC</v>
      </c>
      <c r="P2614">
        <f>VLOOKUP(A2614,vlookup_table!$A:$G,4,FALSE)</f>
        <v>0</v>
      </c>
      <c r="Q2614" t="str">
        <f>VLOOKUP(A2614,vlookup_table!$A:$G,5,FALSE)</f>
        <v>R2</v>
      </c>
      <c r="R2614" t="str">
        <f>VLOOKUP(A2614,vlookup_table!$A:$G,6,FALSE)</f>
        <v>M</v>
      </c>
      <c r="S2614">
        <f>VLOOKUP(A2614,vlookup_table!$A:$G,7,FALSE)</f>
        <v>5</v>
      </c>
      <c r="T2614">
        <f t="shared" si="80"/>
        <v>96</v>
      </c>
      <c r="U2614" t="str">
        <f t="shared" si="81"/>
        <v>Rural</v>
      </c>
    </row>
    <row r="2615" spans="1:21" ht="16" x14ac:dyDescent="0.4">
      <c r="A2615" s="7">
        <v>133948</v>
      </c>
      <c r="B2615" s="7" t="s">
        <v>21</v>
      </c>
      <c r="C2615" s="7"/>
      <c r="D2615" s="7">
        <v>2170</v>
      </c>
      <c r="E2615" s="7">
        <v>397</v>
      </c>
      <c r="F2615" s="7">
        <v>542</v>
      </c>
      <c r="G2615" s="7">
        <v>60</v>
      </c>
      <c r="H2615" s="7">
        <v>22655</v>
      </c>
      <c r="I2615" s="7">
        <v>10</v>
      </c>
      <c r="J2615" s="7">
        <v>30</v>
      </c>
      <c r="K2615" s="7">
        <v>468</v>
      </c>
      <c r="L2615" s="7">
        <v>473</v>
      </c>
      <c r="M2615" s="7">
        <v>10.8</v>
      </c>
      <c r="N2615">
        <f>VLOOKUP(A2615,vlookup_table!$A:$G,2,FALSE)</f>
        <v>0</v>
      </c>
      <c r="O2615" t="str">
        <f>VLOOKUP(A2615,vlookup_table!$A:$G,3,FALSE)</f>
        <v>CA</v>
      </c>
      <c r="P2615">
        <f>VLOOKUP(A2615,vlookup_table!$A:$G,4,FALSE)</f>
        <v>1603</v>
      </c>
      <c r="Q2615" t="str">
        <f>VLOOKUP(A2615,vlookup_table!$A:$G,5,FALSE)</f>
        <v>T2</v>
      </c>
      <c r="R2615" t="str">
        <f>VLOOKUP(A2615,vlookup_table!$A:$G,6,FALSE)</f>
        <v/>
      </c>
      <c r="S2615">
        <f>VLOOKUP(A2615,vlookup_table!$A:$G,7,FALSE)</f>
        <v>13</v>
      </c>
      <c r="T2615">
        <f t="shared" si="80"/>
        <v>80</v>
      </c>
      <c r="U2615" t="str">
        <f t="shared" si="81"/>
        <v>Pueblo</v>
      </c>
    </row>
    <row r="2616" spans="1:21" ht="16" x14ac:dyDescent="0.4">
      <c r="A2616" s="7">
        <v>129945</v>
      </c>
      <c r="B2616" s="7" t="s">
        <v>45</v>
      </c>
      <c r="C2616" s="7" t="s">
        <v>17</v>
      </c>
      <c r="D2616" s="7">
        <v>755</v>
      </c>
      <c r="E2616" s="7">
        <v>163</v>
      </c>
      <c r="F2616" s="7">
        <v>335</v>
      </c>
      <c r="G2616" s="7">
        <v>4</v>
      </c>
      <c r="H2616" s="7">
        <v>15510</v>
      </c>
      <c r="I2616" s="7">
        <v>9</v>
      </c>
      <c r="J2616" s="7">
        <v>31</v>
      </c>
      <c r="K2616" s="7">
        <v>233</v>
      </c>
      <c r="L2616" s="7">
        <v>230</v>
      </c>
      <c r="M2616" s="7">
        <v>7</v>
      </c>
      <c r="N2616">
        <f>VLOOKUP(A2616,vlookup_table!$A:$G,2,FALSE)</f>
        <v>0</v>
      </c>
      <c r="O2616" t="str">
        <f>VLOOKUP(A2616,vlookup_table!$A:$G,3,FALSE)</f>
        <v>CO</v>
      </c>
      <c r="P2616">
        <f>VLOOKUP(A2616,vlookup_table!$A:$G,4,FALSE)</f>
        <v>0</v>
      </c>
      <c r="Q2616" t="str">
        <f>VLOOKUP(A2616,vlookup_table!$A:$G,5,FALSE)</f>
        <v>C3</v>
      </c>
      <c r="R2616" t="str">
        <f>VLOOKUP(A2616,vlookup_table!$A:$G,6,FALSE)</f>
        <v>F</v>
      </c>
      <c r="S2616">
        <f>VLOOKUP(A2616,vlookup_table!$A:$G,7,FALSE)</f>
        <v>7</v>
      </c>
      <c r="T2616">
        <f t="shared" si="80"/>
        <v>96</v>
      </c>
      <c r="U2616" t="str">
        <f t="shared" si="81"/>
        <v>Ciudad</v>
      </c>
    </row>
    <row r="2617" spans="1:21" ht="16" x14ac:dyDescent="0.4">
      <c r="A2617" s="7">
        <v>12832</v>
      </c>
      <c r="B2617" s="7" t="s">
        <v>29</v>
      </c>
      <c r="C2617" s="7" t="s">
        <v>97</v>
      </c>
      <c r="D2617" s="7">
        <v>662</v>
      </c>
      <c r="E2617" s="7">
        <v>292</v>
      </c>
      <c r="F2617" s="7">
        <v>377</v>
      </c>
      <c r="G2617" s="7">
        <v>1</v>
      </c>
      <c r="H2617" s="7">
        <v>12252</v>
      </c>
      <c r="I2617" s="7">
        <v>1</v>
      </c>
      <c r="J2617" s="7">
        <v>74</v>
      </c>
      <c r="K2617" s="7">
        <v>347</v>
      </c>
      <c r="L2617" s="7">
        <v>337</v>
      </c>
      <c r="M2617" s="7">
        <v>10.4</v>
      </c>
      <c r="N2617">
        <f>VLOOKUP(A2617,vlookup_table!$A:$G,2,FALSE)</f>
        <v>0</v>
      </c>
      <c r="O2617" t="str">
        <f>VLOOKUP(A2617,vlookup_table!$A:$G,3,FALSE)</f>
        <v>AR</v>
      </c>
      <c r="P2617">
        <f>VLOOKUP(A2617,vlookup_table!$A:$G,4,FALSE)</f>
        <v>2301</v>
      </c>
      <c r="Q2617" t="str">
        <f>VLOOKUP(A2617,vlookup_table!$A:$G,5,FALSE)</f>
        <v>T2</v>
      </c>
      <c r="R2617" t="str">
        <f>VLOOKUP(A2617,vlookup_table!$A:$G,6,FALSE)</f>
        <v>F</v>
      </c>
      <c r="S2617">
        <f>VLOOKUP(A2617,vlookup_table!$A:$G,7,FALSE)</f>
        <v>10</v>
      </c>
      <c r="T2617">
        <f t="shared" si="80"/>
        <v>73</v>
      </c>
      <c r="U2617" t="str">
        <f t="shared" si="81"/>
        <v>Pueblo</v>
      </c>
    </row>
    <row r="2618" spans="1:21" ht="16" x14ac:dyDescent="0.4">
      <c r="A2618" s="7">
        <v>74706</v>
      </c>
      <c r="B2618" s="7" t="s">
        <v>26</v>
      </c>
      <c r="C2618" s="7" t="s">
        <v>14</v>
      </c>
      <c r="D2618" s="7">
        <v>350</v>
      </c>
      <c r="E2618" s="7">
        <v>147</v>
      </c>
      <c r="F2618" s="7">
        <v>348</v>
      </c>
      <c r="G2618" s="7">
        <v>0</v>
      </c>
      <c r="H2618" s="7">
        <v>12182</v>
      </c>
      <c r="I2618" s="7">
        <v>3</v>
      </c>
      <c r="J2618" s="7">
        <v>77</v>
      </c>
      <c r="K2618" s="7">
        <v>352</v>
      </c>
      <c r="L2618" s="7">
        <v>224</v>
      </c>
      <c r="M2618" s="7">
        <v>15</v>
      </c>
      <c r="N2618">
        <f>VLOOKUP(A2618,vlookup_table!$A:$G,2,FALSE)</f>
        <v>1</v>
      </c>
      <c r="O2618" t="str">
        <f>VLOOKUP(A2618,vlookup_table!$A:$G,3,FALSE)</f>
        <v>MI</v>
      </c>
      <c r="P2618">
        <f>VLOOKUP(A2618,vlookup_table!$A:$G,4,FALSE)</f>
        <v>5101</v>
      </c>
      <c r="Q2618" t="str">
        <f>VLOOKUP(A2618,vlookup_table!$A:$G,5,FALSE)</f>
        <v>T2</v>
      </c>
      <c r="R2618" t="str">
        <f>VLOOKUP(A2618,vlookup_table!$A:$G,6,FALSE)</f>
        <v>M</v>
      </c>
      <c r="S2618">
        <f>VLOOKUP(A2618,vlookup_table!$A:$G,7,FALSE)</f>
        <v>25</v>
      </c>
      <c r="T2618">
        <f t="shared" si="80"/>
        <v>45</v>
      </c>
      <c r="U2618" t="str">
        <f t="shared" si="81"/>
        <v>Pueblo</v>
      </c>
    </row>
    <row r="2619" spans="1:21" ht="16" x14ac:dyDescent="0.4">
      <c r="A2619" s="7">
        <v>7649</v>
      </c>
      <c r="B2619" s="7" t="s">
        <v>49</v>
      </c>
      <c r="C2619" s="7" t="s">
        <v>17</v>
      </c>
      <c r="D2619" s="7">
        <v>1318</v>
      </c>
      <c r="E2619" s="7">
        <v>388</v>
      </c>
      <c r="F2619" s="7">
        <v>652</v>
      </c>
      <c r="G2619" s="7">
        <v>26</v>
      </c>
      <c r="H2619" s="7">
        <v>27280</v>
      </c>
      <c r="I2619" s="7">
        <v>5</v>
      </c>
      <c r="J2619" s="7">
        <v>45</v>
      </c>
      <c r="K2619" s="7">
        <v>524</v>
      </c>
      <c r="L2619" s="7">
        <v>466</v>
      </c>
      <c r="M2619" s="7">
        <v>10.045454550000001</v>
      </c>
      <c r="N2619">
        <f>VLOOKUP(A2619,vlookup_table!$A:$G,2,FALSE)</f>
        <v>2</v>
      </c>
      <c r="O2619" t="str">
        <f>VLOOKUP(A2619,vlookup_table!$A:$G,3,FALSE)</f>
        <v>TN</v>
      </c>
      <c r="P2619">
        <f>VLOOKUP(A2619,vlookup_table!$A:$G,4,FALSE)</f>
        <v>0</v>
      </c>
      <c r="Q2619" t="str">
        <f>VLOOKUP(A2619,vlookup_table!$A:$G,5,FALSE)</f>
        <v>S1</v>
      </c>
      <c r="R2619" t="str">
        <f>VLOOKUP(A2619,vlookup_table!$A:$G,6,FALSE)</f>
        <v>F</v>
      </c>
      <c r="S2619">
        <f>VLOOKUP(A2619,vlookup_table!$A:$G,7,FALSE)</f>
        <v>13</v>
      </c>
      <c r="T2619">
        <f t="shared" si="80"/>
        <v>96</v>
      </c>
      <c r="U2619" t="str">
        <f t="shared" si="81"/>
        <v>Suburbano</v>
      </c>
    </row>
    <row r="2620" spans="1:21" ht="16" x14ac:dyDescent="0.4">
      <c r="A2620" s="7">
        <v>45878</v>
      </c>
      <c r="B2620" s="7" t="s">
        <v>13</v>
      </c>
      <c r="C2620" s="7" t="s">
        <v>17</v>
      </c>
      <c r="D2620" s="7">
        <v>800</v>
      </c>
      <c r="E2620" s="7">
        <v>168</v>
      </c>
      <c r="F2620" s="7">
        <v>274</v>
      </c>
      <c r="G2620" s="7">
        <v>0</v>
      </c>
      <c r="H2620" s="7">
        <v>9970</v>
      </c>
      <c r="I2620" s="7">
        <v>9</v>
      </c>
      <c r="J2620" s="7">
        <v>26</v>
      </c>
      <c r="K2620" s="7">
        <v>227</v>
      </c>
      <c r="L2620" s="7">
        <v>225</v>
      </c>
      <c r="M2620" s="7">
        <v>7.6666666670000003</v>
      </c>
      <c r="N2620">
        <f>VLOOKUP(A2620,vlookup_table!$A:$G,2,FALSE)</f>
        <v>28</v>
      </c>
      <c r="O2620" t="str">
        <f>VLOOKUP(A2620,vlookup_table!$A:$G,3,FALSE)</f>
        <v>FL</v>
      </c>
      <c r="P2620">
        <f>VLOOKUP(A2620,vlookup_table!$A:$G,4,FALSE)</f>
        <v>0</v>
      </c>
      <c r="Q2620" t="str">
        <f>VLOOKUP(A2620,vlookup_table!$A:$G,5,FALSE)</f>
        <v>C3</v>
      </c>
      <c r="R2620" t="str">
        <f>VLOOKUP(A2620,vlookup_table!$A:$G,6,FALSE)</f>
        <v>F</v>
      </c>
      <c r="S2620">
        <f>VLOOKUP(A2620,vlookup_table!$A:$G,7,FALSE)</f>
        <v>5</v>
      </c>
      <c r="T2620">
        <f t="shared" si="80"/>
        <v>96</v>
      </c>
      <c r="U2620" t="str">
        <f t="shared" si="81"/>
        <v>Ciudad</v>
      </c>
    </row>
    <row r="2621" spans="1:21" ht="16" x14ac:dyDescent="0.4">
      <c r="A2621" s="7">
        <v>68650</v>
      </c>
      <c r="B2621" s="7" t="s">
        <v>26</v>
      </c>
      <c r="C2621" s="7" t="s">
        <v>17</v>
      </c>
      <c r="D2621" s="7">
        <v>1186</v>
      </c>
      <c r="E2621" s="7">
        <v>496</v>
      </c>
      <c r="F2621" s="7">
        <v>571</v>
      </c>
      <c r="G2621" s="7">
        <v>0</v>
      </c>
      <c r="H2621" s="7">
        <v>20563</v>
      </c>
      <c r="I2621" s="7">
        <v>10</v>
      </c>
      <c r="J2621" s="7">
        <v>67</v>
      </c>
      <c r="K2621" s="7">
        <v>537</v>
      </c>
      <c r="L2621" s="7">
        <v>513</v>
      </c>
      <c r="M2621" s="7">
        <v>7.6</v>
      </c>
      <c r="N2621">
        <f>VLOOKUP(A2621,vlookup_table!$A:$G,2,FALSE)</f>
        <v>0</v>
      </c>
      <c r="O2621" t="str">
        <f>VLOOKUP(A2621,vlookup_table!$A:$G,3,FALSE)</f>
        <v>MI</v>
      </c>
      <c r="P2621">
        <f>VLOOKUP(A2621,vlookup_table!$A:$G,4,FALSE)</f>
        <v>5712</v>
      </c>
      <c r="Q2621" t="str">
        <f>VLOOKUP(A2621,vlookup_table!$A:$G,5,FALSE)</f>
        <v>S1</v>
      </c>
      <c r="R2621" t="str">
        <f>VLOOKUP(A2621,vlookup_table!$A:$G,6,FALSE)</f>
        <v>F</v>
      </c>
      <c r="S2621">
        <f>VLOOKUP(A2621,vlookup_table!$A:$G,7,FALSE)</f>
        <v>15</v>
      </c>
      <c r="T2621">
        <f t="shared" si="80"/>
        <v>39</v>
      </c>
      <c r="U2621" t="str">
        <f t="shared" si="81"/>
        <v>Suburbano</v>
      </c>
    </row>
    <row r="2622" spans="1:21" ht="16" x14ac:dyDescent="0.4">
      <c r="A2622" s="7">
        <v>60859</v>
      </c>
      <c r="B2622" s="7" t="s">
        <v>30</v>
      </c>
      <c r="C2622" s="7" t="s">
        <v>17</v>
      </c>
      <c r="D2622" s="7">
        <v>1026</v>
      </c>
      <c r="E2622" s="7">
        <v>514</v>
      </c>
      <c r="F2622" s="7">
        <v>628</v>
      </c>
      <c r="G2622" s="7">
        <v>8</v>
      </c>
      <c r="H2622" s="7">
        <v>20949</v>
      </c>
      <c r="I2622" s="7">
        <v>6</v>
      </c>
      <c r="J2622" s="7">
        <v>57</v>
      </c>
      <c r="K2622" s="7">
        <v>547</v>
      </c>
      <c r="L2622" s="7">
        <v>579</v>
      </c>
      <c r="M2622" s="7">
        <v>5.2</v>
      </c>
      <c r="N2622">
        <f>VLOOKUP(A2622,vlookup_table!$A:$G,2,FALSE)</f>
        <v>2</v>
      </c>
      <c r="O2622" t="str">
        <f>VLOOKUP(A2622,vlookup_table!$A:$G,3,FALSE)</f>
        <v>IN</v>
      </c>
      <c r="P2622">
        <f>VLOOKUP(A2622,vlookup_table!$A:$G,4,FALSE)</f>
        <v>4612</v>
      </c>
      <c r="Q2622" t="str">
        <f>VLOOKUP(A2622,vlookup_table!$A:$G,5,FALSE)</f>
        <v>S1</v>
      </c>
      <c r="R2622" t="str">
        <f>VLOOKUP(A2622,vlookup_table!$A:$G,6,FALSE)</f>
        <v>F</v>
      </c>
      <c r="S2622">
        <f>VLOOKUP(A2622,vlookup_table!$A:$G,7,FALSE)</f>
        <v>10</v>
      </c>
      <c r="T2622">
        <f t="shared" si="80"/>
        <v>50</v>
      </c>
      <c r="U2622" t="str">
        <f t="shared" si="81"/>
        <v>Suburbano</v>
      </c>
    </row>
    <row r="2623" spans="1:21" ht="16" x14ac:dyDescent="0.4">
      <c r="A2623" s="7">
        <v>73030</v>
      </c>
      <c r="B2623" s="7" t="s">
        <v>26</v>
      </c>
      <c r="C2623" s="7" t="s">
        <v>14</v>
      </c>
      <c r="D2623" s="7">
        <v>821</v>
      </c>
      <c r="E2623" s="7">
        <v>403</v>
      </c>
      <c r="F2623" s="7">
        <v>500</v>
      </c>
      <c r="G2623" s="7">
        <v>1</v>
      </c>
      <c r="H2623" s="7">
        <v>15040</v>
      </c>
      <c r="I2623" s="7">
        <v>1</v>
      </c>
      <c r="J2623" s="7">
        <v>89</v>
      </c>
      <c r="K2623" s="7">
        <v>417</v>
      </c>
      <c r="L2623" s="7">
        <v>474</v>
      </c>
      <c r="M2623" s="7">
        <v>11.66666667</v>
      </c>
      <c r="N2623">
        <f>VLOOKUP(A2623,vlookup_table!$A:$G,2,FALSE)</f>
        <v>1</v>
      </c>
      <c r="O2623" t="str">
        <f>VLOOKUP(A2623,vlookup_table!$A:$G,3,FALSE)</f>
        <v>MI</v>
      </c>
      <c r="P2623">
        <f>VLOOKUP(A2623,vlookup_table!$A:$G,4,FALSE)</f>
        <v>4601</v>
      </c>
      <c r="Q2623" t="str">
        <f>VLOOKUP(A2623,vlookup_table!$A:$G,5,FALSE)</f>
        <v>T2</v>
      </c>
      <c r="R2623" t="str">
        <f>VLOOKUP(A2623,vlookup_table!$A:$G,6,FALSE)</f>
        <v>M</v>
      </c>
      <c r="S2623">
        <f>VLOOKUP(A2623,vlookup_table!$A:$G,7,FALSE)</f>
        <v>25</v>
      </c>
      <c r="T2623">
        <f t="shared" si="80"/>
        <v>50</v>
      </c>
      <c r="U2623" t="str">
        <f t="shared" si="81"/>
        <v>Pueblo</v>
      </c>
    </row>
    <row r="2624" spans="1:21" ht="16" x14ac:dyDescent="0.4">
      <c r="A2624" s="7">
        <v>181972</v>
      </c>
      <c r="B2624" s="7" t="s">
        <v>37</v>
      </c>
      <c r="C2624" s="7" t="s">
        <v>17</v>
      </c>
      <c r="D2624" s="7">
        <v>646</v>
      </c>
      <c r="E2624" s="7">
        <v>357</v>
      </c>
      <c r="F2624" s="7">
        <v>377</v>
      </c>
      <c r="G2624" s="7">
        <v>0</v>
      </c>
      <c r="H2624" s="7">
        <v>13882</v>
      </c>
      <c r="I2624" s="7">
        <v>4</v>
      </c>
      <c r="J2624" s="7">
        <v>60</v>
      </c>
      <c r="K2624" s="7">
        <v>365</v>
      </c>
      <c r="L2624" s="7">
        <v>354</v>
      </c>
      <c r="M2624" s="7">
        <v>12</v>
      </c>
      <c r="N2624">
        <f>VLOOKUP(A2624,vlookup_table!$A:$G,2,FALSE)</f>
        <v>0</v>
      </c>
      <c r="O2624" t="str">
        <f>VLOOKUP(A2624,vlookup_table!$A:$G,3,FALSE)</f>
        <v>WA</v>
      </c>
      <c r="P2624">
        <f>VLOOKUP(A2624,vlookup_table!$A:$G,4,FALSE)</f>
        <v>5210</v>
      </c>
      <c r="Q2624" t="str">
        <f>VLOOKUP(A2624,vlookup_table!$A:$G,5,FALSE)</f>
        <v>U2</v>
      </c>
      <c r="R2624" t="str">
        <f>VLOOKUP(A2624,vlookup_table!$A:$G,6,FALSE)</f>
        <v>F</v>
      </c>
      <c r="S2624">
        <f>VLOOKUP(A2624,vlookup_table!$A:$G,7,FALSE)</f>
        <v>10</v>
      </c>
      <c r="T2624">
        <f t="shared" si="80"/>
        <v>44</v>
      </c>
      <c r="U2624" t="str">
        <f t="shared" si="81"/>
        <v>Urbano</v>
      </c>
    </row>
    <row r="2625" spans="1:21" ht="16" x14ac:dyDescent="0.4">
      <c r="A2625" s="7">
        <v>14598</v>
      </c>
      <c r="B2625" s="7" t="s">
        <v>18</v>
      </c>
      <c r="C2625" s="7" t="s">
        <v>14</v>
      </c>
      <c r="D2625" s="7">
        <v>510</v>
      </c>
      <c r="E2625" s="7">
        <v>261</v>
      </c>
      <c r="F2625" s="7">
        <v>401</v>
      </c>
      <c r="G2625" s="7">
        <v>1</v>
      </c>
      <c r="H2625" s="7">
        <v>10743</v>
      </c>
      <c r="I2625" s="7">
        <v>0</v>
      </c>
      <c r="J2625" s="7">
        <v>58</v>
      </c>
      <c r="K2625" s="7">
        <v>413</v>
      </c>
      <c r="L2625" s="7">
        <v>303</v>
      </c>
      <c r="M2625" s="7">
        <v>20.166666670000001</v>
      </c>
      <c r="N2625">
        <f>VLOOKUP(A2625,vlookup_table!$A:$G,2,FALSE)</f>
        <v>1</v>
      </c>
      <c r="O2625" t="str">
        <f>VLOOKUP(A2625,vlookup_table!$A:$G,3,FALSE)</f>
        <v>NC</v>
      </c>
      <c r="P2625">
        <f>VLOOKUP(A2625,vlookup_table!$A:$G,4,FALSE)</f>
        <v>1401</v>
      </c>
      <c r="Q2625" t="str">
        <f>VLOOKUP(A2625,vlookup_table!$A:$G,5,FALSE)</f>
        <v>T2</v>
      </c>
      <c r="R2625" t="str">
        <f>VLOOKUP(A2625,vlookup_table!$A:$G,6,FALSE)</f>
        <v>M</v>
      </c>
      <c r="S2625">
        <f>VLOOKUP(A2625,vlookup_table!$A:$G,7,FALSE)</f>
        <v>50</v>
      </c>
      <c r="T2625">
        <f t="shared" si="80"/>
        <v>82</v>
      </c>
      <c r="U2625" t="str">
        <f t="shared" si="81"/>
        <v>Pueblo</v>
      </c>
    </row>
    <row r="2626" spans="1:21" ht="16" x14ac:dyDescent="0.4">
      <c r="A2626" s="7">
        <v>92052</v>
      </c>
      <c r="B2626" s="7" t="s">
        <v>16</v>
      </c>
      <c r="C2626" s="7" t="s">
        <v>14</v>
      </c>
      <c r="D2626" s="7">
        <v>587</v>
      </c>
      <c r="E2626" s="7">
        <v>313</v>
      </c>
      <c r="F2626" s="7">
        <v>384</v>
      </c>
      <c r="G2626" s="7">
        <v>0</v>
      </c>
      <c r="H2626" s="7">
        <v>15084</v>
      </c>
      <c r="I2626" s="7">
        <v>11</v>
      </c>
      <c r="J2626" s="7">
        <v>62</v>
      </c>
      <c r="K2626" s="7">
        <v>343</v>
      </c>
      <c r="L2626" s="7">
        <v>349</v>
      </c>
      <c r="M2626" s="7">
        <v>5.55</v>
      </c>
      <c r="N2626">
        <f>VLOOKUP(A2626,vlookup_table!$A:$G,2,FALSE)</f>
        <v>1</v>
      </c>
      <c r="O2626" t="str">
        <f>VLOOKUP(A2626,vlookup_table!$A:$G,3,FALSE)</f>
        <v>IL</v>
      </c>
      <c r="P2626">
        <f>VLOOKUP(A2626,vlookup_table!$A:$G,4,FALSE)</f>
        <v>1311</v>
      </c>
      <c r="Q2626" t="str">
        <f>VLOOKUP(A2626,vlookup_table!$A:$G,5,FALSE)</f>
        <v>C3</v>
      </c>
      <c r="R2626" t="str">
        <f>VLOOKUP(A2626,vlookup_table!$A:$G,6,FALSE)</f>
        <v>M</v>
      </c>
      <c r="S2626">
        <f>VLOOKUP(A2626,vlookup_table!$A:$G,7,FALSE)</f>
        <v>10</v>
      </c>
      <c r="T2626">
        <f t="shared" si="80"/>
        <v>83</v>
      </c>
      <c r="U2626" t="str">
        <f t="shared" si="81"/>
        <v>Ciudad</v>
      </c>
    </row>
    <row r="2627" spans="1:21" ht="16" x14ac:dyDescent="0.4">
      <c r="A2627" s="7">
        <v>15086</v>
      </c>
      <c r="B2627" s="7" t="s">
        <v>18</v>
      </c>
      <c r="C2627" s="7" t="s">
        <v>97</v>
      </c>
      <c r="D2627" s="7">
        <v>595</v>
      </c>
      <c r="E2627" s="7">
        <v>289</v>
      </c>
      <c r="F2627" s="7">
        <v>381</v>
      </c>
      <c r="G2627" s="7">
        <v>0</v>
      </c>
      <c r="H2627" s="7">
        <v>13060</v>
      </c>
      <c r="I2627" s="7">
        <v>0</v>
      </c>
      <c r="J2627" s="7">
        <v>85</v>
      </c>
      <c r="K2627" s="7">
        <v>346</v>
      </c>
      <c r="L2627" s="7">
        <v>330</v>
      </c>
      <c r="M2627" s="7">
        <v>14.18181818</v>
      </c>
      <c r="N2627">
        <f>VLOOKUP(A2627,vlookup_table!$A:$G,2,FALSE)</f>
        <v>0</v>
      </c>
      <c r="O2627" t="str">
        <f>VLOOKUP(A2627,vlookup_table!$A:$G,3,FALSE)</f>
        <v>NC</v>
      </c>
      <c r="P2627">
        <f>VLOOKUP(A2627,vlookup_table!$A:$G,4,FALSE)</f>
        <v>0</v>
      </c>
      <c r="Q2627" t="str">
        <f>VLOOKUP(A2627,vlookup_table!$A:$G,5,FALSE)</f>
        <v>R2</v>
      </c>
      <c r="R2627" t="str">
        <f>VLOOKUP(A2627,vlookup_table!$A:$G,6,FALSE)</f>
        <v>F</v>
      </c>
      <c r="S2627">
        <f>VLOOKUP(A2627,vlookup_table!$A:$G,7,FALSE)</f>
        <v>10</v>
      </c>
      <c r="T2627">
        <f t="shared" ref="T2627:T2690" si="82">97-LEFT(P2627,2)-IF(RIGHT(P2627,2)&gt;6,1,0)</f>
        <v>96</v>
      </c>
      <c r="U2627" t="str">
        <f t="shared" ref="U2627:U2690" si="83">IF(LEFT(Q2627,1)="C","Ciudad",IF(LEFT(Q2627,1)="T","Pueblo",IF(LEFT(Q2627,1)="R","Rural",IF(LEFT(Q2627,1)="S","Suburbano",IF(LEFT(Q2627,1)="U","Urbano","")))))</f>
        <v>Rural</v>
      </c>
    </row>
    <row r="2628" spans="1:21" ht="16" x14ac:dyDescent="0.4">
      <c r="A2628" s="7">
        <v>92058</v>
      </c>
      <c r="B2628" s="7" t="s">
        <v>55</v>
      </c>
      <c r="C2628" s="7" t="s">
        <v>17</v>
      </c>
      <c r="D2628" s="7">
        <v>1010</v>
      </c>
      <c r="E2628" s="7">
        <v>547</v>
      </c>
      <c r="F2628" s="7">
        <v>618</v>
      </c>
      <c r="G2628" s="7">
        <v>8</v>
      </c>
      <c r="H2628" s="7">
        <v>18137</v>
      </c>
      <c r="I2628" s="7">
        <v>1</v>
      </c>
      <c r="J2628" s="7">
        <v>57</v>
      </c>
      <c r="K2628" s="7">
        <v>554</v>
      </c>
      <c r="L2628" s="7">
        <v>611</v>
      </c>
      <c r="M2628" s="7">
        <v>15</v>
      </c>
      <c r="N2628">
        <f>VLOOKUP(A2628,vlookup_table!$A:$G,2,FALSE)</f>
        <v>0</v>
      </c>
      <c r="O2628" t="str">
        <f>VLOOKUP(A2628,vlookup_table!$A:$G,3,FALSE)</f>
        <v>NE</v>
      </c>
      <c r="P2628">
        <f>VLOOKUP(A2628,vlookup_table!$A:$G,4,FALSE)</f>
        <v>0</v>
      </c>
      <c r="Q2628" t="str">
        <f>VLOOKUP(A2628,vlookup_table!$A:$G,5,FALSE)</f>
        <v>S1</v>
      </c>
      <c r="R2628" t="str">
        <f>VLOOKUP(A2628,vlookup_table!$A:$G,6,FALSE)</f>
        <v>F</v>
      </c>
      <c r="S2628">
        <f>VLOOKUP(A2628,vlookup_table!$A:$G,7,FALSE)</f>
        <v>15</v>
      </c>
      <c r="T2628">
        <f t="shared" si="82"/>
        <v>96</v>
      </c>
      <c r="U2628" t="str">
        <f t="shared" si="83"/>
        <v>Suburbano</v>
      </c>
    </row>
    <row r="2629" spans="1:21" ht="16" x14ac:dyDescent="0.4">
      <c r="A2629" s="7">
        <v>18104</v>
      </c>
      <c r="B2629" s="7" t="s">
        <v>18</v>
      </c>
      <c r="C2629" s="7" t="s">
        <v>14</v>
      </c>
      <c r="D2629" s="7">
        <v>915</v>
      </c>
      <c r="E2629" s="7">
        <v>327</v>
      </c>
      <c r="F2629" s="7">
        <v>512</v>
      </c>
      <c r="G2629" s="7">
        <v>3</v>
      </c>
      <c r="H2629" s="7">
        <v>17723</v>
      </c>
      <c r="I2629" s="7">
        <v>3</v>
      </c>
      <c r="J2629" s="7">
        <v>64</v>
      </c>
      <c r="K2629" s="7">
        <v>461</v>
      </c>
      <c r="L2629" s="7">
        <v>387</v>
      </c>
      <c r="M2629" s="7">
        <v>10.545454550000001</v>
      </c>
      <c r="N2629">
        <f>VLOOKUP(A2629,vlookup_table!$A:$G,2,FALSE)</f>
        <v>0</v>
      </c>
      <c r="O2629" t="str">
        <f>VLOOKUP(A2629,vlookup_table!$A:$G,3,FALSE)</f>
        <v>NC</v>
      </c>
      <c r="P2629">
        <f>VLOOKUP(A2629,vlookup_table!$A:$G,4,FALSE)</f>
        <v>5406</v>
      </c>
      <c r="Q2629" t="str">
        <f>VLOOKUP(A2629,vlookup_table!$A:$G,5,FALSE)</f>
        <v>C1</v>
      </c>
      <c r="R2629" t="str">
        <f>VLOOKUP(A2629,vlookup_table!$A:$G,6,FALSE)</f>
        <v>M</v>
      </c>
      <c r="S2629">
        <f>VLOOKUP(A2629,vlookup_table!$A:$G,7,FALSE)</f>
        <v>12</v>
      </c>
      <c r="T2629">
        <f t="shared" si="82"/>
        <v>42</v>
      </c>
      <c r="U2629" t="str">
        <f t="shared" si="83"/>
        <v>Ciudad</v>
      </c>
    </row>
    <row r="2630" spans="1:21" ht="16" x14ac:dyDescent="0.4">
      <c r="A2630" s="7">
        <v>91942</v>
      </c>
      <c r="B2630" s="7" t="s">
        <v>16</v>
      </c>
      <c r="C2630" s="7" t="s">
        <v>14</v>
      </c>
      <c r="D2630" s="7">
        <v>868</v>
      </c>
      <c r="E2630" s="7">
        <v>357</v>
      </c>
      <c r="F2630" s="7">
        <v>397</v>
      </c>
      <c r="G2630" s="7">
        <v>0</v>
      </c>
      <c r="H2630" s="7">
        <v>13378</v>
      </c>
      <c r="I2630" s="7">
        <v>1</v>
      </c>
      <c r="J2630" s="7">
        <v>85</v>
      </c>
      <c r="K2630" s="7">
        <v>382</v>
      </c>
      <c r="L2630" s="7">
        <v>382</v>
      </c>
      <c r="M2630" s="7">
        <v>3.592592593</v>
      </c>
      <c r="N2630">
        <f>VLOOKUP(A2630,vlookup_table!$A:$G,2,FALSE)</f>
        <v>2</v>
      </c>
      <c r="O2630" t="str">
        <f>VLOOKUP(A2630,vlookup_table!$A:$G,3,FALSE)</f>
        <v>IL</v>
      </c>
      <c r="P2630">
        <f>VLOOKUP(A2630,vlookup_table!$A:$G,4,FALSE)</f>
        <v>2308</v>
      </c>
      <c r="Q2630" t="str">
        <f>VLOOKUP(A2630,vlookup_table!$A:$G,5,FALSE)</f>
        <v>S2</v>
      </c>
      <c r="R2630" t="str">
        <f>VLOOKUP(A2630,vlookup_table!$A:$G,6,FALSE)</f>
        <v>M</v>
      </c>
      <c r="S2630">
        <f>VLOOKUP(A2630,vlookup_table!$A:$G,7,FALSE)</f>
        <v>3</v>
      </c>
      <c r="T2630">
        <f t="shared" si="82"/>
        <v>73</v>
      </c>
      <c r="U2630" t="str">
        <f t="shared" si="83"/>
        <v>Suburbano</v>
      </c>
    </row>
    <row r="2631" spans="1:21" ht="16" x14ac:dyDescent="0.4">
      <c r="A2631" s="7">
        <v>103926</v>
      </c>
      <c r="B2631" s="7" t="s">
        <v>33</v>
      </c>
      <c r="C2631" s="7" t="s">
        <v>14</v>
      </c>
      <c r="D2631" s="7">
        <v>472</v>
      </c>
      <c r="E2631" s="7">
        <v>157</v>
      </c>
      <c r="F2631" s="7">
        <v>225</v>
      </c>
      <c r="G2631" s="7">
        <v>1</v>
      </c>
      <c r="H2631" s="7">
        <v>8974</v>
      </c>
      <c r="I2631" s="7">
        <v>2</v>
      </c>
      <c r="J2631" s="7">
        <v>62</v>
      </c>
      <c r="K2631" s="7">
        <v>167</v>
      </c>
      <c r="L2631" s="7">
        <v>203</v>
      </c>
      <c r="M2631" s="7">
        <v>6.2083333329999997</v>
      </c>
      <c r="N2631">
        <f>VLOOKUP(A2631,vlookup_table!$A:$G,2,FALSE)</f>
        <v>1</v>
      </c>
      <c r="O2631" t="str">
        <f>VLOOKUP(A2631,vlookup_table!$A:$G,3,FALSE)</f>
        <v>MO</v>
      </c>
      <c r="P2631">
        <f>VLOOKUP(A2631,vlookup_table!$A:$G,4,FALSE)</f>
        <v>804</v>
      </c>
      <c r="Q2631" t="str">
        <f>VLOOKUP(A2631,vlookup_table!$A:$G,5,FALSE)</f>
        <v>R2</v>
      </c>
      <c r="R2631" t="str">
        <f>VLOOKUP(A2631,vlookup_table!$A:$G,6,FALSE)</f>
        <v>M</v>
      </c>
      <c r="S2631">
        <f>VLOOKUP(A2631,vlookup_table!$A:$G,7,FALSE)</f>
        <v>5</v>
      </c>
      <c r="T2631">
        <f t="shared" si="82"/>
        <v>16</v>
      </c>
      <c r="U2631" t="str">
        <f t="shared" si="83"/>
        <v>Rural</v>
      </c>
    </row>
    <row r="2632" spans="1:21" ht="16" x14ac:dyDescent="0.4">
      <c r="A2632" s="7">
        <v>149033</v>
      </c>
      <c r="B2632" s="7" t="s">
        <v>21</v>
      </c>
      <c r="C2632" s="7" t="s">
        <v>17</v>
      </c>
      <c r="D2632" s="7">
        <v>3514</v>
      </c>
      <c r="E2632" s="7">
        <v>691</v>
      </c>
      <c r="F2632" s="7">
        <v>795</v>
      </c>
      <c r="G2632" s="7">
        <v>98</v>
      </c>
      <c r="H2632" s="7">
        <v>28298</v>
      </c>
      <c r="I2632" s="7">
        <v>10</v>
      </c>
      <c r="J2632" s="7">
        <v>40</v>
      </c>
      <c r="K2632" s="7">
        <v>728</v>
      </c>
      <c r="L2632" s="7">
        <v>763</v>
      </c>
      <c r="M2632" s="7">
        <v>7.3333333329999997</v>
      </c>
      <c r="N2632">
        <f>VLOOKUP(A2632,vlookup_table!$A:$G,2,FALSE)</f>
        <v>0</v>
      </c>
      <c r="O2632" t="str">
        <f>VLOOKUP(A2632,vlookup_table!$A:$G,3,FALSE)</f>
        <v>CA</v>
      </c>
      <c r="P2632">
        <f>VLOOKUP(A2632,vlookup_table!$A:$G,4,FALSE)</f>
        <v>2801</v>
      </c>
      <c r="Q2632" t="str">
        <f>VLOOKUP(A2632,vlookup_table!$A:$G,5,FALSE)</f>
        <v>C3</v>
      </c>
      <c r="R2632" t="str">
        <f>VLOOKUP(A2632,vlookup_table!$A:$G,6,FALSE)</f>
        <v>F</v>
      </c>
      <c r="S2632">
        <f>VLOOKUP(A2632,vlookup_table!$A:$G,7,FALSE)</f>
        <v>7</v>
      </c>
      <c r="T2632">
        <f t="shared" si="82"/>
        <v>68</v>
      </c>
      <c r="U2632" t="str">
        <f t="shared" si="83"/>
        <v>Ciudad</v>
      </c>
    </row>
    <row r="2633" spans="1:21" ht="16" x14ac:dyDescent="0.4">
      <c r="A2633" s="7">
        <v>52196</v>
      </c>
      <c r="B2633" s="7" t="s">
        <v>49</v>
      </c>
      <c r="C2633" s="7" t="s">
        <v>14</v>
      </c>
      <c r="D2633" s="7">
        <v>504</v>
      </c>
      <c r="E2633" s="7">
        <v>338</v>
      </c>
      <c r="F2633" s="7">
        <v>396</v>
      </c>
      <c r="G2633" s="7">
        <v>0</v>
      </c>
      <c r="H2633" s="7">
        <v>16375</v>
      </c>
      <c r="I2633" s="7">
        <v>1</v>
      </c>
      <c r="J2633" s="7">
        <v>60</v>
      </c>
      <c r="K2633" s="7">
        <v>363</v>
      </c>
      <c r="L2633" s="7">
        <v>372</v>
      </c>
      <c r="M2633" s="7">
        <v>10</v>
      </c>
      <c r="N2633">
        <f>VLOOKUP(A2633,vlookup_table!$A:$G,2,FALSE)</f>
        <v>1</v>
      </c>
      <c r="O2633" t="str">
        <f>VLOOKUP(A2633,vlookup_table!$A:$G,3,FALSE)</f>
        <v>TN</v>
      </c>
      <c r="P2633">
        <f>VLOOKUP(A2633,vlookup_table!$A:$G,4,FALSE)</f>
        <v>5001</v>
      </c>
      <c r="Q2633" t="str">
        <f>VLOOKUP(A2633,vlookup_table!$A:$G,5,FALSE)</f>
        <v>T2</v>
      </c>
      <c r="R2633" t="str">
        <f>VLOOKUP(A2633,vlookup_table!$A:$G,6,FALSE)</f>
        <v>M</v>
      </c>
      <c r="S2633">
        <f>VLOOKUP(A2633,vlookup_table!$A:$G,7,FALSE)</f>
        <v>10</v>
      </c>
      <c r="T2633">
        <f t="shared" si="82"/>
        <v>46</v>
      </c>
      <c r="U2633" t="str">
        <f t="shared" si="83"/>
        <v>Pueblo</v>
      </c>
    </row>
    <row r="2634" spans="1:21" ht="16" x14ac:dyDescent="0.4">
      <c r="A2634" s="7">
        <v>38519</v>
      </c>
      <c r="B2634" s="7" t="s">
        <v>13</v>
      </c>
      <c r="C2634" s="7" t="s">
        <v>17</v>
      </c>
      <c r="D2634" s="7">
        <v>1098</v>
      </c>
      <c r="E2634" s="7">
        <v>342</v>
      </c>
      <c r="F2634" s="7">
        <v>544</v>
      </c>
      <c r="G2634" s="7">
        <v>3</v>
      </c>
      <c r="H2634" s="7">
        <v>23740</v>
      </c>
      <c r="I2634" s="7">
        <v>22</v>
      </c>
      <c r="J2634" s="7">
        <v>20</v>
      </c>
      <c r="K2634" s="7">
        <v>455</v>
      </c>
      <c r="L2634" s="7">
        <v>428</v>
      </c>
      <c r="M2634" s="7">
        <v>3.1176470589999998</v>
      </c>
      <c r="N2634">
        <f>VLOOKUP(A2634,vlookup_table!$A:$G,2,FALSE)</f>
        <v>0</v>
      </c>
      <c r="O2634" t="str">
        <f>VLOOKUP(A2634,vlookup_table!$A:$G,3,FALSE)</f>
        <v>FL</v>
      </c>
      <c r="P2634">
        <f>VLOOKUP(A2634,vlookup_table!$A:$G,4,FALSE)</f>
        <v>4601</v>
      </c>
      <c r="Q2634" t="str">
        <f>VLOOKUP(A2634,vlookup_table!$A:$G,5,FALSE)</f>
        <v>S1</v>
      </c>
      <c r="R2634" t="str">
        <f>VLOOKUP(A2634,vlookup_table!$A:$G,6,FALSE)</f>
        <v>F</v>
      </c>
      <c r="S2634">
        <f>VLOOKUP(A2634,vlookup_table!$A:$G,7,FALSE)</f>
        <v>2</v>
      </c>
      <c r="T2634">
        <f t="shared" si="82"/>
        <v>50</v>
      </c>
      <c r="U2634" t="str">
        <f t="shared" si="83"/>
        <v>Suburbano</v>
      </c>
    </row>
    <row r="2635" spans="1:21" ht="16" x14ac:dyDescent="0.4">
      <c r="A2635" s="7">
        <v>107413</v>
      </c>
      <c r="B2635" s="7" t="s">
        <v>55</v>
      </c>
      <c r="C2635" s="7" t="s">
        <v>17</v>
      </c>
      <c r="D2635" s="7">
        <v>396</v>
      </c>
      <c r="E2635" s="7">
        <v>259</v>
      </c>
      <c r="F2635" s="7">
        <v>319</v>
      </c>
      <c r="G2635" s="7">
        <v>0</v>
      </c>
      <c r="H2635" s="7">
        <v>10244</v>
      </c>
      <c r="I2635" s="7">
        <v>0</v>
      </c>
      <c r="J2635" s="7">
        <v>45</v>
      </c>
      <c r="K2635" s="7">
        <v>290</v>
      </c>
      <c r="L2635" s="7">
        <v>288</v>
      </c>
      <c r="M2635" s="7">
        <v>9.4285714289999998</v>
      </c>
      <c r="N2635">
        <f>VLOOKUP(A2635,vlookup_table!$A:$G,2,FALSE)</f>
        <v>2</v>
      </c>
      <c r="O2635" t="str">
        <f>VLOOKUP(A2635,vlookup_table!$A:$G,3,FALSE)</f>
        <v>NE</v>
      </c>
      <c r="P2635">
        <f>VLOOKUP(A2635,vlookup_table!$A:$G,4,FALSE)</f>
        <v>0</v>
      </c>
      <c r="Q2635" t="str">
        <f>VLOOKUP(A2635,vlookup_table!$A:$G,5,FALSE)</f>
        <v>R2</v>
      </c>
      <c r="R2635" t="str">
        <f>VLOOKUP(A2635,vlookup_table!$A:$G,6,FALSE)</f>
        <v>F</v>
      </c>
      <c r="S2635">
        <f>VLOOKUP(A2635,vlookup_table!$A:$G,7,FALSE)</f>
        <v>14</v>
      </c>
      <c r="T2635">
        <f t="shared" si="82"/>
        <v>96</v>
      </c>
      <c r="U2635" t="str">
        <f t="shared" si="83"/>
        <v>Rural</v>
      </c>
    </row>
    <row r="2636" spans="1:21" ht="16" x14ac:dyDescent="0.4">
      <c r="A2636" s="7">
        <v>6099</v>
      </c>
      <c r="B2636" s="7" t="s">
        <v>21</v>
      </c>
      <c r="C2636" s="7" t="s">
        <v>14</v>
      </c>
      <c r="D2636" s="7">
        <v>1733</v>
      </c>
      <c r="E2636" s="7">
        <v>410</v>
      </c>
      <c r="F2636" s="7">
        <v>442</v>
      </c>
      <c r="G2636" s="7">
        <v>40</v>
      </c>
      <c r="H2636" s="7">
        <v>13449</v>
      </c>
      <c r="I2636" s="7">
        <v>10</v>
      </c>
      <c r="J2636" s="7">
        <v>53</v>
      </c>
      <c r="K2636" s="7">
        <v>441</v>
      </c>
      <c r="L2636" s="7">
        <v>412</v>
      </c>
      <c r="M2636" s="7">
        <v>8.96875</v>
      </c>
      <c r="N2636">
        <f>VLOOKUP(A2636,vlookup_table!$A:$G,2,FALSE)</f>
        <v>0</v>
      </c>
      <c r="O2636" t="str">
        <f>VLOOKUP(A2636,vlookup_table!$A:$G,3,FALSE)</f>
        <v>CA</v>
      </c>
      <c r="P2636">
        <f>VLOOKUP(A2636,vlookup_table!$A:$G,4,FALSE)</f>
        <v>5501</v>
      </c>
      <c r="Q2636" t="str">
        <f>VLOOKUP(A2636,vlookup_table!$A:$G,5,FALSE)</f>
        <v>T2</v>
      </c>
      <c r="R2636" t="str">
        <f>VLOOKUP(A2636,vlookup_table!$A:$G,6,FALSE)</f>
        <v>M</v>
      </c>
      <c r="S2636">
        <f>VLOOKUP(A2636,vlookup_table!$A:$G,7,FALSE)</f>
        <v>10</v>
      </c>
      <c r="T2636">
        <f t="shared" si="82"/>
        <v>41</v>
      </c>
      <c r="U2636" t="str">
        <f t="shared" si="83"/>
        <v>Pueblo</v>
      </c>
    </row>
    <row r="2637" spans="1:21" ht="16" x14ac:dyDescent="0.4">
      <c r="A2637" s="7">
        <v>95879</v>
      </c>
      <c r="B2637" s="7" t="s">
        <v>16</v>
      </c>
      <c r="C2637" s="7" t="s">
        <v>17</v>
      </c>
      <c r="D2637" s="7">
        <v>363</v>
      </c>
      <c r="E2637" s="7">
        <v>242</v>
      </c>
      <c r="F2637" s="7">
        <v>297</v>
      </c>
      <c r="G2637" s="7">
        <v>0</v>
      </c>
      <c r="H2637" s="7">
        <v>11607</v>
      </c>
      <c r="I2637" s="7">
        <v>2</v>
      </c>
      <c r="J2637" s="7">
        <v>69</v>
      </c>
      <c r="K2637" s="7">
        <v>244</v>
      </c>
      <c r="L2637" s="7">
        <v>302</v>
      </c>
      <c r="M2637" s="7">
        <v>23</v>
      </c>
      <c r="N2637">
        <f>VLOOKUP(A2637,vlookup_table!$A:$G,2,FALSE)</f>
        <v>28</v>
      </c>
      <c r="O2637" t="str">
        <f>VLOOKUP(A2637,vlookup_table!$A:$G,3,FALSE)</f>
        <v>IL</v>
      </c>
      <c r="P2637">
        <f>VLOOKUP(A2637,vlookup_table!$A:$G,4,FALSE)</f>
        <v>4306</v>
      </c>
      <c r="Q2637" t="str">
        <f>VLOOKUP(A2637,vlookup_table!$A:$G,5,FALSE)</f>
        <v>T3</v>
      </c>
      <c r="R2637" t="str">
        <f>VLOOKUP(A2637,vlookup_table!$A:$G,6,FALSE)</f>
        <v>F</v>
      </c>
      <c r="S2637">
        <f>VLOOKUP(A2637,vlookup_table!$A:$G,7,FALSE)</f>
        <v>30</v>
      </c>
      <c r="T2637">
        <f t="shared" si="82"/>
        <v>53</v>
      </c>
      <c r="U2637" t="str">
        <f t="shared" si="83"/>
        <v>Pueblo</v>
      </c>
    </row>
    <row r="2638" spans="1:21" ht="16" x14ac:dyDescent="0.4">
      <c r="A2638" s="7">
        <v>16175</v>
      </c>
      <c r="B2638" s="7" t="s">
        <v>18</v>
      </c>
      <c r="C2638" s="7" t="s">
        <v>97</v>
      </c>
      <c r="D2638" s="7">
        <v>444</v>
      </c>
      <c r="E2638" s="7">
        <v>265</v>
      </c>
      <c r="F2638" s="7">
        <v>357</v>
      </c>
      <c r="G2638" s="7">
        <v>1</v>
      </c>
      <c r="H2638" s="7">
        <v>12189</v>
      </c>
      <c r="I2638" s="7">
        <v>0</v>
      </c>
      <c r="J2638" s="7">
        <v>89</v>
      </c>
      <c r="K2638" s="7">
        <v>282</v>
      </c>
      <c r="L2638" s="7">
        <v>322</v>
      </c>
      <c r="M2638" s="7">
        <v>25</v>
      </c>
      <c r="N2638">
        <f>VLOOKUP(A2638,vlookup_table!$A:$G,2,FALSE)</f>
        <v>0</v>
      </c>
      <c r="O2638" t="str">
        <f>VLOOKUP(A2638,vlookup_table!$A:$G,3,FALSE)</f>
        <v>NC</v>
      </c>
      <c r="P2638">
        <f>VLOOKUP(A2638,vlookup_table!$A:$G,4,FALSE)</f>
        <v>2801</v>
      </c>
      <c r="Q2638" t="str">
        <f>VLOOKUP(A2638,vlookup_table!$A:$G,5,FALSE)</f>
        <v>R3</v>
      </c>
      <c r="R2638" t="str">
        <f>VLOOKUP(A2638,vlookup_table!$A:$G,6,FALSE)</f>
        <v>F</v>
      </c>
      <c r="S2638">
        <f>VLOOKUP(A2638,vlookup_table!$A:$G,7,FALSE)</f>
        <v>30</v>
      </c>
      <c r="T2638">
        <f t="shared" si="82"/>
        <v>68</v>
      </c>
      <c r="U2638" t="str">
        <f t="shared" si="83"/>
        <v>Rural</v>
      </c>
    </row>
    <row r="2639" spans="1:21" ht="16" x14ac:dyDescent="0.4">
      <c r="A2639" s="7">
        <v>43564</v>
      </c>
      <c r="B2639" s="7" t="s">
        <v>13</v>
      </c>
      <c r="C2639" s="7" t="s">
        <v>14</v>
      </c>
      <c r="D2639" s="7">
        <v>1165</v>
      </c>
      <c r="E2639" s="7">
        <v>373</v>
      </c>
      <c r="F2639" s="7">
        <v>410</v>
      </c>
      <c r="G2639" s="7">
        <v>9</v>
      </c>
      <c r="H2639" s="7">
        <v>15522</v>
      </c>
      <c r="I2639" s="7">
        <v>0</v>
      </c>
      <c r="J2639" s="7">
        <v>38</v>
      </c>
      <c r="K2639" s="7">
        <v>363</v>
      </c>
      <c r="L2639" s="7">
        <v>410</v>
      </c>
      <c r="M2639" s="7">
        <v>20</v>
      </c>
      <c r="N2639">
        <f>VLOOKUP(A2639,vlookup_table!$A:$G,2,FALSE)</f>
        <v>1</v>
      </c>
      <c r="O2639" t="str">
        <f>VLOOKUP(A2639,vlookup_table!$A:$G,3,FALSE)</f>
        <v>FL</v>
      </c>
      <c r="P2639">
        <f>VLOOKUP(A2639,vlookup_table!$A:$G,4,FALSE)</f>
        <v>4501</v>
      </c>
      <c r="Q2639" t="str">
        <f>VLOOKUP(A2639,vlookup_table!$A:$G,5,FALSE)</f>
        <v>C2</v>
      </c>
      <c r="R2639" t="str">
        <f>VLOOKUP(A2639,vlookup_table!$A:$G,6,FALSE)</f>
        <v>M</v>
      </c>
      <c r="S2639">
        <f>VLOOKUP(A2639,vlookup_table!$A:$G,7,FALSE)</f>
        <v>20</v>
      </c>
      <c r="T2639">
        <f t="shared" si="82"/>
        <v>51</v>
      </c>
      <c r="U2639" t="str">
        <f t="shared" si="83"/>
        <v>Ciudad</v>
      </c>
    </row>
    <row r="2640" spans="1:21" ht="16" x14ac:dyDescent="0.4">
      <c r="A2640" s="7">
        <v>64906</v>
      </c>
      <c r="B2640" s="7" t="s">
        <v>26</v>
      </c>
      <c r="C2640" s="7" t="s">
        <v>17</v>
      </c>
      <c r="D2640" s="7">
        <v>640</v>
      </c>
      <c r="E2640" s="7">
        <v>319</v>
      </c>
      <c r="F2640" s="7">
        <v>424</v>
      </c>
      <c r="G2640" s="7">
        <v>0</v>
      </c>
      <c r="H2640" s="7">
        <v>16559</v>
      </c>
      <c r="I2640" s="7">
        <v>5</v>
      </c>
      <c r="J2640" s="7">
        <v>80</v>
      </c>
      <c r="K2640" s="7">
        <v>391</v>
      </c>
      <c r="L2640" s="7">
        <v>372</v>
      </c>
      <c r="M2640" s="7">
        <v>25</v>
      </c>
      <c r="N2640">
        <f>VLOOKUP(A2640,vlookup_table!$A:$G,2,FALSE)</f>
        <v>0</v>
      </c>
      <c r="O2640" t="str">
        <f>VLOOKUP(A2640,vlookup_table!$A:$G,3,FALSE)</f>
        <v>MI</v>
      </c>
      <c r="P2640">
        <f>VLOOKUP(A2640,vlookup_table!$A:$G,4,FALSE)</f>
        <v>3701</v>
      </c>
      <c r="Q2640" t="str">
        <f>VLOOKUP(A2640,vlookup_table!$A:$G,5,FALSE)</f>
        <v>S2</v>
      </c>
      <c r="R2640" t="str">
        <f>VLOOKUP(A2640,vlookup_table!$A:$G,6,FALSE)</f>
        <v>F</v>
      </c>
      <c r="S2640">
        <f>VLOOKUP(A2640,vlookup_table!$A:$G,7,FALSE)</f>
        <v>50</v>
      </c>
      <c r="T2640">
        <f t="shared" si="82"/>
        <v>59</v>
      </c>
      <c r="U2640" t="str">
        <f t="shared" si="83"/>
        <v>Suburbano</v>
      </c>
    </row>
    <row r="2641" spans="1:21" ht="16" x14ac:dyDescent="0.4">
      <c r="A2641" s="7">
        <v>149110</v>
      </c>
      <c r="B2641" s="7" t="s">
        <v>21</v>
      </c>
      <c r="C2641" s="7" t="s">
        <v>14</v>
      </c>
      <c r="D2641" s="7">
        <v>3994</v>
      </c>
      <c r="E2641" s="7">
        <v>522</v>
      </c>
      <c r="F2641" s="7">
        <v>734</v>
      </c>
      <c r="G2641" s="7">
        <v>99</v>
      </c>
      <c r="H2641" s="7">
        <v>24150</v>
      </c>
      <c r="I2641" s="7">
        <v>16</v>
      </c>
      <c r="J2641" s="7">
        <v>32</v>
      </c>
      <c r="K2641" s="7">
        <v>627</v>
      </c>
      <c r="L2641" s="7">
        <v>609</v>
      </c>
      <c r="M2641" s="7">
        <v>7.076923077</v>
      </c>
      <c r="N2641">
        <f>VLOOKUP(A2641,vlookup_table!$A:$G,2,FALSE)</f>
        <v>0</v>
      </c>
      <c r="O2641" t="str">
        <f>VLOOKUP(A2641,vlookup_table!$A:$G,3,FALSE)</f>
        <v>CA</v>
      </c>
      <c r="P2641">
        <f>VLOOKUP(A2641,vlookup_table!$A:$G,4,FALSE)</f>
        <v>0</v>
      </c>
      <c r="Q2641" t="str">
        <f>VLOOKUP(A2641,vlookup_table!$A:$G,5,FALSE)</f>
        <v>C1</v>
      </c>
      <c r="R2641" t="str">
        <f>VLOOKUP(A2641,vlookup_table!$A:$G,6,FALSE)</f>
        <v>M</v>
      </c>
      <c r="S2641">
        <f>VLOOKUP(A2641,vlookup_table!$A:$G,7,FALSE)</f>
        <v>6</v>
      </c>
      <c r="T2641">
        <f t="shared" si="82"/>
        <v>96</v>
      </c>
      <c r="U2641" t="str">
        <f t="shared" si="83"/>
        <v>Ciudad</v>
      </c>
    </row>
    <row r="2642" spans="1:21" ht="16" x14ac:dyDescent="0.4">
      <c r="A2642" s="7">
        <v>24663</v>
      </c>
      <c r="B2642" s="7" t="s">
        <v>43</v>
      </c>
      <c r="C2642" s="7" t="s">
        <v>17</v>
      </c>
      <c r="D2642" s="7">
        <v>381</v>
      </c>
      <c r="E2642" s="7">
        <v>284</v>
      </c>
      <c r="F2642" s="7">
        <v>381</v>
      </c>
      <c r="G2642" s="7">
        <v>4</v>
      </c>
      <c r="H2642" s="7">
        <v>11085</v>
      </c>
      <c r="I2642" s="7">
        <v>0</v>
      </c>
      <c r="J2642" s="7">
        <v>81</v>
      </c>
      <c r="K2642" s="7">
        <v>354</v>
      </c>
      <c r="L2642" s="7">
        <v>319</v>
      </c>
      <c r="M2642" s="7">
        <v>10.07142857</v>
      </c>
      <c r="N2642">
        <f>VLOOKUP(A2642,vlookup_table!$A:$G,2,FALSE)</f>
        <v>0</v>
      </c>
      <c r="O2642" t="str">
        <f>VLOOKUP(A2642,vlookup_table!$A:$G,3,FALSE)</f>
        <v>SC</v>
      </c>
      <c r="P2642">
        <f>VLOOKUP(A2642,vlookup_table!$A:$G,4,FALSE)</f>
        <v>3311</v>
      </c>
      <c r="Q2642" t="str">
        <f>VLOOKUP(A2642,vlookup_table!$A:$G,5,FALSE)</f>
        <v>T2</v>
      </c>
      <c r="R2642" t="str">
        <f>VLOOKUP(A2642,vlookup_table!$A:$G,6,FALSE)</f>
        <v>F</v>
      </c>
      <c r="S2642">
        <f>VLOOKUP(A2642,vlookup_table!$A:$G,7,FALSE)</f>
        <v>16</v>
      </c>
      <c r="T2642">
        <f t="shared" si="82"/>
        <v>63</v>
      </c>
      <c r="U2642" t="str">
        <f t="shared" si="83"/>
        <v>Pueblo</v>
      </c>
    </row>
    <row r="2643" spans="1:21" ht="16" x14ac:dyDescent="0.4">
      <c r="A2643" s="7">
        <v>85922</v>
      </c>
      <c r="B2643" s="7" t="s">
        <v>48</v>
      </c>
      <c r="C2643" s="7" t="s">
        <v>17</v>
      </c>
      <c r="D2643" s="7">
        <v>432</v>
      </c>
      <c r="E2643" s="7">
        <v>311</v>
      </c>
      <c r="F2643" s="7">
        <v>364</v>
      </c>
      <c r="G2643" s="7">
        <v>0</v>
      </c>
      <c r="H2643" s="7">
        <v>11095</v>
      </c>
      <c r="I2643" s="7">
        <v>6</v>
      </c>
      <c r="J2643" s="7">
        <v>78</v>
      </c>
      <c r="K2643" s="7">
        <v>319</v>
      </c>
      <c r="L2643" s="7">
        <v>323</v>
      </c>
      <c r="M2643" s="7">
        <v>10.764705879999999</v>
      </c>
      <c r="N2643">
        <f>VLOOKUP(A2643,vlookup_table!$A:$G,2,FALSE)</f>
        <v>0</v>
      </c>
      <c r="O2643" t="str">
        <f>VLOOKUP(A2643,vlookup_table!$A:$G,3,FALSE)</f>
        <v>SD</v>
      </c>
      <c r="P2643">
        <f>VLOOKUP(A2643,vlookup_table!$A:$G,4,FALSE)</f>
        <v>4001</v>
      </c>
      <c r="Q2643" t="str">
        <f>VLOOKUP(A2643,vlookup_table!$A:$G,5,FALSE)</f>
        <v>T2</v>
      </c>
      <c r="R2643" t="str">
        <f>VLOOKUP(A2643,vlookup_table!$A:$G,6,FALSE)</f>
        <v>F</v>
      </c>
      <c r="S2643">
        <f>VLOOKUP(A2643,vlookup_table!$A:$G,7,FALSE)</f>
        <v>10</v>
      </c>
      <c r="T2643">
        <f t="shared" si="82"/>
        <v>56</v>
      </c>
      <c r="U2643" t="str">
        <f t="shared" si="83"/>
        <v>Pueblo</v>
      </c>
    </row>
    <row r="2644" spans="1:21" ht="16" x14ac:dyDescent="0.4">
      <c r="A2644" s="7">
        <v>84276</v>
      </c>
      <c r="B2644" s="7" t="s">
        <v>52</v>
      </c>
      <c r="C2644" s="7" t="s">
        <v>17</v>
      </c>
      <c r="D2644" s="7">
        <v>570</v>
      </c>
      <c r="E2644" s="7">
        <v>280</v>
      </c>
      <c r="F2644" s="7">
        <v>360</v>
      </c>
      <c r="G2644" s="7">
        <v>2</v>
      </c>
      <c r="H2644" s="7">
        <v>11330</v>
      </c>
      <c r="I2644" s="7">
        <v>1</v>
      </c>
      <c r="J2644" s="7">
        <v>82</v>
      </c>
      <c r="K2644" s="7">
        <v>314</v>
      </c>
      <c r="L2644" s="7">
        <v>325</v>
      </c>
      <c r="M2644" s="7">
        <v>5.3409090910000003</v>
      </c>
      <c r="N2644">
        <f>VLOOKUP(A2644,vlookup_table!$A:$G,2,FALSE)</f>
        <v>2</v>
      </c>
      <c r="O2644" t="str">
        <f>VLOOKUP(A2644,vlookup_table!$A:$G,3,FALSE)</f>
        <v>MN</v>
      </c>
      <c r="P2644">
        <f>VLOOKUP(A2644,vlookup_table!$A:$G,4,FALSE)</f>
        <v>4311</v>
      </c>
      <c r="Q2644" t="str">
        <f>VLOOKUP(A2644,vlookup_table!$A:$G,5,FALSE)</f>
        <v>R2</v>
      </c>
      <c r="R2644" t="str">
        <f>VLOOKUP(A2644,vlookup_table!$A:$G,6,FALSE)</f>
        <v>F</v>
      </c>
      <c r="S2644">
        <f>VLOOKUP(A2644,vlookup_table!$A:$G,7,FALSE)</f>
        <v>3</v>
      </c>
      <c r="T2644">
        <f t="shared" si="82"/>
        <v>53</v>
      </c>
      <c r="U2644" t="str">
        <f t="shared" si="83"/>
        <v>Rural</v>
      </c>
    </row>
    <row r="2645" spans="1:21" ht="16" x14ac:dyDescent="0.4">
      <c r="A2645" s="7">
        <v>154611</v>
      </c>
      <c r="B2645" s="7" t="s">
        <v>21</v>
      </c>
      <c r="C2645" s="7" t="s">
        <v>17</v>
      </c>
      <c r="D2645" s="7">
        <v>1099</v>
      </c>
      <c r="E2645" s="7">
        <v>366</v>
      </c>
      <c r="F2645" s="7">
        <v>404</v>
      </c>
      <c r="G2645" s="7">
        <v>3</v>
      </c>
      <c r="H2645" s="7">
        <v>13229</v>
      </c>
      <c r="I2645" s="7">
        <v>5</v>
      </c>
      <c r="J2645" s="7">
        <v>57</v>
      </c>
      <c r="K2645" s="7">
        <v>363</v>
      </c>
      <c r="L2645" s="7">
        <v>391</v>
      </c>
      <c r="M2645" s="7">
        <v>4.8333333329999997</v>
      </c>
      <c r="N2645">
        <f>VLOOKUP(A2645,vlookup_table!$A:$G,2,FALSE)</f>
        <v>28</v>
      </c>
      <c r="O2645" t="str">
        <f>VLOOKUP(A2645,vlookup_table!$A:$G,3,FALSE)</f>
        <v>CA</v>
      </c>
      <c r="P2645">
        <f>VLOOKUP(A2645,vlookup_table!$A:$G,4,FALSE)</f>
        <v>2101</v>
      </c>
      <c r="Q2645" t="str">
        <f>VLOOKUP(A2645,vlookup_table!$A:$G,5,FALSE)</f>
        <v>T2</v>
      </c>
      <c r="R2645" t="str">
        <f>VLOOKUP(A2645,vlookup_table!$A:$G,6,FALSE)</f>
        <v>F</v>
      </c>
      <c r="S2645">
        <f>VLOOKUP(A2645,vlookup_table!$A:$G,7,FALSE)</f>
        <v>5</v>
      </c>
      <c r="T2645">
        <f t="shared" si="82"/>
        <v>75</v>
      </c>
      <c r="U2645" t="str">
        <f t="shared" si="83"/>
        <v>Pueblo</v>
      </c>
    </row>
    <row r="2646" spans="1:21" ht="16" x14ac:dyDescent="0.4">
      <c r="A2646" s="7">
        <v>55293</v>
      </c>
      <c r="B2646" s="7" t="s">
        <v>56</v>
      </c>
      <c r="C2646" s="7" t="s">
        <v>97</v>
      </c>
      <c r="D2646" s="7">
        <v>444</v>
      </c>
      <c r="E2646" s="7">
        <v>136</v>
      </c>
      <c r="F2646" s="7">
        <v>235</v>
      </c>
      <c r="G2646" s="7">
        <v>2</v>
      </c>
      <c r="H2646" s="7">
        <v>11820</v>
      </c>
      <c r="I2646" s="7">
        <v>0</v>
      </c>
      <c r="J2646" s="7">
        <v>95</v>
      </c>
      <c r="K2646" s="7">
        <v>143</v>
      </c>
      <c r="L2646" s="7">
        <v>218</v>
      </c>
      <c r="M2646" s="7">
        <v>20</v>
      </c>
      <c r="N2646">
        <f>VLOOKUP(A2646,vlookup_table!$A:$G,2,FALSE)</f>
        <v>28</v>
      </c>
      <c r="O2646" t="str">
        <f>VLOOKUP(A2646,vlookup_table!$A:$G,3,FALSE)</f>
        <v>MS</v>
      </c>
      <c r="P2646">
        <f>VLOOKUP(A2646,vlookup_table!$A:$G,4,FALSE)</f>
        <v>0</v>
      </c>
      <c r="Q2646" t="str">
        <f>VLOOKUP(A2646,vlookup_table!$A:$G,5,FALSE)</f>
        <v>C3</v>
      </c>
      <c r="R2646" t="str">
        <f>VLOOKUP(A2646,vlookup_table!$A:$G,6,FALSE)</f>
        <v>F</v>
      </c>
      <c r="S2646">
        <f>VLOOKUP(A2646,vlookup_table!$A:$G,7,FALSE)</f>
        <v>25</v>
      </c>
      <c r="T2646">
        <f t="shared" si="82"/>
        <v>96</v>
      </c>
      <c r="U2646" t="str">
        <f t="shared" si="83"/>
        <v>Ciudad</v>
      </c>
    </row>
    <row r="2647" spans="1:21" ht="16" x14ac:dyDescent="0.4">
      <c r="A2647" s="7">
        <v>188812</v>
      </c>
      <c r="B2647" s="7" t="s">
        <v>26</v>
      </c>
      <c r="C2647" s="7" t="s">
        <v>14</v>
      </c>
      <c r="D2647" s="7">
        <v>1076</v>
      </c>
      <c r="E2647" s="7">
        <v>438</v>
      </c>
      <c r="F2647" s="7">
        <v>535</v>
      </c>
      <c r="G2647" s="7">
        <v>2</v>
      </c>
      <c r="H2647" s="7">
        <v>17353</v>
      </c>
      <c r="I2647" s="7">
        <v>10</v>
      </c>
      <c r="J2647" s="7">
        <v>69</v>
      </c>
      <c r="K2647" s="7">
        <v>552</v>
      </c>
      <c r="L2647" s="7">
        <v>425</v>
      </c>
      <c r="M2647" s="7">
        <v>17.333333329999999</v>
      </c>
      <c r="N2647">
        <f>VLOOKUP(A2647,vlookup_table!$A:$G,2,FALSE)</f>
        <v>0</v>
      </c>
      <c r="O2647" t="str">
        <f>VLOOKUP(A2647,vlookup_table!$A:$G,3,FALSE)</f>
        <v>MI</v>
      </c>
      <c r="P2647">
        <f>VLOOKUP(A2647,vlookup_table!$A:$G,4,FALSE)</f>
        <v>1901</v>
      </c>
      <c r="Q2647" t="str">
        <f>VLOOKUP(A2647,vlookup_table!$A:$G,5,FALSE)</f>
        <v>S1</v>
      </c>
      <c r="R2647" t="str">
        <f>VLOOKUP(A2647,vlookup_table!$A:$G,6,FALSE)</f>
        <v>M</v>
      </c>
      <c r="S2647">
        <f>VLOOKUP(A2647,vlookup_table!$A:$G,7,FALSE)</f>
        <v>20</v>
      </c>
      <c r="T2647">
        <f t="shared" si="82"/>
        <v>77</v>
      </c>
      <c r="U2647" t="str">
        <f t="shared" si="83"/>
        <v>Suburbano</v>
      </c>
    </row>
    <row r="2648" spans="1:21" ht="16" x14ac:dyDescent="0.4">
      <c r="A2648" s="7">
        <v>149506</v>
      </c>
      <c r="B2648" s="7" t="s">
        <v>21</v>
      </c>
      <c r="C2648" s="7" t="s">
        <v>14</v>
      </c>
      <c r="D2648" s="7">
        <v>5164</v>
      </c>
      <c r="E2648" s="7">
        <v>650</v>
      </c>
      <c r="F2648" s="7">
        <v>842</v>
      </c>
      <c r="G2648" s="7">
        <v>97</v>
      </c>
      <c r="H2648" s="7">
        <v>50548</v>
      </c>
      <c r="I2648" s="7">
        <v>20</v>
      </c>
      <c r="J2648" s="7">
        <v>41</v>
      </c>
      <c r="K2648" s="7">
        <v>715</v>
      </c>
      <c r="L2648" s="7">
        <v>782</v>
      </c>
      <c r="M2648" s="7">
        <v>8.4166666669999994</v>
      </c>
      <c r="N2648">
        <f>VLOOKUP(A2648,vlookup_table!$A:$G,2,FALSE)</f>
        <v>1</v>
      </c>
      <c r="O2648" t="str">
        <f>VLOOKUP(A2648,vlookup_table!$A:$G,3,FALSE)</f>
        <v>CA</v>
      </c>
      <c r="P2648">
        <f>VLOOKUP(A2648,vlookup_table!$A:$G,4,FALSE)</f>
        <v>4605</v>
      </c>
      <c r="Q2648" t="str">
        <f>VLOOKUP(A2648,vlookup_table!$A:$G,5,FALSE)</f>
        <v>S1</v>
      </c>
      <c r="R2648" t="str">
        <f>VLOOKUP(A2648,vlookup_table!$A:$G,6,FALSE)</f>
        <v>M</v>
      </c>
      <c r="S2648">
        <f>VLOOKUP(A2648,vlookup_table!$A:$G,7,FALSE)</f>
        <v>10</v>
      </c>
      <c r="T2648">
        <f t="shared" si="82"/>
        <v>50</v>
      </c>
      <c r="U2648" t="str">
        <f t="shared" si="83"/>
        <v>Suburbano</v>
      </c>
    </row>
    <row r="2649" spans="1:21" ht="16" x14ac:dyDescent="0.4">
      <c r="A2649" s="7">
        <v>190727</v>
      </c>
      <c r="B2649" s="7" t="s">
        <v>13</v>
      </c>
      <c r="C2649" s="7" t="s">
        <v>17</v>
      </c>
      <c r="D2649" s="7">
        <v>655</v>
      </c>
      <c r="E2649" s="7">
        <v>236</v>
      </c>
      <c r="F2649" s="7">
        <v>331</v>
      </c>
      <c r="G2649" s="7">
        <v>1</v>
      </c>
      <c r="H2649" s="7">
        <v>11094</v>
      </c>
      <c r="I2649" s="7">
        <v>8</v>
      </c>
      <c r="J2649" s="7">
        <v>17</v>
      </c>
      <c r="K2649" s="7">
        <v>264</v>
      </c>
      <c r="L2649" s="7">
        <v>311</v>
      </c>
      <c r="M2649" s="7">
        <v>6.9333333330000002</v>
      </c>
      <c r="N2649">
        <f>VLOOKUP(A2649,vlookup_table!$A:$G,2,FALSE)</f>
        <v>2</v>
      </c>
      <c r="O2649" t="str">
        <f>VLOOKUP(A2649,vlookup_table!$A:$G,3,FALSE)</f>
        <v>FL</v>
      </c>
      <c r="P2649">
        <f>VLOOKUP(A2649,vlookup_table!$A:$G,4,FALSE)</f>
        <v>1709</v>
      </c>
      <c r="Q2649" t="str">
        <f>VLOOKUP(A2649,vlookup_table!$A:$G,5,FALSE)</f>
        <v/>
      </c>
      <c r="R2649" t="str">
        <f>VLOOKUP(A2649,vlookup_table!$A:$G,6,FALSE)</f>
        <v>F</v>
      </c>
      <c r="S2649">
        <f>VLOOKUP(A2649,vlookup_table!$A:$G,7,FALSE)</f>
        <v>11</v>
      </c>
      <c r="T2649">
        <f t="shared" si="82"/>
        <v>79</v>
      </c>
      <c r="U2649" t="str">
        <f t="shared" si="83"/>
        <v/>
      </c>
    </row>
    <row r="2650" spans="1:21" ht="16" x14ac:dyDescent="0.4">
      <c r="A2650" s="7">
        <v>150248</v>
      </c>
      <c r="B2650" s="7" t="s">
        <v>21</v>
      </c>
      <c r="C2650" s="7" t="s">
        <v>14</v>
      </c>
      <c r="D2650" s="7">
        <v>2182</v>
      </c>
      <c r="E2650" s="7">
        <v>555</v>
      </c>
      <c r="F2650" s="7">
        <v>569</v>
      </c>
      <c r="G2650" s="7">
        <v>67</v>
      </c>
      <c r="H2650" s="7">
        <v>17516</v>
      </c>
      <c r="I2650" s="7">
        <v>13</v>
      </c>
      <c r="J2650" s="7">
        <v>57</v>
      </c>
      <c r="K2650" s="7">
        <v>561</v>
      </c>
      <c r="L2650" s="7">
        <v>559</v>
      </c>
      <c r="M2650" s="7">
        <v>19</v>
      </c>
      <c r="N2650">
        <f>VLOOKUP(A2650,vlookup_table!$A:$G,2,FALSE)</f>
        <v>28</v>
      </c>
      <c r="O2650" t="str">
        <f>VLOOKUP(A2650,vlookup_table!$A:$G,3,FALSE)</f>
        <v>CA</v>
      </c>
      <c r="P2650">
        <f>VLOOKUP(A2650,vlookup_table!$A:$G,4,FALSE)</f>
        <v>0</v>
      </c>
      <c r="Q2650" t="str">
        <f>VLOOKUP(A2650,vlookup_table!$A:$G,5,FALSE)</f>
        <v>S2</v>
      </c>
      <c r="R2650" t="str">
        <f>VLOOKUP(A2650,vlookup_table!$A:$G,6,FALSE)</f>
        <v>M</v>
      </c>
      <c r="S2650">
        <f>VLOOKUP(A2650,vlookup_table!$A:$G,7,FALSE)</f>
        <v>25</v>
      </c>
      <c r="T2650">
        <f t="shared" si="82"/>
        <v>96</v>
      </c>
      <c r="U2650" t="str">
        <f t="shared" si="83"/>
        <v>Suburbano</v>
      </c>
    </row>
    <row r="2651" spans="1:21" ht="16" x14ac:dyDescent="0.4">
      <c r="A2651" s="7">
        <v>177009</v>
      </c>
      <c r="B2651" s="7" t="s">
        <v>47</v>
      </c>
      <c r="C2651" s="7"/>
      <c r="D2651" s="7">
        <v>584</v>
      </c>
      <c r="E2651" s="7">
        <v>262</v>
      </c>
      <c r="F2651" s="7">
        <v>386</v>
      </c>
      <c r="G2651" s="7">
        <v>0</v>
      </c>
      <c r="H2651" s="7">
        <v>13898</v>
      </c>
      <c r="I2651" s="7">
        <v>1</v>
      </c>
      <c r="J2651" s="7">
        <v>52</v>
      </c>
      <c r="K2651" s="7">
        <v>332</v>
      </c>
      <c r="L2651" s="7">
        <v>346</v>
      </c>
      <c r="M2651" s="7">
        <v>7.4210526320000003</v>
      </c>
      <c r="N2651">
        <f>VLOOKUP(A2651,vlookup_table!$A:$G,2,FALSE)</f>
        <v>0</v>
      </c>
      <c r="O2651" t="str">
        <f>VLOOKUP(A2651,vlookup_table!$A:$G,3,FALSE)</f>
        <v>OR</v>
      </c>
      <c r="P2651">
        <f>VLOOKUP(A2651,vlookup_table!$A:$G,4,FALSE)</f>
        <v>0</v>
      </c>
      <c r="Q2651" t="str">
        <f>VLOOKUP(A2651,vlookup_table!$A:$G,5,FALSE)</f>
        <v>R2</v>
      </c>
      <c r="R2651" t="str">
        <f>VLOOKUP(A2651,vlookup_table!$A:$G,6,FALSE)</f>
        <v/>
      </c>
      <c r="S2651">
        <f>VLOOKUP(A2651,vlookup_table!$A:$G,7,FALSE)</f>
        <v>5</v>
      </c>
      <c r="T2651">
        <f t="shared" si="82"/>
        <v>96</v>
      </c>
      <c r="U2651" t="str">
        <f t="shared" si="83"/>
        <v>Rural</v>
      </c>
    </row>
    <row r="2652" spans="1:21" ht="16" x14ac:dyDescent="0.4">
      <c r="A2652" s="7">
        <v>89642</v>
      </c>
      <c r="B2652" s="7" t="s">
        <v>16</v>
      </c>
      <c r="C2652" s="7" t="s">
        <v>17</v>
      </c>
      <c r="D2652" s="7">
        <v>854</v>
      </c>
      <c r="E2652" s="7">
        <v>452</v>
      </c>
      <c r="F2652" s="7">
        <v>580</v>
      </c>
      <c r="G2652" s="7">
        <v>2</v>
      </c>
      <c r="H2652" s="7">
        <v>20510</v>
      </c>
      <c r="I2652" s="7">
        <v>4</v>
      </c>
      <c r="J2652" s="7">
        <v>73</v>
      </c>
      <c r="K2652" s="7">
        <v>478</v>
      </c>
      <c r="L2652" s="7">
        <v>498</v>
      </c>
      <c r="M2652" s="7">
        <v>8.6666666669999994</v>
      </c>
      <c r="N2652">
        <f>VLOOKUP(A2652,vlookup_table!$A:$G,2,FALSE)</f>
        <v>0</v>
      </c>
      <c r="O2652" t="str">
        <f>VLOOKUP(A2652,vlookup_table!$A:$G,3,FALSE)</f>
        <v>IL</v>
      </c>
      <c r="P2652">
        <f>VLOOKUP(A2652,vlookup_table!$A:$G,4,FALSE)</f>
        <v>0</v>
      </c>
      <c r="Q2652" t="str">
        <f>VLOOKUP(A2652,vlookup_table!$A:$G,5,FALSE)</f>
        <v>C1</v>
      </c>
      <c r="R2652" t="str">
        <f>VLOOKUP(A2652,vlookup_table!$A:$G,6,FALSE)</f>
        <v>F</v>
      </c>
      <c r="S2652">
        <f>VLOOKUP(A2652,vlookup_table!$A:$G,7,FALSE)</f>
        <v>15</v>
      </c>
      <c r="T2652">
        <f t="shared" si="82"/>
        <v>96</v>
      </c>
      <c r="U2652" t="str">
        <f t="shared" si="83"/>
        <v>Ciudad</v>
      </c>
    </row>
    <row r="2653" spans="1:21" ht="16" x14ac:dyDescent="0.4">
      <c r="A2653" s="7">
        <v>103913</v>
      </c>
      <c r="B2653" s="7" t="s">
        <v>33</v>
      </c>
      <c r="C2653" s="7" t="s">
        <v>17</v>
      </c>
      <c r="D2653" s="7">
        <v>297</v>
      </c>
      <c r="E2653" s="7">
        <v>146</v>
      </c>
      <c r="F2653" s="7">
        <v>196</v>
      </c>
      <c r="G2653" s="7">
        <v>0</v>
      </c>
      <c r="H2653" s="7">
        <v>8352</v>
      </c>
      <c r="I2653" s="7">
        <v>0</v>
      </c>
      <c r="J2653" s="7">
        <v>61</v>
      </c>
      <c r="K2653" s="7">
        <v>175</v>
      </c>
      <c r="L2653" s="7">
        <v>178</v>
      </c>
      <c r="M2653" s="7">
        <v>9.2142857140000007</v>
      </c>
      <c r="N2653">
        <f>VLOOKUP(A2653,vlookup_table!$A:$G,2,FALSE)</f>
        <v>0</v>
      </c>
      <c r="O2653" t="str">
        <f>VLOOKUP(A2653,vlookup_table!$A:$G,3,FALSE)</f>
        <v>MO</v>
      </c>
      <c r="P2653">
        <f>VLOOKUP(A2653,vlookup_table!$A:$G,4,FALSE)</f>
        <v>5406</v>
      </c>
      <c r="Q2653" t="str">
        <f>VLOOKUP(A2653,vlookup_table!$A:$G,5,FALSE)</f>
        <v>R3</v>
      </c>
      <c r="R2653" t="str">
        <f>VLOOKUP(A2653,vlookup_table!$A:$G,6,FALSE)</f>
        <v>F</v>
      </c>
      <c r="S2653">
        <f>VLOOKUP(A2653,vlookup_table!$A:$G,7,FALSE)</f>
        <v>11</v>
      </c>
      <c r="T2653">
        <f t="shared" si="82"/>
        <v>42</v>
      </c>
      <c r="U2653" t="str">
        <f t="shared" si="83"/>
        <v>Rural</v>
      </c>
    </row>
    <row r="2654" spans="1:21" ht="16" x14ac:dyDescent="0.4">
      <c r="A2654" s="7">
        <v>76780</v>
      </c>
      <c r="B2654" s="7" t="s">
        <v>44</v>
      </c>
      <c r="C2654" s="7" t="s">
        <v>17</v>
      </c>
      <c r="D2654" s="7">
        <v>688</v>
      </c>
      <c r="E2654" s="7">
        <v>408</v>
      </c>
      <c r="F2654" s="7">
        <v>510</v>
      </c>
      <c r="G2654" s="7">
        <v>1</v>
      </c>
      <c r="H2654" s="7">
        <v>17000</v>
      </c>
      <c r="I2654" s="7">
        <v>2</v>
      </c>
      <c r="J2654" s="7">
        <v>64</v>
      </c>
      <c r="K2654" s="7">
        <v>484</v>
      </c>
      <c r="L2654" s="7">
        <v>437</v>
      </c>
      <c r="M2654" s="7">
        <v>33</v>
      </c>
      <c r="N2654">
        <f>VLOOKUP(A2654,vlookup_table!$A:$G,2,FALSE)</f>
        <v>2</v>
      </c>
      <c r="O2654" t="str">
        <f>VLOOKUP(A2654,vlookup_table!$A:$G,3,FALSE)</f>
        <v>IA</v>
      </c>
      <c r="P2654">
        <f>VLOOKUP(A2654,vlookup_table!$A:$G,4,FALSE)</f>
        <v>1601</v>
      </c>
      <c r="Q2654" t="str">
        <f>VLOOKUP(A2654,vlookup_table!$A:$G,5,FALSE)</f>
        <v>T1</v>
      </c>
      <c r="R2654" t="str">
        <f>VLOOKUP(A2654,vlookup_table!$A:$G,6,FALSE)</f>
        <v>F</v>
      </c>
      <c r="S2654">
        <f>VLOOKUP(A2654,vlookup_table!$A:$G,7,FALSE)</f>
        <v>75</v>
      </c>
      <c r="T2654">
        <f t="shared" si="82"/>
        <v>80</v>
      </c>
      <c r="U2654" t="str">
        <f t="shared" si="83"/>
        <v>Pueblo</v>
      </c>
    </row>
    <row r="2655" spans="1:21" ht="16" x14ac:dyDescent="0.4">
      <c r="A2655" s="7">
        <v>41901</v>
      </c>
      <c r="B2655" s="7" t="s">
        <v>26</v>
      </c>
      <c r="C2655" s="7" t="s">
        <v>14</v>
      </c>
      <c r="D2655" s="7">
        <v>380</v>
      </c>
      <c r="E2655" s="7">
        <v>329</v>
      </c>
      <c r="F2655" s="7">
        <v>394</v>
      </c>
      <c r="G2655" s="7">
        <v>0</v>
      </c>
      <c r="H2655" s="7">
        <v>12349</v>
      </c>
      <c r="I2655" s="7">
        <v>1</v>
      </c>
      <c r="J2655" s="7">
        <v>77</v>
      </c>
      <c r="K2655" s="7">
        <v>355</v>
      </c>
      <c r="L2655" s="7">
        <v>340</v>
      </c>
      <c r="M2655" s="7">
        <v>26.444444440000002</v>
      </c>
      <c r="N2655">
        <f>VLOOKUP(A2655,vlookup_table!$A:$G,2,FALSE)</f>
        <v>1</v>
      </c>
      <c r="O2655" t="str">
        <f>VLOOKUP(A2655,vlookup_table!$A:$G,3,FALSE)</f>
        <v>MI</v>
      </c>
      <c r="P2655">
        <f>VLOOKUP(A2655,vlookup_table!$A:$G,4,FALSE)</f>
        <v>5601</v>
      </c>
      <c r="Q2655" t="str">
        <f>VLOOKUP(A2655,vlookup_table!$A:$G,5,FALSE)</f>
        <v>U3</v>
      </c>
      <c r="R2655" t="str">
        <f>VLOOKUP(A2655,vlookup_table!$A:$G,6,FALSE)</f>
        <v>M</v>
      </c>
      <c r="S2655">
        <f>VLOOKUP(A2655,vlookup_table!$A:$G,7,FALSE)</f>
        <v>100</v>
      </c>
      <c r="T2655">
        <f t="shared" si="82"/>
        <v>40</v>
      </c>
      <c r="U2655" t="str">
        <f t="shared" si="83"/>
        <v>Urbano</v>
      </c>
    </row>
    <row r="2656" spans="1:21" ht="16" x14ac:dyDescent="0.4">
      <c r="A2656" s="7">
        <v>137998</v>
      </c>
      <c r="B2656" s="7" t="s">
        <v>51</v>
      </c>
      <c r="C2656" s="7" t="s">
        <v>97</v>
      </c>
      <c r="D2656" s="7">
        <v>547</v>
      </c>
      <c r="E2656" s="7">
        <v>251</v>
      </c>
      <c r="F2656" s="7">
        <v>306</v>
      </c>
      <c r="G2656" s="7">
        <v>0</v>
      </c>
      <c r="H2656" s="7">
        <v>10393</v>
      </c>
      <c r="I2656" s="7">
        <v>6</v>
      </c>
      <c r="J2656" s="7">
        <v>44</v>
      </c>
      <c r="K2656" s="7">
        <v>292</v>
      </c>
      <c r="L2656" s="7">
        <v>283</v>
      </c>
      <c r="M2656" s="7">
        <v>17.09090909</v>
      </c>
      <c r="N2656">
        <f>VLOOKUP(A2656,vlookup_table!$A:$G,2,FALSE)</f>
        <v>0</v>
      </c>
      <c r="O2656" t="str">
        <f>VLOOKUP(A2656,vlookup_table!$A:$G,3,FALSE)</f>
        <v>AZ</v>
      </c>
      <c r="P2656">
        <f>VLOOKUP(A2656,vlookup_table!$A:$G,4,FALSE)</f>
        <v>4701</v>
      </c>
      <c r="Q2656" t="str">
        <f>VLOOKUP(A2656,vlookup_table!$A:$G,5,FALSE)</f>
        <v>S2</v>
      </c>
      <c r="R2656" t="str">
        <f>VLOOKUP(A2656,vlookup_table!$A:$G,6,FALSE)</f>
        <v>F</v>
      </c>
      <c r="S2656">
        <f>VLOOKUP(A2656,vlookup_table!$A:$G,7,FALSE)</f>
        <v>20</v>
      </c>
      <c r="T2656">
        <f t="shared" si="82"/>
        <v>49</v>
      </c>
      <c r="U2656" t="str">
        <f t="shared" si="83"/>
        <v>Suburbano</v>
      </c>
    </row>
    <row r="2657" spans="1:21" ht="16" x14ac:dyDescent="0.4">
      <c r="A2657" s="7">
        <v>79136</v>
      </c>
      <c r="B2657" s="7" t="s">
        <v>32</v>
      </c>
      <c r="C2657" s="7" t="s">
        <v>14</v>
      </c>
      <c r="D2657" s="7">
        <v>336</v>
      </c>
      <c r="E2657" s="7">
        <v>301</v>
      </c>
      <c r="F2657" s="7">
        <v>357</v>
      </c>
      <c r="G2657" s="7">
        <v>0</v>
      </c>
      <c r="H2657" s="7">
        <v>10835</v>
      </c>
      <c r="I2657" s="7">
        <v>1</v>
      </c>
      <c r="J2657" s="7">
        <v>74</v>
      </c>
      <c r="K2657" s="7">
        <v>316</v>
      </c>
      <c r="L2657" s="7">
        <v>326</v>
      </c>
      <c r="M2657" s="7">
        <v>8.0833333330000006</v>
      </c>
      <c r="N2657">
        <f>VLOOKUP(A2657,vlookup_table!$A:$G,2,FALSE)</f>
        <v>1</v>
      </c>
      <c r="O2657" t="str">
        <f>VLOOKUP(A2657,vlookup_table!$A:$G,3,FALSE)</f>
        <v>WI</v>
      </c>
      <c r="P2657">
        <f>VLOOKUP(A2657,vlookup_table!$A:$G,4,FALSE)</f>
        <v>2401</v>
      </c>
      <c r="Q2657" t="str">
        <f>VLOOKUP(A2657,vlookup_table!$A:$G,5,FALSE)</f>
        <v>C3</v>
      </c>
      <c r="R2657" t="str">
        <f>VLOOKUP(A2657,vlookup_table!$A:$G,6,FALSE)</f>
        <v>M</v>
      </c>
      <c r="S2657">
        <f>VLOOKUP(A2657,vlookup_table!$A:$G,7,FALSE)</f>
        <v>10</v>
      </c>
      <c r="T2657">
        <f t="shared" si="82"/>
        <v>72</v>
      </c>
      <c r="U2657" t="str">
        <f t="shared" si="83"/>
        <v>Ciudad</v>
      </c>
    </row>
    <row r="2658" spans="1:21" ht="16" x14ac:dyDescent="0.4">
      <c r="A2658" s="7">
        <v>46110</v>
      </c>
      <c r="B2658" s="7" t="s">
        <v>65</v>
      </c>
      <c r="C2658" s="7" t="s">
        <v>14</v>
      </c>
      <c r="D2658" s="7">
        <v>876</v>
      </c>
      <c r="E2658" s="7">
        <v>281</v>
      </c>
      <c r="F2658" s="7">
        <v>353</v>
      </c>
      <c r="G2658" s="7">
        <v>2</v>
      </c>
      <c r="H2658" s="7">
        <v>11807</v>
      </c>
      <c r="I2658" s="7">
        <v>3</v>
      </c>
      <c r="J2658" s="7">
        <v>39</v>
      </c>
      <c r="K2658" s="7">
        <v>297</v>
      </c>
      <c r="L2658" s="7">
        <v>325</v>
      </c>
      <c r="M2658" s="7">
        <v>3.7317073170000001</v>
      </c>
      <c r="N2658">
        <f>VLOOKUP(A2658,vlookup_table!$A:$G,2,FALSE)</f>
        <v>2</v>
      </c>
      <c r="O2658" t="str">
        <f>VLOOKUP(A2658,vlookup_table!$A:$G,3,FALSE)</f>
        <v>VT</v>
      </c>
      <c r="P2658">
        <f>VLOOKUP(A2658,vlookup_table!$A:$G,4,FALSE)</f>
        <v>0</v>
      </c>
      <c r="Q2658" t="str">
        <f>VLOOKUP(A2658,vlookup_table!$A:$G,5,FALSE)</f>
        <v/>
      </c>
      <c r="R2658" t="str">
        <f>VLOOKUP(A2658,vlookup_table!$A:$G,6,FALSE)</f>
        <v>M</v>
      </c>
      <c r="S2658">
        <f>VLOOKUP(A2658,vlookup_table!$A:$G,7,FALSE)</f>
        <v>4</v>
      </c>
      <c r="T2658">
        <f t="shared" si="82"/>
        <v>96</v>
      </c>
      <c r="U2658" t="str">
        <f t="shared" si="83"/>
        <v/>
      </c>
    </row>
    <row r="2659" spans="1:21" ht="16" x14ac:dyDescent="0.4">
      <c r="A2659" s="7">
        <v>97774</v>
      </c>
      <c r="B2659" s="7" t="s">
        <v>16</v>
      </c>
      <c r="C2659" s="7" t="s">
        <v>17</v>
      </c>
      <c r="D2659" s="7">
        <v>470</v>
      </c>
      <c r="E2659" s="7">
        <v>263</v>
      </c>
      <c r="F2659" s="7">
        <v>330</v>
      </c>
      <c r="G2659" s="7">
        <v>0</v>
      </c>
      <c r="H2659" s="7">
        <v>10776</v>
      </c>
      <c r="I2659" s="7">
        <v>1</v>
      </c>
      <c r="J2659" s="7">
        <v>68</v>
      </c>
      <c r="K2659" s="7">
        <v>297</v>
      </c>
      <c r="L2659" s="7">
        <v>296</v>
      </c>
      <c r="M2659" s="7">
        <v>17.88888889</v>
      </c>
      <c r="N2659">
        <f>VLOOKUP(A2659,vlookup_table!$A:$G,2,FALSE)</f>
        <v>0</v>
      </c>
      <c r="O2659" t="str">
        <f>VLOOKUP(A2659,vlookup_table!$A:$G,3,FALSE)</f>
        <v>IL</v>
      </c>
      <c r="P2659">
        <f>VLOOKUP(A2659,vlookup_table!$A:$G,4,FALSE)</f>
        <v>5201</v>
      </c>
      <c r="Q2659" t="str">
        <f>VLOOKUP(A2659,vlookup_table!$A:$G,5,FALSE)</f>
        <v>T2</v>
      </c>
      <c r="R2659" t="str">
        <f>VLOOKUP(A2659,vlookup_table!$A:$G,6,FALSE)</f>
        <v>F</v>
      </c>
      <c r="S2659">
        <f>VLOOKUP(A2659,vlookup_table!$A:$G,7,FALSE)</f>
        <v>25</v>
      </c>
      <c r="T2659">
        <f t="shared" si="82"/>
        <v>44</v>
      </c>
      <c r="U2659" t="str">
        <f t="shared" si="83"/>
        <v>Pueblo</v>
      </c>
    </row>
    <row r="2660" spans="1:21" ht="16" x14ac:dyDescent="0.4">
      <c r="A2660" s="7">
        <v>103590</v>
      </c>
      <c r="B2660" s="7" t="s">
        <v>33</v>
      </c>
      <c r="C2660" s="7" t="s">
        <v>14</v>
      </c>
      <c r="D2660" s="7">
        <v>397</v>
      </c>
      <c r="E2660" s="7">
        <v>203</v>
      </c>
      <c r="F2660" s="7">
        <v>284</v>
      </c>
      <c r="G2660" s="7">
        <v>0</v>
      </c>
      <c r="H2660" s="7">
        <v>9609</v>
      </c>
      <c r="I2660" s="7">
        <v>1</v>
      </c>
      <c r="J2660" s="7">
        <v>79</v>
      </c>
      <c r="K2660" s="7">
        <v>244</v>
      </c>
      <c r="L2660" s="7">
        <v>246</v>
      </c>
      <c r="M2660" s="7">
        <v>15</v>
      </c>
      <c r="N2660">
        <f>VLOOKUP(A2660,vlookup_table!$A:$G,2,FALSE)</f>
        <v>39002</v>
      </c>
      <c r="O2660" t="str">
        <f>VLOOKUP(A2660,vlookup_table!$A:$G,3,FALSE)</f>
        <v>MO</v>
      </c>
      <c r="P2660">
        <f>VLOOKUP(A2660,vlookup_table!$A:$G,4,FALSE)</f>
        <v>0</v>
      </c>
      <c r="Q2660" t="str">
        <f>VLOOKUP(A2660,vlookup_table!$A:$G,5,FALSE)</f>
        <v>R3</v>
      </c>
      <c r="R2660" t="str">
        <f>VLOOKUP(A2660,vlookup_table!$A:$G,6,FALSE)</f>
        <v>M</v>
      </c>
      <c r="S2660">
        <f>VLOOKUP(A2660,vlookup_table!$A:$G,7,FALSE)</f>
        <v>15</v>
      </c>
      <c r="T2660">
        <f t="shared" si="82"/>
        <v>96</v>
      </c>
      <c r="U2660" t="str">
        <f t="shared" si="83"/>
        <v>Rural</v>
      </c>
    </row>
    <row r="2661" spans="1:21" ht="16" x14ac:dyDescent="0.4">
      <c r="A2661" s="7">
        <v>181998</v>
      </c>
      <c r="B2661" s="7" t="s">
        <v>37</v>
      </c>
      <c r="C2661" s="7"/>
      <c r="D2661" s="7">
        <v>1222</v>
      </c>
      <c r="E2661" s="7">
        <v>423</v>
      </c>
      <c r="F2661" s="7">
        <v>487</v>
      </c>
      <c r="G2661" s="7">
        <v>13</v>
      </c>
      <c r="H2661" s="7">
        <v>19730</v>
      </c>
      <c r="I2661" s="7">
        <v>10</v>
      </c>
      <c r="J2661" s="7">
        <v>25</v>
      </c>
      <c r="K2661" s="7">
        <v>492</v>
      </c>
      <c r="L2661" s="7">
        <v>472</v>
      </c>
      <c r="M2661" s="7">
        <v>6.2727272730000001</v>
      </c>
      <c r="N2661">
        <f>VLOOKUP(A2661,vlookup_table!$A:$G,2,FALSE)</f>
        <v>0</v>
      </c>
      <c r="O2661" t="str">
        <f>VLOOKUP(A2661,vlookup_table!$A:$G,3,FALSE)</f>
        <v>WA</v>
      </c>
      <c r="P2661">
        <f>VLOOKUP(A2661,vlookup_table!$A:$G,4,FALSE)</f>
        <v>6201</v>
      </c>
      <c r="Q2661" t="str">
        <f>VLOOKUP(A2661,vlookup_table!$A:$G,5,FALSE)</f>
        <v>S2</v>
      </c>
      <c r="R2661" t="str">
        <f>VLOOKUP(A2661,vlookup_table!$A:$G,6,FALSE)</f>
        <v/>
      </c>
      <c r="S2661">
        <f>VLOOKUP(A2661,vlookup_table!$A:$G,7,FALSE)</f>
        <v>20</v>
      </c>
      <c r="T2661">
        <f t="shared" si="82"/>
        <v>34</v>
      </c>
      <c r="U2661" t="str">
        <f t="shared" si="83"/>
        <v>Suburbano</v>
      </c>
    </row>
    <row r="2662" spans="1:21" ht="16" x14ac:dyDescent="0.4">
      <c r="A2662" s="7">
        <v>10036</v>
      </c>
      <c r="B2662" s="7" t="s">
        <v>37</v>
      </c>
      <c r="C2662" s="7" t="s">
        <v>14</v>
      </c>
      <c r="D2662" s="7">
        <v>1489</v>
      </c>
      <c r="E2662" s="7">
        <v>413</v>
      </c>
      <c r="F2662" s="7">
        <v>477</v>
      </c>
      <c r="G2662" s="7">
        <v>14</v>
      </c>
      <c r="H2662" s="7">
        <v>16434</v>
      </c>
      <c r="I2662" s="7">
        <v>2</v>
      </c>
      <c r="J2662" s="7">
        <v>66</v>
      </c>
      <c r="K2662" s="7">
        <v>397</v>
      </c>
      <c r="L2662" s="7">
        <v>481</v>
      </c>
      <c r="M2662" s="7">
        <v>25</v>
      </c>
      <c r="N2662">
        <f>VLOOKUP(A2662,vlookup_table!$A:$G,2,FALSE)</f>
        <v>2</v>
      </c>
      <c r="O2662" t="str">
        <f>VLOOKUP(A2662,vlookup_table!$A:$G,3,FALSE)</f>
        <v>WA</v>
      </c>
      <c r="P2662">
        <f>VLOOKUP(A2662,vlookup_table!$A:$G,4,FALSE)</f>
        <v>2503</v>
      </c>
      <c r="Q2662" t="str">
        <f>VLOOKUP(A2662,vlookup_table!$A:$G,5,FALSE)</f>
        <v>S1</v>
      </c>
      <c r="R2662" t="str">
        <f>VLOOKUP(A2662,vlookup_table!$A:$G,6,FALSE)</f>
        <v>M</v>
      </c>
      <c r="S2662">
        <f>VLOOKUP(A2662,vlookup_table!$A:$G,7,FALSE)</f>
        <v>25</v>
      </c>
      <c r="T2662">
        <f t="shared" si="82"/>
        <v>71</v>
      </c>
      <c r="U2662" t="str">
        <f t="shared" si="83"/>
        <v>Suburbano</v>
      </c>
    </row>
    <row r="2663" spans="1:21" ht="16" x14ac:dyDescent="0.4">
      <c r="A2663" s="7">
        <v>175584</v>
      </c>
      <c r="B2663" s="7" t="s">
        <v>47</v>
      </c>
      <c r="C2663" s="7" t="s">
        <v>14</v>
      </c>
      <c r="D2663" s="7">
        <v>454</v>
      </c>
      <c r="E2663" s="7">
        <v>283</v>
      </c>
      <c r="F2663" s="7">
        <v>448</v>
      </c>
      <c r="G2663" s="7">
        <v>0</v>
      </c>
      <c r="H2663" s="7">
        <v>14140</v>
      </c>
      <c r="I2663" s="7">
        <v>4</v>
      </c>
      <c r="J2663" s="7">
        <v>57</v>
      </c>
      <c r="K2663" s="7">
        <v>313</v>
      </c>
      <c r="L2663" s="7">
        <v>359</v>
      </c>
      <c r="M2663" s="7">
        <v>11.2</v>
      </c>
      <c r="N2663">
        <f>VLOOKUP(A2663,vlookup_table!$A:$G,2,FALSE)</f>
        <v>1</v>
      </c>
      <c r="O2663" t="str">
        <f>VLOOKUP(A2663,vlookup_table!$A:$G,3,FALSE)</f>
        <v>OR</v>
      </c>
      <c r="P2663">
        <f>VLOOKUP(A2663,vlookup_table!$A:$G,4,FALSE)</f>
        <v>2505</v>
      </c>
      <c r="Q2663" t="str">
        <f>VLOOKUP(A2663,vlookup_table!$A:$G,5,FALSE)</f>
        <v>S2</v>
      </c>
      <c r="R2663" t="str">
        <f>VLOOKUP(A2663,vlookup_table!$A:$G,6,FALSE)</f>
        <v>M</v>
      </c>
      <c r="S2663">
        <f>VLOOKUP(A2663,vlookup_table!$A:$G,7,FALSE)</f>
        <v>15</v>
      </c>
      <c r="T2663">
        <f t="shared" si="82"/>
        <v>71</v>
      </c>
      <c r="U2663" t="str">
        <f t="shared" si="83"/>
        <v>Suburbano</v>
      </c>
    </row>
    <row r="2664" spans="1:21" ht="16" x14ac:dyDescent="0.4">
      <c r="A2664" s="7">
        <v>41905</v>
      </c>
      <c r="B2664" s="7" t="s">
        <v>13</v>
      </c>
      <c r="C2664" s="7" t="s">
        <v>17</v>
      </c>
      <c r="D2664" s="7">
        <v>469</v>
      </c>
      <c r="E2664" s="7">
        <v>133</v>
      </c>
      <c r="F2664" s="7">
        <v>302</v>
      </c>
      <c r="G2664" s="7">
        <v>0</v>
      </c>
      <c r="H2664" s="7">
        <v>10321</v>
      </c>
      <c r="I2664" s="7">
        <v>1</v>
      </c>
      <c r="J2664" s="7">
        <v>27</v>
      </c>
      <c r="K2664" s="7">
        <v>200</v>
      </c>
      <c r="L2664" s="7">
        <v>218</v>
      </c>
      <c r="M2664" s="7">
        <v>6.6</v>
      </c>
      <c r="N2664">
        <f>VLOOKUP(A2664,vlookup_table!$A:$G,2,FALSE)</f>
        <v>0</v>
      </c>
      <c r="O2664" t="str">
        <f>VLOOKUP(A2664,vlookup_table!$A:$G,3,FALSE)</f>
        <v>FL</v>
      </c>
      <c r="P2664">
        <f>VLOOKUP(A2664,vlookup_table!$A:$G,4,FALSE)</f>
        <v>0</v>
      </c>
      <c r="Q2664" t="str">
        <f>VLOOKUP(A2664,vlookup_table!$A:$G,5,FALSE)</f>
        <v>U4</v>
      </c>
      <c r="R2664" t="str">
        <f>VLOOKUP(A2664,vlookup_table!$A:$G,6,FALSE)</f>
        <v>F</v>
      </c>
      <c r="S2664">
        <f>VLOOKUP(A2664,vlookup_table!$A:$G,7,FALSE)</f>
        <v>15</v>
      </c>
      <c r="T2664">
        <f t="shared" si="82"/>
        <v>96</v>
      </c>
      <c r="U2664" t="str">
        <f t="shared" si="83"/>
        <v>Urbano</v>
      </c>
    </row>
    <row r="2665" spans="1:21" ht="16" x14ac:dyDescent="0.4">
      <c r="A2665" s="7">
        <v>156449</v>
      </c>
      <c r="B2665" s="7" t="s">
        <v>21</v>
      </c>
      <c r="C2665" s="7" t="s">
        <v>17</v>
      </c>
      <c r="D2665" s="7">
        <v>3261</v>
      </c>
      <c r="E2665" s="7">
        <v>364</v>
      </c>
      <c r="F2665" s="7">
        <v>523</v>
      </c>
      <c r="G2665" s="7">
        <v>94</v>
      </c>
      <c r="H2665" s="7">
        <v>19895</v>
      </c>
      <c r="I2665" s="7">
        <v>2</v>
      </c>
      <c r="J2665" s="7">
        <v>69</v>
      </c>
      <c r="K2665" s="7">
        <v>430</v>
      </c>
      <c r="L2665" s="7">
        <v>482</v>
      </c>
      <c r="M2665" s="7">
        <v>8.25</v>
      </c>
      <c r="N2665">
        <f>VLOOKUP(A2665,vlookup_table!$A:$G,2,FALSE)</f>
        <v>28</v>
      </c>
      <c r="O2665" t="str">
        <f>VLOOKUP(A2665,vlookup_table!$A:$G,3,FALSE)</f>
        <v>CA</v>
      </c>
      <c r="P2665">
        <f>VLOOKUP(A2665,vlookup_table!$A:$G,4,FALSE)</f>
        <v>3601</v>
      </c>
      <c r="Q2665" t="str">
        <f>VLOOKUP(A2665,vlookup_table!$A:$G,5,FALSE)</f>
        <v>U1</v>
      </c>
      <c r="R2665" t="str">
        <f>VLOOKUP(A2665,vlookup_table!$A:$G,6,FALSE)</f>
        <v>F</v>
      </c>
      <c r="S2665">
        <f>VLOOKUP(A2665,vlookup_table!$A:$G,7,FALSE)</f>
        <v>20</v>
      </c>
      <c r="T2665">
        <f t="shared" si="82"/>
        <v>60</v>
      </c>
      <c r="U2665" t="str">
        <f t="shared" si="83"/>
        <v>Urbano</v>
      </c>
    </row>
    <row r="2666" spans="1:21" ht="16" x14ac:dyDescent="0.4">
      <c r="A2666" s="7">
        <v>131465</v>
      </c>
      <c r="B2666" s="7" t="s">
        <v>45</v>
      </c>
      <c r="C2666" s="7" t="s">
        <v>17</v>
      </c>
      <c r="D2666" s="7">
        <v>1113</v>
      </c>
      <c r="E2666" s="7">
        <v>393</v>
      </c>
      <c r="F2666" s="7">
        <v>493</v>
      </c>
      <c r="G2666" s="7">
        <v>2</v>
      </c>
      <c r="H2666" s="7">
        <v>18227</v>
      </c>
      <c r="I2666" s="7">
        <v>4</v>
      </c>
      <c r="J2666" s="7">
        <v>28</v>
      </c>
      <c r="K2666" s="7">
        <v>505</v>
      </c>
      <c r="L2666" s="7">
        <v>428</v>
      </c>
      <c r="M2666" s="7">
        <v>12.33333333</v>
      </c>
      <c r="N2666">
        <f>VLOOKUP(A2666,vlookup_table!$A:$G,2,FALSE)</f>
        <v>0</v>
      </c>
      <c r="O2666" t="str">
        <f>VLOOKUP(A2666,vlookup_table!$A:$G,3,FALSE)</f>
        <v>CO</v>
      </c>
      <c r="P2666">
        <f>VLOOKUP(A2666,vlookup_table!$A:$G,4,FALSE)</f>
        <v>5401</v>
      </c>
      <c r="Q2666" t="str">
        <f>VLOOKUP(A2666,vlookup_table!$A:$G,5,FALSE)</f>
        <v>T1</v>
      </c>
      <c r="R2666" t="str">
        <f>VLOOKUP(A2666,vlookup_table!$A:$G,6,FALSE)</f>
        <v>F</v>
      </c>
      <c r="S2666">
        <f>VLOOKUP(A2666,vlookup_table!$A:$G,7,FALSE)</f>
        <v>15</v>
      </c>
      <c r="T2666">
        <f t="shared" si="82"/>
        <v>42</v>
      </c>
      <c r="U2666" t="str">
        <f t="shared" si="83"/>
        <v>Pueblo</v>
      </c>
    </row>
    <row r="2667" spans="1:21" ht="16" x14ac:dyDescent="0.4">
      <c r="A2667" s="7">
        <v>170889</v>
      </c>
      <c r="B2667" s="7" t="s">
        <v>21</v>
      </c>
      <c r="C2667" s="7" t="s">
        <v>17</v>
      </c>
      <c r="D2667" s="7">
        <v>1254</v>
      </c>
      <c r="E2667" s="7">
        <v>420</v>
      </c>
      <c r="F2667" s="7">
        <v>438</v>
      </c>
      <c r="G2667" s="7">
        <v>1</v>
      </c>
      <c r="H2667" s="7">
        <v>15376</v>
      </c>
      <c r="I2667" s="7">
        <v>3</v>
      </c>
      <c r="J2667" s="7">
        <v>60</v>
      </c>
      <c r="K2667" s="7">
        <v>411</v>
      </c>
      <c r="L2667" s="7">
        <v>455</v>
      </c>
      <c r="M2667" s="7">
        <v>4.2857142860000002</v>
      </c>
      <c r="N2667">
        <f>VLOOKUP(A2667,vlookup_table!$A:$G,2,FALSE)</f>
        <v>0</v>
      </c>
      <c r="O2667" t="str">
        <f>VLOOKUP(A2667,vlookup_table!$A:$G,3,FALSE)</f>
        <v>CA</v>
      </c>
      <c r="P2667">
        <f>VLOOKUP(A2667,vlookup_table!$A:$G,4,FALSE)</f>
        <v>0</v>
      </c>
      <c r="Q2667" t="str">
        <f>VLOOKUP(A2667,vlookup_table!$A:$G,5,FALSE)</f>
        <v>U2</v>
      </c>
      <c r="R2667" t="str">
        <f>VLOOKUP(A2667,vlookup_table!$A:$G,6,FALSE)</f>
        <v>F</v>
      </c>
      <c r="S2667">
        <f>VLOOKUP(A2667,vlookup_table!$A:$G,7,FALSE)</f>
        <v>7</v>
      </c>
      <c r="T2667">
        <f t="shared" si="82"/>
        <v>96</v>
      </c>
      <c r="U2667" t="str">
        <f t="shared" si="83"/>
        <v>Urbano</v>
      </c>
    </row>
    <row r="2668" spans="1:21" ht="16" x14ac:dyDescent="0.4">
      <c r="A2668" s="7">
        <v>103593</v>
      </c>
      <c r="B2668" s="7" t="s">
        <v>33</v>
      </c>
      <c r="C2668" s="7" t="s">
        <v>17</v>
      </c>
      <c r="D2668" s="7">
        <v>397</v>
      </c>
      <c r="E2668" s="7">
        <v>203</v>
      </c>
      <c r="F2668" s="7">
        <v>284</v>
      </c>
      <c r="G2668" s="7">
        <v>0</v>
      </c>
      <c r="H2668" s="7">
        <v>9609</v>
      </c>
      <c r="I2668" s="7">
        <v>1</v>
      </c>
      <c r="J2668" s="7">
        <v>79</v>
      </c>
      <c r="K2668" s="7">
        <v>244</v>
      </c>
      <c r="L2668" s="7">
        <v>246</v>
      </c>
      <c r="M2668" s="7">
        <v>8.5</v>
      </c>
      <c r="N2668">
        <f>VLOOKUP(A2668,vlookup_table!$A:$G,2,FALSE)</f>
        <v>0</v>
      </c>
      <c r="O2668" t="str">
        <f>VLOOKUP(A2668,vlookup_table!$A:$G,3,FALSE)</f>
        <v>MO</v>
      </c>
      <c r="P2668">
        <f>VLOOKUP(A2668,vlookup_table!$A:$G,4,FALSE)</f>
        <v>1505</v>
      </c>
      <c r="Q2668" t="str">
        <f>VLOOKUP(A2668,vlookup_table!$A:$G,5,FALSE)</f>
        <v>R3</v>
      </c>
      <c r="R2668" t="str">
        <f>VLOOKUP(A2668,vlookup_table!$A:$G,6,FALSE)</f>
        <v>F</v>
      </c>
      <c r="S2668">
        <f>VLOOKUP(A2668,vlookup_table!$A:$G,7,FALSE)</f>
        <v>10</v>
      </c>
      <c r="T2668">
        <f t="shared" si="82"/>
        <v>81</v>
      </c>
      <c r="U2668" t="str">
        <f t="shared" si="83"/>
        <v>Rural</v>
      </c>
    </row>
    <row r="2669" spans="1:21" ht="16" x14ac:dyDescent="0.4">
      <c r="A2669" s="7">
        <v>86017</v>
      </c>
      <c r="B2669" s="7" t="s">
        <v>48</v>
      </c>
      <c r="C2669" s="7" t="s">
        <v>14</v>
      </c>
      <c r="D2669" s="7">
        <v>595</v>
      </c>
      <c r="E2669" s="7">
        <v>332</v>
      </c>
      <c r="F2669" s="7">
        <v>389</v>
      </c>
      <c r="G2669" s="7">
        <v>0</v>
      </c>
      <c r="H2669" s="7">
        <v>18324</v>
      </c>
      <c r="I2669" s="7">
        <v>3</v>
      </c>
      <c r="J2669" s="7">
        <v>63</v>
      </c>
      <c r="K2669" s="7">
        <v>347</v>
      </c>
      <c r="L2669" s="7">
        <v>368</v>
      </c>
      <c r="M2669" s="7">
        <v>7.125</v>
      </c>
      <c r="N2669">
        <f>VLOOKUP(A2669,vlookup_table!$A:$G,2,FALSE)</f>
        <v>1</v>
      </c>
      <c r="O2669" t="str">
        <f>VLOOKUP(A2669,vlookup_table!$A:$G,3,FALSE)</f>
        <v>SD</v>
      </c>
      <c r="P2669">
        <f>VLOOKUP(A2669,vlookup_table!$A:$G,4,FALSE)</f>
        <v>702</v>
      </c>
      <c r="Q2669" t="str">
        <f>VLOOKUP(A2669,vlookup_table!$A:$G,5,FALSE)</f>
        <v>C2</v>
      </c>
      <c r="R2669" t="str">
        <f>VLOOKUP(A2669,vlookup_table!$A:$G,6,FALSE)</f>
        <v>M</v>
      </c>
      <c r="S2669">
        <f>VLOOKUP(A2669,vlookup_table!$A:$G,7,FALSE)</f>
        <v>10</v>
      </c>
      <c r="T2669">
        <f t="shared" si="82"/>
        <v>26</v>
      </c>
      <c r="U2669" t="str">
        <f t="shared" si="83"/>
        <v>Ciudad</v>
      </c>
    </row>
    <row r="2670" spans="1:21" ht="16" x14ac:dyDescent="0.4">
      <c r="A2670" s="7">
        <v>92891</v>
      </c>
      <c r="B2670" s="7" t="s">
        <v>16</v>
      </c>
      <c r="C2670" s="7" t="s">
        <v>17</v>
      </c>
      <c r="D2670" s="7">
        <v>521</v>
      </c>
      <c r="E2670" s="7">
        <v>216</v>
      </c>
      <c r="F2670" s="7">
        <v>292</v>
      </c>
      <c r="G2670" s="7">
        <v>0</v>
      </c>
      <c r="H2670" s="7">
        <v>9845</v>
      </c>
      <c r="I2670" s="7">
        <v>13</v>
      </c>
      <c r="J2670" s="7">
        <v>80</v>
      </c>
      <c r="K2670" s="7">
        <v>243</v>
      </c>
      <c r="L2670" s="7">
        <v>260</v>
      </c>
      <c r="M2670" s="7">
        <v>5.266666667</v>
      </c>
      <c r="N2670">
        <f>VLOOKUP(A2670,vlookup_table!$A:$G,2,FALSE)</f>
        <v>0</v>
      </c>
      <c r="O2670" t="str">
        <f>VLOOKUP(A2670,vlookup_table!$A:$G,3,FALSE)</f>
        <v>IL</v>
      </c>
      <c r="P2670">
        <f>VLOOKUP(A2670,vlookup_table!$A:$G,4,FALSE)</f>
        <v>2601</v>
      </c>
      <c r="Q2670" t="str">
        <f>VLOOKUP(A2670,vlookup_table!$A:$G,5,FALSE)</f>
        <v>U4</v>
      </c>
      <c r="R2670" t="str">
        <f>VLOOKUP(A2670,vlookup_table!$A:$G,6,FALSE)</f>
        <v>F</v>
      </c>
      <c r="S2670">
        <f>VLOOKUP(A2670,vlookup_table!$A:$G,7,FALSE)</f>
        <v>5</v>
      </c>
      <c r="T2670">
        <f t="shared" si="82"/>
        <v>70</v>
      </c>
      <c r="U2670" t="str">
        <f t="shared" si="83"/>
        <v>Urbano</v>
      </c>
    </row>
    <row r="2671" spans="1:21" ht="16" x14ac:dyDescent="0.4">
      <c r="A2671" s="7">
        <v>143691</v>
      </c>
      <c r="B2671" s="7" t="s">
        <v>21</v>
      </c>
      <c r="C2671" s="7" t="s">
        <v>17</v>
      </c>
      <c r="D2671" s="7">
        <v>4093</v>
      </c>
      <c r="E2671" s="7">
        <v>585</v>
      </c>
      <c r="F2671" s="7">
        <v>776</v>
      </c>
      <c r="G2671" s="7">
        <v>92</v>
      </c>
      <c r="H2671" s="7">
        <v>32301</v>
      </c>
      <c r="I2671" s="7">
        <v>7</v>
      </c>
      <c r="J2671" s="7">
        <v>44</v>
      </c>
      <c r="K2671" s="7">
        <v>697</v>
      </c>
      <c r="L2671" s="7">
        <v>685</v>
      </c>
      <c r="M2671" s="7">
        <v>15.25</v>
      </c>
      <c r="N2671">
        <f>VLOOKUP(A2671,vlookup_table!$A:$G,2,FALSE)</f>
        <v>0</v>
      </c>
      <c r="O2671" t="str">
        <f>VLOOKUP(A2671,vlookup_table!$A:$G,3,FALSE)</f>
        <v>CA</v>
      </c>
      <c r="P2671">
        <f>VLOOKUP(A2671,vlookup_table!$A:$G,4,FALSE)</f>
        <v>3001</v>
      </c>
      <c r="Q2671" t="str">
        <f>VLOOKUP(A2671,vlookup_table!$A:$G,5,FALSE)</f>
        <v>U1</v>
      </c>
      <c r="R2671" t="str">
        <f>VLOOKUP(A2671,vlookup_table!$A:$G,6,FALSE)</f>
        <v>F</v>
      </c>
      <c r="S2671">
        <f>VLOOKUP(A2671,vlookup_table!$A:$G,7,FALSE)</f>
        <v>15</v>
      </c>
      <c r="T2671">
        <f t="shared" si="82"/>
        <v>66</v>
      </c>
      <c r="U2671" t="str">
        <f t="shared" si="83"/>
        <v>Urbano</v>
      </c>
    </row>
    <row r="2672" spans="1:21" ht="16" x14ac:dyDescent="0.4">
      <c r="A2672" s="7">
        <v>44500</v>
      </c>
      <c r="B2672" s="7" t="s">
        <v>13</v>
      </c>
      <c r="C2672" s="7" t="s">
        <v>17</v>
      </c>
      <c r="D2672" s="7">
        <v>686</v>
      </c>
      <c r="E2672" s="7">
        <v>169</v>
      </c>
      <c r="F2672" s="7">
        <v>253</v>
      </c>
      <c r="G2672" s="7">
        <v>3</v>
      </c>
      <c r="H2672" s="7">
        <v>9678</v>
      </c>
      <c r="I2672" s="7">
        <v>1</v>
      </c>
      <c r="J2672" s="7">
        <v>36</v>
      </c>
      <c r="K2672" s="7">
        <v>182</v>
      </c>
      <c r="L2672" s="7">
        <v>226</v>
      </c>
      <c r="M2672" s="7">
        <v>7.59375</v>
      </c>
      <c r="N2672">
        <f>VLOOKUP(A2672,vlookup_table!$A:$G,2,FALSE)</f>
        <v>0</v>
      </c>
      <c r="O2672" t="str">
        <f>VLOOKUP(A2672,vlookup_table!$A:$G,3,FALSE)</f>
        <v>FL</v>
      </c>
      <c r="P2672">
        <f>VLOOKUP(A2672,vlookup_table!$A:$G,4,FALSE)</f>
        <v>4503</v>
      </c>
      <c r="Q2672" t="str">
        <f>VLOOKUP(A2672,vlookup_table!$A:$G,5,FALSE)</f>
        <v>R2</v>
      </c>
      <c r="R2672" t="str">
        <f>VLOOKUP(A2672,vlookup_table!$A:$G,6,FALSE)</f>
        <v>F</v>
      </c>
      <c r="S2672">
        <f>VLOOKUP(A2672,vlookup_table!$A:$G,7,FALSE)</f>
        <v>5</v>
      </c>
      <c r="T2672">
        <f t="shared" si="82"/>
        <v>51</v>
      </c>
      <c r="U2672" t="str">
        <f t="shared" si="83"/>
        <v>Rural</v>
      </c>
    </row>
    <row r="2673" spans="1:21" ht="16" x14ac:dyDescent="0.4">
      <c r="A2673" s="7">
        <v>7301</v>
      </c>
      <c r="B2673" s="7" t="s">
        <v>48</v>
      </c>
      <c r="C2673" s="7" t="s">
        <v>14</v>
      </c>
      <c r="D2673" s="7">
        <v>284</v>
      </c>
      <c r="E2673" s="7">
        <v>222</v>
      </c>
      <c r="F2673" s="7">
        <v>309</v>
      </c>
      <c r="G2673" s="7">
        <v>0</v>
      </c>
      <c r="H2673" s="7">
        <v>9798</v>
      </c>
      <c r="I2673" s="7">
        <v>1</v>
      </c>
      <c r="J2673" s="7">
        <v>64</v>
      </c>
      <c r="K2673" s="7">
        <v>271</v>
      </c>
      <c r="L2673" s="7">
        <v>274</v>
      </c>
      <c r="M2673" s="7">
        <v>9.1176470589999994</v>
      </c>
      <c r="N2673">
        <f>VLOOKUP(A2673,vlookup_table!$A:$G,2,FALSE)</f>
        <v>1</v>
      </c>
      <c r="O2673" t="str">
        <f>VLOOKUP(A2673,vlookup_table!$A:$G,3,FALSE)</f>
        <v>SD</v>
      </c>
      <c r="P2673">
        <f>VLOOKUP(A2673,vlookup_table!$A:$G,4,FALSE)</f>
        <v>1801</v>
      </c>
      <c r="Q2673" t="str">
        <f>VLOOKUP(A2673,vlookup_table!$A:$G,5,FALSE)</f>
        <v/>
      </c>
      <c r="R2673" t="str">
        <f>VLOOKUP(A2673,vlookup_table!$A:$G,6,FALSE)</f>
        <v>M</v>
      </c>
      <c r="S2673">
        <f>VLOOKUP(A2673,vlookup_table!$A:$G,7,FALSE)</f>
        <v>10</v>
      </c>
      <c r="T2673">
        <f t="shared" si="82"/>
        <v>78</v>
      </c>
      <c r="U2673" t="str">
        <f t="shared" si="83"/>
        <v/>
      </c>
    </row>
    <row r="2674" spans="1:21" ht="16" x14ac:dyDescent="0.4">
      <c r="A2674" s="7">
        <v>8742</v>
      </c>
      <c r="B2674" s="7" t="s">
        <v>45</v>
      </c>
      <c r="C2674" s="7"/>
      <c r="D2674" s="7">
        <v>591</v>
      </c>
      <c r="E2674" s="7">
        <v>211</v>
      </c>
      <c r="F2674" s="7">
        <v>292</v>
      </c>
      <c r="G2674" s="7">
        <v>0</v>
      </c>
      <c r="H2674" s="7">
        <v>10661</v>
      </c>
      <c r="I2674" s="7">
        <v>10</v>
      </c>
      <c r="J2674" s="7">
        <v>62</v>
      </c>
      <c r="K2674" s="7">
        <v>246</v>
      </c>
      <c r="L2674" s="7">
        <v>249</v>
      </c>
      <c r="M2674" s="7">
        <v>2.9444444440000002</v>
      </c>
      <c r="N2674">
        <f>VLOOKUP(A2674,vlookup_table!$A:$G,2,FALSE)</f>
        <v>2</v>
      </c>
      <c r="O2674" t="str">
        <f>VLOOKUP(A2674,vlookup_table!$A:$G,3,FALSE)</f>
        <v>CO</v>
      </c>
      <c r="P2674">
        <f>VLOOKUP(A2674,vlookup_table!$A:$G,4,FALSE)</f>
        <v>2011</v>
      </c>
      <c r="Q2674" t="str">
        <f>VLOOKUP(A2674,vlookup_table!$A:$G,5,FALSE)</f>
        <v>C3</v>
      </c>
      <c r="R2674" t="str">
        <f>VLOOKUP(A2674,vlookup_table!$A:$G,6,FALSE)</f>
        <v/>
      </c>
      <c r="S2674">
        <f>VLOOKUP(A2674,vlookup_table!$A:$G,7,FALSE)</f>
        <v>3</v>
      </c>
      <c r="T2674">
        <f t="shared" si="82"/>
        <v>76</v>
      </c>
      <c r="U2674" t="str">
        <f t="shared" si="83"/>
        <v>Ciudad</v>
      </c>
    </row>
    <row r="2675" spans="1:21" ht="16" x14ac:dyDescent="0.4">
      <c r="A2675" s="7">
        <v>42589</v>
      </c>
      <c r="B2675" s="7" t="s">
        <v>13</v>
      </c>
      <c r="C2675" s="7" t="s">
        <v>17</v>
      </c>
      <c r="D2675" s="7">
        <v>822</v>
      </c>
      <c r="E2675" s="7">
        <v>318</v>
      </c>
      <c r="F2675" s="7">
        <v>488</v>
      </c>
      <c r="G2675" s="7">
        <v>13</v>
      </c>
      <c r="H2675" s="7">
        <v>17908</v>
      </c>
      <c r="I2675" s="7">
        <v>2</v>
      </c>
      <c r="J2675" s="7">
        <v>32</v>
      </c>
      <c r="K2675" s="7">
        <v>354</v>
      </c>
      <c r="L2675" s="7">
        <v>420</v>
      </c>
      <c r="M2675" s="7">
        <v>9.75</v>
      </c>
      <c r="N2675">
        <f>VLOOKUP(A2675,vlookup_table!$A:$G,2,FALSE)</f>
        <v>0</v>
      </c>
      <c r="O2675" t="str">
        <f>VLOOKUP(A2675,vlookup_table!$A:$G,3,FALSE)</f>
        <v>FL</v>
      </c>
      <c r="P2675">
        <f>VLOOKUP(A2675,vlookup_table!$A:$G,4,FALSE)</f>
        <v>2809</v>
      </c>
      <c r="Q2675" t="str">
        <f>VLOOKUP(A2675,vlookup_table!$A:$G,5,FALSE)</f>
        <v>C2</v>
      </c>
      <c r="R2675" t="str">
        <f>VLOOKUP(A2675,vlookup_table!$A:$G,6,FALSE)</f>
        <v>F</v>
      </c>
      <c r="S2675">
        <f>VLOOKUP(A2675,vlookup_table!$A:$G,7,FALSE)</f>
        <v>15</v>
      </c>
      <c r="T2675">
        <f t="shared" si="82"/>
        <v>68</v>
      </c>
      <c r="U2675" t="str">
        <f t="shared" si="83"/>
        <v>Ciudad</v>
      </c>
    </row>
    <row r="2676" spans="1:21" ht="16" x14ac:dyDescent="0.4">
      <c r="A2676" s="7">
        <v>125086</v>
      </c>
      <c r="B2676" s="7" t="s">
        <v>20</v>
      </c>
      <c r="C2676" s="7" t="s">
        <v>17</v>
      </c>
      <c r="D2676" s="7">
        <v>365</v>
      </c>
      <c r="E2676" s="7">
        <v>147</v>
      </c>
      <c r="F2676" s="7">
        <v>251</v>
      </c>
      <c r="G2676" s="7">
        <v>0</v>
      </c>
      <c r="H2676" s="7">
        <v>6802</v>
      </c>
      <c r="I2676" s="7">
        <v>9</v>
      </c>
      <c r="J2676" s="7">
        <v>86</v>
      </c>
      <c r="K2676" s="7">
        <v>218</v>
      </c>
      <c r="L2676" s="7">
        <v>215</v>
      </c>
      <c r="M2676" s="7">
        <v>5.538461539</v>
      </c>
      <c r="N2676">
        <f>VLOOKUP(A2676,vlookup_table!$A:$G,2,FALSE)</f>
        <v>2</v>
      </c>
      <c r="O2676" t="str">
        <f>VLOOKUP(A2676,vlookup_table!$A:$G,3,FALSE)</f>
        <v>TX</v>
      </c>
      <c r="P2676">
        <f>VLOOKUP(A2676,vlookup_table!$A:$G,4,FALSE)</f>
        <v>4601</v>
      </c>
      <c r="Q2676" t="str">
        <f>VLOOKUP(A2676,vlookup_table!$A:$G,5,FALSE)</f>
        <v>U4</v>
      </c>
      <c r="R2676" t="str">
        <f>VLOOKUP(A2676,vlookup_table!$A:$G,6,FALSE)</f>
        <v>F</v>
      </c>
      <c r="S2676">
        <f>VLOOKUP(A2676,vlookup_table!$A:$G,7,FALSE)</f>
        <v>6</v>
      </c>
      <c r="T2676">
        <f t="shared" si="82"/>
        <v>50</v>
      </c>
      <c r="U2676" t="str">
        <f t="shared" si="83"/>
        <v>Urbano</v>
      </c>
    </row>
    <row r="2677" spans="1:21" ht="16" x14ac:dyDescent="0.4">
      <c r="A2677" s="7">
        <v>82998</v>
      </c>
      <c r="B2677" s="7" t="s">
        <v>52</v>
      </c>
      <c r="C2677" s="7" t="s">
        <v>17</v>
      </c>
      <c r="D2677" s="7">
        <v>833</v>
      </c>
      <c r="E2677" s="7">
        <v>381</v>
      </c>
      <c r="F2677" s="7">
        <v>416</v>
      </c>
      <c r="G2677" s="7">
        <v>0</v>
      </c>
      <c r="H2677" s="7">
        <v>13716</v>
      </c>
      <c r="I2677" s="7">
        <v>3</v>
      </c>
      <c r="J2677" s="7">
        <v>78</v>
      </c>
      <c r="K2677" s="7">
        <v>414</v>
      </c>
      <c r="L2677" s="7">
        <v>396</v>
      </c>
      <c r="M2677" s="7">
        <v>9.1428571430000005</v>
      </c>
      <c r="N2677">
        <f>VLOOKUP(A2677,vlookup_table!$A:$G,2,FALSE)</f>
        <v>0</v>
      </c>
      <c r="O2677" t="str">
        <f>VLOOKUP(A2677,vlookup_table!$A:$G,3,FALSE)</f>
        <v>MN</v>
      </c>
      <c r="P2677">
        <f>VLOOKUP(A2677,vlookup_table!$A:$G,4,FALSE)</f>
        <v>5510</v>
      </c>
      <c r="Q2677" t="str">
        <f>VLOOKUP(A2677,vlookup_table!$A:$G,5,FALSE)</f>
        <v>S2</v>
      </c>
      <c r="R2677" t="str">
        <f>VLOOKUP(A2677,vlookup_table!$A:$G,6,FALSE)</f>
        <v>F</v>
      </c>
      <c r="S2677">
        <f>VLOOKUP(A2677,vlookup_table!$A:$G,7,FALSE)</f>
        <v>25</v>
      </c>
      <c r="T2677">
        <f t="shared" si="82"/>
        <v>41</v>
      </c>
      <c r="U2677" t="str">
        <f t="shared" si="83"/>
        <v>Suburbano</v>
      </c>
    </row>
    <row r="2678" spans="1:21" ht="16" x14ac:dyDescent="0.4">
      <c r="A2678" s="7">
        <v>82548</v>
      </c>
      <c r="B2678" s="7" t="s">
        <v>52</v>
      </c>
      <c r="C2678" s="7" t="s">
        <v>14</v>
      </c>
      <c r="D2678" s="7">
        <v>634</v>
      </c>
      <c r="E2678" s="7">
        <v>251</v>
      </c>
      <c r="F2678" s="7">
        <v>320</v>
      </c>
      <c r="G2678" s="7">
        <v>0</v>
      </c>
      <c r="H2678" s="7">
        <v>10092</v>
      </c>
      <c r="I2678" s="7">
        <v>2</v>
      </c>
      <c r="J2678" s="7">
        <v>82</v>
      </c>
      <c r="K2678" s="7">
        <v>271</v>
      </c>
      <c r="L2678" s="7">
        <v>296</v>
      </c>
      <c r="M2678" s="7">
        <v>5.25</v>
      </c>
      <c r="N2678">
        <f>VLOOKUP(A2678,vlookup_table!$A:$G,2,FALSE)</f>
        <v>0</v>
      </c>
      <c r="O2678" t="str">
        <f>VLOOKUP(A2678,vlookup_table!$A:$G,3,FALSE)</f>
        <v>MN</v>
      </c>
      <c r="P2678">
        <f>VLOOKUP(A2678,vlookup_table!$A:$G,4,FALSE)</f>
        <v>3801</v>
      </c>
      <c r="Q2678" t="str">
        <f>VLOOKUP(A2678,vlookup_table!$A:$G,5,FALSE)</f>
        <v>U3</v>
      </c>
      <c r="R2678" t="str">
        <f>VLOOKUP(A2678,vlookup_table!$A:$G,6,FALSE)</f>
        <v>M</v>
      </c>
      <c r="S2678">
        <f>VLOOKUP(A2678,vlookup_table!$A:$G,7,FALSE)</f>
        <v>10</v>
      </c>
      <c r="T2678">
        <f t="shared" si="82"/>
        <v>58</v>
      </c>
      <c r="U2678" t="str">
        <f t="shared" si="83"/>
        <v>Urbano</v>
      </c>
    </row>
    <row r="2679" spans="1:21" ht="16" x14ac:dyDescent="0.4">
      <c r="A2679" s="7">
        <v>190488</v>
      </c>
      <c r="B2679" s="7" t="s">
        <v>33</v>
      </c>
      <c r="C2679" s="7" t="s">
        <v>17</v>
      </c>
      <c r="D2679" s="7">
        <v>1182</v>
      </c>
      <c r="E2679" s="7">
        <v>359</v>
      </c>
      <c r="F2679" s="7">
        <v>453</v>
      </c>
      <c r="G2679" s="7">
        <v>2</v>
      </c>
      <c r="H2679" s="7">
        <v>18266</v>
      </c>
      <c r="I2679" s="7">
        <v>3</v>
      </c>
      <c r="J2679" s="7">
        <v>43</v>
      </c>
      <c r="K2679" s="7">
        <v>430</v>
      </c>
      <c r="L2679" s="7">
        <v>386</v>
      </c>
      <c r="M2679" s="7">
        <v>19.432432429999999</v>
      </c>
      <c r="N2679">
        <f>VLOOKUP(A2679,vlookup_table!$A:$G,2,FALSE)</f>
        <v>0</v>
      </c>
      <c r="O2679" t="str">
        <f>VLOOKUP(A2679,vlookup_table!$A:$G,3,FALSE)</f>
        <v>MO</v>
      </c>
      <c r="P2679">
        <f>VLOOKUP(A2679,vlookup_table!$A:$G,4,FALSE)</f>
        <v>4901</v>
      </c>
      <c r="Q2679" t="str">
        <f>VLOOKUP(A2679,vlookup_table!$A:$G,5,FALSE)</f>
        <v>T1</v>
      </c>
      <c r="R2679" t="str">
        <f>VLOOKUP(A2679,vlookup_table!$A:$G,6,FALSE)</f>
        <v>F</v>
      </c>
      <c r="S2679">
        <f>VLOOKUP(A2679,vlookup_table!$A:$G,7,FALSE)</f>
        <v>25</v>
      </c>
      <c r="T2679">
        <f t="shared" si="82"/>
        <v>47</v>
      </c>
      <c r="U2679" t="str">
        <f t="shared" si="83"/>
        <v>Pueblo</v>
      </c>
    </row>
    <row r="2680" spans="1:21" ht="16" x14ac:dyDescent="0.4">
      <c r="A2680" s="7">
        <v>54996</v>
      </c>
      <c r="B2680" s="7" t="s">
        <v>56</v>
      </c>
      <c r="C2680" s="7" t="s">
        <v>14</v>
      </c>
      <c r="D2680" s="7">
        <v>336</v>
      </c>
      <c r="E2680" s="7">
        <v>196</v>
      </c>
      <c r="F2680" s="7">
        <v>251</v>
      </c>
      <c r="G2680" s="7">
        <v>0</v>
      </c>
      <c r="H2680" s="7">
        <v>8008</v>
      </c>
      <c r="I2680" s="7">
        <v>1</v>
      </c>
      <c r="J2680" s="7">
        <v>87</v>
      </c>
      <c r="K2680" s="7">
        <v>222</v>
      </c>
      <c r="L2680" s="7">
        <v>229</v>
      </c>
      <c r="M2680" s="7">
        <v>8.230769231</v>
      </c>
      <c r="N2680">
        <f>VLOOKUP(A2680,vlookup_table!$A:$G,2,FALSE)</f>
        <v>2</v>
      </c>
      <c r="O2680" t="str">
        <f>VLOOKUP(A2680,vlookup_table!$A:$G,3,FALSE)</f>
        <v>MS</v>
      </c>
      <c r="P2680">
        <f>VLOOKUP(A2680,vlookup_table!$A:$G,4,FALSE)</f>
        <v>2812</v>
      </c>
      <c r="Q2680" t="str">
        <f>VLOOKUP(A2680,vlookup_table!$A:$G,5,FALSE)</f>
        <v>R3</v>
      </c>
      <c r="R2680" t="str">
        <f>VLOOKUP(A2680,vlookup_table!$A:$G,6,FALSE)</f>
        <v>M</v>
      </c>
      <c r="S2680">
        <f>VLOOKUP(A2680,vlookup_table!$A:$G,7,FALSE)</f>
        <v>10</v>
      </c>
      <c r="T2680">
        <f t="shared" si="82"/>
        <v>68</v>
      </c>
      <c r="U2680" t="str">
        <f t="shared" si="83"/>
        <v>Rural</v>
      </c>
    </row>
    <row r="2681" spans="1:21" ht="16" x14ac:dyDescent="0.4">
      <c r="A2681" s="7">
        <v>185880</v>
      </c>
      <c r="B2681" s="7" t="s">
        <v>30</v>
      </c>
      <c r="C2681" s="7" t="s">
        <v>14</v>
      </c>
      <c r="D2681" s="7">
        <v>450</v>
      </c>
      <c r="E2681" s="7">
        <v>330</v>
      </c>
      <c r="F2681" s="7">
        <v>372</v>
      </c>
      <c r="G2681" s="7">
        <v>0</v>
      </c>
      <c r="H2681" s="7">
        <v>13149</v>
      </c>
      <c r="I2681" s="7">
        <v>1</v>
      </c>
      <c r="J2681" s="7">
        <v>68</v>
      </c>
      <c r="K2681" s="7">
        <v>344</v>
      </c>
      <c r="L2681" s="7">
        <v>357</v>
      </c>
      <c r="M2681" s="7">
        <v>10.125</v>
      </c>
      <c r="N2681">
        <f>VLOOKUP(A2681,vlookup_table!$A:$G,2,FALSE)</f>
        <v>1</v>
      </c>
      <c r="O2681" t="str">
        <f>VLOOKUP(A2681,vlookup_table!$A:$G,3,FALSE)</f>
        <v>IN</v>
      </c>
      <c r="P2681">
        <f>VLOOKUP(A2681,vlookup_table!$A:$G,4,FALSE)</f>
        <v>1801</v>
      </c>
      <c r="Q2681" t="str">
        <f>VLOOKUP(A2681,vlookup_table!$A:$G,5,FALSE)</f>
        <v>S3</v>
      </c>
      <c r="R2681" t="str">
        <f>VLOOKUP(A2681,vlookup_table!$A:$G,6,FALSE)</f>
        <v>M</v>
      </c>
      <c r="S2681">
        <f>VLOOKUP(A2681,vlookup_table!$A:$G,7,FALSE)</f>
        <v>13</v>
      </c>
      <c r="T2681">
        <f t="shared" si="82"/>
        <v>78</v>
      </c>
      <c r="U2681" t="str">
        <f t="shared" si="83"/>
        <v>Suburbano</v>
      </c>
    </row>
    <row r="2682" spans="1:21" ht="16" x14ac:dyDescent="0.4">
      <c r="A2682" s="7">
        <v>119843</v>
      </c>
      <c r="B2682" s="7" t="s">
        <v>20</v>
      </c>
      <c r="C2682" s="7" t="s">
        <v>17</v>
      </c>
      <c r="D2682" s="7">
        <v>417</v>
      </c>
      <c r="E2682" s="7">
        <v>185</v>
      </c>
      <c r="F2682" s="7">
        <v>253</v>
      </c>
      <c r="G2682" s="7">
        <v>0</v>
      </c>
      <c r="H2682" s="7">
        <v>10294</v>
      </c>
      <c r="I2682" s="7">
        <v>3</v>
      </c>
      <c r="J2682" s="7">
        <v>77</v>
      </c>
      <c r="K2682" s="7">
        <v>208</v>
      </c>
      <c r="L2682" s="7">
        <v>217</v>
      </c>
      <c r="M2682" s="7">
        <v>14.28571429</v>
      </c>
      <c r="N2682">
        <f>VLOOKUP(A2682,vlookup_table!$A:$G,2,FALSE)</f>
        <v>0</v>
      </c>
      <c r="O2682" t="str">
        <f>VLOOKUP(A2682,vlookup_table!$A:$G,3,FALSE)</f>
        <v>TX</v>
      </c>
      <c r="P2682">
        <f>VLOOKUP(A2682,vlookup_table!$A:$G,4,FALSE)</f>
        <v>1209</v>
      </c>
      <c r="Q2682" t="str">
        <f>VLOOKUP(A2682,vlookup_table!$A:$G,5,FALSE)</f>
        <v>R2</v>
      </c>
      <c r="R2682" t="str">
        <f>VLOOKUP(A2682,vlookup_table!$A:$G,6,FALSE)</f>
        <v>F</v>
      </c>
      <c r="S2682">
        <f>VLOOKUP(A2682,vlookup_table!$A:$G,7,FALSE)</f>
        <v>20</v>
      </c>
      <c r="T2682">
        <f t="shared" si="82"/>
        <v>84</v>
      </c>
      <c r="U2682" t="str">
        <f t="shared" si="83"/>
        <v>Rural</v>
      </c>
    </row>
    <row r="2683" spans="1:21" ht="16" x14ac:dyDescent="0.4">
      <c r="A2683" s="7">
        <v>142564</v>
      </c>
      <c r="B2683" s="7" t="s">
        <v>21</v>
      </c>
      <c r="C2683" s="7" t="s">
        <v>14</v>
      </c>
      <c r="D2683" s="7">
        <v>1943</v>
      </c>
      <c r="E2683" s="7">
        <v>426</v>
      </c>
      <c r="F2683" s="7">
        <v>523</v>
      </c>
      <c r="G2683" s="7">
        <v>45</v>
      </c>
      <c r="H2683" s="7">
        <v>16702</v>
      </c>
      <c r="I2683" s="7">
        <v>3</v>
      </c>
      <c r="J2683" s="7">
        <v>48</v>
      </c>
      <c r="K2683" s="7">
        <v>444</v>
      </c>
      <c r="L2683" s="7">
        <v>439</v>
      </c>
      <c r="M2683" s="7">
        <v>10.33333333</v>
      </c>
      <c r="N2683">
        <f>VLOOKUP(A2683,vlookup_table!$A:$G,2,FALSE)</f>
        <v>1</v>
      </c>
      <c r="O2683" t="str">
        <f>VLOOKUP(A2683,vlookup_table!$A:$G,3,FALSE)</f>
        <v>CA</v>
      </c>
      <c r="P2683">
        <f>VLOOKUP(A2683,vlookup_table!$A:$G,4,FALSE)</f>
        <v>2401</v>
      </c>
      <c r="Q2683" t="str">
        <f>VLOOKUP(A2683,vlookup_table!$A:$G,5,FALSE)</f>
        <v>U2</v>
      </c>
      <c r="R2683" t="str">
        <f>VLOOKUP(A2683,vlookup_table!$A:$G,6,FALSE)</f>
        <v>M</v>
      </c>
      <c r="S2683">
        <f>VLOOKUP(A2683,vlookup_table!$A:$G,7,FALSE)</f>
        <v>38</v>
      </c>
      <c r="T2683">
        <f t="shared" si="82"/>
        <v>72</v>
      </c>
      <c r="U2683" t="str">
        <f t="shared" si="83"/>
        <v>Urbano</v>
      </c>
    </row>
    <row r="2684" spans="1:21" ht="16" x14ac:dyDescent="0.4">
      <c r="A2684" s="7">
        <v>164796</v>
      </c>
      <c r="B2684" s="7" t="s">
        <v>21</v>
      </c>
      <c r="C2684" s="7"/>
      <c r="D2684" s="7">
        <v>3692</v>
      </c>
      <c r="E2684" s="7">
        <v>783</v>
      </c>
      <c r="F2684" s="7">
        <v>864</v>
      </c>
      <c r="G2684" s="7">
        <v>97</v>
      </c>
      <c r="H2684" s="7">
        <v>32609</v>
      </c>
      <c r="I2684" s="7">
        <v>14</v>
      </c>
      <c r="J2684" s="7">
        <v>38</v>
      </c>
      <c r="K2684" s="7">
        <v>826</v>
      </c>
      <c r="L2684" s="7">
        <v>827</v>
      </c>
      <c r="M2684" s="7">
        <v>7.2</v>
      </c>
      <c r="N2684">
        <f>VLOOKUP(A2684,vlookup_table!$A:$G,2,FALSE)</f>
        <v>0</v>
      </c>
      <c r="O2684" t="str">
        <f>VLOOKUP(A2684,vlookup_table!$A:$G,3,FALSE)</f>
        <v>CA</v>
      </c>
      <c r="P2684">
        <f>VLOOKUP(A2684,vlookup_table!$A:$G,4,FALSE)</f>
        <v>3607</v>
      </c>
      <c r="Q2684" t="str">
        <f>VLOOKUP(A2684,vlookup_table!$A:$G,5,FALSE)</f>
        <v>S2</v>
      </c>
      <c r="R2684" t="str">
        <f>VLOOKUP(A2684,vlookup_table!$A:$G,6,FALSE)</f>
        <v/>
      </c>
      <c r="S2684">
        <f>VLOOKUP(A2684,vlookup_table!$A:$G,7,FALSE)</f>
        <v>12</v>
      </c>
      <c r="T2684">
        <f t="shared" si="82"/>
        <v>60</v>
      </c>
      <c r="U2684" t="str">
        <f t="shared" si="83"/>
        <v>Suburbano</v>
      </c>
    </row>
    <row r="2685" spans="1:21" ht="16" x14ac:dyDescent="0.4">
      <c r="A2685" s="7">
        <v>171072</v>
      </c>
      <c r="B2685" s="7" t="s">
        <v>21</v>
      </c>
      <c r="C2685" s="7" t="s">
        <v>17</v>
      </c>
      <c r="D2685" s="7">
        <v>1033</v>
      </c>
      <c r="E2685" s="7">
        <v>246</v>
      </c>
      <c r="F2685" s="7">
        <v>267</v>
      </c>
      <c r="G2685" s="7">
        <v>1</v>
      </c>
      <c r="H2685" s="7">
        <v>11090</v>
      </c>
      <c r="I2685" s="7">
        <v>3</v>
      </c>
      <c r="J2685" s="7">
        <v>50</v>
      </c>
      <c r="K2685" s="7">
        <v>256</v>
      </c>
      <c r="L2685" s="7">
        <v>260</v>
      </c>
      <c r="M2685" s="7">
        <v>12.625</v>
      </c>
      <c r="N2685">
        <f>VLOOKUP(A2685,vlookup_table!$A:$G,2,FALSE)</f>
        <v>28</v>
      </c>
      <c r="O2685" t="str">
        <f>VLOOKUP(A2685,vlookup_table!$A:$G,3,FALSE)</f>
        <v>CA</v>
      </c>
      <c r="P2685">
        <f>VLOOKUP(A2685,vlookup_table!$A:$G,4,FALSE)</f>
        <v>0</v>
      </c>
      <c r="Q2685" t="str">
        <f>VLOOKUP(A2685,vlookup_table!$A:$G,5,FALSE)</f>
        <v>U3</v>
      </c>
      <c r="R2685" t="str">
        <f>VLOOKUP(A2685,vlookup_table!$A:$G,6,FALSE)</f>
        <v>F</v>
      </c>
      <c r="S2685">
        <f>VLOOKUP(A2685,vlookup_table!$A:$G,7,FALSE)</f>
        <v>10</v>
      </c>
      <c r="T2685">
        <f t="shared" si="82"/>
        <v>96</v>
      </c>
      <c r="U2685" t="str">
        <f t="shared" si="83"/>
        <v>Urbano</v>
      </c>
    </row>
    <row r="2686" spans="1:21" ht="16" x14ac:dyDescent="0.4">
      <c r="A2686" s="7">
        <v>101143</v>
      </c>
      <c r="B2686" s="7" t="s">
        <v>33</v>
      </c>
      <c r="C2686" s="7" t="s">
        <v>17</v>
      </c>
      <c r="D2686" s="7">
        <v>720</v>
      </c>
      <c r="E2686" s="7">
        <v>335</v>
      </c>
      <c r="F2686" s="7">
        <v>386</v>
      </c>
      <c r="G2686" s="7">
        <v>1</v>
      </c>
      <c r="H2686" s="7">
        <v>13406</v>
      </c>
      <c r="I2686" s="7">
        <v>0</v>
      </c>
      <c r="J2686" s="7">
        <v>75</v>
      </c>
      <c r="K2686" s="7">
        <v>390</v>
      </c>
      <c r="L2686" s="7">
        <v>341</v>
      </c>
      <c r="M2686" s="7">
        <v>4.4000000000000004</v>
      </c>
      <c r="N2686">
        <f>VLOOKUP(A2686,vlookup_table!$A:$G,2,FALSE)</f>
        <v>0</v>
      </c>
      <c r="O2686" t="str">
        <f>VLOOKUP(A2686,vlookup_table!$A:$G,3,FALSE)</f>
        <v>MO</v>
      </c>
      <c r="P2686">
        <f>VLOOKUP(A2686,vlookup_table!$A:$G,4,FALSE)</f>
        <v>2801</v>
      </c>
      <c r="Q2686" t="str">
        <f>VLOOKUP(A2686,vlookup_table!$A:$G,5,FALSE)</f>
        <v>R2</v>
      </c>
      <c r="R2686" t="str">
        <f>VLOOKUP(A2686,vlookup_table!$A:$G,6,FALSE)</f>
        <v>F</v>
      </c>
      <c r="S2686">
        <f>VLOOKUP(A2686,vlookup_table!$A:$G,7,FALSE)</f>
        <v>10</v>
      </c>
      <c r="T2686">
        <f t="shared" si="82"/>
        <v>68</v>
      </c>
      <c r="U2686" t="str">
        <f t="shared" si="83"/>
        <v>Rural</v>
      </c>
    </row>
    <row r="2687" spans="1:21" ht="16" x14ac:dyDescent="0.4">
      <c r="A2687" s="7">
        <v>171612</v>
      </c>
      <c r="B2687" s="7" t="s">
        <v>21</v>
      </c>
      <c r="C2687" s="7" t="s">
        <v>17</v>
      </c>
      <c r="D2687" s="7">
        <v>1537</v>
      </c>
      <c r="E2687" s="7">
        <v>495</v>
      </c>
      <c r="F2687" s="7">
        <v>544</v>
      </c>
      <c r="G2687" s="7">
        <v>19</v>
      </c>
      <c r="H2687" s="7">
        <v>17689</v>
      </c>
      <c r="I2687" s="7">
        <v>13</v>
      </c>
      <c r="J2687" s="7">
        <v>58</v>
      </c>
      <c r="K2687" s="7">
        <v>509</v>
      </c>
      <c r="L2687" s="7">
        <v>528</v>
      </c>
      <c r="M2687" s="7">
        <v>8.375</v>
      </c>
      <c r="N2687">
        <f>VLOOKUP(A2687,vlookup_table!$A:$G,2,FALSE)</f>
        <v>0</v>
      </c>
      <c r="O2687" t="str">
        <f>VLOOKUP(A2687,vlookup_table!$A:$G,3,FALSE)</f>
        <v>CA</v>
      </c>
      <c r="P2687">
        <f>VLOOKUP(A2687,vlookup_table!$A:$G,4,FALSE)</f>
        <v>3712</v>
      </c>
      <c r="Q2687" t="str">
        <f>VLOOKUP(A2687,vlookup_table!$A:$G,5,FALSE)</f>
        <v>S1</v>
      </c>
      <c r="R2687" t="str">
        <f>VLOOKUP(A2687,vlookup_table!$A:$G,6,FALSE)</f>
        <v>F</v>
      </c>
      <c r="S2687">
        <f>VLOOKUP(A2687,vlookup_table!$A:$G,7,FALSE)</f>
        <v>20</v>
      </c>
      <c r="T2687">
        <f t="shared" si="82"/>
        <v>59</v>
      </c>
      <c r="U2687" t="str">
        <f t="shared" si="83"/>
        <v>Suburbano</v>
      </c>
    </row>
    <row r="2688" spans="1:21" ht="16" x14ac:dyDescent="0.4">
      <c r="A2688" s="7">
        <v>85619</v>
      </c>
      <c r="B2688" s="7" t="s">
        <v>52</v>
      </c>
      <c r="C2688" s="7" t="s">
        <v>17</v>
      </c>
      <c r="D2688" s="7">
        <v>435</v>
      </c>
      <c r="E2688" s="7">
        <v>181</v>
      </c>
      <c r="F2688" s="7">
        <v>265</v>
      </c>
      <c r="G2688" s="7">
        <v>0</v>
      </c>
      <c r="H2688" s="7">
        <v>9026</v>
      </c>
      <c r="I2688" s="7">
        <v>1</v>
      </c>
      <c r="J2688" s="7">
        <v>76</v>
      </c>
      <c r="K2688" s="7">
        <v>232</v>
      </c>
      <c r="L2688" s="7">
        <v>225</v>
      </c>
      <c r="M2688" s="7">
        <v>8</v>
      </c>
      <c r="N2688">
        <f>VLOOKUP(A2688,vlookup_table!$A:$G,2,FALSE)</f>
        <v>0</v>
      </c>
      <c r="O2688" t="str">
        <f>VLOOKUP(A2688,vlookup_table!$A:$G,3,FALSE)</f>
        <v>MN</v>
      </c>
      <c r="P2688">
        <f>VLOOKUP(A2688,vlookup_table!$A:$G,4,FALSE)</f>
        <v>3803</v>
      </c>
      <c r="Q2688" t="str">
        <f>VLOOKUP(A2688,vlookup_table!$A:$G,5,FALSE)</f>
        <v>R2</v>
      </c>
      <c r="R2688" t="str">
        <f>VLOOKUP(A2688,vlookup_table!$A:$G,6,FALSE)</f>
        <v>F</v>
      </c>
      <c r="S2688">
        <f>VLOOKUP(A2688,vlookup_table!$A:$G,7,FALSE)</f>
        <v>5</v>
      </c>
      <c r="T2688">
        <f t="shared" si="82"/>
        <v>58</v>
      </c>
      <c r="U2688" t="str">
        <f t="shared" si="83"/>
        <v>Rural</v>
      </c>
    </row>
    <row r="2689" spans="1:21" ht="16" x14ac:dyDescent="0.4">
      <c r="A2689" s="7">
        <v>118905</v>
      </c>
      <c r="B2689" s="7" t="s">
        <v>20</v>
      </c>
      <c r="C2689" s="7" t="s">
        <v>14</v>
      </c>
      <c r="D2689" s="7">
        <v>1362</v>
      </c>
      <c r="E2689" s="7">
        <v>724</v>
      </c>
      <c r="F2689" s="7">
        <v>724</v>
      </c>
      <c r="G2689" s="7">
        <v>1</v>
      </c>
      <c r="H2689" s="7">
        <v>23403</v>
      </c>
      <c r="I2689" s="7">
        <v>19</v>
      </c>
      <c r="J2689" s="7">
        <v>28</v>
      </c>
      <c r="K2689" s="7">
        <v>754</v>
      </c>
      <c r="L2689" s="7">
        <v>714</v>
      </c>
      <c r="M2689" s="7">
        <v>6.5625</v>
      </c>
      <c r="N2689">
        <f>VLOOKUP(A2689,vlookup_table!$A:$G,2,FALSE)</f>
        <v>0</v>
      </c>
      <c r="O2689" t="str">
        <f>VLOOKUP(A2689,vlookup_table!$A:$G,3,FALSE)</f>
        <v>TX</v>
      </c>
      <c r="P2689">
        <f>VLOOKUP(A2689,vlookup_table!$A:$G,4,FALSE)</f>
        <v>4310</v>
      </c>
      <c r="Q2689" t="str">
        <f>VLOOKUP(A2689,vlookup_table!$A:$G,5,FALSE)</f>
        <v>C1</v>
      </c>
      <c r="R2689" t="str">
        <f>VLOOKUP(A2689,vlookup_table!$A:$G,6,FALSE)</f>
        <v>M</v>
      </c>
      <c r="S2689">
        <f>VLOOKUP(A2689,vlookup_table!$A:$G,7,FALSE)</f>
        <v>10</v>
      </c>
      <c r="T2689">
        <f t="shared" si="82"/>
        <v>53</v>
      </c>
      <c r="U2689" t="str">
        <f t="shared" si="83"/>
        <v>Ciudad</v>
      </c>
    </row>
    <row r="2690" spans="1:21" ht="16" x14ac:dyDescent="0.4">
      <c r="A2690" s="7">
        <v>793</v>
      </c>
      <c r="B2690" s="7" t="s">
        <v>21</v>
      </c>
      <c r="C2690" s="7" t="s">
        <v>17</v>
      </c>
      <c r="D2690" s="7">
        <v>1568</v>
      </c>
      <c r="E2690" s="7">
        <v>328</v>
      </c>
      <c r="F2690" s="7">
        <v>451</v>
      </c>
      <c r="G2690" s="7">
        <v>15</v>
      </c>
      <c r="H2690" s="7">
        <v>17761</v>
      </c>
      <c r="I2690" s="7">
        <v>12</v>
      </c>
      <c r="J2690" s="7">
        <v>49</v>
      </c>
      <c r="K2690" s="7">
        <v>406</v>
      </c>
      <c r="L2690" s="7">
        <v>375</v>
      </c>
      <c r="M2690" s="7">
        <v>10.19047619</v>
      </c>
      <c r="N2690">
        <f>VLOOKUP(A2690,vlookup_table!$A:$G,2,FALSE)</f>
        <v>0</v>
      </c>
      <c r="O2690" t="str">
        <f>VLOOKUP(A2690,vlookup_table!$A:$G,3,FALSE)</f>
        <v>CA</v>
      </c>
      <c r="P2690">
        <f>VLOOKUP(A2690,vlookup_table!$A:$G,4,FALSE)</f>
        <v>1006</v>
      </c>
      <c r="Q2690" t="str">
        <f>VLOOKUP(A2690,vlookup_table!$A:$G,5,FALSE)</f>
        <v>S2</v>
      </c>
      <c r="R2690" t="str">
        <f>VLOOKUP(A2690,vlookup_table!$A:$G,6,FALSE)</f>
        <v>F</v>
      </c>
      <c r="S2690">
        <f>VLOOKUP(A2690,vlookup_table!$A:$G,7,FALSE)</f>
        <v>15</v>
      </c>
      <c r="T2690">
        <f t="shared" si="82"/>
        <v>86</v>
      </c>
      <c r="U2690" t="str">
        <f t="shared" si="83"/>
        <v>Suburbano</v>
      </c>
    </row>
    <row r="2691" spans="1:21" ht="16" x14ac:dyDescent="0.4">
      <c r="A2691" s="7">
        <v>52547</v>
      </c>
      <c r="B2691" s="7" t="s">
        <v>49</v>
      </c>
      <c r="C2691" s="7" t="s">
        <v>14</v>
      </c>
      <c r="D2691" s="7">
        <v>309</v>
      </c>
      <c r="E2691" s="7">
        <v>147</v>
      </c>
      <c r="F2691" s="7">
        <v>217</v>
      </c>
      <c r="G2691" s="7">
        <v>0</v>
      </c>
      <c r="H2691" s="7">
        <v>6852</v>
      </c>
      <c r="I2691" s="7">
        <v>0</v>
      </c>
      <c r="J2691" s="7">
        <v>85</v>
      </c>
      <c r="K2691" s="7">
        <v>174</v>
      </c>
      <c r="L2691" s="7">
        <v>191</v>
      </c>
      <c r="M2691" s="7">
        <v>4.4545454549999999</v>
      </c>
      <c r="N2691">
        <f>VLOOKUP(A2691,vlookup_table!$A:$G,2,FALSE)</f>
        <v>1</v>
      </c>
      <c r="O2691" t="str">
        <f>VLOOKUP(A2691,vlookup_table!$A:$G,3,FALSE)</f>
        <v>TN</v>
      </c>
      <c r="P2691">
        <f>VLOOKUP(A2691,vlookup_table!$A:$G,4,FALSE)</f>
        <v>4001</v>
      </c>
      <c r="Q2691" t="str">
        <f>VLOOKUP(A2691,vlookup_table!$A:$G,5,FALSE)</f>
        <v>R2</v>
      </c>
      <c r="R2691" t="str">
        <f>VLOOKUP(A2691,vlookup_table!$A:$G,6,FALSE)</f>
        <v>M</v>
      </c>
      <c r="S2691">
        <f>VLOOKUP(A2691,vlookup_table!$A:$G,7,FALSE)</f>
        <v>5</v>
      </c>
      <c r="T2691">
        <f t="shared" ref="T2691:T2754" si="84">97-LEFT(P2691,2)-IF(RIGHT(P2691,2)&gt;6,1,0)</f>
        <v>56</v>
      </c>
      <c r="U2691" t="str">
        <f t="shared" ref="U2691:U2754" si="85">IF(LEFT(Q2691,1)="C","Ciudad",IF(LEFT(Q2691,1)="T","Pueblo",IF(LEFT(Q2691,1)="R","Rural",IF(LEFT(Q2691,1)="S","Suburbano",IF(LEFT(Q2691,1)="U","Urbano","")))))</f>
        <v>Rural</v>
      </c>
    </row>
    <row r="2692" spans="1:21" ht="16" x14ac:dyDescent="0.4">
      <c r="A2692" s="7">
        <v>162313</v>
      </c>
      <c r="B2692" s="7" t="s">
        <v>21</v>
      </c>
      <c r="C2692" s="7" t="s">
        <v>17</v>
      </c>
      <c r="D2692" s="7">
        <v>5975</v>
      </c>
      <c r="E2692" s="7">
        <v>1500</v>
      </c>
      <c r="F2692" s="7">
        <v>1331</v>
      </c>
      <c r="G2692" s="7">
        <v>99</v>
      </c>
      <c r="H2692" s="7">
        <v>90600</v>
      </c>
      <c r="I2692" s="7">
        <v>20</v>
      </c>
      <c r="J2692" s="7">
        <v>36</v>
      </c>
      <c r="K2692" s="7">
        <v>1500</v>
      </c>
      <c r="L2692" s="7">
        <v>1311</v>
      </c>
      <c r="M2692" s="7">
        <v>22.2</v>
      </c>
      <c r="N2692">
        <f>VLOOKUP(A2692,vlookup_table!$A:$G,2,FALSE)</f>
        <v>1</v>
      </c>
      <c r="O2692" t="str">
        <f>VLOOKUP(A2692,vlookup_table!$A:$G,3,FALSE)</f>
        <v>CA</v>
      </c>
      <c r="P2692">
        <f>VLOOKUP(A2692,vlookup_table!$A:$G,4,FALSE)</f>
        <v>6201</v>
      </c>
      <c r="Q2692" t="str">
        <f>VLOOKUP(A2692,vlookup_table!$A:$G,5,FALSE)</f>
        <v>S1</v>
      </c>
      <c r="R2692" t="str">
        <f>VLOOKUP(A2692,vlookup_table!$A:$G,6,FALSE)</f>
        <v>F</v>
      </c>
      <c r="S2692">
        <f>VLOOKUP(A2692,vlookup_table!$A:$G,7,FALSE)</f>
        <v>25</v>
      </c>
      <c r="T2692">
        <f t="shared" si="84"/>
        <v>34</v>
      </c>
      <c r="U2692" t="str">
        <f t="shared" si="85"/>
        <v>Suburbano</v>
      </c>
    </row>
    <row r="2693" spans="1:21" ht="16" x14ac:dyDescent="0.4">
      <c r="A2693" s="7">
        <v>4320</v>
      </c>
      <c r="B2693" s="7" t="s">
        <v>40</v>
      </c>
      <c r="C2693" s="7" t="s">
        <v>17</v>
      </c>
      <c r="D2693" s="7">
        <v>738</v>
      </c>
      <c r="E2693" s="7">
        <v>332</v>
      </c>
      <c r="F2693" s="7">
        <v>438</v>
      </c>
      <c r="G2693" s="7">
        <v>2</v>
      </c>
      <c r="H2693" s="7">
        <v>16613</v>
      </c>
      <c r="I2693" s="7">
        <v>1</v>
      </c>
      <c r="J2693" s="7">
        <v>67</v>
      </c>
      <c r="K2693" s="7">
        <v>379</v>
      </c>
      <c r="L2693" s="7">
        <v>387</v>
      </c>
      <c r="M2693" s="7">
        <v>11</v>
      </c>
      <c r="N2693">
        <f>VLOOKUP(A2693,vlookup_table!$A:$G,2,FALSE)</f>
        <v>2</v>
      </c>
      <c r="O2693" t="str">
        <f>VLOOKUP(A2693,vlookup_table!$A:$G,3,FALSE)</f>
        <v>AL</v>
      </c>
      <c r="P2693">
        <f>VLOOKUP(A2693,vlookup_table!$A:$G,4,FALSE)</f>
        <v>801</v>
      </c>
      <c r="Q2693" t="str">
        <f>VLOOKUP(A2693,vlookup_table!$A:$G,5,FALSE)</f>
        <v>T2</v>
      </c>
      <c r="R2693" t="str">
        <f>VLOOKUP(A2693,vlookup_table!$A:$G,6,FALSE)</f>
        <v>F</v>
      </c>
      <c r="S2693">
        <f>VLOOKUP(A2693,vlookup_table!$A:$G,7,FALSE)</f>
        <v>15</v>
      </c>
      <c r="T2693">
        <f t="shared" si="84"/>
        <v>16</v>
      </c>
      <c r="U2693" t="str">
        <f t="shared" si="85"/>
        <v>Pueblo</v>
      </c>
    </row>
    <row r="2694" spans="1:21" ht="16" x14ac:dyDescent="0.4">
      <c r="A2694" s="7">
        <v>36690</v>
      </c>
      <c r="B2694" s="7" t="s">
        <v>13</v>
      </c>
      <c r="C2694" s="7" t="s">
        <v>17</v>
      </c>
      <c r="D2694" s="7">
        <v>1631</v>
      </c>
      <c r="E2694" s="7">
        <v>682</v>
      </c>
      <c r="F2694" s="7">
        <v>831</v>
      </c>
      <c r="G2694" s="7">
        <v>25</v>
      </c>
      <c r="H2694" s="7">
        <v>26585</v>
      </c>
      <c r="I2694" s="7">
        <v>13</v>
      </c>
      <c r="J2694" s="7">
        <v>25</v>
      </c>
      <c r="K2694" s="7">
        <v>649</v>
      </c>
      <c r="L2694" s="7">
        <v>820</v>
      </c>
      <c r="M2694" s="7">
        <v>10</v>
      </c>
      <c r="N2694">
        <f>VLOOKUP(A2694,vlookup_table!$A:$G,2,FALSE)</f>
        <v>0</v>
      </c>
      <c r="O2694" t="str">
        <f>VLOOKUP(A2694,vlookup_table!$A:$G,3,FALSE)</f>
        <v>FL</v>
      </c>
      <c r="P2694">
        <f>VLOOKUP(A2694,vlookup_table!$A:$G,4,FALSE)</f>
        <v>0</v>
      </c>
      <c r="Q2694" t="str">
        <f>VLOOKUP(A2694,vlookup_table!$A:$G,5,FALSE)</f>
        <v>S1</v>
      </c>
      <c r="R2694" t="str">
        <f>VLOOKUP(A2694,vlookup_table!$A:$G,6,FALSE)</f>
        <v>F</v>
      </c>
      <c r="S2694">
        <f>VLOOKUP(A2694,vlookup_table!$A:$G,7,FALSE)</f>
        <v>3</v>
      </c>
      <c r="T2694">
        <f t="shared" si="84"/>
        <v>96</v>
      </c>
      <c r="U2694" t="str">
        <f t="shared" si="85"/>
        <v>Suburbano</v>
      </c>
    </row>
    <row r="2695" spans="1:21" ht="16" x14ac:dyDescent="0.4">
      <c r="A2695" s="7">
        <v>158213</v>
      </c>
      <c r="B2695" s="7" t="s">
        <v>20</v>
      </c>
      <c r="C2695" s="7" t="s">
        <v>14</v>
      </c>
      <c r="D2695" s="7">
        <v>1217</v>
      </c>
      <c r="E2695" s="7">
        <v>620</v>
      </c>
      <c r="F2695" s="7">
        <v>692</v>
      </c>
      <c r="G2695" s="7">
        <v>0</v>
      </c>
      <c r="H2695" s="7">
        <v>23408</v>
      </c>
      <c r="I2695" s="7">
        <v>2</v>
      </c>
      <c r="J2695" s="7">
        <v>37</v>
      </c>
      <c r="K2695" s="7">
        <v>654</v>
      </c>
      <c r="L2695" s="7">
        <v>655</v>
      </c>
      <c r="M2695" s="7">
        <v>4.5555555559999998</v>
      </c>
      <c r="N2695">
        <f>VLOOKUP(A2695,vlookup_table!$A:$G,2,FALSE)</f>
        <v>0</v>
      </c>
      <c r="O2695" t="str">
        <f>VLOOKUP(A2695,vlookup_table!$A:$G,3,FALSE)</f>
        <v>TX</v>
      </c>
      <c r="P2695">
        <f>VLOOKUP(A2695,vlookup_table!$A:$G,4,FALSE)</f>
        <v>0</v>
      </c>
      <c r="Q2695" t="str">
        <f>VLOOKUP(A2695,vlookup_table!$A:$G,5,FALSE)</f>
        <v>U1</v>
      </c>
      <c r="R2695" t="str">
        <f>VLOOKUP(A2695,vlookup_table!$A:$G,6,FALSE)</f>
        <v>M</v>
      </c>
      <c r="S2695">
        <f>VLOOKUP(A2695,vlookup_table!$A:$G,7,FALSE)</f>
        <v>5</v>
      </c>
      <c r="T2695">
        <f t="shared" si="84"/>
        <v>96</v>
      </c>
      <c r="U2695" t="str">
        <f t="shared" si="85"/>
        <v>Urbano</v>
      </c>
    </row>
    <row r="2696" spans="1:21" ht="16" x14ac:dyDescent="0.4">
      <c r="A2696" s="7">
        <v>75522</v>
      </c>
      <c r="B2696" s="7" t="s">
        <v>44</v>
      </c>
      <c r="C2696" s="7" t="s">
        <v>14</v>
      </c>
      <c r="D2696" s="7">
        <v>600</v>
      </c>
      <c r="E2696" s="7">
        <v>379</v>
      </c>
      <c r="F2696" s="7">
        <v>399</v>
      </c>
      <c r="G2696" s="7">
        <v>0</v>
      </c>
      <c r="H2696" s="7">
        <v>13988</v>
      </c>
      <c r="I2696" s="7">
        <v>1</v>
      </c>
      <c r="J2696" s="7">
        <v>74</v>
      </c>
      <c r="K2696" s="7">
        <v>417</v>
      </c>
      <c r="L2696" s="7">
        <v>376</v>
      </c>
      <c r="M2696" s="7">
        <v>6.3333333329999997</v>
      </c>
      <c r="N2696">
        <f>VLOOKUP(A2696,vlookup_table!$A:$G,2,FALSE)</f>
        <v>2</v>
      </c>
      <c r="O2696" t="str">
        <f>VLOOKUP(A2696,vlookup_table!$A:$G,3,FALSE)</f>
        <v>IA</v>
      </c>
      <c r="P2696">
        <f>VLOOKUP(A2696,vlookup_table!$A:$G,4,FALSE)</f>
        <v>0</v>
      </c>
      <c r="Q2696" t="str">
        <f>VLOOKUP(A2696,vlookup_table!$A:$G,5,FALSE)</f>
        <v>C2</v>
      </c>
      <c r="R2696" t="str">
        <f>VLOOKUP(A2696,vlookup_table!$A:$G,6,FALSE)</f>
        <v>M</v>
      </c>
      <c r="S2696">
        <f>VLOOKUP(A2696,vlookup_table!$A:$G,7,FALSE)</f>
        <v>10</v>
      </c>
      <c r="T2696">
        <f t="shared" si="84"/>
        <v>96</v>
      </c>
      <c r="U2696" t="str">
        <f t="shared" si="85"/>
        <v>Ciudad</v>
      </c>
    </row>
    <row r="2697" spans="1:21" ht="16" x14ac:dyDescent="0.4">
      <c r="A2697" s="7">
        <v>7346</v>
      </c>
      <c r="B2697" s="7" t="s">
        <v>21</v>
      </c>
      <c r="C2697" s="7" t="s">
        <v>17</v>
      </c>
      <c r="D2697" s="7">
        <v>1936</v>
      </c>
      <c r="E2697" s="7">
        <v>353</v>
      </c>
      <c r="F2697" s="7">
        <v>409</v>
      </c>
      <c r="G2697" s="7">
        <v>44</v>
      </c>
      <c r="H2697" s="7">
        <v>9361</v>
      </c>
      <c r="I2697" s="7">
        <v>21</v>
      </c>
      <c r="J2697" s="7">
        <v>43</v>
      </c>
      <c r="K2697" s="7">
        <v>360</v>
      </c>
      <c r="L2697" s="7">
        <v>407</v>
      </c>
      <c r="M2697" s="7">
        <v>10.727272729999999</v>
      </c>
      <c r="N2697">
        <f>VLOOKUP(A2697,vlookup_table!$A:$G,2,FALSE)</f>
        <v>2</v>
      </c>
      <c r="O2697" t="str">
        <f>VLOOKUP(A2697,vlookup_table!$A:$G,3,FALSE)</f>
        <v>CA</v>
      </c>
      <c r="P2697">
        <f>VLOOKUP(A2697,vlookup_table!$A:$G,4,FALSE)</f>
        <v>0</v>
      </c>
      <c r="Q2697" t="str">
        <f>VLOOKUP(A2697,vlookup_table!$A:$G,5,FALSE)</f>
        <v>U2</v>
      </c>
      <c r="R2697" t="str">
        <f>VLOOKUP(A2697,vlookup_table!$A:$G,6,FALSE)</f>
        <v>F</v>
      </c>
      <c r="S2697">
        <f>VLOOKUP(A2697,vlookup_table!$A:$G,7,FALSE)</f>
        <v>15</v>
      </c>
      <c r="T2697">
        <f t="shared" si="84"/>
        <v>96</v>
      </c>
      <c r="U2697" t="str">
        <f t="shared" si="85"/>
        <v>Urbano</v>
      </c>
    </row>
    <row r="2698" spans="1:21" ht="16" x14ac:dyDescent="0.4">
      <c r="A2698" s="7">
        <v>718</v>
      </c>
      <c r="B2698" s="7" t="s">
        <v>21</v>
      </c>
      <c r="C2698" s="7" t="s">
        <v>17</v>
      </c>
      <c r="D2698" s="7">
        <v>1215</v>
      </c>
      <c r="E2698" s="7">
        <v>296</v>
      </c>
      <c r="F2698" s="7">
        <v>373</v>
      </c>
      <c r="G2698" s="7">
        <v>9</v>
      </c>
      <c r="H2698" s="7">
        <v>12319</v>
      </c>
      <c r="I2698" s="7">
        <v>4</v>
      </c>
      <c r="J2698" s="7">
        <v>56</v>
      </c>
      <c r="K2698" s="7">
        <v>319</v>
      </c>
      <c r="L2698" s="7">
        <v>352</v>
      </c>
      <c r="M2698" s="7">
        <v>22.5625</v>
      </c>
      <c r="N2698">
        <f>VLOOKUP(A2698,vlookup_table!$A:$G,2,FALSE)</f>
        <v>2</v>
      </c>
      <c r="O2698" t="str">
        <f>VLOOKUP(A2698,vlookup_table!$A:$G,3,FALSE)</f>
        <v>CA</v>
      </c>
      <c r="P2698">
        <f>VLOOKUP(A2698,vlookup_table!$A:$G,4,FALSE)</f>
        <v>2201</v>
      </c>
      <c r="Q2698" t="str">
        <f>VLOOKUP(A2698,vlookup_table!$A:$G,5,FALSE)</f>
        <v>C2</v>
      </c>
      <c r="R2698" t="str">
        <f>VLOOKUP(A2698,vlookup_table!$A:$G,6,FALSE)</f>
        <v>F</v>
      </c>
      <c r="S2698">
        <f>VLOOKUP(A2698,vlookup_table!$A:$G,7,FALSE)</f>
        <v>35</v>
      </c>
      <c r="T2698">
        <f t="shared" si="84"/>
        <v>74</v>
      </c>
      <c r="U2698" t="str">
        <f t="shared" si="85"/>
        <v>Ciudad</v>
      </c>
    </row>
    <row r="2699" spans="1:21" ht="16" x14ac:dyDescent="0.4">
      <c r="A2699" s="7">
        <v>171677</v>
      </c>
      <c r="B2699" s="7" t="s">
        <v>21</v>
      </c>
      <c r="C2699" s="7"/>
      <c r="D2699" s="7">
        <v>1375</v>
      </c>
      <c r="E2699" s="7">
        <v>92</v>
      </c>
      <c r="F2699" s="7">
        <v>203</v>
      </c>
      <c r="G2699" s="7">
        <v>0</v>
      </c>
      <c r="H2699" s="7">
        <v>12453</v>
      </c>
      <c r="I2699" s="7">
        <v>7</v>
      </c>
      <c r="J2699" s="7">
        <v>39</v>
      </c>
      <c r="K2699" s="7">
        <v>279</v>
      </c>
      <c r="L2699" s="7">
        <v>125</v>
      </c>
      <c r="M2699" s="7">
        <v>14.25</v>
      </c>
      <c r="N2699">
        <f>VLOOKUP(A2699,vlookup_table!$A:$G,2,FALSE)</f>
        <v>0</v>
      </c>
      <c r="O2699" t="str">
        <f>VLOOKUP(A2699,vlookup_table!$A:$G,3,FALSE)</f>
        <v>CA</v>
      </c>
      <c r="P2699">
        <f>VLOOKUP(A2699,vlookup_table!$A:$G,4,FALSE)</f>
        <v>0</v>
      </c>
      <c r="Q2699" t="str">
        <f>VLOOKUP(A2699,vlookup_table!$A:$G,5,FALSE)</f>
        <v>U4</v>
      </c>
      <c r="R2699" t="str">
        <f>VLOOKUP(A2699,vlookup_table!$A:$G,6,FALSE)</f>
        <v/>
      </c>
      <c r="S2699">
        <f>VLOOKUP(A2699,vlookup_table!$A:$G,7,FALSE)</f>
        <v>25</v>
      </c>
      <c r="T2699">
        <f t="shared" si="84"/>
        <v>96</v>
      </c>
      <c r="U2699" t="str">
        <f t="shared" si="85"/>
        <v>Urbano</v>
      </c>
    </row>
    <row r="2700" spans="1:21" ht="16" x14ac:dyDescent="0.4">
      <c r="A2700" s="7">
        <v>96344</v>
      </c>
      <c r="B2700" s="7" t="s">
        <v>16</v>
      </c>
      <c r="C2700" s="7" t="s">
        <v>17</v>
      </c>
      <c r="D2700" s="7">
        <v>293</v>
      </c>
      <c r="E2700" s="7">
        <v>219</v>
      </c>
      <c r="F2700" s="7">
        <v>270</v>
      </c>
      <c r="G2700" s="7">
        <v>0</v>
      </c>
      <c r="H2700" s="7">
        <v>10914</v>
      </c>
      <c r="I2700" s="7">
        <v>0</v>
      </c>
      <c r="J2700" s="7">
        <v>92</v>
      </c>
      <c r="K2700" s="7">
        <v>228</v>
      </c>
      <c r="L2700" s="7">
        <v>258</v>
      </c>
      <c r="M2700" s="7">
        <v>6.1578947370000003</v>
      </c>
      <c r="N2700">
        <f>VLOOKUP(A2700,vlookup_table!$A:$G,2,FALSE)</f>
        <v>2</v>
      </c>
      <c r="O2700" t="str">
        <f>VLOOKUP(A2700,vlookup_table!$A:$G,3,FALSE)</f>
        <v>IL</v>
      </c>
      <c r="P2700">
        <f>VLOOKUP(A2700,vlookup_table!$A:$G,4,FALSE)</f>
        <v>0</v>
      </c>
      <c r="Q2700" t="str">
        <f>VLOOKUP(A2700,vlookup_table!$A:$G,5,FALSE)</f>
        <v>T3</v>
      </c>
      <c r="R2700" t="str">
        <f>VLOOKUP(A2700,vlookup_table!$A:$G,6,FALSE)</f>
        <v>F</v>
      </c>
      <c r="S2700">
        <f>VLOOKUP(A2700,vlookup_table!$A:$G,7,FALSE)</f>
        <v>10</v>
      </c>
      <c r="T2700">
        <f t="shared" si="84"/>
        <v>96</v>
      </c>
      <c r="U2700" t="str">
        <f t="shared" si="85"/>
        <v>Pueblo</v>
      </c>
    </row>
    <row r="2701" spans="1:21" ht="16" x14ac:dyDescent="0.4">
      <c r="A2701" s="7">
        <v>178742</v>
      </c>
      <c r="B2701" s="7" t="s">
        <v>37</v>
      </c>
      <c r="C2701" s="7" t="s">
        <v>17</v>
      </c>
      <c r="D2701" s="7">
        <v>1053</v>
      </c>
      <c r="E2701" s="7">
        <v>298</v>
      </c>
      <c r="F2701" s="7">
        <v>366</v>
      </c>
      <c r="G2701" s="7">
        <v>2</v>
      </c>
      <c r="H2701" s="7">
        <v>17021</v>
      </c>
      <c r="I2701" s="7">
        <v>5</v>
      </c>
      <c r="J2701" s="7">
        <v>37</v>
      </c>
      <c r="K2701" s="7">
        <v>343</v>
      </c>
      <c r="L2701" s="7">
        <v>319</v>
      </c>
      <c r="M2701" s="7">
        <v>10.71428571</v>
      </c>
      <c r="N2701">
        <f>VLOOKUP(A2701,vlookup_table!$A:$G,2,FALSE)</f>
        <v>2</v>
      </c>
      <c r="O2701" t="str">
        <f>VLOOKUP(A2701,vlookup_table!$A:$G,3,FALSE)</f>
        <v>WA</v>
      </c>
      <c r="P2701">
        <f>VLOOKUP(A2701,vlookup_table!$A:$G,4,FALSE)</f>
        <v>1201</v>
      </c>
      <c r="Q2701" t="str">
        <f>VLOOKUP(A2701,vlookup_table!$A:$G,5,FALSE)</f>
        <v>S2</v>
      </c>
      <c r="R2701" t="str">
        <f>VLOOKUP(A2701,vlookup_table!$A:$G,6,FALSE)</f>
        <v>F</v>
      </c>
      <c r="S2701">
        <f>VLOOKUP(A2701,vlookup_table!$A:$G,7,FALSE)</f>
        <v>10</v>
      </c>
      <c r="T2701">
        <f t="shared" si="84"/>
        <v>84</v>
      </c>
      <c r="U2701" t="str">
        <f t="shared" si="85"/>
        <v>Suburbano</v>
      </c>
    </row>
    <row r="2702" spans="1:21" ht="16" x14ac:dyDescent="0.4">
      <c r="A2702" s="7">
        <v>22989</v>
      </c>
      <c r="B2702" s="7" t="s">
        <v>43</v>
      </c>
      <c r="C2702" s="7" t="s">
        <v>17</v>
      </c>
      <c r="D2702" s="7">
        <v>596</v>
      </c>
      <c r="E2702" s="7">
        <v>301</v>
      </c>
      <c r="F2702" s="7">
        <v>344</v>
      </c>
      <c r="G2702" s="7">
        <v>0</v>
      </c>
      <c r="H2702" s="7">
        <v>10405</v>
      </c>
      <c r="I2702" s="7">
        <v>3</v>
      </c>
      <c r="J2702" s="7">
        <v>53</v>
      </c>
      <c r="K2702" s="7">
        <v>296</v>
      </c>
      <c r="L2702" s="7">
        <v>343</v>
      </c>
      <c r="M2702" s="7">
        <v>11.4</v>
      </c>
      <c r="N2702">
        <f>VLOOKUP(A2702,vlookup_table!$A:$G,2,FALSE)</f>
        <v>2</v>
      </c>
      <c r="O2702" t="str">
        <f>VLOOKUP(A2702,vlookup_table!$A:$G,3,FALSE)</f>
        <v>SC</v>
      </c>
      <c r="P2702">
        <f>VLOOKUP(A2702,vlookup_table!$A:$G,4,FALSE)</f>
        <v>3101</v>
      </c>
      <c r="Q2702" t="str">
        <f>VLOOKUP(A2702,vlookup_table!$A:$G,5,FALSE)</f>
        <v>T2</v>
      </c>
      <c r="R2702" t="str">
        <f>VLOOKUP(A2702,vlookup_table!$A:$G,6,FALSE)</f>
        <v>F</v>
      </c>
      <c r="S2702">
        <f>VLOOKUP(A2702,vlookup_table!$A:$G,7,FALSE)</f>
        <v>11</v>
      </c>
      <c r="T2702">
        <f t="shared" si="84"/>
        <v>65</v>
      </c>
      <c r="U2702" t="str">
        <f t="shared" si="85"/>
        <v>Pueblo</v>
      </c>
    </row>
    <row r="2703" spans="1:21" ht="16" x14ac:dyDescent="0.4">
      <c r="A2703" s="7">
        <v>184644</v>
      </c>
      <c r="B2703" s="7" t="s">
        <v>60</v>
      </c>
      <c r="C2703" s="7" t="s">
        <v>14</v>
      </c>
      <c r="D2703" s="7">
        <v>1594</v>
      </c>
      <c r="E2703" s="7">
        <v>215</v>
      </c>
      <c r="F2703" s="7">
        <v>663</v>
      </c>
      <c r="G2703" s="7">
        <v>7</v>
      </c>
      <c r="H2703" s="7">
        <v>34426</v>
      </c>
      <c r="I2703" s="7">
        <v>7</v>
      </c>
      <c r="J2703" s="7">
        <v>26</v>
      </c>
      <c r="K2703" s="7">
        <v>526</v>
      </c>
      <c r="L2703" s="7">
        <v>330</v>
      </c>
      <c r="M2703" s="7">
        <v>25</v>
      </c>
      <c r="N2703">
        <f>VLOOKUP(A2703,vlookup_table!$A:$G,2,FALSE)</f>
        <v>0</v>
      </c>
      <c r="O2703" t="str">
        <f>VLOOKUP(A2703,vlookup_table!$A:$G,3,FALSE)</f>
        <v>AK</v>
      </c>
      <c r="P2703">
        <f>VLOOKUP(A2703,vlookup_table!$A:$G,4,FALSE)</f>
        <v>2601</v>
      </c>
      <c r="Q2703" t="str">
        <f>VLOOKUP(A2703,vlookup_table!$A:$G,5,FALSE)</f>
        <v>T3</v>
      </c>
      <c r="R2703" t="str">
        <f>VLOOKUP(A2703,vlookup_table!$A:$G,6,FALSE)</f>
        <v>M</v>
      </c>
      <c r="S2703">
        <f>VLOOKUP(A2703,vlookup_table!$A:$G,7,FALSE)</f>
        <v>20</v>
      </c>
      <c r="T2703">
        <f t="shared" si="84"/>
        <v>70</v>
      </c>
      <c r="U2703" t="str">
        <f t="shared" si="85"/>
        <v>Pueblo</v>
      </c>
    </row>
    <row r="2704" spans="1:21" ht="16" x14ac:dyDescent="0.4">
      <c r="A2704" s="7">
        <v>7676</v>
      </c>
      <c r="B2704" s="7" t="s">
        <v>31</v>
      </c>
      <c r="C2704" s="7" t="s">
        <v>97</v>
      </c>
      <c r="D2704" s="7">
        <v>466</v>
      </c>
      <c r="E2704" s="7">
        <v>244</v>
      </c>
      <c r="F2704" s="7">
        <v>307</v>
      </c>
      <c r="G2704" s="7">
        <v>0</v>
      </c>
      <c r="H2704" s="7">
        <v>10532</v>
      </c>
      <c r="I2704" s="7">
        <v>2</v>
      </c>
      <c r="J2704" s="7">
        <v>57</v>
      </c>
      <c r="K2704" s="7">
        <v>280</v>
      </c>
      <c r="L2704" s="7">
        <v>280</v>
      </c>
      <c r="M2704" s="7">
        <v>13.782608700000001</v>
      </c>
      <c r="N2704">
        <f>VLOOKUP(A2704,vlookup_table!$A:$G,2,FALSE)</f>
        <v>0</v>
      </c>
      <c r="O2704" t="str">
        <f>VLOOKUP(A2704,vlookup_table!$A:$G,3,FALSE)</f>
        <v>MT</v>
      </c>
      <c r="P2704">
        <f>VLOOKUP(A2704,vlookup_table!$A:$G,4,FALSE)</f>
        <v>0</v>
      </c>
      <c r="Q2704" t="str">
        <f>VLOOKUP(A2704,vlookup_table!$A:$G,5,FALSE)</f>
        <v>R2</v>
      </c>
      <c r="R2704" t="str">
        <f>VLOOKUP(A2704,vlookup_table!$A:$G,6,FALSE)</f>
        <v>F</v>
      </c>
      <c r="S2704">
        <f>VLOOKUP(A2704,vlookup_table!$A:$G,7,FALSE)</f>
        <v>35</v>
      </c>
      <c r="T2704">
        <f t="shared" si="84"/>
        <v>96</v>
      </c>
      <c r="U2704" t="str">
        <f t="shared" si="85"/>
        <v>Rural</v>
      </c>
    </row>
    <row r="2705" spans="1:21" ht="16" x14ac:dyDescent="0.4">
      <c r="A2705" s="7">
        <v>83983</v>
      </c>
      <c r="B2705" s="7" t="s">
        <v>52</v>
      </c>
      <c r="C2705" s="7" t="s">
        <v>14</v>
      </c>
      <c r="D2705" s="7">
        <v>866</v>
      </c>
      <c r="E2705" s="7">
        <v>375</v>
      </c>
      <c r="F2705" s="7">
        <v>573</v>
      </c>
      <c r="G2705" s="7">
        <v>4</v>
      </c>
      <c r="H2705" s="7">
        <v>24617</v>
      </c>
      <c r="I2705" s="7">
        <v>6</v>
      </c>
      <c r="J2705" s="7">
        <v>64</v>
      </c>
      <c r="K2705" s="7">
        <v>423</v>
      </c>
      <c r="L2705" s="7">
        <v>483</v>
      </c>
      <c r="M2705" s="7">
        <v>14.5</v>
      </c>
      <c r="N2705">
        <f>VLOOKUP(A2705,vlookup_table!$A:$G,2,FALSE)</f>
        <v>0</v>
      </c>
      <c r="O2705" t="str">
        <f>VLOOKUP(A2705,vlookup_table!$A:$G,3,FALSE)</f>
        <v>MN</v>
      </c>
      <c r="P2705">
        <f>VLOOKUP(A2705,vlookup_table!$A:$G,4,FALSE)</f>
        <v>2305</v>
      </c>
      <c r="Q2705" t="str">
        <f>VLOOKUP(A2705,vlookup_table!$A:$G,5,FALSE)</f>
        <v>S1</v>
      </c>
      <c r="R2705" t="str">
        <f>VLOOKUP(A2705,vlookup_table!$A:$G,6,FALSE)</f>
        <v>M</v>
      </c>
      <c r="S2705">
        <f>VLOOKUP(A2705,vlookup_table!$A:$G,7,FALSE)</f>
        <v>15</v>
      </c>
      <c r="T2705">
        <f t="shared" si="84"/>
        <v>73</v>
      </c>
      <c r="U2705" t="str">
        <f t="shared" si="85"/>
        <v>Suburbano</v>
      </c>
    </row>
    <row r="2706" spans="1:21" ht="16" x14ac:dyDescent="0.4">
      <c r="A2706" s="7">
        <v>99567</v>
      </c>
      <c r="B2706" s="7" t="s">
        <v>33</v>
      </c>
      <c r="C2706" s="7" t="s">
        <v>17</v>
      </c>
      <c r="D2706" s="7">
        <v>734</v>
      </c>
      <c r="E2706" s="7">
        <v>419</v>
      </c>
      <c r="F2706" s="7">
        <v>481</v>
      </c>
      <c r="G2706" s="7">
        <v>0</v>
      </c>
      <c r="H2706" s="7">
        <v>16029</v>
      </c>
      <c r="I2706" s="7">
        <v>3</v>
      </c>
      <c r="J2706" s="7">
        <v>71</v>
      </c>
      <c r="K2706" s="7">
        <v>470</v>
      </c>
      <c r="L2706" s="7">
        <v>452</v>
      </c>
      <c r="M2706" s="7">
        <v>11.25</v>
      </c>
      <c r="N2706">
        <f>VLOOKUP(A2706,vlookup_table!$A:$G,2,FALSE)</f>
        <v>0</v>
      </c>
      <c r="O2706" t="str">
        <f>VLOOKUP(A2706,vlookup_table!$A:$G,3,FALSE)</f>
        <v>MO</v>
      </c>
      <c r="P2706">
        <f>VLOOKUP(A2706,vlookup_table!$A:$G,4,FALSE)</f>
        <v>3101</v>
      </c>
      <c r="Q2706" t="str">
        <f>VLOOKUP(A2706,vlookup_table!$A:$G,5,FALSE)</f>
        <v>S2</v>
      </c>
      <c r="R2706" t="str">
        <f>VLOOKUP(A2706,vlookup_table!$A:$G,6,FALSE)</f>
        <v>F</v>
      </c>
      <c r="S2706">
        <f>VLOOKUP(A2706,vlookup_table!$A:$G,7,FALSE)</f>
        <v>15</v>
      </c>
      <c r="T2706">
        <f t="shared" si="84"/>
        <v>65</v>
      </c>
      <c r="U2706" t="str">
        <f t="shared" si="85"/>
        <v>Suburbano</v>
      </c>
    </row>
    <row r="2707" spans="1:21" ht="16" x14ac:dyDescent="0.4">
      <c r="A2707" s="7">
        <v>141652</v>
      </c>
      <c r="B2707" s="7" t="s">
        <v>23</v>
      </c>
      <c r="C2707" s="7" t="s">
        <v>17</v>
      </c>
      <c r="D2707" s="7">
        <v>997</v>
      </c>
      <c r="E2707" s="7">
        <v>416</v>
      </c>
      <c r="F2707" s="7">
        <v>422</v>
      </c>
      <c r="G2707" s="7">
        <v>0</v>
      </c>
      <c r="H2707" s="7">
        <v>14118</v>
      </c>
      <c r="I2707" s="7">
        <v>4</v>
      </c>
      <c r="J2707" s="7">
        <v>19</v>
      </c>
      <c r="K2707" s="7">
        <v>420</v>
      </c>
      <c r="L2707" s="7">
        <v>416</v>
      </c>
      <c r="M2707" s="7">
        <v>11.222222220000001</v>
      </c>
      <c r="N2707">
        <f>VLOOKUP(A2707,vlookup_table!$A:$G,2,FALSE)</f>
        <v>0</v>
      </c>
      <c r="O2707" t="str">
        <f>VLOOKUP(A2707,vlookup_table!$A:$G,3,FALSE)</f>
        <v>NV</v>
      </c>
      <c r="P2707">
        <f>VLOOKUP(A2707,vlookup_table!$A:$G,4,FALSE)</f>
        <v>3801</v>
      </c>
      <c r="Q2707" t="str">
        <f>VLOOKUP(A2707,vlookup_table!$A:$G,5,FALSE)</f>
        <v>S2</v>
      </c>
      <c r="R2707" t="str">
        <f>VLOOKUP(A2707,vlookup_table!$A:$G,6,FALSE)</f>
        <v>F</v>
      </c>
      <c r="S2707">
        <f>VLOOKUP(A2707,vlookup_table!$A:$G,7,FALSE)</f>
        <v>13</v>
      </c>
      <c r="T2707">
        <f t="shared" si="84"/>
        <v>58</v>
      </c>
      <c r="U2707" t="str">
        <f t="shared" si="85"/>
        <v>Suburbano</v>
      </c>
    </row>
    <row r="2708" spans="1:21" ht="16" x14ac:dyDescent="0.4">
      <c r="A2708" s="7">
        <v>182325</v>
      </c>
      <c r="B2708" s="7" t="s">
        <v>37</v>
      </c>
      <c r="C2708" s="7" t="s">
        <v>14</v>
      </c>
      <c r="D2708" s="7">
        <v>683</v>
      </c>
      <c r="E2708" s="7">
        <v>199</v>
      </c>
      <c r="F2708" s="7">
        <v>341</v>
      </c>
      <c r="G2708" s="7">
        <v>1</v>
      </c>
      <c r="H2708" s="7">
        <v>13282</v>
      </c>
      <c r="I2708" s="7">
        <v>5</v>
      </c>
      <c r="J2708" s="7">
        <v>40</v>
      </c>
      <c r="K2708" s="7">
        <v>278</v>
      </c>
      <c r="L2708" s="7">
        <v>245</v>
      </c>
      <c r="M2708" s="7">
        <v>9</v>
      </c>
      <c r="N2708">
        <f>VLOOKUP(A2708,vlookup_table!$A:$G,2,FALSE)</f>
        <v>0</v>
      </c>
      <c r="O2708" t="str">
        <f>VLOOKUP(A2708,vlookup_table!$A:$G,3,FALSE)</f>
        <v>WA</v>
      </c>
      <c r="P2708">
        <f>VLOOKUP(A2708,vlookup_table!$A:$G,4,FALSE)</f>
        <v>0</v>
      </c>
      <c r="Q2708" t="str">
        <f>VLOOKUP(A2708,vlookup_table!$A:$G,5,FALSE)</f>
        <v>C2</v>
      </c>
      <c r="R2708" t="str">
        <f>VLOOKUP(A2708,vlookup_table!$A:$G,6,FALSE)</f>
        <v>M</v>
      </c>
      <c r="S2708">
        <f>VLOOKUP(A2708,vlookup_table!$A:$G,7,FALSE)</f>
        <v>10</v>
      </c>
      <c r="T2708">
        <f t="shared" si="84"/>
        <v>96</v>
      </c>
      <c r="U2708" t="str">
        <f t="shared" si="85"/>
        <v>Ciudad</v>
      </c>
    </row>
    <row r="2709" spans="1:21" ht="16" x14ac:dyDescent="0.4">
      <c r="A2709" s="7">
        <v>44370</v>
      </c>
      <c r="B2709" s="7" t="s">
        <v>13</v>
      </c>
      <c r="C2709" s="7" t="s">
        <v>17</v>
      </c>
      <c r="D2709" s="7">
        <v>1226</v>
      </c>
      <c r="E2709" s="7">
        <v>354</v>
      </c>
      <c r="F2709" s="7">
        <v>464</v>
      </c>
      <c r="G2709" s="7">
        <v>10</v>
      </c>
      <c r="H2709" s="7">
        <v>21501</v>
      </c>
      <c r="I2709" s="7">
        <v>4</v>
      </c>
      <c r="J2709" s="7">
        <v>4</v>
      </c>
      <c r="K2709" s="7">
        <v>416</v>
      </c>
      <c r="L2709" s="7">
        <v>410</v>
      </c>
      <c r="M2709" s="7">
        <v>4.4444444440000002</v>
      </c>
      <c r="N2709">
        <f>VLOOKUP(A2709,vlookup_table!$A:$G,2,FALSE)</f>
        <v>28</v>
      </c>
      <c r="O2709" t="str">
        <f>VLOOKUP(A2709,vlookup_table!$A:$G,3,FALSE)</f>
        <v>FL</v>
      </c>
      <c r="P2709">
        <f>VLOOKUP(A2709,vlookup_table!$A:$G,4,FALSE)</f>
        <v>1502</v>
      </c>
      <c r="Q2709" t="str">
        <f>VLOOKUP(A2709,vlookup_table!$A:$G,5,FALSE)</f>
        <v>C2</v>
      </c>
      <c r="R2709" t="str">
        <f>VLOOKUP(A2709,vlookup_table!$A:$G,6,FALSE)</f>
        <v>F</v>
      </c>
      <c r="S2709">
        <f>VLOOKUP(A2709,vlookup_table!$A:$G,7,FALSE)</f>
        <v>5</v>
      </c>
      <c r="T2709">
        <f t="shared" si="84"/>
        <v>81</v>
      </c>
      <c r="U2709" t="str">
        <f t="shared" si="85"/>
        <v>Ciudad</v>
      </c>
    </row>
    <row r="2710" spans="1:21" ht="16" x14ac:dyDescent="0.4">
      <c r="A2710" s="7">
        <v>48338</v>
      </c>
      <c r="B2710" s="7" t="s">
        <v>40</v>
      </c>
      <c r="C2710" s="7" t="s">
        <v>14</v>
      </c>
      <c r="D2710" s="7">
        <v>511</v>
      </c>
      <c r="E2710" s="7">
        <v>288</v>
      </c>
      <c r="F2710" s="7">
        <v>351</v>
      </c>
      <c r="G2710" s="7">
        <v>1</v>
      </c>
      <c r="H2710" s="7">
        <v>11357</v>
      </c>
      <c r="I2710" s="7">
        <v>0</v>
      </c>
      <c r="J2710" s="7">
        <v>85</v>
      </c>
      <c r="K2710" s="7">
        <v>327</v>
      </c>
      <c r="L2710" s="7">
        <v>312</v>
      </c>
      <c r="M2710" s="7">
        <v>25</v>
      </c>
      <c r="N2710">
        <f>VLOOKUP(A2710,vlookup_table!$A:$G,2,FALSE)</f>
        <v>0</v>
      </c>
      <c r="O2710" t="str">
        <f>VLOOKUP(A2710,vlookup_table!$A:$G,3,FALSE)</f>
        <v>AL</v>
      </c>
      <c r="P2710">
        <f>VLOOKUP(A2710,vlookup_table!$A:$G,4,FALSE)</f>
        <v>4301</v>
      </c>
      <c r="Q2710" t="str">
        <f>VLOOKUP(A2710,vlookup_table!$A:$G,5,FALSE)</f>
        <v>T2</v>
      </c>
      <c r="R2710" t="str">
        <f>VLOOKUP(A2710,vlookup_table!$A:$G,6,FALSE)</f>
        <v>M</v>
      </c>
      <c r="S2710">
        <f>VLOOKUP(A2710,vlookup_table!$A:$G,7,FALSE)</f>
        <v>25</v>
      </c>
      <c r="T2710">
        <f t="shared" si="84"/>
        <v>53</v>
      </c>
      <c r="U2710" t="str">
        <f t="shared" si="85"/>
        <v>Pueblo</v>
      </c>
    </row>
    <row r="2711" spans="1:21" ht="16" x14ac:dyDescent="0.4">
      <c r="A2711" s="7">
        <v>97077</v>
      </c>
      <c r="B2711" s="7" t="s">
        <v>16</v>
      </c>
      <c r="C2711" s="7" t="s">
        <v>17</v>
      </c>
      <c r="D2711" s="7">
        <v>820</v>
      </c>
      <c r="E2711" s="7">
        <v>454</v>
      </c>
      <c r="F2711" s="7">
        <v>595</v>
      </c>
      <c r="G2711" s="7">
        <v>6</v>
      </c>
      <c r="H2711" s="7">
        <v>24703</v>
      </c>
      <c r="I2711" s="7">
        <v>5</v>
      </c>
      <c r="J2711" s="7">
        <v>67</v>
      </c>
      <c r="K2711" s="7">
        <v>476</v>
      </c>
      <c r="L2711" s="7">
        <v>555</v>
      </c>
      <c r="M2711" s="7">
        <v>9.5</v>
      </c>
      <c r="N2711">
        <f>VLOOKUP(A2711,vlookup_table!$A:$G,2,FALSE)</f>
        <v>0</v>
      </c>
      <c r="O2711" t="str">
        <f>VLOOKUP(A2711,vlookup_table!$A:$G,3,FALSE)</f>
        <v>IL</v>
      </c>
      <c r="P2711">
        <f>VLOOKUP(A2711,vlookup_table!$A:$G,4,FALSE)</f>
        <v>2807</v>
      </c>
      <c r="Q2711" t="str">
        <f>VLOOKUP(A2711,vlookup_table!$A:$G,5,FALSE)</f>
        <v>C1</v>
      </c>
      <c r="R2711" t="str">
        <f>VLOOKUP(A2711,vlookup_table!$A:$G,6,FALSE)</f>
        <v>F</v>
      </c>
      <c r="S2711">
        <f>VLOOKUP(A2711,vlookup_table!$A:$G,7,FALSE)</f>
        <v>12</v>
      </c>
      <c r="T2711">
        <f t="shared" si="84"/>
        <v>68</v>
      </c>
      <c r="U2711" t="str">
        <f t="shared" si="85"/>
        <v>Ciudad</v>
      </c>
    </row>
    <row r="2712" spans="1:21" ht="16" x14ac:dyDescent="0.4">
      <c r="A2712" s="7">
        <v>160975</v>
      </c>
      <c r="B2712" s="7" t="s">
        <v>45</v>
      </c>
      <c r="C2712" s="7" t="s">
        <v>14</v>
      </c>
      <c r="D2712" s="7">
        <v>1209</v>
      </c>
      <c r="E2712" s="7">
        <v>471</v>
      </c>
      <c r="F2712" s="7">
        <v>557</v>
      </c>
      <c r="G2712" s="7">
        <v>7</v>
      </c>
      <c r="H2712" s="7">
        <v>18220</v>
      </c>
      <c r="I2712" s="7">
        <v>4</v>
      </c>
      <c r="J2712" s="7">
        <v>24</v>
      </c>
      <c r="K2712" s="7">
        <v>496</v>
      </c>
      <c r="L2712" s="7">
        <v>524</v>
      </c>
      <c r="M2712" s="7">
        <v>12.5</v>
      </c>
      <c r="N2712">
        <f>VLOOKUP(A2712,vlookup_table!$A:$G,2,FALSE)</f>
        <v>0</v>
      </c>
      <c r="O2712" t="str">
        <f>VLOOKUP(A2712,vlookup_table!$A:$G,3,FALSE)</f>
        <v>CO</v>
      </c>
      <c r="P2712">
        <f>VLOOKUP(A2712,vlookup_table!$A:$G,4,FALSE)</f>
        <v>0</v>
      </c>
      <c r="Q2712" t="str">
        <f>VLOOKUP(A2712,vlookup_table!$A:$G,5,FALSE)</f>
        <v>T2</v>
      </c>
      <c r="R2712" t="str">
        <f>VLOOKUP(A2712,vlookup_table!$A:$G,6,FALSE)</f>
        <v>M</v>
      </c>
      <c r="S2712">
        <f>VLOOKUP(A2712,vlookup_table!$A:$G,7,FALSE)</f>
        <v>15</v>
      </c>
      <c r="T2712">
        <f t="shared" si="84"/>
        <v>96</v>
      </c>
      <c r="U2712" t="str">
        <f t="shared" si="85"/>
        <v>Pueblo</v>
      </c>
    </row>
    <row r="2713" spans="1:21" ht="16" x14ac:dyDescent="0.4">
      <c r="A2713" s="7">
        <v>114828</v>
      </c>
      <c r="B2713" s="7" t="s">
        <v>28</v>
      </c>
      <c r="C2713" s="7" t="s">
        <v>27</v>
      </c>
      <c r="D2713" s="7">
        <v>440</v>
      </c>
      <c r="E2713" s="7">
        <v>215</v>
      </c>
      <c r="F2713" s="7">
        <v>320</v>
      </c>
      <c r="G2713" s="7">
        <v>4</v>
      </c>
      <c r="H2713" s="7">
        <v>12060</v>
      </c>
      <c r="I2713" s="7">
        <v>1</v>
      </c>
      <c r="J2713" s="7">
        <v>59</v>
      </c>
      <c r="K2713" s="7">
        <v>254</v>
      </c>
      <c r="L2713" s="7">
        <v>278</v>
      </c>
      <c r="M2713" s="7">
        <v>3.1489361699999998</v>
      </c>
      <c r="N2713">
        <f>VLOOKUP(A2713,vlookup_table!$A:$G,2,FALSE)</f>
        <v>2</v>
      </c>
      <c r="O2713" t="str">
        <f>VLOOKUP(A2713,vlookup_table!$A:$G,3,FALSE)</f>
        <v>OK</v>
      </c>
      <c r="P2713">
        <f>VLOOKUP(A2713,vlookup_table!$A:$G,4,FALSE)</f>
        <v>0</v>
      </c>
      <c r="Q2713" t="str">
        <f>VLOOKUP(A2713,vlookup_table!$A:$G,5,FALSE)</f>
        <v>R2</v>
      </c>
      <c r="R2713" t="str">
        <f>VLOOKUP(A2713,vlookup_table!$A:$G,6,FALSE)</f>
        <v>U</v>
      </c>
      <c r="S2713">
        <f>VLOOKUP(A2713,vlookup_table!$A:$G,7,FALSE)</f>
        <v>4</v>
      </c>
      <c r="T2713">
        <f t="shared" si="84"/>
        <v>96</v>
      </c>
      <c r="U2713" t="str">
        <f t="shared" si="85"/>
        <v>Rural</v>
      </c>
    </row>
    <row r="2714" spans="1:21" ht="16" x14ac:dyDescent="0.4">
      <c r="A2714" s="7">
        <v>182181</v>
      </c>
      <c r="B2714" s="7" t="s">
        <v>37</v>
      </c>
      <c r="C2714" s="7" t="s">
        <v>14</v>
      </c>
      <c r="D2714" s="7">
        <v>940</v>
      </c>
      <c r="E2714" s="7">
        <v>335</v>
      </c>
      <c r="F2714" s="7">
        <v>471</v>
      </c>
      <c r="G2714" s="7">
        <v>6</v>
      </c>
      <c r="H2714" s="7">
        <v>17478</v>
      </c>
      <c r="I2714" s="7">
        <v>6</v>
      </c>
      <c r="J2714" s="7">
        <v>50</v>
      </c>
      <c r="K2714" s="7">
        <v>408</v>
      </c>
      <c r="L2714" s="7">
        <v>404</v>
      </c>
      <c r="M2714" s="7">
        <v>16</v>
      </c>
      <c r="N2714">
        <f>VLOOKUP(A2714,vlookup_table!$A:$G,2,FALSE)</f>
        <v>0</v>
      </c>
      <c r="O2714" t="str">
        <f>VLOOKUP(A2714,vlookup_table!$A:$G,3,FALSE)</f>
        <v>WA</v>
      </c>
      <c r="P2714">
        <f>VLOOKUP(A2714,vlookup_table!$A:$G,4,FALSE)</f>
        <v>6201</v>
      </c>
      <c r="Q2714" t="str">
        <f>VLOOKUP(A2714,vlookup_table!$A:$G,5,FALSE)</f>
        <v>S1</v>
      </c>
      <c r="R2714" t="str">
        <f>VLOOKUP(A2714,vlookup_table!$A:$G,6,FALSE)</f>
        <v>M</v>
      </c>
      <c r="S2714">
        <f>VLOOKUP(A2714,vlookup_table!$A:$G,7,FALSE)</f>
        <v>20</v>
      </c>
      <c r="T2714">
        <f t="shared" si="84"/>
        <v>34</v>
      </c>
      <c r="U2714" t="str">
        <f t="shared" si="85"/>
        <v>Suburbano</v>
      </c>
    </row>
    <row r="2715" spans="1:21" ht="16" x14ac:dyDescent="0.4">
      <c r="A2715" s="7">
        <v>75481</v>
      </c>
      <c r="B2715" s="7" t="s">
        <v>44</v>
      </c>
      <c r="C2715" s="7" t="s">
        <v>14</v>
      </c>
      <c r="D2715" s="7">
        <v>363</v>
      </c>
      <c r="E2715" s="7">
        <v>250</v>
      </c>
      <c r="F2715" s="7">
        <v>390</v>
      </c>
      <c r="G2715" s="7">
        <v>0</v>
      </c>
      <c r="H2715" s="7">
        <v>13053</v>
      </c>
      <c r="I2715" s="7">
        <v>0</v>
      </c>
      <c r="J2715" s="7">
        <v>89</v>
      </c>
      <c r="K2715" s="7">
        <v>269</v>
      </c>
      <c r="L2715" s="7">
        <v>360</v>
      </c>
      <c r="M2715" s="7">
        <v>5.8636363640000004</v>
      </c>
      <c r="N2715">
        <f>VLOOKUP(A2715,vlookup_table!$A:$G,2,FALSE)</f>
        <v>1</v>
      </c>
      <c r="O2715" t="str">
        <f>VLOOKUP(A2715,vlookup_table!$A:$G,3,FALSE)</f>
        <v>IA</v>
      </c>
      <c r="P2715">
        <f>VLOOKUP(A2715,vlookup_table!$A:$G,4,FALSE)</f>
        <v>2901</v>
      </c>
      <c r="Q2715" t="str">
        <f>VLOOKUP(A2715,vlookup_table!$A:$G,5,FALSE)</f>
        <v>R2</v>
      </c>
      <c r="R2715" t="str">
        <f>VLOOKUP(A2715,vlookup_table!$A:$G,6,FALSE)</f>
        <v>M</v>
      </c>
      <c r="S2715">
        <f>VLOOKUP(A2715,vlookup_table!$A:$G,7,FALSE)</f>
        <v>8</v>
      </c>
      <c r="T2715">
        <f t="shared" si="84"/>
        <v>67</v>
      </c>
      <c r="U2715" t="str">
        <f t="shared" si="85"/>
        <v>Rural</v>
      </c>
    </row>
    <row r="2716" spans="1:21" ht="16" x14ac:dyDescent="0.4">
      <c r="A2716" s="7">
        <v>13566</v>
      </c>
      <c r="B2716" s="7" t="s">
        <v>16</v>
      </c>
      <c r="C2716" s="7" t="s">
        <v>14</v>
      </c>
      <c r="D2716" s="7">
        <v>1493</v>
      </c>
      <c r="E2716" s="7">
        <v>346</v>
      </c>
      <c r="F2716" s="7">
        <v>475</v>
      </c>
      <c r="G2716" s="7">
        <v>12</v>
      </c>
      <c r="H2716" s="7">
        <v>16740</v>
      </c>
      <c r="I2716" s="7">
        <v>25</v>
      </c>
      <c r="J2716" s="7">
        <v>67</v>
      </c>
      <c r="K2716" s="7">
        <v>399</v>
      </c>
      <c r="L2716" s="7">
        <v>416</v>
      </c>
      <c r="M2716" s="7">
        <v>10.75</v>
      </c>
      <c r="N2716">
        <f>VLOOKUP(A2716,vlookup_table!$A:$G,2,FALSE)</f>
        <v>0</v>
      </c>
      <c r="O2716" t="str">
        <f>VLOOKUP(A2716,vlookup_table!$A:$G,3,FALSE)</f>
        <v>IL</v>
      </c>
      <c r="P2716">
        <f>VLOOKUP(A2716,vlookup_table!$A:$G,4,FALSE)</f>
        <v>0</v>
      </c>
      <c r="Q2716" t="str">
        <f>VLOOKUP(A2716,vlookup_table!$A:$G,5,FALSE)</f>
        <v>U2</v>
      </c>
      <c r="R2716" t="str">
        <f>VLOOKUP(A2716,vlookup_table!$A:$G,6,FALSE)</f>
        <v>M</v>
      </c>
      <c r="S2716">
        <f>VLOOKUP(A2716,vlookup_table!$A:$G,7,FALSE)</f>
        <v>13</v>
      </c>
      <c r="T2716">
        <f t="shared" si="84"/>
        <v>96</v>
      </c>
      <c r="U2716" t="str">
        <f t="shared" si="85"/>
        <v>Urbano</v>
      </c>
    </row>
    <row r="2717" spans="1:21" ht="16" x14ac:dyDescent="0.4">
      <c r="A2717" s="7">
        <v>187612</v>
      </c>
      <c r="B2717" s="7" t="s">
        <v>51</v>
      </c>
      <c r="C2717" s="7" t="s">
        <v>14</v>
      </c>
      <c r="D2717" s="7">
        <v>881</v>
      </c>
      <c r="E2717" s="7">
        <v>305</v>
      </c>
      <c r="F2717" s="7">
        <v>403</v>
      </c>
      <c r="G2717" s="7">
        <v>0</v>
      </c>
      <c r="H2717" s="7">
        <v>15128</v>
      </c>
      <c r="I2717" s="7">
        <v>5</v>
      </c>
      <c r="J2717" s="7">
        <v>28</v>
      </c>
      <c r="K2717" s="7">
        <v>379</v>
      </c>
      <c r="L2717" s="7">
        <v>348</v>
      </c>
      <c r="M2717" s="7">
        <v>13.4</v>
      </c>
      <c r="N2717">
        <f>VLOOKUP(A2717,vlookup_table!$A:$G,2,FALSE)</f>
        <v>1</v>
      </c>
      <c r="O2717" t="str">
        <f>VLOOKUP(A2717,vlookup_table!$A:$G,3,FALSE)</f>
        <v>AZ</v>
      </c>
      <c r="P2717">
        <f>VLOOKUP(A2717,vlookup_table!$A:$G,4,FALSE)</f>
        <v>0</v>
      </c>
      <c r="Q2717" t="str">
        <f>VLOOKUP(A2717,vlookup_table!$A:$G,5,FALSE)</f>
        <v>S1</v>
      </c>
      <c r="R2717" t="str">
        <f>VLOOKUP(A2717,vlookup_table!$A:$G,6,FALSE)</f>
        <v>M</v>
      </c>
      <c r="S2717">
        <f>VLOOKUP(A2717,vlookup_table!$A:$G,7,FALSE)</f>
        <v>15</v>
      </c>
      <c r="T2717">
        <f t="shared" si="84"/>
        <v>96</v>
      </c>
      <c r="U2717" t="str">
        <f t="shared" si="85"/>
        <v>Suburbano</v>
      </c>
    </row>
    <row r="2718" spans="1:21" ht="16" x14ac:dyDescent="0.4">
      <c r="A2718" s="7">
        <v>143529</v>
      </c>
      <c r="B2718" s="7" t="s">
        <v>21</v>
      </c>
      <c r="C2718" s="7" t="s">
        <v>17</v>
      </c>
      <c r="D2718" s="7">
        <v>1310</v>
      </c>
      <c r="E2718" s="7">
        <v>327</v>
      </c>
      <c r="F2718" s="7">
        <v>399</v>
      </c>
      <c r="G2718" s="7">
        <v>5</v>
      </c>
      <c r="H2718" s="7">
        <v>11859</v>
      </c>
      <c r="I2718" s="7">
        <v>14</v>
      </c>
      <c r="J2718" s="7">
        <v>50</v>
      </c>
      <c r="K2718" s="7">
        <v>316</v>
      </c>
      <c r="L2718" s="7">
        <v>411</v>
      </c>
      <c r="M2718" s="7">
        <v>20</v>
      </c>
      <c r="N2718">
        <f>VLOOKUP(A2718,vlookup_table!$A:$G,2,FALSE)</f>
        <v>0</v>
      </c>
      <c r="O2718" t="str">
        <f>VLOOKUP(A2718,vlookup_table!$A:$G,3,FALSE)</f>
        <v>CA</v>
      </c>
      <c r="P2718">
        <f>VLOOKUP(A2718,vlookup_table!$A:$G,4,FALSE)</f>
        <v>201</v>
      </c>
      <c r="Q2718" t="str">
        <f>VLOOKUP(A2718,vlookup_table!$A:$G,5,FALSE)</f>
        <v>U3</v>
      </c>
      <c r="R2718" t="str">
        <f>VLOOKUP(A2718,vlookup_table!$A:$G,6,FALSE)</f>
        <v>F</v>
      </c>
      <c r="S2718">
        <f>VLOOKUP(A2718,vlookup_table!$A:$G,7,FALSE)</f>
        <v>25</v>
      </c>
      <c r="T2718">
        <f t="shared" si="84"/>
        <v>76</v>
      </c>
      <c r="U2718" t="str">
        <f t="shared" si="85"/>
        <v>Urbano</v>
      </c>
    </row>
    <row r="2719" spans="1:21" ht="16" x14ac:dyDescent="0.4">
      <c r="A2719" s="7">
        <v>152376</v>
      </c>
      <c r="B2719" s="7" t="s">
        <v>21</v>
      </c>
      <c r="C2719" s="7" t="s">
        <v>17</v>
      </c>
      <c r="D2719" s="7">
        <v>2959</v>
      </c>
      <c r="E2719" s="7">
        <v>404</v>
      </c>
      <c r="F2719" s="7">
        <v>536</v>
      </c>
      <c r="G2719" s="7">
        <v>76</v>
      </c>
      <c r="H2719" s="7">
        <v>19718</v>
      </c>
      <c r="I2719" s="7">
        <v>15</v>
      </c>
      <c r="J2719" s="7">
        <v>31</v>
      </c>
      <c r="K2719" s="7">
        <v>434</v>
      </c>
      <c r="L2719" s="7">
        <v>500</v>
      </c>
      <c r="M2719" s="7">
        <v>9.4444444440000002</v>
      </c>
      <c r="N2719">
        <f>VLOOKUP(A2719,vlookup_table!$A:$G,2,FALSE)</f>
        <v>0</v>
      </c>
      <c r="O2719" t="str">
        <f>VLOOKUP(A2719,vlookup_table!$A:$G,3,FALSE)</f>
        <v>CA</v>
      </c>
      <c r="P2719">
        <f>VLOOKUP(A2719,vlookup_table!$A:$G,4,FALSE)</f>
        <v>0</v>
      </c>
      <c r="Q2719" t="str">
        <f>VLOOKUP(A2719,vlookup_table!$A:$G,5,FALSE)</f>
        <v>S2</v>
      </c>
      <c r="R2719" t="str">
        <f>VLOOKUP(A2719,vlookup_table!$A:$G,6,FALSE)</f>
        <v>F</v>
      </c>
      <c r="S2719">
        <f>VLOOKUP(A2719,vlookup_table!$A:$G,7,FALSE)</f>
        <v>10</v>
      </c>
      <c r="T2719">
        <f t="shared" si="84"/>
        <v>96</v>
      </c>
      <c r="U2719" t="str">
        <f t="shared" si="85"/>
        <v>Suburbano</v>
      </c>
    </row>
    <row r="2720" spans="1:21" ht="16" x14ac:dyDescent="0.4">
      <c r="A2720" s="7">
        <v>22150</v>
      </c>
      <c r="B2720" s="7" t="s">
        <v>18</v>
      </c>
      <c r="C2720" s="7" t="s">
        <v>97</v>
      </c>
      <c r="D2720" s="7">
        <v>639</v>
      </c>
      <c r="E2720" s="7">
        <v>228</v>
      </c>
      <c r="F2720" s="7">
        <v>333</v>
      </c>
      <c r="G2720" s="7">
        <v>2</v>
      </c>
      <c r="H2720" s="7">
        <v>12224</v>
      </c>
      <c r="I2720" s="7">
        <v>1</v>
      </c>
      <c r="J2720" s="7">
        <v>77</v>
      </c>
      <c r="K2720" s="7">
        <v>269</v>
      </c>
      <c r="L2720" s="7">
        <v>289</v>
      </c>
      <c r="M2720" s="7">
        <v>3.8</v>
      </c>
      <c r="N2720">
        <f>VLOOKUP(A2720,vlookup_table!$A:$G,2,FALSE)</f>
        <v>0</v>
      </c>
      <c r="O2720" t="str">
        <f>VLOOKUP(A2720,vlookup_table!$A:$G,3,FALSE)</f>
        <v>NC</v>
      </c>
      <c r="P2720">
        <f>VLOOKUP(A2720,vlookup_table!$A:$G,4,FALSE)</f>
        <v>4401</v>
      </c>
      <c r="Q2720" t="str">
        <f>VLOOKUP(A2720,vlookup_table!$A:$G,5,FALSE)</f>
        <v>T3</v>
      </c>
      <c r="R2720" t="str">
        <f>VLOOKUP(A2720,vlookup_table!$A:$G,6,FALSE)</f>
        <v>F</v>
      </c>
      <c r="S2720">
        <f>VLOOKUP(A2720,vlookup_table!$A:$G,7,FALSE)</f>
        <v>5</v>
      </c>
      <c r="T2720">
        <f t="shared" si="84"/>
        <v>52</v>
      </c>
      <c r="U2720" t="str">
        <f t="shared" si="85"/>
        <v>Pueblo</v>
      </c>
    </row>
    <row r="2721" spans="1:21" ht="16" x14ac:dyDescent="0.4">
      <c r="A2721" s="7">
        <v>120559</v>
      </c>
      <c r="B2721" s="7" t="s">
        <v>20</v>
      </c>
      <c r="C2721" s="7" t="s">
        <v>14</v>
      </c>
      <c r="D2721" s="7">
        <v>379</v>
      </c>
      <c r="E2721" s="7">
        <v>179</v>
      </c>
      <c r="F2721" s="7">
        <v>278</v>
      </c>
      <c r="G2721" s="7">
        <v>0</v>
      </c>
      <c r="H2721" s="7">
        <v>8879</v>
      </c>
      <c r="I2721" s="7">
        <v>3</v>
      </c>
      <c r="J2721" s="7">
        <v>79</v>
      </c>
      <c r="K2721" s="7">
        <v>236</v>
      </c>
      <c r="L2721" s="7">
        <v>230</v>
      </c>
      <c r="M2721" s="7">
        <v>10.5</v>
      </c>
      <c r="N2721">
        <f>VLOOKUP(A2721,vlookup_table!$A:$G,2,FALSE)</f>
        <v>0</v>
      </c>
      <c r="O2721" t="str">
        <f>VLOOKUP(A2721,vlookup_table!$A:$G,3,FALSE)</f>
        <v>TX</v>
      </c>
      <c r="P2721">
        <f>VLOOKUP(A2721,vlookup_table!$A:$G,4,FALSE)</f>
        <v>3601</v>
      </c>
      <c r="Q2721" t="str">
        <f>VLOOKUP(A2721,vlookup_table!$A:$G,5,FALSE)</f>
        <v>T2</v>
      </c>
      <c r="R2721" t="str">
        <f>VLOOKUP(A2721,vlookup_table!$A:$G,6,FALSE)</f>
        <v>M</v>
      </c>
      <c r="S2721">
        <f>VLOOKUP(A2721,vlookup_table!$A:$G,7,FALSE)</f>
        <v>12</v>
      </c>
      <c r="T2721">
        <f t="shared" si="84"/>
        <v>60</v>
      </c>
      <c r="U2721" t="str">
        <f t="shared" si="85"/>
        <v>Pueblo</v>
      </c>
    </row>
    <row r="2722" spans="1:21" ht="16" x14ac:dyDescent="0.4">
      <c r="A2722" s="7">
        <v>148213</v>
      </c>
      <c r="B2722" s="7" t="s">
        <v>21</v>
      </c>
      <c r="C2722" s="7" t="s">
        <v>14</v>
      </c>
      <c r="D2722" s="7">
        <v>2776</v>
      </c>
      <c r="E2722" s="7">
        <v>651</v>
      </c>
      <c r="F2722" s="7">
        <v>717</v>
      </c>
      <c r="G2722" s="7">
        <v>94</v>
      </c>
      <c r="H2722" s="7">
        <v>19603</v>
      </c>
      <c r="I2722" s="7">
        <v>28</v>
      </c>
      <c r="J2722" s="7">
        <v>40</v>
      </c>
      <c r="K2722" s="7">
        <v>667</v>
      </c>
      <c r="L2722" s="7">
        <v>715</v>
      </c>
      <c r="M2722" s="7">
        <v>12.5</v>
      </c>
      <c r="N2722">
        <f>VLOOKUP(A2722,vlookup_table!$A:$G,2,FALSE)</f>
        <v>2</v>
      </c>
      <c r="O2722" t="str">
        <f>VLOOKUP(A2722,vlookup_table!$A:$G,3,FALSE)</f>
        <v>CA</v>
      </c>
      <c r="P2722">
        <f>VLOOKUP(A2722,vlookup_table!$A:$G,4,FALSE)</f>
        <v>2901</v>
      </c>
      <c r="Q2722" t="str">
        <f>VLOOKUP(A2722,vlookup_table!$A:$G,5,FALSE)</f>
        <v>S1</v>
      </c>
      <c r="R2722" t="str">
        <f>VLOOKUP(A2722,vlookup_table!$A:$G,6,FALSE)</f>
        <v>M</v>
      </c>
      <c r="S2722">
        <f>VLOOKUP(A2722,vlookup_table!$A:$G,7,FALSE)</f>
        <v>14</v>
      </c>
      <c r="T2722">
        <f t="shared" si="84"/>
        <v>67</v>
      </c>
      <c r="U2722" t="str">
        <f t="shared" si="85"/>
        <v>Suburbano</v>
      </c>
    </row>
    <row r="2723" spans="1:21" ht="16" x14ac:dyDescent="0.4">
      <c r="A2723" s="7">
        <v>180787</v>
      </c>
      <c r="B2723" s="7" t="s">
        <v>37</v>
      </c>
      <c r="C2723" s="7" t="s">
        <v>14</v>
      </c>
      <c r="D2723" s="7">
        <v>1113</v>
      </c>
      <c r="E2723" s="7">
        <v>206</v>
      </c>
      <c r="F2723" s="7">
        <v>271</v>
      </c>
      <c r="G2723" s="7">
        <v>7</v>
      </c>
      <c r="H2723" s="7">
        <v>11015</v>
      </c>
      <c r="I2723" s="7">
        <v>2</v>
      </c>
      <c r="J2723" s="7">
        <v>64</v>
      </c>
      <c r="K2723" s="7">
        <v>213</v>
      </c>
      <c r="L2723" s="7">
        <v>252</v>
      </c>
      <c r="M2723" s="7">
        <v>20</v>
      </c>
      <c r="N2723">
        <f>VLOOKUP(A2723,vlookup_table!$A:$G,2,FALSE)</f>
        <v>1002</v>
      </c>
      <c r="O2723" t="str">
        <f>VLOOKUP(A2723,vlookup_table!$A:$G,3,FALSE)</f>
        <v>WA</v>
      </c>
      <c r="P2723">
        <f>VLOOKUP(A2723,vlookup_table!$A:$G,4,FALSE)</f>
        <v>6001</v>
      </c>
      <c r="Q2723" t="str">
        <f>VLOOKUP(A2723,vlookup_table!$A:$G,5,FALSE)</f>
        <v>T2</v>
      </c>
      <c r="R2723" t="str">
        <f>VLOOKUP(A2723,vlookup_table!$A:$G,6,FALSE)</f>
        <v>M</v>
      </c>
      <c r="S2723">
        <f>VLOOKUP(A2723,vlookup_table!$A:$G,7,FALSE)</f>
        <v>20</v>
      </c>
      <c r="T2723">
        <f t="shared" si="84"/>
        <v>36</v>
      </c>
      <c r="U2723" t="str">
        <f t="shared" si="85"/>
        <v>Pueblo</v>
      </c>
    </row>
    <row r="2724" spans="1:21" ht="16" x14ac:dyDescent="0.4">
      <c r="A2724" s="7">
        <v>118847</v>
      </c>
      <c r="B2724" s="7" t="s">
        <v>20</v>
      </c>
      <c r="C2724" s="7" t="s">
        <v>17</v>
      </c>
      <c r="D2724" s="7">
        <v>583</v>
      </c>
      <c r="E2724" s="7">
        <v>224</v>
      </c>
      <c r="F2724" s="7">
        <v>262</v>
      </c>
      <c r="G2724" s="7">
        <v>11</v>
      </c>
      <c r="H2724" s="7">
        <v>11542</v>
      </c>
      <c r="I2724" s="7">
        <v>12</v>
      </c>
      <c r="J2724" s="7">
        <v>44</v>
      </c>
      <c r="K2724" s="7">
        <v>220</v>
      </c>
      <c r="L2724" s="7">
        <v>253</v>
      </c>
      <c r="M2724" s="7">
        <v>11.25</v>
      </c>
      <c r="N2724">
        <f>VLOOKUP(A2724,vlookup_table!$A:$G,2,FALSE)</f>
        <v>0</v>
      </c>
      <c r="O2724" t="str">
        <f>VLOOKUP(A2724,vlookup_table!$A:$G,3,FALSE)</f>
        <v>TX</v>
      </c>
      <c r="P2724">
        <f>VLOOKUP(A2724,vlookup_table!$A:$G,4,FALSE)</f>
        <v>4010</v>
      </c>
      <c r="Q2724" t="str">
        <f>VLOOKUP(A2724,vlookup_table!$A:$G,5,FALSE)</f>
        <v>C1</v>
      </c>
      <c r="R2724" t="str">
        <f>VLOOKUP(A2724,vlookup_table!$A:$G,6,FALSE)</f>
        <v>F</v>
      </c>
      <c r="S2724">
        <f>VLOOKUP(A2724,vlookup_table!$A:$G,7,FALSE)</f>
        <v>25</v>
      </c>
      <c r="T2724">
        <f t="shared" si="84"/>
        <v>56</v>
      </c>
      <c r="U2724" t="str">
        <f t="shared" si="85"/>
        <v>Ciudad</v>
      </c>
    </row>
    <row r="2725" spans="1:21" ht="16" x14ac:dyDescent="0.4">
      <c r="A2725" s="7">
        <v>28713</v>
      </c>
      <c r="B2725" s="7" t="s">
        <v>36</v>
      </c>
      <c r="C2725" s="7" t="s">
        <v>17</v>
      </c>
      <c r="D2725" s="7">
        <v>3306</v>
      </c>
      <c r="E2725" s="7">
        <v>1090</v>
      </c>
      <c r="F2725" s="7">
        <v>1065</v>
      </c>
      <c r="G2725" s="7">
        <v>96</v>
      </c>
      <c r="H2725" s="7">
        <v>34893</v>
      </c>
      <c r="I2725" s="7">
        <v>4</v>
      </c>
      <c r="J2725" s="7">
        <v>29</v>
      </c>
      <c r="K2725" s="7">
        <v>1109</v>
      </c>
      <c r="L2725" s="7">
        <v>1060</v>
      </c>
      <c r="M2725" s="7">
        <v>15.1</v>
      </c>
      <c r="N2725">
        <f>VLOOKUP(A2725,vlookup_table!$A:$G,2,FALSE)</f>
        <v>2</v>
      </c>
      <c r="O2725" t="str">
        <f>VLOOKUP(A2725,vlookup_table!$A:$G,3,FALSE)</f>
        <v>GA</v>
      </c>
      <c r="P2725">
        <f>VLOOKUP(A2725,vlookup_table!$A:$G,4,FALSE)</f>
        <v>4801</v>
      </c>
      <c r="Q2725" t="str">
        <f>VLOOKUP(A2725,vlookup_table!$A:$G,5,FALSE)</f>
        <v>S1</v>
      </c>
      <c r="R2725" t="str">
        <f>VLOOKUP(A2725,vlookup_table!$A:$G,6,FALSE)</f>
        <v>F</v>
      </c>
      <c r="S2725">
        <f>VLOOKUP(A2725,vlookup_table!$A:$G,7,FALSE)</f>
        <v>21</v>
      </c>
      <c r="T2725">
        <f t="shared" si="84"/>
        <v>48</v>
      </c>
      <c r="U2725" t="str">
        <f t="shared" si="85"/>
        <v>Suburbano</v>
      </c>
    </row>
    <row r="2726" spans="1:21" ht="16" x14ac:dyDescent="0.4">
      <c r="A2726" s="7">
        <v>29777</v>
      </c>
      <c r="B2726" s="7" t="s">
        <v>36</v>
      </c>
      <c r="C2726" s="7" t="s">
        <v>17</v>
      </c>
      <c r="D2726" s="7">
        <v>724</v>
      </c>
      <c r="E2726" s="7">
        <v>380</v>
      </c>
      <c r="F2726" s="7">
        <v>465</v>
      </c>
      <c r="G2726" s="7">
        <v>0</v>
      </c>
      <c r="H2726" s="7">
        <v>19961</v>
      </c>
      <c r="I2726" s="7">
        <v>4</v>
      </c>
      <c r="J2726" s="7">
        <v>62</v>
      </c>
      <c r="K2726" s="7">
        <v>443</v>
      </c>
      <c r="L2726" s="7">
        <v>424</v>
      </c>
      <c r="M2726" s="7">
        <v>10.66666667</v>
      </c>
      <c r="N2726">
        <f>VLOOKUP(A2726,vlookup_table!$A:$G,2,FALSE)</f>
        <v>0</v>
      </c>
      <c r="O2726" t="str">
        <f>VLOOKUP(A2726,vlookup_table!$A:$G,3,FALSE)</f>
        <v>GA</v>
      </c>
      <c r="P2726">
        <f>VLOOKUP(A2726,vlookup_table!$A:$G,4,FALSE)</f>
        <v>2601</v>
      </c>
      <c r="Q2726" t="str">
        <f>VLOOKUP(A2726,vlookup_table!$A:$G,5,FALSE)</f>
        <v>C1</v>
      </c>
      <c r="R2726" t="str">
        <f>VLOOKUP(A2726,vlookup_table!$A:$G,6,FALSE)</f>
        <v>F</v>
      </c>
      <c r="S2726">
        <f>VLOOKUP(A2726,vlookup_table!$A:$G,7,FALSE)</f>
        <v>10</v>
      </c>
      <c r="T2726">
        <f t="shared" si="84"/>
        <v>70</v>
      </c>
      <c r="U2726" t="str">
        <f t="shared" si="85"/>
        <v>Ciudad</v>
      </c>
    </row>
    <row r="2727" spans="1:21" ht="16" x14ac:dyDescent="0.4">
      <c r="A2727" s="7">
        <v>42499</v>
      </c>
      <c r="B2727" s="7" t="s">
        <v>13</v>
      </c>
      <c r="C2727" s="7" t="s">
        <v>14</v>
      </c>
      <c r="D2727" s="7">
        <v>680</v>
      </c>
      <c r="E2727" s="7">
        <v>181</v>
      </c>
      <c r="F2727" s="7">
        <v>421</v>
      </c>
      <c r="G2727" s="7">
        <v>5</v>
      </c>
      <c r="H2727" s="7">
        <v>19962</v>
      </c>
      <c r="I2727" s="7">
        <v>5</v>
      </c>
      <c r="J2727" s="7">
        <v>42</v>
      </c>
      <c r="K2727" s="7">
        <v>277</v>
      </c>
      <c r="L2727" s="7">
        <v>328</v>
      </c>
      <c r="M2727" s="7">
        <v>6.6666666670000003</v>
      </c>
      <c r="N2727">
        <f>VLOOKUP(A2727,vlookup_table!$A:$G,2,FALSE)</f>
        <v>0</v>
      </c>
      <c r="O2727" t="str">
        <f>VLOOKUP(A2727,vlookup_table!$A:$G,3,FALSE)</f>
        <v>FL</v>
      </c>
      <c r="P2727">
        <f>VLOOKUP(A2727,vlookup_table!$A:$G,4,FALSE)</f>
        <v>2901</v>
      </c>
      <c r="Q2727" t="str">
        <f>VLOOKUP(A2727,vlookup_table!$A:$G,5,FALSE)</f>
        <v>R2</v>
      </c>
      <c r="R2727" t="str">
        <f>VLOOKUP(A2727,vlookup_table!$A:$G,6,FALSE)</f>
        <v>M</v>
      </c>
      <c r="S2727">
        <f>VLOOKUP(A2727,vlookup_table!$A:$G,7,FALSE)</f>
        <v>10</v>
      </c>
      <c r="T2727">
        <f t="shared" si="84"/>
        <v>67</v>
      </c>
      <c r="U2727" t="str">
        <f t="shared" si="85"/>
        <v>Rural</v>
      </c>
    </row>
    <row r="2728" spans="1:21" ht="16" x14ac:dyDescent="0.4">
      <c r="A2728" s="7">
        <v>38987</v>
      </c>
      <c r="B2728" s="7" t="s">
        <v>13</v>
      </c>
      <c r="C2728" s="7" t="s">
        <v>17</v>
      </c>
      <c r="D2728" s="7">
        <v>1314</v>
      </c>
      <c r="E2728" s="7">
        <v>339</v>
      </c>
      <c r="F2728" s="7">
        <v>493</v>
      </c>
      <c r="G2728" s="7">
        <v>17</v>
      </c>
      <c r="H2728" s="7">
        <v>19845</v>
      </c>
      <c r="I2728" s="7">
        <v>12</v>
      </c>
      <c r="J2728" s="7">
        <v>20</v>
      </c>
      <c r="K2728" s="7">
        <v>453</v>
      </c>
      <c r="L2728" s="7">
        <v>413</v>
      </c>
      <c r="M2728" s="7">
        <v>11.19047619</v>
      </c>
      <c r="N2728">
        <f>VLOOKUP(A2728,vlookup_table!$A:$G,2,FALSE)</f>
        <v>2</v>
      </c>
      <c r="O2728" t="str">
        <f>VLOOKUP(A2728,vlookup_table!$A:$G,3,FALSE)</f>
        <v>FL</v>
      </c>
      <c r="P2728">
        <f>VLOOKUP(A2728,vlookup_table!$A:$G,4,FALSE)</f>
        <v>2611</v>
      </c>
      <c r="Q2728" t="str">
        <f>VLOOKUP(A2728,vlookup_table!$A:$G,5,FALSE)</f>
        <v>S2</v>
      </c>
      <c r="R2728" t="str">
        <f>VLOOKUP(A2728,vlookup_table!$A:$G,6,FALSE)</f>
        <v>F</v>
      </c>
      <c r="S2728">
        <f>VLOOKUP(A2728,vlookup_table!$A:$G,7,FALSE)</f>
        <v>13</v>
      </c>
      <c r="T2728">
        <f t="shared" si="84"/>
        <v>70</v>
      </c>
      <c r="U2728" t="str">
        <f t="shared" si="85"/>
        <v>Suburbano</v>
      </c>
    </row>
    <row r="2729" spans="1:21" ht="16" x14ac:dyDescent="0.4">
      <c r="A2729" s="7">
        <v>130936</v>
      </c>
      <c r="B2729" s="7" t="s">
        <v>45</v>
      </c>
      <c r="C2729" s="7" t="s">
        <v>14</v>
      </c>
      <c r="D2729" s="7">
        <v>684</v>
      </c>
      <c r="E2729" s="7">
        <v>190</v>
      </c>
      <c r="F2729" s="7">
        <v>251</v>
      </c>
      <c r="G2729" s="7">
        <v>0</v>
      </c>
      <c r="H2729" s="7">
        <v>11141</v>
      </c>
      <c r="I2729" s="7">
        <v>4</v>
      </c>
      <c r="J2729" s="7">
        <v>41</v>
      </c>
      <c r="K2729" s="7">
        <v>218</v>
      </c>
      <c r="L2729" s="7">
        <v>225</v>
      </c>
      <c r="M2729" s="7">
        <v>12.33333333</v>
      </c>
      <c r="N2729">
        <f>VLOOKUP(A2729,vlookup_table!$A:$G,2,FALSE)</f>
        <v>1</v>
      </c>
      <c r="O2729" t="str">
        <f>VLOOKUP(A2729,vlookup_table!$A:$G,3,FALSE)</f>
        <v>CO</v>
      </c>
      <c r="P2729">
        <f>VLOOKUP(A2729,vlookup_table!$A:$G,4,FALSE)</f>
        <v>1512</v>
      </c>
      <c r="Q2729" t="str">
        <f>VLOOKUP(A2729,vlookup_table!$A:$G,5,FALSE)</f>
        <v>C3</v>
      </c>
      <c r="R2729" t="str">
        <f>VLOOKUP(A2729,vlookup_table!$A:$G,6,FALSE)</f>
        <v>M</v>
      </c>
      <c r="S2729">
        <f>VLOOKUP(A2729,vlookup_table!$A:$G,7,FALSE)</f>
        <v>15</v>
      </c>
      <c r="T2729">
        <f t="shared" si="84"/>
        <v>81</v>
      </c>
      <c r="U2729" t="str">
        <f t="shared" si="85"/>
        <v>Ciudad</v>
      </c>
    </row>
    <row r="2730" spans="1:21" ht="16" x14ac:dyDescent="0.4">
      <c r="A2730" s="7">
        <v>21463</v>
      </c>
      <c r="B2730" s="7" t="s">
        <v>18</v>
      </c>
      <c r="C2730" s="7" t="s">
        <v>97</v>
      </c>
      <c r="D2730" s="7">
        <v>499</v>
      </c>
      <c r="E2730" s="7">
        <v>260</v>
      </c>
      <c r="F2730" s="7">
        <v>324</v>
      </c>
      <c r="G2730" s="7">
        <v>0</v>
      </c>
      <c r="H2730" s="7">
        <v>10632</v>
      </c>
      <c r="I2730" s="7">
        <v>0</v>
      </c>
      <c r="J2730" s="7">
        <v>89</v>
      </c>
      <c r="K2730" s="7">
        <v>289</v>
      </c>
      <c r="L2730" s="7">
        <v>291</v>
      </c>
      <c r="M2730" s="7">
        <v>9.25</v>
      </c>
      <c r="N2730">
        <f>VLOOKUP(A2730,vlookup_table!$A:$G,2,FALSE)</f>
        <v>0</v>
      </c>
      <c r="O2730" t="str">
        <f>VLOOKUP(A2730,vlookup_table!$A:$G,3,FALSE)</f>
        <v>NC</v>
      </c>
      <c r="P2730">
        <f>VLOOKUP(A2730,vlookup_table!$A:$G,4,FALSE)</f>
        <v>6201</v>
      </c>
      <c r="Q2730" t="str">
        <f>VLOOKUP(A2730,vlookup_table!$A:$G,5,FALSE)</f>
        <v>T2</v>
      </c>
      <c r="R2730" t="str">
        <f>VLOOKUP(A2730,vlookup_table!$A:$G,6,FALSE)</f>
        <v>F</v>
      </c>
      <c r="S2730">
        <f>VLOOKUP(A2730,vlookup_table!$A:$G,7,FALSE)</f>
        <v>11</v>
      </c>
      <c r="T2730">
        <f t="shared" si="84"/>
        <v>34</v>
      </c>
      <c r="U2730" t="str">
        <f t="shared" si="85"/>
        <v>Pueblo</v>
      </c>
    </row>
    <row r="2731" spans="1:21" ht="16" x14ac:dyDescent="0.4">
      <c r="A2731" s="7">
        <v>154531</v>
      </c>
      <c r="B2731" s="7" t="s">
        <v>21</v>
      </c>
      <c r="C2731" s="7" t="s">
        <v>17</v>
      </c>
      <c r="D2731" s="7">
        <v>724</v>
      </c>
      <c r="E2731" s="7">
        <v>158</v>
      </c>
      <c r="F2731" s="7">
        <v>277</v>
      </c>
      <c r="G2731" s="7">
        <v>4</v>
      </c>
      <c r="H2731" s="7">
        <v>11223</v>
      </c>
      <c r="I2731" s="7">
        <v>10</v>
      </c>
      <c r="J2731" s="7">
        <v>38</v>
      </c>
      <c r="K2731" s="7">
        <v>213</v>
      </c>
      <c r="L2731" s="7">
        <v>226</v>
      </c>
      <c r="M2731" s="7">
        <v>5.0571428569999997</v>
      </c>
      <c r="N2731">
        <f>VLOOKUP(A2731,vlookup_table!$A:$G,2,FALSE)</f>
        <v>0</v>
      </c>
      <c r="O2731" t="str">
        <f>VLOOKUP(A2731,vlookup_table!$A:$G,3,FALSE)</f>
        <v>CA</v>
      </c>
      <c r="P2731">
        <f>VLOOKUP(A2731,vlookup_table!$A:$G,4,FALSE)</f>
        <v>2010</v>
      </c>
      <c r="Q2731" t="str">
        <f>VLOOKUP(A2731,vlookup_table!$A:$G,5,FALSE)</f>
        <v>T2</v>
      </c>
      <c r="R2731" t="str">
        <f>VLOOKUP(A2731,vlookup_table!$A:$G,6,FALSE)</f>
        <v>F</v>
      </c>
      <c r="S2731">
        <f>VLOOKUP(A2731,vlookup_table!$A:$G,7,FALSE)</f>
        <v>5</v>
      </c>
      <c r="T2731">
        <f t="shared" si="84"/>
        <v>76</v>
      </c>
      <c r="U2731" t="str">
        <f t="shared" si="85"/>
        <v>Pueblo</v>
      </c>
    </row>
    <row r="2732" spans="1:21" ht="16" x14ac:dyDescent="0.4">
      <c r="A2732" s="7">
        <v>165033</v>
      </c>
      <c r="B2732" s="7" t="s">
        <v>21</v>
      </c>
      <c r="C2732" s="7" t="s">
        <v>14</v>
      </c>
      <c r="D2732" s="7">
        <v>3207</v>
      </c>
      <c r="E2732" s="7">
        <v>705</v>
      </c>
      <c r="F2732" s="7">
        <v>754</v>
      </c>
      <c r="G2732" s="7">
        <v>92</v>
      </c>
      <c r="H2732" s="7">
        <v>26498</v>
      </c>
      <c r="I2732" s="7">
        <v>20</v>
      </c>
      <c r="J2732" s="7">
        <v>43</v>
      </c>
      <c r="K2732" s="7">
        <v>763</v>
      </c>
      <c r="L2732" s="7">
        <v>708</v>
      </c>
      <c r="M2732" s="7">
        <v>16.25</v>
      </c>
      <c r="N2732">
        <f>VLOOKUP(A2732,vlookup_table!$A:$G,2,FALSE)</f>
        <v>1</v>
      </c>
      <c r="O2732" t="str">
        <f>VLOOKUP(A2732,vlookup_table!$A:$G,3,FALSE)</f>
        <v>CA</v>
      </c>
      <c r="P2732">
        <f>VLOOKUP(A2732,vlookup_table!$A:$G,4,FALSE)</f>
        <v>5501</v>
      </c>
      <c r="Q2732" t="str">
        <f>VLOOKUP(A2732,vlookup_table!$A:$G,5,FALSE)</f>
        <v>T1</v>
      </c>
      <c r="R2732" t="str">
        <f>VLOOKUP(A2732,vlookup_table!$A:$G,6,FALSE)</f>
        <v>M</v>
      </c>
      <c r="S2732">
        <f>VLOOKUP(A2732,vlookup_table!$A:$G,7,FALSE)</f>
        <v>10</v>
      </c>
      <c r="T2732">
        <f t="shared" si="84"/>
        <v>41</v>
      </c>
      <c r="U2732" t="str">
        <f t="shared" si="85"/>
        <v>Pueblo</v>
      </c>
    </row>
    <row r="2733" spans="1:21" ht="16" x14ac:dyDescent="0.4">
      <c r="A2733" s="7">
        <v>12171</v>
      </c>
      <c r="B2733" s="7" t="s">
        <v>37</v>
      </c>
      <c r="C2733" s="7" t="s">
        <v>17</v>
      </c>
      <c r="D2733" s="7">
        <v>659</v>
      </c>
      <c r="E2733" s="7">
        <v>272</v>
      </c>
      <c r="F2733" s="7">
        <v>347</v>
      </c>
      <c r="G2733" s="7">
        <v>0</v>
      </c>
      <c r="H2733" s="7">
        <v>11918</v>
      </c>
      <c r="I2733" s="7">
        <v>13</v>
      </c>
      <c r="J2733" s="7">
        <v>56</v>
      </c>
      <c r="K2733" s="7">
        <v>303</v>
      </c>
      <c r="L2733" s="7">
        <v>309</v>
      </c>
      <c r="M2733" s="7">
        <v>5.55</v>
      </c>
      <c r="N2733">
        <f>VLOOKUP(A2733,vlookup_table!$A:$G,2,FALSE)</f>
        <v>2</v>
      </c>
      <c r="O2733" t="str">
        <f>VLOOKUP(A2733,vlookup_table!$A:$G,3,FALSE)</f>
        <v>WA</v>
      </c>
      <c r="P2733">
        <f>VLOOKUP(A2733,vlookup_table!$A:$G,4,FALSE)</f>
        <v>1301</v>
      </c>
      <c r="Q2733" t="str">
        <f>VLOOKUP(A2733,vlookup_table!$A:$G,5,FALSE)</f>
        <v>S2</v>
      </c>
      <c r="R2733" t="str">
        <f>VLOOKUP(A2733,vlookup_table!$A:$G,6,FALSE)</f>
        <v>F</v>
      </c>
      <c r="S2733">
        <f>VLOOKUP(A2733,vlookup_table!$A:$G,7,FALSE)</f>
        <v>5</v>
      </c>
      <c r="T2733">
        <f t="shared" si="84"/>
        <v>83</v>
      </c>
      <c r="U2733" t="str">
        <f t="shared" si="85"/>
        <v>Suburbano</v>
      </c>
    </row>
    <row r="2734" spans="1:21" ht="16" x14ac:dyDescent="0.4">
      <c r="A2734" s="7">
        <v>186462</v>
      </c>
      <c r="B2734" s="7" t="s">
        <v>18</v>
      </c>
      <c r="C2734" s="7" t="s">
        <v>97</v>
      </c>
      <c r="D2734" s="7">
        <v>654</v>
      </c>
      <c r="E2734" s="7">
        <v>350</v>
      </c>
      <c r="F2734" s="7">
        <v>362</v>
      </c>
      <c r="G2734" s="7">
        <v>0</v>
      </c>
      <c r="H2734" s="7">
        <v>11564</v>
      </c>
      <c r="I2734" s="7">
        <v>0</v>
      </c>
      <c r="J2734" s="7">
        <v>83</v>
      </c>
      <c r="K2734" s="7">
        <v>377</v>
      </c>
      <c r="L2734" s="7">
        <v>333</v>
      </c>
      <c r="M2734" s="7">
        <v>4.2857142860000002</v>
      </c>
      <c r="N2734">
        <f>VLOOKUP(A2734,vlookup_table!$A:$G,2,FALSE)</f>
        <v>2</v>
      </c>
      <c r="O2734" t="str">
        <f>VLOOKUP(A2734,vlookup_table!$A:$G,3,FALSE)</f>
        <v>NC</v>
      </c>
      <c r="P2734">
        <f>VLOOKUP(A2734,vlookup_table!$A:$G,4,FALSE)</f>
        <v>1603</v>
      </c>
      <c r="Q2734" t="str">
        <f>VLOOKUP(A2734,vlookup_table!$A:$G,5,FALSE)</f>
        <v>T2</v>
      </c>
      <c r="R2734" t="str">
        <f>VLOOKUP(A2734,vlookup_table!$A:$G,6,FALSE)</f>
        <v>F</v>
      </c>
      <c r="S2734">
        <f>VLOOKUP(A2734,vlookup_table!$A:$G,7,FALSE)</f>
        <v>8</v>
      </c>
      <c r="T2734">
        <f t="shared" si="84"/>
        <v>80</v>
      </c>
      <c r="U2734" t="str">
        <f t="shared" si="85"/>
        <v>Pueblo</v>
      </c>
    </row>
    <row r="2735" spans="1:21" ht="16" x14ac:dyDescent="0.4">
      <c r="A2735" s="7">
        <v>70312</v>
      </c>
      <c r="B2735" s="7" t="s">
        <v>26</v>
      </c>
      <c r="C2735" s="7" t="s">
        <v>17</v>
      </c>
      <c r="D2735" s="7">
        <v>549</v>
      </c>
      <c r="E2735" s="7">
        <v>367</v>
      </c>
      <c r="F2735" s="7">
        <v>430</v>
      </c>
      <c r="G2735" s="7">
        <v>0</v>
      </c>
      <c r="H2735" s="7">
        <v>12991</v>
      </c>
      <c r="I2735" s="7">
        <v>2</v>
      </c>
      <c r="J2735" s="7">
        <v>91</v>
      </c>
      <c r="K2735" s="7">
        <v>414</v>
      </c>
      <c r="L2735" s="7">
        <v>385</v>
      </c>
      <c r="M2735" s="7">
        <v>5.3333333329999997</v>
      </c>
      <c r="N2735">
        <f>VLOOKUP(A2735,vlookup_table!$A:$G,2,FALSE)</f>
        <v>2</v>
      </c>
      <c r="O2735" t="str">
        <f>VLOOKUP(A2735,vlookup_table!$A:$G,3,FALSE)</f>
        <v>MI</v>
      </c>
      <c r="P2735">
        <f>VLOOKUP(A2735,vlookup_table!$A:$G,4,FALSE)</f>
        <v>5901</v>
      </c>
      <c r="Q2735" t="str">
        <f>VLOOKUP(A2735,vlookup_table!$A:$G,5,FALSE)</f>
        <v>T2</v>
      </c>
      <c r="R2735" t="str">
        <f>VLOOKUP(A2735,vlookup_table!$A:$G,6,FALSE)</f>
        <v>F</v>
      </c>
      <c r="S2735">
        <f>VLOOKUP(A2735,vlookup_table!$A:$G,7,FALSE)</f>
        <v>5</v>
      </c>
      <c r="T2735">
        <f t="shared" si="84"/>
        <v>37</v>
      </c>
      <c r="U2735" t="str">
        <f t="shared" si="85"/>
        <v>Pueblo</v>
      </c>
    </row>
    <row r="2736" spans="1:21" ht="16" x14ac:dyDescent="0.4">
      <c r="A2736" s="7">
        <v>27267</v>
      </c>
      <c r="B2736" s="7" t="s">
        <v>36</v>
      </c>
      <c r="C2736" s="7" t="s">
        <v>17</v>
      </c>
      <c r="D2736" s="7">
        <v>1094</v>
      </c>
      <c r="E2736" s="7">
        <v>412</v>
      </c>
      <c r="F2736" s="7">
        <v>604</v>
      </c>
      <c r="G2736" s="7">
        <v>27</v>
      </c>
      <c r="H2736" s="7">
        <v>23020</v>
      </c>
      <c r="I2736" s="7">
        <v>5</v>
      </c>
      <c r="J2736" s="7">
        <v>56</v>
      </c>
      <c r="K2736" s="7">
        <v>502</v>
      </c>
      <c r="L2736" s="7">
        <v>531</v>
      </c>
      <c r="M2736" s="7">
        <v>7.875</v>
      </c>
      <c r="N2736">
        <f>VLOOKUP(A2736,vlookup_table!$A:$G,2,FALSE)</f>
        <v>0</v>
      </c>
      <c r="O2736" t="str">
        <f>VLOOKUP(A2736,vlookup_table!$A:$G,3,FALSE)</f>
        <v>GA</v>
      </c>
      <c r="P2736">
        <f>VLOOKUP(A2736,vlookup_table!$A:$G,4,FALSE)</f>
        <v>5801</v>
      </c>
      <c r="Q2736" t="str">
        <f>VLOOKUP(A2736,vlookup_table!$A:$G,5,FALSE)</f>
        <v>T1</v>
      </c>
      <c r="R2736" t="str">
        <f>VLOOKUP(A2736,vlookup_table!$A:$G,6,FALSE)</f>
        <v>F</v>
      </c>
      <c r="S2736">
        <f>VLOOKUP(A2736,vlookup_table!$A:$G,7,FALSE)</f>
        <v>10</v>
      </c>
      <c r="T2736">
        <f t="shared" si="84"/>
        <v>38</v>
      </c>
      <c r="U2736" t="str">
        <f t="shared" si="85"/>
        <v>Pueblo</v>
      </c>
    </row>
    <row r="2737" spans="1:21" ht="16" x14ac:dyDescent="0.4">
      <c r="A2737" s="7">
        <v>7048</v>
      </c>
      <c r="B2737" s="7" t="s">
        <v>21</v>
      </c>
      <c r="C2737" s="7" t="s">
        <v>14</v>
      </c>
      <c r="D2737" s="7">
        <v>3431</v>
      </c>
      <c r="E2737" s="7">
        <v>549</v>
      </c>
      <c r="F2737" s="7">
        <v>664</v>
      </c>
      <c r="G2737" s="7">
        <v>86</v>
      </c>
      <c r="H2737" s="7">
        <v>20683</v>
      </c>
      <c r="I2737" s="7">
        <v>20</v>
      </c>
      <c r="J2737" s="7">
        <v>51</v>
      </c>
      <c r="K2737" s="7">
        <v>626</v>
      </c>
      <c r="L2737" s="7">
        <v>610</v>
      </c>
      <c r="M2737" s="7">
        <v>9.9411764710000003</v>
      </c>
      <c r="N2737">
        <f>VLOOKUP(A2737,vlookup_table!$A:$G,2,FALSE)</f>
        <v>1002</v>
      </c>
      <c r="O2737" t="str">
        <f>VLOOKUP(A2737,vlookup_table!$A:$G,3,FALSE)</f>
        <v>CA</v>
      </c>
      <c r="P2737">
        <f>VLOOKUP(A2737,vlookup_table!$A:$G,4,FALSE)</f>
        <v>3301</v>
      </c>
      <c r="Q2737" t="str">
        <f>VLOOKUP(A2737,vlookup_table!$A:$G,5,FALSE)</f>
        <v>S1</v>
      </c>
      <c r="R2737" t="str">
        <f>VLOOKUP(A2737,vlookup_table!$A:$G,6,FALSE)</f>
        <v>M</v>
      </c>
      <c r="S2737">
        <f>VLOOKUP(A2737,vlookup_table!$A:$G,7,FALSE)</f>
        <v>15</v>
      </c>
      <c r="T2737">
        <f t="shared" si="84"/>
        <v>63</v>
      </c>
      <c r="U2737" t="str">
        <f t="shared" si="85"/>
        <v>Suburbano</v>
      </c>
    </row>
    <row r="2738" spans="1:21" ht="16" x14ac:dyDescent="0.4">
      <c r="A2738" s="7">
        <v>144631</v>
      </c>
      <c r="B2738" s="7" t="s">
        <v>21</v>
      </c>
      <c r="C2738" s="7" t="s">
        <v>17</v>
      </c>
      <c r="D2738" s="7">
        <v>2339</v>
      </c>
      <c r="E2738" s="7">
        <v>416</v>
      </c>
      <c r="F2738" s="7">
        <v>454</v>
      </c>
      <c r="G2738" s="7">
        <v>75</v>
      </c>
      <c r="H2738" s="7">
        <v>14849</v>
      </c>
      <c r="I2738" s="7">
        <v>27</v>
      </c>
      <c r="J2738" s="7">
        <v>47</v>
      </c>
      <c r="K2738" s="7">
        <v>416</v>
      </c>
      <c r="L2738" s="7">
        <v>442</v>
      </c>
      <c r="M2738" s="7">
        <v>12.85714286</v>
      </c>
      <c r="N2738">
        <f>VLOOKUP(A2738,vlookup_table!$A:$G,2,FALSE)</f>
        <v>0</v>
      </c>
      <c r="O2738" t="str">
        <f>VLOOKUP(A2738,vlookup_table!$A:$G,3,FALSE)</f>
        <v>CA</v>
      </c>
      <c r="P2738">
        <f>VLOOKUP(A2738,vlookup_table!$A:$G,4,FALSE)</f>
        <v>6203</v>
      </c>
      <c r="Q2738" t="str">
        <f>VLOOKUP(A2738,vlookup_table!$A:$G,5,FALSE)</f>
        <v>U2</v>
      </c>
      <c r="R2738" t="str">
        <f>VLOOKUP(A2738,vlookup_table!$A:$G,6,FALSE)</f>
        <v>F</v>
      </c>
      <c r="S2738">
        <f>VLOOKUP(A2738,vlookup_table!$A:$G,7,FALSE)</f>
        <v>25</v>
      </c>
      <c r="T2738">
        <f t="shared" si="84"/>
        <v>34</v>
      </c>
      <c r="U2738" t="str">
        <f t="shared" si="85"/>
        <v>Urbano</v>
      </c>
    </row>
    <row r="2739" spans="1:21" ht="16" x14ac:dyDescent="0.4">
      <c r="A2739" s="7">
        <v>134677</v>
      </c>
      <c r="B2739" s="7" t="s">
        <v>35</v>
      </c>
      <c r="C2739" s="7"/>
      <c r="D2739" s="7">
        <v>684</v>
      </c>
      <c r="E2739" s="7">
        <v>345</v>
      </c>
      <c r="F2739" s="7">
        <v>420</v>
      </c>
      <c r="G2739" s="7">
        <v>2</v>
      </c>
      <c r="H2739" s="7">
        <v>9317</v>
      </c>
      <c r="I2739" s="7">
        <v>1</v>
      </c>
      <c r="J2739" s="7">
        <v>74</v>
      </c>
      <c r="K2739" s="7">
        <v>359</v>
      </c>
      <c r="L2739" s="7">
        <v>397</v>
      </c>
      <c r="M2739" s="7">
        <v>5</v>
      </c>
      <c r="N2739">
        <f>VLOOKUP(A2739,vlookup_table!$A:$G,2,FALSE)</f>
        <v>28</v>
      </c>
      <c r="O2739" t="str">
        <f>VLOOKUP(A2739,vlookup_table!$A:$G,3,FALSE)</f>
        <v>UT</v>
      </c>
      <c r="P2739">
        <f>VLOOKUP(A2739,vlookup_table!$A:$G,4,FALSE)</f>
        <v>0</v>
      </c>
      <c r="Q2739" t="str">
        <f>VLOOKUP(A2739,vlookup_table!$A:$G,5,FALSE)</f>
        <v>T2</v>
      </c>
      <c r="R2739" t="str">
        <f>VLOOKUP(A2739,vlookup_table!$A:$G,6,FALSE)</f>
        <v/>
      </c>
      <c r="S2739">
        <f>VLOOKUP(A2739,vlookup_table!$A:$G,7,FALSE)</f>
        <v>5</v>
      </c>
      <c r="T2739">
        <f t="shared" si="84"/>
        <v>96</v>
      </c>
      <c r="U2739" t="str">
        <f t="shared" si="85"/>
        <v>Pueblo</v>
      </c>
    </row>
    <row r="2740" spans="1:21" ht="16" x14ac:dyDescent="0.4">
      <c r="A2740" s="7">
        <v>149792</v>
      </c>
      <c r="B2740" s="7" t="s">
        <v>21</v>
      </c>
      <c r="C2740" s="7" t="s">
        <v>66</v>
      </c>
      <c r="D2740" s="7">
        <v>1949</v>
      </c>
      <c r="E2740" s="7">
        <v>288</v>
      </c>
      <c r="F2740" s="7">
        <v>374</v>
      </c>
      <c r="G2740" s="7">
        <v>44</v>
      </c>
      <c r="H2740" s="7">
        <v>16663</v>
      </c>
      <c r="I2740" s="7">
        <v>41</v>
      </c>
      <c r="J2740" s="7">
        <v>30</v>
      </c>
      <c r="K2740" s="7">
        <v>334</v>
      </c>
      <c r="L2740" s="7">
        <v>384</v>
      </c>
      <c r="M2740" s="7">
        <v>36.799999999999997</v>
      </c>
      <c r="N2740">
        <f>VLOOKUP(A2740,vlookup_table!$A:$G,2,FALSE)</f>
        <v>1</v>
      </c>
      <c r="O2740" t="str">
        <f>VLOOKUP(A2740,vlookup_table!$A:$G,3,FALSE)</f>
        <v>CA</v>
      </c>
      <c r="P2740">
        <f>VLOOKUP(A2740,vlookup_table!$A:$G,4,FALSE)</f>
        <v>2401</v>
      </c>
      <c r="Q2740" t="str">
        <f>VLOOKUP(A2740,vlookup_table!$A:$G,5,FALSE)</f>
        <v/>
      </c>
      <c r="R2740" t="str">
        <f>VLOOKUP(A2740,vlookup_table!$A:$G,6,FALSE)</f>
        <v>A</v>
      </c>
      <c r="S2740">
        <f>VLOOKUP(A2740,vlookup_table!$A:$G,7,FALSE)</f>
        <v>100</v>
      </c>
      <c r="T2740">
        <f t="shared" si="84"/>
        <v>72</v>
      </c>
      <c r="U2740" t="str">
        <f t="shared" si="85"/>
        <v/>
      </c>
    </row>
    <row r="2741" spans="1:21" ht="16" x14ac:dyDescent="0.4">
      <c r="A2741" s="7">
        <v>169813</v>
      </c>
      <c r="B2741" s="7" t="s">
        <v>21</v>
      </c>
      <c r="C2741" s="7" t="s">
        <v>17</v>
      </c>
      <c r="D2741" s="7">
        <v>3247</v>
      </c>
      <c r="E2741" s="7">
        <v>653</v>
      </c>
      <c r="F2741" s="7">
        <v>732</v>
      </c>
      <c r="G2741" s="7">
        <v>94</v>
      </c>
      <c r="H2741" s="7">
        <v>24693</v>
      </c>
      <c r="I2741" s="7">
        <v>5</v>
      </c>
      <c r="J2741" s="7">
        <v>63</v>
      </c>
      <c r="K2741" s="7">
        <v>666</v>
      </c>
      <c r="L2741" s="7">
        <v>722</v>
      </c>
      <c r="M2741" s="7">
        <v>11</v>
      </c>
      <c r="N2741">
        <f>VLOOKUP(A2741,vlookup_table!$A:$G,2,FALSE)</f>
        <v>0</v>
      </c>
      <c r="O2741" t="str">
        <f>VLOOKUP(A2741,vlookup_table!$A:$G,3,FALSE)</f>
        <v>CA</v>
      </c>
      <c r="P2741">
        <f>VLOOKUP(A2741,vlookup_table!$A:$G,4,FALSE)</f>
        <v>5204</v>
      </c>
      <c r="Q2741" t="str">
        <f>VLOOKUP(A2741,vlookup_table!$A:$G,5,FALSE)</f>
        <v>S1</v>
      </c>
      <c r="R2741" t="str">
        <f>VLOOKUP(A2741,vlookup_table!$A:$G,6,FALSE)</f>
        <v>F</v>
      </c>
      <c r="S2741">
        <f>VLOOKUP(A2741,vlookup_table!$A:$G,7,FALSE)</f>
        <v>15</v>
      </c>
      <c r="T2741">
        <f t="shared" si="84"/>
        <v>44</v>
      </c>
      <c r="U2741" t="str">
        <f t="shared" si="85"/>
        <v>Suburbano</v>
      </c>
    </row>
    <row r="2742" spans="1:21" ht="16" x14ac:dyDescent="0.4">
      <c r="A2742" s="7">
        <v>135152</v>
      </c>
      <c r="B2742" s="7" t="s">
        <v>51</v>
      </c>
      <c r="C2742" s="7" t="s">
        <v>97</v>
      </c>
      <c r="D2742" s="7">
        <v>850</v>
      </c>
      <c r="E2742" s="7">
        <v>270</v>
      </c>
      <c r="F2742" s="7">
        <v>347</v>
      </c>
      <c r="G2742" s="7">
        <v>2</v>
      </c>
      <c r="H2742" s="7">
        <v>14275</v>
      </c>
      <c r="I2742" s="7">
        <v>13</v>
      </c>
      <c r="J2742" s="7">
        <v>30</v>
      </c>
      <c r="K2742" s="7">
        <v>311</v>
      </c>
      <c r="L2742" s="7">
        <v>292</v>
      </c>
      <c r="M2742" s="7">
        <v>15</v>
      </c>
      <c r="N2742">
        <f>VLOOKUP(A2742,vlookup_table!$A:$G,2,FALSE)</f>
        <v>2</v>
      </c>
      <c r="O2742" t="str">
        <f>VLOOKUP(A2742,vlookup_table!$A:$G,3,FALSE)</f>
        <v>AZ</v>
      </c>
      <c r="P2742">
        <f>VLOOKUP(A2742,vlookup_table!$A:$G,4,FALSE)</f>
        <v>6801</v>
      </c>
      <c r="Q2742" t="str">
        <f>VLOOKUP(A2742,vlookup_table!$A:$G,5,FALSE)</f>
        <v>S2</v>
      </c>
      <c r="R2742" t="str">
        <f>VLOOKUP(A2742,vlookup_table!$A:$G,6,FALSE)</f>
        <v>F</v>
      </c>
      <c r="S2742">
        <f>VLOOKUP(A2742,vlookup_table!$A:$G,7,FALSE)</f>
        <v>15</v>
      </c>
      <c r="T2742">
        <f t="shared" si="84"/>
        <v>28</v>
      </c>
      <c r="U2742" t="str">
        <f t="shared" si="85"/>
        <v>Suburbano</v>
      </c>
    </row>
    <row r="2743" spans="1:21" ht="16" x14ac:dyDescent="0.4">
      <c r="A2743" s="7">
        <v>52593</v>
      </c>
      <c r="B2743" s="7" t="s">
        <v>49</v>
      </c>
      <c r="C2743" s="7" t="s">
        <v>17</v>
      </c>
      <c r="D2743" s="7">
        <v>524</v>
      </c>
      <c r="E2743" s="7">
        <v>244</v>
      </c>
      <c r="F2743" s="7">
        <v>300</v>
      </c>
      <c r="G2743" s="7">
        <v>0</v>
      </c>
      <c r="H2743" s="7">
        <v>10213</v>
      </c>
      <c r="I2743" s="7">
        <v>0</v>
      </c>
      <c r="J2743" s="7">
        <v>75</v>
      </c>
      <c r="K2743" s="7">
        <v>279</v>
      </c>
      <c r="L2743" s="7">
        <v>271</v>
      </c>
      <c r="M2743" s="7">
        <v>11.66666667</v>
      </c>
      <c r="N2743">
        <f>VLOOKUP(A2743,vlookup_table!$A:$G,2,FALSE)</f>
        <v>2</v>
      </c>
      <c r="O2743" t="str">
        <f>VLOOKUP(A2743,vlookup_table!$A:$G,3,FALSE)</f>
        <v>TN</v>
      </c>
      <c r="P2743">
        <f>VLOOKUP(A2743,vlookup_table!$A:$G,4,FALSE)</f>
        <v>3801</v>
      </c>
      <c r="Q2743" t="str">
        <f>VLOOKUP(A2743,vlookup_table!$A:$G,5,FALSE)</f>
        <v>R2</v>
      </c>
      <c r="R2743" t="str">
        <f>VLOOKUP(A2743,vlookup_table!$A:$G,6,FALSE)</f>
        <v>F</v>
      </c>
      <c r="S2743">
        <f>VLOOKUP(A2743,vlookup_table!$A:$G,7,FALSE)</f>
        <v>22</v>
      </c>
      <c r="T2743">
        <f t="shared" si="84"/>
        <v>58</v>
      </c>
      <c r="U2743" t="str">
        <f t="shared" si="85"/>
        <v>Rural</v>
      </c>
    </row>
    <row r="2744" spans="1:21" ht="16" x14ac:dyDescent="0.4">
      <c r="A2744" s="7">
        <v>64161</v>
      </c>
      <c r="B2744" s="7" t="s">
        <v>30</v>
      </c>
      <c r="C2744" s="7" t="s">
        <v>14</v>
      </c>
      <c r="D2744" s="7">
        <v>588</v>
      </c>
      <c r="E2744" s="7">
        <v>284</v>
      </c>
      <c r="F2744" s="7">
        <v>387</v>
      </c>
      <c r="G2744" s="7">
        <v>0</v>
      </c>
      <c r="H2744" s="7">
        <v>12127</v>
      </c>
      <c r="I2744" s="7">
        <v>0</v>
      </c>
      <c r="J2744" s="7">
        <v>84</v>
      </c>
      <c r="K2744" s="7">
        <v>353</v>
      </c>
      <c r="L2744" s="7">
        <v>360</v>
      </c>
      <c r="M2744" s="7">
        <v>9.5</v>
      </c>
      <c r="N2744">
        <f>VLOOKUP(A2744,vlookup_table!$A:$G,2,FALSE)</f>
        <v>1</v>
      </c>
      <c r="O2744" t="str">
        <f>VLOOKUP(A2744,vlookup_table!$A:$G,3,FALSE)</f>
        <v>IN</v>
      </c>
      <c r="P2744">
        <f>VLOOKUP(A2744,vlookup_table!$A:$G,4,FALSE)</f>
        <v>2801</v>
      </c>
      <c r="Q2744" t="str">
        <f>VLOOKUP(A2744,vlookup_table!$A:$G,5,FALSE)</f>
        <v>R2</v>
      </c>
      <c r="R2744" t="str">
        <f>VLOOKUP(A2744,vlookup_table!$A:$G,6,FALSE)</f>
        <v>M</v>
      </c>
      <c r="S2744">
        <f>VLOOKUP(A2744,vlookup_table!$A:$G,7,FALSE)</f>
        <v>11</v>
      </c>
      <c r="T2744">
        <f t="shared" si="84"/>
        <v>68</v>
      </c>
      <c r="U2744" t="str">
        <f t="shared" si="85"/>
        <v>Rural</v>
      </c>
    </row>
    <row r="2745" spans="1:21" ht="16" x14ac:dyDescent="0.4">
      <c r="A2745" s="7">
        <v>116738</v>
      </c>
      <c r="B2745" s="7" t="s">
        <v>20</v>
      </c>
      <c r="C2745" s="7" t="s">
        <v>17</v>
      </c>
      <c r="D2745" s="7">
        <v>956</v>
      </c>
      <c r="E2745" s="7">
        <v>422</v>
      </c>
      <c r="F2745" s="7">
        <v>516</v>
      </c>
      <c r="G2745" s="7">
        <v>5</v>
      </c>
      <c r="H2745" s="7">
        <v>17136</v>
      </c>
      <c r="I2745" s="7">
        <v>2</v>
      </c>
      <c r="J2745" s="7">
        <v>72</v>
      </c>
      <c r="K2745" s="7">
        <v>469</v>
      </c>
      <c r="L2745" s="7">
        <v>476</v>
      </c>
      <c r="M2745" s="7">
        <v>9.75</v>
      </c>
      <c r="N2745">
        <f>VLOOKUP(A2745,vlookup_table!$A:$G,2,FALSE)</f>
        <v>0</v>
      </c>
      <c r="O2745" t="str">
        <f>VLOOKUP(A2745,vlookup_table!$A:$G,3,FALSE)</f>
        <v>TX</v>
      </c>
      <c r="P2745">
        <f>VLOOKUP(A2745,vlookup_table!$A:$G,4,FALSE)</f>
        <v>6101</v>
      </c>
      <c r="Q2745" t="str">
        <f>VLOOKUP(A2745,vlookup_table!$A:$G,5,FALSE)</f>
        <v>T2</v>
      </c>
      <c r="R2745" t="str">
        <f>VLOOKUP(A2745,vlookup_table!$A:$G,6,FALSE)</f>
        <v>F</v>
      </c>
      <c r="S2745">
        <f>VLOOKUP(A2745,vlookup_table!$A:$G,7,FALSE)</f>
        <v>14</v>
      </c>
      <c r="T2745">
        <f t="shared" si="84"/>
        <v>35</v>
      </c>
      <c r="U2745" t="str">
        <f t="shared" si="85"/>
        <v>Pueblo</v>
      </c>
    </row>
    <row r="2746" spans="1:21" ht="16" x14ac:dyDescent="0.4">
      <c r="A2746" s="7">
        <v>56831</v>
      </c>
      <c r="B2746" s="7" t="s">
        <v>53</v>
      </c>
      <c r="C2746" s="7" t="s">
        <v>14</v>
      </c>
      <c r="D2746" s="7">
        <v>1368</v>
      </c>
      <c r="E2746" s="7">
        <v>723</v>
      </c>
      <c r="F2746" s="7">
        <v>779</v>
      </c>
      <c r="G2746" s="7">
        <v>4</v>
      </c>
      <c r="H2746" s="7">
        <v>27195</v>
      </c>
      <c r="I2746" s="7">
        <v>4</v>
      </c>
      <c r="J2746" s="7">
        <v>58</v>
      </c>
      <c r="K2746" s="7">
        <v>741</v>
      </c>
      <c r="L2746" s="7">
        <v>759</v>
      </c>
      <c r="M2746" s="7">
        <v>9.1666666669999994</v>
      </c>
      <c r="N2746">
        <f>VLOOKUP(A2746,vlookup_table!$A:$G,2,FALSE)</f>
        <v>2</v>
      </c>
      <c r="O2746" t="str">
        <f>VLOOKUP(A2746,vlookup_table!$A:$G,3,FALSE)</f>
        <v>KY</v>
      </c>
      <c r="P2746">
        <f>VLOOKUP(A2746,vlookup_table!$A:$G,4,FALSE)</f>
        <v>6701</v>
      </c>
      <c r="Q2746" t="str">
        <f>VLOOKUP(A2746,vlookup_table!$A:$G,5,FALSE)</f>
        <v>S1</v>
      </c>
      <c r="R2746" t="str">
        <f>VLOOKUP(A2746,vlookup_table!$A:$G,6,FALSE)</f>
        <v>M</v>
      </c>
      <c r="S2746">
        <f>VLOOKUP(A2746,vlookup_table!$A:$G,7,FALSE)</f>
        <v>15</v>
      </c>
      <c r="T2746">
        <f t="shared" si="84"/>
        <v>29</v>
      </c>
      <c r="U2746" t="str">
        <f t="shared" si="85"/>
        <v>Suburbano</v>
      </c>
    </row>
    <row r="2747" spans="1:21" ht="16" x14ac:dyDescent="0.4">
      <c r="A2747" s="7">
        <v>139107</v>
      </c>
      <c r="B2747" s="7" t="s">
        <v>51</v>
      </c>
      <c r="C2747" s="7" t="s">
        <v>97</v>
      </c>
      <c r="D2747" s="7">
        <v>830</v>
      </c>
      <c r="E2747" s="7">
        <v>250</v>
      </c>
      <c r="F2747" s="7">
        <v>296</v>
      </c>
      <c r="G2747" s="7">
        <v>18</v>
      </c>
      <c r="H2747" s="7">
        <v>10544</v>
      </c>
      <c r="I2747" s="7">
        <v>2</v>
      </c>
      <c r="J2747" s="7">
        <v>12</v>
      </c>
      <c r="K2747" s="7">
        <v>260</v>
      </c>
      <c r="L2747" s="7">
        <v>278</v>
      </c>
      <c r="M2747" s="7">
        <v>52</v>
      </c>
      <c r="N2747">
        <f>VLOOKUP(A2747,vlookup_table!$A:$G,2,FALSE)</f>
        <v>0</v>
      </c>
      <c r="O2747" t="str">
        <f>VLOOKUP(A2747,vlookup_table!$A:$G,3,FALSE)</f>
        <v>AZ</v>
      </c>
      <c r="P2747">
        <f>VLOOKUP(A2747,vlookup_table!$A:$G,4,FALSE)</f>
        <v>3407</v>
      </c>
      <c r="Q2747" t="str">
        <f>VLOOKUP(A2747,vlookup_table!$A:$G,5,FALSE)</f>
        <v>T3</v>
      </c>
      <c r="R2747" t="str">
        <f>VLOOKUP(A2747,vlookup_table!$A:$G,6,FALSE)</f>
        <v>F</v>
      </c>
      <c r="S2747">
        <f>VLOOKUP(A2747,vlookup_table!$A:$G,7,FALSE)</f>
        <v>50</v>
      </c>
      <c r="T2747">
        <f t="shared" si="84"/>
        <v>62</v>
      </c>
      <c r="U2747" t="str">
        <f t="shared" si="85"/>
        <v>Pueblo</v>
      </c>
    </row>
    <row r="2748" spans="1:21" ht="16" x14ac:dyDescent="0.4">
      <c r="A2748" s="7">
        <v>28681</v>
      </c>
      <c r="B2748" s="7" t="s">
        <v>36</v>
      </c>
      <c r="C2748" s="7" t="s">
        <v>14</v>
      </c>
      <c r="D2748" s="7">
        <v>896</v>
      </c>
      <c r="E2748" s="7">
        <v>441</v>
      </c>
      <c r="F2748" s="7">
        <v>569</v>
      </c>
      <c r="G2748" s="7">
        <v>5</v>
      </c>
      <c r="H2748" s="7">
        <v>17474</v>
      </c>
      <c r="I2748" s="7">
        <v>1</v>
      </c>
      <c r="J2748" s="7">
        <v>74</v>
      </c>
      <c r="K2748" s="7">
        <v>512</v>
      </c>
      <c r="L2748" s="7">
        <v>505</v>
      </c>
      <c r="M2748" s="7">
        <v>9.8000000000000007</v>
      </c>
      <c r="N2748">
        <f>VLOOKUP(A2748,vlookup_table!$A:$G,2,FALSE)</f>
        <v>1</v>
      </c>
      <c r="O2748" t="str">
        <f>VLOOKUP(A2748,vlookup_table!$A:$G,3,FALSE)</f>
        <v>GA</v>
      </c>
      <c r="P2748">
        <f>VLOOKUP(A2748,vlookup_table!$A:$G,4,FALSE)</f>
        <v>4612</v>
      </c>
      <c r="Q2748" t="str">
        <f>VLOOKUP(A2748,vlookup_table!$A:$G,5,FALSE)</f>
        <v>T1</v>
      </c>
      <c r="R2748" t="str">
        <f>VLOOKUP(A2748,vlookup_table!$A:$G,6,FALSE)</f>
        <v>M</v>
      </c>
      <c r="S2748">
        <f>VLOOKUP(A2748,vlookup_table!$A:$G,7,FALSE)</f>
        <v>35</v>
      </c>
      <c r="T2748">
        <f t="shared" si="84"/>
        <v>50</v>
      </c>
      <c r="U2748" t="str">
        <f t="shared" si="85"/>
        <v>Pueblo</v>
      </c>
    </row>
    <row r="2749" spans="1:21" ht="16" x14ac:dyDescent="0.4">
      <c r="A2749" s="7">
        <v>125446</v>
      </c>
      <c r="B2749" s="7" t="s">
        <v>20</v>
      </c>
      <c r="C2749" s="7" t="s">
        <v>17</v>
      </c>
      <c r="D2749" s="7">
        <v>380</v>
      </c>
      <c r="E2749" s="7">
        <v>277</v>
      </c>
      <c r="F2749" s="7">
        <v>349</v>
      </c>
      <c r="G2749" s="7">
        <v>0</v>
      </c>
      <c r="H2749" s="7">
        <v>10379</v>
      </c>
      <c r="I2749" s="7">
        <v>5</v>
      </c>
      <c r="J2749" s="7">
        <v>84</v>
      </c>
      <c r="K2749" s="7">
        <v>293</v>
      </c>
      <c r="L2749" s="7">
        <v>325</v>
      </c>
      <c r="M2749" s="7">
        <v>9.884615385</v>
      </c>
      <c r="N2749">
        <f>VLOOKUP(A2749,vlookup_table!$A:$G,2,FALSE)</f>
        <v>2</v>
      </c>
      <c r="O2749" t="str">
        <f>VLOOKUP(A2749,vlookup_table!$A:$G,3,FALSE)</f>
        <v>TX</v>
      </c>
      <c r="P2749">
        <f>VLOOKUP(A2749,vlookup_table!$A:$G,4,FALSE)</f>
        <v>3801</v>
      </c>
      <c r="Q2749" t="str">
        <f>VLOOKUP(A2749,vlookup_table!$A:$G,5,FALSE)</f>
        <v>S3</v>
      </c>
      <c r="R2749" t="str">
        <f>VLOOKUP(A2749,vlookup_table!$A:$G,6,FALSE)</f>
        <v>F</v>
      </c>
      <c r="S2749">
        <f>VLOOKUP(A2749,vlookup_table!$A:$G,7,FALSE)</f>
        <v>10</v>
      </c>
      <c r="T2749">
        <f t="shared" si="84"/>
        <v>58</v>
      </c>
      <c r="U2749" t="str">
        <f t="shared" si="85"/>
        <v>Suburbano</v>
      </c>
    </row>
    <row r="2750" spans="1:21" ht="16" x14ac:dyDescent="0.4">
      <c r="A2750" s="7">
        <v>95151</v>
      </c>
      <c r="B2750" s="7" t="s">
        <v>16</v>
      </c>
      <c r="C2750" s="7" t="s">
        <v>17</v>
      </c>
      <c r="D2750" s="7">
        <v>302</v>
      </c>
      <c r="E2750" s="7">
        <v>202</v>
      </c>
      <c r="F2750" s="7">
        <v>304</v>
      </c>
      <c r="G2750" s="7">
        <v>0</v>
      </c>
      <c r="H2750" s="7">
        <v>9358</v>
      </c>
      <c r="I2750" s="7">
        <v>1</v>
      </c>
      <c r="J2750" s="7">
        <v>76</v>
      </c>
      <c r="K2750" s="7">
        <v>283</v>
      </c>
      <c r="L2750" s="7">
        <v>245</v>
      </c>
      <c r="M2750" s="7">
        <v>7.6666666670000003</v>
      </c>
      <c r="N2750">
        <f>VLOOKUP(A2750,vlookup_table!$A:$G,2,FALSE)</f>
        <v>0</v>
      </c>
      <c r="O2750" t="str">
        <f>VLOOKUP(A2750,vlookup_table!$A:$G,3,FALSE)</f>
        <v>IL</v>
      </c>
      <c r="P2750">
        <f>VLOOKUP(A2750,vlookup_table!$A:$G,4,FALSE)</f>
        <v>4601</v>
      </c>
      <c r="Q2750" t="str">
        <f>VLOOKUP(A2750,vlookup_table!$A:$G,5,FALSE)</f>
        <v>R3</v>
      </c>
      <c r="R2750" t="str">
        <f>VLOOKUP(A2750,vlookup_table!$A:$G,6,FALSE)</f>
        <v>F</v>
      </c>
      <c r="S2750">
        <f>VLOOKUP(A2750,vlookup_table!$A:$G,7,FALSE)</f>
        <v>7</v>
      </c>
      <c r="T2750">
        <f t="shared" si="84"/>
        <v>50</v>
      </c>
      <c r="U2750" t="str">
        <f t="shared" si="85"/>
        <v>Rural</v>
      </c>
    </row>
    <row r="2751" spans="1:21" ht="16" x14ac:dyDescent="0.4">
      <c r="A2751" s="7">
        <v>132394</v>
      </c>
      <c r="B2751" s="7" t="s">
        <v>45</v>
      </c>
      <c r="C2751" s="7" t="s">
        <v>17</v>
      </c>
      <c r="D2751" s="7">
        <v>467</v>
      </c>
      <c r="E2751" s="7">
        <v>189</v>
      </c>
      <c r="F2751" s="7">
        <v>269</v>
      </c>
      <c r="G2751" s="7">
        <v>0</v>
      </c>
      <c r="H2751" s="7">
        <v>9668</v>
      </c>
      <c r="I2751" s="7">
        <v>1</v>
      </c>
      <c r="J2751" s="7">
        <v>44</v>
      </c>
      <c r="K2751" s="7">
        <v>231</v>
      </c>
      <c r="L2751" s="7">
        <v>237</v>
      </c>
      <c r="M2751" s="7">
        <v>7</v>
      </c>
      <c r="N2751">
        <f>VLOOKUP(A2751,vlookup_table!$A:$G,2,FALSE)</f>
        <v>2</v>
      </c>
      <c r="O2751" t="str">
        <f>VLOOKUP(A2751,vlookup_table!$A:$G,3,FALSE)</f>
        <v>CO</v>
      </c>
      <c r="P2751">
        <f>VLOOKUP(A2751,vlookup_table!$A:$G,4,FALSE)</f>
        <v>1001</v>
      </c>
      <c r="Q2751" t="str">
        <f>VLOOKUP(A2751,vlookup_table!$A:$G,5,FALSE)</f>
        <v>R2</v>
      </c>
      <c r="R2751" t="str">
        <f>VLOOKUP(A2751,vlookup_table!$A:$G,6,FALSE)</f>
        <v>F</v>
      </c>
      <c r="S2751">
        <f>VLOOKUP(A2751,vlookup_table!$A:$G,7,FALSE)</f>
        <v>11</v>
      </c>
      <c r="T2751">
        <f t="shared" si="84"/>
        <v>86</v>
      </c>
      <c r="U2751" t="str">
        <f t="shared" si="85"/>
        <v>Rural</v>
      </c>
    </row>
    <row r="2752" spans="1:21" ht="16" x14ac:dyDescent="0.4">
      <c r="A2752" s="7">
        <v>151702</v>
      </c>
      <c r="B2752" s="7" t="s">
        <v>21</v>
      </c>
      <c r="C2752" s="7" t="s">
        <v>17</v>
      </c>
      <c r="D2752" s="7">
        <v>2145</v>
      </c>
      <c r="E2752" s="7">
        <v>474</v>
      </c>
      <c r="F2752" s="7">
        <v>554</v>
      </c>
      <c r="G2752" s="7">
        <v>56</v>
      </c>
      <c r="H2752" s="7">
        <v>18340</v>
      </c>
      <c r="I2752" s="7">
        <v>11</v>
      </c>
      <c r="J2752" s="7">
        <v>55</v>
      </c>
      <c r="K2752" s="7">
        <v>492</v>
      </c>
      <c r="L2752" s="7">
        <v>522</v>
      </c>
      <c r="M2752" s="7">
        <v>11.57142857</v>
      </c>
      <c r="N2752">
        <f>VLOOKUP(A2752,vlookup_table!$A:$G,2,FALSE)</f>
        <v>0</v>
      </c>
      <c r="O2752" t="str">
        <f>VLOOKUP(A2752,vlookup_table!$A:$G,3,FALSE)</f>
        <v>CA</v>
      </c>
      <c r="P2752">
        <f>VLOOKUP(A2752,vlookup_table!$A:$G,4,FALSE)</f>
        <v>4305</v>
      </c>
      <c r="Q2752" t="str">
        <f>VLOOKUP(A2752,vlookup_table!$A:$G,5,FALSE)</f>
        <v>T1</v>
      </c>
      <c r="R2752" t="str">
        <f>VLOOKUP(A2752,vlookup_table!$A:$G,6,FALSE)</f>
        <v>F</v>
      </c>
      <c r="S2752">
        <f>VLOOKUP(A2752,vlookup_table!$A:$G,7,FALSE)</f>
        <v>15</v>
      </c>
      <c r="T2752">
        <f t="shared" si="84"/>
        <v>53</v>
      </c>
      <c r="U2752" t="str">
        <f t="shared" si="85"/>
        <v>Pueblo</v>
      </c>
    </row>
    <row r="2753" spans="1:21" ht="16" x14ac:dyDescent="0.4">
      <c r="A2753" s="7">
        <v>65668</v>
      </c>
      <c r="B2753" s="7" t="s">
        <v>26</v>
      </c>
      <c r="C2753" s="7" t="s">
        <v>17</v>
      </c>
      <c r="D2753" s="7">
        <v>404</v>
      </c>
      <c r="E2753" s="7">
        <v>180</v>
      </c>
      <c r="F2753" s="7">
        <v>257</v>
      </c>
      <c r="G2753" s="7">
        <v>0</v>
      </c>
      <c r="H2753" s="7">
        <v>8761</v>
      </c>
      <c r="I2753" s="7">
        <v>1</v>
      </c>
      <c r="J2753" s="7">
        <v>85</v>
      </c>
      <c r="K2753" s="7">
        <v>212</v>
      </c>
      <c r="L2753" s="7">
        <v>231</v>
      </c>
      <c r="M2753" s="7">
        <v>8.4</v>
      </c>
      <c r="N2753">
        <f>VLOOKUP(A2753,vlookup_table!$A:$G,2,FALSE)</f>
        <v>2</v>
      </c>
      <c r="O2753" t="str">
        <f>VLOOKUP(A2753,vlookup_table!$A:$G,3,FALSE)</f>
        <v>MI</v>
      </c>
      <c r="P2753">
        <f>VLOOKUP(A2753,vlookup_table!$A:$G,4,FALSE)</f>
        <v>0</v>
      </c>
      <c r="Q2753" t="str">
        <f>VLOOKUP(A2753,vlookup_table!$A:$G,5,FALSE)</f>
        <v>R3</v>
      </c>
      <c r="R2753" t="str">
        <f>VLOOKUP(A2753,vlookup_table!$A:$G,6,FALSE)</f>
        <v>F</v>
      </c>
      <c r="S2753">
        <f>VLOOKUP(A2753,vlookup_table!$A:$G,7,FALSE)</f>
        <v>10</v>
      </c>
      <c r="T2753">
        <f t="shared" si="84"/>
        <v>96</v>
      </c>
      <c r="U2753" t="str">
        <f t="shared" si="85"/>
        <v>Rural</v>
      </c>
    </row>
    <row r="2754" spans="1:21" ht="16" x14ac:dyDescent="0.4">
      <c r="A2754" s="7">
        <v>167357</v>
      </c>
      <c r="B2754" s="7" t="s">
        <v>21</v>
      </c>
      <c r="C2754" s="7" t="s">
        <v>14</v>
      </c>
      <c r="D2754" s="7">
        <v>2429</v>
      </c>
      <c r="E2754" s="7">
        <v>315</v>
      </c>
      <c r="F2754" s="7">
        <v>456</v>
      </c>
      <c r="G2754" s="7">
        <v>81</v>
      </c>
      <c r="H2754" s="7">
        <v>18050</v>
      </c>
      <c r="I2754" s="7">
        <v>9</v>
      </c>
      <c r="J2754" s="7">
        <v>50</v>
      </c>
      <c r="K2754" s="7">
        <v>413</v>
      </c>
      <c r="L2754" s="7">
        <v>375</v>
      </c>
      <c r="M2754" s="7">
        <v>8.75</v>
      </c>
      <c r="N2754">
        <f>VLOOKUP(A2754,vlookup_table!$A:$G,2,FALSE)</f>
        <v>1</v>
      </c>
      <c r="O2754" t="str">
        <f>VLOOKUP(A2754,vlookup_table!$A:$G,3,FALSE)</f>
        <v>CA</v>
      </c>
      <c r="P2754">
        <f>VLOOKUP(A2754,vlookup_table!$A:$G,4,FALSE)</f>
        <v>5501</v>
      </c>
      <c r="Q2754" t="str">
        <f>VLOOKUP(A2754,vlookup_table!$A:$G,5,FALSE)</f>
        <v>S1</v>
      </c>
      <c r="R2754" t="str">
        <f>VLOOKUP(A2754,vlookup_table!$A:$G,6,FALSE)</f>
        <v>M</v>
      </c>
      <c r="S2754">
        <f>VLOOKUP(A2754,vlookup_table!$A:$G,7,FALSE)</f>
        <v>12</v>
      </c>
      <c r="T2754">
        <f t="shared" si="84"/>
        <v>41</v>
      </c>
      <c r="U2754" t="str">
        <f t="shared" si="85"/>
        <v>Suburbano</v>
      </c>
    </row>
    <row r="2755" spans="1:21" ht="16" x14ac:dyDescent="0.4">
      <c r="A2755" s="7">
        <v>117552</v>
      </c>
      <c r="B2755" s="7" t="s">
        <v>20</v>
      </c>
      <c r="C2755" s="7" t="s">
        <v>17</v>
      </c>
      <c r="D2755" s="7">
        <v>2650</v>
      </c>
      <c r="E2755" s="7">
        <v>853</v>
      </c>
      <c r="F2755" s="7">
        <v>987</v>
      </c>
      <c r="G2755" s="7">
        <v>66</v>
      </c>
      <c r="H2755" s="7">
        <v>41814</v>
      </c>
      <c r="I2755" s="7">
        <v>7</v>
      </c>
      <c r="J2755" s="7">
        <v>38</v>
      </c>
      <c r="K2755" s="7">
        <v>965</v>
      </c>
      <c r="L2755" s="7">
        <v>870</v>
      </c>
      <c r="M2755" s="7">
        <v>13.75</v>
      </c>
      <c r="N2755">
        <f>VLOOKUP(A2755,vlookup_table!$A:$G,2,FALSE)</f>
        <v>0</v>
      </c>
      <c r="O2755" t="str">
        <f>VLOOKUP(A2755,vlookup_table!$A:$G,3,FALSE)</f>
        <v>TX</v>
      </c>
      <c r="P2755">
        <f>VLOOKUP(A2755,vlookup_table!$A:$G,4,FALSE)</f>
        <v>4403</v>
      </c>
      <c r="Q2755" t="str">
        <f>VLOOKUP(A2755,vlookup_table!$A:$G,5,FALSE)</f>
        <v>S1</v>
      </c>
      <c r="R2755" t="str">
        <f>VLOOKUP(A2755,vlookup_table!$A:$G,6,FALSE)</f>
        <v>F</v>
      </c>
      <c r="S2755">
        <f>VLOOKUP(A2755,vlookup_table!$A:$G,7,FALSE)</f>
        <v>20</v>
      </c>
      <c r="T2755">
        <f t="shared" ref="T2755:T2818" si="86">97-LEFT(P2755,2)-IF(RIGHT(P2755,2)&gt;6,1,0)</f>
        <v>52</v>
      </c>
      <c r="U2755" t="str">
        <f t="shared" ref="U2755:U2818" si="87">IF(LEFT(Q2755,1)="C","Ciudad",IF(LEFT(Q2755,1)="T","Pueblo",IF(LEFT(Q2755,1)="R","Rural",IF(LEFT(Q2755,1)="S","Suburbano",IF(LEFT(Q2755,1)="U","Urbano","")))))</f>
        <v>Suburbano</v>
      </c>
    </row>
    <row r="2756" spans="1:21" ht="16" x14ac:dyDescent="0.4">
      <c r="A2756" s="7">
        <v>75341</v>
      </c>
      <c r="B2756" s="7" t="s">
        <v>44</v>
      </c>
      <c r="C2756" s="7" t="s">
        <v>17</v>
      </c>
      <c r="D2756" s="7">
        <v>595</v>
      </c>
      <c r="E2756" s="7">
        <v>362</v>
      </c>
      <c r="F2756" s="7">
        <v>560</v>
      </c>
      <c r="G2756" s="7">
        <v>1</v>
      </c>
      <c r="H2756" s="7">
        <v>18202</v>
      </c>
      <c r="I2756" s="7">
        <v>0</v>
      </c>
      <c r="J2756" s="7">
        <v>70</v>
      </c>
      <c r="K2756" s="7">
        <v>436</v>
      </c>
      <c r="L2756" s="7">
        <v>437</v>
      </c>
      <c r="M2756" s="7">
        <v>7</v>
      </c>
      <c r="N2756">
        <f>VLOOKUP(A2756,vlookup_table!$A:$G,2,FALSE)</f>
        <v>28</v>
      </c>
      <c r="O2756" t="str">
        <f>VLOOKUP(A2756,vlookup_table!$A:$G,3,FALSE)</f>
        <v>IA</v>
      </c>
      <c r="P2756">
        <f>VLOOKUP(A2756,vlookup_table!$A:$G,4,FALSE)</f>
        <v>1403</v>
      </c>
      <c r="Q2756" t="str">
        <f>VLOOKUP(A2756,vlookup_table!$A:$G,5,FALSE)</f>
        <v>T1</v>
      </c>
      <c r="R2756" t="str">
        <f>VLOOKUP(A2756,vlookup_table!$A:$G,6,FALSE)</f>
        <v>F</v>
      </c>
      <c r="S2756">
        <f>VLOOKUP(A2756,vlookup_table!$A:$G,7,FALSE)</f>
        <v>15</v>
      </c>
      <c r="T2756">
        <f t="shared" si="86"/>
        <v>82</v>
      </c>
      <c r="U2756" t="str">
        <f t="shared" si="87"/>
        <v>Pueblo</v>
      </c>
    </row>
    <row r="2757" spans="1:21" ht="16" x14ac:dyDescent="0.4">
      <c r="A2757" s="7">
        <v>36774</v>
      </c>
      <c r="B2757" s="7" t="s">
        <v>13</v>
      </c>
      <c r="C2757" s="7" t="s">
        <v>14</v>
      </c>
      <c r="D2757" s="7">
        <v>902</v>
      </c>
      <c r="E2757" s="7">
        <v>435</v>
      </c>
      <c r="F2757" s="7">
        <v>508</v>
      </c>
      <c r="G2757" s="7">
        <v>0</v>
      </c>
      <c r="H2757" s="7">
        <v>16699</v>
      </c>
      <c r="I2757" s="7">
        <v>21</v>
      </c>
      <c r="J2757" s="7">
        <v>32</v>
      </c>
      <c r="K2757" s="7">
        <v>465</v>
      </c>
      <c r="L2757" s="7">
        <v>481</v>
      </c>
      <c r="M2757" s="7">
        <v>10</v>
      </c>
      <c r="N2757">
        <f>VLOOKUP(A2757,vlookup_table!$A:$G,2,FALSE)</f>
        <v>1</v>
      </c>
      <c r="O2757" t="str">
        <f>VLOOKUP(A2757,vlookup_table!$A:$G,3,FALSE)</f>
        <v>FL</v>
      </c>
      <c r="P2757">
        <f>VLOOKUP(A2757,vlookup_table!$A:$G,4,FALSE)</f>
        <v>4401</v>
      </c>
      <c r="Q2757" t="str">
        <f>VLOOKUP(A2757,vlookup_table!$A:$G,5,FALSE)</f>
        <v>S1</v>
      </c>
      <c r="R2757" t="str">
        <f>VLOOKUP(A2757,vlookup_table!$A:$G,6,FALSE)</f>
        <v>M</v>
      </c>
      <c r="S2757">
        <f>VLOOKUP(A2757,vlookup_table!$A:$G,7,FALSE)</f>
        <v>21</v>
      </c>
      <c r="T2757">
        <f t="shared" si="86"/>
        <v>52</v>
      </c>
      <c r="U2757" t="str">
        <f t="shared" si="87"/>
        <v>Suburbano</v>
      </c>
    </row>
    <row r="2758" spans="1:21" ht="16" x14ac:dyDescent="0.4">
      <c r="A2758" s="7">
        <v>139074</v>
      </c>
      <c r="B2758" s="7" t="s">
        <v>51</v>
      </c>
      <c r="C2758" s="7" t="s">
        <v>14</v>
      </c>
      <c r="D2758" s="7">
        <v>684</v>
      </c>
      <c r="E2758" s="7">
        <v>196</v>
      </c>
      <c r="F2758" s="7">
        <v>271</v>
      </c>
      <c r="G2758" s="7">
        <v>2</v>
      </c>
      <c r="H2758" s="7">
        <v>10133</v>
      </c>
      <c r="I2758" s="7">
        <v>3</v>
      </c>
      <c r="J2758" s="7">
        <v>13</v>
      </c>
      <c r="K2758" s="7">
        <v>222</v>
      </c>
      <c r="L2758" s="7">
        <v>247</v>
      </c>
      <c r="M2758" s="7">
        <v>12.2</v>
      </c>
      <c r="N2758">
        <f>VLOOKUP(A2758,vlookup_table!$A:$G,2,FALSE)</f>
        <v>1</v>
      </c>
      <c r="O2758" t="str">
        <f>VLOOKUP(A2758,vlookup_table!$A:$G,3,FALSE)</f>
        <v>AZ</v>
      </c>
      <c r="P2758">
        <f>VLOOKUP(A2758,vlookup_table!$A:$G,4,FALSE)</f>
        <v>2103</v>
      </c>
      <c r="Q2758" t="str">
        <f>VLOOKUP(A2758,vlookup_table!$A:$G,5,FALSE)</f>
        <v>R2</v>
      </c>
      <c r="R2758" t="str">
        <f>VLOOKUP(A2758,vlookup_table!$A:$G,6,FALSE)</f>
        <v>M</v>
      </c>
      <c r="S2758">
        <f>VLOOKUP(A2758,vlookup_table!$A:$G,7,FALSE)</f>
        <v>20</v>
      </c>
      <c r="T2758">
        <f t="shared" si="86"/>
        <v>75</v>
      </c>
      <c r="U2758" t="str">
        <f t="shared" si="87"/>
        <v>Rural</v>
      </c>
    </row>
    <row r="2759" spans="1:21" ht="16" x14ac:dyDescent="0.4">
      <c r="A2759" s="7">
        <v>58086</v>
      </c>
      <c r="B2759" s="7" t="s">
        <v>53</v>
      </c>
      <c r="C2759" s="7" t="s">
        <v>17</v>
      </c>
      <c r="D2759" s="7">
        <v>240</v>
      </c>
      <c r="E2759" s="7">
        <v>99</v>
      </c>
      <c r="F2759" s="7">
        <v>191</v>
      </c>
      <c r="G2759" s="7">
        <v>0</v>
      </c>
      <c r="H2759" s="7">
        <v>6133</v>
      </c>
      <c r="I2759" s="7">
        <v>0</v>
      </c>
      <c r="J2759" s="7">
        <v>92</v>
      </c>
      <c r="K2759" s="7">
        <v>156</v>
      </c>
      <c r="L2759" s="7">
        <v>153</v>
      </c>
      <c r="M2759" s="7">
        <v>3.2608695650000001</v>
      </c>
      <c r="N2759">
        <f>VLOOKUP(A2759,vlookup_table!$A:$G,2,FALSE)</f>
        <v>0</v>
      </c>
      <c r="O2759" t="str">
        <f>VLOOKUP(A2759,vlookup_table!$A:$G,3,FALSE)</f>
        <v>KY</v>
      </c>
      <c r="P2759">
        <f>VLOOKUP(A2759,vlookup_table!$A:$G,4,FALSE)</f>
        <v>4401</v>
      </c>
      <c r="Q2759" t="str">
        <f>VLOOKUP(A2759,vlookup_table!$A:$G,5,FALSE)</f>
        <v>R3</v>
      </c>
      <c r="R2759" t="str">
        <f>VLOOKUP(A2759,vlookup_table!$A:$G,6,FALSE)</f>
        <v>F</v>
      </c>
      <c r="S2759">
        <f>VLOOKUP(A2759,vlookup_table!$A:$G,7,FALSE)</f>
        <v>4</v>
      </c>
      <c r="T2759">
        <f t="shared" si="86"/>
        <v>52</v>
      </c>
      <c r="U2759" t="str">
        <f t="shared" si="87"/>
        <v>Rural</v>
      </c>
    </row>
    <row r="2760" spans="1:21" ht="16" x14ac:dyDescent="0.4">
      <c r="A2760" s="7">
        <v>37637</v>
      </c>
      <c r="B2760" s="7" t="s">
        <v>13</v>
      </c>
      <c r="C2760" s="7" t="s">
        <v>17</v>
      </c>
      <c r="D2760" s="7">
        <v>1305</v>
      </c>
      <c r="E2760" s="7">
        <v>511</v>
      </c>
      <c r="F2760" s="7">
        <v>705</v>
      </c>
      <c r="G2760" s="7">
        <v>14</v>
      </c>
      <c r="H2760" s="7">
        <v>35196</v>
      </c>
      <c r="I2760" s="7">
        <v>31</v>
      </c>
      <c r="J2760" s="7">
        <v>33</v>
      </c>
      <c r="K2760" s="7">
        <v>650</v>
      </c>
      <c r="L2760" s="7">
        <v>605</v>
      </c>
      <c r="M2760" s="7">
        <v>7.5833333329999997</v>
      </c>
      <c r="N2760">
        <f>VLOOKUP(A2760,vlookup_table!$A:$G,2,FALSE)</f>
        <v>28</v>
      </c>
      <c r="O2760" t="str">
        <f>VLOOKUP(A2760,vlookup_table!$A:$G,3,FALSE)</f>
        <v>FL</v>
      </c>
      <c r="P2760">
        <f>VLOOKUP(A2760,vlookup_table!$A:$G,4,FALSE)</f>
        <v>4906</v>
      </c>
      <c r="Q2760" t="str">
        <f>VLOOKUP(A2760,vlookup_table!$A:$G,5,FALSE)</f>
        <v>C1</v>
      </c>
      <c r="R2760" t="str">
        <f>VLOOKUP(A2760,vlookup_table!$A:$G,6,FALSE)</f>
        <v>F</v>
      </c>
      <c r="S2760">
        <f>VLOOKUP(A2760,vlookup_table!$A:$G,7,FALSE)</f>
        <v>10</v>
      </c>
      <c r="T2760">
        <f t="shared" si="86"/>
        <v>47</v>
      </c>
      <c r="U2760" t="str">
        <f t="shared" si="87"/>
        <v>Ciudad</v>
      </c>
    </row>
    <row r="2761" spans="1:21" ht="16" x14ac:dyDescent="0.4">
      <c r="A2761" s="7">
        <v>73625</v>
      </c>
      <c r="B2761" s="7" t="s">
        <v>26</v>
      </c>
      <c r="C2761" s="7" t="s">
        <v>17</v>
      </c>
      <c r="D2761" s="7">
        <v>0</v>
      </c>
      <c r="E2761" s="7">
        <v>0</v>
      </c>
      <c r="F2761" s="7">
        <v>0</v>
      </c>
      <c r="G2761" s="7">
        <v>0</v>
      </c>
      <c r="H2761" s="7">
        <v>0</v>
      </c>
      <c r="I2761" s="7">
        <v>0</v>
      </c>
      <c r="J2761" s="7">
        <v>0</v>
      </c>
      <c r="K2761" s="7">
        <v>0</v>
      </c>
      <c r="L2761" s="7">
        <v>0</v>
      </c>
      <c r="M2761" s="7">
        <v>8.7777777780000008</v>
      </c>
      <c r="N2761">
        <f>VLOOKUP(A2761,vlookup_table!$A:$G,2,FALSE)</f>
        <v>0</v>
      </c>
      <c r="O2761" t="str">
        <f>VLOOKUP(A2761,vlookup_table!$A:$G,3,FALSE)</f>
        <v>MI</v>
      </c>
      <c r="P2761">
        <f>VLOOKUP(A2761,vlookup_table!$A:$G,4,FALSE)</f>
        <v>5806</v>
      </c>
      <c r="Q2761" t="str">
        <f>VLOOKUP(A2761,vlookup_table!$A:$G,5,FALSE)</f>
        <v>U4</v>
      </c>
      <c r="R2761" t="str">
        <f>VLOOKUP(A2761,vlookup_table!$A:$G,6,FALSE)</f>
        <v>F</v>
      </c>
      <c r="S2761">
        <f>VLOOKUP(A2761,vlookup_table!$A:$G,7,FALSE)</f>
        <v>10</v>
      </c>
      <c r="T2761">
        <f t="shared" si="86"/>
        <v>38</v>
      </c>
      <c r="U2761" t="str">
        <f t="shared" si="87"/>
        <v>Urbano</v>
      </c>
    </row>
    <row r="2762" spans="1:21" ht="16" x14ac:dyDescent="0.4">
      <c r="A2762" s="7">
        <v>77845</v>
      </c>
      <c r="B2762" s="7" t="s">
        <v>32</v>
      </c>
      <c r="C2762" s="7" t="s">
        <v>17</v>
      </c>
      <c r="D2762" s="7">
        <v>1117</v>
      </c>
      <c r="E2762" s="7">
        <v>448</v>
      </c>
      <c r="F2762" s="7">
        <v>500</v>
      </c>
      <c r="G2762" s="7">
        <v>5</v>
      </c>
      <c r="H2762" s="7">
        <v>17807</v>
      </c>
      <c r="I2762" s="7">
        <v>4</v>
      </c>
      <c r="J2762" s="7">
        <v>63</v>
      </c>
      <c r="K2762" s="7">
        <v>478</v>
      </c>
      <c r="L2762" s="7">
        <v>467</v>
      </c>
      <c r="M2762" s="7">
        <v>12.5</v>
      </c>
      <c r="N2762">
        <f>VLOOKUP(A2762,vlookup_table!$A:$G,2,FALSE)</f>
        <v>0</v>
      </c>
      <c r="O2762" t="str">
        <f>VLOOKUP(A2762,vlookup_table!$A:$G,3,FALSE)</f>
        <v>WI</v>
      </c>
      <c r="P2762">
        <f>VLOOKUP(A2762,vlookup_table!$A:$G,4,FALSE)</f>
        <v>6101</v>
      </c>
      <c r="Q2762" t="str">
        <f>VLOOKUP(A2762,vlookup_table!$A:$G,5,FALSE)</f>
        <v>T2</v>
      </c>
      <c r="R2762" t="str">
        <f>VLOOKUP(A2762,vlookup_table!$A:$G,6,FALSE)</f>
        <v>F</v>
      </c>
      <c r="S2762">
        <f>VLOOKUP(A2762,vlookup_table!$A:$G,7,FALSE)</f>
        <v>15</v>
      </c>
      <c r="T2762">
        <f t="shared" si="86"/>
        <v>35</v>
      </c>
      <c r="U2762" t="str">
        <f t="shared" si="87"/>
        <v>Pueblo</v>
      </c>
    </row>
    <row r="2763" spans="1:21" ht="16" x14ac:dyDescent="0.4">
      <c r="A2763" s="7">
        <v>6615</v>
      </c>
      <c r="B2763" s="7" t="s">
        <v>13</v>
      </c>
      <c r="C2763" s="7" t="s">
        <v>17</v>
      </c>
      <c r="D2763" s="7">
        <v>1701</v>
      </c>
      <c r="E2763" s="7">
        <v>355</v>
      </c>
      <c r="F2763" s="7">
        <v>615</v>
      </c>
      <c r="G2763" s="7">
        <v>39</v>
      </c>
      <c r="H2763" s="7">
        <v>25527</v>
      </c>
      <c r="I2763" s="7">
        <v>29</v>
      </c>
      <c r="J2763" s="7">
        <v>30</v>
      </c>
      <c r="K2763" s="7">
        <v>493</v>
      </c>
      <c r="L2763" s="7">
        <v>486</v>
      </c>
      <c r="M2763" s="7">
        <v>10.68421053</v>
      </c>
      <c r="N2763">
        <f>VLOOKUP(A2763,vlookup_table!$A:$G,2,FALSE)</f>
        <v>0</v>
      </c>
      <c r="O2763" t="str">
        <f>VLOOKUP(A2763,vlookup_table!$A:$G,3,FALSE)</f>
        <v>FL</v>
      </c>
      <c r="P2763">
        <f>VLOOKUP(A2763,vlookup_table!$A:$G,4,FALSE)</f>
        <v>0</v>
      </c>
      <c r="Q2763" t="str">
        <f>VLOOKUP(A2763,vlookup_table!$A:$G,5,FALSE)</f>
        <v>S1</v>
      </c>
      <c r="R2763" t="str">
        <f>VLOOKUP(A2763,vlookup_table!$A:$G,6,FALSE)</f>
        <v>F</v>
      </c>
      <c r="S2763">
        <f>VLOOKUP(A2763,vlookup_table!$A:$G,7,FALSE)</f>
        <v>11</v>
      </c>
      <c r="T2763">
        <f t="shared" si="86"/>
        <v>96</v>
      </c>
      <c r="U2763" t="str">
        <f t="shared" si="87"/>
        <v>Suburbano</v>
      </c>
    </row>
    <row r="2764" spans="1:21" ht="16" x14ac:dyDescent="0.4">
      <c r="A2764" s="7">
        <v>35504</v>
      </c>
      <c r="B2764" s="7" t="s">
        <v>13</v>
      </c>
      <c r="C2764" s="7" t="s">
        <v>17</v>
      </c>
      <c r="D2764" s="7">
        <v>834</v>
      </c>
      <c r="E2764" s="7">
        <v>343</v>
      </c>
      <c r="F2764" s="7">
        <v>379</v>
      </c>
      <c r="G2764" s="7">
        <v>0</v>
      </c>
      <c r="H2764" s="7">
        <v>16348</v>
      </c>
      <c r="I2764" s="7">
        <v>8</v>
      </c>
      <c r="J2764" s="7">
        <v>26</v>
      </c>
      <c r="K2764" s="7">
        <v>368</v>
      </c>
      <c r="L2764" s="7">
        <v>369</v>
      </c>
      <c r="M2764" s="7">
        <v>14</v>
      </c>
      <c r="N2764">
        <f>VLOOKUP(A2764,vlookup_table!$A:$G,2,FALSE)</f>
        <v>0</v>
      </c>
      <c r="O2764" t="str">
        <f>VLOOKUP(A2764,vlookup_table!$A:$G,3,FALSE)</f>
        <v>FL</v>
      </c>
      <c r="P2764">
        <f>VLOOKUP(A2764,vlookup_table!$A:$G,4,FALSE)</f>
        <v>4901</v>
      </c>
      <c r="Q2764" t="str">
        <f>VLOOKUP(A2764,vlookup_table!$A:$G,5,FALSE)</f>
        <v>S2</v>
      </c>
      <c r="R2764" t="str">
        <f>VLOOKUP(A2764,vlookup_table!$A:$G,6,FALSE)</f>
        <v>F</v>
      </c>
      <c r="S2764">
        <f>VLOOKUP(A2764,vlookup_table!$A:$G,7,FALSE)</f>
        <v>15</v>
      </c>
      <c r="T2764">
        <f t="shared" si="86"/>
        <v>47</v>
      </c>
      <c r="U2764" t="str">
        <f t="shared" si="87"/>
        <v>Suburbano</v>
      </c>
    </row>
    <row r="2765" spans="1:21" ht="16" x14ac:dyDescent="0.4">
      <c r="A2765" s="7">
        <v>131845</v>
      </c>
      <c r="B2765" s="7" t="s">
        <v>45</v>
      </c>
      <c r="C2765" s="7" t="s">
        <v>17</v>
      </c>
      <c r="D2765" s="7">
        <v>881</v>
      </c>
      <c r="E2765" s="7">
        <v>363</v>
      </c>
      <c r="F2765" s="7">
        <v>469</v>
      </c>
      <c r="G2765" s="7">
        <v>3</v>
      </c>
      <c r="H2765" s="7">
        <v>15179</v>
      </c>
      <c r="I2765" s="7">
        <v>5</v>
      </c>
      <c r="J2765" s="7">
        <v>29</v>
      </c>
      <c r="K2765" s="7">
        <v>412</v>
      </c>
      <c r="L2765" s="7">
        <v>428</v>
      </c>
      <c r="M2765" s="7">
        <v>9</v>
      </c>
      <c r="N2765">
        <f>VLOOKUP(A2765,vlookup_table!$A:$G,2,FALSE)</f>
        <v>2</v>
      </c>
      <c r="O2765" t="str">
        <f>VLOOKUP(A2765,vlookup_table!$A:$G,3,FALSE)</f>
        <v>CO</v>
      </c>
      <c r="P2765">
        <f>VLOOKUP(A2765,vlookup_table!$A:$G,4,FALSE)</f>
        <v>4601</v>
      </c>
      <c r="Q2765" t="str">
        <f>VLOOKUP(A2765,vlookup_table!$A:$G,5,FALSE)</f>
        <v>S3</v>
      </c>
      <c r="R2765" t="str">
        <f>VLOOKUP(A2765,vlookup_table!$A:$G,6,FALSE)</f>
        <v>F</v>
      </c>
      <c r="S2765">
        <f>VLOOKUP(A2765,vlookup_table!$A:$G,7,FALSE)</f>
        <v>15</v>
      </c>
      <c r="T2765">
        <f t="shared" si="86"/>
        <v>50</v>
      </c>
      <c r="U2765" t="str">
        <f t="shared" si="87"/>
        <v>Suburbano</v>
      </c>
    </row>
    <row r="2766" spans="1:21" ht="16" x14ac:dyDescent="0.4">
      <c r="A2766" s="7">
        <v>189902</v>
      </c>
      <c r="B2766" s="7" t="s">
        <v>21</v>
      </c>
      <c r="C2766" s="7" t="s">
        <v>17</v>
      </c>
      <c r="D2766" s="7">
        <v>1553</v>
      </c>
      <c r="E2766" s="7">
        <v>215</v>
      </c>
      <c r="F2766" s="7">
        <v>318</v>
      </c>
      <c r="G2766" s="7">
        <v>16</v>
      </c>
      <c r="H2766" s="7">
        <v>8322</v>
      </c>
      <c r="I2766" s="7">
        <v>55</v>
      </c>
      <c r="J2766" s="7">
        <v>34</v>
      </c>
      <c r="K2766" s="7">
        <v>238</v>
      </c>
      <c r="L2766" s="7">
        <v>295</v>
      </c>
      <c r="M2766" s="7">
        <v>5.8636363640000004</v>
      </c>
      <c r="N2766">
        <f>VLOOKUP(A2766,vlookup_table!$A:$G,2,FALSE)</f>
        <v>0</v>
      </c>
      <c r="O2766" t="str">
        <f>VLOOKUP(A2766,vlookup_table!$A:$G,3,FALSE)</f>
        <v>CA</v>
      </c>
      <c r="P2766">
        <f>VLOOKUP(A2766,vlookup_table!$A:$G,4,FALSE)</f>
        <v>4607</v>
      </c>
      <c r="Q2766" t="str">
        <f>VLOOKUP(A2766,vlookup_table!$A:$G,5,FALSE)</f>
        <v>U4</v>
      </c>
      <c r="R2766" t="str">
        <f>VLOOKUP(A2766,vlookup_table!$A:$G,6,FALSE)</f>
        <v>F</v>
      </c>
      <c r="S2766">
        <f>VLOOKUP(A2766,vlookup_table!$A:$G,7,FALSE)</f>
        <v>6</v>
      </c>
      <c r="T2766">
        <f t="shared" si="86"/>
        <v>50</v>
      </c>
      <c r="U2766" t="str">
        <f t="shared" si="87"/>
        <v>Urbano</v>
      </c>
    </row>
    <row r="2767" spans="1:21" ht="16" x14ac:dyDescent="0.4">
      <c r="A2767" s="7">
        <v>34836</v>
      </c>
      <c r="B2767" s="7" t="s">
        <v>13</v>
      </c>
      <c r="C2767" s="7" t="s">
        <v>17</v>
      </c>
      <c r="D2767" s="7">
        <v>705</v>
      </c>
      <c r="E2767" s="7">
        <v>204</v>
      </c>
      <c r="F2767" s="7">
        <v>300</v>
      </c>
      <c r="G2767" s="7">
        <v>6</v>
      </c>
      <c r="H2767" s="7">
        <v>12915</v>
      </c>
      <c r="I2767" s="7">
        <v>3</v>
      </c>
      <c r="J2767" s="7">
        <v>11</v>
      </c>
      <c r="K2767" s="7">
        <v>241</v>
      </c>
      <c r="L2767" s="7">
        <v>251</v>
      </c>
      <c r="M2767" s="7">
        <v>15.4</v>
      </c>
      <c r="N2767">
        <f>VLOOKUP(A2767,vlookup_table!$A:$G,2,FALSE)</f>
        <v>0</v>
      </c>
      <c r="O2767" t="str">
        <f>VLOOKUP(A2767,vlookup_table!$A:$G,3,FALSE)</f>
        <v>FL</v>
      </c>
      <c r="P2767">
        <f>VLOOKUP(A2767,vlookup_table!$A:$G,4,FALSE)</f>
        <v>0</v>
      </c>
      <c r="Q2767" t="str">
        <f>VLOOKUP(A2767,vlookup_table!$A:$G,5,FALSE)</f>
        <v>C2</v>
      </c>
      <c r="R2767" t="str">
        <f>VLOOKUP(A2767,vlookup_table!$A:$G,6,FALSE)</f>
        <v>F</v>
      </c>
      <c r="S2767">
        <f>VLOOKUP(A2767,vlookup_table!$A:$G,7,FALSE)</f>
        <v>15</v>
      </c>
      <c r="T2767">
        <f t="shared" si="86"/>
        <v>96</v>
      </c>
      <c r="U2767" t="str">
        <f t="shared" si="87"/>
        <v>Ciudad</v>
      </c>
    </row>
    <row r="2768" spans="1:21" ht="16" x14ac:dyDescent="0.4">
      <c r="A2768" s="7">
        <v>123909</v>
      </c>
      <c r="B2768" s="7" t="s">
        <v>20</v>
      </c>
      <c r="C2768" s="7" t="s">
        <v>14</v>
      </c>
      <c r="D2768" s="7">
        <v>529</v>
      </c>
      <c r="E2768" s="7">
        <v>413</v>
      </c>
      <c r="F2768" s="7">
        <v>473</v>
      </c>
      <c r="G2768" s="7">
        <v>0</v>
      </c>
      <c r="H2768" s="7">
        <v>13711</v>
      </c>
      <c r="I2768" s="7">
        <v>4</v>
      </c>
      <c r="J2768" s="7">
        <v>77</v>
      </c>
      <c r="K2768" s="7">
        <v>431</v>
      </c>
      <c r="L2768" s="7">
        <v>434</v>
      </c>
      <c r="M2768" s="7">
        <v>4.6521739130000004</v>
      </c>
      <c r="N2768">
        <f>VLOOKUP(A2768,vlookup_table!$A:$G,2,FALSE)</f>
        <v>2</v>
      </c>
      <c r="O2768" t="str">
        <f>VLOOKUP(A2768,vlookup_table!$A:$G,3,FALSE)</f>
        <v>TX</v>
      </c>
      <c r="P2768">
        <f>VLOOKUP(A2768,vlookup_table!$A:$G,4,FALSE)</f>
        <v>3211</v>
      </c>
      <c r="Q2768" t="str">
        <f>VLOOKUP(A2768,vlookup_table!$A:$G,5,FALSE)</f>
        <v>C2</v>
      </c>
      <c r="R2768" t="str">
        <f>VLOOKUP(A2768,vlookup_table!$A:$G,6,FALSE)</f>
        <v>M</v>
      </c>
      <c r="S2768">
        <f>VLOOKUP(A2768,vlookup_table!$A:$G,7,FALSE)</f>
        <v>5</v>
      </c>
      <c r="T2768">
        <f t="shared" si="86"/>
        <v>64</v>
      </c>
      <c r="U2768" t="str">
        <f t="shared" si="87"/>
        <v>Ciudad</v>
      </c>
    </row>
    <row r="2769" spans="1:21" ht="16" x14ac:dyDescent="0.4">
      <c r="A2769" s="7">
        <v>188913</v>
      </c>
      <c r="B2769" s="7" t="s">
        <v>51</v>
      </c>
      <c r="C2769" s="7" t="s">
        <v>97</v>
      </c>
      <c r="D2769" s="7">
        <v>838</v>
      </c>
      <c r="E2769" s="7">
        <v>371</v>
      </c>
      <c r="F2769" s="7">
        <v>543</v>
      </c>
      <c r="G2769" s="7">
        <v>0</v>
      </c>
      <c r="H2769" s="7">
        <v>16220</v>
      </c>
      <c r="I2769" s="7">
        <v>4</v>
      </c>
      <c r="J2769" s="7">
        <v>25</v>
      </c>
      <c r="K2769" s="7">
        <v>469</v>
      </c>
      <c r="L2769" s="7">
        <v>465</v>
      </c>
      <c r="M2769" s="7">
        <v>13.73913044</v>
      </c>
      <c r="N2769">
        <f>VLOOKUP(A2769,vlookup_table!$A:$G,2,FALSE)</f>
        <v>0</v>
      </c>
      <c r="O2769" t="str">
        <f>VLOOKUP(A2769,vlookup_table!$A:$G,3,FALSE)</f>
        <v>AZ</v>
      </c>
      <c r="P2769">
        <f>VLOOKUP(A2769,vlookup_table!$A:$G,4,FALSE)</f>
        <v>0</v>
      </c>
      <c r="Q2769" t="str">
        <f>VLOOKUP(A2769,vlookup_table!$A:$G,5,FALSE)</f>
        <v>S2</v>
      </c>
      <c r="R2769" t="str">
        <f>VLOOKUP(A2769,vlookup_table!$A:$G,6,FALSE)</f>
        <v>F</v>
      </c>
      <c r="S2769">
        <f>VLOOKUP(A2769,vlookup_table!$A:$G,7,FALSE)</f>
        <v>20</v>
      </c>
      <c r="T2769">
        <f t="shared" si="86"/>
        <v>96</v>
      </c>
      <c r="U2769" t="str">
        <f t="shared" si="87"/>
        <v>Suburbano</v>
      </c>
    </row>
    <row r="2770" spans="1:21" ht="16" x14ac:dyDescent="0.4">
      <c r="A2770" s="7">
        <v>96426</v>
      </c>
      <c r="B2770" s="7" t="s">
        <v>16</v>
      </c>
      <c r="C2770" s="7" t="s">
        <v>14</v>
      </c>
      <c r="D2770" s="7">
        <v>720</v>
      </c>
      <c r="E2770" s="7">
        <v>420</v>
      </c>
      <c r="F2770" s="7">
        <v>487</v>
      </c>
      <c r="G2770" s="7">
        <v>2</v>
      </c>
      <c r="H2770" s="7">
        <v>15469</v>
      </c>
      <c r="I2770" s="7">
        <v>1</v>
      </c>
      <c r="J2770" s="7">
        <v>84</v>
      </c>
      <c r="K2770" s="7">
        <v>448</v>
      </c>
      <c r="L2770" s="7">
        <v>452</v>
      </c>
      <c r="M2770" s="7">
        <v>7.923076923</v>
      </c>
      <c r="N2770">
        <f>VLOOKUP(A2770,vlookup_table!$A:$G,2,FALSE)</f>
        <v>2</v>
      </c>
      <c r="O2770" t="str">
        <f>VLOOKUP(A2770,vlookup_table!$A:$G,3,FALSE)</f>
        <v>IL</v>
      </c>
      <c r="P2770">
        <f>VLOOKUP(A2770,vlookup_table!$A:$G,4,FALSE)</f>
        <v>5810</v>
      </c>
      <c r="Q2770" t="str">
        <f>VLOOKUP(A2770,vlookup_table!$A:$G,5,FALSE)</f>
        <v>T2</v>
      </c>
      <c r="R2770" t="str">
        <f>VLOOKUP(A2770,vlookup_table!$A:$G,6,FALSE)</f>
        <v>M</v>
      </c>
      <c r="S2770">
        <f>VLOOKUP(A2770,vlookup_table!$A:$G,7,FALSE)</f>
        <v>10</v>
      </c>
      <c r="T2770">
        <f t="shared" si="86"/>
        <v>38</v>
      </c>
      <c r="U2770" t="str">
        <f t="shared" si="87"/>
        <v>Pueblo</v>
      </c>
    </row>
    <row r="2771" spans="1:21" ht="16" x14ac:dyDescent="0.4">
      <c r="A2771" s="7">
        <v>23022</v>
      </c>
      <c r="B2771" s="7" t="s">
        <v>43</v>
      </c>
      <c r="C2771" s="7" t="s">
        <v>14</v>
      </c>
      <c r="D2771" s="7">
        <v>777</v>
      </c>
      <c r="E2771" s="7">
        <v>297</v>
      </c>
      <c r="F2771" s="7">
        <v>563</v>
      </c>
      <c r="G2771" s="7">
        <v>4</v>
      </c>
      <c r="H2771" s="7">
        <v>24342</v>
      </c>
      <c r="I2771" s="7">
        <v>5</v>
      </c>
      <c r="J2771" s="7">
        <v>43</v>
      </c>
      <c r="K2771" s="7">
        <v>424</v>
      </c>
      <c r="L2771" s="7">
        <v>353</v>
      </c>
      <c r="M2771" s="7">
        <v>13.16666667</v>
      </c>
      <c r="N2771">
        <f>VLOOKUP(A2771,vlookup_table!$A:$G,2,FALSE)</f>
        <v>0</v>
      </c>
      <c r="O2771" t="str">
        <f>VLOOKUP(A2771,vlookup_table!$A:$G,3,FALSE)</f>
        <v>SC</v>
      </c>
      <c r="P2771">
        <f>VLOOKUP(A2771,vlookup_table!$A:$G,4,FALSE)</f>
        <v>4604</v>
      </c>
      <c r="Q2771" t="str">
        <f>VLOOKUP(A2771,vlookup_table!$A:$G,5,FALSE)</f>
        <v>S1</v>
      </c>
      <c r="R2771" t="str">
        <f>VLOOKUP(A2771,vlookup_table!$A:$G,6,FALSE)</f>
        <v>M</v>
      </c>
      <c r="S2771">
        <f>VLOOKUP(A2771,vlookup_table!$A:$G,7,FALSE)</f>
        <v>15</v>
      </c>
      <c r="T2771">
        <f t="shared" si="86"/>
        <v>50</v>
      </c>
      <c r="U2771" t="str">
        <f t="shared" si="87"/>
        <v>Suburbano</v>
      </c>
    </row>
    <row r="2772" spans="1:21" ht="16" x14ac:dyDescent="0.4">
      <c r="A2772" s="7">
        <v>144099</v>
      </c>
      <c r="B2772" s="7" t="s">
        <v>21</v>
      </c>
      <c r="C2772" s="7" t="s">
        <v>17</v>
      </c>
      <c r="D2772" s="7">
        <v>5000</v>
      </c>
      <c r="E2772" s="7">
        <v>462</v>
      </c>
      <c r="F2772" s="7">
        <v>766</v>
      </c>
      <c r="G2772" s="7">
        <v>99</v>
      </c>
      <c r="H2772" s="7">
        <v>39964</v>
      </c>
      <c r="I2772" s="7">
        <v>31</v>
      </c>
      <c r="J2772" s="7">
        <v>25</v>
      </c>
      <c r="K2772" s="7">
        <v>643</v>
      </c>
      <c r="L2772" s="7">
        <v>612</v>
      </c>
      <c r="M2772" s="7">
        <v>15.5</v>
      </c>
      <c r="N2772">
        <f>VLOOKUP(A2772,vlookup_table!$A:$G,2,FALSE)</f>
        <v>28</v>
      </c>
      <c r="O2772" t="str">
        <f>VLOOKUP(A2772,vlookup_table!$A:$G,3,FALSE)</f>
        <v>CA</v>
      </c>
      <c r="P2772">
        <f>VLOOKUP(A2772,vlookup_table!$A:$G,4,FALSE)</f>
        <v>5801</v>
      </c>
      <c r="Q2772" t="str">
        <f>VLOOKUP(A2772,vlookup_table!$A:$G,5,FALSE)</f>
        <v>U1</v>
      </c>
      <c r="R2772" t="str">
        <f>VLOOKUP(A2772,vlookup_table!$A:$G,6,FALSE)</f>
        <v>F</v>
      </c>
      <c r="S2772">
        <f>VLOOKUP(A2772,vlookup_table!$A:$G,7,FALSE)</f>
        <v>17</v>
      </c>
      <c r="T2772">
        <f t="shared" si="86"/>
        <v>38</v>
      </c>
      <c r="U2772" t="str">
        <f t="shared" si="87"/>
        <v>Urbano</v>
      </c>
    </row>
    <row r="2773" spans="1:21" ht="16" x14ac:dyDescent="0.4">
      <c r="A2773" s="7">
        <v>186965</v>
      </c>
      <c r="B2773" s="7" t="s">
        <v>25</v>
      </c>
      <c r="C2773" s="7" t="s">
        <v>17</v>
      </c>
      <c r="D2773" s="7">
        <v>271</v>
      </c>
      <c r="E2773" s="7">
        <v>202</v>
      </c>
      <c r="F2773" s="7">
        <v>289</v>
      </c>
      <c r="G2773" s="7">
        <v>0</v>
      </c>
      <c r="H2773" s="7">
        <v>9865</v>
      </c>
      <c r="I2773" s="7">
        <v>0</v>
      </c>
      <c r="J2773" s="7">
        <v>61</v>
      </c>
      <c r="K2773" s="7">
        <v>236</v>
      </c>
      <c r="L2773" s="7">
        <v>242</v>
      </c>
      <c r="M2773" s="7">
        <v>9.8666666670000005</v>
      </c>
      <c r="N2773">
        <f>VLOOKUP(A2773,vlookup_table!$A:$G,2,FALSE)</f>
        <v>0</v>
      </c>
      <c r="O2773" t="str">
        <f>VLOOKUP(A2773,vlookup_table!$A:$G,3,FALSE)</f>
        <v>KS</v>
      </c>
      <c r="P2773">
        <f>VLOOKUP(A2773,vlookup_table!$A:$G,4,FALSE)</f>
        <v>3104</v>
      </c>
      <c r="Q2773" t="str">
        <f>VLOOKUP(A2773,vlookup_table!$A:$G,5,FALSE)</f>
        <v>R3</v>
      </c>
      <c r="R2773" t="str">
        <f>VLOOKUP(A2773,vlookup_table!$A:$G,6,FALSE)</f>
        <v>F</v>
      </c>
      <c r="S2773">
        <f>VLOOKUP(A2773,vlookup_table!$A:$G,7,FALSE)</f>
        <v>13</v>
      </c>
      <c r="T2773">
        <f t="shared" si="86"/>
        <v>65</v>
      </c>
      <c r="U2773" t="str">
        <f t="shared" si="87"/>
        <v>Rural</v>
      </c>
    </row>
    <row r="2774" spans="1:21" ht="16" x14ac:dyDescent="0.4">
      <c r="A2774" s="7">
        <v>106161</v>
      </c>
      <c r="B2774" s="7" t="s">
        <v>25</v>
      </c>
      <c r="C2774" s="7" t="s">
        <v>17</v>
      </c>
      <c r="D2774" s="7">
        <v>172</v>
      </c>
      <c r="E2774" s="7">
        <v>187</v>
      </c>
      <c r="F2774" s="7">
        <v>278</v>
      </c>
      <c r="G2774" s="7">
        <v>0</v>
      </c>
      <c r="H2774" s="7">
        <v>9821</v>
      </c>
      <c r="I2774" s="7">
        <v>0</v>
      </c>
      <c r="J2774" s="7">
        <v>84</v>
      </c>
      <c r="K2774" s="7">
        <v>252</v>
      </c>
      <c r="L2774" s="7">
        <v>229</v>
      </c>
      <c r="M2774" s="7">
        <v>4.9655172409999997</v>
      </c>
      <c r="N2774">
        <f>VLOOKUP(A2774,vlookup_table!$A:$G,2,FALSE)</f>
        <v>0</v>
      </c>
      <c r="O2774" t="str">
        <f>VLOOKUP(A2774,vlookup_table!$A:$G,3,FALSE)</f>
        <v>KS</v>
      </c>
      <c r="P2774">
        <f>VLOOKUP(A2774,vlookup_table!$A:$G,4,FALSE)</f>
        <v>3203</v>
      </c>
      <c r="Q2774" t="str">
        <f>VLOOKUP(A2774,vlookup_table!$A:$G,5,FALSE)</f>
        <v>R3</v>
      </c>
      <c r="R2774" t="str">
        <f>VLOOKUP(A2774,vlookup_table!$A:$G,6,FALSE)</f>
        <v>F</v>
      </c>
      <c r="S2774">
        <f>VLOOKUP(A2774,vlookup_table!$A:$G,7,FALSE)</f>
        <v>4</v>
      </c>
      <c r="T2774">
        <f t="shared" si="86"/>
        <v>64</v>
      </c>
      <c r="U2774" t="str">
        <f t="shared" si="87"/>
        <v>Rural</v>
      </c>
    </row>
    <row r="2775" spans="1:21" ht="16" x14ac:dyDescent="0.4">
      <c r="A2775" s="7">
        <v>166742</v>
      </c>
      <c r="B2775" s="7" t="s">
        <v>21</v>
      </c>
      <c r="C2775" s="7" t="s">
        <v>17</v>
      </c>
      <c r="D2775" s="7">
        <v>4705</v>
      </c>
      <c r="E2775" s="7">
        <v>839</v>
      </c>
      <c r="F2775" s="7">
        <v>930</v>
      </c>
      <c r="G2775" s="7">
        <v>98</v>
      </c>
      <c r="H2775" s="7">
        <v>41201</v>
      </c>
      <c r="I2775" s="7">
        <v>14</v>
      </c>
      <c r="J2775" s="7">
        <v>47</v>
      </c>
      <c r="K2775" s="7">
        <v>858</v>
      </c>
      <c r="L2775" s="7">
        <v>904</v>
      </c>
      <c r="M2775" s="7">
        <v>9.6363636360000005</v>
      </c>
      <c r="N2775">
        <f>VLOOKUP(A2775,vlookup_table!$A:$G,2,FALSE)</f>
        <v>0</v>
      </c>
      <c r="O2775" t="str">
        <f>VLOOKUP(A2775,vlookup_table!$A:$G,3,FALSE)</f>
        <v>CA</v>
      </c>
      <c r="P2775">
        <f>VLOOKUP(A2775,vlookup_table!$A:$G,4,FALSE)</f>
        <v>3610</v>
      </c>
      <c r="Q2775" t="str">
        <f>VLOOKUP(A2775,vlookup_table!$A:$G,5,FALSE)</f>
        <v>C1</v>
      </c>
      <c r="R2775" t="str">
        <f>VLOOKUP(A2775,vlookup_table!$A:$G,6,FALSE)</f>
        <v>F</v>
      </c>
      <c r="S2775">
        <f>VLOOKUP(A2775,vlookup_table!$A:$G,7,FALSE)</f>
        <v>12</v>
      </c>
      <c r="T2775">
        <f t="shared" si="86"/>
        <v>60</v>
      </c>
      <c r="U2775" t="str">
        <f t="shared" si="87"/>
        <v>Ciudad</v>
      </c>
    </row>
    <row r="2776" spans="1:21" ht="16" x14ac:dyDescent="0.4">
      <c r="A2776" s="7">
        <v>132145</v>
      </c>
      <c r="B2776" s="7" t="s">
        <v>45</v>
      </c>
      <c r="C2776" s="7" t="s">
        <v>14</v>
      </c>
      <c r="D2776" s="7">
        <v>589</v>
      </c>
      <c r="E2776" s="7">
        <v>200</v>
      </c>
      <c r="F2776" s="7">
        <v>298</v>
      </c>
      <c r="G2776" s="7">
        <v>1</v>
      </c>
      <c r="H2776" s="7">
        <v>11309</v>
      </c>
      <c r="I2776" s="7">
        <v>1</v>
      </c>
      <c r="J2776" s="7">
        <v>50</v>
      </c>
      <c r="K2776" s="7">
        <v>239</v>
      </c>
      <c r="L2776" s="7">
        <v>266</v>
      </c>
      <c r="M2776" s="7">
        <v>6.1428571429999996</v>
      </c>
      <c r="N2776">
        <f>VLOOKUP(A2776,vlookup_table!$A:$G,2,FALSE)</f>
        <v>0</v>
      </c>
      <c r="O2776" t="str">
        <f>VLOOKUP(A2776,vlookup_table!$A:$G,3,FALSE)</f>
        <v>CO</v>
      </c>
      <c r="P2776">
        <f>VLOOKUP(A2776,vlookup_table!$A:$G,4,FALSE)</f>
        <v>0</v>
      </c>
      <c r="Q2776" t="str">
        <f>VLOOKUP(A2776,vlookup_table!$A:$G,5,FALSE)</f>
        <v>R2</v>
      </c>
      <c r="R2776" t="str">
        <f>VLOOKUP(A2776,vlookup_table!$A:$G,6,FALSE)</f>
        <v>M</v>
      </c>
      <c r="S2776">
        <f>VLOOKUP(A2776,vlookup_table!$A:$G,7,FALSE)</f>
        <v>10</v>
      </c>
      <c r="T2776">
        <f t="shared" si="86"/>
        <v>96</v>
      </c>
      <c r="U2776" t="str">
        <f t="shared" si="87"/>
        <v>Rural</v>
      </c>
    </row>
    <row r="2777" spans="1:21" ht="16" x14ac:dyDescent="0.4">
      <c r="A2777" s="7">
        <v>166485</v>
      </c>
      <c r="B2777" s="7" t="s">
        <v>21</v>
      </c>
      <c r="C2777" s="7" t="s">
        <v>14</v>
      </c>
      <c r="D2777" s="7">
        <v>1823</v>
      </c>
      <c r="E2777" s="7">
        <v>271</v>
      </c>
      <c r="F2777" s="7">
        <v>412</v>
      </c>
      <c r="G2777" s="7">
        <v>39</v>
      </c>
      <c r="H2777" s="7">
        <v>15867</v>
      </c>
      <c r="I2777" s="7">
        <v>10</v>
      </c>
      <c r="J2777" s="7">
        <v>41</v>
      </c>
      <c r="K2777" s="7">
        <v>366</v>
      </c>
      <c r="L2777" s="7">
        <v>344</v>
      </c>
      <c r="M2777" s="7">
        <v>20.833333329999999</v>
      </c>
      <c r="N2777">
        <f>VLOOKUP(A2777,vlookup_table!$A:$G,2,FALSE)</f>
        <v>1</v>
      </c>
      <c r="O2777" t="str">
        <f>VLOOKUP(A2777,vlookup_table!$A:$G,3,FALSE)</f>
        <v>CA</v>
      </c>
      <c r="P2777">
        <f>VLOOKUP(A2777,vlookup_table!$A:$G,4,FALSE)</f>
        <v>4406</v>
      </c>
      <c r="Q2777" t="str">
        <f>VLOOKUP(A2777,vlookup_table!$A:$G,5,FALSE)</f>
        <v>U1</v>
      </c>
      <c r="R2777" t="str">
        <f>VLOOKUP(A2777,vlookup_table!$A:$G,6,FALSE)</f>
        <v>M</v>
      </c>
      <c r="S2777">
        <f>VLOOKUP(A2777,vlookup_table!$A:$G,7,FALSE)</f>
        <v>45</v>
      </c>
      <c r="T2777">
        <f t="shared" si="86"/>
        <v>52</v>
      </c>
      <c r="U2777" t="str">
        <f t="shared" si="87"/>
        <v>Urbano</v>
      </c>
    </row>
    <row r="2778" spans="1:21" ht="16" x14ac:dyDescent="0.4">
      <c r="A2778" s="7">
        <v>89209</v>
      </c>
      <c r="B2778" s="7" t="s">
        <v>16</v>
      </c>
      <c r="C2778" s="7" t="s">
        <v>14</v>
      </c>
      <c r="D2778" s="7">
        <v>1003</v>
      </c>
      <c r="E2778" s="7">
        <v>483</v>
      </c>
      <c r="F2778" s="7">
        <v>464</v>
      </c>
      <c r="G2778" s="7">
        <v>3</v>
      </c>
      <c r="H2778" s="7">
        <v>14992</v>
      </c>
      <c r="I2778" s="7">
        <v>3</v>
      </c>
      <c r="J2778" s="7">
        <v>64</v>
      </c>
      <c r="K2778" s="7">
        <v>484</v>
      </c>
      <c r="L2778" s="7">
        <v>481</v>
      </c>
      <c r="M2778" s="7">
        <v>6.25</v>
      </c>
      <c r="N2778">
        <f>VLOOKUP(A2778,vlookup_table!$A:$G,2,FALSE)</f>
        <v>1</v>
      </c>
      <c r="O2778" t="str">
        <f>VLOOKUP(A2778,vlookup_table!$A:$G,3,FALSE)</f>
        <v>IL</v>
      </c>
      <c r="P2778">
        <f>VLOOKUP(A2778,vlookup_table!$A:$G,4,FALSE)</f>
        <v>4703</v>
      </c>
      <c r="Q2778" t="str">
        <f>VLOOKUP(A2778,vlookup_table!$A:$G,5,FALSE)</f>
        <v>S2</v>
      </c>
      <c r="R2778" t="str">
        <f>VLOOKUP(A2778,vlookup_table!$A:$G,6,FALSE)</f>
        <v>M</v>
      </c>
      <c r="S2778">
        <f>VLOOKUP(A2778,vlookup_table!$A:$G,7,FALSE)</f>
        <v>6</v>
      </c>
      <c r="T2778">
        <f t="shared" si="86"/>
        <v>49</v>
      </c>
      <c r="U2778" t="str">
        <f t="shared" si="87"/>
        <v>Suburbano</v>
      </c>
    </row>
    <row r="2779" spans="1:21" ht="16" x14ac:dyDescent="0.4">
      <c r="A2779" s="7">
        <v>167165</v>
      </c>
      <c r="B2779" s="7" t="s">
        <v>21</v>
      </c>
      <c r="C2779" s="7" t="s">
        <v>17</v>
      </c>
      <c r="D2779" s="7">
        <v>2600</v>
      </c>
      <c r="E2779" s="7">
        <v>345</v>
      </c>
      <c r="F2779" s="7">
        <v>503</v>
      </c>
      <c r="G2779" s="7">
        <v>85</v>
      </c>
      <c r="H2779" s="7">
        <v>18743</v>
      </c>
      <c r="I2779" s="7">
        <v>10</v>
      </c>
      <c r="J2779" s="7">
        <v>49</v>
      </c>
      <c r="K2779" s="7">
        <v>435</v>
      </c>
      <c r="L2779" s="7">
        <v>424</v>
      </c>
      <c r="M2779" s="7">
        <v>11</v>
      </c>
      <c r="N2779">
        <f>VLOOKUP(A2779,vlookup_table!$A:$G,2,FALSE)</f>
        <v>0</v>
      </c>
      <c r="O2779" t="str">
        <f>VLOOKUP(A2779,vlookup_table!$A:$G,3,FALSE)</f>
        <v>CA</v>
      </c>
      <c r="P2779">
        <f>VLOOKUP(A2779,vlookup_table!$A:$G,4,FALSE)</f>
        <v>3501</v>
      </c>
      <c r="Q2779" t="str">
        <f>VLOOKUP(A2779,vlookup_table!$A:$G,5,FALSE)</f>
        <v>U1</v>
      </c>
      <c r="R2779" t="str">
        <f>VLOOKUP(A2779,vlookup_table!$A:$G,6,FALSE)</f>
        <v>F</v>
      </c>
      <c r="S2779">
        <f>VLOOKUP(A2779,vlookup_table!$A:$G,7,FALSE)</f>
        <v>16</v>
      </c>
      <c r="T2779">
        <f t="shared" si="86"/>
        <v>61</v>
      </c>
      <c r="U2779" t="str">
        <f t="shared" si="87"/>
        <v>Urbano</v>
      </c>
    </row>
    <row r="2780" spans="1:21" ht="16" x14ac:dyDescent="0.4">
      <c r="A2780" s="7">
        <v>162169</v>
      </c>
      <c r="B2780" s="7" t="s">
        <v>21</v>
      </c>
      <c r="C2780" s="7" t="s">
        <v>14</v>
      </c>
      <c r="D2780" s="7">
        <v>3451</v>
      </c>
      <c r="E2780" s="7">
        <v>599</v>
      </c>
      <c r="F2780" s="7">
        <v>691</v>
      </c>
      <c r="G2780" s="7">
        <v>96</v>
      </c>
      <c r="H2780" s="7">
        <v>22424</v>
      </c>
      <c r="I2780" s="7">
        <v>15</v>
      </c>
      <c r="J2780" s="7">
        <v>54</v>
      </c>
      <c r="K2780" s="7">
        <v>636</v>
      </c>
      <c r="L2780" s="7">
        <v>645</v>
      </c>
      <c r="M2780" s="7">
        <v>15</v>
      </c>
      <c r="N2780">
        <f>VLOOKUP(A2780,vlookup_table!$A:$G,2,FALSE)</f>
        <v>2</v>
      </c>
      <c r="O2780" t="str">
        <f>VLOOKUP(A2780,vlookup_table!$A:$G,3,FALSE)</f>
        <v>CA</v>
      </c>
      <c r="P2780">
        <f>VLOOKUP(A2780,vlookup_table!$A:$G,4,FALSE)</f>
        <v>0</v>
      </c>
      <c r="Q2780" t="str">
        <f>VLOOKUP(A2780,vlookup_table!$A:$G,5,FALSE)</f>
        <v>T1</v>
      </c>
      <c r="R2780" t="str">
        <f>VLOOKUP(A2780,vlookup_table!$A:$G,6,FALSE)</f>
        <v>M</v>
      </c>
      <c r="S2780">
        <f>VLOOKUP(A2780,vlookup_table!$A:$G,7,FALSE)</f>
        <v>20</v>
      </c>
      <c r="T2780">
        <f t="shared" si="86"/>
        <v>96</v>
      </c>
      <c r="U2780" t="str">
        <f t="shared" si="87"/>
        <v>Pueblo</v>
      </c>
    </row>
    <row r="2781" spans="1:21" ht="16" x14ac:dyDescent="0.4">
      <c r="A2781" s="7">
        <v>31183</v>
      </c>
      <c r="B2781" s="7" t="s">
        <v>36</v>
      </c>
      <c r="C2781" s="7" t="s">
        <v>14</v>
      </c>
      <c r="D2781" s="7">
        <v>621</v>
      </c>
      <c r="E2781" s="7">
        <v>254</v>
      </c>
      <c r="F2781" s="7">
        <v>387</v>
      </c>
      <c r="G2781" s="7">
        <v>1</v>
      </c>
      <c r="H2781" s="7">
        <v>13234</v>
      </c>
      <c r="I2781" s="7">
        <v>2</v>
      </c>
      <c r="J2781" s="7">
        <v>82</v>
      </c>
      <c r="K2781" s="7">
        <v>374</v>
      </c>
      <c r="L2781" s="7">
        <v>315</v>
      </c>
      <c r="M2781" s="7">
        <v>9.6</v>
      </c>
      <c r="N2781">
        <f>VLOOKUP(A2781,vlookup_table!$A:$G,2,FALSE)</f>
        <v>0</v>
      </c>
      <c r="O2781" t="str">
        <f>VLOOKUP(A2781,vlookup_table!$A:$G,3,FALSE)</f>
        <v>GA</v>
      </c>
      <c r="P2781">
        <f>VLOOKUP(A2781,vlookup_table!$A:$G,4,FALSE)</f>
        <v>4301</v>
      </c>
      <c r="Q2781" t="str">
        <f>VLOOKUP(A2781,vlookup_table!$A:$G,5,FALSE)</f>
        <v>T2</v>
      </c>
      <c r="R2781" t="str">
        <f>VLOOKUP(A2781,vlookup_table!$A:$G,6,FALSE)</f>
        <v>M</v>
      </c>
      <c r="S2781">
        <f>VLOOKUP(A2781,vlookup_table!$A:$G,7,FALSE)</f>
        <v>18</v>
      </c>
      <c r="T2781">
        <f t="shared" si="86"/>
        <v>53</v>
      </c>
      <c r="U2781" t="str">
        <f t="shared" si="87"/>
        <v>Pueblo</v>
      </c>
    </row>
    <row r="2782" spans="1:21" ht="16" x14ac:dyDescent="0.4">
      <c r="A2782" s="7">
        <v>86340</v>
      </c>
      <c r="B2782" s="7" t="s">
        <v>48</v>
      </c>
      <c r="C2782" s="7" t="s">
        <v>14</v>
      </c>
      <c r="D2782" s="7">
        <v>365</v>
      </c>
      <c r="E2782" s="7">
        <v>255</v>
      </c>
      <c r="F2782" s="7">
        <v>340</v>
      </c>
      <c r="G2782" s="7">
        <v>0</v>
      </c>
      <c r="H2782" s="7">
        <v>11180</v>
      </c>
      <c r="I2782" s="7">
        <v>1</v>
      </c>
      <c r="J2782" s="7">
        <v>77</v>
      </c>
      <c r="K2782" s="7">
        <v>309</v>
      </c>
      <c r="L2782" s="7">
        <v>287</v>
      </c>
      <c r="M2782" s="7">
        <v>6.9333333330000002</v>
      </c>
      <c r="N2782">
        <f>VLOOKUP(A2782,vlookup_table!$A:$G,2,FALSE)</f>
        <v>2</v>
      </c>
      <c r="O2782" t="str">
        <f>VLOOKUP(A2782,vlookup_table!$A:$G,3,FALSE)</f>
        <v>SD</v>
      </c>
      <c r="P2782">
        <f>VLOOKUP(A2782,vlookup_table!$A:$G,4,FALSE)</f>
        <v>0</v>
      </c>
      <c r="Q2782" t="str">
        <f>VLOOKUP(A2782,vlookup_table!$A:$G,5,FALSE)</f>
        <v>R2</v>
      </c>
      <c r="R2782" t="str">
        <f>VLOOKUP(A2782,vlookup_table!$A:$G,6,FALSE)</f>
        <v>M</v>
      </c>
      <c r="S2782">
        <f>VLOOKUP(A2782,vlookup_table!$A:$G,7,FALSE)</f>
        <v>3</v>
      </c>
      <c r="T2782">
        <f t="shared" si="86"/>
        <v>96</v>
      </c>
      <c r="U2782" t="str">
        <f t="shared" si="87"/>
        <v>Rural</v>
      </c>
    </row>
    <row r="2783" spans="1:21" ht="16" x14ac:dyDescent="0.4">
      <c r="A2783" s="7">
        <v>45584</v>
      </c>
      <c r="B2783" s="7" t="s">
        <v>20</v>
      </c>
      <c r="C2783" s="7" t="s">
        <v>17</v>
      </c>
      <c r="D2783" s="7">
        <v>1861</v>
      </c>
      <c r="E2783" s="7">
        <v>349</v>
      </c>
      <c r="F2783" s="7">
        <v>641</v>
      </c>
      <c r="G2783" s="7">
        <v>40</v>
      </c>
      <c r="H2783" s="7">
        <v>25565</v>
      </c>
      <c r="I2783" s="7">
        <v>6</v>
      </c>
      <c r="J2783" s="7">
        <v>50</v>
      </c>
      <c r="K2783" s="7">
        <v>507</v>
      </c>
      <c r="L2783" s="7">
        <v>529</v>
      </c>
      <c r="M2783" s="7">
        <v>16.25</v>
      </c>
      <c r="N2783">
        <f>VLOOKUP(A2783,vlookup_table!$A:$G,2,FALSE)</f>
        <v>28</v>
      </c>
      <c r="O2783" t="str">
        <f>VLOOKUP(A2783,vlookup_table!$A:$G,3,FALSE)</f>
        <v>TX</v>
      </c>
      <c r="P2783">
        <f>VLOOKUP(A2783,vlookup_table!$A:$G,4,FALSE)</f>
        <v>4706</v>
      </c>
      <c r="Q2783" t="str">
        <f>VLOOKUP(A2783,vlookup_table!$A:$G,5,FALSE)</f>
        <v>S2</v>
      </c>
      <c r="R2783" t="str">
        <f>VLOOKUP(A2783,vlookup_table!$A:$G,6,FALSE)</f>
        <v>F</v>
      </c>
      <c r="S2783">
        <f>VLOOKUP(A2783,vlookup_table!$A:$G,7,FALSE)</f>
        <v>25</v>
      </c>
      <c r="T2783">
        <f t="shared" si="86"/>
        <v>49</v>
      </c>
      <c r="U2783" t="str">
        <f t="shared" si="87"/>
        <v>Suburbano</v>
      </c>
    </row>
    <row r="2784" spans="1:21" ht="16" x14ac:dyDescent="0.4">
      <c r="A2784" s="7">
        <v>131106</v>
      </c>
      <c r="B2784" s="7" t="s">
        <v>45</v>
      </c>
      <c r="C2784" s="7" t="s">
        <v>14</v>
      </c>
      <c r="D2784" s="7">
        <v>678</v>
      </c>
      <c r="E2784" s="7">
        <v>261</v>
      </c>
      <c r="F2784" s="7">
        <v>347</v>
      </c>
      <c r="G2784" s="7">
        <v>1</v>
      </c>
      <c r="H2784" s="7">
        <v>11625</v>
      </c>
      <c r="I2784" s="7">
        <v>2</v>
      </c>
      <c r="J2784" s="7">
        <v>44</v>
      </c>
      <c r="K2784" s="7">
        <v>292</v>
      </c>
      <c r="L2784" s="7">
        <v>303</v>
      </c>
      <c r="M2784" s="7">
        <v>13.33333333</v>
      </c>
      <c r="N2784">
        <f>VLOOKUP(A2784,vlookup_table!$A:$G,2,FALSE)</f>
        <v>0</v>
      </c>
      <c r="O2784" t="str">
        <f>VLOOKUP(A2784,vlookup_table!$A:$G,3,FALSE)</f>
        <v>CO</v>
      </c>
      <c r="P2784">
        <f>VLOOKUP(A2784,vlookup_table!$A:$G,4,FALSE)</f>
        <v>0</v>
      </c>
      <c r="Q2784" t="str">
        <f>VLOOKUP(A2784,vlookup_table!$A:$G,5,FALSE)</f>
        <v>T2</v>
      </c>
      <c r="R2784" t="str">
        <f>VLOOKUP(A2784,vlookup_table!$A:$G,6,FALSE)</f>
        <v>M</v>
      </c>
      <c r="S2784">
        <f>VLOOKUP(A2784,vlookup_table!$A:$G,7,FALSE)</f>
        <v>40</v>
      </c>
      <c r="T2784">
        <f t="shared" si="86"/>
        <v>96</v>
      </c>
      <c r="U2784" t="str">
        <f t="shared" si="87"/>
        <v>Pueblo</v>
      </c>
    </row>
    <row r="2785" spans="1:21" ht="16" x14ac:dyDescent="0.4">
      <c r="A2785" s="7">
        <v>29105</v>
      </c>
      <c r="B2785" s="7" t="s">
        <v>36</v>
      </c>
      <c r="C2785" s="7" t="s">
        <v>14</v>
      </c>
      <c r="D2785" s="7">
        <v>710</v>
      </c>
      <c r="E2785" s="7">
        <v>198</v>
      </c>
      <c r="F2785" s="7">
        <v>298</v>
      </c>
      <c r="G2785" s="7">
        <v>5</v>
      </c>
      <c r="H2785" s="7">
        <v>11679</v>
      </c>
      <c r="I2785" s="7">
        <v>1</v>
      </c>
      <c r="J2785" s="7">
        <v>63</v>
      </c>
      <c r="K2785" s="7">
        <v>242</v>
      </c>
      <c r="L2785" s="7">
        <v>260</v>
      </c>
      <c r="M2785" s="7">
        <v>6.2962962960000004</v>
      </c>
      <c r="N2785">
        <f>VLOOKUP(A2785,vlookup_table!$A:$G,2,FALSE)</f>
        <v>0</v>
      </c>
      <c r="O2785" t="str">
        <f>VLOOKUP(A2785,vlookup_table!$A:$G,3,FALSE)</f>
        <v>GA</v>
      </c>
      <c r="P2785">
        <f>VLOOKUP(A2785,vlookup_table!$A:$G,4,FALSE)</f>
        <v>0</v>
      </c>
      <c r="Q2785" t="str">
        <f>VLOOKUP(A2785,vlookup_table!$A:$G,5,FALSE)</f>
        <v>R2</v>
      </c>
      <c r="R2785" t="str">
        <f>VLOOKUP(A2785,vlookup_table!$A:$G,6,FALSE)</f>
        <v>M</v>
      </c>
      <c r="S2785">
        <f>VLOOKUP(A2785,vlookup_table!$A:$G,7,FALSE)</f>
        <v>11</v>
      </c>
      <c r="T2785">
        <f t="shared" si="86"/>
        <v>96</v>
      </c>
      <c r="U2785" t="str">
        <f t="shared" si="87"/>
        <v>Rural</v>
      </c>
    </row>
    <row r="2786" spans="1:21" ht="16" x14ac:dyDescent="0.4">
      <c r="A2786" s="7">
        <v>123667</v>
      </c>
      <c r="B2786" s="7" t="s">
        <v>20</v>
      </c>
      <c r="C2786" s="7" t="s">
        <v>17</v>
      </c>
      <c r="D2786" s="7">
        <v>1287</v>
      </c>
      <c r="E2786" s="7">
        <v>534</v>
      </c>
      <c r="F2786" s="7">
        <v>632</v>
      </c>
      <c r="G2786" s="7">
        <v>11</v>
      </c>
      <c r="H2786" s="7">
        <v>31394</v>
      </c>
      <c r="I2786" s="7">
        <v>1</v>
      </c>
      <c r="J2786" s="7">
        <v>64</v>
      </c>
      <c r="K2786" s="7">
        <v>553</v>
      </c>
      <c r="L2786" s="7">
        <v>604</v>
      </c>
      <c r="M2786" s="7">
        <v>17.125</v>
      </c>
      <c r="N2786">
        <f>VLOOKUP(A2786,vlookup_table!$A:$G,2,FALSE)</f>
        <v>28</v>
      </c>
      <c r="O2786" t="str">
        <f>VLOOKUP(A2786,vlookup_table!$A:$G,3,FALSE)</f>
        <v>TX</v>
      </c>
      <c r="P2786">
        <f>VLOOKUP(A2786,vlookup_table!$A:$G,4,FALSE)</f>
        <v>4301</v>
      </c>
      <c r="Q2786" t="str">
        <f>VLOOKUP(A2786,vlookup_table!$A:$G,5,FALSE)</f>
        <v>T1</v>
      </c>
      <c r="R2786" t="str">
        <f>VLOOKUP(A2786,vlookup_table!$A:$G,6,FALSE)</f>
        <v>F</v>
      </c>
      <c r="S2786">
        <f>VLOOKUP(A2786,vlookup_table!$A:$G,7,FALSE)</f>
        <v>15</v>
      </c>
      <c r="T2786">
        <f t="shared" si="86"/>
        <v>53</v>
      </c>
      <c r="U2786" t="str">
        <f t="shared" si="87"/>
        <v>Pueblo</v>
      </c>
    </row>
    <row r="2787" spans="1:21" ht="16" x14ac:dyDescent="0.4">
      <c r="A2787" s="7">
        <v>164188</v>
      </c>
      <c r="B2787" s="7" t="s">
        <v>21</v>
      </c>
      <c r="C2787" s="7" t="s">
        <v>17</v>
      </c>
      <c r="D2787" s="7">
        <v>1525</v>
      </c>
      <c r="E2787" s="7">
        <v>466</v>
      </c>
      <c r="F2787" s="7">
        <v>551</v>
      </c>
      <c r="G2787" s="7">
        <v>17</v>
      </c>
      <c r="H2787" s="7">
        <v>17484</v>
      </c>
      <c r="I2787" s="7">
        <v>12</v>
      </c>
      <c r="J2787" s="7">
        <v>65</v>
      </c>
      <c r="K2787" s="7">
        <v>483</v>
      </c>
      <c r="L2787" s="7">
        <v>522</v>
      </c>
      <c r="M2787" s="7">
        <v>9.6</v>
      </c>
      <c r="N2787">
        <f>VLOOKUP(A2787,vlookup_table!$A:$G,2,FALSE)</f>
        <v>0</v>
      </c>
      <c r="O2787" t="str">
        <f>VLOOKUP(A2787,vlookup_table!$A:$G,3,FALSE)</f>
        <v>CA</v>
      </c>
      <c r="P2787">
        <f>VLOOKUP(A2787,vlookup_table!$A:$G,4,FALSE)</f>
        <v>6201</v>
      </c>
      <c r="Q2787" t="str">
        <f>VLOOKUP(A2787,vlookup_table!$A:$G,5,FALSE)</f>
        <v>T1</v>
      </c>
      <c r="R2787" t="str">
        <f>VLOOKUP(A2787,vlookup_table!$A:$G,6,FALSE)</f>
        <v>F</v>
      </c>
      <c r="S2787">
        <f>VLOOKUP(A2787,vlookup_table!$A:$G,7,FALSE)</f>
        <v>14</v>
      </c>
      <c r="T2787">
        <f t="shared" si="86"/>
        <v>34</v>
      </c>
      <c r="U2787" t="str">
        <f t="shared" si="87"/>
        <v>Pueblo</v>
      </c>
    </row>
    <row r="2788" spans="1:21" ht="16" x14ac:dyDescent="0.4">
      <c r="A2788" s="7">
        <v>37528</v>
      </c>
      <c r="B2788" s="7" t="s">
        <v>13</v>
      </c>
      <c r="C2788" s="7" t="s">
        <v>17</v>
      </c>
      <c r="D2788" s="7">
        <v>829</v>
      </c>
      <c r="E2788" s="7">
        <v>226</v>
      </c>
      <c r="F2788" s="7">
        <v>299</v>
      </c>
      <c r="G2788" s="7">
        <v>0</v>
      </c>
      <c r="H2788" s="7">
        <v>10281</v>
      </c>
      <c r="I2788" s="7">
        <v>79</v>
      </c>
      <c r="J2788" s="7">
        <v>14</v>
      </c>
      <c r="K2788" s="7">
        <v>244</v>
      </c>
      <c r="L2788" s="7">
        <v>270</v>
      </c>
      <c r="M2788" s="7">
        <v>6.8333333329999997</v>
      </c>
      <c r="N2788">
        <f>VLOOKUP(A2788,vlookup_table!$A:$G,2,FALSE)</f>
        <v>0</v>
      </c>
      <c r="O2788" t="str">
        <f>VLOOKUP(A2788,vlookup_table!$A:$G,3,FALSE)</f>
        <v>FL</v>
      </c>
      <c r="P2788">
        <f>VLOOKUP(A2788,vlookup_table!$A:$G,4,FALSE)</f>
        <v>0</v>
      </c>
      <c r="Q2788" t="str">
        <f>VLOOKUP(A2788,vlookup_table!$A:$G,5,FALSE)</f>
        <v>U3</v>
      </c>
      <c r="R2788" t="str">
        <f>VLOOKUP(A2788,vlookup_table!$A:$G,6,FALSE)</f>
        <v>F</v>
      </c>
      <c r="S2788">
        <f>VLOOKUP(A2788,vlookup_table!$A:$G,7,FALSE)</f>
        <v>10</v>
      </c>
      <c r="T2788">
        <f t="shared" si="86"/>
        <v>96</v>
      </c>
      <c r="U2788" t="str">
        <f t="shared" si="87"/>
        <v>Urbano</v>
      </c>
    </row>
    <row r="2789" spans="1:21" ht="16" x14ac:dyDescent="0.4">
      <c r="A2789" s="7">
        <v>159417</v>
      </c>
      <c r="B2789" s="7" t="s">
        <v>21</v>
      </c>
      <c r="C2789" s="7" t="s">
        <v>17</v>
      </c>
      <c r="D2789" s="7">
        <v>2574</v>
      </c>
      <c r="E2789" s="7">
        <v>305</v>
      </c>
      <c r="F2789" s="7">
        <v>348</v>
      </c>
      <c r="G2789" s="7">
        <v>82</v>
      </c>
      <c r="H2789" s="7">
        <v>11908</v>
      </c>
      <c r="I2789" s="7">
        <v>30</v>
      </c>
      <c r="J2789" s="7">
        <v>48</v>
      </c>
      <c r="K2789" s="7">
        <v>308</v>
      </c>
      <c r="L2789" s="7">
        <v>338</v>
      </c>
      <c r="M2789" s="7">
        <v>13.71428571</v>
      </c>
      <c r="N2789">
        <f>VLOOKUP(A2789,vlookup_table!$A:$G,2,FALSE)</f>
        <v>0</v>
      </c>
      <c r="O2789" t="str">
        <f>VLOOKUP(A2789,vlookup_table!$A:$G,3,FALSE)</f>
        <v>CA</v>
      </c>
      <c r="P2789">
        <f>VLOOKUP(A2789,vlookup_table!$A:$G,4,FALSE)</f>
        <v>5912</v>
      </c>
      <c r="Q2789" t="str">
        <f>VLOOKUP(A2789,vlookup_table!$A:$G,5,FALSE)</f>
        <v>S1</v>
      </c>
      <c r="R2789" t="str">
        <f>VLOOKUP(A2789,vlookup_table!$A:$G,6,FALSE)</f>
        <v>F</v>
      </c>
      <c r="S2789">
        <f>VLOOKUP(A2789,vlookup_table!$A:$G,7,FALSE)</f>
        <v>25</v>
      </c>
      <c r="T2789">
        <f t="shared" si="86"/>
        <v>37</v>
      </c>
      <c r="U2789" t="str">
        <f t="shared" si="87"/>
        <v>Suburbano</v>
      </c>
    </row>
    <row r="2790" spans="1:21" ht="16" x14ac:dyDescent="0.4">
      <c r="A2790" s="7">
        <v>181382</v>
      </c>
      <c r="B2790" s="7" t="s">
        <v>37</v>
      </c>
      <c r="C2790" s="7" t="s">
        <v>14</v>
      </c>
      <c r="D2790" s="7">
        <v>879</v>
      </c>
      <c r="E2790" s="7">
        <v>422</v>
      </c>
      <c r="F2790" s="7">
        <v>445</v>
      </c>
      <c r="G2790" s="7">
        <v>3</v>
      </c>
      <c r="H2790" s="7">
        <v>13128</v>
      </c>
      <c r="I2790" s="7">
        <v>4</v>
      </c>
      <c r="J2790" s="7">
        <v>50</v>
      </c>
      <c r="K2790" s="7">
        <v>422</v>
      </c>
      <c r="L2790" s="7">
        <v>445</v>
      </c>
      <c r="M2790" s="7">
        <v>8</v>
      </c>
      <c r="N2790">
        <f>VLOOKUP(A2790,vlookup_table!$A:$G,2,FALSE)</f>
        <v>2</v>
      </c>
      <c r="O2790" t="str">
        <f>VLOOKUP(A2790,vlookup_table!$A:$G,3,FALSE)</f>
        <v>WA</v>
      </c>
      <c r="P2790">
        <f>VLOOKUP(A2790,vlookup_table!$A:$G,4,FALSE)</f>
        <v>0</v>
      </c>
      <c r="Q2790" t="str">
        <f>VLOOKUP(A2790,vlookup_table!$A:$G,5,FALSE)</f>
        <v>R2</v>
      </c>
      <c r="R2790" t="str">
        <f>VLOOKUP(A2790,vlookup_table!$A:$G,6,FALSE)</f>
        <v>M</v>
      </c>
      <c r="S2790">
        <f>VLOOKUP(A2790,vlookup_table!$A:$G,7,FALSE)</f>
        <v>12</v>
      </c>
      <c r="T2790">
        <f t="shared" si="86"/>
        <v>96</v>
      </c>
      <c r="U2790" t="str">
        <f t="shared" si="87"/>
        <v>Rural</v>
      </c>
    </row>
    <row r="2791" spans="1:21" ht="16" x14ac:dyDescent="0.4">
      <c r="A2791" s="7">
        <v>159358</v>
      </c>
      <c r="B2791" s="7" t="s">
        <v>21</v>
      </c>
      <c r="C2791" s="7" t="s">
        <v>14</v>
      </c>
      <c r="D2791" s="7">
        <v>3950</v>
      </c>
      <c r="E2791" s="7">
        <v>414</v>
      </c>
      <c r="F2791" s="7">
        <v>634</v>
      </c>
      <c r="G2791" s="7">
        <v>96</v>
      </c>
      <c r="H2791" s="7">
        <v>24339</v>
      </c>
      <c r="I2791" s="7">
        <v>13</v>
      </c>
      <c r="J2791" s="7">
        <v>43</v>
      </c>
      <c r="K2791" s="7">
        <v>505</v>
      </c>
      <c r="L2791" s="7">
        <v>517</v>
      </c>
      <c r="M2791" s="7">
        <v>8.0434782610000006</v>
      </c>
      <c r="N2791">
        <f>VLOOKUP(A2791,vlookup_table!$A:$G,2,FALSE)</f>
        <v>2</v>
      </c>
      <c r="O2791" t="str">
        <f>VLOOKUP(A2791,vlookup_table!$A:$G,3,FALSE)</f>
        <v>CA</v>
      </c>
      <c r="P2791">
        <f>VLOOKUP(A2791,vlookup_table!$A:$G,4,FALSE)</f>
        <v>2201</v>
      </c>
      <c r="Q2791" t="str">
        <f>VLOOKUP(A2791,vlookup_table!$A:$G,5,FALSE)</f>
        <v>S1</v>
      </c>
      <c r="R2791" t="str">
        <f>VLOOKUP(A2791,vlookup_table!$A:$G,6,FALSE)</f>
        <v>M</v>
      </c>
      <c r="S2791">
        <f>VLOOKUP(A2791,vlookup_table!$A:$G,7,FALSE)</f>
        <v>10</v>
      </c>
      <c r="T2791">
        <f t="shared" si="86"/>
        <v>74</v>
      </c>
      <c r="U2791" t="str">
        <f t="shared" si="87"/>
        <v>Suburbano</v>
      </c>
    </row>
    <row r="2792" spans="1:21" ht="16" x14ac:dyDescent="0.4">
      <c r="A2792" s="7">
        <v>159550</v>
      </c>
      <c r="B2792" s="7" t="s">
        <v>21</v>
      </c>
      <c r="C2792" s="7" t="s">
        <v>14</v>
      </c>
      <c r="D2792" s="7">
        <v>838</v>
      </c>
      <c r="E2792" s="7">
        <v>174</v>
      </c>
      <c r="F2792" s="7">
        <v>304</v>
      </c>
      <c r="G2792" s="7">
        <v>4</v>
      </c>
      <c r="H2792" s="7">
        <v>11984</v>
      </c>
      <c r="I2792" s="7">
        <v>3</v>
      </c>
      <c r="J2792" s="7">
        <v>44</v>
      </c>
      <c r="K2792" s="7">
        <v>221</v>
      </c>
      <c r="L2792" s="7">
        <v>251</v>
      </c>
      <c r="M2792" s="7">
        <v>11.2</v>
      </c>
      <c r="N2792">
        <f>VLOOKUP(A2792,vlookup_table!$A:$G,2,FALSE)</f>
        <v>1</v>
      </c>
      <c r="O2792" t="str">
        <f>VLOOKUP(A2792,vlookup_table!$A:$G,3,FALSE)</f>
        <v>CA</v>
      </c>
      <c r="P2792">
        <f>VLOOKUP(A2792,vlookup_table!$A:$G,4,FALSE)</f>
        <v>5801</v>
      </c>
      <c r="Q2792" t="str">
        <f>VLOOKUP(A2792,vlookup_table!$A:$G,5,FALSE)</f>
        <v>R2</v>
      </c>
      <c r="R2792" t="str">
        <f>VLOOKUP(A2792,vlookup_table!$A:$G,6,FALSE)</f>
        <v>M</v>
      </c>
      <c r="S2792">
        <f>VLOOKUP(A2792,vlookup_table!$A:$G,7,FALSE)</f>
        <v>10</v>
      </c>
      <c r="T2792">
        <f t="shared" si="86"/>
        <v>38</v>
      </c>
      <c r="U2792" t="str">
        <f t="shared" si="87"/>
        <v>Rural</v>
      </c>
    </row>
    <row r="2793" spans="1:21" ht="16" x14ac:dyDescent="0.4">
      <c r="A2793" s="7">
        <v>167396</v>
      </c>
      <c r="B2793" s="7" t="s">
        <v>21</v>
      </c>
      <c r="C2793" s="7" t="s">
        <v>14</v>
      </c>
      <c r="D2793" s="7">
        <v>4764</v>
      </c>
      <c r="E2793" s="7">
        <v>784</v>
      </c>
      <c r="F2793" s="7">
        <v>844</v>
      </c>
      <c r="G2793" s="7">
        <v>96</v>
      </c>
      <c r="H2793" s="7">
        <v>33464</v>
      </c>
      <c r="I2793" s="7">
        <v>9</v>
      </c>
      <c r="J2793" s="7">
        <v>53</v>
      </c>
      <c r="K2793" s="7">
        <v>791</v>
      </c>
      <c r="L2793" s="7">
        <v>829</v>
      </c>
      <c r="M2793" s="7">
        <v>20</v>
      </c>
      <c r="N2793">
        <f>VLOOKUP(A2793,vlookup_table!$A:$G,2,FALSE)</f>
        <v>0</v>
      </c>
      <c r="O2793" t="str">
        <f>VLOOKUP(A2793,vlookup_table!$A:$G,3,FALSE)</f>
        <v>CA</v>
      </c>
      <c r="P2793">
        <f>VLOOKUP(A2793,vlookup_table!$A:$G,4,FALSE)</f>
        <v>0</v>
      </c>
      <c r="Q2793" t="str">
        <f>VLOOKUP(A2793,vlookup_table!$A:$G,5,FALSE)</f>
        <v>S1</v>
      </c>
      <c r="R2793" t="str">
        <f>VLOOKUP(A2793,vlookup_table!$A:$G,6,FALSE)</f>
        <v>M</v>
      </c>
      <c r="S2793">
        <f>VLOOKUP(A2793,vlookup_table!$A:$G,7,FALSE)</f>
        <v>20</v>
      </c>
      <c r="T2793">
        <f t="shared" si="86"/>
        <v>96</v>
      </c>
      <c r="U2793" t="str">
        <f t="shared" si="87"/>
        <v>Suburbano</v>
      </c>
    </row>
    <row r="2794" spans="1:21" ht="16" x14ac:dyDescent="0.4">
      <c r="A2794" s="7">
        <v>101673</v>
      </c>
      <c r="B2794" s="7" t="s">
        <v>33</v>
      </c>
      <c r="C2794" s="7" t="s">
        <v>17</v>
      </c>
      <c r="D2794" s="7">
        <v>1162</v>
      </c>
      <c r="E2794" s="7">
        <v>529</v>
      </c>
      <c r="F2794" s="7">
        <v>612</v>
      </c>
      <c r="G2794" s="7">
        <v>7</v>
      </c>
      <c r="H2794" s="7">
        <v>18860</v>
      </c>
      <c r="I2794" s="7">
        <v>4</v>
      </c>
      <c r="J2794" s="7">
        <v>60</v>
      </c>
      <c r="K2794" s="7">
        <v>560</v>
      </c>
      <c r="L2794" s="7">
        <v>571</v>
      </c>
      <c r="M2794" s="7">
        <v>10.83333333</v>
      </c>
      <c r="N2794">
        <f>VLOOKUP(A2794,vlookup_table!$A:$G,2,FALSE)</f>
        <v>0</v>
      </c>
      <c r="O2794" t="str">
        <f>VLOOKUP(A2794,vlookup_table!$A:$G,3,FALSE)</f>
        <v>MO</v>
      </c>
      <c r="P2794">
        <f>VLOOKUP(A2794,vlookup_table!$A:$G,4,FALSE)</f>
        <v>5702</v>
      </c>
      <c r="Q2794" t="str">
        <f>VLOOKUP(A2794,vlookup_table!$A:$G,5,FALSE)</f>
        <v>C1</v>
      </c>
      <c r="R2794" t="str">
        <f>VLOOKUP(A2794,vlookup_table!$A:$G,6,FALSE)</f>
        <v>F</v>
      </c>
      <c r="S2794">
        <f>VLOOKUP(A2794,vlookup_table!$A:$G,7,FALSE)</f>
        <v>20</v>
      </c>
      <c r="T2794">
        <f t="shared" si="86"/>
        <v>39</v>
      </c>
      <c r="U2794" t="str">
        <f t="shared" si="87"/>
        <v>Ciudad</v>
      </c>
    </row>
    <row r="2795" spans="1:21" ht="16" x14ac:dyDescent="0.4">
      <c r="A2795" s="7">
        <v>132767</v>
      </c>
      <c r="B2795" s="7" t="s">
        <v>58</v>
      </c>
      <c r="C2795" s="7" t="s">
        <v>14</v>
      </c>
      <c r="D2795" s="7">
        <v>828</v>
      </c>
      <c r="E2795" s="7">
        <v>409</v>
      </c>
      <c r="F2795" s="7">
        <v>463</v>
      </c>
      <c r="G2795" s="7">
        <v>2</v>
      </c>
      <c r="H2795" s="7">
        <v>14309</v>
      </c>
      <c r="I2795" s="7">
        <v>1</v>
      </c>
      <c r="J2795" s="7">
        <v>43</v>
      </c>
      <c r="K2795" s="7">
        <v>426</v>
      </c>
      <c r="L2795" s="7">
        <v>419</v>
      </c>
      <c r="M2795" s="7">
        <v>11.66666667</v>
      </c>
      <c r="N2795">
        <f>VLOOKUP(A2795,vlookup_table!$A:$G,2,FALSE)</f>
        <v>1</v>
      </c>
      <c r="O2795" t="str">
        <f>VLOOKUP(A2795,vlookup_table!$A:$G,3,FALSE)</f>
        <v>WY</v>
      </c>
      <c r="P2795">
        <f>VLOOKUP(A2795,vlookup_table!$A:$G,4,FALSE)</f>
        <v>2001</v>
      </c>
      <c r="Q2795" t="str">
        <f>VLOOKUP(A2795,vlookup_table!$A:$G,5,FALSE)</f>
        <v>C1</v>
      </c>
      <c r="R2795" t="str">
        <f>VLOOKUP(A2795,vlookup_table!$A:$G,6,FALSE)</f>
        <v>M</v>
      </c>
      <c r="S2795">
        <f>VLOOKUP(A2795,vlookup_table!$A:$G,7,FALSE)</f>
        <v>15</v>
      </c>
      <c r="T2795">
        <f t="shared" si="86"/>
        <v>76</v>
      </c>
      <c r="U2795" t="str">
        <f t="shared" si="87"/>
        <v>Ciudad</v>
      </c>
    </row>
    <row r="2796" spans="1:21" ht="16" x14ac:dyDescent="0.4">
      <c r="A2796" s="7">
        <v>178334</v>
      </c>
      <c r="B2796" s="7" t="s">
        <v>37</v>
      </c>
      <c r="C2796" s="7" t="s">
        <v>41</v>
      </c>
      <c r="D2796" s="7">
        <v>1338</v>
      </c>
      <c r="E2796" s="7">
        <v>418</v>
      </c>
      <c r="F2796" s="7">
        <v>460</v>
      </c>
      <c r="G2796" s="7">
        <v>1</v>
      </c>
      <c r="H2796" s="7">
        <v>15772</v>
      </c>
      <c r="I2796" s="7">
        <v>7</v>
      </c>
      <c r="J2796" s="7">
        <v>44</v>
      </c>
      <c r="K2796" s="7">
        <v>449</v>
      </c>
      <c r="L2796" s="7">
        <v>419</v>
      </c>
      <c r="M2796" s="7">
        <v>9.1666666669999994</v>
      </c>
      <c r="N2796">
        <f>VLOOKUP(A2796,vlookup_table!$A:$G,2,FALSE)</f>
        <v>0</v>
      </c>
      <c r="O2796" t="str">
        <f>VLOOKUP(A2796,vlookup_table!$A:$G,3,FALSE)</f>
        <v>WA</v>
      </c>
      <c r="P2796">
        <f>VLOOKUP(A2796,vlookup_table!$A:$G,4,FALSE)</f>
        <v>2701</v>
      </c>
      <c r="Q2796" t="str">
        <f>VLOOKUP(A2796,vlookup_table!$A:$G,5,FALSE)</f>
        <v>S2</v>
      </c>
      <c r="R2796" t="str">
        <f>VLOOKUP(A2796,vlookup_table!$A:$G,6,FALSE)</f>
        <v>J</v>
      </c>
      <c r="S2796">
        <f>VLOOKUP(A2796,vlookup_table!$A:$G,7,FALSE)</f>
        <v>11</v>
      </c>
      <c r="T2796">
        <f t="shared" si="86"/>
        <v>69</v>
      </c>
      <c r="U2796" t="str">
        <f t="shared" si="87"/>
        <v>Suburbano</v>
      </c>
    </row>
    <row r="2797" spans="1:21" ht="16" x14ac:dyDescent="0.4">
      <c r="A2797" s="7">
        <v>109778</v>
      </c>
      <c r="B2797" s="7" t="s">
        <v>46</v>
      </c>
      <c r="C2797" s="7" t="s">
        <v>14</v>
      </c>
      <c r="D2797" s="7">
        <v>944</v>
      </c>
      <c r="E2797" s="7">
        <v>413</v>
      </c>
      <c r="F2797" s="7">
        <v>571</v>
      </c>
      <c r="G2797" s="7">
        <v>12</v>
      </c>
      <c r="H2797" s="7">
        <v>22847</v>
      </c>
      <c r="I2797" s="7">
        <v>0</v>
      </c>
      <c r="J2797" s="7">
        <v>75</v>
      </c>
      <c r="K2797" s="7">
        <v>459</v>
      </c>
      <c r="L2797" s="7">
        <v>559</v>
      </c>
      <c r="M2797" s="7">
        <v>8.8333333330000006</v>
      </c>
      <c r="N2797">
        <f>VLOOKUP(A2797,vlookup_table!$A:$G,2,FALSE)</f>
        <v>2</v>
      </c>
      <c r="O2797" t="str">
        <f>VLOOKUP(A2797,vlookup_table!$A:$G,3,FALSE)</f>
        <v>LA</v>
      </c>
      <c r="P2797">
        <f>VLOOKUP(A2797,vlookup_table!$A:$G,4,FALSE)</f>
        <v>1801</v>
      </c>
      <c r="Q2797" t="str">
        <f>VLOOKUP(A2797,vlookup_table!$A:$G,5,FALSE)</f>
        <v>C1</v>
      </c>
      <c r="R2797" t="str">
        <f>VLOOKUP(A2797,vlookup_table!$A:$G,6,FALSE)</f>
        <v>M</v>
      </c>
      <c r="S2797">
        <f>VLOOKUP(A2797,vlookup_table!$A:$G,7,FALSE)</f>
        <v>10</v>
      </c>
      <c r="T2797">
        <f t="shared" si="86"/>
        <v>78</v>
      </c>
      <c r="U2797" t="str">
        <f t="shared" si="87"/>
        <v>Ciudad</v>
      </c>
    </row>
    <row r="2798" spans="1:21" ht="16" x14ac:dyDescent="0.4">
      <c r="A2798" s="7">
        <v>108176</v>
      </c>
      <c r="B2798" s="7" t="s">
        <v>46</v>
      </c>
      <c r="C2798" s="7" t="s">
        <v>14</v>
      </c>
      <c r="D2798" s="7">
        <v>1060</v>
      </c>
      <c r="E2798" s="7">
        <v>559</v>
      </c>
      <c r="F2798" s="7">
        <v>655</v>
      </c>
      <c r="G2798" s="7">
        <v>1</v>
      </c>
      <c r="H2798" s="7">
        <v>21036</v>
      </c>
      <c r="I2798" s="7">
        <v>3</v>
      </c>
      <c r="J2798" s="7">
        <v>62</v>
      </c>
      <c r="K2798" s="7">
        <v>572</v>
      </c>
      <c r="L2798" s="7">
        <v>637</v>
      </c>
      <c r="M2798" s="7">
        <v>7.8666666669999996</v>
      </c>
      <c r="N2798">
        <f>VLOOKUP(A2798,vlookup_table!$A:$G,2,FALSE)</f>
        <v>2</v>
      </c>
      <c r="O2798" t="str">
        <f>VLOOKUP(A2798,vlookup_table!$A:$G,3,FALSE)</f>
        <v>LA</v>
      </c>
      <c r="P2798">
        <f>VLOOKUP(A2798,vlookup_table!$A:$G,4,FALSE)</f>
        <v>5611</v>
      </c>
      <c r="Q2798" t="str">
        <f>VLOOKUP(A2798,vlookup_table!$A:$G,5,FALSE)</f>
        <v>T1</v>
      </c>
      <c r="R2798" t="str">
        <f>VLOOKUP(A2798,vlookup_table!$A:$G,6,FALSE)</f>
        <v>M</v>
      </c>
      <c r="S2798">
        <f>VLOOKUP(A2798,vlookup_table!$A:$G,7,FALSE)</f>
        <v>10</v>
      </c>
      <c r="T2798">
        <f t="shared" si="86"/>
        <v>40</v>
      </c>
      <c r="U2798" t="str">
        <f t="shared" si="87"/>
        <v>Pueblo</v>
      </c>
    </row>
    <row r="2799" spans="1:21" ht="16" x14ac:dyDescent="0.4">
      <c r="A2799" s="7">
        <v>24949</v>
      </c>
      <c r="B2799" s="7" t="s">
        <v>43</v>
      </c>
      <c r="C2799" s="7" t="s">
        <v>14</v>
      </c>
      <c r="D2799" s="7">
        <v>482</v>
      </c>
      <c r="E2799" s="7">
        <v>273</v>
      </c>
      <c r="F2799" s="7">
        <v>326</v>
      </c>
      <c r="G2799" s="7">
        <v>0</v>
      </c>
      <c r="H2799" s="7">
        <v>10431</v>
      </c>
      <c r="I2799" s="7">
        <v>0</v>
      </c>
      <c r="J2799" s="7">
        <v>80</v>
      </c>
      <c r="K2799" s="7">
        <v>305</v>
      </c>
      <c r="L2799" s="7">
        <v>286</v>
      </c>
      <c r="M2799" s="7">
        <v>10.7</v>
      </c>
      <c r="N2799">
        <f>VLOOKUP(A2799,vlookup_table!$A:$G,2,FALSE)</f>
        <v>0</v>
      </c>
      <c r="O2799" t="str">
        <f>VLOOKUP(A2799,vlookup_table!$A:$G,3,FALSE)</f>
        <v>SC</v>
      </c>
      <c r="P2799">
        <f>VLOOKUP(A2799,vlookup_table!$A:$G,4,FALSE)</f>
        <v>4601</v>
      </c>
      <c r="Q2799" t="str">
        <f>VLOOKUP(A2799,vlookup_table!$A:$G,5,FALSE)</f>
        <v>R2</v>
      </c>
      <c r="R2799" t="str">
        <f>VLOOKUP(A2799,vlookup_table!$A:$G,6,FALSE)</f>
        <v>M</v>
      </c>
      <c r="S2799">
        <f>VLOOKUP(A2799,vlookup_table!$A:$G,7,FALSE)</f>
        <v>16</v>
      </c>
      <c r="T2799">
        <f t="shared" si="86"/>
        <v>50</v>
      </c>
      <c r="U2799" t="str">
        <f t="shared" si="87"/>
        <v>Rural</v>
      </c>
    </row>
    <row r="2800" spans="1:21" ht="16" x14ac:dyDescent="0.4">
      <c r="A2800" s="7">
        <v>12122</v>
      </c>
      <c r="B2800" s="7" t="s">
        <v>21</v>
      </c>
      <c r="C2800" s="7" t="s">
        <v>17</v>
      </c>
      <c r="D2800" s="7">
        <v>2051</v>
      </c>
      <c r="E2800" s="7">
        <v>417</v>
      </c>
      <c r="F2800" s="7">
        <v>453</v>
      </c>
      <c r="G2800" s="7">
        <v>54</v>
      </c>
      <c r="H2800" s="7">
        <v>12747</v>
      </c>
      <c r="I2800" s="7">
        <v>23</v>
      </c>
      <c r="J2800" s="7">
        <v>58</v>
      </c>
      <c r="K2800" s="7">
        <v>416</v>
      </c>
      <c r="L2800" s="7">
        <v>454</v>
      </c>
      <c r="M2800" s="7">
        <v>23.125</v>
      </c>
      <c r="N2800">
        <f>VLOOKUP(A2800,vlookup_table!$A:$G,2,FALSE)</f>
        <v>2</v>
      </c>
      <c r="O2800" t="str">
        <f>VLOOKUP(A2800,vlookup_table!$A:$G,3,FALSE)</f>
        <v>CA</v>
      </c>
      <c r="P2800">
        <f>VLOOKUP(A2800,vlookup_table!$A:$G,4,FALSE)</f>
        <v>5904</v>
      </c>
      <c r="Q2800" t="str">
        <f>VLOOKUP(A2800,vlookup_table!$A:$G,5,FALSE)</f>
        <v>S2</v>
      </c>
      <c r="R2800" t="str">
        <f>VLOOKUP(A2800,vlookup_table!$A:$G,6,FALSE)</f>
        <v>F</v>
      </c>
      <c r="S2800">
        <f>VLOOKUP(A2800,vlookup_table!$A:$G,7,FALSE)</f>
        <v>12</v>
      </c>
      <c r="T2800">
        <f t="shared" si="86"/>
        <v>37</v>
      </c>
      <c r="U2800" t="str">
        <f t="shared" si="87"/>
        <v>Suburbano</v>
      </c>
    </row>
    <row r="2801" spans="1:21" ht="16" x14ac:dyDescent="0.4">
      <c r="A2801" s="7">
        <v>171014</v>
      </c>
      <c r="B2801" s="7" t="s">
        <v>21</v>
      </c>
      <c r="C2801" s="7" t="s">
        <v>14</v>
      </c>
      <c r="D2801" s="7">
        <v>1264</v>
      </c>
      <c r="E2801" s="7">
        <v>403</v>
      </c>
      <c r="F2801" s="7">
        <v>457</v>
      </c>
      <c r="G2801" s="7">
        <v>15</v>
      </c>
      <c r="H2801" s="7">
        <v>12093</v>
      </c>
      <c r="I2801" s="7">
        <v>8</v>
      </c>
      <c r="J2801" s="7">
        <v>60</v>
      </c>
      <c r="K2801" s="7">
        <v>427</v>
      </c>
      <c r="L2801" s="7">
        <v>424</v>
      </c>
      <c r="M2801" s="7">
        <v>25</v>
      </c>
      <c r="N2801">
        <f>VLOOKUP(A2801,vlookup_table!$A:$G,2,FALSE)</f>
        <v>1</v>
      </c>
      <c r="O2801" t="str">
        <f>VLOOKUP(A2801,vlookup_table!$A:$G,3,FALSE)</f>
        <v>CA</v>
      </c>
      <c r="P2801">
        <f>VLOOKUP(A2801,vlookup_table!$A:$G,4,FALSE)</f>
        <v>4801</v>
      </c>
      <c r="Q2801" t="str">
        <f>VLOOKUP(A2801,vlookup_table!$A:$G,5,FALSE)</f>
        <v>R2</v>
      </c>
      <c r="R2801" t="str">
        <f>VLOOKUP(A2801,vlookup_table!$A:$G,6,FALSE)</f>
        <v>M</v>
      </c>
      <c r="S2801">
        <f>VLOOKUP(A2801,vlookup_table!$A:$G,7,FALSE)</f>
        <v>25</v>
      </c>
      <c r="T2801">
        <f t="shared" si="86"/>
        <v>48</v>
      </c>
      <c r="U2801" t="str">
        <f t="shared" si="87"/>
        <v>Rural</v>
      </c>
    </row>
    <row r="2802" spans="1:21" ht="16" x14ac:dyDescent="0.4">
      <c r="A2802" s="7">
        <v>152822</v>
      </c>
      <c r="B2802" s="7" t="s">
        <v>21</v>
      </c>
      <c r="C2802" s="7" t="s">
        <v>17</v>
      </c>
      <c r="D2802" s="7">
        <v>1714</v>
      </c>
      <c r="E2802" s="7">
        <v>411</v>
      </c>
      <c r="F2802" s="7">
        <v>537</v>
      </c>
      <c r="G2802" s="7">
        <v>10</v>
      </c>
      <c r="H2802" s="7">
        <v>18267</v>
      </c>
      <c r="I2802" s="7">
        <v>8</v>
      </c>
      <c r="J2802" s="7">
        <v>53</v>
      </c>
      <c r="K2802" s="7">
        <v>467</v>
      </c>
      <c r="L2802" s="7">
        <v>501</v>
      </c>
      <c r="M2802" s="7">
        <v>10</v>
      </c>
      <c r="N2802">
        <f>VLOOKUP(A2802,vlookup_table!$A:$G,2,FALSE)</f>
        <v>0</v>
      </c>
      <c r="O2802" t="str">
        <f>VLOOKUP(A2802,vlookup_table!$A:$G,3,FALSE)</f>
        <v>CA</v>
      </c>
      <c r="P2802">
        <f>VLOOKUP(A2802,vlookup_table!$A:$G,4,FALSE)</f>
        <v>6601</v>
      </c>
      <c r="Q2802" t="str">
        <f>VLOOKUP(A2802,vlookup_table!$A:$G,5,FALSE)</f>
        <v>S2</v>
      </c>
      <c r="R2802" t="str">
        <f>VLOOKUP(A2802,vlookup_table!$A:$G,6,FALSE)</f>
        <v>F</v>
      </c>
      <c r="S2802">
        <f>VLOOKUP(A2802,vlookup_table!$A:$G,7,FALSE)</f>
        <v>20</v>
      </c>
      <c r="T2802">
        <f t="shared" si="86"/>
        <v>30</v>
      </c>
      <c r="U2802" t="str">
        <f t="shared" si="87"/>
        <v>Suburbano</v>
      </c>
    </row>
    <row r="2803" spans="1:21" ht="16" x14ac:dyDescent="0.4">
      <c r="A2803" s="7">
        <v>150730</v>
      </c>
      <c r="B2803" s="7" t="s">
        <v>21</v>
      </c>
      <c r="C2803" s="7" t="s">
        <v>17</v>
      </c>
      <c r="D2803" s="7">
        <v>1502</v>
      </c>
      <c r="E2803" s="7">
        <v>317</v>
      </c>
      <c r="F2803" s="7">
        <v>413</v>
      </c>
      <c r="G2803" s="7">
        <v>4</v>
      </c>
      <c r="H2803" s="7">
        <v>16754</v>
      </c>
      <c r="I2803" s="7">
        <v>9</v>
      </c>
      <c r="J2803" s="7">
        <v>47</v>
      </c>
      <c r="K2803" s="7">
        <v>352</v>
      </c>
      <c r="L2803" s="7">
        <v>389</v>
      </c>
      <c r="M2803" s="7">
        <v>11.66666667</v>
      </c>
      <c r="N2803">
        <f>VLOOKUP(A2803,vlookup_table!$A:$G,2,FALSE)</f>
        <v>28</v>
      </c>
      <c r="O2803" t="str">
        <f>VLOOKUP(A2803,vlookup_table!$A:$G,3,FALSE)</f>
        <v>CA</v>
      </c>
      <c r="P2803">
        <f>VLOOKUP(A2803,vlookup_table!$A:$G,4,FALSE)</f>
        <v>4201</v>
      </c>
      <c r="Q2803" t="str">
        <f>VLOOKUP(A2803,vlookup_table!$A:$G,5,FALSE)</f>
        <v>S2</v>
      </c>
      <c r="R2803" t="str">
        <f>VLOOKUP(A2803,vlookup_table!$A:$G,6,FALSE)</f>
        <v>F</v>
      </c>
      <c r="S2803">
        <f>VLOOKUP(A2803,vlookup_table!$A:$G,7,FALSE)</f>
        <v>2</v>
      </c>
      <c r="T2803">
        <f t="shared" si="86"/>
        <v>54</v>
      </c>
      <c r="U2803" t="str">
        <f t="shared" si="87"/>
        <v>Suburbano</v>
      </c>
    </row>
    <row r="2804" spans="1:21" ht="16" x14ac:dyDescent="0.4">
      <c r="A2804" s="7">
        <v>65189</v>
      </c>
      <c r="B2804" s="7" t="s">
        <v>26</v>
      </c>
      <c r="C2804" s="7" t="s">
        <v>14</v>
      </c>
      <c r="D2804" s="7">
        <v>450</v>
      </c>
      <c r="E2804" s="7">
        <v>292</v>
      </c>
      <c r="F2804" s="7">
        <v>373</v>
      </c>
      <c r="G2804" s="7">
        <v>0</v>
      </c>
      <c r="H2804" s="7">
        <v>12203</v>
      </c>
      <c r="I2804" s="7">
        <v>2</v>
      </c>
      <c r="J2804" s="7">
        <v>93</v>
      </c>
      <c r="K2804" s="7">
        <v>361</v>
      </c>
      <c r="L2804" s="7">
        <v>329</v>
      </c>
      <c r="M2804" s="7">
        <v>9.5</v>
      </c>
      <c r="N2804">
        <f>VLOOKUP(A2804,vlookup_table!$A:$G,2,FALSE)</f>
        <v>2</v>
      </c>
      <c r="O2804" t="str">
        <f>VLOOKUP(A2804,vlookup_table!$A:$G,3,FALSE)</f>
        <v>MI</v>
      </c>
      <c r="P2804">
        <f>VLOOKUP(A2804,vlookup_table!$A:$G,4,FALSE)</f>
        <v>2409</v>
      </c>
      <c r="Q2804" t="str">
        <f>VLOOKUP(A2804,vlookup_table!$A:$G,5,FALSE)</f>
        <v>S2</v>
      </c>
      <c r="R2804" t="str">
        <f>VLOOKUP(A2804,vlookup_table!$A:$G,6,FALSE)</f>
        <v>M</v>
      </c>
      <c r="S2804">
        <f>VLOOKUP(A2804,vlookup_table!$A:$G,7,FALSE)</f>
        <v>13</v>
      </c>
      <c r="T2804">
        <f t="shared" si="86"/>
        <v>72</v>
      </c>
      <c r="U2804" t="str">
        <f t="shared" si="87"/>
        <v>Suburbano</v>
      </c>
    </row>
    <row r="2805" spans="1:21" ht="16" x14ac:dyDescent="0.4">
      <c r="A2805" s="7">
        <v>136990</v>
      </c>
      <c r="B2805" s="7" t="s">
        <v>51</v>
      </c>
      <c r="C2805" s="7" t="s">
        <v>14</v>
      </c>
      <c r="D2805" s="7">
        <v>1074</v>
      </c>
      <c r="E2805" s="7">
        <v>469</v>
      </c>
      <c r="F2805" s="7">
        <v>516</v>
      </c>
      <c r="G2805" s="7">
        <v>11</v>
      </c>
      <c r="H2805" s="7">
        <v>18042</v>
      </c>
      <c r="I2805" s="7">
        <v>2</v>
      </c>
      <c r="J2805" s="7">
        <v>34</v>
      </c>
      <c r="K2805" s="7">
        <v>472</v>
      </c>
      <c r="L2805" s="7">
        <v>510</v>
      </c>
      <c r="M2805" s="7">
        <v>6.12</v>
      </c>
      <c r="N2805">
        <f>VLOOKUP(A2805,vlookup_table!$A:$G,2,FALSE)</f>
        <v>0</v>
      </c>
      <c r="O2805" t="str">
        <f>VLOOKUP(A2805,vlookup_table!$A:$G,3,FALSE)</f>
        <v>AZ</v>
      </c>
      <c r="P2805">
        <f>VLOOKUP(A2805,vlookup_table!$A:$G,4,FALSE)</f>
        <v>5401</v>
      </c>
      <c r="Q2805" t="str">
        <f>VLOOKUP(A2805,vlookup_table!$A:$G,5,FALSE)</f>
        <v>T1</v>
      </c>
      <c r="R2805" t="str">
        <f>VLOOKUP(A2805,vlookup_table!$A:$G,6,FALSE)</f>
        <v>M</v>
      </c>
      <c r="S2805">
        <f>VLOOKUP(A2805,vlookup_table!$A:$G,7,FALSE)</f>
        <v>8</v>
      </c>
      <c r="T2805">
        <f t="shared" si="86"/>
        <v>42</v>
      </c>
      <c r="U2805" t="str">
        <f t="shared" si="87"/>
        <v>Pueblo</v>
      </c>
    </row>
    <row r="2806" spans="1:21" ht="16" x14ac:dyDescent="0.4">
      <c r="A2806" s="7">
        <v>148143</v>
      </c>
      <c r="B2806" s="7" t="s">
        <v>21</v>
      </c>
      <c r="C2806" s="7" t="s">
        <v>17</v>
      </c>
      <c r="D2806" s="7">
        <v>3992</v>
      </c>
      <c r="E2806" s="7">
        <v>801</v>
      </c>
      <c r="F2806" s="7">
        <v>858</v>
      </c>
      <c r="G2806" s="7">
        <v>96</v>
      </c>
      <c r="H2806" s="7">
        <v>29156</v>
      </c>
      <c r="I2806" s="7">
        <v>15</v>
      </c>
      <c r="J2806" s="7">
        <v>46</v>
      </c>
      <c r="K2806" s="7">
        <v>821</v>
      </c>
      <c r="L2806" s="7">
        <v>839</v>
      </c>
      <c r="M2806" s="7">
        <v>6.6666666670000003</v>
      </c>
      <c r="N2806">
        <f>VLOOKUP(A2806,vlookup_table!$A:$G,2,FALSE)</f>
        <v>0</v>
      </c>
      <c r="O2806" t="str">
        <f>VLOOKUP(A2806,vlookup_table!$A:$G,3,FALSE)</f>
        <v>CA</v>
      </c>
      <c r="P2806">
        <f>VLOOKUP(A2806,vlookup_table!$A:$G,4,FALSE)</f>
        <v>0</v>
      </c>
      <c r="Q2806" t="str">
        <f>VLOOKUP(A2806,vlookup_table!$A:$G,5,FALSE)</f>
        <v>C1</v>
      </c>
      <c r="R2806" t="str">
        <f>VLOOKUP(A2806,vlookup_table!$A:$G,6,FALSE)</f>
        <v>F</v>
      </c>
      <c r="S2806">
        <f>VLOOKUP(A2806,vlookup_table!$A:$G,7,FALSE)</f>
        <v>20</v>
      </c>
      <c r="T2806">
        <f t="shared" si="86"/>
        <v>96</v>
      </c>
      <c r="U2806" t="str">
        <f t="shared" si="87"/>
        <v>Ciudad</v>
      </c>
    </row>
    <row r="2807" spans="1:21" ht="16" x14ac:dyDescent="0.4">
      <c r="A2807" s="7">
        <v>54762</v>
      </c>
      <c r="B2807" s="7" t="s">
        <v>56</v>
      </c>
      <c r="C2807" s="7" t="s">
        <v>14</v>
      </c>
      <c r="D2807" s="7">
        <v>429</v>
      </c>
      <c r="E2807" s="7">
        <v>201</v>
      </c>
      <c r="F2807" s="7">
        <v>288</v>
      </c>
      <c r="G2807" s="7">
        <v>0</v>
      </c>
      <c r="H2807" s="7">
        <v>9672</v>
      </c>
      <c r="I2807" s="7">
        <v>0</v>
      </c>
      <c r="J2807" s="7">
        <v>86</v>
      </c>
      <c r="K2807" s="7">
        <v>257</v>
      </c>
      <c r="L2807" s="7">
        <v>243</v>
      </c>
      <c r="M2807" s="7">
        <v>7.3333333329999997</v>
      </c>
      <c r="N2807">
        <f>VLOOKUP(A2807,vlookup_table!$A:$G,2,FALSE)</f>
        <v>0</v>
      </c>
      <c r="O2807" t="str">
        <f>VLOOKUP(A2807,vlookup_table!$A:$G,3,FALSE)</f>
        <v>MS</v>
      </c>
      <c r="P2807">
        <f>VLOOKUP(A2807,vlookup_table!$A:$G,4,FALSE)</f>
        <v>1403</v>
      </c>
      <c r="Q2807" t="str">
        <f>VLOOKUP(A2807,vlookup_table!$A:$G,5,FALSE)</f>
        <v>R2</v>
      </c>
      <c r="R2807" t="str">
        <f>VLOOKUP(A2807,vlookup_table!$A:$G,6,FALSE)</f>
        <v>M</v>
      </c>
      <c r="S2807">
        <f>VLOOKUP(A2807,vlookup_table!$A:$G,7,FALSE)</f>
        <v>16</v>
      </c>
      <c r="T2807">
        <f t="shared" si="86"/>
        <v>82</v>
      </c>
      <c r="U2807" t="str">
        <f t="shared" si="87"/>
        <v>Rural</v>
      </c>
    </row>
    <row r="2808" spans="1:21" ht="16" x14ac:dyDescent="0.4">
      <c r="A2808" s="7">
        <v>107379</v>
      </c>
      <c r="B2808" s="7" t="s">
        <v>55</v>
      </c>
      <c r="C2808" s="7" t="s">
        <v>17</v>
      </c>
      <c r="D2808" s="7">
        <v>493</v>
      </c>
      <c r="E2808" s="7">
        <v>215</v>
      </c>
      <c r="F2808" s="7">
        <v>321</v>
      </c>
      <c r="G2808" s="7">
        <v>0</v>
      </c>
      <c r="H2808" s="7">
        <v>9071</v>
      </c>
      <c r="I2808" s="7">
        <v>3</v>
      </c>
      <c r="J2808" s="7">
        <v>74</v>
      </c>
      <c r="K2808" s="7">
        <v>297</v>
      </c>
      <c r="L2808" s="7">
        <v>238</v>
      </c>
      <c r="M2808" s="7">
        <v>5.2068965519999999</v>
      </c>
      <c r="N2808">
        <f>VLOOKUP(A2808,vlookup_table!$A:$G,2,FALSE)</f>
        <v>2</v>
      </c>
      <c r="O2808" t="str">
        <f>VLOOKUP(A2808,vlookup_table!$A:$G,3,FALSE)</f>
        <v>NE</v>
      </c>
      <c r="P2808">
        <f>VLOOKUP(A2808,vlookup_table!$A:$G,4,FALSE)</f>
        <v>0</v>
      </c>
      <c r="Q2808" t="str">
        <f>VLOOKUP(A2808,vlookup_table!$A:$G,5,FALSE)</f>
        <v>T2</v>
      </c>
      <c r="R2808" t="str">
        <f>VLOOKUP(A2808,vlookup_table!$A:$G,6,FALSE)</f>
        <v>F</v>
      </c>
      <c r="S2808">
        <f>VLOOKUP(A2808,vlookup_table!$A:$G,7,FALSE)</f>
        <v>5</v>
      </c>
      <c r="T2808">
        <f t="shared" si="86"/>
        <v>96</v>
      </c>
      <c r="U2808" t="str">
        <f t="shared" si="87"/>
        <v>Pueblo</v>
      </c>
    </row>
    <row r="2809" spans="1:21" ht="16" x14ac:dyDescent="0.4">
      <c r="A2809" s="7">
        <v>132316</v>
      </c>
      <c r="B2809" s="7" t="s">
        <v>45</v>
      </c>
      <c r="C2809" s="7" t="s">
        <v>14</v>
      </c>
      <c r="D2809" s="7">
        <v>814</v>
      </c>
      <c r="E2809" s="7">
        <v>343</v>
      </c>
      <c r="F2809" s="7">
        <v>472</v>
      </c>
      <c r="G2809" s="7">
        <v>2</v>
      </c>
      <c r="H2809" s="7">
        <v>17392</v>
      </c>
      <c r="I2809" s="7">
        <v>3</v>
      </c>
      <c r="J2809" s="7">
        <v>50</v>
      </c>
      <c r="K2809" s="7">
        <v>430</v>
      </c>
      <c r="L2809" s="7">
        <v>421</v>
      </c>
      <c r="M2809" s="7">
        <v>4.2068965519999999</v>
      </c>
      <c r="N2809">
        <f>VLOOKUP(A2809,vlookup_table!$A:$G,2,FALSE)</f>
        <v>2</v>
      </c>
      <c r="O2809" t="str">
        <f>VLOOKUP(A2809,vlookup_table!$A:$G,3,FALSE)</f>
        <v>CO</v>
      </c>
      <c r="P2809">
        <f>VLOOKUP(A2809,vlookup_table!$A:$G,4,FALSE)</f>
        <v>3711</v>
      </c>
      <c r="Q2809" t="str">
        <f>VLOOKUP(A2809,vlookup_table!$A:$G,5,FALSE)</f>
        <v>T1</v>
      </c>
      <c r="R2809" t="str">
        <f>VLOOKUP(A2809,vlookup_table!$A:$G,6,FALSE)</f>
        <v>M</v>
      </c>
      <c r="S2809">
        <f>VLOOKUP(A2809,vlookup_table!$A:$G,7,FALSE)</f>
        <v>10</v>
      </c>
      <c r="T2809">
        <f t="shared" si="86"/>
        <v>59</v>
      </c>
      <c r="U2809" t="str">
        <f t="shared" si="87"/>
        <v>Pueblo</v>
      </c>
    </row>
    <row r="2810" spans="1:21" ht="16" x14ac:dyDescent="0.4">
      <c r="A2810" s="7">
        <v>24277</v>
      </c>
      <c r="B2810" s="7" t="s">
        <v>43</v>
      </c>
      <c r="C2810" s="7" t="s">
        <v>17</v>
      </c>
      <c r="D2810" s="7">
        <v>832</v>
      </c>
      <c r="E2810" s="7">
        <v>253</v>
      </c>
      <c r="F2810" s="7">
        <v>356</v>
      </c>
      <c r="G2810" s="7">
        <v>13</v>
      </c>
      <c r="H2810" s="7">
        <v>13519</v>
      </c>
      <c r="I2810" s="7">
        <v>3</v>
      </c>
      <c r="J2810" s="7">
        <v>34</v>
      </c>
      <c r="K2810" s="7">
        <v>289</v>
      </c>
      <c r="L2810" s="7">
        <v>312</v>
      </c>
      <c r="M2810" s="7">
        <v>12.28571429</v>
      </c>
      <c r="N2810">
        <f>VLOOKUP(A2810,vlookup_table!$A:$G,2,FALSE)</f>
        <v>2</v>
      </c>
      <c r="O2810" t="str">
        <f>VLOOKUP(A2810,vlookup_table!$A:$G,3,FALSE)</f>
        <v>SC</v>
      </c>
      <c r="P2810">
        <f>VLOOKUP(A2810,vlookup_table!$A:$G,4,FALSE)</f>
        <v>0</v>
      </c>
      <c r="Q2810" t="str">
        <f>VLOOKUP(A2810,vlookup_table!$A:$G,5,FALSE)</f>
        <v>T2</v>
      </c>
      <c r="R2810" t="str">
        <f>VLOOKUP(A2810,vlookup_table!$A:$G,6,FALSE)</f>
        <v>F</v>
      </c>
      <c r="S2810">
        <f>VLOOKUP(A2810,vlookup_table!$A:$G,7,FALSE)</f>
        <v>40</v>
      </c>
      <c r="T2810">
        <f t="shared" si="86"/>
        <v>96</v>
      </c>
      <c r="U2810" t="str">
        <f t="shared" si="87"/>
        <v>Pueblo</v>
      </c>
    </row>
    <row r="2811" spans="1:21" ht="16" x14ac:dyDescent="0.4">
      <c r="A2811" s="7">
        <v>87217</v>
      </c>
      <c r="B2811" s="7" t="s">
        <v>31</v>
      </c>
      <c r="C2811" s="7" t="s">
        <v>14</v>
      </c>
      <c r="D2811" s="7">
        <v>350</v>
      </c>
      <c r="E2811" s="7">
        <v>163</v>
      </c>
      <c r="F2811" s="7">
        <v>260</v>
      </c>
      <c r="G2811" s="7">
        <v>0</v>
      </c>
      <c r="H2811" s="7">
        <v>8402</v>
      </c>
      <c r="I2811" s="7">
        <v>1</v>
      </c>
      <c r="J2811" s="7">
        <v>76</v>
      </c>
      <c r="K2811" s="7">
        <v>203</v>
      </c>
      <c r="L2811" s="7">
        <v>221</v>
      </c>
      <c r="M2811" s="7">
        <v>12.6</v>
      </c>
      <c r="N2811">
        <f>VLOOKUP(A2811,vlookup_table!$A:$G,2,FALSE)</f>
        <v>0</v>
      </c>
      <c r="O2811" t="str">
        <f>VLOOKUP(A2811,vlookup_table!$A:$G,3,FALSE)</f>
        <v>MT</v>
      </c>
      <c r="P2811">
        <f>VLOOKUP(A2811,vlookup_table!$A:$G,4,FALSE)</f>
        <v>2601</v>
      </c>
      <c r="Q2811" t="str">
        <f>VLOOKUP(A2811,vlookup_table!$A:$G,5,FALSE)</f>
        <v>R2</v>
      </c>
      <c r="R2811" t="str">
        <f>VLOOKUP(A2811,vlookup_table!$A:$G,6,FALSE)</f>
        <v>M</v>
      </c>
      <c r="S2811">
        <f>VLOOKUP(A2811,vlookup_table!$A:$G,7,FALSE)</f>
        <v>20</v>
      </c>
      <c r="T2811">
        <f t="shared" si="86"/>
        <v>70</v>
      </c>
      <c r="U2811" t="str">
        <f t="shared" si="87"/>
        <v>Rural</v>
      </c>
    </row>
    <row r="2812" spans="1:21" ht="16" x14ac:dyDescent="0.4">
      <c r="A2812" s="7">
        <v>113882</v>
      </c>
      <c r="B2812" s="7" t="s">
        <v>28</v>
      </c>
      <c r="C2812" s="7" t="s">
        <v>14</v>
      </c>
      <c r="D2812" s="7">
        <v>260</v>
      </c>
      <c r="E2812" s="7">
        <v>159</v>
      </c>
      <c r="F2812" s="7">
        <v>253</v>
      </c>
      <c r="G2812" s="7">
        <v>0</v>
      </c>
      <c r="H2812" s="7">
        <v>9167</v>
      </c>
      <c r="I2812" s="7">
        <v>1</v>
      </c>
      <c r="J2812" s="7">
        <v>65</v>
      </c>
      <c r="K2812" s="7">
        <v>176</v>
      </c>
      <c r="L2812" s="7">
        <v>226</v>
      </c>
      <c r="M2812" s="7">
        <v>5.9565217390000003</v>
      </c>
      <c r="N2812">
        <f>VLOOKUP(A2812,vlookup_table!$A:$G,2,FALSE)</f>
        <v>1</v>
      </c>
      <c r="O2812" t="str">
        <f>VLOOKUP(A2812,vlookup_table!$A:$G,3,FALSE)</f>
        <v>OK</v>
      </c>
      <c r="P2812">
        <f>VLOOKUP(A2812,vlookup_table!$A:$G,4,FALSE)</f>
        <v>2601</v>
      </c>
      <c r="Q2812" t="str">
        <f>VLOOKUP(A2812,vlookup_table!$A:$G,5,FALSE)</f>
        <v>T3</v>
      </c>
      <c r="R2812" t="str">
        <f>VLOOKUP(A2812,vlookup_table!$A:$G,6,FALSE)</f>
        <v>M</v>
      </c>
      <c r="S2812">
        <f>VLOOKUP(A2812,vlookup_table!$A:$G,7,FALSE)</f>
        <v>5</v>
      </c>
      <c r="T2812">
        <f t="shared" si="86"/>
        <v>70</v>
      </c>
      <c r="U2812" t="str">
        <f t="shared" si="87"/>
        <v>Pueblo</v>
      </c>
    </row>
    <row r="2813" spans="1:21" ht="16" x14ac:dyDescent="0.4">
      <c r="A2813" s="7">
        <v>8912</v>
      </c>
      <c r="B2813" s="7" t="s">
        <v>47</v>
      </c>
      <c r="C2813" s="7" t="s">
        <v>17</v>
      </c>
      <c r="D2813" s="7">
        <v>749</v>
      </c>
      <c r="E2813" s="7">
        <v>316</v>
      </c>
      <c r="F2813" s="7">
        <v>412</v>
      </c>
      <c r="G2813" s="7">
        <v>0</v>
      </c>
      <c r="H2813" s="7">
        <v>15051</v>
      </c>
      <c r="I2813" s="7">
        <v>4</v>
      </c>
      <c r="J2813" s="7">
        <v>56</v>
      </c>
      <c r="K2813" s="7">
        <v>339</v>
      </c>
      <c r="L2813" s="7">
        <v>378</v>
      </c>
      <c r="M2813" s="7">
        <v>16.85714286</v>
      </c>
      <c r="N2813">
        <f>VLOOKUP(A2813,vlookup_table!$A:$G,2,FALSE)</f>
        <v>0</v>
      </c>
      <c r="O2813" t="str">
        <f>VLOOKUP(A2813,vlookup_table!$A:$G,3,FALSE)</f>
        <v>OR</v>
      </c>
      <c r="P2813">
        <f>VLOOKUP(A2813,vlookup_table!$A:$G,4,FALSE)</f>
        <v>4001</v>
      </c>
      <c r="Q2813" t="str">
        <f>VLOOKUP(A2813,vlookup_table!$A:$G,5,FALSE)</f>
        <v>S2</v>
      </c>
      <c r="R2813" t="str">
        <f>VLOOKUP(A2813,vlookup_table!$A:$G,6,FALSE)</f>
        <v>F</v>
      </c>
      <c r="S2813">
        <f>VLOOKUP(A2813,vlookup_table!$A:$G,7,FALSE)</f>
        <v>20</v>
      </c>
      <c r="T2813">
        <f t="shared" si="86"/>
        <v>56</v>
      </c>
      <c r="U2813" t="str">
        <f t="shared" si="87"/>
        <v>Suburbano</v>
      </c>
    </row>
    <row r="2814" spans="1:21" ht="16" x14ac:dyDescent="0.4">
      <c r="A2814" s="7">
        <v>28406</v>
      </c>
      <c r="B2814" s="7" t="s">
        <v>36</v>
      </c>
      <c r="C2814" s="7" t="s">
        <v>14</v>
      </c>
      <c r="D2814" s="7">
        <v>4220</v>
      </c>
      <c r="E2814" s="7">
        <v>982</v>
      </c>
      <c r="F2814" s="7">
        <v>1114</v>
      </c>
      <c r="G2814" s="7">
        <v>94</v>
      </c>
      <c r="H2814" s="7">
        <v>68148</v>
      </c>
      <c r="I2814" s="7">
        <v>8</v>
      </c>
      <c r="J2814" s="7">
        <v>40</v>
      </c>
      <c r="K2814" s="7">
        <v>1311</v>
      </c>
      <c r="L2814" s="7">
        <v>954</v>
      </c>
      <c r="M2814" s="7">
        <v>12</v>
      </c>
      <c r="N2814">
        <f>VLOOKUP(A2814,vlookup_table!$A:$G,2,FALSE)</f>
        <v>0</v>
      </c>
      <c r="O2814" t="str">
        <f>VLOOKUP(A2814,vlookup_table!$A:$G,3,FALSE)</f>
        <v>GA</v>
      </c>
      <c r="P2814">
        <f>VLOOKUP(A2814,vlookup_table!$A:$G,4,FALSE)</f>
        <v>3401</v>
      </c>
      <c r="Q2814" t="str">
        <f>VLOOKUP(A2814,vlookup_table!$A:$G,5,FALSE)</f>
        <v>S1</v>
      </c>
      <c r="R2814" t="str">
        <f>VLOOKUP(A2814,vlookup_table!$A:$G,6,FALSE)</f>
        <v>M</v>
      </c>
      <c r="S2814">
        <f>VLOOKUP(A2814,vlookup_table!$A:$G,7,FALSE)</f>
        <v>19</v>
      </c>
      <c r="T2814">
        <f t="shared" si="86"/>
        <v>62</v>
      </c>
      <c r="U2814" t="str">
        <f t="shared" si="87"/>
        <v>Suburbano</v>
      </c>
    </row>
    <row r="2815" spans="1:21" ht="16" x14ac:dyDescent="0.4">
      <c r="A2815" s="7">
        <v>70069</v>
      </c>
      <c r="B2815" s="7" t="s">
        <v>26</v>
      </c>
      <c r="C2815" s="7" t="s">
        <v>17</v>
      </c>
      <c r="D2815" s="7">
        <v>330</v>
      </c>
      <c r="E2815" s="7">
        <v>179</v>
      </c>
      <c r="F2815" s="7">
        <v>235</v>
      </c>
      <c r="G2815" s="7">
        <v>0</v>
      </c>
      <c r="H2815" s="7">
        <v>8746</v>
      </c>
      <c r="I2815" s="7">
        <v>1</v>
      </c>
      <c r="J2815" s="7">
        <v>59</v>
      </c>
      <c r="K2815" s="7">
        <v>179</v>
      </c>
      <c r="L2815" s="7">
        <v>234</v>
      </c>
      <c r="M2815" s="7">
        <v>10.30769231</v>
      </c>
      <c r="N2815">
        <f>VLOOKUP(A2815,vlookup_table!$A:$G,2,FALSE)</f>
        <v>2</v>
      </c>
      <c r="O2815" t="str">
        <f>VLOOKUP(A2815,vlookup_table!$A:$G,3,FALSE)</f>
        <v>MI</v>
      </c>
      <c r="P2815">
        <f>VLOOKUP(A2815,vlookup_table!$A:$G,4,FALSE)</f>
        <v>2603</v>
      </c>
      <c r="Q2815" t="str">
        <f>VLOOKUP(A2815,vlookup_table!$A:$G,5,FALSE)</f>
        <v>C3</v>
      </c>
      <c r="R2815" t="str">
        <f>VLOOKUP(A2815,vlookup_table!$A:$G,6,FALSE)</f>
        <v>F</v>
      </c>
      <c r="S2815">
        <f>VLOOKUP(A2815,vlookup_table!$A:$G,7,FALSE)</f>
        <v>11</v>
      </c>
      <c r="T2815">
        <f t="shared" si="86"/>
        <v>70</v>
      </c>
      <c r="U2815" t="str">
        <f t="shared" si="87"/>
        <v>Ciudad</v>
      </c>
    </row>
    <row r="2816" spans="1:21" ht="16" x14ac:dyDescent="0.4">
      <c r="A2816" s="7">
        <v>1102</v>
      </c>
      <c r="B2816" s="7" t="s">
        <v>52</v>
      </c>
      <c r="C2816" s="7" t="s">
        <v>14</v>
      </c>
      <c r="D2816" s="7">
        <v>882</v>
      </c>
      <c r="E2816" s="7">
        <v>380</v>
      </c>
      <c r="F2816" s="7">
        <v>484</v>
      </c>
      <c r="G2816" s="7">
        <v>1</v>
      </c>
      <c r="H2816" s="7">
        <v>18642</v>
      </c>
      <c r="I2816" s="7">
        <v>2</v>
      </c>
      <c r="J2816" s="7">
        <v>78</v>
      </c>
      <c r="K2816" s="7">
        <v>430</v>
      </c>
      <c r="L2816" s="7">
        <v>431</v>
      </c>
      <c r="M2816" s="7">
        <v>11.33333333</v>
      </c>
      <c r="N2816">
        <f>VLOOKUP(A2816,vlookup_table!$A:$G,2,FALSE)</f>
        <v>1</v>
      </c>
      <c r="O2816" t="str">
        <f>VLOOKUP(A2816,vlookup_table!$A:$G,3,FALSE)</f>
        <v>MN</v>
      </c>
      <c r="P2816">
        <f>VLOOKUP(A2816,vlookup_table!$A:$G,4,FALSE)</f>
        <v>1110</v>
      </c>
      <c r="Q2816" t="str">
        <f>VLOOKUP(A2816,vlookup_table!$A:$G,5,FALSE)</f>
        <v/>
      </c>
      <c r="R2816" t="str">
        <f>VLOOKUP(A2816,vlookup_table!$A:$G,6,FALSE)</f>
        <v>M</v>
      </c>
      <c r="S2816">
        <f>VLOOKUP(A2816,vlookup_table!$A:$G,7,FALSE)</f>
        <v>11</v>
      </c>
      <c r="T2816">
        <f t="shared" si="86"/>
        <v>85</v>
      </c>
      <c r="U2816" t="str">
        <f t="shared" si="87"/>
        <v/>
      </c>
    </row>
    <row r="2817" spans="1:21" ht="16" x14ac:dyDescent="0.4">
      <c r="A2817" s="7">
        <v>141888</v>
      </c>
      <c r="B2817" s="7" t="s">
        <v>23</v>
      </c>
      <c r="C2817" s="7" t="s">
        <v>14</v>
      </c>
      <c r="D2817" s="7">
        <v>2030</v>
      </c>
      <c r="E2817" s="7">
        <v>458</v>
      </c>
      <c r="F2817" s="7">
        <v>588</v>
      </c>
      <c r="G2817" s="7">
        <v>51</v>
      </c>
      <c r="H2817" s="7">
        <v>22685</v>
      </c>
      <c r="I2817" s="7">
        <v>11</v>
      </c>
      <c r="J2817" s="7">
        <v>22</v>
      </c>
      <c r="K2817" s="7">
        <v>515</v>
      </c>
      <c r="L2817" s="7">
        <v>531</v>
      </c>
      <c r="M2817" s="7">
        <v>5.0740740740000003</v>
      </c>
      <c r="N2817">
        <f>VLOOKUP(A2817,vlookup_table!$A:$G,2,FALSE)</f>
        <v>0</v>
      </c>
      <c r="O2817" t="str">
        <f>VLOOKUP(A2817,vlookup_table!$A:$G,3,FALSE)</f>
        <v>NV</v>
      </c>
      <c r="P2817">
        <f>VLOOKUP(A2817,vlookup_table!$A:$G,4,FALSE)</f>
        <v>2807</v>
      </c>
      <c r="Q2817" t="str">
        <f>VLOOKUP(A2817,vlookup_table!$A:$G,5,FALSE)</f>
        <v>T1</v>
      </c>
      <c r="R2817" t="str">
        <f>VLOOKUP(A2817,vlookup_table!$A:$G,6,FALSE)</f>
        <v>M</v>
      </c>
      <c r="S2817">
        <f>VLOOKUP(A2817,vlookup_table!$A:$G,7,FALSE)</f>
        <v>5</v>
      </c>
      <c r="T2817">
        <f t="shared" si="86"/>
        <v>68</v>
      </c>
      <c r="U2817" t="str">
        <f t="shared" si="87"/>
        <v>Pueblo</v>
      </c>
    </row>
    <row r="2818" spans="1:21" ht="16" x14ac:dyDescent="0.4">
      <c r="A2818" s="7">
        <v>183412</v>
      </c>
      <c r="B2818" s="7" t="s">
        <v>37</v>
      </c>
      <c r="C2818" s="7"/>
      <c r="D2818" s="7">
        <v>383</v>
      </c>
      <c r="E2818" s="7">
        <v>178</v>
      </c>
      <c r="F2818" s="7">
        <v>228</v>
      </c>
      <c r="G2818" s="7">
        <v>0</v>
      </c>
      <c r="H2818" s="7">
        <v>7456</v>
      </c>
      <c r="I2818" s="7">
        <v>6</v>
      </c>
      <c r="J2818" s="7">
        <v>72</v>
      </c>
      <c r="K2818" s="7">
        <v>190</v>
      </c>
      <c r="L2818" s="7">
        <v>227</v>
      </c>
      <c r="M2818" s="7">
        <v>23.666666670000001</v>
      </c>
      <c r="N2818">
        <f>VLOOKUP(A2818,vlookup_table!$A:$G,2,FALSE)</f>
        <v>0</v>
      </c>
      <c r="O2818" t="str">
        <f>VLOOKUP(A2818,vlookup_table!$A:$G,3,FALSE)</f>
        <v>WA</v>
      </c>
      <c r="P2818">
        <f>VLOOKUP(A2818,vlookup_table!$A:$G,4,FALSE)</f>
        <v>0</v>
      </c>
      <c r="Q2818" t="str">
        <f>VLOOKUP(A2818,vlookup_table!$A:$G,5,FALSE)</f>
        <v>R2</v>
      </c>
      <c r="R2818" t="str">
        <f>VLOOKUP(A2818,vlookup_table!$A:$G,6,FALSE)</f>
        <v/>
      </c>
      <c r="S2818">
        <f>VLOOKUP(A2818,vlookup_table!$A:$G,7,FALSE)</f>
        <v>50</v>
      </c>
      <c r="T2818">
        <f t="shared" si="86"/>
        <v>96</v>
      </c>
      <c r="U2818" t="str">
        <f t="shared" si="87"/>
        <v>Rural</v>
      </c>
    </row>
    <row r="2819" spans="1:21" ht="16" x14ac:dyDescent="0.4">
      <c r="A2819" s="7">
        <v>128599</v>
      </c>
      <c r="B2819" s="7" t="s">
        <v>20</v>
      </c>
      <c r="C2819" s="7" t="s">
        <v>14</v>
      </c>
      <c r="D2819" s="7">
        <v>441</v>
      </c>
      <c r="E2819" s="7">
        <v>318</v>
      </c>
      <c r="F2819" s="7">
        <v>327</v>
      </c>
      <c r="G2819" s="7">
        <v>0</v>
      </c>
      <c r="H2819" s="7">
        <v>13514</v>
      </c>
      <c r="I2819" s="7">
        <v>1</v>
      </c>
      <c r="J2819" s="7">
        <v>75</v>
      </c>
      <c r="K2819" s="7">
        <v>320</v>
      </c>
      <c r="L2819" s="7">
        <v>319</v>
      </c>
      <c r="M2819" s="7">
        <v>8.1999999999999993</v>
      </c>
      <c r="N2819">
        <f>VLOOKUP(A2819,vlookup_table!$A:$G,2,FALSE)</f>
        <v>1</v>
      </c>
      <c r="O2819" t="str">
        <f>VLOOKUP(A2819,vlookup_table!$A:$G,3,FALSE)</f>
        <v>TX</v>
      </c>
      <c r="P2819">
        <f>VLOOKUP(A2819,vlookup_table!$A:$G,4,FALSE)</f>
        <v>4701</v>
      </c>
      <c r="Q2819" t="str">
        <f>VLOOKUP(A2819,vlookup_table!$A:$G,5,FALSE)</f>
        <v>C2</v>
      </c>
      <c r="R2819" t="str">
        <f>VLOOKUP(A2819,vlookup_table!$A:$G,6,FALSE)</f>
        <v>M</v>
      </c>
      <c r="S2819">
        <f>VLOOKUP(A2819,vlookup_table!$A:$G,7,FALSE)</f>
        <v>8</v>
      </c>
      <c r="T2819">
        <f t="shared" ref="T2819:T2882" si="88">97-LEFT(P2819,2)-IF(RIGHT(P2819,2)&gt;6,1,0)</f>
        <v>49</v>
      </c>
      <c r="U2819" t="str">
        <f t="shared" ref="U2819:U2882" si="89">IF(LEFT(Q2819,1)="C","Ciudad",IF(LEFT(Q2819,1)="T","Pueblo",IF(LEFT(Q2819,1)="R","Rural",IF(LEFT(Q2819,1)="S","Suburbano",IF(LEFT(Q2819,1)="U","Urbano","")))))</f>
        <v>Ciudad</v>
      </c>
    </row>
    <row r="2820" spans="1:21" ht="16" x14ac:dyDescent="0.4">
      <c r="A2820" s="7">
        <v>53496</v>
      </c>
      <c r="B2820" s="7" t="s">
        <v>49</v>
      </c>
      <c r="C2820" s="7" t="s">
        <v>17</v>
      </c>
      <c r="D2820" s="7">
        <v>625</v>
      </c>
      <c r="E2820" s="7">
        <v>375</v>
      </c>
      <c r="F2820" s="7">
        <v>413</v>
      </c>
      <c r="G2820" s="7">
        <v>0</v>
      </c>
      <c r="H2820" s="7">
        <v>14065</v>
      </c>
      <c r="I2820" s="7">
        <v>0</v>
      </c>
      <c r="J2820" s="7">
        <v>66</v>
      </c>
      <c r="K2820" s="7">
        <v>379</v>
      </c>
      <c r="L2820" s="7">
        <v>395</v>
      </c>
      <c r="M2820" s="7">
        <v>12.57142857</v>
      </c>
      <c r="N2820">
        <f>VLOOKUP(A2820,vlookup_table!$A:$G,2,FALSE)</f>
        <v>28</v>
      </c>
      <c r="O2820" t="str">
        <f>VLOOKUP(A2820,vlookup_table!$A:$G,3,FALSE)</f>
        <v>TN</v>
      </c>
      <c r="P2820">
        <f>VLOOKUP(A2820,vlookup_table!$A:$G,4,FALSE)</f>
        <v>5009</v>
      </c>
      <c r="Q2820" t="str">
        <f>VLOOKUP(A2820,vlookup_table!$A:$G,5,FALSE)</f>
        <v>S2</v>
      </c>
      <c r="R2820" t="str">
        <f>VLOOKUP(A2820,vlookup_table!$A:$G,6,FALSE)</f>
        <v>F</v>
      </c>
      <c r="S2820">
        <f>VLOOKUP(A2820,vlookup_table!$A:$G,7,FALSE)</f>
        <v>20</v>
      </c>
      <c r="T2820">
        <f t="shared" si="88"/>
        <v>46</v>
      </c>
      <c r="U2820" t="str">
        <f t="shared" si="89"/>
        <v>Suburbano</v>
      </c>
    </row>
    <row r="2821" spans="1:21" ht="16" x14ac:dyDescent="0.4">
      <c r="A2821" s="7">
        <v>28381</v>
      </c>
      <c r="B2821" s="7" t="s">
        <v>36</v>
      </c>
      <c r="C2821" s="7" t="s">
        <v>14</v>
      </c>
      <c r="D2821" s="7">
        <v>1602</v>
      </c>
      <c r="E2821" s="7">
        <v>309</v>
      </c>
      <c r="F2821" s="7">
        <v>565</v>
      </c>
      <c r="G2821" s="7">
        <v>24</v>
      </c>
      <c r="H2821" s="7">
        <v>19258</v>
      </c>
      <c r="I2821" s="7">
        <v>9</v>
      </c>
      <c r="J2821" s="7">
        <v>33</v>
      </c>
      <c r="K2821" s="7">
        <v>477</v>
      </c>
      <c r="L2821" s="7">
        <v>429</v>
      </c>
      <c r="M2821" s="7">
        <v>7.875</v>
      </c>
      <c r="N2821">
        <f>VLOOKUP(A2821,vlookup_table!$A:$G,2,FALSE)</f>
        <v>1</v>
      </c>
      <c r="O2821" t="str">
        <f>VLOOKUP(A2821,vlookup_table!$A:$G,3,FALSE)</f>
        <v>GA</v>
      </c>
      <c r="P2821">
        <f>VLOOKUP(A2821,vlookup_table!$A:$G,4,FALSE)</f>
        <v>0</v>
      </c>
      <c r="Q2821" t="str">
        <f>VLOOKUP(A2821,vlookup_table!$A:$G,5,FALSE)</f>
        <v>S1</v>
      </c>
      <c r="R2821" t="str">
        <f>VLOOKUP(A2821,vlookup_table!$A:$G,6,FALSE)</f>
        <v>M</v>
      </c>
      <c r="S2821">
        <f>VLOOKUP(A2821,vlookup_table!$A:$G,7,FALSE)</f>
        <v>15</v>
      </c>
      <c r="T2821">
        <f t="shared" si="88"/>
        <v>96</v>
      </c>
      <c r="U2821" t="str">
        <f t="shared" si="89"/>
        <v>Suburbano</v>
      </c>
    </row>
    <row r="2822" spans="1:21" ht="16" x14ac:dyDescent="0.4">
      <c r="A2822" s="7">
        <v>6292</v>
      </c>
      <c r="B2822" s="7" t="s">
        <v>16</v>
      </c>
      <c r="C2822" s="7" t="s">
        <v>17</v>
      </c>
      <c r="D2822" s="7">
        <v>1079</v>
      </c>
      <c r="E2822" s="7">
        <v>441</v>
      </c>
      <c r="F2822" s="7">
        <v>536</v>
      </c>
      <c r="G2822" s="7">
        <v>3</v>
      </c>
      <c r="H2822" s="7">
        <v>19972</v>
      </c>
      <c r="I2822" s="7">
        <v>4</v>
      </c>
      <c r="J2822" s="7">
        <v>72</v>
      </c>
      <c r="K2822" s="7">
        <v>452</v>
      </c>
      <c r="L2822" s="7">
        <v>502</v>
      </c>
      <c r="M2822" s="7">
        <v>13.24</v>
      </c>
      <c r="N2822">
        <f>VLOOKUP(A2822,vlookup_table!$A:$G,2,FALSE)</f>
        <v>0</v>
      </c>
      <c r="O2822" t="str">
        <f>VLOOKUP(A2822,vlookup_table!$A:$G,3,FALSE)</f>
        <v>IL</v>
      </c>
      <c r="P2822">
        <f>VLOOKUP(A2822,vlookup_table!$A:$G,4,FALSE)</f>
        <v>1601</v>
      </c>
      <c r="Q2822" t="str">
        <f>VLOOKUP(A2822,vlookup_table!$A:$G,5,FALSE)</f>
        <v>S1</v>
      </c>
      <c r="R2822" t="str">
        <f>VLOOKUP(A2822,vlookup_table!$A:$G,6,FALSE)</f>
        <v>F</v>
      </c>
      <c r="S2822">
        <f>VLOOKUP(A2822,vlookup_table!$A:$G,7,FALSE)</f>
        <v>20</v>
      </c>
      <c r="T2822">
        <f t="shared" si="88"/>
        <v>80</v>
      </c>
      <c r="U2822" t="str">
        <f t="shared" si="89"/>
        <v>Suburbano</v>
      </c>
    </row>
    <row r="2823" spans="1:21" ht="16" x14ac:dyDescent="0.4">
      <c r="A2823" s="7">
        <v>21644</v>
      </c>
      <c r="B2823" s="7" t="s">
        <v>18</v>
      </c>
      <c r="C2823" s="7" t="s">
        <v>97</v>
      </c>
      <c r="D2823" s="7">
        <v>543</v>
      </c>
      <c r="E2823" s="7">
        <v>253</v>
      </c>
      <c r="F2823" s="7">
        <v>354</v>
      </c>
      <c r="G2823" s="7">
        <v>1</v>
      </c>
      <c r="H2823" s="7">
        <v>12614</v>
      </c>
      <c r="I2823" s="7">
        <v>1</v>
      </c>
      <c r="J2823" s="7">
        <v>83</v>
      </c>
      <c r="K2823" s="7">
        <v>314</v>
      </c>
      <c r="L2823" s="7">
        <v>300</v>
      </c>
      <c r="M2823" s="7">
        <v>7.5</v>
      </c>
      <c r="N2823">
        <f>VLOOKUP(A2823,vlookup_table!$A:$G,2,FALSE)</f>
        <v>2</v>
      </c>
      <c r="O2823" t="str">
        <f>VLOOKUP(A2823,vlookup_table!$A:$G,3,FALSE)</f>
        <v>NC</v>
      </c>
      <c r="P2823">
        <f>VLOOKUP(A2823,vlookup_table!$A:$G,4,FALSE)</f>
        <v>4001</v>
      </c>
      <c r="Q2823" t="str">
        <f>VLOOKUP(A2823,vlookup_table!$A:$G,5,FALSE)</f>
        <v>T2</v>
      </c>
      <c r="R2823" t="str">
        <f>VLOOKUP(A2823,vlookup_table!$A:$G,6,FALSE)</f>
        <v>F</v>
      </c>
      <c r="S2823">
        <f>VLOOKUP(A2823,vlookup_table!$A:$G,7,FALSE)</f>
        <v>8</v>
      </c>
      <c r="T2823">
        <f t="shared" si="88"/>
        <v>56</v>
      </c>
      <c r="U2823" t="str">
        <f t="shared" si="89"/>
        <v>Pueblo</v>
      </c>
    </row>
    <row r="2824" spans="1:21" ht="16" x14ac:dyDescent="0.4">
      <c r="A2824" s="7">
        <v>181075</v>
      </c>
      <c r="B2824" s="7" t="s">
        <v>37</v>
      </c>
      <c r="C2824" s="7" t="s">
        <v>14</v>
      </c>
      <c r="D2824" s="7">
        <v>1464</v>
      </c>
      <c r="E2824" s="7">
        <v>480</v>
      </c>
      <c r="F2824" s="7">
        <v>544</v>
      </c>
      <c r="G2824" s="7">
        <v>19</v>
      </c>
      <c r="H2824" s="7">
        <v>18525</v>
      </c>
      <c r="I2824" s="7">
        <v>7</v>
      </c>
      <c r="J2824" s="7">
        <v>55</v>
      </c>
      <c r="K2824" s="7">
        <v>474</v>
      </c>
      <c r="L2824" s="7">
        <v>513</v>
      </c>
      <c r="M2824" s="7">
        <v>7</v>
      </c>
      <c r="N2824">
        <f>VLOOKUP(A2824,vlookup_table!$A:$G,2,FALSE)</f>
        <v>0</v>
      </c>
      <c r="O2824" t="str">
        <f>VLOOKUP(A2824,vlookup_table!$A:$G,3,FALSE)</f>
        <v>WA</v>
      </c>
      <c r="P2824">
        <f>VLOOKUP(A2824,vlookup_table!$A:$G,4,FALSE)</f>
        <v>2101</v>
      </c>
      <c r="Q2824" t="str">
        <f>VLOOKUP(A2824,vlookup_table!$A:$G,5,FALSE)</f>
        <v>T1</v>
      </c>
      <c r="R2824" t="str">
        <f>VLOOKUP(A2824,vlookup_table!$A:$G,6,FALSE)</f>
        <v>M</v>
      </c>
      <c r="S2824">
        <f>VLOOKUP(A2824,vlookup_table!$A:$G,7,FALSE)</f>
        <v>10</v>
      </c>
      <c r="T2824">
        <f t="shared" si="88"/>
        <v>75</v>
      </c>
      <c r="U2824" t="str">
        <f t="shared" si="89"/>
        <v>Pueblo</v>
      </c>
    </row>
    <row r="2825" spans="1:21" ht="16" x14ac:dyDescent="0.4">
      <c r="A2825" s="7">
        <v>172863</v>
      </c>
      <c r="B2825" s="7" t="s">
        <v>21</v>
      </c>
      <c r="C2825" s="7" t="s">
        <v>14</v>
      </c>
      <c r="D2825" s="7">
        <v>981</v>
      </c>
      <c r="E2825" s="7">
        <v>379</v>
      </c>
      <c r="F2825" s="7">
        <v>415</v>
      </c>
      <c r="G2825" s="7">
        <v>8</v>
      </c>
      <c r="H2825" s="7">
        <v>13631</v>
      </c>
      <c r="I2825" s="7">
        <v>2</v>
      </c>
      <c r="J2825" s="7">
        <v>69</v>
      </c>
      <c r="K2825" s="7">
        <v>383</v>
      </c>
      <c r="L2825" s="7">
        <v>396</v>
      </c>
      <c r="M2825" s="7">
        <v>6.5</v>
      </c>
      <c r="N2825">
        <f>VLOOKUP(A2825,vlookup_table!$A:$G,2,FALSE)</f>
        <v>1</v>
      </c>
      <c r="O2825" t="str">
        <f>VLOOKUP(A2825,vlookup_table!$A:$G,3,FALSE)</f>
        <v>CA</v>
      </c>
      <c r="P2825">
        <f>VLOOKUP(A2825,vlookup_table!$A:$G,4,FALSE)</f>
        <v>2901</v>
      </c>
      <c r="Q2825" t="str">
        <f>VLOOKUP(A2825,vlookup_table!$A:$G,5,FALSE)</f>
        <v>T2</v>
      </c>
      <c r="R2825" t="str">
        <f>VLOOKUP(A2825,vlookup_table!$A:$G,6,FALSE)</f>
        <v>M</v>
      </c>
      <c r="S2825">
        <f>VLOOKUP(A2825,vlookup_table!$A:$G,7,FALSE)</f>
        <v>9</v>
      </c>
      <c r="T2825">
        <f t="shared" si="88"/>
        <v>67</v>
      </c>
      <c r="U2825" t="str">
        <f t="shared" si="89"/>
        <v>Pueblo</v>
      </c>
    </row>
    <row r="2826" spans="1:21" ht="16" x14ac:dyDescent="0.4">
      <c r="A2826" s="7">
        <v>97691</v>
      </c>
      <c r="B2826" s="7" t="s">
        <v>16</v>
      </c>
      <c r="C2826" s="7" t="s">
        <v>41</v>
      </c>
      <c r="D2826" s="7">
        <v>879</v>
      </c>
      <c r="E2826" s="7">
        <v>464</v>
      </c>
      <c r="F2826" s="7">
        <v>493</v>
      </c>
      <c r="G2826" s="7">
        <v>0</v>
      </c>
      <c r="H2826" s="7">
        <v>15730</v>
      </c>
      <c r="I2826" s="7">
        <v>4</v>
      </c>
      <c r="J2826" s="7">
        <v>36</v>
      </c>
      <c r="K2826" s="7">
        <v>485</v>
      </c>
      <c r="L2826" s="7">
        <v>463</v>
      </c>
      <c r="M2826" s="7">
        <v>9.6666666669999994</v>
      </c>
      <c r="N2826">
        <f>VLOOKUP(A2826,vlookup_table!$A:$G,2,FALSE)</f>
        <v>1002</v>
      </c>
      <c r="O2826" t="str">
        <f>VLOOKUP(A2826,vlookup_table!$A:$G,3,FALSE)</f>
        <v>IL</v>
      </c>
      <c r="P2826">
        <f>VLOOKUP(A2826,vlookup_table!$A:$G,4,FALSE)</f>
        <v>3001</v>
      </c>
      <c r="Q2826" t="str">
        <f>VLOOKUP(A2826,vlookup_table!$A:$G,5,FALSE)</f>
        <v>C1</v>
      </c>
      <c r="R2826" t="str">
        <f>VLOOKUP(A2826,vlookup_table!$A:$G,6,FALSE)</f>
        <v>J</v>
      </c>
      <c r="S2826">
        <f>VLOOKUP(A2826,vlookup_table!$A:$G,7,FALSE)</f>
        <v>16</v>
      </c>
      <c r="T2826">
        <f t="shared" si="88"/>
        <v>66</v>
      </c>
      <c r="U2826" t="str">
        <f t="shared" si="89"/>
        <v>Ciudad</v>
      </c>
    </row>
    <row r="2827" spans="1:21" ht="16" x14ac:dyDescent="0.4">
      <c r="A2827" s="7">
        <v>115166</v>
      </c>
      <c r="B2827" s="7" t="s">
        <v>28</v>
      </c>
      <c r="C2827" s="7" t="s">
        <v>17</v>
      </c>
      <c r="D2827" s="7">
        <v>683</v>
      </c>
      <c r="E2827" s="7">
        <v>371</v>
      </c>
      <c r="F2827" s="7">
        <v>484</v>
      </c>
      <c r="G2827" s="7">
        <v>2</v>
      </c>
      <c r="H2827" s="7">
        <v>17476</v>
      </c>
      <c r="I2827" s="7">
        <v>1</v>
      </c>
      <c r="J2827" s="7">
        <v>59</v>
      </c>
      <c r="K2827" s="7">
        <v>436</v>
      </c>
      <c r="L2827" s="7">
        <v>422</v>
      </c>
      <c r="M2827" s="7">
        <v>6.5714285710000002</v>
      </c>
      <c r="N2827">
        <f>VLOOKUP(A2827,vlookup_table!$A:$G,2,FALSE)</f>
        <v>0</v>
      </c>
      <c r="O2827" t="str">
        <f>VLOOKUP(A2827,vlookup_table!$A:$G,3,FALSE)</f>
        <v>OK</v>
      </c>
      <c r="P2827">
        <f>VLOOKUP(A2827,vlookup_table!$A:$G,4,FALSE)</f>
        <v>0</v>
      </c>
      <c r="Q2827" t="str">
        <f>VLOOKUP(A2827,vlookup_table!$A:$G,5,FALSE)</f>
        <v>T1</v>
      </c>
      <c r="R2827" t="str">
        <f>VLOOKUP(A2827,vlookup_table!$A:$G,6,FALSE)</f>
        <v>F</v>
      </c>
      <c r="S2827">
        <f>VLOOKUP(A2827,vlookup_table!$A:$G,7,FALSE)</f>
        <v>5</v>
      </c>
      <c r="T2827">
        <f t="shared" si="88"/>
        <v>96</v>
      </c>
      <c r="U2827" t="str">
        <f t="shared" si="89"/>
        <v>Pueblo</v>
      </c>
    </row>
    <row r="2828" spans="1:21" ht="16" x14ac:dyDescent="0.4">
      <c r="A2828" s="7">
        <v>88572</v>
      </c>
      <c r="B2828" s="7" t="s">
        <v>16</v>
      </c>
      <c r="C2828" s="7" t="s">
        <v>17</v>
      </c>
      <c r="D2828" s="7">
        <v>1897</v>
      </c>
      <c r="E2828" s="7">
        <v>406</v>
      </c>
      <c r="F2828" s="7">
        <v>664</v>
      </c>
      <c r="G2828" s="7">
        <v>44</v>
      </c>
      <c r="H2828" s="7">
        <v>26951</v>
      </c>
      <c r="I2828" s="7">
        <v>15</v>
      </c>
      <c r="J2828" s="7">
        <v>67</v>
      </c>
      <c r="K2828" s="7">
        <v>519</v>
      </c>
      <c r="L2828" s="7">
        <v>476</v>
      </c>
      <c r="M2828" s="7">
        <v>15</v>
      </c>
      <c r="N2828">
        <f>VLOOKUP(A2828,vlookup_table!$A:$G,2,FALSE)</f>
        <v>0</v>
      </c>
      <c r="O2828" t="str">
        <f>VLOOKUP(A2828,vlookup_table!$A:$G,3,FALSE)</f>
        <v>IL</v>
      </c>
      <c r="P2828">
        <f>VLOOKUP(A2828,vlookup_table!$A:$G,4,FALSE)</f>
        <v>2801</v>
      </c>
      <c r="Q2828" t="str">
        <f>VLOOKUP(A2828,vlookup_table!$A:$G,5,FALSE)</f>
        <v>U1</v>
      </c>
      <c r="R2828" t="str">
        <f>VLOOKUP(A2828,vlookup_table!$A:$G,6,FALSE)</f>
        <v>F</v>
      </c>
      <c r="S2828">
        <f>VLOOKUP(A2828,vlookup_table!$A:$G,7,FALSE)</f>
        <v>15</v>
      </c>
      <c r="T2828">
        <f t="shared" si="88"/>
        <v>68</v>
      </c>
      <c r="U2828" t="str">
        <f t="shared" si="89"/>
        <v>Urbano</v>
      </c>
    </row>
    <row r="2829" spans="1:21" ht="16" x14ac:dyDescent="0.4">
      <c r="A2829" s="7">
        <v>122823</v>
      </c>
      <c r="B2829" s="7" t="s">
        <v>20</v>
      </c>
      <c r="C2829" s="7" t="s">
        <v>17</v>
      </c>
      <c r="D2829" s="7">
        <v>1020</v>
      </c>
      <c r="E2829" s="7">
        <v>523</v>
      </c>
      <c r="F2829" s="7">
        <v>608</v>
      </c>
      <c r="G2829" s="7">
        <v>1</v>
      </c>
      <c r="H2829" s="7">
        <v>19432</v>
      </c>
      <c r="I2829" s="7">
        <v>6</v>
      </c>
      <c r="J2829" s="7">
        <v>50</v>
      </c>
      <c r="K2829" s="7">
        <v>544</v>
      </c>
      <c r="L2829" s="7">
        <v>586</v>
      </c>
      <c r="M2829" s="7">
        <v>21.25</v>
      </c>
      <c r="N2829">
        <f>VLOOKUP(A2829,vlookup_table!$A:$G,2,FALSE)</f>
        <v>0</v>
      </c>
      <c r="O2829" t="str">
        <f>VLOOKUP(A2829,vlookup_table!$A:$G,3,FALSE)</f>
        <v>TX</v>
      </c>
      <c r="P2829">
        <f>VLOOKUP(A2829,vlookup_table!$A:$G,4,FALSE)</f>
        <v>0</v>
      </c>
      <c r="Q2829" t="str">
        <f>VLOOKUP(A2829,vlookup_table!$A:$G,5,FALSE)</f>
        <v>T1</v>
      </c>
      <c r="R2829" t="str">
        <f>VLOOKUP(A2829,vlookup_table!$A:$G,6,FALSE)</f>
        <v>F</v>
      </c>
      <c r="S2829">
        <f>VLOOKUP(A2829,vlookup_table!$A:$G,7,FALSE)</f>
        <v>35</v>
      </c>
      <c r="T2829">
        <f t="shared" si="88"/>
        <v>96</v>
      </c>
      <c r="U2829" t="str">
        <f t="shared" si="89"/>
        <v>Pueblo</v>
      </c>
    </row>
    <row r="2830" spans="1:21" ht="16" x14ac:dyDescent="0.4">
      <c r="A2830" s="7">
        <v>159180</v>
      </c>
      <c r="B2830" s="7" t="s">
        <v>21</v>
      </c>
      <c r="C2830" s="7" t="s">
        <v>14</v>
      </c>
      <c r="D2830" s="7">
        <v>2221</v>
      </c>
      <c r="E2830" s="7">
        <v>540</v>
      </c>
      <c r="F2830" s="7">
        <v>570</v>
      </c>
      <c r="G2830" s="7">
        <v>73</v>
      </c>
      <c r="H2830" s="7">
        <v>16639</v>
      </c>
      <c r="I2830" s="7">
        <v>17</v>
      </c>
      <c r="J2830" s="7">
        <v>44</v>
      </c>
      <c r="K2830" s="7">
        <v>562</v>
      </c>
      <c r="L2830" s="7">
        <v>569</v>
      </c>
      <c r="M2830" s="7">
        <v>8.5714285710000002</v>
      </c>
      <c r="N2830">
        <f>VLOOKUP(A2830,vlookup_table!$A:$G,2,FALSE)</f>
        <v>2</v>
      </c>
      <c r="O2830" t="str">
        <f>VLOOKUP(A2830,vlookup_table!$A:$G,3,FALSE)</f>
        <v>CA</v>
      </c>
      <c r="P2830">
        <f>VLOOKUP(A2830,vlookup_table!$A:$G,4,FALSE)</f>
        <v>5201</v>
      </c>
      <c r="Q2830" t="str">
        <f>VLOOKUP(A2830,vlookup_table!$A:$G,5,FALSE)</f>
        <v>C1</v>
      </c>
      <c r="R2830" t="str">
        <f>VLOOKUP(A2830,vlookup_table!$A:$G,6,FALSE)</f>
        <v>M</v>
      </c>
      <c r="S2830">
        <f>VLOOKUP(A2830,vlookup_table!$A:$G,7,FALSE)</f>
        <v>10</v>
      </c>
      <c r="T2830">
        <f t="shared" si="88"/>
        <v>44</v>
      </c>
      <c r="U2830" t="str">
        <f t="shared" si="89"/>
        <v>Ciudad</v>
      </c>
    </row>
    <row r="2831" spans="1:21" ht="16" x14ac:dyDescent="0.4">
      <c r="A2831" s="7">
        <v>140171</v>
      </c>
      <c r="B2831" s="7" t="s">
        <v>50</v>
      </c>
      <c r="C2831" s="7" t="s">
        <v>14</v>
      </c>
      <c r="D2831" s="7">
        <v>659</v>
      </c>
      <c r="E2831" s="7">
        <v>240</v>
      </c>
      <c r="F2831" s="7">
        <v>326</v>
      </c>
      <c r="G2831" s="7">
        <v>0</v>
      </c>
      <c r="H2831" s="7">
        <v>11242</v>
      </c>
      <c r="I2831" s="7">
        <v>10</v>
      </c>
      <c r="J2831" s="7">
        <v>63</v>
      </c>
      <c r="K2831" s="7">
        <v>280</v>
      </c>
      <c r="L2831" s="7">
        <v>303</v>
      </c>
      <c r="M2831" s="7">
        <v>9.5</v>
      </c>
      <c r="N2831">
        <f>VLOOKUP(A2831,vlookup_table!$A:$G,2,FALSE)</f>
        <v>1</v>
      </c>
      <c r="O2831" t="str">
        <f>VLOOKUP(A2831,vlookup_table!$A:$G,3,FALSE)</f>
        <v>NM</v>
      </c>
      <c r="P2831">
        <f>VLOOKUP(A2831,vlookup_table!$A:$G,4,FALSE)</f>
        <v>2304</v>
      </c>
      <c r="Q2831" t="str">
        <f>VLOOKUP(A2831,vlookup_table!$A:$G,5,FALSE)</f>
        <v>T2</v>
      </c>
      <c r="R2831" t="str">
        <f>VLOOKUP(A2831,vlookup_table!$A:$G,6,FALSE)</f>
        <v>M</v>
      </c>
      <c r="S2831">
        <f>VLOOKUP(A2831,vlookup_table!$A:$G,7,FALSE)</f>
        <v>15</v>
      </c>
      <c r="T2831">
        <f t="shared" si="88"/>
        <v>73</v>
      </c>
      <c r="U2831" t="str">
        <f t="shared" si="89"/>
        <v>Pueblo</v>
      </c>
    </row>
    <row r="2832" spans="1:21" ht="16" x14ac:dyDescent="0.4">
      <c r="A2832" s="7">
        <v>74436</v>
      </c>
      <c r="B2832" s="7" t="s">
        <v>26</v>
      </c>
      <c r="C2832" s="7" t="s">
        <v>14</v>
      </c>
      <c r="D2832" s="7">
        <v>429</v>
      </c>
      <c r="E2832" s="7">
        <v>179</v>
      </c>
      <c r="F2832" s="7">
        <v>316</v>
      </c>
      <c r="G2832" s="7">
        <v>0</v>
      </c>
      <c r="H2832" s="7">
        <v>11722</v>
      </c>
      <c r="I2832" s="7">
        <v>1</v>
      </c>
      <c r="J2832" s="7">
        <v>93</v>
      </c>
      <c r="K2832" s="7">
        <v>282</v>
      </c>
      <c r="L2832" s="7">
        <v>239</v>
      </c>
      <c r="M2832" s="7">
        <v>16</v>
      </c>
      <c r="N2832">
        <f>VLOOKUP(A2832,vlookup_table!$A:$G,2,FALSE)</f>
        <v>1002</v>
      </c>
      <c r="O2832" t="str">
        <f>VLOOKUP(A2832,vlookup_table!$A:$G,3,FALSE)</f>
        <v>MI</v>
      </c>
      <c r="P2832">
        <f>VLOOKUP(A2832,vlookup_table!$A:$G,4,FALSE)</f>
        <v>5701</v>
      </c>
      <c r="Q2832" t="str">
        <f>VLOOKUP(A2832,vlookup_table!$A:$G,5,FALSE)</f>
        <v>R3</v>
      </c>
      <c r="R2832" t="str">
        <f>VLOOKUP(A2832,vlookup_table!$A:$G,6,FALSE)</f>
        <v>M</v>
      </c>
      <c r="S2832">
        <f>VLOOKUP(A2832,vlookup_table!$A:$G,7,FALSE)</f>
        <v>37</v>
      </c>
      <c r="T2832">
        <f t="shared" si="88"/>
        <v>39</v>
      </c>
      <c r="U2832" t="str">
        <f t="shared" si="89"/>
        <v>Rural</v>
      </c>
    </row>
    <row r="2833" spans="1:21" ht="16" x14ac:dyDescent="0.4">
      <c r="A2833" s="7">
        <v>92963</v>
      </c>
      <c r="B2833" s="7" t="s">
        <v>16</v>
      </c>
      <c r="C2833" s="7" t="s">
        <v>14</v>
      </c>
      <c r="D2833" s="7">
        <v>900</v>
      </c>
      <c r="E2833" s="7">
        <v>437</v>
      </c>
      <c r="F2833" s="7">
        <v>1093</v>
      </c>
      <c r="G2833" s="7">
        <v>0</v>
      </c>
      <c r="H2833" s="7">
        <v>64360</v>
      </c>
      <c r="I2833" s="7">
        <v>17</v>
      </c>
      <c r="J2833" s="7">
        <v>42</v>
      </c>
      <c r="K2833" s="7">
        <v>1151</v>
      </c>
      <c r="L2833" s="7">
        <v>643</v>
      </c>
      <c r="M2833" s="7">
        <v>20</v>
      </c>
      <c r="N2833">
        <f>VLOOKUP(A2833,vlookup_table!$A:$G,2,FALSE)</f>
        <v>2</v>
      </c>
      <c r="O2833" t="str">
        <f>VLOOKUP(A2833,vlookup_table!$A:$G,3,FALSE)</f>
        <v>IL</v>
      </c>
      <c r="P2833">
        <f>VLOOKUP(A2833,vlookup_table!$A:$G,4,FALSE)</f>
        <v>0</v>
      </c>
      <c r="Q2833" t="str">
        <f>VLOOKUP(A2833,vlookup_table!$A:$G,5,FALSE)</f>
        <v>U1</v>
      </c>
      <c r="R2833" t="str">
        <f>VLOOKUP(A2833,vlookup_table!$A:$G,6,FALSE)</f>
        <v>M</v>
      </c>
      <c r="S2833">
        <f>VLOOKUP(A2833,vlookup_table!$A:$G,7,FALSE)</f>
        <v>20</v>
      </c>
      <c r="T2833">
        <f t="shared" si="88"/>
        <v>96</v>
      </c>
      <c r="U2833" t="str">
        <f t="shared" si="89"/>
        <v>Urbano</v>
      </c>
    </row>
    <row r="2834" spans="1:21" ht="16" x14ac:dyDescent="0.4">
      <c r="A2834" s="7">
        <v>170907</v>
      </c>
      <c r="B2834" s="7" t="s">
        <v>21</v>
      </c>
      <c r="C2834" s="7" t="s">
        <v>17</v>
      </c>
      <c r="D2834" s="7">
        <v>2225</v>
      </c>
      <c r="E2834" s="7">
        <v>625</v>
      </c>
      <c r="F2834" s="7">
        <v>674</v>
      </c>
      <c r="G2834" s="7">
        <v>70</v>
      </c>
      <c r="H2834" s="7">
        <v>24493</v>
      </c>
      <c r="I2834" s="7">
        <v>8</v>
      </c>
      <c r="J2834" s="7">
        <v>55</v>
      </c>
      <c r="K2834" s="7">
        <v>632</v>
      </c>
      <c r="L2834" s="7">
        <v>662</v>
      </c>
      <c r="M2834" s="7">
        <v>10</v>
      </c>
      <c r="N2834">
        <f>VLOOKUP(A2834,vlookup_table!$A:$G,2,FALSE)</f>
        <v>0</v>
      </c>
      <c r="O2834" t="str">
        <f>VLOOKUP(A2834,vlookup_table!$A:$G,3,FALSE)</f>
        <v>CA</v>
      </c>
      <c r="P2834">
        <f>VLOOKUP(A2834,vlookup_table!$A:$G,4,FALSE)</f>
        <v>6001</v>
      </c>
      <c r="Q2834" t="str">
        <f>VLOOKUP(A2834,vlookup_table!$A:$G,5,FALSE)</f>
        <v>S1</v>
      </c>
      <c r="R2834" t="str">
        <f>VLOOKUP(A2834,vlookup_table!$A:$G,6,FALSE)</f>
        <v>F</v>
      </c>
      <c r="S2834">
        <f>VLOOKUP(A2834,vlookup_table!$A:$G,7,FALSE)</f>
        <v>15</v>
      </c>
      <c r="T2834">
        <f t="shared" si="88"/>
        <v>36</v>
      </c>
      <c r="U2834" t="str">
        <f t="shared" si="89"/>
        <v>Suburbano</v>
      </c>
    </row>
    <row r="2835" spans="1:21" ht="16" x14ac:dyDescent="0.4">
      <c r="A2835" s="7">
        <v>93894</v>
      </c>
      <c r="B2835" s="7" t="s">
        <v>16</v>
      </c>
      <c r="C2835" s="7" t="s">
        <v>17</v>
      </c>
      <c r="D2835" s="7">
        <v>540</v>
      </c>
      <c r="E2835" s="7">
        <v>310</v>
      </c>
      <c r="F2835" s="7">
        <v>399</v>
      </c>
      <c r="G2835" s="7">
        <v>0</v>
      </c>
      <c r="H2835" s="7">
        <v>11230</v>
      </c>
      <c r="I2835" s="7">
        <v>29</v>
      </c>
      <c r="J2835" s="7">
        <v>58</v>
      </c>
      <c r="K2835" s="7">
        <v>332</v>
      </c>
      <c r="L2835" s="7">
        <v>361</v>
      </c>
      <c r="M2835" s="7">
        <v>5.4375</v>
      </c>
      <c r="N2835">
        <f>VLOOKUP(A2835,vlookup_table!$A:$G,2,FALSE)</f>
        <v>2</v>
      </c>
      <c r="O2835" t="str">
        <f>VLOOKUP(A2835,vlookup_table!$A:$G,3,FALSE)</f>
        <v>IL</v>
      </c>
      <c r="P2835">
        <f>VLOOKUP(A2835,vlookup_table!$A:$G,4,FALSE)</f>
        <v>1501</v>
      </c>
      <c r="Q2835" t="str">
        <f>VLOOKUP(A2835,vlookup_table!$A:$G,5,FALSE)</f>
        <v>U3</v>
      </c>
      <c r="R2835" t="str">
        <f>VLOOKUP(A2835,vlookup_table!$A:$G,6,FALSE)</f>
        <v>F</v>
      </c>
      <c r="S2835">
        <f>VLOOKUP(A2835,vlookup_table!$A:$G,7,FALSE)</f>
        <v>11</v>
      </c>
      <c r="T2835">
        <f t="shared" si="88"/>
        <v>81</v>
      </c>
      <c r="U2835" t="str">
        <f t="shared" si="89"/>
        <v>Urbano</v>
      </c>
    </row>
    <row r="2836" spans="1:21" ht="16" x14ac:dyDescent="0.4">
      <c r="A2836" s="7">
        <v>133144</v>
      </c>
      <c r="B2836" s="7" t="s">
        <v>38</v>
      </c>
      <c r="C2836" s="7" t="s">
        <v>14</v>
      </c>
      <c r="D2836" s="7">
        <v>274</v>
      </c>
      <c r="E2836" s="7">
        <v>170</v>
      </c>
      <c r="F2836" s="7">
        <v>232</v>
      </c>
      <c r="G2836" s="7">
        <v>0</v>
      </c>
      <c r="H2836" s="7">
        <v>9658</v>
      </c>
      <c r="I2836" s="7">
        <v>1</v>
      </c>
      <c r="J2836" s="7">
        <v>50</v>
      </c>
      <c r="K2836" s="7">
        <v>186</v>
      </c>
      <c r="L2836" s="7">
        <v>203</v>
      </c>
      <c r="M2836" s="7">
        <v>15.66666667</v>
      </c>
      <c r="N2836">
        <f>VLOOKUP(A2836,vlookup_table!$A:$G,2,FALSE)</f>
        <v>1</v>
      </c>
      <c r="O2836" t="str">
        <f>VLOOKUP(A2836,vlookup_table!$A:$G,3,FALSE)</f>
        <v>ID</v>
      </c>
      <c r="P2836">
        <f>VLOOKUP(A2836,vlookup_table!$A:$G,4,FALSE)</f>
        <v>3001</v>
      </c>
      <c r="Q2836" t="str">
        <f>VLOOKUP(A2836,vlookup_table!$A:$G,5,FALSE)</f>
        <v>R3</v>
      </c>
      <c r="R2836" t="str">
        <f>VLOOKUP(A2836,vlookup_table!$A:$G,6,FALSE)</f>
        <v>M</v>
      </c>
      <c r="S2836">
        <f>VLOOKUP(A2836,vlookup_table!$A:$G,7,FALSE)</f>
        <v>10</v>
      </c>
      <c r="T2836">
        <f t="shared" si="88"/>
        <v>66</v>
      </c>
      <c r="U2836" t="str">
        <f t="shared" si="89"/>
        <v>Rural</v>
      </c>
    </row>
    <row r="2837" spans="1:21" ht="16" x14ac:dyDescent="0.4">
      <c r="A2837" s="7">
        <v>71347</v>
      </c>
      <c r="B2837" s="7" t="s">
        <v>26</v>
      </c>
      <c r="C2837" s="7" t="s">
        <v>17</v>
      </c>
      <c r="D2837" s="7">
        <v>638</v>
      </c>
      <c r="E2837" s="7">
        <v>402</v>
      </c>
      <c r="F2837" s="7">
        <v>437</v>
      </c>
      <c r="G2837" s="7">
        <v>0</v>
      </c>
      <c r="H2837" s="7">
        <v>13264</v>
      </c>
      <c r="I2837" s="7">
        <v>0</v>
      </c>
      <c r="J2837" s="7">
        <v>91</v>
      </c>
      <c r="K2837" s="7">
        <v>418</v>
      </c>
      <c r="L2837" s="7">
        <v>418</v>
      </c>
      <c r="M2837" s="7">
        <v>4.6363636359999996</v>
      </c>
      <c r="N2837">
        <f>VLOOKUP(A2837,vlookup_table!$A:$G,2,FALSE)</f>
        <v>2</v>
      </c>
      <c r="O2837" t="str">
        <f>VLOOKUP(A2837,vlookup_table!$A:$G,3,FALSE)</f>
        <v>MI</v>
      </c>
      <c r="P2837">
        <f>VLOOKUP(A2837,vlookup_table!$A:$G,4,FALSE)</f>
        <v>5101</v>
      </c>
      <c r="Q2837" t="str">
        <f>VLOOKUP(A2837,vlookup_table!$A:$G,5,FALSE)</f>
        <v>R2</v>
      </c>
      <c r="R2837" t="str">
        <f>VLOOKUP(A2837,vlookup_table!$A:$G,6,FALSE)</f>
        <v>F</v>
      </c>
      <c r="S2837">
        <f>VLOOKUP(A2837,vlookup_table!$A:$G,7,FALSE)</f>
        <v>4</v>
      </c>
      <c r="T2837">
        <f t="shared" si="88"/>
        <v>45</v>
      </c>
      <c r="U2837" t="str">
        <f t="shared" si="89"/>
        <v>Rural</v>
      </c>
    </row>
    <row r="2838" spans="1:21" ht="16" x14ac:dyDescent="0.4">
      <c r="A2838" s="7">
        <v>67595</v>
      </c>
      <c r="B2838" s="7" t="s">
        <v>26</v>
      </c>
      <c r="C2838" s="7" t="s">
        <v>17</v>
      </c>
      <c r="D2838" s="7">
        <v>157</v>
      </c>
      <c r="E2838" s="7">
        <v>107</v>
      </c>
      <c r="F2838" s="7">
        <v>213</v>
      </c>
      <c r="G2838" s="7">
        <v>0</v>
      </c>
      <c r="H2838" s="7">
        <v>5912</v>
      </c>
      <c r="I2838" s="7">
        <v>1</v>
      </c>
      <c r="J2838" s="7">
        <v>70</v>
      </c>
      <c r="K2838" s="7">
        <v>150</v>
      </c>
      <c r="L2838" s="7">
        <v>185</v>
      </c>
      <c r="M2838" s="7">
        <v>13.33333333</v>
      </c>
      <c r="N2838">
        <f>VLOOKUP(A2838,vlookup_table!$A:$G,2,FALSE)</f>
        <v>0</v>
      </c>
      <c r="O2838" t="str">
        <f>VLOOKUP(A2838,vlookup_table!$A:$G,3,FALSE)</f>
        <v>MI</v>
      </c>
      <c r="P2838">
        <f>VLOOKUP(A2838,vlookup_table!$A:$G,4,FALSE)</f>
        <v>3508</v>
      </c>
      <c r="Q2838" t="str">
        <f>VLOOKUP(A2838,vlookup_table!$A:$G,5,FALSE)</f>
        <v>U4</v>
      </c>
      <c r="R2838" t="str">
        <f>VLOOKUP(A2838,vlookup_table!$A:$G,6,FALSE)</f>
        <v>F</v>
      </c>
      <c r="S2838">
        <f>VLOOKUP(A2838,vlookup_table!$A:$G,7,FALSE)</f>
        <v>15</v>
      </c>
      <c r="T2838">
        <f t="shared" si="88"/>
        <v>61</v>
      </c>
      <c r="U2838" t="str">
        <f t="shared" si="89"/>
        <v>Urbano</v>
      </c>
    </row>
    <row r="2839" spans="1:21" ht="16" x14ac:dyDescent="0.4">
      <c r="A2839" s="7">
        <v>3550</v>
      </c>
      <c r="B2839" s="7" t="s">
        <v>30</v>
      </c>
      <c r="C2839" s="7" t="s">
        <v>14</v>
      </c>
      <c r="D2839" s="7">
        <v>342</v>
      </c>
      <c r="E2839" s="7">
        <v>243</v>
      </c>
      <c r="F2839" s="7">
        <v>322</v>
      </c>
      <c r="G2839" s="7">
        <v>0</v>
      </c>
      <c r="H2839" s="7">
        <v>10488</v>
      </c>
      <c r="I2839" s="7">
        <v>1</v>
      </c>
      <c r="J2839" s="7">
        <v>87</v>
      </c>
      <c r="K2839" s="7">
        <v>291</v>
      </c>
      <c r="L2839" s="7">
        <v>277</v>
      </c>
      <c r="M2839" s="7">
        <v>11.5</v>
      </c>
      <c r="N2839">
        <f>VLOOKUP(A2839,vlookup_table!$A:$G,2,FALSE)</f>
        <v>1</v>
      </c>
      <c r="O2839" t="str">
        <f>VLOOKUP(A2839,vlookup_table!$A:$G,3,FALSE)</f>
        <v>IN</v>
      </c>
      <c r="P2839">
        <f>VLOOKUP(A2839,vlookup_table!$A:$G,4,FALSE)</f>
        <v>1110</v>
      </c>
      <c r="Q2839" t="str">
        <f>VLOOKUP(A2839,vlookup_table!$A:$G,5,FALSE)</f>
        <v>R2</v>
      </c>
      <c r="R2839" t="str">
        <f>VLOOKUP(A2839,vlookup_table!$A:$G,6,FALSE)</f>
        <v>M</v>
      </c>
      <c r="S2839">
        <f>VLOOKUP(A2839,vlookup_table!$A:$G,7,FALSE)</f>
        <v>10</v>
      </c>
      <c r="T2839">
        <f t="shared" si="88"/>
        <v>85</v>
      </c>
      <c r="U2839" t="str">
        <f t="shared" si="89"/>
        <v>Rural</v>
      </c>
    </row>
    <row r="2840" spans="1:21" ht="16" x14ac:dyDescent="0.4">
      <c r="A2840" s="7">
        <v>141276</v>
      </c>
      <c r="B2840" s="7" t="s">
        <v>23</v>
      </c>
      <c r="C2840" s="7" t="s">
        <v>14</v>
      </c>
      <c r="D2840" s="7">
        <v>714</v>
      </c>
      <c r="E2840" s="7">
        <v>299</v>
      </c>
      <c r="F2840" s="7">
        <v>343</v>
      </c>
      <c r="G2840" s="7">
        <v>0</v>
      </c>
      <c r="H2840" s="7">
        <v>12239</v>
      </c>
      <c r="I2840" s="7">
        <v>9</v>
      </c>
      <c r="J2840" s="7">
        <v>23</v>
      </c>
      <c r="K2840" s="7">
        <v>311</v>
      </c>
      <c r="L2840" s="7">
        <v>333</v>
      </c>
      <c r="M2840" s="7">
        <v>12.07142857</v>
      </c>
      <c r="N2840">
        <f>VLOOKUP(A2840,vlookup_table!$A:$G,2,FALSE)</f>
        <v>1</v>
      </c>
      <c r="O2840" t="str">
        <f>VLOOKUP(A2840,vlookup_table!$A:$G,3,FALSE)</f>
        <v>NV</v>
      </c>
      <c r="P2840">
        <f>VLOOKUP(A2840,vlookup_table!$A:$G,4,FALSE)</f>
        <v>2005</v>
      </c>
      <c r="Q2840" t="str">
        <f>VLOOKUP(A2840,vlookup_table!$A:$G,5,FALSE)</f>
        <v>C3</v>
      </c>
      <c r="R2840" t="str">
        <f>VLOOKUP(A2840,vlookup_table!$A:$G,6,FALSE)</f>
        <v>M</v>
      </c>
      <c r="S2840">
        <f>VLOOKUP(A2840,vlookup_table!$A:$G,7,FALSE)</f>
        <v>6</v>
      </c>
      <c r="T2840">
        <f t="shared" si="88"/>
        <v>76</v>
      </c>
      <c r="U2840" t="str">
        <f t="shared" si="89"/>
        <v>Ciudad</v>
      </c>
    </row>
    <row r="2841" spans="1:21" ht="16" x14ac:dyDescent="0.4">
      <c r="A2841" s="7">
        <v>184255</v>
      </c>
      <c r="B2841" s="7" t="s">
        <v>37</v>
      </c>
      <c r="C2841" s="7" t="s">
        <v>14</v>
      </c>
      <c r="D2841" s="7">
        <v>814</v>
      </c>
      <c r="E2841" s="7">
        <v>470</v>
      </c>
      <c r="F2841" s="7">
        <v>529</v>
      </c>
      <c r="G2841" s="7">
        <v>4</v>
      </c>
      <c r="H2841" s="7">
        <v>17455</v>
      </c>
      <c r="I2841" s="7">
        <v>5</v>
      </c>
      <c r="J2841" s="7">
        <v>58</v>
      </c>
      <c r="K2841" s="7">
        <v>484</v>
      </c>
      <c r="L2841" s="7">
        <v>509</v>
      </c>
      <c r="M2841" s="7">
        <v>16.333333329999999</v>
      </c>
      <c r="N2841">
        <f>VLOOKUP(A2841,vlookup_table!$A:$G,2,FALSE)</f>
        <v>1</v>
      </c>
      <c r="O2841" t="str">
        <f>VLOOKUP(A2841,vlookup_table!$A:$G,3,FALSE)</f>
        <v>WA</v>
      </c>
      <c r="P2841">
        <f>VLOOKUP(A2841,vlookup_table!$A:$G,4,FALSE)</f>
        <v>3210</v>
      </c>
      <c r="Q2841" t="str">
        <f>VLOOKUP(A2841,vlookup_table!$A:$G,5,FALSE)</f>
        <v>T1</v>
      </c>
      <c r="R2841" t="str">
        <f>VLOOKUP(A2841,vlookup_table!$A:$G,6,FALSE)</f>
        <v>M</v>
      </c>
      <c r="S2841">
        <f>VLOOKUP(A2841,vlookup_table!$A:$G,7,FALSE)</f>
        <v>25</v>
      </c>
      <c r="T2841">
        <f t="shared" si="88"/>
        <v>64</v>
      </c>
      <c r="U2841" t="str">
        <f t="shared" si="89"/>
        <v>Pueblo</v>
      </c>
    </row>
    <row r="2842" spans="1:21" ht="16" x14ac:dyDescent="0.4">
      <c r="A2842" s="7">
        <v>181841</v>
      </c>
      <c r="B2842" s="7" t="s">
        <v>20</v>
      </c>
      <c r="C2842" s="7" t="s">
        <v>17</v>
      </c>
      <c r="D2842" s="7">
        <v>652</v>
      </c>
      <c r="E2842" s="7">
        <v>427</v>
      </c>
      <c r="F2842" s="7">
        <v>491</v>
      </c>
      <c r="G2842" s="7">
        <v>0</v>
      </c>
      <c r="H2842" s="7">
        <v>15375</v>
      </c>
      <c r="I2842" s="7">
        <v>13</v>
      </c>
      <c r="J2842" s="7">
        <v>54</v>
      </c>
      <c r="K2842" s="7">
        <v>458</v>
      </c>
      <c r="L2842" s="7">
        <v>467</v>
      </c>
      <c r="M2842" s="7">
        <v>14.15789474</v>
      </c>
      <c r="N2842">
        <f>VLOOKUP(A2842,vlookup_table!$A:$G,2,FALSE)</f>
        <v>28</v>
      </c>
      <c r="O2842" t="str">
        <f>VLOOKUP(A2842,vlookup_table!$A:$G,3,FALSE)</f>
        <v>TX</v>
      </c>
      <c r="P2842">
        <f>VLOOKUP(A2842,vlookup_table!$A:$G,4,FALSE)</f>
        <v>0</v>
      </c>
      <c r="Q2842" t="str">
        <f>VLOOKUP(A2842,vlookup_table!$A:$G,5,FALSE)</f>
        <v>S2</v>
      </c>
      <c r="R2842" t="str">
        <f>VLOOKUP(A2842,vlookup_table!$A:$G,6,FALSE)</f>
        <v>F</v>
      </c>
      <c r="S2842">
        <f>VLOOKUP(A2842,vlookup_table!$A:$G,7,FALSE)</f>
        <v>20</v>
      </c>
      <c r="T2842">
        <f t="shared" si="88"/>
        <v>96</v>
      </c>
      <c r="U2842" t="str">
        <f t="shared" si="89"/>
        <v>Suburbano</v>
      </c>
    </row>
    <row r="2843" spans="1:21" ht="16" x14ac:dyDescent="0.4">
      <c r="A2843" s="7">
        <v>182670</v>
      </c>
      <c r="B2843" s="7" t="s">
        <v>37</v>
      </c>
      <c r="C2843" s="7" t="s">
        <v>14</v>
      </c>
      <c r="D2843" s="7">
        <v>394</v>
      </c>
      <c r="E2843" s="7">
        <v>321</v>
      </c>
      <c r="F2843" s="7">
        <v>420</v>
      </c>
      <c r="G2843" s="7">
        <v>1</v>
      </c>
      <c r="H2843" s="7">
        <v>15348</v>
      </c>
      <c r="I2843" s="7">
        <v>0</v>
      </c>
      <c r="J2843" s="7">
        <v>66</v>
      </c>
      <c r="K2843" s="7">
        <v>367</v>
      </c>
      <c r="L2843" s="7">
        <v>349</v>
      </c>
      <c r="M2843" s="7">
        <v>3.8235294120000001</v>
      </c>
      <c r="N2843">
        <f>VLOOKUP(A2843,vlookup_table!$A:$G,2,FALSE)</f>
        <v>1</v>
      </c>
      <c r="O2843" t="str">
        <f>VLOOKUP(A2843,vlookup_table!$A:$G,3,FALSE)</f>
        <v>WA</v>
      </c>
      <c r="P2843">
        <f>VLOOKUP(A2843,vlookup_table!$A:$G,4,FALSE)</f>
        <v>2304</v>
      </c>
      <c r="Q2843" t="str">
        <f>VLOOKUP(A2843,vlookup_table!$A:$G,5,FALSE)</f>
        <v>R2</v>
      </c>
      <c r="R2843" t="str">
        <f>VLOOKUP(A2843,vlookup_table!$A:$G,6,FALSE)</f>
        <v>M</v>
      </c>
      <c r="S2843">
        <f>VLOOKUP(A2843,vlookup_table!$A:$G,7,FALSE)</f>
        <v>5</v>
      </c>
      <c r="T2843">
        <f t="shared" si="88"/>
        <v>73</v>
      </c>
      <c r="U2843" t="str">
        <f t="shared" si="89"/>
        <v>Rural</v>
      </c>
    </row>
    <row r="2844" spans="1:21" ht="16" x14ac:dyDescent="0.4">
      <c r="A2844" s="7">
        <v>22645</v>
      </c>
      <c r="B2844" s="7" t="s">
        <v>43</v>
      </c>
      <c r="C2844" s="7"/>
      <c r="D2844" s="7">
        <v>416</v>
      </c>
      <c r="E2844" s="7">
        <v>191</v>
      </c>
      <c r="F2844" s="7">
        <v>247</v>
      </c>
      <c r="G2844" s="7">
        <v>0</v>
      </c>
      <c r="H2844" s="7">
        <v>7564</v>
      </c>
      <c r="I2844" s="7">
        <v>1</v>
      </c>
      <c r="J2844" s="7">
        <v>79</v>
      </c>
      <c r="K2844" s="7">
        <v>215</v>
      </c>
      <c r="L2844" s="7">
        <v>228</v>
      </c>
      <c r="M2844" s="7">
        <v>7.2727272730000001</v>
      </c>
      <c r="N2844">
        <f>VLOOKUP(A2844,vlookup_table!$A:$G,2,FALSE)</f>
        <v>2</v>
      </c>
      <c r="O2844" t="str">
        <f>VLOOKUP(A2844,vlookup_table!$A:$G,3,FALSE)</f>
        <v>SC</v>
      </c>
      <c r="P2844">
        <f>VLOOKUP(A2844,vlookup_table!$A:$G,4,FALSE)</f>
        <v>3604</v>
      </c>
      <c r="Q2844" t="str">
        <f>VLOOKUP(A2844,vlookup_table!$A:$G,5,FALSE)</f>
        <v>R2</v>
      </c>
      <c r="R2844" t="str">
        <f>VLOOKUP(A2844,vlookup_table!$A:$G,6,FALSE)</f>
        <v/>
      </c>
      <c r="S2844">
        <f>VLOOKUP(A2844,vlookup_table!$A:$G,7,FALSE)</f>
        <v>8</v>
      </c>
      <c r="T2844">
        <f t="shared" si="88"/>
        <v>60</v>
      </c>
      <c r="U2844" t="str">
        <f t="shared" si="89"/>
        <v>Rural</v>
      </c>
    </row>
    <row r="2845" spans="1:21" ht="16" x14ac:dyDescent="0.4">
      <c r="A2845" s="7">
        <v>141834</v>
      </c>
      <c r="B2845" s="7" t="s">
        <v>23</v>
      </c>
      <c r="C2845" s="7" t="s">
        <v>17</v>
      </c>
      <c r="D2845" s="7">
        <v>984</v>
      </c>
      <c r="E2845" s="7">
        <v>330</v>
      </c>
      <c r="F2845" s="7">
        <v>413</v>
      </c>
      <c r="G2845" s="7">
        <v>5</v>
      </c>
      <c r="H2845" s="7">
        <v>13871</v>
      </c>
      <c r="I2845" s="7">
        <v>5</v>
      </c>
      <c r="J2845" s="7">
        <v>19</v>
      </c>
      <c r="K2845" s="7">
        <v>357</v>
      </c>
      <c r="L2845" s="7">
        <v>375</v>
      </c>
      <c r="M2845" s="7">
        <v>9.5</v>
      </c>
      <c r="N2845">
        <f>VLOOKUP(A2845,vlookup_table!$A:$G,2,FALSE)</f>
        <v>0</v>
      </c>
      <c r="O2845" t="str">
        <f>VLOOKUP(A2845,vlookup_table!$A:$G,3,FALSE)</f>
        <v>NV</v>
      </c>
      <c r="P2845">
        <f>VLOOKUP(A2845,vlookup_table!$A:$G,4,FALSE)</f>
        <v>3001</v>
      </c>
      <c r="Q2845" t="str">
        <f>VLOOKUP(A2845,vlookup_table!$A:$G,5,FALSE)</f>
        <v>R2</v>
      </c>
      <c r="R2845" t="str">
        <f>VLOOKUP(A2845,vlookup_table!$A:$G,6,FALSE)</f>
        <v>F</v>
      </c>
      <c r="S2845">
        <f>VLOOKUP(A2845,vlookup_table!$A:$G,7,FALSE)</f>
        <v>8</v>
      </c>
      <c r="T2845">
        <f t="shared" si="88"/>
        <v>66</v>
      </c>
      <c r="U2845" t="str">
        <f t="shared" si="89"/>
        <v>Rural</v>
      </c>
    </row>
    <row r="2846" spans="1:21" ht="16" x14ac:dyDescent="0.4">
      <c r="A2846" s="7">
        <v>129335</v>
      </c>
      <c r="B2846" s="7" t="s">
        <v>45</v>
      </c>
      <c r="C2846" s="7" t="s">
        <v>14</v>
      </c>
      <c r="D2846" s="7">
        <v>919</v>
      </c>
      <c r="E2846" s="7">
        <v>488</v>
      </c>
      <c r="F2846" s="7">
        <v>529</v>
      </c>
      <c r="G2846" s="7">
        <v>0</v>
      </c>
      <c r="H2846" s="7">
        <v>16273</v>
      </c>
      <c r="I2846" s="7">
        <v>3</v>
      </c>
      <c r="J2846" s="7">
        <v>31</v>
      </c>
      <c r="K2846" s="7">
        <v>494</v>
      </c>
      <c r="L2846" s="7">
        <v>524</v>
      </c>
      <c r="M2846" s="7">
        <v>7.2727272730000001</v>
      </c>
      <c r="N2846">
        <f>VLOOKUP(A2846,vlookup_table!$A:$G,2,FALSE)</f>
        <v>1002</v>
      </c>
      <c r="O2846" t="str">
        <f>VLOOKUP(A2846,vlookup_table!$A:$G,3,FALSE)</f>
        <v>CO</v>
      </c>
      <c r="P2846">
        <f>VLOOKUP(A2846,vlookup_table!$A:$G,4,FALSE)</f>
        <v>5001</v>
      </c>
      <c r="Q2846" t="str">
        <f>VLOOKUP(A2846,vlookup_table!$A:$G,5,FALSE)</f>
        <v>S1</v>
      </c>
      <c r="R2846" t="str">
        <f>VLOOKUP(A2846,vlookup_table!$A:$G,6,FALSE)</f>
        <v>M</v>
      </c>
      <c r="S2846">
        <f>VLOOKUP(A2846,vlookup_table!$A:$G,7,FALSE)</f>
        <v>12</v>
      </c>
      <c r="T2846">
        <f t="shared" si="88"/>
        <v>46</v>
      </c>
      <c r="U2846" t="str">
        <f t="shared" si="89"/>
        <v>Suburbano</v>
      </c>
    </row>
    <row r="2847" spans="1:21" ht="16" x14ac:dyDescent="0.4">
      <c r="A2847" s="7">
        <v>98793</v>
      </c>
      <c r="B2847" s="7" t="s">
        <v>16</v>
      </c>
      <c r="C2847" s="7" t="s">
        <v>14</v>
      </c>
      <c r="D2847" s="7">
        <v>332</v>
      </c>
      <c r="E2847" s="7">
        <v>213</v>
      </c>
      <c r="F2847" s="7">
        <v>300</v>
      </c>
      <c r="G2847" s="7">
        <v>0</v>
      </c>
      <c r="H2847" s="7">
        <v>9892</v>
      </c>
      <c r="I2847" s="7">
        <v>0</v>
      </c>
      <c r="J2847" s="7">
        <v>80</v>
      </c>
      <c r="K2847" s="7">
        <v>246</v>
      </c>
      <c r="L2847" s="7">
        <v>256</v>
      </c>
      <c r="M2847" s="7">
        <v>8.1428571430000005</v>
      </c>
      <c r="N2847">
        <f>VLOOKUP(A2847,vlookup_table!$A:$G,2,FALSE)</f>
        <v>0</v>
      </c>
      <c r="O2847" t="str">
        <f>VLOOKUP(A2847,vlookup_table!$A:$G,3,FALSE)</f>
        <v>IL</v>
      </c>
      <c r="P2847">
        <f>VLOOKUP(A2847,vlookup_table!$A:$G,4,FALSE)</f>
        <v>2801</v>
      </c>
      <c r="Q2847" t="str">
        <f>VLOOKUP(A2847,vlookup_table!$A:$G,5,FALSE)</f>
        <v>R2</v>
      </c>
      <c r="R2847" t="str">
        <f>VLOOKUP(A2847,vlookup_table!$A:$G,6,FALSE)</f>
        <v>M</v>
      </c>
      <c r="S2847">
        <f>VLOOKUP(A2847,vlookup_table!$A:$G,7,FALSE)</f>
        <v>10</v>
      </c>
      <c r="T2847">
        <f t="shared" si="88"/>
        <v>68</v>
      </c>
      <c r="U2847" t="str">
        <f t="shared" si="89"/>
        <v>Rural</v>
      </c>
    </row>
    <row r="2848" spans="1:21" ht="16" x14ac:dyDescent="0.4">
      <c r="A2848" s="7">
        <v>187691</v>
      </c>
      <c r="B2848" s="7" t="s">
        <v>18</v>
      </c>
      <c r="C2848" s="7" t="s">
        <v>97</v>
      </c>
      <c r="D2848" s="7">
        <v>872</v>
      </c>
      <c r="E2848" s="7">
        <v>318</v>
      </c>
      <c r="F2848" s="7">
        <v>417</v>
      </c>
      <c r="G2848" s="7">
        <v>2</v>
      </c>
      <c r="H2848" s="7">
        <v>14570</v>
      </c>
      <c r="I2848" s="7">
        <v>0</v>
      </c>
      <c r="J2848" s="7">
        <v>68</v>
      </c>
      <c r="K2848" s="7">
        <v>394</v>
      </c>
      <c r="L2848" s="7">
        <v>362</v>
      </c>
      <c r="M2848" s="7">
        <v>4.2222222220000001</v>
      </c>
      <c r="N2848">
        <f>VLOOKUP(A2848,vlookup_table!$A:$G,2,FALSE)</f>
        <v>0</v>
      </c>
      <c r="O2848" t="str">
        <f>VLOOKUP(A2848,vlookup_table!$A:$G,3,FALSE)</f>
        <v>NC</v>
      </c>
      <c r="P2848">
        <f>VLOOKUP(A2848,vlookup_table!$A:$G,4,FALSE)</f>
        <v>0</v>
      </c>
      <c r="Q2848" t="str">
        <f>VLOOKUP(A2848,vlookup_table!$A:$G,5,FALSE)</f>
        <v>T2</v>
      </c>
      <c r="R2848" t="str">
        <f>VLOOKUP(A2848,vlookup_table!$A:$G,6,FALSE)</f>
        <v>F</v>
      </c>
      <c r="S2848">
        <f>VLOOKUP(A2848,vlookup_table!$A:$G,7,FALSE)</f>
        <v>10</v>
      </c>
      <c r="T2848">
        <f t="shared" si="88"/>
        <v>96</v>
      </c>
      <c r="U2848" t="str">
        <f t="shared" si="89"/>
        <v>Pueblo</v>
      </c>
    </row>
    <row r="2849" spans="1:21" ht="16" x14ac:dyDescent="0.4">
      <c r="A2849" s="7">
        <v>112495</v>
      </c>
      <c r="B2849" s="7" t="s">
        <v>29</v>
      </c>
      <c r="C2849" s="7" t="s">
        <v>97</v>
      </c>
      <c r="D2849" s="7">
        <v>698</v>
      </c>
      <c r="E2849" s="7">
        <v>287</v>
      </c>
      <c r="F2849" s="7">
        <v>454</v>
      </c>
      <c r="G2849" s="7">
        <v>5</v>
      </c>
      <c r="H2849" s="7">
        <v>17175</v>
      </c>
      <c r="I2849" s="7">
        <v>3</v>
      </c>
      <c r="J2849" s="7">
        <v>56</v>
      </c>
      <c r="K2849" s="7">
        <v>372</v>
      </c>
      <c r="L2849" s="7">
        <v>376</v>
      </c>
      <c r="M2849" s="7">
        <v>6.4</v>
      </c>
      <c r="N2849">
        <f>VLOOKUP(A2849,vlookup_table!$A:$G,2,FALSE)</f>
        <v>0</v>
      </c>
      <c r="O2849" t="str">
        <f>VLOOKUP(A2849,vlookup_table!$A:$G,3,FALSE)</f>
        <v>AR</v>
      </c>
      <c r="P2849">
        <f>VLOOKUP(A2849,vlookup_table!$A:$G,4,FALSE)</f>
        <v>0</v>
      </c>
      <c r="Q2849" t="str">
        <f>VLOOKUP(A2849,vlookup_table!$A:$G,5,FALSE)</f>
        <v>C2</v>
      </c>
      <c r="R2849" t="str">
        <f>VLOOKUP(A2849,vlookup_table!$A:$G,6,FALSE)</f>
        <v>F</v>
      </c>
      <c r="S2849">
        <f>VLOOKUP(A2849,vlookup_table!$A:$G,7,FALSE)</f>
        <v>8</v>
      </c>
      <c r="T2849">
        <f t="shared" si="88"/>
        <v>96</v>
      </c>
      <c r="U2849" t="str">
        <f t="shared" si="89"/>
        <v>Ciudad</v>
      </c>
    </row>
    <row r="2850" spans="1:21" ht="16" x14ac:dyDescent="0.4">
      <c r="A2850" s="7">
        <v>129408</v>
      </c>
      <c r="B2850" s="7" t="s">
        <v>45</v>
      </c>
      <c r="C2850" s="7" t="s">
        <v>14</v>
      </c>
      <c r="D2850" s="7">
        <v>818</v>
      </c>
      <c r="E2850" s="7">
        <v>405</v>
      </c>
      <c r="F2850" s="7">
        <v>438</v>
      </c>
      <c r="G2850" s="7">
        <v>0</v>
      </c>
      <c r="H2850" s="7">
        <v>13951</v>
      </c>
      <c r="I2850" s="7">
        <v>1</v>
      </c>
      <c r="J2850" s="7">
        <v>55</v>
      </c>
      <c r="K2850" s="7">
        <v>425</v>
      </c>
      <c r="L2850" s="7">
        <v>426</v>
      </c>
      <c r="M2850" s="7">
        <v>27.285714290000001</v>
      </c>
      <c r="N2850">
        <f>VLOOKUP(A2850,vlookup_table!$A:$G,2,FALSE)</f>
        <v>2</v>
      </c>
      <c r="O2850" t="str">
        <f>VLOOKUP(A2850,vlookup_table!$A:$G,3,FALSE)</f>
        <v>CO</v>
      </c>
      <c r="P2850">
        <f>VLOOKUP(A2850,vlookup_table!$A:$G,4,FALSE)</f>
        <v>5110</v>
      </c>
      <c r="Q2850" t="str">
        <f>VLOOKUP(A2850,vlookup_table!$A:$G,5,FALSE)</f>
        <v>S2</v>
      </c>
      <c r="R2850" t="str">
        <f>VLOOKUP(A2850,vlookup_table!$A:$G,6,FALSE)</f>
        <v>M</v>
      </c>
      <c r="S2850">
        <f>VLOOKUP(A2850,vlookup_table!$A:$G,7,FALSE)</f>
        <v>45</v>
      </c>
      <c r="T2850">
        <f t="shared" si="88"/>
        <v>45</v>
      </c>
      <c r="U2850" t="str">
        <f t="shared" si="89"/>
        <v>Suburbano</v>
      </c>
    </row>
    <row r="2851" spans="1:21" ht="16" x14ac:dyDescent="0.4">
      <c r="A2851" s="7">
        <v>76316</v>
      </c>
      <c r="B2851" s="7" t="s">
        <v>44</v>
      </c>
      <c r="C2851" s="7" t="s">
        <v>14</v>
      </c>
      <c r="D2851" s="7">
        <v>443</v>
      </c>
      <c r="E2851" s="7">
        <v>261</v>
      </c>
      <c r="F2851" s="7">
        <v>335</v>
      </c>
      <c r="G2851" s="7">
        <v>0</v>
      </c>
      <c r="H2851" s="7">
        <v>11545</v>
      </c>
      <c r="I2851" s="7">
        <v>1</v>
      </c>
      <c r="J2851" s="7">
        <v>79</v>
      </c>
      <c r="K2851" s="7">
        <v>309</v>
      </c>
      <c r="L2851" s="7">
        <v>292</v>
      </c>
      <c r="M2851" s="7">
        <v>9.8000000000000007</v>
      </c>
      <c r="N2851">
        <f>VLOOKUP(A2851,vlookup_table!$A:$G,2,FALSE)</f>
        <v>1002</v>
      </c>
      <c r="O2851" t="str">
        <f>VLOOKUP(A2851,vlookup_table!$A:$G,3,FALSE)</f>
        <v>IA</v>
      </c>
      <c r="P2851">
        <f>VLOOKUP(A2851,vlookup_table!$A:$G,4,FALSE)</f>
        <v>0</v>
      </c>
      <c r="Q2851" t="str">
        <f>VLOOKUP(A2851,vlookup_table!$A:$G,5,FALSE)</f>
        <v>R2</v>
      </c>
      <c r="R2851" t="str">
        <f>VLOOKUP(A2851,vlookup_table!$A:$G,6,FALSE)</f>
        <v>M</v>
      </c>
      <c r="S2851">
        <f>VLOOKUP(A2851,vlookup_table!$A:$G,7,FALSE)</f>
        <v>13</v>
      </c>
      <c r="T2851">
        <f t="shared" si="88"/>
        <v>96</v>
      </c>
      <c r="U2851" t="str">
        <f t="shared" si="89"/>
        <v>Rural</v>
      </c>
    </row>
    <row r="2852" spans="1:21" ht="16" x14ac:dyDescent="0.4">
      <c r="A2852" s="7">
        <v>23957</v>
      </c>
      <c r="B2852" s="7" t="s">
        <v>43</v>
      </c>
      <c r="C2852" s="7" t="s">
        <v>17</v>
      </c>
      <c r="D2852" s="7">
        <v>441</v>
      </c>
      <c r="E2852" s="7">
        <v>246</v>
      </c>
      <c r="F2852" s="7">
        <v>289</v>
      </c>
      <c r="G2852" s="7">
        <v>0</v>
      </c>
      <c r="H2852" s="7">
        <v>8328</v>
      </c>
      <c r="I2852" s="7">
        <v>0</v>
      </c>
      <c r="J2852" s="7">
        <v>73</v>
      </c>
      <c r="K2852" s="7">
        <v>268</v>
      </c>
      <c r="L2852" s="7">
        <v>261</v>
      </c>
      <c r="M2852" s="7">
        <v>7.1818181819999998</v>
      </c>
      <c r="N2852">
        <f>VLOOKUP(A2852,vlookup_table!$A:$G,2,FALSE)</f>
        <v>2</v>
      </c>
      <c r="O2852" t="str">
        <f>VLOOKUP(A2852,vlookup_table!$A:$G,3,FALSE)</f>
        <v>SC</v>
      </c>
      <c r="P2852">
        <f>VLOOKUP(A2852,vlookup_table!$A:$G,4,FALSE)</f>
        <v>3701</v>
      </c>
      <c r="Q2852" t="str">
        <f>VLOOKUP(A2852,vlookup_table!$A:$G,5,FALSE)</f>
        <v>T2</v>
      </c>
      <c r="R2852" t="str">
        <f>VLOOKUP(A2852,vlookup_table!$A:$G,6,FALSE)</f>
        <v>F</v>
      </c>
      <c r="S2852">
        <f>VLOOKUP(A2852,vlookup_table!$A:$G,7,FALSE)</f>
        <v>8</v>
      </c>
      <c r="T2852">
        <f t="shared" si="88"/>
        <v>59</v>
      </c>
      <c r="U2852" t="str">
        <f t="shared" si="89"/>
        <v>Pueblo</v>
      </c>
    </row>
    <row r="2853" spans="1:21" ht="16" x14ac:dyDescent="0.4">
      <c r="A2853" s="7">
        <v>62704</v>
      </c>
      <c r="B2853" s="7" t="s">
        <v>30</v>
      </c>
      <c r="C2853" s="7" t="s">
        <v>14</v>
      </c>
      <c r="D2853" s="7">
        <v>416</v>
      </c>
      <c r="E2853" s="7">
        <v>312</v>
      </c>
      <c r="F2853" s="7">
        <v>333</v>
      </c>
      <c r="G2853" s="7">
        <v>1</v>
      </c>
      <c r="H2853" s="7">
        <v>11719</v>
      </c>
      <c r="I2853" s="7">
        <v>0</v>
      </c>
      <c r="J2853" s="7">
        <v>76</v>
      </c>
      <c r="K2853" s="7">
        <v>317</v>
      </c>
      <c r="L2853" s="7">
        <v>328</v>
      </c>
      <c r="M2853" s="7">
        <v>10.199999999999999</v>
      </c>
      <c r="N2853">
        <f>VLOOKUP(A2853,vlookup_table!$A:$G,2,FALSE)</f>
        <v>1</v>
      </c>
      <c r="O2853" t="str">
        <f>VLOOKUP(A2853,vlookup_table!$A:$G,3,FALSE)</f>
        <v>IN</v>
      </c>
      <c r="P2853">
        <f>VLOOKUP(A2853,vlookup_table!$A:$G,4,FALSE)</f>
        <v>4501</v>
      </c>
      <c r="Q2853" t="str">
        <f>VLOOKUP(A2853,vlookup_table!$A:$G,5,FALSE)</f>
        <v>T2</v>
      </c>
      <c r="R2853" t="str">
        <f>VLOOKUP(A2853,vlookup_table!$A:$G,6,FALSE)</f>
        <v>M</v>
      </c>
      <c r="S2853">
        <f>VLOOKUP(A2853,vlookup_table!$A:$G,7,FALSE)</f>
        <v>12</v>
      </c>
      <c r="T2853">
        <f t="shared" si="88"/>
        <v>51</v>
      </c>
      <c r="U2853" t="str">
        <f t="shared" si="89"/>
        <v>Pueblo</v>
      </c>
    </row>
    <row r="2854" spans="1:21" ht="16" x14ac:dyDescent="0.4">
      <c r="A2854" s="7">
        <v>42176</v>
      </c>
      <c r="B2854" s="7" t="s">
        <v>13</v>
      </c>
      <c r="C2854" s="7" t="s">
        <v>17</v>
      </c>
      <c r="D2854" s="7">
        <v>759</v>
      </c>
      <c r="E2854" s="7">
        <v>299</v>
      </c>
      <c r="F2854" s="7">
        <v>386</v>
      </c>
      <c r="G2854" s="7">
        <v>6</v>
      </c>
      <c r="H2854" s="7">
        <v>15734</v>
      </c>
      <c r="I2854" s="7">
        <v>2</v>
      </c>
      <c r="J2854" s="7">
        <v>25</v>
      </c>
      <c r="K2854" s="7">
        <v>332</v>
      </c>
      <c r="L2854" s="7">
        <v>332</v>
      </c>
      <c r="M2854" s="7">
        <v>6.1</v>
      </c>
      <c r="N2854">
        <f>VLOOKUP(A2854,vlookup_table!$A:$G,2,FALSE)</f>
        <v>2</v>
      </c>
      <c r="O2854" t="str">
        <f>VLOOKUP(A2854,vlookup_table!$A:$G,3,FALSE)</f>
        <v>FL</v>
      </c>
      <c r="P2854">
        <f>VLOOKUP(A2854,vlookup_table!$A:$G,4,FALSE)</f>
        <v>1410</v>
      </c>
      <c r="Q2854" t="str">
        <f>VLOOKUP(A2854,vlookup_table!$A:$G,5,FALSE)</f>
        <v>C2</v>
      </c>
      <c r="R2854" t="str">
        <f>VLOOKUP(A2854,vlookup_table!$A:$G,6,FALSE)</f>
        <v>F</v>
      </c>
      <c r="S2854">
        <f>VLOOKUP(A2854,vlookup_table!$A:$G,7,FALSE)</f>
        <v>10</v>
      </c>
      <c r="T2854">
        <f t="shared" si="88"/>
        <v>82</v>
      </c>
      <c r="U2854" t="str">
        <f t="shared" si="89"/>
        <v>Ciudad</v>
      </c>
    </row>
    <row r="2855" spans="1:21" ht="16" x14ac:dyDescent="0.4">
      <c r="A2855" s="7">
        <v>172888</v>
      </c>
      <c r="B2855" s="7" t="s">
        <v>21</v>
      </c>
      <c r="C2855" s="7" t="s">
        <v>17</v>
      </c>
      <c r="D2855" s="7">
        <v>988</v>
      </c>
      <c r="E2855" s="7">
        <v>160</v>
      </c>
      <c r="F2855" s="7">
        <v>244</v>
      </c>
      <c r="G2855" s="7">
        <v>8</v>
      </c>
      <c r="H2855" s="7">
        <v>8591</v>
      </c>
      <c r="I2855" s="7">
        <v>0</v>
      </c>
      <c r="J2855" s="7">
        <v>61</v>
      </c>
      <c r="K2855" s="7">
        <v>164</v>
      </c>
      <c r="L2855" s="7">
        <v>223</v>
      </c>
      <c r="M2855" s="7">
        <v>15</v>
      </c>
      <c r="N2855">
        <f>VLOOKUP(A2855,vlookup_table!$A:$G,2,FALSE)</f>
        <v>0</v>
      </c>
      <c r="O2855" t="str">
        <f>VLOOKUP(A2855,vlookup_table!$A:$G,3,FALSE)</f>
        <v>CA</v>
      </c>
      <c r="P2855">
        <f>VLOOKUP(A2855,vlookup_table!$A:$G,4,FALSE)</f>
        <v>0</v>
      </c>
      <c r="Q2855" t="str">
        <f>VLOOKUP(A2855,vlookup_table!$A:$G,5,FALSE)</f>
        <v>T2</v>
      </c>
      <c r="R2855" t="str">
        <f>VLOOKUP(A2855,vlookup_table!$A:$G,6,FALSE)</f>
        <v>F</v>
      </c>
      <c r="S2855">
        <f>VLOOKUP(A2855,vlookup_table!$A:$G,7,FALSE)</f>
        <v>15</v>
      </c>
      <c r="T2855">
        <f t="shared" si="88"/>
        <v>96</v>
      </c>
      <c r="U2855" t="str">
        <f t="shared" si="89"/>
        <v>Pueblo</v>
      </c>
    </row>
    <row r="2856" spans="1:21" ht="16" x14ac:dyDescent="0.4">
      <c r="A2856" s="7">
        <v>137015</v>
      </c>
      <c r="B2856" s="7" t="s">
        <v>51</v>
      </c>
      <c r="C2856" s="7" t="s">
        <v>97</v>
      </c>
      <c r="D2856" s="7">
        <v>701</v>
      </c>
      <c r="E2856" s="7">
        <v>190</v>
      </c>
      <c r="F2856" s="7">
        <v>246</v>
      </c>
      <c r="G2856" s="7">
        <v>1</v>
      </c>
      <c r="H2856" s="7">
        <v>9630</v>
      </c>
      <c r="I2856" s="7">
        <v>3</v>
      </c>
      <c r="J2856" s="7">
        <v>27</v>
      </c>
      <c r="K2856" s="7">
        <v>220</v>
      </c>
      <c r="L2856" s="7">
        <v>217</v>
      </c>
      <c r="M2856" s="7">
        <v>6.9</v>
      </c>
      <c r="N2856">
        <f>VLOOKUP(A2856,vlookup_table!$A:$G,2,FALSE)</f>
        <v>0</v>
      </c>
      <c r="O2856" t="str">
        <f>VLOOKUP(A2856,vlookup_table!$A:$G,3,FALSE)</f>
        <v>AZ</v>
      </c>
      <c r="P2856">
        <f>VLOOKUP(A2856,vlookup_table!$A:$G,4,FALSE)</f>
        <v>2601</v>
      </c>
      <c r="Q2856" t="str">
        <f>VLOOKUP(A2856,vlookup_table!$A:$G,5,FALSE)</f>
        <v>R3</v>
      </c>
      <c r="R2856" t="str">
        <f>VLOOKUP(A2856,vlookup_table!$A:$G,6,FALSE)</f>
        <v>F</v>
      </c>
      <c r="S2856">
        <f>VLOOKUP(A2856,vlookup_table!$A:$G,7,FALSE)</f>
        <v>10</v>
      </c>
      <c r="T2856">
        <f t="shared" si="88"/>
        <v>70</v>
      </c>
      <c r="U2856" t="str">
        <f t="shared" si="89"/>
        <v>Rural</v>
      </c>
    </row>
    <row r="2857" spans="1:21" ht="16" x14ac:dyDescent="0.4">
      <c r="A2857" s="7">
        <v>31461</v>
      </c>
      <c r="B2857" s="7" t="s">
        <v>36</v>
      </c>
      <c r="C2857" s="7" t="s">
        <v>17</v>
      </c>
      <c r="D2857" s="7">
        <v>752</v>
      </c>
      <c r="E2857" s="7">
        <v>278</v>
      </c>
      <c r="F2857" s="7">
        <v>408</v>
      </c>
      <c r="G2857" s="7">
        <v>6</v>
      </c>
      <c r="H2857" s="7">
        <v>14900</v>
      </c>
      <c r="I2857" s="7">
        <v>2</v>
      </c>
      <c r="J2857" s="7">
        <v>58</v>
      </c>
      <c r="K2857" s="7">
        <v>332</v>
      </c>
      <c r="L2857" s="7">
        <v>353</v>
      </c>
      <c r="M2857" s="7">
        <v>17.529411769999999</v>
      </c>
      <c r="N2857">
        <f>VLOOKUP(A2857,vlookup_table!$A:$G,2,FALSE)</f>
        <v>2</v>
      </c>
      <c r="O2857" t="str">
        <f>VLOOKUP(A2857,vlookup_table!$A:$G,3,FALSE)</f>
        <v>GA</v>
      </c>
      <c r="P2857">
        <f>VLOOKUP(A2857,vlookup_table!$A:$G,4,FALSE)</f>
        <v>5601</v>
      </c>
      <c r="Q2857" t="str">
        <f>VLOOKUP(A2857,vlookup_table!$A:$G,5,FALSE)</f>
        <v>R2</v>
      </c>
      <c r="R2857" t="str">
        <f>VLOOKUP(A2857,vlookup_table!$A:$G,6,FALSE)</f>
        <v>F</v>
      </c>
      <c r="S2857">
        <f>VLOOKUP(A2857,vlookup_table!$A:$G,7,FALSE)</f>
        <v>26</v>
      </c>
      <c r="T2857">
        <f t="shared" si="88"/>
        <v>40</v>
      </c>
      <c r="U2857" t="str">
        <f t="shared" si="89"/>
        <v>Rural</v>
      </c>
    </row>
    <row r="2858" spans="1:21" ht="16" x14ac:dyDescent="0.4">
      <c r="A2858" s="7">
        <v>39438</v>
      </c>
      <c r="B2858" s="7" t="s">
        <v>13</v>
      </c>
      <c r="C2858" s="7" t="s">
        <v>17</v>
      </c>
      <c r="D2858" s="7">
        <v>1344</v>
      </c>
      <c r="E2858" s="7">
        <v>458</v>
      </c>
      <c r="F2858" s="7">
        <v>671</v>
      </c>
      <c r="G2858" s="7">
        <v>31</v>
      </c>
      <c r="H2858" s="7">
        <v>44193</v>
      </c>
      <c r="I2858" s="7">
        <v>28</v>
      </c>
      <c r="J2858" s="7">
        <v>25</v>
      </c>
      <c r="K2858" s="7">
        <v>490</v>
      </c>
      <c r="L2858" s="7">
        <v>595</v>
      </c>
      <c r="M2858" s="7">
        <v>4.1428571429999996</v>
      </c>
      <c r="N2858">
        <f>VLOOKUP(A2858,vlookup_table!$A:$G,2,FALSE)</f>
        <v>2</v>
      </c>
      <c r="O2858" t="str">
        <f>VLOOKUP(A2858,vlookup_table!$A:$G,3,FALSE)</f>
        <v>FL</v>
      </c>
      <c r="P2858">
        <f>VLOOKUP(A2858,vlookup_table!$A:$G,4,FALSE)</f>
        <v>2401</v>
      </c>
      <c r="Q2858" t="str">
        <f>VLOOKUP(A2858,vlookup_table!$A:$G,5,FALSE)</f>
        <v>C1</v>
      </c>
      <c r="R2858" t="str">
        <f>VLOOKUP(A2858,vlookup_table!$A:$G,6,FALSE)</f>
        <v>F</v>
      </c>
      <c r="S2858">
        <f>VLOOKUP(A2858,vlookup_table!$A:$G,7,FALSE)</f>
        <v>4</v>
      </c>
      <c r="T2858">
        <f t="shared" si="88"/>
        <v>72</v>
      </c>
      <c r="U2858" t="str">
        <f t="shared" si="89"/>
        <v>Ciudad</v>
      </c>
    </row>
    <row r="2859" spans="1:21" ht="16" x14ac:dyDescent="0.4">
      <c r="A2859" s="7">
        <v>143518</v>
      </c>
      <c r="B2859" s="7" t="s">
        <v>21</v>
      </c>
      <c r="C2859" s="7" t="s">
        <v>14</v>
      </c>
      <c r="D2859" s="7">
        <v>3645</v>
      </c>
      <c r="E2859" s="7">
        <v>336</v>
      </c>
      <c r="F2859" s="7">
        <v>491</v>
      </c>
      <c r="G2859" s="7">
        <v>88</v>
      </c>
      <c r="H2859" s="7">
        <v>27066</v>
      </c>
      <c r="I2859" s="7">
        <v>32</v>
      </c>
      <c r="J2859" s="7">
        <v>22</v>
      </c>
      <c r="K2859" s="7">
        <v>414</v>
      </c>
      <c r="L2859" s="7">
        <v>428</v>
      </c>
      <c r="M2859" s="7">
        <v>12.625</v>
      </c>
      <c r="N2859">
        <f>VLOOKUP(A2859,vlookup_table!$A:$G,2,FALSE)</f>
        <v>1</v>
      </c>
      <c r="O2859" t="str">
        <f>VLOOKUP(A2859,vlookup_table!$A:$G,3,FALSE)</f>
        <v>CA</v>
      </c>
      <c r="P2859">
        <f>VLOOKUP(A2859,vlookup_table!$A:$G,4,FALSE)</f>
        <v>3411</v>
      </c>
      <c r="Q2859" t="str">
        <f>VLOOKUP(A2859,vlookup_table!$A:$G,5,FALSE)</f>
        <v>U1</v>
      </c>
      <c r="R2859" t="str">
        <f>VLOOKUP(A2859,vlookup_table!$A:$G,6,FALSE)</f>
        <v>M</v>
      </c>
      <c r="S2859">
        <f>VLOOKUP(A2859,vlookup_table!$A:$G,7,FALSE)</f>
        <v>17</v>
      </c>
      <c r="T2859">
        <f t="shared" si="88"/>
        <v>62</v>
      </c>
      <c r="U2859" t="str">
        <f t="shared" si="89"/>
        <v>Urbano</v>
      </c>
    </row>
    <row r="2860" spans="1:21" ht="16" x14ac:dyDescent="0.4">
      <c r="A2860" s="7">
        <v>23412</v>
      </c>
      <c r="B2860" s="7" t="s">
        <v>43</v>
      </c>
      <c r="C2860" s="7" t="s">
        <v>14</v>
      </c>
      <c r="D2860" s="7">
        <v>237</v>
      </c>
      <c r="E2860" s="7">
        <v>236</v>
      </c>
      <c r="F2860" s="7">
        <v>308</v>
      </c>
      <c r="G2860" s="7">
        <v>0</v>
      </c>
      <c r="H2860" s="7">
        <v>9638</v>
      </c>
      <c r="I2860" s="7">
        <v>2</v>
      </c>
      <c r="J2860" s="7">
        <v>81</v>
      </c>
      <c r="K2860" s="7">
        <v>323</v>
      </c>
      <c r="L2860" s="7">
        <v>251</v>
      </c>
      <c r="M2860" s="7">
        <v>11</v>
      </c>
      <c r="N2860">
        <f>VLOOKUP(A2860,vlookup_table!$A:$G,2,FALSE)</f>
        <v>1</v>
      </c>
      <c r="O2860" t="str">
        <f>VLOOKUP(A2860,vlookup_table!$A:$G,3,FALSE)</f>
        <v>SC</v>
      </c>
      <c r="P2860">
        <f>VLOOKUP(A2860,vlookup_table!$A:$G,4,FALSE)</f>
        <v>5201</v>
      </c>
      <c r="Q2860" t="str">
        <f>VLOOKUP(A2860,vlookup_table!$A:$G,5,FALSE)</f>
        <v>R2</v>
      </c>
      <c r="R2860" t="str">
        <f>VLOOKUP(A2860,vlookup_table!$A:$G,6,FALSE)</f>
        <v>M</v>
      </c>
      <c r="S2860">
        <f>VLOOKUP(A2860,vlookup_table!$A:$G,7,FALSE)</f>
        <v>19</v>
      </c>
      <c r="T2860">
        <f t="shared" si="88"/>
        <v>44</v>
      </c>
      <c r="U2860" t="str">
        <f t="shared" si="89"/>
        <v>Rural</v>
      </c>
    </row>
    <row r="2861" spans="1:21" ht="16" x14ac:dyDescent="0.4">
      <c r="A2861" s="7">
        <v>46552</v>
      </c>
      <c r="B2861" s="7" t="s">
        <v>13</v>
      </c>
      <c r="C2861" s="7" t="s">
        <v>17</v>
      </c>
      <c r="D2861" s="7">
        <v>1930</v>
      </c>
      <c r="E2861" s="7">
        <v>462</v>
      </c>
      <c r="F2861" s="7">
        <v>648</v>
      </c>
      <c r="G2861" s="7">
        <v>49</v>
      </c>
      <c r="H2861" s="7">
        <v>31606</v>
      </c>
      <c r="I2861" s="7">
        <v>3</v>
      </c>
      <c r="J2861" s="7">
        <v>23</v>
      </c>
      <c r="K2861" s="7">
        <v>520</v>
      </c>
      <c r="L2861" s="7">
        <v>581</v>
      </c>
      <c r="M2861" s="7">
        <v>10.33333333</v>
      </c>
      <c r="N2861">
        <f>VLOOKUP(A2861,vlookup_table!$A:$G,2,FALSE)</f>
        <v>0</v>
      </c>
      <c r="O2861" t="str">
        <f>VLOOKUP(A2861,vlookup_table!$A:$G,3,FALSE)</f>
        <v>FL</v>
      </c>
      <c r="P2861">
        <f>VLOOKUP(A2861,vlookup_table!$A:$G,4,FALSE)</f>
        <v>0</v>
      </c>
      <c r="Q2861" t="str">
        <f>VLOOKUP(A2861,vlookup_table!$A:$G,5,FALSE)</f>
        <v>T1</v>
      </c>
      <c r="R2861" t="str">
        <f>VLOOKUP(A2861,vlookup_table!$A:$G,6,FALSE)</f>
        <v>F</v>
      </c>
      <c r="S2861">
        <f>VLOOKUP(A2861,vlookup_table!$A:$G,7,FALSE)</f>
        <v>20</v>
      </c>
      <c r="T2861">
        <f t="shared" si="88"/>
        <v>96</v>
      </c>
      <c r="U2861" t="str">
        <f t="shared" si="89"/>
        <v>Pueblo</v>
      </c>
    </row>
    <row r="2862" spans="1:21" ht="16" x14ac:dyDescent="0.4">
      <c r="A2862" s="7">
        <v>67422</v>
      </c>
      <c r="B2862" s="7" t="s">
        <v>26</v>
      </c>
      <c r="C2862" s="7" t="s">
        <v>17</v>
      </c>
      <c r="D2862" s="7">
        <v>475</v>
      </c>
      <c r="E2862" s="7">
        <v>358</v>
      </c>
      <c r="F2862" s="7">
        <v>407</v>
      </c>
      <c r="G2862" s="7">
        <v>0</v>
      </c>
      <c r="H2862" s="7">
        <v>13136</v>
      </c>
      <c r="I2862" s="7">
        <v>2</v>
      </c>
      <c r="J2862" s="7">
        <v>85</v>
      </c>
      <c r="K2862" s="7">
        <v>384</v>
      </c>
      <c r="L2862" s="7">
        <v>376</v>
      </c>
      <c r="M2862" s="7">
        <v>25</v>
      </c>
      <c r="N2862">
        <f>VLOOKUP(A2862,vlookup_table!$A:$G,2,FALSE)</f>
        <v>0</v>
      </c>
      <c r="O2862" t="str">
        <f>VLOOKUP(A2862,vlookup_table!$A:$G,3,FALSE)</f>
        <v>MI</v>
      </c>
      <c r="P2862">
        <f>VLOOKUP(A2862,vlookup_table!$A:$G,4,FALSE)</f>
        <v>2101</v>
      </c>
      <c r="Q2862" t="str">
        <f>VLOOKUP(A2862,vlookup_table!$A:$G,5,FALSE)</f>
        <v>U3</v>
      </c>
      <c r="R2862" t="str">
        <f>VLOOKUP(A2862,vlookup_table!$A:$G,6,FALSE)</f>
        <v>F</v>
      </c>
      <c r="S2862">
        <f>VLOOKUP(A2862,vlookup_table!$A:$G,7,FALSE)</f>
        <v>30</v>
      </c>
      <c r="T2862">
        <f t="shared" si="88"/>
        <v>75</v>
      </c>
      <c r="U2862" t="str">
        <f t="shared" si="89"/>
        <v>Urbano</v>
      </c>
    </row>
    <row r="2863" spans="1:21" ht="16" x14ac:dyDescent="0.4">
      <c r="A2863" s="7">
        <v>140294</v>
      </c>
      <c r="B2863" s="7" t="s">
        <v>50</v>
      </c>
      <c r="C2863" s="7"/>
      <c r="D2863" s="7">
        <v>697</v>
      </c>
      <c r="E2863" s="7">
        <v>197</v>
      </c>
      <c r="F2863" s="7">
        <v>254</v>
      </c>
      <c r="G2863" s="7">
        <v>2</v>
      </c>
      <c r="H2863" s="7">
        <v>7659</v>
      </c>
      <c r="I2863" s="7">
        <v>12</v>
      </c>
      <c r="J2863" s="7">
        <v>51</v>
      </c>
      <c r="K2863" s="7">
        <v>208</v>
      </c>
      <c r="L2863" s="7">
        <v>244</v>
      </c>
      <c r="M2863" s="7">
        <v>9.6666666669999994</v>
      </c>
      <c r="N2863">
        <f>VLOOKUP(A2863,vlookup_table!$A:$G,2,FALSE)</f>
        <v>0</v>
      </c>
      <c r="O2863" t="str">
        <f>VLOOKUP(A2863,vlookup_table!$A:$G,3,FALSE)</f>
        <v>NM</v>
      </c>
      <c r="P2863">
        <f>VLOOKUP(A2863,vlookup_table!$A:$G,4,FALSE)</f>
        <v>0</v>
      </c>
      <c r="Q2863" t="str">
        <f>VLOOKUP(A2863,vlookup_table!$A:$G,5,FALSE)</f>
        <v/>
      </c>
      <c r="R2863" t="str">
        <f>VLOOKUP(A2863,vlookup_table!$A:$G,6,FALSE)</f>
        <v/>
      </c>
      <c r="S2863">
        <f>VLOOKUP(A2863,vlookup_table!$A:$G,7,FALSE)</f>
        <v>15</v>
      </c>
      <c r="T2863">
        <f t="shared" si="88"/>
        <v>96</v>
      </c>
      <c r="U2863" t="str">
        <f t="shared" si="89"/>
        <v/>
      </c>
    </row>
    <row r="2864" spans="1:21" ht="16" x14ac:dyDescent="0.4">
      <c r="A2864" s="7">
        <v>1371</v>
      </c>
      <c r="B2864" s="7" t="s">
        <v>21</v>
      </c>
      <c r="C2864" s="7" t="s">
        <v>17</v>
      </c>
      <c r="D2864" s="7">
        <v>2753</v>
      </c>
      <c r="E2864" s="7">
        <v>504</v>
      </c>
      <c r="F2864" s="7">
        <v>673</v>
      </c>
      <c r="G2864" s="7">
        <v>91</v>
      </c>
      <c r="H2864" s="7">
        <v>24127</v>
      </c>
      <c r="I2864" s="7">
        <v>15</v>
      </c>
      <c r="J2864" s="7">
        <v>41</v>
      </c>
      <c r="K2864" s="7">
        <v>613</v>
      </c>
      <c r="L2864" s="7">
        <v>620</v>
      </c>
      <c r="M2864" s="7">
        <v>20</v>
      </c>
      <c r="N2864">
        <f>VLOOKUP(A2864,vlookup_table!$A:$G,2,FALSE)</f>
        <v>0</v>
      </c>
      <c r="O2864" t="str">
        <f>VLOOKUP(A2864,vlookup_table!$A:$G,3,FALSE)</f>
        <v>CA</v>
      </c>
      <c r="P2864">
        <f>VLOOKUP(A2864,vlookup_table!$A:$G,4,FALSE)</f>
        <v>2201</v>
      </c>
      <c r="Q2864" t="str">
        <f>VLOOKUP(A2864,vlookup_table!$A:$G,5,FALSE)</f>
        <v>S1</v>
      </c>
      <c r="R2864" t="str">
        <f>VLOOKUP(A2864,vlookup_table!$A:$G,6,FALSE)</f>
        <v>F</v>
      </c>
      <c r="S2864">
        <f>VLOOKUP(A2864,vlookup_table!$A:$G,7,FALSE)</f>
        <v>35</v>
      </c>
      <c r="T2864">
        <f t="shared" si="88"/>
        <v>74</v>
      </c>
      <c r="U2864" t="str">
        <f t="shared" si="89"/>
        <v>Suburbano</v>
      </c>
    </row>
    <row r="2865" spans="1:21" ht="16" x14ac:dyDescent="0.4">
      <c r="A2865" s="7">
        <v>177556</v>
      </c>
      <c r="B2865" s="7" t="s">
        <v>47</v>
      </c>
      <c r="C2865" s="7" t="s">
        <v>17</v>
      </c>
      <c r="D2865" s="7">
        <v>613</v>
      </c>
      <c r="E2865" s="7">
        <v>246</v>
      </c>
      <c r="F2865" s="7">
        <v>329</v>
      </c>
      <c r="G2865" s="7">
        <v>4</v>
      </c>
      <c r="H2865" s="7">
        <v>11642</v>
      </c>
      <c r="I2865" s="7">
        <v>2</v>
      </c>
      <c r="J2865" s="7">
        <v>38</v>
      </c>
      <c r="K2865" s="7">
        <v>286</v>
      </c>
      <c r="L2865" s="7">
        <v>279</v>
      </c>
      <c r="M2865" s="7">
        <v>17.833333329999999</v>
      </c>
      <c r="N2865">
        <f>VLOOKUP(A2865,vlookup_table!$A:$G,2,FALSE)</f>
        <v>28</v>
      </c>
      <c r="O2865" t="str">
        <f>VLOOKUP(A2865,vlookup_table!$A:$G,3,FALSE)</f>
        <v>OR</v>
      </c>
      <c r="P2865">
        <f>VLOOKUP(A2865,vlookup_table!$A:$G,4,FALSE)</f>
        <v>2104</v>
      </c>
      <c r="Q2865" t="str">
        <f>VLOOKUP(A2865,vlookup_table!$A:$G,5,FALSE)</f>
        <v>C2</v>
      </c>
      <c r="R2865" t="str">
        <f>VLOOKUP(A2865,vlookup_table!$A:$G,6,FALSE)</f>
        <v>F</v>
      </c>
      <c r="S2865">
        <f>VLOOKUP(A2865,vlookup_table!$A:$G,7,FALSE)</f>
        <v>18</v>
      </c>
      <c r="T2865">
        <f t="shared" si="88"/>
        <v>75</v>
      </c>
      <c r="U2865" t="str">
        <f t="shared" si="89"/>
        <v>Ciudad</v>
      </c>
    </row>
    <row r="2866" spans="1:21" ht="16" x14ac:dyDescent="0.4">
      <c r="A2866" s="7">
        <v>146182</v>
      </c>
      <c r="B2866" s="7" t="s">
        <v>21</v>
      </c>
      <c r="C2866" s="7" t="s">
        <v>17</v>
      </c>
      <c r="D2866" s="7">
        <v>1834</v>
      </c>
      <c r="E2866" s="7">
        <v>408</v>
      </c>
      <c r="F2866" s="7">
        <v>463</v>
      </c>
      <c r="G2866" s="7">
        <v>20</v>
      </c>
      <c r="H2866" s="7">
        <v>15069</v>
      </c>
      <c r="I2866" s="7">
        <v>17</v>
      </c>
      <c r="J2866" s="7">
        <v>52</v>
      </c>
      <c r="K2866" s="7">
        <v>418</v>
      </c>
      <c r="L2866" s="7">
        <v>443</v>
      </c>
      <c r="M2866" s="7">
        <v>8.6428571430000005</v>
      </c>
      <c r="N2866">
        <f>VLOOKUP(A2866,vlookup_table!$A:$G,2,FALSE)</f>
        <v>0</v>
      </c>
      <c r="O2866" t="str">
        <f>VLOOKUP(A2866,vlookup_table!$A:$G,3,FALSE)</f>
        <v>CA</v>
      </c>
      <c r="P2866">
        <f>VLOOKUP(A2866,vlookup_table!$A:$G,4,FALSE)</f>
        <v>0</v>
      </c>
      <c r="Q2866" t="str">
        <f>VLOOKUP(A2866,vlookup_table!$A:$G,5,FALSE)</f>
        <v>U2</v>
      </c>
      <c r="R2866" t="str">
        <f>VLOOKUP(A2866,vlookup_table!$A:$G,6,FALSE)</f>
        <v>F</v>
      </c>
      <c r="S2866">
        <f>VLOOKUP(A2866,vlookup_table!$A:$G,7,FALSE)</f>
        <v>10</v>
      </c>
      <c r="T2866">
        <f t="shared" si="88"/>
        <v>96</v>
      </c>
      <c r="U2866" t="str">
        <f t="shared" si="89"/>
        <v>Urbano</v>
      </c>
    </row>
    <row r="2867" spans="1:21" ht="16" x14ac:dyDescent="0.4">
      <c r="A2867" s="7">
        <v>150292</v>
      </c>
      <c r="B2867" s="7" t="s">
        <v>21</v>
      </c>
      <c r="C2867" s="7" t="s">
        <v>14</v>
      </c>
      <c r="D2867" s="7">
        <v>1435</v>
      </c>
      <c r="E2867" s="7">
        <v>273</v>
      </c>
      <c r="F2867" s="7">
        <v>295</v>
      </c>
      <c r="G2867" s="7">
        <v>10</v>
      </c>
      <c r="H2867" s="7">
        <v>7822</v>
      </c>
      <c r="I2867" s="7">
        <v>56</v>
      </c>
      <c r="J2867" s="7">
        <v>34</v>
      </c>
      <c r="K2867" s="7">
        <v>270</v>
      </c>
      <c r="L2867" s="7">
        <v>300</v>
      </c>
      <c r="M2867" s="7">
        <v>15</v>
      </c>
      <c r="N2867">
        <f>VLOOKUP(A2867,vlookup_table!$A:$G,2,FALSE)</f>
        <v>1</v>
      </c>
      <c r="O2867" t="str">
        <f>VLOOKUP(A2867,vlookup_table!$A:$G,3,FALSE)</f>
        <v>CA</v>
      </c>
      <c r="P2867">
        <f>VLOOKUP(A2867,vlookup_table!$A:$G,4,FALSE)</f>
        <v>1601</v>
      </c>
      <c r="Q2867" t="str">
        <f>VLOOKUP(A2867,vlookup_table!$A:$G,5,FALSE)</f>
        <v>U4</v>
      </c>
      <c r="R2867" t="str">
        <f>VLOOKUP(A2867,vlookup_table!$A:$G,6,FALSE)</f>
        <v>M</v>
      </c>
      <c r="S2867">
        <f>VLOOKUP(A2867,vlookup_table!$A:$G,7,FALSE)</f>
        <v>10</v>
      </c>
      <c r="T2867">
        <f t="shared" si="88"/>
        <v>80</v>
      </c>
      <c r="U2867" t="str">
        <f t="shared" si="89"/>
        <v>Urbano</v>
      </c>
    </row>
    <row r="2868" spans="1:21" ht="16" x14ac:dyDescent="0.4">
      <c r="A2868" s="7">
        <v>142</v>
      </c>
      <c r="B2868" s="7" t="s">
        <v>18</v>
      </c>
      <c r="C2868" s="7" t="s">
        <v>97</v>
      </c>
      <c r="D2868" s="7">
        <v>475</v>
      </c>
      <c r="E2868" s="7">
        <v>227</v>
      </c>
      <c r="F2868" s="7">
        <v>294</v>
      </c>
      <c r="G2868" s="7">
        <v>0</v>
      </c>
      <c r="H2868" s="7">
        <v>10221</v>
      </c>
      <c r="I2868" s="7">
        <v>1</v>
      </c>
      <c r="J2868" s="7">
        <v>80</v>
      </c>
      <c r="K2868" s="7">
        <v>276</v>
      </c>
      <c r="L2868" s="7">
        <v>264</v>
      </c>
      <c r="M2868" s="7">
        <v>6</v>
      </c>
      <c r="N2868">
        <f>VLOOKUP(A2868,vlookup_table!$A:$G,2,FALSE)</f>
        <v>0</v>
      </c>
      <c r="O2868" t="str">
        <f>VLOOKUP(A2868,vlookup_table!$A:$G,3,FALSE)</f>
        <v>NC</v>
      </c>
      <c r="P2868">
        <f>VLOOKUP(A2868,vlookup_table!$A:$G,4,FALSE)</f>
        <v>0</v>
      </c>
      <c r="Q2868" t="str">
        <f>VLOOKUP(A2868,vlookup_table!$A:$G,5,FALSE)</f>
        <v>R2</v>
      </c>
      <c r="R2868" t="str">
        <f>VLOOKUP(A2868,vlookup_table!$A:$G,6,FALSE)</f>
        <v>F</v>
      </c>
      <c r="S2868">
        <f>VLOOKUP(A2868,vlookup_table!$A:$G,7,FALSE)</f>
        <v>3</v>
      </c>
      <c r="T2868">
        <f t="shared" si="88"/>
        <v>96</v>
      </c>
      <c r="U2868" t="str">
        <f t="shared" si="89"/>
        <v>Rural</v>
      </c>
    </row>
    <row r="2869" spans="1:21" ht="16" x14ac:dyDescent="0.4">
      <c r="A2869" s="7">
        <v>73762</v>
      </c>
      <c r="B2869" s="7" t="s">
        <v>26</v>
      </c>
      <c r="C2869" s="7" t="s">
        <v>14</v>
      </c>
      <c r="D2869" s="7">
        <v>840</v>
      </c>
      <c r="E2869" s="7">
        <v>430</v>
      </c>
      <c r="F2869" s="7">
        <v>491</v>
      </c>
      <c r="G2869" s="7">
        <v>0</v>
      </c>
      <c r="H2869" s="7">
        <v>15111</v>
      </c>
      <c r="I2869" s="7">
        <v>5</v>
      </c>
      <c r="J2869" s="7">
        <v>75</v>
      </c>
      <c r="K2869" s="7">
        <v>448</v>
      </c>
      <c r="L2869" s="7">
        <v>469</v>
      </c>
      <c r="M2869" s="7">
        <v>17.5</v>
      </c>
      <c r="N2869">
        <f>VLOOKUP(A2869,vlookup_table!$A:$G,2,FALSE)</f>
        <v>1</v>
      </c>
      <c r="O2869" t="str">
        <f>VLOOKUP(A2869,vlookup_table!$A:$G,3,FALSE)</f>
        <v>MI</v>
      </c>
      <c r="P2869">
        <f>VLOOKUP(A2869,vlookup_table!$A:$G,4,FALSE)</f>
        <v>4603</v>
      </c>
      <c r="Q2869" t="str">
        <f>VLOOKUP(A2869,vlookup_table!$A:$G,5,FALSE)</f>
        <v>S2</v>
      </c>
      <c r="R2869" t="str">
        <f>VLOOKUP(A2869,vlookup_table!$A:$G,6,FALSE)</f>
        <v>M</v>
      </c>
      <c r="S2869">
        <f>VLOOKUP(A2869,vlookup_table!$A:$G,7,FALSE)</f>
        <v>25</v>
      </c>
      <c r="T2869">
        <f t="shared" si="88"/>
        <v>50</v>
      </c>
      <c r="U2869" t="str">
        <f t="shared" si="89"/>
        <v>Suburbano</v>
      </c>
    </row>
    <row r="2870" spans="1:21" ht="16" x14ac:dyDescent="0.4">
      <c r="A2870" s="7">
        <v>120224</v>
      </c>
      <c r="B2870" s="7" t="s">
        <v>20</v>
      </c>
      <c r="C2870" s="7" t="s">
        <v>17</v>
      </c>
      <c r="D2870" s="7">
        <v>391</v>
      </c>
      <c r="E2870" s="7">
        <v>282</v>
      </c>
      <c r="F2870" s="7">
        <v>304</v>
      </c>
      <c r="G2870" s="7">
        <v>0</v>
      </c>
      <c r="H2870" s="7">
        <v>11352</v>
      </c>
      <c r="I2870" s="7">
        <v>0</v>
      </c>
      <c r="J2870" s="7">
        <v>79</v>
      </c>
      <c r="K2870" s="7">
        <v>294</v>
      </c>
      <c r="L2870" s="7">
        <v>278</v>
      </c>
      <c r="M2870" s="7">
        <v>4</v>
      </c>
      <c r="N2870">
        <f>VLOOKUP(A2870,vlookup_table!$A:$G,2,FALSE)</f>
        <v>0</v>
      </c>
      <c r="O2870" t="str">
        <f>VLOOKUP(A2870,vlookup_table!$A:$G,3,FALSE)</f>
        <v>TX</v>
      </c>
      <c r="P2870">
        <f>VLOOKUP(A2870,vlookup_table!$A:$G,4,FALSE)</f>
        <v>2711</v>
      </c>
      <c r="Q2870" t="str">
        <f>VLOOKUP(A2870,vlookup_table!$A:$G,5,FALSE)</f>
        <v>C3</v>
      </c>
      <c r="R2870" t="str">
        <f>VLOOKUP(A2870,vlookup_table!$A:$G,6,FALSE)</f>
        <v>F</v>
      </c>
      <c r="S2870">
        <f>VLOOKUP(A2870,vlookup_table!$A:$G,7,FALSE)</f>
        <v>12</v>
      </c>
      <c r="T2870">
        <f t="shared" si="88"/>
        <v>69</v>
      </c>
      <c r="U2870" t="str">
        <f t="shared" si="89"/>
        <v>Ciudad</v>
      </c>
    </row>
    <row r="2871" spans="1:21" ht="16" x14ac:dyDescent="0.4">
      <c r="A2871" s="7">
        <v>61586</v>
      </c>
      <c r="B2871" s="7" t="s">
        <v>30</v>
      </c>
      <c r="C2871" s="7" t="s">
        <v>17</v>
      </c>
      <c r="D2871" s="7">
        <v>547</v>
      </c>
      <c r="E2871" s="7">
        <v>247</v>
      </c>
      <c r="F2871" s="7">
        <v>382</v>
      </c>
      <c r="G2871" s="7">
        <v>1</v>
      </c>
      <c r="H2871" s="7">
        <v>13661</v>
      </c>
      <c r="I2871" s="7">
        <v>4</v>
      </c>
      <c r="J2871" s="7">
        <v>64</v>
      </c>
      <c r="K2871" s="7">
        <v>320</v>
      </c>
      <c r="L2871" s="7">
        <v>306</v>
      </c>
      <c r="M2871" s="7">
        <v>12.625</v>
      </c>
      <c r="N2871">
        <f>VLOOKUP(A2871,vlookup_table!$A:$G,2,FALSE)</f>
        <v>0</v>
      </c>
      <c r="O2871" t="str">
        <f>VLOOKUP(A2871,vlookup_table!$A:$G,3,FALSE)</f>
        <v>IN</v>
      </c>
      <c r="P2871">
        <f>VLOOKUP(A2871,vlookup_table!$A:$G,4,FALSE)</f>
        <v>2912</v>
      </c>
      <c r="Q2871" t="str">
        <f>VLOOKUP(A2871,vlookup_table!$A:$G,5,FALSE)</f>
        <v>T2</v>
      </c>
      <c r="R2871" t="str">
        <f>VLOOKUP(A2871,vlookup_table!$A:$G,6,FALSE)</f>
        <v>F</v>
      </c>
      <c r="S2871">
        <f>VLOOKUP(A2871,vlookup_table!$A:$G,7,FALSE)</f>
        <v>10</v>
      </c>
      <c r="T2871">
        <f t="shared" si="88"/>
        <v>67</v>
      </c>
      <c r="U2871" t="str">
        <f t="shared" si="89"/>
        <v>Pueblo</v>
      </c>
    </row>
    <row r="2872" spans="1:21" ht="16" x14ac:dyDescent="0.4">
      <c r="A2872" s="7">
        <v>139228</v>
      </c>
      <c r="B2872" s="7" t="s">
        <v>50</v>
      </c>
      <c r="C2872" s="7" t="s">
        <v>14</v>
      </c>
      <c r="D2872" s="7">
        <v>1081</v>
      </c>
      <c r="E2872" s="7">
        <v>349</v>
      </c>
      <c r="F2872" s="7">
        <v>449</v>
      </c>
      <c r="G2872" s="7">
        <v>14</v>
      </c>
      <c r="H2872" s="7">
        <v>14846</v>
      </c>
      <c r="I2872" s="7">
        <v>3</v>
      </c>
      <c r="J2872" s="7">
        <v>56</v>
      </c>
      <c r="K2872" s="7">
        <v>401</v>
      </c>
      <c r="L2872" s="7">
        <v>417</v>
      </c>
      <c r="M2872" s="7">
        <v>26.571428569999998</v>
      </c>
      <c r="N2872">
        <f>VLOOKUP(A2872,vlookup_table!$A:$G,2,FALSE)</f>
        <v>1</v>
      </c>
      <c r="O2872" t="str">
        <f>VLOOKUP(A2872,vlookup_table!$A:$G,3,FALSE)</f>
        <v>NM</v>
      </c>
      <c r="P2872">
        <f>VLOOKUP(A2872,vlookup_table!$A:$G,4,FALSE)</f>
        <v>4001</v>
      </c>
      <c r="Q2872" t="str">
        <f>VLOOKUP(A2872,vlookup_table!$A:$G,5,FALSE)</f>
        <v>R1</v>
      </c>
      <c r="R2872" t="str">
        <f>VLOOKUP(A2872,vlookup_table!$A:$G,6,FALSE)</f>
        <v>M</v>
      </c>
      <c r="S2872">
        <f>VLOOKUP(A2872,vlookup_table!$A:$G,7,FALSE)</f>
        <v>43</v>
      </c>
      <c r="T2872">
        <f t="shared" si="88"/>
        <v>56</v>
      </c>
      <c r="U2872" t="str">
        <f t="shared" si="89"/>
        <v>Rural</v>
      </c>
    </row>
    <row r="2873" spans="1:21" ht="16" x14ac:dyDescent="0.4">
      <c r="A2873" s="7">
        <v>72444</v>
      </c>
      <c r="B2873" s="7" t="s">
        <v>26</v>
      </c>
      <c r="C2873" s="7" t="s">
        <v>14</v>
      </c>
      <c r="D2873" s="7">
        <v>521</v>
      </c>
      <c r="E2873" s="7">
        <v>364</v>
      </c>
      <c r="F2873" s="7">
        <v>419</v>
      </c>
      <c r="G2873" s="7">
        <v>0</v>
      </c>
      <c r="H2873" s="7">
        <v>13027</v>
      </c>
      <c r="I2873" s="7">
        <v>0</v>
      </c>
      <c r="J2873" s="7">
        <v>86</v>
      </c>
      <c r="K2873" s="7">
        <v>384</v>
      </c>
      <c r="L2873" s="7">
        <v>398</v>
      </c>
      <c r="M2873" s="7">
        <v>8.5714285710000002</v>
      </c>
      <c r="N2873">
        <f>VLOOKUP(A2873,vlookup_table!$A:$G,2,FALSE)</f>
        <v>1002</v>
      </c>
      <c r="O2873" t="str">
        <f>VLOOKUP(A2873,vlookup_table!$A:$G,3,FALSE)</f>
        <v>MI</v>
      </c>
      <c r="P2873">
        <f>VLOOKUP(A2873,vlookup_table!$A:$G,4,FALSE)</f>
        <v>6501</v>
      </c>
      <c r="Q2873" t="str">
        <f>VLOOKUP(A2873,vlookup_table!$A:$G,5,FALSE)</f>
        <v>R2</v>
      </c>
      <c r="R2873" t="str">
        <f>VLOOKUP(A2873,vlookup_table!$A:$G,6,FALSE)</f>
        <v>M</v>
      </c>
      <c r="S2873">
        <f>VLOOKUP(A2873,vlookup_table!$A:$G,7,FALSE)</f>
        <v>10</v>
      </c>
      <c r="T2873">
        <f t="shared" si="88"/>
        <v>31</v>
      </c>
      <c r="U2873" t="str">
        <f t="shared" si="89"/>
        <v>Rural</v>
      </c>
    </row>
    <row r="2874" spans="1:21" ht="16" x14ac:dyDescent="0.4">
      <c r="A2874" s="7">
        <v>182180</v>
      </c>
      <c r="B2874" s="7" t="s">
        <v>37</v>
      </c>
      <c r="C2874" s="7" t="s">
        <v>14</v>
      </c>
      <c r="D2874" s="7">
        <v>754</v>
      </c>
      <c r="E2874" s="7">
        <v>290</v>
      </c>
      <c r="F2874" s="7">
        <v>332</v>
      </c>
      <c r="G2874" s="7">
        <v>0</v>
      </c>
      <c r="H2874" s="7">
        <v>10677</v>
      </c>
      <c r="I2874" s="7">
        <v>6</v>
      </c>
      <c r="J2874" s="7">
        <v>51</v>
      </c>
      <c r="K2874" s="7">
        <v>315</v>
      </c>
      <c r="L2874" s="7">
        <v>303</v>
      </c>
      <c r="M2874" s="7">
        <v>16</v>
      </c>
      <c r="N2874">
        <f>VLOOKUP(A2874,vlookup_table!$A:$G,2,FALSE)</f>
        <v>1</v>
      </c>
      <c r="O2874" t="str">
        <f>VLOOKUP(A2874,vlookup_table!$A:$G,3,FALSE)</f>
        <v>WA</v>
      </c>
      <c r="P2874">
        <f>VLOOKUP(A2874,vlookup_table!$A:$G,4,FALSE)</f>
        <v>4801</v>
      </c>
      <c r="Q2874" t="str">
        <f>VLOOKUP(A2874,vlookup_table!$A:$G,5,FALSE)</f>
        <v>S2</v>
      </c>
      <c r="R2874" t="str">
        <f>VLOOKUP(A2874,vlookup_table!$A:$G,6,FALSE)</f>
        <v>M</v>
      </c>
      <c r="S2874">
        <f>VLOOKUP(A2874,vlookup_table!$A:$G,7,FALSE)</f>
        <v>20</v>
      </c>
      <c r="T2874">
        <f t="shared" si="88"/>
        <v>48</v>
      </c>
      <c r="U2874" t="str">
        <f t="shared" si="89"/>
        <v>Suburbano</v>
      </c>
    </row>
    <row r="2875" spans="1:21" ht="16" x14ac:dyDescent="0.4">
      <c r="A2875" s="7">
        <v>185972</v>
      </c>
      <c r="B2875" s="7" t="s">
        <v>36</v>
      </c>
      <c r="C2875" s="7" t="s">
        <v>17</v>
      </c>
      <c r="D2875" s="7">
        <v>708</v>
      </c>
      <c r="E2875" s="7">
        <v>294</v>
      </c>
      <c r="F2875" s="7">
        <v>376</v>
      </c>
      <c r="G2875" s="7">
        <v>1</v>
      </c>
      <c r="H2875" s="7">
        <v>11850</v>
      </c>
      <c r="I2875" s="7">
        <v>1</v>
      </c>
      <c r="J2875" s="7">
        <v>75</v>
      </c>
      <c r="K2875" s="7">
        <v>346</v>
      </c>
      <c r="L2875" s="7">
        <v>332</v>
      </c>
      <c r="M2875" s="7">
        <v>7.1818181819999998</v>
      </c>
      <c r="N2875">
        <f>VLOOKUP(A2875,vlookup_table!$A:$G,2,FALSE)</f>
        <v>28</v>
      </c>
      <c r="O2875" t="str">
        <f>VLOOKUP(A2875,vlookup_table!$A:$G,3,FALSE)</f>
        <v>GA</v>
      </c>
      <c r="P2875">
        <f>VLOOKUP(A2875,vlookup_table!$A:$G,4,FALSE)</f>
        <v>2102</v>
      </c>
      <c r="Q2875" t="str">
        <f>VLOOKUP(A2875,vlookup_table!$A:$G,5,FALSE)</f>
        <v>C3</v>
      </c>
      <c r="R2875" t="str">
        <f>VLOOKUP(A2875,vlookup_table!$A:$G,6,FALSE)</f>
        <v>F</v>
      </c>
      <c r="S2875">
        <f>VLOOKUP(A2875,vlookup_table!$A:$G,7,FALSE)</f>
        <v>10</v>
      </c>
      <c r="T2875">
        <f t="shared" si="88"/>
        <v>75</v>
      </c>
      <c r="U2875" t="str">
        <f t="shared" si="89"/>
        <v>Ciudad</v>
      </c>
    </row>
    <row r="2876" spans="1:21" ht="16" x14ac:dyDescent="0.4">
      <c r="A2876" s="7">
        <v>73089</v>
      </c>
      <c r="B2876" s="7" t="s">
        <v>26</v>
      </c>
      <c r="C2876" s="7" t="s">
        <v>17</v>
      </c>
      <c r="D2876" s="7">
        <v>764</v>
      </c>
      <c r="E2876" s="7">
        <v>272</v>
      </c>
      <c r="F2876" s="7">
        <v>424</v>
      </c>
      <c r="G2876" s="7">
        <v>6</v>
      </c>
      <c r="H2876" s="7">
        <v>16257</v>
      </c>
      <c r="I2876" s="7">
        <v>3</v>
      </c>
      <c r="J2876" s="7">
        <v>61</v>
      </c>
      <c r="K2876" s="7">
        <v>361</v>
      </c>
      <c r="L2876" s="7">
        <v>346</v>
      </c>
      <c r="M2876" s="7">
        <v>7.9130434779999996</v>
      </c>
      <c r="N2876">
        <f>VLOOKUP(A2876,vlookup_table!$A:$G,2,FALSE)</f>
        <v>2</v>
      </c>
      <c r="O2876" t="str">
        <f>VLOOKUP(A2876,vlookup_table!$A:$G,3,FALSE)</f>
        <v>MI</v>
      </c>
      <c r="P2876">
        <f>VLOOKUP(A2876,vlookup_table!$A:$G,4,FALSE)</f>
        <v>0</v>
      </c>
      <c r="Q2876" t="str">
        <f>VLOOKUP(A2876,vlookup_table!$A:$G,5,FALSE)</f>
        <v>R2</v>
      </c>
      <c r="R2876" t="str">
        <f>VLOOKUP(A2876,vlookup_table!$A:$G,6,FALSE)</f>
        <v>F</v>
      </c>
      <c r="S2876">
        <f>VLOOKUP(A2876,vlookup_table!$A:$G,7,FALSE)</f>
        <v>15</v>
      </c>
      <c r="T2876">
        <f t="shared" si="88"/>
        <v>96</v>
      </c>
      <c r="U2876" t="str">
        <f t="shared" si="89"/>
        <v>Rural</v>
      </c>
    </row>
    <row r="2877" spans="1:21" ht="16" x14ac:dyDescent="0.4">
      <c r="A2877" s="7">
        <v>130850</v>
      </c>
      <c r="B2877" s="7" t="s">
        <v>45</v>
      </c>
      <c r="C2877" s="7" t="s">
        <v>27</v>
      </c>
      <c r="D2877" s="7">
        <v>869</v>
      </c>
      <c r="E2877" s="7">
        <v>315</v>
      </c>
      <c r="F2877" s="7">
        <v>399</v>
      </c>
      <c r="G2877" s="7">
        <v>4</v>
      </c>
      <c r="H2877" s="7">
        <v>13437</v>
      </c>
      <c r="I2877" s="7">
        <v>2</v>
      </c>
      <c r="J2877" s="7">
        <v>43</v>
      </c>
      <c r="K2877" s="7">
        <v>349</v>
      </c>
      <c r="L2877" s="7">
        <v>357</v>
      </c>
      <c r="M2877" s="7">
        <v>6.0666666669999998</v>
      </c>
      <c r="N2877">
        <f>VLOOKUP(A2877,vlookup_table!$A:$G,2,FALSE)</f>
        <v>980</v>
      </c>
      <c r="O2877" t="str">
        <f>VLOOKUP(A2877,vlookup_table!$A:$G,3,FALSE)</f>
        <v>CO</v>
      </c>
      <c r="P2877">
        <f>VLOOKUP(A2877,vlookup_table!$A:$G,4,FALSE)</f>
        <v>0</v>
      </c>
      <c r="Q2877" t="str">
        <f>VLOOKUP(A2877,vlookup_table!$A:$G,5,FALSE)</f>
        <v>R2</v>
      </c>
      <c r="R2877" t="str">
        <f>VLOOKUP(A2877,vlookup_table!$A:$G,6,FALSE)</f>
        <v>U</v>
      </c>
      <c r="S2877">
        <f>VLOOKUP(A2877,vlookup_table!$A:$G,7,FALSE)</f>
        <v>7</v>
      </c>
      <c r="T2877">
        <f t="shared" si="88"/>
        <v>96</v>
      </c>
      <c r="U2877" t="str">
        <f t="shared" si="89"/>
        <v>Rural</v>
      </c>
    </row>
    <row r="2878" spans="1:21" ht="16" x14ac:dyDescent="0.4">
      <c r="A2878" s="7">
        <v>45338</v>
      </c>
      <c r="B2878" s="7" t="s">
        <v>13</v>
      </c>
      <c r="C2878" s="7" t="s">
        <v>17</v>
      </c>
      <c r="D2878" s="7">
        <v>698</v>
      </c>
      <c r="E2878" s="7">
        <v>232</v>
      </c>
      <c r="F2878" s="7">
        <v>340</v>
      </c>
      <c r="G2878" s="7">
        <v>1</v>
      </c>
      <c r="H2878" s="7">
        <v>14431</v>
      </c>
      <c r="I2878" s="7">
        <v>10</v>
      </c>
      <c r="J2878" s="7">
        <v>14</v>
      </c>
      <c r="K2878" s="7">
        <v>300</v>
      </c>
      <c r="L2878" s="7">
        <v>265</v>
      </c>
      <c r="M2878" s="7">
        <v>13.125</v>
      </c>
      <c r="N2878">
        <f>VLOOKUP(A2878,vlookup_table!$A:$G,2,FALSE)</f>
        <v>0</v>
      </c>
      <c r="O2878" t="str">
        <f>VLOOKUP(A2878,vlookup_table!$A:$G,3,FALSE)</f>
        <v>FL</v>
      </c>
      <c r="P2878">
        <f>VLOOKUP(A2878,vlookup_table!$A:$G,4,FALSE)</f>
        <v>7004</v>
      </c>
      <c r="Q2878" t="str">
        <f>VLOOKUP(A2878,vlookup_table!$A:$G,5,FALSE)</f>
        <v>S2</v>
      </c>
      <c r="R2878" t="str">
        <f>VLOOKUP(A2878,vlookup_table!$A:$G,6,FALSE)</f>
        <v>F</v>
      </c>
      <c r="S2878">
        <f>VLOOKUP(A2878,vlookup_table!$A:$G,7,FALSE)</f>
        <v>25</v>
      </c>
      <c r="T2878">
        <f t="shared" si="88"/>
        <v>26</v>
      </c>
      <c r="U2878" t="str">
        <f t="shared" si="89"/>
        <v>Suburbano</v>
      </c>
    </row>
    <row r="2879" spans="1:21" ht="16" x14ac:dyDescent="0.4">
      <c r="A2879" s="7">
        <v>188860</v>
      </c>
      <c r="B2879" s="7" t="s">
        <v>20</v>
      </c>
      <c r="C2879" s="7" t="s">
        <v>14</v>
      </c>
      <c r="D2879" s="7">
        <v>569</v>
      </c>
      <c r="E2879" s="7">
        <v>256</v>
      </c>
      <c r="F2879" s="7">
        <v>317</v>
      </c>
      <c r="G2879" s="7">
        <v>1</v>
      </c>
      <c r="H2879" s="7">
        <v>9118</v>
      </c>
      <c r="I2879" s="7">
        <v>0</v>
      </c>
      <c r="J2879" s="7">
        <v>92</v>
      </c>
      <c r="K2879" s="7">
        <v>270</v>
      </c>
      <c r="L2879" s="7">
        <v>310</v>
      </c>
      <c r="M2879" s="7">
        <v>6.6470588240000001</v>
      </c>
      <c r="N2879">
        <f>VLOOKUP(A2879,vlookup_table!$A:$G,2,FALSE)</f>
        <v>1</v>
      </c>
      <c r="O2879" t="str">
        <f>VLOOKUP(A2879,vlookup_table!$A:$G,3,FALSE)</f>
        <v>TX</v>
      </c>
      <c r="P2879">
        <f>VLOOKUP(A2879,vlookup_table!$A:$G,4,FALSE)</f>
        <v>2101</v>
      </c>
      <c r="Q2879" t="str">
        <f>VLOOKUP(A2879,vlookup_table!$A:$G,5,FALSE)</f>
        <v>T2</v>
      </c>
      <c r="R2879" t="str">
        <f>VLOOKUP(A2879,vlookup_table!$A:$G,6,FALSE)</f>
        <v>M</v>
      </c>
      <c r="S2879">
        <f>VLOOKUP(A2879,vlookup_table!$A:$G,7,FALSE)</f>
        <v>10</v>
      </c>
      <c r="T2879">
        <f t="shared" si="88"/>
        <v>75</v>
      </c>
      <c r="U2879" t="str">
        <f t="shared" si="89"/>
        <v>Pueblo</v>
      </c>
    </row>
    <row r="2880" spans="1:21" ht="16" x14ac:dyDescent="0.4">
      <c r="A2880" s="7">
        <v>89036</v>
      </c>
      <c r="B2880" s="7" t="s">
        <v>16</v>
      </c>
      <c r="C2880" s="7" t="s">
        <v>17</v>
      </c>
      <c r="D2880" s="7">
        <v>1892</v>
      </c>
      <c r="E2880" s="7">
        <v>608</v>
      </c>
      <c r="F2880" s="7">
        <v>745</v>
      </c>
      <c r="G2880" s="7">
        <v>44</v>
      </c>
      <c r="H2880" s="7">
        <v>27443</v>
      </c>
      <c r="I2880" s="7">
        <v>9</v>
      </c>
      <c r="J2880" s="7">
        <v>80</v>
      </c>
      <c r="K2880" s="7">
        <v>659</v>
      </c>
      <c r="L2880" s="7">
        <v>704</v>
      </c>
      <c r="M2880" s="7">
        <v>9.5</v>
      </c>
      <c r="N2880">
        <f>VLOOKUP(A2880,vlookup_table!$A:$G,2,FALSE)</f>
        <v>0</v>
      </c>
      <c r="O2880" t="str">
        <f>VLOOKUP(A2880,vlookup_table!$A:$G,3,FALSE)</f>
        <v>IL</v>
      </c>
      <c r="P2880">
        <f>VLOOKUP(A2880,vlookup_table!$A:$G,4,FALSE)</f>
        <v>2501</v>
      </c>
      <c r="Q2880" t="str">
        <f>VLOOKUP(A2880,vlookup_table!$A:$G,5,FALSE)</f>
        <v>S2</v>
      </c>
      <c r="R2880" t="str">
        <f>VLOOKUP(A2880,vlookup_table!$A:$G,6,FALSE)</f>
        <v>F</v>
      </c>
      <c r="S2880">
        <f>VLOOKUP(A2880,vlookup_table!$A:$G,7,FALSE)</f>
        <v>30</v>
      </c>
      <c r="T2880">
        <f t="shared" si="88"/>
        <v>71</v>
      </c>
      <c r="U2880" t="str">
        <f t="shared" si="89"/>
        <v>Suburbano</v>
      </c>
    </row>
    <row r="2881" spans="1:21" ht="16" x14ac:dyDescent="0.4">
      <c r="A2881" s="7">
        <v>61026</v>
      </c>
      <c r="B2881" s="7" t="s">
        <v>30</v>
      </c>
      <c r="C2881" s="7" t="s">
        <v>17</v>
      </c>
      <c r="D2881" s="7">
        <v>499</v>
      </c>
      <c r="E2881" s="7">
        <v>270</v>
      </c>
      <c r="F2881" s="7">
        <v>372</v>
      </c>
      <c r="G2881" s="7">
        <v>1</v>
      </c>
      <c r="H2881" s="7">
        <v>12615</v>
      </c>
      <c r="I2881" s="7">
        <v>2</v>
      </c>
      <c r="J2881" s="7">
        <v>72</v>
      </c>
      <c r="K2881" s="7">
        <v>325</v>
      </c>
      <c r="L2881" s="7">
        <v>320</v>
      </c>
      <c r="M2881" s="7">
        <v>20</v>
      </c>
      <c r="N2881">
        <f>VLOOKUP(A2881,vlookup_table!$A:$G,2,FALSE)</f>
        <v>28</v>
      </c>
      <c r="O2881" t="str">
        <f>VLOOKUP(A2881,vlookup_table!$A:$G,3,FALSE)</f>
        <v>IN</v>
      </c>
      <c r="P2881">
        <f>VLOOKUP(A2881,vlookup_table!$A:$G,4,FALSE)</f>
        <v>0</v>
      </c>
      <c r="Q2881" t="str">
        <f>VLOOKUP(A2881,vlookup_table!$A:$G,5,FALSE)</f>
        <v>T2</v>
      </c>
      <c r="R2881" t="str">
        <f>VLOOKUP(A2881,vlookup_table!$A:$G,6,FALSE)</f>
        <v>F</v>
      </c>
      <c r="S2881">
        <f>VLOOKUP(A2881,vlookup_table!$A:$G,7,FALSE)</f>
        <v>20</v>
      </c>
      <c r="T2881">
        <f t="shared" si="88"/>
        <v>96</v>
      </c>
      <c r="U2881" t="str">
        <f t="shared" si="89"/>
        <v>Pueblo</v>
      </c>
    </row>
    <row r="2882" spans="1:21" ht="16" x14ac:dyDescent="0.4">
      <c r="A2882" s="7">
        <v>186880</v>
      </c>
      <c r="B2882" s="7" t="s">
        <v>33</v>
      </c>
      <c r="C2882" s="7" t="s">
        <v>17</v>
      </c>
      <c r="D2882" s="7">
        <v>313</v>
      </c>
      <c r="E2882" s="7">
        <v>138</v>
      </c>
      <c r="F2882" s="7">
        <v>216</v>
      </c>
      <c r="G2882" s="7">
        <v>0</v>
      </c>
      <c r="H2882" s="7">
        <v>7617</v>
      </c>
      <c r="I2882" s="7">
        <v>1</v>
      </c>
      <c r="J2882" s="7">
        <v>62</v>
      </c>
      <c r="K2882" s="7">
        <v>165</v>
      </c>
      <c r="L2882" s="7">
        <v>189</v>
      </c>
      <c r="M2882" s="7">
        <v>7.6296296300000002</v>
      </c>
      <c r="N2882">
        <f>VLOOKUP(A2882,vlookup_table!$A:$G,2,FALSE)</f>
        <v>3</v>
      </c>
      <c r="O2882" t="str">
        <f>VLOOKUP(A2882,vlookup_table!$A:$G,3,FALSE)</f>
        <v>MO</v>
      </c>
      <c r="P2882">
        <f>VLOOKUP(A2882,vlookup_table!$A:$G,4,FALSE)</f>
        <v>3903</v>
      </c>
      <c r="Q2882" t="str">
        <f>VLOOKUP(A2882,vlookup_table!$A:$G,5,FALSE)</f>
        <v>R3</v>
      </c>
      <c r="R2882" t="str">
        <f>VLOOKUP(A2882,vlookup_table!$A:$G,6,FALSE)</f>
        <v>F</v>
      </c>
      <c r="S2882">
        <f>VLOOKUP(A2882,vlookup_table!$A:$G,7,FALSE)</f>
        <v>5</v>
      </c>
      <c r="T2882">
        <f t="shared" si="88"/>
        <v>57</v>
      </c>
      <c r="U2882" t="str">
        <f t="shared" si="89"/>
        <v>Rural</v>
      </c>
    </row>
    <row r="2883" spans="1:21" ht="16" x14ac:dyDescent="0.4">
      <c r="A2883" s="7">
        <v>123871</v>
      </c>
      <c r="B2883" s="7" t="s">
        <v>20</v>
      </c>
      <c r="C2883" s="7" t="s">
        <v>14</v>
      </c>
      <c r="D2883" s="7">
        <v>1324</v>
      </c>
      <c r="E2883" s="7">
        <v>770</v>
      </c>
      <c r="F2883" s="7">
        <v>841</v>
      </c>
      <c r="G2883" s="7">
        <v>5</v>
      </c>
      <c r="H2883" s="7">
        <v>33254</v>
      </c>
      <c r="I2883" s="7">
        <v>6</v>
      </c>
      <c r="J2883" s="7">
        <v>28</v>
      </c>
      <c r="K2883" s="7">
        <v>779</v>
      </c>
      <c r="L2883" s="7">
        <v>825</v>
      </c>
      <c r="M2883" s="7">
        <v>8.8000000000000007</v>
      </c>
      <c r="N2883">
        <f>VLOOKUP(A2883,vlookup_table!$A:$G,2,FALSE)</f>
        <v>0</v>
      </c>
      <c r="O2883" t="str">
        <f>VLOOKUP(A2883,vlookup_table!$A:$G,3,FALSE)</f>
        <v>TX</v>
      </c>
      <c r="P2883">
        <f>VLOOKUP(A2883,vlookup_table!$A:$G,4,FALSE)</f>
        <v>5211</v>
      </c>
      <c r="Q2883" t="str">
        <f>VLOOKUP(A2883,vlookup_table!$A:$G,5,FALSE)</f>
        <v>C1</v>
      </c>
      <c r="R2883" t="str">
        <f>VLOOKUP(A2883,vlookup_table!$A:$G,6,FALSE)</f>
        <v>M</v>
      </c>
      <c r="S2883">
        <f>VLOOKUP(A2883,vlookup_table!$A:$G,7,FALSE)</f>
        <v>15</v>
      </c>
      <c r="T2883">
        <f t="shared" ref="T2883:T2946" si="90">97-LEFT(P2883,2)-IF(RIGHT(P2883,2)&gt;6,1,0)</f>
        <v>44</v>
      </c>
      <c r="U2883" t="str">
        <f t="shared" ref="U2883:U2946" si="91">IF(LEFT(Q2883,1)="C","Ciudad",IF(LEFT(Q2883,1)="T","Pueblo",IF(LEFT(Q2883,1)="R","Rural",IF(LEFT(Q2883,1)="S","Suburbano",IF(LEFT(Q2883,1)="U","Urbano","")))))</f>
        <v>Ciudad</v>
      </c>
    </row>
    <row r="2884" spans="1:21" ht="16" x14ac:dyDescent="0.4">
      <c r="A2884" s="7">
        <v>63104</v>
      </c>
      <c r="B2884" s="7" t="s">
        <v>30</v>
      </c>
      <c r="C2884" s="7" t="s">
        <v>14</v>
      </c>
      <c r="D2884" s="7">
        <v>551</v>
      </c>
      <c r="E2884" s="7">
        <v>345</v>
      </c>
      <c r="F2884" s="7">
        <v>414</v>
      </c>
      <c r="G2884" s="7">
        <v>1</v>
      </c>
      <c r="H2884" s="7">
        <v>13717</v>
      </c>
      <c r="I2884" s="7">
        <v>0</v>
      </c>
      <c r="J2884" s="7">
        <v>86</v>
      </c>
      <c r="K2884" s="7">
        <v>376</v>
      </c>
      <c r="L2884" s="7">
        <v>391</v>
      </c>
      <c r="M2884" s="7">
        <v>12.8</v>
      </c>
      <c r="N2884">
        <f>VLOOKUP(A2884,vlookup_table!$A:$G,2,FALSE)</f>
        <v>1</v>
      </c>
      <c r="O2884" t="str">
        <f>VLOOKUP(A2884,vlookup_table!$A:$G,3,FALSE)</f>
        <v>IN</v>
      </c>
      <c r="P2884">
        <f>VLOOKUP(A2884,vlookup_table!$A:$G,4,FALSE)</f>
        <v>4606</v>
      </c>
      <c r="Q2884" t="str">
        <f>VLOOKUP(A2884,vlookup_table!$A:$G,5,FALSE)</f>
        <v>R2</v>
      </c>
      <c r="R2884" t="str">
        <f>VLOOKUP(A2884,vlookup_table!$A:$G,6,FALSE)</f>
        <v>M</v>
      </c>
      <c r="S2884">
        <f>VLOOKUP(A2884,vlookup_table!$A:$G,7,FALSE)</f>
        <v>40</v>
      </c>
      <c r="T2884">
        <f t="shared" si="90"/>
        <v>50</v>
      </c>
      <c r="U2884" t="str">
        <f t="shared" si="91"/>
        <v>Rural</v>
      </c>
    </row>
    <row r="2885" spans="1:21" ht="16" x14ac:dyDescent="0.4">
      <c r="A2885" s="7">
        <v>181770</v>
      </c>
      <c r="B2885" s="7" t="s">
        <v>37</v>
      </c>
      <c r="C2885" s="7" t="s">
        <v>14</v>
      </c>
      <c r="D2885" s="7">
        <v>1461</v>
      </c>
      <c r="E2885" s="7">
        <v>313</v>
      </c>
      <c r="F2885" s="7">
        <v>464</v>
      </c>
      <c r="G2885" s="7">
        <v>20</v>
      </c>
      <c r="H2885" s="7">
        <v>20659</v>
      </c>
      <c r="I2885" s="7">
        <v>7</v>
      </c>
      <c r="J2885" s="7">
        <v>31</v>
      </c>
      <c r="K2885" s="7">
        <v>342</v>
      </c>
      <c r="L2885" s="7">
        <v>411</v>
      </c>
      <c r="M2885" s="7">
        <v>6.3684210529999996</v>
      </c>
      <c r="N2885">
        <f>VLOOKUP(A2885,vlookup_table!$A:$G,2,FALSE)</f>
        <v>1</v>
      </c>
      <c r="O2885" t="str">
        <f>VLOOKUP(A2885,vlookup_table!$A:$G,3,FALSE)</f>
        <v>WA</v>
      </c>
      <c r="P2885">
        <f>VLOOKUP(A2885,vlookup_table!$A:$G,4,FALSE)</f>
        <v>2601</v>
      </c>
      <c r="Q2885" t="str">
        <f>VLOOKUP(A2885,vlookup_table!$A:$G,5,FALSE)</f>
        <v>C1</v>
      </c>
      <c r="R2885" t="str">
        <f>VLOOKUP(A2885,vlookup_table!$A:$G,6,FALSE)</f>
        <v>M</v>
      </c>
      <c r="S2885">
        <f>VLOOKUP(A2885,vlookup_table!$A:$G,7,FALSE)</f>
        <v>7</v>
      </c>
      <c r="T2885">
        <f t="shared" si="90"/>
        <v>70</v>
      </c>
      <c r="U2885" t="str">
        <f t="shared" si="91"/>
        <v>Ciudad</v>
      </c>
    </row>
    <row r="2886" spans="1:21" ht="16" x14ac:dyDescent="0.4">
      <c r="A2886" s="7">
        <v>142466</v>
      </c>
      <c r="B2886" s="7" t="s">
        <v>21</v>
      </c>
      <c r="C2886" s="7" t="s">
        <v>17</v>
      </c>
      <c r="D2886" s="7">
        <v>951</v>
      </c>
      <c r="E2886" s="7">
        <v>168</v>
      </c>
      <c r="F2886" s="7">
        <v>229</v>
      </c>
      <c r="G2886" s="7">
        <v>2</v>
      </c>
      <c r="H2886" s="7">
        <v>5893</v>
      </c>
      <c r="I2886" s="7">
        <v>33</v>
      </c>
      <c r="J2886" s="7">
        <v>43</v>
      </c>
      <c r="K2886" s="7">
        <v>178</v>
      </c>
      <c r="L2886" s="7">
        <v>222</v>
      </c>
      <c r="M2886" s="7">
        <v>17.875</v>
      </c>
      <c r="N2886">
        <f>VLOOKUP(A2886,vlookup_table!$A:$G,2,FALSE)</f>
        <v>2</v>
      </c>
      <c r="O2886" t="str">
        <f>VLOOKUP(A2886,vlookup_table!$A:$G,3,FALSE)</f>
        <v>CA</v>
      </c>
      <c r="P2886">
        <f>VLOOKUP(A2886,vlookup_table!$A:$G,4,FALSE)</f>
        <v>3805</v>
      </c>
      <c r="Q2886" t="str">
        <f>VLOOKUP(A2886,vlookup_table!$A:$G,5,FALSE)</f>
        <v>U4</v>
      </c>
      <c r="R2886" t="str">
        <f>VLOOKUP(A2886,vlookup_table!$A:$G,6,FALSE)</f>
        <v>F</v>
      </c>
      <c r="S2886">
        <f>VLOOKUP(A2886,vlookup_table!$A:$G,7,FALSE)</f>
        <v>20</v>
      </c>
      <c r="T2886">
        <f t="shared" si="90"/>
        <v>58</v>
      </c>
      <c r="U2886" t="str">
        <f t="shared" si="91"/>
        <v>Urbano</v>
      </c>
    </row>
    <row r="2887" spans="1:21" ht="16" x14ac:dyDescent="0.4">
      <c r="A2887" s="7">
        <v>58284</v>
      </c>
      <c r="B2887" s="7" t="s">
        <v>53</v>
      </c>
      <c r="C2887" s="7" t="s">
        <v>17</v>
      </c>
      <c r="D2887" s="7">
        <v>463</v>
      </c>
      <c r="E2887" s="7">
        <v>225</v>
      </c>
      <c r="F2887" s="7">
        <v>319</v>
      </c>
      <c r="G2887" s="7">
        <v>0</v>
      </c>
      <c r="H2887" s="7">
        <v>11650</v>
      </c>
      <c r="I2887" s="7">
        <v>0</v>
      </c>
      <c r="J2887" s="7">
        <v>74</v>
      </c>
      <c r="K2887" s="7">
        <v>274</v>
      </c>
      <c r="L2887" s="7">
        <v>278</v>
      </c>
      <c r="M2887" s="7">
        <v>3.6875</v>
      </c>
      <c r="N2887">
        <f>VLOOKUP(A2887,vlookup_table!$A:$G,2,FALSE)</f>
        <v>2</v>
      </c>
      <c r="O2887" t="str">
        <f>VLOOKUP(A2887,vlookup_table!$A:$G,3,FALSE)</f>
        <v>KY</v>
      </c>
      <c r="P2887">
        <f>VLOOKUP(A2887,vlookup_table!$A:$G,4,FALSE)</f>
        <v>3201</v>
      </c>
      <c r="Q2887" t="str">
        <f>VLOOKUP(A2887,vlookup_table!$A:$G,5,FALSE)</f>
        <v>R2</v>
      </c>
      <c r="R2887" t="str">
        <f>VLOOKUP(A2887,vlookup_table!$A:$G,6,FALSE)</f>
        <v>F</v>
      </c>
      <c r="S2887">
        <f>VLOOKUP(A2887,vlookup_table!$A:$G,7,FALSE)</f>
        <v>4</v>
      </c>
      <c r="T2887">
        <f t="shared" si="90"/>
        <v>64</v>
      </c>
      <c r="U2887" t="str">
        <f t="shared" si="91"/>
        <v>Rural</v>
      </c>
    </row>
    <row r="2888" spans="1:21" ht="16" x14ac:dyDescent="0.4">
      <c r="A2888" s="7">
        <v>126483</v>
      </c>
      <c r="B2888" s="7" t="s">
        <v>20</v>
      </c>
      <c r="C2888" s="7" t="s">
        <v>14</v>
      </c>
      <c r="D2888" s="7">
        <v>373</v>
      </c>
      <c r="E2888" s="7">
        <v>168</v>
      </c>
      <c r="F2888" s="7">
        <v>239</v>
      </c>
      <c r="G2888" s="7">
        <v>1</v>
      </c>
      <c r="H2888" s="7">
        <v>7538</v>
      </c>
      <c r="I2888" s="7">
        <v>15</v>
      </c>
      <c r="J2888" s="7">
        <v>66</v>
      </c>
      <c r="K2888" s="7">
        <v>190</v>
      </c>
      <c r="L2888" s="7">
        <v>221</v>
      </c>
      <c r="M2888" s="7">
        <v>15</v>
      </c>
      <c r="N2888">
        <f>VLOOKUP(A2888,vlookup_table!$A:$G,2,FALSE)</f>
        <v>1</v>
      </c>
      <c r="O2888" t="str">
        <f>VLOOKUP(A2888,vlookup_table!$A:$G,3,FALSE)</f>
        <v>TX</v>
      </c>
      <c r="P2888">
        <f>VLOOKUP(A2888,vlookup_table!$A:$G,4,FALSE)</f>
        <v>2001</v>
      </c>
      <c r="Q2888" t="str">
        <f>VLOOKUP(A2888,vlookup_table!$A:$G,5,FALSE)</f>
        <v>C2</v>
      </c>
      <c r="R2888" t="str">
        <f>VLOOKUP(A2888,vlookup_table!$A:$G,6,FALSE)</f>
        <v>M</v>
      </c>
      <c r="S2888">
        <f>VLOOKUP(A2888,vlookup_table!$A:$G,7,FALSE)</f>
        <v>15</v>
      </c>
      <c r="T2888">
        <f t="shared" si="90"/>
        <v>76</v>
      </c>
      <c r="U2888" t="str">
        <f t="shared" si="91"/>
        <v>Ciudad</v>
      </c>
    </row>
    <row r="2889" spans="1:21" ht="16" x14ac:dyDescent="0.4">
      <c r="A2889" s="7">
        <v>56451</v>
      </c>
      <c r="B2889" s="7" t="s">
        <v>53</v>
      </c>
      <c r="C2889" s="7" t="s">
        <v>14</v>
      </c>
      <c r="D2889" s="7">
        <v>781</v>
      </c>
      <c r="E2889" s="7">
        <v>403</v>
      </c>
      <c r="F2889" s="7">
        <v>473</v>
      </c>
      <c r="G2889" s="7">
        <v>0</v>
      </c>
      <c r="H2889" s="7">
        <v>15259</v>
      </c>
      <c r="I2889" s="7">
        <v>1</v>
      </c>
      <c r="J2889" s="7">
        <v>81</v>
      </c>
      <c r="K2889" s="7">
        <v>422</v>
      </c>
      <c r="L2889" s="7">
        <v>434</v>
      </c>
      <c r="M2889" s="7">
        <v>7.8</v>
      </c>
      <c r="N2889">
        <f>VLOOKUP(A2889,vlookup_table!$A:$G,2,FALSE)</f>
        <v>2</v>
      </c>
      <c r="O2889" t="str">
        <f>VLOOKUP(A2889,vlookup_table!$A:$G,3,FALSE)</f>
        <v>KY</v>
      </c>
      <c r="P2889">
        <f>VLOOKUP(A2889,vlookup_table!$A:$G,4,FALSE)</f>
        <v>3801</v>
      </c>
      <c r="Q2889" t="str">
        <f>VLOOKUP(A2889,vlookup_table!$A:$G,5,FALSE)</f>
        <v>T2</v>
      </c>
      <c r="R2889" t="str">
        <f>VLOOKUP(A2889,vlookup_table!$A:$G,6,FALSE)</f>
        <v>M</v>
      </c>
      <c r="S2889">
        <f>VLOOKUP(A2889,vlookup_table!$A:$G,7,FALSE)</f>
        <v>8</v>
      </c>
      <c r="T2889">
        <f t="shared" si="90"/>
        <v>58</v>
      </c>
      <c r="U2889" t="str">
        <f t="shared" si="91"/>
        <v>Pueblo</v>
      </c>
    </row>
    <row r="2890" spans="1:21" ht="16" x14ac:dyDescent="0.4">
      <c r="A2890" s="7">
        <v>103111</v>
      </c>
      <c r="B2890" s="7" t="s">
        <v>33</v>
      </c>
      <c r="C2890" s="7" t="s">
        <v>17</v>
      </c>
      <c r="D2890" s="7">
        <v>509</v>
      </c>
      <c r="E2890" s="7">
        <v>373</v>
      </c>
      <c r="F2890" s="7">
        <v>430</v>
      </c>
      <c r="G2890" s="7">
        <v>0</v>
      </c>
      <c r="H2890" s="7">
        <v>12992</v>
      </c>
      <c r="I2890" s="7">
        <v>0</v>
      </c>
      <c r="J2890" s="7">
        <v>90</v>
      </c>
      <c r="K2890" s="7">
        <v>377</v>
      </c>
      <c r="L2890" s="7">
        <v>410</v>
      </c>
      <c r="M2890" s="7">
        <v>15</v>
      </c>
      <c r="N2890">
        <f>VLOOKUP(A2890,vlookup_table!$A:$G,2,FALSE)</f>
        <v>0</v>
      </c>
      <c r="O2890" t="str">
        <f>VLOOKUP(A2890,vlookup_table!$A:$G,3,FALSE)</f>
        <v>MO</v>
      </c>
      <c r="P2890">
        <f>VLOOKUP(A2890,vlookup_table!$A:$G,4,FALSE)</f>
        <v>6701</v>
      </c>
      <c r="Q2890" t="str">
        <f>VLOOKUP(A2890,vlookup_table!$A:$G,5,FALSE)</f>
        <v>R2</v>
      </c>
      <c r="R2890" t="str">
        <f>VLOOKUP(A2890,vlookup_table!$A:$G,6,FALSE)</f>
        <v>F</v>
      </c>
      <c r="S2890">
        <f>VLOOKUP(A2890,vlookup_table!$A:$G,7,FALSE)</f>
        <v>10</v>
      </c>
      <c r="T2890">
        <f t="shared" si="90"/>
        <v>29</v>
      </c>
      <c r="U2890" t="str">
        <f t="shared" si="91"/>
        <v>Rural</v>
      </c>
    </row>
    <row r="2891" spans="1:21" ht="16" x14ac:dyDescent="0.4">
      <c r="A2891" s="7">
        <v>3825</v>
      </c>
      <c r="B2891" s="7" t="s">
        <v>23</v>
      </c>
      <c r="C2891" s="7" t="s">
        <v>14</v>
      </c>
      <c r="D2891" s="7">
        <v>943</v>
      </c>
      <c r="E2891" s="7">
        <v>412</v>
      </c>
      <c r="F2891" s="7">
        <v>413</v>
      </c>
      <c r="G2891" s="7">
        <v>0</v>
      </c>
      <c r="H2891" s="7">
        <v>15479</v>
      </c>
      <c r="I2891" s="7">
        <v>4</v>
      </c>
      <c r="J2891" s="7">
        <v>29</v>
      </c>
      <c r="K2891" s="7">
        <v>403</v>
      </c>
      <c r="L2891" s="7">
        <v>435</v>
      </c>
      <c r="M2891" s="7">
        <v>11.56</v>
      </c>
      <c r="N2891">
        <f>VLOOKUP(A2891,vlookup_table!$A:$G,2,FALSE)</f>
        <v>1</v>
      </c>
      <c r="O2891" t="str">
        <f>VLOOKUP(A2891,vlookup_table!$A:$G,3,FALSE)</f>
        <v>NV</v>
      </c>
      <c r="P2891">
        <f>VLOOKUP(A2891,vlookup_table!$A:$G,4,FALSE)</f>
        <v>2404</v>
      </c>
      <c r="Q2891" t="str">
        <f>VLOOKUP(A2891,vlookup_table!$A:$G,5,FALSE)</f>
        <v>S2</v>
      </c>
      <c r="R2891" t="str">
        <f>VLOOKUP(A2891,vlookup_table!$A:$G,6,FALSE)</f>
        <v>M</v>
      </c>
      <c r="S2891">
        <f>VLOOKUP(A2891,vlookup_table!$A:$G,7,FALSE)</f>
        <v>15</v>
      </c>
      <c r="T2891">
        <f t="shared" si="90"/>
        <v>72</v>
      </c>
      <c r="U2891" t="str">
        <f t="shared" si="91"/>
        <v>Suburbano</v>
      </c>
    </row>
    <row r="2892" spans="1:21" ht="16" x14ac:dyDescent="0.4">
      <c r="A2892" s="7">
        <v>17145</v>
      </c>
      <c r="B2892" s="7" t="s">
        <v>18</v>
      </c>
      <c r="C2892" s="7" t="s">
        <v>97</v>
      </c>
      <c r="D2892" s="7">
        <v>497</v>
      </c>
      <c r="E2892" s="7">
        <v>207</v>
      </c>
      <c r="F2892" s="7">
        <v>303</v>
      </c>
      <c r="G2892" s="7">
        <v>0</v>
      </c>
      <c r="H2892" s="7">
        <v>10030</v>
      </c>
      <c r="I2892" s="7">
        <v>0</v>
      </c>
      <c r="J2892" s="7">
        <v>91</v>
      </c>
      <c r="K2892" s="7">
        <v>250</v>
      </c>
      <c r="L2892" s="7">
        <v>254</v>
      </c>
      <c r="M2892" s="7">
        <v>20</v>
      </c>
      <c r="N2892">
        <f>VLOOKUP(A2892,vlookup_table!$A:$G,2,FALSE)</f>
        <v>0</v>
      </c>
      <c r="O2892" t="str">
        <f>VLOOKUP(A2892,vlookup_table!$A:$G,3,FALSE)</f>
        <v>NC</v>
      </c>
      <c r="P2892">
        <f>VLOOKUP(A2892,vlookup_table!$A:$G,4,FALSE)</f>
        <v>0</v>
      </c>
      <c r="Q2892" t="str">
        <f>VLOOKUP(A2892,vlookup_table!$A:$G,5,FALSE)</f>
        <v>R3</v>
      </c>
      <c r="R2892" t="str">
        <f>VLOOKUP(A2892,vlookup_table!$A:$G,6,FALSE)</f>
        <v>F</v>
      </c>
      <c r="S2892">
        <f>VLOOKUP(A2892,vlookup_table!$A:$G,7,FALSE)</f>
        <v>20</v>
      </c>
      <c r="T2892">
        <f t="shared" si="90"/>
        <v>96</v>
      </c>
      <c r="U2892" t="str">
        <f t="shared" si="91"/>
        <v>Rural</v>
      </c>
    </row>
    <row r="2893" spans="1:21" ht="16" x14ac:dyDescent="0.4">
      <c r="A2893" s="7">
        <v>159868</v>
      </c>
      <c r="B2893" s="7" t="s">
        <v>21</v>
      </c>
      <c r="C2893" s="7" t="s">
        <v>17</v>
      </c>
      <c r="D2893" s="7">
        <v>714</v>
      </c>
      <c r="E2893" s="7">
        <v>343</v>
      </c>
      <c r="F2893" s="7">
        <v>391</v>
      </c>
      <c r="G2893" s="7">
        <v>0</v>
      </c>
      <c r="H2893" s="7">
        <v>12568</v>
      </c>
      <c r="I2893" s="7">
        <v>3</v>
      </c>
      <c r="J2893" s="7">
        <v>69</v>
      </c>
      <c r="K2893" s="7">
        <v>363</v>
      </c>
      <c r="L2893" s="7">
        <v>372</v>
      </c>
      <c r="M2893" s="7">
        <v>9.0555555559999998</v>
      </c>
      <c r="N2893">
        <f>VLOOKUP(A2893,vlookup_table!$A:$G,2,FALSE)</f>
        <v>2</v>
      </c>
      <c r="O2893" t="str">
        <f>VLOOKUP(A2893,vlookup_table!$A:$G,3,FALSE)</f>
        <v>CA</v>
      </c>
      <c r="P2893">
        <f>VLOOKUP(A2893,vlookup_table!$A:$G,4,FALSE)</f>
        <v>2302</v>
      </c>
      <c r="Q2893" t="str">
        <f>VLOOKUP(A2893,vlookup_table!$A:$G,5,FALSE)</f>
        <v>C3</v>
      </c>
      <c r="R2893" t="str">
        <f>VLOOKUP(A2893,vlookup_table!$A:$G,6,FALSE)</f>
        <v>F</v>
      </c>
      <c r="S2893">
        <f>VLOOKUP(A2893,vlookup_table!$A:$G,7,FALSE)</f>
        <v>15</v>
      </c>
      <c r="T2893">
        <f t="shared" si="90"/>
        <v>73</v>
      </c>
      <c r="U2893" t="str">
        <f t="shared" si="91"/>
        <v>Ciudad</v>
      </c>
    </row>
    <row r="2894" spans="1:21" ht="16" x14ac:dyDescent="0.4">
      <c r="A2894" s="7">
        <v>24722</v>
      </c>
      <c r="B2894" s="7" t="s">
        <v>43</v>
      </c>
      <c r="C2894" s="7" t="s">
        <v>14</v>
      </c>
      <c r="D2894" s="7">
        <v>551</v>
      </c>
      <c r="E2894" s="7">
        <v>247</v>
      </c>
      <c r="F2894" s="7">
        <v>354</v>
      </c>
      <c r="G2894" s="7">
        <v>2</v>
      </c>
      <c r="H2894" s="7">
        <v>12254</v>
      </c>
      <c r="I2894" s="7">
        <v>1</v>
      </c>
      <c r="J2894" s="7">
        <v>82</v>
      </c>
      <c r="K2894" s="7">
        <v>309</v>
      </c>
      <c r="L2894" s="7">
        <v>316</v>
      </c>
      <c r="M2894" s="7">
        <v>3.2888888889999999</v>
      </c>
      <c r="N2894">
        <f>VLOOKUP(A2894,vlookup_table!$A:$G,2,FALSE)</f>
        <v>1</v>
      </c>
      <c r="O2894" t="str">
        <f>VLOOKUP(A2894,vlookup_table!$A:$G,3,FALSE)</f>
        <v>SC</v>
      </c>
      <c r="P2894">
        <f>VLOOKUP(A2894,vlookup_table!$A:$G,4,FALSE)</f>
        <v>4401</v>
      </c>
      <c r="Q2894" t="str">
        <f>VLOOKUP(A2894,vlookup_table!$A:$G,5,FALSE)</f>
        <v>T2</v>
      </c>
      <c r="R2894" t="str">
        <f>VLOOKUP(A2894,vlookup_table!$A:$G,6,FALSE)</f>
        <v>M</v>
      </c>
      <c r="S2894">
        <f>VLOOKUP(A2894,vlookup_table!$A:$G,7,FALSE)</f>
        <v>3</v>
      </c>
      <c r="T2894">
        <f t="shared" si="90"/>
        <v>52</v>
      </c>
      <c r="U2894" t="str">
        <f t="shared" si="91"/>
        <v>Pueblo</v>
      </c>
    </row>
    <row r="2895" spans="1:21" ht="16" x14ac:dyDescent="0.4">
      <c r="A2895" s="7">
        <v>101058</v>
      </c>
      <c r="B2895" s="7" t="s">
        <v>33</v>
      </c>
      <c r="C2895" s="7" t="s">
        <v>17</v>
      </c>
      <c r="D2895" s="7">
        <v>1123</v>
      </c>
      <c r="E2895" s="7">
        <v>547</v>
      </c>
      <c r="F2895" s="7">
        <v>662</v>
      </c>
      <c r="G2895" s="7">
        <v>20</v>
      </c>
      <c r="H2895" s="7">
        <v>20264</v>
      </c>
      <c r="I2895" s="7">
        <v>1</v>
      </c>
      <c r="J2895" s="7">
        <v>59</v>
      </c>
      <c r="K2895" s="7">
        <v>575</v>
      </c>
      <c r="L2895" s="7">
        <v>631</v>
      </c>
      <c r="M2895" s="7">
        <v>8.230769231</v>
      </c>
      <c r="N2895">
        <f>VLOOKUP(A2895,vlookup_table!$A:$G,2,FALSE)</f>
        <v>28</v>
      </c>
      <c r="O2895" t="str">
        <f>VLOOKUP(A2895,vlookup_table!$A:$G,3,FALSE)</f>
        <v>MO</v>
      </c>
      <c r="P2895">
        <f>VLOOKUP(A2895,vlookup_table!$A:$G,4,FALSE)</f>
        <v>4001</v>
      </c>
      <c r="Q2895" t="str">
        <f>VLOOKUP(A2895,vlookup_table!$A:$G,5,FALSE)</f>
        <v>T1</v>
      </c>
      <c r="R2895" t="str">
        <f>VLOOKUP(A2895,vlookup_table!$A:$G,6,FALSE)</f>
        <v>F</v>
      </c>
      <c r="S2895">
        <f>VLOOKUP(A2895,vlookup_table!$A:$G,7,FALSE)</f>
        <v>10</v>
      </c>
      <c r="T2895">
        <f t="shared" si="90"/>
        <v>56</v>
      </c>
      <c r="U2895" t="str">
        <f t="shared" si="91"/>
        <v>Pueblo</v>
      </c>
    </row>
    <row r="2896" spans="1:21" ht="16" x14ac:dyDescent="0.4">
      <c r="A2896" s="7">
        <v>12822</v>
      </c>
      <c r="B2896" s="7" t="s">
        <v>46</v>
      </c>
      <c r="C2896" s="7" t="s">
        <v>17</v>
      </c>
      <c r="D2896" s="7">
        <v>544</v>
      </c>
      <c r="E2896" s="7">
        <v>255</v>
      </c>
      <c r="F2896" s="7">
        <v>313</v>
      </c>
      <c r="G2896" s="7">
        <v>5</v>
      </c>
      <c r="H2896" s="7">
        <v>10281</v>
      </c>
      <c r="I2896" s="7">
        <v>0</v>
      </c>
      <c r="J2896" s="7">
        <v>84</v>
      </c>
      <c r="K2896" s="7">
        <v>305</v>
      </c>
      <c r="L2896" s="7">
        <v>282</v>
      </c>
      <c r="M2896" s="7">
        <v>6.6666666670000003</v>
      </c>
      <c r="N2896">
        <f>VLOOKUP(A2896,vlookup_table!$A:$G,2,FALSE)</f>
        <v>28</v>
      </c>
      <c r="O2896" t="str">
        <f>VLOOKUP(A2896,vlookup_table!$A:$G,3,FALSE)</f>
        <v>LA</v>
      </c>
      <c r="P2896">
        <f>VLOOKUP(A2896,vlookup_table!$A:$G,4,FALSE)</f>
        <v>103</v>
      </c>
      <c r="Q2896" t="str">
        <f>VLOOKUP(A2896,vlookup_table!$A:$G,5,FALSE)</f>
        <v>T2</v>
      </c>
      <c r="R2896" t="str">
        <f>VLOOKUP(A2896,vlookup_table!$A:$G,6,FALSE)</f>
        <v>F</v>
      </c>
      <c r="S2896">
        <f>VLOOKUP(A2896,vlookup_table!$A:$G,7,FALSE)</f>
        <v>5</v>
      </c>
      <c r="T2896">
        <f t="shared" si="90"/>
        <v>86</v>
      </c>
      <c r="U2896" t="str">
        <f t="shared" si="91"/>
        <v>Pueblo</v>
      </c>
    </row>
    <row r="2897" spans="1:21" ht="16" x14ac:dyDescent="0.4">
      <c r="A2897" s="7">
        <v>6185</v>
      </c>
      <c r="B2897" s="7" t="s">
        <v>21</v>
      </c>
      <c r="C2897" s="7" t="s">
        <v>17</v>
      </c>
      <c r="D2897" s="7">
        <v>2258</v>
      </c>
      <c r="E2897" s="7">
        <v>360</v>
      </c>
      <c r="F2897" s="7">
        <v>470</v>
      </c>
      <c r="G2897" s="7">
        <v>66</v>
      </c>
      <c r="H2897" s="7">
        <v>15758</v>
      </c>
      <c r="I2897" s="7">
        <v>23</v>
      </c>
      <c r="J2897" s="7">
        <v>44</v>
      </c>
      <c r="K2897" s="7">
        <v>428</v>
      </c>
      <c r="L2897" s="7">
        <v>398</v>
      </c>
      <c r="M2897" s="7">
        <v>13.636363640000001</v>
      </c>
      <c r="N2897">
        <f>VLOOKUP(A2897,vlookup_table!$A:$G,2,FALSE)</f>
        <v>0</v>
      </c>
      <c r="O2897" t="str">
        <f>VLOOKUP(A2897,vlookup_table!$A:$G,3,FALSE)</f>
        <v>CA</v>
      </c>
      <c r="P2897">
        <f>VLOOKUP(A2897,vlookup_table!$A:$G,4,FALSE)</f>
        <v>2501</v>
      </c>
      <c r="Q2897" t="str">
        <f>VLOOKUP(A2897,vlookup_table!$A:$G,5,FALSE)</f>
        <v>U2</v>
      </c>
      <c r="R2897" t="str">
        <f>VLOOKUP(A2897,vlookup_table!$A:$G,6,FALSE)</f>
        <v>F</v>
      </c>
      <c r="S2897">
        <f>VLOOKUP(A2897,vlookup_table!$A:$G,7,FALSE)</f>
        <v>30</v>
      </c>
      <c r="T2897">
        <f t="shared" si="90"/>
        <v>71</v>
      </c>
      <c r="U2897" t="str">
        <f t="shared" si="91"/>
        <v>Urbano</v>
      </c>
    </row>
    <row r="2898" spans="1:21" ht="16" x14ac:dyDescent="0.4">
      <c r="A2898" s="7">
        <v>172929</v>
      </c>
      <c r="B2898" s="7" t="s">
        <v>21</v>
      </c>
      <c r="C2898" s="7" t="s">
        <v>17</v>
      </c>
      <c r="D2898" s="7">
        <v>1516</v>
      </c>
      <c r="E2898" s="7">
        <v>369</v>
      </c>
      <c r="F2898" s="7">
        <v>539</v>
      </c>
      <c r="G2898" s="7">
        <v>34</v>
      </c>
      <c r="H2898" s="7">
        <v>16810</v>
      </c>
      <c r="I2898" s="7">
        <v>4</v>
      </c>
      <c r="J2898" s="7">
        <v>56</v>
      </c>
      <c r="K2898" s="7">
        <v>430</v>
      </c>
      <c r="L2898" s="7">
        <v>491</v>
      </c>
      <c r="M2898" s="7">
        <v>5.4</v>
      </c>
      <c r="N2898">
        <f>VLOOKUP(A2898,vlookup_table!$A:$G,2,FALSE)</f>
        <v>0</v>
      </c>
      <c r="O2898" t="str">
        <f>VLOOKUP(A2898,vlookup_table!$A:$G,3,FALSE)</f>
        <v>CA</v>
      </c>
      <c r="P2898">
        <f>VLOOKUP(A2898,vlookup_table!$A:$G,4,FALSE)</f>
        <v>4801</v>
      </c>
      <c r="Q2898" t="str">
        <f>VLOOKUP(A2898,vlookup_table!$A:$G,5,FALSE)</f>
        <v>C2</v>
      </c>
      <c r="R2898" t="str">
        <f>VLOOKUP(A2898,vlookup_table!$A:$G,6,FALSE)</f>
        <v>F</v>
      </c>
      <c r="S2898">
        <f>VLOOKUP(A2898,vlookup_table!$A:$G,7,FALSE)</f>
        <v>6</v>
      </c>
      <c r="T2898">
        <f t="shared" si="90"/>
        <v>48</v>
      </c>
      <c r="U2898" t="str">
        <f t="shared" si="91"/>
        <v>Ciudad</v>
      </c>
    </row>
    <row r="2899" spans="1:21" ht="16" x14ac:dyDescent="0.4">
      <c r="A2899" s="7">
        <v>161492</v>
      </c>
      <c r="B2899" s="7" t="s">
        <v>21</v>
      </c>
      <c r="C2899" s="7" t="s">
        <v>17</v>
      </c>
      <c r="D2899" s="7">
        <v>1437</v>
      </c>
      <c r="E2899" s="7">
        <v>509</v>
      </c>
      <c r="F2899" s="7">
        <v>664</v>
      </c>
      <c r="G2899" s="7">
        <v>23</v>
      </c>
      <c r="H2899" s="7">
        <v>25226</v>
      </c>
      <c r="I2899" s="7">
        <v>11</v>
      </c>
      <c r="J2899" s="7">
        <v>58</v>
      </c>
      <c r="K2899" s="7">
        <v>575</v>
      </c>
      <c r="L2899" s="7">
        <v>611</v>
      </c>
      <c r="M2899" s="7">
        <v>25</v>
      </c>
      <c r="N2899">
        <f>VLOOKUP(A2899,vlookup_table!$A:$G,2,FALSE)</f>
        <v>0</v>
      </c>
      <c r="O2899" t="str">
        <f>VLOOKUP(A2899,vlookup_table!$A:$G,3,FALSE)</f>
        <v>CA</v>
      </c>
      <c r="P2899">
        <f>VLOOKUP(A2899,vlookup_table!$A:$G,4,FALSE)</f>
        <v>2401</v>
      </c>
      <c r="Q2899" t="str">
        <f>VLOOKUP(A2899,vlookup_table!$A:$G,5,FALSE)</f>
        <v>S1</v>
      </c>
      <c r="R2899" t="str">
        <f>VLOOKUP(A2899,vlookup_table!$A:$G,6,FALSE)</f>
        <v>F</v>
      </c>
      <c r="S2899">
        <f>VLOOKUP(A2899,vlookup_table!$A:$G,7,FALSE)</f>
        <v>16</v>
      </c>
      <c r="T2899">
        <f t="shared" si="90"/>
        <v>72</v>
      </c>
      <c r="U2899" t="str">
        <f t="shared" si="91"/>
        <v>Suburbano</v>
      </c>
    </row>
    <row r="2900" spans="1:21" ht="16" x14ac:dyDescent="0.4">
      <c r="A2900" s="7">
        <v>2154</v>
      </c>
      <c r="B2900" s="7" t="s">
        <v>32</v>
      </c>
      <c r="C2900" s="7" t="s">
        <v>14</v>
      </c>
      <c r="D2900" s="7">
        <v>655</v>
      </c>
      <c r="E2900" s="7">
        <v>258</v>
      </c>
      <c r="F2900" s="7">
        <v>344</v>
      </c>
      <c r="G2900" s="7">
        <v>3</v>
      </c>
      <c r="H2900" s="7">
        <v>13780</v>
      </c>
      <c r="I2900" s="7">
        <v>2</v>
      </c>
      <c r="J2900" s="7">
        <v>74</v>
      </c>
      <c r="K2900" s="7">
        <v>274</v>
      </c>
      <c r="L2900" s="7">
        <v>314</v>
      </c>
      <c r="M2900" s="7">
        <v>19.399999999999999</v>
      </c>
      <c r="N2900">
        <f>VLOOKUP(A2900,vlookup_table!$A:$G,2,FALSE)</f>
        <v>0</v>
      </c>
      <c r="O2900" t="str">
        <f>VLOOKUP(A2900,vlookup_table!$A:$G,3,FALSE)</f>
        <v>WI</v>
      </c>
      <c r="P2900">
        <f>VLOOKUP(A2900,vlookup_table!$A:$G,4,FALSE)</f>
        <v>2004</v>
      </c>
      <c r="Q2900" t="str">
        <f>VLOOKUP(A2900,vlookup_table!$A:$G,5,FALSE)</f>
        <v>R2</v>
      </c>
      <c r="R2900" t="str">
        <f>VLOOKUP(A2900,vlookup_table!$A:$G,6,FALSE)</f>
        <v>M</v>
      </c>
      <c r="S2900">
        <f>VLOOKUP(A2900,vlookup_table!$A:$G,7,FALSE)</f>
        <v>15</v>
      </c>
      <c r="T2900">
        <f t="shared" si="90"/>
        <v>76</v>
      </c>
      <c r="U2900" t="str">
        <f t="shared" si="91"/>
        <v>Rural</v>
      </c>
    </row>
    <row r="2901" spans="1:21" ht="16" x14ac:dyDescent="0.4">
      <c r="A2901" s="7">
        <v>100430</v>
      </c>
      <c r="B2901" s="7" t="s">
        <v>33</v>
      </c>
      <c r="C2901" s="7" t="s">
        <v>17</v>
      </c>
      <c r="D2901" s="7">
        <v>2083</v>
      </c>
      <c r="E2901" s="7">
        <v>662</v>
      </c>
      <c r="F2901" s="7">
        <v>861</v>
      </c>
      <c r="G2901" s="7">
        <v>56</v>
      </c>
      <c r="H2901" s="7">
        <v>30627</v>
      </c>
      <c r="I2901" s="7">
        <v>7</v>
      </c>
      <c r="J2901" s="7">
        <v>48</v>
      </c>
      <c r="K2901" s="7">
        <v>833</v>
      </c>
      <c r="L2901" s="7">
        <v>726</v>
      </c>
      <c r="M2901" s="7">
        <v>40</v>
      </c>
      <c r="N2901">
        <f>VLOOKUP(A2901,vlookup_table!$A:$G,2,FALSE)</f>
        <v>0</v>
      </c>
      <c r="O2901" t="str">
        <f>VLOOKUP(A2901,vlookup_table!$A:$G,3,FALSE)</f>
        <v>MO</v>
      </c>
      <c r="P2901">
        <f>VLOOKUP(A2901,vlookup_table!$A:$G,4,FALSE)</f>
        <v>4010</v>
      </c>
      <c r="Q2901" t="str">
        <f>VLOOKUP(A2901,vlookup_table!$A:$G,5,FALSE)</f>
        <v>S1</v>
      </c>
      <c r="R2901" t="str">
        <f>VLOOKUP(A2901,vlookup_table!$A:$G,6,FALSE)</f>
        <v>F</v>
      </c>
      <c r="S2901">
        <f>VLOOKUP(A2901,vlookup_table!$A:$G,7,FALSE)</f>
        <v>25</v>
      </c>
      <c r="T2901">
        <f t="shared" si="90"/>
        <v>56</v>
      </c>
      <c r="U2901" t="str">
        <f t="shared" si="91"/>
        <v>Suburbano</v>
      </c>
    </row>
    <row r="2902" spans="1:21" ht="16" x14ac:dyDescent="0.4">
      <c r="A2902" s="7">
        <v>153213</v>
      </c>
      <c r="B2902" s="7" t="s">
        <v>21</v>
      </c>
      <c r="C2902" s="7" t="s">
        <v>17</v>
      </c>
      <c r="D2902" s="7">
        <v>2977</v>
      </c>
      <c r="E2902" s="7">
        <v>553</v>
      </c>
      <c r="F2902" s="7">
        <v>721</v>
      </c>
      <c r="G2902" s="7">
        <v>85</v>
      </c>
      <c r="H2902" s="7">
        <v>33460</v>
      </c>
      <c r="I2902" s="7">
        <v>7</v>
      </c>
      <c r="J2902" s="7">
        <v>48</v>
      </c>
      <c r="K2902" s="7">
        <v>659</v>
      </c>
      <c r="L2902" s="7">
        <v>627</v>
      </c>
      <c r="M2902" s="7">
        <v>13.14285714</v>
      </c>
      <c r="N2902">
        <f>VLOOKUP(A2902,vlookup_table!$A:$G,2,FALSE)</f>
        <v>0</v>
      </c>
      <c r="O2902" t="str">
        <f>VLOOKUP(A2902,vlookup_table!$A:$G,3,FALSE)</f>
        <v>CA</v>
      </c>
      <c r="P2902">
        <f>VLOOKUP(A2902,vlookup_table!$A:$G,4,FALSE)</f>
        <v>0</v>
      </c>
      <c r="Q2902" t="str">
        <f>VLOOKUP(A2902,vlookup_table!$A:$G,5,FALSE)</f>
        <v>U1</v>
      </c>
      <c r="R2902" t="str">
        <f>VLOOKUP(A2902,vlookup_table!$A:$G,6,FALSE)</f>
        <v>F</v>
      </c>
      <c r="S2902">
        <f>VLOOKUP(A2902,vlookup_table!$A:$G,7,FALSE)</f>
        <v>5</v>
      </c>
      <c r="T2902">
        <f t="shared" si="90"/>
        <v>96</v>
      </c>
      <c r="U2902" t="str">
        <f t="shared" si="91"/>
        <v>Urbano</v>
      </c>
    </row>
    <row r="2903" spans="1:21" ht="16" x14ac:dyDescent="0.4">
      <c r="A2903" s="7">
        <v>53763</v>
      </c>
      <c r="B2903" s="7" t="s">
        <v>49</v>
      </c>
      <c r="C2903" s="7" t="s">
        <v>14</v>
      </c>
      <c r="D2903" s="7">
        <v>1752</v>
      </c>
      <c r="E2903" s="7">
        <v>849</v>
      </c>
      <c r="F2903" s="7">
        <v>931</v>
      </c>
      <c r="G2903" s="7">
        <v>41</v>
      </c>
      <c r="H2903" s="7">
        <v>35260</v>
      </c>
      <c r="I2903" s="7">
        <v>1</v>
      </c>
      <c r="J2903" s="7">
        <v>28</v>
      </c>
      <c r="K2903" s="7">
        <v>869</v>
      </c>
      <c r="L2903" s="7">
        <v>914</v>
      </c>
      <c r="M2903" s="7">
        <v>14</v>
      </c>
      <c r="N2903">
        <f>VLOOKUP(A2903,vlookup_table!$A:$G,2,FALSE)</f>
        <v>1</v>
      </c>
      <c r="O2903" t="str">
        <f>VLOOKUP(A2903,vlookup_table!$A:$G,3,FALSE)</f>
        <v>TN</v>
      </c>
      <c r="P2903">
        <f>VLOOKUP(A2903,vlookup_table!$A:$G,4,FALSE)</f>
        <v>4201</v>
      </c>
      <c r="Q2903" t="str">
        <f>VLOOKUP(A2903,vlookup_table!$A:$G,5,FALSE)</f>
        <v>T1</v>
      </c>
      <c r="R2903" t="str">
        <f>VLOOKUP(A2903,vlookup_table!$A:$G,6,FALSE)</f>
        <v>M</v>
      </c>
      <c r="S2903">
        <f>VLOOKUP(A2903,vlookup_table!$A:$G,7,FALSE)</f>
        <v>15</v>
      </c>
      <c r="T2903">
        <f t="shared" si="90"/>
        <v>54</v>
      </c>
      <c r="U2903" t="str">
        <f t="shared" si="91"/>
        <v>Pueblo</v>
      </c>
    </row>
    <row r="2904" spans="1:21" ht="16" x14ac:dyDescent="0.4">
      <c r="A2904" s="7">
        <v>74360</v>
      </c>
      <c r="B2904" s="7" t="s">
        <v>26</v>
      </c>
      <c r="C2904" s="7" t="s">
        <v>17</v>
      </c>
      <c r="D2904" s="7">
        <v>704</v>
      </c>
      <c r="E2904" s="7">
        <v>327</v>
      </c>
      <c r="F2904" s="7">
        <v>417</v>
      </c>
      <c r="G2904" s="7">
        <v>2</v>
      </c>
      <c r="H2904" s="7">
        <v>15094</v>
      </c>
      <c r="I2904" s="7">
        <v>1</v>
      </c>
      <c r="J2904" s="7">
        <v>82</v>
      </c>
      <c r="K2904" s="7">
        <v>339</v>
      </c>
      <c r="L2904" s="7">
        <v>404</v>
      </c>
      <c r="M2904" s="7">
        <v>10</v>
      </c>
      <c r="N2904">
        <f>VLOOKUP(A2904,vlookup_table!$A:$G,2,FALSE)</f>
        <v>2</v>
      </c>
      <c r="O2904" t="str">
        <f>VLOOKUP(A2904,vlookup_table!$A:$G,3,FALSE)</f>
        <v>MI</v>
      </c>
      <c r="P2904">
        <f>VLOOKUP(A2904,vlookup_table!$A:$G,4,FALSE)</f>
        <v>5901</v>
      </c>
      <c r="Q2904" t="str">
        <f>VLOOKUP(A2904,vlookup_table!$A:$G,5,FALSE)</f>
        <v>R2</v>
      </c>
      <c r="R2904" t="str">
        <f>VLOOKUP(A2904,vlookup_table!$A:$G,6,FALSE)</f>
        <v>F</v>
      </c>
      <c r="S2904">
        <f>VLOOKUP(A2904,vlookup_table!$A:$G,7,FALSE)</f>
        <v>21</v>
      </c>
      <c r="T2904">
        <f t="shared" si="90"/>
        <v>37</v>
      </c>
      <c r="U2904" t="str">
        <f t="shared" si="91"/>
        <v>Rural</v>
      </c>
    </row>
    <row r="2905" spans="1:21" ht="16" x14ac:dyDescent="0.4">
      <c r="A2905" s="7">
        <v>55027</v>
      </c>
      <c r="B2905" s="7" t="s">
        <v>56</v>
      </c>
      <c r="C2905" s="7" t="s">
        <v>97</v>
      </c>
      <c r="D2905" s="7">
        <v>955</v>
      </c>
      <c r="E2905" s="7">
        <v>521</v>
      </c>
      <c r="F2905" s="7">
        <v>653</v>
      </c>
      <c r="G2905" s="7">
        <v>7</v>
      </c>
      <c r="H2905" s="7">
        <v>22275</v>
      </c>
      <c r="I2905" s="7">
        <v>1</v>
      </c>
      <c r="J2905" s="7">
        <v>69</v>
      </c>
      <c r="K2905" s="7">
        <v>573</v>
      </c>
      <c r="L2905" s="7">
        <v>621</v>
      </c>
      <c r="M2905" s="7">
        <v>10.96818182</v>
      </c>
      <c r="N2905">
        <f>VLOOKUP(A2905,vlookup_table!$A:$G,2,FALSE)</f>
        <v>0</v>
      </c>
      <c r="O2905" t="str">
        <f>VLOOKUP(A2905,vlookup_table!$A:$G,3,FALSE)</f>
        <v>MS</v>
      </c>
      <c r="P2905">
        <f>VLOOKUP(A2905,vlookup_table!$A:$G,4,FALSE)</f>
        <v>2610</v>
      </c>
      <c r="Q2905" t="str">
        <f>VLOOKUP(A2905,vlookup_table!$A:$G,5,FALSE)</f>
        <v>T1</v>
      </c>
      <c r="R2905" t="str">
        <f>VLOOKUP(A2905,vlookup_table!$A:$G,6,FALSE)</f>
        <v>F</v>
      </c>
      <c r="S2905">
        <f>VLOOKUP(A2905,vlookup_table!$A:$G,7,FALSE)</f>
        <v>5</v>
      </c>
      <c r="T2905">
        <f t="shared" si="90"/>
        <v>70</v>
      </c>
      <c r="U2905" t="str">
        <f t="shared" si="91"/>
        <v>Pueblo</v>
      </c>
    </row>
    <row r="2906" spans="1:21" ht="16" x14ac:dyDescent="0.4">
      <c r="A2906" s="7">
        <v>115094</v>
      </c>
      <c r="B2906" s="7" t="s">
        <v>28</v>
      </c>
      <c r="C2906" s="7"/>
      <c r="D2906" s="7">
        <v>521</v>
      </c>
      <c r="E2906" s="7">
        <v>249</v>
      </c>
      <c r="F2906" s="7">
        <v>369</v>
      </c>
      <c r="G2906" s="7">
        <v>1</v>
      </c>
      <c r="H2906" s="7">
        <v>15515</v>
      </c>
      <c r="I2906" s="7">
        <v>1</v>
      </c>
      <c r="J2906" s="7">
        <v>70</v>
      </c>
      <c r="K2906" s="7">
        <v>307</v>
      </c>
      <c r="L2906" s="7">
        <v>322</v>
      </c>
      <c r="M2906" s="7">
        <v>14.88888889</v>
      </c>
      <c r="N2906">
        <f>VLOOKUP(A2906,vlookup_table!$A:$G,2,FALSE)</f>
        <v>0</v>
      </c>
      <c r="O2906" t="str">
        <f>VLOOKUP(A2906,vlookup_table!$A:$G,3,FALSE)</f>
        <v>OK</v>
      </c>
      <c r="P2906">
        <f>VLOOKUP(A2906,vlookup_table!$A:$G,4,FALSE)</f>
        <v>0</v>
      </c>
      <c r="Q2906" t="str">
        <f>VLOOKUP(A2906,vlookup_table!$A:$G,5,FALSE)</f>
        <v>T2</v>
      </c>
      <c r="R2906" t="str">
        <f>VLOOKUP(A2906,vlookup_table!$A:$G,6,FALSE)</f>
        <v/>
      </c>
      <c r="S2906">
        <f>VLOOKUP(A2906,vlookup_table!$A:$G,7,FALSE)</f>
        <v>38</v>
      </c>
      <c r="T2906">
        <f t="shared" si="90"/>
        <v>96</v>
      </c>
      <c r="U2906" t="str">
        <f t="shared" si="91"/>
        <v>Pueblo</v>
      </c>
    </row>
    <row r="2907" spans="1:21" ht="16" x14ac:dyDescent="0.4">
      <c r="A2907" s="7">
        <v>68589</v>
      </c>
      <c r="B2907" s="7" t="s">
        <v>26</v>
      </c>
      <c r="C2907" s="7" t="s">
        <v>14</v>
      </c>
      <c r="D2907" s="7">
        <v>1662</v>
      </c>
      <c r="E2907" s="7">
        <v>777</v>
      </c>
      <c r="F2907" s="7">
        <v>871</v>
      </c>
      <c r="G2907" s="7">
        <v>25</v>
      </c>
      <c r="H2907" s="7">
        <v>37242</v>
      </c>
      <c r="I2907" s="7">
        <v>10</v>
      </c>
      <c r="J2907" s="7">
        <v>67</v>
      </c>
      <c r="K2907" s="7">
        <v>831</v>
      </c>
      <c r="L2907" s="7">
        <v>808</v>
      </c>
      <c r="M2907" s="7">
        <v>13.57142857</v>
      </c>
      <c r="N2907">
        <f>VLOOKUP(A2907,vlookup_table!$A:$G,2,FALSE)</f>
        <v>2</v>
      </c>
      <c r="O2907" t="str">
        <f>VLOOKUP(A2907,vlookup_table!$A:$G,3,FALSE)</f>
        <v>MI</v>
      </c>
      <c r="P2907">
        <f>VLOOKUP(A2907,vlookup_table!$A:$G,4,FALSE)</f>
        <v>2905</v>
      </c>
      <c r="Q2907" t="str">
        <f>VLOOKUP(A2907,vlookup_table!$A:$G,5,FALSE)</f>
        <v>S1</v>
      </c>
      <c r="R2907" t="str">
        <f>VLOOKUP(A2907,vlookup_table!$A:$G,6,FALSE)</f>
        <v>M</v>
      </c>
      <c r="S2907">
        <f>VLOOKUP(A2907,vlookup_table!$A:$G,7,FALSE)</f>
        <v>20</v>
      </c>
      <c r="T2907">
        <f t="shared" si="90"/>
        <v>67</v>
      </c>
      <c r="U2907" t="str">
        <f t="shared" si="91"/>
        <v>Suburbano</v>
      </c>
    </row>
    <row r="2908" spans="1:21" ht="16" x14ac:dyDescent="0.4">
      <c r="A2908" s="7">
        <v>63135</v>
      </c>
      <c r="B2908" s="7" t="s">
        <v>49</v>
      </c>
      <c r="C2908" s="7" t="s">
        <v>17</v>
      </c>
      <c r="D2908" s="7">
        <v>776</v>
      </c>
      <c r="E2908" s="7">
        <v>378</v>
      </c>
      <c r="F2908" s="7">
        <v>439</v>
      </c>
      <c r="G2908" s="7">
        <v>1</v>
      </c>
      <c r="H2908" s="7">
        <v>14465</v>
      </c>
      <c r="I2908" s="7">
        <v>1</v>
      </c>
      <c r="J2908" s="7">
        <v>59</v>
      </c>
      <c r="K2908" s="7">
        <v>422</v>
      </c>
      <c r="L2908" s="7">
        <v>406</v>
      </c>
      <c r="M2908" s="7">
        <v>4.3499999999999996</v>
      </c>
      <c r="N2908">
        <f>VLOOKUP(A2908,vlookup_table!$A:$G,2,FALSE)</f>
        <v>0</v>
      </c>
      <c r="O2908" t="str">
        <f>VLOOKUP(A2908,vlookup_table!$A:$G,3,FALSE)</f>
        <v>TN</v>
      </c>
      <c r="P2908">
        <f>VLOOKUP(A2908,vlookup_table!$A:$G,4,FALSE)</f>
        <v>3310</v>
      </c>
      <c r="Q2908" t="str">
        <f>VLOOKUP(A2908,vlookup_table!$A:$G,5,FALSE)</f>
        <v>C3</v>
      </c>
      <c r="R2908" t="str">
        <f>VLOOKUP(A2908,vlookup_table!$A:$G,6,FALSE)</f>
        <v>F</v>
      </c>
      <c r="S2908">
        <f>VLOOKUP(A2908,vlookup_table!$A:$G,7,FALSE)</f>
        <v>5</v>
      </c>
      <c r="T2908">
        <f t="shared" si="90"/>
        <v>63</v>
      </c>
      <c r="U2908" t="str">
        <f t="shared" si="91"/>
        <v>Ciudad</v>
      </c>
    </row>
    <row r="2909" spans="1:21" ht="16" x14ac:dyDescent="0.4">
      <c r="A2909" s="7">
        <v>99890</v>
      </c>
      <c r="B2909" s="7" t="s">
        <v>33</v>
      </c>
      <c r="C2909" s="7" t="s">
        <v>17</v>
      </c>
      <c r="D2909" s="7">
        <v>574</v>
      </c>
      <c r="E2909" s="7">
        <v>274</v>
      </c>
      <c r="F2909" s="7">
        <v>407</v>
      </c>
      <c r="G2909" s="7">
        <v>0</v>
      </c>
      <c r="H2909" s="7">
        <v>18084</v>
      </c>
      <c r="I2909" s="7">
        <v>0</v>
      </c>
      <c r="J2909" s="7">
        <v>76</v>
      </c>
      <c r="K2909" s="7">
        <v>324</v>
      </c>
      <c r="L2909" s="7">
        <v>348</v>
      </c>
      <c r="M2909" s="7">
        <v>9.625</v>
      </c>
      <c r="N2909">
        <f>VLOOKUP(A2909,vlookup_table!$A:$G,2,FALSE)</f>
        <v>3</v>
      </c>
      <c r="O2909" t="str">
        <f>VLOOKUP(A2909,vlookup_table!$A:$G,3,FALSE)</f>
        <v>MO</v>
      </c>
      <c r="P2909">
        <f>VLOOKUP(A2909,vlookup_table!$A:$G,4,FALSE)</f>
        <v>2810</v>
      </c>
      <c r="Q2909" t="str">
        <f>VLOOKUP(A2909,vlookup_table!$A:$G,5,FALSE)</f>
        <v>T2</v>
      </c>
      <c r="R2909" t="str">
        <f>VLOOKUP(A2909,vlookup_table!$A:$G,6,FALSE)</f>
        <v>F</v>
      </c>
      <c r="S2909">
        <f>VLOOKUP(A2909,vlookup_table!$A:$G,7,FALSE)</f>
        <v>15</v>
      </c>
      <c r="T2909">
        <f t="shared" si="90"/>
        <v>68</v>
      </c>
      <c r="U2909" t="str">
        <f t="shared" si="91"/>
        <v>Pueblo</v>
      </c>
    </row>
    <row r="2910" spans="1:21" ht="16" x14ac:dyDescent="0.4">
      <c r="A2910" s="7">
        <v>124520</v>
      </c>
      <c r="B2910" s="7" t="s">
        <v>20</v>
      </c>
      <c r="C2910" s="7" t="s">
        <v>17</v>
      </c>
      <c r="D2910" s="7">
        <v>570</v>
      </c>
      <c r="E2910" s="7">
        <v>310</v>
      </c>
      <c r="F2910" s="7">
        <v>352</v>
      </c>
      <c r="G2910" s="7">
        <v>0</v>
      </c>
      <c r="H2910" s="7">
        <v>12329</v>
      </c>
      <c r="I2910" s="7">
        <v>2</v>
      </c>
      <c r="J2910" s="7">
        <v>79</v>
      </c>
      <c r="K2910" s="7">
        <v>339</v>
      </c>
      <c r="L2910" s="7">
        <v>333</v>
      </c>
      <c r="M2910" s="7">
        <v>6.904761905</v>
      </c>
      <c r="N2910">
        <f>VLOOKUP(A2910,vlookup_table!$A:$G,2,FALSE)</f>
        <v>28</v>
      </c>
      <c r="O2910" t="str">
        <f>VLOOKUP(A2910,vlookup_table!$A:$G,3,FALSE)</f>
        <v>TX</v>
      </c>
      <c r="P2910">
        <f>VLOOKUP(A2910,vlookup_table!$A:$G,4,FALSE)</f>
        <v>4307</v>
      </c>
      <c r="Q2910" t="str">
        <f>VLOOKUP(A2910,vlookup_table!$A:$G,5,FALSE)</f>
        <v>C2</v>
      </c>
      <c r="R2910" t="str">
        <f>VLOOKUP(A2910,vlookup_table!$A:$G,6,FALSE)</f>
        <v>F</v>
      </c>
      <c r="S2910">
        <f>VLOOKUP(A2910,vlookup_table!$A:$G,7,FALSE)</f>
        <v>8</v>
      </c>
      <c r="T2910">
        <f t="shared" si="90"/>
        <v>53</v>
      </c>
      <c r="U2910" t="str">
        <f t="shared" si="91"/>
        <v>Ciudad</v>
      </c>
    </row>
    <row r="2911" spans="1:21" ht="16" x14ac:dyDescent="0.4">
      <c r="A2911" s="7">
        <v>166651</v>
      </c>
      <c r="B2911" s="7" t="s">
        <v>21</v>
      </c>
      <c r="C2911" s="7" t="s">
        <v>17</v>
      </c>
      <c r="D2911" s="7">
        <v>1333</v>
      </c>
      <c r="E2911" s="7">
        <v>220</v>
      </c>
      <c r="F2911" s="7">
        <v>395</v>
      </c>
      <c r="G2911" s="7">
        <v>11</v>
      </c>
      <c r="H2911" s="7">
        <v>14312</v>
      </c>
      <c r="I2911" s="7">
        <v>21</v>
      </c>
      <c r="J2911" s="7">
        <v>40</v>
      </c>
      <c r="K2911" s="7">
        <v>359</v>
      </c>
      <c r="L2911" s="7">
        <v>300</v>
      </c>
      <c r="M2911" s="7">
        <v>15</v>
      </c>
      <c r="N2911">
        <f>VLOOKUP(A2911,vlookup_table!$A:$G,2,FALSE)</f>
        <v>0</v>
      </c>
      <c r="O2911" t="str">
        <f>VLOOKUP(A2911,vlookup_table!$A:$G,3,FALSE)</f>
        <v>CA</v>
      </c>
      <c r="P2911">
        <f>VLOOKUP(A2911,vlookup_table!$A:$G,4,FALSE)</f>
        <v>5001</v>
      </c>
      <c r="Q2911" t="str">
        <f>VLOOKUP(A2911,vlookup_table!$A:$G,5,FALSE)</f>
        <v>C2</v>
      </c>
      <c r="R2911" t="str">
        <f>VLOOKUP(A2911,vlookup_table!$A:$G,6,FALSE)</f>
        <v>F</v>
      </c>
      <c r="S2911">
        <f>VLOOKUP(A2911,vlookup_table!$A:$G,7,FALSE)</f>
        <v>20</v>
      </c>
      <c r="T2911">
        <f t="shared" si="90"/>
        <v>46</v>
      </c>
      <c r="U2911" t="str">
        <f t="shared" si="91"/>
        <v>Ciudad</v>
      </c>
    </row>
    <row r="2912" spans="1:21" ht="16" x14ac:dyDescent="0.4">
      <c r="A2912" s="7">
        <v>154224</v>
      </c>
      <c r="B2912" s="7" t="s">
        <v>37</v>
      </c>
      <c r="C2912" s="7" t="s">
        <v>14</v>
      </c>
      <c r="D2912" s="7">
        <v>1364</v>
      </c>
      <c r="E2912" s="7">
        <v>321</v>
      </c>
      <c r="F2912" s="7">
        <v>471</v>
      </c>
      <c r="G2912" s="7">
        <v>6</v>
      </c>
      <c r="H2912" s="7">
        <v>18060</v>
      </c>
      <c r="I2912" s="7">
        <v>4</v>
      </c>
      <c r="J2912" s="7">
        <v>53</v>
      </c>
      <c r="K2912" s="7">
        <v>471</v>
      </c>
      <c r="L2912" s="7">
        <v>384</v>
      </c>
      <c r="M2912" s="7">
        <v>9.2258064520000005</v>
      </c>
      <c r="N2912">
        <f>VLOOKUP(A2912,vlookup_table!$A:$G,2,FALSE)</f>
        <v>0</v>
      </c>
      <c r="O2912" t="str">
        <f>VLOOKUP(A2912,vlookup_table!$A:$G,3,FALSE)</f>
        <v>WA</v>
      </c>
      <c r="P2912">
        <f>VLOOKUP(A2912,vlookup_table!$A:$G,4,FALSE)</f>
        <v>1701</v>
      </c>
      <c r="Q2912" t="str">
        <f>VLOOKUP(A2912,vlookup_table!$A:$G,5,FALSE)</f>
        <v>S2</v>
      </c>
      <c r="R2912" t="str">
        <f>VLOOKUP(A2912,vlookup_table!$A:$G,6,FALSE)</f>
        <v>M</v>
      </c>
      <c r="S2912">
        <f>VLOOKUP(A2912,vlookup_table!$A:$G,7,FALSE)</f>
        <v>10</v>
      </c>
      <c r="T2912">
        <f t="shared" si="90"/>
        <v>79</v>
      </c>
      <c r="U2912" t="str">
        <f t="shared" si="91"/>
        <v>Suburbano</v>
      </c>
    </row>
    <row r="2913" spans="1:21" ht="16" x14ac:dyDescent="0.4">
      <c r="A2913" s="7">
        <v>166937</v>
      </c>
      <c r="B2913" s="7" t="s">
        <v>21</v>
      </c>
      <c r="C2913" s="7" t="s">
        <v>14</v>
      </c>
      <c r="D2913" s="7">
        <v>2098</v>
      </c>
      <c r="E2913" s="7">
        <v>417</v>
      </c>
      <c r="F2913" s="7">
        <v>489</v>
      </c>
      <c r="G2913" s="7">
        <v>57</v>
      </c>
      <c r="H2913" s="7">
        <v>20544</v>
      </c>
      <c r="I2913" s="7">
        <v>16</v>
      </c>
      <c r="J2913" s="7">
        <v>50</v>
      </c>
      <c r="K2913" s="7">
        <v>476</v>
      </c>
      <c r="L2913" s="7">
        <v>450</v>
      </c>
      <c r="M2913" s="7">
        <v>11</v>
      </c>
      <c r="N2913">
        <f>VLOOKUP(A2913,vlookup_table!$A:$G,2,FALSE)</f>
        <v>1</v>
      </c>
      <c r="O2913" t="str">
        <f>VLOOKUP(A2913,vlookup_table!$A:$G,3,FALSE)</f>
        <v>CA</v>
      </c>
      <c r="P2913">
        <f>VLOOKUP(A2913,vlookup_table!$A:$G,4,FALSE)</f>
        <v>1907</v>
      </c>
      <c r="Q2913" t="str">
        <f>VLOOKUP(A2913,vlookup_table!$A:$G,5,FALSE)</f>
        <v>S1</v>
      </c>
      <c r="R2913" t="str">
        <f>VLOOKUP(A2913,vlookup_table!$A:$G,6,FALSE)</f>
        <v>M</v>
      </c>
      <c r="S2913">
        <f>VLOOKUP(A2913,vlookup_table!$A:$G,7,FALSE)</f>
        <v>10</v>
      </c>
      <c r="T2913">
        <f t="shared" si="90"/>
        <v>77</v>
      </c>
      <c r="U2913" t="str">
        <f t="shared" si="91"/>
        <v>Suburbano</v>
      </c>
    </row>
    <row r="2914" spans="1:21" ht="16" x14ac:dyDescent="0.4">
      <c r="A2914" s="7">
        <v>149196</v>
      </c>
      <c r="B2914" s="7" t="s">
        <v>21</v>
      </c>
      <c r="C2914" s="7" t="s">
        <v>14</v>
      </c>
      <c r="D2914" s="7">
        <v>3273</v>
      </c>
      <c r="E2914" s="7">
        <v>609</v>
      </c>
      <c r="F2914" s="7">
        <v>659</v>
      </c>
      <c r="G2914" s="7">
        <v>93</v>
      </c>
      <c r="H2914" s="7">
        <v>35239</v>
      </c>
      <c r="I2914" s="7">
        <v>14</v>
      </c>
      <c r="J2914" s="7">
        <v>37</v>
      </c>
      <c r="K2914" s="7">
        <v>608</v>
      </c>
      <c r="L2914" s="7">
        <v>694</v>
      </c>
      <c r="M2914" s="7">
        <v>16.666666670000001</v>
      </c>
      <c r="N2914">
        <f>VLOOKUP(A2914,vlookup_table!$A:$G,2,FALSE)</f>
        <v>1</v>
      </c>
      <c r="O2914" t="str">
        <f>VLOOKUP(A2914,vlookup_table!$A:$G,3,FALSE)</f>
        <v>CA</v>
      </c>
      <c r="P2914">
        <f>VLOOKUP(A2914,vlookup_table!$A:$G,4,FALSE)</f>
        <v>2101</v>
      </c>
      <c r="Q2914" t="str">
        <f>VLOOKUP(A2914,vlookup_table!$A:$G,5,FALSE)</f>
        <v>U1</v>
      </c>
      <c r="R2914" t="str">
        <f>VLOOKUP(A2914,vlookup_table!$A:$G,6,FALSE)</f>
        <v>M</v>
      </c>
      <c r="S2914">
        <f>VLOOKUP(A2914,vlookup_table!$A:$G,7,FALSE)</f>
        <v>20</v>
      </c>
      <c r="T2914">
        <f t="shared" si="90"/>
        <v>75</v>
      </c>
      <c r="U2914" t="str">
        <f t="shared" si="91"/>
        <v>Urbano</v>
      </c>
    </row>
    <row r="2915" spans="1:21" ht="16" x14ac:dyDescent="0.4">
      <c r="A2915" s="7">
        <v>155040</v>
      </c>
      <c r="B2915" s="7" t="s">
        <v>21</v>
      </c>
      <c r="C2915" s="7"/>
      <c r="D2915" s="7">
        <v>1382</v>
      </c>
      <c r="E2915" s="7">
        <v>316</v>
      </c>
      <c r="F2915" s="7">
        <v>456</v>
      </c>
      <c r="G2915" s="7">
        <v>15</v>
      </c>
      <c r="H2915" s="7">
        <v>16979</v>
      </c>
      <c r="I2915" s="7">
        <v>24</v>
      </c>
      <c r="J2915" s="7">
        <v>36</v>
      </c>
      <c r="K2915" s="7">
        <v>360</v>
      </c>
      <c r="L2915" s="7">
        <v>384</v>
      </c>
      <c r="M2915" s="7">
        <v>15.217391299999999</v>
      </c>
      <c r="N2915">
        <f>VLOOKUP(A2915,vlookup_table!$A:$G,2,FALSE)</f>
        <v>0</v>
      </c>
      <c r="O2915" t="str">
        <f>VLOOKUP(A2915,vlookup_table!$A:$G,3,FALSE)</f>
        <v>CA</v>
      </c>
      <c r="P2915">
        <f>VLOOKUP(A2915,vlookup_table!$A:$G,4,FALSE)</f>
        <v>601</v>
      </c>
      <c r="Q2915" t="str">
        <f>VLOOKUP(A2915,vlookup_table!$A:$G,5,FALSE)</f>
        <v>S1</v>
      </c>
      <c r="R2915" t="str">
        <f>VLOOKUP(A2915,vlookup_table!$A:$G,6,FALSE)</f>
        <v/>
      </c>
      <c r="S2915">
        <f>VLOOKUP(A2915,vlookup_table!$A:$G,7,FALSE)</f>
        <v>25</v>
      </c>
      <c r="T2915">
        <f t="shared" si="90"/>
        <v>36</v>
      </c>
      <c r="U2915" t="str">
        <f t="shared" si="91"/>
        <v>Suburbano</v>
      </c>
    </row>
    <row r="2916" spans="1:21" ht="16" x14ac:dyDescent="0.4">
      <c r="A2916" s="7">
        <v>4393</v>
      </c>
      <c r="B2916" s="7" t="s">
        <v>52</v>
      </c>
      <c r="C2916" s="7" t="s">
        <v>14</v>
      </c>
      <c r="D2916" s="7">
        <v>1047</v>
      </c>
      <c r="E2916" s="7">
        <v>213</v>
      </c>
      <c r="F2916" s="7">
        <v>388</v>
      </c>
      <c r="G2916" s="7">
        <v>5</v>
      </c>
      <c r="H2916" s="7">
        <v>15868</v>
      </c>
      <c r="I2916" s="7">
        <v>6</v>
      </c>
      <c r="J2916" s="7">
        <v>62</v>
      </c>
      <c r="K2916" s="7">
        <v>305</v>
      </c>
      <c r="L2916" s="7">
        <v>294</v>
      </c>
      <c r="M2916" s="7">
        <v>9.5161290320000003</v>
      </c>
      <c r="N2916">
        <f>VLOOKUP(A2916,vlookup_table!$A:$G,2,FALSE)</f>
        <v>1</v>
      </c>
      <c r="O2916" t="str">
        <f>VLOOKUP(A2916,vlookup_table!$A:$G,3,FALSE)</f>
        <v>MN</v>
      </c>
      <c r="P2916">
        <f>VLOOKUP(A2916,vlookup_table!$A:$G,4,FALSE)</f>
        <v>1006</v>
      </c>
      <c r="Q2916" t="str">
        <f>VLOOKUP(A2916,vlookup_table!$A:$G,5,FALSE)</f>
        <v>C2</v>
      </c>
      <c r="R2916" t="str">
        <f>VLOOKUP(A2916,vlookup_table!$A:$G,6,FALSE)</f>
        <v>M</v>
      </c>
      <c r="S2916">
        <f>VLOOKUP(A2916,vlookup_table!$A:$G,7,FALSE)</f>
        <v>10</v>
      </c>
      <c r="T2916">
        <f t="shared" si="90"/>
        <v>86</v>
      </c>
      <c r="U2916" t="str">
        <f t="shared" si="91"/>
        <v>Ciudad</v>
      </c>
    </row>
    <row r="2917" spans="1:21" ht="16" x14ac:dyDescent="0.4">
      <c r="A2917" s="7">
        <v>85390</v>
      </c>
      <c r="B2917" s="7" t="s">
        <v>52</v>
      </c>
      <c r="C2917" s="7" t="s">
        <v>14</v>
      </c>
      <c r="D2917" s="7">
        <v>698</v>
      </c>
      <c r="E2917" s="7">
        <v>388</v>
      </c>
      <c r="F2917" s="7">
        <v>448</v>
      </c>
      <c r="G2917" s="7">
        <v>0</v>
      </c>
      <c r="H2917" s="7">
        <v>12449</v>
      </c>
      <c r="I2917" s="7">
        <v>0</v>
      </c>
      <c r="J2917" s="7">
        <v>85</v>
      </c>
      <c r="K2917" s="7">
        <v>412</v>
      </c>
      <c r="L2917" s="7">
        <v>418</v>
      </c>
      <c r="M2917" s="7">
        <v>9.5</v>
      </c>
      <c r="N2917">
        <f>VLOOKUP(A2917,vlookup_table!$A:$G,2,FALSE)</f>
        <v>1</v>
      </c>
      <c r="O2917" t="str">
        <f>VLOOKUP(A2917,vlookup_table!$A:$G,3,FALSE)</f>
        <v>MN</v>
      </c>
      <c r="P2917">
        <f>VLOOKUP(A2917,vlookup_table!$A:$G,4,FALSE)</f>
        <v>4701</v>
      </c>
      <c r="Q2917" t="str">
        <f>VLOOKUP(A2917,vlookup_table!$A:$G,5,FALSE)</f>
        <v>R1</v>
      </c>
      <c r="R2917" t="str">
        <f>VLOOKUP(A2917,vlookup_table!$A:$G,6,FALSE)</f>
        <v>M</v>
      </c>
      <c r="S2917">
        <f>VLOOKUP(A2917,vlookup_table!$A:$G,7,FALSE)</f>
        <v>12</v>
      </c>
      <c r="T2917">
        <f t="shared" si="90"/>
        <v>49</v>
      </c>
      <c r="U2917" t="str">
        <f t="shared" si="91"/>
        <v>Rural</v>
      </c>
    </row>
    <row r="2918" spans="1:21" ht="16" x14ac:dyDescent="0.4">
      <c r="A2918" s="7">
        <v>11064</v>
      </c>
      <c r="B2918" s="7" t="s">
        <v>16</v>
      </c>
      <c r="C2918" s="7" t="s">
        <v>17</v>
      </c>
      <c r="D2918" s="7">
        <v>1075</v>
      </c>
      <c r="E2918" s="7">
        <v>366</v>
      </c>
      <c r="F2918" s="7">
        <v>455</v>
      </c>
      <c r="G2918" s="7">
        <v>0</v>
      </c>
      <c r="H2918" s="7">
        <v>14394</v>
      </c>
      <c r="I2918" s="7">
        <v>1</v>
      </c>
      <c r="J2918" s="7">
        <v>90</v>
      </c>
      <c r="K2918" s="7">
        <v>449</v>
      </c>
      <c r="L2918" s="7">
        <v>373</v>
      </c>
      <c r="M2918" s="7">
        <v>10.31578947</v>
      </c>
      <c r="N2918">
        <f>VLOOKUP(A2918,vlookup_table!$A:$G,2,FALSE)</f>
        <v>0</v>
      </c>
      <c r="O2918" t="str">
        <f>VLOOKUP(A2918,vlookup_table!$A:$G,3,FALSE)</f>
        <v>IL</v>
      </c>
      <c r="P2918">
        <f>VLOOKUP(A2918,vlookup_table!$A:$G,4,FALSE)</f>
        <v>1605</v>
      </c>
      <c r="Q2918" t="str">
        <f>VLOOKUP(A2918,vlookup_table!$A:$G,5,FALSE)</f>
        <v>S2</v>
      </c>
      <c r="R2918" t="str">
        <f>VLOOKUP(A2918,vlookup_table!$A:$G,6,FALSE)</f>
        <v>F</v>
      </c>
      <c r="S2918">
        <f>VLOOKUP(A2918,vlookup_table!$A:$G,7,FALSE)</f>
        <v>10</v>
      </c>
      <c r="T2918">
        <f t="shared" si="90"/>
        <v>80</v>
      </c>
      <c r="U2918" t="str">
        <f t="shared" si="91"/>
        <v>Suburbano</v>
      </c>
    </row>
    <row r="2919" spans="1:21" ht="16" x14ac:dyDescent="0.4">
      <c r="A2919" s="7">
        <v>148523</v>
      </c>
      <c r="B2919" s="7" t="s">
        <v>21</v>
      </c>
      <c r="C2919" s="7" t="s">
        <v>14</v>
      </c>
      <c r="D2919" s="7">
        <v>4286</v>
      </c>
      <c r="E2919" s="7">
        <v>811</v>
      </c>
      <c r="F2919" s="7">
        <v>947</v>
      </c>
      <c r="G2919" s="7">
        <v>95</v>
      </c>
      <c r="H2919" s="7">
        <v>33614</v>
      </c>
      <c r="I2919" s="7">
        <v>24</v>
      </c>
      <c r="J2919" s="7">
        <v>41</v>
      </c>
      <c r="K2919" s="7">
        <v>910</v>
      </c>
      <c r="L2919" s="7">
        <v>883</v>
      </c>
      <c r="M2919" s="7">
        <v>15</v>
      </c>
      <c r="N2919">
        <f>VLOOKUP(A2919,vlookup_table!$A:$G,2,FALSE)</f>
        <v>1</v>
      </c>
      <c r="O2919" t="str">
        <f>VLOOKUP(A2919,vlookup_table!$A:$G,3,FALSE)</f>
        <v>CA</v>
      </c>
      <c r="P2919">
        <f>VLOOKUP(A2919,vlookup_table!$A:$G,4,FALSE)</f>
        <v>1801</v>
      </c>
      <c r="Q2919" t="str">
        <f>VLOOKUP(A2919,vlookup_table!$A:$G,5,FALSE)</f>
        <v>S1</v>
      </c>
      <c r="R2919" t="str">
        <f>VLOOKUP(A2919,vlookup_table!$A:$G,6,FALSE)</f>
        <v>M</v>
      </c>
      <c r="S2919">
        <f>VLOOKUP(A2919,vlookup_table!$A:$G,7,FALSE)</f>
        <v>25</v>
      </c>
      <c r="T2919">
        <f t="shared" si="90"/>
        <v>78</v>
      </c>
      <c r="U2919" t="str">
        <f t="shared" si="91"/>
        <v>Suburbano</v>
      </c>
    </row>
    <row r="2920" spans="1:21" ht="16" x14ac:dyDescent="0.4">
      <c r="A2920" s="7">
        <v>189027</v>
      </c>
      <c r="B2920" s="7" t="s">
        <v>16</v>
      </c>
      <c r="C2920" s="7" t="s">
        <v>17</v>
      </c>
      <c r="D2920" s="7">
        <v>606</v>
      </c>
      <c r="E2920" s="7">
        <v>339</v>
      </c>
      <c r="F2920" s="7">
        <v>421</v>
      </c>
      <c r="G2920" s="7">
        <v>0</v>
      </c>
      <c r="H2920" s="7">
        <v>13281</v>
      </c>
      <c r="I2920" s="7">
        <v>1</v>
      </c>
      <c r="J2920" s="7">
        <v>78</v>
      </c>
      <c r="K2920" s="7">
        <v>402</v>
      </c>
      <c r="L2920" s="7">
        <v>370</v>
      </c>
      <c r="M2920" s="7">
        <v>8.80952381</v>
      </c>
      <c r="N2920">
        <f>VLOOKUP(A2920,vlookup_table!$A:$G,2,FALSE)</f>
        <v>2</v>
      </c>
      <c r="O2920" t="str">
        <f>VLOOKUP(A2920,vlookup_table!$A:$G,3,FALSE)</f>
        <v>IL</v>
      </c>
      <c r="P2920">
        <f>VLOOKUP(A2920,vlookup_table!$A:$G,4,FALSE)</f>
        <v>1911</v>
      </c>
      <c r="Q2920" t="str">
        <f>VLOOKUP(A2920,vlookup_table!$A:$G,5,FALSE)</f>
        <v>R1</v>
      </c>
      <c r="R2920" t="str">
        <f>VLOOKUP(A2920,vlookup_table!$A:$G,6,FALSE)</f>
        <v>F</v>
      </c>
      <c r="S2920">
        <f>VLOOKUP(A2920,vlookup_table!$A:$G,7,FALSE)</f>
        <v>10</v>
      </c>
      <c r="T2920">
        <f t="shared" si="90"/>
        <v>77</v>
      </c>
      <c r="U2920" t="str">
        <f t="shared" si="91"/>
        <v>Rural</v>
      </c>
    </row>
    <row r="2921" spans="1:21" ht="16" x14ac:dyDescent="0.4">
      <c r="A2921" s="7">
        <v>63107</v>
      </c>
      <c r="B2921" s="7" t="s">
        <v>30</v>
      </c>
      <c r="C2921" s="7" t="s">
        <v>14</v>
      </c>
      <c r="D2921" s="7">
        <v>578</v>
      </c>
      <c r="E2921" s="7">
        <v>310</v>
      </c>
      <c r="F2921" s="7">
        <v>427</v>
      </c>
      <c r="G2921" s="7">
        <v>0</v>
      </c>
      <c r="H2921" s="7">
        <v>19153</v>
      </c>
      <c r="I2921" s="7">
        <v>4</v>
      </c>
      <c r="J2921" s="7">
        <v>80</v>
      </c>
      <c r="K2921" s="7">
        <v>370</v>
      </c>
      <c r="L2921" s="7">
        <v>340</v>
      </c>
      <c r="M2921" s="7">
        <v>4.733333333</v>
      </c>
      <c r="N2921">
        <f>VLOOKUP(A2921,vlookup_table!$A:$G,2,FALSE)</f>
        <v>1</v>
      </c>
      <c r="O2921" t="str">
        <f>VLOOKUP(A2921,vlookup_table!$A:$G,3,FALSE)</f>
        <v>IN</v>
      </c>
      <c r="P2921">
        <f>VLOOKUP(A2921,vlookup_table!$A:$G,4,FALSE)</f>
        <v>2712</v>
      </c>
      <c r="Q2921" t="str">
        <f>VLOOKUP(A2921,vlookup_table!$A:$G,5,FALSE)</f>
        <v>T2</v>
      </c>
      <c r="R2921" t="str">
        <f>VLOOKUP(A2921,vlookup_table!$A:$G,6,FALSE)</f>
        <v>M</v>
      </c>
      <c r="S2921">
        <f>VLOOKUP(A2921,vlookup_table!$A:$G,7,FALSE)</f>
        <v>10</v>
      </c>
      <c r="T2921">
        <f t="shared" si="90"/>
        <v>69</v>
      </c>
      <c r="U2921" t="str">
        <f t="shared" si="91"/>
        <v>Pueblo</v>
      </c>
    </row>
    <row r="2922" spans="1:21" ht="16" x14ac:dyDescent="0.4">
      <c r="A2922" s="7">
        <v>120366</v>
      </c>
      <c r="B2922" s="7" t="s">
        <v>20</v>
      </c>
      <c r="C2922" s="7" t="s">
        <v>14</v>
      </c>
      <c r="D2922" s="7">
        <v>914</v>
      </c>
      <c r="E2922" s="7">
        <v>445</v>
      </c>
      <c r="F2922" s="7">
        <v>541</v>
      </c>
      <c r="G2922" s="7">
        <v>0</v>
      </c>
      <c r="H2922" s="7">
        <v>22258</v>
      </c>
      <c r="I2922" s="7">
        <v>5</v>
      </c>
      <c r="J2922" s="7">
        <v>31</v>
      </c>
      <c r="K2922" s="7">
        <v>515</v>
      </c>
      <c r="L2922" s="7">
        <v>469</v>
      </c>
      <c r="M2922" s="7">
        <v>6.6666666670000003</v>
      </c>
      <c r="N2922">
        <f>VLOOKUP(A2922,vlookup_table!$A:$G,2,FALSE)</f>
        <v>0</v>
      </c>
      <c r="O2922" t="str">
        <f>VLOOKUP(A2922,vlookup_table!$A:$G,3,FALSE)</f>
        <v>TX</v>
      </c>
      <c r="P2922">
        <f>VLOOKUP(A2922,vlookup_table!$A:$G,4,FALSE)</f>
        <v>5201</v>
      </c>
      <c r="Q2922" t="str">
        <f>VLOOKUP(A2922,vlookup_table!$A:$G,5,FALSE)</f>
        <v>T2</v>
      </c>
      <c r="R2922" t="str">
        <f>VLOOKUP(A2922,vlookup_table!$A:$G,6,FALSE)</f>
        <v>M</v>
      </c>
      <c r="S2922">
        <f>VLOOKUP(A2922,vlookup_table!$A:$G,7,FALSE)</f>
        <v>9</v>
      </c>
      <c r="T2922">
        <f t="shared" si="90"/>
        <v>44</v>
      </c>
      <c r="U2922" t="str">
        <f t="shared" si="91"/>
        <v>Pueblo</v>
      </c>
    </row>
    <row r="2923" spans="1:21" ht="16" x14ac:dyDescent="0.4">
      <c r="A2923" s="7">
        <v>4588</v>
      </c>
      <c r="B2923" s="7" t="s">
        <v>30</v>
      </c>
      <c r="C2923" s="7" t="s">
        <v>14</v>
      </c>
      <c r="D2923" s="7">
        <v>561</v>
      </c>
      <c r="E2923" s="7">
        <v>337</v>
      </c>
      <c r="F2923" s="7">
        <v>362</v>
      </c>
      <c r="G2923" s="7">
        <v>0</v>
      </c>
      <c r="H2923" s="7">
        <v>12185</v>
      </c>
      <c r="I2923" s="7">
        <v>0</v>
      </c>
      <c r="J2923" s="7">
        <v>78</v>
      </c>
      <c r="K2923" s="7">
        <v>357</v>
      </c>
      <c r="L2923" s="7">
        <v>334</v>
      </c>
      <c r="M2923" s="7">
        <v>12.4375</v>
      </c>
      <c r="N2923">
        <f>VLOOKUP(A2923,vlookup_table!$A:$G,2,FALSE)</f>
        <v>0</v>
      </c>
      <c r="O2923" t="str">
        <f>VLOOKUP(A2923,vlookup_table!$A:$G,3,FALSE)</f>
        <v>IN</v>
      </c>
      <c r="P2923">
        <f>VLOOKUP(A2923,vlookup_table!$A:$G,4,FALSE)</f>
        <v>1608</v>
      </c>
      <c r="Q2923" t="str">
        <f>VLOOKUP(A2923,vlookup_table!$A:$G,5,FALSE)</f>
        <v>R2</v>
      </c>
      <c r="R2923" t="str">
        <f>VLOOKUP(A2923,vlookup_table!$A:$G,6,FALSE)</f>
        <v>M</v>
      </c>
      <c r="S2923">
        <f>VLOOKUP(A2923,vlookup_table!$A:$G,7,FALSE)</f>
        <v>15</v>
      </c>
      <c r="T2923">
        <f t="shared" si="90"/>
        <v>80</v>
      </c>
      <c r="U2923" t="str">
        <f t="shared" si="91"/>
        <v>Rural</v>
      </c>
    </row>
    <row r="2924" spans="1:21" ht="16" x14ac:dyDescent="0.4">
      <c r="A2924" s="7">
        <v>164899</v>
      </c>
      <c r="B2924" s="7" t="s">
        <v>21</v>
      </c>
      <c r="C2924" s="7" t="s">
        <v>17</v>
      </c>
      <c r="D2924" s="7">
        <v>2094</v>
      </c>
      <c r="E2924" s="7">
        <v>352</v>
      </c>
      <c r="F2924" s="7">
        <v>456</v>
      </c>
      <c r="G2924" s="7">
        <v>56</v>
      </c>
      <c r="H2924" s="7">
        <v>14963</v>
      </c>
      <c r="I2924" s="7">
        <v>12</v>
      </c>
      <c r="J2924" s="7">
        <v>66</v>
      </c>
      <c r="K2924" s="7">
        <v>401</v>
      </c>
      <c r="L2924" s="7">
        <v>395</v>
      </c>
      <c r="M2924" s="7">
        <v>23</v>
      </c>
      <c r="N2924">
        <f>VLOOKUP(A2924,vlookup_table!$A:$G,2,FALSE)</f>
        <v>0</v>
      </c>
      <c r="O2924" t="str">
        <f>VLOOKUP(A2924,vlookup_table!$A:$G,3,FALSE)</f>
        <v>CA</v>
      </c>
      <c r="P2924">
        <f>VLOOKUP(A2924,vlookup_table!$A:$G,4,FALSE)</f>
        <v>4101</v>
      </c>
      <c r="Q2924" t="str">
        <f>VLOOKUP(A2924,vlookup_table!$A:$G,5,FALSE)</f>
        <v>S2</v>
      </c>
      <c r="R2924" t="str">
        <f>VLOOKUP(A2924,vlookup_table!$A:$G,6,FALSE)</f>
        <v>F</v>
      </c>
      <c r="S2924">
        <f>VLOOKUP(A2924,vlookup_table!$A:$G,7,FALSE)</f>
        <v>23</v>
      </c>
      <c r="T2924">
        <f t="shared" si="90"/>
        <v>55</v>
      </c>
      <c r="U2924" t="str">
        <f t="shared" si="91"/>
        <v>Suburbano</v>
      </c>
    </row>
    <row r="2925" spans="1:21" ht="16" x14ac:dyDescent="0.4">
      <c r="A2925" s="7">
        <v>129766</v>
      </c>
      <c r="B2925" s="7" t="s">
        <v>55</v>
      </c>
      <c r="C2925" s="7" t="s">
        <v>14</v>
      </c>
      <c r="D2925" s="7">
        <v>960</v>
      </c>
      <c r="E2925" s="7">
        <v>566</v>
      </c>
      <c r="F2925" s="7">
        <v>634</v>
      </c>
      <c r="G2925" s="7">
        <v>0</v>
      </c>
      <c r="H2925" s="7">
        <v>18502</v>
      </c>
      <c r="I2925" s="7">
        <v>2</v>
      </c>
      <c r="J2925" s="7">
        <v>49</v>
      </c>
      <c r="K2925" s="7">
        <v>587</v>
      </c>
      <c r="L2925" s="7">
        <v>600</v>
      </c>
      <c r="M2925" s="7">
        <v>15.28571429</v>
      </c>
      <c r="N2925">
        <f>VLOOKUP(A2925,vlookup_table!$A:$G,2,FALSE)</f>
        <v>0</v>
      </c>
      <c r="O2925" t="str">
        <f>VLOOKUP(A2925,vlookup_table!$A:$G,3,FALSE)</f>
        <v>NE</v>
      </c>
      <c r="P2925">
        <f>VLOOKUP(A2925,vlookup_table!$A:$G,4,FALSE)</f>
        <v>5201</v>
      </c>
      <c r="Q2925" t="str">
        <f>VLOOKUP(A2925,vlookup_table!$A:$G,5,FALSE)</f>
        <v>S2</v>
      </c>
      <c r="R2925" t="str">
        <f>VLOOKUP(A2925,vlookup_table!$A:$G,6,FALSE)</f>
        <v>M</v>
      </c>
      <c r="S2925">
        <f>VLOOKUP(A2925,vlookup_table!$A:$G,7,FALSE)</f>
        <v>20</v>
      </c>
      <c r="T2925">
        <f t="shared" si="90"/>
        <v>44</v>
      </c>
      <c r="U2925" t="str">
        <f t="shared" si="91"/>
        <v>Suburbano</v>
      </c>
    </row>
    <row r="2926" spans="1:21" ht="16" x14ac:dyDescent="0.4">
      <c r="A2926" s="7">
        <v>1799</v>
      </c>
      <c r="B2926" s="7" t="s">
        <v>18</v>
      </c>
      <c r="C2926" s="7" t="s">
        <v>14</v>
      </c>
      <c r="D2926" s="7">
        <v>860</v>
      </c>
      <c r="E2926" s="7">
        <v>358</v>
      </c>
      <c r="F2926" s="7">
        <v>435</v>
      </c>
      <c r="G2926" s="7">
        <v>2</v>
      </c>
      <c r="H2926" s="7">
        <v>14984</v>
      </c>
      <c r="I2926" s="7">
        <v>3</v>
      </c>
      <c r="J2926" s="7">
        <v>63</v>
      </c>
      <c r="K2926" s="7">
        <v>395</v>
      </c>
      <c r="L2926" s="7">
        <v>393</v>
      </c>
      <c r="M2926" s="7">
        <v>9.2380952379999997</v>
      </c>
      <c r="N2926">
        <f>VLOOKUP(A2926,vlookup_table!$A:$G,2,FALSE)</f>
        <v>0</v>
      </c>
      <c r="O2926" t="str">
        <f>VLOOKUP(A2926,vlookup_table!$A:$G,3,FALSE)</f>
        <v>NC</v>
      </c>
      <c r="P2926">
        <f>VLOOKUP(A2926,vlookup_table!$A:$G,4,FALSE)</f>
        <v>0</v>
      </c>
      <c r="Q2926" t="str">
        <f>VLOOKUP(A2926,vlookup_table!$A:$G,5,FALSE)</f>
        <v>C2</v>
      </c>
      <c r="R2926" t="str">
        <f>VLOOKUP(A2926,vlookup_table!$A:$G,6,FALSE)</f>
        <v>M</v>
      </c>
      <c r="S2926">
        <f>VLOOKUP(A2926,vlookup_table!$A:$G,7,FALSE)</f>
        <v>10</v>
      </c>
      <c r="T2926">
        <f t="shared" si="90"/>
        <v>96</v>
      </c>
      <c r="U2926" t="str">
        <f t="shared" si="91"/>
        <v>Ciudad</v>
      </c>
    </row>
    <row r="2927" spans="1:21" ht="16" x14ac:dyDescent="0.4">
      <c r="A2927" s="7">
        <v>151547</v>
      </c>
      <c r="B2927" s="7" t="s">
        <v>21</v>
      </c>
      <c r="C2927" s="7" t="s">
        <v>14</v>
      </c>
      <c r="D2927" s="7">
        <v>1463</v>
      </c>
      <c r="E2927" s="7">
        <v>228</v>
      </c>
      <c r="F2927" s="7">
        <v>351</v>
      </c>
      <c r="G2927" s="7">
        <v>7</v>
      </c>
      <c r="H2927" s="7">
        <v>11400</v>
      </c>
      <c r="I2927" s="7">
        <v>15</v>
      </c>
      <c r="J2927" s="7">
        <v>49</v>
      </c>
      <c r="K2927" s="7">
        <v>247</v>
      </c>
      <c r="L2927" s="7">
        <v>343</v>
      </c>
      <c r="M2927" s="7">
        <v>15</v>
      </c>
      <c r="N2927">
        <f>VLOOKUP(A2927,vlookup_table!$A:$G,2,FALSE)</f>
        <v>1</v>
      </c>
      <c r="O2927" t="str">
        <f>VLOOKUP(A2927,vlookup_table!$A:$G,3,FALSE)</f>
        <v>CA</v>
      </c>
      <c r="P2927">
        <f>VLOOKUP(A2927,vlookup_table!$A:$G,4,FALSE)</f>
        <v>3201</v>
      </c>
      <c r="Q2927" t="str">
        <f>VLOOKUP(A2927,vlookup_table!$A:$G,5,FALSE)</f>
        <v>U3</v>
      </c>
      <c r="R2927" t="str">
        <f>VLOOKUP(A2927,vlookup_table!$A:$G,6,FALSE)</f>
        <v>M</v>
      </c>
      <c r="S2927">
        <f>VLOOKUP(A2927,vlookup_table!$A:$G,7,FALSE)</f>
        <v>5</v>
      </c>
      <c r="T2927">
        <f t="shared" si="90"/>
        <v>64</v>
      </c>
      <c r="U2927" t="str">
        <f t="shared" si="91"/>
        <v>Urbano</v>
      </c>
    </row>
    <row r="2928" spans="1:21" ht="16" x14ac:dyDescent="0.4">
      <c r="A2928" s="7">
        <v>169955</v>
      </c>
      <c r="B2928" s="7" t="s">
        <v>21</v>
      </c>
      <c r="C2928" s="7" t="s">
        <v>14</v>
      </c>
      <c r="D2928" s="7">
        <v>1588</v>
      </c>
      <c r="E2928" s="7">
        <v>238</v>
      </c>
      <c r="F2928" s="7">
        <v>369</v>
      </c>
      <c r="G2928" s="7">
        <v>33</v>
      </c>
      <c r="H2928" s="7">
        <v>14499</v>
      </c>
      <c r="I2928" s="7">
        <v>7</v>
      </c>
      <c r="J2928" s="7">
        <v>48</v>
      </c>
      <c r="K2928" s="7">
        <v>328</v>
      </c>
      <c r="L2928" s="7">
        <v>295</v>
      </c>
      <c r="M2928" s="7">
        <v>28.75</v>
      </c>
      <c r="N2928">
        <f>VLOOKUP(A2928,vlookup_table!$A:$G,2,FALSE)</f>
        <v>1</v>
      </c>
      <c r="O2928" t="str">
        <f>VLOOKUP(A2928,vlookup_table!$A:$G,3,FALSE)</f>
        <v>CA</v>
      </c>
      <c r="P2928">
        <f>VLOOKUP(A2928,vlookup_table!$A:$G,4,FALSE)</f>
        <v>2401</v>
      </c>
      <c r="Q2928" t="str">
        <f>VLOOKUP(A2928,vlookup_table!$A:$G,5,FALSE)</f>
        <v>R1</v>
      </c>
      <c r="R2928" t="str">
        <f>VLOOKUP(A2928,vlookup_table!$A:$G,6,FALSE)</f>
        <v>M</v>
      </c>
      <c r="S2928">
        <f>VLOOKUP(A2928,vlookup_table!$A:$G,7,FALSE)</f>
        <v>50</v>
      </c>
      <c r="T2928">
        <f t="shared" si="90"/>
        <v>72</v>
      </c>
      <c r="U2928" t="str">
        <f t="shared" si="91"/>
        <v>Rural</v>
      </c>
    </row>
    <row r="2929" spans="1:21" ht="16" x14ac:dyDescent="0.4">
      <c r="A2929" s="7">
        <v>98275</v>
      </c>
      <c r="B2929" s="7" t="s">
        <v>16</v>
      </c>
      <c r="C2929" s="7" t="s">
        <v>41</v>
      </c>
      <c r="D2929" s="7">
        <v>284</v>
      </c>
      <c r="E2929" s="7">
        <v>224</v>
      </c>
      <c r="F2929" s="7">
        <v>326</v>
      </c>
      <c r="G2929" s="7">
        <v>0</v>
      </c>
      <c r="H2929" s="7">
        <v>11129</v>
      </c>
      <c r="I2929" s="7">
        <v>0</v>
      </c>
      <c r="J2929" s="7">
        <v>88</v>
      </c>
      <c r="K2929" s="7">
        <v>252</v>
      </c>
      <c r="L2929" s="7">
        <v>284</v>
      </c>
      <c r="M2929" s="7">
        <v>9.0714285710000002</v>
      </c>
      <c r="N2929">
        <f>VLOOKUP(A2929,vlookup_table!$A:$G,2,FALSE)</f>
        <v>1002</v>
      </c>
      <c r="O2929" t="str">
        <f>VLOOKUP(A2929,vlookup_table!$A:$G,3,FALSE)</f>
        <v>IL</v>
      </c>
      <c r="P2929">
        <f>VLOOKUP(A2929,vlookup_table!$A:$G,4,FALSE)</f>
        <v>0</v>
      </c>
      <c r="Q2929" t="str">
        <f>VLOOKUP(A2929,vlookup_table!$A:$G,5,FALSE)</f>
        <v>R2</v>
      </c>
      <c r="R2929" t="str">
        <f>VLOOKUP(A2929,vlookup_table!$A:$G,6,FALSE)</f>
        <v>J</v>
      </c>
      <c r="S2929">
        <f>VLOOKUP(A2929,vlookup_table!$A:$G,7,FALSE)</f>
        <v>9</v>
      </c>
      <c r="T2929">
        <f t="shared" si="90"/>
        <v>96</v>
      </c>
      <c r="U2929" t="str">
        <f t="shared" si="91"/>
        <v>Rural</v>
      </c>
    </row>
    <row r="2930" spans="1:21" ht="16" x14ac:dyDescent="0.4">
      <c r="A2930" s="7">
        <v>6298</v>
      </c>
      <c r="B2930" s="7" t="s">
        <v>43</v>
      </c>
      <c r="C2930" s="7" t="s">
        <v>17</v>
      </c>
      <c r="D2930" s="7">
        <v>598</v>
      </c>
      <c r="E2930" s="7">
        <v>292</v>
      </c>
      <c r="F2930" s="7">
        <v>413</v>
      </c>
      <c r="G2930" s="7">
        <v>0</v>
      </c>
      <c r="H2930" s="7">
        <v>12864</v>
      </c>
      <c r="I2930" s="7">
        <v>0</v>
      </c>
      <c r="J2930" s="7">
        <v>82</v>
      </c>
      <c r="K2930" s="7">
        <v>426</v>
      </c>
      <c r="L2930" s="7">
        <v>352</v>
      </c>
      <c r="M2930" s="7">
        <v>6.84375</v>
      </c>
      <c r="N2930">
        <f>VLOOKUP(A2930,vlookup_table!$A:$G,2,FALSE)</f>
        <v>2</v>
      </c>
      <c r="O2930" t="str">
        <f>VLOOKUP(A2930,vlookup_table!$A:$G,3,FALSE)</f>
        <v>SC</v>
      </c>
      <c r="P2930">
        <f>VLOOKUP(A2930,vlookup_table!$A:$G,4,FALSE)</f>
        <v>2509</v>
      </c>
      <c r="Q2930" t="str">
        <f>VLOOKUP(A2930,vlookup_table!$A:$G,5,FALSE)</f>
        <v>T2</v>
      </c>
      <c r="R2930" t="str">
        <f>VLOOKUP(A2930,vlookup_table!$A:$G,6,FALSE)</f>
        <v>F</v>
      </c>
      <c r="S2930">
        <f>VLOOKUP(A2930,vlookup_table!$A:$G,7,FALSE)</f>
        <v>7</v>
      </c>
      <c r="T2930">
        <f t="shared" si="90"/>
        <v>71</v>
      </c>
      <c r="U2930" t="str">
        <f t="shared" si="91"/>
        <v>Pueblo</v>
      </c>
    </row>
    <row r="2931" spans="1:21" ht="16" x14ac:dyDescent="0.4">
      <c r="A2931" s="7">
        <v>32880</v>
      </c>
      <c r="B2931" s="7" t="s">
        <v>13</v>
      </c>
      <c r="C2931" s="7" t="s">
        <v>17</v>
      </c>
      <c r="D2931" s="7">
        <v>695</v>
      </c>
      <c r="E2931" s="7">
        <v>304</v>
      </c>
      <c r="F2931" s="7">
        <v>346</v>
      </c>
      <c r="G2931" s="7">
        <v>7</v>
      </c>
      <c r="H2931" s="7">
        <v>15245</v>
      </c>
      <c r="I2931" s="7">
        <v>4</v>
      </c>
      <c r="J2931" s="7">
        <v>38</v>
      </c>
      <c r="K2931" s="7">
        <v>299</v>
      </c>
      <c r="L2931" s="7">
        <v>325</v>
      </c>
      <c r="M2931" s="7">
        <v>12.2</v>
      </c>
      <c r="N2931">
        <f>VLOOKUP(A2931,vlookup_table!$A:$G,2,FALSE)</f>
        <v>28</v>
      </c>
      <c r="O2931" t="str">
        <f>VLOOKUP(A2931,vlookup_table!$A:$G,3,FALSE)</f>
        <v>FL</v>
      </c>
      <c r="P2931">
        <f>VLOOKUP(A2931,vlookup_table!$A:$G,4,FALSE)</f>
        <v>4005</v>
      </c>
      <c r="Q2931" t="str">
        <f>VLOOKUP(A2931,vlookup_table!$A:$G,5,FALSE)</f>
        <v>S2</v>
      </c>
      <c r="R2931" t="str">
        <f>VLOOKUP(A2931,vlookup_table!$A:$G,6,FALSE)</f>
        <v>F</v>
      </c>
      <c r="S2931">
        <f>VLOOKUP(A2931,vlookup_table!$A:$G,7,FALSE)</f>
        <v>10</v>
      </c>
      <c r="T2931">
        <f t="shared" si="90"/>
        <v>56</v>
      </c>
      <c r="U2931" t="str">
        <f t="shared" si="91"/>
        <v>Suburbano</v>
      </c>
    </row>
    <row r="2932" spans="1:21" ht="16" x14ac:dyDescent="0.4">
      <c r="A2932" s="7">
        <v>26669</v>
      </c>
      <c r="B2932" s="7" t="s">
        <v>36</v>
      </c>
      <c r="C2932" s="7" t="s">
        <v>17</v>
      </c>
      <c r="D2932" s="7">
        <v>477</v>
      </c>
      <c r="E2932" s="7">
        <v>301</v>
      </c>
      <c r="F2932" s="7">
        <v>389</v>
      </c>
      <c r="G2932" s="7">
        <v>1</v>
      </c>
      <c r="H2932" s="7">
        <v>13345</v>
      </c>
      <c r="I2932" s="7">
        <v>0</v>
      </c>
      <c r="J2932" s="7">
        <v>79</v>
      </c>
      <c r="K2932" s="7">
        <v>345</v>
      </c>
      <c r="L2932" s="7">
        <v>342</v>
      </c>
      <c r="M2932" s="7">
        <v>5.8333333329999997</v>
      </c>
      <c r="N2932">
        <f>VLOOKUP(A2932,vlookup_table!$A:$G,2,FALSE)</f>
        <v>2</v>
      </c>
      <c r="O2932" t="str">
        <f>VLOOKUP(A2932,vlookup_table!$A:$G,3,FALSE)</f>
        <v>GA</v>
      </c>
      <c r="P2932">
        <f>VLOOKUP(A2932,vlookup_table!$A:$G,4,FALSE)</f>
        <v>0</v>
      </c>
      <c r="Q2932" t="str">
        <f>VLOOKUP(A2932,vlookup_table!$A:$G,5,FALSE)</f>
        <v>R2</v>
      </c>
      <c r="R2932" t="str">
        <f>VLOOKUP(A2932,vlookup_table!$A:$G,6,FALSE)</f>
        <v>F</v>
      </c>
      <c r="S2932">
        <f>VLOOKUP(A2932,vlookup_table!$A:$G,7,FALSE)</f>
        <v>1</v>
      </c>
      <c r="T2932">
        <f t="shared" si="90"/>
        <v>96</v>
      </c>
      <c r="U2932" t="str">
        <f t="shared" si="91"/>
        <v>Rural</v>
      </c>
    </row>
    <row r="2933" spans="1:21" ht="16" x14ac:dyDescent="0.4">
      <c r="A2933" s="7">
        <v>36081</v>
      </c>
      <c r="B2933" s="7" t="s">
        <v>13</v>
      </c>
      <c r="C2933" s="7" t="s">
        <v>14</v>
      </c>
      <c r="D2933" s="7">
        <v>1201</v>
      </c>
      <c r="E2933" s="7">
        <v>419</v>
      </c>
      <c r="F2933" s="7">
        <v>474</v>
      </c>
      <c r="G2933" s="7">
        <v>8</v>
      </c>
      <c r="H2933" s="7">
        <v>17269</v>
      </c>
      <c r="I2933" s="7">
        <v>2</v>
      </c>
      <c r="J2933" s="7">
        <v>36</v>
      </c>
      <c r="K2933" s="7">
        <v>465</v>
      </c>
      <c r="L2933" s="7">
        <v>449</v>
      </c>
      <c r="M2933" s="7">
        <v>6.3529411769999999</v>
      </c>
      <c r="N2933">
        <f>VLOOKUP(A2933,vlookup_table!$A:$G,2,FALSE)</f>
        <v>1</v>
      </c>
      <c r="O2933" t="str">
        <f>VLOOKUP(A2933,vlookup_table!$A:$G,3,FALSE)</f>
        <v>FL</v>
      </c>
      <c r="P2933">
        <f>VLOOKUP(A2933,vlookup_table!$A:$G,4,FALSE)</f>
        <v>3110</v>
      </c>
      <c r="Q2933" t="str">
        <f>VLOOKUP(A2933,vlookup_table!$A:$G,5,FALSE)</f>
        <v>C1</v>
      </c>
      <c r="R2933" t="str">
        <f>VLOOKUP(A2933,vlookup_table!$A:$G,6,FALSE)</f>
        <v>M</v>
      </c>
      <c r="S2933">
        <f>VLOOKUP(A2933,vlookup_table!$A:$G,7,FALSE)</f>
        <v>17</v>
      </c>
      <c r="T2933">
        <f t="shared" si="90"/>
        <v>65</v>
      </c>
      <c r="U2933" t="str">
        <f t="shared" si="91"/>
        <v>Ciudad</v>
      </c>
    </row>
    <row r="2934" spans="1:21" ht="16" x14ac:dyDescent="0.4">
      <c r="A2934" s="7">
        <v>140928</v>
      </c>
      <c r="B2934" s="7" t="s">
        <v>23</v>
      </c>
      <c r="C2934" s="7" t="s">
        <v>17</v>
      </c>
      <c r="D2934" s="7">
        <v>1117</v>
      </c>
      <c r="E2934" s="7">
        <v>461</v>
      </c>
      <c r="F2934" s="7">
        <v>450</v>
      </c>
      <c r="G2934" s="7">
        <v>3</v>
      </c>
      <c r="H2934" s="7">
        <v>16614</v>
      </c>
      <c r="I2934" s="7">
        <v>6</v>
      </c>
      <c r="J2934" s="7">
        <v>28</v>
      </c>
      <c r="K2934" s="7">
        <v>461</v>
      </c>
      <c r="L2934" s="7">
        <v>461</v>
      </c>
      <c r="M2934" s="7">
        <v>20.944444440000002</v>
      </c>
      <c r="N2934">
        <f>VLOOKUP(A2934,vlookup_table!$A:$G,2,FALSE)</f>
        <v>2</v>
      </c>
      <c r="O2934" t="str">
        <f>VLOOKUP(A2934,vlookup_table!$A:$G,3,FALSE)</f>
        <v>NV</v>
      </c>
      <c r="P2934">
        <f>VLOOKUP(A2934,vlookup_table!$A:$G,4,FALSE)</f>
        <v>2801</v>
      </c>
      <c r="Q2934" t="str">
        <f>VLOOKUP(A2934,vlookup_table!$A:$G,5,FALSE)</f>
        <v>S2</v>
      </c>
      <c r="R2934" t="str">
        <f>VLOOKUP(A2934,vlookup_table!$A:$G,6,FALSE)</f>
        <v>F</v>
      </c>
      <c r="S2934">
        <f>VLOOKUP(A2934,vlookup_table!$A:$G,7,FALSE)</f>
        <v>21</v>
      </c>
      <c r="T2934">
        <f t="shared" si="90"/>
        <v>68</v>
      </c>
      <c r="U2934" t="str">
        <f t="shared" si="91"/>
        <v>Suburbano</v>
      </c>
    </row>
    <row r="2935" spans="1:21" ht="16" x14ac:dyDescent="0.4">
      <c r="A2935" s="7">
        <v>84390</v>
      </c>
      <c r="B2935" s="7" t="s">
        <v>52</v>
      </c>
      <c r="C2935" s="7" t="s">
        <v>14</v>
      </c>
      <c r="D2935" s="7">
        <v>465</v>
      </c>
      <c r="E2935" s="7">
        <v>213</v>
      </c>
      <c r="F2935" s="7">
        <v>312</v>
      </c>
      <c r="G2935" s="7">
        <v>0</v>
      </c>
      <c r="H2935" s="7">
        <v>10736</v>
      </c>
      <c r="I2935" s="7">
        <v>1</v>
      </c>
      <c r="J2935" s="7">
        <v>80</v>
      </c>
      <c r="K2935" s="7">
        <v>281</v>
      </c>
      <c r="L2935" s="7">
        <v>259</v>
      </c>
      <c r="M2935" s="7">
        <v>7.5333333329999999</v>
      </c>
      <c r="N2935">
        <f>VLOOKUP(A2935,vlookup_table!$A:$G,2,FALSE)</f>
        <v>1</v>
      </c>
      <c r="O2935" t="str">
        <f>VLOOKUP(A2935,vlookup_table!$A:$G,3,FALSE)</f>
        <v>MN</v>
      </c>
      <c r="P2935">
        <f>VLOOKUP(A2935,vlookup_table!$A:$G,4,FALSE)</f>
        <v>1801</v>
      </c>
      <c r="Q2935" t="str">
        <f>VLOOKUP(A2935,vlookup_table!$A:$G,5,FALSE)</f>
        <v>R2</v>
      </c>
      <c r="R2935" t="str">
        <f>VLOOKUP(A2935,vlookup_table!$A:$G,6,FALSE)</f>
        <v>M</v>
      </c>
      <c r="S2935">
        <f>VLOOKUP(A2935,vlookup_table!$A:$G,7,FALSE)</f>
        <v>5</v>
      </c>
      <c r="T2935">
        <f t="shared" si="90"/>
        <v>78</v>
      </c>
      <c r="U2935" t="str">
        <f t="shared" si="91"/>
        <v>Rural</v>
      </c>
    </row>
    <row r="2936" spans="1:21" ht="16" x14ac:dyDescent="0.4">
      <c r="A2936" s="7">
        <v>83709</v>
      </c>
      <c r="B2936" s="7" t="s">
        <v>52</v>
      </c>
      <c r="C2936" s="7" t="s">
        <v>14</v>
      </c>
      <c r="D2936" s="7">
        <v>680</v>
      </c>
      <c r="E2936" s="7">
        <v>335</v>
      </c>
      <c r="F2936" s="7">
        <v>357</v>
      </c>
      <c r="G2936" s="7">
        <v>0</v>
      </c>
      <c r="H2936" s="7">
        <v>13525</v>
      </c>
      <c r="I2936" s="7">
        <v>3</v>
      </c>
      <c r="J2936" s="7">
        <v>81</v>
      </c>
      <c r="K2936" s="7">
        <v>324</v>
      </c>
      <c r="L2936" s="7">
        <v>358</v>
      </c>
      <c r="M2936" s="7">
        <v>6.3636363640000004</v>
      </c>
      <c r="N2936">
        <f>VLOOKUP(A2936,vlookup_table!$A:$G,2,FALSE)</f>
        <v>2</v>
      </c>
      <c r="O2936" t="str">
        <f>VLOOKUP(A2936,vlookup_table!$A:$G,3,FALSE)</f>
        <v>MN</v>
      </c>
      <c r="P2936">
        <f>VLOOKUP(A2936,vlookup_table!$A:$G,4,FALSE)</f>
        <v>2512</v>
      </c>
      <c r="Q2936" t="str">
        <f>VLOOKUP(A2936,vlookup_table!$A:$G,5,FALSE)</f>
        <v>S2</v>
      </c>
      <c r="R2936" t="str">
        <f>VLOOKUP(A2936,vlookup_table!$A:$G,6,FALSE)</f>
        <v>M</v>
      </c>
      <c r="S2936">
        <f>VLOOKUP(A2936,vlookup_table!$A:$G,7,FALSE)</f>
        <v>10</v>
      </c>
      <c r="T2936">
        <f t="shared" si="90"/>
        <v>71</v>
      </c>
      <c r="U2936" t="str">
        <f t="shared" si="91"/>
        <v>Suburbano</v>
      </c>
    </row>
    <row r="2937" spans="1:21" ht="16" x14ac:dyDescent="0.4">
      <c r="A2937" s="7">
        <v>27854</v>
      </c>
      <c r="B2937" s="7" t="s">
        <v>36</v>
      </c>
      <c r="C2937" s="7" t="s">
        <v>17</v>
      </c>
      <c r="D2937" s="7">
        <v>679</v>
      </c>
      <c r="E2937" s="7">
        <v>475</v>
      </c>
      <c r="F2937" s="7">
        <v>466</v>
      </c>
      <c r="G2937" s="7">
        <v>0</v>
      </c>
      <c r="H2937" s="7">
        <v>13724</v>
      </c>
      <c r="I2937" s="7">
        <v>2</v>
      </c>
      <c r="J2937" s="7">
        <v>50</v>
      </c>
      <c r="K2937" s="7">
        <v>468</v>
      </c>
      <c r="L2937" s="7">
        <v>477</v>
      </c>
      <c r="M2937" s="7">
        <v>5.5625</v>
      </c>
      <c r="N2937">
        <f>VLOOKUP(A2937,vlookup_table!$A:$G,2,FALSE)</f>
        <v>2</v>
      </c>
      <c r="O2937" t="str">
        <f>VLOOKUP(A2937,vlookup_table!$A:$G,3,FALSE)</f>
        <v>GA</v>
      </c>
      <c r="P2937">
        <f>VLOOKUP(A2937,vlookup_table!$A:$G,4,FALSE)</f>
        <v>3111</v>
      </c>
      <c r="Q2937" t="str">
        <f>VLOOKUP(A2937,vlookup_table!$A:$G,5,FALSE)</f>
        <v>C2</v>
      </c>
      <c r="R2937" t="str">
        <f>VLOOKUP(A2937,vlookup_table!$A:$G,6,FALSE)</f>
        <v>F</v>
      </c>
      <c r="S2937">
        <f>VLOOKUP(A2937,vlookup_table!$A:$G,7,FALSE)</f>
        <v>5</v>
      </c>
      <c r="T2937">
        <f t="shared" si="90"/>
        <v>65</v>
      </c>
      <c r="U2937" t="str">
        <f t="shared" si="91"/>
        <v>Ciudad</v>
      </c>
    </row>
    <row r="2938" spans="1:21" ht="16" x14ac:dyDescent="0.4">
      <c r="A2938" s="7">
        <v>139302</v>
      </c>
      <c r="B2938" s="7" t="s">
        <v>50</v>
      </c>
      <c r="C2938" s="7" t="s">
        <v>14</v>
      </c>
      <c r="D2938" s="7">
        <v>592</v>
      </c>
      <c r="E2938" s="7">
        <v>273</v>
      </c>
      <c r="F2938" s="7">
        <v>315</v>
      </c>
      <c r="G2938" s="7">
        <v>0</v>
      </c>
      <c r="H2938" s="7">
        <v>7582</v>
      </c>
      <c r="I2938" s="7">
        <v>4</v>
      </c>
      <c r="J2938" s="7">
        <v>79</v>
      </c>
      <c r="K2938" s="7">
        <v>294</v>
      </c>
      <c r="L2938" s="7">
        <v>290</v>
      </c>
      <c r="M2938" s="7">
        <v>21.666666670000001</v>
      </c>
      <c r="N2938">
        <f>VLOOKUP(A2938,vlookup_table!$A:$G,2,FALSE)</f>
        <v>0</v>
      </c>
      <c r="O2938" t="str">
        <f>VLOOKUP(A2938,vlookup_table!$A:$G,3,FALSE)</f>
        <v>NM</v>
      </c>
      <c r="P2938">
        <f>VLOOKUP(A2938,vlookup_table!$A:$G,4,FALSE)</f>
        <v>4003</v>
      </c>
      <c r="Q2938" t="str">
        <f>VLOOKUP(A2938,vlookup_table!$A:$G,5,FALSE)</f>
        <v>S3</v>
      </c>
      <c r="R2938" t="str">
        <f>VLOOKUP(A2938,vlookup_table!$A:$G,6,FALSE)</f>
        <v>M</v>
      </c>
      <c r="S2938">
        <f>VLOOKUP(A2938,vlookup_table!$A:$G,7,FALSE)</f>
        <v>25</v>
      </c>
      <c r="T2938">
        <f t="shared" si="90"/>
        <v>56</v>
      </c>
      <c r="U2938" t="str">
        <f t="shared" si="91"/>
        <v>Suburbano</v>
      </c>
    </row>
    <row r="2939" spans="1:21" ht="16" x14ac:dyDescent="0.4">
      <c r="A2939" s="7">
        <v>87538</v>
      </c>
      <c r="B2939" s="7" t="s">
        <v>31</v>
      </c>
      <c r="C2939" s="7" t="s">
        <v>97</v>
      </c>
      <c r="D2939" s="7">
        <v>561</v>
      </c>
      <c r="E2939" s="7">
        <v>189</v>
      </c>
      <c r="F2939" s="7">
        <v>282</v>
      </c>
      <c r="G2939" s="7">
        <v>0</v>
      </c>
      <c r="H2939" s="7">
        <v>9557</v>
      </c>
      <c r="I2939" s="7">
        <v>1</v>
      </c>
      <c r="J2939" s="7">
        <v>62</v>
      </c>
      <c r="K2939" s="7">
        <v>243</v>
      </c>
      <c r="L2939" s="7">
        <v>233</v>
      </c>
      <c r="M2939" s="7">
        <v>8.3333333330000006</v>
      </c>
      <c r="N2939">
        <f>VLOOKUP(A2939,vlookup_table!$A:$G,2,FALSE)</f>
        <v>0</v>
      </c>
      <c r="O2939" t="str">
        <f>VLOOKUP(A2939,vlookup_table!$A:$G,3,FALSE)</f>
        <v>MT</v>
      </c>
      <c r="P2939">
        <f>VLOOKUP(A2939,vlookup_table!$A:$G,4,FALSE)</f>
        <v>0</v>
      </c>
      <c r="Q2939" t="str">
        <f>VLOOKUP(A2939,vlookup_table!$A:$G,5,FALSE)</f>
        <v>R2</v>
      </c>
      <c r="R2939" t="str">
        <f>VLOOKUP(A2939,vlookup_table!$A:$G,6,FALSE)</f>
        <v>F</v>
      </c>
      <c r="S2939">
        <f>VLOOKUP(A2939,vlookup_table!$A:$G,7,FALSE)</f>
        <v>10</v>
      </c>
      <c r="T2939">
        <f t="shared" si="90"/>
        <v>96</v>
      </c>
      <c r="U2939" t="str">
        <f t="shared" si="91"/>
        <v>Rural</v>
      </c>
    </row>
    <row r="2940" spans="1:21" ht="16" x14ac:dyDescent="0.4">
      <c r="A2940" s="7">
        <v>173571</v>
      </c>
      <c r="B2940" s="7" t="s">
        <v>34</v>
      </c>
      <c r="C2940" s="7" t="s">
        <v>14</v>
      </c>
      <c r="D2940" s="7">
        <v>2575</v>
      </c>
      <c r="E2940" s="7">
        <v>521</v>
      </c>
      <c r="F2940" s="7">
        <v>584</v>
      </c>
      <c r="G2940" s="7">
        <v>74</v>
      </c>
      <c r="H2940" s="7">
        <v>17578</v>
      </c>
      <c r="I2940" s="7">
        <v>5</v>
      </c>
      <c r="J2940" s="7">
        <v>80</v>
      </c>
      <c r="K2940" s="7">
        <v>551</v>
      </c>
      <c r="L2940" s="7">
        <v>561</v>
      </c>
      <c r="M2940" s="7">
        <v>17.5</v>
      </c>
      <c r="N2940">
        <f>VLOOKUP(A2940,vlookup_table!$A:$G,2,FALSE)</f>
        <v>0</v>
      </c>
      <c r="O2940" t="str">
        <f>VLOOKUP(A2940,vlookup_table!$A:$G,3,FALSE)</f>
        <v>HI</v>
      </c>
      <c r="P2940">
        <f>VLOOKUP(A2940,vlookup_table!$A:$G,4,FALSE)</f>
        <v>0</v>
      </c>
      <c r="Q2940" t="str">
        <f>VLOOKUP(A2940,vlookup_table!$A:$G,5,FALSE)</f>
        <v>T2</v>
      </c>
      <c r="R2940" t="str">
        <f>VLOOKUP(A2940,vlookup_table!$A:$G,6,FALSE)</f>
        <v>M</v>
      </c>
      <c r="S2940">
        <f>VLOOKUP(A2940,vlookup_table!$A:$G,7,FALSE)</f>
        <v>25</v>
      </c>
      <c r="T2940">
        <f t="shared" si="90"/>
        <v>96</v>
      </c>
      <c r="U2940" t="str">
        <f t="shared" si="91"/>
        <v>Pueblo</v>
      </c>
    </row>
    <row r="2941" spans="1:21" ht="16" x14ac:dyDescent="0.4">
      <c r="A2941" s="7">
        <v>55091</v>
      </c>
      <c r="B2941" s="7" t="s">
        <v>56</v>
      </c>
      <c r="C2941" s="7" t="s">
        <v>97</v>
      </c>
      <c r="D2941" s="7">
        <v>364</v>
      </c>
      <c r="E2941" s="7">
        <v>187</v>
      </c>
      <c r="F2941" s="7">
        <v>263</v>
      </c>
      <c r="G2941" s="7">
        <v>1</v>
      </c>
      <c r="H2941" s="7">
        <v>8562</v>
      </c>
      <c r="I2941" s="7">
        <v>0</v>
      </c>
      <c r="J2941" s="7">
        <v>89</v>
      </c>
      <c r="K2941" s="7">
        <v>216</v>
      </c>
      <c r="L2941" s="7">
        <v>234</v>
      </c>
      <c r="M2941" s="7">
        <v>25</v>
      </c>
      <c r="N2941">
        <f>VLOOKUP(A2941,vlookup_table!$A:$G,2,FALSE)</f>
        <v>0</v>
      </c>
      <c r="O2941" t="str">
        <f>VLOOKUP(A2941,vlookup_table!$A:$G,3,FALSE)</f>
        <v>MS</v>
      </c>
      <c r="P2941">
        <f>VLOOKUP(A2941,vlookup_table!$A:$G,4,FALSE)</f>
        <v>5001</v>
      </c>
      <c r="Q2941" t="str">
        <f>VLOOKUP(A2941,vlookup_table!$A:$G,5,FALSE)</f>
        <v>R3</v>
      </c>
      <c r="R2941" t="str">
        <f>VLOOKUP(A2941,vlookup_table!$A:$G,6,FALSE)</f>
        <v>F</v>
      </c>
      <c r="S2941">
        <f>VLOOKUP(A2941,vlookup_table!$A:$G,7,FALSE)</f>
        <v>10</v>
      </c>
      <c r="T2941">
        <f t="shared" si="90"/>
        <v>46</v>
      </c>
      <c r="U2941" t="str">
        <f t="shared" si="91"/>
        <v>Rural</v>
      </c>
    </row>
    <row r="2942" spans="1:21" ht="16" x14ac:dyDescent="0.4">
      <c r="A2942" s="7">
        <v>2861</v>
      </c>
      <c r="B2942" s="7" t="s">
        <v>37</v>
      </c>
      <c r="C2942" s="7" t="s">
        <v>14</v>
      </c>
      <c r="D2942" s="7">
        <v>817</v>
      </c>
      <c r="E2942" s="7">
        <v>388</v>
      </c>
      <c r="F2942" s="7">
        <v>422</v>
      </c>
      <c r="G2942" s="7">
        <v>0</v>
      </c>
      <c r="H2942" s="7">
        <v>13502</v>
      </c>
      <c r="I2942" s="7">
        <v>3</v>
      </c>
      <c r="J2942" s="7">
        <v>60</v>
      </c>
      <c r="K2942" s="7">
        <v>404</v>
      </c>
      <c r="L2942" s="7">
        <v>390</v>
      </c>
      <c r="M2942" s="7">
        <v>7.7857142860000002</v>
      </c>
      <c r="N2942">
        <f>VLOOKUP(A2942,vlookup_table!$A:$G,2,FALSE)</f>
        <v>0</v>
      </c>
      <c r="O2942" t="str">
        <f>VLOOKUP(A2942,vlookup_table!$A:$G,3,FALSE)</f>
        <v>WA</v>
      </c>
      <c r="P2942">
        <f>VLOOKUP(A2942,vlookup_table!$A:$G,4,FALSE)</f>
        <v>3701</v>
      </c>
      <c r="Q2942" t="str">
        <f>VLOOKUP(A2942,vlookup_table!$A:$G,5,FALSE)</f>
        <v>S2</v>
      </c>
      <c r="R2942" t="str">
        <f>VLOOKUP(A2942,vlookup_table!$A:$G,6,FALSE)</f>
        <v>M</v>
      </c>
      <c r="S2942">
        <f>VLOOKUP(A2942,vlookup_table!$A:$G,7,FALSE)</f>
        <v>7</v>
      </c>
      <c r="T2942">
        <f t="shared" si="90"/>
        <v>59</v>
      </c>
      <c r="U2942" t="str">
        <f t="shared" si="91"/>
        <v>Suburbano</v>
      </c>
    </row>
    <row r="2943" spans="1:21" ht="16" x14ac:dyDescent="0.4">
      <c r="A2943" s="7">
        <v>141666</v>
      </c>
      <c r="B2943" s="7" t="s">
        <v>23</v>
      </c>
      <c r="C2943" s="7" t="s">
        <v>14</v>
      </c>
      <c r="D2943" s="7">
        <v>1105</v>
      </c>
      <c r="E2943" s="7">
        <v>229</v>
      </c>
      <c r="F2943" s="7">
        <v>374</v>
      </c>
      <c r="G2943" s="7">
        <v>7</v>
      </c>
      <c r="H2943" s="7">
        <v>15856</v>
      </c>
      <c r="I2943" s="7">
        <v>12</v>
      </c>
      <c r="J2943" s="7">
        <v>14</v>
      </c>
      <c r="K2943" s="7">
        <v>285</v>
      </c>
      <c r="L2943" s="7">
        <v>303</v>
      </c>
      <c r="M2943" s="7">
        <v>10.5</v>
      </c>
      <c r="N2943">
        <f>VLOOKUP(A2943,vlookup_table!$A:$G,2,FALSE)</f>
        <v>1</v>
      </c>
      <c r="O2943" t="str">
        <f>VLOOKUP(A2943,vlookup_table!$A:$G,3,FALSE)</f>
        <v>NV</v>
      </c>
      <c r="P2943">
        <f>VLOOKUP(A2943,vlookup_table!$A:$G,4,FALSE)</f>
        <v>0</v>
      </c>
      <c r="Q2943" t="str">
        <f>VLOOKUP(A2943,vlookup_table!$A:$G,5,FALSE)</f>
        <v>C1</v>
      </c>
      <c r="R2943" t="str">
        <f>VLOOKUP(A2943,vlookup_table!$A:$G,6,FALSE)</f>
        <v>M</v>
      </c>
      <c r="S2943">
        <f>VLOOKUP(A2943,vlookup_table!$A:$G,7,FALSE)</f>
        <v>16</v>
      </c>
      <c r="T2943">
        <f t="shared" si="90"/>
        <v>96</v>
      </c>
      <c r="U2943" t="str">
        <f t="shared" si="91"/>
        <v>Ciudad</v>
      </c>
    </row>
    <row r="2944" spans="1:21" ht="16" x14ac:dyDescent="0.4">
      <c r="A2944" s="7">
        <v>165857</v>
      </c>
      <c r="B2944" s="7" t="s">
        <v>21</v>
      </c>
      <c r="C2944" s="7" t="s">
        <v>17</v>
      </c>
      <c r="D2944" s="7">
        <v>1269</v>
      </c>
      <c r="E2944" s="7">
        <v>409</v>
      </c>
      <c r="F2944" s="7">
        <v>490</v>
      </c>
      <c r="G2944" s="7">
        <v>3</v>
      </c>
      <c r="H2944" s="7">
        <v>17132</v>
      </c>
      <c r="I2944" s="7">
        <v>5</v>
      </c>
      <c r="J2944" s="7">
        <v>55</v>
      </c>
      <c r="K2944" s="7">
        <v>457</v>
      </c>
      <c r="L2944" s="7">
        <v>443</v>
      </c>
      <c r="M2944" s="7">
        <v>3.4</v>
      </c>
      <c r="N2944">
        <f>VLOOKUP(A2944,vlookup_table!$A:$G,2,FALSE)</f>
        <v>28</v>
      </c>
      <c r="O2944" t="str">
        <f>VLOOKUP(A2944,vlookup_table!$A:$G,3,FALSE)</f>
        <v>CA</v>
      </c>
      <c r="P2944">
        <f>VLOOKUP(A2944,vlookup_table!$A:$G,4,FALSE)</f>
        <v>2201</v>
      </c>
      <c r="Q2944" t="str">
        <f>VLOOKUP(A2944,vlookup_table!$A:$G,5,FALSE)</f>
        <v>C2</v>
      </c>
      <c r="R2944" t="str">
        <f>VLOOKUP(A2944,vlookup_table!$A:$G,6,FALSE)</f>
        <v>F</v>
      </c>
      <c r="S2944">
        <f>VLOOKUP(A2944,vlookup_table!$A:$G,7,FALSE)</f>
        <v>4</v>
      </c>
      <c r="T2944">
        <f t="shared" si="90"/>
        <v>74</v>
      </c>
      <c r="U2944" t="str">
        <f t="shared" si="91"/>
        <v>Ciudad</v>
      </c>
    </row>
    <row r="2945" spans="1:21" ht="16" x14ac:dyDescent="0.4">
      <c r="A2945" s="7">
        <v>172464</v>
      </c>
      <c r="B2945" s="7" t="s">
        <v>21</v>
      </c>
      <c r="C2945" s="7" t="s">
        <v>14</v>
      </c>
      <c r="D2945" s="7">
        <v>1257</v>
      </c>
      <c r="E2945" s="7">
        <v>231</v>
      </c>
      <c r="F2945" s="7">
        <v>535</v>
      </c>
      <c r="G2945" s="7">
        <v>20</v>
      </c>
      <c r="H2945" s="7">
        <v>19180</v>
      </c>
      <c r="I2945" s="7">
        <v>10</v>
      </c>
      <c r="J2945" s="7">
        <v>54</v>
      </c>
      <c r="K2945" s="7">
        <v>509</v>
      </c>
      <c r="L2945" s="7">
        <v>350</v>
      </c>
      <c r="M2945" s="7">
        <v>5.625</v>
      </c>
      <c r="N2945">
        <f>VLOOKUP(A2945,vlookup_table!$A:$G,2,FALSE)</f>
        <v>0</v>
      </c>
      <c r="O2945" t="str">
        <f>VLOOKUP(A2945,vlookup_table!$A:$G,3,FALSE)</f>
        <v>CA</v>
      </c>
      <c r="P2945">
        <f>VLOOKUP(A2945,vlookup_table!$A:$G,4,FALSE)</f>
        <v>0</v>
      </c>
      <c r="Q2945" t="str">
        <f>VLOOKUP(A2945,vlookup_table!$A:$G,5,FALSE)</f>
        <v>T2</v>
      </c>
      <c r="R2945" t="str">
        <f>VLOOKUP(A2945,vlookup_table!$A:$G,6,FALSE)</f>
        <v>M</v>
      </c>
      <c r="S2945">
        <f>VLOOKUP(A2945,vlookup_table!$A:$G,7,FALSE)</f>
        <v>6</v>
      </c>
      <c r="T2945">
        <f t="shared" si="90"/>
        <v>96</v>
      </c>
      <c r="U2945" t="str">
        <f t="shared" si="91"/>
        <v>Pueblo</v>
      </c>
    </row>
    <row r="2946" spans="1:21" ht="16" x14ac:dyDescent="0.4">
      <c r="A2946" s="7">
        <v>168171</v>
      </c>
      <c r="B2946" s="7" t="s">
        <v>21</v>
      </c>
      <c r="C2946" s="7" t="s">
        <v>17</v>
      </c>
      <c r="D2946" s="7">
        <v>3938</v>
      </c>
      <c r="E2946" s="7">
        <v>203</v>
      </c>
      <c r="F2946" s="7">
        <v>344</v>
      </c>
      <c r="G2946" s="7">
        <v>50</v>
      </c>
      <c r="H2946" s="7">
        <v>15598</v>
      </c>
      <c r="I2946" s="7">
        <v>10</v>
      </c>
      <c r="J2946" s="7">
        <v>38</v>
      </c>
      <c r="K2946" s="7">
        <v>325</v>
      </c>
      <c r="L2946" s="7">
        <v>271</v>
      </c>
      <c r="M2946" s="7">
        <v>13.57142857</v>
      </c>
      <c r="N2946">
        <f>VLOOKUP(A2946,vlookup_table!$A:$G,2,FALSE)</f>
        <v>0</v>
      </c>
      <c r="O2946" t="str">
        <f>VLOOKUP(A2946,vlookup_table!$A:$G,3,FALSE)</f>
        <v>CA</v>
      </c>
      <c r="P2946">
        <f>VLOOKUP(A2946,vlookup_table!$A:$G,4,FALSE)</f>
        <v>4511</v>
      </c>
      <c r="Q2946" t="str">
        <f>VLOOKUP(A2946,vlookup_table!$A:$G,5,FALSE)</f>
        <v>C2</v>
      </c>
      <c r="R2946" t="str">
        <f>VLOOKUP(A2946,vlookup_table!$A:$G,6,FALSE)</f>
        <v>F</v>
      </c>
      <c r="S2946">
        <f>VLOOKUP(A2946,vlookup_table!$A:$G,7,FALSE)</f>
        <v>10</v>
      </c>
      <c r="T2946">
        <f t="shared" si="90"/>
        <v>51</v>
      </c>
      <c r="U2946" t="str">
        <f t="shared" si="91"/>
        <v>Ciudad</v>
      </c>
    </row>
    <row r="2947" spans="1:21" ht="16" x14ac:dyDescent="0.4">
      <c r="A2947" s="7">
        <v>68563</v>
      </c>
      <c r="B2947" s="7" t="s">
        <v>26</v>
      </c>
      <c r="C2947" s="7" t="s">
        <v>17</v>
      </c>
      <c r="D2947" s="7">
        <v>2119</v>
      </c>
      <c r="E2947" s="7">
        <v>956</v>
      </c>
      <c r="F2947" s="7">
        <v>987</v>
      </c>
      <c r="G2947" s="7">
        <v>58</v>
      </c>
      <c r="H2947" s="7">
        <v>50910</v>
      </c>
      <c r="I2947" s="7">
        <v>11</v>
      </c>
      <c r="J2947" s="7">
        <v>72</v>
      </c>
      <c r="K2947" s="7">
        <v>1010</v>
      </c>
      <c r="L2947" s="7">
        <v>964</v>
      </c>
      <c r="M2947" s="7">
        <v>22.5</v>
      </c>
      <c r="N2947">
        <f>VLOOKUP(A2947,vlookup_table!$A:$G,2,FALSE)</f>
        <v>0</v>
      </c>
      <c r="O2947" t="str">
        <f>VLOOKUP(A2947,vlookup_table!$A:$G,3,FALSE)</f>
        <v>MI</v>
      </c>
      <c r="P2947">
        <f>VLOOKUP(A2947,vlookup_table!$A:$G,4,FALSE)</f>
        <v>3601</v>
      </c>
      <c r="Q2947" t="str">
        <f>VLOOKUP(A2947,vlookup_table!$A:$G,5,FALSE)</f>
        <v>S1</v>
      </c>
      <c r="R2947" t="str">
        <f>VLOOKUP(A2947,vlookup_table!$A:$G,6,FALSE)</f>
        <v>F</v>
      </c>
      <c r="S2947">
        <f>VLOOKUP(A2947,vlookup_table!$A:$G,7,FALSE)</f>
        <v>30</v>
      </c>
      <c r="T2947">
        <f t="shared" ref="T2947:T3010" si="92">97-LEFT(P2947,2)-IF(RIGHT(P2947,2)&gt;6,1,0)</f>
        <v>60</v>
      </c>
      <c r="U2947" t="str">
        <f t="shared" ref="U2947:U3010" si="93">IF(LEFT(Q2947,1)="C","Ciudad",IF(LEFT(Q2947,1)="T","Pueblo",IF(LEFT(Q2947,1)="R","Rural",IF(LEFT(Q2947,1)="S","Suburbano",IF(LEFT(Q2947,1)="U","Urbano","")))))</f>
        <v>Suburbano</v>
      </c>
    </row>
    <row r="2948" spans="1:21" ht="16" x14ac:dyDescent="0.4">
      <c r="A2948" s="7">
        <v>7160</v>
      </c>
      <c r="B2948" s="7" t="s">
        <v>37</v>
      </c>
      <c r="C2948" s="7" t="s">
        <v>14</v>
      </c>
      <c r="D2948" s="7">
        <v>1117</v>
      </c>
      <c r="E2948" s="7">
        <v>376</v>
      </c>
      <c r="F2948" s="7">
        <v>439</v>
      </c>
      <c r="G2948" s="7">
        <v>9</v>
      </c>
      <c r="H2948" s="7">
        <v>14428</v>
      </c>
      <c r="I2948" s="7">
        <v>2</v>
      </c>
      <c r="J2948" s="7">
        <v>62</v>
      </c>
      <c r="K2948" s="7">
        <v>397</v>
      </c>
      <c r="L2948" s="7">
        <v>413</v>
      </c>
      <c r="M2948" s="7">
        <v>14.44444444</v>
      </c>
      <c r="N2948">
        <f>VLOOKUP(A2948,vlookup_table!$A:$G,2,FALSE)</f>
        <v>2</v>
      </c>
      <c r="O2948" t="str">
        <f>VLOOKUP(A2948,vlookup_table!$A:$G,3,FALSE)</f>
        <v>WA</v>
      </c>
      <c r="P2948">
        <f>VLOOKUP(A2948,vlookup_table!$A:$G,4,FALSE)</f>
        <v>906</v>
      </c>
      <c r="Q2948" t="str">
        <f>VLOOKUP(A2948,vlookup_table!$A:$G,5,FALSE)</f>
        <v>T2</v>
      </c>
      <c r="R2948" t="str">
        <f>VLOOKUP(A2948,vlookup_table!$A:$G,6,FALSE)</f>
        <v>M</v>
      </c>
      <c r="S2948">
        <f>VLOOKUP(A2948,vlookup_table!$A:$G,7,FALSE)</f>
        <v>14</v>
      </c>
      <c r="T2948">
        <f t="shared" si="92"/>
        <v>6</v>
      </c>
      <c r="U2948" t="str">
        <f t="shared" si="93"/>
        <v>Pueblo</v>
      </c>
    </row>
    <row r="2949" spans="1:21" ht="16" x14ac:dyDescent="0.4">
      <c r="A2949" s="7">
        <v>129779</v>
      </c>
      <c r="B2949" s="7" t="s">
        <v>45</v>
      </c>
      <c r="C2949" s="7" t="s">
        <v>17</v>
      </c>
      <c r="D2949" s="7">
        <v>1200</v>
      </c>
      <c r="E2949" s="7">
        <v>529</v>
      </c>
      <c r="F2949" s="7">
        <v>529</v>
      </c>
      <c r="G2949" s="7">
        <v>2</v>
      </c>
      <c r="H2949" s="7">
        <v>18107</v>
      </c>
      <c r="I2949" s="7">
        <v>1</v>
      </c>
      <c r="J2949" s="7">
        <v>39</v>
      </c>
      <c r="K2949" s="7">
        <v>552</v>
      </c>
      <c r="L2949" s="7">
        <v>516</v>
      </c>
      <c r="M2949" s="7">
        <v>14.68421053</v>
      </c>
      <c r="N2949">
        <f>VLOOKUP(A2949,vlookup_table!$A:$G,2,FALSE)</f>
        <v>0</v>
      </c>
      <c r="O2949" t="str">
        <f>VLOOKUP(A2949,vlookup_table!$A:$G,3,FALSE)</f>
        <v>CO</v>
      </c>
      <c r="P2949">
        <f>VLOOKUP(A2949,vlookup_table!$A:$G,4,FALSE)</f>
        <v>3012</v>
      </c>
      <c r="Q2949" t="str">
        <f>VLOOKUP(A2949,vlookup_table!$A:$G,5,FALSE)</f>
        <v>S1</v>
      </c>
      <c r="R2949" t="str">
        <f>VLOOKUP(A2949,vlookup_table!$A:$G,6,FALSE)</f>
        <v>F</v>
      </c>
      <c r="S2949">
        <f>VLOOKUP(A2949,vlookup_table!$A:$G,7,FALSE)</f>
        <v>12</v>
      </c>
      <c r="T2949">
        <f t="shared" si="92"/>
        <v>66</v>
      </c>
      <c r="U2949" t="str">
        <f t="shared" si="93"/>
        <v>Suburbano</v>
      </c>
    </row>
    <row r="2950" spans="1:21" ht="16" x14ac:dyDescent="0.4">
      <c r="A2950" s="7">
        <v>112504</v>
      </c>
      <c r="B2950" s="7" t="s">
        <v>29</v>
      </c>
      <c r="C2950" s="7" t="s">
        <v>97</v>
      </c>
      <c r="D2950" s="7">
        <v>773</v>
      </c>
      <c r="E2950" s="7">
        <v>521</v>
      </c>
      <c r="F2950" s="7">
        <v>566</v>
      </c>
      <c r="G2950" s="7">
        <v>0</v>
      </c>
      <c r="H2950" s="7">
        <v>18085</v>
      </c>
      <c r="I2950" s="7">
        <v>0</v>
      </c>
      <c r="J2950" s="7">
        <v>61</v>
      </c>
      <c r="K2950" s="7">
        <v>545</v>
      </c>
      <c r="L2950" s="7">
        <v>530</v>
      </c>
      <c r="M2950" s="7">
        <v>5.8333333329999997</v>
      </c>
      <c r="N2950">
        <f>VLOOKUP(A2950,vlookup_table!$A:$G,2,FALSE)</f>
        <v>0</v>
      </c>
      <c r="O2950" t="str">
        <f>VLOOKUP(A2950,vlookup_table!$A:$G,3,FALSE)</f>
        <v>AR</v>
      </c>
      <c r="P2950">
        <f>VLOOKUP(A2950,vlookup_table!$A:$G,4,FALSE)</f>
        <v>2401</v>
      </c>
      <c r="Q2950" t="str">
        <f>VLOOKUP(A2950,vlookup_table!$A:$G,5,FALSE)</f>
        <v>C1</v>
      </c>
      <c r="R2950" t="str">
        <f>VLOOKUP(A2950,vlookup_table!$A:$G,6,FALSE)</f>
        <v>F</v>
      </c>
      <c r="S2950">
        <f>VLOOKUP(A2950,vlookup_table!$A:$G,7,FALSE)</f>
        <v>10</v>
      </c>
      <c r="T2950">
        <f t="shared" si="92"/>
        <v>72</v>
      </c>
      <c r="U2950" t="str">
        <f t="shared" si="93"/>
        <v>Ciudad</v>
      </c>
    </row>
    <row r="2951" spans="1:21" ht="16" x14ac:dyDescent="0.4">
      <c r="A2951" s="7">
        <v>69536</v>
      </c>
      <c r="B2951" s="7" t="s">
        <v>26</v>
      </c>
      <c r="C2951" s="7"/>
      <c r="D2951" s="7">
        <v>394</v>
      </c>
      <c r="E2951" s="7">
        <v>228</v>
      </c>
      <c r="F2951" s="7">
        <v>276</v>
      </c>
      <c r="G2951" s="7">
        <v>0</v>
      </c>
      <c r="H2951" s="7">
        <v>9401</v>
      </c>
      <c r="I2951" s="7">
        <v>2</v>
      </c>
      <c r="J2951" s="7">
        <v>90</v>
      </c>
      <c r="K2951" s="7">
        <v>244</v>
      </c>
      <c r="L2951" s="7">
        <v>251</v>
      </c>
      <c r="M2951" s="7">
        <v>6</v>
      </c>
      <c r="N2951">
        <f>VLOOKUP(A2951,vlookup_table!$A:$G,2,FALSE)</f>
        <v>1</v>
      </c>
      <c r="O2951" t="str">
        <f>VLOOKUP(A2951,vlookup_table!$A:$G,3,FALSE)</f>
        <v>MI</v>
      </c>
      <c r="P2951">
        <f>VLOOKUP(A2951,vlookup_table!$A:$G,4,FALSE)</f>
        <v>1301</v>
      </c>
      <c r="Q2951" t="str">
        <f>VLOOKUP(A2951,vlookup_table!$A:$G,5,FALSE)</f>
        <v>R3</v>
      </c>
      <c r="R2951" t="str">
        <f>VLOOKUP(A2951,vlookup_table!$A:$G,6,FALSE)</f>
        <v/>
      </c>
      <c r="S2951">
        <f>VLOOKUP(A2951,vlookup_table!$A:$G,7,FALSE)</f>
        <v>8</v>
      </c>
      <c r="T2951">
        <f t="shared" si="92"/>
        <v>83</v>
      </c>
      <c r="U2951" t="str">
        <f t="shared" si="93"/>
        <v>Rural</v>
      </c>
    </row>
    <row r="2952" spans="1:21" ht="16" x14ac:dyDescent="0.4">
      <c r="A2952" s="7">
        <v>5321</v>
      </c>
      <c r="B2952" s="7" t="s">
        <v>21</v>
      </c>
      <c r="C2952" s="7" t="s">
        <v>27</v>
      </c>
      <c r="D2952" s="7">
        <v>2220</v>
      </c>
      <c r="E2952" s="7">
        <v>550</v>
      </c>
      <c r="F2952" s="7">
        <v>636</v>
      </c>
      <c r="G2952" s="7">
        <v>67</v>
      </c>
      <c r="H2952" s="7">
        <v>19233</v>
      </c>
      <c r="I2952" s="7">
        <v>11</v>
      </c>
      <c r="J2952" s="7">
        <v>43</v>
      </c>
      <c r="K2952" s="7">
        <v>617</v>
      </c>
      <c r="L2952" s="7">
        <v>576</v>
      </c>
      <c r="M2952" s="7">
        <v>25</v>
      </c>
      <c r="N2952">
        <f>VLOOKUP(A2952,vlookup_table!$A:$G,2,FALSE)</f>
        <v>0</v>
      </c>
      <c r="O2952" t="str">
        <f>VLOOKUP(A2952,vlookup_table!$A:$G,3,FALSE)</f>
        <v>CA</v>
      </c>
      <c r="P2952">
        <f>VLOOKUP(A2952,vlookup_table!$A:$G,4,FALSE)</f>
        <v>5401</v>
      </c>
      <c r="Q2952" t="str">
        <f>VLOOKUP(A2952,vlookup_table!$A:$G,5,FALSE)</f>
        <v>S1</v>
      </c>
      <c r="R2952" t="str">
        <f>VLOOKUP(A2952,vlookup_table!$A:$G,6,FALSE)</f>
        <v>U</v>
      </c>
      <c r="S2952">
        <f>VLOOKUP(A2952,vlookup_table!$A:$G,7,FALSE)</f>
        <v>25</v>
      </c>
      <c r="T2952">
        <f t="shared" si="92"/>
        <v>42</v>
      </c>
      <c r="U2952" t="str">
        <f t="shared" si="93"/>
        <v>Suburbano</v>
      </c>
    </row>
    <row r="2953" spans="1:21" ht="16" x14ac:dyDescent="0.4">
      <c r="A2953" s="7">
        <v>162849</v>
      </c>
      <c r="B2953" s="7" t="s">
        <v>21</v>
      </c>
      <c r="C2953" s="7" t="s">
        <v>17</v>
      </c>
      <c r="D2953" s="7">
        <v>3242</v>
      </c>
      <c r="E2953" s="7">
        <v>340</v>
      </c>
      <c r="F2953" s="7">
        <v>457</v>
      </c>
      <c r="G2953" s="7">
        <v>93</v>
      </c>
      <c r="H2953" s="7">
        <v>21061</v>
      </c>
      <c r="I2953" s="7">
        <v>14</v>
      </c>
      <c r="J2953" s="7">
        <v>40</v>
      </c>
      <c r="K2953" s="7">
        <v>408</v>
      </c>
      <c r="L2953" s="7">
        <v>398</v>
      </c>
      <c r="M2953" s="7">
        <v>3.25</v>
      </c>
      <c r="N2953">
        <f>VLOOKUP(A2953,vlookup_table!$A:$G,2,FALSE)</f>
        <v>0</v>
      </c>
      <c r="O2953" t="str">
        <f>VLOOKUP(A2953,vlookup_table!$A:$G,3,FALSE)</f>
        <v>CA</v>
      </c>
      <c r="P2953">
        <f>VLOOKUP(A2953,vlookup_table!$A:$G,4,FALSE)</f>
        <v>2909</v>
      </c>
      <c r="Q2953" t="str">
        <f>VLOOKUP(A2953,vlookup_table!$A:$G,5,FALSE)</f>
        <v>U1</v>
      </c>
      <c r="R2953" t="str">
        <f>VLOOKUP(A2953,vlookup_table!$A:$G,6,FALSE)</f>
        <v>F</v>
      </c>
      <c r="S2953">
        <f>VLOOKUP(A2953,vlookup_table!$A:$G,7,FALSE)</f>
        <v>9</v>
      </c>
      <c r="T2953">
        <f t="shared" si="92"/>
        <v>67</v>
      </c>
      <c r="U2953" t="str">
        <f t="shared" si="93"/>
        <v>Urbano</v>
      </c>
    </row>
    <row r="2954" spans="1:21" ht="16" x14ac:dyDescent="0.4">
      <c r="A2954" s="7">
        <v>58079</v>
      </c>
      <c r="B2954" s="7" t="s">
        <v>53</v>
      </c>
      <c r="C2954" s="7" t="s">
        <v>17</v>
      </c>
      <c r="D2954" s="7">
        <v>253</v>
      </c>
      <c r="E2954" s="7">
        <v>89</v>
      </c>
      <c r="F2954" s="7">
        <v>167</v>
      </c>
      <c r="G2954" s="7">
        <v>0</v>
      </c>
      <c r="H2954" s="7">
        <v>5372</v>
      </c>
      <c r="I2954" s="7">
        <v>0</v>
      </c>
      <c r="J2954" s="7">
        <v>83</v>
      </c>
      <c r="K2954" s="7">
        <v>125</v>
      </c>
      <c r="L2954" s="7">
        <v>139</v>
      </c>
      <c r="M2954" s="7">
        <v>13.55555556</v>
      </c>
      <c r="N2954">
        <f>VLOOKUP(A2954,vlookup_table!$A:$G,2,FALSE)</f>
        <v>0</v>
      </c>
      <c r="O2954" t="str">
        <f>VLOOKUP(A2954,vlookup_table!$A:$G,3,FALSE)</f>
        <v>KY</v>
      </c>
      <c r="P2954">
        <f>VLOOKUP(A2954,vlookup_table!$A:$G,4,FALSE)</f>
        <v>0</v>
      </c>
      <c r="Q2954" t="str">
        <f>VLOOKUP(A2954,vlookup_table!$A:$G,5,FALSE)</f>
        <v>R3</v>
      </c>
      <c r="R2954" t="str">
        <f>VLOOKUP(A2954,vlookup_table!$A:$G,6,FALSE)</f>
        <v>F</v>
      </c>
      <c r="S2954">
        <f>VLOOKUP(A2954,vlookup_table!$A:$G,7,FALSE)</f>
        <v>10</v>
      </c>
      <c r="T2954">
        <f t="shared" si="92"/>
        <v>96</v>
      </c>
      <c r="U2954" t="str">
        <f t="shared" si="93"/>
        <v>Rural</v>
      </c>
    </row>
    <row r="2955" spans="1:21" ht="16" x14ac:dyDescent="0.4">
      <c r="A2955" s="7">
        <v>54393</v>
      </c>
      <c r="B2955" s="7" t="s">
        <v>56</v>
      </c>
      <c r="C2955" s="7" t="s">
        <v>97</v>
      </c>
      <c r="D2955" s="7">
        <v>918</v>
      </c>
      <c r="E2955" s="7">
        <v>364</v>
      </c>
      <c r="F2955" s="7">
        <v>484</v>
      </c>
      <c r="G2955" s="7">
        <v>7</v>
      </c>
      <c r="H2955" s="7">
        <v>18685</v>
      </c>
      <c r="I2955" s="7">
        <v>0</v>
      </c>
      <c r="J2955" s="7">
        <v>68</v>
      </c>
      <c r="K2955" s="7">
        <v>390</v>
      </c>
      <c r="L2955" s="7">
        <v>464</v>
      </c>
      <c r="M2955" s="7">
        <v>13</v>
      </c>
      <c r="N2955">
        <f>VLOOKUP(A2955,vlookup_table!$A:$G,2,FALSE)</f>
        <v>2</v>
      </c>
      <c r="O2955" t="str">
        <f>VLOOKUP(A2955,vlookup_table!$A:$G,3,FALSE)</f>
        <v>MS</v>
      </c>
      <c r="P2955">
        <f>VLOOKUP(A2955,vlookup_table!$A:$G,4,FALSE)</f>
        <v>3001</v>
      </c>
      <c r="Q2955" t="str">
        <f>VLOOKUP(A2955,vlookup_table!$A:$G,5,FALSE)</f>
        <v>R1</v>
      </c>
      <c r="R2955" t="str">
        <f>VLOOKUP(A2955,vlookup_table!$A:$G,6,FALSE)</f>
        <v>F</v>
      </c>
      <c r="S2955">
        <f>VLOOKUP(A2955,vlookup_table!$A:$G,7,FALSE)</f>
        <v>23</v>
      </c>
      <c r="T2955">
        <f t="shared" si="92"/>
        <v>66</v>
      </c>
      <c r="U2955" t="str">
        <f t="shared" si="93"/>
        <v>Rural</v>
      </c>
    </row>
    <row r="2956" spans="1:21" ht="16" x14ac:dyDescent="0.4">
      <c r="A2956" s="7">
        <v>162618</v>
      </c>
      <c r="B2956" s="7" t="s">
        <v>21</v>
      </c>
      <c r="C2956" s="7" t="s">
        <v>17</v>
      </c>
      <c r="D2956" s="7">
        <v>2670</v>
      </c>
      <c r="E2956" s="7">
        <v>427</v>
      </c>
      <c r="F2956" s="7">
        <v>551</v>
      </c>
      <c r="G2956" s="7">
        <v>88</v>
      </c>
      <c r="H2956" s="7">
        <v>15703</v>
      </c>
      <c r="I2956" s="7">
        <v>18</v>
      </c>
      <c r="J2956" s="7">
        <v>58</v>
      </c>
      <c r="K2956" s="7">
        <v>502</v>
      </c>
      <c r="L2956" s="7">
        <v>496</v>
      </c>
      <c r="M2956" s="7">
        <v>4.7142857139999998</v>
      </c>
      <c r="N2956">
        <f>VLOOKUP(A2956,vlookup_table!$A:$G,2,FALSE)</f>
        <v>2</v>
      </c>
      <c r="O2956" t="str">
        <f>VLOOKUP(A2956,vlookup_table!$A:$G,3,FALSE)</f>
        <v>CA</v>
      </c>
      <c r="P2956">
        <f>VLOOKUP(A2956,vlookup_table!$A:$G,4,FALSE)</f>
        <v>2201</v>
      </c>
      <c r="Q2956" t="str">
        <f>VLOOKUP(A2956,vlookup_table!$A:$G,5,FALSE)</f>
        <v>S2</v>
      </c>
      <c r="R2956" t="str">
        <f>VLOOKUP(A2956,vlookup_table!$A:$G,6,FALSE)</f>
        <v>F</v>
      </c>
      <c r="S2956">
        <f>VLOOKUP(A2956,vlookup_table!$A:$G,7,FALSE)</f>
        <v>4</v>
      </c>
      <c r="T2956">
        <f t="shared" si="92"/>
        <v>74</v>
      </c>
      <c r="U2956" t="str">
        <f t="shared" si="93"/>
        <v>Suburbano</v>
      </c>
    </row>
    <row r="2957" spans="1:21" ht="16" x14ac:dyDescent="0.4">
      <c r="A2957" s="7">
        <v>80449</v>
      </c>
      <c r="B2957" s="7" t="s">
        <v>32</v>
      </c>
      <c r="C2957" s="7" t="s">
        <v>17</v>
      </c>
      <c r="D2957" s="7">
        <v>550</v>
      </c>
      <c r="E2957" s="7">
        <v>306</v>
      </c>
      <c r="F2957" s="7">
        <v>390</v>
      </c>
      <c r="G2957" s="7">
        <v>0</v>
      </c>
      <c r="H2957" s="7">
        <v>15148</v>
      </c>
      <c r="I2957" s="7">
        <v>2</v>
      </c>
      <c r="J2957" s="7">
        <v>85</v>
      </c>
      <c r="K2957" s="7">
        <v>360</v>
      </c>
      <c r="L2957" s="7">
        <v>349</v>
      </c>
      <c r="M2957" s="7">
        <v>5.8666666669999996</v>
      </c>
      <c r="N2957">
        <f>VLOOKUP(A2957,vlookup_table!$A:$G,2,FALSE)</f>
        <v>0</v>
      </c>
      <c r="O2957" t="str">
        <f>VLOOKUP(A2957,vlookup_table!$A:$G,3,FALSE)</f>
        <v>WI</v>
      </c>
      <c r="P2957">
        <f>VLOOKUP(A2957,vlookup_table!$A:$G,4,FALSE)</f>
        <v>5203</v>
      </c>
      <c r="Q2957" t="str">
        <f>VLOOKUP(A2957,vlookup_table!$A:$G,5,FALSE)</f>
        <v>C2</v>
      </c>
      <c r="R2957" t="str">
        <f>VLOOKUP(A2957,vlookup_table!$A:$G,6,FALSE)</f>
        <v>F</v>
      </c>
      <c r="S2957">
        <f>VLOOKUP(A2957,vlookup_table!$A:$G,7,FALSE)</f>
        <v>10</v>
      </c>
      <c r="T2957">
        <f t="shared" si="92"/>
        <v>44</v>
      </c>
      <c r="U2957" t="str">
        <f t="shared" si="93"/>
        <v>Ciudad</v>
      </c>
    </row>
    <row r="2958" spans="1:21" ht="16" x14ac:dyDescent="0.4">
      <c r="A2958" s="7">
        <v>111142</v>
      </c>
      <c r="B2958" s="7" t="s">
        <v>29</v>
      </c>
      <c r="C2958" s="7" t="s">
        <v>97</v>
      </c>
      <c r="D2958" s="7">
        <v>505</v>
      </c>
      <c r="E2958" s="7">
        <v>222</v>
      </c>
      <c r="F2958" s="7">
        <v>374</v>
      </c>
      <c r="G2958" s="7">
        <v>0</v>
      </c>
      <c r="H2958" s="7">
        <v>14178</v>
      </c>
      <c r="I2958" s="7">
        <v>4</v>
      </c>
      <c r="J2958" s="7">
        <v>40</v>
      </c>
      <c r="K2958" s="7">
        <v>253</v>
      </c>
      <c r="L2958" s="7">
        <v>342</v>
      </c>
      <c r="M2958" s="7">
        <v>7.35</v>
      </c>
      <c r="N2958">
        <f>VLOOKUP(A2958,vlookup_table!$A:$G,2,FALSE)</f>
        <v>2</v>
      </c>
      <c r="O2958" t="str">
        <f>VLOOKUP(A2958,vlookup_table!$A:$G,3,FALSE)</f>
        <v>AR</v>
      </c>
      <c r="P2958">
        <f>VLOOKUP(A2958,vlookup_table!$A:$G,4,FALSE)</f>
        <v>2501</v>
      </c>
      <c r="Q2958" t="str">
        <f>VLOOKUP(A2958,vlookup_table!$A:$G,5,FALSE)</f>
        <v>T2</v>
      </c>
      <c r="R2958" t="str">
        <f>VLOOKUP(A2958,vlookup_table!$A:$G,6,FALSE)</f>
        <v>F</v>
      </c>
      <c r="S2958">
        <f>VLOOKUP(A2958,vlookup_table!$A:$G,7,FALSE)</f>
        <v>10</v>
      </c>
      <c r="T2958">
        <f t="shared" si="92"/>
        <v>71</v>
      </c>
      <c r="U2958" t="str">
        <f t="shared" si="93"/>
        <v>Pueblo</v>
      </c>
    </row>
    <row r="2959" spans="1:21" ht="16" x14ac:dyDescent="0.4">
      <c r="A2959" s="7">
        <v>109710</v>
      </c>
      <c r="B2959" s="7" t="s">
        <v>46</v>
      </c>
      <c r="C2959" s="7" t="s">
        <v>14</v>
      </c>
      <c r="D2959" s="7">
        <v>825</v>
      </c>
      <c r="E2959" s="7">
        <v>488</v>
      </c>
      <c r="F2959" s="7">
        <v>561</v>
      </c>
      <c r="G2959" s="7">
        <v>1</v>
      </c>
      <c r="H2959" s="7">
        <v>16933</v>
      </c>
      <c r="I2959" s="7">
        <v>0</v>
      </c>
      <c r="J2959" s="7">
        <v>71</v>
      </c>
      <c r="K2959" s="7">
        <v>522</v>
      </c>
      <c r="L2959" s="7">
        <v>518</v>
      </c>
      <c r="M2959" s="7">
        <v>6.1818181819999998</v>
      </c>
      <c r="N2959">
        <f>VLOOKUP(A2959,vlookup_table!$A:$G,2,FALSE)</f>
        <v>1</v>
      </c>
      <c r="O2959" t="str">
        <f>VLOOKUP(A2959,vlookup_table!$A:$G,3,FALSE)</f>
        <v>LA</v>
      </c>
      <c r="P2959">
        <f>VLOOKUP(A2959,vlookup_table!$A:$G,4,FALSE)</f>
        <v>4201</v>
      </c>
      <c r="Q2959" t="str">
        <f>VLOOKUP(A2959,vlookup_table!$A:$G,5,FALSE)</f>
        <v>T1</v>
      </c>
      <c r="R2959" t="str">
        <f>VLOOKUP(A2959,vlookup_table!$A:$G,6,FALSE)</f>
        <v>M</v>
      </c>
      <c r="S2959">
        <f>VLOOKUP(A2959,vlookup_table!$A:$G,7,FALSE)</f>
        <v>5</v>
      </c>
      <c r="T2959">
        <f t="shared" si="92"/>
        <v>54</v>
      </c>
      <c r="U2959" t="str">
        <f t="shared" si="93"/>
        <v>Pueblo</v>
      </c>
    </row>
    <row r="2960" spans="1:21" ht="16" x14ac:dyDescent="0.4">
      <c r="A2960" s="7">
        <v>67000</v>
      </c>
      <c r="B2960" s="7" t="s">
        <v>26</v>
      </c>
      <c r="C2960" s="7" t="s">
        <v>17</v>
      </c>
      <c r="D2960" s="7">
        <v>914</v>
      </c>
      <c r="E2960" s="7">
        <v>406</v>
      </c>
      <c r="F2960" s="7">
        <v>423</v>
      </c>
      <c r="G2960" s="7">
        <v>1</v>
      </c>
      <c r="H2960" s="7">
        <v>13658</v>
      </c>
      <c r="I2960" s="7">
        <v>0</v>
      </c>
      <c r="J2960" s="7">
        <v>81</v>
      </c>
      <c r="K2960" s="7">
        <v>419</v>
      </c>
      <c r="L2960" s="7">
        <v>425</v>
      </c>
      <c r="M2960" s="7">
        <v>7.4545454549999999</v>
      </c>
      <c r="N2960">
        <f>VLOOKUP(A2960,vlookup_table!$A:$G,2,FALSE)</f>
        <v>0</v>
      </c>
      <c r="O2960" t="str">
        <f>VLOOKUP(A2960,vlookup_table!$A:$G,3,FALSE)</f>
        <v>MI</v>
      </c>
      <c r="P2960">
        <f>VLOOKUP(A2960,vlookup_table!$A:$G,4,FALSE)</f>
        <v>2601</v>
      </c>
      <c r="Q2960" t="str">
        <f>VLOOKUP(A2960,vlookup_table!$A:$G,5,FALSE)</f>
        <v>C2</v>
      </c>
      <c r="R2960" t="str">
        <f>VLOOKUP(A2960,vlookup_table!$A:$G,6,FALSE)</f>
        <v>F</v>
      </c>
      <c r="S2960">
        <f>VLOOKUP(A2960,vlookup_table!$A:$G,7,FALSE)</f>
        <v>9</v>
      </c>
      <c r="T2960">
        <f t="shared" si="92"/>
        <v>70</v>
      </c>
      <c r="U2960" t="str">
        <f t="shared" si="93"/>
        <v>Ciudad</v>
      </c>
    </row>
    <row r="2961" spans="1:21" ht="16" x14ac:dyDescent="0.4">
      <c r="A2961" s="7">
        <v>124315</v>
      </c>
      <c r="B2961" s="7" t="s">
        <v>20</v>
      </c>
      <c r="C2961" s="7" t="s">
        <v>17</v>
      </c>
      <c r="D2961" s="7">
        <v>524</v>
      </c>
      <c r="E2961" s="7">
        <v>341</v>
      </c>
      <c r="F2961" s="7">
        <v>404</v>
      </c>
      <c r="G2961" s="7">
        <v>0</v>
      </c>
      <c r="H2961" s="7">
        <v>17305</v>
      </c>
      <c r="I2961" s="7">
        <v>12</v>
      </c>
      <c r="J2961" s="7">
        <v>54</v>
      </c>
      <c r="K2961" s="7">
        <v>357</v>
      </c>
      <c r="L2961" s="7">
        <v>384</v>
      </c>
      <c r="M2961" s="7">
        <v>9.6666666669999994</v>
      </c>
      <c r="N2961">
        <f>VLOOKUP(A2961,vlookup_table!$A:$G,2,FALSE)</f>
        <v>0</v>
      </c>
      <c r="O2961" t="str">
        <f>VLOOKUP(A2961,vlookup_table!$A:$G,3,FALSE)</f>
        <v>TX</v>
      </c>
      <c r="P2961">
        <f>VLOOKUP(A2961,vlookup_table!$A:$G,4,FALSE)</f>
        <v>6812</v>
      </c>
      <c r="Q2961" t="str">
        <f>VLOOKUP(A2961,vlookup_table!$A:$G,5,FALSE)</f>
        <v>C2</v>
      </c>
      <c r="R2961" t="str">
        <f>VLOOKUP(A2961,vlookup_table!$A:$G,6,FALSE)</f>
        <v>F</v>
      </c>
      <c r="S2961">
        <f>VLOOKUP(A2961,vlookup_table!$A:$G,7,FALSE)</f>
        <v>5</v>
      </c>
      <c r="T2961">
        <f t="shared" si="92"/>
        <v>28</v>
      </c>
      <c r="U2961" t="str">
        <f t="shared" si="93"/>
        <v>Ciudad</v>
      </c>
    </row>
    <row r="2962" spans="1:21" ht="16" x14ac:dyDescent="0.4">
      <c r="A2962" s="7">
        <v>138239</v>
      </c>
      <c r="B2962" s="7" t="s">
        <v>51</v>
      </c>
      <c r="C2962" s="7" t="s">
        <v>97</v>
      </c>
      <c r="D2962" s="7">
        <v>2026</v>
      </c>
      <c r="E2962" s="7">
        <v>655</v>
      </c>
      <c r="F2962" s="7">
        <v>829</v>
      </c>
      <c r="G2962" s="7">
        <v>51</v>
      </c>
      <c r="H2962" s="7">
        <v>31520</v>
      </c>
      <c r="I2962" s="7">
        <v>7</v>
      </c>
      <c r="J2962" s="7">
        <v>29</v>
      </c>
      <c r="K2962" s="7">
        <v>711</v>
      </c>
      <c r="L2962" s="7">
        <v>756</v>
      </c>
      <c r="M2962" s="7">
        <v>12.5</v>
      </c>
      <c r="N2962">
        <f>VLOOKUP(A2962,vlookup_table!$A:$G,2,FALSE)</f>
        <v>0</v>
      </c>
      <c r="O2962" t="str">
        <f>VLOOKUP(A2962,vlookup_table!$A:$G,3,FALSE)</f>
        <v>AZ</v>
      </c>
      <c r="P2962">
        <f>VLOOKUP(A2962,vlookup_table!$A:$G,4,FALSE)</f>
        <v>5501</v>
      </c>
      <c r="Q2962" t="str">
        <f>VLOOKUP(A2962,vlookup_table!$A:$G,5,FALSE)</f>
        <v>S1</v>
      </c>
      <c r="R2962" t="str">
        <f>VLOOKUP(A2962,vlookup_table!$A:$G,6,FALSE)</f>
        <v>F</v>
      </c>
      <c r="S2962">
        <f>VLOOKUP(A2962,vlookup_table!$A:$G,7,FALSE)</f>
        <v>10</v>
      </c>
      <c r="T2962">
        <f t="shared" si="92"/>
        <v>41</v>
      </c>
      <c r="U2962" t="str">
        <f t="shared" si="93"/>
        <v>Suburbano</v>
      </c>
    </row>
    <row r="2963" spans="1:21" ht="16" x14ac:dyDescent="0.4">
      <c r="A2963" s="7">
        <v>85894</v>
      </c>
      <c r="B2963" s="7" t="s">
        <v>48</v>
      </c>
      <c r="C2963" s="7" t="s">
        <v>14</v>
      </c>
      <c r="D2963" s="7">
        <v>396</v>
      </c>
      <c r="E2963" s="7">
        <v>248</v>
      </c>
      <c r="F2963" s="7">
        <v>304</v>
      </c>
      <c r="G2963" s="7">
        <v>1</v>
      </c>
      <c r="H2963" s="7">
        <v>10419</v>
      </c>
      <c r="I2963" s="7">
        <v>1</v>
      </c>
      <c r="J2963" s="7">
        <v>18</v>
      </c>
      <c r="K2963" s="7">
        <v>274</v>
      </c>
      <c r="L2963" s="7">
        <v>284</v>
      </c>
      <c r="M2963" s="7">
        <v>3.125</v>
      </c>
      <c r="N2963">
        <f>VLOOKUP(A2963,vlookup_table!$A:$G,2,FALSE)</f>
        <v>1002</v>
      </c>
      <c r="O2963" t="str">
        <f>VLOOKUP(A2963,vlookup_table!$A:$G,3,FALSE)</f>
        <v>SD</v>
      </c>
      <c r="P2963">
        <f>VLOOKUP(A2963,vlookup_table!$A:$G,4,FALSE)</f>
        <v>6101</v>
      </c>
      <c r="Q2963" t="str">
        <f>VLOOKUP(A2963,vlookup_table!$A:$G,5,FALSE)</f>
        <v>R2</v>
      </c>
      <c r="R2963" t="str">
        <f>VLOOKUP(A2963,vlookup_table!$A:$G,6,FALSE)</f>
        <v>M</v>
      </c>
      <c r="S2963">
        <f>VLOOKUP(A2963,vlookup_table!$A:$G,7,FALSE)</f>
        <v>3</v>
      </c>
      <c r="T2963">
        <f t="shared" si="92"/>
        <v>35</v>
      </c>
      <c r="U2963" t="str">
        <f t="shared" si="93"/>
        <v>Rural</v>
      </c>
    </row>
    <row r="2964" spans="1:21" ht="16" x14ac:dyDescent="0.4">
      <c r="A2964" s="7">
        <v>184106</v>
      </c>
      <c r="B2964" s="7" t="s">
        <v>37</v>
      </c>
      <c r="C2964" s="7" t="s">
        <v>17</v>
      </c>
      <c r="D2964" s="7">
        <v>446</v>
      </c>
      <c r="E2964" s="7">
        <v>168</v>
      </c>
      <c r="F2964" s="7">
        <v>254</v>
      </c>
      <c r="G2964" s="7">
        <v>0</v>
      </c>
      <c r="H2964" s="7">
        <v>11971</v>
      </c>
      <c r="I2964" s="7">
        <v>8</v>
      </c>
      <c r="J2964" s="7">
        <v>51</v>
      </c>
      <c r="K2964" s="7">
        <v>201</v>
      </c>
      <c r="L2964" s="7">
        <v>218</v>
      </c>
      <c r="M2964" s="7">
        <v>5.8</v>
      </c>
      <c r="N2964">
        <f>VLOOKUP(A2964,vlookup_table!$A:$G,2,FALSE)</f>
        <v>0</v>
      </c>
      <c r="O2964" t="str">
        <f>VLOOKUP(A2964,vlookup_table!$A:$G,3,FALSE)</f>
        <v>WA</v>
      </c>
      <c r="P2964">
        <f>VLOOKUP(A2964,vlookup_table!$A:$G,4,FALSE)</f>
        <v>1601</v>
      </c>
      <c r="Q2964" t="str">
        <f>VLOOKUP(A2964,vlookup_table!$A:$G,5,FALSE)</f>
        <v>C3</v>
      </c>
      <c r="R2964" t="str">
        <f>VLOOKUP(A2964,vlookup_table!$A:$G,6,FALSE)</f>
        <v>F</v>
      </c>
      <c r="S2964">
        <f>VLOOKUP(A2964,vlookup_table!$A:$G,7,FALSE)</f>
        <v>6</v>
      </c>
      <c r="T2964">
        <f t="shared" si="92"/>
        <v>80</v>
      </c>
      <c r="U2964" t="str">
        <f t="shared" si="93"/>
        <v>Ciudad</v>
      </c>
    </row>
    <row r="2965" spans="1:21" ht="16" x14ac:dyDescent="0.4">
      <c r="A2965" s="7">
        <v>95563</v>
      </c>
      <c r="B2965" s="7" t="s">
        <v>16</v>
      </c>
      <c r="C2965" s="7" t="s">
        <v>14</v>
      </c>
      <c r="D2965" s="7">
        <v>576</v>
      </c>
      <c r="E2965" s="7">
        <v>335</v>
      </c>
      <c r="F2965" s="7">
        <v>463</v>
      </c>
      <c r="G2965" s="7">
        <v>0</v>
      </c>
      <c r="H2965" s="7">
        <v>15332</v>
      </c>
      <c r="I2965" s="7">
        <v>2</v>
      </c>
      <c r="J2965" s="7">
        <v>66</v>
      </c>
      <c r="K2965" s="7">
        <v>386</v>
      </c>
      <c r="L2965" s="7">
        <v>407</v>
      </c>
      <c r="M2965" s="7">
        <v>3.1176470589999998</v>
      </c>
      <c r="N2965">
        <f>VLOOKUP(A2965,vlookup_table!$A:$G,2,FALSE)</f>
        <v>0</v>
      </c>
      <c r="O2965" t="str">
        <f>VLOOKUP(A2965,vlookup_table!$A:$G,3,FALSE)</f>
        <v>IL</v>
      </c>
      <c r="P2965">
        <f>VLOOKUP(A2965,vlookup_table!$A:$G,4,FALSE)</f>
        <v>3301</v>
      </c>
      <c r="Q2965" t="str">
        <f>VLOOKUP(A2965,vlookup_table!$A:$G,5,FALSE)</f>
        <v>S2</v>
      </c>
      <c r="R2965" t="str">
        <f>VLOOKUP(A2965,vlookup_table!$A:$G,6,FALSE)</f>
        <v>M</v>
      </c>
      <c r="S2965">
        <f>VLOOKUP(A2965,vlookup_table!$A:$G,7,FALSE)</f>
        <v>4</v>
      </c>
      <c r="T2965">
        <f t="shared" si="92"/>
        <v>63</v>
      </c>
      <c r="U2965" t="str">
        <f t="shared" si="93"/>
        <v>Suburbano</v>
      </c>
    </row>
    <row r="2966" spans="1:21" ht="16" x14ac:dyDescent="0.4">
      <c r="A2966" s="7">
        <v>79747</v>
      </c>
      <c r="B2966" s="7" t="s">
        <v>32</v>
      </c>
      <c r="C2966" s="7" t="s">
        <v>14</v>
      </c>
      <c r="D2966" s="7">
        <v>329</v>
      </c>
      <c r="E2966" s="7">
        <v>211</v>
      </c>
      <c r="F2966" s="7">
        <v>303</v>
      </c>
      <c r="G2966" s="7">
        <v>0</v>
      </c>
      <c r="H2966" s="7">
        <v>9216</v>
      </c>
      <c r="I2966" s="7">
        <v>0</v>
      </c>
      <c r="J2966" s="7">
        <v>87</v>
      </c>
      <c r="K2966" s="7">
        <v>239</v>
      </c>
      <c r="L2966" s="7">
        <v>275</v>
      </c>
      <c r="M2966" s="7">
        <v>15</v>
      </c>
      <c r="N2966">
        <f>VLOOKUP(A2966,vlookup_table!$A:$G,2,FALSE)</f>
        <v>1</v>
      </c>
      <c r="O2966" t="str">
        <f>VLOOKUP(A2966,vlookup_table!$A:$G,3,FALSE)</f>
        <v>WI</v>
      </c>
      <c r="P2966">
        <f>VLOOKUP(A2966,vlookup_table!$A:$G,4,FALSE)</f>
        <v>1401</v>
      </c>
      <c r="Q2966" t="str">
        <f>VLOOKUP(A2966,vlookup_table!$A:$G,5,FALSE)</f>
        <v>R3</v>
      </c>
      <c r="R2966" t="str">
        <f>VLOOKUP(A2966,vlookup_table!$A:$G,6,FALSE)</f>
        <v>M</v>
      </c>
      <c r="S2966">
        <f>VLOOKUP(A2966,vlookup_table!$A:$G,7,FALSE)</f>
        <v>15</v>
      </c>
      <c r="T2966">
        <f t="shared" si="92"/>
        <v>82</v>
      </c>
      <c r="U2966" t="str">
        <f t="shared" si="93"/>
        <v>Rural</v>
      </c>
    </row>
    <row r="2967" spans="1:21" ht="16" x14ac:dyDescent="0.4">
      <c r="A2967" s="7">
        <v>178275</v>
      </c>
      <c r="B2967" s="7" t="s">
        <v>37</v>
      </c>
      <c r="C2967" s="7" t="s">
        <v>17</v>
      </c>
      <c r="D2967" s="7">
        <v>2019</v>
      </c>
      <c r="E2967" s="7">
        <v>506</v>
      </c>
      <c r="F2967" s="7">
        <v>608</v>
      </c>
      <c r="G2967" s="7">
        <v>51</v>
      </c>
      <c r="H2967" s="7">
        <v>23545</v>
      </c>
      <c r="I2967" s="7">
        <v>11</v>
      </c>
      <c r="J2967" s="7">
        <v>55</v>
      </c>
      <c r="K2967" s="7">
        <v>535</v>
      </c>
      <c r="L2967" s="7">
        <v>551</v>
      </c>
      <c r="M2967" s="7">
        <v>5.3333333329999997</v>
      </c>
      <c r="N2967">
        <f>VLOOKUP(A2967,vlookup_table!$A:$G,2,FALSE)</f>
        <v>2</v>
      </c>
      <c r="O2967" t="str">
        <f>VLOOKUP(A2967,vlookup_table!$A:$G,3,FALSE)</f>
        <v>WA</v>
      </c>
      <c r="P2967">
        <f>VLOOKUP(A2967,vlookup_table!$A:$G,4,FALSE)</f>
        <v>2401</v>
      </c>
      <c r="Q2967" t="str">
        <f>VLOOKUP(A2967,vlookup_table!$A:$G,5,FALSE)</f>
        <v>S1</v>
      </c>
      <c r="R2967" t="str">
        <f>VLOOKUP(A2967,vlookup_table!$A:$G,6,FALSE)</f>
        <v>F</v>
      </c>
      <c r="S2967">
        <f>VLOOKUP(A2967,vlookup_table!$A:$G,7,FALSE)</f>
        <v>5</v>
      </c>
      <c r="T2967">
        <f t="shared" si="92"/>
        <v>72</v>
      </c>
      <c r="U2967" t="str">
        <f t="shared" si="93"/>
        <v>Suburbano</v>
      </c>
    </row>
    <row r="2968" spans="1:21" ht="16" x14ac:dyDescent="0.4">
      <c r="A2968" s="7">
        <v>190754</v>
      </c>
      <c r="B2968" s="7" t="s">
        <v>21</v>
      </c>
      <c r="C2968" s="7" t="s">
        <v>17</v>
      </c>
      <c r="D2968" s="7">
        <v>3213</v>
      </c>
      <c r="E2968" s="7">
        <v>697</v>
      </c>
      <c r="F2968" s="7">
        <v>745</v>
      </c>
      <c r="G2968" s="7">
        <v>96</v>
      </c>
      <c r="H2968" s="7">
        <v>21605</v>
      </c>
      <c r="I2968" s="7">
        <v>12</v>
      </c>
      <c r="J2968" s="7">
        <v>56</v>
      </c>
      <c r="K2968" s="7">
        <v>703</v>
      </c>
      <c r="L2968" s="7">
        <v>735</v>
      </c>
      <c r="M2968" s="7">
        <v>28.041666670000001</v>
      </c>
      <c r="N2968">
        <f>VLOOKUP(A2968,vlookup_table!$A:$G,2,FALSE)</f>
        <v>2</v>
      </c>
      <c r="O2968" t="str">
        <f>VLOOKUP(A2968,vlookup_table!$A:$G,3,FALSE)</f>
        <v>CA</v>
      </c>
      <c r="P2968">
        <f>VLOOKUP(A2968,vlookup_table!$A:$G,4,FALSE)</f>
        <v>5009</v>
      </c>
      <c r="Q2968" t="str">
        <f>VLOOKUP(A2968,vlookup_table!$A:$G,5,FALSE)</f>
        <v>C1</v>
      </c>
      <c r="R2968" t="str">
        <f>VLOOKUP(A2968,vlookup_table!$A:$G,6,FALSE)</f>
        <v>F</v>
      </c>
      <c r="S2968">
        <f>VLOOKUP(A2968,vlookup_table!$A:$G,7,FALSE)</f>
        <v>25</v>
      </c>
      <c r="T2968">
        <f t="shared" si="92"/>
        <v>46</v>
      </c>
      <c r="U2968" t="str">
        <f t="shared" si="93"/>
        <v>Ciudad</v>
      </c>
    </row>
    <row r="2969" spans="1:21" ht="16" x14ac:dyDescent="0.4">
      <c r="A2969" s="7">
        <v>2951</v>
      </c>
      <c r="B2969" s="7" t="s">
        <v>23</v>
      </c>
      <c r="C2969" s="7" t="s">
        <v>14</v>
      </c>
      <c r="D2969" s="7">
        <v>1330</v>
      </c>
      <c r="E2969" s="7">
        <v>367</v>
      </c>
      <c r="F2969" s="7">
        <v>488</v>
      </c>
      <c r="G2969" s="7">
        <v>16</v>
      </c>
      <c r="H2969" s="7">
        <v>18153</v>
      </c>
      <c r="I2969" s="7">
        <v>4</v>
      </c>
      <c r="J2969" s="7">
        <v>12</v>
      </c>
      <c r="K2969" s="7">
        <v>419</v>
      </c>
      <c r="L2969" s="7">
        <v>437</v>
      </c>
      <c r="M2969" s="7">
        <v>5.0833333329999997</v>
      </c>
      <c r="N2969">
        <f>VLOOKUP(A2969,vlookup_table!$A:$G,2,FALSE)</f>
        <v>1</v>
      </c>
      <c r="O2969" t="str">
        <f>VLOOKUP(A2969,vlookup_table!$A:$G,3,FALSE)</f>
        <v>NV</v>
      </c>
      <c r="P2969">
        <f>VLOOKUP(A2969,vlookup_table!$A:$G,4,FALSE)</f>
        <v>2301</v>
      </c>
      <c r="Q2969" t="str">
        <f>VLOOKUP(A2969,vlookup_table!$A:$G,5,FALSE)</f>
        <v>T2</v>
      </c>
      <c r="R2969" t="str">
        <f>VLOOKUP(A2969,vlookup_table!$A:$G,6,FALSE)</f>
        <v>M</v>
      </c>
      <c r="S2969">
        <f>VLOOKUP(A2969,vlookup_table!$A:$G,7,FALSE)</f>
        <v>5</v>
      </c>
      <c r="T2969">
        <f t="shared" si="92"/>
        <v>73</v>
      </c>
      <c r="U2969" t="str">
        <f t="shared" si="93"/>
        <v>Pueblo</v>
      </c>
    </row>
    <row r="2970" spans="1:21" ht="16" x14ac:dyDescent="0.4">
      <c r="A2970" s="7">
        <v>60313</v>
      </c>
      <c r="B2970" s="7" t="s">
        <v>30</v>
      </c>
      <c r="C2970" s="7" t="s">
        <v>14</v>
      </c>
      <c r="D2970" s="7">
        <v>480</v>
      </c>
      <c r="E2970" s="7">
        <v>270</v>
      </c>
      <c r="F2970" s="7">
        <v>304</v>
      </c>
      <c r="G2970" s="7">
        <v>0</v>
      </c>
      <c r="H2970" s="7">
        <v>12144</v>
      </c>
      <c r="I2970" s="7">
        <v>1</v>
      </c>
      <c r="J2970" s="7">
        <v>69</v>
      </c>
      <c r="K2970" s="7">
        <v>288</v>
      </c>
      <c r="L2970" s="7">
        <v>302</v>
      </c>
      <c r="M2970" s="7">
        <v>15.375</v>
      </c>
      <c r="N2970">
        <f>VLOOKUP(A2970,vlookup_table!$A:$G,2,FALSE)</f>
        <v>2</v>
      </c>
      <c r="O2970" t="str">
        <f>VLOOKUP(A2970,vlookup_table!$A:$G,3,FALSE)</f>
        <v>IN</v>
      </c>
      <c r="P2970">
        <f>VLOOKUP(A2970,vlookup_table!$A:$G,4,FALSE)</f>
        <v>4401</v>
      </c>
      <c r="Q2970" t="str">
        <f>VLOOKUP(A2970,vlookup_table!$A:$G,5,FALSE)</f>
        <v>S2</v>
      </c>
      <c r="R2970" t="str">
        <f>VLOOKUP(A2970,vlookup_table!$A:$G,6,FALSE)</f>
        <v>M</v>
      </c>
      <c r="S2970">
        <f>VLOOKUP(A2970,vlookup_table!$A:$G,7,FALSE)</f>
        <v>10</v>
      </c>
      <c r="T2970">
        <f t="shared" si="92"/>
        <v>52</v>
      </c>
      <c r="U2970" t="str">
        <f t="shared" si="93"/>
        <v>Suburbano</v>
      </c>
    </row>
    <row r="2971" spans="1:21" ht="16" x14ac:dyDescent="0.4">
      <c r="A2971" s="7">
        <v>138000</v>
      </c>
      <c r="B2971" s="7" t="s">
        <v>51</v>
      </c>
      <c r="C2971" s="7"/>
      <c r="D2971" s="7">
        <v>630</v>
      </c>
      <c r="E2971" s="7">
        <v>222</v>
      </c>
      <c r="F2971" s="7">
        <v>295</v>
      </c>
      <c r="G2971" s="7">
        <v>5</v>
      </c>
      <c r="H2971" s="7">
        <v>10306</v>
      </c>
      <c r="I2971" s="7">
        <v>12</v>
      </c>
      <c r="J2971" s="7">
        <v>34</v>
      </c>
      <c r="K2971" s="7">
        <v>224</v>
      </c>
      <c r="L2971" s="7">
        <v>296</v>
      </c>
      <c r="M2971" s="7">
        <v>4.2</v>
      </c>
      <c r="N2971">
        <f>VLOOKUP(A2971,vlookup_table!$A:$G,2,FALSE)</f>
        <v>0</v>
      </c>
      <c r="O2971" t="str">
        <f>VLOOKUP(A2971,vlookup_table!$A:$G,3,FALSE)</f>
        <v>AZ</v>
      </c>
      <c r="P2971">
        <f>VLOOKUP(A2971,vlookup_table!$A:$G,4,FALSE)</f>
        <v>0</v>
      </c>
      <c r="Q2971" t="str">
        <f>VLOOKUP(A2971,vlookup_table!$A:$G,5,FALSE)</f>
        <v>C3</v>
      </c>
      <c r="R2971" t="str">
        <f>VLOOKUP(A2971,vlookup_table!$A:$G,6,FALSE)</f>
        <v/>
      </c>
      <c r="S2971">
        <f>VLOOKUP(A2971,vlookup_table!$A:$G,7,FALSE)</f>
        <v>6</v>
      </c>
      <c r="T2971">
        <f t="shared" si="92"/>
        <v>96</v>
      </c>
      <c r="U2971" t="str">
        <f t="shared" si="93"/>
        <v>Ciudad</v>
      </c>
    </row>
    <row r="2972" spans="1:21" ht="16" x14ac:dyDescent="0.4">
      <c r="A2972" s="7">
        <v>160483</v>
      </c>
      <c r="B2972" s="7" t="s">
        <v>21</v>
      </c>
      <c r="C2972" s="7" t="s">
        <v>17</v>
      </c>
      <c r="D2972" s="7">
        <v>1286</v>
      </c>
      <c r="E2972" s="7">
        <v>366</v>
      </c>
      <c r="F2972" s="7">
        <v>391</v>
      </c>
      <c r="G2972" s="7">
        <v>0</v>
      </c>
      <c r="H2972" s="7">
        <v>12914</v>
      </c>
      <c r="I2972" s="7">
        <v>13</v>
      </c>
      <c r="J2972" s="7">
        <v>52</v>
      </c>
      <c r="K2972" s="7">
        <v>373</v>
      </c>
      <c r="L2972" s="7">
        <v>389</v>
      </c>
      <c r="M2972" s="7">
        <v>8.8000000000000007</v>
      </c>
      <c r="N2972">
        <f>VLOOKUP(A2972,vlookup_table!$A:$G,2,FALSE)</f>
        <v>0</v>
      </c>
      <c r="O2972" t="str">
        <f>VLOOKUP(A2972,vlookup_table!$A:$G,3,FALSE)</f>
        <v>CA</v>
      </c>
      <c r="P2972">
        <f>VLOOKUP(A2972,vlookup_table!$A:$G,4,FALSE)</f>
        <v>7001</v>
      </c>
      <c r="Q2972" t="str">
        <f>VLOOKUP(A2972,vlookup_table!$A:$G,5,FALSE)</f>
        <v>C2</v>
      </c>
      <c r="R2972" t="str">
        <f>VLOOKUP(A2972,vlookup_table!$A:$G,6,FALSE)</f>
        <v>F</v>
      </c>
      <c r="S2972">
        <f>VLOOKUP(A2972,vlookup_table!$A:$G,7,FALSE)</f>
        <v>9</v>
      </c>
      <c r="T2972">
        <f t="shared" si="92"/>
        <v>26</v>
      </c>
      <c r="U2972" t="str">
        <f t="shared" si="93"/>
        <v>Ciudad</v>
      </c>
    </row>
    <row r="2973" spans="1:21" ht="16" x14ac:dyDescent="0.4">
      <c r="A2973" s="7">
        <v>149569</v>
      </c>
      <c r="B2973" s="7" t="s">
        <v>21</v>
      </c>
      <c r="C2973" s="7" t="s">
        <v>17</v>
      </c>
      <c r="D2973" s="7">
        <v>2500</v>
      </c>
      <c r="E2973" s="7">
        <v>272</v>
      </c>
      <c r="F2973" s="7">
        <v>278</v>
      </c>
      <c r="G2973" s="7">
        <v>71</v>
      </c>
      <c r="H2973" s="7">
        <v>15913</v>
      </c>
      <c r="I2973" s="7">
        <v>26</v>
      </c>
      <c r="J2973" s="7">
        <v>27</v>
      </c>
      <c r="K2973" s="7">
        <v>236</v>
      </c>
      <c r="L2973" s="7">
        <v>298</v>
      </c>
      <c r="M2973" s="7">
        <v>25.5</v>
      </c>
      <c r="N2973">
        <f>VLOOKUP(A2973,vlookup_table!$A:$G,2,FALSE)</f>
        <v>0</v>
      </c>
      <c r="O2973" t="str">
        <f>VLOOKUP(A2973,vlookup_table!$A:$G,3,FALSE)</f>
        <v>CA</v>
      </c>
      <c r="P2973">
        <f>VLOOKUP(A2973,vlookup_table!$A:$G,4,FALSE)</f>
        <v>0</v>
      </c>
      <c r="Q2973" t="str">
        <f>VLOOKUP(A2973,vlookup_table!$A:$G,5,FALSE)</f>
        <v>U2</v>
      </c>
      <c r="R2973" t="str">
        <f>VLOOKUP(A2973,vlookup_table!$A:$G,6,FALSE)</f>
        <v>F</v>
      </c>
      <c r="S2973">
        <f>VLOOKUP(A2973,vlookup_table!$A:$G,7,FALSE)</f>
        <v>28</v>
      </c>
      <c r="T2973">
        <f t="shared" si="92"/>
        <v>96</v>
      </c>
      <c r="U2973" t="str">
        <f t="shared" si="93"/>
        <v>Urbano</v>
      </c>
    </row>
    <row r="2974" spans="1:21" ht="16" x14ac:dyDescent="0.4">
      <c r="A2974" s="7">
        <v>62349</v>
      </c>
      <c r="B2974" s="7" t="s">
        <v>30</v>
      </c>
      <c r="C2974" s="7" t="s">
        <v>14</v>
      </c>
      <c r="D2974" s="7">
        <v>643</v>
      </c>
      <c r="E2974" s="7">
        <v>273</v>
      </c>
      <c r="F2974" s="7">
        <v>321</v>
      </c>
      <c r="G2974" s="7">
        <v>0</v>
      </c>
      <c r="H2974" s="7">
        <v>13088</v>
      </c>
      <c r="I2974" s="7">
        <v>2</v>
      </c>
      <c r="J2974" s="7">
        <v>73</v>
      </c>
      <c r="K2974" s="7">
        <v>297</v>
      </c>
      <c r="L2974" s="7">
        <v>298</v>
      </c>
      <c r="M2974" s="7">
        <v>30</v>
      </c>
      <c r="N2974">
        <f>VLOOKUP(A2974,vlookup_table!$A:$G,2,FALSE)</f>
        <v>28</v>
      </c>
      <c r="O2974" t="str">
        <f>VLOOKUP(A2974,vlookup_table!$A:$G,3,FALSE)</f>
        <v>IN</v>
      </c>
      <c r="P2974">
        <f>VLOOKUP(A2974,vlookup_table!$A:$G,4,FALSE)</f>
        <v>3101</v>
      </c>
      <c r="Q2974" t="str">
        <f>VLOOKUP(A2974,vlookup_table!$A:$G,5,FALSE)</f>
        <v>S2</v>
      </c>
      <c r="R2974" t="str">
        <f>VLOOKUP(A2974,vlookup_table!$A:$G,6,FALSE)</f>
        <v>M</v>
      </c>
      <c r="S2974">
        <f>VLOOKUP(A2974,vlookup_table!$A:$G,7,FALSE)</f>
        <v>50</v>
      </c>
      <c r="T2974">
        <f t="shared" si="92"/>
        <v>65</v>
      </c>
      <c r="U2974" t="str">
        <f t="shared" si="93"/>
        <v>Suburbano</v>
      </c>
    </row>
    <row r="2975" spans="1:21" ht="16" x14ac:dyDescent="0.4">
      <c r="A2975" s="7">
        <v>25073</v>
      </c>
      <c r="B2975" s="7" t="s">
        <v>43</v>
      </c>
      <c r="C2975" s="7" t="s">
        <v>14</v>
      </c>
      <c r="D2975" s="7">
        <v>524</v>
      </c>
      <c r="E2975" s="7">
        <v>217</v>
      </c>
      <c r="F2975" s="7">
        <v>343</v>
      </c>
      <c r="G2975" s="7">
        <v>1</v>
      </c>
      <c r="H2975" s="7">
        <v>11775</v>
      </c>
      <c r="I2975" s="7">
        <v>6</v>
      </c>
      <c r="J2975" s="7">
        <v>49</v>
      </c>
      <c r="K2975" s="7">
        <v>253</v>
      </c>
      <c r="L2975" s="7">
        <v>300</v>
      </c>
      <c r="M2975" s="7">
        <v>7.6666666670000003</v>
      </c>
      <c r="N2975">
        <f>VLOOKUP(A2975,vlookup_table!$A:$G,2,FALSE)</f>
        <v>1</v>
      </c>
      <c r="O2975" t="str">
        <f>VLOOKUP(A2975,vlookup_table!$A:$G,3,FALSE)</f>
        <v>SC</v>
      </c>
      <c r="P2975">
        <f>VLOOKUP(A2975,vlookup_table!$A:$G,4,FALSE)</f>
        <v>6201</v>
      </c>
      <c r="Q2975" t="str">
        <f>VLOOKUP(A2975,vlookup_table!$A:$G,5,FALSE)</f>
        <v>T2</v>
      </c>
      <c r="R2975" t="str">
        <f>VLOOKUP(A2975,vlookup_table!$A:$G,6,FALSE)</f>
        <v>M</v>
      </c>
      <c r="S2975">
        <f>VLOOKUP(A2975,vlookup_table!$A:$G,7,FALSE)</f>
        <v>21</v>
      </c>
      <c r="T2975">
        <f t="shared" si="92"/>
        <v>34</v>
      </c>
      <c r="U2975" t="str">
        <f t="shared" si="93"/>
        <v>Pueblo</v>
      </c>
    </row>
    <row r="2976" spans="1:21" ht="16" x14ac:dyDescent="0.4">
      <c r="A2976" s="7">
        <v>47245</v>
      </c>
      <c r="B2976" s="7" t="s">
        <v>40</v>
      </c>
      <c r="C2976" s="7" t="s">
        <v>17</v>
      </c>
      <c r="D2976" s="7">
        <v>679</v>
      </c>
      <c r="E2976" s="7">
        <v>312</v>
      </c>
      <c r="F2976" s="7">
        <v>459</v>
      </c>
      <c r="G2976" s="7">
        <v>0</v>
      </c>
      <c r="H2976" s="7">
        <v>16088</v>
      </c>
      <c r="I2976" s="7">
        <v>1</v>
      </c>
      <c r="J2976" s="7">
        <v>88</v>
      </c>
      <c r="K2976" s="7">
        <v>393</v>
      </c>
      <c r="L2976" s="7">
        <v>408</v>
      </c>
      <c r="M2976" s="7">
        <v>5.1428571429999996</v>
      </c>
      <c r="N2976">
        <f>VLOOKUP(A2976,vlookup_table!$A:$G,2,FALSE)</f>
        <v>0</v>
      </c>
      <c r="O2976" t="str">
        <f>VLOOKUP(A2976,vlookup_table!$A:$G,3,FALSE)</f>
        <v>AL</v>
      </c>
      <c r="P2976">
        <f>VLOOKUP(A2976,vlookup_table!$A:$G,4,FALSE)</f>
        <v>0</v>
      </c>
      <c r="Q2976" t="str">
        <f>VLOOKUP(A2976,vlookup_table!$A:$G,5,FALSE)</f>
        <v>C3</v>
      </c>
      <c r="R2976" t="str">
        <f>VLOOKUP(A2976,vlookup_table!$A:$G,6,FALSE)</f>
        <v>F</v>
      </c>
      <c r="S2976">
        <f>VLOOKUP(A2976,vlookup_table!$A:$G,7,FALSE)</f>
        <v>5</v>
      </c>
      <c r="T2976">
        <f t="shared" si="92"/>
        <v>96</v>
      </c>
      <c r="U2976" t="str">
        <f t="shared" si="93"/>
        <v>Ciudad</v>
      </c>
    </row>
    <row r="2977" spans="1:21" ht="16" x14ac:dyDescent="0.4">
      <c r="A2977" s="7">
        <v>166508</v>
      </c>
      <c r="B2977" s="7" t="s">
        <v>21</v>
      </c>
      <c r="C2977" s="7" t="s">
        <v>14</v>
      </c>
      <c r="D2977" s="7">
        <v>2901</v>
      </c>
      <c r="E2977" s="7">
        <v>459</v>
      </c>
      <c r="F2977" s="7">
        <v>711</v>
      </c>
      <c r="G2977" s="7">
        <v>91</v>
      </c>
      <c r="H2977" s="7">
        <v>25733</v>
      </c>
      <c r="I2977" s="7">
        <v>16</v>
      </c>
      <c r="J2977" s="7">
        <v>45</v>
      </c>
      <c r="K2977" s="7">
        <v>585</v>
      </c>
      <c r="L2977" s="7">
        <v>556</v>
      </c>
      <c r="M2977" s="7">
        <v>13.66666667</v>
      </c>
      <c r="N2977">
        <f>VLOOKUP(A2977,vlookup_table!$A:$G,2,FALSE)</f>
        <v>1</v>
      </c>
      <c r="O2977" t="str">
        <f>VLOOKUP(A2977,vlookup_table!$A:$G,3,FALSE)</f>
        <v>CA</v>
      </c>
      <c r="P2977">
        <f>VLOOKUP(A2977,vlookup_table!$A:$G,4,FALSE)</f>
        <v>4501</v>
      </c>
      <c r="Q2977" t="str">
        <f>VLOOKUP(A2977,vlookup_table!$A:$G,5,FALSE)</f>
        <v>U1</v>
      </c>
      <c r="R2977" t="str">
        <f>VLOOKUP(A2977,vlookup_table!$A:$G,6,FALSE)</f>
        <v>M</v>
      </c>
      <c r="S2977">
        <f>VLOOKUP(A2977,vlookup_table!$A:$G,7,FALSE)</f>
        <v>20</v>
      </c>
      <c r="T2977">
        <f t="shared" si="92"/>
        <v>51</v>
      </c>
      <c r="U2977" t="str">
        <f t="shared" si="93"/>
        <v>Urbano</v>
      </c>
    </row>
    <row r="2978" spans="1:21" ht="16" x14ac:dyDescent="0.4">
      <c r="A2978" s="7">
        <v>33355</v>
      </c>
      <c r="B2978" s="7" t="s">
        <v>13</v>
      </c>
      <c r="C2978" s="7" t="s">
        <v>14</v>
      </c>
      <c r="D2978" s="7">
        <v>700</v>
      </c>
      <c r="E2978" s="7">
        <v>383</v>
      </c>
      <c r="F2978" s="7">
        <v>443</v>
      </c>
      <c r="G2978" s="7">
        <v>1</v>
      </c>
      <c r="H2978" s="7">
        <v>14917</v>
      </c>
      <c r="I2978" s="7">
        <v>5</v>
      </c>
      <c r="J2978" s="7">
        <v>47</v>
      </c>
      <c r="K2978" s="7">
        <v>412</v>
      </c>
      <c r="L2978" s="7">
        <v>421</v>
      </c>
      <c r="M2978" s="7">
        <v>12.92307692</v>
      </c>
      <c r="N2978">
        <f>VLOOKUP(A2978,vlookup_table!$A:$G,2,FALSE)</f>
        <v>1002</v>
      </c>
      <c r="O2978" t="str">
        <f>VLOOKUP(A2978,vlookup_table!$A:$G,3,FALSE)</f>
        <v>FL</v>
      </c>
      <c r="P2978">
        <f>VLOOKUP(A2978,vlookup_table!$A:$G,4,FALSE)</f>
        <v>0</v>
      </c>
      <c r="Q2978" t="str">
        <f>VLOOKUP(A2978,vlookup_table!$A:$G,5,FALSE)</f>
        <v>T2</v>
      </c>
      <c r="R2978" t="str">
        <f>VLOOKUP(A2978,vlookup_table!$A:$G,6,FALSE)</f>
        <v>M</v>
      </c>
      <c r="S2978">
        <f>VLOOKUP(A2978,vlookup_table!$A:$G,7,FALSE)</f>
        <v>15</v>
      </c>
      <c r="T2978">
        <f t="shared" si="92"/>
        <v>96</v>
      </c>
      <c r="U2978" t="str">
        <f t="shared" si="93"/>
        <v>Pueblo</v>
      </c>
    </row>
    <row r="2979" spans="1:21" ht="16" x14ac:dyDescent="0.4">
      <c r="A2979" s="7">
        <v>118083</v>
      </c>
      <c r="B2979" s="7" t="s">
        <v>20</v>
      </c>
      <c r="C2979" s="7" t="s">
        <v>17</v>
      </c>
      <c r="D2979" s="7">
        <v>390</v>
      </c>
      <c r="E2979" s="7">
        <v>223</v>
      </c>
      <c r="F2979" s="7">
        <v>359</v>
      </c>
      <c r="G2979" s="7">
        <v>2</v>
      </c>
      <c r="H2979" s="7">
        <v>11982</v>
      </c>
      <c r="I2979" s="7">
        <v>8</v>
      </c>
      <c r="J2979" s="7">
        <v>73</v>
      </c>
      <c r="K2979" s="7">
        <v>309</v>
      </c>
      <c r="L2979" s="7">
        <v>290</v>
      </c>
      <c r="M2979" s="7">
        <v>13.75</v>
      </c>
      <c r="N2979">
        <f>VLOOKUP(A2979,vlookup_table!$A:$G,2,FALSE)</f>
        <v>0</v>
      </c>
      <c r="O2979" t="str">
        <f>VLOOKUP(A2979,vlookup_table!$A:$G,3,FALSE)</f>
        <v>TX</v>
      </c>
      <c r="P2979">
        <f>VLOOKUP(A2979,vlookup_table!$A:$G,4,FALSE)</f>
        <v>6005</v>
      </c>
      <c r="Q2979" t="str">
        <f>VLOOKUP(A2979,vlookup_table!$A:$G,5,FALSE)</f>
        <v>R2</v>
      </c>
      <c r="R2979" t="str">
        <f>VLOOKUP(A2979,vlookup_table!$A:$G,6,FALSE)</f>
        <v>F</v>
      </c>
      <c r="S2979">
        <f>VLOOKUP(A2979,vlookup_table!$A:$G,7,FALSE)</f>
        <v>15</v>
      </c>
      <c r="T2979">
        <f t="shared" si="92"/>
        <v>36</v>
      </c>
      <c r="U2979" t="str">
        <f t="shared" si="93"/>
        <v>Rural</v>
      </c>
    </row>
    <row r="2980" spans="1:21" ht="16" x14ac:dyDescent="0.4">
      <c r="A2980" s="7">
        <v>19208</v>
      </c>
      <c r="B2980" s="7" t="s">
        <v>18</v>
      </c>
      <c r="C2980" s="7" t="s">
        <v>97</v>
      </c>
      <c r="D2980" s="7">
        <v>670</v>
      </c>
      <c r="E2980" s="7">
        <v>275</v>
      </c>
      <c r="F2980" s="7">
        <v>371</v>
      </c>
      <c r="G2980" s="7">
        <v>1</v>
      </c>
      <c r="H2980" s="7">
        <v>14984</v>
      </c>
      <c r="I2980" s="7">
        <v>1</v>
      </c>
      <c r="J2980" s="7">
        <v>71</v>
      </c>
      <c r="K2980" s="7">
        <v>325</v>
      </c>
      <c r="L2980" s="7">
        <v>322</v>
      </c>
      <c r="M2980" s="7">
        <v>11.08333333</v>
      </c>
      <c r="N2980">
        <f>VLOOKUP(A2980,vlookup_table!$A:$G,2,FALSE)</f>
        <v>0</v>
      </c>
      <c r="O2980" t="str">
        <f>VLOOKUP(A2980,vlookup_table!$A:$G,3,FALSE)</f>
        <v>NC</v>
      </c>
      <c r="P2980">
        <f>VLOOKUP(A2980,vlookup_table!$A:$G,4,FALSE)</f>
        <v>0</v>
      </c>
      <c r="Q2980" t="str">
        <f>VLOOKUP(A2980,vlookup_table!$A:$G,5,FALSE)</f>
        <v/>
      </c>
      <c r="R2980" t="str">
        <f>VLOOKUP(A2980,vlookup_table!$A:$G,6,FALSE)</f>
        <v>F</v>
      </c>
      <c r="S2980">
        <f>VLOOKUP(A2980,vlookup_table!$A:$G,7,FALSE)</f>
        <v>18</v>
      </c>
      <c r="T2980">
        <f t="shared" si="92"/>
        <v>96</v>
      </c>
      <c r="U2980" t="str">
        <f t="shared" si="93"/>
        <v/>
      </c>
    </row>
    <row r="2981" spans="1:21" ht="16" x14ac:dyDescent="0.4">
      <c r="A2981" s="7">
        <v>18664</v>
      </c>
      <c r="B2981" s="7" t="s">
        <v>18</v>
      </c>
      <c r="C2981" s="7" t="s">
        <v>14</v>
      </c>
      <c r="D2981" s="7">
        <v>519</v>
      </c>
      <c r="E2981" s="7">
        <v>283</v>
      </c>
      <c r="F2981" s="7">
        <v>362</v>
      </c>
      <c r="G2981" s="7">
        <v>1</v>
      </c>
      <c r="H2981" s="7">
        <v>12386</v>
      </c>
      <c r="I2981" s="7">
        <v>0</v>
      </c>
      <c r="J2981" s="7">
        <v>80</v>
      </c>
      <c r="K2981" s="7">
        <v>310</v>
      </c>
      <c r="L2981" s="7">
        <v>337</v>
      </c>
      <c r="M2981" s="7">
        <v>20</v>
      </c>
      <c r="N2981">
        <f>VLOOKUP(A2981,vlookup_table!$A:$G,2,FALSE)</f>
        <v>1</v>
      </c>
      <c r="O2981" t="str">
        <f>VLOOKUP(A2981,vlookup_table!$A:$G,3,FALSE)</f>
        <v>NC</v>
      </c>
      <c r="P2981">
        <f>VLOOKUP(A2981,vlookup_table!$A:$G,4,FALSE)</f>
        <v>3801</v>
      </c>
      <c r="Q2981" t="str">
        <f>VLOOKUP(A2981,vlookup_table!$A:$G,5,FALSE)</f>
        <v>T2</v>
      </c>
      <c r="R2981" t="str">
        <f>VLOOKUP(A2981,vlookup_table!$A:$G,6,FALSE)</f>
        <v>M</v>
      </c>
      <c r="S2981">
        <f>VLOOKUP(A2981,vlookup_table!$A:$G,7,FALSE)</f>
        <v>15</v>
      </c>
      <c r="T2981">
        <f t="shared" si="92"/>
        <v>58</v>
      </c>
      <c r="U2981" t="str">
        <f t="shared" si="93"/>
        <v>Pueblo</v>
      </c>
    </row>
    <row r="2982" spans="1:21" ht="16" x14ac:dyDescent="0.4">
      <c r="A2982" s="7">
        <v>137276</v>
      </c>
      <c r="B2982" s="7" t="s">
        <v>51</v>
      </c>
      <c r="C2982" s="7" t="s">
        <v>97</v>
      </c>
      <c r="D2982" s="7">
        <v>723</v>
      </c>
      <c r="E2982" s="7">
        <v>270</v>
      </c>
      <c r="F2982" s="7">
        <v>386</v>
      </c>
      <c r="G2982" s="7">
        <v>0</v>
      </c>
      <c r="H2982" s="7">
        <v>20233</v>
      </c>
      <c r="I2982" s="7">
        <v>8</v>
      </c>
      <c r="J2982" s="7">
        <v>1</v>
      </c>
      <c r="K2982" s="7">
        <v>335</v>
      </c>
      <c r="L2982" s="7">
        <v>321</v>
      </c>
      <c r="M2982" s="7">
        <v>10.10526316</v>
      </c>
      <c r="N2982">
        <f>VLOOKUP(A2982,vlookup_table!$A:$G,2,FALSE)</f>
        <v>0</v>
      </c>
      <c r="O2982" t="str">
        <f>VLOOKUP(A2982,vlookup_table!$A:$G,3,FALSE)</f>
        <v>AZ</v>
      </c>
      <c r="P2982">
        <f>VLOOKUP(A2982,vlookup_table!$A:$G,4,FALSE)</f>
        <v>1008</v>
      </c>
      <c r="Q2982" t="str">
        <f>VLOOKUP(A2982,vlookup_table!$A:$G,5,FALSE)</f>
        <v>C1</v>
      </c>
      <c r="R2982" t="str">
        <f>VLOOKUP(A2982,vlookup_table!$A:$G,6,FALSE)</f>
        <v>F</v>
      </c>
      <c r="S2982">
        <f>VLOOKUP(A2982,vlookup_table!$A:$G,7,FALSE)</f>
        <v>11</v>
      </c>
      <c r="T2982">
        <f t="shared" si="92"/>
        <v>86</v>
      </c>
      <c r="U2982" t="str">
        <f t="shared" si="93"/>
        <v>Ciudad</v>
      </c>
    </row>
    <row r="2983" spans="1:21" ht="16" x14ac:dyDescent="0.4">
      <c r="A2983" s="7">
        <v>11254</v>
      </c>
      <c r="B2983" s="7" t="s">
        <v>16</v>
      </c>
      <c r="C2983" s="7" t="s">
        <v>17</v>
      </c>
      <c r="D2983" s="7">
        <v>931</v>
      </c>
      <c r="E2983" s="7">
        <v>470</v>
      </c>
      <c r="F2983" s="7">
        <v>519</v>
      </c>
      <c r="G2983" s="7">
        <v>0</v>
      </c>
      <c r="H2983" s="7">
        <v>15138</v>
      </c>
      <c r="I2983" s="7">
        <v>5</v>
      </c>
      <c r="J2983" s="7">
        <v>77</v>
      </c>
      <c r="K2983" s="7">
        <v>492</v>
      </c>
      <c r="L2983" s="7">
        <v>472</v>
      </c>
      <c r="M2983" s="7">
        <v>22.69230769</v>
      </c>
      <c r="N2983">
        <f>VLOOKUP(A2983,vlookup_table!$A:$G,2,FALSE)</f>
        <v>0</v>
      </c>
      <c r="O2983" t="str">
        <f>VLOOKUP(A2983,vlookup_table!$A:$G,3,FALSE)</f>
        <v>IL</v>
      </c>
      <c r="P2983">
        <f>VLOOKUP(A2983,vlookup_table!$A:$G,4,FALSE)</f>
        <v>3509</v>
      </c>
      <c r="Q2983" t="str">
        <f>VLOOKUP(A2983,vlookup_table!$A:$G,5,FALSE)</f>
        <v/>
      </c>
      <c r="R2983" t="str">
        <f>VLOOKUP(A2983,vlookup_table!$A:$G,6,FALSE)</f>
        <v>F</v>
      </c>
      <c r="S2983">
        <f>VLOOKUP(A2983,vlookup_table!$A:$G,7,FALSE)</f>
        <v>25</v>
      </c>
      <c r="T2983">
        <f t="shared" si="92"/>
        <v>61</v>
      </c>
      <c r="U2983" t="str">
        <f t="shared" si="93"/>
        <v/>
      </c>
    </row>
    <row r="2984" spans="1:21" ht="16" x14ac:dyDescent="0.4">
      <c r="A2984" s="7">
        <v>47404</v>
      </c>
      <c r="B2984" s="7" t="s">
        <v>40</v>
      </c>
      <c r="C2984" s="7" t="s">
        <v>17</v>
      </c>
      <c r="D2984" s="7">
        <v>475</v>
      </c>
      <c r="E2984" s="7">
        <v>308</v>
      </c>
      <c r="F2984" s="7">
        <v>364</v>
      </c>
      <c r="G2984" s="7">
        <v>0</v>
      </c>
      <c r="H2984" s="7">
        <v>9853</v>
      </c>
      <c r="I2984" s="7">
        <v>0</v>
      </c>
      <c r="J2984" s="7">
        <v>99</v>
      </c>
      <c r="K2984" s="7">
        <v>319</v>
      </c>
      <c r="L2984" s="7">
        <v>325</v>
      </c>
      <c r="M2984" s="7">
        <v>5.2352941179999997</v>
      </c>
      <c r="N2984">
        <f>VLOOKUP(A2984,vlookup_table!$A:$G,2,FALSE)</f>
        <v>0</v>
      </c>
      <c r="O2984" t="str">
        <f>VLOOKUP(A2984,vlookup_table!$A:$G,3,FALSE)</f>
        <v>AL</v>
      </c>
      <c r="P2984">
        <f>VLOOKUP(A2984,vlookup_table!$A:$G,4,FALSE)</f>
        <v>4201</v>
      </c>
      <c r="Q2984" t="str">
        <f>VLOOKUP(A2984,vlookup_table!$A:$G,5,FALSE)</f>
        <v>T2</v>
      </c>
      <c r="R2984" t="str">
        <f>VLOOKUP(A2984,vlookup_table!$A:$G,6,FALSE)</f>
        <v>F</v>
      </c>
      <c r="S2984">
        <f>VLOOKUP(A2984,vlookup_table!$A:$G,7,FALSE)</f>
        <v>10</v>
      </c>
      <c r="T2984">
        <f t="shared" si="92"/>
        <v>54</v>
      </c>
      <c r="U2984" t="str">
        <f t="shared" si="93"/>
        <v>Pueblo</v>
      </c>
    </row>
    <row r="2985" spans="1:21" ht="16" x14ac:dyDescent="0.4">
      <c r="A2985" s="7">
        <v>33615</v>
      </c>
      <c r="B2985" s="7" t="s">
        <v>13</v>
      </c>
      <c r="C2985" s="7" t="s">
        <v>14</v>
      </c>
      <c r="D2985" s="7">
        <v>563</v>
      </c>
      <c r="E2985" s="7">
        <v>216</v>
      </c>
      <c r="F2985" s="7">
        <v>297</v>
      </c>
      <c r="G2985" s="7">
        <v>1</v>
      </c>
      <c r="H2985" s="7">
        <v>10832</v>
      </c>
      <c r="I2985" s="7">
        <v>5</v>
      </c>
      <c r="J2985" s="7">
        <v>36</v>
      </c>
      <c r="K2985" s="7">
        <v>250</v>
      </c>
      <c r="L2985" s="7">
        <v>252</v>
      </c>
      <c r="M2985" s="7">
        <v>14.57142857</v>
      </c>
      <c r="N2985">
        <f>VLOOKUP(A2985,vlookup_table!$A:$G,2,FALSE)</f>
        <v>1</v>
      </c>
      <c r="O2985" t="str">
        <f>VLOOKUP(A2985,vlookup_table!$A:$G,3,FALSE)</f>
        <v>FL</v>
      </c>
      <c r="P2985">
        <f>VLOOKUP(A2985,vlookup_table!$A:$G,4,FALSE)</f>
        <v>3211</v>
      </c>
      <c r="Q2985" t="str">
        <f>VLOOKUP(A2985,vlookup_table!$A:$G,5,FALSE)</f>
        <v>C3</v>
      </c>
      <c r="R2985" t="str">
        <f>VLOOKUP(A2985,vlookup_table!$A:$G,6,FALSE)</f>
        <v>M</v>
      </c>
      <c r="S2985">
        <f>VLOOKUP(A2985,vlookup_table!$A:$G,7,FALSE)</f>
        <v>15</v>
      </c>
      <c r="T2985">
        <f t="shared" si="92"/>
        <v>64</v>
      </c>
      <c r="U2985" t="str">
        <f t="shared" si="93"/>
        <v>Ciudad</v>
      </c>
    </row>
    <row r="2986" spans="1:21" ht="16" x14ac:dyDescent="0.4">
      <c r="A2986" s="7">
        <v>47738</v>
      </c>
      <c r="B2986" s="7" t="s">
        <v>40</v>
      </c>
      <c r="C2986" s="7" t="s">
        <v>17</v>
      </c>
      <c r="D2986" s="7">
        <v>419</v>
      </c>
      <c r="E2986" s="7">
        <v>212</v>
      </c>
      <c r="F2986" s="7">
        <v>306</v>
      </c>
      <c r="G2986" s="7">
        <v>0</v>
      </c>
      <c r="H2986" s="7">
        <v>10063</v>
      </c>
      <c r="I2986" s="7">
        <v>0</v>
      </c>
      <c r="J2986" s="7">
        <v>64</v>
      </c>
      <c r="K2986" s="7">
        <v>268</v>
      </c>
      <c r="L2986" s="7">
        <v>258</v>
      </c>
      <c r="M2986" s="7">
        <v>8.1666666669999994</v>
      </c>
      <c r="N2986">
        <f>VLOOKUP(A2986,vlookup_table!$A:$G,2,FALSE)</f>
        <v>2</v>
      </c>
      <c r="O2986" t="str">
        <f>VLOOKUP(A2986,vlookup_table!$A:$G,3,FALSE)</f>
        <v>AL</v>
      </c>
      <c r="P2986">
        <f>VLOOKUP(A2986,vlookup_table!$A:$G,4,FALSE)</f>
        <v>2401</v>
      </c>
      <c r="Q2986" t="str">
        <f>VLOOKUP(A2986,vlookup_table!$A:$G,5,FALSE)</f>
        <v>R3</v>
      </c>
      <c r="R2986" t="str">
        <f>VLOOKUP(A2986,vlookup_table!$A:$G,6,FALSE)</f>
        <v>F</v>
      </c>
      <c r="S2986">
        <f>VLOOKUP(A2986,vlookup_table!$A:$G,7,FALSE)</f>
        <v>12</v>
      </c>
      <c r="T2986">
        <f t="shared" si="92"/>
        <v>72</v>
      </c>
      <c r="U2986" t="str">
        <f t="shared" si="93"/>
        <v>Rural</v>
      </c>
    </row>
    <row r="2987" spans="1:21" ht="16" x14ac:dyDescent="0.4">
      <c r="A2987" s="7">
        <v>144301</v>
      </c>
      <c r="B2987" s="7" t="s">
        <v>21</v>
      </c>
      <c r="C2987" s="7" t="s">
        <v>17</v>
      </c>
      <c r="D2987" s="7">
        <v>2448</v>
      </c>
      <c r="E2987" s="7">
        <v>498</v>
      </c>
      <c r="F2987" s="7">
        <v>575</v>
      </c>
      <c r="G2987" s="7">
        <v>72</v>
      </c>
      <c r="H2987" s="7">
        <v>22133</v>
      </c>
      <c r="I2987" s="7">
        <v>7</v>
      </c>
      <c r="J2987" s="7">
        <v>44</v>
      </c>
      <c r="K2987" s="7">
        <v>515</v>
      </c>
      <c r="L2987" s="7">
        <v>552</v>
      </c>
      <c r="M2987" s="7">
        <v>9.5454545460000002</v>
      </c>
      <c r="N2987">
        <f>VLOOKUP(A2987,vlookup_table!$A:$G,2,FALSE)</f>
        <v>0</v>
      </c>
      <c r="O2987" t="str">
        <f>VLOOKUP(A2987,vlookup_table!$A:$G,3,FALSE)</f>
        <v>CA</v>
      </c>
      <c r="P2987">
        <f>VLOOKUP(A2987,vlookup_table!$A:$G,4,FALSE)</f>
        <v>5104</v>
      </c>
      <c r="Q2987" t="str">
        <f>VLOOKUP(A2987,vlookup_table!$A:$G,5,FALSE)</f>
        <v>U1</v>
      </c>
      <c r="R2987" t="str">
        <f>VLOOKUP(A2987,vlookup_table!$A:$G,6,FALSE)</f>
        <v>F</v>
      </c>
      <c r="S2987">
        <f>VLOOKUP(A2987,vlookup_table!$A:$G,7,FALSE)</f>
        <v>11</v>
      </c>
      <c r="T2987">
        <f t="shared" si="92"/>
        <v>45</v>
      </c>
      <c r="U2987" t="str">
        <f t="shared" si="93"/>
        <v>Urbano</v>
      </c>
    </row>
    <row r="2988" spans="1:21" ht="16" x14ac:dyDescent="0.4">
      <c r="A2988" s="7">
        <v>10491</v>
      </c>
      <c r="B2988" s="7" t="s">
        <v>23</v>
      </c>
      <c r="C2988" s="7" t="s">
        <v>17</v>
      </c>
      <c r="D2988" s="7">
        <v>1001</v>
      </c>
      <c r="E2988" s="7">
        <v>420</v>
      </c>
      <c r="F2988" s="7">
        <v>482</v>
      </c>
      <c r="G2988" s="7">
        <v>0</v>
      </c>
      <c r="H2988" s="7">
        <v>13472</v>
      </c>
      <c r="I2988" s="7">
        <v>2</v>
      </c>
      <c r="J2988" s="7">
        <v>26</v>
      </c>
      <c r="K2988" s="7">
        <v>455</v>
      </c>
      <c r="L2988" s="7">
        <v>447</v>
      </c>
      <c r="M2988" s="7">
        <v>7.05</v>
      </c>
      <c r="N2988">
        <f>VLOOKUP(A2988,vlookup_table!$A:$G,2,FALSE)</f>
        <v>0</v>
      </c>
      <c r="O2988" t="str">
        <f>VLOOKUP(A2988,vlookup_table!$A:$G,3,FALSE)</f>
        <v>NV</v>
      </c>
      <c r="P2988">
        <f>VLOOKUP(A2988,vlookup_table!$A:$G,4,FALSE)</f>
        <v>3507</v>
      </c>
      <c r="Q2988" t="str">
        <f>VLOOKUP(A2988,vlookup_table!$A:$G,5,FALSE)</f>
        <v>C2</v>
      </c>
      <c r="R2988" t="str">
        <f>VLOOKUP(A2988,vlookup_table!$A:$G,6,FALSE)</f>
        <v>F</v>
      </c>
      <c r="S2988">
        <f>VLOOKUP(A2988,vlookup_table!$A:$G,7,FALSE)</f>
        <v>5</v>
      </c>
      <c r="T2988">
        <f t="shared" si="92"/>
        <v>61</v>
      </c>
      <c r="U2988" t="str">
        <f t="shared" si="93"/>
        <v>Ciudad</v>
      </c>
    </row>
    <row r="2989" spans="1:21" ht="16" x14ac:dyDescent="0.4">
      <c r="A2989" s="7">
        <v>189009</v>
      </c>
      <c r="B2989" s="7" t="s">
        <v>37</v>
      </c>
      <c r="C2989" s="7" t="s">
        <v>14</v>
      </c>
      <c r="D2989" s="7">
        <v>1347</v>
      </c>
      <c r="E2989" s="7">
        <v>192</v>
      </c>
      <c r="F2989" s="7">
        <v>408</v>
      </c>
      <c r="G2989" s="7">
        <v>9</v>
      </c>
      <c r="H2989" s="7">
        <v>16895</v>
      </c>
      <c r="I2989" s="7">
        <v>11</v>
      </c>
      <c r="J2989" s="7">
        <v>42</v>
      </c>
      <c r="K2989" s="7">
        <v>361</v>
      </c>
      <c r="L2989" s="7">
        <v>260</v>
      </c>
      <c r="M2989" s="7">
        <v>5.7777777779999999</v>
      </c>
      <c r="N2989">
        <f>VLOOKUP(A2989,vlookup_table!$A:$G,2,FALSE)</f>
        <v>2</v>
      </c>
      <c r="O2989" t="str">
        <f>VLOOKUP(A2989,vlookup_table!$A:$G,3,FALSE)</f>
        <v>WA</v>
      </c>
      <c r="P2989">
        <f>VLOOKUP(A2989,vlookup_table!$A:$G,4,FALSE)</f>
        <v>0</v>
      </c>
      <c r="Q2989" t="str">
        <f>VLOOKUP(A2989,vlookup_table!$A:$G,5,FALSE)</f>
        <v>U2</v>
      </c>
      <c r="R2989" t="str">
        <f>VLOOKUP(A2989,vlookup_table!$A:$G,6,FALSE)</f>
        <v>M</v>
      </c>
      <c r="S2989">
        <f>VLOOKUP(A2989,vlookup_table!$A:$G,7,FALSE)</f>
        <v>5</v>
      </c>
      <c r="T2989">
        <f t="shared" si="92"/>
        <v>96</v>
      </c>
      <c r="U2989" t="str">
        <f t="shared" si="93"/>
        <v>Urbano</v>
      </c>
    </row>
    <row r="2990" spans="1:21" ht="16" x14ac:dyDescent="0.4">
      <c r="A2990" s="7">
        <v>68718</v>
      </c>
      <c r="B2990" s="7" t="s">
        <v>26</v>
      </c>
      <c r="C2990" s="7" t="s">
        <v>14</v>
      </c>
      <c r="D2990" s="7">
        <v>1114</v>
      </c>
      <c r="E2990" s="7">
        <v>623</v>
      </c>
      <c r="F2990" s="7">
        <v>621</v>
      </c>
      <c r="G2990" s="7">
        <v>1</v>
      </c>
      <c r="H2990" s="7">
        <v>17694</v>
      </c>
      <c r="I2990" s="7">
        <v>12</v>
      </c>
      <c r="J2990" s="7">
        <v>76</v>
      </c>
      <c r="K2990" s="7">
        <v>631</v>
      </c>
      <c r="L2990" s="7">
        <v>607</v>
      </c>
      <c r="M2990" s="7">
        <v>10.733333330000001</v>
      </c>
      <c r="N2990">
        <f>VLOOKUP(A2990,vlookup_table!$A:$G,2,FALSE)</f>
        <v>1002</v>
      </c>
      <c r="O2990" t="str">
        <f>VLOOKUP(A2990,vlookup_table!$A:$G,3,FALSE)</f>
        <v>MI</v>
      </c>
      <c r="P2990">
        <f>VLOOKUP(A2990,vlookup_table!$A:$G,4,FALSE)</f>
        <v>0</v>
      </c>
      <c r="Q2990" t="str">
        <f>VLOOKUP(A2990,vlookup_table!$A:$G,5,FALSE)</f>
        <v>S1</v>
      </c>
      <c r="R2990" t="str">
        <f>VLOOKUP(A2990,vlookup_table!$A:$G,6,FALSE)</f>
        <v>M</v>
      </c>
      <c r="S2990">
        <f>VLOOKUP(A2990,vlookup_table!$A:$G,7,FALSE)</f>
        <v>10</v>
      </c>
      <c r="T2990">
        <f t="shared" si="92"/>
        <v>96</v>
      </c>
      <c r="U2990" t="str">
        <f t="shared" si="93"/>
        <v>Suburbano</v>
      </c>
    </row>
    <row r="2991" spans="1:21" ht="16" x14ac:dyDescent="0.4">
      <c r="A2991" s="7">
        <v>74673</v>
      </c>
      <c r="B2991" s="7" t="s">
        <v>26</v>
      </c>
      <c r="C2991" s="7" t="s">
        <v>17</v>
      </c>
      <c r="D2991" s="7">
        <v>368</v>
      </c>
      <c r="E2991" s="7">
        <v>168</v>
      </c>
      <c r="F2991" s="7">
        <v>260</v>
      </c>
      <c r="G2991" s="7">
        <v>0</v>
      </c>
      <c r="H2991" s="7">
        <v>8859</v>
      </c>
      <c r="I2991" s="7">
        <v>1</v>
      </c>
      <c r="J2991" s="7">
        <v>52</v>
      </c>
      <c r="K2991" s="7">
        <v>220</v>
      </c>
      <c r="L2991" s="7">
        <v>216</v>
      </c>
      <c r="M2991" s="7">
        <v>5.615384615</v>
      </c>
      <c r="N2991">
        <f>VLOOKUP(A2991,vlookup_table!$A:$G,2,FALSE)</f>
        <v>0</v>
      </c>
      <c r="O2991" t="str">
        <f>VLOOKUP(A2991,vlookup_table!$A:$G,3,FALSE)</f>
        <v>MI</v>
      </c>
      <c r="P2991">
        <f>VLOOKUP(A2991,vlookup_table!$A:$G,4,FALSE)</f>
        <v>3805</v>
      </c>
      <c r="Q2991" t="str">
        <f>VLOOKUP(A2991,vlookup_table!$A:$G,5,FALSE)</f>
        <v>R3</v>
      </c>
      <c r="R2991" t="str">
        <f>VLOOKUP(A2991,vlookup_table!$A:$G,6,FALSE)</f>
        <v>F</v>
      </c>
      <c r="S2991">
        <f>VLOOKUP(A2991,vlookup_table!$A:$G,7,FALSE)</f>
        <v>7</v>
      </c>
      <c r="T2991">
        <f t="shared" si="92"/>
        <v>58</v>
      </c>
      <c r="U2991" t="str">
        <f t="shared" si="93"/>
        <v>Rural</v>
      </c>
    </row>
    <row r="2992" spans="1:21" ht="16" x14ac:dyDescent="0.4">
      <c r="A2992" s="7">
        <v>35328</v>
      </c>
      <c r="B2992" s="7" t="s">
        <v>13</v>
      </c>
      <c r="C2992" s="7" t="s">
        <v>14</v>
      </c>
      <c r="D2992" s="7">
        <v>1454</v>
      </c>
      <c r="E2992" s="7">
        <v>523</v>
      </c>
      <c r="F2992" s="7">
        <v>579</v>
      </c>
      <c r="G2992" s="7">
        <v>14</v>
      </c>
      <c r="H2992" s="7">
        <v>16035</v>
      </c>
      <c r="I2992" s="7">
        <v>7</v>
      </c>
      <c r="J2992" s="7">
        <v>28</v>
      </c>
      <c r="K2992" s="7">
        <v>526</v>
      </c>
      <c r="L2992" s="7">
        <v>575</v>
      </c>
      <c r="M2992" s="7">
        <v>11.64285714</v>
      </c>
      <c r="N2992">
        <f>VLOOKUP(A2992,vlookup_table!$A:$G,2,FALSE)</f>
        <v>1002</v>
      </c>
      <c r="O2992" t="str">
        <f>VLOOKUP(A2992,vlookup_table!$A:$G,3,FALSE)</f>
        <v>FL</v>
      </c>
      <c r="P2992">
        <f>VLOOKUP(A2992,vlookup_table!$A:$G,4,FALSE)</f>
        <v>5809</v>
      </c>
      <c r="Q2992" t="str">
        <f>VLOOKUP(A2992,vlookup_table!$A:$G,5,FALSE)</f>
        <v>C1</v>
      </c>
      <c r="R2992" t="str">
        <f>VLOOKUP(A2992,vlookup_table!$A:$G,6,FALSE)</f>
        <v>M</v>
      </c>
      <c r="S2992">
        <f>VLOOKUP(A2992,vlookup_table!$A:$G,7,FALSE)</f>
        <v>20</v>
      </c>
      <c r="T2992">
        <f t="shared" si="92"/>
        <v>38</v>
      </c>
      <c r="U2992" t="str">
        <f t="shared" si="93"/>
        <v>Ciudad</v>
      </c>
    </row>
    <row r="2993" spans="1:21" ht="16" x14ac:dyDescent="0.4">
      <c r="A2993" s="7">
        <v>971</v>
      </c>
      <c r="B2993" s="7" t="s">
        <v>50</v>
      </c>
      <c r="C2993" s="7" t="s">
        <v>17</v>
      </c>
      <c r="D2993" s="7">
        <v>695</v>
      </c>
      <c r="E2993" s="7">
        <v>222</v>
      </c>
      <c r="F2993" s="7">
        <v>291</v>
      </c>
      <c r="G2993" s="7">
        <v>0</v>
      </c>
      <c r="H2993" s="7">
        <v>9991</v>
      </c>
      <c r="I2993" s="7">
        <v>3</v>
      </c>
      <c r="J2993" s="7">
        <v>28</v>
      </c>
      <c r="K2993" s="7">
        <v>304</v>
      </c>
      <c r="L2993" s="7">
        <v>279</v>
      </c>
      <c r="M2993" s="7">
        <v>7.5</v>
      </c>
      <c r="N2993">
        <f>VLOOKUP(A2993,vlookup_table!$A:$G,2,FALSE)</f>
        <v>3</v>
      </c>
      <c r="O2993" t="str">
        <f>VLOOKUP(A2993,vlookup_table!$A:$G,3,FALSE)</f>
        <v>NM</v>
      </c>
      <c r="P2993">
        <f>VLOOKUP(A2993,vlookup_table!$A:$G,4,FALSE)</f>
        <v>4001</v>
      </c>
      <c r="Q2993" t="str">
        <f>VLOOKUP(A2993,vlookup_table!$A:$G,5,FALSE)</f>
        <v>T2</v>
      </c>
      <c r="R2993" t="str">
        <f>VLOOKUP(A2993,vlookup_table!$A:$G,6,FALSE)</f>
        <v>F</v>
      </c>
      <c r="S2993">
        <f>VLOOKUP(A2993,vlookup_table!$A:$G,7,FALSE)</f>
        <v>8</v>
      </c>
      <c r="T2993">
        <f t="shared" si="92"/>
        <v>56</v>
      </c>
      <c r="U2993" t="str">
        <f t="shared" si="93"/>
        <v>Pueblo</v>
      </c>
    </row>
    <row r="2994" spans="1:21" ht="16" x14ac:dyDescent="0.4">
      <c r="A2994" s="7">
        <v>18508</v>
      </c>
      <c r="B2994" s="7" t="s">
        <v>18</v>
      </c>
      <c r="C2994" s="7" t="s">
        <v>97</v>
      </c>
      <c r="D2994" s="7">
        <v>635</v>
      </c>
      <c r="E2994" s="7">
        <v>301</v>
      </c>
      <c r="F2994" s="7">
        <v>388</v>
      </c>
      <c r="G2994" s="7">
        <v>3</v>
      </c>
      <c r="H2994" s="7">
        <v>12754</v>
      </c>
      <c r="I2994" s="7">
        <v>2</v>
      </c>
      <c r="J2994" s="7">
        <v>73</v>
      </c>
      <c r="K2994" s="7">
        <v>342</v>
      </c>
      <c r="L2994" s="7">
        <v>338</v>
      </c>
      <c r="M2994" s="7">
        <v>6.6666666670000003</v>
      </c>
      <c r="N2994">
        <f>VLOOKUP(A2994,vlookup_table!$A:$G,2,FALSE)</f>
        <v>2</v>
      </c>
      <c r="O2994" t="str">
        <f>VLOOKUP(A2994,vlookup_table!$A:$G,3,FALSE)</f>
        <v>NC</v>
      </c>
      <c r="P2994">
        <f>VLOOKUP(A2994,vlookup_table!$A:$G,4,FALSE)</f>
        <v>0</v>
      </c>
      <c r="Q2994" t="str">
        <f>VLOOKUP(A2994,vlookup_table!$A:$G,5,FALSE)</f>
        <v>T2</v>
      </c>
      <c r="R2994" t="str">
        <f>VLOOKUP(A2994,vlookup_table!$A:$G,6,FALSE)</f>
        <v>F</v>
      </c>
      <c r="S2994">
        <f>VLOOKUP(A2994,vlookup_table!$A:$G,7,FALSE)</f>
        <v>6</v>
      </c>
      <c r="T2994">
        <f t="shared" si="92"/>
        <v>96</v>
      </c>
      <c r="U2994" t="str">
        <f t="shared" si="93"/>
        <v>Pueblo</v>
      </c>
    </row>
    <row r="2995" spans="1:21" ht="16" x14ac:dyDescent="0.4">
      <c r="A2995" s="7">
        <v>93496</v>
      </c>
      <c r="B2995" s="7" t="s">
        <v>16</v>
      </c>
      <c r="C2995" s="7" t="s">
        <v>17</v>
      </c>
      <c r="D2995" s="7">
        <v>819</v>
      </c>
      <c r="E2995" s="7">
        <v>255</v>
      </c>
      <c r="F2995" s="7">
        <v>342</v>
      </c>
      <c r="G2995" s="7">
        <v>15</v>
      </c>
      <c r="H2995" s="7">
        <v>13588</v>
      </c>
      <c r="I2995" s="7">
        <v>16</v>
      </c>
      <c r="J2995" s="7">
        <v>62</v>
      </c>
      <c r="K2995" s="7">
        <v>263</v>
      </c>
      <c r="L2995" s="7">
        <v>323</v>
      </c>
      <c r="M2995" s="7">
        <v>4.4545454549999999</v>
      </c>
      <c r="N2995">
        <f>VLOOKUP(A2995,vlookup_table!$A:$G,2,FALSE)</f>
        <v>0</v>
      </c>
      <c r="O2995" t="str">
        <f>VLOOKUP(A2995,vlookup_table!$A:$G,3,FALSE)</f>
        <v>IL</v>
      </c>
      <c r="P2995">
        <f>VLOOKUP(A2995,vlookup_table!$A:$G,4,FALSE)</f>
        <v>1907</v>
      </c>
      <c r="Q2995" t="str">
        <f>VLOOKUP(A2995,vlookup_table!$A:$G,5,FALSE)</f>
        <v>U2</v>
      </c>
      <c r="R2995" t="str">
        <f>VLOOKUP(A2995,vlookup_table!$A:$G,6,FALSE)</f>
        <v>F</v>
      </c>
      <c r="S2995">
        <f>VLOOKUP(A2995,vlookup_table!$A:$G,7,FALSE)</f>
        <v>10</v>
      </c>
      <c r="T2995">
        <f t="shared" si="92"/>
        <v>77</v>
      </c>
      <c r="U2995" t="str">
        <f t="shared" si="93"/>
        <v>Urbano</v>
      </c>
    </row>
    <row r="2996" spans="1:21" ht="16" x14ac:dyDescent="0.4">
      <c r="A2996" s="7">
        <v>92121</v>
      </c>
      <c r="B2996" s="7" t="s">
        <v>16</v>
      </c>
      <c r="C2996" s="7" t="s">
        <v>14</v>
      </c>
      <c r="D2996" s="7">
        <v>1216</v>
      </c>
      <c r="E2996" s="7">
        <v>449</v>
      </c>
      <c r="F2996" s="7">
        <v>514</v>
      </c>
      <c r="G2996" s="7">
        <v>9</v>
      </c>
      <c r="H2996" s="7">
        <v>16243</v>
      </c>
      <c r="I2996" s="7">
        <v>1</v>
      </c>
      <c r="J2996" s="7">
        <v>83</v>
      </c>
      <c r="K2996" s="7">
        <v>470</v>
      </c>
      <c r="L2996" s="7">
        <v>492</v>
      </c>
      <c r="M2996" s="7">
        <v>15</v>
      </c>
      <c r="N2996">
        <f>VLOOKUP(A2996,vlookup_table!$A:$G,2,FALSE)</f>
        <v>0</v>
      </c>
      <c r="O2996" t="str">
        <f>VLOOKUP(A2996,vlookup_table!$A:$G,3,FALSE)</f>
        <v>IL</v>
      </c>
      <c r="P2996">
        <f>VLOOKUP(A2996,vlookup_table!$A:$G,4,FALSE)</f>
        <v>6401</v>
      </c>
      <c r="Q2996" t="str">
        <f>VLOOKUP(A2996,vlookup_table!$A:$G,5,FALSE)</f>
        <v>T2</v>
      </c>
      <c r="R2996" t="str">
        <f>VLOOKUP(A2996,vlookup_table!$A:$G,6,FALSE)</f>
        <v>M</v>
      </c>
      <c r="S2996">
        <f>VLOOKUP(A2996,vlookup_table!$A:$G,7,FALSE)</f>
        <v>15</v>
      </c>
      <c r="T2996">
        <f t="shared" si="92"/>
        <v>32</v>
      </c>
      <c r="U2996" t="str">
        <f t="shared" si="93"/>
        <v>Pueblo</v>
      </c>
    </row>
    <row r="2997" spans="1:21" ht="16" x14ac:dyDescent="0.4">
      <c r="A2997" s="7">
        <v>6649</v>
      </c>
      <c r="B2997" s="7" t="s">
        <v>51</v>
      </c>
      <c r="C2997" s="7" t="s">
        <v>97</v>
      </c>
      <c r="D2997" s="7">
        <v>2026</v>
      </c>
      <c r="E2997" s="7">
        <v>655</v>
      </c>
      <c r="F2997" s="7">
        <v>829</v>
      </c>
      <c r="G2997" s="7">
        <v>51</v>
      </c>
      <c r="H2997" s="7">
        <v>31520</v>
      </c>
      <c r="I2997" s="7">
        <v>7</v>
      </c>
      <c r="J2997" s="7">
        <v>29</v>
      </c>
      <c r="K2997" s="7">
        <v>711</v>
      </c>
      <c r="L2997" s="7">
        <v>756</v>
      </c>
      <c r="M2997" s="7">
        <v>32.416666669999998</v>
      </c>
      <c r="N2997">
        <f>VLOOKUP(A2997,vlookup_table!$A:$G,2,FALSE)</f>
        <v>1</v>
      </c>
      <c r="O2997" t="str">
        <f>VLOOKUP(A2997,vlookup_table!$A:$G,3,FALSE)</f>
        <v>AZ</v>
      </c>
      <c r="P2997">
        <f>VLOOKUP(A2997,vlookup_table!$A:$G,4,FALSE)</f>
        <v>0</v>
      </c>
      <c r="Q2997" t="str">
        <f>VLOOKUP(A2997,vlookup_table!$A:$G,5,FALSE)</f>
        <v/>
      </c>
      <c r="R2997" t="str">
        <f>VLOOKUP(A2997,vlookup_table!$A:$G,6,FALSE)</f>
        <v>F</v>
      </c>
      <c r="S2997">
        <f>VLOOKUP(A2997,vlookup_table!$A:$G,7,FALSE)</f>
        <v>50</v>
      </c>
      <c r="T2997">
        <f t="shared" si="92"/>
        <v>96</v>
      </c>
      <c r="U2997" t="str">
        <f t="shared" si="93"/>
        <v/>
      </c>
    </row>
    <row r="2998" spans="1:21" ht="16" x14ac:dyDescent="0.4">
      <c r="A2998" s="7">
        <v>186993</v>
      </c>
      <c r="B2998" s="7" t="s">
        <v>20</v>
      </c>
      <c r="C2998" s="7" t="s">
        <v>14</v>
      </c>
      <c r="D2998" s="7">
        <v>567</v>
      </c>
      <c r="E2998" s="7">
        <v>201</v>
      </c>
      <c r="F2998" s="7">
        <v>313</v>
      </c>
      <c r="G2998" s="7">
        <v>1</v>
      </c>
      <c r="H2998" s="7">
        <v>10793</v>
      </c>
      <c r="I2998" s="7">
        <v>10</v>
      </c>
      <c r="J2998" s="7">
        <v>67</v>
      </c>
      <c r="K2998" s="7">
        <v>240</v>
      </c>
      <c r="L2998" s="7">
        <v>302</v>
      </c>
      <c r="M2998" s="7">
        <v>10.545454550000001</v>
      </c>
      <c r="N2998">
        <f>VLOOKUP(A2998,vlookup_table!$A:$G,2,FALSE)</f>
        <v>1</v>
      </c>
      <c r="O2998" t="str">
        <f>VLOOKUP(A2998,vlookup_table!$A:$G,3,FALSE)</f>
        <v>TX</v>
      </c>
      <c r="P2998">
        <f>VLOOKUP(A2998,vlookup_table!$A:$G,4,FALSE)</f>
        <v>0</v>
      </c>
      <c r="Q2998" t="str">
        <f>VLOOKUP(A2998,vlookup_table!$A:$G,5,FALSE)</f>
        <v/>
      </c>
      <c r="R2998" t="str">
        <f>VLOOKUP(A2998,vlookup_table!$A:$G,6,FALSE)</f>
        <v>M</v>
      </c>
      <c r="S2998">
        <f>VLOOKUP(A2998,vlookup_table!$A:$G,7,FALSE)</f>
        <v>10</v>
      </c>
      <c r="T2998">
        <f t="shared" si="92"/>
        <v>96</v>
      </c>
      <c r="U2998" t="str">
        <f t="shared" si="93"/>
        <v/>
      </c>
    </row>
    <row r="2999" spans="1:21" ht="16" x14ac:dyDescent="0.4">
      <c r="A2999" s="7">
        <v>175935</v>
      </c>
      <c r="B2999" s="7" t="s">
        <v>47</v>
      </c>
      <c r="C2999" s="7" t="s">
        <v>17</v>
      </c>
      <c r="D2999" s="7">
        <v>541</v>
      </c>
      <c r="E2999" s="7">
        <v>171</v>
      </c>
      <c r="F2999" s="7">
        <v>283</v>
      </c>
      <c r="G2999" s="7">
        <v>0</v>
      </c>
      <c r="H2999" s="7">
        <v>9862</v>
      </c>
      <c r="I2999" s="7">
        <v>11</v>
      </c>
      <c r="J2999" s="7">
        <v>46</v>
      </c>
      <c r="K2999" s="7">
        <v>239</v>
      </c>
      <c r="L2999" s="7">
        <v>220</v>
      </c>
      <c r="M2999" s="7">
        <v>15</v>
      </c>
      <c r="N2999">
        <f>VLOOKUP(A2999,vlookup_table!$A:$G,2,FALSE)</f>
        <v>28</v>
      </c>
      <c r="O2999" t="str">
        <f>VLOOKUP(A2999,vlookup_table!$A:$G,3,FALSE)</f>
        <v>OR</v>
      </c>
      <c r="P2999">
        <f>VLOOKUP(A2999,vlookup_table!$A:$G,4,FALSE)</f>
        <v>0</v>
      </c>
      <c r="Q2999" t="str">
        <f>VLOOKUP(A2999,vlookup_table!$A:$G,5,FALSE)</f>
        <v>S2</v>
      </c>
      <c r="R2999" t="str">
        <f>VLOOKUP(A2999,vlookup_table!$A:$G,6,FALSE)</f>
        <v>F</v>
      </c>
      <c r="S2999">
        <f>VLOOKUP(A2999,vlookup_table!$A:$G,7,FALSE)</f>
        <v>15</v>
      </c>
      <c r="T2999">
        <f t="shared" si="92"/>
        <v>96</v>
      </c>
      <c r="U2999" t="str">
        <f t="shared" si="93"/>
        <v>Suburbano</v>
      </c>
    </row>
    <row r="3000" spans="1:21" ht="16" x14ac:dyDescent="0.4">
      <c r="A3000" s="7">
        <v>133163</v>
      </c>
      <c r="B3000" s="7" t="s">
        <v>38</v>
      </c>
      <c r="C3000" s="7" t="s">
        <v>14</v>
      </c>
      <c r="D3000" s="7">
        <v>418</v>
      </c>
      <c r="E3000" s="7">
        <v>188</v>
      </c>
      <c r="F3000" s="7">
        <v>241</v>
      </c>
      <c r="G3000" s="7">
        <v>0</v>
      </c>
      <c r="H3000" s="7">
        <v>7470</v>
      </c>
      <c r="I3000" s="7">
        <v>2</v>
      </c>
      <c r="J3000" s="7">
        <v>58</v>
      </c>
      <c r="K3000" s="7">
        <v>227</v>
      </c>
      <c r="L3000" s="7">
        <v>220</v>
      </c>
      <c r="M3000" s="7">
        <v>15</v>
      </c>
      <c r="N3000">
        <f>VLOOKUP(A3000,vlookup_table!$A:$G,2,FALSE)</f>
        <v>1</v>
      </c>
      <c r="O3000" t="str">
        <f>VLOOKUP(A3000,vlookup_table!$A:$G,3,FALSE)</f>
        <v>ID</v>
      </c>
      <c r="P3000">
        <f>VLOOKUP(A3000,vlookup_table!$A:$G,4,FALSE)</f>
        <v>4501</v>
      </c>
      <c r="Q3000" t="str">
        <f>VLOOKUP(A3000,vlookup_table!$A:$G,5,FALSE)</f>
        <v>T2</v>
      </c>
      <c r="R3000" t="str">
        <f>VLOOKUP(A3000,vlookup_table!$A:$G,6,FALSE)</f>
        <v>M</v>
      </c>
      <c r="S3000">
        <f>VLOOKUP(A3000,vlookup_table!$A:$G,7,FALSE)</f>
        <v>15</v>
      </c>
      <c r="T3000">
        <f t="shared" si="92"/>
        <v>51</v>
      </c>
      <c r="U3000" t="str">
        <f t="shared" si="93"/>
        <v>Pueblo</v>
      </c>
    </row>
    <row r="3001" spans="1:21" ht="16" x14ac:dyDescent="0.4">
      <c r="A3001" s="7">
        <v>12</v>
      </c>
      <c r="B3001" s="7" t="s">
        <v>33</v>
      </c>
      <c r="C3001" s="7" t="s">
        <v>14</v>
      </c>
      <c r="D3001" s="7">
        <v>334</v>
      </c>
      <c r="E3001" s="7">
        <v>212</v>
      </c>
      <c r="F3001" s="7">
        <v>305</v>
      </c>
      <c r="G3001" s="7">
        <v>0</v>
      </c>
      <c r="H3001" s="7">
        <v>10385</v>
      </c>
      <c r="I3001" s="7">
        <v>1</v>
      </c>
      <c r="J3001" s="7">
        <v>77</v>
      </c>
      <c r="K3001" s="7">
        <v>259</v>
      </c>
      <c r="L3001" s="7">
        <v>259</v>
      </c>
      <c r="M3001" s="7">
        <v>14.72</v>
      </c>
      <c r="N3001">
        <f>VLOOKUP(A3001,vlookup_table!$A:$G,2,FALSE)</f>
        <v>2</v>
      </c>
      <c r="O3001" t="str">
        <f>VLOOKUP(A3001,vlookup_table!$A:$G,3,FALSE)</f>
        <v>MO</v>
      </c>
      <c r="P3001">
        <f>VLOOKUP(A3001,vlookup_table!$A:$G,4,FALSE)</f>
        <v>1804</v>
      </c>
      <c r="Q3001" t="str">
        <f>VLOOKUP(A3001,vlookup_table!$A:$G,5,FALSE)</f>
        <v>R2</v>
      </c>
      <c r="R3001" t="str">
        <f>VLOOKUP(A3001,vlookup_table!$A:$G,6,FALSE)</f>
        <v>M</v>
      </c>
      <c r="S3001">
        <f>VLOOKUP(A3001,vlookup_table!$A:$G,7,FALSE)</f>
        <v>10</v>
      </c>
      <c r="T3001">
        <f t="shared" si="92"/>
        <v>78</v>
      </c>
      <c r="U3001" t="str">
        <f t="shared" si="93"/>
        <v>Rural</v>
      </c>
    </row>
    <row r="3002" spans="1:21" ht="16" x14ac:dyDescent="0.4">
      <c r="A3002" s="7">
        <v>511</v>
      </c>
      <c r="B3002" s="7" t="s">
        <v>20</v>
      </c>
      <c r="C3002" s="7" t="s">
        <v>17</v>
      </c>
      <c r="D3002" s="7">
        <v>1024</v>
      </c>
      <c r="E3002" s="7">
        <v>225</v>
      </c>
      <c r="F3002" s="7">
        <v>393</v>
      </c>
      <c r="G3002" s="7">
        <v>2</v>
      </c>
      <c r="H3002" s="7">
        <v>16782</v>
      </c>
      <c r="I3002" s="7">
        <v>7</v>
      </c>
      <c r="J3002" s="7">
        <v>53</v>
      </c>
      <c r="K3002" s="7">
        <v>267</v>
      </c>
      <c r="L3002" s="7">
        <v>299</v>
      </c>
      <c r="M3002" s="7">
        <v>10</v>
      </c>
      <c r="N3002">
        <f>VLOOKUP(A3002,vlookup_table!$A:$G,2,FALSE)</f>
        <v>28</v>
      </c>
      <c r="O3002" t="str">
        <f>VLOOKUP(A3002,vlookup_table!$A:$G,3,FALSE)</f>
        <v>TX</v>
      </c>
      <c r="P3002">
        <f>VLOOKUP(A3002,vlookup_table!$A:$G,4,FALSE)</f>
        <v>1501</v>
      </c>
      <c r="Q3002" t="str">
        <f>VLOOKUP(A3002,vlookup_table!$A:$G,5,FALSE)</f>
        <v>S1</v>
      </c>
      <c r="R3002" t="str">
        <f>VLOOKUP(A3002,vlookup_table!$A:$G,6,FALSE)</f>
        <v>F</v>
      </c>
      <c r="S3002">
        <f>VLOOKUP(A3002,vlookup_table!$A:$G,7,FALSE)</f>
        <v>12</v>
      </c>
      <c r="T3002">
        <f t="shared" si="92"/>
        <v>81</v>
      </c>
      <c r="U3002" t="str">
        <f t="shared" si="93"/>
        <v>Suburbano</v>
      </c>
    </row>
    <row r="3003" spans="1:21" ht="16" x14ac:dyDescent="0.4">
      <c r="A3003" s="7">
        <v>125013</v>
      </c>
      <c r="B3003" s="7" t="s">
        <v>20</v>
      </c>
      <c r="C3003" s="7" t="s">
        <v>17</v>
      </c>
      <c r="D3003" s="7">
        <v>644</v>
      </c>
      <c r="E3003" s="7">
        <v>275</v>
      </c>
      <c r="F3003" s="7">
        <v>331</v>
      </c>
      <c r="G3003" s="7">
        <v>2</v>
      </c>
      <c r="H3003" s="7">
        <v>11416</v>
      </c>
      <c r="I3003" s="7">
        <v>2</v>
      </c>
      <c r="J3003" s="7">
        <v>76</v>
      </c>
      <c r="K3003" s="7">
        <v>294</v>
      </c>
      <c r="L3003" s="7">
        <v>314</v>
      </c>
      <c r="M3003" s="7">
        <v>7.75</v>
      </c>
      <c r="N3003">
        <f>VLOOKUP(A3003,vlookup_table!$A:$G,2,FALSE)</f>
        <v>2</v>
      </c>
      <c r="O3003" t="str">
        <f>VLOOKUP(A3003,vlookup_table!$A:$G,3,FALSE)</f>
        <v>TX</v>
      </c>
      <c r="P3003">
        <f>VLOOKUP(A3003,vlookup_table!$A:$G,4,FALSE)</f>
        <v>0</v>
      </c>
      <c r="Q3003" t="str">
        <f>VLOOKUP(A3003,vlookup_table!$A:$G,5,FALSE)</f>
        <v>T2</v>
      </c>
      <c r="R3003" t="str">
        <f>VLOOKUP(A3003,vlookup_table!$A:$G,6,FALSE)</f>
        <v>F</v>
      </c>
      <c r="S3003">
        <f>VLOOKUP(A3003,vlookup_table!$A:$G,7,FALSE)</f>
        <v>15</v>
      </c>
      <c r="T3003">
        <f t="shared" si="92"/>
        <v>96</v>
      </c>
      <c r="U3003" t="str">
        <f t="shared" si="93"/>
        <v>Pueblo</v>
      </c>
    </row>
    <row r="3004" spans="1:21" ht="16" x14ac:dyDescent="0.4">
      <c r="A3004" s="7">
        <v>138814</v>
      </c>
      <c r="B3004" s="7" t="s">
        <v>51</v>
      </c>
      <c r="C3004" s="7" t="s">
        <v>97</v>
      </c>
      <c r="D3004" s="7">
        <v>940</v>
      </c>
      <c r="E3004" s="7">
        <v>203</v>
      </c>
      <c r="F3004" s="7">
        <v>338</v>
      </c>
      <c r="G3004" s="7">
        <v>8</v>
      </c>
      <c r="H3004" s="7">
        <v>13487</v>
      </c>
      <c r="I3004" s="7">
        <v>6</v>
      </c>
      <c r="J3004" s="7">
        <v>32</v>
      </c>
      <c r="K3004" s="7">
        <v>244</v>
      </c>
      <c r="L3004" s="7">
        <v>303</v>
      </c>
      <c r="M3004" s="7">
        <v>9.6999999999999993</v>
      </c>
      <c r="N3004">
        <f>VLOOKUP(A3004,vlookup_table!$A:$G,2,FALSE)</f>
        <v>0</v>
      </c>
      <c r="O3004" t="str">
        <f>VLOOKUP(A3004,vlookup_table!$A:$G,3,FALSE)</f>
        <v>AZ</v>
      </c>
      <c r="P3004">
        <f>VLOOKUP(A3004,vlookup_table!$A:$G,4,FALSE)</f>
        <v>5401</v>
      </c>
      <c r="Q3004" t="str">
        <f>VLOOKUP(A3004,vlookup_table!$A:$G,5,FALSE)</f>
        <v>T2</v>
      </c>
      <c r="R3004" t="str">
        <f>VLOOKUP(A3004,vlookup_table!$A:$G,6,FALSE)</f>
        <v>F</v>
      </c>
      <c r="S3004">
        <f>VLOOKUP(A3004,vlookup_table!$A:$G,7,FALSE)</f>
        <v>20</v>
      </c>
      <c r="T3004">
        <f t="shared" si="92"/>
        <v>42</v>
      </c>
      <c r="U3004" t="str">
        <f t="shared" si="93"/>
        <v>Pueblo</v>
      </c>
    </row>
    <row r="3005" spans="1:21" ht="16" x14ac:dyDescent="0.4">
      <c r="A3005" s="7">
        <v>101290</v>
      </c>
      <c r="B3005" s="7" t="s">
        <v>33</v>
      </c>
      <c r="C3005" s="7" t="s">
        <v>14</v>
      </c>
      <c r="D3005" s="7">
        <v>152</v>
      </c>
      <c r="E3005" s="7">
        <v>160</v>
      </c>
      <c r="F3005" s="7">
        <v>225</v>
      </c>
      <c r="G3005" s="7">
        <v>0</v>
      </c>
      <c r="H3005" s="7">
        <v>9249</v>
      </c>
      <c r="I3005" s="7">
        <v>0</v>
      </c>
      <c r="J3005" s="7">
        <v>80</v>
      </c>
      <c r="K3005" s="7">
        <v>174</v>
      </c>
      <c r="L3005" s="7">
        <v>195</v>
      </c>
      <c r="M3005" s="7">
        <v>3.25</v>
      </c>
      <c r="N3005">
        <f>VLOOKUP(A3005,vlookup_table!$A:$G,2,FALSE)</f>
        <v>1</v>
      </c>
      <c r="O3005" t="str">
        <f>VLOOKUP(A3005,vlookup_table!$A:$G,3,FALSE)</f>
        <v>MO</v>
      </c>
      <c r="P3005">
        <f>VLOOKUP(A3005,vlookup_table!$A:$G,4,FALSE)</f>
        <v>1401</v>
      </c>
      <c r="Q3005" t="str">
        <f>VLOOKUP(A3005,vlookup_table!$A:$G,5,FALSE)</f>
        <v>R3</v>
      </c>
      <c r="R3005" t="str">
        <f>VLOOKUP(A3005,vlookup_table!$A:$G,6,FALSE)</f>
        <v>M</v>
      </c>
      <c r="S3005">
        <f>VLOOKUP(A3005,vlookup_table!$A:$G,7,FALSE)</f>
        <v>3</v>
      </c>
      <c r="T3005">
        <f t="shared" si="92"/>
        <v>82</v>
      </c>
      <c r="U3005" t="str">
        <f t="shared" si="93"/>
        <v>Rural</v>
      </c>
    </row>
    <row r="3006" spans="1:21" ht="16" x14ac:dyDescent="0.4">
      <c r="A3006" s="7">
        <v>22779</v>
      </c>
      <c r="B3006" s="7" t="s">
        <v>43</v>
      </c>
      <c r="C3006" s="7" t="s">
        <v>14</v>
      </c>
      <c r="D3006" s="7">
        <v>535</v>
      </c>
      <c r="E3006" s="7">
        <v>189</v>
      </c>
      <c r="F3006" s="7">
        <v>221</v>
      </c>
      <c r="G3006" s="7">
        <v>2</v>
      </c>
      <c r="H3006" s="7">
        <v>8017</v>
      </c>
      <c r="I3006" s="7">
        <v>0</v>
      </c>
      <c r="J3006" s="7">
        <v>75</v>
      </c>
      <c r="K3006" s="7">
        <v>192</v>
      </c>
      <c r="L3006" s="7">
        <v>204</v>
      </c>
      <c r="M3006" s="7">
        <v>12.53333333</v>
      </c>
      <c r="N3006">
        <f>VLOOKUP(A3006,vlookup_table!$A:$G,2,FALSE)</f>
        <v>0</v>
      </c>
      <c r="O3006" t="str">
        <f>VLOOKUP(A3006,vlookup_table!$A:$G,3,FALSE)</f>
        <v>SC</v>
      </c>
      <c r="P3006">
        <f>VLOOKUP(A3006,vlookup_table!$A:$G,4,FALSE)</f>
        <v>5701</v>
      </c>
      <c r="Q3006" t="str">
        <f>VLOOKUP(A3006,vlookup_table!$A:$G,5,FALSE)</f>
        <v>T2</v>
      </c>
      <c r="R3006" t="str">
        <f>VLOOKUP(A3006,vlookup_table!$A:$G,6,FALSE)</f>
        <v>M</v>
      </c>
      <c r="S3006">
        <f>VLOOKUP(A3006,vlookup_table!$A:$G,7,FALSE)</f>
        <v>20</v>
      </c>
      <c r="T3006">
        <f t="shared" si="92"/>
        <v>39</v>
      </c>
      <c r="U3006" t="str">
        <f t="shared" si="93"/>
        <v>Pueblo</v>
      </c>
    </row>
    <row r="3007" spans="1:21" ht="16" x14ac:dyDescent="0.4">
      <c r="A3007" s="7">
        <v>138689</v>
      </c>
      <c r="B3007" s="7" t="s">
        <v>51</v>
      </c>
      <c r="C3007" s="7" t="s">
        <v>97</v>
      </c>
      <c r="D3007" s="7">
        <v>975</v>
      </c>
      <c r="E3007" s="7">
        <v>261</v>
      </c>
      <c r="F3007" s="7">
        <v>419</v>
      </c>
      <c r="G3007" s="7">
        <v>4</v>
      </c>
      <c r="H3007" s="7">
        <v>13670</v>
      </c>
      <c r="I3007" s="7">
        <v>2</v>
      </c>
      <c r="J3007" s="7">
        <v>38</v>
      </c>
      <c r="K3007" s="7">
        <v>335</v>
      </c>
      <c r="L3007" s="7">
        <v>325</v>
      </c>
      <c r="M3007" s="7">
        <v>13</v>
      </c>
      <c r="N3007">
        <f>VLOOKUP(A3007,vlookup_table!$A:$G,2,FALSE)</f>
        <v>28</v>
      </c>
      <c r="O3007" t="str">
        <f>VLOOKUP(A3007,vlookup_table!$A:$G,3,FALSE)</f>
        <v>AZ</v>
      </c>
      <c r="P3007">
        <f>VLOOKUP(A3007,vlookup_table!$A:$G,4,FALSE)</f>
        <v>0</v>
      </c>
      <c r="Q3007" t="str">
        <f>VLOOKUP(A3007,vlookup_table!$A:$G,5,FALSE)</f>
        <v>T1</v>
      </c>
      <c r="R3007" t="str">
        <f>VLOOKUP(A3007,vlookup_table!$A:$G,6,FALSE)</f>
        <v>F</v>
      </c>
      <c r="S3007">
        <f>VLOOKUP(A3007,vlookup_table!$A:$G,7,FALSE)</f>
        <v>25</v>
      </c>
      <c r="T3007">
        <f t="shared" si="92"/>
        <v>96</v>
      </c>
      <c r="U3007" t="str">
        <f t="shared" si="93"/>
        <v>Pueblo</v>
      </c>
    </row>
    <row r="3008" spans="1:21" ht="16" x14ac:dyDescent="0.4">
      <c r="A3008" s="7">
        <v>99066</v>
      </c>
      <c r="B3008" s="7" t="s">
        <v>16</v>
      </c>
      <c r="C3008" s="7" t="s">
        <v>14</v>
      </c>
      <c r="D3008" s="7">
        <v>206</v>
      </c>
      <c r="E3008" s="7">
        <v>116</v>
      </c>
      <c r="F3008" s="7">
        <v>228</v>
      </c>
      <c r="G3008" s="7">
        <v>0</v>
      </c>
      <c r="H3008" s="7">
        <v>8204</v>
      </c>
      <c r="I3008" s="7">
        <v>1</v>
      </c>
      <c r="J3008" s="7">
        <v>63</v>
      </c>
      <c r="K3008" s="7">
        <v>164</v>
      </c>
      <c r="L3008" s="7">
        <v>194</v>
      </c>
      <c r="M3008" s="7">
        <v>4.434782609</v>
      </c>
      <c r="N3008">
        <f>VLOOKUP(A3008,vlookup_table!$A:$G,2,FALSE)</f>
        <v>1</v>
      </c>
      <c r="O3008" t="str">
        <f>VLOOKUP(A3008,vlookup_table!$A:$G,3,FALSE)</f>
        <v>IL</v>
      </c>
      <c r="P3008">
        <f>VLOOKUP(A3008,vlookup_table!$A:$G,4,FALSE)</f>
        <v>3006</v>
      </c>
      <c r="Q3008" t="str">
        <f>VLOOKUP(A3008,vlookup_table!$A:$G,5,FALSE)</f>
        <v>R3</v>
      </c>
      <c r="R3008" t="str">
        <f>VLOOKUP(A3008,vlookup_table!$A:$G,6,FALSE)</f>
        <v>M</v>
      </c>
      <c r="S3008">
        <f>VLOOKUP(A3008,vlookup_table!$A:$G,7,FALSE)</f>
        <v>5</v>
      </c>
      <c r="T3008">
        <f t="shared" si="92"/>
        <v>66</v>
      </c>
      <c r="U3008" t="str">
        <f t="shared" si="93"/>
        <v>Rural</v>
      </c>
    </row>
    <row r="3009" spans="1:21" ht="16" x14ac:dyDescent="0.4">
      <c r="A3009" s="7">
        <v>148141</v>
      </c>
      <c r="B3009" s="7" t="s">
        <v>21</v>
      </c>
      <c r="C3009" s="7" t="s">
        <v>17</v>
      </c>
      <c r="D3009" s="7">
        <v>3576</v>
      </c>
      <c r="E3009" s="7">
        <v>661</v>
      </c>
      <c r="F3009" s="7">
        <v>826</v>
      </c>
      <c r="G3009" s="7">
        <v>96</v>
      </c>
      <c r="H3009" s="7">
        <v>29413</v>
      </c>
      <c r="I3009" s="7">
        <v>14</v>
      </c>
      <c r="J3009" s="7">
        <v>50</v>
      </c>
      <c r="K3009" s="7">
        <v>768</v>
      </c>
      <c r="L3009" s="7">
        <v>729</v>
      </c>
      <c r="M3009" s="7">
        <v>11</v>
      </c>
      <c r="N3009">
        <f>VLOOKUP(A3009,vlookup_table!$A:$G,2,FALSE)</f>
        <v>0</v>
      </c>
      <c r="O3009" t="str">
        <f>VLOOKUP(A3009,vlookup_table!$A:$G,3,FALSE)</f>
        <v>CA</v>
      </c>
      <c r="P3009">
        <f>VLOOKUP(A3009,vlookup_table!$A:$G,4,FALSE)</f>
        <v>4704</v>
      </c>
      <c r="Q3009" t="str">
        <f>VLOOKUP(A3009,vlookup_table!$A:$G,5,FALSE)</f>
        <v>C1</v>
      </c>
      <c r="R3009" t="str">
        <f>VLOOKUP(A3009,vlookup_table!$A:$G,6,FALSE)</f>
        <v>F</v>
      </c>
      <c r="S3009">
        <f>VLOOKUP(A3009,vlookup_table!$A:$G,7,FALSE)</f>
        <v>14</v>
      </c>
      <c r="T3009">
        <f t="shared" si="92"/>
        <v>49</v>
      </c>
      <c r="U3009" t="str">
        <f t="shared" si="93"/>
        <v>Ciudad</v>
      </c>
    </row>
    <row r="3010" spans="1:21" ht="16" x14ac:dyDescent="0.4">
      <c r="A3010" s="7">
        <v>186456</v>
      </c>
      <c r="B3010" s="7" t="s">
        <v>47</v>
      </c>
      <c r="C3010" s="7" t="s">
        <v>17</v>
      </c>
      <c r="D3010" s="7">
        <v>589</v>
      </c>
      <c r="E3010" s="7">
        <v>277</v>
      </c>
      <c r="F3010" s="7">
        <v>364</v>
      </c>
      <c r="G3010" s="7">
        <v>1</v>
      </c>
      <c r="H3010" s="7">
        <v>12713</v>
      </c>
      <c r="I3010" s="7">
        <v>2</v>
      </c>
      <c r="J3010" s="7">
        <v>51</v>
      </c>
      <c r="K3010" s="7">
        <v>331</v>
      </c>
      <c r="L3010" s="7">
        <v>321</v>
      </c>
      <c r="M3010" s="7">
        <v>5.0882352940000004</v>
      </c>
      <c r="N3010">
        <f>VLOOKUP(A3010,vlookup_table!$A:$G,2,FALSE)</f>
        <v>0</v>
      </c>
      <c r="O3010" t="str">
        <f>VLOOKUP(A3010,vlookup_table!$A:$G,3,FALSE)</f>
        <v>OR</v>
      </c>
      <c r="P3010">
        <f>VLOOKUP(A3010,vlookup_table!$A:$G,4,FALSE)</f>
        <v>712</v>
      </c>
      <c r="Q3010" t="str">
        <f>VLOOKUP(A3010,vlookup_table!$A:$G,5,FALSE)</f>
        <v>C2</v>
      </c>
      <c r="R3010" t="str">
        <f>VLOOKUP(A3010,vlookup_table!$A:$G,6,FALSE)</f>
        <v>F</v>
      </c>
      <c r="S3010">
        <f>VLOOKUP(A3010,vlookup_table!$A:$G,7,FALSE)</f>
        <v>5</v>
      </c>
      <c r="T3010">
        <f t="shared" si="92"/>
        <v>25</v>
      </c>
      <c r="U3010" t="str">
        <f t="shared" si="93"/>
        <v>Ciudad</v>
      </c>
    </row>
    <row r="3011" spans="1:21" ht="16" x14ac:dyDescent="0.4">
      <c r="A3011" s="7">
        <v>158935</v>
      </c>
      <c r="B3011" s="7" t="s">
        <v>21</v>
      </c>
      <c r="C3011" s="7" t="s">
        <v>17</v>
      </c>
      <c r="D3011" s="7">
        <v>1781</v>
      </c>
      <c r="E3011" s="7">
        <v>170</v>
      </c>
      <c r="F3011" s="7">
        <v>178</v>
      </c>
      <c r="G3011" s="7">
        <v>33</v>
      </c>
      <c r="H3011" s="7">
        <v>14039</v>
      </c>
      <c r="I3011" s="7">
        <v>59</v>
      </c>
      <c r="J3011" s="7">
        <v>24</v>
      </c>
      <c r="K3011" s="7">
        <v>186</v>
      </c>
      <c r="L3011" s="7">
        <v>252</v>
      </c>
      <c r="M3011" s="7">
        <v>7.230769231</v>
      </c>
      <c r="N3011">
        <f>VLOOKUP(A3011,vlookup_table!$A:$G,2,FALSE)</f>
        <v>0</v>
      </c>
      <c r="O3011" t="str">
        <f>VLOOKUP(A3011,vlookup_table!$A:$G,3,FALSE)</f>
        <v>CA</v>
      </c>
      <c r="P3011">
        <f>VLOOKUP(A3011,vlookup_table!$A:$G,4,FALSE)</f>
        <v>2001</v>
      </c>
      <c r="Q3011" t="str">
        <f>VLOOKUP(A3011,vlookup_table!$A:$G,5,FALSE)</f>
        <v>C3</v>
      </c>
      <c r="R3011" t="str">
        <f>VLOOKUP(A3011,vlookup_table!$A:$G,6,FALSE)</f>
        <v>F</v>
      </c>
      <c r="S3011">
        <f>VLOOKUP(A3011,vlookup_table!$A:$G,7,FALSE)</f>
        <v>5</v>
      </c>
      <c r="T3011">
        <f t="shared" ref="T3011:T3074" si="94">97-LEFT(P3011,2)-IF(RIGHT(P3011,2)&gt;6,1,0)</f>
        <v>76</v>
      </c>
      <c r="U3011" t="str">
        <f t="shared" ref="U3011:U3074" si="95">IF(LEFT(Q3011,1)="C","Ciudad",IF(LEFT(Q3011,1)="T","Pueblo",IF(LEFT(Q3011,1)="R","Rural",IF(LEFT(Q3011,1)="S","Suburbano",IF(LEFT(Q3011,1)="U","Urbano","")))))</f>
        <v>Ciudad</v>
      </c>
    </row>
    <row r="3012" spans="1:21" ht="16" x14ac:dyDescent="0.4">
      <c r="A3012" s="7">
        <v>145275</v>
      </c>
      <c r="B3012" s="7" t="s">
        <v>21</v>
      </c>
      <c r="C3012" s="7" t="s">
        <v>17</v>
      </c>
      <c r="D3012" s="7">
        <v>3833</v>
      </c>
      <c r="E3012" s="7">
        <v>365</v>
      </c>
      <c r="F3012" s="7">
        <v>508</v>
      </c>
      <c r="G3012" s="7">
        <v>93</v>
      </c>
      <c r="H3012" s="7">
        <v>31120</v>
      </c>
      <c r="I3012" s="7">
        <v>29</v>
      </c>
      <c r="J3012" s="7">
        <v>27</v>
      </c>
      <c r="K3012" s="7">
        <v>426</v>
      </c>
      <c r="L3012" s="7">
        <v>461</v>
      </c>
      <c r="M3012" s="7">
        <v>12.2</v>
      </c>
      <c r="N3012">
        <f>VLOOKUP(A3012,vlookup_table!$A:$G,2,FALSE)</f>
        <v>28</v>
      </c>
      <c r="O3012" t="str">
        <f>VLOOKUP(A3012,vlookup_table!$A:$G,3,FALSE)</f>
        <v>CA</v>
      </c>
      <c r="P3012">
        <f>VLOOKUP(A3012,vlookup_table!$A:$G,4,FALSE)</f>
        <v>3107</v>
      </c>
      <c r="Q3012" t="str">
        <f>VLOOKUP(A3012,vlookup_table!$A:$G,5,FALSE)</f>
        <v>U1</v>
      </c>
      <c r="R3012" t="str">
        <f>VLOOKUP(A3012,vlookup_table!$A:$G,6,FALSE)</f>
        <v>F</v>
      </c>
      <c r="S3012">
        <f>VLOOKUP(A3012,vlookup_table!$A:$G,7,FALSE)</f>
        <v>20</v>
      </c>
      <c r="T3012">
        <f t="shared" si="94"/>
        <v>65</v>
      </c>
      <c r="U3012" t="str">
        <f t="shared" si="95"/>
        <v>Urbano</v>
      </c>
    </row>
    <row r="3013" spans="1:21" ht="16" x14ac:dyDescent="0.4">
      <c r="A3013" s="7">
        <v>173744</v>
      </c>
      <c r="B3013" s="7" t="s">
        <v>34</v>
      </c>
      <c r="C3013" s="7"/>
      <c r="D3013" s="7">
        <v>798</v>
      </c>
      <c r="E3013" s="7">
        <v>234</v>
      </c>
      <c r="F3013" s="7">
        <v>321</v>
      </c>
      <c r="G3013" s="7">
        <v>2</v>
      </c>
      <c r="H3013" s="7">
        <v>10082</v>
      </c>
      <c r="I3013" s="7">
        <v>14</v>
      </c>
      <c r="J3013" s="7">
        <v>55</v>
      </c>
      <c r="K3013" s="7">
        <v>252</v>
      </c>
      <c r="L3013" s="7">
        <v>297</v>
      </c>
      <c r="M3013" s="7">
        <v>20</v>
      </c>
      <c r="N3013">
        <f>VLOOKUP(A3013,vlookup_table!$A:$G,2,FALSE)</f>
        <v>0</v>
      </c>
      <c r="O3013" t="str">
        <f>VLOOKUP(A3013,vlookup_table!$A:$G,3,FALSE)</f>
        <v>HI</v>
      </c>
      <c r="P3013">
        <f>VLOOKUP(A3013,vlookup_table!$A:$G,4,FALSE)</f>
        <v>0</v>
      </c>
      <c r="Q3013" t="str">
        <f>VLOOKUP(A3013,vlookup_table!$A:$G,5,FALSE)</f>
        <v>R2</v>
      </c>
      <c r="R3013" t="str">
        <f>VLOOKUP(A3013,vlookup_table!$A:$G,6,FALSE)</f>
        <v/>
      </c>
      <c r="S3013">
        <f>VLOOKUP(A3013,vlookup_table!$A:$G,7,FALSE)</f>
        <v>20</v>
      </c>
      <c r="T3013">
        <f t="shared" si="94"/>
        <v>96</v>
      </c>
      <c r="U3013" t="str">
        <f t="shared" si="95"/>
        <v>Rural</v>
      </c>
    </row>
    <row r="3014" spans="1:21" ht="16" x14ac:dyDescent="0.4">
      <c r="A3014" s="7">
        <v>179683</v>
      </c>
      <c r="B3014" s="7" t="s">
        <v>37</v>
      </c>
      <c r="C3014" s="7" t="s">
        <v>17</v>
      </c>
      <c r="D3014" s="7">
        <v>1108</v>
      </c>
      <c r="E3014" s="7">
        <v>371</v>
      </c>
      <c r="F3014" s="7">
        <v>408</v>
      </c>
      <c r="G3014" s="7">
        <v>4</v>
      </c>
      <c r="H3014" s="7">
        <v>13661</v>
      </c>
      <c r="I3014" s="7">
        <v>3</v>
      </c>
      <c r="J3014" s="7">
        <v>63</v>
      </c>
      <c r="K3014" s="7">
        <v>395</v>
      </c>
      <c r="L3014" s="7">
        <v>393</v>
      </c>
      <c r="M3014" s="7">
        <v>21.666666670000001</v>
      </c>
      <c r="N3014">
        <f>VLOOKUP(A3014,vlookup_table!$A:$G,2,FALSE)</f>
        <v>0</v>
      </c>
      <c r="O3014" t="str">
        <f>VLOOKUP(A3014,vlookup_table!$A:$G,3,FALSE)</f>
        <v>WA</v>
      </c>
      <c r="P3014">
        <f>VLOOKUP(A3014,vlookup_table!$A:$G,4,FALSE)</f>
        <v>5108</v>
      </c>
      <c r="Q3014" t="str">
        <f>VLOOKUP(A3014,vlookup_table!$A:$G,5,FALSE)</f>
        <v>S2</v>
      </c>
      <c r="R3014" t="str">
        <f>VLOOKUP(A3014,vlookup_table!$A:$G,6,FALSE)</f>
        <v>F</v>
      </c>
      <c r="S3014">
        <f>VLOOKUP(A3014,vlookup_table!$A:$G,7,FALSE)</f>
        <v>25</v>
      </c>
      <c r="T3014">
        <f t="shared" si="94"/>
        <v>45</v>
      </c>
      <c r="U3014" t="str">
        <f t="shared" si="95"/>
        <v>Suburbano</v>
      </c>
    </row>
    <row r="3015" spans="1:21" ht="16" x14ac:dyDescent="0.4">
      <c r="A3015" s="7">
        <v>188421</v>
      </c>
      <c r="B3015" s="7" t="s">
        <v>47</v>
      </c>
      <c r="C3015" s="7" t="s">
        <v>14</v>
      </c>
      <c r="D3015" s="7">
        <v>704</v>
      </c>
      <c r="E3015" s="7">
        <v>359</v>
      </c>
      <c r="F3015" s="7">
        <v>405</v>
      </c>
      <c r="G3015" s="7">
        <v>0</v>
      </c>
      <c r="H3015" s="7">
        <v>13482</v>
      </c>
      <c r="I3015" s="7">
        <v>4</v>
      </c>
      <c r="J3015" s="7">
        <v>48</v>
      </c>
      <c r="K3015" s="7">
        <v>370</v>
      </c>
      <c r="L3015" s="7">
        <v>392</v>
      </c>
      <c r="M3015" s="7">
        <v>7.5</v>
      </c>
      <c r="N3015">
        <f>VLOOKUP(A3015,vlookup_table!$A:$G,2,FALSE)</f>
        <v>1</v>
      </c>
      <c r="O3015" t="str">
        <f>VLOOKUP(A3015,vlookup_table!$A:$G,3,FALSE)</f>
        <v>OR</v>
      </c>
      <c r="P3015">
        <f>VLOOKUP(A3015,vlookup_table!$A:$G,4,FALSE)</f>
        <v>2403</v>
      </c>
      <c r="Q3015" t="str">
        <f>VLOOKUP(A3015,vlookup_table!$A:$G,5,FALSE)</f>
        <v>S2</v>
      </c>
      <c r="R3015" t="str">
        <f>VLOOKUP(A3015,vlookup_table!$A:$G,6,FALSE)</f>
        <v>M</v>
      </c>
      <c r="S3015">
        <f>VLOOKUP(A3015,vlookup_table!$A:$G,7,FALSE)</f>
        <v>10</v>
      </c>
      <c r="T3015">
        <f t="shared" si="94"/>
        <v>72</v>
      </c>
      <c r="U3015" t="str">
        <f t="shared" si="95"/>
        <v>Suburbano</v>
      </c>
    </row>
    <row r="3016" spans="1:21" ht="16" x14ac:dyDescent="0.4">
      <c r="A3016" s="7">
        <v>123699</v>
      </c>
      <c r="B3016" s="7" t="s">
        <v>20</v>
      </c>
      <c r="C3016" s="7" t="s">
        <v>17</v>
      </c>
      <c r="D3016" s="7">
        <v>1077</v>
      </c>
      <c r="E3016" s="7">
        <v>751</v>
      </c>
      <c r="F3016" s="7">
        <v>762</v>
      </c>
      <c r="G3016" s="7">
        <v>2</v>
      </c>
      <c r="H3016" s="7">
        <v>28799</v>
      </c>
      <c r="I3016" s="7">
        <v>5</v>
      </c>
      <c r="J3016" s="7">
        <v>55</v>
      </c>
      <c r="K3016" s="7">
        <v>733</v>
      </c>
      <c r="L3016" s="7">
        <v>766</v>
      </c>
      <c r="M3016" s="7">
        <v>7.8</v>
      </c>
      <c r="N3016">
        <f>VLOOKUP(A3016,vlookup_table!$A:$G,2,FALSE)</f>
        <v>0</v>
      </c>
      <c r="O3016" t="str">
        <f>VLOOKUP(A3016,vlookup_table!$A:$G,3,FALSE)</f>
        <v>TX</v>
      </c>
      <c r="P3016">
        <f>VLOOKUP(A3016,vlookup_table!$A:$G,4,FALSE)</f>
        <v>5101</v>
      </c>
      <c r="Q3016" t="str">
        <f>VLOOKUP(A3016,vlookup_table!$A:$G,5,FALSE)</f>
        <v>C1</v>
      </c>
      <c r="R3016" t="str">
        <f>VLOOKUP(A3016,vlookup_table!$A:$G,6,FALSE)</f>
        <v>F</v>
      </c>
      <c r="S3016">
        <f>VLOOKUP(A3016,vlookup_table!$A:$G,7,FALSE)</f>
        <v>10</v>
      </c>
      <c r="T3016">
        <f t="shared" si="94"/>
        <v>45</v>
      </c>
      <c r="U3016" t="str">
        <f t="shared" si="95"/>
        <v>Ciudad</v>
      </c>
    </row>
    <row r="3017" spans="1:21" ht="16" x14ac:dyDescent="0.4">
      <c r="A3017" s="7">
        <v>23930</v>
      </c>
      <c r="B3017" s="7" t="s">
        <v>43</v>
      </c>
      <c r="C3017" s="7" t="s">
        <v>14</v>
      </c>
      <c r="D3017" s="7">
        <v>891</v>
      </c>
      <c r="E3017" s="7">
        <v>489</v>
      </c>
      <c r="F3017" s="7">
        <v>655</v>
      </c>
      <c r="G3017" s="7">
        <v>7</v>
      </c>
      <c r="H3017" s="7">
        <v>26220</v>
      </c>
      <c r="I3017" s="7">
        <v>2</v>
      </c>
      <c r="J3017" s="7">
        <v>60</v>
      </c>
      <c r="K3017" s="7">
        <v>516</v>
      </c>
      <c r="L3017" s="7">
        <v>595</v>
      </c>
      <c r="M3017" s="7">
        <v>4.2777777779999999</v>
      </c>
      <c r="N3017">
        <f>VLOOKUP(A3017,vlookup_table!$A:$G,2,FALSE)</f>
        <v>2</v>
      </c>
      <c r="O3017" t="str">
        <f>VLOOKUP(A3017,vlookup_table!$A:$G,3,FALSE)</f>
        <v>SC</v>
      </c>
      <c r="P3017">
        <f>VLOOKUP(A3017,vlookup_table!$A:$G,4,FALSE)</f>
        <v>2101</v>
      </c>
      <c r="Q3017" t="str">
        <f>VLOOKUP(A3017,vlookup_table!$A:$G,5,FALSE)</f>
        <v>C1</v>
      </c>
      <c r="R3017" t="str">
        <f>VLOOKUP(A3017,vlookup_table!$A:$G,6,FALSE)</f>
        <v>M</v>
      </c>
      <c r="S3017">
        <f>VLOOKUP(A3017,vlookup_table!$A:$G,7,FALSE)</f>
        <v>5</v>
      </c>
      <c r="T3017">
        <f t="shared" si="94"/>
        <v>75</v>
      </c>
      <c r="U3017" t="str">
        <f t="shared" si="95"/>
        <v>Ciudad</v>
      </c>
    </row>
    <row r="3018" spans="1:21" ht="16" x14ac:dyDescent="0.4">
      <c r="A3018" s="7">
        <v>46153</v>
      </c>
      <c r="B3018" s="7" t="s">
        <v>13</v>
      </c>
      <c r="C3018" s="7" t="s">
        <v>17</v>
      </c>
      <c r="D3018" s="7">
        <v>933</v>
      </c>
      <c r="E3018" s="7">
        <v>224</v>
      </c>
      <c r="F3018" s="7">
        <v>406</v>
      </c>
      <c r="G3018" s="7">
        <v>5</v>
      </c>
      <c r="H3018" s="7">
        <v>14946</v>
      </c>
      <c r="I3018" s="7">
        <v>5</v>
      </c>
      <c r="J3018" s="7">
        <v>19</v>
      </c>
      <c r="K3018" s="7">
        <v>290</v>
      </c>
      <c r="L3018" s="7">
        <v>333</v>
      </c>
      <c r="M3018" s="7">
        <v>10</v>
      </c>
      <c r="N3018">
        <f>VLOOKUP(A3018,vlookup_table!$A:$G,2,FALSE)</f>
        <v>3</v>
      </c>
      <c r="O3018" t="str">
        <f>VLOOKUP(A3018,vlookup_table!$A:$G,3,FALSE)</f>
        <v>FL</v>
      </c>
      <c r="P3018">
        <f>VLOOKUP(A3018,vlookup_table!$A:$G,4,FALSE)</f>
        <v>6201</v>
      </c>
      <c r="Q3018" t="str">
        <f>VLOOKUP(A3018,vlookup_table!$A:$G,5,FALSE)</f>
        <v>T2</v>
      </c>
      <c r="R3018" t="str">
        <f>VLOOKUP(A3018,vlookup_table!$A:$G,6,FALSE)</f>
        <v>F</v>
      </c>
      <c r="S3018">
        <f>VLOOKUP(A3018,vlookup_table!$A:$G,7,FALSE)</f>
        <v>15</v>
      </c>
      <c r="T3018">
        <f t="shared" si="94"/>
        <v>34</v>
      </c>
      <c r="U3018" t="str">
        <f t="shared" si="95"/>
        <v>Pueblo</v>
      </c>
    </row>
    <row r="3019" spans="1:21" ht="16" x14ac:dyDescent="0.4">
      <c r="A3019" s="7">
        <v>179863</v>
      </c>
      <c r="B3019" s="7" t="s">
        <v>37</v>
      </c>
      <c r="C3019" s="7" t="s">
        <v>14</v>
      </c>
      <c r="D3019" s="7">
        <v>1253</v>
      </c>
      <c r="E3019" s="7">
        <v>325</v>
      </c>
      <c r="F3019" s="7">
        <v>447</v>
      </c>
      <c r="G3019" s="7">
        <v>7</v>
      </c>
      <c r="H3019" s="7">
        <v>15635</v>
      </c>
      <c r="I3019" s="7">
        <v>12</v>
      </c>
      <c r="J3019" s="7">
        <v>57</v>
      </c>
      <c r="K3019" s="7">
        <v>454</v>
      </c>
      <c r="L3019" s="7">
        <v>374</v>
      </c>
      <c r="M3019" s="7">
        <v>9.1875</v>
      </c>
      <c r="N3019">
        <f>VLOOKUP(A3019,vlookup_table!$A:$G,2,FALSE)</f>
        <v>1</v>
      </c>
      <c r="O3019" t="str">
        <f>VLOOKUP(A3019,vlookup_table!$A:$G,3,FALSE)</f>
        <v>WA</v>
      </c>
      <c r="P3019">
        <f>VLOOKUP(A3019,vlookup_table!$A:$G,4,FALSE)</f>
        <v>4702</v>
      </c>
      <c r="Q3019" t="str">
        <f>VLOOKUP(A3019,vlookup_table!$A:$G,5,FALSE)</f>
        <v>U1</v>
      </c>
      <c r="R3019" t="str">
        <f>VLOOKUP(A3019,vlookup_table!$A:$G,6,FALSE)</f>
        <v>M</v>
      </c>
      <c r="S3019">
        <f>VLOOKUP(A3019,vlookup_table!$A:$G,7,FALSE)</f>
        <v>10</v>
      </c>
      <c r="T3019">
        <f t="shared" si="94"/>
        <v>49</v>
      </c>
      <c r="U3019" t="str">
        <f t="shared" si="95"/>
        <v>Urbano</v>
      </c>
    </row>
    <row r="3020" spans="1:21" ht="16" x14ac:dyDescent="0.4">
      <c r="A3020" s="7">
        <v>87395</v>
      </c>
      <c r="B3020" s="7" t="s">
        <v>31</v>
      </c>
      <c r="C3020" s="7" t="s">
        <v>97</v>
      </c>
      <c r="D3020" s="7">
        <v>842</v>
      </c>
      <c r="E3020" s="7">
        <v>264</v>
      </c>
      <c r="F3020" s="7">
        <v>388</v>
      </c>
      <c r="G3020" s="7">
        <v>3</v>
      </c>
      <c r="H3020" s="7">
        <v>15084</v>
      </c>
      <c r="I3020" s="7">
        <v>2</v>
      </c>
      <c r="J3020" s="7">
        <v>50</v>
      </c>
      <c r="K3020" s="7">
        <v>286</v>
      </c>
      <c r="L3020" s="7">
        <v>370</v>
      </c>
      <c r="M3020" s="7">
        <v>15.1</v>
      </c>
      <c r="N3020">
        <f>VLOOKUP(A3020,vlookup_table!$A:$G,2,FALSE)</f>
        <v>0</v>
      </c>
      <c r="O3020" t="str">
        <f>VLOOKUP(A3020,vlookup_table!$A:$G,3,FALSE)</f>
        <v>MT</v>
      </c>
      <c r="P3020">
        <f>VLOOKUP(A3020,vlookup_table!$A:$G,4,FALSE)</f>
        <v>1701</v>
      </c>
      <c r="Q3020" t="str">
        <f>VLOOKUP(A3020,vlookup_table!$A:$G,5,FALSE)</f>
        <v>R1</v>
      </c>
      <c r="R3020" t="str">
        <f>VLOOKUP(A3020,vlookup_table!$A:$G,6,FALSE)</f>
        <v>F</v>
      </c>
      <c r="S3020">
        <f>VLOOKUP(A3020,vlookup_table!$A:$G,7,FALSE)</f>
        <v>20</v>
      </c>
      <c r="T3020">
        <f t="shared" si="94"/>
        <v>79</v>
      </c>
      <c r="U3020" t="str">
        <f t="shared" si="95"/>
        <v>Rural</v>
      </c>
    </row>
    <row r="3021" spans="1:21" ht="16" x14ac:dyDescent="0.4">
      <c r="A3021" s="7">
        <v>86779</v>
      </c>
      <c r="B3021" s="7" t="s">
        <v>42</v>
      </c>
      <c r="C3021" s="7" t="s">
        <v>17</v>
      </c>
      <c r="D3021" s="7">
        <v>331</v>
      </c>
      <c r="E3021" s="7">
        <v>165</v>
      </c>
      <c r="F3021" s="7">
        <v>266</v>
      </c>
      <c r="G3021" s="7">
        <v>0</v>
      </c>
      <c r="H3021" s="7">
        <v>9324</v>
      </c>
      <c r="I3021" s="7">
        <v>1</v>
      </c>
      <c r="J3021" s="7">
        <v>61</v>
      </c>
      <c r="K3021" s="7">
        <v>172</v>
      </c>
      <c r="L3021" s="7">
        <v>232</v>
      </c>
      <c r="M3021" s="7">
        <v>10.66666667</v>
      </c>
      <c r="N3021">
        <f>VLOOKUP(A3021,vlookup_table!$A:$G,2,FALSE)</f>
        <v>28</v>
      </c>
      <c r="O3021" t="str">
        <f>VLOOKUP(A3021,vlookup_table!$A:$G,3,FALSE)</f>
        <v>ND</v>
      </c>
      <c r="P3021">
        <f>VLOOKUP(A3021,vlookup_table!$A:$G,4,FALSE)</f>
        <v>0</v>
      </c>
      <c r="Q3021" t="str">
        <f>VLOOKUP(A3021,vlookup_table!$A:$G,5,FALSE)</f>
        <v>T3</v>
      </c>
      <c r="R3021" t="str">
        <f>VLOOKUP(A3021,vlookup_table!$A:$G,6,FALSE)</f>
        <v>F</v>
      </c>
      <c r="S3021">
        <f>VLOOKUP(A3021,vlookup_table!$A:$G,7,FALSE)</f>
        <v>11</v>
      </c>
      <c r="T3021">
        <f t="shared" si="94"/>
        <v>96</v>
      </c>
      <c r="U3021" t="str">
        <f t="shared" si="95"/>
        <v>Pueblo</v>
      </c>
    </row>
    <row r="3022" spans="1:21" ht="16" x14ac:dyDescent="0.4">
      <c r="A3022" s="7">
        <v>25214</v>
      </c>
      <c r="B3022" s="7" t="s">
        <v>18</v>
      </c>
      <c r="C3022" s="7" t="s">
        <v>97</v>
      </c>
      <c r="D3022" s="7">
        <v>1823</v>
      </c>
      <c r="E3022" s="7">
        <v>544</v>
      </c>
      <c r="F3022" s="7">
        <v>567</v>
      </c>
      <c r="G3022" s="7">
        <v>43</v>
      </c>
      <c r="H3022" s="7">
        <v>21265</v>
      </c>
      <c r="I3022" s="7">
        <v>1</v>
      </c>
      <c r="J3022" s="7">
        <v>62</v>
      </c>
      <c r="K3022" s="7">
        <v>552</v>
      </c>
      <c r="L3022" s="7">
        <v>552</v>
      </c>
      <c r="M3022" s="7">
        <v>12</v>
      </c>
      <c r="N3022">
        <f>VLOOKUP(A3022,vlookup_table!$A:$G,2,FALSE)</f>
        <v>28</v>
      </c>
      <c r="O3022" t="str">
        <f>VLOOKUP(A3022,vlookup_table!$A:$G,3,FALSE)</f>
        <v>NC</v>
      </c>
      <c r="P3022">
        <f>VLOOKUP(A3022,vlookup_table!$A:$G,4,FALSE)</f>
        <v>5111</v>
      </c>
      <c r="Q3022" t="str">
        <f>VLOOKUP(A3022,vlookup_table!$A:$G,5,FALSE)</f>
        <v>T1</v>
      </c>
      <c r="R3022" t="str">
        <f>VLOOKUP(A3022,vlookup_table!$A:$G,6,FALSE)</f>
        <v>F</v>
      </c>
      <c r="S3022">
        <f>VLOOKUP(A3022,vlookup_table!$A:$G,7,FALSE)</f>
        <v>25</v>
      </c>
      <c r="T3022">
        <f t="shared" si="94"/>
        <v>45</v>
      </c>
      <c r="U3022" t="str">
        <f t="shared" si="95"/>
        <v>Pueblo</v>
      </c>
    </row>
    <row r="3023" spans="1:21" ht="16" x14ac:dyDescent="0.4">
      <c r="A3023" s="7">
        <v>79641</v>
      </c>
      <c r="B3023" s="7" t="s">
        <v>32</v>
      </c>
      <c r="C3023" s="7" t="s">
        <v>17</v>
      </c>
      <c r="D3023" s="7">
        <v>1244</v>
      </c>
      <c r="E3023" s="7">
        <v>672</v>
      </c>
      <c r="F3023" s="7">
        <v>776</v>
      </c>
      <c r="G3023" s="7">
        <v>25</v>
      </c>
      <c r="H3023" s="7">
        <v>25036</v>
      </c>
      <c r="I3023" s="7">
        <v>1</v>
      </c>
      <c r="J3023" s="7">
        <v>64</v>
      </c>
      <c r="K3023" s="7">
        <v>713</v>
      </c>
      <c r="L3023" s="7">
        <v>743</v>
      </c>
      <c r="M3023" s="7">
        <v>9.9375</v>
      </c>
      <c r="N3023">
        <f>VLOOKUP(A3023,vlookup_table!$A:$G,2,FALSE)</f>
        <v>0</v>
      </c>
      <c r="O3023" t="str">
        <f>VLOOKUP(A3023,vlookup_table!$A:$G,3,FALSE)</f>
        <v>WI</v>
      </c>
      <c r="P3023">
        <f>VLOOKUP(A3023,vlookup_table!$A:$G,4,FALSE)</f>
        <v>2310</v>
      </c>
      <c r="Q3023" t="str">
        <f>VLOOKUP(A3023,vlookup_table!$A:$G,5,FALSE)</f>
        <v>S1</v>
      </c>
      <c r="R3023" t="str">
        <f>VLOOKUP(A3023,vlookup_table!$A:$G,6,FALSE)</f>
        <v>F</v>
      </c>
      <c r="S3023">
        <f>VLOOKUP(A3023,vlookup_table!$A:$G,7,FALSE)</f>
        <v>12</v>
      </c>
      <c r="T3023">
        <f t="shared" si="94"/>
        <v>73</v>
      </c>
      <c r="U3023" t="str">
        <f t="shared" si="95"/>
        <v>Suburbano</v>
      </c>
    </row>
    <row r="3024" spans="1:21" ht="16" x14ac:dyDescent="0.4">
      <c r="A3024" s="9">
        <v>186307</v>
      </c>
      <c r="B3024" s="8" t="s">
        <v>21</v>
      </c>
      <c r="C3024" s="8" t="s">
        <v>14</v>
      </c>
      <c r="D3024" s="8" t="s">
        <v>67</v>
      </c>
      <c r="E3024" s="8">
        <v>345</v>
      </c>
      <c r="F3024" s="8">
        <v>438</v>
      </c>
      <c r="G3024" s="8">
        <v>3</v>
      </c>
      <c r="H3024" s="8">
        <v>15915</v>
      </c>
      <c r="I3024" s="8">
        <v>2</v>
      </c>
      <c r="J3024" s="8">
        <v>58</v>
      </c>
      <c r="K3024" s="8">
        <v>388</v>
      </c>
      <c r="L3024" s="8">
        <v>417</v>
      </c>
      <c r="M3024" s="8">
        <v>16.14285714</v>
      </c>
      <c r="N3024">
        <f>VLOOKUP(A3024,vlookup_table!$A:$G,2,FALSE)</f>
        <v>1</v>
      </c>
      <c r="O3024" t="str">
        <f>VLOOKUP(A3024,vlookup_table!$A:$G,3,FALSE)</f>
        <v>CA</v>
      </c>
      <c r="P3024">
        <f>VLOOKUP(A3024,vlookup_table!$A:$G,4,FALSE)</f>
        <v>2511</v>
      </c>
      <c r="Q3024" t="str">
        <f>VLOOKUP(A3024,vlookup_table!$A:$G,5,FALSE)</f>
        <v>C2</v>
      </c>
      <c r="R3024" t="str">
        <f>VLOOKUP(A3024,vlookup_table!$A:$G,6,FALSE)</f>
        <v>M</v>
      </c>
      <c r="S3024">
        <f>VLOOKUP(A3024,vlookup_table!$A:$G,7,FALSE)</f>
        <v>20</v>
      </c>
      <c r="T3024">
        <f t="shared" si="94"/>
        <v>71</v>
      </c>
      <c r="U3024" t="str">
        <f t="shared" si="95"/>
        <v>Ciudad</v>
      </c>
    </row>
    <row r="3025" spans="1:21" ht="16" x14ac:dyDescent="0.4">
      <c r="A3025" s="9">
        <v>34174</v>
      </c>
      <c r="B3025" s="8" t="s">
        <v>68</v>
      </c>
      <c r="C3025" s="8" t="s">
        <v>17</v>
      </c>
      <c r="D3025" s="8">
        <v>529</v>
      </c>
      <c r="E3025" s="8">
        <v>198</v>
      </c>
      <c r="F3025" s="8">
        <v>291</v>
      </c>
      <c r="G3025" s="8">
        <v>0</v>
      </c>
      <c r="H3025" s="8">
        <v>10816</v>
      </c>
      <c r="I3025" s="8">
        <v>0</v>
      </c>
      <c r="J3025" s="8">
        <v>80</v>
      </c>
      <c r="K3025" s="8">
        <v>218</v>
      </c>
      <c r="L3025" s="8">
        <v>257</v>
      </c>
      <c r="M3025" s="8">
        <v>6.0833333329999997</v>
      </c>
      <c r="N3025">
        <f>VLOOKUP(A3025,vlookup_table!$A:$G,2,FALSE)</f>
        <v>2</v>
      </c>
      <c r="O3025" t="str">
        <f>VLOOKUP(A3025,vlookup_table!$A:$G,3,FALSE)</f>
        <v>WV</v>
      </c>
      <c r="P3025">
        <f>VLOOKUP(A3025,vlookup_table!$A:$G,4,FALSE)</f>
        <v>3001</v>
      </c>
      <c r="Q3025" t="str">
        <f>VLOOKUP(A3025,vlookup_table!$A:$G,5,FALSE)</f>
        <v>T2</v>
      </c>
      <c r="R3025" t="str">
        <f>VLOOKUP(A3025,vlookup_table!$A:$G,6,FALSE)</f>
        <v>F</v>
      </c>
      <c r="S3025">
        <f>VLOOKUP(A3025,vlookup_table!$A:$G,7,FALSE)</f>
        <v>12</v>
      </c>
      <c r="T3025">
        <f t="shared" si="94"/>
        <v>66</v>
      </c>
      <c r="U3025" t="str">
        <f t="shared" si="95"/>
        <v>Pueblo</v>
      </c>
    </row>
    <row r="3026" spans="1:21" ht="16" x14ac:dyDescent="0.4">
      <c r="A3026" s="9">
        <v>101388</v>
      </c>
      <c r="B3026" s="8" t="s">
        <v>33</v>
      </c>
      <c r="C3026" s="8" t="s">
        <v>14</v>
      </c>
      <c r="D3026" s="8">
        <v>526</v>
      </c>
      <c r="E3026" s="8">
        <v>340</v>
      </c>
      <c r="F3026" s="8">
        <v>342</v>
      </c>
      <c r="G3026" s="8">
        <v>0</v>
      </c>
      <c r="H3026" s="8">
        <v>9687</v>
      </c>
      <c r="I3026" s="8">
        <v>0</v>
      </c>
      <c r="J3026" s="8">
        <v>89</v>
      </c>
      <c r="K3026" s="8">
        <v>348</v>
      </c>
      <c r="L3026" s="8">
        <v>321</v>
      </c>
      <c r="M3026" s="8">
        <v>5.8</v>
      </c>
      <c r="N3026">
        <f>VLOOKUP(A3026,vlookup_table!$A:$G,2,FALSE)</f>
        <v>1</v>
      </c>
      <c r="O3026" t="str">
        <f>VLOOKUP(A3026,vlookup_table!$A:$G,3,FALSE)</f>
        <v>MO</v>
      </c>
      <c r="P3026">
        <f>VLOOKUP(A3026,vlookup_table!$A:$G,4,FALSE)</f>
        <v>5501</v>
      </c>
      <c r="Q3026" t="str">
        <f>VLOOKUP(A3026,vlookup_table!$A:$G,5,FALSE)</f>
        <v>R2</v>
      </c>
      <c r="R3026" t="str">
        <f>VLOOKUP(A3026,vlookup_table!$A:$G,6,FALSE)</f>
        <v>M</v>
      </c>
      <c r="S3026">
        <f>VLOOKUP(A3026,vlookup_table!$A:$G,7,FALSE)</f>
        <v>10</v>
      </c>
      <c r="T3026">
        <f t="shared" si="94"/>
        <v>41</v>
      </c>
      <c r="U3026" t="str">
        <f t="shared" si="95"/>
        <v>Rural</v>
      </c>
    </row>
    <row r="3027" spans="1:21" ht="16" x14ac:dyDescent="0.4">
      <c r="A3027" s="9">
        <v>159472</v>
      </c>
      <c r="B3027" s="8" t="s">
        <v>21</v>
      </c>
      <c r="C3027" s="8" t="s">
        <v>17</v>
      </c>
      <c r="D3027" s="8">
        <v>621</v>
      </c>
      <c r="E3027" s="8">
        <v>231</v>
      </c>
      <c r="F3027" s="8">
        <v>279</v>
      </c>
      <c r="G3027" s="8">
        <v>0</v>
      </c>
      <c r="H3027" s="8">
        <v>6184</v>
      </c>
      <c r="I3027" s="8">
        <v>43</v>
      </c>
      <c r="J3027" s="8">
        <v>41</v>
      </c>
      <c r="K3027" s="8">
        <v>237</v>
      </c>
      <c r="L3027" s="8">
        <v>272</v>
      </c>
      <c r="M3027" s="8">
        <v>11.66666667</v>
      </c>
      <c r="N3027">
        <f>VLOOKUP(A3027,vlookup_table!$A:$G,2,FALSE)</f>
        <v>1</v>
      </c>
      <c r="O3027" t="str">
        <f>VLOOKUP(A3027,vlookup_table!$A:$G,3,FALSE)</f>
        <v>CA</v>
      </c>
      <c r="P3027">
        <f>VLOOKUP(A3027,vlookup_table!$A:$G,4,FALSE)</f>
        <v>1512</v>
      </c>
      <c r="Q3027" t="str">
        <f>VLOOKUP(A3027,vlookup_table!$A:$G,5,FALSE)</f>
        <v>R3</v>
      </c>
      <c r="R3027" t="str">
        <f>VLOOKUP(A3027,vlookup_table!$A:$G,6,FALSE)</f>
        <v>F</v>
      </c>
      <c r="S3027">
        <f>VLOOKUP(A3027,vlookup_table!$A:$G,7,FALSE)</f>
        <v>15</v>
      </c>
      <c r="T3027">
        <f t="shared" si="94"/>
        <v>81</v>
      </c>
      <c r="U3027" t="str">
        <f t="shared" si="95"/>
        <v>Rural</v>
      </c>
    </row>
    <row r="3028" spans="1:21" ht="16" x14ac:dyDescent="0.4">
      <c r="A3028" s="9">
        <v>179143</v>
      </c>
      <c r="B3028" s="8" t="s">
        <v>37</v>
      </c>
      <c r="C3028" s="8" t="s">
        <v>14</v>
      </c>
      <c r="D3028" s="8">
        <v>1688</v>
      </c>
      <c r="E3028" s="8">
        <v>496</v>
      </c>
      <c r="F3028" s="8">
        <v>564</v>
      </c>
      <c r="G3028" s="8">
        <v>35</v>
      </c>
      <c r="H3028" s="8">
        <v>22963</v>
      </c>
      <c r="I3028" s="8">
        <v>2</v>
      </c>
      <c r="J3028" s="8">
        <v>63</v>
      </c>
      <c r="K3028" s="8">
        <v>520</v>
      </c>
      <c r="L3028" s="8">
        <v>521</v>
      </c>
      <c r="M3028" s="8">
        <v>23.9</v>
      </c>
      <c r="N3028">
        <f>VLOOKUP(A3028,vlookup_table!$A:$G,2,FALSE)</f>
        <v>1</v>
      </c>
      <c r="O3028" t="str">
        <f>VLOOKUP(A3028,vlookup_table!$A:$G,3,FALSE)</f>
        <v>WA</v>
      </c>
      <c r="P3028">
        <f>VLOOKUP(A3028,vlookup_table!$A:$G,4,FALSE)</f>
        <v>3709</v>
      </c>
      <c r="Q3028" t="str">
        <f>VLOOKUP(A3028,vlookup_table!$A:$G,5,FALSE)</f>
        <v>T1</v>
      </c>
      <c r="R3028" t="str">
        <f>VLOOKUP(A3028,vlookup_table!$A:$G,6,FALSE)</f>
        <v>M</v>
      </c>
      <c r="S3028">
        <f>VLOOKUP(A3028,vlookup_table!$A:$G,7,FALSE)</f>
        <v>25</v>
      </c>
      <c r="T3028">
        <f t="shared" si="94"/>
        <v>59</v>
      </c>
      <c r="U3028" t="str">
        <f t="shared" si="95"/>
        <v>Pueblo</v>
      </c>
    </row>
    <row r="3029" spans="1:21" ht="16" x14ac:dyDescent="0.4">
      <c r="A3029" s="9">
        <v>150799</v>
      </c>
      <c r="B3029" s="8" t="s">
        <v>21</v>
      </c>
      <c r="C3029" s="8" t="s">
        <v>14</v>
      </c>
      <c r="D3029" s="8" t="s">
        <v>69</v>
      </c>
      <c r="E3029" s="8">
        <v>257</v>
      </c>
      <c r="F3029" s="8">
        <v>393</v>
      </c>
      <c r="G3029" s="8">
        <v>8</v>
      </c>
      <c r="H3029" s="8">
        <v>10990</v>
      </c>
      <c r="I3029" s="8">
        <v>19</v>
      </c>
      <c r="J3029" s="8">
        <v>51</v>
      </c>
      <c r="K3029" s="8">
        <v>275</v>
      </c>
      <c r="L3029" s="8">
        <v>376</v>
      </c>
      <c r="M3029" s="8">
        <v>7.625</v>
      </c>
      <c r="N3029">
        <f>VLOOKUP(A3029,vlookup_table!$A:$G,2,FALSE)</f>
        <v>1</v>
      </c>
      <c r="O3029" t="str">
        <f>VLOOKUP(A3029,vlookup_table!$A:$G,3,FALSE)</f>
        <v>CA</v>
      </c>
      <c r="P3029">
        <f>VLOOKUP(A3029,vlookup_table!$A:$G,4,FALSE)</f>
        <v>0</v>
      </c>
      <c r="Q3029" t="str">
        <f>VLOOKUP(A3029,vlookup_table!$A:$G,5,FALSE)</f>
        <v>U3</v>
      </c>
      <c r="R3029" t="str">
        <f>VLOOKUP(A3029,vlookup_table!$A:$G,6,FALSE)</f>
        <v>M</v>
      </c>
      <c r="S3029">
        <f>VLOOKUP(A3029,vlookup_table!$A:$G,7,FALSE)</f>
        <v>15</v>
      </c>
      <c r="T3029">
        <f t="shared" si="94"/>
        <v>96</v>
      </c>
      <c r="U3029" t="str">
        <f t="shared" si="95"/>
        <v>Urbano</v>
      </c>
    </row>
    <row r="3030" spans="1:21" ht="16" x14ac:dyDescent="0.4">
      <c r="A3030" s="9">
        <v>135983</v>
      </c>
      <c r="B3030" s="8" t="s">
        <v>51</v>
      </c>
      <c r="C3030" s="8"/>
      <c r="D3030" s="8">
        <v>638</v>
      </c>
      <c r="E3030" s="8">
        <v>213</v>
      </c>
      <c r="F3030" s="8">
        <v>226</v>
      </c>
      <c r="G3030" s="8">
        <v>0</v>
      </c>
      <c r="H3030" s="8">
        <v>9836</v>
      </c>
      <c r="I3030" s="8">
        <v>0</v>
      </c>
      <c r="J3030" s="8">
        <v>26</v>
      </c>
      <c r="K3030" s="8">
        <v>236</v>
      </c>
      <c r="L3030" s="8">
        <v>220</v>
      </c>
      <c r="M3030" s="8">
        <v>4.6521739130000004</v>
      </c>
      <c r="N3030">
        <f>VLOOKUP(A3030,vlookup_table!$A:$G,2,FALSE)</f>
        <v>1</v>
      </c>
      <c r="O3030" t="str">
        <f>VLOOKUP(A3030,vlookup_table!$A:$G,3,FALSE)</f>
        <v>AZ</v>
      </c>
      <c r="P3030">
        <f>VLOOKUP(A3030,vlookup_table!$A:$G,4,FALSE)</f>
        <v>3201</v>
      </c>
      <c r="Q3030" t="str">
        <f>VLOOKUP(A3030,vlookup_table!$A:$G,5,FALSE)</f>
        <v>C3</v>
      </c>
      <c r="R3030" t="str">
        <f>VLOOKUP(A3030,vlookup_table!$A:$G,6,FALSE)</f>
        <v/>
      </c>
      <c r="S3030">
        <f>VLOOKUP(A3030,vlookup_table!$A:$G,7,FALSE)</f>
        <v>7</v>
      </c>
      <c r="T3030">
        <f t="shared" si="94"/>
        <v>64</v>
      </c>
      <c r="U3030" t="str">
        <f t="shared" si="95"/>
        <v>Ciudad</v>
      </c>
    </row>
    <row r="3031" spans="1:21" ht="16" x14ac:dyDescent="0.4">
      <c r="A3031" s="9">
        <v>22817</v>
      </c>
      <c r="B3031" s="8" t="s">
        <v>43</v>
      </c>
      <c r="C3031" s="8" t="s">
        <v>17</v>
      </c>
      <c r="D3031" s="8">
        <v>451</v>
      </c>
      <c r="E3031" s="8">
        <v>211</v>
      </c>
      <c r="F3031" s="8">
        <v>264</v>
      </c>
      <c r="G3031" s="8">
        <v>0</v>
      </c>
      <c r="H3031" s="8">
        <v>7676</v>
      </c>
      <c r="I3031" s="8">
        <v>0</v>
      </c>
      <c r="J3031" s="8">
        <v>96</v>
      </c>
      <c r="K3031" s="8">
        <v>227</v>
      </c>
      <c r="L3031" s="8">
        <v>245</v>
      </c>
      <c r="M3031" s="8">
        <v>16</v>
      </c>
      <c r="N3031">
        <f>VLOOKUP(A3031,vlookup_table!$A:$G,2,FALSE)</f>
        <v>0</v>
      </c>
      <c r="O3031" t="str">
        <f>VLOOKUP(A3031,vlookup_table!$A:$G,3,FALSE)</f>
        <v>SC</v>
      </c>
      <c r="P3031">
        <f>VLOOKUP(A3031,vlookup_table!$A:$G,4,FALSE)</f>
        <v>5009</v>
      </c>
      <c r="Q3031" t="str">
        <f>VLOOKUP(A3031,vlookup_table!$A:$G,5,FALSE)</f>
        <v>R3</v>
      </c>
      <c r="R3031" t="str">
        <f>VLOOKUP(A3031,vlookup_table!$A:$G,6,FALSE)</f>
        <v>F</v>
      </c>
      <c r="S3031">
        <f>VLOOKUP(A3031,vlookup_table!$A:$G,7,FALSE)</f>
        <v>10</v>
      </c>
      <c r="T3031">
        <f t="shared" si="94"/>
        <v>46</v>
      </c>
      <c r="U3031" t="str">
        <f t="shared" si="95"/>
        <v>Rural</v>
      </c>
    </row>
    <row r="3032" spans="1:21" ht="16" x14ac:dyDescent="0.4">
      <c r="A3032" s="9">
        <v>123972</v>
      </c>
      <c r="B3032" s="8" t="s">
        <v>20</v>
      </c>
      <c r="C3032" s="8" t="s">
        <v>17</v>
      </c>
      <c r="D3032" s="8">
        <v>496</v>
      </c>
      <c r="E3032" s="8">
        <v>359</v>
      </c>
      <c r="F3032" s="8">
        <v>496</v>
      </c>
      <c r="G3032" s="8">
        <v>2</v>
      </c>
      <c r="H3032" s="8">
        <v>21791</v>
      </c>
      <c r="I3032" s="8">
        <v>2</v>
      </c>
      <c r="J3032" s="8">
        <v>74</v>
      </c>
      <c r="K3032" s="8">
        <v>405</v>
      </c>
      <c r="L3032" s="8">
        <v>462</v>
      </c>
      <c r="M3032" s="8">
        <v>5.8571428570000004</v>
      </c>
      <c r="N3032">
        <f>VLOOKUP(A3032,vlookup_table!$A:$G,2,FALSE)</f>
        <v>0</v>
      </c>
      <c r="O3032" t="str">
        <f>VLOOKUP(A3032,vlookup_table!$A:$G,3,FALSE)</f>
        <v>TX</v>
      </c>
      <c r="P3032">
        <f>VLOOKUP(A3032,vlookup_table!$A:$G,4,FALSE)</f>
        <v>1305</v>
      </c>
      <c r="Q3032" t="str">
        <f>VLOOKUP(A3032,vlookup_table!$A:$G,5,FALSE)</f>
        <v>C2</v>
      </c>
      <c r="R3032" t="str">
        <f>VLOOKUP(A3032,vlookup_table!$A:$G,6,FALSE)</f>
        <v>F</v>
      </c>
      <c r="S3032">
        <f>VLOOKUP(A3032,vlookup_table!$A:$G,7,FALSE)</f>
        <v>5</v>
      </c>
      <c r="T3032">
        <f t="shared" si="94"/>
        <v>83</v>
      </c>
      <c r="U3032" t="str">
        <f t="shared" si="95"/>
        <v>Ciudad</v>
      </c>
    </row>
    <row r="3033" spans="1:21" ht="16" x14ac:dyDescent="0.4">
      <c r="A3033" s="9">
        <v>81520</v>
      </c>
      <c r="B3033" s="8" t="s">
        <v>32</v>
      </c>
      <c r="C3033" s="8" t="s">
        <v>17</v>
      </c>
      <c r="D3033" s="8">
        <v>428</v>
      </c>
      <c r="E3033" s="8">
        <v>215</v>
      </c>
      <c r="F3033" s="8">
        <v>308</v>
      </c>
      <c r="G3033" s="8">
        <v>0</v>
      </c>
      <c r="H3033" s="8">
        <v>10674</v>
      </c>
      <c r="I3033" s="8">
        <v>0</v>
      </c>
      <c r="J3033" s="8">
        <v>63</v>
      </c>
      <c r="K3033" s="8">
        <v>250</v>
      </c>
      <c r="L3033" s="8">
        <v>264</v>
      </c>
      <c r="M3033" s="8">
        <v>8.7333333329999991</v>
      </c>
      <c r="N3033">
        <f>VLOOKUP(A3033,vlookup_table!$A:$G,2,FALSE)</f>
        <v>0</v>
      </c>
      <c r="O3033" t="str">
        <f>VLOOKUP(A3033,vlookup_table!$A:$G,3,FALSE)</f>
        <v>WI</v>
      </c>
      <c r="P3033">
        <f>VLOOKUP(A3033,vlookup_table!$A:$G,4,FALSE)</f>
        <v>1710</v>
      </c>
      <c r="Q3033" t="str">
        <f>VLOOKUP(A3033,vlookup_table!$A:$G,5,FALSE)</f>
        <v>R3</v>
      </c>
      <c r="R3033" t="str">
        <f>VLOOKUP(A3033,vlookup_table!$A:$G,6,FALSE)</f>
        <v>F</v>
      </c>
      <c r="S3033">
        <f>VLOOKUP(A3033,vlookup_table!$A:$G,7,FALSE)</f>
        <v>10</v>
      </c>
      <c r="T3033">
        <f t="shared" si="94"/>
        <v>79</v>
      </c>
      <c r="U3033" t="str">
        <f t="shared" si="95"/>
        <v>Rural</v>
      </c>
    </row>
    <row r="3034" spans="1:21" ht="16" x14ac:dyDescent="0.4">
      <c r="A3034" s="9">
        <v>185309</v>
      </c>
      <c r="B3034" s="8" t="s">
        <v>26</v>
      </c>
      <c r="C3034" s="8" t="s">
        <v>17</v>
      </c>
      <c r="D3034" s="8">
        <v>629</v>
      </c>
      <c r="E3034" s="8">
        <v>434</v>
      </c>
      <c r="F3034" s="8">
        <v>439</v>
      </c>
      <c r="G3034" s="8">
        <v>0</v>
      </c>
      <c r="H3034" s="8">
        <v>14381</v>
      </c>
      <c r="I3034" s="8">
        <v>6</v>
      </c>
      <c r="J3034" s="8">
        <v>69</v>
      </c>
      <c r="K3034" s="8">
        <v>444</v>
      </c>
      <c r="L3034" s="8">
        <v>445</v>
      </c>
      <c r="M3034" s="8">
        <v>5.2</v>
      </c>
      <c r="N3034">
        <f>VLOOKUP(A3034,vlookup_table!$A:$G,2,FALSE)</f>
        <v>2</v>
      </c>
      <c r="O3034" t="str">
        <f>VLOOKUP(A3034,vlookup_table!$A:$G,3,FALSE)</f>
        <v>MI</v>
      </c>
      <c r="P3034">
        <f>VLOOKUP(A3034,vlookup_table!$A:$G,4,FALSE)</f>
        <v>3209</v>
      </c>
      <c r="Q3034" t="str">
        <f>VLOOKUP(A3034,vlookup_table!$A:$G,5,FALSE)</f>
        <v>C2</v>
      </c>
      <c r="R3034" t="str">
        <f>VLOOKUP(A3034,vlookup_table!$A:$G,6,FALSE)</f>
        <v>F</v>
      </c>
      <c r="S3034">
        <f>VLOOKUP(A3034,vlookup_table!$A:$G,7,FALSE)</f>
        <v>7</v>
      </c>
      <c r="T3034">
        <f t="shared" si="94"/>
        <v>64</v>
      </c>
      <c r="U3034" t="str">
        <f t="shared" si="95"/>
        <v>Ciudad</v>
      </c>
    </row>
    <row r="3035" spans="1:21" ht="16" x14ac:dyDescent="0.4">
      <c r="A3035" s="9">
        <v>6555</v>
      </c>
      <c r="B3035" s="8" t="s">
        <v>13</v>
      </c>
      <c r="C3035" s="8" t="s">
        <v>14</v>
      </c>
      <c r="D3035" s="8">
        <v>3125</v>
      </c>
      <c r="E3035" s="8">
        <v>616</v>
      </c>
      <c r="F3035" s="8">
        <v>817</v>
      </c>
      <c r="G3035" s="8">
        <v>90</v>
      </c>
      <c r="H3035" s="8">
        <v>37628</v>
      </c>
      <c r="I3035" s="8">
        <v>42</v>
      </c>
      <c r="J3035" s="8">
        <v>15</v>
      </c>
      <c r="K3035" s="8">
        <v>759</v>
      </c>
      <c r="L3035" s="8">
        <v>714</v>
      </c>
      <c r="M3035" s="8">
        <v>6.0989010989999999</v>
      </c>
      <c r="N3035">
        <f>VLOOKUP(A3035,vlookup_table!$A:$G,2,FALSE)</f>
        <v>1</v>
      </c>
      <c r="O3035" t="str">
        <f>VLOOKUP(A3035,vlookup_table!$A:$G,3,FALSE)</f>
        <v>FL</v>
      </c>
      <c r="P3035">
        <f>VLOOKUP(A3035,vlookup_table!$A:$G,4,FALSE)</f>
        <v>1808</v>
      </c>
      <c r="Q3035" t="str">
        <f>VLOOKUP(A3035,vlookup_table!$A:$G,5,FALSE)</f>
        <v>C1</v>
      </c>
      <c r="R3035" t="str">
        <f>VLOOKUP(A3035,vlookup_table!$A:$G,6,FALSE)</f>
        <v>M</v>
      </c>
      <c r="S3035">
        <f>VLOOKUP(A3035,vlookup_table!$A:$G,7,FALSE)</f>
        <v>10</v>
      </c>
      <c r="T3035">
        <f t="shared" si="94"/>
        <v>78</v>
      </c>
      <c r="U3035" t="str">
        <f t="shared" si="95"/>
        <v>Ciudad</v>
      </c>
    </row>
    <row r="3036" spans="1:21" ht="16" x14ac:dyDescent="0.4">
      <c r="A3036" s="9">
        <v>20341</v>
      </c>
      <c r="B3036" s="8" t="s">
        <v>18</v>
      </c>
      <c r="C3036" s="8" t="s">
        <v>14</v>
      </c>
      <c r="D3036" s="8">
        <v>1427</v>
      </c>
      <c r="E3036" s="8">
        <v>367</v>
      </c>
      <c r="F3036" s="8">
        <v>525</v>
      </c>
      <c r="G3036" s="8">
        <v>27</v>
      </c>
      <c r="H3036" s="8">
        <v>24023</v>
      </c>
      <c r="I3036" s="8">
        <v>3</v>
      </c>
      <c r="J3036" s="8">
        <v>36</v>
      </c>
      <c r="K3036" s="8">
        <v>435</v>
      </c>
      <c r="L3036" s="8">
        <v>456</v>
      </c>
      <c r="M3036" s="8">
        <v>7.230769231</v>
      </c>
      <c r="N3036">
        <f>VLOOKUP(A3036,vlookup_table!$A:$G,2,FALSE)</f>
        <v>0</v>
      </c>
      <c r="O3036" t="str">
        <f>VLOOKUP(A3036,vlookup_table!$A:$G,3,FALSE)</f>
        <v>NC</v>
      </c>
      <c r="P3036">
        <f>VLOOKUP(A3036,vlookup_table!$A:$G,4,FALSE)</f>
        <v>4801</v>
      </c>
      <c r="Q3036" t="str">
        <f>VLOOKUP(A3036,vlookup_table!$A:$G,5,FALSE)</f>
        <v>C1</v>
      </c>
      <c r="R3036" t="str">
        <f>VLOOKUP(A3036,vlookup_table!$A:$G,6,FALSE)</f>
        <v>M</v>
      </c>
      <c r="S3036">
        <f>VLOOKUP(A3036,vlookup_table!$A:$G,7,FALSE)</f>
        <v>3</v>
      </c>
      <c r="T3036">
        <f t="shared" si="94"/>
        <v>48</v>
      </c>
      <c r="U3036" t="str">
        <f t="shared" si="95"/>
        <v>Ciudad</v>
      </c>
    </row>
    <row r="3037" spans="1:21" ht="16" x14ac:dyDescent="0.4">
      <c r="A3037" s="9">
        <v>30629</v>
      </c>
      <c r="B3037" s="8" t="s">
        <v>36</v>
      </c>
      <c r="C3037" s="8" t="s">
        <v>17</v>
      </c>
      <c r="D3037" s="8">
        <v>680</v>
      </c>
      <c r="E3037" s="8">
        <v>248</v>
      </c>
      <c r="F3037" s="8">
        <v>383</v>
      </c>
      <c r="G3037" s="8">
        <v>0</v>
      </c>
      <c r="H3037" s="8">
        <v>15732</v>
      </c>
      <c r="I3037" s="8">
        <v>2</v>
      </c>
      <c r="J3037" s="8">
        <v>70</v>
      </c>
      <c r="K3037" s="8">
        <v>238</v>
      </c>
      <c r="L3037" s="8">
        <v>320</v>
      </c>
      <c r="M3037" s="8">
        <v>10</v>
      </c>
      <c r="N3037">
        <f>VLOOKUP(A3037,vlookup_table!$A:$G,2,FALSE)</f>
        <v>2</v>
      </c>
      <c r="O3037" t="str">
        <f>VLOOKUP(A3037,vlookup_table!$A:$G,3,FALSE)</f>
        <v>GA</v>
      </c>
      <c r="P3037">
        <f>VLOOKUP(A3037,vlookup_table!$A:$G,4,FALSE)</f>
        <v>1401</v>
      </c>
      <c r="Q3037" t="str">
        <f>VLOOKUP(A3037,vlookup_table!$A:$G,5,FALSE)</f>
        <v>C2</v>
      </c>
      <c r="R3037" t="str">
        <f>VLOOKUP(A3037,vlookup_table!$A:$G,6,FALSE)</f>
        <v>F</v>
      </c>
      <c r="S3037">
        <f>VLOOKUP(A3037,vlookup_table!$A:$G,7,FALSE)</f>
        <v>17</v>
      </c>
      <c r="T3037">
        <f t="shared" si="94"/>
        <v>82</v>
      </c>
      <c r="U3037" t="str">
        <f t="shared" si="95"/>
        <v>Ciudad</v>
      </c>
    </row>
    <row r="3038" spans="1:21" ht="16" x14ac:dyDescent="0.4">
      <c r="A3038" s="9">
        <v>38392</v>
      </c>
      <c r="B3038" s="8" t="s">
        <v>13</v>
      </c>
      <c r="C3038" s="8" t="s">
        <v>17</v>
      </c>
      <c r="D3038" s="8" t="s">
        <v>70</v>
      </c>
      <c r="E3038" s="8">
        <v>408</v>
      </c>
      <c r="F3038" s="8">
        <v>464</v>
      </c>
      <c r="G3038" s="8">
        <v>11</v>
      </c>
      <c r="H3038" s="8">
        <v>13050</v>
      </c>
      <c r="I3038" s="8">
        <v>67</v>
      </c>
      <c r="J3038" s="8">
        <v>26</v>
      </c>
      <c r="K3038" s="8">
        <v>415</v>
      </c>
      <c r="L3038" s="8">
        <v>452</v>
      </c>
      <c r="M3038" s="8">
        <v>20</v>
      </c>
      <c r="N3038">
        <f>VLOOKUP(A3038,vlookup_table!$A:$G,2,FALSE)</f>
        <v>0</v>
      </c>
      <c r="O3038" t="str">
        <f>VLOOKUP(A3038,vlookup_table!$A:$G,3,FALSE)</f>
        <v>FL</v>
      </c>
      <c r="P3038">
        <f>VLOOKUP(A3038,vlookup_table!$A:$G,4,FALSE)</f>
        <v>3401</v>
      </c>
      <c r="Q3038" t="str">
        <f>VLOOKUP(A3038,vlookup_table!$A:$G,5,FALSE)</f>
        <v>U2</v>
      </c>
      <c r="R3038" t="str">
        <f>VLOOKUP(A3038,vlookup_table!$A:$G,6,FALSE)</f>
        <v>F</v>
      </c>
      <c r="S3038">
        <f>VLOOKUP(A3038,vlookup_table!$A:$G,7,FALSE)</f>
        <v>20</v>
      </c>
      <c r="T3038">
        <f t="shared" si="94"/>
        <v>62</v>
      </c>
      <c r="U3038" t="str">
        <f t="shared" si="95"/>
        <v>Urbano</v>
      </c>
    </row>
    <row r="3039" spans="1:21" ht="16" x14ac:dyDescent="0.4">
      <c r="A3039" s="9">
        <v>122090</v>
      </c>
      <c r="B3039" s="8" t="s">
        <v>20</v>
      </c>
      <c r="C3039" s="8" t="s">
        <v>14</v>
      </c>
      <c r="D3039" s="8">
        <v>405</v>
      </c>
      <c r="E3039" s="8">
        <v>279</v>
      </c>
      <c r="F3039" s="8">
        <v>381</v>
      </c>
      <c r="G3039" s="8">
        <v>0</v>
      </c>
      <c r="H3039" s="8">
        <v>10716</v>
      </c>
      <c r="I3039" s="8">
        <v>6</v>
      </c>
      <c r="J3039" s="8">
        <v>65</v>
      </c>
      <c r="K3039" s="8">
        <v>340</v>
      </c>
      <c r="L3039" s="8">
        <v>349</v>
      </c>
      <c r="M3039" s="8">
        <v>4.7857142860000002</v>
      </c>
      <c r="N3039">
        <f>VLOOKUP(A3039,vlookup_table!$A:$G,2,FALSE)</f>
        <v>0</v>
      </c>
      <c r="O3039" t="str">
        <f>VLOOKUP(A3039,vlookup_table!$A:$G,3,FALSE)</f>
        <v>TX</v>
      </c>
      <c r="P3039">
        <f>VLOOKUP(A3039,vlookup_table!$A:$G,4,FALSE)</f>
        <v>5009</v>
      </c>
      <c r="Q3039" t="str">
        <f>VLOOKUP(A3039,vlookup_table!$A:$G,5,FALSE)</f>
        <v>S2</v>
      </c>
      <c r="R3039" t="str">
        <f>VLOOKUP(A3039,vlookup_table!$A:$G,6,FALSE)</f>
        <v>M</v>
      </c>
      <c r="S3039">
        <f>VLOOKUP(A3039,vlookup_table!$A:$G,7,FALSE)</f>
        <v>20</v>
      </c>
      <c r="T3039">
        <f t="shared" si="94"/>
        <v>46</v>
      </c>
      <c r="U3039" t="str">
        <f t="shared" si="95"/>
        <v>Suburbano</v>
      </c>
    </row>
    <row r="3040" spans="1:21" ht="16" x14ac:dyDescent="0.4">
      <c r="A3040" s="9">
        <v>159623</v>
      </c>
      <c r="B3040" s="8" t="s">
        <v>32</v>
      </c>
      <c r="C3040" s="8" t="s">
        <v>17</v>
      </c>
      <c r="D3040" s="8">
        <v>397</v>
      </c>
      <c r="E3040" s="8">
        <v>217</v>
      </c>
      <c r="F3040" s="8">
        <v>315</v>
      </c>
      <c r="G3040" s="8">
        <v>0</v>
      </c>
      <c r="H3040" s="8">
        <v>11627</v>
      </c>
      <c r="I3040" s="8">
        <v>1</v>
      </c>
      <c r="J3040" s="8">
        <v>84</v>
      </c>
      <c r="K3040" s="8">
        <v>294</v>
      </c>
      <c r="L3040" s="8">
        <v>259</v>
      </c>
      <c r="M3040" s="8">
        <v>9.8000000000000007</v>
      </c>
      <c r="N3040">
        <f>VLOOKUP(A3040,vlookup_table!$A:$G,2,FALSE)</f>
        <v>28</v>
      </c>
      <c r="O3040" t="str">
        <f>VLOOKUP(A3040,vlookup_table!$A:$G,3,FALSE)</f>
        <v>WI</v>
      </c>
      <c r="P3040">
        <f>VLOOKUP(A3040,vlookup_table!$A:$G,4,FALSE)</f>
        <v>4801</v>
      </c>
      <c r="Q3040" t="str">
        <f>VLOOKUP(A3040,vlookup_table!$A:$G,5,FALSE)</f>
        <v>C2</v>
      </c>
      <c r="R3040" t="str">
        <f>VLOOKUP(A3040,vlookup_table!$A:$G,6,FALSE)</f>
        <v>F</v>
      </c>
      <c r="S3040">
        <f>VLOOKUP(A3040,vlookup_table!$A:$G,7,FALSE)</f>
        <v>20</v>
      </c>
      <c r="T3040">
        <f t="shared" si="94"/>
        <v>48</v>
      </c>
      <c r="U3040" t="str">
        <f t="shared" si="95"/>
        <v>Ciudad</v>
      </c>
    </row>
    <row r="3041" spans="1:21" ht="16" x14ac:dyDescent="0.4">
      <c r="A3041" s="9">
        <v>103290</v>
      </c>
      <c r="B3041" s="8" t="s">
        <v>33</v>
      </c>
      <c r="C3041" s="8" t="s">
        <v>14</v>
      </c>
      <c r="D3041" s="8">
        <v>736</v>
      </c>
      <c r="E3041" s="8">
        <v>617</v>
      </c>
      <c r="F3041" s="8">
        <v>761</v>
      </c>
      <c r="G3041" s="8">
        <v>0</v>
      </c>
      <c r="H3041" s="8">
        <v>25623</v>
      </c>
      <c r="I3041" s="8">
        <v>4</v>
      </c>
      <c r="J3041" s="8">
        <v>62</v>
      </c>
      <c r="K3041" s="8">
        <v>646</v>
      </c>
      <c r="L3041" s="8">
        <v>654</v>
      </c>
      <c r="M3041" s="8">
        <v>9.6</v>
      </c>
      <c r="N3041">
        <f>VLOOKUP(A3041,vlookup_table!$A:$G,2,FALSE)</f>
        <v>1</v>
      </c>
      <c r="O3041" t="str">
        <f>VLOOKUP(A3041,vlookup_table!$A:$G,3,FALSE)</f>
        <v>MO</v>
      </c>
      <c r="P3041">
        <f>VLOOKUP(A3041,vlookup_table!$A:$G,4,FALSE)</f>
        <v>2601</v>
      </c>
      <c r="Q3041" t="str">
        <f>VLOOKUP(A3041,vlookup_table!$A:$G,5,FALSE)</f>
        <v>C1</v>
      </c>
      <c r="R3041" t="str">
        <f>VLOOKUP(A3041,vlookup_table!$A:$G,6,FALSE)</f>
        <v>M</v>
      </c>
      <c r="S3041">
        <f>VLOOKUP(A3041,vlookup_table!$A:$G,7,FALSE)</f>
        <v>16</v>
      </c>
      <c r="T3041">
        <f t="shared" si="94"/>
        <v>70</v>
      </c>
      <c r="U3041" t="str">
        <f t="shared" si="95"/>
        <v>Ciudad</v>
      </c>
    </row>
    <row r="3042" spans="1:21" ht="16" x14ac:dyDescent="0.4">
      <c r="A3042" s="9">
        <v>154745</v>
      </c>
      <c r="B3042" s="8" t="s">
        <v>21</v>
      </c>
      <c r="C3042" s="8" t="s">
        <v>14</v>
      </c>
      <c r="D3042" s="8">
        <v>996</v>
      </c>
      <c r="E3042" s="8">
        <v>309</v>
      </c>
      <c r="F3042" s="8">
        <v>452</v>
      </c>
      <c r="G3042" s="8">
        <v>4</v>
      </c>
      <c r="H3042" s="8">
        <v>14797</v>
      </c>
      <c r="I3042" s="8">
        <v>2</v>
      </c>
      <c r="J3042" s="8">
        <v>60</v>
      </c>
      <c r="K3042" s="8">
        <v>419</v>
      </c>
      <c r="L3042" s="8">
        <v>382</v>
      </c>
      <c r="M3042" s="8">
        <v>10</v>
      </c>
      <c r="N3042">
        <f>VLOOKUP(A3042,vlookup_table!$A:$G,2,FALSE)</f>
        <v>1</v>
      </c>
      <c r="O3042" t="str">
        <f>VLOOKUP(A3042,vlookup_table!$A:$G,3,FALSE)</f>
        <v>CA</v>
      </c>
      <c r="P3042">
        <f>VLOOKUP(A3042,vlookup_table!$A:$G,4,FALSE)</f>
        <v>4201</v>
      </c>
      <c r="Q3042" t="str">
        <f>VLOOKUP(A3042,vlookup_table!$A:$G,5,FALSE)</f>
        <v>T2</v>
      </c>
      <c r="R3042" t="str">
        <f>VLOOKUP(A3042,vlookup_table!$A:$G,6,FALSE)</f>
        <v>M</v>
      </c>
      <c r="S3042">
        <f>VLOOKUP(A3042,vlookup_table!$A:$G,7,FALSE)</f>
        <v>5</v>
      </c>
      <c r="T3042">
        <f t="shared" si="94"/>
        <v>54</v>
      </c>
      <c r="U3042" t="str">
        <f t="shared" si="95"/>
        <v>Pueblo</v>
      </c>
    </row>
    <row r="3043" spans="1:21" ht="16" x14ac:dyDescent="0.4">
      <c r="A3043" s="9">
        <v>184549</v>
      </c>
      <c r="B3043" s="8" t="s">
        <v>60</v>
      </c>
      <c r="C3043" s="8" t="s">
        <v>14</v>
      </c>
      <c r="D3043" s="8">
        <v>1040</v>
      </c>
      <c r="E3043" s="8">
        <v>507</v>
      </c>
      <c r="F3043" s="8">
        <v>590</v>
      </c>
      <c r="G3043" s="8">
        <v>0</v>
      </c>
      <c r="H3043" s="8">
        <v>21442</v>
      </c>
      <c r="I3043" s="8">
        <v>6</v>
      </c>
      <c r="J3043" s="8">
        <v>24</v>
      </c>
      <c r="K3043" s="8">
        <v>569</v>
      </c>
      <c r="L3043" s="8">
        <v>566</v>
      </c>
      <c r="M3043" s="8">
        <v>20.833333329999999</v>
      </c>
      <c r="N3043">
        <f>VLOOKUP(A3043,vlookup_table!$A:$G,2,FALSE)</f>
        <v>0</v>
      </c>
      <c r="O3043" t="str">
        <f>VLOOKUP(A3043,vlookup_table!$A:$G,3,FALSE)</f>
        <v>AK</v>
      </c>
      <c r="P3043">
        <f>VLOOKUP(A3043,vlookup_table!$A:$G,4,FALSE)</f>
        <v>4301</v>
      </c>
      <c r="Q3043" t="str">
        <f>VLOOKUP(A3043,vlookup_table!$A:$G,5,FALSE)</f>
        <v>C2</v>
      </c>
      <c r="R3043" t="str">
        <f>VLOOKUP(A3043,vlookup_table!$A:$G,6,FALSE)</f>
        <v>M</v>
      </c>
      <c r="S3043">
        <f>VLOOKUP(A3043,vlookup_table!$A:$G,7,FALSE)</f>
        <v>25</v>
      </c>
      <c r="T3043">
        <f t="shared" si="94"/>
        <v>53</v>
      </c>
      <c r="U3043" t="str">
        <f t="shared" si="95"/>
        <v>Ciudad</v>
      </c>
    </row>
    <row r="3044" spans="1:21" ht="16" x14ac:dyDescent="0.4">
      <c r="A3044" s="9">
        <v>162494</v>
      </c>
      <c r="B3044" s="8" t="s">
        <v>21</v>
      </c>
      <c r="C3044" s="8" t="s">
        <v>14</v>
      </c>
      <c r="D3044" s="8">
        <v>2375</v>
      </c>
      <c r="E3044" s="8">
        <v>435</v>
      </c>
      <c r="F3044" s="8">
        <v>514</v>
      </c>
      <c r="G3044" s="8">
        <v>88</v>
      </c>
      <c r="H3044" s="8">
        <v>17574</v>
      </c>
      <c r="I3044" s="8">
        <v>18</v>
      </c>
      <c r="J3044" s="8">
        <v>60</v>
      </c>
      <c r="K3044" s="8">
        <v>516</v>
      </c>
      <c r="L3044" s="8">
        <v>465</v>
      </c>
      <c r="M3044" s="8">
        <v>21.875</v>
      </c>
      <c r="N3044">
        <f>VLOOKUP(A3044,vlookup_table!$A:$G,2,FALSE)</f>
        <v>1</v>
      </c>
      <c r="O3044" t="str">
        <f>VLOOKUP(A3044,vlookup_table!$A:$G,3,FALSE)</f>
        <v>CA</v>
      </c>
      <c r="P3044">
        <f>VLOOKUP(A3044,vlookup_table!$A:$G,4,FALSE)</f>
        <v>5601</v>
      </c>
      <c r="Q3044" t="str">
        <f>VLOOKUP(A3044,vlookup_table!$A:$G,5,FALSE)</f>
        <v>S2</v>
      </c>
      <c r="R3044" t="str">
        <f>VLOOKUP(A3044,vlookup_table!$A:$G,6,FALSE)</f>
        <v>M</v>
      </c>
      <c r="S3044">
        <f>VLOOKUP(A3044,vlookup_table!$A:$G,7,FALSE)</f>
        <v>30</v>
      </c>
      <c r="T3044">
        <f t="shared" si="94"/>
        <v>40</v>
      </c>
      <c r="U3044" t="str">
        <f t="shared" si="95"/>
        <v>Suburbano</v>
      </c>
    </row>
    <row r="3045" spans="1:21" ht="16" x14ac:dyDescent="0.4">
      <c r="A3045" s="9">
        <v>45873</v>
      </c>
      <c r="B3045" s="8" t="s">
        <v>13</v>
      </c>
      <c r="C3045" s="8" t="s">
        <v>17</v>
      </c>
      <c r="D3045" s="8">
        <v>402</v>
      </c>
      <c r="E3045" s="8">
        <v>168</v>
      </c>
      <c r="F3045" s="8">
        <v>240</v>
      </c>
      <c r="G3045" s="8">
        <v>0</v>
      </c>
      <c r="H3045" s="8">
        <v>10003</v>
      </c>
      <c r="I3045" s="8">
        <v>8</v>
      </c>
      <c r="J3045" s="8">
        <v>17</v>
      </c>
      <c r="K3045" s="8">
        <v>251</v>
      </c>
      <c r="L3045" s="8">
        <v>199</v>
      </c>
      <c r="M3045" s="8">
        <v>6.538461539</v>
      </c>
      <c r="N3045">
        <f>VLOOKUP(A3045,vlookup_table!$A:$G,2,FALSE)</f>
        <v>0</v>
      </c>
      <c r="O3045" t="str">
        <f>VLOOKUP(A3045,vlookup_table!$A:$G,3,FALSE)</f>
        <v>FL</v>
      </c>
      <c r="P3045">
        <f>VLOOKUP(A3045,vlookup_table!$A:$G,4,FALSE)</f>
        <v>1606</v>
      </c>
      <c r="Q3045" t="str">
        <f>VLOOKUP(A3045,vlookup_table!$A:$G,5,FALSE)</f>
        <v>C3</v>
      </c>
      <c r="R3045" t="str">
        <f>VLOOKUP(A3045,vlookup_table!$A:$G,6,FALSE)</f>
        <v>F</v>
      </c>
      <c r="S3045">
        <f>VLOOKUP(A3045,vlookup_table!$A:$G,7,FALSE)</f>
        <v>8</v>
      </c>
      <c r="T3045">
        <f t="shared" si="94"/>
        <v>80</v>
      </c>
      <c r="U3045" t="str">
        <f t="shared" si="95"/>
        <v>Ciudad</v>
      </c>
    </row>
    <row r="3046" spans="1:21" ht="16" x14ac:dyDescent="0.4">
      <c r="A3046" s="9">
        <v>14831</v>
      </c>
      <c r="B3046" s="8" t="s">
        <v>29</v>
      </c>
      <c r="C3046" s="8" t="s">
        <v>97</v>
      </c>
      <c r="D3046" s="8">
        <v>374</v>
      </c>
      <c r="E3046" s="8">
        <v>223</v>
      </c>
      <c r="F3046" s="8">
        <v>276</v>
      </c>
      <c r="G3046" s="8">
        <v>0</v>
      </c>
      <c r="H3046" s="8">
        <v>9291</v>
      </c>
      <c r="I3046" s="8">
        <v>2</v>
      </c>
      <c r="J3046" s="8">
        <v>73</v>
      </c>
      <c r="K3046" s="8">
        <v>242</v>
      </c>
      <c r="L3046" s="8">
        <v>254</v>
      </c>
      <c r="M3046" s="8">
        <v>8.7857142859999993</v>
      </c>
      <c r="N3046">
        <f>VLOOKUP(A3046,vlookup_table!$A:$G,2,FALSE)</f>
        <v>0</v>
      </c>
      <c r="O3046" t="str">
        <f>VLOOKUP(A3046,vlookup_table!$A:$G,3,FALSE)</f>
        <v>AR</v>
      </c>
      <c r="P3046">
        <f>VLOOKUP(A3046,vlookup_table!$A:$G,4,FALSE)</f>
        <v>0</v>
      </c>
      <c r="Q3046" t="str">
        <f>VLOOKUP(A3046,vlookup_table!$A:$G,5,FALSE)</f>
        <v>R3</v>
      </c>
      <c r="R3046" t="str">
        <f>VLOOKUP(A3046,vlookup_table!$A:$G,6,FALSE)</f>
        <v>F</v>
      </c>
      <c r="S3046">
        <f>VLOOKUP(A3046,vlookup_table!$A:$G,7,FALSE)</f>
        <v>10</v>
      </c>
      <c r="T3046">
        <f t="shared" si="94"/>
        <v>96</v>
      </c>
      <c r="U3046" t="str">
        <f t="shared" si="95"/>
        <v>Rural</v>
      </c>
    </row>
    <row r="3047" spans="1:21" ht="16" x14ac:dyDescent="0.4">
      <c r="A3047" s="9">
        <v>160610</v>
      </c>
      <c r="B3047" s="8" t="s">
        <v>21</v>
      </c>
      <c r="C3047" s="8" t="s">
        <v>17</v>
      </c>
      <c r="D3047" s="8">
        <v>848</v>
      </c>
      <c r="E3047" s="8">
        <v>368</v>
      </c>
      <c r="F3047" s="8">
        <v>412</v>
      </c>
      <c r="G3047" s="8">
        <v>1</v>
      </c>
      <c r="H3047" s="8">
        <v>13741</v>
      </c>
      <c r="I3047" s="8">
        <v>7</v>
      </c>
      <c r="J3047" s="8">
        <v>39</v>
      </c>
      <c r="K3047" s="8">
        <v>397</v>
      </c>
      <c r="L3047" s="8">
        <v>392</v>
      </c>
      <c r="M3047" s="8">
        <v>15</v>
      </c>
      <c r="N3047">
        <f>VLOOKUP(A3047,vlookup_table!$A:$G,2,FALSE)</f>
        <v>28</v>
      </c>
      <c r="O3047" t="str">
        <f>VLOOKUP(A3047,vlookup_table!$A:$G,3,FALSE)</f>
        <v>CA</v>
      </c>
      <c r="P3047">
        <f>VLOOKUP(A3047,vlookup_table!$A:$G,4,FALSE)</f>
        <v>0</v>
      </c>
      <c r="Q3047" t="str">
        <f>VLOOKUP(A3047,vlookup_table!$A:$G,5,FALSE)</f>
        <v>R2</v>
      </c>
      <c r="R3047" t="str">
        <f>VLOOKUP(A3047,vlookup_table!$A:$G,6,FALSE)</f>
        <v>F</v>
      </c>
      <c r="S3047">
        <f>VLOOKUP(A3047,vlookup_table!$A:$G,7,FALSE)</f>
        <v>15</v>
      </c>
      <c r="T3047">
        <f t="shared" si="94"/>
        <v>96</v>
      </c>
      <c r="U3047" t="str">
        <f t="shared" si="95"/>
        <v>Rural</v>
      </c>
    </row>
    <row r="3048" spans="1:21" ht="16" x14ac:dyDescent="0.4">
      <c r="A3048" s="9">
        <v>44243</v>
      </c>
      <c r="B3048" s="8" t="s">
        <v>13</v>
      </c>
      <c r="C3048" s="8" t="s">
        <v>17</v>
      </c>
      <c r="D3048" s="8">
        <v>1603</v>
      </c>
      <c r="E3048" s="8">
        <v>308</v>
      </c>
      <c r="F3048" s="8">
        <v>525</v>
      </c>
      <c r="G3048" s="8">
        <v>38</v>
      </c>
      <c r="H3048" s="8">
        <v>24259</v>
      </c>
      <c r="I3048" s="8">
        <v>7</v>
      </c>
      <c r="J3048" s="8">
        <v>13</v>
      </c>
      <c r="K3048" s="8">
        <v>346</v>
      </c>
      <c r="L3048" s="8">
        <v>445</v>
      </c>
      <c r="M3048" s="8">
        <v>12.66666667</v>
      </c>
      <c r="N3048">
        <f>VLOOKUP(A3048,vlookup_table!$A:$G,2,FALSE)</f>
        <v>2</v>
      </c>
      <c r="O3048" t="str">
        <f>VLOOKUP(A3048,vlookup_table!$A:$G,3,FALSE)</f>
        <v>FL</v>
      </c>
      <c r="P3048">
        <f>VLOOKUP(A3048,vlookup_table!$A:$G,4,FALSE)</f>
        <v>1601</v>
      </c>
      <c r="Q3048" t="str">
        <f>VLOOKUP(A3048,vlookup_table!$A:$G,5,FALSE)</f>
        <v>C1</v>
      </c>
      <c r="R3048" t="str">
        <f>VLOOKUP(A3048,vlookup_table!$A:$G,6,FALSE)</f>
        <v>F</v>
      </c>
      <c r="S3048">
        <f>VLOOKUP(A3048,vlookup_table!$A:$G,7,FALSE)</f>
        <v>20</v>
      </c>
      <c r="T3048">
        <f t="shared" si="94"/>
        <v>80</v>
      </c>
      <c r="U3048" t="str">
        <f t="shared" si="95"/>
        <v>Ciudad</v>
      </c>
    </row>
    <row r="3049" spans="1:21" ht="16" x14ac:dyDescent="0.4">
      <c r="A3049" s="9">
        <v>41537</v>
      </c>
      <c r="B3049" s="8" t="s">
        <v>13</v>
      </c>
      <c r="C3049" s="8" t="s">
        <v>17</v>
      </c>
      <c r="D3049" s="8">
        <v>742</v>
      </c>
      <c r="E3049" s="8">
        <v>396</v>
      </c>
      <c r="F3049" s="8">
        <v>470</v>
      </c>
      <c r="G3049" s="8">
        <v>0</v>
      </c>
      <c r="H3049" s="8">
        <v>15356</v>
      </c>
      <c r="I3049" s="8">
        <v>7</v>
      </c>
      <c r="J3049" s="8">
        <v>37</v>
      </c>
      <c r="K3049" s="8">
        <v>424</v>
      </c>
      <c r="L3049" s="8">
        <v>450</v>
      </c>
      <c r="M3049" s="8">
        <v>14.28571429</v>
      </c>
      <c r="N3049">
        <f>VLOOKUP(A3049,vlookup_table!$A:$G,2,FALSE)</f>
        <v>2</v>
      </c>
      <c r="O3049" t="str">
        <f>VLOOKUP(A3049,vlookup_table!$A:$G,3,FALSE)</f>
        <v>FL</v>
      </c>
      <c r="P3049">
        <f>VLOOKUP(A3049,vlookup_table!$A:$G,4,FALSE)</f>
        <v>6101</v>
      </c>
      <c r="Q3049" t="str">
        <f>VLOOKUP(A3049,vlookup_table!$A:$G,5,FALSE)</f>
        <v>S2</v>
      </c>
      <c r="R3049" t="str">
        <f>VLOOKUP(A3049,vlookup_table!$A:$G,6,FALSE)</f>
        <v>F</v>
      </c>
      <c r="S3049">
        <f>VLOOKUP(A3049,vlookup_table!$A:$G,7,FALSE)</f>
        <v>50</v>
      </c>
      <c r="T3049">
        <f t="shared" si="94"/>
        <v>35</v>
      </c>
      <c r="U3049" t="str">
        <f t="shared" si="95"/>
        <v>Suburbano</v>
      </c>
    </row>
    <row r="3050" spans="1:21" ht="16" x14ac:dyDescent="0.4">
      <c r="A3050" s="9">
        <v>56120</v>
      </c>
      <c r="B3050" s="8" t="s">
        <v>56</v>
      </c>
      <c r="C3050" s="8" t="s">
        <v>97</v>
      </c>
      <c r="D3050" s="8">
        <v>518</v>
      </c>
      <c r="E3050" s="8">
        <v>330</v>
      </c>
      <c r="F3050" s="8">
        <v>393</v>
      </c>
      <c r="G3050" s="8">
        <v>0</v>
      </c>
      <c r="H3050" s="8">
        <v>14374</v>
      </c>
      <c r="I3050" s="8">
        <v>1</v>
      </c>
      <c r="J3050" s="8">
        <v>58</v>
      </c>
      <c r="K3050" s="8">
        <v>370</v>
      </c>
      <c r="L3050" s="8">
        <v>353</v>
      </c>
      <c r="M3050" s="8">
        <v>6.6296296300000002</v>
      </c>
      <c r="N3050">
        <f>VLOOKUP(A3050,vlookup_table!$A:$G,2,FALSE)</f>
        <v>0</v>
      </c>
      <c r="O3050" t="str">
        <f>VLOOKUP(A3050,vlookup_table!$A:$G,3,FALSE)</f>
        <v>MS</v>
      </c>
      <c r="P3050">
        <f>VLOOKUP(A3050,vlookup_table!$A:$G,4,FALSE)</f>
        <v>0</v>
      </c>
      <c r="Q3050" t="str">
        <f>VLOOKUP(A3050,vlookup_table!$A:$G,5,FALSE)</f>
        <v>T3</v>
      </c>
      <c r="R3050" t="str">
        <f>VLOOKUP(A3050,vlookup_table!$A:$G,6,FALSE)</f>
        <v>F</v>
      </c>
      <c r="S3050">
        <f>VLOOKUP(A3050,vlookup_table!$A:$G,7,FALSE)</f>
        <v>15</v>
      </c>
      <c r="T3050">
        <f t="shared" si="94"/>
        <v>96</v>
      </c>
      <c r="U3050" t="str">
        <f t="shared" si="95"/>
        <v>Pueblo</v>
      </c>
    </row>
    <row r="3051" spans="1:21" ht="16" x14ac:dyDescent="0.4">
      <c r="A3051" s="9">
        <v>15648</v>
      </c>
      <c r="B3051" s="8" t="s">
        <v>18</v>
      </c>
      <c r="C3051" s="8" t="s">
        <v>97</v>
      </c>
      <c r="D3051" s="8">
        <v>2490</v>
      </c>
      <c r="E3051" s="8">
        <v>379</v>
      </c>
      <c r="F3051" s="8">
        <v>649</v>
      </c>
      <c r="G3051" s="8">
        <v>57</v>
      </c>
      <c r="H3051" s="8">
        <v>26456</v>
      </c>
      <c r="I3051" s="8">
        <v>5</v>
      </c>
      <c r="J3051" s="8">
        <v>54</v>
      </c>
      <c r="K3051" s="8">
        <v>459</v>
      </c>
      <c r="L3051" s="8">
        <v>546</v>
      </c>
      <c r="M3051" s="8">
        <v>8.9545454549999999</v>
      </c>
      <c r="N3051">
        <f>VLOOKUP(A3051,vlookup_table!$A:$G,2,FALSE)</f>
        <v>2</v>
      </c>
      <c r="O3051" t="str">
        <f>VLOOKUP(A3051,vlookup_table!$A:$G,3,FALSE)</f>
        <v>NC</v>
      </c>
      <c r="P3051">
        <f>VLOOKUP(A3051,vlookup_table!$A:$G,4,FALSE)</f>
        <v>0</v>
      </c>
      <c r="Q3051" t="str">
        <f>VLOOKUP(A3051,vlookup_table!$A:$G,5,FALSE)</f>
        <v>C2</v>
      </c>
      <c r="R3051" t="str">
        <f>VLOOKUP(A3051,vlookup_table!$A:$G,6,FALSE)</f>
        <v>F</v>
      </c>
      <c r="S3051">
        <f>VLOOKUP(A3051,vlookup_table!$A:$G,7,FALSE)</f>
        <v>20</v>
      </c>
      <c r="T3051">
        <f t="shared" si="94"/>
        <v>96</v>
      </c>
      <c r="U3051" t="str">
        <f t="shared" si="95"/>
        <v>Ciudad</v>
      </c>
    </row>
    <row r="3052" spans="1:21" ht="16" x14ac:dyDescent="0.4">
      <c r="A3052" s="9">
        <v>14608</v>
      </c>
      <c r="B3052" s="8" t="s">
        <v>21</v>
      </c>
      <c r="C3052" s="8" t="s">
        <v>17</v>
      </c>
      <c r="D3052" s="8">
        <v>2556</v>
      </c>
      <c r="E3052" s="8">
        <v>490</v>
      </c>
      <c r="F3052" s="8">
        <v>744</v>
      </c>
      <c r="G3052" s="8">
        <v>88</v>
      </c>
      <c r="H3052" s="8">
        <v>40178</v>
      </c>
      <c r="I3052" s="8">
        <v>14</v>
      </c>
      <c r="J3052" s="8">
        <v>27</v>
      </c>
      <c r="K3052" s="8">
        <v>670</v>
      </c>
      <c r="L3052" s="8">
        <v>610</v>
      </c>
      <c r="M3052" s="8">
        <v>12.09090909</v>
      </c>
      <c r="N3052">
        <f>VLOOKUP(A3052,vlookup_table!$A:$G,2,FALSE)</f>
        <v>2</v>
      </c>
      <c r="O3052" t="str">
        <f>VLOOKUP(A3052,vlookup_table!$A:$G,3,FALSE)</f>
        <v>CA</v>
      </c>
      <c r="P3052">
        <f>VLOOKUP(A3052,vlookup_table!$A:$G,4,FALSE)</f>
        <v>2601</v>
      </c>
      <c r="Q3052" t="str">
        <f>VLOOKUP(A3052,vlookup_table!$A:$G,5,FALSE)</f>
        <v>T1</v>
      </c>
      <c r="R3052" t="str">
        <f>VLOOKUP(A3052,vlookup_table!$A:$G,6,FALSE)</f>
        <v>F</v>
      </c>
      <c r="S3052">
        <f>VLOOKUP(A3052,vlookup_table!$A:$G,7,FALSE)</f>
        <v>15</v>
      </c>
      <c r="T3052">
        <f t="shared" si="94"/>
        <v>70</v>
      </c>
      <c r="U3052" t="str">
        <f t="shared" si="95"/>
        <v>Pueblo</v>
      </c>
    </row>
    <row r="3053" spans="1:21" ht="16" x14ac:dyDescent="0.4">
      <c r="A3053" s="9">
        <v>9053</v>
      </c>
      <c r="B3053" s="8" t="s">
        <v>21</v>
      </c>
      <c r="C3053" s="8" t="s">
        <v>17</v>
      </c>
      <c r="D3053" s="8">
        <v>3081</v>
      </c>
      <c r="E3053" s="8">
        <v>446</v>
      </c>
      <c r="F3053" s="8">
        <v>510</v>
      </c>
      <c r="G3053" s="8">
        <v>89</v>
      </c>
      <c r="H3053" s="8">
        <v>15984</v>
      </c>
      <c r="I3053" s="8">
        <v>11</v>
      </c>
      <c r="J3053" s="8">
        <v>63</v>
      </c>
      <c r="K3053" s="8">
        <v>514</v>
      </c>
      <c r="L3053" s="8">
        <v>485</v>
      </c>
      <c r="M3053" s="8">
        <v>13.06666667</v>
      </c>
      <c r="N3053">
        <f>VLOOKUP(A3053,vlookup_table!$A:$G,2,FALSE)</f>
        <v>0</v>
      </c>
      <c r="O3053" t="str">
        <f>VLOOKUP(A3053,vlookup_table!$A:$G,3,FALSE)</f>
        <v>CA</v>
      </c>
      <c r="P3053">
        <f>VLOOKUP(A3053,vlookup_table!$A:$G,4,FALSE)</f>
        <v>1708</v>
      </c>
      <c r="Q3053" t="str">
        <f>VLOOKUP(A3053,vlookup_table!$A:$G,5,FALSE)</f>
        <v>S1</v>
      </c>
      <c r="R3053" t="str">
        <f>VLOOKUP(A3053,vlookup_table!$A:$G,6,FALSE)</f>
        <v>F</v>
      </c>
      <c r="S3053">
        <f>VLOOKUP(A3053,vlookup_table!$A:$G,7,FALSE)</f>
        <v>20</v>
      </c>
      <c r="T3053">
        <f t="shared" si="94"/>
        <v>79</v>
      </c>
      <c r="U3053" t="str">
        <f t="shared" si="95"/>
        <v>Suburbano</v>
      </c>
    </row>
    <row r="3054" spans="1:21" ht="16" x14ac:dyDescent="0.4">
      <c r="A3054" s="9">
        <v>137971</v>
      </c>
      <c r="B3054" s="8" t="s">
        <v>51</v>
      </c>
      <c r="C3054" s="8" t="s">
        <v>97</v>
      </c>
      <c r="D3054" s="8">
        <v>582</v>
      </c>
      <c r="E3054" s="8">
        <v>163</v>
      </c>
      <c r="F3054" s="8">
        <v>229</v>
      </c>
      <c r="G3054" s="8">
        <v>0</v>
      </c>
      <c r="H3054" s="8">
        <v>8173</v>
      </c>
      <c r="I3054" s="8">
        <v>3</v>
      </c>
      <c r="J3054" s="8">
        <v>40</v>
      </c>
      <c r="K3054" s="8">
        <v>193</v>
      </c>
      <c r="L3054" s="8">
        <v>188</v>
      </c>
      <c r="M3054" s="8">
        <v>20</v>
      </c>
      <c r="N3054">
        <f>VLOOKUP(A3054,vlookup_table!$A:$G,2,FALSE)</f>
        <v>0</v>
      </c>
      <c r="O3054" t="str">
        <f>VLOOKUP(A3054,vlookup_table!$A:$G,3,FALSE)</f>
        <v>AZ</v>
      </c>
      <c r="P3054">
        <f>VLOOKUP(A3054,vlookup_table!$A:$G,4,FALSE)</f>
        <v>2801</v>
      </c>
      <c r="Q3054" t="str">
        <f>VLOOKUP(A3054,vlookup_table!$A:$G,5,FALSE)</f>
        <v>C3</v>
      </c>
      <c r="R3054" t="str">
        <f>VLOOKUP(A3054,vlookup_table!$A:$G,6,FALSE)</f>
        <v>F</v>
      </c>
      <c r="S3054">
        <f>VLOOKUP(A3054,vlookup_table!$A:$G,7,FALSE)</f>
        <v>25</v>
      </c>
      <c r="T3054">
        <f t="shared" si="94"/>
        <v>68</v>
      </c>
      <c r="U3054" t="str">
        <f t="shared" si="95"/>
        <v>Ciudad</v>
      </c>
    </row>
    <row r="3055" spans="1:21" ht="16" x14ac:dyDescent="0.4">
      <c r="A3055" s="9">
        <v>83497</v>
      </c>
      <c r="B3055" s="8" t="s">
        <v>52</v>
      </c>
      <c r="C3055" s="8" t="s">
        <v>17</v>
      </c>
      <c r="D3055" s="8">
        <v>375</v>
      </c>
      <c r="E3055" s="8">
        <v>167</v>
      </c>
      <c r="F3055" s="8">
        <v>265</v>
      </c>
      <c r="G3055" s="8">
        <v>0</v>
      </c>
      <c r="H3055" s="8">
        <v>9007</v>
      </c>
      <c r="I3055" s="8">
        <v>1</v>
      </c>
      <c r="J3055" s="8">
        <v>82</v>
      </c>
      <c r="K3055" s="8">
        <v>215</v>
      </c>
      <c r="L3055" s="8">
        <v>216</v>
      </c>
      <c r="M3055" s="8">
        <v>15</v>
      </c>
      <c r="N3055">
        <f>VLOOKUP(A3055,vlookup_table!$A:$G,2,FALSE)</f>
        <v>0</v>
      </c>
      <c r="O3055" t="str">
        <f>VLOOKUP(A3055,vlookup_table!$A:$G,3,FALSE)</f>
        <v>MN</v>
      </c>
      <c r="P3055">
        <f>VLOOKUP(A3055,vlookup_table!$A:$G,4,FALSE)</f>
        <v>2801</v>
      </c>
      <c r="Q3055" t="str">
        <f>VLOOKUP(A3055,vlookup_table!$A:$G,5,FALSE)</f>
        <v>U3</v>
      </c>
      <c r="R3055" t="str">
        <f>VLOOKUP(A3055,vlookup_table!$A:$G,6,FALSE)</f>
        <v>F</v>
      </c>
      <c r="S3055">
        <f>VLOOKUP(A3055,vlookup_table!$A:$G,7,FALSE)</f>
        <v>15</v>
      </c>
      <c r="T3055">
        <f t="shared" si="94"/>
        <v>68</v>
      </c>
      <c r="U3055" t="str">
        <f t="shared" si="95"/>
        <v>Urbano</v>
      </c>
    </row>
    <row r="3056" spans="1:21" ht="16" x14ac:dyDescent="0.4">
      <c r="A3056" s="9">
        <v>169640</v>
      </c>
      <c r="B3056" s="8" t="s">
        <v>21</v>
      </c>
      <c r="C3056" s="8" t="s">
        <v>17</v>
      </c>
      <c r="D3056" s="8">
        <v>1248</v>
      </c>
      <c r="E3056" s="8">
        <v>371</v>
      </c>
      <c r="F3056" s="8">
        <v>401</v>
      </c>
      <c r="G3056" s="8">
        <v>3</v>
      </c>
      <c r="H3056" s="8">
        <v>13104</v>
      </c>
      <c r="I3056" s="8">
        <v>14</v>
      </c>
      <c r="J3056" s="8">
        <v>58</v>
      </c>
      <c r="K3056" s="8">
        <v>394</v>
      </c>
      <c r="L3056" s="8">
        <v>384</v>
      </c>
      <c r="M3056" s="8">
        <v>6.3636363640000004</v>
      </c>
      <c r="N3056">
        <f>VLOOKUP(A3056,vlookup_table!$A:$G,2,FALSE)</f>
        <v>0</v>
      </c>
      <c r="O3056" t="str">
        <f>VLOOKUP(A3056,vlookup_table!$A:$G,3,FALSE)</f>
        <v>CA</v>
      </c>
      <c r="P3056">
        <f>VLOOKUP(A3056,vlookup_table!$A:$G,4,FALSE)</f>
        <v>2201</v>
      </c>
      <c r="Q3056" t="str">
        <f>VLOOKUP(A3056,vlookup_table!$A:$G,5,FALSE)</f>
        <v/>
      </c>
      <c r="R3056" t="str">
        <f>VLOOKUP(A3056,vlookup_table!$A:$G,6,FALSE)</f>
        <v>F</v>
      </c>
      <c r="S3056">
        <f>VLOOKUP(A3056,vlookup_table!$A:$G,7,FALSE)</f>
        <v>8</v>
      </c>
      <c r="T3056">
        <f t="shared" si="94"/>
        <v>74</v>
      </c>
      <c r="U3056" t="str">
        <f t="shared" si="95"/>
        <v/>
      </c>
    </row>
    <row r="3057" spans="1:21" ht="16" x14ac:dyDescent="0.4">
      <c r="A3057" s="9">
        <v>169903</v>
      </c>
      <c r="B3057" s="8" t="s">
        <v>21</v>
      </c>
      <c r="C3057" s="8" t="s">
        <v>27</v>
      </c>
      <c r="D3057" s="8">
        <v>2598</v>
      </c>
      <c r="E3057" s="8">
        <v>470</v>
      </c>
      <c r="F3057" s="8">
        <v>661</v>
      </c>
      <c r="G3057" s="8">
        <v>74</v>
      </c>
      <c r="H3057" s="8">
        <v>31631</v>
      </c>
      <c r="I3057" s="8">
        <v>9</v>
      </c>
      <c r="J3057" s="8">
        <v>36</v>
      </c>
      <c r="K3057" s="8">
        <v>557</v>
      </c>
      <c r="L3057" s="8">
        <v>562</v>
      </c>
      <c r="M3057" s="8">
        <v>8.1071428569999995</v>
      </c>
      <c r="N3057">
        <f>VLOOKUP(A3057,vlookup_table!$A:$G,2,FALSE)</f>
        <v>2</v>
      </c>
      <c r="O3057" t="str">
        <f>VLOOKUP(A3057,vlookup_table!$A:$G,3,FALSE)</f>
        <v>CA</v>
      </c>
      <c r="P3057">
        <f>VLOOKUP(A3057,vlookup_table!$A:$G,4,FALSE)</f>
        <v>1701</v>
      </c>
      <c r="Q3057" t="str">
        <f>VLOOKUP(A3057,vlookup_table!$A:$G,5,FALSE)</f>
        <v>C1</v>
      </c>
      <c r="R3057" t="str">
        <f>VLOOKUP(A3057,vlookup_table!$A:$G,6,FALSE)</f>
        <v>U</v>
      </c>
      <c r="S3057">
        <f>VLOOKUP(A3057,vlookup_table!$A:$G,7,FALSE)</f>
        <v>15</v>
      </c>
      <c r="T3057">
        <f t="shared" si="94"/>
        <v>79</v>
      </c>
      <c r="U3057" t="str">
        <f t="shared" si="95"/>
        <v>Ciudad</v>
      </c>
    </row>
    <row r="3058" spans="1:21" ht="16" x14ac:dyDescent="0.4">
      <c r="A3058" s="9">
        <v>172175</v>
      </c>
      <c r="B3058" s="8" t="s">
        <v>21</v>
      </c>
      <c r="C3058" s="8" t="s">
        <v>17</v>
      </c>
      <c r="D3058" s="8">
        <v>658</v>
      </c>
      <c r="E3058" s="8">
        <v>166</v>
      </c>
      <c r="F3058" s="8">
        <v>212</v>
      </c>
      <c r="G3058" s="8">
        <v>0</v>
      </c>
      <c r="H3058" s="8">
        <v>7704</v>
      </c>
      <c r="I3058" s="8">
        <v>16</v>
      </c>
      <c r="J3058" s="8">
        <v>59</v>
      </c>
      <c r="K3058" s="8">
        <v>143</v>
      </c>
      <c r="L3058" s="8">
        <v>206</v>
      </c>
      <c r="M3058" s="8">
        <v>11.33333333</v>
      </c>
      <c r="N3058">
        <f>VLOOKUP(A3058,vlookup_table!$A:$G,2,FALSE)</f>
        <v>0</v>
      </c>
      <c r="O3058" t="str">
        <f>VLOOKUP(A3058,vlookup_table!$A:$G,3,FALSE)</f>
        <v>CA</v>
      </c>
      <c r="P3058">
        <f>VLOOKUP(A3058,vlookup_table!$A:$G,4,FALSE)</f>
        <v>201</v>
      </c>
      <c r="Q3058" t="str">
        <f>VLOOKUP(A3058,vlookup_table!$A:$G,5,FALSE)</f>
        <v>C3</v>
      </c>
      <c r="R3058" t="str">
        <f>VLOOKUP(A3058,vlookup_table!$A:$G,6,FALSE)</f>
        <v>F</v>
      </c>
      <c r="S3058">
        <f>VLOOKUP(A3058,vlookup_table!$A:$G,7,FALSE)</f>
        <v>10</v>
      </c>
      <c r="T3058">
        <f t="shared" si="94"/>
        <v>76</v>
      </c>
      <c r="U3058" t="str">
        <f t="shared" si="95"/>
        <v>Ciudad</v>
      </c>
    </row>
    <row r="3059" spans="1:21" ht="16" x14ac:dyDescent="0.4">
      <c r="A3059" s="9">
        <v>145905</v>
      </c>
      <c r="B3059" s="8" t="s">
        <v>21</v>
      </c>
      <c r="C3059" s="8" t="s">
        <v>14</v>
      </c>
      <c r="D3059" s="8">
        <v>2328</v>
      </c>
      <c r="E3059" s="8">
        <v>346</v>
      </c>
      <c r="F3059" s="8">
        <v>493</v>
      </c>
      <c r="G3059" s="8">
        <v>74</v>
      </c>
      <c r="H3059" s="8">
        <v>17417</v>
      </c>
      <c r="I3059" s="8">
        <v>20</v>
      </c>
      <c r="J3059" s="8">
        <v>47</v>
      </c>
      <c r="K3059" s="8">
        <v>469</v>
      </c>
      <c r="L3059" s="8">
        <v>434</v>
      </c>
      <c r="M3059" s="8">
        <v>25</v>
      </c>
      <c r="N3059">
        <f>VLOOKUP(A3059,vlookup_table!$A:$G,2,FALSE)</f>
        <v>1</v>
      </c>
      <c r="O3059" t="str">
        <f>VLOOKUP(A3059,vlookup_table!$A:$G,3,FALSE)</f>
        <v>CA</v>
      </c>
      <c r="P3059">
        <f>VLOOKUP(A3059,vlookup_table!$A:$G,4,FALSE)</f>
        <v>1101</v>
      </c>
      <c r="Q3059" t="str">
        <f>VLOOKUP(A3059,vlookup_table!$A:$G,5,FALSE)</f>
        <v>S1</v>
      </c>
      <c r="R3059" t="str">
        <f>VLOOKUP(A3059,vlookup_table!$A:$G,6,FALSE)</f>
        <v>M</v>
      </c>
      <c r="S3059">
        <f>VLOOKUP(A3059,vlookup_table!$A:$G,7,FALSE)</f>
        <v>20</v>
      </c>
      <c r="T3059">
        <f t="shared" si="94"/>
        <v>85</v>
      </c>
      <c r="U3059" t="str">
        <f t="shared" si="95"/>
        <v>Suburbano</v>
      </c>
    </row>
    <row r="3060" spans="1:21" ht="16" x14ac:dyDescent="0.4">
      <c r="A3060" s="9">
        <v>136385</v>
      </c>
      <c r="B3060" s="8" t="s">
        <v>51</v>
      </c>
      <c r="C3060" s="8" t="s">
        <v>14</v>
      </c>
      <c r="D3060" s="8">
        <v>1239</v>
      </c>
      <c r="E3060" s="8">
        <v>241</v>
      </c>
      <c r="F3060" s="8">
        <v>382</v>
      </c>
      <c r="G3060" s="8">
        <v>15</v>
      </c>
      <c r="H3060" s="8">
        <v>14783</v>
      </c>
      <c r="I3060" s="8">
        <v>2</v>
      </c>
      <c r="J3060" s="8">
        <v>24</v>
      </c>
      <c r="K3060" s="8">
        <v>287</v>
      </c>
      <c r="L3060" s="8">
        <v>337</v>
      </c>
      <c r="M3060" s="8">
        <v>6.75</v>
      </c>
      <c r="N3060">
        <f>VLOOKUP(A3060,vlookup_table!$A:$G,2,FALSE)</f>
        <v>1</v>
      </c>
      <c r="O3060" t="str">
        <f>VLOOKUP(A3060,vlookup_table!$A:$G,3,FALSE)</f>
        <v>AZ</v>
      </c>
      <c r="P3060">
        <f>VLOOKUP(A3060,vlookup_table!$A:$G,4,FALSE)</f>
        <v>2407</v>
      </c>
      <c r="Q3060" t="str">
        <f>VLOOKUP(A3060,vlookup_table!$A:$G,5,FALSE)</f>
        <v>C1</v>
      </c>
      <c r="R3060" t="str">
        <f>VLOOKUP(A3060,vlookup_table!$A:$G,6,FALSE)</f>
        <v>M</v>
      </c>
      <c r="S3060">
        <f>VLOOKUP(A3060,vlookup_table!$A:$G,7,FALSE)</f>
        <v>5</v>
      </c>
      <c r="T3060">
        <f t="shared" si="94"/>
        <v>72</v>
      </c>
      <c r="U3060" t="str">
        <f t="shared" si="95"/>
        <v>Ciudad</v>
      </c>
    </row>
    <row r="3061" spans="1:21" ht="16" x14ac:dyDescent="0.4">
      <c r="A3061" s="9">
        <v>15038</v>
      </c>
      <c r="B3061" s="8" t="s">
        <v>18</v>
      </c>
      <c r="C3061" s="8" t="s">
        <v>14</v>
      </c>
      <c r="D3061" s="8">
        <v>849</v>
      </c>
      <c r="E3061" s="8">
        <v>457</v>
      </c>
      <c r="F3061" s="8">
        <v>519</v>
      </c>
      <c r="G3061" s="8">
        <v>0</v>
      </c>
      <c r="H3061" s="8">
        <v>16386</v>
      </c>
      <c r="I3061" s="8">
        <v>1</v>
      </c>
      <c r="J3061" s="8">
        <v>66</v>
      </c>
      <c r="K3061" s="8">
        <v>508</v>
      </c>
      <c r="L3061" s="8">
        <v>470</v>
      </c>
      <c r="M3061" s="8">
        <v>12.8</v>
      </c>
      <c r="N3061">
        <f>VLOOKUP(A3061,vlookup_table!$A:$G,2,FALSE)</f>
        <v>2</v>
      </c>
      <c r="O3061" t="str">
        <f>VLOOKUP(A3061,vlookup_table!$A:$G,3,FALSE)</f>
        <v>NC</v>
      </c>
      <c r="P3061">
        <f>VLOOKUP(A3061,vlookup_table!$A:$G,4,FALSE)</f>
        <v>2201</v>
      </c>
      <c r="Q3061" t="str">
        <f>VLOOKUP(A3061,vlookup_table!$A:$G,5,FALSE)</f>
        <v>T2</v>
      </c>
      <c r="R3061" t="str">
        <f>VLOOKUP(A3061,vlookup_table!$A:$G,6,FALSE)</f>
        <v>M</v>
      </c>
      <c r="S3061">
        <f>VLOOKUP(A3061,vlookup_table!$A:$G,7,FALSE)</f>
        <v>25</v>
      </c>
      <c r="T3061">
        <f t="shared" si="94"/>
        <v>74</v>
      </c>
      <c r="U3061" t="str">
        <f t="shared" si="95"/>
        <v>Pueblo</v>
      </c>
    </row>
    <row r="3062" spans="1:21" ht="16" x14ac:dyDescent="0.4">
      <c r="A3062" s="9">
        <v>40786</v>
      </c>
      <c r="B3062" s="8" t="s">
        <v>13</v>
      </c>
      <c r="C3062" s="8" t="s">
        <v>14</v>
      </c>
      <c r="D3062" s="8">
        <v>1163</v>
      </c>
      <c r="E3062" s="8">
        <v>402</v>
      </c>
      <c r="F3062" s="8">
        <v>552</v>
      </c>
      <c r="G3062" s="8">
        <v>14</v>
      </c>
      <c r="H3062" s="8">
        <v>19090</v>
      </c>
      <c r="I3062" s="8">
        <v>8</v>
      </c>
      <c r="J3062" s="8">
        <v>33</v>
      </c>
      <c r="K3062" s="8">
        <v>446</v>
      </c>
      <c r="L3062" s="8">
        <v>495</v>
      </c>
      <c r="M3062" s="8">
        <v>11.375</v>
      </c>
      <c r="N3062">
        <f>VLOOKUP(A3062,vlookup_table!$A:$G,2,FALSE)</f>
        <v>1</v>
      </c>
      <c r="O3062" t="str">
        <f>VLOOKUP(A3062,vlookup_table!$A:$G,3,FALSE)</f>
        <v>FL</v>
      </c>
      <c r="P3062">
        <f>VLOOKUP(A3062,vlookup_table!$A:$G,4,FALSE)</f>
        <v>2504</v>
      </c>
      <c r="Q3062" t="str">
        <f>VLOOKUP(A3062,vlookup_table!$A:$G,5,FALSE)</f>
        <v>T2</v>
      </c>
      <c r="R3062" t="str">
        <f>VLOOKUP(A3062,vlookup_table!$A:$G,6,FALSE)</f>
        <v>M</v>
      </c>
      <c r="S3062">
        <f>VLOOKUP(A3062,vlookup_table!$A:$G,7,FALSE)</f>
        <v>5</v>
      </c>
      <c r="T3062">
        <f t="shared" si="94"/>
        <v>71</v>
      </c>
      <c r="U3062" t="str">
        <f t="shared" si="95"/>
        <v>Pueblo</v>
      </c>
    </row>
    <row r="3063" spans="1:21" ht="16" x14ac:dyDescent="0.4">
      <c r="A3063" s="9">
        <v>2935</v>
      </c>
      <c r="B3063" s="8" t="s">
        <v>16</v>
      </c>
      <c r="C3063" s="8" t="s">
        <v>17</v>
      </c>
      <c r="D3063" s="8">
        <v>1609</v>
      </c>
      <c r="E3063" s="8">
        <v>504</v>
      </c>
      <c r="F3063" s="8">
        <v>663</v>
      </c>
      <c r="G3063" s="8">
        <v>33</v>
      </c>
      <c r="H3063" s="8">
        <v>23852</v>
      </c>
      <c r="I3063" s="8">
        <v>9</v>
      </c>
      <c r="J3063" s="8">
        <v>63</v>
      </c>
      <c r="K3063" s="8">
        <v>592</v>
      </c>
      <c r="L3063" s="8">
        <v>579</v>
      </c>
      <c r="M3063" s="8">
        <v>22.5</v>
      </c>
      <c r="N3063">
        <f>VLOOKUP(A3063,vlookup_table!$A:$G,2,FALSE)</f>
        <v>0</v>
      </c>
      <c r="O3063" t="str">
        <f>VLOOKUP(A3063,vlookup_table!$A:$G,3,FALSE)</f>
        <v>IL</v>
      </c>
      <c r="P3063">
        <f>VLOOKUP(A3063,vlookup_table!$A:$G,4,FALSE)</f>
        <v>0</v>
      </c>
      <c r="Q3063" t="str">
        <f>VLOOKUP(A3063,vlookup_table!$A:$G,5,FALSE)</f>
        <v/>
      </c>
      <c r="R3063" t="str">
        <f>VLOOKUP(A3063,vlookup_table!$A:$G,6,FALSE)</f>
        <v>F</v>
      </c>
      <c r="S3063">
        <f>VLOOKUP(A3063,vlookup_table!$A:$G,7,FALSE)</f>
        <v>25</v>
      </c>
      <c r="T3063">
        <f t="shared" si="94"/>
        <v>96</v>
      </c>
      <c r="U3063" t="str">
        <f t="shared" si="95"/>
        <v/>
      </c>
    </row>
    <row r="3064" spans="1:21" ht="16" x14ac:dyDescent="0.4">
      <c r="A3064" s="9">
        <v>132983</v>
      </c>
      <c r="B3064" s="8" t="s">
        <v>58</v>
      </c>
      <c r="C3064" s="8" t="s">
        <v>14</v>
      </c>
      <c r="D3064" s="8">
        <v>1611</v>
      </c>
      <c r="E3064" s="8">
        <v>320</v>
      </c>
      <c r="F3064" s="8">
        <v>456</v>
      </c>
      <c r="G3064" s="8">
        <v>38</v>
      </c>
      <c r="H3064" s="8">
        <v>18475</v>
      </c>
      <c r="I3064" s="8">
        <v>2</v>
      </c>
      <c r="J3064" s="8">
        <v>25</v>
      </c>
      <c r="K3064" s="8">
        <v>404</v>
      </c>
      <c r="L3064" s="8">
        <v>404</v>
      </c>
      <c r="M3064" s="8">
        <v>10</v>
      </c>
      <c r="N3064">
        <f>VLOOKUP(A3064,vlookup_table!$A:$G,2,FALSE)</f>
        <v>2</v>
      </c>
      <c r="O3064" t="str">
        <f>VLOOKUP(A3064,vlookup_table!$A:$G,3,FALSE)</f>
        <v>WY</v>
      </c>
      <c r="P3064">
        <f>VLOOKUP(A3064,vlookup_table!$A:$G,4,FALSE)</f>
        <v>4401</v>
      </c>
      <c r="Q3064" t="str">
        <f>VLOOKUP(A3064,vlookup_table!$A:$G,5,FALSE)</f>
        <v>R1</v>
      </c>
      <c r="R3064" t="str">
        <f>VLOOKUP(A3064,vlookup_table!$A:$G,6,FALSE)</f>
        <v>M</v>
      </c>
      <c r="S3064">
        <f>VLOOKUP(A3064,vlookup_table!$A:$G,7,FALSE)</f>
        <v>15</v>
      </c>
      <c r="T3064">
        <f t="shared" si="94"/>
        <v>52</v>
      </c>
      <c r="U3064" t="str">
        <f t="shared" si="95"/>
        <v>Rural</v>
      </c>
    </row>
    <row r="3065" spans="1:21" ht="16" x14ac:dyDescent="0.4">
      <c r="A3065" s="9">
        <v>104747</v>
      </c>
      <c r="B3065" s="8" t="s">
        <v>25</v>
      </c>
      <c r="C3065" s="8" t="s">
        <v>17</v>
      </c>
      <c r="D3065" s="8">
        <v>706</v>
      </c>
      <c r="E3065" s="8">
        <v>391</v>
      </c>
      <c r="F3065" s="8">
        <v>493</v>
      </c>
      <c r="G3065" s="8">
        <v>0</v>
      </c>
      <c r="H3065" s="8">
        <v>19160</v>
      </c>
      <c r="I3065" s="8">
        <v>3</v>
      </c>
      <c r="J3065" s="8">
        <v>31</v>
      </c>
      <c r="K3065" s="8">
        <v>458</v>
      </c>
      <c r="L3065" s="8">
        <v>434</v>
      </c>
      <c r="M3065" s="8">
        <v>8</v>
      </c>
      <c r="N3065">
        <f>VLOOKUP(A3065,vlookup_table!$A:$G,2,FALSE)</f>
        <v>2</v>
      </c>
      <c r="O3065" t="str">
        <f>VLOOKUP(A3065,vlookup_table!$A:$G,3,FALSE)</f>
        <v>KS</v>
      </c>
      <c r="P3065">
        <f>VLOOKUP(A3065,vlookup_table!$A:$G,4,FALSE)</f>
        <v>1303</v>
      </c>
      <c r="Q3065" t="str">
        <f>VLOOKUP(A3065,vlookup_table!$A:$G,5,FALSE)</f>
        <v>U1</v>
      </c>
      <c r="R3065" t="str">
        <f>VLOOKUP(A3065,vlookup_table!$A:$G,6,FALSE)</f>
        <v>F</v>
      </c>
      <c r="S3065">
        <f>VLOOKUP(A3065,vlookup_table!$A:$G,7,FALSE)</f>
        <v>10</v>
      </c>
      <c r="T3065">
        <f t="shared" si="94"/>
        <v>83</v>
      </c>
      <c r="U3065" t="str">
        <f t="shared" si="95"/>
        <v>Urbano</v>
      </c>
    </row>
    <row r="3066" spans="1:21" ht="16" x14ac:dyDescent="0.4">
      <c r="A3066" s="9">
        <v>92772</v>
      </c>
      <c r="B3066" s="8" t="s">
        <v>13</v>
      </c>
      <c r="C3066" s="8" t="s">
        <v>17</v>
      </c>
      <c r="D3066" s="8">
        <v>860</v>
      </c>
      <c r="E3066" s="8">
        <v>294</v>
      </c>
      <c r="F3066" s="8">
        <v>348</v>
      </c>
      <c r="G3066" s="8">
        <v>0</v>
      </c>
      <c r="H3066" s="8">
        <v>15425</v>
      </c>
      <c r="I3066" s="8">
        <v>8</v>
      </c>
      <c r="J3066" s="8">
        <v>8</v>
      </c>
      <c r="K3066" s="8">
        <v>322</v>
      </c>
      <c r="L3066" s="8">
        <v>329</v>
      </c>
      <c r="M3066" s="8">
        <v>18</v>
      </c>
      <c r="N3066">
        <f>VLOOKUP(A3066,vlookup_table!$A:$G,2,FALSE)</f>
        <v>2</v>
      </c>
      <c r="O3066" t="str">
        <f>VLOOKUP(A3066,vlookup_table!$A:$G,3,FALSE)</f>
        <v>FL</v>
      </c>
      <c r="P3066">
        <f>VLOOKUP(A3066,vlookup_table!$A:$G,4,FALSE)</f>
        <v>4002</v>
      </c>
      <c r="Q3066" t="str">
        <f>VLOOKUP(A3066,vlookup_table!$A:$G,5,FALSE)</f>
        <v>S1</v>
      </c>
      <c r="R3066" t="str">
        <f>VLOOKUP(A3066,vlookup_table!$A:$G,6,FALSE)</f>
        <v>F</v>
      </c>
      <c r="S3066">
        <f>VLOOKUP(A3066,vlookup_table!$A:$G,7,FALSE)</f>
        <v>5</v>
      </c>
      <c r="T3066">
        <f t="shared" si="94"/>
        <v>56</v>
      </c>
      <c r="U3066" t="str">
        <f t="shared" si="95"/>
        <v>Suburbano</v>
      </c>
    </row>
    <row r="3067" spans="1:21" ht="16" x14ac:dyDescent="0.4">
      <c r="A3067" s="9">
        <v>64522</v>
      </c>
      <c r="B3067" s="8" t="s">
        <v>30</v>
      </c>
      <c r="C3067" s="8" t="s">
        <v>14</v>
      </c>
      <c r="D3067" s="8">
        <v>648</v>
      </c>
      <c r="E3067" s="8">
        <v>304</v>
      </c>
      <c r="F3067" s="8">
        <v>396</v>
      </c>
      <c r="G3067" s="8">
        <v>3</v>
      </c>
      <c r="H3067" s="8">
        <v>14750</v>
      </c>
      <c r="I3067" s="8">
        <v>1</v>
      </c>
      <c r="J3067" s="8">
        <v>72</v>
      </c>
      <c r="K3067" s="8">
        <v>349</v>
      </c>
      <c r="L3067" s="8">
        <v>358</v>
      </c>
      <c r="M3067" s="8">
        <v>8</v>
      </c>
      <c r="N3067">
        <f>VLOOKUP(A3067,vlookup_table!$A:$G,2,FALSE)</f>
        <v>0</v>
      </c>
      <c r="O3067" t="str">
        <f>VLOOKUP(A3067,vlookup_table!$A:$G,3,FALSE)</f>
        <v>IN</v>
      </c>
      <c r="P3067">
        <f>VLOOKUP(A3067,vlookup_table!$A:$G,4,FALSE)</f>
        <v>3606</v>
      </c>
      <c r="Q3067" t="str">
        <f>VLOOKUP(A3067,vlookup_table!$A:$G,5,FALSE)</f>
        <v>R2</v>
      </c>
      <c r="R3067" t="str">
        <f>VLOOKUP(A3067,vlookup_table!$A:$G,6,FALSE)</f>
        <v>M</v>
      </c>
      <c r="S3067">
        <f>VLOOKUP(A3067,vlookup_table!$A:$G,7,FALSE)</f>
        <v>10</v>
      </c>
      <c r="T3067">
        <f t="shared" si="94"/>
        <v>60</v>
      </c>
      <c r="U3067" t="str">
        <f t="shared" si="95"/>
        <v>Rural</v>
      </c>
    </row>
    <row r="3068" spans="1:21" ht="16" x14ac:dyDescent="0.4">
      <c r="A3068" s="9">
        <v>175719</v>
      </c>
      <c r="B3068" s="8" t="s">
        <v>47</v>
      </c>
      <c r="C3068" s="8" t="s">
        <v>14</v>
      </c>
      <c r="D3068" s="8">
        <v>749</v>
      </c>
      <c r="E3068" s="8">
        <v>316</v>
      </c>
      <c r="F3068" s="8">
        <v>412</v>
      </c>
      <c r="G3068" s="8">
        <v>0</v>
      </c>
      <c r="H3068" s="8">
        <v>15051</v>
      </c>
      <c r="I3068" s="8">
        <v>4</v>
      </c>
      <c r="J3068" s="8">
        <v>56</v>
      </c>
      <c r="K3068" s="8">
        <v>339</v>
      </c>
      <c r="L3068" s="8">
        <v>378</v>
      </c>
      <c r="M3068" s="8">
        <v>8.3333333330000006</v>
      </c>
      <c r="N3068">
        <f>VLOOKUP(A3068,vlookup_table!$A:$G,2,FALSE)</f>
        <v>0</v>
      </c>
      <c r="O3068" t="str">
        <f>VLOOKUP(A3068,vlookup_table!$A:$G,3,FALSE)</f>
        <v>OR</v>
      </c>
      <c r="P3068">
        <f>VLOOKUP(A3068,vlookup_table!$A:$G,4,FALSE)</f>
        <v>2502</v>
      </c>
      <c r="Q3068" t="str">
        <f>VLOOKUP(A3068,vlookup_table!$A:$G,5,FALSE)</f>
        <v>S2</v>
      </c>
      <c r="R3068" t="str">
        <f>VLOOKUP(A3068,vlookup_table!$A:$G,6,FALSE)</f>
        <v>M</v>
      </c>
      <c r="S3068">
        <f>VLOOKUP(A3068,vlookup_table!$A:$G,7,FALSE)</f>
        <v>5</v>
      </c>
      <c r="T3068">
        <f t="shared" si="94"/>
        <v>71</v>
      </c>
      <c r="U3068" t="str">
        <f t="shared" si="95"/>
        <v>Suburbano</v>
      </c>
    </row>
    <row r="3069" spans="1:21" ht="16" x14ac:dyDescent="0.4">
      <c r="A3069" s="9">
        <v>56318</v>
      </c>
      <c r="B3069" s="8" t="s">
        <v>53</v>
      </c>
      <c r="C3069" s="8" t="s">
        <v>17</v>
      </c>
      <c r="D3069" s="8">
        <v>2008</v>
      </c>
      <c r="E3069" s="8">
        <v>788</v>
      </c>
      <c r="F3069" s="8">
        <v>832</v>
      </c>
      <c r="G3069" s="8">
        <v>50</v>
      </c>
      <c r="H3069" s="8">
        <v>39749</v>
      </c>
      <c r="I3069" s="8">
        <v>0</v>
      </c>
      <c r="J3069" s="8">
        <v>74</v>
      </c>
      <c r="K3069" s="8">
        <v>863</v>
      </c>
      <c r="L3069" s="8">
        <v>782</v>
      </c>
      <c r="M3069" s="8">
        <v>5.1666666670000003</v>
      </c>
      <c r="N3069">
        <f>VLOOKUP(A3069,vlookup_table!$A:$G,2,FALSE)</f>
        <v>28</v>
      </c>
      <c r="O3069" t="str">
        <f>VLOOKUP(A3069,vlookup_table!$A:$G,3,FALSE)</f>
        <v>KY</v>
      </c>
      <c r="P3069">
        <f>VLOOKUP(A3069,vlookup_table!$A:$G,4,FALSE)</f>
        <v>5801</v>
      </c>
      <c r="Q3069" t="str">
        <f>VLOOKUP(A3069,vlookup_table!$A:$G,5,FALSE)</f>
        <v>T1</v>
      </c>
      <c r="R3069" t="str">
        <f>VLOOKUP(A3069,vlookup_table!$A:$G,6,FALSE)</f>
        <v>F</v>
      </c>
      <c r="S3069">
        <f>VLOOKUP(A3069,vlookup_table!$A:$G,7,FALSE)</f>
        <v>5</v>
      </c>
      <c r="T3069">
        <f t="shared" si="94"/>
        <v>38</v>
      </c>
      <c r="U3069" t="str">
        <f t="shared" si="95"/>
        <v>Pueblo</v>
      </c>
    </row>
    <row r="3070" spans="1:21" ht="16" x14ac:dyDescent="0.4">
      <c r="A3070" s="9">
        <v>113736</v>
      </c>
      <c r="B3070" s="8" t="s">
        <v>28</v>
      </c>
      <c r="C3070" s="8" t="s">
        <v>17</v>
      </c>
      <c r="D3070" s="8">
        <v>706</v>
      </c>
      <c r="E3070" s="8">
        <v>439</v>
      </c>
      <c r="F3070" s="8">
        <v>500</v>
      </c>
      <c r="G3070" s="8">
        <v>7</v>
      </c>
      <c r="H3070" s="8">
        <v>17192</v>
      </c>
      <c r="I3070" s="8">
        <v>0</v>
      </c>
      <c r="J3070" s="8">
        <v>68</v>
      </c>
      <c r="K3070" s="8">
        <v>470</v>
      </c>
      <c r="L3070" s="8">
        <v>467</v>
      </c>
      <c r="M3070" s="8">
        <v>12</v>
      </c>
      <c r="N3070">
        <f>VLOOKUP(A3070,vlookup_table!$A:$G,2,FALSE)</f>
        <v>0</v>
      </c>
      <c r="O3070" t="str">
        <f>VLOOKUP(A3070,vlookup_table!$A:$G,3,FALSE)</f>
        <v>OK</v>
      </c>
      <c r="P3070">
        <f>VLOOKUP(A3070,vlookup_table!$A:$G,4,FALSE)</f>
        <v>5701</v>
      </c>
      <c r="Q3070" t="str">
        <f>VLOOKUP(A3070,vlookup_table!$A:$G,5,FALSE)</f>
        <v>T1</v>
      </c>
      <c r="R3070" t="str">
        <f>VLOOKUP(A3070,vlookup_table!$A:$G,6,FALSE)</f>
        <v>F</v>
      </c>
      <c r="S3070">
        <f>VLOOKUP(A3070,vlookup_table!$A:$G,7,FALSE)</f>
        <v>20</v>
      </c>
      <c r="T3070">
        <f t="shared" si="94"/>
        <v>39</v>
      </c>
      <c r="U3070" t="str">
        <f t="shared" si="95"/>
        <v>Pueblo</v>
      </c>
    </row>
    <row r="3071" spans="1:21" ht="16" x14ac:dyDescent="0.4">
      <c r="A3071" s="9">
        <v>165366</v>
      </c>
      <c r="B3071" s="8" t="s">
        <v>21</v>
      </c>
      <c r="C3071" s="8" t="s">
        <v>14</v>
      </c>
      <c r="D3071" s="8">
        <v>5567</v>
      </c>
      <c r="E3071" s="8">
        <v>1094</v>
      </c>
      <c r="F3071" s="8">
        <v>1093</v>
      </c>
      <c r="G3071" s="8">
        <v>99</v>
      </c>
      <c r="H3071" s="8">
        <v>52169</v>
      </c>
      <c r="I3071" s="8">
        <v>10</v>
      </c>
      <c r="J3071" s="8">
        <v>59</v>
      </c>
      <c r="K3071" s="8">
        <v>1189</v>
      </c>
      <c r="L3071" s="8">
        <v>1045</v>
      </c>
      <c r="M3071" s="8">
        <v>25</v>
      </c>
      <c r="N3071">
        <f>VLOOKUP(A3071,vlookup_table!$A:$G,2,FALSE)</f>
        <v>0</v>
      </c>
      <c r="O3071" t="str">
        <f>VLOOKUP(A3071,vlookup_table!$A:$G,3,FALSE)</f>
        <v>CA</v>
      </c>
      <c r="P3071">
        <f>VLOOKUP(A3071,vlookup_table!$A:$G,4,FALSE)</f>
        <v>0</v>
      </c>
      <c r="Q3071" t="str">
        <f>VLOOKUP(A3071,vlookup_table!$A:$G,5,FALSE)</f>
        <v>T1</v>
      </c>
      <c r="R3071" t="str">
        <f>VLOOKUP(A3071,vlookup_table!$A:$G,6,FALSE)</f>
        <v>M</v>
      </c>
      <c r="S3071">
        <f>VLOOKUP(A3071,vlookup_table!$A:$G,7,FALSE)</f>
        <v>30</v>
      </c>
      <c r="T3071">
        <f t="shared" si="94"/>
        <v>96</v>
      </c>
      <c r="U3071" t="str">
        <f t="shared" si="95"/>
        <v>Pueblo</v>
      </c>
    </row>
    <row r="3072" spans="1:21" ht="16" x14ac:dyDescent="0.4">
      <c r="A3072" s="9">
        <v>73371</v>
      </c>
      <c r="B3072" s="8" t="s">
        <v>26</v>
      </c>
      <c r="C3072" s="8"/>
      <c r="D3072" s="8">
        <v>363</v>
      </c>
      <c r="E3072" s="8">
        <v>256</v>
      </c>
      <c r="F3072" s="8">
        <v>331</v>
      </c>
      <c r="G3072" s="8">
        <v>0</v>
      </c>
      <c r="H3072" s="8">
        <v>12080</v>
      </c>
      <c r="I3072" s="8">
        <v>1</v>
      </c>
      <c r="J3072" s="8">
        <v>89</v>
      </c>
      <c r="K3072" s="8">
        <v>298</v>
      </c>
      <c r="L3072" s="8">
        <v>288</v>
      </c>
      <c r="M3072" s="8">
        <v>5.125</v>
      </c>
      <c r="N3072">
        <f>VLOOKUP(A3072,vlookup_table!$A:$G,2,FALSE)</f>
        <v>1</v>
      </c>
      <c r="O3072" t="str">
        <f>VLOOKUP(A3072,vlookup_table!$A:$G,3,FALSE)</f>
        <v>MI</v>
      </c>
      <c r="P3072">
        <f>VLOOKUP(A3072,vlookup_table!$A:$G,4,FALSE)</f>
        <v>1901</v>
      </c>
      <c r="Q3072" t="str">
        <f>VLOOKUP(A3072,vlookup_table!$A:$G,5,FALSE)</f>
        <v>C3</v>
      </c>
      <c r="R3072" t="str">
        <f>VLOOKUP(A3072,vlookup_table!$A:$G,6,FALSE)</f>
        <v/>
      </c>
      <c r="S3072">
        <f>VLOOKUP(A3072,vlookup_table!$A:$G,7,FALSE)</f>
        <v>10</v>
      </c>
      <c r="T3072">
        <f t="shared" si="94"/>
        <v>77</v>
      </c>
      <c r="U3072" t="str">
        <f t="shared" si="95"/>
        <v>Ciudad</v>
      </c>
    </row>
    <row r="3073" spans="1:21" ht="16" x14ac:dyDescent="0.4">
      <c r="A3073" s="9">
        <v>145895</v>
      </c>
      <c r="B3073" s="8" t="s">
        <v>21</v>
      </c>
      <c r="C3073" s="8" t="s">
        <v>17</v>
      </c>
      <c r="D3073" s="8">
        <v>2679</v>
      </c>
      <c r="E3073" s="8">
        <v>445</v>
      </c>
      <c r="F3073" s="8">
        <v>572</v>
      </c>
      <c r="G3073" s="8">
        <v>78</v>
      </c>
      <c r="H3073" s="8">
        <v>20693</v>
      </c>
      <c r="I3073" s="8">
        <v>11</v>
      </c>
      <c r="J3073" s="8">
        <v>55</v>
      </c>
      <c r="K3073" s="8">
        <v>470</v>
      </c>
      <c r="L3073" s="8">
        <v>535</v>
      </c>
      <c r="M3073" s="8">
        <v>9.75</v>
      </c>
      <c r="N3073">
        <f>VLOOKUP(A3073,vlookup_table!$A:$G,2,FALSE)</f>
        <v>0</v>
      </c>
      <c r="O3073" t="str">
        <f>VLOOKUP(A3073,vlookup_table!$A:$G,3,FALSE)</f>
        <v>CA</v>
      </c>
      <c r="P3073">
        <f>VLOOKUP(A3073,vlookup_table!$A:$G,4,FALSE)</f>
        <v>0</v>
      </c>
      <c r="Q3073" t="str">
        <f>VLOOKUP(A3073,vlookup_table!$A:$G,5,FALSE)</f>
        <v>S1</v>
      </c>
      <c r="R3073" t="str">
        <f>VLOOKUP(A3073,vlookup_table!$A:$G,6,FALSE)</f>
        <v>F</v>
      </c>
      <c r="S3073">
        <f>VLOOKUP(A3073,vlookup_table!$A:$G,7,FALSE)</f>
        <v>15</v>
      </c>
      <c r="T3073">
        <f t="shared" si="94"/>
        <v>96</v>
      </c>
      <c r="U3073" t="str">
        <f t="shared" si="95"/>
        <v>Suburbano</v>
      </c>
    </row>
    <row r="3074" spans="1:21" ht="16" x14ac:dyDescent="0.4">
      <c r="A3074" s="9">
        <v>5366</v>
      </c>
      <c r="B3074" s="8" t="s">
        <v>21</v>
      </c>
      <c r="C3074" s="8" t="s">
        <v>17</v>
      </c>
      <c r="D3074" s="8">
        <v>1522</v>
      </c>
      <c r="E3074" s="8">
        <v>426</v>
      </c>
      <c r="F3074" s="8">
        <v>437</v>
      </c>
      <c r="G3074" s="8">
        <v>16</v>
      </c>
      <c r="H3074" s="8">
        <v>14334</v>
      </c>
      <c r="I3074" s="8">
        <v>6</v>
      </c>
      <c r="J3074" s="8">
        <v>55</v>
      </c>
      <c r="K3074" s="8">
        <v>425</v>
      </c>
      <c r="L3074" s="8">
        <v>462</v>
      </c>
      <c r="M3074" s="8">
        <v>13.875</v>
      </c>
      <c r="N3074">
        <f>VLOOKUP(A3074,vlookup_table!$A:$G,2,FALSE)</f>
        <v>0</v>
      </c>
      <c r="O3074" t="str">
        <f>VLOOKUP(A3074,vlookup_table!$A:$G,3,FALSE)</f>
        <v>CA</v>
      </c>
      <c r="P3074">
        <f>VLOOKUP(A3074,vlookup_table!$A:$G,4,FALSE)</f>
        <v>4901</v>
      </c>
      <c r="Q3074" t="str">
        <f>VLOOKUP(A3074,vlookup_table!$A:$G,5,FALSE)</f>
        <v>C2</v>
      </c>
      <c r="R3074" t="str">
        <f>VLOOKUP(A3074,vlookup_table!$A:$G,6,FALSE)</f>
        <v>F</v>
      </c>
      <c r="S3074">
        <f>VLOOKUP(A3074,vlookup_table!$A:$G,7,FALSE)</f>
        <v>20</v>
      </c>
      <c r="T3074">
        <f t="shared" si="94"/>
        <v>47</v>
      </c>
      <c r="U3074" t="str">
        <f t="shared" si="95"/>
        <v>Ciudad</v>
      </c>
    </row>
    <row r="3075" spans="1:21" ht="16" x14ac:dyDescent="0.4">
      <c r="A3075" s="9">
        <v>37090</v>
      </c>
      <c r="B3075" s="8" t="s">
        <v>13</v>
      </c>
      <c r="C3075" s="8" t="s">
        <v>14</v>
      </c>
      <c r="D3075" s="8">
        <v>1363</v>
      </c>
      <c r="E3075" s="8">
        <v>491</v>
      </c>
      <c r="F3075" s="8">
        <v>616</v>
      </c>
      <c r="G3075" s="8">
        <v>24</v>
      </c>
      <c r="H3075" s="8">
        <v>23656</v>
      </c>
      <c r="I3075" s="8">
        <v>18</v>
      </c>
      <c r="J3075" s="8">
        <v>23</v>
      </c>
      <c r="K3075" s="8">
        <v>524</v>
      </c>
      <c r="L3075" s="8">
        <v>581</v>
      </c>
      <c r="M3075" s="8">
        <v>13.7</v>
      </c>
      <c r="N3075">
        <f>VLOOKUP(A3075,vlookup_table!$A:$G,2,FALSE)</f>
        <v>1</v>
      </c>
      <c r="O3075" t="str">
        <f>VLOOKUP(A3075,vlookup_table!$A:$G,3,FALSE)</f>
        <v>FL</v>
      </c>
      <c r="P3075">
        <f>VLOOKUP(A3075,vlookup_table!$A:$G,4,FALSE)</f>
        <v>3011</v>
      </c>
      <c r="Q3075" t="str">
        <f>VLOOKUP(A3075,vlookup_table!$A:$G,5,FALSE)</f>
        <v>S3</v>
      </c>
      <c r="R3075" t="str">
        <f>VLOOKUP(A3075,vlookup_table!$A:$G,6,FALSE)</f>
        <v>M</v>
      </c>
      <c r="S3075">
        <f>VLOOKUP(A3075,vlookup_table!$A:$G,7,FALSE)</f>
        <v>20</v>
      </c>
      <c r="T3075">
        <f t="shared" ref="T3075:T3138" si="96">97-LEFT(P3075,2)-IF(RIGHT(P3075,2)&gt;6,1,0)</f>
        <v>66</v>
      </c>
      <c r="U3075" t="str">
        <f t="shared" ref="U3075:U3138" si="97">IF(LEFT(Q3075,1)="C","Ciudad",IF(LEFT(Q3075,1)="T","Pueblo",IF(LEFT(Q3075,1)="R","Rural",IF(LEFT(Q3075,1)="S","Suburbano",IF(LEFT(Q3075,1)="U","Urbano","")))))</f>
        <v>Suburbano</v>
      </c>
    </row>
    <row r="3076" spans="1:21" ht="16" x14ac:dyDescent="0.4">
      <c r="A3076" s="9">
        <v>427</v>
      </c>
      <c r="B3076" s="8" t="s">
        <v>13</v>
      </c>
      <c r="C3076" s="8" t="s">
        <v>14</v>
      </c>
      <c r="D3076" s="8">
        <v>709</v>
      </c>
      <c r="E3076" s="8">
        <v>256</v>
      </c>
      <c r="F3076" s="8">
        <v>327</v>
      </c>
      <c r="G3076" s="8">
        <v>0</v>
      </c>
      <c r="H3076" s="8">
        <v>13576</v>
      </c>
      <c r="I3076" s="8">
        <v>3</v>
      </c>
      <c r="J3076" s="8">
        <v>8</v>
      </c>
      <c r="K3076" s="8">
        <v>271</v>
      </c>
      <c r="L3076" s="8">
        <v>291</v>
      </c>
      <c r="M3076" s="8">
        <v>9.5454545460000002</v>
      </c>
      <c r="N3076">
        <f>VLOOKUP(A3076,vlookup_table!$A:$G,2,FALSE)</f>
        <v>0</v>
      </c>
      <c r="O3076" t="str">
        <f>VLOOKUP(A3076,vlookup_table!$A:$G,3,FALSE)</f>
        <v>FL</v>
      </c>
      <c r="P3076">
        <f>VLOOKUP(A3076,vlookup_table!$A:$G,4,FALSE)</f>
        <v>0</v>
      </c>
      <c r="Q3076" t="str">
        <f>VLOOKUP(A3076,vlookup_table!$A:$G,5,FALSE)</f>
        <v>C2</v>
      </c>
      <c r="R3076" t="str">
        <f>VLOOKUP(A3076,vlookup_table!$A:$G,6,FALSE)</f>
        <v>M</v>
      </c>
      <c r="S3076">
        <f>VLOOKUP(A3076,vlookup_table!$A:$G,7,FALSE)</f>
        <v>10</v>
      </c>
      <c r="T3076">
        <f t="shared" si="96"/>
        <v>96</v>
      </c>
      <c r="U3076" t="str">
        <f t="shared" si="97"/>
        <v>Ciudad</v>
      </c>
    </row>
    <row r="3077" spans="1:21" ht="16" x14ac:dyDescent="0.4">
      <c r="A3077" s="9">
        <v>220</v>
      </c>
      <c r="B3077" s="8" t="s">
        <v>16</v>
      </c>
      <c r="C3077" s="8" t="s">
        <v>14</v>
      </c>
      <c r="D3077" s="8">
        <v>550</v>
      </c>
      <c r="E3077" s="8">
        <v>387</v>
      </c>
      <c r="F3077" s="8">
        <v>502</v>
      </c>
      <c r="G3077" s="8">
        <v>0</v>
      </c>
      <c r="H3077" s="8">
        <v>20210</v>
      </c>
      <c r="I3077" s="8">
        <v>1</v>
      </c>
      <c r="J3077" s="8">
        <v>71</v>
      </c>
      <c r="K3077" s="8">
        <v>427</v>
      </c>
      <c r="L3077" s="8">
        <v>467</v>
      </c>
      <c r="M3077" s="8">
        <v>5.5454545450000001</v>
      </c>
      <c r="N3077">
        <f>VLOOKUP(A3077,vlookup_table!$A:$G,2,FALSE)</f>
        <v>1</v>
      </c>
      <c r="O3077" t="str">
        <f>VLOOKUP(A3077,vlookup_table!$A:$G,3,FALSE)</f>
        <v>IL</v>
      </c>
      <c r="P3077">
        <f>VLOOKUP(A3077,vlookup_table!$A:$G,4,FALSE)</f>
        <v>5205</v>
      </c>
      <c r="Q3077" t="str">
        <f>VLOOKUP(A3077,vlookup_table!$A:$G,5,FALSE)</f>
        <v>C3</v>
      </c>
      <c r="R3077" t="str">
        <f>VLOOKUP(A3077,vlookup_table!$A:$G,6,FALSE)</f>
        <v>M</v>
      </c>
      <c r="S3077">
        <f>VLOOKUP(A3077,vlookup_table!$A:$G,7,FALSE)</f>
        <v>8</v>
      </c>
      <c r="T3077">
        <f t="shared" si="96"/>
        <v>44</v>
      </c>
      <c r="U3077" t="str">
        <f t="shared" si="97"/>
        <v>Ciudad</v>
      </c>
    </row>
    <row r="3078" spans="1:21" ht="16" x14ac:dyDescent="0.4">
      <c r="A3078" s="9">
        <v>39246</v>
      </c>
      <c r="B3078" s="8" t="s">
        <v>13</v>
      </c>
      <c r="C3078" s="8" t="s">
        <v>17</v>
      </c>
      <c r="D3078" s="8">
        <v>1093</v>
      </c>
      <c r="E3078" s="8">
        <v>364</v>
      </c>
      <c r="F3078" s="8">
        <v>441</v>
      </c>
      <c r="G3078" s="8">
        <v>2</v>
      </c>
      <c r="H3078" s="8">
        <v>15640</v>
      </c>
      <c r="I3078" s="8">
        <v>6</v>
      </c>
      <c r="J3078" s="8">
        <v>30</v>
      </c>
      <c r="K3078" s="8">
        <v>424</v>
      </c>
      <c r="L3078" s="8">
        <v>392</v>
      </c>
      <c r="M3078" s="8">
        <v>4.25</v>
      </c>
      <c r="N3078">
        <f>VLOOKUP(A3078,vlookup_table!$A:$G,2,FALSE)</f>
        <v>28</v>
      </c>
      <c r="O3078" t="str">
        <f>VLOOKUP(A3078,vlookup_table!$A:$G,3,FALSE)</f>
        <v>FL</v>
      </c>
      <c r="P3078">
        <f>VLOOKUP(A3078,vlookup_table!$A:$G,4,FALSE)</f>
        <v>2401</v>
      </c>
      <c r="Q3078" t="str">
        <f>VLOOKUP(A3078,vlookup_table!$A:$G,5,FALSE)</f>
        <v>S2</v>
      </c>
      <c r="R3078" t="str">
        <f>VLOOKUP(A3078,vlookup_table!$A:$G,6,FALSE)</f>
        <v>F</v>
      </c>
      <c r="S3078">
        <f>VLOOKUP(A3078,vlookup_table!$A:$G,7,FALSE)</f>
        <v>5</v>
      </c>
      <c r="T3078">
        <f t="shared" si="96"/>
        <v>72</v>
      </c>
      <c r="U3078" t="str">
        <f t="shared" si="97"/>
        <v>Suburbano</v>
      </c>
    </row>
    <row r="3079" spans="1:21" ht="16" x14ac:dyDescent="0.4">
      <c r="A3079" s="9">
        <v>85853</v>
      </c>
      <c r="B3079" s="8" t="s">
        <v>52</v>
      </c>
      <c r="C3079" s="8" t="s">
        <v>14</v>
      </c>
      <c r="D3079" s="8">
        <v>542</v>
      </c>
      <c r="E3079" s="8">
        <v>280</v>
      </c>
      <c r="F3079" s="8">
        <v>320</v>
      </c>
      <c r="G3079" s="8">
        <v>0</v>
      </c>
      <c r="H3079" s="8">
        <v>10254</v>
      </c>
      <c r="I3079" s="8">
        <v>2</v>
      </c>
      <c r="J3079" s="8">
        <v>79</v>
      </c>
      <c r="K3079" s="8">
        <v>305</v>
      </c>
      <c r="L3079" s="8">
        <v>303</v>
      </c>
      <c r="M3079" s="8">
        <v>7</v>
      </c>
      <c r="N3079">
        <f>VLOOKUP(A3079,vlookup_table!$A:$G,2,FALSE)</f>
        <v>1002</v>
      </c>
      <c r="O3079" t="str">
        <f>VLOOKUP(A3079,vlookup_table!$A:$G,3,FALSE)</f>
        <v>MN</v>
      </c>
      <c r="P3079">
        <f>VLOOKUP(A3079,vlookup_table!$A:$G,4,FALSE)</f>
        <v>6001</v>
      </c>
      <c r="Q3079" t="str">
        <f>VLOOKUP(A3079,vlookup_table!$A:$G,5,FALSE)</f>
        <v>R2</v>
      </c>
      <c r="R3079" t="str">
        <f>VLOOKUP(A3079,vlookup_table!$A:$G,6,FALSE)</f>
        <v>M</v>
      </c>
      <c r="S3079">
        <f>VLOOKUP(A3079,vlookup_table!$A:$G,7,FALSE)</f>
        <v>20</v>
      </c>
      <c r="T3079">
        <f t="shared" si="96"/>
        <v>36</v>
      </c>
      <c r="U3079" t="str">
        <f t="shared" si="97"/>
        <v>Rural</v>
      </c>
    </row>
    <row r="3080" spans="1:21" ht="16" x14ac:dyDescent="0.4">
      <c r="A3080" s="9">
        <v>97829</v>
      </c>
      <c r="B3080" s="8" t="s">
        <v>16</v>
      </c>
      <c r="C3080" s="8" t="s">
        <v>14</v>
      </c>
      <c r="D3080" s="8">
        <v>819</v>
      </c>
      <c r="E3080" s="8">
        <v>371</v>
      </c>
      <c r="F3080" s="8">
        <v>471</v>
      </c>
      <c r="G3080" s="8">
        <v>2</v>
      </c>
      <c r="H3080" s="8">
        <v>15719</v>
      </c>
      <c r="I3080" s="8">
        <v>1</v>
      </c>
      <c r="J3080" s="8">
        <v>65</v>
      </c>
      <c r="K3080" s="8">
        <v>432</v>
      </c>
      <c r="L3080" s="8">
        <v>407</v>
      </c>
      <c r="M3080" s="8">
        <v>4.7205882350000001</v>
      </c>
      <c r="N3080">
        <f>VLOOKUP(A3080,vlookup_table!$A:$G,2,FALSE)</f>
        <v>0</v>
      </c>
      <c r="O3080" t="str">
        <f>VLOOKUP(A3080,vlookup_table!$A:$G,3,FALSE)</f>
        <v>IL</v>
      </c>
      <c r="P3080">
        <f>VLOOKUP(A3080,vlookup_table!$A:$G,4,FALSE)</f>
        <v>5101</v>
      </c>
      <c r="Q3080" t="str">
        <f>VLOOKUP(A3080,vlookup_table!$A:$G,5,FALSE)</f>
        <v>T2</v>
      </c>
      <c r="R3080" t="str">
        <f>VLOOKUP(A3080,vlookup_table!$A:$G,6,FALSE)</f>
        <v>M</v>
      </c>
      <c r="S3080">
        <f>VLOOKUP(A3080,vlookup_table!$A:$G,7,FALSE)</f>
        <v>10</v>
      </c>
      <c r="T3080">
        <f t="shared" si="96"/>
        <v>45</v>
      </c>
      <c r="U3080" t="str">
        <f t="shared" si="97"/>
        <v>Pueblo</v>
      </c>
    </row>
    <row r="3081" spans="1:21" ht="16" x14ac:dyDescent="0.4">
      <c r="A3081" s="9">
        <v>118831</v>
      </c>
      <c r="B3081" s="8" t="s">
        <v>20</v>
      </c>
      <c r="C3081" s="8" t="s">
        <v>17</v>
      </c>
      <c r="D3081" s="8">
        <v>850</v>
      </c>
      <c r="E3081" s="8">
        <v>440</v>
      </c>
      <c r="F3081" s="8">
        <v>511</v>
      </c>
      <c r="G3081" s="8">
        <v>0</v>
      </c>
      <c r="H3081" s="8">
        <v>17825</v>
      </c>
      <c r="I3081" s="8">
        <v>6</v>
      </c>
      <c r="J3081" s="8">
        <v>51</v>
      </c>
      <c r="K3081" s="8">
        <v>468</v>
      </c>
      <c r="L3081" s="8">
        <v>470</v>
      </c>
      <c r="M3081" s="8">
        <v>20</v>
      </c>
      <c r="N3081">
        <f>VLOOKUP(A3081,vlookup_table!$A:$G,2,FALSE)</f>
        <v>0</v>
      </c>
      <c r="O3081" t="str">
        <f>VLOOKUP(A3081,vlookup_table!$A:$G,3,FALSE)</f>
        <v>TX</v>
      </c>
      <c r="P3081">
        <f>VLOOKUP(A3081,vlookup_table!$A:$G,4,FALSE)</f>
        <v>6201</v>
      </c>
      <c r="Q3081" t="str">
        <f>VLOOKUP(A3081,vlookup_table!$A:$G,5,FALSE)</f>
        <v>S1</v>
      </c>
      <c r="R3081" t="str">
        <f>VLOOKUP(A3081,vlookup_table!$A:$G,6,FALSE)</f>
        <v>F</v>
      </c>
      <c r="S3081">
        <f>VLOOKUP(A3081,vlookup_table!$A:$G,7,FALSE)</f>
        <v>20</v>
      </c>
      <c r="T3081">
        <f t="shared" si="96"/>
        <v>34</v>
      </c>
      <c r="U3081" t="str">
        <f t="shared" si="97"/>
        <v>Suburbano</v>
      </c>
    </row>
    <row r="3082" spans="1:21" ht="16" x14ac:dyDescent="0.4">
      <c r="A3082" s="9">
        <v>178597</v>
      </c>
      <c r="B3082" s="8" t="s">
        <v>37</v>
      </c>
      <c r="C3082" s="8" t="s">
        <v>17</v>
      </c>
      <c r="D3082" s="8">
        <v>2132</v>
      </c>
      <c r="E3082" s="8">
        <v>632</v>
      </c>
      <c r="F3082" s="8">
        <v>761</v>
      </c>
      <c r="G3082" s="8">
        <v>54</v>
      </c>
      <c r="H3082" s="8">
        <v>27547</v>
      </c>
      <c r="I3082" s="8">
        <v>6</v>
      </c>
      <c r="J3082" s="8">
        <v>53</v>
      </c>
      <c r="K3082" s="8">
        <v>714</v>
      </c>
      <c r="L3082" s="8">
        <v>721</v>
      </c>
      <c r="M3082" s="8">
        <v>13</v>
      </c>
      <c r="N3082">
        <f>VLOOKUP(A3082,vlookup_table!$A:$G,2,FALSE)</f>
        <v>2</v>
      </c>
      <c r="O3082" t="str">
        <f>VLOOKUP(A3082,vlookup_table!$A:$G,3,FALSE)</f>
        <v>WA</v>
      </c>
      <c r="P3082">
        <f>VLOOKUP(A3082,vlookup_table!$A:$G,4,FALSE)</f>
        <v>3201</v>
      </c>
      <c r="Q3082" t="str">
        <f>VLOOKUP(A3082,vlookup_table!$A:$G,5,FALSE)</f>
        <v>S1</v>
      </c>
      <c r="R3082" t="str">
        <f>VLOOKUP(A3082,vlookup_table!$A:$G,6,FALSE)</f>
        <v>F</v>
      </c>
      <c r="S3082">
        <f>VLOOKUP(A3082,vlookup_table!$A:$G,7,FALSE)</f>
        <v>22</v>
      </c>
      <c r="T3082">
        <f t="shared" si="96"/>
        <v>64</v>
      </c>
      <c r="U3082" t="str">
        <f t="shared" si="97"/>
        <v>Suburbano</v>
      </c>
    </row>
    <row r="3083" spans="1:21" ht="16" x14ac:dyDescent="0.4">
      <c r="A3083" s="9">
        <v>152509</v>
      </c>
      <c r="B3083" s="8" t="s">
        <v>21</v>
      </c>
      <c r="C3083" s="8" t="s">
        <v>17</v>
      </c>
      <c r="D3083" s="8">
        <v>1725</v>
      </c>
      <c r="E3083" s="8">
        <v>394</v>
      </c>
      <c r="F3083" s="8">
        <v>444</v>
      </c>
      <c r="G3083" s="8">
        <v>24</v>
      </c>
      <c r="H3083" s="8">
        <v>14032</v>
      </c>
      <c r="I3083" s="8">
        <v>4</v>
      </c>
      <c r="J3083" s="8">
        <v>52</v>
      </c>
      <c r="K3083" s="8">
        <v>408</v>
      </c>
      <c r="L3083" s="8">
        <v>425</v>
      </c>
      <c r="M3083" s="8">
        <v>13.21428571</v>
      </c>
      <c r="N3083">
        <f>VLOOKUP(A3083,vlookup_table!$A:$G,2,FALSE)</f>
        <v>28</v>
      </c>
      <c r="O3083" t="str">
        <f>VLOOKUP(A3083,vlookup_table!$A:$G,3,FALSE)</f>
        <v>CA</v>
      </c>
      <c r="P3083">
        <f>VLOOKUP(A3083,vlookup_table!$A:$G,4,FALSE)</f>
        <v>0</v>
      </c>
      <c r="Q3083" t="str">
        <f>VLOOKUP(A3083,vlookup_table!$A:$G,5,FALSE)</f>
        <v>S2</v>
      </c>
      <c r="R3083" t="str">
        <f>VLOOKUP(A3083,vlookup_table!$A:$G,6,FALSE)</f>
        <v>F</v>
      </c>
      <c r="S3083">
        <f>VLOOKUP(A3083,vlookup_table!$A:$G,7,FALSE)</f>
        <v>20</v>
      </c>
      <c r="T3083">
        <f t="shared" si="96"/>
        <v>96</v>
      </c>
      <c r="U3083" t="str">
        <f t="shared" si="97"/>
        <v>Suburbano</v>
      </c>
    </row>
    <row r="3084" spans="1:21" ht="16" x14ac:dyDescent="0.4">
      <c r="A3084" s="9">
        <v>61232</v>
      </c>
      <c r="B3084" s="8" t="s">
        <v>30</v>
      </c>
      <c r="C3084" s="8" t="s">
        <v>17</v>
      </c>
      <c r="D3084" s="8">
        <v>1057</v>
      </c>
      <c r="E3084" s="8">
        <v>425</v>
      </c>
      <c r="F3084" s="8">
        <v>530</v>
      </c>
      <c r="G3084" s="8">
        <v>2</v>
      </c>
      <c r="H3084" s="8">
        <v>17343</v>
      </c>
      <c r="I3084" s="8">
        <v>3</v>
      </c>
      <c r="J3084" s="8">
        <v>57</v>
      </c>
      <c r="K3084" s="8">
        <v>489</v>
      </c>
      <c r="L3084" s="8">
        <v>482</v>
      </c>
      <c r="M3084" s="8">
        <v>9.2535000000000007</v>
      </c>
      <c r="N3084">
        <f>VLOOKUP(A3084,vlookup_table!$A:$G,2,FALSE)</f>
        <v>0</v>
      </c>
      <c r="O3084" t="str">
        <f>VLOOKUP(A3084,vlookup_table!$A:$G,3,FALSE)</f>
        <v>IN</v>
      </c>
      <c r="P3084">
        <f>VLOOKUP(A3084,vlookup_table!$A:$G,4,FALSE)</f>
        <v>4501</v>
      </c>
      <c r="Q3084" t="str">
        <f>VLOOKUP(A3084,vlookup_table!$A:$G,5,FALSE)</f>
        <v>S1</v>
      </c>
      <c r="R3084" t="str">
        <f>VLOOKUP(A3084,vlookup_table!$A:$G,6,FALSE)</f>
        <v>F</v>
      </c>
      <c r="S3084">
        <f>VLOOKUP(A3084,vlookup_table!$A:$G,7,FALSE)</f>
        <v>10</v>
      </c>
      <c r="T3084">
        <f t="shared" si="96"/>
        <v>51</v>
      </c>
      <c r="U3084" t="str">
        <f t="shared" si="97"/>
        <v>Suburbano</v>
      </c>
    </row>
    <row r="3085" spans="1:21" ht="16" x14ac:dyDescent="0.4">
      <c r="A3085" s="9">
        <v>27714</v>
      </c>
      <c r="B3085" s="8" t="s">
        <v>36</v>
      </c>
      <c r="C3085" s="8" t="s">
        <v>14</v>
      </c>
      <c r="D3085" s="8">
        <v>1458</v>
      </c>
      <c r="E3085" s="8">
        <v>643</v>
      </c>
      <c r="F3085" s="8">
        <v>688</v>
      </c>
      <c r="G3085" s="8">
        <v>10</v>
      </c>
      <c r="H3085" s="8">
        <v>21122</v>
      </c>
      <c r="I3085" s="8">
        <v>6</v>
      </c>
      <c r="J3085" s="8">
        <v>34</v>
      </c>
      <c r="K3085" s="8">
        <v>660</v>
      </c>
      <c r="L3085" s="8">
        <v>635</v>
      </c>
      <c r="M3085" s="8">
        <v>6.8333333329999997</v>
      </c>
      <c r="N3085">
        <f>VLOOKUP(A3085,vlookup_table!$A:$G,2,FALSE)</f>
        <v>1</v>
      </c>
      <c r="O3085" t="str">
        <f>VLOOKUP(A3085,vlookup_table!$A:$G,3,FALSE)</f>
        <v>GA</v>
      </c>
      <c r="P3085">
        <f>VLOOKUP(A3085,vlookup_table!$A:$G,4,FALSE)</f>
        <v>3801</v>
      </c>
      <c r="Q3085" t="str">
        <f>VLOOKUP(A3085,vlookup_table!$A:$G,5,FALSE)</f>
        <v>C1</v>
      </c>
      <c r="R3085" t="str">
        <f>VLOOKUP(A3085,vlookup_table!$A:$G,6,FALSE)</f>
        <v>M</v>
      </c>
      <c r="S3085">
        <f>VLOOKUP(A3085,vlookup_table!$A:$G,7,FALSE)</f>
        <v>9</v>
      </c>
      <c r="T3085">
        <f t="shared" si="96"/>
        <v>58</v>
      </c>
      <c r="U3085" t="str">
        <f t="shared" si="97"/>
        <v>Ciudad</v>
      </c>
    </row>
    <row r="3086" spans="1:21" ht="16" x14ac:dyDescent="0.4">
      <c r="A3086" s="9">
        <v>170473</v>
      </c>
      <c r="B3086" s="8" t="s">
        <v>21</v>
      </c>
      <c r="C3086" s="8" t="s">
        <v>14</v>
      </c>
      <c r="D3086" s="8">
        <v>1194</v>
      </c>
      <c r="E3086" s="8">
        <v>247</v>
      </c>
      <c r="F3086" s="8">
        <v>349</v>
      </c>
      <c r="G3086" s="8">
        <v>21</v>
      </c>
      <c r="H3086" s="8">
        <v>13998</v>
      </c>
      <c r="I3086" s="8">
        <v>3</v>
      </c>
      <c r="J3086" s="8">
        <v>63</v>
      </c>
      <c r="K3086" s="8">
        <v>307</v>
      </c>
      <c r="L3086" s="8">
        <v>311</v>
      </c>
      <c r="M3086" s="8">
        <v>15.33333333</v>
      </c>
      <c r="N3086">
        <f>VLOOKUP(A3086,vlookup_table!$A:$G,2,FALSE)</f>
        <v>72</v>
      </c>
      <c r="O3086" t="str">
        <f>VLOOKUP(A3086,vlookup_table!$A:$G,3,FALSE)</f>
        <v>CA</v>
      </c>
      <c r="P3086">
        <f>VLOOKUP(A3086,vlookup_table!$A:$G,4,FALSE)</f>
        <v>5101</v>
      </c>
      <c r="Q3086" t="str">
        <f>VLOOKUP(A3086,vlookup_table!$A:$G,5,FALSE)</f>
        <v>R1</v>
      </c>
      <c r="R3086" t="str">
        <f>VLOOKUP(A3086,vlookup_table!$A:$G,6,FALSE)</f>
        <v>M</v>
      </c>
      <c r="S3086">
        <f>VLOOKUP(A3086,vlookup_table!$A:$G,7,FALSE)</f>
        <v>20</v>
      </c>
      <c r="T3086">
        <f t="shared" si="96"/>
        <v>45</v>
      </c>
      <c r="U3086" t="str">
        <f t="shared" si="97"/>
        <v>Rural</v>
      </c>
    </row>
    <row r="3087" spans="1:21" ht="16" x14ac:dyDescent="0.4">
      <c r="A3087" s="9">
        <v>176454</v>
      </c>
      <c r="B3087" s="8" t="s">
        <v>47</v>
      </c>
      <c r="C3087" s="8" t="s">
        <v>17</v>
      </c>
      <c r="D3087" s="8">
        <v>426</v>
      </c>
      <c r="E3087" s="8">
        <v>213</v>
      </c>
      <c r="F3087" s="8">
        <v>272</v>
      </c>
      <c r="G3087" s="8">
        <v>0</v>
      </c>
      <c r="H3087" s="8">
        <v>9590</v>
      </c>
      <c r="I3087" s="8">
        <v>1</v>
      </c>
      <c r="J3087" s="8">
        <v>55</v>
      </c>
      <c r="K3087" s="8">
        <v>240</v>
      </c>
      <c r="L3087" s="8">
        <v>255</v>
      </c>
      <c r="M3087" s="8">
        <v>23</v>
      </c>
      <c r="N3087">
        <f>VLOOKUP(A3087,vlookup_table!$A:$G,2,FALSE)</f>
        <v>28</v>
      </c>
      <c r="O3087" t="str">
        <f>VLOOKUP(A3087,vlookup_table!$A:$G,3,FALSE)</f>
        <v>OR</v>
      </c>
      <c r="P3087">
        <f>VLOOKUP(A3087,vlookup_table!$A:$G,4,FALSE)</f>
        <v>0</v>
      </c>
      <c r="Q3087" t="str">
        <f>VLOOKUP(A3087,vlookup_table!$A:$G,5,FALSE)</f>
        <v>T3</v>
      </c>
      <c r="R3087" t="str">
        <f>VLOOKUP(A3087,vlookup_table!$A:$G,6,FALSE)</f>
        <v>F</v>
      </c>
      <c r="S3087">
        <f>VLOOKUP(A3087,vlookup_table!$A:$G,7,FALSE)</f>
        <v>23</v>
      </c>
      <c r="T3087">
        <f t="shared" si="96"/>
        <v>96</v>
      </c>
      <c r="U3087" t="str">
        <f t="shared" si="97"/>
        <v>Pueblo</v>
      </c>
    </row>
    <row r="3088" spans="1:21" ht="16" x14ac:dyDescent="0.4">
      <c r="A3088" s="9">
        <v>73685</v>
      </c>
      <c r="B3088" s="8" t="s">
        <v>26</v>
      </c>
      <c r="C3088" s="8" t="s">
        <v>14</v>
      </c>
      <c r="D3088" s="8">
        <v>641</v>
      </c>
      <c r="E3088" s="8">
        <v>255</v>
      </c>
      <c r="F3088" s="8">
        <v>371</v>
      </c>
      <c r="G3088" s="8">
        <v>0</v>
      </c>
      <c r="H3088" s="8">
        <v>12503</v>
      </c>
      <c r="I3088" s="8">
        <v>2</v>
      </c>
      <c r="J3088" s="8">
        <v>87</v>
      </c>
      <c r="K3088" s="8">
        <v>336</v>
      </c>
      <c r="L3088" s="8">
        <v>317</v>
      </c>
      <c r="M3088" s="8">
        <v>8.5789473679999997</v>
      </c>
      <c r="N3088">
        <f>VLOOKUP(A3088,vlookup_table!$A:$G,2,FALSE)</f>
        <v>1</v>
      </c>
      <c r="O3088" t="str">
        <f>VLOOKUP(A3088,vlookup_table!$A:$G,3,FALSE)</f>
        <v>MI</v>
      </c>
      <c r="P3088">
        <f>VLOOKUP(A3088,vlookup_table!$A:$G,4,FALSE)</f>
        <v>1707</v>
      </c>
      <c r="Q3088" t="str">
        <f>VLOOKUP(A3088,vlookup_table!$A:$G,5,FALSE)</f>
        <v>S2</v>
      </c>
      <c r="R3088" t="str">
        <f>VLOOKUP(A3088,vlookup_table!$A:$G,6,FALSE)</f>
        <v>M</v>
      </c>
      <c r="S3088">
        <f>VLOOKUP(A3088,vlookup_table!$A:$G,7,FALSE)</f>
        <v>10</v>
      </c>
      <c r="T3088">
        <f t="shared" si="96"/>
        <v>79</v>
      </c>
      <c r="U3088" t="str">
        <f t="shared" si="97"/>
        <v>Suburbano</v>
      </c>
    </row>
    <row r="3089" spans="1:21" ht="16" x14ac:dyDescent="0.4">
      <c r="A3089" s="9">
        <v>75153</v>
      </c>
      <c r="B3089" s="8" t="s">
        <v>44</v>
      </c>
      <c r="C3089" s="8" t="s">
        <v>14</v>
      </c>
      <c r="D3089" s="8">
        <v>750</v>
      </c>
      <c r="E3089" s="8">
        <v>118</v>
      </c>
      <c r="F3089" s="8">
        <v>325</v>
      </c>
      <c r="G3089" s="8">
        <v>25</v>
      </c>
      <c r="H3089" s="8">
        <v>11638</v>
      </c>
      <c r="I3089" s="8">
        <v>4</v>
      </c>
      <c r="J3089" s="8">
        <v>66</v>
      </c>
      <c r="K3089" s="8">
        <v>366</v>
      </c>
      <c r="L3089" s="8">
        <v>152</v>
      </c>
      <c r="M3089" s="8">
        <v>10.66666667</v>
      </c>
      <c r="N3089">
        <f>VLOOKUP(A3089,vlookup_table!$A:$G,2,FALSE)</f>
        <v>1</v>
      </c>
      <c r="O3089" t="str">
        <f>VLOOKUP(A3089,vlookup_table!$A:$G,3,FALSE)</f>
        <v>IA</v>
      </c>
      <c r="P3089">
        <f>VLOOKUP(A3089,vlookup_table!$A:$G,4,FALSE)</f>
        <v>1601</v>
      </c>
      <c r="Q3089" t="str">
        <f>VLOOKUP(A3089,vlookup_table!$A:$G,5,FALSE)</f>
        <v>C2</v>
      </c>
      <c r="R3089" t="str">
        <f>VLOOKUP(A3089,vlookup_table!$A:$G,6,FALSE)</f>
        <v>M</v>
      </c>
      <c r="S3089">
        <f>VLOOKUP(A3089,vlookup_table!$A:$G,7,FALSE)</f>
        <v>13</v>
      </c>
      <c r="T3089">
        <f t="shared" si="96"/>
        <v>80</v>
      </c>
      <c r="U3089" t="str">
        <f t="shared" si="97"/>
        <v>Ciudad</v>
      </c>
    </row>
    <row r="3090" spans="1:21" ht="16" x14ac:dyDescent="0.4">
      <c r="A3090" s="9">
        <v>98731</v>
      </c>
      <c r="B3090" s="8" t="s">
        <v>16</v>
      </c>
      <c r="C3090" s="8" t="s">
        <v>17</v>
      </c>
      <c r="D3090" s="8">
        <v>1462</v>
      </c>
      <c r="E3090" s="8">
        <v>600</v>
      </c>
      <c r="F3090" s="8">
        <v>655</v>
      </c>
      <c r="G3090" s="8">
        <v>4</v>
      </c>
      <c r="H3090" s="8">
        <v>21328</v>
      </c>
      <c r="I3090" s="8">
        <v>8</v>
      </c>
      <c r="J3090" s="8">
        <v>57</v>
      </c>
      <c r="K3090" s="8">
        <v>639</v>
      </c>
      <c r="L3090" s="8">
        <v>627</v>
      </c>
      <c r="M3090" s="8">
        <v>15</v>
      </c>
      <c r="N3090">
        <f>VLOOKUP(A3090,vlookup_table!$A:$G,2,FALSE)</f>
        <v>28</v>
      </c>
      <c r="O3090" t="str">
        <f>VLOOKUP(A3090,vlookup_table!$A:$G,3,FALSE)</f>
        <v>IL</v>
      </c>
      <c r="P3090">
        <f>VLOOKUP(A3090,vlookup_table!$A:$G,4,FALSE)</f>
        <v>5801</v>
      </c>
      <c r="Q3090" t="str">
        <f>VLOOKUP(A3090,vlookup_table!$A:$G,5,FALSE)</f>
        <v>C1</v>
      </c>
      <c r="R3090" t="str">
        <f>VLOOKUP(A3090,vlookup_table!$A:$G,6,FALSE)</f>
        <v>F</v>
      </c>
      <c r="S3090">
        <f>VLOOKUP(A3090,vlookup_table!$A:$G,7,FALSE)</f>
        <v>15</v>
      </c>
      <c r="T3090">
        <f t="shared" si="96"/>
        <v>38</v>
      </c>
      <c r="U3090" t="str">
        <f t="shared" si="97"/>
        <v>Ciudad</v>
      </c>
    </row>
    <row r="3091" spans="1:21" ht="16" x14ac:dyDescent="0.4">
      <c r="A3091" s="9">
        <v>81600</v>
      </c>
      <c r="B3091" s="8" t="s">
        <v>32</v>
      </c>
      <c r="C3091" s="8" t="s">
        <v>17</v>
      </c>
      <c r="D3091" s="8">
        <v>582</v>
      </c>
      <c r="E3091" s="8">
        <v>173</v>
      </c>
      <c r="F3091" s="8">
        <v>231</v>
      </c>
      <c r="G3091" s="8">
        <v>1</v>
      </c>
      <c r="H3091" s="8">
        <v>8740</v>
      </c>
      <c r="I3091" s="8">
        <v>0</v>
      </c>
      <c r="J3091" s="8">
        <v>54</v>
      </c>
      <c r="K3091" s="8">
        <v>195</v>
      </c>
      <c r="L3091" s="8">
        <v>212</v>
      </c>
      <c r="M3091" s="8">
        <v>9.7142857140000007</v>
      </c>
      <c r="N3091">
        <f>VLOOKUP(A3091,vlookup_table!$A:$G,2,FALSE)</f>
        <v>0</v>
      </c>
      <c r="O3091" t="str">
        <f>VLOOKUP(A3091,vlookup_table!$A:$G,3,FALSE)</f>
        <v>WI</v>
      </c>
      <c r="P3091">
        <f>VLOOKUP(A3091,vlookup_table!$A:$G,4,FALSE)</f>
        <v>0</v>
      </c>
      <c r="Q3091" t="str">
        <f>VLOOKUP(A3091,vlookup_table!$A:$G,5,FALSE)</f>
        <v>R2</v>
      </c>
      <c r="R3091" t="str">
        <f>VLOOKUP(A3091,vlookup_table!$A:$G,6,FALSE)</f>
        <v>F</v>
      </c>
      <c r="S3091">
        <f>VLOOKUP(A3091,vlookup_table!$A:$G,7,FALSE)</f>
        <v>5</v>
      </c>
      <c r="T3091">
        <f t="shared" si="96"/>
        <v>96</v>
      </c>
      <c r="U3091" t="str">
        <f t="shared" si="97"/>
        <v>Rural</v>
      </c>
    </row>
    <row r="3092" spans="1:21" ht="16" x14ac:dyDescent="0.4">
      <c r="A3092" s="9">
        <v>104467</v>
      </c>
      <c r="B3092" s="8" t="s">
        <v>25</v>
      </c>
      <c r="C3092" s="8" t="s">
        <v>14</v>
      </c>
      <c r="D3092" s="8">
        <v>640</v>
      </c>
      <c r="E3092" s="8">
        <v>168</v>
      </c>
      <c r="F3092" s="8">
        <v>302</v>
      </c>
      <c r="G3092" s="8">
        <v>0</v>
      </c>
      <c r="H3092" s="8">
        <v>11377</v>
      </c>
      <c r="I3092" s="8">
        <v>3</v>
      </c>
      <c r="J3092" s="8">
        <v>31</v>
      </c>
      <c r="K3092" s="8">
        <v>292</v>
      </c>
      <c r="L3092" s="8">
        <v>232</v>
      </c>
      <c r="M3092" s="8">
        <v>3.5454545460000002</v>
      </c>
      <c r="N3092">
        <f>VLOOKUP(A3092,vlookup_table!$A:$G,2,FALSE)</f>
        <v>0</v>
      </c>
      <c r="O3092" t="str">
        <f>VLOOKUP(A3092,vlookup_table!$A:$G,3,FALSE)</f>
        <v>KS</v>
      </c>
      <c r="P3092">
        <f>VLOOKUP(A3092,vlookup_table!$A:$G,4,FALSE)</f>
        <v>3201</v>
      </c>
      <c r="Q3092" t="str">
        <f>VLOOKUP(A3092,vlookup_table!$A:$G,5,FALSE)</f>
        <v>C2</v>
      </c>
      <c r="R3092" t="str">
        <f>VLOOKUP(A3092,vlookup_table!$A:$G,6,FALSE)</f>
        <v>M</v>
      </c>
      <c r="S3092">
        <f>VLOOKUP(A3092,vlookup_table!$A:$G,7,FALSE)</f>
        <v>3</v>
      </c>
      <c r="T3092">
        <f t="shared" si="96"/>
        <v>64</v>
      </c>
      <c r="U3092" t="str">
        <f t="shared" si="97"/>
        <v>Ciudad</v>
      </c>
    </row>
    <row r="3093" spans="1:21" ht="16" x14ac:dyDescent="0.4">
      <c r="A3093" s="9">
        <v>190647</v>
      </c>
      <c r="B3093" s="8" t="s">
        <v>52</v>
      </c>
      <c r="C3093" s="8" t="s">
        <v>17</v>
      </c>
      <c r="D3093" s="8">
        <v>460</v>
      </c>
      <c r="E3093" s="8">
        <v>200</v>
      </c>
      <c r="F3093" s="8">
        <v>321</v>
      </c>
      <c r="G3093" s="8">
        <v>0</v>
      </c>
      <c r="H3093" s="8">
        <v>10559</v>
      </c>
      <c r="I3093" s="8">
        <v>0</v>
      </c>
      <c r="J3093" s="8">
        <v>82</v>
      </c>
      <c r="K3093" s="8">
        <v>279</v>
      </c>
      <c r="L3093" s="8">
        <v>258</v>
      </c>
      <c r="M3093" s="8">
        <v>7.1666666670000003</v>
      </c>
      <c r="N3093">
        <f>VLOOKUP(A3093,vlookup_table!$A:$G,2,FALSE)</f>
        <v>2</v>
      </c>
      <c r="O3093" t="str">
        <f>VLOOKUP(A3093,vlookup_table!$A:$G,3,FALSE)</f>
        <v>MN</v>
      </c>
      <c r="P3093">
        <f>VLOOKUP(A3093,vlookup_table!$A:$G,4,FALSE)</f>
        <v>0</v>
      </c>
      <c r="Q3093" t="str">
        <f>VLOOKUP(A3093,vlookup_table!$A:$G,5,FALSE)</f>
        <v>R2</v>
      </c>
      <c r="R3093" t="str">
        <f>VLOOKUP(A3093,vlookup_table!$A:$G,6,FALSE)</f>
        <v>F</v>
      </c>
      <c r="S3093">
        <f>VLOOKUP(A3093,vlookup_table!$A:$G,7,FALSE)</f>
        <v>10</v>
      </c>
      <c r="T3093">
        <f t="shared" si="96"/>
        <v>96</v>
      </c>
      <c r="U3093" t="str">
        <f t="shared" si="97"/>
        <v>Rural</v>
      </c>
    </row>
    <row r="3094" spans="1:21" ht="16" x14ac:dyDescent="0.4">
      <c r="A3094" s="9">
        <v>790</v>
      </c>
      <c r="B3094" s="8" t="s">
        <v>16</v>
      </c>
      <c r="C3094" s="8" t="s">
        <v>14</v>
      </c>
      <c r="D3094" s="8">
        <v>580</v>
      </c>
      <c r="E3094" s="8">
        <v>286</v>
      </c>
      <c r="F3094" s="8">
        <v>377</v>
      </c>
      <c r="G3094" s="8">
        <v>0</v>
      </c>
      <c r="H3094" s="8">
        <v>12400</v>
      </c>
      <c r="I3094" s="8">
        <v>0</v>
      </c>
      <c r="J3094" s="8">
        <v>86</v>
      </c>
      <c r="K3094" s="8">
        <v>343</v>
      </c>
      <c r="L3094" s="8">
        <v>324</v>
      </c>
      <c r="M3094" s="8">
        <v>8.3636363639999995</v>
      </c>
      <c r="N3094">
        <f>VLOOKUP(A3094,vlookup_table!$A:$G,2,FALSE)</f>
        <v>1</v>
      </c>
      <c r="O3094" t="str">
        <f>VLOOKUP(A3094,vlookup_table!$A:$G,3,FALSE)</f>
        <v>IL</v>
      </c>
      <c r="P3094">
        <f>VLOOKUP(A3094,vlookup_table!$A:$G,4,FALSE)</f>
        <v>2601</v>
      </c>
      <c r="Q3094" t="str">
        <f>VLOOKUP(A3094,vlookup_table!$A:$G,5,FALSE)</f>
        <v>R2</v>
      </c>
      <c r="R3094" t="str">
        <f>VLOOKUP(A3094,vlookup_table!$A:$G,6,FALSE)</f>
        <v>M</v>
      </c>
      <c r="S3094">
        <f>VLOOKUP(A3094,vlookup_table!$A:$G,7,FALSE)</f>
        <v>15</v>
      </c>
      <c r="T3094">
        <f t="shared" si="96"/>
        <v>70</v>
      </c>
      <c r="U3094" t="str">
        <f t="shared" si="97"/>
        <v>Rural</v>
      </c>
    </row>
    <row r="3095" spans="1:21" ht="16" x14ac:dyDescent="0.4">
      <c r="A3095" s="9">
        <v>153319</v>
      </c>
      <c r="B3095" s="8" t="s">
        <v>21</v>
      </c>
      <c r="C3095" s="8" t="s">
        <v>17</v>
      </c>
      <c r="D3095" s="8">
        <v>1510</v>
      </c>
      <c r="E3095" s="8">
        <v>414</v>
      </c>
      <c r="F3095" s="8">
        <v>528</v>
      </c>
      <c r="G3095" s="8">
        <v>10</v>
      </c>
      <c r="H3095" s="8">
        <v>23110</v>
      </c>
      <c r="I3095" s="8">
        <v>15</v>
      </c>
      <c r="J3095" s="8">
        <v>26</v>
      </c>
      <c r="K3095" s="8">
        <v>522</v>
      </c>
      <c r="L3095" s="8">
        <v>450</v>
      </c>
      <c r="M3095" s="8">
        <v>20</v>
      </c>
      <c r="N3095">
        <f>VLOOKUP(A3095,vlookup_table!$A:$G,2,FALSE)</f>
        <v>0</v>
      </c>
      <c r="O3095" t="str">
        <f>VLOOKUP(A3095,vlookup_table!$A:$G,3,FALSE)</f>
        <v>CA</v>
      </c>
      <c r="P3095">
        <f>VLOOKUP(A3095,vlookup_table!$A:$G,4,FALSE)</f>
        <v>4601</v>
      </c>
      <c r="Q3095" t="str">
        <f>VLOOKUP(A3095,vlookup_table!$A:$G,5,FALSE)</f>
        <v>U1</v>
      </c>
      <c r="R3095" t="str">
        <f>VLOOKUP(A3095,vlookup_table!$A:$G,6,FALSE)</f>
        <v>F</v>
      </c>
      <c r="S3095">
        <f>VLOOKUP(A3095,vlookup_table!$A:$G,7,FALSE)</f>
        <v>35</v>
      </c>
      <c r="T3095">
        <f t="shared" si="96"/>
        <v>50</v>
      </c>
      <c r="U3095" t="str">
        <f t="shared" si="97"/>
        <v>Urbano</v>
      </c>
    </row>
    <row r="3096" spans="1:21" ht="16" x14ac:dyDescent="0.4">
      <c r="A3096" s="9">
        <v>21769</v>
      </c>
      <c r="B3096" s="8" t="s">
        <v>18</v>
      </c>
      <c r="C3096" s="8" t="s">
        <v>14</v>
      </c>
      <c r="D3096" s="8">
        <v>598</v>
      </c>
      <c r="E3096" s="8">
        <v>253</v>
      </c>
      <c r="F3096" s="8">
        <v>338</v>
      </c>
      <c r="G3096" s="8">
        <v>1</v>
      </c>
      <c r="H3096" s="8">
        <v>11918</v>
      </c>
      <c r="I3096" s="8">
        <v>1</v>
      </c>
      <c r="J3096" s="8">
        <v>77</v>
      </c>
      <c r="K3096" s="8">
        <v>294</v>
      </c>
      <c r="L3096" s="8">
        <v>301</v>
      </c>
      <c r="M3096" s="8">
        <v>8</v>
      </c>
      <c r="N3096">
        <f>VLOOKUP(A3096,vlookup_table!$A:$G,2,FALSE)</f>
        <v>1</v>
      </c>
      <c r="O3096" t="str">
        <f>VLOOKUP(A3096,vlookup_table!$A:$G,3,FALSE)</f>
        <v>NC</v>
      </c>
      <c r="P3096">
        <f>VLOOKUP(A3096,vlookup_table!$A:$G,4,FALSE)</f>
        <v>0</v>
      </c>
      <c r="Q3096" t="str">
        <f>VLOOKUP(A3096,vlookup_table!$A:$G,5,FALSE)</f>
        <v>T2</v>
      </c>
      <c r="R3096" t="str">
        <f>VLOOKUP(A3096,vlookup_table!$A:$G,6,FALSE)</f>
        <v>M</v>
      </c>
      <c r="S3096">
        <f>VLOOKUP(A3096,vlookup_table!$A:$G,7,FALSE)</f>
        <v>9</v>
      </c>
      <c r="T3096">
        <f t="shared" si="96"/>
        <v>96</v>
      </c>
      <c r="U3096" t="str">
        <f t="shared" si="97"/>
        <v>Pueblo</v>
      </c>
    </row>
    <row r="3097" spans="1:21" ht="16" x14ac:dyDescent="0.4">
      <c r="A3097" s="9">
        <v>57419</v>
      </c>
      <c r="B3097" s="8" t="s">
        <v>53</v>
      </c>
      <c r="C3097" s="8" t="s">
        <v>17</v>
      </c>
      <c r="D3097" s="8">
        <v>910</v>
      </c>
      <c r="E3097" s="8">
        <v>484</v>
      </c>
      <c r="F3097" s="8">
        <v>537</v>
      </c>
      <c r="G3097" s="8">
        <v>1</v>
      </c>
      <c r="H3097" s="8">
        <v>17977</v>
      </c>
      <c r="I3097" s="8">
        <v>2</v>
      </c>
      <c r="J3097" s="8">
        <v>56</v>
      </c>
      <c r="K3097" s="8">
        <v>492</v>
      </c>
      <c r="L3097" s="8">
        <v>525</v>
      </c>
      <c r="M3097" s="8">
        <v>7.5</v>
      </c>
      <c r="N3097">
        <f>VLOOKUP(A3097,vlookup_table!$A:$G,2,FALSE)</f>
        <v>0</v>
      </c>
      <c r="O3097" t="str">
        <f>VLOOKUP(A3097,vlookup_table!$A:$G,3,FALSE)</f>
        <v>KY</v>
      </c>
      <c r="P3097">
        <f>VLOOKUP(A3097,vlookup_table!$A:$G,4,FALSE)</f>
        <v>6201</v>
      </c>
      <c r="Q3097" t="str">
        <f>VLOOKUP(A3097,vlookup_table!$A:$G,5,FALSE)</f>
        <v>S1</v>
      </c>
      <c r="R3097" t="str">
        <f>VLOOKUP(A3097,vlookup_table!$A:$G,6,FALSE)</f>
        <v>F</v>
      </c>
      <c r="S3097">
        <f>VLOOKUP(A3097,vlookup_table!$A:$G,7,FALSE)</f>
        <v>10</v>
      </c>
      <c r="T3097">
        <f t="shared" si="96"/>
        <v>34</v>
      </c>
      <c r="U3097" t="str">
        <f t="shared" si="97"/>
        <v>Suburbano</v>
      </c>
    </row>
    <row r="3098" spans="1:21" ht="16" x14ac:dyDescent="0.4">
      <c r="A3098" s="9">
        <v>107195</v>
      </c>
      <c r="B3098" s="8" t="s">
        <v>55</v>
      </c>
      <c r="C3098" s="8" t="s">
        <v>17</v>
      </c>
      <c r="D3098" s="8">
        <v>480</v>
      </c>
      <c r="E3098" s="8">
        <v>254</v>
      </c>
      <c r="F3098" s="8">
        <v>394</v>
      </c>
      <c r="G3098" s="8">
        <v>0</v>
      </c>
      <c r="H3098" s="8">
        <v>12217</v>
      </c>
      <c r="I3098" s="8">
        <v>1</v>
      </c>
      <c r="J3098" s="8">
        <v>62</v>
      </c>
      <c r="K3098" s="8">
        <v>359</v>
      </c>
      <c r="L3098" s="8">
        <v>306</v>
      </c>
      <c r="M3098" s="8">
        <v>15</v>
      </c>
      <c r="N3098">
        <f>VLOOKUP(A3098,vlookup_table!$A:$G,2,FALSE)</f>
        <v>2</v>
      </c>
      <c r="O3098" t="str">
        <f>VLOOKUP(A3098,vlookup_table!$A:$G,3,FALSE)</f>
        <v>NE</v>
      </c>
      <c r="P3098">
        <f>VLOOKUP(A3098,vlookup_table!$A:$G,4,FALSE)</f>
        <v>4801</v>
      </c>
      <c r="Q3098" t="str">
        <f>VLOOKUP(A3098,vlookup_table!$A:$G,5,FALSE)</f>
        <v>C2</v>
      </c>
      <c r="R3098" t="str">
        <f>VLOOKUP(A3098,vlookup_table!$A:$G,6,FALSE)</f>
        <v>F</v>
      </c>
      <c r="S3098">
        <f>VLOOKUP(A3098,vlookup_table!$A:$G,7,FALSE)</f>
        <v>10</v>
      </c>
      <c r="T3098">
        <f t="shared" si="96"/>
        <v>48</v>
      </c>
      <c r="U3098" t="str">
        <f t="shared" si="97"/>
        <v>Ciudad</v>
      </c>
    </row>
    <row r="3099" spans="1:21" ht="16" x14ac:dyDescent="0.4">
      <c r="A3099" s="9">
        <v>139062</v>
      </c>
      <c r="B3099" s="8" t="s">
        <v>51</v>
      </c>
      <c r="C3099" s="8" t="s">
        <v>97</v>
      </c>
      <c r="D3099" s="8">
        <v>592</v>
      </c>
      <c r="E3099" s="8">
        <v>227</v>
      </c>
      <c r="F3099" s="8">
        <v>267</v>
      </c>
      <c r="G3099" s="8">
        <v>0</v>
      </c>
      <c r="H3099" s="8">
        <v>9711</v>
      </c>
      <c r="I3099" s="8">
        <v>2</v>
      </c>
      <c r="J3099" s="8">
        <v>19</v>
      </c>
      <c r="K3099" s="8">
        <v>210</v>
      </c>
      <c r="L3099" s="8">
        <v>264</v>
      </c>
      <c r="M3099" s="8">
        <v>10.30769231</v>
      </c>
      <c r="N3099">
        <f>VLOOKUP(A3099,vlookup_table!$A:$G,2,FALSE)</f>
        <v>0</v>
      </c>
      <c r="O3099" t="str">
        <f>VLOOKUP(A3099,vlookup_table!$A:$G,3,FALSE)</f>
        <v>AZ</v>
      </c>
      <c r="P3099">
        <f>VLOOKUP(A3099,vlookup_table!$A:$G,4,FALSE)</f>
        <v>3501</v>
      </c>
      <c r="Q3099" t="str">
        <f>VLOOKUP(A3099,vlookup_table!$A:$G,5,FALSE)</f>
        <v/>
      </c>
      <c r="R3099" t="str">
        <f>VLOOKUP(A3099,vlookup_table!$A:$G,6,FALSE)</f>
        <v>F</v>
      </c>
      <c r="S3099">
        <f>VLOOKUP(A3099,vlookup_table!$A:$G,7,FALSE)</f>
        <v>20</v>
      </c>
      <c r="T3099">
        <f t="shared" si="96"/>
        <v>61</v>
      </c>
      <c r="U3099" t="str">
        <f t="shared" si="97"/>
        <v/>
      </c>
    </row>
    <row r="3100" spans="1:21" ht="16" x14ac:dyDescent="0.4">
      <c r="A3100" s="9">
        <v>147529</v>
      </c>
      <c r="B3100" s="8" t="s">
        <v>18</v>
      </c>
      <c r="C3100" s="8" t="s">
        <v>97</v>
      </c>
      <c r="D3100" s="8">
        <v>279</v>
      </c>
      <c r="E3100" s="8">
        <v>154</v>
      </c>
      <c r="F3100" s="8">
        <v>207</v>
      </c>
      <c r="G3100" s="8">
        <v>0</v>
      </c>
      <c r="H3100" s="8">
        <v>5922</v>
      </c>
      <c r="I3100" s="8">
        <v>0</v>
      </c>
      <c r="J3100" s="8">
        <v>88</v>
      </c>
      <c r="K3100" s="8">
        <v>163</v>
      </c>
      <c r="L3100" s="8">
        <v>194</v>
      </c>
      <c r="M3100" s="8">
        <v>25</v>
      </c>
      <c r="N3100">
        <f>VLOOKUP(A3100,vlookup_table!$A:$G,2,FALSE)</f>
        <v>1</v>
      </c>
      <c r="O3100" t="str">
        <f>VLOOKUP(A3100,vlookup_table!$A:$G,3,FALSE)</f>
        <v>NC</v>
      </c>
      <c r="P3100">
        <f>VLOOKUP(A3100,vlookup_table!$A:$G,4,FALSE)</f>
        <v>3810</v>
      </c>
      <c r="Q3100" t="str">
        <f>VLOOKUP(A3100,vlookup_table!$A:$G,5,FALSE)</f>
        <v>S1</v>
      </c>
      <c r="R3100" t="str">
        <f>VLOOKUP(A3100,vlookup_table!$A:$G,6,FALSE)</f>
        <v>F</v>
      </c>
      <c r="S3100">
        <f>VLOOKUP(A3100,vlookup_table!$A:$G,7,FALSE)</f>
        <v>20</v>
      </c>
      <c r="T3100">
        <f t="shared" si="96"/>
        <v>58</v>
      </c>
      <c r="U3100" t="str">
        <f t="shared" si="97"/>
        <v>Suburbano</v>
      </c>
    </row>
    <row r="3101" spans="1:21" ht="16" x14ac:dyDescent="0.4">
      <c r="A3101" s="9">
        <v>52574</v>
      </c>
      <c r="B3101" s="8" t="s">
        <v>49</v>
      </c>
      <c r="C3101" s="8" t="s">
        <v>17</v>
      </c>
      <c r="D3101" s="8">
        <v>619</v>
      </c>
      <c r="E3101" s="8">
        <v>172</v>
      </c>
      <c r="F3101" s="8">
        <v>329</v>
      </c>
      <c r="G3101" s="8">
        <v>1</v>
      </c>
      <c r="H3101" s="8">
        <v>10705</v>
      </c>
      <c r="I3101" s="8">
        <v>4</v>
      </c>
      <c r="J3101" s="8">
        <v>67</v>
      </c>
      <c r="K3101" s="8">
        <v>247</v>
      </c>
      <c r="L3101" s="8">
        <v>277</v>
      </c>
      <c r="M3101" s="8">
        <v>8.2173913039999995</v>
      </c>
      <c r="N3101">
        <f>VLOOKUP(A3101,vlookup_table!$A:$G,2,FALSE)</f>
        <v>0</v>
      </c>
      <c r="O3101" t="str">
        <f>VLOOKUP(A3101,vlookup_table!$A:$G,3,FALSE)</f>
        <v>TN</v>
      </c>
      <c r="P3101">
        <f>VLOOKUP(A3101,vlookup_table!$A:$G,4,FALSE)</f>
        <v>4501</v>
      </c>
      <c r="Q3101" t="str">
        <f>VLOOKUP(A3101,vlookup_table!$A:$G,5,FALSE)</f>
        <v>R2</v>
      </c>
      <c r="R3101" t="str">
        <f>VLOOKUP(A3101,vlookup_table!$A:$G,6,FALSE)</f>
        <v>F</v>
      </c>
      <c r="S3101">
        <f>VLOOKUP(A3101,vlookup_table!$A:$G,7,FALSE)</f>
        <v>12</v>
      </c>
      <c r="T3101">
        <f t="shared" si="96"/>
        <v>51</v>
      </c>
      <c r="U3101" t="str">
        <f t="shared" si="97"/>
        <v>Rural</v>
      </c>
    </row>
    <row r="3102" spans="1:21" ht="16" x14ac:dyDescent="0.4">
      <c r="A3102" s="9">
        <v>41482</v>
      </c>
      <c r="B3102" s="8" t="s">
        <v>13</v>
      </c>
      <c r="C3102" s="8" t="s">
        <v>17</v>
      </c>
      <c r="D3102" s="8">
        <v>513</v>
      </c>
      <c r="E3102" s="8">
        <v>210</v>
      </c>
      <c r="F3102" s="8">
        <v>283</v>
      </c>
      <c r="G3102" s="8">
        <v>1</v>
      </c>
      <c r="H3102" s="8">
        <v>9233</v>
      </c>
      <c r="I3102" s="8">
        <v>7</v>
      </c>
      <c r="J3102" s="8">
        <v>39</v>
      </c>
      <c r="K3102" s="8">
        <v>234</v>
      </c>
      <c r="L3102" s="8">
        <v>260</v>
      </c>
      <c r="M3102" s="8">
        <v>3.411764706</v>
      </c>
      <c r="N3102">
        <f>VLOOKUP(A3102,vlookup_table!$A:$G,2,FALSE)</f>
        <v>0</v>
      </c>
      <c r="O3102" t="str">
        <f>VLOOKUP(A3102,vlookup_table!$A:$G,3,FALSE)</f>
        <v>FL</v>
      </c>
      <c r="P3102">
        <f>VLOOKUP(A3102,vlookup_table!$A:$G,4,FALSE)</f>
        <v>2501</v>
      </c>
      <c r="Q3102" t="str">
        <f>VLOOKUP(A3102,vlookup_table!$A:$G,5,FALSE)</f>
        <v>C3</v>
      </c>
      <c r="R3102" t="str">
        <f>VLOOKUP(A3102,vlookup_table!$A:$G,6,FALSE)</f>
        <v>F</v>
      </c>
      <c r="S3102">
        <f>VLOOKUP(A3102,vlookup_table!$A:$G,7,FALSE)</f>
        <v>5</v>
      </c>
      <c r="T3102">
        <f t="shared" si="96"/>
        <v>71</v>
      </c>
      <c r="U3102" t="str">
        <f t="shared" si="97"/>
        <v>Ciudad</v>
      </c>
    </row>
    <row r="3103" spans="1:21" ht="16" x14ac:dyDescent="0.4">
      <c r="A3103" s="9">
        <v>165287</v>
      </c>
      <c r="B3103" s="8" t="s">
        <v>21</v>
      </c>
      <c r="C3103" s="8" t="s">
        <v>14</v>
      </c>
      <c r="D3103" s="8">
        <v>2811</v>
      </c>
      <c r="E3103" s="8">
        <v>524</v>
      </c>
      <c r="F3103" s="8">
        <v>645</v>
      </c>
      <c r="G3103" s="8">
        <v>72</v>
      </c>
      <c r="H3103" s="8">
        <v>23861</v>
      </c>
      <c r="I3103" s="8">
        <v>8</v>
      </c>
      <c r="J3103" s="8">
        <v>60</v>
      </c>
      <c r="K3103" s="8">
        <v>577</v>
      </c>
      <c r="L3103" s="8">
        <v>599</v>
      </c>
      <c r="M3103" s="8">
        <v>17.25</v>
      </c>
      <c r="N3103">
        <f>VLOOKUP(A3103,vlookup_table!$A:$G,2,FALSE)</f>
        <v>1</v>
      </c>
      <c r="O3103" t="str">
        <f>VLOOKUP(A3103,vlookup_table!$A:$G,3,FALSE)</f>
        <v>CA</v>
      </c>
      <c r="P3103">
        <f>VLOOKUP(A3103,vlookup_table!$A:$G,4,FALSE)</f>
        <v>5401</v>
      </c>
      <c r="Q3103" t="str">
        <f>VLOOKUP(A3103,vlookup_table!$A:$G,5,FALSE)</f>
        <v>C1</v>
      </c>
      <c r="R3103" t="str">
        <f>VLOOKUP(A3103,vlookup_table!$A:$G,6,FALSE)</f>
        <v>M</v>
      </c>
      <c r="S3103">
        <f>VLOOKUP(A3103,vlookup_table!$A:$G,7,FALSE)</f>
        <v>22</v>
      </c>
      <c r="T3103">
        <f t="shared" si="96"/>
        <v>42</v>
      </c>
      <c r="U3103" t="str">
        <f t="shared" si="97"/>
        <v>Ciudad</v>
      </c>
    </row>
    <row r="3104" spans="1:21" ht="16" x14ac:dyDescent="0.4">
      <c r="A3104" s="9">
        <v>41569</v>
      </c>
      <c r="B3104" s="8" t="s">
        <v>13</v>
      </c>
      <c r="C3104" s="8" t="s">
        <v>17</v>
      </c>
      <c r="D3104" s="8">
        <v>1079</v>
      </c>
      <c r="E3104" s="8">
        <v>347</v>
      </c>
      <c r="F3104" s="8">
        <v>756</v>
      </c>
      <c r="G3104" s="8">
        <v>2</v>
      </c>
      <c r="H3104" s="8">
        <v>24541</v>
      </c>
      <c r="I3104" s="8">
        <v>6</v>
      </c>
      <c r="J3104" s="8">
        <v>36</v>
      </c>
      <c r="K3104" s="8">
        <v>714</v>
      </c>
      <c r="L3104" s="8">
        <v>519</v>
      </c>
      <c r="M3104" s="8">
        <v>10</v>
      </c>
      <c r="N3104">
        <f>VLOOKUP(A3104,vlookup_table!$A:$G,2,FALSE)</f>
        <v>0</v>
      </c>
      <c r="O3104" t="str">
        <f>VLOOKUP(A3104,vlookup_table!$A:$G,3,FALSE)</f>
        <v>FL</v>
      </c>
      <c r="P3104">
        <f>VLOOKUP(A3104,vlookup_table!$A:$G,4,FALSE)</f>
        <v>2507</v>
      </c>
      <c r="Q3104" t="str">
        <f>VLOOKUP(A3104,vlookup_table!$A:$G,5,FALSE)</f>
        <v>U1</v>
      </c>
      <c r="R3104" t="str">
        <f>VLOOKUP(A3104,vlookup_table!$A:$G,6,FALSE)</f>
        <v>F</v>
      </c>
      <c r="S3104">
        <f>VLOOKUP(A3104,vlookup_table!$A:$G,7,FALSE)</f>
        <v>18</v>
      </c>
      <c r="T3104">
        <f t="shared" si="96"/>
        <v>71</v>
      </c>
      <c r="U3104" t="str">
        <f t="shared" si="97"/>
        <v>Urbano</v>
      </c>
    </row>
    <row r="3105" spans="1:21" ht="16" x14ac:dyDescent="0.4">
      <c r="A3105" s="9">
        <v>1959</v>
      </c>
      <c r="B3105" s="8" t="s">
        <v>21</v>
      </c>
      <c r="C3105" s="8" t="s">
        <v>17</v>
      </c>
      <c r="D3105" s="8">
        <v>2670</v>
      </c>
      <c r="E3105" s="8">
        <v>394</v>
      </c>
      <c r="F3105" s="8">
        <v>574</v>
      </c>
      <c r="G3105" s="8">
        <v>82</v>
      </c>
      <c r="H3105" s="8">
        <v>24896</v>
      </c>
      <c r="I3105" s="8">
        <v>18</v>
      </c>
      <c r="J3105" s="8">
        <v>29</v>
      </c>
      <c r="K3105" s="8">
        <v>493</v>
      </c>
      <c r="L3105" s="8">
        <v>461</v>
      </c>
      <c r="M3105" s="8">
        <v>35</v>
      </c>
      <c r="N3105">
        <f>VLOOKUP(A3105,vlookup_table!$A:$G,2,FALSE)</f>
        <v>28</v>
      </c>
      <c r="O3105" t="str">
        <f>VLOOKUP(A3105,vlookup_table!$A:$G,3,FALSE)</f>
        <v>CA</v>
      </c>
      <c r="P3105">
        <f>VLOOKUP(A3105,vlookup_table!$A:$G,4,FALSE)</f>
        <v>5801</v>
      </c>
      <c r="Q3105" t="str">
        <f>VLOOKUP(A3105,vlookup_table!$A:$G,5,FALSE)</f>
        <v>S1</v>
      </c>
      <c r="R3105" t="str">
        <f>VLOOKUP(A3105,vlookup_table!$A:$G,6,FALSE)</f>
        <v>F</v>
      </c>
      <c r="S3105">
        <f>VLOOKUP(A3105,vlookup_table!$A:$G,7,FALSE)</f>
        <v>50</v>
      </c>
      <c r="T3105">
        <f t="shared" si="96"/>
        <v>38</v>
      </c>
      <c r="U3105" t="str">
        <f t="shared" si="97"/>
        <v>Suburbano</v>
      </c>
    </row>
    <row r="3106" spans="1:21" ht="16" x14ac:dyDescent="0.4">
      <c r="A3106" s="9">
        <v>182490</v>
      </c>
      <c r="B3106" s="8" t="s">
        <v>71</v>
      </c>
      <c r="C3106" s="8" t="s">
        <v>14</v>
      </c>
      <c r="D3106" s="8">
        <v>0</v>
      </c>
      <c r="E3106" s="8">
        <v>0</v>
      </c>
      <c r="F3106" s="8">
        <v>0</v>
      </c>
      <c r="G3106" s="8">
        <v>0</v>
      </c>
      <c r="H3106" s="8">
        <v>0</v>
      </c>
      <c r="I3106" s="8">
        <v>0</v>
      </c>
      <c r="J3106" s="8">
        <v>0</v>
      </c>
      <c r="K3106" s="8">
        <v>0</v>
      </c>
      <c r="L3106" s="8">
        <v>0</v>
      </c>
      <c r="M3106" s="8">
        <v>6.25</v>
      </c>
      <c r="N3106">
        <f>VLOOKUP(A3106,vlookup_table!$A:$G,2,FALSE)</f>
        <v>1002</v>
      </c>
      <c r="O3106" t="str">
        <f>VLOOKUP(A3106,vlookup_table!$A:$G,3,FALSE)</f>
        <v>GU</v>
      </c>
      <c r="P3106">
        <f>VLOOKUP(A3106,vlookup_table!$A:$G,4,FALSE)</f>
        <v>6311</v>
      </c>
      <c r="Q3106" t="str">
        <f>VLOOKUP(A3106,vlookup_table!$A:$G,5,FALSE)</f>
        <v>T2</v>
      </c>
      <c r="R3106" t="str">
        <f>VLOOKUP(A3106,vlookup_table!$A:$G,6,FALSE)</f>
        <v>M</v>
      </c>
      <c r="S3106">
        <f>VLOOKUP(A3106,vlookup_table!$A:$G,7,FALSE)</f>
        <v>10</v>
      </c>
      <c r="T3106">
        <f t="shared" si="96"/>
        <v>33</v>
      </c>
      <c r="U3106" t="str">
        <f t="shared" si="97"/>
        <v>Pueblo</v>
      </c>
    </row>
    <row r="3107" spans="1:21" ht="16" x14ac:dyDescent="0.4">
      <c r="A3107" s="9">
        <v>87680</v>
      </c>
      <c r="B3107" s="8" t="s">
        <v>31</v>
      </c>
      <c r="C3107" s="8" t="s">
        <v>97</v>
      </c>
      <c r="D3107" s="8">
        <v>828</v>
      </c>
      <c r="E3107" s="8">
        <v>236</v>
      </c>
      <c r="F3107" s="8">
        <v>329</v>
      </c>
      <c r="G3107" s="8">
        <v>10</v>
      </c>
      <c r="H3107" s="8">
        <v>12366</v>
      </c>
      <c r="I3107" s="8">
        <v>2</v>
      </c>
      <c r="J3107" s="8">
        <v>46</v>
      </c>
      <c r="K3107" s="8">
        <v>264</v>
      </c>
      <c r="L3107" s="8">
        <v>306</v>
      </c>
      <c r="M3107" s="8">
        <v>8.0434782610000006</v>
      </c>
      <c r="N3107">
        <f>VLOOKUP(A3107,vlookup_table!$A:$G,2,FALSE)</f>
        <v>0</v>
      </c>
      <c r="O3107" t="str">
        <f>VLOOKUP(A3107,vlookup_table!$A:$G,3,FALSE)</f>
        <v>MT</v>
      </c>
      <c r="P3107">
        <f>VLOOKUP(A3107,vlookup_table!$A:$G,4,FALSE)</f>
        <v>0</v>
      </c>
      <c r="Q3107" t="str">
        <f>VLOOKUP(A3107,vlookup_table!$A:$G,5,FALSE)</f>
        <v>R2</v>
      </c>
      <c r="R3107" t="str">
        <f>VLOOKUP(A3107,vlookup_table!$A:$G,6,FALSE)</f>
        <v>F</v>
      </c>
      <c r="S3107">
        <f>VLOOKUP(A3107,vlookup_table!$A:$G,7,FALSE)</f>
        <v>12</v>
      </c>
      <c r="T3107">
        <f t="shared" si="96"/>
        <v>96</v>
      </c>
      <c r="U3107" t="str">
        <f t="shared" si="97"/>
        <v>Rural</v>
      </c>
    </row>
    <row r="3108" spans="1:21" ht="16" x14ac:dyDescent="0.4">
      <c r="A3108" s="9">
        <v>16643</v>
      </c>
      <c r="B3108" s="8" t="s">
        <v>18</v>
      </c>
      <c r="C3108" s="8" t="s">
        <v>97</v>
      </c>
      <c r="D3108" s="8">
        <v>895</v>
      </c>
      <c r="E3108" s="8">
        <v>422</v>
      </c>
      <c r="F3108" s="8">
        <v>492</v>
      </c>
      <c r="G3108" s="8">
        <v>1</v>
      </c>
      <c r="H3108" s="8">
        <v>18352</v>
      </c>
      <c r="I3108" s="8">
        <v>2</v>
      </c>
      <c r="J3108" s="8">
        <v>58</v>
      </c>
      <c r="K3108" s="8">
        <v>458</v>
      </c>
      <c r="L3108" s="8">
        <v>452</v>
      </c>
      <c r="M3108" s="8">
        <v>13.66666667</v>
      </c>
      <c r="N3108">
        <f>VLOOKUP(A3108,vlookup_table!$A:$G,2,FALSE)</f>
        <v>0</v>
      </c>
      <c r="O3108" t="str">
        <f>VLOOKUP(A3108,vlookup_table!$A:$G,3,FALSE)</f>
        <v>NC</v>
      </c>
      <c r="P3108">
        <f>VLOOKUP(A3108,vlookup_table!$A:$G,4,FALSE)</f>
        <v>1401</v>
      </c>
      <c r="Q3108" t="str">
        <f>VLOOKUP(A3108,vlookup_table!$A:$G,5,FALSE)</f>
        <v>C1</v>
      </c>
      <c r="R3108" t="str">
        <f>VLOOKUP(A3108,vlookup_table!$A:$G,6,FALSE)</f>
        <v>F</v>
      </c>
      <c r="S3108">
        <f>VLOOKUP(A3108,vlookup_table!$A:$G,7,FALSE)</f>
        <v>125</v>
      </c>
      <c r="T3108">
        <f t="shared" si="96"/>
        <v>82</v>
      </c>
      <c r="U3108" t="str">
        <f t="shared" si="97"/>
        <v>Ciudad</v>
      </c>
    </row>
    <row r="3109" spans="1:21" ht="16" x14ac:dyDescent="0.4">
      <c r="A3109" s="9">
        <v>27338</v>
      </c>
      <c r="B3109" s="8" t="s">
        <v>36</v>
      </c>
      <c r="C3109" s="8" t="s">
        <v>27</v>
      </c>
      <c r="D3109" s="8">
        <v>456</v>
      </c>
      <c r="E3109" s="8">
        <v>223</v>
      </c>
      <c r="F3109" s="8">
        <v>325</v>
      </c>
      <c r="G3109" s="8">
        <v>0</v>
      </c>
      <c r="H3109" s="8">
        <v>10736</v>
      </c>
      <c r="I3109" s="8">
        <v>0</v>
      </c>
      <c r="J3109" s="8">
        <v>50</v>
      </c>
      <c r="K3109" s="8">
        <v>267</v>
      </c>
      <c r="L3109" s="8">
        <v>272</v>
      </c>
      <c r="M3109" s="8">
        <v>5.6666666670000003</v>
      </c>
      <c r="N3109">
        <f>VLOOKUP(A3109,vlookup_table!$A:$G,2,FALSE)</f>
        <v>2</v>
      </c>
      <c r="O3109" t="str">
        <f>VLOOKUP(A3109,vlookup_table!$A:$G,3,FALSE)</f>
        <v>GA</v>
      </c>
      <c r="P3109">
        <f>VLOOKUP(A3109,vlookup_table!$A:$G,4,FALSE)</f>
        <v>0</v>
      </c>
      <c r="Q3109" t="str">
        <f>VLOOKUP(A3109,vlookup_table!$A:$G,5,FALSE)</f>
        <v>R3</v>
      </c>
      <c r="R3109" t="str">
        <f>VLOOKUP(A3109,vlookup_table!$A:$G,6,FALSE)</f>
        <v>U</v>
      </c>
      <c r="S3109">
        <f>VLOOKUP(A3109,vlookup_table!$A:$G,7,FALSE)</f>
        <v>7</v>
      </c>
      <c r="T3109">
        <f t="shared" si="96"/>
        <v>96</v>
      </c>
      <c r="U3109" t="str">
        <f t="shared" si="97"/>
        <v>Rural</v>
      </c>
    </row>
    <row r="3110" spans="1:21" ht="16" x14ac:dyDescent="0.4">
      <c r="A3110" s="9">
        <v>155907</v>
      </c>
      <c r="B3110" s="8" t="s">
        <v>21</v>
      </c>
      <c r="C3110" s="8" t="s">
        <v>17</v>
      </c>
      <c r="D3110" s="8">
        <v>713</v>
      </c>
      <c r="E3110" s="8">
        <v>212</v>
      </c>
      <c r="F3110" s="8">
        <v>276</v>
      </c>
      <c r="G3110" s="8">
        <v>2</v>
      </c>
      <c r="H3110" s="8">
        <v>11909</v>
      </c>
      <c r="I3110" s="8">
        <v>10</v>
      </c>
      <c r="J3110" s="8">
        <v>23</v>
      </c>
      <c r="K3110" s="8">
        <v>235</v>
      </c>
      <c r="L3110" s="8">
        <v>237</v>
      </c>
      <c r="M3110" s="8">
        <v>13</v>
      </c>
      <c r="N3110">
        <f>VLOOKUP(A3110,vlookup_table!$A:$G,2,FALSE)</f>
        <v>2</v>
      </c>
      <c r="O3110" t="str">
        <f>VLOOKUP(A3110,vlookup_table!$A:$G,3,FALSE)</f>
        <v>CA</v>
      </c>
      <c r="P3110">
        <f>VLOOKUP(A3110,vlookup_table!$A:$G,4,FALSE)</f>
        <v>0</v>
      </c>
      <c r="Q3110" t="str">
        <f>VLOOKUP(A3110,vlookup_table!$A:$G,5,FALSE)</f>
        <v>T3</v>
      </c>
      <c r="R3110" t="str">
        <f>VLOOKUP(A3110,vlookup_table!$A:$G,6,FALSE)</f>
        <v>F</v>
      </c>
      <c r="S3110">
        <f>VLOOKUP(A3110,vlookup_table!$A:$G,7,FALSE)</f>
        <v>15</v>
      </c>
      <c r="T3110">
        <f t="shared" si="96"/>
        <v>96</v>
      </c>
      <c r="U3110" t="str">
        <f t="shared" si="97"/>
        <v>Pueblo</v>
      </c>
    </row>
    <row r="3111" spans="1:21" ht="16" x14ac:dyDescent="0.4">
      <c r="A3111" s="9">
        <v>144050</v>
      </c>
      <c r="B3111" s="8" t="s">
        <v>21</v>
      </c>
      <c r="C3111" s="8" t="s">
        <v>14</v>
      </c>
      <c r="D3111" s="8">
        <v>5982</v>
      </c>
      <c r="E3111" s="8">
        <v>1500</v>
      </c>
      <c r="F3111" s="8">
        <v>1228</v>
      </c>
      <c r="G3111" s="8">
        <v>99</v>
      </c>
      <c r="H3111" s="8">
        <v>106273</v>
      </c>
      <c r="I3111" s="8">
        <v>34</v>
      </c>
      <c r="J3111" s="8">
        <v>41</v>
      </c>
      <c r="K3111" s="8">
        <v>1500</v>
      </c>
      <c r="L3111" s="8">
        <v>1214</v>
      </c>
      <c r="M3111" s="8">
        <v>22.5</v>
      </c>
      <c r="N3111">
        <f>VLOOKUP(A3111,vlookup_table!$A:$G,2,FALSE)</f>
        <v>1</v>
      </c>
      <c r="O3111" t="str">
        <f>VLOOKUP(A3111,vlookup_table!$A:$G,3,FALSE)</f>
        <v>CA</v>
      </c>
      <c r="P3111">
        <f>VLOOKUP(A3111,vlookup_table!$A:$G,4,FALSE)</f>
        <v>0</v>
      </c>
      <c r="Q3111" t="str">
        <f>VLOOKUP(A3111,vlookup_table!$A:$G,5,FALSE)</f>
        <v>S1</v>
      </c>
      <c r="R3111" t="str">
        <f>VLOOKUP(A3111,vlookup_table!$A:$G,6,FALSE)</f>
        <v>M</v>
      </c>
      <c r="S3111">
        <f>VLOOKUP(A3111,vlookup_table!$A:$G,7,FALSE)</f>
        <v>22</v>
      </c>
      <c r="T3111">
        <f t="shared" si="96"/>
        <v>96</v>
      </c>
      <c r="U3111" t="str">
        <f t="shared" si="97"/>
        <v>Suburbano</v>
      </c>
    </row>
    <row r="3112" spans="1:21" ht="16" x14ac:dyDescent="0.4">
      <c r="A3112" s="9">
        <v>108420</v>
      </c>
      <c r="B3112" s="8" t="s">
        <v>46</v>
      </c>
      <c r="C3112" s="8" t="s">
        <v>17</v>
      </c>
      <c r="D3112" s="8">
        <v>650</v>
      </c>
      <c r="E3112" s="8">
        <v>139</v>
      </c>
      <c r="F3112" s="8">
        <v>238</v>
      </c>
      <c r="G3112" s="8">
        <v>0</v>
      </c>
      <c r="H3112" s="8">
        <v>9698</v>
      </c>
      <c r="I3112" s="8">
        <v>6</v>
      </c>
      <c r="J3112" s="8">
        <v>75</v>
      </c>
      <c r="K3112" s="8">
        <v>131</v>
      </c>
      <c r="L3112" s="8">
        <v>243</v>
      </c>
      <c r="M3112" s="8">
        <v>8.9090909089999997</v>
      </c>
      <c r="N3112">
        <f>VLOOKUP(A3112,vlookup_table!$A:$G,2,FALSE)</f>
        <v>0</v>
      </c>
      <c r="O3112" t="str">
        <f>VLOOKUP(A3112,vlookup_table!$A:$G,3,FALSE)</f>
        <v>LA</v>
      </c>
      <c r="P3112">
        <f>VLOOKUP(A3112,vlookup_table!$A:$G,4,FALSE)</f>
        <v>3306</v>
      </c>
      <c r="Q3112" t="str">
        <f>VLOOKUP(A3112,vlookup_table!$A:$G,5,FALSE)</f>
        <v>C2</v>
      </c>
      <c r="R3112" t="str">
        <f>VLOOKUP(A3112,vlookup_table!$A:$G,6,FALSE)</f>
        <v>F</v>
      </c>
      <c r="S3112">
        <f>VLOOKUP(A3112,vlookup_table!$A:$G,7,FALSE)</f>
        <v>13</v>
      </c>
      <c r="T3112">
        <f t="shared" si="96"/>
        <v>63</v>
      </c>
      <c r="U3112" t="str">
        <f t="shared" si="97"/>
        <v>Ciudad</v>
      </c>
    </row>
    <row r="3113" spans="1:21" ht="16" x14ac:dyDescent="0.4">
      <c r="A3113" s="9">
        <v>21373</v>
      </c>
      <c r="B3113" s="8" t="s">
        <v>18</v>
      </c>
      <c r="C3113" s="8" t="s">
        <v>97</v>
      </c>
      <c r="D3113" s="8">
        <v>498</v>
      </c>
      <c r="E3113" s="8">
        <v>243</v>
      </c>
      <c r="F3113" s="8">
        <v>326</v>
      </c>
      <c r="G3113" s="8">
        <v>1</v>
      </c>
      <c r="H3113" s="8">
        <v>11462</v>
      </c>
      <c r="I3113" s="8">
        <v>0</v>
      </c>
      <c r="J3113" s="8">
        <v>86</v>
      </c>
      <c r="K3113" s="8">
        <v>284</v>
      </c>
      <c r="L3113" s="8">
        <v>285</v>
      </c>
      <c r="M3113" s="8">
        <v>5.1666666670000003</v>
      </c>
      <c r="N3113">
        <f>VLOOKUP(A3113,vlookup_table!$A:$G,2,FALSE)</f>
        <v>0</v>
      </c>
      <c r="O3113" t="str">
        <f>VLOOKUP(A3113,vlookup_table!$A:$G,3,FALSE)</f>
        <v>NC</v>
      </c>
      <c r="P3113">
        <f>VLOOKUP(A3113,vlookup_table!$A:$G,4,FALSE)</f>
        <v>5901</v>
      </c>
      <c r="Q3113" t="str">
        <f>VLOOKUP(A3113,vlookup_table!$A:$G,5,FALSE)</f>
        <v>T2</v>
      </c>
      <c r="R3113" t="str">
        <f>VLOOKUP(A3113,vlookup_table!$A:$G,6,FALSE)</f>
        <v>F</v>
      </c>
      <c r="S3113">
        <f>VLOOKUP(A3113,vlookup_table!$A:$G,7,FALSE)</f>
        <v>7</v>
      </c>
      <c r="T3113">
        <f t="shared" si="96"/>
        <v>37</v>
      </c>
      <c r="U3113" t="str">
        <f t="shared" si="97"/>
        <v>Pueblo</v>
      </c>
    </row>
    <row r="3114" spans="1:21" ht="16" x14ac:dyDescent="0.4">
      <c r="A3114" s="9">
        <v>61108</v>
      </c>
      <c r="B3114" s="8" t="s">
        <v>30</v>
      </c>
      <c r="C3114" s="8" t="s">
        <v>14</v>
      </c>
      <c r="D3114" s="8">
        <v>399</v>
      </c>
      <c r="E3114" s="8">
        <v>217</v>
      </c>
      <c r="F3114" s="8">
        <v>347</v>
      </c>
      <c r="G3114" s="8">
        <v>0</v>
      </c>
      <c r="H3114" s="8">
        <v>11919</v>
      </c>
      <c r="I3114" s="8">
        <v>2</v>
      </c>
      <c r="J3114" s="8">
        <v>78</v>
      </c>
      <c r="K3114" s="8">
        <v>309</v>
      </c>
      <c r="L3114" s="8">
        <v>279</v>
      </c>
      <c r="M3114" s="8">
        <v>7.2</v>
      </c>
      <c r="N3114">
        <f>VLOOKUP(A3114,vlookup_table!$A:$G,2,FALSE)</f>
        <v>0</v>
      </c>
      <c r="O3114" t="str">
        <f>VLOOKUP(A3114,vlookup_table!$A:$G,3,FALSE)</f>
        <v>IN</v>
      </c>
      <c r="P3114">
        <f>VLOOKUP(A3114,vlookup_table!$A:$G,4,FALSE)</f>
        <v>3701</v>
      </c>
      <c r="Q3114" t="str">
        <f>VLOOKUP(A3114,vlookup_table!$A:$G,5,FALSE)</f>
        <v>C3</v>
      </c>
      <c r="R3114" t="str">
        <f>VLOOKUP(A3114,vlookup_table!$A:$G,6,FALSE)</f>
        <v>M</v>
      </c>
      <c r="S3114">
        <f>VLOOKUP(A3114,vlookup_table!$A:$G,7,FALSE)</f>
        <v>7</v>
      </c>
      <c r="T3114">
        <f t="shared" si="96"/>
        <v>59</v>
      </c>
      <c r="U3114" t="str">
        <f t="shared" si="97"/>
        <v>Ciudad</v>
      </c>
    </row>
    <row r="3115" spans="1:21" ht="16" x14ac:dyDescent="0.4">
      <c r="A3115" s="9">
        <v>87024</v>
      </c>
      <c r="B3115" s="8" t="s">
        <v>31</v>
      </c>
      <c r="C3115" s="8" t="s">
        <v>97</v>
      </c>
      <c r="D3115" s="8">
        <v>395</v>
      </c>
      <c r="E3115" s="8">
        <v>135</v>
      </c>
      <c r="F3115" s="8">
        <v>186</v>
      </c>
      <c r="G3115" s="8">
        <v>0</v>
      </c>
      <c r="H3115" s="8">
        <v>5225</v>
      </c>
      <c r="I3115" s="8">
        <v>1</v>
      </c>
      <c r="J3115" s="8">
        <v>88</v>
      </c>
      <c r="K3115" s="8">
        <v>137</v>
      </c>
      <c r="L3115" s="8">
        <v>181</v>
      </c>
      <c r="M3115" s="8">
        <v>21.741111109999999</v>
      </c>
      <c r="N3115">
        <f>VLOOKUP(A3115,vlookup_table!$A:$G,2,FALSE)</f>
        <v>0</v>
      </c>
      <c r="O3115" t="str">
        <f>VLOOKUP(A3115,vlookup_table!$A:$G,3,FALSE)</f>
        <v>MT</v>
      </c>
      <c r="P3115">
        <f>VLOOKUP(A3115,vlookup_table!$A:$G,4,FALSE)</f>
        <v>0</v>
      </c>
      <c r="Q3115" t="str">
        <f>VLOOKUP(A3115,vlookup_table!$A:$G,5,FALSE)</f>
        <v>R2</v>
      </c>
      <c r="R3115" t="str">
        <f>VLOOKUP(A3115,vlookup_table!$A:$G,6,FALSE)</f>
        <v>F</v>
      </c>
      <c r="S3115">
        <f>VLOOKUP(A3115,vlookup_table!$A:$G,7,FALSE)</f>
        <v>5</v>
      </c>
      <c r="T3115">
        <f t="shared" si="96"/>
        <v>96</v>
      </c>
      <c r="U3115" t="str">
        <f t="shared" si="97"/>
        <v>Rural</v>
      </c>
    </row>
    <row r="3116" spans="1:21" ht="16" x14ac:dyDescent="0.4">
      <c r="A3116" s="9">
        <v>179673</v>
      </c>
      <c r="B3116" s="8" t="s">
        <v>37</v>
      </c>
      <c r="C3116" s="8" t="s">
        <v>14</v>
      </c>
      <c r="D3116" s="8">
        <v>1546</v>
      </c>
      <c r="E3116" s="8">
        <v>416</v>
      </c>
      <c r="F3116" s="8">
        <v>534</v>
      </c>
      <c r="G3116" s="8">
        <v>12</v>
      </c>
      <c r="H3116" s="8">
        <v>20632</v>
      </c>
      <c r="I3116" s="8">
        <v>9</v>
      </c>
      <c r="J3116" s="8">
        <v>43</v>
      </c>
      <c r="K3116" s="8">
        <v>508</v>
      </c>
      <c r="L3116" s="8">
        <v>489</v>
      </c>
      <c r="M3116" s="8">
        <v>3.6428571430000001</v>
      </c>
      <c r="N3116">
        <f>VLOOKUP(A3116,vlookup_table!$A:$G,2,FALSE)</f>
        <v>1</v>
      </c>
      <c r="O3116" t="str">
        <f>VLOOKUP(A3116,vlookup_table!$A:$G,3,FALSE)</f>
        <v>WA</v>
      </c>
      <c r="P3116">
        <f>VLOOKUP(A3116,vlookup_table!$A:$G,4,FALSE)</f>
        <v>1701</v>
      </c>
      <c r="Q3116" t="str">
        <f>VLOOKUP(A3116,vlookup_table!$A:$G,5,FALSE)</f>
        <v>U1</v>
      </c>
      <c r="R3116" t="str">
        <f>VLOOKUP(A3116,vlookup_table!$A:$G,6,FALSE)</f>
        <v>M</v>
      </c>
      <c r="S3116">
        <f>VLOOKUP(A3116,vlookup_table!$A:$G,7,FALSE)</f>
        <v>5</v>
      </c>
      <c r="T3116">
        <f t="shared" si="96"/>
        <v>79</v>
      </c>
      <c r="U3116" t="str">
        <f t="shared" si="97"/>
        <v>Urbano</v>
      </c>
    </row>
    <row r="3117" spans="1:21" ht="16" x14ac:dyDescent="0.4">
      <c r="A3117" s="9">
        <v>179606</v>
      </c>
      <c r="B3117" s="8" t="s">
        <v>37</v>
      </c>
      <c r="C3117" s="8" t="s">
        <v>17</v>
      </c>
      <c r="D3117" s="8">
        <v>1326</v>
      </c>
      <c r="E3117" s="8">
        <v>269</v>
      </c>
      <c r="F3117" s="8">
        <v>476</v>
      </c>
      <c r="G3117" s="8">
        <v>14</v>
      </c>
      <c r="H3117" s="8">
        <v>22329</v>
      </c>
      <c r="I3117" s="8">
        <v>6</v>
      </c>
      <c r="J3117" s="8">
        <v>42</v>
      </c>
      <c r="K3117" s="8">
        <v>401</v>
      </c>
      <c r="L3117" s="8">
        <v>347</v>
      </c>
      <c r="M3117" s="8">
        <v>7.25</v>
      </c>
      <c r="N3117">
        <f>VLOOKUP(A3117,vlookup_table!$A:$G,2,FALSE)</f>
        <v>28</v>
      </c>
      <c r="O3117" t="str">
        <f>VLOOKUP(A3117,vlookup_table!$A:$G,3,FALSE)</f>
        <v>WA</v>
      </c>
      <c r="P3117">
        <f>VLOOKUP(A3117,vlookup_table!$A:$G,4,FALSE)</f>
        <v>1910</v>
      </c>
      <c r="Q3117" t="str">
        <f>VLOOKUP(A3117,vlookup_table!$A:$G,5,FALSE)</f>
        <v>T1</v>
      </c>
      <c r="R3117" t="str">
        <f>VLOOKUP(A3117,vlookup_table!$A:$G,6,FALSE)</f>
        <v>F</v>
      </c>
      <c r="S3117">
        <f>VLOOKUP(A3117,vlookup_table!$A:$G,7,FALSE)</f>
        <v>15</v>
      </c>
      <c r="T3117">
        <f t="shared" si="96"/>
        <v>77</v>
      </c>
      <c r="U3117" t="str">
        <f t="shared" si="97"/>
        <v>Pueblo</v>
      </c>
    </row>
    <row r="3118" spans="1:21" ht="16" x14ac:dyDescent="0.4">
      <c r="A3118" s="9">
        <v>144038</v>
      </c>
      <c r="B3118" s="8" t="s">
        <v>21</v>
      </c>
      <c r="C3118" s="8" t="s">
        <v>17</v>
      </c>
      <c r="D3118" s="8">
        <v>5000</v>
      </c>
      <c r="E3118" s="8">
        <v>405</v>
      </c>
      <c r="F3118" s="8">
        <v>711</v>
      </c>
      <c r="G3118" s="8">
        <v>98</v>
      </c>
      <c r="H3118" s="8">
        <v>33566</v>
      </c>
      <c r="I3118" s="8">
        <v>40</v>
      </c>
      <c r="J3118" s="8">
        <v>21</v>
      </c>
      <c r="K3118" s="8">
        <v>618</v>
      </c>
      <c r="L3118" s="8">
        <v>541</v>
      </c>
      <c r="M3118" s="8">
        <v>20</v>
      </c>
      <c r="N3118">
        <f>VLOOKUP(A3118,vlookup_table!$A:$G,2,FALSE)</f>
        <v>0</v>
      </c>
      <c r="O3118" t="str">
        <f>VLOOKUP(A3118,vlookup_table!$A:$G,3,FALSE)</f>
        <v>CA</v>
      </c>
      <c r="P3118">
        <f>VLOOKUP(A3118,vlookup_table!$A:$G,4,FALSE)</f>
        <v>0</v>
      </c>
      <c r="Q3118" t="str">
        <f>VLOOKUP(A3118,vlookup_table!$A:$G,5,FALSE)</f>
        <v>U4</v>
      </c>
      <c r="R3118" t="str">
        <f>VLOOKUP(A3118,vlookup_table!$A:$G,6,FALSE)</f>
        <v>F</v>
      </c>
      <c r="S3118">
        <f>VLOOKUP(A3118,vlookup_table!$A:$G,7,FALSE)</f>
        <v>50</v>
      </c>
      <c r="T3118">
        <f t="shared" si="96"/>
        <v>96</v>
      </c>
      <c r="U3118" t="str">
        <f t="shared" si="97"/>
        <v>Urbano</v>
      </c>
    </row>
    <row r="3119" spans="1:21" ht="16" x14ac:dyDescent="0.4">
      <c r="A3119" s="9">
        <v>5496</v>
      </c>
      <c r="B3119" s="8" t="s">
        <v>53</v>
      </c>
      <c r="C3119" s="8" t="s">
        <v>14</v>
      </c>
      <c r="D3119" s="8">
        <v>323</v>
      </c>
      <c r="E3119" s="8">
        <v>125</v>
      </c>
      <c r="F3119" s="8">
        <v>201</v>
      </c>
      <c r="G3119" s="8">
        <v>0</v>
      </c>
      <c r="H3119" s="8">
        <v>7798</v>
      </c>
      <c r="I3119" s="8">
        <v>0</v>
      </c>
      <c r="J3119" s="8">
        <v>82</v>
      </c>
      <c r="K3119" s="8">
        <v>149</v>
      </c>
      <c r="L3119" s="8">
        <v>157</v>
      </c>
      <c r="M3119" s="8">
        <v>11.5</v>
      </c>
      <c r="N3119">
        <f>VLOOKUP(A3119,vlookup_table!$A:$G,2,FALSE)</f>
        <v>1</v>
      </c>
      <c r="O3119" t="str">
        <f>VLOOKUP(A3119,vlookup_table!$A:$G,3,FALSE)</f>
        <v>KY</v>
      </c>
      <c r="P3119">
        <f>VLOOKUP(A3119,vlookup_table!$A:$G,4,FALSE)</f>
        <v>1309</v>
      </c>
      <c r="Q3119" t="str">
        <f>VLOOKUP(A3119,vlookup_table!$A:$G,5,FALSE)</f>
        <v>R3</v>
      </c>
      <c r="R3119" t="str">
        <f>VLOOKUP(A3119,vlookup_table!$A:$G,6,FALSE)</f>
        <v>M</v>
      </c>
      <c r="S3119">
        <f>VLOOKUP(A3119,vlookup_table!$A:$G,7,FALSE)</f>
        <v>5</v>
      </c>
      <c r="T3119">
        <f t="shared" si="96"/>
        <v>83</v>
      </c>
      <c r="U3119" t="str">
        <f t="shared" si="97"/>
        <v>Rural</v>
      </c>
    </row>
    <row r="3120" spans="1:21" ht="16" x14ac:dyDescent="0.4">
      <c r="A3120" s="9">
        <v>118805</v>
      </c>
      <c r="B3120" s="8" t="s">
        <v>20</v>
      </c>
      <c r="C3120" s="8" t="s">
        <v>17</v>
      </c>
      <c r="D3120" s="8">
        <v>1095</v>
      </c>
      <c r="E3120" s="8">
        <v>520</v>
      </c>
      <c r="F3120" s="8">
        <v>648</v>
      </c>
      <c r="G3120" s="8">
        <v>1</v>
      </c>
      <c r="H3120" s="8">
        <v>20341</v>
      </c>
      <c r="I3120" s="8">
        <v>1</v>
      </c>
      <c r="J3120" s="8">
        <v>56</v>
      </c>
      <c r="K3120" s="8">
        <v>600</v>
      </c>
      <c r="L3120" s="8">
        <v>584</v>
      </c>
      <c r="M3120" s="8">
        <v>10</v>
      </c>
      <c r="N3120">
        <f>VLOOKUP(A3120,vlookup_table!$A:$G,2,FALSE)</f>
        <v>2</v>
      </c>
      <c r="O3120" t="str">
        <f>VLOOKUP(A3120,vlookup_table!$A:$G,3,FALSE)</f>
        <v>TX</v>
      </c>
      <c r="P3120">
        <f>VLOOKUP(A3120,vlookup_table!$A:$G,4,FALSE)</f>
        <v>4304</v>
      </c>
      <c r="Q3120" t="str">
        <f>VLOOKUP(A3120,vlookup_table!$A:$G,5,FALSE)</f>
        <v>C1</v>
      </c>
      <c r="R3120" t="str">
        <f>VLOOKUP(A3120,vlookup_table!$A:$G,6,FALSE)</f>
        <v>F</v>
      </c>
      <c r="S3120">
        <f>VLOOKUP(A3120,vlookup_table!$A:$G,7,FALSE)</f>
        <v>20</v>
      </c>
      <c r="T3120">
        <f t="shared" si="96"/>
        <v>53</v>
      </c>
      <c r="U3120" t="str">
        <f t="shared" si="97"/>
        <v>Ciudad</v>
      </c>
    </row>
    <row r="3121" spans="1:21" ht="16" x14ac:dyDescent="0.4">
      <c r="A3121" s="9">
        <v>66300</v>
      </c>
      <c r="B3121" s="8" t="s">
        <v>26</v>
      </c>
      <c r="C3121" s="8" t="s">
        <v>14</v>
      </c>
      <c r="D3121" s="8">
        <v>675</v>
      </c>
      <c r="E3121" s="8">
        <v>178</v>
      </c>
      <c r="F3121" s="8">
        <v>303</v>
      </c>
      <c r="G3121" s="8">
        <v>0</v>
      </c>
      <c r="H3121" s="8">
        <v>13159</v>
      </c>
      <c r="I3121" s="8">
        <v>4</v>
      </c>
      <c r="J3121" s="8">
        <v>79</v>
      </c>
      <c r="K3121" s="8">
        <v>249</v>
      </c>
      <c r="L3121" s="8">
        <v>254</v>
      </c>
      <c r="M3121" s="8">
        <v>11.53846154</v>
      </c>
      <c r="N3121">
        <f>VLOOKUP(A3121,vlookup_table!$A:$G,2,FALSE)</f>
        <v>1</v>
      </c>
      <c r="O3121" t="str">
        <f>VLOOKUP(A3121,vlookup_table!$A:$G,3,FALSE)</f>
        <v>MI</v>
      </c>
      <c r="P3121">
        <f>VLOOKUP(A3121,vlookup_table!$A:$G,4,FALSE)</f>
        <v>811</v>
      </c>
      <c r="Q3121" t="str">
        <f>VLOOKUP(A3121,vlookup_table!$A:$G,5,FALSE)</f>
        <v>U1</v>
      </c>
      <c r="R3121" t="str">
        <f>VLOOKUP(A3121,vlookup_table!$A:$G,6,FALSE)</f>
        <v>M</v>
      </c>
      <c r="S3121">
        <f>VLOOKUP(A3121,vlookup_table!$A:$G,7,FALSE)</f>
        <v>14</v>
      </c>
      <c r="T3121">
        <f t="shared" si="96"/>
        <v>15</v>
      </c>
      <c r="U3121" t="str">
        <f t="shared" si="97"/>
        <v>Urbano</v>
      </c>
    </row>
    <row r="3122" spans="1:21" ht="16" x14ac:dyDescent="0.4">
      <c r="A3122" s="9">
        <v>168648</v>
      </c>
      <c r="B3122" s="8" t="s">
        <v>21</v>
      </c>
      <c r="C3122" s="8" t="s">
        <v>14</v>
      </c>
      <c r="D3122" s="8">
        <v>1685</v>
      </c>
      <c r="E3122" s="8">
        <v>265</v>
      </c>
      <c r="F3122" s="8">
        <v>408</v>
      </c>
      <c r="G3122" s="8">
        <v>34</v>
      </c>
      <c r="H3122" s="8">
        <v>18752</v>
      </c>
      <c r="I3122" s="8">
        <v>7</v>
      </c>
      <c r="J3122" s="8">
        <v>41</v>
      </c>
      <c r="K3122" s="8">
        <v>340</v>
      </c>
      <c r="L3122" s="8">
        <v>325</v>
      </c>
      <c r="M3122" s="8">
        <v>7.5454545450000001</v>
      </c>
      <c r="N3122">
        <f>VLOOKUP(A3122,vlookup_table!$A:$G,2,FALSE)</f>
        <v>1002</v>
      </c>
      <c r="O3122" t="str">
        <f>VLOOKUP(A3122,vlookup_table!$A:$G,3,FALSE)</f>
        <v>CA</v>
      </c>
      <c r="P3122">
        <f>VLOOKUP(A3122,vlookup_table!$A:$G,4,FALSE)</f>
        <v>4210</v>
      </c>
      <c r="Q3122" t="str">
        <f>VLOOKUP(A3122,vlookup_table!$A:$G,5,FALSE)</f>
        <v>S1</v>
      </c>
      <c r="R3122" t="str">
        <f>VLOOKUP(A3122,vlookup_table!$A:$G,6,FALSE)</f>
        <v>M</v>
      </c>
      <c r="S3122">
        <f>VLOOKUP(A3122,vlookup_table!$A:$G,7,FALSE)</f>
        <v>14</v>
      </c>
      <c r="T3122">
        <f t="shared" si="96"/>
        <v>54</v>
      </c>
      <c r="U3122" t="str">
        <f t="shared" si="97"/>
        <v>Suburbano</v>
      </c>
    </row>
    <row r="3123" spans="1:21" ht="16" x14ac:dyDescent="0.4">
      <c r="A3123" s="9">
        <v>33420</v>
      </c>
      <c r="B3123" s="8" t="s">
        <v>13</v>
      </c>
      <c r="C3123" s="8" t="s">
        <v>14</v>
      </c>
      <c r="D3123" s="8">
        <v>702</v>
      </c>
      <c r="E3123" s="8">
        <v>403</v>
      </c>
      <c r="F3123" s="8">
        <v>468</v>
      </c>
      <c r="G3123" s="8">
        <v>1</v>
      </c>
      <c r="H3123" s="8">
        <v>14780</v>
      </c>
      <c r="I3123" s="8">
        <v>8</v>
      </c>
      <c r="J3123" s="8">
        <v>45</v>
      </c>
      <c r="K3123" s="8">
        <v>423</v>
      </c>
      <c r="L3123" s="8">
        <v>419</v>
      </c>
      <c r="M3123" s="8">
        <v>12.2195122</v>
      </c>
      <c r="N3123">
        <f>VLOOKUP(A3123,vlookup_table!$A:$G,2,FALSE)</f>
        <v>1</v>
      </c>
      <c r="O3123" t="str">
        <f>VLOOKUP(A3123,vlookup_table!$A:$G,3,FALSE)</f>
        <v>FL</v>
      </c>
      <c r="P3123">
        <f>VLOOKUP(A3123,vlookup_table!$A:$G,4,FALSE)</f>
        <v>4210</v>
      </c>
      <c r="Q3123" t="str">
        <f>VLOOKUP(A3123,vlookup_table!$A:$G,5,FALSE)</f>
        <v>C1</v>
      </c>
      <c r="R3123" t="str">
        <f>VLOOKUP(A3123,vlookup_table!$A:$G,6,FALSE)</f>
        <v>M</v>
      </c>
      <c r="S3123">
        <f>VLOOKUP(A3123,vlookup_table!$A:$G,7,FALSE)</f>
        <v>25</v>
      </c>
      <c r="T3123">
        <f t="shared" si="96"/>
        <v>54</v>
      </c>
      <c r="U3123" t="str">
        <f t="shared" si="97"/>
        <v>Ciudad</v>
      </c>
    </row>
    <row r="3124" spans="1:21" ht="16" x14ac:dyDescent="0.4">
      <c r="A3124" s="9">
        <v>139141</v>
      </c>
      <c r="B3124" s="8" t="s">
        <v>50</v>
      </c>
      <c r="C3124" s="8" t="s">
        <v>14</v>
      </c>
      <c r="D3124" s="8">
        <v>601</v>
      </c>
      <c r="E3124" s="8">
        <v>206</v>
      </c>
      <c r="F3124" s="8">
        <v>289</v>
      </c>
      <c r="G3124" s="8">
        <v>1</v>
      </c>
      <c r="H3124" s="8">
        <v>9801</v>
      </c>
      <c r="I3124" s="8">
        <v>1</v>
      </c>
      <c r="J3124" s="8">
        <v>69</v>
      </c>
      <c r="K3124" s="8">
        <v>225</v>
      </c>
      <c r="L3124" s="8">
        <v>251</v>
      </c>
      <c r="M3124" s="8">
        <v>13</v>
      </c>
      <c r="N3124">
        <f>VLOOKUP(A3124,vlookup_table!$A:$G,2,FALSE)</f>
        <v>1</v>
      </c>
      <c r="O3124" t="str">
        <f>VLOOKUP(A3124,vlookup_table!$A:$G,3,FALSE)</f>
        <v>NM</v>
      </c>
      <c r="P3124">
        <f>VLOOKUP(A3124,vlookup_table!$A:$G,4,FALSE)</f>
        <v>5801</v>
      </c>
      <c r="Q3124" t="str">
        <f>VLOOKUP(A3124,vlookup_table!$A:$G,5,FALSE)</f>
        <v>T2</v>
      </c>
      <c r="R3124" t="str">
        <f>VLOOKUP(A3124,vlookup_table!$A:$G,6,FALSE)</f>
        <v>M</v>
      </c>
      <c r="S3124">
        <f>VLOOKUP(A3124,vlookup_table!$A:$G,7,FALSE)</f>
        <v>25</v>
      </c>
      <c r="T3124">
        <f t="shared" si="96"/>
        <v>38</v>
      </c>
      <c r="U3124" t="str">
        <f t="shared" si="97"/>
        <v>Pueblo</v>
      </c>
    </row>
    <row r="3125" spans="1:21" ht="16" x14ac:dyDescent="0.4">
      <c r="A3125" s="9">
        <v>182056</v>
      </c>
      <c r="B3125" s="8" t="s">
        <v>37</v>
      </c>
      <c r="C3125" s="8" t="s">
        <v>14</v>
      </c>
      <c r="D3125" s="8">
        <v>558</v>
      </c>
      <c r="E3125" s="8">
        <v>211</v>
      </c>
      <c r="F3125" s="8">
        <v>285</v>
      </c>
      <c r="G3125" s="8">
        <v>0</v>
      </c>
      <c r="H3125" s="8">
        <v>8733</v>
      </c>
      <c r="I3125" s="8">
        <v>6</v>
      </c>
      <c r="J3125" s="8">
        <v>56</v>
      </c>
      <c r="K3125" s="8">
        <v>227</v>
      </c>
      <c r="L3125" s="8">
        <v>247</v>
      </c>
      <c r="M3125" s="8">
        <v>2.4634146339999998</v>
      </c>
      <c r="N3125">
        <f>VLOOKUP(A3125,vlookup_table!$A:$G,2,FALSE)</f>
        <v>1</v>
      </c>
      <c r="O3125" t="str">
        <f>VLOOKUP(A3125,vlookup_table!$A:$G,3,FALSE)</f>
        <v>WA</v>
      </c>
      <c r="P3125">
        <f>VLOOKUP(A3125,vlookup_table!$A:$G,4,FALSE)</f>
        <v>3002</v>
      </c>
      <c r="Q3125" t="str">
        <f>VLOOKUP(A3125,vlookup_table!$A:$G,5,FALSE)</f>
        <v>U3</v>
      </c>
      <c r="R3125" t="str">
        <f>VLOOKUP(A3125,vlookup_table!$A:$G,6,FALSE)</f>
        <v>M</v>
      </c>
      <c r="S3125">
        <f>VLOOKUP(A3125,vlookup_table!$A:$G,7,FALSE)</f>
        <v>5</v>
      </c>
      <c r="T3125">
        <f t="shared" si="96"/>
        <v>66</v>
      </c>
      <c r="U3125" t="str">
        <f t="shared" si="97"/>
        <v>Urbano</v>
      </c>
    </row>
    <row r="3126" spans="1:21" ht="16" x14ac:dyDescent="0.4">
      <c r="A3126" s="9">
        <v>15384</v>
      </c>
      <c r="B3126" s="8" t="s">
        <v>18</v>
      </c>
      <c r="C3126" s="8" t="s">
        <v>97</v>
      </c>
      <c r="D3126" s="8">
        <v>452</v>
      </c>
      <c r="E3126" s="8">
        <v>219</v>
      </c>
      <c r="F3126" s="8">
        <v>268</v>
      </c>
      <c r="G3126" s="8">
        <v>0</v>
      </c>
      <c r="H3126" s="8">
        <v>8728</v>
      </c>
      <c r="I3126" s="8">
        <v>0</v>
      </c>
      <c r="J3126" s="8">
        <v>88</v>
      </c>
      <c r="K3126" s="8">
        <v>246</v>
      </c>
      <c r="L3126" s="8">
        <v>261</v>
      </c>
      <c r="M3126" s="8">
        <v>10</v>
      </c>
      <c r="N3126">
        <f>VLOOKUP(A3126,vlookup_table!$A:$G,2,FALSE)</f>
        <v>28</v>
      </c>
      <c r="O3126" t="str">
        <f>VLOOKUP(A3126,vlookup_table!$A:$G,3,FALSE)</f>
        <v>NC</v>
      </c>
      <c r="P3126">
        <f>VLOOKUP(A3126,vlookup_table!$A:$G,4,FALSE)</f>
        <v>3801</v>
      </c>
      <c r="Q3126" t="str">
        <f>VLOOKUP(A3126,vlookup_table!$A:$G,5,FALSE)</f>
        <v>C2</v>
      </c>
      <c r="R3126" t="str">
        <f>VLOOKUP(A3126,vlookup_table!$A:$G,6,FALSE)</f>
        <v>F</v>
      </c>
      <c r="S3126">
        <f>VLOOKUP(A3126,vlookup_table!$A:$G,7,FALSE)</f>
        <v>15</v>
      </c>
      <c r="T3126">
        <f t="shared" si="96"/>
        <v>58</v>
      </c>
      <c r="U3126" t="str">
        <f t="shared" si="97"/>
        <v>Ciudad</v>
      </c>
    </row>
    <row r="3127" spans="1:21" ht="16" x14ac:dyDescent="0.4">
      <c r="A3127" s="9">
        <v>171083</v>
      </c>
      <c r="B3127" s="8" t="s">
        <v>21</v>
      </c>
      <c r="C3127" s="8" t="s">
        <v>17</v>
      </c>
      <c r="D3127" s="8">
        <v>882</v>
      </c>
      <c r="E3127" s="8">
        <v>349</v>
      </c>
      <c r="F3127" s="8">
        <v>410</v>
      </c>
      <c r="G3127" s="8">
        <v>0</v>
      </c>
      <c r="H3127" s="8">
        <v>13153</v>
      </c>
      <c r="I3127" s="8">
        <v>9</v>
      </c>
      <c r="J3127" s="8">
        <v>45</v>
      </c>
      <c r="K3127" s="8">
        <v>373</v>
      </c>
      <c r="L3127" s="8">
        <v>372</v>
      </c>
      <c r="M3127" s="8">
        <v>16.518518520000001</v>
      </c>
      <c r="N3127">
        <f>VLOOKUP(A3127,vlookup_table!$A:$G,2,FALSE)</f>
        <v>0</v>
      </c>
      <c r="O3127" t="str">
        <f>VLOOKUP(A3127,vlookup_table!$A:$G,3,FALSE)</f>
        <v>CA</v>
      </c>
      <c r="P3127">
        <f>VLOOKUP(A3127,vlookup_table!$A:$G,4,FALSE)</f>
        <v>4301</v>
      </c>
      <c r="Q3127" t="str">
        <f>VLOOKUP(A3127,vlookup_table!$A:$G,5,FALSE)</f>
        <v>S2</v>
      </c>
      <c r="R3127" t="str">
        <f>VLOOKUP(A3127,vlookup_table!$A:$G,6,FALSE)</f>
        <v>F</v>
      </c>
      <c r="S3127">
        <f>VLOOKUP(A3127,vlookup_table!$A:$G,7,FALSE)</f>
        <v>25</v>
      </c>
      <c r="T3127">
        <f t="shared" si="96"/>
        <v>53</v>
      </c>
      <c r="U3127" t="str">
        <f t="shared" si="97"/>
        <v>Suburbano</v>
      </c>
    </row>
    <row r="3128" spans="1:21" ht="16" x14ac:dyDescent="0.4">
      <c r="A3128" s="9">
        <v>171581</v>
      </c>
      <c r="B3128" s="8" t="s">
        <v>21</v>
      </c>
      <c r="C3128" s="8" t="s">
        <v>14</v>
      </c>
      <c r="D3128" s="8">
        <v>2644</v>
      </c>
      <c r="E3128" s="8">
        <v>440</v>
      </c>
      <c r="F3128" s="8">
        <v>566</v>
      </c>
      <c r="G3128" s="8">
        <v>56</v>
      </c>
      <c r="H3128" s="8">
        <v>18944</v>
      </c>
      <c r="I3128" s="8">
        <v>4</v>
      </c>
      <c r="J3128" s="8">
        <v>58</v>
      </c>
      <c r="K3128" s="8">
        <v>447</v>
      </c>
      <c r="L3128" s="8">
        <v>555</v>
      </c>
      <c r="M3128" s="8">
        <v>12.5</v>
      </c>
      <c r="N3128">
        <f>VLOOKUP(A3128,vlookup_table!$A:$G,2,FALSE)</f>
        <v>1</v>
      </c>
      <c r="O3128" t="str">
        <f>VLOOKUP(A3128,vlookup_table!$A:$G,3,FALSE)</f>
        <v>CA</v>
      </c>
      <c r="P3128">
        <f>VLOOKUP(A3128,vlookup_table!$A:$G,4,FALSE)</f>
        <v>1001</v>
      </c>
      <c r="Q3128" t="str">
        <f>VLOOKUP(A3128,vlookup_table!$A:$G,5,FALSE)</f>
        <v>S1</v>
      </c>
      <c r="R3128" t="str">
        <f>VLOOKUP(A3128,vlookup_table!$A:$G,6,FALSE)</f>
        <v>M</v>
      </c>
      <c r="S3128">
        <f>VLOOKUP(A3128,vlookup_table!$A:$G,7,FALSE)</f>
        <v>5</v>
      </c>
      <c r="T3128">
        <f t="shared" si="96"/>
        <v>86</v>
      </c>
      <c r="U3128" t="str">
        <f t="shared" si="97"/>
        <v>Suburbano</v>
      </c>
    </row>
    <row r="3129" spans="1:21" ht="16" x14ac:dyDescent="0.4">
      <c r="A3129" s="9">
        <v>13288</v>
      </c>
      <c r="B3129" s="8" t="s">
        <v>13</v>
      </c>
      <c r="C3129" s="8" t="s">
        <v>17</v>
      </c>
      <c r="D3129" s="8">
        <v>896</v>
      </c>
      <c r="E3129" s="8">
        <v>392</v>
      </c>
      <c r="F3129" s="8">
        <v>520</v>
      </c>
      <c r="G3129" s="8">
        <v>7</v>
      </c>
      <c r="H3129" s="8">
        <v>21975</v>
      </c>
      <c r="I3129" s="8">
        <v>6</v>
      </c>
      <c r="J3129" s="8">
        <v>16</v>
      </c>
      <c r="K3129" s="8">
        <v>430</v>
      </c>
      <c r="L3129" s="8">
        <v>466</v>
      </c>
      <c r="M3129" s="8">
        <v>15.3</v>
      </c>
      <c r="N3129">
        <f>VLOOKUP(A3129,vlookup_table!$A:$G,2,FALSE)</f>
        <v>0</v>
      </c>
      <c r="O3129" t="str">
        <f>VLOOKUP(A3129,vlookup_table!$A:$G,3,FALSE)</f>
        <v>FL</v>
      </c>
      <c r="P3129">
        <f>VLOOKUP(A3129,vlookup_table!$A:$G,4,FALSE)</f>
        <v>4901</v>
      </c>
      <c r="Q3129" t="str">
        <f>VLOOKUP(A3129,vlookup_table!$A:$G,5,FALSE)</f>
        <v>C2</v>
      </c>
      <c r="R3129" t="str">
        <f>VLOOKUP(A3129,vlookup_table!$A:$G,6,FALSE)</f>
        <v>F</v>
      </c>
      <c r="S3129">
        <f>VLOOKUP(A3129,vlookup_table!$A:$G,7,FALSE)</f>
        <v>20</v>
      </c>
      <c r="T3129">
        <f t="shared" si="96"/>
        <v>47</v>
      </c>
      <c r="U3129" t="str">
        <f t="shared" si="97"/>
        <v>Ciudad</v>
      </c>
    </row>
    <row r="3130" spans="1:21" ht="16" x14ac:dyDescent="0.4">
      <c r="A3130" s="9">
        <v>102589</v>
      </c>
      <c r="B3130" s="8" t="s">
        <v>33</v>
      </c>
      <c r="C3130" s="8" t="s">
        <v>14</v>
      </c>
      <c r="D3130" s="8">
        <v>465</v>
      </c>
      <c r="E3130" s="8">
        <v>266</v>
      </c>
      <c r="F3130" s="8">
        <v>313</v>
      </c>
      <c r="G3130" s="8">
        <v>0</v>
      </c>
      <c r="H3130" s="8">
        <v>10037</v>
      </c>
      <c r="I3130" s="8">
        <v>1</v>
      </c>
      <c r="J3130" s="8">
        <v>79</v>
      </c>
      <c r="K3130" s="8">
        <v>292</v>
      </c>
      <c r="L3130" s="8">
        <v>285</v>
      </c>
      <c r="M3130" s="8">
        <v>7.733333333</v>
      </c>
      <c r="N3130">
        <f>VLOOKUP(A3130,vlookup_table!$A:$G,2,FALSE)</f>
        <v>0</v>
      </c>
      <c r="O3130" t="str">
        <f>VLOOKUP(A3130,vlookup_table!$A:$G,3,FALSE)</f>
        <v>MO</v>
      </c>
      <c r="P3130">
        <f>VLOOKUP(A3130,vlookup_table!$A:$G,4,FALSE)</f>
        <v>2607</v>
      </c>
      <c r="Q3130" t="str">
        <f>VLOOKUP(A3130,vlookup_table!$A:$G,5,FALSE)</f>
        <v>R2</v>
      </c>
      <c r="R3130" t="str">
        <f>VLOOKUP(A3130,vlookup_table!$A:$G,6,FALSE)</f>
        <v>M</v>
      </c>
      <c r="S3130">
        <f>VLOOKUP(A3130,vlookup_table!$A:$G,7,FALSE)</f>
        <v>100</v>
      </c>
      <c r="T3130">
        <f t="shared" si="96"/>
        <v>70</v>
      </c>
      <c r="U3130" t="str">
        <f t="shared" si="97"/>
        <v>Rural</v>
      </c>
    </row>
    <row r="3131" spans="1:21" ht="16" x14ac:dyDescent="0.4">
      <c r="A3131" s="9">
        <v>43119</v>
      </c>
      <c r="B3131" s="8" t="s">
        <v>13</v>
      </c>
      <c r="C3131" s="8" t="s">
        <v>17</v>
      </c>
      <c r="D3131" s="8">
        <v>845</v>
      </c>
      <c r="E3131" s="8">
        <v>334</v>
      </c>
      <c r="F3131" s="8">
        <v>511</v>
      </c>
      <c r="G3131" s="8">
        <v>13</v>
      </c>
      <c r="H3131" s="8">
        <v>25715</v>
      </c>
      <c r="I3131" s="8">
        <v>6</v>
      </c>
      <c r="J3131" s="8">
        <v>10</v>
      </c>
      <c r="K3131" s="8">
        <v>351</v>
      </c>
      <c r="L3131" s="8">
        <v>496</v>
      </c>
      <c r="M3131" s="8">
        <v>6.25</v>
      </c>
      <c r="N3131">
        <f>VLOOKUP(A3131,vlookup_table!$A:$G,2,FALSE)</f>
        <v>0</v>
      </c>
      <c r="O3131" t="str">
        <f>VLOOKUP(A3131,vlookup_table!$A:$G,3,FALSE)</f>
        <v>FL</v>
      </c>
      <c r="P3131">
        <f>VLOOKUP(A3131,vlookup_table!$A:$G,4,FALSE)</f>
        <v>0</v>
      </c>
      <c r="Q3131" t="str">
        <f>VLOOKUP(A3131,vlookup_table!$A:$G,5,FALSE)</f>
        <v>C2</v>
      </c>
      <c r="R3131" t="str">
        <f>VLOOKUP(A3131,vlookup_table!$A:$G,6,FALSE)</f>
        <v>F</v>
      </c>
      <c r="S3131">
        <f>VLOOKUP(A3131,vlookup_table!$A:$G,7,FALSE)</f>
        <v>9</v>
      </c>
      <c r="T3131">
        <f t="shared" si="96"/>
        <v>96</v>
      </c>
      <c r="U3131" t="str">
        <f t="shared" si="97"/>
        <v>Ciudad</v>
      </c>
    </row>
    <row r="3132" spans="1:21" ht="16" x14ac:dyDescent="0.4">
      <c r="A3132" s="9">
        <v>167202</v>
      </c>
      <c r="B3132" s="8" t="s">
        <v>21</v>
      </c>
      <c r="C3132" s="8" t="s">
        <v>17</v>
      </c>
      <c r="D3132" s="8">
        <v>2907</v>
      </c>
      <c r="E3132" s="8">
        <v>420</v>
      </c>
      <c r="F3132" s="8">
        <v>547</v>
      </c>
      <c r="G3132" s="8">
        <v>88</v>
      </c>
      <c r="H3132" s="8">
        <v>18195</v>
      </c>
      <c r="I3132" s="8">
        <v>1</v>
      </c>
      <c r="J3132" s="8">
        <v>59</v>
      </c>
      <c r="K3132" s="8">
        <v>514</v>
      </c>
      <c r="L3132" s="8">
        <v>463</v>
      </c>
      <c r="M3132" s="8">
        <v>9</v>
      </c>
      <c r="N3132">
        <f>VLOOKUP(A3132,vlookup_table!$A:$G,2,FALSE)</f>
        <v>0</v>
      </c>
      <c r="O3132" t="str">
        <f>VLOOKUP(A3132,vlookup_table!$A:$G,3,FALSE)</f>
        <v>CA</v>
      </c>
      <c r="P3132">
        <f>VLOOKUP(A3132,vlookup_table!$A:$G,4,FALSE)</f>
        <v>1101</v>
      </c>
      <c r="Q3132" t="str">
        <f>VLOOKUP(A3132,vlookup_table!$A:$G,5,FALSE)</f>
        <v>S1</v>
      </c>
      <c r="R3132" t="str">
        <f>VLOOKUP(A3132,vlookup_table!$A:$G,6,FALSE)</f>
        <v>F</v>
      </c>
      <c r="S3132">
        <f>VLOOKUP(A3132,vlookup_table!$A:$G,7,FALSE)</f>
        <v>15</v>
      </c>
      <c r="T3132">
        <f t="shared" si="96"/>
        <v>85</v>
      </c>
      <c r="U3132" t="str">
        <f t="shared" si="97"/>
        <v>Suburbano</v>
      </c>
    </row>
    <row r="3133" spans="1:21" ht="16" x14ac:dyDescent="0.4">
      <c r="A3133" s="9">
        <v>143332</v>
      </c>
      <c r="B3133" s="8" t="s">
        <v>21</v>
      </c>
      <c r="C3133" s="8" t="s">
        <v>14</v>
      </c>
      <c r="D3133" s="8">
        <v>1964</v>
      </c>
      <c r="E3133" s="8">
        <v>401</v>
      </c>
      <c r="F3133" s="8">
        <v>540</v>
      </c>
      <c r="G3133" s="8">
        <v>48</v>
      </c>
      <c r="H3133" s="8">
        <v>15640</v>
      </c>
      <c r="I3133" s="8">
        <v>22</v>
      </c>
      <c r="J3133" s="8">
        <v>47</v>
      </c>
      <c r="K3133" s="8">
        <v>487</v>
      </c>
      <c r="L3133" s="8">
        <v>419</v>
      </c>
      <c r="M3133" s="8">
        <v>10.16666667</v>
      </c>
      <c r="N3133">
        <f>VLOOKUP(A3133,vlookup_table!$A:$G,2,FALSE)</f>
        <v>1</v>
      </c>
      <c r="O3133" t="str">
        <f>VLOOKUP(A3133,vlookup_table!$A:$G,3,FALSE)</f>
        <v>CA</v>
      </c>
      <c r="P3133">
        <f>VLOOKUP(A3133,vlookup_table!$A:$G,4,FALSE)</f>
        <v>3101</v>
      </c>
      <c r="Q3133" t="str">
        <f>VLOOKUP(A3133,vlookup_table!$A:$G,5,FALSE)</f>
        <v>U1</v>
      </c>
      <c r="R3133" t="str">
        <f>VLOOKUP(A3133,vlookup_table!$A:$G,6,FALSE)</f>
        <v>M</v>
      </c>
      <c r="S3133">
        <f>VLOOKUP(A3133,vlookup_table!$A:$G,7,FALSE)</f>
        <v>13</v>
      </c>
      <c r="T3133">
        <f t="shared" si="96"/>
        <v>65</v>
      </c>
      <c r="U3133" t="str">
        <f t="shared" si="97"/>
        <v>Urbano</v>
      </c>
    </row>
    <row r="3134" spans="1:21" ht="16" x14ac:dyDescent="0.4">
      <c r="A3134" s="9">
        <v>126945</v>
      </c>
      <c r="B3134" s="8" t="s">
        <v>20</v>
      </c>
      <c r="C3134" s="8" t="s">
        <v>14</v>
      </c>
      <c r="D3134" s="8">
        <v>783</v>
      </c>
      <c r="E3134" s="8">
        <v>319</v>
      </c>
      <c r="F3134" s="8">
        <v>350</v>
      </c>
      <c r="G3134" s="8">
        <v>0</v>
      </c>
      <c r="H3134" s="8">
        <v>10631</v>
      </c>
      <c r="I3134" s="8">
        <v>0</v>
      </c>
      <c r="J3134" s="8">
        <v>71</v>
      </c>
      <c r="K3134" s="8">
        <v>350</v>
      </c>
      <c r="L3134" s="8">
        <v>340</v>
      </c>
      <c r="M3134" s="8">
        <v>10.45454546</v>
      </c>
      <c r="N3134">
        <f>VLOOKUP(A3134,vlookup_table!$A:$G,2,FALSE)</f>
        <v>1</v>
      </c>
      <c r="O3134" t="str">
        <f>VLOOKUP(A3134,vlookup_table!$A:$G,3,FALSE)</f>
        <v>TX</v>
      </c>
      <c r="P3134">
        <f>VLOOKUP(A3134,vlookup_table!$A:$G,4,FALSE)</f>
        <v>5504</v>
      </c>
      <c r="Q3134" t="str">
        <f>VLOOKUP(A3134,vlookup_table!$A:$G,5,FALSE)</f>
        <v>T1</v>
      </c>
      <c r="R3134" t="str">
        <f>VLOOKUP(A3134,vlookup_table!$A:$G,6,FALSE)</f>
        <v>M</v>
      </c>
      <c r="S3134">
        <f>VLOOKUP(A3134,vlookup_table!$A:$G,7,FALSE)</f>
        <v>10</v>
      </c>
      <c r="T3134">
        <f t="shared" si="96"/>
        <v>41</v>
      </c>
      <c r="U3134" t="str">
        <f t="shared" si="97"/>
        <v>Pueblo</v>
      </c>
    </row>
    <row r="3135" spans="1:21" ht="16" x14ac:dyDescent="0.4">
      <c r="A3135" s="9">
        <v>137900</v>
      </c>
      <c r="B3135" s="8" t="s">
        <v>51</v>
      </c>
      <c r="C3135" s="8" t="s">
        <v>14</v>
      </c>
      <c r="D3135" s="8">
        <v>483</v>
      </c>
      <c r="E3135" s="8">
        <v>198</v>
      </c>
      <c r="F3135" s="8">
        <v>283</v>
      </c>
      <c r="G3135" s="8">
        <v>0</v>
      </c>
      <c r="H3135" s="8">
        <v>9290</v>
      </c>
      <c r="I3135" s="8">
        <v>7</v>
      </c>
      <c r="J3135" s="8">
        <v>46</v>
      </c>
      <c r="K3135" s="8">
        <v>231</v>
      </c>
      <c r="L3135" s="8">
        <v>245</v>
      </c>
      <c r="M3135" s="8">
        <v>4.8333333329999997</v>
      </c>
      <c r="N3135">
        <f>VLOOKUP(A3135,vlookup_table!$A:$G,2,FALSE)</f>
        <v>2</v>
      </c>
      <c r="O3135" t="str">
        <f>VLOOKUP(A3135,vlookup_table!$A:$G,3,FALSE)</f>
        <v>AZ</v>
      </c>
      <c r="P3135">
        <f>VLOOKUP(A3135,vlookup_table!$A:$G,4,FALSE)</f>
        <v>3008</v>
      </c>
      <c r="Q3135" t="str">
        <f>VLOOKUP(A3135,vlookup_table!$A:$G,5,FALSE)</f>
        <v>R2</v>
      </c>
      <c r="R3135" t="str">
        <f>VLOOKUP(A3135,vlookup_table!$A:$G,6,FALSE)</f>
        <v>M</v>
      </c>
      <c r="S3135">
        <f>VLOOKUP(A3135,vlookup_table!$A:$G,7,FALSE)</f>
        <v>5</v>
      </c>
      <c r="T3135">
        <f t="shared" si="96"/>
        <v>66</v>
      </c>
      <c r="U3135" t="str">
        <f t="shared" si="97"/>
        <v>Rural</v>
      </c>
    </row>
    <row r="3136" spans="1:21" ht="16" x14ac:dyDescent="0.4">
      <c r="A3136" s="9">
        <v>47161</v>
      </c>
      <c r="B3136" s="8" t="s">
        <v>40</v>
      </c>
      <c r="C3136" s="8" t="s">
        <v>14</v>
      </c>
      <c r="D3136" s="8">
        <v>661</v>
      </c>
      <c r="E3136" s="8">
        <v>332</v>
      </c>
      <c r="F3136" s="8">
        <v>415</v>
      </c>
      <c r="G3136" s="8">
        <v>0</v>
      </c>
      <c r="H3136" s="8">
        <v>15892</v>
      </c>
      <c r="I3136" s="8">
        <v>0</v>
      </c>
      <c r="J3136" s="8">
        <v>80</v>
      </c>
      <c r="K3136" s="8">
        <v>347</v>
      </c>
      <c r="L3136" s="8">
        <v>380</v>
      </c>
      <c r="M3136" s="8">
        <v>8.8000000000000007</v>
      </c>
      <c r="N3136">
        <f>VLOOKUP(A3136,vlookup_table!$A:$G,2,FALSE)</f>
        <v>1</v>
      </c>
      <c r="O3136" t="str">
        <f>VLOOKUP(A3136,vlookup_table!$A:$G,3,FALSE)</f>
        <v>AL</v>
      </c>
      <c r="P3136">
        <f>VLOOKUP(A3136,vlookup_table!$A:$G,4,FALSE)</f>
        <v>1911</v>
      </c>
      <c r="Q3136" t="str">
        <f>VLOOKUP(A3136,vlookup_table!$A:$G,5,FALSE)</f>
        <v>S1</v>
      </c>
      <c r="R3136" t="str">
        <f>VLOOKUP(A3136,vlookup_table!$A:$G,6,FALSE)</f>
        <v>M</v>
      </c>
      <c r="S3136">
        <f>VLOOKUP(A3136,vlookup_table!$A:$G,7,FALSE)</f>
        <v>10</v>
      </c>
      <c r="T3136">
        <f t="shared" si="96"/>
        <v>77</v>
      </c>
      <c r="U3136" t="str">
        <f t="shared" si="97"/>
        <v>Suburbano</v>
      </c>
    </row>
    <row r="3137" spans="1:21" ht="16" x14ac:dyDescent="0.4">
      <c r="A3137" s="9">
        <v>48551</v>
      </c>
      <c r="B3137" s="8" t="s">
        <v>40</v>
      </c>
      <c r="C3137" s="8" t="s">
        <v>17</v>
      </c>
      <c r="D3137" s="8">
        <v>380</v>
      </c>
      <c r="E3137" s="8">
        <v>152</v>
      </c>
      <c r="F3137" s="8">
        <v>261</v>
      </c>
      <c r="G3137" s="8">
        <v>1</v>
      </c>
      <c r="H3137" s="8">
        <v>8807</v>
      </c>
      <c r="I3137" s="8">
        <v>2</v>
      </c>
      <c r="J3137" s="8">
        <v>88</v>
      </c>
      <c r="K3137" s="8">
        <v>179</v>
      </c>
      <c r="L3137" s="8">
        <v>227</v>
      </c>
      <c r="M3137" s="8">
        <v>15</v>
      </c>
      <c r="N3137">
        <f>VLOOKUP(A3137,vlookup_table!$A:$G,2,FALSE)</f>
        <v>0</v>
      </c>
      <c r="O3137" t="str">
        <f>VLOOKUP(A3137,vlookup_table!$A:$G,3,FALSE)</f>
        <v>AL</v>
      </c>
      <c r="P3137">
        <f>VLOOKUP(A3137,vlookup_table!$A:$G,4,FALSE)</f>
        <v>4401</v>
      </c>
      <c r="Q3137" t="str">
        <f>VLOOKUP(A3137,vlookup_table!$A:$G,5,FALSE)</f>
        <v>R3</v>
      </c>
      <c r="R3137" t="str">
        <f>VLOOKUP(A3137,vlookup_table!$A:$G,6,FALSE)</f>
        <v>F</v>
      </c>
      <c r="S3137">
        <f>VLOOKUP(A3137,vlookup_table!$A:$G,7,FALSE)</f>
        <v>20</v>
      </c>
      <c r="T3137">
        <f t="shared" si="96"/>
        <v>52</v>
      </c>
      <c r="U3137" t="str">
        <f t="shared" si="97"/>
        <v>Rural</v>
      </c>
    </row>
    <row r="3138" spans="1:21" ht="16" x14ac:dyDescent="0.4">
      <c r="A3138" s="9">
        <v>186482</v>
      </c>
      <c r="B3138" s="8" t="s">
        <v>55</v>
      </c>
      <c r="C3138" s="8" t="s">
        <v>14</v>
      </c>
      <c r="D3138" s="8">
        <v>670</v>
      </c>
      <c r="E3138" s="8">
        <v>410</v>
      </c>
      <c r="F3138" s="8">
        <v>433</v>
      </c>
      <c r="G3138" s="8">
        <v>0</v>
      </c>
      <c r="H3138" s="8">
        <v>13151</v>
      </c>
      <c r="I3138" s="8">
        <v>0</v>
      </c>
      <c r="J3138" s="8">
        <v>65</v>
      </c>
      <c r="K3138" s="8">
        <v>413</v>
      </c>
      <c r="L3138" s="8">
        <v>432</v>
      </c>
      <c r="M3138" s="8">
        <v>7.8333333329999997</v>
      </c>
      <c r="N3138">
        <f>VLOOKUP(A3138,vlookup_table!$A:$G,2,FALSE)</f>
        <v>1</v>
      </c>
      <c r="O3138" t="str">
        <f>VLOOKUP(A3138,vlookup_table!$A:$G,3,FALSE)</f>
        <v>NE</v>
      </c>
      <c r="P3138">
        <f>VLOOKUP(A3138,vlookup_table!$A:$G,4,FALSE)</f>
        <v>5101</v>
      </c>
      <c r="Q3138" t="str">
        <f>VLOOKUP(A3138,vlookup_table!$A:$G,5,FALSE)</f>
        <v>S2</v>
      </c>
      <c r="R3138" t="str">
        <f>VLOOKUP(A3138,vlookup_table!$A:$G,6,FALSE)</f>
        <v>M</v>
      </c>
      <c r="S3138">
        <f>VLOOKUP(A3138,vlookup_table!$A:$G,7,FALSE)</f>
        <v>15</v>
      </c>
      <c r="T3138">
        <f t="shared" si="96"/>
        <v>45</v>
      </c>
      <c r="U3138" t="str">
        <f t="shared" si="97"/>
        <v>Suburbano</v>
      </c>
    </row>
    <row r="3139" spans="1:21" ht="16" x14ac:dyDescent="0.4">
      <c r="A3139" s="9">
        <v>97537</v>
      </c>
      <c r="B3139" s="8" t="s">
        <v>16</v>
      </c>
      <c r="C3139" s="8" t="s">
        <v>14</v>
      </c>
      <c r="D3139" s="8">
        <v>316</v>
      </c>
      <c r="E3139" s="8">
        <v>200</v>
      </c>
      <c r="F3139" s="8">
        <v>278</v>
      </c>
      <c r="G3139" s="8">
        <v>0</v>
      </c>
      <c r="H3139" s="8">
        <v>9619</v>
      </c>
      <c r="I3139" s="8">
        <v>1</v>
      </c>
      <c r="J3139" s="8">
        <v>86</v>
      </c>
      <c r="K3139" s="8">
        <v>256</v>
      </c>
      <c r="L3139" s="8">
        <v>237</v>
      </c>
      <c r="M3139" s="8">
        <v>4.1428571429999996</v>
      </c>
      <c r="N3139">
        <f>VLOOKUP(A3139,vlookup_table!$A:$G,2,FALSE)</f>
        <v>1</v>
      </c>
      <c r="O3139" t="str">
        <f>VLOOKUP(A3139,vlookup_table!$A:$G,3,FALSE)</f>
        <v>IL</v>
      </c>
      <c r="P3139">
        <f>VLOOKUP(A3139,vlookup_table!$A:$G,4,FALSE)</f>
        <v>7001</v>
      </c>
      <c r="Q3139" t="str">
        <f>VLOOKUP(A3139,vlookup_table!$A:$G,5,FALSE)</f>
        <v>T3</v>
      </c>
      <c r="R3139" t="str">
        <f>VLOOKUP(A3139,vlookup_table!$A:$G,6,FALSE)</f>
        <v>M</v>
      </c>
      <c r="S3139">
        <f>VLOOKUP(A3139,vlookup_table!$A:$G,7,FALSE)</f>
        <v>4</v>
      </c>
      <c r="T3139">
        <f t="shared" ref="T3139:T3202" si="98">97-LEFT(P3139,2)-IF(RIGHT(P3139,2)&gt;6,1,0)</f>
        <v>26</v>
      </c>
      <c r="U3139" t="str">
        <f t="shared" ref="U3139:U3202" si="99">IF(LEFT(Q3139,1)="C","Ciudad",IF(LEFT(Q3139,1)="T","Pueblo",IF(LEFT(Q3139,1)="R","Rural",IF(LEFT(Q3139,1)="S","Suburbano",IF(LEFT(Q3139,1)="U","Urbano","")))))</f>
        <v>Pueblo</v>
      </c>
    </row>
    <row r="3140" spans="1:21" ht="16" x14ac:dyDescent="0.4">
      <c r="A3140" s="9">
        <v>175782</v>
      </c>
      <c r="B3140" s="8" t="s">
        <v>47</v>
      </c>
      <c r="C3140" s="8" t="s">
        <v>17</v>
      </c>
      <c r="D3140" s="8">
        <v>953</v>
      </c>
      <c r="E3140" s="8">
        <v>319</v>
      </c>
      <c r="F3140" s="8">
        <v>455</v>
      </c>
      <c r="G3140" s="8">
        <v>1</v>
      </c>
      <c r="H3140" s="8">
        <v>15729</v>
      </c>
      <c r="I3140" s="8">
        <v>3</v>
      </c>
      <c r="J3140" s="8">
        <v>45</v>
      </c>
      <c r="K3140" s="8">
        <v>379</v>
      </c>
      <c r="L3140" s="8">
        <v>387</v>
      </c>
      <c r="M3140" s="8">
        <v>15</v>
      </c>
      <c r="N3140">
        <f>VLOOKUP(A3140,vlookup_table!$A:$G,2,FALSE)</f>
        <v>0</v>
      </c>
      <c r="O3140" t="str">
        <f>VLOOKUP(A3140,vlookup_table!$A:$G,3,FALSE)</f>
        <v>OR</v>
      </c>
      <c r="P3140">
        <f>VLOOKUP(A3140,vlookup_table!$A:$G,4,FALSE)</f>
        <v>0</v>
      </c>
      <c r="Q3140" t="str">
        <f>VLOOKUP(A3140,vlookup_table!$A:$G,5,FALSE)</f>
        <v>S2</v>
      </c>
      <c r="R3140" t="str">
        <f>VLOOKUP(A3140,vlookup_table!$A:$G,6,FALSE)</f>
        <v>F</v>
      </c>
      <c r="S3140">
        <f>VLOOKUP(A3140,vlookup_table!$A:$G,7,FALSE)</f>
        <v>21</v>
      </c>
      <c r="T3140">
        <f t="shared" si="98"/>
        <v>96</v>
      </c>
      <c r="U3140" t="str">
        <f t="shared" si="99"/>
        <v>Suburbano</v>
      </c>
    </row>
    <row r="3141" spans="1:21" ht="16" x14ac:dyDescent="0.4">
      <c r="A3141" s="9">
        <v>2691</v>
      </c>
      <c r="B3141" s="8" t="s">
        <v>23</v>
      </c>
      <c r="C3141" s="8"/>
      <c r="D3141" s="8">
        <v>834</v>
      </c>
      <c r="E3141" s="8">
        <v>260</v>
      </c>
      <c r="F3141" s="8">
        <v>340</v>
      </c>
      <c r="G3141" s="8">
        <v>0</v>
      </c>
      <c r="H3141" s="8">
        <v>13687</v>
      </c>
      <c r="I3141" s="8">
        <v>9</v>
      </c>
      <c r="J3141" s="8">
        <v>26</v>
      </c>
      <c r="K3141" s="8">
        <v>311</v>
      </c>
      <c r="L3141" s="8">
        <v>297</v>
      </c>
      <c r="M3141" s="8">
        <v>10.25</v>
      </c>
      <c r="N3141">
        <f>VLOOKUP(A3141,vlookup_table!$A:$G,2,FALSE)</f>
        <v>1</v>
      </c>
      <c r="O3141" t="str">
        <f>VLOOKUP(A3141,vlookup_table!$A:$G,3,FALSE)</f>
        <v>NV</v>
      </c>
      <c r="P3141">
        <f>VLOOKUP(A3141,vlookup_table!$A:$G,4,FALSE)</f>
        <v>0</v>
      </c>
      <c r="Q3141" t="str">
        <f>VLOOKUP(A3141,vlookup_table!$A:$G,5,FALSE)</f>
        <v>C2</v>
      </c>
      <c r="R3141" t="str">
        <f>VLOOKUP(A3141,vlookup_table!$A:$G,6,FALSE)</f>
        <v/>
      </c>
      <c r="S3141">
        <f>VLOOKUP(A3141,vlookup_table!$A:$G,7,FALSE)</f>
        <v>16</v>
      </c>
      <c r="T3141">
        <f t="shared" si="98"/>
        <v>96</v>
      </c>
      <c r="U3141" t="str">
        <f t="shared" si="99"/>
        <v>Ciudad</v>
      </c>
    </row>
    <row r="3142" spans="1:21" ht="16" x14ac:dyDescent="0.4">
      <c r="A3142" s="9">
        <v>39031</v>
      </c>
      <c r="B3142" s="8" t="s">
        <v>13</v>
      </c>
      <c r="C3142" s="8" t="s">
        <v>17</v>
      </c>
      <c r="D3142" s="8">
        <v>1200</v>
      </c>
      <c r="E3142" s="8">
        <v>537</v>
      </c>
      <c r="F3142" s="8">
        <v>643</v>
      </c>
      <c r="G3142" s="8">
        <v>4</v>
      </c>
      <c r="H3142" s="8">
        <v>22219</v>
      </c>
      <c r="I3142" s="8">
        <v>9</v>
      </c>
      <c r="J3142" s="8">
        <v>26</v>
      </c>
      <c r="K3142" s="8">
        <v>613</v>
      </c>
      <c r="L3142" s="8">
        <v>576</v>
      </c>
      <c r="M3142" s="8">
        <v>7.8571428570000004</v>
      </c>
      <c r="N3142">
        <f>VLOOKUP(A3142,vlookup_table!$A:$G,2,FALSE)</f>
        <v>0</v>
      </c>
      <c r="O3142" t="str">
        <f>VLOOKUP(A3142,vlookup_table!$A:$G,3,FALSE)</f>
        <v>FL</v>
      </c>
      <c r="P3142">
        <f>VLOOKUP(A3142,vlookup_table!$A:$G,4,FALSE)</f>
        <v>5401</v>
      </c>
      <c r="Q3142" t="str">
        <f>VLOOKUP(A3142,vlookup_table!$A:$G,5,FALSE)</f>
        <v>U1</v>
      </c>
      <c r="R3142" t="str">
        <f>VLOOKUP(A3142,vlookup_table!$A:$G,6,FALSE)</f>
        <v>F</v>
      </c>
      <c r="S3142">
        <f>VLOOKUP(A3142,vlookup_table!$A:$G,7,FALSE)</f>
        <v>15</v>
      </c>
      <c r="T3142">
        <f t="shared" si="98"/>
        <v>42</v>
      </c>
      <c r="U3142" t="str">
        <f t="shared" si="99"/>
        <v>Urbano</v>
      </c>
    </row>
    <row r="3143" spans="1:21" ht="16" x14ac:dyDescent="0.4">
      <c r="A3143" s="9">
        <v>94902</v>
      </c>
      <c r="B3143" s="8" t="s">
        <v>16</v>
      </c>
      <c r="C3143" s="8" t="s">
        <v>14</v>
      </c>
      <c r="D3143" s="8">
        <v>1031</v>
      </c>
      <c r="E3143" s="8">
        <v>305</v>
      </c>
      <c r="F3143" s="8">
        <v>437</v>
      </c>
      <c r="G3143" s="8">
        <v>0</v>
      </c>
      <c r="H3143" s="8">
        <v>15146</v>
      </c>
      <c r="I3143" s="8">
        <v>34</v>
      </c>
      <c r="J3143" s="8">
        <v>56</v>
      </c>
      <c r="K3143" s="8">
        <v>390</v>
      </c>
      <c r="L3143" s="8">
        <v>383</v>
      </c>
      <c r="M3143" s="8">
        <v>30</v>
      </c>
      <c r="N3143">
        <f>VLOOKUP(A3143,vlookup_table!$A:$G,2,FALSE)</f>
        <v>1</v>
      </c>
      <c r="O3143" t="str">
        <f>VLOOKUP(A3143,vlookup_table!$A:$G,3,FALSE)</f>
        <v>IL</v>
      </c>
      <c r="P3143">
        <f>VLOOKUP(A3143,vlookup_table!$A:$G,4,FALSE)</f>
        <v>0</v>
      </c>
      <c r="Q3143" t="str">
        <f>VLOOKUP(A3143,vlookup_table!$A:$G,5,FALSE)</f>
        <v>U1</v>
      </c>
      <c r="R3143" t="str">
        <f>VLOOKUP(A3143,vlookup_table!$A:$G,6,FALSE)</f>
        <v>M</v>
      </c>
      <c r="S3143">
        <f>VLOOKUP(A3143,vlookup_table!$A:$G,7,FALSE)</f>
        <v>30</v>
      </c>
      <c r="T3143">
        <f t="shared" si="98"/>
        <v>96</v>
      </c>
      <c r="U3143" t="str">
        <f t="shared" si="99"/>
        <v>Urbano</v>
      </c>
    </row>
    <row r="3144" spans="1:21" ht="16" x14ac:dyDescent="0.4">
      <c r="A3144" s="9">
        <v>60104</v>
      </c>
      <c r="B3144" s="8" t="s">
        <v>23</v>
      </c>
      <c r="C3144" s="8" t="s">
        <v>17</v>
      </c>
      <c r="D3144" s="8">
        <v>891</v>
      </c>
      <c r="E3144" s="8">
        <v>442</v>
      </c>
      <c r="F3144" s="8">
        <v>440</v>
      </c>
      <c r="G3144" s="8">
        <v>0</v>
      </c>
      <c r="H3144" s="8">
        <v>13070</v>
      </c>
      <c r="I3144" s="8">
        <v>3</v>
      </c>
      <c r="J3144" s="8">
        <v>18</v>
      </c>
      <c r="K3144" s="8">
        <v>446</v>
      </c>
      <c r="L3144" s="8">
        <v>439</v>
      </c>
      <c r="M3144" s="8">
        <v>8.7142857140000007</v>
      </c>
      <c r="N3144">
        <f>VLOOKUP(A3144,vlookup_table!$A:$G,2,FALSE)</f>
        <v>28</v>
      </c>
      <c r="O3144" t="str">
        <f>VLOOKUP(A3144,vlookup_table!$A:$G,3,FALSE)</f>
        <v>NV</v>
      </c>
      <c r="P3144">
        <f>VLOOKUP(A3144,vlookup_table!$A:$G,4,FALSE)</f>
        <v>0</v>
      </c>
      <c r="Q3144" t="str">
        <f>VLOOKUP(A3144,vlookup_table!$A:$G,5,FALSE)</f>
        <v>S2</v>
      </c>
      <c r="R3144" t="str">
        <f>VLOOKUP(A3144,vlookup_table!$A:$G,6,FALSE)</f>
        <v>F</v>
      </c>
      <c r="S3144">
        <f>VLOOKUP(A3144,vlookup_table!$A:$G,7,FALSE)</f>
        <v>5</v>
      </c>
      <c r="T3144">
        <f t="shared" si="98"/>
        <v>96</v>
      </c>
      <c r="U3144" t="str">
        <f t="shared" si="99"/>
        <v>Suburbano</v>
      </c>
    </row>
    <row r="3145" spans="1:21" ht="16" x14ac:dyDescent="0.4">
      <c r="A3145" s="9">
        <v>163843</v>
      </c>
      <c r="B3145" s="8" t="s">
        <v>21</v>
      </c>
      <c r="C3145" s="8" t="s">
        <v>14</v>
      </c>
      <c r="D3145" s="8">
        <v>3543</v>
      </c>
      <c r="E3145" s="8">
        <v>484</v>
      </c>
      <c r="F3145" s="8">
        <v>624</v>
      </c>
      <c r="G3145" s="8">
        <v>92</v>
      </c>
      <c r="H3145" s="8">
        <v>21140</v>
      </c>
      <c r="I3145" s="8">
        <v>28</v>
      </c>
      <c r="J3145" s="8">
        <v>44</v>
      </c>
      <c r="K3145" s="8">
        <v>575</v>
      </c>
      <c r="L3145" s="8">
        <v>556</v>
      </c>
      <c r="M3145" s="8">
        <v>10.6</v>
      </c>
      <c r="N3145">
        <f>VLOOKUP(A3145,vlookup_table!$A:$G,2,FALSE)</f>
        <v>1</v>
      </c>
      <c r="O3145" t="str">
        <f>VLOOKUP(A3145,vlookup_table!$A:$G,3,FALSE)</f>
        <v>CA</v>
      </c>
      <c r="P3145">
        <f>VLOOKUP(A3145,vlookup_table!$A:$G,4,FALSE)</f>
        <v>4609</v>
      </c>
      <c r="Q3145" t="str">
        <f>VLOOKUP(A3145,vlookup_table!$A:$G,5,FALSE)</f>
        <v>S1</v>
      </c>
      <c r="R3145" t="str">
        <f>VLOOKUP(A3145,vlookup_table!$A:$G,6,FALSE)</f>
        <v>M</v>
      </c>
      <c r="S3145">
        <f>VLOOKUP(A3145,vlookup_table!$A:$G,7,FALSE)</f>
        <v>16</v>
      </c>
      <c r="T3145">
        <f t="shared" si="98"/>
        <v>50</v>
      </c>
      <c r="U3145" t="str">
        <f t="shared" si="99"/>
        <v>Suburbano</v>
      </c>
    </row>
    <row r="3146" spans="1:21" ht="16" x14ac:dyDescent="0.4">
      <c r="A3146" s="9">
        <v>8768</v>
      </c>
      <c r="B3146" s="8" t="s">
        <v>21</v>
      </c>
      <c r="C3146" s="8" t="s">
        <v>14</v>
      </c>
      <c r="D3146" s="8">
        <v>1547</v>
      </c>
      <c r="E3146" s="8">
        <v>516</v>
      </c>
      <c r="F3146" s="8">
        <v>526</v>
      </c>
      <c r="G3146" s="8">
        <v>16</v>
      </c>
      <c r="H3146" s="8">
        <v>13896</v>
      </c>
      <c r="I3146" s="8">
        <v>15</v>
      </c>
      <c r="J3146" s="8">
        <v>60</v>
      </c>
      <c r="K3146" s="8">
        <v>522</v>
      </c>
      <c r="L3146" s="8">
        <v>529</v>
      </c>
      <c r="M3146" s="8">
        <v>12.6</v>
      </c>
      <c r="N3146">
        <f>VLOOKUP(A3146,vlookup_table!$A:$G,2,FALSE)</f>
        <v>2</v>
      </c>
      <c r="O3146" t="str">
        <f>VLOOKUP(A3146,vlookup_table!$A:$G,3,FALSE)</f>
        <v>CA</v>
      </c>
      <c r="P3146">
        <f>VLOOKUP(A3146,vlookup_table!$A:$G,4,FALSE)</f>
        <v>1901</v>
      </c>
      <c r="Q3146" t="str">
        <f>VLOOKUP(A3146,vlookup_table!$A:$G,5,FALSE)</f>
        <v/>
      </c>
      <c r="R3146" t="str">
        <f>VLOOKUP(A3146,vlookup_table!$A:$G,6,FALSE)</f>
        <v>M</v>
      </c>
      <c r="S3146">
        <f>VLOOKUP(A3146,vlookup_table!$A:$G,7,FALSE)</f>
        <v>15</v>
      </c>
      <c r="T3146">
        <f t="shared" si="98"/>
        <v>77</v>
      </c>
      <c r="U3146" t="str">
        <f t="shared" si="99"/>
        <v/>
      </c>
    </row>
    <row r="3147" spans="1:21" ht="16" x14ac:dyDescent="0.4">
      <c r="A3147" s="9">
        <v>190626</v>
      </c>
      <c r="B3147" s="8" t="s">
        <v>13</v>
      </c>
      <c r="C3147" s="8" t="s">
        <v>14</v>
      </c>
      <c r="D3147" s="8">
        <v>768</v>
      </c>
      <c r="E3147" s="8">
        <v>174</v>
      </c>
      <c r="F3147" s="8">
        <v>249</v>
      </c>
      <c r="G3147" s="8">
        <v>7</v>
      </c>
      <c r="H3147" s="8">
        <v>7802</v>
      </c>
      <c r="I3147" s="8">
        <v>6</v>
      </c>
      <c r="J3147" s="8">
        <v>41</v>
      </c>
      <c r="K3147" s="8">
        <v>201</v>
      </c>
      <c r="L3147" s="8">
        <v>220</v>
      </c>
      <c r="M3147" s="8">
        <v>8.7857142859999993</v>
      </c>
      <c r="N3147">
        <f>VLOOKUP(A3147,vlookup_table!$A:$G,2,FALSE)</f>
        <v>0</v>
      </c>
      <c r="O3147" t="str">
        <f>VLOOKUP(A3147,vlookup_table!$A:$G,3,FALSE)</f>
        <v>FL</v>
      </c>
      <c r="P3147">
        <f>VLOOKUP(A3147,vlookup_table!$A:$G,4,FALSE)</f>
        <v>2904</v>
      </c>
      <c r="Q3147" t="str">
        <f>VLOOKUP(A3147,vlookup_table!$A:$G,5,FALSE)</f>
        <v>C3</v>
      </c>
      <c r="R3147" t="str">
        <f>VLOOKUP(A3147,vlookup_table!$A:$G,6,FALSE)</f>
        <v>M</v>
      </c>
      <c r="S3147">
        <f>VLOOKUP(A3147,vlookup_table!$A:$G,7,FALSE)</f>
        <v>10</v>
      </c>
      <c r="T3147">
        <f t="shared" si="98"/>
        <v>67</v>
      </c>
      <c r="U3147" t="str">
        <f t="shared" si="99"/>
        <v>Ciudad</v>
      </c>
    </row>
    <row r="3148" spans="1:21" ht="16" x14ac:dyDescent="0.4">
      <c r="A3148" s="9">
        <v>145786</v>
      </c>
      <c r="B3148" s="8" t="s">
        <v>21</v>
      </c>
      <c r="C3148" s="8" t="s">
        <v>14</v>
      </c>
      <c r="D3148" s="8">
        <v>2126</v>
      </c>
      <c r="E3148" s="8">
        <v>498</v>
      </c>
      <c r="F3148" s="8">
        <v>523</v>
      </c>
      <c r="G3148" s="8">
        <v>63</v>
      </c>
      <c r="H3148" s="8">
        <v>13783</v>
      </c>
      <c r="I3148" s="8">
        <v>7</v>
      </c>
      <c r="J3148" s="8">
        <v>61</v>
      </c>
      <c r="K3148" s="8">
        <v>510</v>
      </c>
      <c r="L3148" s="8">
        <v>489</v>
      </c>
      <c r="M3148" s="8">
        <v>7.3</v>
      </c>
      <c r="N3148">
        <f>VLOOKUP(A3148,vlookup_table!$A:$G,2,FALSE)</f>
        <v>1</v>
      </c>
      <c r="O3148" t="str">
        <f>VLOOKUP(A3148,vlookup_table!$A:$G,3,FALSE)</f>
        <v>CA</v>
      </c>
      <c r="P3148">
        <f>VLOOKUP(A3148,vlookup_table!$A:$G,4,FALSE)</f>
        <v>1904</v>
      </c>
      <c r="Q3148" t="str">
        <f>VLOOKUP(A3148,vlookup_table!$A:$G,5,FALSE)</f>
        <v>U2</v>
      </c>
      <c r="R3148" t="str">
        <f>VLOOKUP(A3148,vlookup_table!$A:$G,6,FALSE)</f>
        <v>M</v>
      </c>
      <c r="S3148">
        <f>VLOOKUP(A3148,vlookup_table!$A:$G,7,FALSE)</f>
        <v>20</v>
      </c>
      <c r="T3148">
        <f t="shared" si="98"/>
        <v>77</v>
      </c>
      <c r="U3148" t="str">
        <f t="shared" si="99"/>
        <v>Urbano</v>
      </c>
    </row>
    <row r="3149" spans="1:21" ht="16" x14ac:dyDescent="0.4">
      <c r="A3149" s="9">
        <v>1927</v>
      </c>
      <c r="B3149" s="8" t="s">
        <v>37</v>
      </c>
      <c r="C3149" s="8" t="s">
        <v>17</v>
      </c>
      <c r="D3149" s="8">
        <v>1133</v>
      </c>
      <c r="E3149" s="8">
        <v>615</v>
      </c>
      <c r="F3149" s="8">
        <v>681</v>
      </c>
      <c r="G3149" s="8">
        <v>6</v>
      </c>
      <c r="H3149" s="8">
        <v>22163</v>
      </c>
      <c r="I3149" s="8">
        <v>3</v>
      </c>
      <c r="J3149" s="8">
        <v>36</v>
      </c>
      <c r="K3149" s="8">
        <v>626</v>
      </c>
      <c r="L3149" s="8">
        <v>651</v>
      </c>
      <c r="M3149" s="8">
        <v>13.33333333</v>
      </c>
      <c r="N3149">
        <f>VLOOKUP(A3149,vlookup_table!$A:$G,2,FALSE)</f>
        <v>0</v>
      </c>
      <c r="O3149" t="str">
        <f>VLOOKUP(A3149,vlookup_table!$A:$G,3,FALSE)</f>
        <v>WA</v>
      </c>
      <c r="P3149">
        <f>VLOOKUP(A3149,vlookup_table!$A:$G,4,FALSE)</f>
        <v>5801</v>
      </c>
      <c r="Q3149" t="str">
        <f>VLOOKUP(A3149,vlookup_table!$A:$G,5,FALSE)</f>
        <v>T1</v>
      </c>
      <c r="R3149" t="str">
        <f>VLOOKUP(A3149,vlookup_table!$A:$G,6,FALSE)</f>
        <v>F</v>
      </c>
      <c r="S3149">
        <f>VLOOKUP(A3149,vlookup_table!$A:$G,7,FALSE)</f>
        <v>15</v>
      </c>
      <c r="T3149">
        <f t="shared" si="98"/>
        <v>38</v>
      </c>
      <c r="U3149" t="str">
        <f t="shared" si="99"/>
        <v>Pueblo</v>
      </c>
    </row>
    <row r="3150" spans="1:21" ht="16" x14ac:dyDescent="0.4">
      <c r="A3150" s="9">
        <v>157100</v>
      </c>
      <c r="B3150" s="8" t="s">
        <v>21</v>
      </c>
      <c r="C3150" s="8" t="s">
        <v>17</v>
      </c>
      <c r="D3150" s="8">
        <v>2556</v>
      </c>
      <c r="E3150" s="8">
        <v>490</v>
      </c>
      <c r="F3150" s="8">
        <v>744</v>
      </c>
      <c r="G3150" s="8">
        <v>88</v>
      </c>
      <c r="H3150" s="8">
        <v>40178</v>
      </c>
      <c r="I3150" s="8">
        <v>14</v>
      </c>
      <c r="J3150" s="8">
        <v>27</v>
      </c>
      <c r="K3150" s="8">
        <v>670</v>
      </c>
      <c r="L3150" s="8">
        <v>610</v>
      </c>
      <c r="M3150" s="8">
        <v>17.272727270000001</v>
      </c>
      <c r="N3150">
        <f>VLOOKUP(A3150,vlookup_table!$A:$G,2,FALSE)</f>
        <v>0</v>
      </c>
      <c r="O3150" t="str">
        <f>VLOOKUP(A3150,vlookup_table!$A:$G,3,FALSE)</f>
        <v>CA</v>
      </c>
      <c r="P3150">
        <f>VLOOKUP(A3150,vlookup_table!$A:$G,4,FALSE)</f>
        <v>4703</v>
      </c>
      <c r="Q3150" t="str">
        <f>VLOOKUP(A3150,vlookup_table!$A:$G,5,FALSE)</f>
        <v>T1</v>
      </c>
      <c r="R3150" t="str">
        <f>VLOOKUP(A3150,vlookup_table!$A:$G,6,FALSE)</f>
        <v>F</v>
      </c>
      <c r="S3150">
        <f>VLOOKUP(A3150,vlookup_table!$A:$G,7,FALSE)</f>
        <v>27</v>
      </c>
      <c r="T3150">
        <f t="shared" si="98"/>
        <v>49</v>
      </c>
      <c r="U3150" t="str">
        <f t="shared" si="99"/>
        <v>Pueblo</v>
      </c>
    </row>
    <row r="3151" spans="1:21" ht="16" x14ac:dyDescent="0.4">
      <c r="A3151" s="9">
        <v>166870</v>
      </c>
      <c r="B3151" s="8" t="s">
        <v>21</v>
      </c>
      <c r="C3151" s="8" t="s">
        <v>17</v>
      </c>
      <c r="D3151" s="8">
        <v>3700</v>
      </c>
      <c r="E3151" s="8">
        <v>444</v>
      </c>
      <c r="F3151" s="8">
        <v>667</v>
      </c>
      <c r="G3151" s="8">
        <v>91</v>
      </c>
      <c r="H3151" s="8">
        <v>31003</v>
      </c>
      <c r="I3151" s="8">
        <v>14</v>
      </c>
      <c r="J3151" s="8">
        <v>58</v>
      </c>
      <c r="K3151" s="8">
        <v>583</v>
      </c>
      <c r="L3151" s="8">
        <v>559</v>
      </c>
      <c r="M3151" s="8">
        <v>12.5</v>
      </c>
      <c r="N3151">
        <f>VLOOKUP(A3151,vlookup_table!$A:$G,2,FALSE)</f>
        <v>28</v>
      </c>
      <c r="O3151" t="str">
        <f>VLOOKUP(A3151,vlookup_table!$A:$G,3,FALSE)</f>
        <v>CA</v>
      </c>
      <c r="P3151">
        <f>VLOOKUP(A3151,vlookup_table!$A:$G,4,FALSE)</f>
        <v>0</v>
      </c>
      <c r="Q3151" t="str">
        <f>VLOOKUP(A3151,vlookup_table!$A:$G,5,FALSE)</f>
        <v>S1</v>
      </c>
      <c r="R3151" t="str">
        <f>VLOOKUP(A3151,vlookup_table!$A:$G,6,FALSE)</f>
        <v>F</v>
      </c>
      <c r="S3151">
        <f>VLOOKUP(A3151,vlookup_table!$A:$G,7,FALSE)</f>
        <v>14</v>
      </c>
      <c r="T3151">
        <f t="shared" si="98"/>
        <v>96</v>
      </c>
      <c r="U3151" t="str">
        <f t="shared" si="99"/>
        <v>Suburbano</v>
      </c>
    </row>
    <row r="3152" spans="1:21" ht="16" x14ac:dyDescent="0.4">
      <c r="A3152" s="9">
        <v>108724</v>
      </c>
      <c r="B3152" s="8" t="s">
        <v>46</v>
      </c>
      <c r="C3152" s="8" t="s">
        <v>14</v>
      </c>
      <c r="D3152" s="8">
        <v>565</v>
      </c>
      <c r="E3152" s="8">
        <v>259</v>
      </c>
      <c r="F3152" s="8">
        <v>339</v>
      </c>
      <c r="G3152" s="8">
        <v>4</v>
      </c>
      <c r="H3152" s="8">
        <v>11314</v>
      </c>
      <c r="I3152" s="8">
        <v>0</v>
      </c>
      <c r="J3152" s="8">
        <v>89</v>
      </c>
      <c r="K3152" s="8">
        <v>293</v>
      </c>
      <c r="L3152" s="8">
        <v>305</v>
      </c>
      <c r="M3152" s="8">
        <v>6.846153846</v>
      </c>
      <c r="N3152">
        <f>VLOOKUP(A3152,vlookup_table!$A:$G,2,FALSE)</f>
        <v>1002</v>
      </c>
      <c r="O3152" t="str">
        <f>VLOOKUP(A3152,vlookup_table!$A:$G,3,FALSE)</f>
        <v>LA</v>
      </c>
      <c r="P3152">
        <f>VLOOKUP(A3152,vlookup_table!$A:$G,4,FALSE)</f>
        <v>4001</v>
      </c>
      <c r="Q3152" t="str">
        <f>VLOOKUP(A3152,vlookup_table!$A:$G,5,FALSE)</f>
        <v>T2</v>
      </c>
      <c r="R3152" t="str">
        <f>VLOOKUP(A3152,vlookup_table!$A:$G,6,FALSE)</f>
        <v>M</v>
      </c>
      <c r="S3152">
        <f>VLOOKUP(A3152,vlookup_table!$A:$G,7,FALSE)</f>
        <v>12</v>
      </c>
      <c r="T3152">
        <f t="shared" si="98"/>
        <v>56</v>
      </c>
      <c r="U3152" t="str">
        <f t="shared" si="99"/>
        <v>Pueblo</v>
      </c>
    </row>
    <row r="3153" spans="1:21" ht="16" x14ac:dyDescent="0.4">
      <c r="A3153" s="9">
        <v>62400</v>
      </c>
      <c r="B3153" s="8" t="s">
        <v>30</v>
      </c>
      <c r="C3153" s="8" t="s">
        <v>17</v>
      </c>
      <c r="D3153" s="8">
        <v>975</v>
      </c>
      <c r="E3153" s="8">
        <v>301</v>
      </c>
      <c r="F3153" s="8">
        <v>393</v>
      </c>
      <c r="G3153" s="8">
        <v>1</v>
      </c>
      <c r="H3153" s="8">
        <v>17572</v>
      </c>
      <c r="I3153" s="8">
        <v>4</v>
      </c>
      <c r="J3153" s="8">
        <v>51</v>
      </c>
      <c r="K3153" s="8">
        <v>366</v>
      </c>
      <c r="L3153" s="8">
        <v>322</v>
      </c>
      <c r="M3153" s="8">
        <v>3.407407407</v>
      </c>
      <c r="N3153">
        <f>VLOOKUP(A3153,vlookup_table!$A:$G,2,FALSE)</f>
        <v>0</v>
      </c>
      <c r="O3153" t="str">
        <f>VLOOKUP(A3153,vlookup_table!$A:$G,3,FALSE)</f>
        <v>IN</v>
      </c>
      <c r="P3153">
        <f>VLOOKUP(A3153,vlookup_table!$A:$G,4,FALSE)</f>
        <v>1801</v>
      </c>
      <c r="Q3153" t="str">
        <f>VLOOKUP(A3153,vlookup_table!$A:$G,5,FALSE)</f>
        <v>S2</v>
      </c>
      <c r="R3153" t="str">
        <f>VLOOKUP(A3153,vlookup_table!$A:$G,6,FALSE)</f>
        <v>F</v>
      </c>
      <c r="S3153">
        <f>VLOOKUP(A3153,vlookup_table!$A:$G,7,FALSE)</f>
        <v>3</v>
      </c>
      <c r="T3153">
        <f t="shared" si="98"/>
        <v>78</v>
      </c>
      <c r="U3153" t="str">
        <f t="shared" si="99"/>
        <v>Suburbano</v>
      </c>
    </row>
    <row r="3154" spans="1:21" ht="16" x14ac:dyDescent="0.4">
      <c r="A3154" s="9">
        <v>19864</v>
      </c>
      <c r="B3154" s="8" t="s">
        <v>18</v>
      </c>
      <c r="C3154" s="8" t="s">
        <v>14</v>
      </c>
      <c r="D3154" s="8">
        <v>632</v>
      </c>
      <c r="E3154" s="8">
        <v>343</v>
      </c>
      <c r="F3154" s="8">
        <v>340</v>
      </c>
      <c r="G3154" s="8">
        <v>0</v>
      </c>
      <c r="H3154" s="8">
        <v>10586</v>
      </c>
      <c r="I3154" s="8">
        <v>11</v>
      </c>
      <c r="J3154" s="8">
        <v>36</v>
      </c>
      <c r="K3154" s="8">
        <v>316</v>
      </c>
      <c r="L3154" s="8">
        <v>344</v>
      </c>
      <c r="M3154" s="8">
        <v>5.2857142860000002</v>
      </c>
      <c r="N3154">
        <f>VLOOKUP(A3154,vlookup_table!$A:$G,2,FALSE)</f>
        <v>1</v>
      </c>
      <c r="O3154" t="str">
        <f>VLOOKUP(A3154,vlookup_table!$A:$G,3,FALSE)</f>
        <v>NC</v>
      </c>
      <c r="P3154">
        <f>VLOOKUP(A3154,vlookup_table!$A:$G,4,FALSE)</f>
        <v>4001</v>
      </c>
      <c r="Q3154" t="str">
        <f>VLOOKUP(A3154,vlookup_table!$A:$G,5,FALSE)</f>
        <v>C2</v>
      </c>
      <c r="R3154" t="str">
        <f>VLOOKUP(A3154,vlookup_table!$A:$G,6,FALSE)</f>
        <v>M</v>
      </c>
      <c r="S3154">
        <f>VLOOKUP(A3154,vlookup_table!$A:$G,7,FALSE)</f>
        <v>5</v>
      </c>
      <c r="T3154">
        <f t="shared" si="98"/>
        <v>56</v>
      </c>
      <c r="U3154" t="str">
        <f t="shared" si="99"/>
        <v>Ciudad</v>
      </c>
    </row>
    <row r="3155" spans="1:21" ht="16" x14ac:dyDescent="0.4">
      <c r="A3155" s="9">
        <v>11961</v>
      </c>
      <c r="B3155" s="8" t="s">
        <v>21</v>
      </c>
      <c r="C3155" s="8" t="s">
        <v>17</v>
      </c>
      <c r="D3155" s="8">
        <v>2645</v>
      </c>
      <c r="E3155" s="8">
        <v>644</v>
      </c>
      <c r="F3155" s="8">
        <v>697</v>
      </c>
      <c r="G3155" s="8">
        <v>87</v>
      </c>
      <c r="H3155" s="8">
        <v>20782</v>
      </c>
      <c r="I3155" s="8">
        <v>26</v>
      </c>
      <c r="J3155" s="8">
        <v>46</v>
      </c>
      <c r="K3155" s="8">
        <v>655</v>
      </c>
      <c r="L3155" s="8">
        <v>682</v>
      </c>
      <c r="M3155" s="8">
        <v>21.6</v>
      </c>
      <c r="N3155">
        <f>VLOOKUP(A3155,vlookup_table!$A:$G,2,FALSE)</f>
        <v>0</v>
      </c>
      <c r="O3155" t="str">
        <f>VLOOKUP(A3155,vlookup_table!$A:$G,3,FALSE)</f>
        <v>CA</v>
      </c>
      <c r="P3155">
        <f>VLOOKUP(A3155,vlookup_table!$A:$G,4,FALSE)</f>
        <v>5801</v>
      </c>
      <c r="Q3155" t="str">
        <f>VLOOKUP(A3155,vlookup_table!$A:$G,5,FALSE)</f>
        <v>S1</v>
      </c>
      <c r="R3155" t="str">
        <f>VLOOKUP(A3155,vlookup_table!$A:$G,6,FALSE)</f>
        <v>F</v>
      </c>
      <c r="S3155">
        <f>VLOOKUP(A3155,vlookup_table!$A:$G,7,FALSE)</f>
        <v>25</v>
      </c>
      <c r="T3155">
        <f t="shared" si="98"/>
        <v>38</v>
      </c>
      <c r="U3155" t="str">
        <f t="shared" si="99"/>
        <v>Suburbano</v>
      </c>
    </row>
    <row r="3156" spans="1:21" ht="16" x14ac:dyDescent="0.4">
      <c r="A3156" s="9">
        <v>20302</v>
      </c>
      <c r="B3156" s="8" t="s">
        <v>18</v>
      </c>
      <c r="C3156" s="8" t="s">
        <v>27</v>
      </c>
      <c r="D3156" s="8">
        <v>401</v>
      </c>
      <c r="E3156" s="8">
        <v>202</v>
      </c>
      <c r="F3156" s="8">
        <v>289</v>
      </c>
      <c r="G3156" s="8">
        <v>0</v>
      </c>
      <c r="H3156" s="8">
        <v>9283</v>
      </c>
      <c r="I3156" s="8">
        <v>1</v>
      </c>
      <c r="J3156" s="8">
        <v>89</v>
      </c>
      <c r="K3156" s="8">
        <v>259</v>
      </c>
      <c r="L3156" s="8">
        <v>243</v>
      </c>
      <c r="M3156" s="8">
        <v>3.8235294120000001</v>
      </c>
      <c r="N3156">
        <f>VLOOKUP(A3156,vlookup_table!$A:$G,2,FALSE)</f>
        <v>0</v>
      </c>
      <c r="O3156" t="str">
        <f>VLOOKUP(A3156,vlookup_table!$A:$G,3,FALSE)</f>
        <v>NC</v>
      </c>
      <c r="P3156">
        <f>VLOOKUP(A3156,vlookup_table!$A:$G,4,FALSE)</f>
        <v>0</v>
      </c>
      <c r="Q3156" t="str">
        <f>VLOOKUP(A3156,vlookup_table!$A:$G,5,FALSE)</f>
        <v>R3</v>
      </c>
      <c r="R3156" t="str">
        <f>VLOOKUP(A3156,vlookup_table!$A:$G,6,FALSE)</f>
        <v>U</v>
      </c>
      <c r="S3156">
        <f>VLOOKUP(A3156,vlookup_table!$A:$G,7,FALSE)</f>
        <v>1</v>
      </c>
      <c r="T3156">
        <f t="shared" si="98"/>
        <v>96</v>
      </c>
      <c r="U3156" t="str">
        <f t="shared" si="99"/>
        <v>Rural</v>
      </c>
    </row>
    <row r="3157" spans="1:21" ht="16" x14ac:dyDescent="0.4">
      <c r="A3157" s="9">
        <v>188190</v>
      </c>
      <c r="B3157" s="8" t="s">
        <v>43</v>
      </c>
      <c r="C3157" s="8" t="s">
        <v>17</v>
      </c>
      <c r="D3157" s="8">
        <v>918</v>
      </c>
      <c r="E3157" s="8">
        <v>315</v>
      </c>
      <c r="F3157" s="8">
        <v>398</v>
      </c>
      <c r="G3157" s="8">
        <v>3</v>
      </c>
      <c r="H3157" s="8">
        <v>16983</v>
      </c>
      <c r="I3157" s="8">
        <v>1</v>
      </c>
      <c r="J3157" s="8">
        <v>26</v>
      </c>
      <c r="K3157" s="8">
        <v>335</v>
      </c>
      <c r="L3157" s="8">
        <v>349</v>
      </c>
      <c r="M3157" s="8">
        <v>5.766666667</v>
      </c>
      <c r="N3157">
        <f>VLOOKUP(A3157,vlookup_table!$A:$G,2,FALSE)</f>
        <v>0</v>
      </c>
      <c r="O3157" t="str">
        <f>VLOOKUP(A3157,vlookup_table!$A:$G,3,FALSE)</f>
        <v>SC</v>
      </c>
      <c r="P3157">
        <f>VLOOKUP(A3157,vlookup_table!$A:$G,4,FALSE)</f>
        <v>2001</v>
      </c>
      <c r="Q3157" t="str">
        <f>VLOOKUP(A3157,vlookup_table!$A:$G,5,FALSE)</f>
        <v>T3</v>
      </c>
      <c r="R3157" t="str">
        <f>VLOOKUP(A3157,vlookup_table!$A:$G,6,FALSE)</f>
        <v>F</v>
      </c>
      <c r="S3157">
        <f>VLOOKUP(A3157,vlookup_table!$A:$G,7,FALSE)</f>
        <v>5</v>
      </c>
      <c r="T3157">
        <f t="shared" si="98"/>
        <v>76</v>
      </c>
      <c r="U3157" t="str">
        <f t="shared" si="99"/>
        <v>Pueblo</v>
      </c>
    </row>
    <row r="3158" spans="1:21" ht="16" x14ac:dyDescent="0.4">
      <c r="A3158" s="9">
        <v>174974</v>
      </c>
      <c r="B3158" s="8" t="s">
        <v>47</v>
      </c>
      <c r="C3158" s="8" t="s">
        <v>14</v>
      </c>
      <c r="D3158" s="8">
        <v>515</v>
      </c>
      <c r="E3158" s="8">
        <v>203</v>
      </c>
      <c r="F3158" s="8">
        <v>301</v>
      </c>
      <c r="G3158" s="8">
        <v>1</v>
      </c>
      <c r="H3158" s="8">
        <v>11169</v>
      </c>
      <c r="I3158" s="8">
        <v>2</v>
      </c>
      <c r="J3158" s="8">
        <v>56</v>
      </c>
      <c r="K3158" s="8">
        <v>256</v>
      </c>
      <c r="L3158" s="8">
        <v>265</v>
      </c>
      <c r="M3158" s="8">
        <v>7.2727272730000001</v>
      </c>
      <c r="N3158">
        <f>VLOOKUP(A3158,vlookup_table!$A:$G,2,FALSE)</f>
        <v>0</v>
      </c>
      <c r="O3158" t="str">
        <f>VLOOKUP(A3158,vlookup_table!$A:$G,3,FALSE)</f>
        <v>OR</v>
      </c>
      <c r="P3158">
        <f>VLOOKUP(A3158,vlookup_table!$A:$G,4,FALSE)</f>
        <v>2603</v>
      </c>
      <c r="Q3158" t="str">
        <f>VLOOKUP(A3158,vlookup_table!$A:$G,5,FALSE)</f>
        <v>R2</v>
      </c>
      <c r="R3158" t="str">
        <f>VLOOKUP(A3158,vlookup_table!$A:$G,6,FALSE)</f>
        <v>M</v>
      </c>
      <c r="S3158">
        <f>VLOOKUP(A3158,vlookup_table!$A:$G,7,FALSE)</f>
        <v>10</v>
      </c>
      <c r="T3158">
        <f t="shared" si="98"/>
        <v>70</v>
      </c>
      <c r="U3158" t="str">
        <f t="shared" si="99"/>
        <v>Rural</v>
      </c>
    </row>
    <row r="3159" spans="1:21" ht="16" x14ac:dyDescent="0.4">
      <c r="A3159" s="9">
        <v>97315</v>
      </c>
      <c r="B3159" s="8" t="s">
        <v>16</v>
      </c>
      <c r="C3159" s="8" t="s">
        <v>14</v>
      </c>
      <c r="D3159" s="8">
        <v>875</v>
      </c>
      <c r="E3159" s="8">
        <v>221</v>
      </c>
      <c r="F3159" s="8">
        <v>241</v>
      </c>
      <c r="G3159" s="8">
        <v>0</v>
      </c>
      <c r="H3159" s="8">
        <v>8941</v>
      </c>
      <c r="I3159" s="8">
        <v>0</v>
      </c>
      <c r="J3159" s="8">
        <v>79</v>
      </c>
      <c r="K3159" s="8">
        <v>218</v>
      </c>
      <c r="L3159" s="8">
        <v>243</v>
      </c>
      <c r="M3159" s="8">
        <v>7.6</v>
      </c>
      <c r="N3159">
        <f>VLOOKUP(A3159,vlookup_table!$A:$G,2,FALSE)</f>
        <v>1</v>
      </c>
      <c r="O3159" t="str">
        <f>VLOOKUP(A3159,vlookup_table!$A:$G,3,FALSE)</f>
        <v>IL</v>
      </c>
      <c r="P3159">
        <f>VLOOKUP(A3159,vlookup_table!$A:$G,4,FALSE)</f>
        <v>2801</v>
      </c>
      <c r="Q3159" t="str">
        <f>VLOOKUP(A3159,vlookup_table!$A:$G,5,FALSE)</f>
        <v>C3</v>
      </c>
      <c r="R3159" t="str">
        <f>VLOOKUP(A3159,vlookup_table!$A:$G,6,FALSE)</f>
        <v>M</v>
      </c>
      <c r="S3159">
        <f>VLOOKUP(A3159,vlookup_table!$A:$G,7,FALSE)</f>
        <v>14</v>
      </c>
      <c r="T3159">
        <f t="shared" si="98"/>
        <v>68</v>
      </c>
      <c r="U3159" t="str">
        <f t="shared" si="99"/>
        <v>Ciudad</v>
      </c>
    </row>
    <row r="3160" spans="1:21" ht="16" x14ac:dyDescent="0.4">
      <c r="A3160" s="9">
        <v>111981</v>
      </c>
      <c r="B3160" s="8" t="s">
        <v>29</v>
      </c>
      <c r="C3160" s="8" t="s">
        <v>97</v>
      </c>
      <c r="D3160" s="8">
        <v>439</v>
      </c>
      <c r="E3160" s="8">
        <v>192</v>
      </c>
      <c r="F3160" s="8">
        <v>249</v>
      </c>
      <c r="G3160" s="8">
        <v>0</v>
      </c>
      <c r="H3160" s="8">
        <v>10106</v>
      </c>
      <c r="I3160" s="8">
        <v>1</v>
      </c>
      <c r="J3160" s="8">
        <v>31</v>
      </c>
      <c r="K3160" s="8">
        <v>226</v>
      </c>
      <c r="L3160" s="8">
        <v>217</v>
      </c>
      <c r="M3160" s="8">
        <v>8</v>
      </c>
      <c r="N3160">
        <f>VLOOKUP(A3160,vlookup_table!$A:$G,2,FALSE)</f>
        <v>2</v>
      </c>
      <c r="O3160" t="str">
        <f>VLOOKUP(A3160,vlookup_table!$A:$G,3,FALSE)</f>
        <v>AR</v>
      </c>
      <c r="P3160">
        <f>VLOOKUP(A3160,vlookup_table!$A:$G,4,FALSE)</f>
        <v>0</v>
      </c>
      <c r="Q3160" t="str">
        <f>VLOOKUP(A3160,vlookup_table!$A:$G,5,FALSE)</f>
        <v>R2</v>
      </c>
      <c r="R3160" t="str">
        <f>VLOOKUP(A3160,vlookup_table!$A:$G,6,FALSE)</f>
        <v>F</v>
      </c>
      <c r="S3160">
        <f>VLOOKUP(A3160,vlookup_table!$A:$G,7,FALSE)</f>
        <v>20</v>
      </c>
      <c r="T3160">
        <f t="shared" si="98"/>
        <v>96</v>
      </c>
      <c r="U3160" t="str">
        <f t="shared" si="99"/>
        <v>Rural</v>
      </c>
    </row>
    <row r="3161" spans="1:21" ht="16" x14ac:dyDescent="0.4">
      <c r="A3161" s="9">
        <v>118361</v>
      </c>
      <c r="B3161" s="8" t="s">
        <v>20</v>
      </c>
      <c r="C3161" s="8" t="s">
        <v>17</v>
      </c>
      <c r="D3161" s="8">
        <v>962</v>
      </c>
      <c r="E3161" s="8">
        <v>389</v>
      </c>
      <c r="F3161" s="8">
        <v>409</v>
      </c>
      <c r="G3161" s="8">
        <v>3</v>
      </c>
      <c r="H3161" s="8">
        <v>15980</v>
      </c>
      <c r="I3161" s="8">
        <v>0</v>
      </c>
      <c r="J3161" s="8">
        <v>45</v>
      </c>
      <c r="K3161" s="8">
        <v>369</v>
      </c>
      <c r="L3161" s="8">
        <v>415</v>
      </c>
      <c r="M3161" s="8">
        <v>9.2777777780000008</v>
      </c>
      <c r="N3161">
        <f>VLOOKUP(A3161,vlookup_table!$A:$G,2,FALSE)</f>
        <v>2</v>
      </c>
      <c r="O3161" t="str">
        <f>VLOOKUP(A3161,vlookup_table!$A:$G,3,FALSE)</f>
        <v>TX</v>
      </c>
      <c r="P3161">
        <f>VLOOKUP(A3161,vlookup_table!$A:$G,4,FALSE)</f>
        <v>2209</v>
      </c>
      <c r="Q3161" t="str">
        <f>VLOOKUP(A3161,vlookup_table!$A:$G,5,FALSE)</f>
        <v>R1</v>
      </c>
      <c r="R3161" t="str">
        <f>VLOOKUP(A3161,vlookup_table!$A:$G,6,FALSE)</f>
        <v>F</v>
      </c>
      <c r="S3161">
        <f>VLOOKUP(A3161,vlookup_table!$A:$G,7,FALSE)</f>
        <v>10</v>
      </c>
      <c r="T3161">
        <f t="shared" si="98"/>
        <v>74</v>
      </c>
      <c r="U3161" t="str">
        <f t="shared" si="99"/>
        <v>Rural</v>
      </c>
    </row>
    <row r="3162" spans="1:21" ht="16" x14ac:dyDescent="0.4">
      <c r="A3162" s="9">
        <v>131434</v>
      </c>
      <c r="B3162" s="8" t="s">
        <v>45</v>
      </c>
      <c r="C3162" s="8" t="s">
        <v>17</v>
      </c>
      <c r="D3162" s="8">
        <v>862</v>
      </c>
      <c r="E3162" s="8">
        <v>247</v>
      </c>
      <c r="F3162" s="8">
        <v>316</v>
      </c>
      <c r="G3162" s="8">
        <v>1</v>
      </c>
      <c r="H3162" s="8">
        <v>11640</v>
      </c>
      <c r="I3162" s="8">
        <v>5</v>
      </c>
      <c r="J3162" s="8">
        <v>25</v>
      </c>
      <c r="K3162" s="8">
        <v>301</v>
      </c>
      <c r="L3162" s="8">
        <v>283</v>
      </c>
      <c r="M3162" s="8">
        <v>20</v>
      </c>
      <c r="N3162">
        <f>VLOOKUP(A3162,vlookup_table!$A:$G,2,FALSE)</f>
        <v>0</v>
      </c>
      <c r="O3162" t="str">
        <f>VLOOKUP(A3162,vlookup_table!$A:$G,3,FALSE)</f>
        <v>CO</v>
      </c>
      <c r="P3162">
        <f>VLOOKUP(A3162,vlookup_table!$A:$G,4,FALSE)</f>
        <v>2601</v>
      </c>
      <c r="Q3162" t="str">
        <f>VLOOKUP(A3162,vlookup_table!$A:$G,5,FALSE)</f>
        <v>R1</v>
      </c>
      <c r="R3162" t="str">
        <f>VLOOKUP(A3162,vlookup_table!$A:$G,6,FALSE)</f>
        <v>F</v>
      </c>
      <c r="S3162">
        <f>VLOOKUP(A3162,vlookup_table!$A:$G,7,FALSE)</f>
        <v>20</v>
      </c>
      <c r="T3162">
        <f t="shared" si="98"/>
        <v>70</v>
      </c>
      <c r="U3162" t="str">
        <f t="shared" si="99"/>
        <v>Rural</v>
      </c>
    </row>
    <row r="3163" spans="1:21" ht="16" x14ac:dyDescent="0.4">
      <c r="A3163" s="9">
        <v>55503</v>
      </c>
      <c r="B3163" s="8" t="s">
        <v>56</v>
      </c>
      <c r="C3163" s="8" t="s">
        <v>14</v>
      </c>
      <c r="D3163" s="8">
        <v>506</v>
      </c>
      <c r="E3163" s="8">
        <v>155</v>
      </c>
      <c r="F3163" s="8">
        <v>289</v>
      </c>
      <c r="G3163" s="8">
        <v>1</v>
      </c>
      <c r="H3163" s="8">
        <v>7983</v>
      </c>
      <c r="I3163" s="8">
        <v>0</v>
      </c>
      <c r="J3163" s="8">
        <v>84</v>
      </c>
      <c r="K3163" s="8">
        <v>245</v>
      </c>
      <c r="L3163" s="8">
        <v>231</v>
      </c>
      <c r="M3163" s="8">
        <v>8.4</v>
      </c>
      <c r="N3163">
        <f>VLOOKUP(A3163,vlookup_table!$A:$G,2,FALSE)</f>
        <v>0</v>
      </c>
      <c r="O3163" t="str">
        <f>VLOOKUP(A3163,vlookup_table!$A:$G,3,FALSE)</f>
        <v>MS</v>
      </c>
      <c r="P3163">
        <f>VLOOKUP(A3163,vlookup_table!$A:$G,4,FALSE)</f>
        <v>1401</v>
      </c>
      <c r="Q3163" t="str">
        <f>VLOOKUP(A3163,vlookup_table!$A:$G,5,FALSE)</f>
        <v>R2</v>
      </c>
      <c r="R3163" t="str">
        <f>VLOOKUP(A3163,vlookup_table!$A:$G,6,FALSE)</f>
        <v>M</v>
      </c>
      <c r="S3163">
        <f>VLOOKUP(A3163,vlookup_table!$A:$G,7,FALSE)</f>
        <v>10</v>
      </c>
      <c r="T3163">
        <f t="shared" si="98"/>
        <v>82</v>
      </c>
      <c r="U3163" t="str">
        <f t="shared" si="99"/>
        <v>Rural</v>
      </c>
    </row>
    <row r="3164" spans="1:21" ht="16" x14ac:dyDescent="0.4">
      <c r="A3164" s="9">
        <v>106862</v>
      </c>
      <c r="B3164" s="8" t="s">
        <v>55</v>
      </c>
      <c r="C3164" s="8" t="s">
        <v>17</v>
      </c>
      <c r="D3164" s="8">
        <v>600</v>
      </c>
      <c r="E3164" s="8">
        <v>362</v>
      </c>
      <c r="F3164" s="8">
        <v>426</v>
      </c>
      <c r="G3164" s="8">
        <v>1</v>
      </c>
      <c r="H3164" s="8">
        <v>13652</v>
      </c>
      <c r="I3164" s="8">
        <v>1</v>
      </c>
      <c r="J3164" s="8">
        <v>62</v>
      </c>
      <c r="K3164" s="8">
        <v>377</v>
      </c>
      <c r="L3164" s="8">
        <v>392</v>
      </c>
      <c r="M3164" s="8">
        <v>3.7619047619999999</v>
      </c>
      <c r="N3164">
        <f>VLOOKUP(A3164,vlookup_table!$A:$G,2,FALSE)</f>
        <v>0</v>
      </c>
      <c r="O3164" t="str">
        <f>VLOOKUP(A3164,vlookup_table!$A:$G,3,FALSE)</f>
        <v>NE</v>
      </c>
      <c r="P3164">
        <f>VLOOKUP(A3164,vlookup_table!$A:$G,4,FALSE)</f>
        <v>5101</v>
      </c>
      <c r="Q3164" t="str">
        <f>VLOOKUP(A3164,vlookup_table!$A:$G,5,FALSE)</f>
        <v>S2</v>
      </c>
      <c r="R3164" t="str">
        <f>VLOOKUP(A3164,vlookup_table!$A:$G,6,FALSE)</f>
        <v>F</v>
      </c>
      <c r="S3164">
        <f>VLOOKUP(A3164,vlookup_table!$A:$G,7,FALSE)</f>
        <v>10</v>
      </c>
      <c r="T3164">
        <f t="shared" si="98"/>
        <v>45</v>
      </c>
      <c r="U3164" t="str">
        <f t="shared" si="99"/>
        <v>Suburbano</v>
      </c>
    </row>
    <row r="3165" spans="1:21" ht="16" x14ac:dyDescent="0.4">
      <c r="A3165" s="9">
        <v>119315</v>
      </c>
      <c r="B3165" s="8" t="s">
        <v>20</v>
      </c>
      <c r="C3165" s="8" t="s">
        <v>17</v>
      </c>
      <c r="D3165" s="8">
        <v>345</v>
      </c>
      <c r="E3165" s="8">
        <v>202</v>
      </c>
      <c r="F3165" s="8">
        <v>209</v>
      </c>
      <c r="G3165" s="8">
        <v>0</v>
      </c>
      <c r="H3165" s="8">
        <v>5623</v>
      </c>
      <c r="I3165" s="8">
        <v>28</v>
      </c>
      <c r="J3165" s="8">
        <v>62</v>
      </c>
      <c r="K3165" s="8">
        <v>206</v>
      </c>
      <c r="L3165" s="8">
        <v>208</v>
      </c>
      <c r="M3165" s="8">
        <v>8.8333333330000006</v>
      </c>
      <c r="N3165">
        <f>VLOOKUP(A3165,vlookup_table!$A:$G,2,FALSE)</f>
        <v>0</v>
      </c>
      <c r="O3165" t="str">
        <f>VLOOKUP(A3165,vlookup_table!$A:$G,3,FALSE)</f>
        <v>TX</v>
      </c>
      <c r="P3165">
        <f>VLOOKUP(A3165,vlookup_table!$A:$G,4,FALSE)</f>
        <v>7301</v>
      </c>
      <c r="Q3165" t="str">
        <f>VLOOKUP(A3165,vlookup_table!$A:$G,5,FALSE)</f>
        <v>C3</v>
      </c>
      <c r="R3165" t="str">
        <f>VLOOKUP(A3165,vlookup_table!$A:$G,6,FALSE)</f>
        <v>F</v>
      </c>
      <c r="S3165">
        <f>VLOOKUP(A3165,vlookup_table!$A:$G,7,FALSE)</f>
        <v>13</v>
      </c>
      <c r="T3165">
        <f t="shared" si="98"/>
        <v>23</v>
      </c>
      <c r="U3165" t="str">
        <f t="shared" si="99"/>
        <v>Ciudad</v>
      </c>
    </row>
    <row r="3166" spans="1:21" ht="16" x14ac:dyDescent="0.4">
      <c r="A3166" s="9">
        <v>27010</v>
      </c>
      <c r="B3166" s="8" t="s">
        <v>36</v>
      </c>
      <c r="C3166" s="8" t="s">
        <v>27</v>
      </c>
      <c r="D3166" s="8">
        <v>952</v>
      </c>
      <c r="E3166" s="8">
        <v>468</v>
      </c>
      <c r="F3166" s="8">
        <v>565</v>
      </c>
      <c r="G3166" s="8">
        <v>1</v>
      </c>
      <c r="H3166" s="8">
        <v>18812</v>
      </c>
      <c r="I3166" s="8">
        <v>2</v>
      </c>
      <c r="J3166" s="8">
        <v>46</v>
      </c>
      <c r="K3166" s="8">
        <v>521</v>
      </c>
      <c r="L3166" s="8">
        <v>526</v>
      </c>
      <c r="M3166" s="8">
        <v>10.375</v>
      </c>
      <c r="N3166">
        <f>VLOOKUP(A3166,vlookup_table!$A:$G,2,FALSE)</f>
        <v>0</v>
      </c>
      <c r="O3166" t="str">
        <f>VLOOKUP(A3166,vlookup_table!$A:$G,3,FALSE)</f>
        <v>GA</v>
      </c>
      <c r="P3166">
        <f>VLOOKUP(A3166,vlookup_table!$A:$G,4,FALSE)</f>
        <v>0</v>
      </c>
      <c r="Q3166" t="str">
        <f>VLOOKUP(A3166,vlookup_table!$A:$G,5,FALSE)</f>
        <v>T2</v>
      </c>
      <c r="R3166" t="str">
        <f>VLOOKUP(A3166,vlookup_table!$A:$G,6,FALSE)</f>
        <v>U</v>
      </c>
      <c r="S3166">
        <f>VLOOKUP(A3166,vlookup_table!$A:$G,7,FALSE)</f>
        <v>16</v>
      </c>
      <c r="T3166">
        <f t="shared" si="98"/>
        <v>96</v>
      </c>
      <c r="U3166" t="str">
        <f t="shared" si="99"/>
        <v>Pueblo</v>
      </c>
    </row>
    <row r="3167" spans="1:21" ht="16" x14ac:dyDescent="0.4">
      <c r="A3167" s="9">
        <v>186448</v>
      </c>
      <c r="B3167" s="8" t="s">
        <v>21</v>
      </c>
      <c r="C3167" s="8" t="s">
        <v>14</v>
      </c>
      <c r="D3167" s="8">
        <v>5725</v>
      </c>
      <c r="E3167" s="8">
        <v>610</v>
      </c>
      <c r="F3167" s="8">
        <v>807</v>
      </c>
      <c r="G3167" s="8">
        <v>97</v>
      </c>
      <c r="H3167" s="8">
        <v>53158</v>
      </c>
      <c r="I3167" s="8">
        <v>13</v>
      </c>
      <c r="J3167" s="8">
        <v>22</v>
      </c>
      <c r="K3167" s="8">
        <v>763</v>
      </c>
      <c r="L3167" s="8">
        <v>698</v>
      </c>
      <c r="M3167" s="8">
        <v>5.6060606059999998</v>
      </c>
      <c r="N3167">
        <f>VLOOKUP(A3167,vlookup_table!$A:$G,2,FALSE)</f>
        <v>2</v>
      </c>
      <c r="O3167" t="str">
        <f>VLOOKUP(A3167,vlookup_table!$A:$G,3,FALSE)</f>
        <v>CA</v>
      </c>
      <c r="P3167">
        <f>VLOOKUP(A3167,vlookup_table!$A:$G,4,FALSE)</f>
        <v>0</v>
      </c>
      <c r="Q3167" t="str">
        <f>VLOOKUP(A3167,vlookup_table!$A:$G,5,FALSE)</f>
        <v>S1</v>
      </c>
      <c r="R3167" t="str">
        <f>VLOOKUP(A3167,vlookup_table!$A:$G,6,FALSE)</f>
        <v>M</v>
      </c>
      <c r="S3167">
        <f>VLOOKUP(A3167,vlookup_table!$A:$G,7,FALSE)</f>
        <v>10</v>
      </c>
      <c r="T3167">
        <f t="shared" si="98"/>
        <v>96</v>
      </c>
      <c r="U3167" t="str">
        <f t="shared" si="99"/>
        <v>Suburbano</v>
      </c>
    </row>
    <row r="3168" spans="1:21" ht="16" x14ac:dyDescent="0.4">
      <c r="A3168" s="9">
        <v>92348</v>
      </c>
      <c r="B3168" s="8" t="s">
        <v>16</v>
      </c>
      <c r="C3168" s="8" t="s">
        <v>17</v>
      </c>
      <c r="D3168" s="8">
        <v>2016</v>
      </c>
      <c r="E3168" s="8">
        <v>618</v>
      </c>
      <c r="F3168" s="8">
        <v>725</v>
      </c>
      <c r="G3168" s="8">
        <v>51</v>
      </c>
      <c r="H3168" s="8">
        <v>26626</v>
      </c>
      <c r="I3168" s="8">
        <v>5</v>
      </c>
      <c r="J3168" s="8">
        <v>79</v>
      </c>
      <c r="K3168" s="8">
        <v>633</v>
      </c>
      <c r="L3168" s="8">
        <v>700</v>
      </c>
      <c r="M3168" s="8">
        <v>8.6</v>
      </c>
      <c r="N3168">
        <f>VLOOKUP(A3168,vlookup_table!$A:$G,2,FALSE)</f>
        <v>0</v>
      </c>
      <c r="O3168" t="str">
        <f>VLOOKUP(A3168,vlookup_table!$A:$G,3,FALSE)</f>
        <v>IL</v>
      </c>
      <c r="P3168">
        <f>VLOOKUP(A3168,vlookup_table!$A:$G,4,FALSE)</f>
        <v>4201</v>
      </c>
      <c r="Q3168" t="str">
        <f>VLOOKUP(A3168,vlookup_table!$A:$G,5,FALSE)</f>
        <v>S1</v>
      </c>
      <c r="R3168" t="str">
        <f>VLOOKUP(A3168,vlookup_table!$A:$G,6,FALSE)</f>
        <v>F</v>
      </c>
      <c r="S3168">
        <f>VLOOKUP(A3168,vlookup_table!$A:$G,7,FALSE)</f>
        <v>10</v>
      </c>
      <c r="T3168">
        <f t="shared" si="98"/>
        <v>54</v>
      </c>
      <c r="U3168" t="str">
        <f t="shared" si="99"/>
        <v>Suburbano</v>
      </c>
    </row>
    <row r="3169" spans="1:21" ht="16" x14ac:dyDescent="0.4">
      <c r="A3169" s="9">
        <v>115179</v>
      </c>
      <c r="B3169" s="8" t="s">
        <v>28</v>
      </c>
      <c r="C3169" s="8" t="s">
        <v>17</v>
      </c>
      <c r="D3169" s="8">
        <v>660</v>
      </c>
      <c r="E3169" s="8">
        <v>328</v>
      </c>
      <c r="F3169" s="8">
        <v>394</v>
      </c>
      <c r="G3169" s="8">
        <v>0</v>
      </c>
      <c r="H3169" s="8">
        <v>13846</v>
      </c>
      <c r="I3169" s="8">
        <v>2</v>
      </c>
      <c r="J3169" s="8">
        <v>59</v>
      </c>
      <c r="K3169" s="8">
        <v>405</v>
      </c>
      <c r="L3169" s="8">
        <v>375</v>
      </c>
      <c r="M3169" s="8">
        <v>15</v>
      </c>
      <c r="N3169">
        <f>VLOOKUP(A3169,vlookup_table!$A:$G,2,FALSE)</f>
        <v>0</v>
      </c>
      <c r="O3169" t="str">
        <f>VLOOKUP(A3169,vlookup_table!$A:$G,3,FALSE)</f>
        <v>OK</v>
      </c>
      <c r="P3169">
        <f>VLOOKUP(A3169,vlookup_table!$A:$G,4,FALSE)</f>
        <v>6601</v>
      </c>
      <c r="Q3169" t="str">
        <f>VLOOKUP(A3169,vlookup_table!$A:$G,5,FALSE)</f>
        <v>T2</v>
      </c>
      <c r="R3169" t="str">
        <f>VLOOKUP(A3169,vlookup_table!$A:$G,6,FALSE)</f>
        <v>F</v>
      </c>
      <c r="S3169">
        <f>VLOOKUP(A3169,vlookup_table!$A:$G,7,FALSE)</f>
        <v>10</v>
      </c>
      <c r="T3169">
        <f t="shared" si="98"/>
        <v>30</v>
      </c>
      <c r="U3169" t="str">
        <f t="shared" si="99"/>
        <v>Pueblo</v>
      </c>
    </row>
    <row r="3170" spans="1:21" ht="16" x14ac:dyDescent="0.4">
      <c r="A3170" s="9">
        <v>27039</v>
      </c>
      <c r="B3170" s="8" t="s">
        <v>36</v>
      </c>
      <c r="C3170" s="8" t="s">
        <v>17</v>
      </c>
      <c r="D3170" s="8">
        <v>562</v>
      </c>
      <c r="E3170" s="8">
        <v>280</v>
      </c>
      <c r="F3170" s="8">
        <v>341</v>
      </c>
      <c r="G3170" s="8">
        <v>1</v>
      </c>
      <c r="H3170" s="8">
        <v>10622</v>
      </c>
      <c r="I3170" s="8">
        <v>0</v>
      </c>
      <c r="J3170" s="8">
        <v>75</v>
      </c>
      <c r="K3170" s="8">
        <v>300</v>
      </c>
      <c r="L3170" s="8">
        <v>311</v>
      </c>
      <c r="M3170" s="8">
        <v>15</v>
      </c>
      <c r="N3170">
        <f>VLOOKUP(A3170,vlookup_table!$A:$G,2,FALSE)</f>
        <v>2</v>
      </c>
      <c r="O3170" t="str">
        <f>VLOOKUP(A3170,vlookup_table!$A:$G,3,FALSE)</f>
        <v>GA</v>
      </c>
      <c r="P3170">
        <f>VLOOKUP(A3170,vlookup_table!$A:$G,4,FALSE)</f>
        <v>0</v>
      </c>
      <c r="Q3170" t="str">
        <f>VLOOKUP(A3170,vlookup_table!$A:$G,5,FALSE)</f>
        <v>R2</v>
      </c>
      <c r="R3170" t="str">
        <f>VLOOKUP(A3170,vlookup_table!$A:$G,6,FALSE)</f>
        <v>F</v>
      </c>
      <c r="S3170">
        <f>VLOOKUP(A3170,vlookup_table!$A:$G,7,FALSE)</f>
        <v>15</v>
      </c>
      <c r="T3170">
        <f t="shared" si="98"/>
        <v>96</v>
      </c>
      <c r="U3170" t="str">
        <f t="shared" si="99"/>
        <v>Rural</v>
      </c>
    </row>
    <row r="3171" spans="1:21" ht="16" x14ac:dyDescent="0.4">
      <c r="A3171" s="9">
        <v>27968</v>
      </c>
      <c r="B3171" s="8" t="s">
        <v>36</v>
      </c>
      <c r="C3171" s="8" t="s">
        <v>17</v>
      </c>
      <c r="D3171" s="8">
        <v>3077</v>
      </c>
      <c r="E3171" s="8">
        <v>620</v>
      </c>
      <c r="F3171" s="8">
        <v>692</v>
      </c>
      <c r="G3171" s="8">
        <v>70</v>
      </c>
      <c r="H3171" s="8">
        <v>29524</v>
      </c>
      <c r="I3171" s="8">
        <v>8</v>
      </c>
      <c r="J3171" s="8">
        <v>10</v>
      </c>
      <c r="K3171" s="8">
        <v>754</v>
      </c>
      <c r="L3171" s="8">
        <v>617</v>
      </c>
      <c r="M3171" s="8">
        <v>5.2727272730000001</v>
      </c>
      <c r="N3171">
        <f>VLOOKUP(A3171,vlookup_table!$A:$G,2,FALSE)</f>
        <v>2</v>
      </c>
      <c r="O3171" t="str">
        <f>VLOOKUP(A3171,vlookup_table!$A:$G,3,FALSE)</f>
        <v>GA</v>
      </c>
      <c r="P3171">
        <f>VLOOKUP(A3171,vlookup_table!$A:$G,4,FALSE)</f>
        <v>0</v>
      </c>
      <c r="Q3171" t="str">
        <f>VLOOKUP(A3171,vlookup_table!$A:$G,5,FALSE)</f>
        <v>R2</v>
      </c>
      <c r="R3171" t="str">
        <f>VLOOKUP(A3171,vlookup_table!$A:$G,6,FALSE)</f>
        <v>F</v>
      </c>
      <c r="S3171">
        <f>VLOOKUP(A3171,vlookup_table!$A:$G,7,FALSE)</f>
        <v>5</v>
      </c>
      <c r="T3171">
        <f t="shared" si="98"/>
        <v>96</v>
      </c>
      <c r="U3171" t="str">
        <f t="shared" si="99"/>
        <v>Rural</v>
      </c>
    </row>
    <row r="3172" spans="1:21" ht="16" x14ac:dyDescent="0.4">
      <c r="A3172" s="9">
        <v>86985</v>
      </c>
      <c r="B3172" s="8" t="s">
        <v>31</v>
      </c>
      <c r="C3172" s="8" t="s">
        <v>97</v>
      </c>
      <c r="D3172" s="8">
        <v>832</v>
      </c>
      <c r="E3172" s="8">
        <v>419</v>
      </c>
      <c r="F3172" s="8">
        <v>476</v>
      </c>
      <c r="G3172" s="8">
        <v>1</v>
      </c>
      <c r="H3172" s="8">
        <v>15659</v>
      </c>
      <c r="I3172" s="8">
        <v>0</v>
      </c>
      <c r="J3172" s="8">
        <v>57</v>
      </c>
      <c r="K3172" s="8">
        <v>433</v>
      </c>
      <c r="L3172" s="8">
        <v>480</v>
      </c>
      <c r="M3172" s="8">
        <v>9.153846154</v>
      </c>
      <c r="N3172">
        <f>VLOOKUP(A3172,vlookup_table!$A:$G,2,FALSE)</f>
        <v>0</v>
      </c>
      <c r="O3172" t="str">
        <f>VLOOKUP(A3172,vlookup_table!$A:$G,3,FALSE)</f>
        <v>MT</v>
      </c>
      <c r="P3172">
        <f>VLOOKUP(A3172,vlookup_table!$A:$G,4,FALSE)</f>
        <v>4401</v>
      </c>
      <c r="Q3172" t="str">
        <f>VLOOKUP(A3172,vlookup_table!$A:$G,5,FALSE)</f>
        <v>C2</v>
      </c>
      <c r="R3172" t="str">
        <f>VLOOKUP(A3172,vlookup_table!$A:$G,6,FALSE)</f>
        <v>F</v>
      </c>
      <c r="S3172">
        <f>VLOOKUP(A3172,vlookup_table!$A:$G,7,FALSE)</f>
        <v>15</v>
      </c>
      <c r="T3172">
        <f t="shared" si="98"/>
        <v>52</v>
      </c>
      <c r="U3172" t="str">
        <f t="shared" si="99"/>
        <v>Ciudad</v>
      </c>
    </row>
    <row r="3173" spans="1:21" ht="16" x14ac:dyDescent="0.4">
      <c r="A3173" s="9">
        <v>23989</v>
      </c>
      <c r="B3173" s="8" t="s">
        <v>43</v>
      </c>
      <c r="C3173" s="8" t="s">
        <v>17</v>
      </c>
      <c r="D3173" s="8">
        <v>517</v>
      </c>
      <c r="E3173" s="8">
        <v>197</v>
      </c>
      <c r="F3173" s="8">
        <v>317</v>
      </c>
      <c r="G3173" s="8">
        <v>0</v>
      </c>
      <c r="H3173" s="8">
        <v>11616</v>
      </c>
      <c r="I3173" s="8">
        <v>0</v>
      </c>
      <c r="J3173" s="8">
        <v>83</v>
      </c>
      <c r="K3173" s="8">
        <v>266</v>
      </c>
      <c r="L3173" s="8">
        <v>243</v>
      </c>
      <c r="M3173" s="8">
        <v>8.3333333330000006</v>
      </c>
      <c r="N3173">
        <f>VLOOKUP(A3173,vlookup_table!$A:$G,2,FALSE)</f>
        <v>2</v>
      </c>
      <c r="O3173" t="str">
        <f>VLOOKUP(A3173,vlookup_table!$A:$G,3,FALSE)</f>
        <v>SC</v>
      </c>
      <c r="P3173">
        <f>VLOOKUP(A3173,vlookup_table!$A:$G,4,FALSE)</f>
        <v>2501</v>
      </c>
      <c r="Q3173" t="str">
        <f>VLOOKUP(A3173,vlookup_table!$A:$G,5,FALSE)</f>
        <v>T2</v>
      </c>
      <c r="R3173" t="str">
        <f>VLOOKUP(A3173,vlookup_table!$A:$G,6,FALSE)</f>
        <v>F</v>
      </c>
      <c r="S3173">
        <f>VLOOKUP(A3173,vlookup_table!$A:$G,7,FALSE)</f>
        <v>15</v>
      </c>
      <c r="T3173">
        <f t="shared" si="98"/>
        <v>71</v>
      </c>
      <c r="U3173" t="str">
        <f t="shared" si="99"/>
        <v>Pueblo</v>
      </c>
    </row>
    <row r="3174" spans="1:21" ht="16" x14ac:dyDescent="0.4">
      <c r="A3174" s="9">
        <v>155114</v>
      </c>
      <c r="B3174" s="8" t="s">
        <v>21</v>
      </c>
      <c r="C3174" s="8"/>
      <c r="D3174" s="8">
        <v>1176</v>
      </c>
      <c r="E3174" s="8">
        <v>251</v>
      </c>
      <c r="F3174" s="8">
        <v>373</v>
      </c>
      <c r="G3174" s="8">
        <v>10</v>
      </c>
      <c r="H3174" s="8">
        <v>13924</v>
      </c>
      <c r="I3174" s="8">
        <v>2</v>
      </c>
      <c r="J3174" s="8">
        <v>54</v>
      </c>
      <c r="K3174" s="8">
        <v>314</v>
      </c>
      <c r="L3174" s="8">
        <v>308</v>
      </c>
      <c r="M3174" s="8">
        <v>9.1111111109999996</v>
      </c>
      <c r="N3174">
        <f>VLOOKUP(A3174,vlookup_table!$A:$G,2,FALSE)</f>
        <v>0</v>
      </c>
      <c r="O3174" t="str">
        <f>VLOOKUP(A3174,vlookup_table!$A:$G,3,FALSE)</f>
        <v>CA</v>
      </c>
      <c r="P3174">
        <f>VLOOKUP(A3174,vlookup_table!$A:$G,4,FALSE)</f>
        <v>8108</v>
      </c>
      <c r="Q3174" t="str">
        <f>VLOOKUP(A3174,vlookup_table!$A:$G,5,FALSE)</f>
        <v>S2</v>
      </c>
      <c r="R3174" t="str">
        <f>VLOOKUP(A3174,vlookup_table!$A:$G,6,FALSE)</f>
        <v/>
      </c>
      <c r="S3174">
        <f>VLOOKUP(A3174,vlookup_table!$A:$G,7,FALSE)</f>
        <v>14</v>
      </c>
      <c r="T3174">
        <f t="shared" si="98"/>
        <v>15</v>
      </c>
      <c r="U3174" t="str">
        <f t="shared" si="99"/>
        <v>Suburbano</v>
      </c>
    </row>
    <row r="3175" spans="1:21" ht="16" x14ac:dyDescent="0.4">
      <c r="A3175" s="9">
        <v>35914</v>
      </c>
      <c r="B3175" s="8" t="s">
        <v>13</v>
      </c>
      <c r="C3175" s="8" t="s">
        <v>14</v>
      </c>
      <c r="D3175" s="8">
        <v>693</v>
      </c>
      <c r="E3175" s="8">
        <v>373</v>
      </c>
      <c r="F3175" s="8">
        <v>463</v>
      </c>
      <c r="G3175" s="8">
        <v>7</v>
      </c>
      <c r="H3175" s="8">
        <v>16854</v>
      </c>
      <c r="I3175" s="8">
        <v>1</v>
      </c>
      <c r="J3175" s="8">
        <v>24</v>
      </c>
      <c r="K3175" s="8">
        <v>457</v>
      </c>
      <c r="L3175" s="8">
        <v>413</v>
      </c>
      <c r="M3175" s="8">
        <v>4.3</v>
      </c>
      <c r="N3175">
        <f>VLOOKUP(A3175,vlookup_table!$A:$G,2,FALSE)</f>
        <v>1</v>
      </c>
      <c r="O3175" t="str">
        <f>VLOOKUP(A3175,vlookup_table!$A:$G,3,FALSE)</f>
        <v>FL</v>
      </c>
      <c r="P3175">
        <f>VLOOKUP(A3175,vlookup_table!$A:$G,4,FALSE)</f>
        <v>2802</v>
      </c>
      <c r="Q3175" t="str">
        <f>VLOOKUP(A3175,vlookup_table!$A:$G,5,FALSE)</f>
        <v>S2</v>
      </c>
      <c r="R3175" t="str">
        <f>VLOOKUP(A3175,vlookup_table!$A:$G,6,FALSE)</f>
        <v>M</v>
      </c>
      <c r="S3175">
        <f>VLOOKUP(A3175,vlookup_table!$A:$G,7,FALSE)</f>
        <v>2</v>
      </c>
      <c r="T3175">
        <f t="shared" si="98"/>
        <v>68</v>
      </c>
      <c r="U3175" t="str">
        <f t="shared" si="99"/>
        <v>Suburbano</v>
      </c>
    </row>
    <row r="3176" spans="1:21" ht="16" x14ac:dyDescent="0.4">
      <c r="A3176" s="9">
        <v>92148</v>
      </c>
      <c r="B3176" s="8" t="s">
        <v>16</v>
      </c>
      <c r="C3176" s="8" t="s">
        <v>14</v>
      </c>
      <c r="D3176" s="8">
        <v>1418</v>
      </c>
      <c r="E3176" s="8">
        <v>415</v>
      </c>
      <c r="F3176" s="8">
        <v>551</v>
      </c>
      <c r="G3176" s="8">
        <v>23</v>
      </c>
      <c r="H3176" s="8">
        <v>26282</v>
      </c>
      <c r="I3176" s="8">
        <v>3</v>
      </c>
      <c r="J3176" s="8">
        <v>68</v>
      </c>
      <c r="K3176" s="8">
        <v>507</v>
      </c>
      <c r="L3176" s="8">
        <v>467</v>
      </c>
      <c r="M3176" s="8">
        <v>16.5</v>
      </c>
      <c r="N3176">
        <f>VLOOKUP(A3176,vlookup_table!$A:$G,2,FALSE)</f>
        <v>1</v>
      </c>
      <c r="O3176" t="str">
        <f>VLOOKUP(A3176,vlookup_table!$A:$G,3,FALSE)</f>
        <v>IL</v>
      </c>
      <c r="P3176">
        <f>VLOOKUP(A3176,vlookup_table!$A:$G,4,FALSE)</f>
        <v>6001</v>
      </c>
      <c r="Q3176" t="str">
        <f>VLOOKUP(A3176,vlookup_table!$A:$G,5,FALSE)</f>
        <v>C1</v>
      </c>
      <c r="R3176" t="str">
        <f>VLOOKUP(A3176,vlookup_table!$A:$G,6,FALSE)</f>
        <v>M</v>
      </c>
      <c r="S3176">
        <f>VLOOKUP(A3176,vlookup_table!$A:$G,7,FALSE)</f>
        <v>25</v>
      </c>
      <c r="T3176">
        <f t="shared" si="98"/>
        <v>36</v>
      </c>
      <c r="U3176" t="str">
        <f t="shared" si="99"/>
        <v>Ciudad</v>
      </c>
    </row>
    <row r="3177" spans="1:21" ht="16" x14ac:dyDescent="0.4">
      <c r="A3177" s="9">
        <v>94177</v>
      </c>
      <c r="B3177" s="8" t="s">
        <v>16</v>
      </c>
      <c r="C3177" s="8" t="s">
        <v>17</v>
      </c>
      <c r="D3177" s="8">
        <v>904</v>
      </c>
      <c r="E3177" s="8">
        <v>339</v>
      </c>
      <c r="F3177" s="8">
        <v>435</v>
      </c>
      <c r="G3177" s="8">
        <v>0</v>
      </c>
      <c r="H3177" s="8">
        <v>16711</v>
      </c>
      <c r="I3177" s="8">
        <v>10</v>
      </c>
      <c r="J3177" s="8">
        <v>78</v>
      </c>
      <c r="K3177" s="8">
        <v>394</v>
      </c>
      <c r="L3177" s="8">
        <v>391</v>
      </c>
      <c r="M3177" s="8">
        <v>5.5625</v>
      </c>
      <c r="N3177">
        <f>VLOOKUP(A3177,vlookup_table!$A:$G,2,FALSE)</f>
        <v>28</v>
      </c>
      <c r="O3177" t="str">
        <f>VLOOKUP(A3177,vlookup_table!$A:$G,3,FALSE)</f>
        <v>IL</v>
      </c>
      <c r="P3177">
        <f>VLOOKUP(A3177,vlookup_table!$A:$G,4,FALSE)</f>
        <v>3203</v>
      </c>
      <c r="Q3177" t="str">
        <f>VLOOKUP(A3177,vlookup_table!$A:$G,5,FALSE)</f>
        <v>S2</v>
      </c>
      <c r="R3177" t="str">
        <f>VLOOKUP(A3177,vlookup_table!$A:$G,6,FALSE)</f>
        <v>F</v>
      </c>
      <c r="S3177">
        <f>VLOOKUP(A3177,vlookup_table!$A:$G,7,FALSE)</f>
        <v>11</v>
      </c>
      <c r="T3177">
        <f t="shared" si="98"/>
        <v>64</v>
      </c>
      <c r="U3177" t="str">
        <f t="shared" si="99"/>
        <v>Suburbano</v>
      </c>
    </row>
    <row r="3178" spans="1:21" ht="16" x14ac:dyDescent="0.4">
      <c r="A3178" s="9">
        <v>24902</v>
      </c>
      <c r="B3178" s="8" t="s">
        <v>43</v>
      </c>
      <c r="C3178" s="8" t="s">
        <v>14</v>
      </c>
      <c r="D3178" s="8">
        <v>473</v>
      </c>
      <c r="E3178" s="8">
        <v>259</v>
      </c>
      <c r="F3178" s="8">
        <v>356</v>
      </c>
      <c r="G3178" s="8">
        <v>0</v>
      </c>
      <c r="H3178" s="8">
        <v>11727</v>
      </c>
      <c r="I3178" s="8">
        <v>0</v>
      </c>
      <c r="J3178" s="8">
        <v>83</v>
      </c>
      <c r="K3178" s="8">
        <v>296</v>
      </c>
      <c r="L3178" s="8">
        <v>287</v>
      </c>
      <c r="M3178" s="8">
        <v>7.1666666670000003</v>
      </c>
      <c r="N3178">
        <f>VLOOKUP(A3178,vlookup_table!$A:$G,2,FALSE)</f>
        <v>0</v>
      </c>
      <c r="O3178" t="str">
        <f>VLOOKUP(A3178,vlookup_table!$A:$G,3,FALSE)</f>
        <v>SC</v>
      </c>
      <c r="P3178">
        <f>VLOOKUP(A3178,vlookup_table!$A:$G,4,FALSE)</f>
        <v>0</v>
      </c>
      <c r="Q3178" t="str">
        <f>VLOOKUP(A3178,vlookup_table!$A:$G,5,FALSE)</f>
        <v>T2</v>
      </c>
      <c r="R3178" t="str">
        <f>VLOOKUP(A3178,vlookup_table!$A:$G,6,FALSE)</f>
        <v>M</v>
      </c>
      <c r="S3178">
        <f>VLOOKUP(A3178,vlookup_table!$A:$G,7,FALSE)</f>
        <v>8</v>
      </c>
      <c r="T3178">
        <f t="shared" si="98"/>
        <v>96</v>
      </c>
      <c r="U3178" t="str">
        <f t="shared" si="99"/>
        <v>Pueblo</v>
      </c>
    </row>
    <row r="3179" spans="1:21" ht="16" x14ac:dyDescent="0.4">
      <c r="A3179" s="9">
        <v>178433</v>
      </c>
      <c r="B3179" s="8" t="s">
        <v>38</v>
      </c>
      <c r="C3179" s="8" t="s">
        <v>14</v>
      </c>
      <c r="D3179" s="8">
        <v>605</v>
      </c>
      <c r="E3179" s="8">
        <v>213</v>
      </c>
      <c r="F3179" s="8">
        <v>303</v>
      </c>
      <c r="G3179" s="8">
        <v>3</v>
      </c>
      <c r="H3179" s="8">
        <v>10788</v>
      </c>
      <c r="I3179" s="8">
        <v>2</v>
      </c>
      <c r="J3179" s="8">
        <v>38</v>
      </c>
      <c r="K3179" s="8">
        <v>241</v>
      </c>
      <c r="L3179" s="8">
        <v>269</v>
      </c>
      <c r="M3179" s="8">
        <v>19.600000000000001</v>
      </c>
      <c r="N3179">
        <f>VLOOKUP(A3179,vlookup_table!$A:$G,2,FALSE)</f>
        <v>2</v>
      </c>
      <c r="O3179" t="str">
        <f>VLOOKUP(A3179,vlookup_table!$A:$G,3,FALSE)</f>
        <v>ID</v>
      </c>
      <c r="P3179">
        <f>VLOOKUP(A3179,vlookup_table!$A:$G,4,FALSE)</f>
        <v>3503</v>
      </c>
      <c r="Q3179" t="str">
        <f>VLOOKUP(A3179,vlookup_table!$A:$G,5,FALSE)</f>
        <v>S1</v>
      </c>
      <c r="R3179" t="str">
        <f>VLOOKUP(A3179,vlookup_table!$A:$G,6,FALSE)</f>
        <v>M</v>
      </c>
      <c r="S3179">
        <f>VLOOKUP(A3179,vlookup_table!$A:$G,7,FALSE)</f>
        <v>35</v>
      </c>
      <c r="T3179">
        <f t="shared" si="98"/>
        <v>61</v>
      </c>
      <c r="U3179" t="str">
        <f t="shared" si="99"/>
        <v>Suburbano</v>
      </c>
    </row>
    <row r="3180" spans="1:21" ht="16" x14ac:dyDescent="0.4">
      <c r="A3180" s="9">
        <v>18466</v>
      </c>
      <c r="B3180" s="8" t="s">
        <v>18</v>
      </c>
      <c r="C3180" s="8" t="s">
        <v>97</v>
      </c>
      <c r="D3180" s="8">
        <v>594</v>
      </c>
      <c r="E3180" s="8">
        <v>267</v>
      </c>
      <c r="F3180" s="8">
        <v>309</v>
      </c>
      <c r="G3180" s="8">
        <v>2</v>
      </c>
      <c r="H3180" s="8">
        <v>10466</v>
      </c>
      <c r="I3180" s="8">
        <v>1</v>
      </c>
      <c r="J3180" s="8">
        <v>71</v>
      </c>
      <c r="K3180" s="8">
        <v>287</v>
      </c>
      <c r="L3180" s="8">
        <v>287</v>
      </c>
      <c r="M3180" s="8">
        <v>3.9285714289999998</v>
      </c>
      <c r="N3180">
        <f>VLOOKUP(A3180,vlookup_table!$A:$G,2,FALSE)</f>
        <v>2</v>
      </c>
      <c r="O3180" t="str">
        <f>VLOOKUP(A3180,vlookup_table!$A:$G,3,FALSE)</f>
        <v>NC</v>
      </c>
      <c r="P3180">
        <f>VLOOKUP(A3180,vlookup_table!$A:$G,4,FALSE)</f>
        <v>5801</v>
      </c>
      <c r="Q3180" t="str">
        <f>VLOOKUP(A3180,vlookup_table!$A:$G,5,FALSE)</f>
        <v>R2</v>
      </c>
      <c r="R3180" t="str">
        <f>VLOOKUP(A3180,vlookup_table!$A:$G,6,FALSE)</f>
        <v>F</v>
      </c>
      <c r="S3180">
        <f>VLOOKUP(A3180,vlookup_table!$A:$G,7,FALSE)</f>
        <v>6</v>
      </c>
      <c r="T3180">
        <f t="shared" si="98"/>
        <v>38</v>
      </c>
      <c r="U3180" t="str">
        <f t="shared" si="99"/>
        <v>Rural</v>
      </c>
    </row>
    <row r="3181" spans="1:21" ht="16" x14ac:dyDescent="0.4">
      <c r="A3181" s="9">
        <v>157425</v>
      </c>
      <c r="B3181" s="8" t="s">
        <v>21</v>
      </c>
      <c r="C3181" s="8" t="s">
        <v>14</v>
      </c>
      <c r="D3181" s="8">
        <v>0</v>
      </c>
      <c r="E3181" s="8">
        <v>0</v>
      </c>
      <c r="F3181" s="8">
        <v>0</v>
      </c>
      <c r="G3181" s="8">
        <v>0</v>
      </c>
      <c r="H3181" s="8">
        <v>0</v>
      </c>
      <c r="I3181" s="8">
        <v>0</v>
      </c>
      <c r="J3181" s="8">
        <v>0</v>
      </c>
      <c r="K3181" s="8">
        <v>0</v>
      </c>
      <c r="L3181" s="8">
        <v>0</v>
      </c>
      <c r="M3181" s="8">
        <v>22.5</v>
      </c>
      <c r="N3181">
        <f>VLOOKUP(A3181,vlookup_table!$A:$G,2,FALSE)</f>
        <v>1</v>
      </c>
      <c r="O3181" t="str">
        <f>VLOOKUP(A3181,vlookup_table!$A:$G,3,FALSE)</f>
        <v>CA</v>
      </c>
      <c r="P3181">
        <f>VLOOKUP(A3181,vlookup_table!$A:$G,4,FALSE)</f>
        <v>4501</v>
      </c>
      <c r="Q3181" t="str">
        <f>VLOOKUP(A3181,vlookup_table!$A:$G,5,FALSE)</f>
        <v/>
      </c>
      <c r="R3181" t="str">
        <f>VLOOKUP(A3181,vlookup_table!$A:$G,6,FALSE)</f>
        <v>M</v>
      </c>
      <c r="S3181">
        <f>VLOOKUP(A3181,vlookup_table!$A:$G,7,FALSE)</f>
        <v>25</v>
      </c>
      <c r="T3181">
        <f t="shared" si="98"/>
        <v>51</v>
      </c>
      <c r="U3181" t="str">
        <f t="shared" si="99"/>
        <v/>
      </c>
    </row>
    <row r="3182" spans="1:21" ht="16" x14ac:dyDescent="0.4">
      <c r="A3182" s="9">
        <v>166891</v>
      </c>
      <c r="B3182" s="8" t="s">
        <v>21</v>
      </c>
      <c r="C3182" s="8" t="s">
        <v>14</v>
      </c>
      <c r="D3182" s="8">
        <v>4244</v>
      </c>
      <c r="E3182" s="8">
        <v>613</v>
      </c>
      <c r="F3182" s="8">
        <v>845</v>
      </c>
      <c r="G3182" s="8">
        <v>94</v>
      </c>
      <c r="H3182" s="8">
        <v>31903</v>
      </c>
      <c r="I3182" s="8">
        <v>4</v>
      </c>
      <c r="J3182" s="8">
        <v>49</v>
      </c>
      <c r="K3182" s="8">
        <v>818</v>
      </c>
      <c r="L3182" s="8">
        <v>708</v>
      </c>
      <c r="M3182" s="8">
        <v>7.3571428570000004</v>
      </c>
      <c r="N3182">
        <f>VLOOKUP(A3182,vlookup_table!$A:$G,2,FALSE)</f>
        <v>2</v>
      </c>
      <c r="O3182" t="str">
        <f>VLOOKUP(A3182,vlookup_table!$A:$G,3,FALSE)</f>
        <v>CA</v>
      </c>
      <c r="P3182">
        <f>VLOOKUP(A3182,vlookup_table!$A:$G,4,FALSE)</f>
        <v>2906</v>
      </c>
      <c r="Q3182" t="str">
        <f>VLOOKUP(A3182,vlookup_table!$A:$G,5,FALSE)</f>
        <v>S1</v>
      </c>
      <c r="R3182" t="str">
        <f>VLOOKUP(A3182,vlookup_table!$A:$G,6,FALSE)</f>
        <v>M</v>
      </c>
      <c r="S3182">
        <f>VLOOKUP(A3182,vlookup_table!$A:$G,7,FALSE)</f>
        <v>10</v>
      </c>
      <c r="T3182">
        <f t="shared" si="98"/>
        <v>67</v>
      </c>
      <c r="U3182" t="str">
        <f t="shared" si="99"/>
        <v>Suburbano</v>
      </c>
    </row>
    <row r="3183" spans="1:21" ht="16" x14ac:dyDescent="0.4">
      <c r="A3183" s="9">
        <v>54530</v>
      </c>
      <c r="B3183" s="8" t="s">
        <v>56</v>
      </c>
      <c r="C3183" s="8" t="s">
        <v>14</v>
      </c>
      <c r="D3183" s="8">
        <v>448</v>
      </c>
      <c r="E3183" s="8">
        <v>195</v>
      </c>
      <c r="F3183" s="8">
        <v>286</v>
      </c>
      <c r="G3183" s="8">
        <v>0</v>
      </c>
      <c r="H3183" s="8">
        <v>8183</v>
      </c>
      <c r="I3183" s="8">
        <v>0</v>
      </c>
      <c r="J3183" s="8">
        <v>64</v>
      </c>
      <c r="K3183" s="8">
        <v>224</v>
      </c>
      <c r="L3183" s="8">
        <v>247</v>
      </c>
      <c r="M3183" s="8">
        <v>9.9166666669999994</v>
      </c>
      <c r="N3183">
        <f>VLOOKUP(A3183,vlookup_table!$A:$G,2,FALSE)</f>
        <v>1</v>
      </c>
      <c r="O3183" t="str">
        <f>VLOOKUP(A3183,vlookup_table!$A:$G,3,FALSE)</f>
        <v>MS</v>
      </c>
      <c r="P3183">
        <f>VLOOKUP(A3183,vlookup_table!$A:$G,4,FALSE)</f>
        <v>0</v>
      </c>
      <c r="Q3183" t="str">
        <f>VLOOKUP(A3183,vlookup_table!$A:$G,5,FALSE)</f>
        <v>R3</v>
      </c>
      <c r="R3183" t="str">
        <f>VLOOKUP(A3183,vlookup_table!$A:$G,6,FALSE)</f>
        <v>M</v>
      </c>
      <c r="S3183">
        <f>VLOOKUP(A3183,vlookup_table!$A:$G,7,FALSE)</f>
        <v>10</v>
      </c>
      <c r="T3183">
        <f t="shared" si="98"/>
        <v>96</v>
      </c>
      <c r="U3183" t="str">
        <f t="shared" si="99"/>
        <v>Rural</v>
      </c>
    </row>
    <row r="3184" spans="1:21" ht="16" x14ac:dyDescent="0.4">
      <c r="A3184" s="9">
        <v>41819</v>
      </c>
      <c r="B3184" s="8" t="s">
        <v>13</v>
      </c>
      <c r="C3184" s="8" t="s">
        <v>14</v>
      </c>
      <c r="D3184" s="8">
        <v>467</v>
      </c>
      <c r="E3184" s="8">
        <v>192</v>
      </c>
      <c r="F3184" s="8">
        <v>323</v>
      </c>
      <c r="G3184" s="8">
        <v>0</v>
      </c>
      <c r="H3184" s="8">
        <v>10376</v>
      </c>
      <c r="I3184" s="8">
        <v>6</v>
      </c>
      <c r="J3184" s="8">
        <v>33</v>
      </c>
      <c r="K3184" s="8">
        <v>261</v>
      </c>
      <c r="L3184" s="8">
        <v>261</v>
      </c>
      <c r="M3184" s="8">
        <v>10</v>
      </c>
      <c r="N3184">
        <f>VLOOKUP(A3184,vlookup_table!$A:$G,2,FALSE)</f>
        <v>1</v>
      </c>
      <c r="O3184" t="str">
        <f>VLOOKUP(A3184,vlookup_table!$A:$G,3,FALSE)</f>
        <v>FL</v>
      </c>
      <c r="P3184">
        <f>VLOOKUP(A3184,vlookup_table!$A:$G,4,FALSE)</f>
        <v>4801</v>
      </c>
      <c r="Q3184" t="str">
        <f>VLOOKUP(A3184,vlookup_table!$A:$G,5,FALSE)</f>
        <v>U4</v>
      </c>
      <c r="R3184" t="str">
        <f>VLOOKUP(A3184,vlookup_table!$A:$G,6,FALSE)</f>
        <v>M</v>
      </c>
      <c r="S3184">
        <f>VLOOKUP(A3184,vlookup_table!$A:$G,7,FALSE)</f>
        <v>15</v>
      </c>
      <c r="T3184">
        <f t="shared" si="98"/>
        <v>48</v>
      </c>
      <c r="U3184" t="str">
        <f t="shared" si="99"/>
        <v>Urbano</v>
      </c>
    </row>
    <row r="3185" spans="1:21" ht="16" x14ac:dyDescent="0.4">
      <c r="A3185" s="9">
        <v>148636</v>
      </c>
      <c r="B3185" s="8" t="s">
        <v>21</v>
      </c>
      <c r="C3185" s="8" t="s">
        <v>17</v>
      </c>
      <c r="D3185" s="8">
        <v>2392</v>
      </c>
      <c r="E3185" s="8">
        <v>257</v>
      </c>
      <c r="F3185" s="8">
        <v>406</v>
      </c>
      <c r="G3185" s="8">
        <v>74</v>
      </c>
      <c r="H3185" s="8">
        <v>13896</v>
      </c>
      <c r="I3185" s="8">
        <v>43</v>
      </c>
      <c r="J3185" s="8">
        <v>27</v>
      </c>
      <c r="K3185" s="8">
        <v>365</v>
      </c>
      <c r="L3185" s="8">
        <v>316</v>
      </c>
      <c r="M3185" s="8">
        <v>11</v>
      </c>
      <c r="N3185">
        <f>VLOOKUP(A3185,vlookup_table!$A:$G,2,FALSE)</f>
        <v>0</v>
      </c>
      <c r="O3185" t="str">
        <f>VLOOKUP(A3185,vlookup_table!$A:$G,3,FALSE)</f>
        <v>CA</v>
      </c>
      <c r="P3185">
        <f>VLOOKUP(A3185,vlookup_table!$A:$G,4,FALSE)</f>
        <v>1201</v>
      </c>
      <c r="Q3185" t="str">
        <f>VLOOKUP(A3185,vlookup_table!$A:$G,5,FALSE)</f>
        <v>U2</v>
      </c>
      <c r="R3185" t="str">
        <f>VLOOKUP(A3185,vlookup_table!$A:$G,6,FALSE)</f>
        <v>F</v>
      </c>
      <c r="S3185">
        <f>VLOOKUP(A3185,vlookup_table!$A:$G,7,FALSE)</f>
        <v>10</v>
      </c>
      <c r="T3185">
        <f t="shared" si="98"/>
        <v>84</v>
      </c>
      <c r="U3185" t="str">
        <f t="shared" si="99"/>
        <v>Urbano</v>
      </c>
    </row>
    <row r="3186" spans="1:21" ht="16" x14ac:dyDescent="0.4">
      <c r="A3186" s="9">
        <v>70090</v>
      </c>
      <c r="B3186" s="8" t="s">
        <v>26</v>
      </c>
      <c r="C3186" s="8" t="s">
        <v>17</v>
      </c>
      <c r="D3186" s="8">
        <v>313</v>
      </c>
      <c r="E3186" s="8">
        <v>284</v>
      </c>
      <c r="F3186" s="8">
        <v>329</v>
      </c>
      <c r="G3186" s="8">
        <v>0</v>
      </c>
      <c r="H3186" s="8">
        <v>14328</v>
      </c>
      <c r="I3186" s="8">
        <v>0</v>
      </c>
      <c r="J3186" s="8">
        <v>68</v>
      </c>
      <c r="K3186" s="8">
        <v>281</v>
      </c>
      <c r="L3186" s="8">
        <v>292</v>
      </c>
      <c r="M3186" s="8">
        <v>11.5</v>
      </c>
      <c r="N3186">
        <f>VLOOKUP(A3186,vlookup_table!$A:$G,2,FALSE)</f>
        <v>0</v>
      </c>
      <c r="O3186" t="str">
        <f>VLOOKUP(A3186,vlookup_table!$A:$G,3,FALSE)</f>
        <v>MI</v>
      </c>
      <c r="P3186">
        <f>VLOOKUP(A3186,vlookup_table!$A:$G,4,FALSE)</f>
        <v>4611</v>
      </c>
      <c r="Q3186" t="str">
        <f>VLOOKUP(A3186,vlookup_table!$A:$G,5,FALSE)</f>
        <v>C3</v>
      </c>
      <c r="R3186" t="str">
        <f>VLOOKUP(A3186,vlookup_table!$A:$G,6,FALSE)</f>
        <v>F</v>
      </c>
      <c r="S3186">
        <f>VLOOKUP(A3186,vlookup_table!$A:$G,7,FALSE)</f>
        <v>21</v>
      </c>
      <c r="T3186">
        <f t="shared" si="98"/>
        <v>50</v>
      </c>
      <c r="U3186" t="str">
        <f t="shared" si="99"/>
        <v>Ciudad</v>
      </c>
    </row>
    <row r="3187" spans="1:21" ht="16" x14ac:dyDescent="0.4">
      <c r="A3187" s="9">
        <v>11704</v>
      </c>
      <c r="B3187" s="8" t="s">
        <v>16</v>
      </c>
      <c r="C3187" s="8" t="s">
        <v>14</v>
      </c>
      <c r="D3187" s="8">
        <v>128</v>
      </c>
      <c r="E3187" s="8">
        <v>309</v>
      </c>
      <c r="F3187" s="8">
        <v>363</v>
      </c>
      <c r="G3187" s="8">
        <v>0</v>
      </c>
      <c r="H3187" s="8">
        <v>13164</v>
      </c>
      <c r="I3187" s="8">
        <v>7</v>
      </c>
      <c r="J3187" s="8">
        <v>76</v>
      </c>
      <c r="K3187" s="8">
        <v>345</v>
      </c>
      <c r="L3187" s="8">
        <v>340</v>
      </c>
      <c r="M3187" s="8">
        <v>8.615384615</v>
      </c>
      <c r="N3187">
        <f>VLOOKUP(A3187,vlookup_table!$A:$G,2,FALSE)</f>
        <v>1</v>
      </c>
      <c r="O3187" t="str">
        <f>VLOOKUP(A3187,vlookup_table!$A:$G,3,FALSE)</f>
        <v>IL</v>
      </c>
      <c r="P3187">
        <f>VLOOKUP(A3187,vlookup_table!$A:$G,4,FALSE)</f>
        <v>2603</v>
      </c>
      <c r="Q3187" t="str">
        <f>VLOOKUP(A3187,vlookup_table!$A:$G,5,FALSE)</f>
        <v>S2</v>
      </c>
      <c r="R3187" t="str">
        <f>VLOOKUP(A3187,vlookup_table!$A:$G,6,FALSE)</f>
        <v>M</v>
      </c>
      <c r="S3187">
        <f>VLOOKUP(A3187,vlookup_table!$A:$G,7,FALSE)</f>
        <v>10</v>
      </c>
      <c r="T3187">
        <f t="shared" si="98"/>
        <v>70</v>
      </c>
      <c r="U3187" t="str">
        <f t="shared" si="99"/>
        <v>Suburbano</v>
      </c>
    </row>
    <row r="3188" spans="1:21" ht="16" x14ac:dyDescent="0.4">
      <c r="A3188" s="9">
        <v>86775</v>
      </c>
      <c r="B3188" s="8" t="s">
        <v>42</v>
      </c>
      <c r="C3188" s="8" t="s">
        <v>14</v>
      </c>
      <c r="D3188" s="8">
        <v>253</v>
      </c>
      <c r="E3188" s="8">
        <v>195</v>
      </c>
      <c r="F3188" s="8">
        <v>261</v>
      </c>
      <c r="G3188" s="8">
        <v>0</v>
      </c>
      <c r="H3188" s="8">
        <v>8988</v>
      </c>
      <c r="I3188" s="8">
        <v>1</v>
      </c>
      <c r="J3188" s="8">
        <v>89</v>
      </c>
      <c r="K3188" s="8">
        <v>215</v>
      </c>
      <c r="L3188" s="8">
        <v>234</v>
      </c>
      <c r="M3188" s="8">
        <v>4.230769231</v>
      </c>
      <c r="N3188">
        <f>VLOOKUP(A3188,vlookup_table!$A:$G,2,FALSE)</f>
        <v>1</v>
      </c>
      <c r="O3188" t="str">
        <f>VLOOKUP(A3188,vlookup_table!$A:$G,3,FALSE)</f>
        <v>ND</v>
      </c>
      <c r="P3188">
        <f>VLOOKUP(A3188,vlookup_table!$A:$G,4,FALSE)</f>
        <v>0</v>
      </c>
      <c r="Q3188" t="str">
        <f>VLOOKUP(A3188,vlookup_table!$A:$G,5,FALSE)</f>
        <v>R3</v>
      </c>
      <c r="R3188" t="str">
        <f>VLOOKUP(A3188,vlookup_table!$A:$G,6,FALSE)</f>
        <v>M</v>
      </c>
      <c r="S3188">
        <f>VLOOKUP(A3188,vlookup_table!$A:$G,7,FALSE)</f>
        <v>10</v>
      </c>
      <c r="T3188">
        <f t="shared" si="98"/>
        <v>96</v>
      </c>
      <c r="U3188" t="str">
        <f t="shared" si="99"/>
        <v>Rural</v>
      </c>
    </row>
    <row r="3189" spans="1:21" ht="16" x14ac:dyDescent="0.4">
      <c r="A3189" s="9">
        <v>124935</v>
      </c>
      <c r="B3189" s="8" t="s">
        <v>20</v>
      </c>
      <c r="C3189" s="8" t="s">
        <v>14</v>
      </c>
      <c r="D3189" s="8">
        <v>689</v>
      </c>
      <c r="E3189" s="8">
        <v>324</v>
      </c>
      <c r="F3189" s="8">
        <v>394</v>
      </c>
      <c r="G3189" s="8">
        <v>1</v>
      </c>
      <c r="H3189" s="8">
        <v>12916</v>
      </c>
      <c r="I3189" s="8">
        <v>4</v>
      </c>
      <c r="J3189" s="8">
        <v>60</v>
      </c>
      <c r="K3189" s="8">
        <v>356</v>
      </c>
      <c r="L3189" s="8">
        <v>370</v>
      </c>
      <c r="M3189" s="8">
        <v>19.52380952</v>
      </c>
      <c r="N3189">
        <f>VLOOKUP(A3189,vlookup_table!$A:$G,2,FALSE)</f>
        <v>2</v>
      </c>
      <c r="O3189" t="str">
        <f>VLOOKUP(A3189,vlookup_table!$A:$G,3,FALSE)</f>
        <v>TX</v>
      </c>
      <c r="P3189">
        <f>VLOOKUP(A3189,vlookup_table!$A:$G,4,FALSE)</f>
        <v>1701</v>
      </c>
      <c r="Q3189" t="str">
        <f>VLOOKUP(A3189,vlookup_table!$A:$G,5,FALSE)</f>
        <v>R2</v>
      </c>
      <c r="R3189" t="str">
        <f>VLOOKUP(A3189,vlookup_table!$A:$G,6,FALSE)</f>
        <v>M</v>
      </c>
      <c r="S3189">
        <f>VLOOKUP(A3189,vlookup_table!$A:$G,7,FALSE)</f>
        <v>25</v>
      </c>
      <c r="T3189">
        <f t="shared" si="98"/>
        <v>79</v>
      </c>
      <c r="U3189" t="str">
        <f t="shared" si="99"/>
        <v>Rural</v>
      </c>
    </row>
    <row r="3190" spans="1:21" ht="16" x14ac:dyDescent="0.4">
      <c r="A3190" s="9">
        <v>147600</v>
      </c>
      <c r="B3190" s="8" t="s">
        <v>21</v>
      </c>
      <c r="C3190" s="8" t="s">
        <v>17</v>
      </c>
      <c r="D3190" s="8">
        <v>3514</v>
      </c>
      <c r="E3190" s="8">
        <v>671</v>
      </c>
      <c r="F3190" s="8">
        <v>746</v>
      </c>
      <c r="G3190" s="8">
        <v>94</v>
      </c>
      <c r="H3190" s="8">
        <v>30696</v>
      </c>
      <c r="I3190" s="8">
        <v>23</v>
      </c>
      <c r="J3190" s="8">
        <v>53</v>
      </c>
      <c r="K3190" s="8">
        <v>732</v>
      </c>
      <c r="L3190" s="8">
        <v>717</v>
      </c>
      <c r="M3190" s="8">
        <v>5.2222222220000001</v>
      </c>
      <c r="N3190">
        <f>VLOOKUP(A3190,vlookup_table!$A:$G,2,FALSE)</f>
        <v>0</v>
      </c>
      <c r="O3190" t="str">
        <f>VLOOKUP(A3190,vlookup_table!$A:$G,3,FALSE)</f>
        <v>CA</v>
      </c>
      <c r="P3190">
        <f>VLOOKUP(A3190,vlookup_table!$A:$G,4,FALSE)</f>
        <v>0</v>
      </c>
      <c r="Q3190" t="str">
        <f>VLOOKUP(A3190,vlookup_table!$A:$G,5,FALSE)</f>
        <v>U1</v>
      </c>
      <c r="R3190" t="str">
        <f>VLOOKUP(A3190,vlookup_table!$A:$G,6,FALSE)</f>
        <v>F</v>
      </c>
      <c r="S3190">
        <f>VLOOKUP(A3190,vlookup_table!$A:$G,7,FALSE)</f>
        <v>5</v>
      </c>
      <c r="T3190">
        <f t="shared" si="98"/>
        <v>96</v>
      </c>
      <c r="U3190" t="str">
        <f t="shared" si="99"/>
        <v>Urbano</v>
      </c>
    </row>
    <row r="3191" spans="1:21" ht="16" x14ac:dyDescent="0.4">
      <c r="A3191" s="9">
        <v>101596</v>
      </c>
      <c r="B3191" s="8" t="s">
        <v>33</v>
      </c>
      <c r="C3191" s="8" t="s">
        <v>17</v>
      </c>
      <c r="D3191" s="8">
        <v>313</v>
      </c>
      <c r="E3191" s="8">
        <v>138</v>
      </c>
      <c r="F3191" s="8">
        <v>216</v>
      </c>
      <c r="G3191" s="8">
        <v>0</v>
      </c>
      <c r="H3191" s="8">
        <v>7617</v>
      </c>
      <c r="I3191" s="8">
        <v>1</v>
      </c>
      <c r="J3191" s="8">
        <v>62</v>
      </c>
      <c r="K3191" s="8">
        <v>165</v>
      </c>
      <c r="L3191" s="8">
        <v>189</v>
      </c>
      <c r="M3191" s="8">
        <v>17.75</v>
      </c>
      <c r="N3191">
        <f>VLOOKUP(A3191,vlookup_table!$A:$G,2,FALSE)</f>
        <v>0</v>
      </c>
      <c r="O3191" t="str">
        <f>VLOOKUP(A3191,vlookup_table!$A:$G,3,FALSE)</f>
        <v>MO</v>
      </c>
      <c r="P3191">
        <f>VLOOKUP(A3191,vlookup_table!$A:$G,4,FALSE)</f>
        <v>0</v>
      </c>
      <c r="Q3191" t="str">
        <f>VLOOKUP(A3191,vlookup_table!$A:$G,5,FALSE)</f>
        <v>R3</v>
      </c>
      <c r="R3191" t="str">
        <f>VLOOKUP(A3191,vlookup_table!$A:$G,6,FALSE)</f>
        <v>F</v>
      </c>
      <c r="S3191">
        <f>VLOOKUP(A3191,vlookup_table!$A:$G,7,FALSE)</f>
        <v>16</v>
      </c>
      <c r="T3191">
        <f t="shared" si="98"/>
        <v>96</v>
      </c>
      <c r="U3191" t="str">
        <f t="shared" si="99"/>
        <v>Rural</v>
      </c>
    </row>
    <row r="3192" spans="1:21" ht="16" x14ac:dyDescent="0.4">
      <c r="A3192" s="9">
        <v>175000</v>
      </c>
      <c r="B3192" s="8" t="s">
        <v>47</v>
      </c>
      <c r="C3192" s="8" t="s">
        <v>17</v>
      </c>
      <c r="D3192" s="8">
        <v>944</v>
      </c>
      <c r="E3192" s="8">
        <v>355</v>
      </c>
      <c r="F3192" s="8">
        <v>454</v>
      </c>
      <c r="G3192" s="8">
        <v>3</v>
      </c>
      <c r="H3192" s="8">
        <v>14928</v>
      </c>
      <c r="I3192" s="8">
        <v>2</v>
      </c>
      <c r="J3192" s="8">
        <v>45</v>
      </c>
      <c r="K3192" s="8">
        <v>350</v>
      </c>
      <c r="L3192" s="8">
        <v>430</v>
      </c>
      <c r="M3192" s="8">
        <v>13.09090909</v>
      </c>
      <c r="N3192">
        <f>VLOOKUP(A3192,vlookup_table!$A:$G,2,FALSE)</f>
        <v>2</v>
      </c>
      <c r="O3192" t="str">
        <f>VLOOKUP(A3192,vlookup_table!$A:$G,3,FALSE)</f>
        <v>OR</v>
      </c>
      <c r="P3192">
        <f>VLOOKUP(A3192,vlookup_table!$A:$G,4,FALSE)</f>
        <v>3307</v>
      </c>
      <c r="Q3192" t="str">
        <f>VLOOKUP(A3192,vlookup_table!$A:$G,5,FALSE)</f>
        <v>T2</v>
      </c>
      <c r="R3192" t="str">
        <f>VLOOKUP(A3192,vlookup_table!$A:$G,6,FALSE)</f>
        <v>F</v>
      </c>
      <c r="S3192">
        <f>VLOOKUP(A3192,vlookup_table!$A:$G,7,FALSE)</f>
        <v>17</v>
      </c>
      <c r="T3192">
        <f t="shared" si="98"/>
        <v>63</v>
      </c>
      <c r="U3192" t="str">
        <f t="shared" si="99"/>
        <v>Pueblo</v>
      </c>
    </row>
    <row r="3193" spans="1:21" ht="16" x14ac:dyDescent="0.4">
      <c r="A3193" s="9">
        <v>14798</v>
      </c>
      <c r="B3193" s="8" t="s">
        <v>21</v>
      </c>
      <c r="C3193" s="8" t="s">
        <v>17</v>
      </c>
      <c r="D3193" s="8">
        <v>1089</v>
      </c>
      <c r="E3193" s="8">
        <v>296</v>
      </c>
      <c r="F3193" s="8">
        <v>352</v>
      </c>
      <c r="G3193" s="8">
        <v>3</v>
      </c>
      <c r="H3193" s="8">
        <v>12998</v>
      </c>
      <c r="I3193" s="8">
        <v>10</v>
      </c>
      <c r="J3193" s="8">
        <v>51</v>
      </c>
      <c r="K3193" s="8">
        <v>324</v>
      </c>
      <c r="L3193" s="8">
        <v>328</v>
      </c>
      <c r="M3193" s="8">
        <v>8.8260869569999993</v>
      </c>
      <c r="N3193">
        <f>VLOOKUP(A3193,vlookup_table!$A:$G,2,FALSE)</f>
        <v>0</v>
      </c>
      <c r="O3193" t="str">
        <f>VLOOKUP(A3193,vlookup_table!$A:$G,3,FALSE)</f>
        <v>CA</v>
      </c>
      <c r="P3193">
        <f>VLOOKUP(A3193,vlookup_table!$A:$G,4,FALSE)</f>
        <v>1211</v>
      </c>
      <c r="Q3193" t="str">
        <f>VLOOKUP(A3193,vlookup_table!$A:$G,5,FALSE)</f>
        <v>S2</v>
      </c>
      <c r="R3193" t="str">
        <f>VLOOKUP(A3193,vlookup_table!$A:$G,6,FALSE)</f>
        <v>F</v>
      </c>
      <c r="S3193">
        <f>VLOOKUP(A3193,vlookup_table!$A:$G,7,FALSE)</f>
        <v>10</v>
      </c>
      <c r="T3193">
        <f t="shared" si="98"/>
        <v>84</v>
      </c>
      <c r="U3193" t="str">
        <f t="shared" si="99"/>
        <v>Suburbano</v>
      </c>
    </row>
    <row r="3194" spans="1:21" ht="16" x14ac:dyDescent="0.4">
      <c r="A3194" s="9">
        <v>120800</v>
      </c>
      <c r="B3194" s="8" t="s">
        <v>20</v>
      </c>
      <c r="C3194" s="8" t="s">
        <v>14</v>
      </c>
      <c r="D3194" s="8">
        <v>623</v>
      </c>
      <c r="E3194" s="8">
        <v>222</v>
      </c>
      <c r="F3194" s="8">
        <v>373</v>
      </c>
      <c r="G3194" s="8">
        <v>1</v>
      </c>
      <c r="H3194" s="8">
        <v>12743</v>
      </c>
      <c r="I3194" s="8">
        <v>2</v>
      </c>
      <c r="J3194" s="8">
        <v>70</v>
      </c>
      <c r="K3194" s="8">
        <v>348</v>
      </c>
      <c r="L3194" s="8">
        <v>301</v>
      </c>
      <c r="M3194" s="8">
        <v>9</v>
      </c>
      <c r="N3194">
        <f>VLOOKUP(A3194,vlookup_table!$A:$G,2,FALSE)</f>
        <v>1</v>
      </c>
      <c r="O3194" t="str">
        <f>VLOOKUP(A3194,vlookup_table!$A:$G,3,FALSE)</f>
        <v>TX</v>
      </c>
      <c r="P3194">
        <f>VLOOKUP(A3194,vlookup_table!$A:$G,4,FALSE)</f>
        <v>3201</v>
      </c>
      <c r="Q3194" t="str">
        <f>VLOOKUP(A3194,vlookup_table!$A:$G,5,FALSE)</f>
        <v>C2</v>
      </c>
      <c r="R3194" t="str">
        <f>VLOOKUP(A3194,vlookup_table!$A:$G,6,FALSE)</f>
        <v>M</v>
      </c>
      <c r="S3194">
        <f>VLOOKUP(A3194,vlookup_table!$A:$G,7,FALSE)</f>
        <v>10</v>
      </c>
      <c r="T3194">
        <f t="shared" si="98"/>
        <v>64</v>
      </c>
      <c r="U3194" t="str">
        <f t="shared" si="99"/>
        <v>Ciudad</v>
      </c>
    </row>
    <row r="3195" spans="1:21" ht="16" x14ac:dyDescent="0.4">
      <c r="A3195" s="9">
        <v>187639</v>
      </c>
      <c r="B3195" s="8" t="s">
        <v>13</v>
      </c>
      <c r="C3195" s="8" t="s">
        <v>14</v>
      </c>
      <c r="D3195" s="8">
        <v>1327</v>
      </c>
      <c r="E3195" s="8">
        <v>527</v>
      </c>
      <c r="F3195" s="8">
        <v>649</v>
      </c>
      <c r="G3195" s="8">
        <v>6</v>
      </c>
      <c r="H3195" s="8">
        <v>23089</v>
      </c>
      <c r="I3195" s="8">
        <v>6</v>
      </c>
      <c r="J3195" s="8">
        <v>18</v>
      </c>
      <c r="K3195" s="8">
        <v>573</v>
      </c>
      <c r="L3195" s="8">
        <v>564</v>
      </c>
      <c r="M3195" s="8">
        <v>8.3333333330000006</v>
      </c>
      <c r="N3195">
        <f>VLOOKUP(A3195,vlookup_table!$A:$G,2,FALSE)</f>
        <v>1</v>
      </c>
      <c r="O3195" t="str">
        <f>VLOOKUP(A3195,vlookup_table!$A:$G,3,FALSE)</f>
        <v>FL</v>
      </c>
      <c r="P3195">
        <f>VLOOKUP(A3195,vlookup_table!$A:$G,4,FALSE)</f>
        <v>0</v>
      </c>
      <c r="Q3195" t="str">
        <f>VLOOKUP(A3195,vlookup_table!$A:$G,5,FALSE)</f>
        <v>C1</v>
      </c>
      <c r="R3195" t="str">
        <f>VLOOKUP(A3195,vlookup_table!$A:$G,6,FALSE)</f>
        <v>M</v>
      </c>
      <c r="S3195">
        <f>VLOOKUP(A3195,vlookup_table!$A:$G,7,FALSE)</f>
        <v>10</v>
      </c>
      <c r="T3195">
        <f t="shared" si="98"/>
        <v>96</v>
      </c>
      <c r="U3195" t="str">
        <f t="shared" si="99"/>
        <v>Ciudad</v>
      </c>
    </row>
    <row r="3196" spans="1:21" ht="16" x14ac:dyDescent="0.4">
      <c r="A3196" s="9">
        <v>142487</v>
      </c>
      <c r="B3196" s="8" t="s">
        <v>21</v>
      </c>
      <c r="C3196" s="8" t="s">
        <v>17</v>
      </c>
      <c r="D3196" s="8">
        <v>5438</v>
      </c>
      <c r="E3196" s="8">
        <v>881</v>
      </c>
      <c r="F3196" s="8">
        <v>1051</v>
      </c>
      <c r="G3196" s="8">
        <v>95</v>
      </c>
      <c r="H3196" s="8">
        <v>40432</v>
      </c>
      <c r="I3196" s="8">
        <v>30</v>
      </c>
      <c r="J3196" s="8">
        <v>43</v>
      </c>
      <c r="K3196" s="8">
        <v>967</v>
      </c>
      <c r="L3196" s="8">
        <v>928</v>
      </c>
      <c r="M3196" s="8">
        <v>15</v>
      </c>
      <c r="N3196">
        <f>VLOOKUP(A3196,vlookup_table!$A:$G,2,FALSE)</f>
        <v>28</v>
      </c>
      <c r="O3196" t="str">
        <f>VLOOKUP(A3196,vlookup_table!$A:$G,3,FALSE)</f>
        <v>CA</v>
      </c>
      <c r="P3196">
        <f>VLOOKUP(A3196,vlookup_table!$A:$G,4,FALSE)</f>
        <v>201</v>
      </c>
      <c r="Q3196" t="str">
        <f>VLOOKUP(A3196,vlookup_table!$A:$G,5,FALSE)</f>
        <v>S1</v>
      </c>
      <c r="R3196" t="str">
        <f>VLOOKUP(A3196,vlookup_table!$A:$G,6,FALSE)</f>
        <v>F</v>
      </c>
      <c r="S3196">
        <f>VLOOKUP(A3196,vlookup_table!$A:$G,7,FALSE)</f>
        <v>20</v>
      </c>
      <c r="T3196">
        <f t="shared" si="98"/>
        <v>76</v>
      </c>
      <c r="U3196" t="str">
        <f t="shared" si="99"/>
        <v>Suburbano</v>
      </c>
    </row>
    <row r="3197" spans="1:21" ht="16" x14ac:dyDescent="0.4">
      <c r="A3197" s="9">
        <v>134895</v>
      </c>
      <c r="B3197" s="8" t="s">
        <v>35</v>
      </c>
      <c r="C3197" s="8" t="s">
        <v>17</v>
      </c>
      <c r="D3197" s="8">
        <v>546</v>
      </c>
      <c r="E3197" s="8">
        <v>267</v>
      </c>
      <c r="F3197" s="8">
        <v>295</v>
      </c>
      <c r="G3197" s="8">
        <v>0</v>
      </c>
      <c r="H3197" s="8">
        <v>7072</v>
      </c>
      <c r="I3197" s="8">
        <v>1</v>
      </c>
      <c r="J3197" s="8">
        <v>67</v>
      </c>
      <c r="K3197" s="8">
        <v>278</v>
      </c>
      <c r="L3197" s="8">
        <v>283</v>
      </c>
      <c r="M3197" s="8">
        <v>5.434782609</v>
      </c>
      <c r="N3197">
        <f>VLOOKUP(A3197,vlookup_table!$A:$G,2,FALSE)</f>
        <v>0</v>
      </c>
      <c r="O3197" t="str">
        <f>VLOOKUP(A3197,vlookup_table!$A:$G,3,FALSE)</f>
        <v>UT</v>
      </c>
      <c r="P3197">
        <f>VLOOKUP(A3197,vlookup_table!$A:$G,4,FALSE)</f>
        <v>0</v>
      </c>
      <c r="Q3197" t="str">
        <f>VLOOKUP(A3197,vlookup_table!$A:$G,5,FALSE)</f>
        <v>R2</v>
      </c>
      <c r="R3197" t="str">
        <f>VLOOKUP(A3197,vlookup_table!$A:$G,6,FALSE)</f>
        <v>F</v>
      </c>
      <c r="S3197">
        <f>VLOOKUP(A3197,vlookup_table!$A:$G,7,FALSE)</f>
        <v>10</v>
      </c>
      <c r="T3197">
        <f t="shared" si="98"/>
        <v>96</v>
      </c>
      <c r="U3197" t="str">
        <f t="shared" si="99"/>
        <v>Rural</v>
      </c>
    </row>
    <row r="3198" spans="1:21" ht="16" x14ac:dyDescent="0.4">
      <c r="A3198" s="9">
        <v>171205</v>
      </c>
      <c r="B3198" s="8" t="s">
        <v>21</v>
      </c>
      <c r="C3198" s="8" t="s">
        <v>17</v>
      </c>
      <c r="D3198" s="8" t="s">
        <v>72</v>
      </c>
      <c r="E3198" s="8">
        <v>205</v>
      </c>
      <c r="F3198" s="8">
        <v>388</v>
      </c>
      <c r="G3198" s="8">
        <v>4</v>
      </c>
      <c r="H3198" s="8">
        <v>22845</v>
      </c>
      <c r="I3198" s="8">
        <v>4</v>
      </c>
      <c r="J3198" s="8">
        <v>71</v>
      </c>
      <c r="K3198" s="8">
        <v>221</v>
      </c>
      <c r="L3198" s="8">
        <v>337</v>
      </c>
      <c r="M3198" s="8">
        <v>7.4545454549999999</v>
      </c>
      <c r="N3198">
        <f>VLOOKUP(A3198,vlookup_table!$A:$G,2,FALSE)</f>
        <v>228</v>
      </c>
      <c r="O3198" t="str">
        <f>VLOOKUP(A3198,vlookup_table!$A:$G,3,FALSE)</f>
        <v>CA</v>
      </c>
      <c r="P3198">
        <f>VLOOKUP(A3198,vlookup_table!$A:$G,4,FALSE)</f>
        <v>0</v>
      </c>
      <c r="Q3198" t="str">
        <f>VLOOKUP(A3198,vlookup_table!$A:$G,5,FALSE)</f>
        <v>R2</v>
      </c>
      <c r="R3198" t="str">
        <f>VLOOKUP(A3198,vlookup_table!$A:$G,6,FALSE)</f>
        <v>F</v>
      </c>
      <c r="S3198">
        <f>VLOOKUP(A3198,vlookup_table!$A:$G,7,FALSE)</f>
        <v>12</v>
      </c>
      <c r="T3198">
        <f t="shared" si="98"/>
        <v>96</v>
      </c>
      <c r="U3198" t="str">
        <f t="shared" si="99"/>
        <v>Rural</v>
      </c>
    </row>
    <row r="3199" spans="1:21" ht="16" x14ac:dyDescent="0.4">
      <c r="A3199" s="9">
        <v>7451</v>
      </c>
      <c r="B3199" s="8" t="s">
        <v>43</v>
      </c>
      <c r="C3199" s="8"/>
      <c r="D3199" s="8">
        <v>608</v>
      </c>
      <c r="E3199" s="8">
        <v>229</v>
      </c>
      <c r="F3199" s="8">
        <v>362</v>
      </c>
      <c r="G3199" s="8">
        <v>1</v>
      </c>
      <c r="H3199" s="8">
        <v>13829</v>
      </c>
      <c r="I3199" s="8">
        <v>2</v>
      </c>
      <c r="J3199" s="8">
        <v>43</v>
      </c>
      <c r="K3199" s="8">
        <v>350</v>
      </c>
      <c r="L3199" s="8">
        <v>268</v>
      </c>
      <c r="M3199" s="8">
        <v>14.823529410000001</v>
      </c>
      <c r="N3199">
        <f>VLOOKUP(A3199,vlookup_table!$A:$G,2,FALSE)</f>
        <v>2</v>
      </c>
      <c r="O3199" t="str">
        <f>VLOOKUP(A3199,vlookup_table!$A:$G,3,FALSE)</f>
        <v>SC</v>
      </c>
      <c r="P3199">
        <f>VLOOKUP(A3199,vlookup_table!$A:$G,4,FALSE)</f>
        <v>1401</v>
      </c>
      <c r="Q3199" t="str">
        <f>VLOOKUP(A3199,vlookup_table!$A:$G,5,FALSE)</f>
        <v>C1</v>
      </c>
      <c r="R3199" t="str">
        <f>VLOOKUP(A3199,vlookup_table!$A:$G,6,FALSE)</f>
        <v/>
      </c>
      <c r="S3199">
        <f>VLOOKUP(A3199,vlookup_table!$A:$G,7,FALSE)</f>
        <v>22</v>
      </c>
      <c r="T3199">
        <f t="shared" si="98"/>
        <v>82</v>
      </c>
      <c r="U3199" t="str">
        <f t="shared" si="99"/>
        <v>Ciudad</v>
      </c>
    </row>
    <row r="3200" spans="1:21" ht="16" x14ac:dyDescent="0.4">
      <c r="A3200" s="9">
        <v>95450</v>
      </c>
      <c r="B3200" s="8" t="s">
        <v>16</v>
      </c>
      <c r="C3200" s="8" t="s">
        <v>17</v>
      </c>
      <c r="D3200" s="8">
        <v>377</v>
      </c>
      <c r="E3200" s="8">
        <v>241</v>
      </c>
      <c r="F3200" s="8">
        <v>306</v>
      </c>
      <c r="G3200" s="8">
        <v>1</v>
      </c>
      <c r="H3200" s="8">
        <v>10701</v>
      </c>
      <c r="I3200" s="8">
        <v>2</v>
      </c>
      <c r="J3200" s="8">
        <v>80</v>
      </c>
      <c r="K3200" s="8">
        <v>283</v>
      </c>
      <c r="L3200" s="8">
        <v>281</v>
      </c>
      <c r="M3200" s="8">
        <v>10.16666667</v>
      </c>
      <c r="N3200">
        <f>VLOOKUP(A3200,vlookup_table!$A:$G,2,FALSE)</f>
        <v>0</v>
      </c>
      <c r="O3200" t="str">
        <f>VLOOKUP(A3200,vlookup_table!$A:$G,3,FALSE)</f>
        <v>IL</v>
      </c>
      <c r="P3200">
        <f>VLOOKUP(A3200,vlookup_table!$A:$G,4,FALSE)</f>
        <v>5201</v>
      </c>
      <c r="Q3200" t="str">
        <f>VLOOKUP(A3200,vlookup_table!$A:$G,5,FALSE)</f>
        <v>T3</v>
      </c>
      <c r="R3200" t="str">
        <f>VLOOKUP(A3200,vlookup_table!$A:$G,6,FALSE)</f>
        <v>F</v>
      </c>
      <c r="S3200">
        <f>VLOOKUP(A3200,vlookup_table!$A:$G,7,FALSE)</f>
        <v>11</v>
      </c>
      <c r="T3200">
        <f t="shared" si="98"/>
        <v>44</v>
      </c>
      <c r="U3200" t="str">
        <f t="shared" si="99"/>
        <v>Pueblo</v>
      </c>
    </row>
    <row r="3201" spans="1:21" ht="16" x14ac:dyDescent="0.4">
      <c r="A3201" s="9">
        <v>129598</v>
      </c>
      <c r="B3201" s="8" t="s">
        <v>45</v>
      </c>
      <c r="C3201" s="8" t="s">
        <v>14</v>
      </c>
      <c r="D3201" s="8">
        <v>756</v>
      </c>
      <c r="E3201" s="8">
        <v>405</v>
      </c>
      <c r="F3201" s="8">
        <v>430</v>
      </c>
      <c r="G3201" s="8">
        <v>0</v>
      </c>
      <c r="H3201" s="8">
        <v>15709</v>
      </c>
      <c r="I3201" s="8">
        <v>2</v>
      </c>
      <c r="J3201" s="8">
        <v>45</v>
      </c>
      <c r="K3201" s="8">
        <v>423</v>
      </c>
      <c r="L3201" s="8">
        <v>394</v>
      </c>
      <c r="M3201" s="8">
        <v>23.85714286</v>
      </c>
      <c r="N3201">
        <f>VLOOKUP(A3201,vlookup_table!$A:$G,2,FALSE)</f>
        <v>1</v>
      </c>
      <c r="O3201" t="str">
        <f>VLOOKUP(A3201,vlookup_table!$A:$G,3,FALSE)</f>
        <v>CO</v>
      </c>
      <c r="P3201">
        <f>VLOOKUP(A3201,vlookup_table!$A:$G,4,FALSE)</f>
        <v>5007</v>
      </c>
      <c r="Q3201" t="str">
        <f>VLOOKUP(A3201,vlookup_table!$A:$G,5,FALSE)</f>
        <v>S3</v>
      </c>
      <c r="R3201" t="str">
        <f>VLOOKUP(A3201,vlookup_table!$A:$G,6,FALSE)</f>
        <v>M</v>
      </c>
      <c r="S3201">
        <f>VLOOKUP(A3201,vlookup_table!$A:$G,7,FALSE)</f>
        <v>37</v>
      </c>
      <c r="T3201">
        <f t="shared" si="98"/>
        <v>46</v>
      </c>
      <c r="U3201" t="str">
        <f t="shared" si="99"/>
        <v>Suburbano</v>
      </c>
    </row>
    <row r="3202" spans="1:21" ht="16" x14ac:dyDescent="0.4">
      <c r="A3202" s="9">
        <v>99268</v>
      </c>
      <c r="B3202" s="8" t="s">
        <v>16</v>
      </c>
      <c r="C3202" s="8" t="s">
        <v>14</v>
      </c>
      <c r="D3202" s="8">
        <v>377</v>
      </c>
      <c r="E3202" s="8">
        <v>256</v>
      </c>
      <c r="F3202" s="8">
        <v>309</v>
      </c>
      <c r="G3202" s="8">
        <v>0</v>
      </c>
      <c r="H3202" s="8">
        <v>11657</v>
      </c>
      <c r="I3202" s="8">
        <v>0</v>
      </c>
      <c r="J3202" s="8">
        <v>71</v>
      </c>
      <c r="K3202" s="8">
        <v>304</v>
      </c>
      <c r="L3202" s="8">
        <v>275</v>
      </c>
      <c r="M3202" s="8">
        <v>9.8000000000000007</v>
      </c>
      <c r="N3202">
        <f>VLOOKUP(A3202,vlookup_table!$A:$G,2,FALSE)</f>
        <v>1</v>
      </c>
      <c r="O3202" t="str">
        <f>VLOOKUP(A3202,vlookup_table!$A:$G,3,FALSE)</f>
        <v>IL</v>
      </c>
      <c r="P3202">
        <f>VLOOKUP(A3202,vlookup_table!$A:$G,4,FALSE)</f>
        <v>3905</v>
      </c>
      <c r="Q3202" t="str">
        <f>VLOOKUP(A3202,vlookup_table!$A:$G,5,FALSE)</f>
        <v>R3</v>
      </c>
      <c r="R3202" t="str">
        <f>VLOOKUP(A3202,vlookup_table!$A:$G,6,FALSE)</f>
        <v>M</v>
      </c>
      <c r="S3202">
        <f>VLOOKUP(A3202,vlookup_table!$A:$G,7,FALSE)</f>
        <v>15</v>
      </c>
      <c r="T3202">
        <f t="shared" si="98"/>
        <v>57</v>
      </c>
      <c r="U3202" t="str">
        <f t="shared" si="99"/>
        <v>Rural</v>
      </c>
    </row>
    <row r="3203" spans="1:21" ht="16" x14ac:dyDescent="0.4">
      <c r="A3203" s="9">
        <v>82739</v>
      </c>
      <c r="B3203" s="8" t="s">
        <v>52</v>
      </c>
      <c r="C3203" s="8" t="s">
        <v>14</v>
      </c>
      <c r="D3203" s="8">
        <v>604</v>
      </c>
      <c r="E3203" s="8">
        <v>266</v>
      </c>
      <c r="F3203" s="8">
        <v>435</v>
      </c>
      <c r="G3203" s="8">
        <v>0</v>
      </c>
      <c r="H3203" s="8">
        <v>21127</v>
      </c>
      <c r="I3203" s="8">
        <v>10</v>
      </c>
      <c r="J3203" s="8">
        <v>64</v>
      </c>
      <c r="K3203" s="8">
        <v>372</v>
      </c>
      <c r="L3203" s="8">
        <v>302</v>
      </c>
      <c r="M3203" s="8">
        <v>11.66666667</v>
      </c>
      <c r="N3203">
        <f>VLOOKUP(A3203,vlookup_table!$A:$G,2,FALSE)</f>
        <v>1</v>
      </c>
      <c r="O3203" t="str">
        <f>VLOOKUP(A3203,vlookup_table!$A:$G,3,FALSE)</f>
        <v>MN</v>
      </c>
      <c r="P3203">
        <f>VLOOKUP(A3203,vlookup_table!$A:$G,4,FALSE)</f>
        <v>6201</v>
      </c>
      <c r="Q3203" t="str">
        <f>VLOOKUP(A3203,vlookup_table!$A:$G,5,FALSE)</f>
        <v>S2</v>
      </c>
      <c r="R3203" t="str">
        <f>VLOOKUP(A3203,vlookup_table!$A:$G,6,FALSE)</f>
        <v>M</v>
      </c>
      <c r="S3203">
        <f>VLOOKUP(A3203,vlookup_table!$A:$G,7,FALSE)</f>
        <v>20</v>
      </c>
      <c r="T3203">
        <f t="shared" ref="T3203:T3266" si="100">97-LEFT(P3203,2)-IF(RIGHT(P3203,2)&gt;6,1,0)</f>
        <v>34</v>
      </c>
      <c r="U3203" t="str">
        <f t="shared" ref="U3203:U3266" si="101">IF(LEFT(Q3203,1)="C","Ciudad",IF(LEFT(Q3203,1)="T","Pueblo",IF(LEFT(Q3203,1)="R","Rural",IF(LEFT(Q3203,1)="S","Suburbano",IF(LEFT(Q3203,1)="U","Urbano","")))))</f>
        <v>Suburbano</v>
      </c>
    </row>
    <row r="3204" spans="1:21" ht="16" x14ac:dyDescent="0.4">
      <c r="A3204" s="9">
        <v>81319</v>
      </c>
      <c r="B3204" s="8" t="s">
        <v>32</v>
      </c>
      <c r="C3204" s="8" t="s">
        <v>17</v>
      </c>
      <c r="D3204" s="8">
        <v>310</v>
      </c>
      <c r="E3204" s="8">
        <v>232</v>
      </c>
      <c r="F3204" s="8">
        <v>339</v>
      </c>
      <c r="G3204" s="8">
        <v>0</v>
      </c>
      <c r="H3204" s="8">
        <v>9741</v>
      </c>
      <c r="I3204" s="8">
        <v>1</v>
      </c>
      <c r="J3204" s="8">
        <v>90</v>
      </c>
      <c r="K3204" s="8">
        <v>258</v>
      </c>
      <c r="L3204" s="8">
        <v>309</v>
      </c>
      <c r="M3204" s="8">
        <v>9.8333333330000006</v>
      </c>
      <c r="N3204">
        <f>VLOOKUP(A3204,vlookup_table!$A:$G,2,FALSE)</f>
        <v>0</v>
      </c>
      <c r="O3204" t="str">
        <f>VLOOKUP(A3204,vlookup_table!$A:$G,3,FALSE)</f>
        <v>WI</v>
      </c>
      <c r="P3204">
        <f>VLOOKUP(A3204,vlookup_table!$A:$G,4,FALSE)</f>
        <v>0</v>
      </c>
      <c r="Q3204" t="str">
        <f>VLOOKUP(A3204,vlookup_table!$A:$G,5,FALSE)</f>
        <v>R3</v>
      </c>
      <c r="R3204" t="str">
        <f>VLOOKUP(A3204,vlookup_table!$A:$G,6,FALSE)</f>
        <v>F</v>
      </c>
      <c r="S3204">
        <f>VLOOKUP(A3204,vlookup_table!$A:$G,7,FALSE)</f>
        <v>15</v>
      </c>
      <c r="T3204">
        <f t="shared" si="100"/>
        <v>96</v>
      </c>
      <c r="U3204" t="str">
        <f t="shared" si="101"/>
        <v>Rural</v>
      </c>
    </row>
    <row r="3205" spans="1:21" ht="16" x14ac:dyDescent="0.4">
      <c r="A3205" s="9">
        <v>1685</v>
      </c>
      <c r="B3205" s="8" t="s">
        <v>21</v>
      </c>
      <c r="C3205" s="8"/>
      <c r="D3205" s="8">
        <v>1130</v>
      </c>
      <c r="E3205" s="8">
        <v>333</v>
      </c>
      <c r="F3205" s="8">
        <v>431</v>
      </c>
      <c r="G3205" s="8">
        <v>9</v>
      </c>
      <c r="H3205" s="8">
        <v>15654</v>
      </c>
      <c r="I3205" s="8">
        <v>7</v>
      </c>
      <c r="J3205" s="8">
        <v>63</v>
      </c>
      <c r="K3205" s="8">
        <v>383</v>
      </c>
      <c r="L3205" s="8">
        <v>385</v>
      </c>
      <c r="M3205" s="8">
        <v>14</v>
      </c>
      <c r="N3205">
        <f>VLOOKUP(A3205,vlookup_table!$A:$G,2,FALSE)</f>
        <v>0</v>
      </c>
      <c r="O3205" t="str">
        <f>VLOOKUP(A3205,vlookup_table!$A:$G,3,FALSE)</f>
        <v>CA</v>
      </c>
      <c r="P3205">
        <f>VLOOKUP(A3205,vlookup_table!$A:$G,4,FALSE)</f>
        <v>3001</v>
      </c>
      <c r="Q3205" t="str">
        <f>VLOOKUP(A3205,vlookup_table!$A:$G,5,FALSE)</f>
        <v>R2</v>
      </c>
      <c r="R3205" t="str">
        <f>VLOOKUP(A3205,vlookup_table!$A:$G,6,FALSE)</f>
        <v/>
      </c>
      <c r="S3205">
        <f>VLOOKUP(A3205,vlookup_table!$A:$G,7,FALSE)</f>
        <v>20</v>
      </c>
      <c r="T3205">
        <f t="shared" si="100"/>
        <v>66</v>
      </c>
      <c r="U3205" t="str">
        <f t="shared" si="101"/>
        <v>Rural</v>
      </c>
    </row>
    <row r="3206" spans="1:21" ht="16" x14ac:dyDescent="0.4">
      <c r="A3206" s="9">
        <v>108781</v>
      </c>
      <c r="B3206" s="8" t="s">
        <v>46</v>
      </c>
      <c r="C3206" s="8" t="s">
        <v>17</v>
      </c>
      <c r="D3206" s="8">
        <v>703</v>
      </c>
      <c r="E3206" s="8">
        <v>322</v>
      </c>
      <c r="F3206" s="8">
        <v>417</v>
      </c>
      <c r="G3206" s="8">
        <v>5</v>
      </c>
      <c r="H3206" s="8">
        <v>15510</v>
      </c>
      <c r="I3206" s="8">
        <v>4</v>
      </c>
      <c r="J3206" s="8">
        <v>65</v>
      </c>
      <c r="K3206" s="8">
        <v>394</v>
      </c>
      <c r="L3206" s="8">
        <v>353</v>
      </c>
      <c r="M3206" s="8">
        <v>15.25</v>
      </c>
      <c r="N3206">
        <f>VLOOKUP(A3206,vlookup_table!$A:$G,2,FALSE)</f>
        <v>0</v>
      </c>
      <c r="O3206" t="str">
        <f>VLOOKUP(A3206,vlookup_table!$A:$G,3,FALSE)</f>
        <v>LA</v>
      </c>
      <c r="P3206">
        <f>VLOOKUP(A3206,vlookup_table!$A:$G,4,FALSE)</f>
        <v>2610</v>
      </c>
      <c r="Q3206" t="str">
        <f>VLOOKUP(A3206,vlookup_table!$A:$G,5,FALSE)</f>
        <v>T1</v>
      </c>
      <c r="R3206" t="str">
        <f>VLOOKUP(A3206,vlookup_table!$A:$G,6,FALSE)</f>
        <v>F</v>
      </c>
      <c r="S3206">
        <f>VLOOKUP(A3206,vlookup_table!$A:$G,7,FALSE)</f>
        <v>24</v>
      </c>
      <c r="T3206">
        <f t="shared" si="100"/>
        <v>70</v>
      </c>
      <c r="U3206" t="str">
        <f t="shared" si="101"/>
        <v>Pueblo</v>
      </c>
    </row>
    <row r="3207" spans="1:21" ht="16" x14ac:dyDescent="0.4">
      <c r="A3207" s="9">
        <v>188999</v>
      </c>
      <c r="B3207" s="8" t="s">
        <v>42</v>
      </c>
      <c r="C3207" s="8" t="s">
        <v>14</v>
      </c>
      <c r="D3207" s="8">
        <v>696</v>
      </c>
      <c r="E3207" s="8">
        <v>376</v>
      </c>
      <c r="F3207" s="8">
        <v>418</v>
      </c>
      <c r="G3207" s="8">
        <v>0</v>
      </c>
      <c r="H3207" s="8">
        <v>13495</v>
      </c>
      <c r="I3207" s="8">
        <v>2</v>
      </c>
      <c r="J3207" s="8">
        <v>84</v>
      </c>
      <c r="K3207" s="8">
        <v>407</v>
      </c>
      <c r="L3207" s="8">
        <v>377</v>
      </c>
      <c r="M3207" s="8">
        <v>5.46</v>
      </c>
      <c r="N3207">
        <f>VLOOKUP(A3207,vlookup_table!$A:$G,2,FALSE)</f>
        <v>0</v>
      </c>
      <c r="O3207" t="str">
        <f>VLOOKUP(A3207,vlookup_table!$A:$G,3,FALSE)</f>
        <v>ND</v>
      </c>
      <c r="P3207">
        <f>VLOOKUP(A3207,vlookup_table!$A:$G,4,FALSE)</f>
        <v>0</v>
      </c>
      <c r="Q3207" t="str">
        <f>VLOOKUP(A3207,vlookup_table!$A:$G,5,FALSE)</f>
        <v>C1</v>
      </c>
      <c r="R3207" t="str">
        <f>VLOOKUP(A3207,vlookup_table!$A:$G,6,FALSE)</f>
        <v>M</v>
      </c>
      <c r="S3207">
        <f>VLOOKUP(A3207,vlookup_table!$A:$G,7,FALSE)</f>
        <v>5</v>
      </c>
      <c r="T3207">
        <f t="shared" si="100"/>
        <v>96</v>
      </c>
      <c r="U3207" t="str">
        <f t="shared" si="101"/>
        <v>Ciudad</v>
      </c>
    </row>
    <row r="3208" spans="1:21" ht="16" x14ac:dyDescent="0.4">
      <c r="A3208" s="9">
        <v>72936</v>
      </c>
      <c r="B3208" s="8" t="s">
        <v>26</v>
      </c>
      <c r="C3208" s="8" t="s">
        <v>14</v>
      </c>
      <c r="D3208" s="8">
        <v>457</v>
      </c>
      <c r="E3208" s="8">
        <v>244</v>
      </c>
      <c r="F3208" s="8">
        <v>306</v>
      </c>
      <c r="G3208" s="8">
        <v>0</v>
      </c>
      <c r="H3208" s="8">
        <v>9868</v>
      </c>
      <c r="I3208" s="8">
        <v>3</v>
      </c>
      <c r="J3208" s="8">
        <v>87</v>
      </c>
      <c r="K3208" s="8">
        <v>272</v>
      </c>
      <c r="L3208" s="8">
        <v>278</v>
      </c>
      <c r="M3208" s="8">
        <v>9.5925925929999991</v>
      </c>
      <c r="N3208">
        <f>VLOOKUP(A3208,vlookup_table!$A:$G,2,FALSE)</f>
        <v>1</v>
      </c>
      <c r="O3208" t="str">
        <f>VLOOKUP(A3208,vlookup_table!$A:$G,3,FALSE)</f>
        <v>MI</v>
      </c>
      <c r="P3208">
        <f>VLOOKUP(A3208,vlookup_table!$A:$G,4,FALSE)</f>
        <v>6111</v>
      </c>
      <c r="Q3208" t="str">
        <f>VLOOKUP(A3208,vlookup_table!$A:$G,5,FALSE)</f>
        <v>R3</v>
      </c>
      <c r="R3208" t="str">
        <f>VLOOKUP(A3208,vlookup_table!$A:$G,6,FALSE)</f>
        <v>M</v>
      </c>
      <c r="S3208">
        <f>VLOOKUP(A3208,vlookup_table!$A:$G,7,FALSE)</f>
        <v>20</v>
      </c>
      <c r="T3208">
        <f t="shared" si="100"/>
        <v>35</v>
      </c>
      <c r="U3208" t="str">
        <f t="shared" si="101"/>
        <v>Rural</v>
      </c>
    </row>
    <row r="3209" spans="1:21" ht="16" x14ac:dyDescent="0.4">
      <c r="A3209" s="9">
        <v>143011</v>
      </c>
      <c r="B3209" s="8" t="s">
        <v>21</v>
      </c>
      <c r="C3209" s="8"/>
      <c r="D3209" s="8">
        <v>5727</v>
      </c>
      <c r="E3209" s="8">
        <v>694</v>
      </c>
      <c r="F3209" s="8">
        <v>981</v>
      </c>
      <c r="G3209" s="8">
        <v>99</v>
      </c>
      <c r="H3209" s="8">
        <v>47422</v>
      </c>
      <c r="I3209" s="8">
        <v>25</v>
      </c>
      <c r="J3209" s="8">
        <v>32</v>
      </c>
      <c r="K3209" s="8">
        <v>1051</v>
      </c>
      <c r="L3209" s="8">
        <v>826</v>
      </c>
      <c r="M3209" s="8">
        <v>5.346153846</v>
      </c>
      <c r="N3209">
        <f>VLOOKUP(A3209,vlookup_table!$A:$G,2,FALSE)</f>
        <v>0</v>
      </c>
      <c r="O3209" t="str">
        <f>VLOOKUP(A3209,vlookup_table!$A:$G,3,FALSE)</f>
        <v>CA</v>
      </c>
      <c r="P3209">
        <f>VLOOKUP(A3209,vlookup_table!$A:$G,4,FALSE)</f>
        <v>0</v>
      </c>
      <c r="Q3209" t="str">
        <f>VLOOKUP(A3209,vlookup_table!$A:$G,5,FALSE)</f>
        <v>U1</v>
      </c>
      <c r="R3209" t="str">
        <f>VLOOKUP(A3209,vlookup_table!$A:$G,6,FALSE)</f>
        <v/>
      </c>
      <c r="S3209">
        <f>VLOOKUP(A3209,vlookup_table!$A:$G,7,FALSE)</f>
        <v>5</v>
      </c>
      <c r="T3209">
        <f t="shared" si="100"/>
        <v>96</v>
      </c>
      <c r="U3209" t="str">
        <f t="shared" si="101"/>
        <v>Urbano</v>
      </c>
    </row>
    <row r="3210" spans="1:21" ht="16" x14ac:dyDescent="0.4">
      <c r="A3210" s="9">
        <v>66219</v>
      </c>
      <c r="B3210" s="8" t="s">
        <v>26</v>
      </c>
      <c r="C3210" s="8" t="s">
        <v>14</v>
      </c>
      <c r="D3210" s="8">
        <v>1139</v>
      </c>
      <c r="E3210" s="8">
        <v>630</v>
      </c>
      <c r="F3210" s="8">
        <v>713</v>
      </c>
      <c r="G3210" s="8">
        <v>8</v>
      </c>
      <c r="H3210" s="8">
        <v>27594</v>
      </c>
      <c r="I3210" s="8">
        <v>3</v>
      </c>
      <c r="J3210" s="8">
        <v>72</v>
      </c>
      <c r="K3210" s="8">
        <v>676</v>
      </c>
      <c r="L3210" s="8">
        <v>670</v>
      </c>
      <c r="M3210" s="8">
        <v>35</v>
      </c>
      <c r="N3210">
        <f>VLOOKUP(A3210,vlookup_table!$A:$G,2,FALSE)</f>
        <v>1</v>
      </c>
      <c r="O3210" t="str">
        <f>VLOOKUP(A3210,vlookup_table!$A:$G,3,FALSE)</f>
        <v>MI</v>
      </c>
      <c r="P3210">
        <f>VLOOKUP(A3210,vlookup_table!$A:$G,4,FALSE)</f>
        <v>5612</v>
      </c>
      <c r="Q3210" t="str">
        <f>VLOOKUP(A3210,vlookup_table!$A:$G,5,FALSE)</f>
        <v>S1</v>
      </c>
      <c r="R3210" t="str">
        <f>VLOOKUP(A3210,vlookup_table!$A:$G,6,FALSE)</f>
        <v>M</v>
      </c>
      <c r="S3210">
        <f>VLOOKUP(A3210,vlookup_table!$A:$G,7,FALSE)</f>
        <v>50</v>
      </c>
      <c r="T3210">
        <f t="shared" si="100"/>
        <v>40</v>
      </c>
      <c r="U3210" t="str">
        <f t="shared" si="101"/>
        <v>Suburbano</v>
      </c>
    </row>
    <row r="3211" spans="1:21" ht="16" x14ac:dyDescent="0.4">
      <c r="A3211" s="9">
        <v>159883</v>
      </c>
      <c r="B3211" s="8" t="s">
        <v>21</v>
      </c>
      <c r="C3211" s="8" t="s">
        <v>17</v>
      </c>
      <c r="D3211" s="8">
        <v>554</v>
      </c>
      <c r="E3211" s="8">
        <v>183</v>
      </c>
      <c r="F3211" s="8">
        <v>224</v>
      </c>
      <c r="G3211" s="8">
        <v>0</v>
      </c>
      <c r="H3211" s="8">
        <v>7394</v>
      </c>
      <c r="I3211" s="8">
        <v>4</v>
      </c>
      <c r="J3211" s="8">
        <v>74</v>
      </c>
      <c r="K3211" s="8">
        <v>186</v>
      </c>
      <c r="L3211" s="8">
        <v>211</v>
      </c>
      <c r="M3211" s="8">
        <v>5.4375</v>
      </c>
      <c r="N3211">
        <f>VLOOKUP(A3211,vlookup_table!$A:$G,2,FALSE)</f>
        <v>2</v>
      </c>
      <c r="O3211" t="str">
        <f>VLOOKUP(A3211,vlookup_table!$A:$G,3,FALSE)</f>
        <v>CA</v>
      </c>
      <c r="P3211">
        <f>VLOOKUP(A3211,vlookup_table!$A:$G,4,FALSE)</f>
        <v>2207</v>
      </c>
      <c r="Q3211" t="str">
        <f>VLOOKUP(A3211,vlookup_table!$A:$G,5,FALSE)</f>
        <v>C3</v>
      </c>
      <c r="R3211" t="str">
        <f>VLOOKUP(A3211,vlookup_table!$A:$G,6,FALSE)</f>
        <v>F</v>
      </c>
      <c r="S3211">
        <f>VLOOKUP(A3211,vlookup_table!$A:$G,7,FALSE)</f>
        <v>10</v>
      </c>
      <c r="T3211">
        <f t="shared" si="100"/>
        <v>74</v>
      </c>
      <c r="U3211" t="str">
        <f t="shared" si="101"/>
        <v>Ciudad</v>
      </c>
    </row>
    <row r="3212" spans="1:21" ht="16" x14ac:dyDescent="0.4">
      <c r="A3212" s="9">
        <v>95525</v>
      </c>
      <c r="B3212" s="8" t="s">
        <v>16</v>
      </c>
      <c r="C3212" s="8" t="s">
        <v>14</v>
      </c>
      <c r="D3212" s="8">
        <v>606</v>
      </c>
      <c r="E3212" s="8">
        <v>304</v>
      </c>
      <c r="F3212" s="8">
        <v>350</v>
      </c>
      <c r="G3212" s="8">
        <v>1</v>
      </c>
      <c r="H3212" s="8">
        <v>13662</v>
      </c>
      <c r="I3212" s="8">
        <v>1</v>
      </c>
      <c r="J3212" s="8">
        <v>72</v>
      </c>
      <c r="K3212" s="8">
        <v>322</v>
      </c>
      <c r="L3212" s="8">
        <v>320</v>
      </c>
      <c r="M3212" s="8">
        <v>37.5</v>
      </c>
      <c r="N3212">
        <f>VLOOKUP(A3212,vlookup_table!$A:$G,2,FALSE)</f>
        <v>1</v>
      </c>
      <c r="O3212" t="str">
        <f>VLOOKUP(A3212,vlookup_table!$A:$G,3,FALSE)</f>
        <v>IL</v>
      </c>
      <c r="P3212">
        <f>VLOOKUP(A3212,vlookup_table!$A:$G,4,FALSE)</f>
        <v>0</v>
      </c>
      <c r="Q3212" t="str">
        <f>VLOOKUP(A3212,vlookup_table!$A:$G,5,FALSE)</f>
        <v>R2</v>
      </c>
      <c r="R3212" t="str">
        <f>VLOOKUP(A3212,vlookup_table!$A:$G,6,FALSE)</f>
        <v>M</v>
      </c>
      <c r="S3212">
        <f>VLOOKUP(A3212,vlookup_table!$A:$G,7,FALSE)</f>
        <v>30</v>
      </c>
      <c r="T3212">
        <f t="shared" si="100"/>
        <v>96</v>
      </c>
      <c r="U3212" t="str">
        <f t="shared" si="101"/>
        <v>Rural</v>
      </c>
    </row>
    <row r="3213" spans="1:21" ht="16" x14ac:dyDescent="0.4">
      <c r="A3213" s="9">
        <v>188778</v>
      </c>
      <c r="B3213" s="8" t="s">
        <v>13</v>
      </c>
      <c r="C3213" s="8"/>
      <c r="D3213" s="8">
        <v>635</v>
      </c>
      <c r="E3213" s="8">
        <v>225</v>
      </c>
      <c r="F3213" s="8">
        <v>291</v>
      </c>
      <c r="G3213" s="8">
        <v>1</v>
      </c>
      <c r="H3213" s="8">
        <v>10611</v>
      </c>
      <c r="I3213" s="8">
        <v>5</v>
      </c>
      <c r="J3213" s="8">
        <v>31</v>
      </c>
      <c r="K3213" s="8">
        <v>248</v>
      </c>
      <c r="L3213" s="8">
        <v>269</v>
      </c>
      <c r="M3213" s="8">
        <v>13.25</v>
      </c>
      <c r="N3213">
        <f>VLOOKUP(A3213,vlookup_table!$A:$G,2,FALSE)</f>
        <v>0</v>
      </c>
      <c r="O3213" t="str">
        <f>VLOOKUP(A3213,vlookup_table!$A:$G,3,FALSE)</f>
        <v>FL</v>
      </c>
      <c r="P3213">
        <f>VLOOKUP(A3213,vlookup_table!$A:$G,4,FALSE)</f>
        <v>5603</v>
      </c>
      <c r="Q3213" t="str">
        <f>VLOOKUP(A3213,vlookup_table!$A:$G,5,FALSE)</f>
        <v/>
      </c>
      <c r="R3213" t="str">
        <f>VLOOKUP(A3213,vlookup_table!$A:$G,6,FALSE)</f>
        <v/>
      </c>
      <c r="S3213">
        <f>VLOOKUP(A3213,vlookup_table!$A:$G,7,FALSE)</f>
        <v>20</v>
      </c>
      <c r="T3213">
        <f t="shared" si="100"/>
        <v>40</v>
      </c>
      <c r="U3213" t="str">
        <f t="shared" si="101"/>
        <v/>
      </c>
    </row>
    <row r="3214" spans="1:21" ht="16" x14ac:dyDescent="0.4">
      <c r="A3214" s="9">
        <v>55527</v>
      </c>
      <c r="B3214" s="8" t="s">
        <v>56</v>
      </c>
      <c r="C3214" s="8" t="s">
        <v>97</v>
      </c>
      <c r="D3214" s="8">
        <v>393</v>
      </c>
      <c r="E3214" s="8">
        <v>189</v>
      </c>
      <c r="F3214" s="8">
        <v>357</v>
      </c>
      <c r="G3214" s="8">
        <v>0</v>
      </c>
      <c r="H3214" s="8">
        <v>11906</v>
      </c>
      <c r="I3214" s="8">
        <v>6</v>
      </c>
      <c r="J3214" s="8">
        <v>75</v>
      </c>
      <c r="K3214" s="8">
        <v>224</v>
      </c>
      <c r="L3214" s="8">
        <v>266</v>
      </c>
      <c r="M3214" s="8">
        <v>5.375</v>
      </c>
      <c r="N3214">
        <f>VLOOKUP(A3214,vlookup_table!$A:$G,2,FALSE)</f>
        <v>0</v>
      </c>
      <c r="O3214" t="str">
        <f>VLOOKUP(A3214,vlookup_table!$A:$G,3,FALSE)</f>
        <v>MS</v>
      </c>
      <c r="P3214">
        <f>VLOOKUP(A3214,vlookup_table!$A:$G,4,FALSE)</f>
        <v>6409</v>
      </c>
      <c r="Q3214" t="str">
        <f>VLOOKUP(A3214,vlookup_table!$A:$G,5,FALSE)</f>
        <v>C2</v>
      </c>
      <c r="R3214" t="str">
        <f>VLOOKUP(A3214,vlookup_table!$A:$G,6,FALSE)</f>
        <v>F</v>
      </c>
      <c r="S3214">
        <f>VLOOKUP(A3214,vlookup_table!$A:$G,7,FALSE)</f>
        <v>4</v>
      </c>
      <c r="T3214">
        <f t="shared" si="100"/>
        <v>32</v>
      </c>
      <c r="U3214" t="str">
        <f t="shared" si="101"/>
        <v>Ciudad</v>
      </c>
    </row>
    <row r="3215" spans="1:21" ht="16" x14ac:dyDescent="0.4">
      <c r="A3215" s="9">
        <v>151788</v>
      </c>
      <c r="B3215" s="8" t="s">
        <v>21</v>
      </c>
      <c r="C3215" s="8" t="s">
        <v>17</v>
      </c>
      <c r="D3215" s="8">
        <v>1407</v>
      </c>
      <c r="E3215" s="8">
        <v>368</v>
      </c>
      <c r="F3215" s="8">
        <v>386</v>
      </c>
      <c r="G3215" s="8">
        <v>6</v>
      </c>
      <c r="H3215" s="8">
        <v>11969</v>
      </c>
      <c r="I3215" s="8">
        <v>8</v>
      </c>
      <c r="J3215" s="8">
        <v>59</v>
      </c>
      <c r="K3215" s="8">
        <v>407</v>
      </c>
      <c r="L3215" s="8">
        <v>369</v>
      </c>
      <c r="M3215" s="8">
        <v>10.199999999999999</v>
      </c>
      <c r="N3215">
        <f>VLOOKUP(A3215,vlookup_table!$A:$G,2,FALSE)</f>
        <v>0</v>
      </c>
      <c r="O3215" t="str">
        <f>VLOOKUP(A3215,vlookup_table!$A:$G,3,FALSE)</f>
        <v>CA</v>
      </c>
      <c r="P3215">
        <f>VLOOKUP(A3215,vlookup_table!$A:$G,4,FALSE)</f>
        <v>3301</v>
      </c>
      <c r="Q3215" t="str">
        <f>VLOOKUP(A3215,vlookup_table!$A:$G,5,FALSE)</f>
        <v>U3</v>
      </c>
      <c r="R3215" t="str">
        <f>VLOOKUP(A3215,vlookup_table!$A:$G,6,FALSE)</f>
        <v>F</v>
      </c>
      <c r="S3215">
        <f>VLOOKUP(A3215,vlookup_table!$A:$G,7,FALSE)</f>
        <v>10</v>
      </c>
      <c r="T3215">
        <f t="shared" si="100"/>
        <v>63</v>
      </c>
      <c r="U3215" t="str">
        <f t="shared" si="101"/>
        <v>Urbano</v>
      </c>
    </row>
    <row r="3216" spans="1:21" ht="16" x14ac:dyDescent="0.4">
      <c r="A3216" s="9">
        <v>173997</v>
      </c>
      <c r="B3216" s="8" t="s">
        <v>34</v>
      </c>
      <c r="C3216" s="8" t="s">
        <v>14</v>
      </c>
      <c r="D3216" s="8">
        <v>3500</v>
      </c>
      <c r="E3216" s="8">
        <v>365</v>
      </c>
      <c r="F3216" s="8">
        <v>588</v>
      </c>
      <c r="G3216" s="8">
        <v>86</v>
      </c>
      <c r="H3216" s="8">
        <v>27042</v>
      </c>
      <c r="I3216" s="8">
        <v>24</v>
      </c>
      <c r="J3216" s="8">
        <v>50</v>
      </c>
      <c r="K3216" s="8">
        <v>521</v>
      </c>
      <c r="L3216" s="8">
        <v>486</v>
      </c>
      <c r="M3216" s="8">
        <v>20</v>
      </c>
      <c r="N3216">
        <f>VLOOKUP(A3216,vlookup_table!$A:$G,2,FALSE)</f>
        <v>1</v>
      </c>
      <c r="O3216" t="str">
        <f>VLOOKUP(A3216,vlookup_table!$A:$G,3,FALSE)</f>
        <v>HI</v>
      </c>
      <c r="P3216">
        <f>VLOOKUP(A3216,vlookup_table!$A:$G,4,FALSE)</f>
        <v>3701</v>
      </c>
      <c r="Q3216" t="str">
        <f>VLOOKUP(A3216,vlookup_table!$A:$G,5,FALSE)</f>
        <v>U1</v>
      </c>
      <c r="R3216" t="str">
        <f>VLOOKUP(A3216,vlookup_table!$A:$G,6,FALSE)</f>
        <v>M</v>
      </c>
      <c r="S3216">
        <f>VLOOKUP(A3216,vlookup_table!$A:$G,7,FALSE)</f>
        <v>20</v>
      </c>
      <c r="T3216">
        <f t="shared" si="100"/>
        <v>59</v>
      </c>
      <c r="U3216" t="str">
        <f t="shared" si="101"/>
        <v>Urbano</v>
      </c>
    </row>
    <row r="3217" spans="1:21" ht="16" x14ac:dyDescent="0.4">
      <c r="A3217" s="9">
        <v>145383</v>
      </c>
      <c r="B3217" s="8" t="s">
        <v>21</v>
      </c>
      <c r="C3217" s="8" t="s">
        <v>14</v>
      </c>
      <c r="D3217" s="8">
        <v>3617</v>
      </c>
      <c r="E3217" s="8">
        <v>549</v>
      </c>
      <c r="F3217" s="8">
        <v>599</v>
      </c>
      <c r="G3217" s="8">
        <v>96</v>
      </c>
      <c r="H3217" s="8">
        <v>19464</v>
      </c>
      <c r="I3217" s="8">
        <v>15</v>
      </c>
      <c r="J3217" s="8">
        <v>52</v>
      </c>
      <c r="K3217" s="8">
        <v>558</v>
      </c>
      <c r="L3217" s="8">
        <v>614</v>
      </c>
      <c r="M3217" s="8">
        <v>6.6666666670000003</v>
      </c>
      <c r="N3217">
        <f>VLOOKUP(A3217,vlookup_table!$A:$G,2,FALSE)</f>
        <v>1</v>
      </c>
      <c r="O3217" t="str">
        <f>VLOOKUP(A3217,vlookup_table!$A:$G,3,FALSE)</f>
        <v>CA</v>
      </c>
      <c r="P3217">
        <f>VLOOKUP(A3217,vlookup_table!$A:$G,4,FALSE)</f>
        <v>3801</v>
      </c>
      <c r="Q3217" t="str">
        <f>VLOOKUP(A3217,vlookup_table!$A:$G,5,FALSE)</f>
        <v>S1</v>
      </c>
      <c r="R3217" t="str">
        <f>VLOOKUP(A3217,vlookup_table!$A:$G,6,FALSE)</f>
        <v>M</v>
      </c>
      <c r="S3217">
        <f>VLOOKUP(A3217,vlookup_table!$A:$G,7,FALSE)</f>
        <v>10</v>
      </c>
      <c r="T3217">
        <f t="shared" si="100"/>
        <v>58</v>
      </c>
      <c r="U3217" t="str">
        <f t="shared" si="101"/>
        <v>Suburbano</v>
      </c>
    </row>
    <row r="3218" spans="1:21" ht="16" x14ac:dyDescent="0.4">
      <c r="A3218" s="9">
        <v>176221</v>
      </c>
      <c r="B3218" s="8" t="s">
        <v>47</v>
      </c>
      <c r="C3218" s="8" t="s">
        <v>17</v>
      </c>
      <c r="D3218" s="8">
        <v>625</v>
      </c>
      <c r="E3218" s="8">
        <v>247</v>
      </c>
      <c r="F3218" s="8">
        <v>343</v>
      </c>
      <c r="G3218" s="8">
        <v>0</v>
      </c>
      <c r="H3218" s="8">
        <v>13242</v>
      </c>
      <c r="I3218" s="8">
        <v>8</v>
      </c>
      <c r="J3218" s="8">
        <v>47</v>
      </c>
      <c r="K3218" s="8">
        <v>274</v>
      </c>
      <c r="L3218" s="8">
        <v>301</v>
      </c>
      <c r="M3218" s="8">
        <v>7.2222222220000001</v>
      </c>
      <c r="N3218">
        <f>VLOOKUP(A3218,vlookup_table!$A:$G,2,FALSE)</f>
        <v>0</v>
      </c>
      <c r="O3218" t="str">
        <f>VLOOKUP(A3218,vlookup_table!$A:$G,3,FALSE)</f>
        <v>OR</v>
      </c>
      <c r="P3218">
        <f>VLOOKUP(A3218,vlookup_table!$A:$G,4,FALSE)</f>
        <v>0</v>
      </c>
      <c r="Q3218" t="str">
        <f>VLOOKUP(A3218,vlookup_table!$A:$G,5,FALSE)</f>
        <v>S2</v>
      </c>
      <c r="R3218" t="str">
        <f>VLOOKUP(A3218,vlookup_table!$A:$G,6,FALSE)</f>
        <v>F</v>
      </c>
      <c r="S3218">
        <f>VLOOKUP(A3218,vlookup_table!$A:$G,7,FALSE)</f>
        <v>13</v>
      </c>
      <c r="T3218">
        <f t="shared" si="100"/>
        <v>96</v>
      </c>
      <c r="U3218" t="str">
        <f t="shared" si="101"/>
        <v>Suburbano</v>
      </c>
    </row>
    <row r="3219" spans="1:21" ht="16" x14ac:dyDescent="0.4">
      <c r="A3219" s="9">
        <v>50688</v>
      </c>
      <c r="B3219" s="8" t="s">
        <v>49</v>
      </c>
      <c r="C3219" s="8" t="s">
        <v>17</v>
      </c>
      <c r="D3219" s="8">
        <v>640</v>
      </c>
      <c r="E3219" s="8">
        <v>284</v>
      </c>
      <c r="F3219" s="8">
        <v>377</v>
      </c>
      <c r="G3219" s="8">
        <v>0</v>
      </c>
      <c r="H3219" s="8">
        <v>13077</v>
      </c>
      <c r="I3219" s="8">
        <v>1</v>
      </c>
      <c r="J3219" s="8">
        <v>76</v>
      </c>
      <c r="K3219" s="8">
        <v>310</v>
      </c>
      <c r="L3219" s="8">
        <v>347</v>
      </c>
      <c r="M3219" s="8">
        <v>9.2352941180000006</v>
      </c>
      <c r="N3219">
        <f>VLOOKUP(A3219,vlookup_table!$A:$G,2,FALSE)</f>
        <v>28</v>
      </c>
      <c r="O3219" t="str">
        <f>VLOOKUP(A3219,vlookup_table!$A:$G,3,FALSE)</f>
        <v>TN</v>
      </c>
      <c r="P3219">
        <f>VLOOKUP(A3219,vlookup_table!$A:$G,4,FALSE)</f>
        <v>3001</v>
      </c>
      <c r="Q3219" t="str">
        <f>VLOOKUP(A3219,vlookup_table!$A:$G,5,FALSE)</f>
        <v>R2</v>
      </c>
      <c r="R3219" t="str">
        <f>VLOOKUP(A3219,vlookup_table!$A:$G,6,FALSE)</f>
        <v>F</v>
      </c>
      <c r="S3219">
        <f>VLOOKUP(A3219,vlookup_table!$A:$G,7,FALSE)</f>
        <v>10</v>
      </c>
      <c r="T3219">
        <f t="shared" si="100"/>
        <v>66</v>
      </c>
      <c r="U3219" t="str">
        <f t="shared" si="101"/>
        <v>Rural</v>
      </c>
    </row>
    <row r="3220" spans="1:21" ht="16" x14ac:dyDescent="0.4">
      <c r="A3220" s="9">
        <v>69116</v>
      </c>
      <c r="B3220" s="8" t="s">
        <v>26</v>
      </c>
      <c r="C3220" s="8" t="s">
        <v>17</v>
      </c>
      <c r="D3220" s="8">
        <v>1151</v>
      </c>
      <c r="E3220" s="8">
        <v>483</v>
      </c>
      <c r="F3220" s="8">
        <v>595</v>
      </c>
      <c r="G3220" s="8">
        <v>2</v>
      </c>
      <c r="H3220" s="8">
        <v>18525</v>
      </c>
      <c r="I3220" s="8">
        <v>0</v>
      </c>
      <c r="J3220" s="8">
        <v>88</v>
      </c>
      <c r="K3220" s="8">
        <v>496</v>
      </c>
      <c r="L3220" s="8">
        <v>551</v>
      </c>
      <c r="M3220" s="8">
        <v>15.222222220000001</v>
      </c>
      <c r="N3220">
        <f>VLOOKUP(A3220,vlookup_table!$A:$G,2,FALSE)</f>
        <v>0</v>
      </c>
      <c r="O3220" t="str">
        <f>VLOOKUP(A3220,vlookup_table!$A:$G,3,FALSE)</f>
        <v>MI</v>
      </c>
      <c r="P3220">
        <f>VLOOKUP(A3220,vlookup_table!$A:$G,4,FALSE)</f>
        <v>4503</v>
      </c>
      <c r="Q3220" t="str">
        <f>VLOOKUP(A3220,vlookup_table!$A:$G,5,FALSE)</f>
        <v>S1</v>
      </c>
      <c r="R3220" t="str">
        <f>VLOOKUP(A3220,vlookup_table!$A:$G,6,FALSE)</f>
        <v>F</v>
      </c>
      <c r="S3220">
        <f>VLOOKUP(A3220,vlookup_table!$A:$G,7,FALSE)</f>
        <v>20</v>
      </c>
      <c r="T3220">
        <f t="shared" si="100"/>
        <v>51</v>
      </c>
      <c r="U3220" t="str">
        <f t="shared" si="101"/>
        <v>Suburbano</v>
      </c>
    </row>
    <row r="3221" spans="1:21" ht="16" x14ac:dyDescent="0.4">
      <c r="A3221" s="9">
        <v>72193</v>
      </c>
      <c r="B3221" s="8" t="s">
        <v>26</v>
      </c>
      <c r="C3221" s="8" t="s">
        <v>17</v>
      </c>
      <c r="D3221" s="8">
        <v>918</v>
      </c>
      <c r="E3221" s="8">
        <v>388</v>
      </c>
      <c r="F3221" s="8">
        <v>525</v>
      </c>
      <c r="G3221" s="8">
        <v>17</v>
      </c>
      <c r="H3221" s="8">
        <v>18658</v>
      </c>
      <c r="I3221" s="8">
        <v>6</v>
      </c>
      <c r="J3221" s="8">
        <v>73</v>
      </c>
      <c r="K3221" s="8">
        <v>407</v>
      </c>
      <c r="L3221" s="8">
        <v>489</v>
      </c>
      <c r="M3221" s="8">
        <v>20</v>
      </c>
      <c r="N3221">
        <f>VLOOKUP(A3221,vlookup_table!$A:$G,2,FALSE)</f>
        <v>2</v>
      </c>
      <c r="O3221" t="str">
        <f>VLOOKUP(A3221,vlookup_table!$A:$G,3,FALSE)</f>
        <v>MI</v>
      </c>
      <c r="P3221">
        <f>VLOOKUP(A3221,vlookup_table!$A:$G,4,FALSE)</f>
        <v>5101</v>
      </c>
      <c r="Q3221" t="str">
        <f>VLOOKUP(A3221,vlookup_table!$A:$G,5,FALSE)</f>
        <v>T2</v>
      </c>
      <c r="R3221" t="str">
        <f>VLOOKUP(A3221,vlookup_table!$A:$G,6,FALSE)</f>
        <v>F</v>
      </c>
      <c r="S3221">
        <f>VLOOKUP(A3221,vlookup_table!$A:$G,7,FALSE)</f>
        <v>10</v>
      </c>
      <c r="T3221">
        <f t="shared" si="100"/>
        <v>45</v>
      </c>
      <c r="U3221" t="str">
        <f t="shared" si="101"/>
        <v>Pueblo</v>
      </c>
    </row>
    <row r="3222" spans="1:21" ht="16" x14ac:dyDescent="0.4">
      <c r="A3222" s="9">
        <v>11611</v>
      </c>
      <c r="B3222" s="8" t="s">
        <v>21</v>
      </c>
      <c r="C3222" s="8" t="s">
        <v>14</v>
      </c>
      <c r="D3222" s="8">
        <v>1769</v>
      </c>
      <c r="E3222" s="8">
        <v>330</v>
      </c>
      <c r="F3222" s="8">
        <v>435</v>
      </c>
      <c r="G3222" s="8">
        <v>32</v>
      </c>
      <c r="H3222" s="8">
        <v>16587</v>
      </c>
      <c r="I3222" s="8">
        <v>1</v>
      </c>
      <c r="J3222" s="8">
        <v>56</v>
      </c>
      <c r="K3222" s="8">
        <v>382</v>
      </c>
      <c r="L3222" s="8">
        <v>410</v>
      </c>
      <c r="M3222" s="8">
        <v>17.5</v>
      </c>
      <c r="N3222">
        <f>VLOOKUP(A3222,vlookup_table!$A:$G,2,FALSE)</f>
        <v>1</v>
      </c>
      <c r="O3222" t="str">
        <f>VLOOKUP(A3222,vlookup_table!$A:$G,3,FALSE)</f>
        <v>CA</v>
      </c>
      <c r="P3222">
        <f>VLOOKUP(A3222,vlookup_table!$A:$G,4,FALSE)</f>
        <v>0</v>
      </c>
      <c r="Q3222" t="str">
        <f>VLOOKUP(A3222,vlookup_table!$A:$G,5,FALSE)</f>
        <v>T2</v>
      </c>
      <c r="R3222" t="str">
        <f>VLOOKUP(A3222,vlookup_table!$A:$G,6,FALSE)</f>
        <v>M</v>
      </c>
      <c r="S3222">
        <f>VLOOKUP(A3222,vlookup_table!$A:$G,7,FALSE)</f>
        <v>10</v>
      </c>
      <c r="T3222">
        <f t="shared" si="100"/>
        <v>96</v>
      </c>
      <c r="U3222" t="str">
        <f t="shared" si="101"/>
        <v>Pueblo</v>
      </c>
    </row>
    <row r="3223" spans="1:21" ht="16" x14ac:dyDescent="0.4">
      <c r="A3223" s="9">
        <v>46129</v>
      </c>
      <c r="B3223" s="8" t="s">
        <v>13</v>
      </c>
      <c r="C3223" s="8" t="s">
        <v>14</v>
      </c>
      <c r="D3223" s="8">
        <v>973</v>
      </c>
      <c r="E3223" s="8">
        <v>323</v>
      </c>
      <c r="F3223" s="8">
        <v>396</v>
      </c>
      <c r="G3223" s="8">
        <v>7</v>
      </c>
      <c r="H3223" s="8">
        <v>12469</v>
      </c>
      <c r="I3223" s="8">
        <v>3</v>
      </c>
      <c r="J3223" s="8">
        <v>32</v>
      </c>
      <c r="K3223" s="8">
        <v>365</v>
      </c>
      <c r="L3223" s="8">
        <v>368</v>
      </c>
      <c r="M3223" s="8">
        <v>13.14285714</v>
      </c>
      <c r="N3223">
        <f>VLOOKUP(A3223,vlookup_table!$A:$G,2,FALSE)</f>
        <v>1</v>
      </c>
      <c r="O3223" t="str">
        <f>VLOOKUP(A3223,vlookup_table!$A:$G,3,FALSE)</f>
        <v>FL</v>
      </c>
      <c r="P3223">
        <f>VLOOKUP(A3223,vlookup_table!$A:$G,4,FALSE)</f>
        <v>0</v>
      </c>
      <c r="Q3223" t="str">
        <f>VLOOKUP(A3223,vlookup_table!$A:$G,5,FALSE)</f>
        <v>R2</v>
      </c>
      <c r="R3223" t="str">
        <f>VLOOKUP(A3223,vlookup_table!$A:$G,6,FALSE)</f>
        <v>M</v>
      </c>
      <c r="S3223">
        <f>VLOOKUP(A3223,vlookup_table!$A:$G,7,FALSE)</f>
        <v>10</v>
      </c>
      <c r="T3223">
        <f t="shared" si="100"/>
        <v>96</v>
      </c>
      <c r="U3223" t="str">
        <f t="shared" si="101"/>
        <v>Rural</v>
      </c>
    </row>
    <row r="3224" spans="1:21" ht="16" x14ac:dyDescent="0.4">
      <c r="A3224" s="9">
        <v>52398</v>
      </c>
      <c r="B3224" s="8" t="s">
        <v>49</v>
      </c>
      <c r="C3224" s="8" t="s">
        <v>17</v>
      </c>
      <c r="D3224" s="8">
        <v>418</v>
      </c>
      <c r="E3224" s="8">
        <v>230</v>
      </c>
      <c r="F3224" s="8">
        <v>306</v>
      </c>
      <c r="G3224" s="8">
        <v>1</v>
      </c>
      <c r="H3224" s="8">
        <v>9690</v>
      </c>
      <c r="I3224" s="8">
        <v>0</v>
      </c>
      <c r="J3224" s="8">
        <v>84</v>
      </c>
      <c r="K3224" s="8">
        <v>238</v>
      </c>
      <c r="L3224" s="8">
        <v>293</v>
      </c>
      <c r="M3224" s="8">
        <v>11.14285714</v>
      </c>
      <c r="N3224">
        <f>VLOOKUP(A3224,vlookup_table!$A:$G,2,FALSE)</f>
        <v>0</v>
      </c>
      <c r="O3224" t="str">
        <f>VLOOKUP(A3224,vlookup_table!$A:$G,3,FALSE)</f>
        <v>TN</v>
      </c>
      <c r="P3224">
        <f>VLOOKUP(A3224,vlookup_table!$A:$G,4,FALSE)</f>
        <v>5001</v>
      </c>
      <c r="Q3224" t="str">
        <f>VLOOKUP(A3224,vlookup_table!$A:$G,5,FALSE)</f>
        <v>R2</v>
      </c>
      <c r="R3224" t="str">
        <f>VLOOKUP(A3224,vlookup_table!$A:$G,6,FALSE)</f>
        <v>F</v>
      </c>
      <c r="S3224">
        <f>VLOOKUP(A3224,vlookup_table!$A:$G,7,FALSE)</f>
        <v>14</v>
      </c>
      <c r="T3224">
        <f t="shared" si="100"/>
        <v>46</v>
      </c>
      <c r="U3224" t="str">
        <f t="shared" si="101"/>
        <v>Rural</v>
      </c>
    </row>
    <row r="3225" spans="1:21" ht="16" x14ac:dyDescent="0.4">
      <c r="A3225" s="9">
        <v>190408</v>
      </c>
      <c r="B3225" s="8" t="s">
        <v>13</v>
      </c>
      <c r="C3225" s="8"/>
      <c r="D3225" s="8" t="s">
        <v>73</v>
      </c>
      <c r="E3225" s="8">
        <v>255</v>
      </c>
      <c r="F3225" s="8">
        <v>331</v>
      </c>
      <c r="G3225" s="8">
        <v>0</v>
      </c>
      <c r="H3225" s="8">
        <v>13727</v>
      </c>
      <c r="I3225" s="8">
        <v>13</v>
      </c>
      <c r="J3225" s="8">
        <v>7</v>
      </c>
      <c r="K3225" s="8">
        <v>273</v>
      </c>
      <c r="L3225" s="8">
        <v>294</v>
      </c>
      <c r="M3225" s="8">
        <v>6.6</v>
      </c>
      <c r="N3225">
        <f>VLOOKUP(A3225,vlookup_table!$A:$G,2,FALSE)</f>
        <v>0</v>
      </c>
      <c r="O3225" t="str">
        <f>VLOOKUP(A3225,vlookup_table!$A:$G,3,FALSE)</f>
        <v>FL</v>
      </c>
      <c r="P3225">
        <f>VLOOKUP(A3225,vlookup_table!$A:$G,4,FALSE)</f>
        <v>3104</v>
      </c>
      <c r="Q3225" t="str">
        <f>VLOOKUP(A3225,vlookup_table!$A:$G,5,FALSE)</f>
        <v>C2</v>
      </c>
      <c r="R3225" t="str">
        <f>VLOOKUP(A3225,vlookup_table!$A:$G,6,FALSE)</f>
        <v/>
      </c>
      <c r="S3225">
        <f>VLOOKUP(A3225,vlookup_table!$A:$G,7,FALSE)</f>
        <v>7</v>
      </c>
      <c r="T3225">
        <f t="shared" si="100"/>
        <v>65</v>
      </c>
      <c r="U3225" t="str">
        <f t="shared" si="101"/>
        <v>Ciudad</v>
      </c>
    </row>
    <row r="3226" spans="1:21" ht="16" x14ac:dyDescent="0.4">
      <c r="A3226" s="9">
        <v>145214</v>
      </c>
      <c r="B3226" s="8" t="s">
        <v>21</v>
      </c>
      <c r="C3226" s="8" t="s">
        <v>17</v>
      </c>
      <c r="D3226" s="8">
        <v>1778</v>
      </c>
      <c r="E3226" s="8">
        <v>393</v>
      </c>
      <c r="F3226" s="8">
        <v>513</v>
      </c>
      <c r="G3226" s="8">
        <v>30</v>
      </c>
      <c r="H3226" s="8">
        <v>17324</v>
      </c>
      <c r="I3226" s="8">
        <v>7</v>
      </c>
      <c r="J3226" s="8">
        <v>45</v>
      </c>
      <c r="K3226" s="8">
        <v>502</v>
      </c>
      <c r="L3226" s="8">
        <v>445</v>
      </c>
      <c r="M3226" s="8">
        <v>13</v>
      </c>
      <c r="N3226">
        <f>VLOOKUP(A3226,vlookup_table!$A:$G,2,FALSE)</f>
        <v>28</v>
      </c>
      <c r="O3226" t="str">
        <f>VLOOKUP(A3226,vlookup_table!$A:$G,3,FALSE)</f>
        <v>CA</v>
      </c>
      <c r="P3226">
        <f>VLOOKUP(A3226,vlookup_table!$A:$G,4,FALSE)</f>
        <v>4601</v>
      </c>
      <c r="Q3226" t="str">
        <f>VLOOKUP(A3226,vlookup_table!$A:$G,5,FALSE)</f>
        <v>U2</v>
      </c>
      <c r="R3226" t="str">
        <f>VLOOKUP(A3226,vlookup_table!$A:$G,6,FALSE)</f>
        <v>F</v>
      </c>
      <c r="S3226">
        <f>VLOOKUP(A3226,vlookup_table!$A:$G,7,FALSE)</f>
        <v>20</v>
      </c>
      <c r="T3226">
        <f t="shared" si="100"/>
        <v>50</v>
      </c>
      <c r="U3226" t="str">
        <f t="shared" si="101"/>
        <v>Urbano</v>
      </c>
    </row>
    <row r="3227" spans="1:21" ht="16" x14ac:dyDescent="0.4">
      <c r="A3227" s="9">
        <v>155528</v>
      </c>
      <c r="B3227" s="8" t="s">
        <v>21</v>
      </c>
      <c r="C3227" s="8" t="s">
        <v>17</v>
      </c>
      <c r="D3227" s="8">
        <v>1185</v>
      </c>
      <c r="E3227" s="8">
        <v>244</v>
      </c>
      <c r="F3227" s="8">
        <v>409</v>
      </c>
      <c r="G3227" s="8">
        <v>10</v>
      </c>
      <c r="H3227" s="8">
        <v>15753</v>
      </c>
      <c r="I3227" s="8">
        <v>6</v>
      </c>
      <c r="J3227" s="8">
        <v>47</v>
      </c>
      <c r="K3227" s="8">
        <v>384</v>
      </c>
      <c r="L3227" s="8">
        <v>311</v>
      </c>
      <c r="M3227" s="8">
        <v>9.6666666669999994</v>
      </c>
      <c r="N3227">
        <f>VLOOKUP(A3227,vlookup_table!$A:$G,2,FALSE)</f>
        <v>0</v>
      </c>
      <c r="O3227" t="str">
        <f>VLOOKUP(A3227,vlookup_table!$A:$G,3,FALSE)</f>
        <v>CA</v>
      </c>
      <c r="P3227">
        <f>VLOOKUP(A3227,vlookup_table!$A:$G,4,FALSE)</f>
        <v>2101</v>
      </c>
      <c r="Q3227" t="str">
        <f>VLOOKUP(A3227,vlookup_table!$A:$G,5,FALSE)</f>
        <v>C2</v>
      </c>
      <c r="R3227" t="str">
        <f>VLOOKUP(A3227,vlookup_table!$A:$G,6,FALSE)</f>
        <v>F</v>
      </c>
      <c r="S3227">
        <f>VLOOKUP(A3227,vlookup_table!$A:$G,7,FALSE)</f>
        <v>10</v>
      </c>
      <c r="T3227">
        <f t="shared" si="100"/>
        <v>75</v>
      </c>
      <c r="U3227" t="str">
        <f t="shared" si="101"/>
        <v>Ciudad</v>
      </c>
    </row>
    <row r="3228" spans="1:21" ht="16" x14ac:dyDescent="0.4">
      <c r="A3228" s="9">
        <v>94239</v>
      </c>
      <c r="B3228" s="8" t="s">
        <v>16</v>
      </c>
      <c r="C3228" s="8" t="s">
        <v>17</v>
      </c>
      <c r="D3228" s="8">
        <v>4750</v>
      </c>
      <c r="E3228" s="8">
        <v>250</v>
      </c>
      <c r="F3228" s="8">
        <v>378</v>
      </c>
      <c r="G3228" s="8">
        <v>81</v>
      </c>
      <c r="H3228" s="8">
        <v>17013</v>
      </c>
      <c r="I3228" s="8">
        <v>27</v>
      </c>
      <c r="J3228" s="8">
        <v>40</v>
      </c>
      <c r="K3228" s="8">
        <v>285</v>
      </c>
      <c r="L3228" s="8">
        <v>314</v>
      </c>
      <c r="M3228" s="8">
        <v>10</v>
      </c>
      <c r="N3228">
        <f>VLOOKUP(A3228,vlookup_table!$A:$G,2,FALSE)</f>
        <v>0</v>
      </c>
      <c r="O3228" t="str">
        <f>VLOOKUP(A3228,vlookup_table!$A:$G,3,FALSE)</f>
        <v>IL</v>
      </c>
      <c r="P3228">
        <f>VLOOKUP(A3228,vlookup_table!$A:$G,4,FALSE)</f>
        <v>0</v>
      </c>
      <c r="Q3228" t="str">
        <f>VLOOKUP(A3228,vlookup_table!$A:$G,5,FALSE)</f>
        <v>U2</v>
      </c>
      <c r="R3228" t="str">
        <f>VLOOKUP(A3228,vlookup_table!$A:$G,6,FALSE)</f>
        <v>F</v>
      </c>
      <c r="S3228">
        <f>VLOOKUP(A3228,vlookup_table!$A:$G,7,FALSE)</f>
        <v>15</v>
      </c>
      <c r="T3228">
        <f t="shared" si="100"/>
        <v>96</v>
      </c>
      <c r="U3228" t="str">
        <f t="shared" si="101"/>
        <v>Urbano</v>
      </c>
    </row>
    <row r="3229" spans="1:21" ht="16" x14ac:dyDescent="0.4">
      <c r="A3229" s="9">
        <v>188054</v>
      </c>
      <c r="B3229" s="8" t="s">
        <v>21</v>
      </c>
      <c r="C3229" s="8"/>
      <c r="D3229" s="8">
        <v>2176</v>
      </c>
      <c r="E3229" s="8">
        <v>419</v>
      </c>
      <c r="F3229" s="8">
        <v>483</v>
      </c>
      <c r="G3229" s="8">
        <v>65</v>
      </c>
      <c r="H3229" s="8">
        <v>14484</v>
      </c>
      <c r="I3229" s="8">
        <v>10</v>
      </c>
      <c r="J3229" s="8">
        <v>61</v>
      </c>
      <c r="K3229" s="8">
        <v>453</v>
      </c>
      <c r="L3229" s="8">
        <v>461</v>
      </c>
      <c r="M3229" s="8">
        <v>7.076923077</v>
      </c>
      <c r="N3229">
        <f>VLOOKUP(A3229,vlookup_table!$A:$G,2,FALSE)</f>
        <v>0</v>
      </c>
      <c r="O3229" t="str">
        <f>VLOOKUP(A3229,vlookup_table!$A:$G,3,FALSE)</f>
        <v>CA</v>
      </c>
      <c r="P3229">
        <f>VLOOKUP(A3229,vlookup_table!$A:$G,4,FALSE)</f>
        <v>0</v>
      </c>
      <c r="Q3229" t="str">
        <f>VLOOKUP(A3229,vlookup_table!$A:$G,5,FALSE)</f>
        <v>C1</v>
      </c>
      <c r="R3229" t="str">
        <f>VLOOKUP(A3229,vlookup_table!$A:$G,6,FALSE)</f>
        <v/>
      </c>
      <c r="S3229">
        <f>VLOOKUP(A3229,vlookup_table!$A:$G,7,FALSE)</f>
        <v>13</v>
      </c>
      <c r="T3229">
        <f t="shared" si="100"/>
        <v>96</v>
      </c>
      <c r="U3229" t="str">
        <f t="shared" si="101"/>
        <v>Ciudad</v>
      </c>
    </row>
    <row r="3230" spans="1:21" ht="16" x14ac:dyDescent="0.4">
      <c r="A3230" s="9">
        <v>128642</v>
      </c>
      <c r="B3230" s="8" t="s">
        <v>20</v>
      </c>
      <c r="C3230" s="8" t="s">
        <v>17</v>
      </c>
      <c r="D3230" s="8">
        <v>363</v>
      </c>
      <c r="E3230" s="8">
        <v>274</v>
      </c>
      <c r="F3230" s="8">
        <v>331</v>
      </c>
      <c r="G3230" s="8">
        <v>1</v>
      </c>
      <c r="H3230" s="8">
        <v>10120</v>
      </c>
      <c r="I3230" s="8">
        <v>4</v>
      </c>
      <c r="J3230" s="8">
        <v>64</v>
      </c>
      <c r="K3230" s="8">
        <v>324</v>
      </c>
      <c r="L3230" s="8">
        <v>283</v>
      </c>
      <c r="M3230" s="8">
        <v>6.8</v>
      </c>
      <c r="N3230">
        <f>VLOOKUP(A3230,vlookup_table!$A:$G,2,FALSE)</f>
        <v>0</v>
      </c>
      <c r="O3230" t="str">
        <f>VLOOKUP(A3230,vlookup_table!$A:$G,3,FALSE)</f>
        <v>TX</v>
      </c>
      <c r="P3230">
        <f>VLOOKUP(A3230,vlookup_table!$A:$G,4,FALSE)</f>
        <v>6401</v>
      </c>
      <c r="Q3230" t="str">
        <f>VLOOKUP(A3230,vlookup_table!$A:$G,5,FALSE)</f>
        <v>T3</v>
      </c>
      <c r="R3230" t="str">
        <f>VLOOKUP(A3230,vlookup_table!$A:$G,6,FALSE)</f>
        <v>F</v>
      </c>
      <c r="S3230">
        <f>VLOOKUP(A3230,vlookup_table!$A:$G,7,FALSE)</f>
        <v>10</v>
      </c>
      <c r="T3230">
        <f t="shared" si="100"/>
        <v>32</v>
      </c>
      <c r="U3230" t="str">
        <f t="shared" si="101"/>
        <v>Pueblo</v>
      </c>
    </row>
    <row r="3231" spans="1:21" ht="16" x14ac:dyDescent="0.4">
      <c r="A3231" s="9">
        <v>174422</v>
      </c>
      <c r="B3231" s="8" t="s">
        <v>47</v>
      </c>
      <c r="C3231" s="8" t="s">
        <v>17</v>
      </c>
      <c r="D3231" s="8">
        <v>1036</v>
      </c>
      <c r="E3231" s="8">
        <v>436</v>
      </c>
      <c r="F3231" s="8">
        <v>603</v>
      </c>
      <c r="G3231" s="8">
        <v>10</v>
      </c>
      <c r="H3231" s="8">
        <v>22334</v>
      </c>
      <c r="I3231" s="8">
        <v>7</v>
      </c>
      <c r="J3231" s="8">
        <v>42</v>
      </c>
      <c r="K3231" s="8">
        <v>524</v>
      </c>
      <c r="L3231" s="8">
        <v>520</v>
      </c>
      <c r="M3231" s="8">
        <v>4.1666666670000003</v>
      </c>
      <c r="N3231">
        <f>VLOOKUP(A3231,vlookup_table!$A:$G,2,FALSE)</f>
        <v>0</v>
      </c>
      <c r="O3231" t="str">
        <f>VLOOKUP(A3231,vlookup_table!$A:$G,3,FALSE)</f>
        <v>OR</v>
      </c>
      <c r="P3231">
        <f>VLOOKUP(A3231,vlookup_table!$A:$G,4,FALSE)</f>
        <v>0</v>
      </c>
      <c r="Q3231" t="str">
        <f>VLOOKUP(A3231,vlookup_table!$A:$G,5,FALSE)</f>
        <v/>
      </c>
      <c r="R3231" t="str">
        <f>VLOOKUP(A3231,vlookup_table!$A:$G,6,FALSE)</f>
        <v>F</v>
      </c>
      <c r="S3231">
        <f>VLOOKUP(A3231,vlookup_table!$A:$G,7,FALSE)</f>
        <v>5</v>
      </c>
      <c r="T3231">
        <f t="shared" si="100"/>
        <v>96</v>
      </c>
      <c r="U3231" t="str">
        <f t="shared" si="101"/>
        <v/>
      </c>
    </row>
    <row r="3232" spans="1:21" ht="16" x14ac:dyDescent="0.4">
      <c r="A3232" s="9">
        <v>190035</v>
      </c>
      <c r="B3232" s="8" t="s">
        <v>20</v>
      </c>
      <c r="C3232" s="8" t="s">
        <v>17</v>
      </c>
      <c r="D3232" s="8">
        <v>899</v>
      </c>
      <c r="E3232" s="8">
        <v>504</v>
      </c>
      <c r="F3232" s="8">
        <v>502</v>
      </c>
      <c r="G3232" s="8">
        <v>0</v>
      </c>
      <c r="H3232" s="8">
        <v>17300</v>
      </c>
      <c r="I3232" s="8">
        <v>2</v>
      </c>
      <c r="J3232" s="8">
        <v>53</v>
      </c>
      <c r="K3232" s="8">
        <v>500</v>
      </c>
      <c r="L3232" s="8">
        <v>510</v>
      </c>
      <c r="M3232" s="8">
        <v>10</v>
      </c>
      <c r="N3232">
        <f>VLOOKUP(A3232,vlookup_table!$A:$G,2,FALSE)</f>
        <v>2</v>
      </c>
      <c r="O3232" t="str">
        <f>VLOOKUP(A3232,vlookup_table!$A:$G,3,FALSE)</f>
        <v>TX</v>
      </c>
      <c r="P3232">
        <f>VLOOKUP(A3232,vlookup_table!$A:$G,4,FALSE)</f>
        <v>0</v>
      </c>
      <c r="Q3232" t="str">
        <f>VLOOKUP(A3232,vlookup_table!$A:$G,5,FALSE)</f>
        <v>S1</v>
      </c>
      <c r="R3232" t="str">
        <f>VLOOKUP(A3232,vlookup_table!$A:$G,6,FALSE)</f>
        <v>F</v>
      </c>
      <c r="S3232">
        <f>VLOOKUP(A3232,vlookup_table!$A:$G,7,FALSE)</f>
        <v>10</v>
      </c>
      <c r="T3232">
        <f t="shared" si="100"/>
        <v>96</v>
      </c>
      <c r="U3232" t="str">
        <f t="shared" si="101"/>
        <v>Suburbano</v>
      </c>
    </row>
    <row r="3233" spans="1:21" ht="16" x14ac:dyDescent="0.4">
      <c r="A3233" s="9">
        <v>140429</v>
      </c>
      <c r="B3233" s="8" t="s">
        <v>50</v>
      </c>
      <c r="C3233" s="8" t="s">
        <v>14</v>
      </c>
      <c r="D3233" s="8">
        <v>0</v>
      </c>
      <c r="E3233" s="8">
        <v>0</v>
      </c>
      <c r="F3233" s="8">
        <v>0</v>
      </c>
      <c r="G3233" s="8">
        <v>0</v>
      </c>
      <c r="H3233" s="8">
        <v>0</v>
      </c>
      <c r="I3233" s="8">
        <v>0</v>
      </c>
      <c r="J3233" s="8">
        <v>0</v>
      </c>
      <c r="K3233" s="8">
        <v>0</v>
      </c>
      <c r="L3233" s="8">
        <v>0</v>
      </c>
      <c r="M3233" s="8">
        <v>21.722222219999999</v>
      </c>
      <c r="N3233">
        <f>VLOOKUP(A3233,vlookup_table!$A:$G,2,FALSE)</f>
        <v>1</v>
      </c>
      <c r="O3233" t="str">
        <f>VLOOKUP(A3233,vlookup_table!$A:$G,3,FALSE)</f>
        <v>NM</v>
      </c>
      <c r="P3233">
        <f>VLOOKUP(A3233,vlookup_table!$A:$G,4,FALSE)</f>
        <v>0</v>
      </c>
      <c r="Q3233" t="str">
        <f>VLOOKUP(A3233,vlookup_table!$A:$G,5,FALSE)</f>
        <v>T3</v>
      </c>
      <c r="R3233" t="str">
        <f>VLOOKUP(A3233,vlookup_table!$A:$G,6,FALSE)</f>
        <v>M</v>
      </c>
      <c r="S3233">
        <f>VLOOKUP(A3233,vlookup_table!$A:$G,7,FALSE)</f>
        <v>25</v>
      </c>
      <c r="T3233">
        <f t="shared" si="100"/>
        <v>96</v>
      </c>
      <c r="U3233" t="str">
        <f t="shared" si="101"/>
        <v>Pueblo</v>
      </c>
    </row>
    <row r="3234" spans="1:21" ht="16" x14ac:dyDescent="0.4">
      <c r="A3234" s="9">
        <v>168242</v>
      </c>
      <c r="B3234" s="8" t="s">
        <v>21</v>
      </c>
      <c r="C3234" s="8" t="s">
        <v>17</v>
      </c>
      <c r="D3234" s="8">
        <v>2741</v>
      </c>
      <c r="E3234" s="8">
        <v>414</v>
      </c>
      <c r="F3234" s="8">
        <v>461</v>
      </c>
      <c r="G3234" s="8">
        <v>87</v>
      </c>
      <c r="H3234" s="8">
        <v>18997</v>
      </c>
      <c r="I3234" s="8">
        <v>5</v>
      </c>
      <c r="J3234" s="8">
        <v>62</v>
      </c>
      <c r="K3234" s="8">
        <v>453</v>
      </c>
      <c r="L3234" s="8">
        <v>467</v>
      </c>
      <c r="M3234" s="8">
        <v>12.5</v>
      </c>
      <c r="N3234">
        <f>VLOOKUP(A3234,vlookup_table!$A:$G,2,FALSE)</f>
        <v>0</v>
      </c>
      <c r="O3234" t="str">
        <f>VLOOKUP(A3234,vlookup_table!$A:$G,3,FALSE)</f>
        <v>CA</v>
      </c>
      <c r="P3234">
        <f>VLOOKUP(A3234,vlookup_table!$A:$G,4,FALSE)</f>
        <v>3001</v>
      </c>
      <c r="Q3234" t="str">
        <f>VLOOKUP(A3234,vlookup_table!$A:$G,5,FALSE)</f>
        <v>U1</v>
      </c>
      <c r="R3234" t="str">
        <f>VLOOKUP(A3234,vlookup_table!$A:$G,6,FALSE)</f>
        <v>F</v>
      </c>
      <c r="S3234">
        <f>VLOOKUP(A3234,vlookup_table!$A:$G,7,FALSE)</f>
        <v>12</v>
      </c>
      <c r="T3234">
        <f t="shared" si="100"/>
        <v>66</v>
      </c>
      <c r="U3234" t="str">
        <f t="shared" si="101"/>
        <v>Urbano</v>
      </c>
    </row>
    <row r="3235" spans="1:21" ht="16" x14ac:dyDescent="0.4">
      <c r="A3235" s="9">
        <v>73873</v>
      </c>
      <c r="B3235" s="8" t="s">
        <v>26</v>
      </c>
      <c r="C3235" s="8" t="s">
        <v>14</v>
      </c>
      <c r="D3235" s="8">
        <v>1114</v>
      </c>
      <c r="E3235" s="8">
        <v>377</v>
      </c>
      <c r="F3235" s="8">
        <v>618</v>
      </c>
      <c r="G3235" s="8">
        <v>5</v>
      </c>
      <c r="H3235" s="8">
        <v>21787</v>
      </c>
      <c r="I3235" s="8">
        <v>6</v>
      </c>
      <c r="J3235" s="8">
        <v>67</v>
      </c>
      <c r="K3235" s="8">
        <v>516</v>
      </c>
      <c r="L3235" s="8">
        <v>492</v>
      </c>
      <c r="M3235" s="8">
        <v>15.222222220000001</v>
      </c>
      <c r="N3235">
        <f>VLOOKUP(A3235,vlookup_table!$A:$G,2,FALSE)</f>
        <v>2</v>
      </c>
      <c r="O3235" t="str">
        <f>VLOOKUP(A3235,vlookup_table!$A:$G,3,FALSE)</f>
        <v>MI</v>
      </c>
      <c r="P3235">
        <f>VLOOKUP(A3235,vlookup_table!$A:$G,4,FALSE)</f>
        <v>1604</v>
      </c>
      <c r="Q3235" t="str">
        <f>VLOOKUP(A3235,vlookup_table!$A:$G,5,FALSE)</f>
        <v>S1</v>
      </c>
      <c r="R3235" t="str">
        <f>VLOOKUP(A3235,vlookup_table!$A:$G,6,FALSE)</f>
        <v>M</v>
      </c>
      <c r="S3235">
        <f>VLOOKUP(A3235,vlookup_table!$A:$G,7,FALSE)</f>
        <v>32</v>
      </c>
      <c r="T3235">
        <f t="shared" si="100"/>
        <v>80</v>
      </c>
      <c r="U3235" t="str">
        <f t="shared" si="101"/>
        <v>Suburbano</v>
      </c>
    </row>
    <row r="3236" spans="1:21" ht="16" x14ac:dyDescent="0.4">
      <c r="A3236" s="9">
        <v>78270</v>
      </c>
      <c r="B3236" s="8" t="s">
        <v>32</v>
      </c>
      <c r="C3236" s="8" t="s">
        <v>14</v>
      </c>
      <c r="D3236" s="8">
        <v>277</v>
      </c>
      <c r="E3236" s="8">
        <v>169</v>
      </c>
      <c r="F3236" s="8">
        <v>221</v>
      </c>
      <c r="G3236" s="8">
        <v>0</v>
      </c>
      <c r="H3236" s="8">
        <v>6074</v>
      </c>
      <c r="I3236" s="8">
        <v>0</v>
      </c>
      <c r="J3236" s="8">
        <v>48</v>
      </c>
      <c r="K3236" s="8">
        <v>173</v>
      </c>
      <c r="L3236" s="8">
        <v>219</v>
      </c>
      <c r="M3236" s="8">
        <v>10</v>
      </c>
      <c r="N3236">
        <f>VLOOKUP(A3236,vlookup_table!$A:$G,2,FALSE)</f>
        <v>1</v>
      </c>
      <c r="O3236" t="str">
        <f>VLOOKUP(A3236,vlookup_table!$A:$G,3,FALSE)</f>
        <v>WI</v>
      </c>
      <c r="P3236">
        <f>VLOOKUP(A3236,vlookup_table!$A:$G,4,FALSE)</f>
        <v>3401</v>
      </c>
      <c r="Q3236" t="str">
        <f>VLOOKUP(A3236,vlookup_table!$A:$G,5,FALSE)</f>
        <v>U4</v>
      </c>
      <c r="R3236" t="str">
        <f>VLOOKUP(A3236,vlookup_table!$A:$G,6,FALSE)</f>
        <v>M</v>
      </c>
      <c r="S3236">
        <f>VLOOKUP(A3236,vlookup_table!$A:$G,7,FALSE)</f>
        <v>15</v>
      </c>
      <c r="T3236">
        <f t="shared" si="100"/>
        <v>62</v>
      </c>
      <c r="U3236" t="str">
        <f t="shared" si="101"/>
        <v>Urbano</v>
      </c>
    </row>
    <row r="3237" spans="1:21" ht="16" x14ac:dyDescent="0.4">
      <c r="A3237" s="9">
        <v>108819</v>
      </c>
      <c r="B3237" s="8" t="s">
        <v>46</v>
      </c>
      <c r="C3237" s="8" t="s">
        <v>17</v>
      </c>
      <c r="D3237" s="8">
        <v>456</v>
      </c>
      <c r="E3237" s="8">
        <v>165</v>
      </c>
      <c r="F3237" s="8">
        <v>251</v>
      </c>
      <c r="G3237" s="8">
        <v>1</v>
      </c>
      <c r="H3237" s="8">
        <v>7768</v>
      </c>
      <c r="I3237" s="8">
        <v>0</v>
      </c>
      <c r="J3237" s="8">
        <v>87</v>
      </c>
      <c r="K3237" s="8">
        <v>208</v>
      </c>
      <c r="L3237" s="8">
        <v>216</v>
      </c>
      <c r="M3237" s="8">
        <v>4.3333333329999997</v>
      </c>
      <c r="N3237">
        <f>VLOOKUP(A3237,vlookup_table!$A:$G,2,FALSE)</f>
        <v>28</v>
      </c>
      <c r="O3237" t="str">
        <f>VLOOKUP(A3237,vlookup_table!$A:$G,3,FALSE)</f>
        <v>LA</v>
      </c>
      <c r="P3237">
        <f>VLOOKUP(A3237,vlookup_table!$A:$G,4,FALSE)</f>
        <v>0</v>
      </c>
      <c r="Q3237" t="str">
        <f>VLOOKUP(A3237,vlookup_table!$A:$G,5,FALSE)</f>
        <v>R3</v>
      </c>
      <c r="R3237" t="str">
        <f>VLOOKUP(A3237,vlookup_table!$A:$G,6,FALSE)</f>
        <v>F</v>
      </c>
      <c r="S3237">
        <f>VLOOKUP(A3237,vlookup_table!$A:$G,7,FALSE)</f>
        <v>4</v>
      </c>
      <c r="T3237">
        <f t="shared" si="100"/>
        <v>96</v>
      </c>
      <c r="U3237" t="str">
        <f t="shared" si="101"/>
        <v>Rural</v>
      </c>
    </row>
    <row r="3238" spans="1:21" ht="16" x14ac:dyDescent="0.4">
      <c r="A3238" s="9">
        <v>4991</v>
      </c>
      <c r="B3238" s="8" t="s">
        <v>25</v>
      </c>
      <c r="C3238" s="8" t="s">
        <v>17</v>
      </c>
      <c r="D3238" s="8">
        <v>436</v>
      </c>
      <c r="E3238" s="8">
        <v>313</v>
      </c>
      <c r="F3238" s="8">
        <v>363</v>
      </c>
      <c r="G3238" s="8">
        <v>0</v>
      </c>
      <c r="H3238" s="8">
        <v>10419</v>
      </c>
      <c r="I3238" s="8">
        <v>1</v>
      </c>
      <c r="J3238" s="8">
        <v>67</v>
      </c>
      <c r="K3238" s="8">
        <v>321</v>
      </c>
      <c r="L3238" s="8">
        <v>351</v>
      </c>
      <c r="M3238" s="8">
        <v>16.785714290000001</v>
      </c>
      <c r="N3238">
        <f>VLOOKUP(A3238,vlookup_table!$A:$G,2,FALSE)</f>
        <v>2</v>
      </c>
      <c r="O3238" t="str">
        <f>VLOOKUP(A3238,vlookup_table!$A:$G,3,FALSE)</f>
        <v>KS</v>
      </c>
      <c r="P3238">
        <f>VLOOKUP(A3238,vlookup_table!$A:$G,4,FALSE)</f>
        <v>2010</v>
      </c>
      <c r="Q3238" t="str">
        <f>VLOOKUP(A3238,vlookup_table!$A:$G,5,FALSE)</f>
        <v>T2</v>
      </c>
      <c r="R3238" t="str">
        <f>VLOOKUP(A3238,vlookup_table!$A:$G,6,FALSE)</f>
        <v>F</v>
      </c>
      <c r="S3238">
        <f>VLOOKUP(A3238,vlookup_table!$A:$G,7,FALSE)</f>
        <v>23</v>
      </c>
      <c r="T3238">
        <f t="shared" si="100"/>
        <v>76</v>
      </c>
      <c r="U3238" t="str">
        <f t="shared" si="101"/>
        <v>Pueblo</v>
      </c>
    </row>
    <row r="3239" spans="1:21" ht="16" x14ac:dyDescent="0.4">
      <c r="A3239" s="9">
        <v>86387</v>
      </c>
      <c r="B3239" s="8" t="s">
        <v>42</v>
      </c>
      <c r="C3239" s="8" t="s">
        <v>14</v>
      </c>
      <c r="D3239" s="8">
        <v>338</v>
      </c>
      <c r="E3239" s="8">
        <v>248</v>
      </c>
      <c r="F3239" s="8">
        <v>350</v>
      </c>
      <c r="G3239" s="8">
        <v>0</v>
      </c>
      <c r="H3239" s="8">
        <v>11687</v>
      </c>
      <c r="I3239" s="8">
        <v>1</v>
      </c>
      <c r="J3239" s="8">
        <v>82</v>
      </c>
      <c r="K3239" s="8">
        <v>274</v>
      </c>
      <c r="L3239" s="8">
        <v>318</v>
      </c>
      <c r="M3239" s="8">
        <v>10</v>
      </c>
      <c r="N3239">
        <f>VLOOKUP(A3239,vlookup_table!$A:$G,2,FALSE)</f>
        <v>1</v>
      </c>
      <c r="O3239" t="str">
        <f>VLOOKUP(A3239,vlookup_table!$A:$G,3,FALSE)</f>
        <v>ND</v>
      </c>
      <c r="P3239">
        <f>VLOOKUP(A3239,vlookup_table!$A:$G,4,FALSE)</f>
        <v>1001</v>
      </c>
      <c r="Q3239" t="str">
        <f>VLOOKUP(A3239,vlookup_table!$A:$G,5,FALSE)</f>
        <v>R2</v>
      </c>
      <c r="R3239" t="str">
        <f>VLOOKUP(A3239,vlookup_table!$A:$G,6,FALSE)</f>
        <v>M</v>
      </c>
      <c r="S3239">
        <f>VLOOKUP(A3239,vlookup_table!$A:$G,7,FALSE)</f>
        <v>10</v>
      </c>
      <c r="T3239">
        <f t="shared" si="100"/>
        <v>86</v>
      </c>
      <c r="U3239" t="str">
        <f t="shared" si="101"/>
        <v>Rural</v>
      </c>
    </row>
    <row r="3240" spans="1:21" ht="16" x14ac:dyDescent="0.4">
      <c r="A3240" s="9">
        <v>24997</v>
      </c>
      <c r="B3240" s="8" t="s">
        <v>43</v>
      </c>
      <c r="C3240" s="8" t="s">
        <v>17</v>
      </c>
      <c r="D3240" s="8">
        <v>474</v>
      </c>
      <c r="E3240" s="8">
        <v>282</v>
      </c>
      <c r="F3240" s="8">
        <v>331</v>
      </c>
      <c r="G3240" s="8">
        <v>0</v>
      </c>
      <c r="H3240" s="8">
        <v>9849</v>
      </c>
      <c r="I3240" s="8">
        <v>2</v>
      </c>
      <c r="J3240" s="8">
        <v>72</v>
      </c>
      <c r="K3240" s="8">
        <v>332</v>
      </c>
      <c r="L3240" s="8">
        <v>316</v>
      </c>
      <c r="M3240" s="8">
        <v>20</v>
      </c>
      <c r="N3240">
        <f>VLOOKUP(A3240,vlookup_table!$A:$G,2,FALSE)</f>
        <v>0</v>
      </c>
      <c r="O3240" t="str">
        <f>VLOOKUP(A3240,vlookup_table!$A:$G,3,FALSE)</f>
        <v>SC</v>
      </c>
      <c r="P3240">
        <f>VLOOKUP(A3240,vlookup_table!$A:$G,4,FALSE)</f>
        <v>4701</v>
      </c>
      <c r="Q3240" t="str">
        <f>VLOOKUP(A3240,vlookup_table!$A:$G,5,FALSE)</f>
        <v>T2</v>
      </c>
      <c r="R3240" t="str">
        <f>VLOOKUP(A3240,vlookup_table!$A:$G,6,FALSE)</f>
        <v>F</v>
      </c>
      <c r="S3240">
        <f>VLOOKUP(A3240,vlookup_table!$A:$G,7,FALSE)</f>
        <v>5</v>
      </c>
      <c r="T3240">
        <f t="shared" si="100"/>
        <v>49</v>
      </c>
      <c r="U3240" t="str">
        <f t="shared" si="101"/>
        <v>Pueblo</v>
      </c>
    </row>
    <row r="3241" spans="1:21" ht="16" x14ac:dyDescent="0.4">
      <c r="A3241" s="9">
        <v>189958</v>
      </c>
      <c r="B3241" s="8" t="s">
        <v>20</v>
      </c>
      <c r="C3241" s="8" t="s">
        <v>17</v>
      </c>
      <c r="D3241" s="8">
        <v>838</v>
      </c>
      <c r="E3241" s="8">
        <v>306</v>
      </c>
      <c r="F3241" s="8">
        <v>455</v>
      </c>
      <c r="G3241" s="8">
        <v>0</v>
      </c>
      <c r="H3241" s="8">
        <v>14811</v>
      </c>
      <c r="I3241" s="8">
        <v>0</v>
      </c>
      <c r="J3241" s="8">
        <v>77</v>
      </c>
      <c r="K3241" s="8">
        <v>403</v>
      </c>
      <c r="L3241" s="8">
        <v>394</v>
      </c>
      <c r="M3241" s="8">
        <v>3.9393939389999999</v>
      </c>
      <c r="N3241">
        <f>VLOOKUP(A3241,vlookup_table!$A:$G,2,FALSE)</f>
        <v>3</v>
      </c>
      <c r="O3241" t="str">
        <f>VLOOKUP(A3241,vlookup_table!$A:$G,3,FALSE)</f>
        <v>TX</v>
      </c>
      <c r="P3241">
        <f>VLOOKUP(A3241,vlookup_table!$A:$G,4,FALSE)</f>
        <v>1610</v>
      </c>
      <c r="Q3241" t="str">
        <f>VLOOKUP(A3241,vlookup_table!$A:$G,5,FALSE)</f>
        <v>T2</v>
      </c>
      <c r="R3241" t="str">
        <f>VLOOKUP(A3241,vlookup_table!$A:$G,6,FALSE)</f>
        <v>F</v>
      </c>
      <c r="S3241">
        <f>VLOOKUP(A3241,vlookup_table!$A:$G,7,FALSE)</f>
        <v>5</v>
      </c>
      <c r="T3241">
        <f t="shared" si="100"/>
        <v>80</v>
      </c>
      <c r="U3241" t="str">
        <f t="shared" si="101"/>
        <v>Pueblo</v>
      </c>
    </row>
    <row r="3242" spans="1:21" ht="16" x14ac:dyDescent="0.4">
      <c r="A3242" s="9">
        <v>120022</v>
      </c>
      <c r="B3242" s="8" t="s">
        <v>20</v>
      </c>
      <c r="C3242" s="8" t="s">
        <v>17</v>
      </c>
      <c r="D3242" s="8">
        <v>825</v>
      </c>
      <c r="E3242" s="8">
        <v>564</v>
      </c>
      <c r="F3242" s="8">
        <v>611</v>
      </c>
      <c r="G3242" s="8">
        <v>1</v>
      </c>
      <c r="H3242" s="8">
        <v>19618</v>
      </c>
      <c r="I3242" s="8">
        <v>3</v>
      </c>
      <c r="J3242" s="8">
        <v>51</v>
      </c>
      <c r="K3242" s="8">
        <v>572</v>
      </c>
      <c r="L3242" s="8">
        <v>590</v>
      </c>
      <c r="M3242" s="8">
        <v>10</v>
      </c>
      <c r="N3242">
        <f>VLOOKUP(A3242,vlookup_table!$A:$G,2,FALSE)</f>
        <v>0</v>
      </c>
      <c r="O3242" t="str">
        <f>VLOOKUP(A3242,vlookup_table!$A:$G,3,FALSE)</f>
        <v>TX</v>
      </c>
      <c r="P3242">
        <f>VLOOKUP(A3242,vlookup_table!$A:$G,4,FALSE)</f>
        <v>5401</v>
      </c>
      <c r="Q3242" t="str">
        <f>VLOOKUP(A3242,vlookup_table!$A:$G,5,FALSE)</f>
        <v>T1</v>
      </c>
      <c r="R3242" t="str">
        <f>VLOOKUP(A3242,vlookup_table!$A:$G,6,FALSE)</f>
        <v>F</v>
      </c>
      <c r="S3242">
        <f>VLOOKUP(A3242,vlookup_table!$A:$G,7,FALSE)</f>
        <v>20</v>
      </c>
      <c r="T3242">
        <f t="shared" si="100"/>
        <v>42</v>
      </c>
      <c r="U3242" t="str">
        <f t="shared" si="101"/>
        <v>Pueblo</v>
      </c>
    </row>
    <row r="3243" spans="1:21" ht="16" x14ac:dyDescent="0.4">
      <c r="A3243" s="9">
        <v>36809</v>
      </c>
      <c r="B3243" s="8" t="s">
        <v>20</v>
      </c>
      <c r="C3243" s="8" t="s">
        <v>14</v>
      </c>
      <c r="D3243" s="8">
        <v>876</v>
      </c>
      <c r="E3243" s="8">
        <v>515</v>
      </c>
      <c r="F3243" s="8">
        <v>574</v>
      </c>
      <c r="G3243" s="8">
        <v>0</v>
      </c>
      <c r="H3243" s="8">
        <v>18148</v>
      </c>
      <c r="I3243" s="8">
        <v>8</v>
      </c>
      <c r="J3243" s="8">
        <v>55</v>
      </c>
      <c r="K3243" s="8">
        <v>525</v>
      </c>
      <c r="L3243" s="8">
        <v>576</v>
      </c>
      <c r="M3243" s="8">
        <v>4.266666667</v>
      </c>
      <c r="N3243">
        <f>VLOOKUP(A3243,vlookup_table!$A:$G,2,FALSE)</f>
        <v>0</v>
      </c>
      <c r="O3243" t="str">
        <f>VLOOKUP(A3243,vlookup_table!$A:$G,3,FALSE)</f>
        <v>TX</v>
      </c>
      <c r="P3243">
        <f>VLOOKUP(A3243,vlookup_table!$A:$G,4,FALSE)</f>
        <v>1201</v>
      </c>
      <c r="Q3243" t="str">
        <f>VLOOKUP(A3243,vlookup_table!$A:$G,5,FALSE)</f>
        <v>S2</v>
      </c>
      <c r="R3243" t="str">
        <f>VLOOKUP(A3243,vlookup_table!$A:$G,6,FALSE)</f>
        <v>M</v>
      </c>
      <c r="S3243">
        <f>VLOOKUP(A3243,vlookup_table!$A:$G,7,FALSE)</f>
        <v>5</v>
      </c>
      <c r="T3243">
        <f t="shared" si="100"/>
        <v>84</v>
      </c>
      <c r="U3243" t="str">
        <f t="shared" si="101"/>
        <v>Suburbano</v>
      </c>
    </row>
    <row r="3244" spans="1:21" ht="16" x14ac:dyDescent="0.4">
      <c r="A3244" s="9">
        <v>99761</v>
      </c>
      <c r="B3244" s="8" t="s">
        <v>33</v>
      </c>
      <c r="C3244" s="8" t="s">
        <v>14</v>
      </c>
      <c r="D3244" s="8">
        <v>631</v>
      </c>
      <c r="E3244" s="8">
        <v>370</v>
      </c>
      <c r="F3244" s="8">
        <v>398</v>
      </c>
      <c r="G3244" s="8">
        <v>0</v>
      </c>
      <c r="H3244" s="8">
        <v>12100</v>
      </c>
      <c r="I3244" s="8">
        <v>0</v>
      </c>
      <c r="J3244" s="8">
        <v>80</v>
      </c>
      <c r="K3244" s="8">
        <v>380</v>
      </c>
      <c r="L3244" s="8">
        <v>382</v>
      </c>
      <c r="M3244" s="8">
        <v>6.6</v>
      </c>
      <c r="N3244">
        <f>VLOOKUP(A3244,vlookup_table!$A:$G,2,FALSE)</f>
        <v>1</v>
      </c>
      <c r="O3244" t="str">
        <f>VLOOKUP(A3244,vlookup_table!$A:$G,3,FALSE)</f>
        <v>MO</v>
      </c>
      <c r="P3244">
        <f>VLOOKUP(A3244,vlookup_table!$A:$G,4,FALSE)</f>
        <v>6801</v>
      </c>
      <c r="Q3244" t="str">
        <f>VLOOKUP(A3244,vlookup_table!$A:$G,5,FALSE)</f>
        <v>T2</v>
      </c>
      <c r="R3244" t="str">
        <f>VLOOKUP(A3244,vlookup_table!$A:$G,6,FALSE)</f>
        <v>M</v>
      </c>
      <c r="S3244">
        <f>VLOOKUP(A3244,vlookup_table!$A:$G,7,FALSE)</f>
        <v>6</v>
      </c>
      <c r="T3244">
        <f t="shared" si="100"/>
        <v>28</v>
      </c>
      <c r="U3244" t="str">
        <f t="shared" si="101"/>
        <v>Pueblo</v>
      </c>
    </row>
    <row r="3245" spans="1:21" ht="16" x14ac:dyDescent="0.4">
      <c r="A3245" s="9">
        <v>68120</v>
      </c>
      <c r="B3245" s="8" t="s">
        <v>26</v>
      </c>
      <c r="C3245" s="8" t="s">
        <v>17</v>
      </c>
      <c r="D3245" s="8">
        <v>698</v>
      </c>
      <c r="E3245" s="8">
        <v>340</v>
      </c>
      <c r="F3245" s="8">
        <v>436</v>
      </c>
      <c r="G3245" s="8">
        <v>0</v>
      </c>
      <c r="H3245" s="8">
        <v>15577</v>
      </c>
      <c r="I3245" s="8">
        <v>6</v>
      </c>
      <c r="J3245" s="8">
        <v>83</v>
      </c>
      <c r="K3245" s="8">
        <v>396</v>
      </c>
      <c r="L3245" s="8">
        <v>355</v>
      </c>
      <c r="M3245" s="8">
        <v>12.71428571</v>
      </c>
      <c r="N3245">
        <f>VLOOKUP(A3245,vlookup_table!$A:$G,2,FALSE)</f>
        <v>28</v>
      </c>
      <c r="O3245" t="str">
        <f>VLOOKUP(A3245,vlookup_table!$A:$G,3,FALSE)</f>
        <v>MI</v>
      </c>
      <c r="P3245">
        <f>VLOOKUP(A3245,vlookup_table!$A:$G,4,FALSE)</f>
        <v>3908</v>
      </c>
      <c r="Q3245" t="str">
        <f>VLOOKUP(A3245,vlookup_table!$A:$G,5,FALSE)</f>
        <v>U2</v>
      </c>
      <c r="R3245" t="str">
        <f>VLOOKUP(A3245,vlookup_table!$A:$G,6,FALSE)</f>
        <v>F</v>
      </c>
      <c r="S3245">
        <f>VLOOKUP(A3245,vlookup_table!$A:$G,7,FALSE)</f>
        <v>20</v>
      </c>
      <c r="T3245">
        <f t="shared" si="100"/>
        <v>57</v>
      </c>
      <c r="U3245" t="str">
        <f t="shared" si="101"/>
        <v>Urbano</v>
      </c>
    </row>
    <row r="3246" spans="1:21" ht="16" x14ac:dyDescent="0.4">
      <c r="A3246" s="9">
        <v>102372</v>
      </c>
      <c r="B3246" s="8" t="s">
        <v>33</v>
      </c>
      <c r="C3246" s="8" t="s">
        <v>14</v>
      </c>
      <c r="D3246" s="8">
        <v>557</v>
      </c>
      <c r="E3246" s="8">
        <v>298</v>
      </c>
      <c r="F3246" s="8">
        <v>365</v>
      </c>
      <c r="G3246" s="8">
        <v>0</v>
      </c>
      <c r="H3246" s="8">
        <v>13056</v>
      </c>
      <c r="I3246" s="8">
        <v>4</v>
      </c>
      <c r="J3246" s="8">
        <v>61</v>
      </c>
      <c r="K3246" s="8">
        <v>364</v>
      </c>
      <c r="L3246" s="8">
        <v>326</v>
      </c>
      <c r="M3246" s="8">
        <v>13</v>
      </c>
      <c r="N3246">
        <f>VLOOKUP(A3246,vlookup_table!$A:$G,2,FALSE)</f>
        <v>1</v>
      </c>
      <c r="O3246" t="str">
        <f>VLOOKUP(A3246,vlookup_table!$A:$G,3,FALSE)</f>
        <v>MO</v>
      </c>
      <c r="P3246">
        <f>VLOOKUP(A3246,vlookup_table!$A:$G,4,FALSE)</f>
        <v>0</v>
      </c>
      <c r="Q3246" t="str">
        <f>VLOOKUP(A3246,vlookup_table!$A:$G,5,FALSE)</f>
        <v>S2</v>
      </c>
      <c r="R3246" t="str">
        <f>VLOOKUP(A3246,vlookup_table!$A:$G,6,FALSE)</f>
        <v>M</v>
      </c>
      <c r="S3246">
        <f>VLOOKUP(A3246,vlookup_table!$A:$G,7,FALSE)</f>
        <v>23</v>
      </c>
      <c r="T3246">
        <f t="shared" si="100"/>
        <v>96</v>
      </c>
      <c r="U3246" t="str">
        <f t="shared" si="101"/>
        <v>Suburbano</v>
      </c>
    </row>
    <row r="3247" spans="1:21" ht="16" x14ac:dyDescent="0.4">
      <c r="A3247" s="9">
        <v>6050</v>
      </c>
      <c r="B3247" s="8" t="s">
        <v>33</v>
      </c>
      <c r="C3247" s="8" t="s">
        <v>17</v>
      </c>
      <c r="D3247" s="8">
        <v>691</v>
      </c>
      <c r="E3247" s="8">
        <v>311</v>
      </c>
      <c r="F3247" s="8">
        <v>411</v>
      </c>
      <c r="G3247" s="8">
        <v>1</v>
      </c>
      <c r="H3247" s="8">
        <v>12519</v>
      </c>
      <c r="I3247" s="8">
        <v>0</v>
      </c>
      <c r="J3247" s="8">
        <v>84</v>
      </c>
      <c r="K3247" s="8">
        <v>347</v>
      </c>
      <c r="L3247" s="8">
        <v>383</v>
      </c>
      <c r="M3247" s="8">
        <v>10.629213480000001</v>
      </c>
      <c r="N3247">
        <f>VLOOKUP(A3247,vlookup_table!$A:$G,2,FALSE)</f>
        <v>0</v>
      </c>
      <c r="O3247" t="str">
        <f>VLOOKUP(A3247,vlookup_table!$A:$G,3,FALSE)</f>
        <v>MO</v>
      </c>
      <c r="P3247">
        <f>VLOOKUP(A3247,vlookup_table!$A:$G,4,FALSE)</f>
        <v>0</v>
      </c>
      <c r="Q3247" t="str">
        <f>VLOOKUP(A3247,vlookup_table!$A:$G,5,FALSE)</f>
        <v/>
      </c>
      <c r="R3247" t="str">
        <f>VLOOKUP(A3247,vlookup_table!$A:$G,6,FALSE)</f>
        <v>F</v>
      </c>
      <c r="S3247">
        <f>VLOOKUP(A3247,vlookup_table!$A:$G,7,FALSE)</f>
        <v>32</v>
      </c>
      <c r="T3247">
        <f t="shared" si="100"/>
        <v>96</v>
      </c>
      <c r="U3247" t="str">
        <f t="shared" si="101"/>
        <v/>
      </c>
    </row>
    <row r="3248" spans="1:21" ht="16" x14ac:dyDescent="0.4">
      <c r="A3248" s="9">
        <v>118657</v>
      </c>
      <c r="B3248" s="8" t="s">
        <v>20</v>
      </c>
      <c r="C3248" s="8" t="s">
        <v>17</v>
      </c>
      <c r="D3248" s="8">
        <v>368</v>
      </c>
      <c r="E3248" s="8">
        <v>171</v>
      </c>
      <c r="F3248" s="8">
        <v>245</v>
      </c>
      <c r="G3248" s="8">
        <v>1</v>
      </c>
      <c r="H3248" s="8">
        <v>10255</v>
      </c>
      <c r="I3248" s="8">
        <v>1</v>
      </c>
      <c r="J3248" s="8">
        <v>80</v>
      </c>
      <c r="K3248" s="8">
        <v>200</v>
      </c>
      <c r="L3248" s="8">
        <v>227</v>
      </c>
      <c r="M3248" s="8">
        <v>7.75</v>
      </c>
      <c r="N3248">
        <f>VLOOKUP(A3248,vlookup_table!$A:$G,2,FALSE)</f>
        <v>28</v>
      </c>
      <c r="O3248" t="str">
        <f>VLOOKUP(A3248,vlookup_table!$A:$G,3,FALSE)</f>
        <v>TX</v>
      </c>
      <c r="P3248">
        <f>VLOOKUP(A3248,vlookup_table!$A:$G,4,FALSE)</f>
        <v>0</v>
      </c>
      <c r="Q3248" t="str">
        <f>VLOOKUP(A3248,vlookup_table!$A:$G,5,FALSE)</f>
        <v>R3</v>
      </c>
      <c r="R3248" t="str">
        <f>VLOOKUP(A3248,vlookup_table!$A:$G,6,FALSE)</f>
        <v>F</v>
      </c>
      <c r="S3248">
        <f>VLOOKUP(A3248,vlookup_table!$A:$G,7,FALSE)</f>
        <v>11</v>
      </c>
      <c r="T3248">
        <f t="shared" si="100"/>
        <v>96</v>
      </c>
      <c r="U3248" t="str">
        <f t="shared" si="101"/>
        <v>Rural</v>
      </c>
    </row>
    <row r="3249" spans="1:21" ht="16" x14ac:dyDescent="0.4">
      <c r="A3249" s="9">
        <v>169135</v>
      </c>
      <c r="B3249" s="8" t="s">
        <v>21</v>
      </c>
      <c r="C3249" s="8" t="s">
        <v>17</v>
      </c>
      <c r="D3249" s="8">
        <v>1751</v>
      </c>
      <c r="E3249" s="8">
        <v>273</v>
      </c>
      <c r="F3249" s="8">
        <v>340</v>
      </c>
      <c r="G3249" s="8">
        <v>37</v>
      </c>
      <c r="H3249" s="8">
        <v>12557</v>
      </c>
      <c r="I3249" s="8">
        <v>4</v>
      </c>
      <c r="J3249" s="8">
        <v>63</v>
      </c>
      <c r="K3249" s="8">
        <v>282</v>
      </c>
      <c r="L3249" s="8">
        <v>328</v>
      </c>
      <c r="M3249" s="8">
        <v>25</v>
      </c>
      <c r="N3249">
        <f>VLOOKUP(A3249,vlookup_table!$A:$G,2,FALSE)</f>
        <v>0</v>
      </c>
      <c r="O3249" t="str">
        <f>VLOOKUP(A3249,vlookup_table!$A:$G,3,FALSE)</f>
        <v>CA</v>
      </c>
      <c r="P3249">
        <f>VLOOKUP(A3249,vlookup_table!$A:$G,4,FALSE)</f>
        <v>0</v>
      </c>
      <c r="Q3249" t="str">
        <f>VLOOKUP(A3249,vlookup_table!$A:$G,5,FALSE)</f>
        <v>C2</v>
      </c>
      <c r="R3249" t="str">
        <f>VLOOKUP(A3249,vlookup_table!$A:$G,6,FALSE)</f>
        <v>F</v>
      </c>
      <c r="S3249">
        <f>VLOOKUP(A3249,vlookup_table!$A:$G,7,FALSE)</f>
        <v>10</v>
      </c>
      <c r="T3249">
        <f t="shared" si="100"/>
        <v>96</v>
      </c>
      <c r="U3249" t="str">
        <f t="shared" si="101"/>
        <v>Ciudad</v>
      </c>
    </row>
    <row r="3250" spans="1:21" ht="16" x14ac:dyDescent="0.4">
      <c r="A3250" s="9">
        <v>187748</v>
      </c>
      <c r="B3250" s="8" t="s">
        <v>13</v>
      </c>
      <c r="C3250" s="8"/>
      <c r="D3250" s="8">
        <v>865</v>
      </c>
      <c r="E3250" s="8">
        <v>341</v>
      </c>
      <c r="F3250" s="8">
        <v>432</v>
      </c>
      <c r="G3250" s="8">
        <v>3</v>
      </c>
      <c r="H3250" s="8">
        <v>15630</v>
      </c>
      <c r="I3250" s="8">
        <v>7</v>
      </c>
      <c r="J3250" s="8">
        <v>21</v>
      </c>
      <c r="K3250" s="8">
        <v>387</v>
      </c>
      <c r="L3250" s="8">
        <v>392</v>
      </c>
      <c r="M3250" s="8">
        <v>8.375</v>
      </c>
      <c r="N3250">
        <f>VLOOKUP(A3250,vlookup_table!$A:$G,2,FALSE)</f>
        <v>0</v>
      </c>
      <c r="O3250" t="str">
        <f>VLOOKUP(A3250,vlookup_table!$A:$G,3,FALSE)</f>
        <v>FL</v>
      </c>
      <c r="P3250">
        <f>VLOOKUP(A3250,vlookup_table!$A:$G,4,FALSE)</f>
        <v>0</v>
      </c>
      <c r="Q3250" t="str">
        <f>VLOOKUP(A3250,vlookup_table!$A:$G,5,FALSE)</f>
        <v/>
      </c>
      <c r="R3250" t="str">
        <f>VLOOKUP(A3250,vlookup_table!$A:$G,6,FALSE)</f>
        <v/>
      </c>
      <c r="S3250">
        <f>VLOOKUP(A3250,vlookup_table!$A:$G,7,FALSE)</f>
        <v>7</v>
      </c>
      <c r="T3250">
        <f t="shared" si="100"/>
        <v>96</v>
      </c>
      <c r="U3250" t="str">
        <f t="shared" si="101"/>
        <v/>
      </c>
    </row>
    <row r="3251" spans="1:21" ht="16" x14ac:dyDescent="0.4">
      <c r="A3251" s="9">
        <v>73786</v>
      </c>
      <c r="B3251" s="8" t="s">
        <v>26</v>
      </c>
      <c r="C3251" s="8" t="s">
        <v>14</v>
      </c>
      <c r="D3251" s="8">
        <v>1176</v>
      </c>
      <c r="E3251" s="8">
        <v>558</v>
      </c>
      <c r="F3251" s="8">
        <v>672</v>
      </c>
      <c r="G3251" s="8">
        <v>3</v>
      </c>
      <c r="H3251" s="8">
        <v>21886</v>
      </c>
      <c r="I3251" s="8">
        <v>1</v>
      </c>
      <c r="J3251" s="8">
        <v>80</v>
      </c>
      <c r="K3251" s="8">
        <v>608</v>
      </c>
      <c r="L3251" s="8">
        <v>609</v>
      </c>
      <c r="M3251" s="8">
        <v>8</v>
      </c>
      <c r="N3251">
        <f>VLOOKUP(A3251,vlookup_table!$A:$G,2,FALSE)</f>
        <v>1</v>
      </c>
      <c r="O3251" t="str">
        <f>VLOOKUP(A3251,vlookup_table!$A:$G,3,FALSE)</f>
        <v>MI</v>
      </c>
      <c r="P3251">
        <f>VLOOKUP(A3251,vlookup_table!$A:$G,4,FALSE)</f>
        <v>2303</v>
      </c>
      <c r="Q3251" t="str">
        <f>VLOOKUP(A3251,vlookup_table!$A:$G,5,FALSE)</f>
        <v>S1</v>
      </c>
      <c r="R3251" t="str">
        <f>VLOOKUP(A3251,vlookup_table!$A:$G,6,FALSE)</f>
        <v>M</v>
      </c>
      <c r="S3251">
        <f>VLOOKUP(A3251,vlookup_table!$A:$G,7,FALSE)</f>
        <v>12</v>
      </c>
      <c r="T3251">
        <f t="shared" si="100"/>
        <v>73</v>
      </c>
      <c r="U3251" t="str">
        <f t="shared" si="101"/>
        <v>Suburbano</v>
      </c>
    </row>
    <row r="3252" spans="1:21" ht="16" x14ac:dyDescent="0.4">
      <c r="A3252" s="9">
        <v>47276</v>
      </c>
      <c r="B3252" s="8" t="s">
        <v>40</v>
      </c>
      <c r="C3252" s="8" t="s">
        <v>14</v>
      </c>
      <c r="D3252" s="8">
        <v>485</v>
      </c>
      <c r="E3252" s="8">
        <v>247</v>
      </c>
      <c r="F3252" s="8">
        <v>370</v>
      </c>
      <c r="G3252" s="8">
        <v>1</v>
      </c>
      <c r="H3252" s="8">
        <v>12619</v>
      </c>
      <c r="I3252" s="8">
        <v>1</v>
      </c>
      <c r="J3252" s="8">
        <v>92</v>
      </c>
      <c r="K3252" s="8">
        <v>378</v>
      </c>
      <c r="L3252" s="8">
        <v>305</v>
      </c>
      <c r="M3252" s="8">
        <v>7.1818181819999998</v>
      </c>
      <c r="N3252">
        <f>VLOOKUP(A3252,vlookup_table!$A:$G,2,FALSE)</f>
        <v>1</v>
      </c>
      <c r="O3252" t="str">
        <f>VLOOKUP(A3252,vlookup_table!$A:$G,3,FALSE)</f>
        <v>AL</v>
      </c>
      <c r="P3252">
        <f>VLOOKUP(A3252,vlookup_table!$A:$G,4,FALSE)</f>
        <v>4001</v>
      </c>
      <c r="Q3252" t="str">
        <f>VLOOKUP(A3252,vlookup_table!$A:$G,5,FALSE)</f>
        <v>T2</v>
      </c>
      <c r="R3252" t="str">
        <f>VLOOKUP(A3252,vlookup_table!$A:$G,6,FALSE)</f>
        <v>M</v>
      </c>
      <c r="S3252">
        <f>VLOOKUP(A3252,vlookup_table!$A:$G,7,FALSE)</f>
        <v>6</v>
      </c>
      <c r="T3252">
        <f t="shared" si="100"/>
        <v>56</v>
      </c>
      <c r="U3252" t="str">
        <f t="shared" si="101"/>
        <v>Pueblo</v>
      </c>
    </row>
    <row r="3253" spans="1:21" ht="16" x14ac:dyDescent="0.4">
      <c r="A3253" s="9">
        <v>27329</v>
      </c>
      <c r="B3253" s="8" t="s">
        <v>36</v>
      </c>
      <c r="C3253" s="8" t="s">
        <v>14</v>
      </c>
      <c r="D3253" s="8">
        <v>684</v>
      </c>
      <c r="E3253" s="8">
        <v>282</v>
      </c>
      <c r="F3253" s="8">
        <v>375</v>
      </c>
      <c r="G3253" s="8">
        <v>1</v>
      </c>
      <c r="H3253" s="8">
        <v>13025</v>
      </c>
      <c r="I3253" s="8">
        <v>1</v>
      </c>
      <c r="J3253" s="8">
        <v>75</v>
      </c>
      <c r="K3253" s="8">
        <v>318</v>
      </c>
      <c r="L3253" s="8">
        <v>336</v>
      </c>
      <c r="M3253" s="8">
        <v>15</v>
      </c>
      <c r="N3253">
        <f>VLOOKUP(A3253,vlookup_table!$A:$G,2,FALSE)</f>
        <v>2</v>
      </c>
      <c r="O3253" t="str">
        <f>VLOOKUP(A3253,vlookup_table!$A:$G,3,FALSE)</f>
        <v>GA</v>
      </c>
      <c r="P3253">
        <f>VLOOKUP(A3253,vlookup_table!$A:$G,4,FALSE)</f>
        <v>4601</v>
      </c>
      <c r="Q3253" t="str">
        <f>VLOOKUP(A3253,vlookup_table!$A:$G,5,FALSE)</f>
        <v>T2</v>
      </c>
      <c r="R3253" t="str">
        <f>VLOOKUP(A3253,vlookup_table!$A:$G,6,FALSE)</f>
        <v>M</v>
      </c>
      <c r="S3253">
        <f>VLOOKUP(A3253,vlookup_table!$A:$G,7,FALSE)</f>
        <v>15</v>
      </c>
      <c r="T3253">
        <f t="shared" si="100"/>
        <v>50</v>
      </c>
      <c r="U3253" t="str">
        <f t="shared" si="101"/>
        <v>Pueblo</v>
      </c>
    </row>
    <row r="3254" spans="1:21" ht="16" x14ac:dyDescent="0.4">
      <c r="A3254" s="9">
        <v>102579</v>
      </c>
      <c r="B3254" s="8" t="s">
        <v>33</v>
      </c>
      <c r="C3254" s="8" t="s">
        <v>27</v>
      </c>
      <c r="D3254" s="8">
        <v>300</v>
      </c>
      <c r="E3254" s="8">
        <v>240</v>
      </c>
      <c r="F3254" s="8">
        <v>322</v>
      </c>
      <c r="G3254" s="8">
        <v>0</v>
      </c>
      <c r="H3254" s="8">
        <v>10527</v>
      </c>
      <c r="I3254" s="8">
        <v>0</v>
      </c>
      <c r="J3254" s="8">
        <v>81</v>
      </c>
      <c r="K3254" s="8">
        <v>283</v>
      </c>
      <c r="L3254" s="8">
        <v>285</v>
      </c>
      <c r="M3254" s="8">
        <v>5</v>
      </c>
      <c r="N3254">
        <f>VLOOKUP(A3254,vlookup_table!$A:$G,2,FALSE)</f>
        <v>0</v>
      </c>
      <c r="O3254" t="str">
        <f>VLOOKUP(A3254,vlookup_table!$A:$G,3,FALSE)</f>
        <v>MO</v>
      </c>
      <c r="P3254">
        <f>VLOOKUP(A3254,vlookup_table!$A:$G,4,FALSE)</f>
        <v>0</v>
      </c>
      <c r="Q3254" t="str">
        <f>VLOOKUP(A3254,vlookup_table!$A:$G,5,FALSE)</f>
        <v>R2</v>
      </c>
      <c r="R3254" t="str">
        <f>VLOOKUP(A3254,vlookup_table!$A:$G,6,FALSE)</f>
        <v>U</v>
      </c>
      <c r="S3254">
        <f>VLOOKUP(A3254,vlookup_table!$A:$G,7,FALSE)</f>
        <v>5</v>
      </c>
      <c r="T3254">
        <f t="shared" si="100"/>
        <v>96</v>
      </c>
      <c r="U3254" t="str">
        <f t="shared" si="101"/>
        <v>Rural</v>
      </c>
    </row>
    <row r="3255" spans="1:21" ht="16" x14ac:dyDescent="0.4">
      <c r="A3255" s="9">
        <v>145403</v>
      </c>
      <c r="B3255" s="8" t="s">
        <v>21</v>
      </c>
      <c r="C3255" s="8" t="s">
        <v>17</v>
      </c>
      <c r="D3255" s="8">
        <v>2730</v>
      </c>
      <c r="E3255" s="8">
        <v>294</v>
      </c>
      <c r="F3255" s="8">
        <v>447</v>
      </c>
      <c r="G3255" s="8">
        <v>89</v>
      </c>
      <c r="H3255" s="8">
        <v>15068</v>
      </c>
      <c r="I3255" s="8">
        <v>17</v>
      </c>
      <c r="J3255" s="8">
        <v>55</v>
      </c>
      <c r="K3255" s="8">
        <v>304</v>
      </c>
      <c r="L3255" s="8">
        <v>391</v>
      </c>
      <c r="M3255" s="8">
        <v>5.127659575</v>
      </c>
      <c r="N3255">
        <f>VLOOKUP(A3255,vlookup_table!$A:$G,2,FALSE)</f>
        <v>0</v>
      </c>
      <c r="O3255" t="str">
        <f>VLOOKUP(A3255,vlookup_table!$A:$G,3,FALSE)</f>
        <v>CA</v>
      </c>
      <c r="P3255">
        <f>VLOOKUP(A3255,vlookup_table!$A:$G,4,FALSE)</f>
        <v>602</v>
      </c>
      <c r="Q3255" t="str">
        <f>VLOOKUP(A3255,vlookup_table!$A:$G,5,FALSE)</f>
        <v>S2</v>
      </c>
      <c r="R3255" t="str">
        <f>VLOOKUP(A3255,vlookup_table!$A:$G,6,FALSE)</f>
        <v>F</v>
      </c>
      <c r="S3255">
        <f>VLOOKUP(A3255,vlookup_table!$A:$G,7,FALSE)</f>
        <v>10</v>
      </c>
      <c r="T3255">
        <f t="shared" si="100"/>
        <v>36</v>
      </c>
      <c r="U3255" t="str">
        <f t="shared" si="101"/>
        <v>Suburbano</v>
      </c>
    </row>
    <row r="3256" spans="1:21" ht="16" x14ac:dyDescent="0.4">
      <c r="A3256" s="9">
        <v>59814</v>
      </c>
      <c r="B3256" s="8" t="s">
        <v>30</v>
      </c>
      <c r="C3256" s="8" t="s">
        <v>17</v>
      </c>
      <c r="D3256" s="8">
        <v>392</v>
      </c>
      <c r="E3256" s="8">
        <v>249</v>
      </c>
      <c r="F3256" s="8">
        <v>343</v>
      </c>
      <c r="G3256" s="8">
        <v>0</v>
      </c>
      <c r="H3256" s="8">
        <v>11274</v>
      </c>
      <c r="I3256" s="8">
        <v>0</v>
      </c>
      <c r="J3256" s="8">
        <v>85</v>
      </c>
      <c r="K3256" s="8">
        <v>301</v>
      </c>
      <c r="L3256" s="8">
        <v>295</v>
      </c>
      <c r="M3256" s="8">
        <v>5.4535</v>
      </c>
      <c r="N3256">
        <f>VLOOKUP(A3256,vlookup_table!$A:$G,2,FALSE)</f>
        <v>28</v>
      </c>
      <c r="O3256" t="str">
        <f>VLOOKUP(A3256,vlookup_table!$A:$G,3,FALSE)</f>
        <v>IN</v>
      </c>
      <c r="P3256">
        <f>VLOOKUP(A3256,vlookup_table!$A:$G,4,FALSE)</f>
        <v>4001</v>
      </c>
      <c r="Q3256" t="str">
        <f>VLOOKUP(A3256,vlookup_table!$A:$G,5,FALSE)</f>
        <v>R3</v>
      </c>
      <c r="R3256" t="str">
        <f>VLOOKUP(A3256,vlookup_table!$A:$G,6,FALSE)</f>
        <v>F</v>
      </c>
      <c r="S3256">
        <f>VLOOKUP(A3256,vlookup_table!$A:$G,7,FALSE)</f>
        <v>5</v>
      </c>
      <c r="T3256">
        <f t="shared" si="100"/>
        <v>56</v>
      </c>
      <c r="U3256" t="str">
        <f t="shared" si="101"/>
        <v>Rural</v>
      </c>
    </row>
    <row r="3257" spans="1:21" ht="16" x14ac:dyDescent="0.4">
      <c r="A3257" s="9">
        <v>85059</v>
      </c>
      <c r="B3257" s="8" t="s">
        <v>52</v>
      </c>
      <c r="C3257" s="8" t="s">
        <v>14</v>
      </c>
      <c r="D3257" s="8">
        <v>303</v>
      </c>
      <c r="E3257" s="8">
        <v>254</v>
      </c>
      <c r="F3257" s="8">
        <v>337</v>
      </c>
      <c r="G3257" s="8">
        <v>0</v>
      </c>
      <c r="H3257" s="8">
        <v>12469</v>
      </c>
      <c r="I3257" s="8">
        <v>1</v>
      </c>
      <c r="J3257" s="8">
        <v>86</v>
      </c>
      <c r="K3257" s="8">
        <v>294</v>
      </c>
      <c r="L3257" s="8">
        <v>299</v>
      </c>
      <c r="M3257" s="8">
        <v>3.7222222220000001</v>
      </c>
      <c r="N3257">
        <f>VLOOKUP(A3257,vlookup_table!$A:$G,2,FALSE)</f>
        <v>1</v>
      </c>
      <c r="O3257" t="str">
        <f>VLOOKUP(A3257,vlookup_table!$A:$G,3,FALSE)</f>
        <v>MN</v>
      </c>
      <c r="P3257">
        <f>VLOOKUP(A3257,vlookup_table!$A:$G,4,FALSE)</f>
        <v>1701</v>
      </c>
      <c r="Q3257" t="str">
        <f>VLOOKUP(A3257,vlookup_table!$A:$G,5,FALSE)</f>
        <v>R2</v>
      </c>
      <c r="R3257" t="str">
        <f>VLOOKUP(A3257,vlookup_table!$A:$G,6,FALSE)</f>
        <v>M</v>
      </c>
      <c r="S3257">
        <f>VLOOKUP(A3257,vlookup_table!$A:$G,7,FALSE)</f>
        <v>5</v>
      </c>
      <c r="T3257">
        <f t="shared" si="100"/>
        <v>79</v>
      </c>
      <c r="U3257" t="str">
        <f t="shared" si="101"/>
        <v>Rural</v>
      </c>
    </row>
    <row r="3258" spans="1:21" ht="16" x14ac:dyDescent="0.4">
      <c r="A3258" s="9">
        <v>168103</v>
      </c>
      <c r="B3258" s="8" t="s">
        <v>21</v>
      </c>
      <c r="C3258" s="8" t="s">
        <v>14</v>
      </c>
      <c r="D3258" s="8">
        <v>1279</v>
      </c>
      <c r="E3258" s="8">
        <v>280</v>
      </c>
      <c r="F3258" s="8">
        <v>276</v>
      </c>
      <c r="G3258" s="8">
        <v>5</v>
      </c>
      <c r="H3258" s="8">
        <v>6474</v>
      </c>
      <c r="I3258" s="8">
        <v>56</v>
      </c>
      <c r="J3258" s="8">
        <v>35</v>
      </c>
      <c r="K3258" s="8">
        <v>249</v>
      </c>
      <c r="L3258" s="8">
        <v>315</v>
      </c>
      <c r="M3258" s="8">
        <v>8</v>
      </c>
      <c r="N3258">
        <f>VLOOKUP(A3258,vlookup_table!$A:$G,2,FALSE)</f>
        <v>1</v>
      </c>
      <c r="O3258" t="str">
        <f>VLOOKUP(A3258,vlookup_table!$A:$G,3,FALSE)</f>
        <v>CA</v>
      </c>
      <c r="P3258">
        <f>VLOOKUP(A3258,vlookup_table!$A:$G,4,FALSE)</f>
        <v>4201</v>
      </c>
      <c r="Q3258" t="str">
        <f>VLOOKUP(A3258,vlookup_table!$A:$G,5,FALSE)</f>
        <v>U3</v>
      </c>
      <c r="R3258" t="str">
        <f>VLOOKUP(A3258,vlookup_table!$A:$G,6,FALSE)</f>
        <v>M</v>
      </c>
      <c r="S3258">
        <f>VLOOKUP(A3258,vlookup_table!$A:$G,7,FALSE)</f>
        <v>10</v>
      </c>
      <c r="T3258">
        <f t="shared" si="100"/>
        <v>54</v>
      </c>
      <c r="U3258" t="str">
        <f t="shared" si="101"/>
        <v>Urbano</v>
      </c>
    </row>
    <row r="3259" spans="1:21" ht="16" x14ac:dyDescent="0.4">
      <c r="A3259" s="9">
        <v>13452</v>
      </c>
      <c r="B3259" s="8" t="s">
        <v>13</v>
      </c>
      <c r="C3259" s="8" t="s">
        <v>14</v>
      </c>
      <c r="D3259" s="8">
        <v>562</v>
      </c>
      <c r="E3259" s="8">
        <v>257</v>
      </c>
      <c r="F3259" s="8">
        <v>313</v>
      </c>
      <c r="G3259" s="8">
        <v>0</v>
      </c>
      <c r="H3259" s="8">
        <v>11595</v>
      </c>
      <c r="I3259" s="8">
        <v>6</v>
      </c>
      <c r="J3259" s="8">
        <v>21</v>
      </c>
      <c r="K3259" s="8">
        <v>268</v>
      </c>
      <c r="L3259" s="8">
        <v>312</v>
      </c>
      <c r="M3259" s="8">
        <v>7.625</v>
      </c>
      <c r="N3259">
        <f>VLOOKUP(A3259,vlookup_table!$A:$G,2,FALSE)</f>
        <v>1</v>
      </c>
      <c r="O3259" t="str">
        <f>VLOOKUP(A3259,vlookup_table!$A:$G,3,FALSE)</f>
        <v>FL</v>
      </c>
      <c r="P3259">
        <f>VLOOKUP(A3259,vlookup_table!$A:$G,4,FALSE)</f>
        <v>2001</v>
      </c>
      <c r="Q3259" t="str">
        <f>VLOOKUP(A3259,vlookup_table!$A:$G,5,FALSE)</f>
        <v>C3</v>
      </c>
      <c r="R3259" t="str">
        <f>VLOOKUP(A3259,vlookup_table!$A:$G,6,FALSE)</f>
        <v>M</v>
      </c>
      <c r="S3259">
        <f>VLOOKUP(A3259,vlookup_table!$A:$G,7,FALSE)</f>
        <v>10</v>
      </c>
      <c r="T3259">
        <f t="shared" si="100"/>
        <v>76</v>
      </c>
      <c r="U3259" t="str">
        <f t="shared" si="101"/>
        <v>Ciudad</v>
      </c>
    </row>
    <row r="3260" spans="1:21" ht="16" x14ac:dyDescent="0.4">
      <c r="A3260" s="9">
        <v>183673</v>
      </c>
      <c r="B3260" s="8" t="s">
        <v>37</v>
      </c>
      <c r="C3260" s="8" t="s">
        <v>17</v>
      </c>
      <c r="D3260" s="8">
        <v>413</v>
      </c>
      <c r="E3260" s="8">
        <v>214</v>
      </c>
      <c r="F3260" s="8">
        <v>249</v>
      </c>
      <c r="G3260" s="8">
        <v>0</v>
      </c>
      <c r="H3260" s="8">
        <v>6780</v>
      </c>
      <c r="I3260" s="8">
        <v>29</v>
      </c>
      <c r="J3260" s="8">
        <v>43</v>
      </c>
      <c r="K3260" s="8">
        <v>227</v>
      </c>
      <c r="L3260" s="8">
        <v>229</v>
      </c>
      <c r="M3260" s="8">
        <v>9</v>
      </c>
      <c r="N3260">
        <f>VLOOKUP(A3260,vlookup_table!$A:$G,2,FALSE)</f>
        <v>0</v>
      </c>
      <c r="O3260" t="str">
        <f>VLOOKUP(A3260,vlookup_table!$A:$G,3,FALSE)</f>
        <v>WA</v>
      </c>
      <c r="P3260">
        <f>VLOOKUP(A3260,vlookup_table!$A:$G,4,FALSE)</f>
        <v>1108</v>
      </c>
      <c r="Q3260" t="str">
        <f>VLOOKUP(A3260,vlookup_table!$A:$G,5,FALSE)</f>
        <v>R2</v>
      </c>
      <c r="R3260" t="str">
        <f>VLOOKUP(A3260,vlookup_table!$A:$G,6,FALSE)</f>
        <v>F</v>
      </c>
      <c r="S3260">
        <f>VLOOKUP(A3260,vlookup_table!$A:$G,7,FALSE)</f>
        <v>10</v>
      </c>
      <c r="T3260">
        <f t="shared" si="100"/>
        <v>85</v>
      </c>
      <c r="U3260" t="str">
        <f t="shared" si="101"/>
        <v>Rural</v>
      </c>
    </row>
    <row r="3261" spans="1:21" ht="16" x14ac:dyDescent="0.4">
      <c r="A3261" s="9">
        <v>160306</v>
      </c>
      <c r="B3261" s="8" t="s">
        <v>21</v>
      </c>
      <c r="C3261" s="8" t="s">
        <v>17</v>
      </c>
      <c r="D3261" s="8">
        <v>1283</v>
      </c>
      <c r="E3261" s="8">
        <v>360</v>
      </c>
      <c r="F3261" s="8">
        <v>380</v>
      </c>
      <c r="G3261" s="8">
        <v>0</v>
      </c>
      <c r="H3261" s="8">
        <v>12397</v>
      </c>
      <c r="I3261" s="8">
        <v>6</v>
      </c>
      <c r="J3261" s="8">
        <v>45</v>
      </c>
      <c r="K3261" s="8">
        <v>386</v>
      </c>
      <c r="L3261" s="8">
        <v>367</v>
      </c>
      <c r="M3261" s="8">
        <v>12.33333333</v>
      </c>
      <c r="N3261">
        <f>VLOOKUP(A3261,vlookup_table!$A:$G,2,FALSE)</f>
        <v>2</v>
      </c>
      <c r="O3261" t="str">
        <f>VLOOKUP(A3261,vlookup_table!$A:$G,3,FALSE)</f>
        <v>CA</v>
      </c>
      <c r="P3261">
        <f>VLOOKUP(A3261,vlookup_table!$A:$G,4,FALSE)</f>
        <v>2601</v>
      </c>
      <c r="Q3261" t="str">
        <f>VLOOKUP(A3261,vlookup_table!$A:$G,5,FALSE)</f>
        <v>T2</v>
      </c>
      <c r="R3261" t="str">
        <f>VLOOKUP(A3261,vlookup_table!$A:$G,6,FALSE)</f>
        <v>F</v>
      </c>
      <c r="S3261">
        <f>VLOOKUP(A3261,vlookup_table!$A:$G,7,FALSE)</f>
        <v>10</v>
      </c>
      <c r="T3261">
        <f t="shared" si="100"/>
        <v>70</v>
      </c>
      <c r="U3261" t="str">
        <f t="shared" si="101"/>
        <v>Pueblo</v>
      </c>
    </row>
    <row r="3262" spans="1:21" ht="16" x14ac:dyDescent="0.4">
      <c r="A3262" s="9">
        <v>140347</v>
      </c>
      <c r="B3262" s="8" t="s">
        <v>50</v>
      </c>
      <c r="C3262" s="8" t="s">
        <v>14</v>
      </c>
      <c r="D3262" s="8">
        <v>911</v>
      </c>
      <c r="E3262" s="8">
        <v>224</v>
      </c>
      <c r="F3262" s="8">
        <v>378</v>
      </c>
      <c r="G3262" s="8">
        <v>8</v>
      </c>
      <c r="H3262" s="8">
        <v>12142</v>
      </c>
      <c r="I3262" s="8">
        <v>7</v>
      </c>
      <c r="J3262" s="8">
        <v>57</v>
      </c>
      <c r="K3262" s="8">
        <v>285</v>
      </c>
      <c r="L3262" s="8">
        <v>319</v>
      </c>
      <c r="M3262" s="8">
        <v>8</v>
      </c>
      <c r="N3262">
        <f>VLOOKUP(A3262,vlookup_table!$A:$G,2,FALSE)</f>
        <v>0</v>
      </c>
      <c r="O3262" t="str">
        <f>VLOOKUP(A3262,vlookup_table!$A:$G,3,FALSE)</f>
        <v>NM</v>
      </c>
      <c r="P3262">
        <f>VLOOKUP(A3262,vlookup_table!$A:$G,4,FALSE)</f>
        <v>0</v>
      </c>
      <c r="Q3262" t="str">
        <f>VLOOKUP(A3262,vlookup_table!$A:$G,5,FALSE)</f>
        <v>C2</v>
      </c>
      <c r="R3262" t="str">
        <f>VLOOKUP(A3262,vlookup_table!$A:$G,6,FALSE)</f>
        <v>M</v>
      </c>
      <c r="S3262">
        <f>VLOOKUP(A3262,vlookup_table!$A:$G,7,FALSE)</f>
        <v>10</v>
      </c>
      <c r="T3262">
        <f t="shared" si="100"/>
        <v>96</v>
      </c>
      <c r="U3262" t="str">
        <f t="shared" si="101"/>
        <v>Ciudad</v>
      </c>
    </row>
    <row r="3263" spans="1:21" ht="16" x14ac:dyDescent="0.4">
      <c r="A3263" s="9">
        <v>57092</v>
      </c>
      <c r="B3263" s="8" t="s">
        <v>53</v>
      </c>
      <c r="C3263" s="8" t="s">
        <v>14</v>
      </c>
      <c r="D3263" s="8">
        <v>1110</v>
      </c>
      <c r="E3263" s="8">
        <v>452</v>
      </c>
      <c r="F3263" s="8">
        <v>542</v>
      </c>
      <c r="G3263" s="8">
        <v>6</v>
      </c>
      <c r="H3263" s="8">
        <v>17207</v>
      </c>
      <c r="I3263" s="8">
        <v>0</v>
      </c>
      <c r="J3263" s="8">
        <v>79</v>
      </c>
      <c r="K3263" s="8">
        <v>474</v>
      </c>
      <c r="L3263" s="8">
        <v>532</v>
      </c>
      <c r="M3263" s="8">
        <v>23.666666670000001</v>
      </c>
      <c r="N3263">
        <f>VLOOKUP(A3263,vlookup_table!$A:$G,2,FALSE)</f>
        <v>0</v>
      </c>
      <c r="O3263" t="str">
        <f>VLOOKUP(A3263,vlookup_table!$A:$G,3,FALSE)</f>
        <v>KY</v>
      </c>
      <c r="P3263">
        <f>VLOOKUP(A3263,vlookup_table!$A:$G,4,FALSE)</f>
        <v>5308</v>
      </c>
      <c r="Q3263" t="str">
        <f>VLOOKUP(A3263,vlookup_table!$A:$G,5,FALSE)</f>
        <v>T1</v>
      </c>
      <c r="R3263" t="str">
        <f>VLOOKUP(A3263,vlookup_table!$A:$G,6,FALSE)</f>
        <v>M</v>
      </c>
      <c r="S3263">
        <f>VLOOKUP(A3263,vlookup_table!$A:$G,7,FALSE)</f>
        <v>36</v>
      </c>
      <c r="T3263">
        <f t="shared" si="100"/>
        <v>43</v>
      </c>
      <c r="U3263" t="str">
        <f t="shared" si="101"/>
        <v>Pueblo</v>
      </c>
    </row>
    <row r="3264" spans="1:21" ht="16" x14ac:dyDescent="0.4">
      <c r="A3264" s="9">
        <v>171216</v>
      </c>
      <c r="B3264" s="8" t="s">
        <v>21</v>
      </c>
      <c r="C3264" s="8" t="s">
        <v>17</v>
      </c>
      <c r="D3264" s="8">
        <v>1361</v>
      </c>
      <c r="E3264" s="8">
        <v>368</v>
      </c>
      <c r="F3264" s="8">
        <v>487</v>
      </c>
      <c r="G3264" s="8">
        <v>13</v>
      </c>
      <c r="H3264" s="8">
        <v>16200</v>
      </c>
      <c r="I3264" s="8">
        <v>9</v>
      </c>
      <c r="J3264" s="8">
        <v>43</v>
      </c>
      <c r="K3264" s="8">
        <v>409</v>
      </c>
      <c r="L3264" s="8">
        <v>441</v>
      </c>
      <c r="M3264" s="8">
        <v>5.8333333329999997</v>
      </c>
      <c r="N3264">
        <f>VLOOKUP(A3264,vlookup_table!$A:$G,2,FALSE)</f>
        <v>0</v>
      </c>
      <c r="O3264" t="str">
        <f>VLOOKUP(A3264,vlookup_table!$A:$G,3,FALSE)</f>
        <v>CA</v>
      </c>
      <c r="P3264">
        <f>VLOOKUP(A3264,vlookup_table!$A:$G,4,FALSE)</f>
        <v>3601</v>
      </c>
      <c r="Q3264" t="str">
        <f>VLOOKUP(A3264,vlookup_table!$A:$G,5,FALSE)</f>
        <v>S2</v>
      </c>
      <c r="R3264" t="str">
        <f>VLOOKUP(A3264,vlookup_table!$A:$G,6,FALSE)</f>
        <v>F</v>
      </c>
      <c r="S3264">
        <f>VLOOKUP(A3264,vlookup_table!$A:$G,7,FALSE)</f>
        <v>5</v>
      </c>
      <c r="T3264">
        <f t="shared" si="100"/>
        <v>60</v>
      </c>
      <c r="U3264" t="str">
        <f t="shared" si="101"/>
        <v>Suburbano</v>
      </c>
    </row>
    <row r="3265" spans="1:21" ht="16" x14ac:dyDescent="0.4">
      <c r="A3265" s="9">
        <v>111861</v>
      </c>
      <c r="B3265" s="8" t="s">
        <v>29</v>
      </c>
      <c r="C3265" s="8" t="s">
        <v>14</v>
      </c>
      <c r="D3265" s="8">
        <v>340</v>
      </c>
      <c r="E3265" s="8">
        <v>136</v>
      </c>
      <c r="F3265" s="8">
        <v>196</v>
      </c>
      <c r="G3265" s="8">
        <v>0</v>
      </c>
      <c r="H3265" s="8">
        <v>7061</v>
      </c>
      <c r="I3265" s="8">
        <v>1</v>
      </c>
      <c r="J3265" s="8">
        <v>76</v>
      </c>
      <c r="K3265" s="8">
        <v>150</v>
      </c>
      <c r="L3265" s="8">
        <v>165</v>
      </c>
      <c r="M3265" s="8">
        <v>3.6</v>
      </c>
      <c r="N3265">
        <f>VLOOKUP(A3265,vlookup_table!$A:$G,2,FALSE)</f>
        <v>1</v>
      </c>
      <c r="O3265" t="str">
        <f>VLOOKUP(A3265,vlookup_table!$A:$G,3,FALSE)</f>
        <v>AR</v>
      </c>
      <c r="P3265">
        <f>VLOOKUP(A3265,vlookup_table!$A:$G,4,FALSE)</f>
        <v>2212</v>
      </c>
      <c r="Q3265" t="str">
        <f>VLOOKUP(A3265,vlookup_table!$A:$G,5,FALSE)</f>
        <v>T3</v>
      </c>
      <c r="R3265" t="str">
        <f>VLOOKUP(A3265,vlookup_table!$A:$G,6,FALSE)</f>
        <v>M</v>
      </c>
      <c r="S3265">
        <f>VLOOKUP(A3265,vlookup_table!$A:$G,7,FALSE)</f>
        <v>5</v>
      </c>
      <c r="T3265">
        <f t="shared" si="100"/>
        <v>74</v>
      </c>
      <c r="U3265" t="str">
        <f t="shared" si="101"/>
        <v>Pueblo</v>
      </c>
    </row>
    <row r="3266" spans="1:21" ht="16" x14ac:dyDescent="0.4">
      <c r="A3266" s="9">
        <v>66393</v>
      </c>
      <c r="B3266" s="8" t="s">
        <v>26</v>
      </c>
      <c r="C3266" s="8" t="s">
        <v>14</v>
      </c>
      <c r="D3266" s="8">
        <v>605</v>
      </c>
      <c r="E3266" s="8">
        <v>369</v>
      </c>
      <c r="F3266" s="8">
        <v>441</v>
      </c>
      <c r="G3266" s="8">
        <v>1</v>
      </c>
      <c r="H3266" s="8">
        <v>14582</v>
      </c>
      <c r="I3266" s="8">
        <v>2</v>
      </c>
      <c r="J3266" s="8">
        <v>14</v>
      </c>
      <c r="K3266" s="8">
        <v>415</v>
      </c>
      <c r="L3266" s="8">
        <v>377</v>
      </c>
      <c r="M3266" s="8">
        <v>21</v>
      </c>
      <c r="N3266">
        <f>VLOOKUP(A3266,vlookup_table!$A:$G,2,FALSE)</f>
        <v>0</v>
      </c>
      <c r="O3266" t="str">
        <f>VLOOKUP(A3266,vlookup_table!$A:$G,3,FALSE)</f>
        <v>MI</v>
      </c>
      <c r="P3266">
        <f>VLOOKUP(A3266,vlookup_table!$A:$G,4,FALSE)</f>
        <v>5412</v>
      </c>
      <c r="Q3266" t="str">
        <f>VLOOKUP(A3266,vlookup_table!$A:$G,5,FALSE)</f>
        <v>T2</v>
      </c>
      <c r="R3266" t="str">
        <f>VLOOKUP(A3266,vlookup_table!$A:$G,6,FALSE)</f>
        <v>M</v>
      </c>
      <c r="S3266">
        <f>VLOOKUP(A3266,vlookup_table!$A:$G,7,FALSE)</f>
        <v>50</v>
      </c>
      <c r="T3266">
        <f t="shared" si="100"/>
        <v>42</v>
      </c>
      <c r="U3266" t="str">
        <f t="shared" si="101"/>
        <v>Pueblo</v>
      </c>
    </row>
    <row r="3267" spans="1:21" ht="16" x14ac:dyDescent="0.4">
      <c r="A3267" s="9">
        <v>189848</v>
      </c>
      <c r="B3267" s="8" t="s">
        <v>13</v>
      </c>
      <c r="C3267" s="8" t="s">
        <v>14</v>
      </c>
      <c r="D3267" s="8">
        <v>885</v>
      </c>
      <c r="E3267" s="8">
        <v>264</v>
      </c>
      <c r="F3267" s="8">
        <v>414</v>
      </c>
      <c r="G3267" s="8">
        <v>6</v>
      </c>
      <c r="H3267" s="8">
        <v>18769</v>
      </c>
      <c r="I3267" s="8">
        <v>18</v>
      </c>
      <c r="J3267" s="8">
        <v>11</v>
      </c>
      <c r="K3267" s="8">
        <v>331</v>
      </c>
      <c r="L3267" s="8">
        <v>343</v>
      </c>
      <c r="M3267" s="8">
        <v>9.7333333329999991</v>
      </c>
      <c r="N3267">
        <f>VLOOKUP(A3267,vlookup_table!$A:$G,2,FALSE)</f>
        <v>1</v>
      </c>
      <c r="O3267" t="str">
        <f>VLOOKUP(A3267,vlookup_table!$A:$G,3,FALSE)</f>
        <v>FL</v>
      </c>
      <c r="P3267">
        <f>VLOOKUP(A3267,vlookup_table!$A:$G,4,FALSE)</f>
        <v>1801</v>
      </c>
      <c r="Q3267" t="str">
        <f>VLOOKUP(A3267,vlookup_table!$A:$G,5,FALSE)</f>
        <v>C2</v>
      </c>
      <c r="R3267" t="str">
        <f>VLOOKUP(A3267,vlookup_table!$A:$G,6,FALSE)</f>
        <v>M</v>
      </c>
      <c r="S3267">
        <f>VLOOKUP(A3267,vlookup_table!$A:$G,7,FALSE)</f>
        <v>12</v>
      </c>
      <c r="T3267">
        <f t="shared" ref="T3267:T3330" si="102">97-LEFT(P3267,2)-IF(RIGHT(P3267,2)&gt;6,1,0)</f>
        <v>78</v>
      </c>
      <c r="U3267" t="str">
        <f t="shared" ref="U3267:U3330" si="103">IF(LEFT(Q3267,1)="C","Ciudad",IF(LEFT(Q3267,1)="T","Pueblo",IF(LEFT(Q3267,1)="R","Rural",IF(LEFT(Q3267,1)="S","Suburbano",IF(LEFT(Q3267,1)="U","Urbano","")))))</f>
        <v>Ciudad</v>
      </c>
    </row>
    <row r="3268" spans="1:21" ht="16" x14ac:dyDescent="0.4">
      <c r="A3268" s="9">
        <v>103298</v>
      </c>
      <c r="B3268" s="8" t="s">
        <v>33</v>
      </c>
      <c r="C3268" s="8" t="s">
        <v>17</v>
      </c>
      <c r="D3268" s="8">
        <v>588</v>
      </c>
      <c r="E3268" s="8">
        <v>258</v>
      </c>
      <c r="F3268" s="8">
        <v>340</v>
      </c>
      <c r="G3268" s="8">
        <v>0</v>
      </c>
      <c r="H3268" s="8">
        <v>11512</v>
      </c>
      <c r="I3268" s="8">
        <v>2</v>
      </c>
      <c r="J3268" s="8">
        <v>69</v>
      </c>
      <c r="K3268" s="8">
        <v>310</v>
      </c>
      <c r="L3268" s="8">
        <v>293</v>
      </c>
      <c r="M3268" s="8">
        <v>12.5</v>
      </c>
      <c r="N3268">
        <f>VLOOKUP(A3268,vlookup_table!$A:$G,2,FALSE)</f>
        <v>0</v>
      </c>
      <c r="O3268" t="str">
        <f>VLOOKUP(A3268,vlookup_table!$A:$G,3,FALSE)</f>
        <v>MO</v>
      </c>
      <c r="P3268">
        <f>VLOOKUP(A3268,vlookup_table!$A:$G,4,FALSE)</f>
        <v>7101</v>
      </c>
      <c r="Q3268" t="str">
        <f>VLOOKUP(A3268,vlookup_table!$A:$G,5,FALSE)</f>
        <v>R1</v>
      </c>
      <c r="R3268" t="str">
        <f>VLOOKUP(A3268,vlookup_table!$A:$G,6,FALSE)</f>
        <v>F</v>
      </c>
      <c r="S3268">
        <f>VLOOKUP(A3268,vlookup_table!$A:$G,7,FALSE)</f>
        <v>15</v>
      </c>
      <c r="T3268">
        <f t="shared" si="102"/>
        <v>25</v>
      </c>
      <c r="U3268" t="str">
        <f t="shared" si="103"/>
        <v>Rural</v>
      </c>
    </row>
    <row r="3269" spans="1:21" ht="16" x14ac:dyDescent="0.4">
      <c r="A3269" s="9">
        <v>104442</v>
      </c>
      <c r="B3269" s="8" t="s">
        <v>25</v>
      </c>
      <c r="C3269" s="8" t="s">
        <v>17</v>
      </c>
      <c r="D3269" s="8">
        <v>2172</v>
      </c>
      <c r="E3269" s="8">
        <v>1033</v>
      </c>
      <c r="F3269" s="8">
        <v>1078</v>
      </c>
      <c r="G3269" s="8">
        <v>56</v>
      </c>
      <c r="H3269" s="8">
        <v>42625</v>
      </c>
      <c r="I3269" s="8">
        <v>4</v>
      </c>
      <c r="J3269" s="8">
        <v>45</v>
      </c>
      <c r="K3269" s="8">
        <v>1048</v>
      </c>
      <c r="L3269" s="8">
        <v>1031</v>
      </c>
      <c r="M3269" s="8">
        <v>23.333333329999999</v>
      </c>
      <c r="N3269">
        <f>VLOOKUP(A3269,vlookup_table!$A:$G,2,FALSE)</f>
        <v>28</v>
      </c>
      <c r="O3269" t="str">
        <f>VLOOKUP(A3269,vlookup_table!$A:$G,3,FALSE)</f>
        <v>KS</v>
      </c>
      <c r="P3269">
        <f>VLOOKUP(A3269,vlookup_table!$A:$G,4,FALSE)</f>
        <v>4608</v>
      </c>
      <c r="Q3269" t="str">
        <f>VLOOKUP(A3269,vlookup_table!$A:$G,5,FALSE)</f>
        <v>S1</v>
      </c>
      <c r="R3269" t="str">
        <f>VLOOKUP(A3269,vlookup_table!$A:$G,6,FALSE)</f>
        <v>F</v>
      </c>
      <c r="S3269">
        <f>VLOOKUP(A3269,vlookup_table!$A:$G,7,FALSE)</f>
        <v>35</v>
      </c>
      <c r="T3269">
        <f t="shared" si="102"/>
        <v>50</v>
      </c>
      <c r="U3269" t="str">
        <f t="shared" si="103"/>
        <v>Suburbano</v>
      </c>
    </row>
    <row r="3270" spans="1:21" ht="16" x14ac:dyDescent="0.4">
      <c r="A3270" s="9">
        <v>83279</v>
      </c>
      <c r="B3270" s="8" t="s">
        <v>52</v>
      </c>
      <c r="C3270" s="8" t="s">
        <v>17</v>
      </c>
      <c r="D3270" s="8">
        <v>1300</v>
      </c>
      <c r="E3270" s="8">
        <v>596</v>
      </c>
      <c r="F3270" s="8">
        <v>772</v>
      </c>
      <c r="G3270" s="8">
        <v>3</v>
      </c>
      <c r="H3270" s="8">
        <v>28518</v>
      </c>
      <c r="I3270" s="8">
        <v>1</v>
      </c>
      <c r="J3270" s="8">
        <v>66</v>
      </c>
      <c r="K3270" s="8">
        <v>717</v>
      </c>
      <c r="L3270" s="8">
        <v>674</v>
      </c>
      <c r="M3270" s="8">
        <v>9</v>
      </c>
      <c r="N3270">
        <f>VLOOKUP(A3270,vlookup_table!$A:$G,2,FALSE)</f>
        <v>0</v>
      </c>
      <c r="O3270" t="str">
        <f>VLOOKUP(A3270,vlookup_table!$A:$G,3,FALSE)</f>
        <v>MN</v>
      </c>
      <c r="P3270">
        <f>VLOOKUP(A3270,vlookup_table!$A:$G,4,FALSE)</f>
        <v>4501</v>
      </c>
      <c r="Q3270" t="str">
        <f>VLOOKUP(A3270,vlookup_table!$A:$G,5,FALSE)</f>
        <v>S1</v>
      </c>
      <c r="R3270" t="str">
        <f>VLOOKUP(A3270,vlookup_table!$A:$G,6,FALSE)</f>
        <v>F</v>
      </c>
      <c r="S3270">
        <f>VLOOKUP(A3270,vlookup_table!$A:$G,7,FALSE)</f>
        <v>19</v>
      </c>
      <c r="T3270">
        <f t="shared" si="102"/>
        <v>51</v>
      </c>
      <c r="U3270" t="str">
        <f t="shared" si="103"/>
        <v>Suburbano</v>
      </c>
    </row>
    <row r="3271" spans="1:21" ht="16" x14ac:dyDescent="0.4">
      <c r="A3271" s="9">
        <v>153026</v>
      </c>
      <c r="B3271" s="8" t="s">
        <v>21</v>
      </c>
      <c r="C3271" s="8" t="s">
        <v>17</v>
      </c>
      <c r="D3271" s="8">
        <v>1625</v>
      </c>
      <c r="E3271" s="8">
        <v>196</v>
      </c>
      <c r="F3271" s="8">
        <v>256</v>
      </c>
      <c r="G3271" s="8">
        <v>0</v>
      </c>
      <c r="H3271" s="8">
        <v>10679</v>
      </c>
      <c r="I3271" s="8">
        <v>7</v>
      </c>
      <c r="J3271" s="8">
        <v>23</v>
      </c>
      <c r="K3271" s="8">
        <v>197</v>
      </c>
      <c r="L3271" s="8">
        <v>238</v>
      </c>
      <c r="M3271" s="8">
        <v>6.2142857139999998</v>
      </c>
      <c r="N3271">
        <f>VLOOKUP(A3271,vlookup_table!$A:$G,2,FALSE)</f>
        <v>2</v>
      </c>
      <c r="O3271" t="str">
        <f>VLOOKUP(A3271,vlookup_table!$A:$G,3,FALSE)</f>
        <v>CA</v>
      </c>
      <c r="P3271">
        <f>VLOOKUP(A3271,vlookup_table!$A:$G,4,FALSE)</f>
        <v>2601</v>
      </c>
      <c r="Q3271" t="str">
        <f>VLOOKUP(A3271,vlookup_table!$A:$G,5,FALSE)</f>
        <v>C3</v>
      </c>
      <c r="R3271" t="str">
        <f>VLOOKUP(A3271,vlookup_table!$A:$G,6,FALSE)</f>
        <v>F</v>
      </c>
      <c r="S3271">
        <f>VLOOKUP(A3271,vlookup_table!$A:$G,7,FALSE)</f>
        <v>10</v>
      </c>
      <c r="T3271">
        <f t="shared" si="102"/>
        <v>70</v>
      </c>
      <c r="U3271" t="str">
        <f t="shared" si="103"/>
        <v>Ciudad</v>
      </c>
    </row>
    <row r="3272" spans="1:21" ht="16" x14ac:dyDescent="0.4">
      <c r="A3272" s="9">
        <v>162687</v>
      </c>
      <c r="B3272" s="8" t="s">
        <v>21</v>
      </c>
      <c r="C3272" s="8" t="s">
        <v>17</v>
      </c>
      <c r="D3272" s="8">
        <v>3238</v>
      </c>
      <c r="E3272" s="8">
        <v>271</v>
      </c>
      <c r="F3272" s="8">
        <v>402</v>
      </c>
      <c r="G3272" s="8">
        <v>93</v>
      </c>
      <c r="H3272" s="8">
        <v>21383</v>
      </c>
      <c r="I3272" s="8">
        <v>17</v>
      </c>
      <c r="J3272" s="8">
        <v>45</v>
      </c>
      <c r="K3272" s="8">
        <v>389</v>
      </c>
      <c r="L3272" s="8">
        <v>325</v>
      </c>
      <c r="M3272" s="8">
        <v>15.4</v>
      </c>
      <c r="N3272">
        <f>VLOOKUP(A3272,vlookup_table!$A:$G,2,FALSE)</f>
        <v>0</v>
      </c>
      <c r="O3272" t="str">
        <f>VLOOKUP(A3272,vlookup_table!$A:$G,3,FALSE)</f>
        <v>CA</v>
      </c>
      <c r="P3272">
        <f>VLOOKUP(A3272,vlookup_table!$A:$G,4,FALSE)</f>
        <v>4001</v>
      </c>
      <c r="Q3272" t="str">
        <f>VLOOKUP(A3272,vlookup_table!$A:$G,5,FALSE)</f>
        <v>U1</v>
      </c>
      <c r="R3272" t="str">
        <f>VLOOKUP(A3272,vlookup_table!$A:$G,6,FALSE)</f>
        <v>F</v>
      </c>
      <c r="S3272">
        <f>VLOOKUP(A3272,vlookup_table!$A:$G,7,FALSE)</f>
        <v>35</v>
      </c>
      <c r="T3272">
        <f t="shared" si="102"/>
        <v>56</v>
      </c>
      <c r="U3272" t="str">
        <f t="shared" si="103"/>
        <v>Urbano</v>
      </c>
    </row>
    <row r="3273" spans="1:21" ht="16" x14ac:dyDescent="0.4">
      <c r="A3273" s="9">
        <v>133283</v>
      </c>
      <c r="B3273" s="8" t="s">
        <v>38</v>
      </c>
      <c r="C3273" s="8" t="s">
        <v>14</v>
      </c>
      <c r="D3273" s="8">
        <v>595</v>
      </c>
      <c r="E3273" s="8">
        <v>276</v>
      </c>
      <c r="F3273" s="8">
        <v>323</v>
      </c>
      <c r="G3273" s="8">
        <v>1</v>
      </c>
      <c r="H3273" s="8">
        <v>9788</v>
      </c>
      <c r="I3273" s="8">
        <v>2</v>
      </c>
      <c r="J3273" s="8">
        <v>52</v>
      </c>
      <c r="K3273" s="8">
        <v>283</v>
      </c>
      <c r="L3273" s="8">
        <v>312</v>
      </c>
      <c r="M3273" s="8">
        <v>10.83333333</v>
      </c>
      <c r="N3273">
        <f>VLOOKUP(A3273,vlookup_table!$A:$G,2,FALSE)</f>
        <v>1002</v>
      </c>
      <c r="O3273" t="str">
        <f>VLOOKUP(A3273,vlookup_table!$A:$G,3,FALSE)</f>
        <v>ID</v>
      </c>
      <c r="P3273">
        <f>VLOOKUP(A3273,vlookup_table!$A:$G,4,FALSE)</f>
        <v>0</v>
      </c>
      <c r="Q3273" t="str">
        <f>VLOOKUP(A3273,vlookup_table!$A:$G,5,FALSE)</f>
        <v>R2</v>
      </c>
      <c r="R3273" t="str">
        <f>VLOOKUP(A3273,vlookup_table!$A:$G,6,FALSE)</f>
        <v>M</v>
      </c>
      <c r="S3273">
        <f>VLOOKUP(A3273,vlookup_table!$A:$G,7,FALSE)</f>
        <v>15</v>
      </c>
      <c r="T3273">
        <f t="shared" si="102"/>
        <v>96</v>
      </c>
      <c r="U3273" t="str">
        <f t="shared" si="103"/>
        <v>Rural</v>
      </c>
    </row>
    <row r="3274" spans="1:21" ht="16" x14ac:dyDescent="0.4">
      <c r="A3274" s="9">
        <v>58934</v>
      </c>
      <c r="B3274" s="8" t="s">
        <v>53</v>
      </c>
      <c r="C3274" s="8" t="s">
        <v>17</v>
      </c>
      <c r="D3274" s="8">
        <v>282</v>
      </c>
      <c r="E3274" s="8">
        <v>169</v>
      </c>
      <c r="F3274" s="8">
        <v>225</v>
      </c>
      <c r="G3274" s="8">
        <v>1</v>
      </c>
      <c r="H3274" s="8">
        <v>7323</v>
      </c>
      <c r="I3274" s="8">
        <v>0</v>
      </c>
      <c r="J3274" s="8">
        <v>87</v>
      </c>
      <c r="K3274" s="8">
        <v>198</v>
      </c>
      <c r="L3274" s="8">
        <v>190</v>
      </c>
      <c r="M3274" s="8">
        <v>15</v>
      </c>
      <c r="N3274">
        <f>VLOOKUP(A3274,vlookup_table!$A:$G,2,FALSE)</f>
        <v>0</v>
      </c>
      <c r="O3274" t="str">
        <f>VLOOKUP(A3274,vlookup_table!$A:$G,3,FALSE)</f>
        <v>KY</v>
      </c>
      <c r="P3274">
        <f>VLOOKUP(A3274,vlookup_table!$A:$G,4,FALSE)</f>
        <v>0</v>
      </c>
      <c r="Q3274" t="str">
        <f>VLOOKUP(A3274,vlookup_table!$A:$G,5,FALSE)</f>
        <v>R3</v>
      </c>
      <c r="R3274" t="str">
        <f>VLOOKUP(A3274,vlookup_table!$A:$G,6,FALSE)</f>
        <v>F</v>
      </c>
      <c r="S3274">
        <f>VLOOKUP(A3274,vlookup_table!$A:$G,7,FALSE)</f>
        <v>10</v>
      </c>
      <c r="T3274">
        <f t="shared" si="102"/>
        <v>96</v>
      </c>
      <c r="U3274" t="str">
        <f t="shared" si="103"/>
        <v>Rural</v>
      </c>
    </row>
    <row r="3275" spans="1:21" ht="16" x14ac:dyDescent="0.4">
      <c r="A3275" s="9">
        <v>151195</v>
      </c>
      <c r="B3275" s="8" t="s">
        <v>21</v>
      </c>
      <c r="C3275" s="8" t="s">
        <v>17</v>
      </c>
      <c r="D3275" s="8">
        <v>3905</v>
      </c>
      <c r="E3275" s="8">
        <v>882</v>
      </c>
      <c r="F3275" s="8">
        <v>989</v>
      </c>
      <c r="G3275" s="8">
        <v>95</v>
      </c>
      <c r="H3275" s="8">
        <v>35563</v>
      </c>
      <c r="I3275" s="8">
        <v>14</v>
      </c>
      <c r="J3275" s="8">
        <v>37</v>
      </c>
      <c r="K3275" s="8">
        <v>1022</v>
      </c>
      <c r="L3275" s="8">
        <v>923</v>
      </c>
      <c r="M3275" s="8">
        <v>8.25</v>
      </c>
      <c r="N3275">
        <f>VLOOKUP(A3275,vlookup_table!$A:$G,2,FALSE)</f>
        <v>0</v>
      </c>
      <c r="O3275" t="str">
        <f>VLOOKUP(A3275,vlookup_table!$A:$G,3,FALSE)</f>
        <v>CA</v>
      </c>
      <c r="P3275">
        <f>VLOOKUP(A3275,vlookup_table!$A:$G,4,FALSE)</f>
        <v>1001</v>
      </c>
      <c r="Q3275" t="str">
        <f>VLOOKUP(A3275,vlookup_table!$A:$G,5,FALSE)</f>
        <v/>
      </c>
      <c r="R3275" t="str">
        <f>VLOOKUP(A3275,vlookup_table!$A:$G,6,FALSE)</f>
        <v>F</v>
      </c>
      <c r="S3275">
        <f>VLOOKUP(A3275,vlookup_table!$A:$G,7,FALSE)</f>
        <v>10</v>
      </c>
      <c r="T3275">
        <f t="shared" si="102"/>
        <v>86</v>
      </c>
      <c r="U3275" t="str">
        <f t="shared" si="103"/>
        <v/>
      </c>
    </row>
    <row r="3276" spans="1:21" ht="16" x14ac:dyDescent="0.4">
      <c r="A3276" s="9">
        <v>1322</v>
      </c>
      <c r="B3276" s="8" t="s">
        <v>26</v>
      </c>
      <c r="C3276" s="8" t="s">
        <v>17</v>
      </c>
      <c r="D3276" s="8">
        <v>376</v>
      </c>
      <c r="E3276" s="8">
        <v>397</v>
      </c>
      <c r="F3276" s="8">
        <v>412</v>
      </c>
      <c r="G3276" s="8">
        <v>0</v>
      </c>
      <c r="H3276" s="8">
        <v>15260</v>
      </c>
      <c r="I3276" s="8">
        <v>3</v>
      </c>
      <c r="J3276" s="8">
        <v>77</v>
      </c>
      <c r="K3276" s="8">
        <v>401</v>
      </c>
      <c r="L3276" s="8">
        <v>405</v>
      </c>
      <c r="M3276" s="8">
        <v>12.42857143</v>
      </c>
      <c r="N3276">
        <f>VLOOKUP(A3276,vlookup_table!$A:$G,2,FALSE)</f>
        <v>28</v>
      </c>
      <c r="O3276" t="str">
        <f>VLOOKUP(A3276,vlookup_table!$A:$G,3,FALSE)</f>
        <v>MI</v>
      </c>
      <c r="P3276">
        <f>VLOOKUP(A3276,vlookup_table!$A:$G,4,FALSE)</f>
        <v>4301</v>
      </c>
      <c r="Q3276" t="str">
        <f>VLOOKUP(A3276,vlookup_table!$A:$G,5,FALSE)</f>
        <v>U2</v>
      </c>
      <c r="R3276" t="str">
        <f>VLOOKUP(A3276,vlookup_table!$A:$G,6,FALSE)</f>
        <v>F</v>
      </c>
      <c r="S3276">
        <f>VLOOKUP(A3276,vlookup_table!$A:$G,7,FALSE)</f>
        <v>14</v>
      </c>
      <c r="T3276">
        <f t="shared" si="102"/>
        <v>53</v>
      </c>
      <c r="U3276" t="str">
        <f t="shared" si="103"/>
        <v>Urbano</v>
      </c>
    </row>
    <row r="3277" spans="1:21" ht="16" x14ac:dyDescent="0.4">
      <c r="A3277" s="9">
        <v>157307</v>
      </c>
      <c r="B3277" s="8" t="s">
        <v>21</v>
      </c>
      <c r="C3277" s="8" t="s">
        <v>14</v>
      </c>
      <c r="D3277" s="8">
        <v>3254</v>
      </c>
      <c r="E3277" s="8">
        <v>481</v>
      </c>
      <c r="F3277" s="8">
        <v>614</v>
      </c>
      <c r="G3277" s="8">
        <v>91</v>
      </c>
      <c r="H3277" s="8">
        <v>18646</v>
      </c>
      <c r="I3277" s="8">
        <v>16</v>
      </c>
      <c r="J3277" s="8">
        <v>44</v>
      </c>
      <c r="K3277" s="8">
        <v>607</v>
      </c>
      <c r="L3277" s="8">
        <v>485</v>
      </c>
      <c r="M3277" s="8">
        <v>25</v>
      </c>
      <c r="N3277">
        <f>VLOOKUP(A3277,vlookup_table!$A:$G,2,FALSE)</f>
        <v>1</v>
      </c>
      <c r="O3277" t="str">
        <f>VLOOKUP(A3277,vlookup_table!$A:$G,3,FALSE)</f>
        <v>CA</v>
      </c>
      <c r="P3277">
        <f>VLOOKUP(A3277,vlookup_table!$A:$G,4,FALSE)</f>
        <v>6001</v>
      </c>
      <c r="Q3277" t="str">
        <f>VLOOKUP(A3277,vlookup_table!$A:$G,5,FALSE)</f>
        <v>U1</v>
      </c>
      <c r="R3277" t="str">
        <f>VLOOKUP(A3277,vlookup_table!$A:$G,6,FALSE)</f>
        <v>M</v>
      </c>
      <c r="S3277">
        <f>VLOOKUP(A3277,vlookup_table!$A:$G,7,FALSE)</f>
        <v>30</v>
      </c>
      <c r="T3277">
        <f t="shared" si="102"/>
        <v>36</v>
      </c>
      <c r="U3277" t="str">
        <f t="shared" si="103"/>
        <v>Urbano</v>
      </c>
    </row>
    <row r="3278" spans="1:21" ht="16" x14ac:dyDescent="0.4">
      <c r="A3278" s="9">
        <v>175582</v>
      </c>
      <c r="B3278" s="8" t="s">
        <v>47</v>
      </c>
      <c r="C3278" s="8" t="s">
        <v>17</v>
      </c>
      <c r="D3278" s="8">
        <v>411</v>
      </c>
      <c r="E3278" s="8">
        <v>198</v>
      </c>
      <c r="F3278" s="8">
        <v>240</v>
      </c>
      <c r="G3278" s="8">
        <v>0</v>
      </c>
      <c r="H3278" s="8">
        <v>9565</v>
      </c>
      <c r="I3278" s="8">
        <v>6</v>
      </c>
      <c r="J3278" s="8">
        <v>55</v>
      </c>
      <c r="K3278" s="8">
        <v>225</v>
      </c>
      <c r="L3278" s="8">
        <v>225</v>
      </c>
      <c r="M3278" s="8">
        <v>9.4285714289999998</v>
      </c>
      <c r="N3278">
        <f>VLOOKUP(A3278,vlookup_table!$A:$G,2,FALSE)</f>
        <v>28</v>
      </c>
      <c r="O3278" t="str">
        <f>VLOOKUP(A3278,vlookup_table!$A:$G,3,FALSE)</f>
        <v>OR</v>
      </c>
      <c r="P3278">
        <f>VLOOKUP(A3278,vlookup_table!$A:$G,4,FALSE)</f>
        <v>6011</v>
      </c>
      <c r="Q3278" t="str">
        <f>VLOOKUP(A3278,vlookup_table!$A:$G,5,FALSE)</f>
        <v>C3</v>
      </c>
      <c r="R3278" t="str">
        <f>VLOOKUP(A3278,vlookup_table!$A:$G,6,FALSE)</f>
        <v>F</v>
      </c>
      <c r="S3278">
        <f>VLOOKUP(A3278,vlookup_table!$A:$G,7,FALSE)</f>
        <v>15</v>
      </c>
      <c r="T3278">
        <f t="shared" si="102"/>
        <v>36</v>
      </c>
      <c r="U3278" t="str">
        <f t="shared" si="103"/>
        <v>Ciudad</v>
      </c>
    </row>
    <row r="3279" spans="1:21" ht="16" x14ac:dyDescent="0.4">
      <c r="A3279" s="9">
        <v>78875</v>
      </c>
      <c r="B3279" s="8" t="s">
        <v>32</v>
      </c>
      <c r="C3279" s="8" t="s">
        <v>17</v>
      </c>
      <c r="D3279" s="8">
        <v>1043</v>
      </c>
      <c r="E3279" s="8">
        <v>519</v>
      </c>
      <c r="F3279" s="8">
        <v>604</v>
      </c>
      <c r="G3279" s="8">
        <v>3</v>
      </c>
      <c r="H3279" s="8">
        <v>22555</v>
      </c>
      <c r="I3279" s="8">
        <v>10</v>
      </c>
      <c r="J3279" s="8">
        <v>64</v>
      </c>
      <c r="K3279" s="8">
        <v>544</v>
      </c>
      <c r="L3279" s="8">
        <v>578</v>
      </c>
      <c r="M3279" s="8">
        <v>15</v>
      </c>
      <c r="N3279">
        <f>VLOOKUP(A3279,vlookup_table!$A:$G,2,FALSE)</f>
        <v>28</v>
      </c>
      <c r="O3279" t="str">
        <f>VLOOKUP(A3279,vlookup_table!$A:$G,3,FALSE)</f>
        <v>WI</v>
      </c>
      <c r="P3279">
        <f>VLOOKUP(A3279,vlookup_table!$A:$G,4,FALSE)</f>
        <v>403</v>
      </c>
      <c r="Q3279" t="str">
        <f>VLOOKUP(A3279,vlookup_table!$A:$G,5,FALSE)</f>
        <v>S1</v>
      </c>
      <c r="R3279" t="str">
        <f>VLOOKUP(A3279,vlookup_table!$A:$G,6,FALSE)</f>
        <v>F</v>
      </c>
      <c r="S3279">
        <f>VLOOKUP(A3279,vlookup_table!$A:$G,7,FALSE)</f>
        <v>15</v>
      </c>
      <c r="T3279">
        <f t="shared" si="102"/>
        <v>56</v>
      </c>
      <c r="U3279" t="str">
        <f t="shared" si="103"/>
        <v>Suburbano</v>
      </c>
    </row>
    <row r="3280" spans="1:21" ht="16" x14ac:dyDescent="0.4">
      <c r="A3280" s="9">
        <v>57705</v>
      </c>
      <c r="B3280" s="8" t="s">
        <v>53</v>
      </c>
      <c r="C3280" s="8" t="s">
        <v>17</v>
      </c>
      <c r="D3280" s="8">
        <v>375</v>
      </c>
      <c r="E3280" s="8">
        <v>145</v>
      </c>
      <c r="F3280" s="8">
        <v>205</v>
      </c>
      <c r="G3280" s="8">
        <v>0</v>
      </c>
      <c r="H3280" s="8">
        <v>8278</v>
      </c>
      <c r="I3280" s="8">
        <v>0</v>
      </c>
      <c r="J3280" s="8">
        <v>72</v>
      </c>
      <c r="K3280" s="8">
        <v>138</v>
      </c>
      <c r="L3280" s="8">
        <v>189</v>
      </c>
      <c r="M3280" s="8">
        <v>3.576923077</v>
      </c>
      <c r="N3280">
        <f>VLOOKUP(A3280,vlookup_table!$A:$G,2,FALSE)</f>
        <v>0</v>
      </c>
      <c r="O3280" t="str">
        <f>VLOOKUP(A3280,vlookup_table!$A:$G,3,FALSE)</f>
        <v>KY</v>
      </c>
      <c r="P3280">
        <f>VLOOKUP(A3280,vlookup_table!$A:$G,4,FALSE)</f>
        <v>0</v>
      </c>
      <c r="Q3280" t="str">
        <f>VLOOKUP(A3280,vlookup_table!$A:$G,5,FALSE)</f>
        <v>U4</v>
      </c>
      <c r="R3280" t="str">
        <f>VLOOKUP(A3280,vlookup_table!$A:$G,6,FALSE)</f>
        <v>F</v>
      </c>
      <c r="S3280">
        <f>VLOOKUP(A3280,vlookup_table!$A:$G,7,FALSE)</f>
        <v>5</v>
      </c>
      <c r="T3280">
        <f t="shared" si="102"/>
        <v>96</v>
      </c>
      <c r="U3280" t="str">
        <f t="shared" si="103"/>
        <v>Urbano</v>
      </c>
    </row>
    <row r="3281" spans="1:21" ht="16" x14ac:dyDescent="0.4">
      <c r="A3281" s="9">
        <v>70039</v>
      </c>
      <c r="B3281" s="8" t="s">
        <v>26</v>
      </c>
      <c r="C3281" s="8" t="s">
        <v>14</v>
      </c>
      <c r="D3281" s="8">
        <v>828</v>
      </c>
      <c r="E3281" s="8">
        <v>452</v>
      </c>
      <c r="F3281" s="8">
        <v>594</v>
      </c>
      <c r="G3281" s="8">
        <v>5</v>
      </c>
      <c r="H3281" s="8">
        <v>21946</v>
      </c>
      <c r="I3281" s="8">
        <v>6</v>
      </c>
      <c r="J3281" s="8">
        <v>76</v>
      </c>
      <c r="K3281" s="8">
        <v>495</v>
      </c>
      <c r="L3281" s="8">
        <v>515</v>
      </c>
      <c r="M3281" s="8">
        <v>10.133333329999999</v>
      </c>
      <c r="N3281">
        <f>VLOOKUP(A3281,vlookup_table!$A:$G,2,FALSE)</f>
        <v>1</v>
      </c>
      <c r="O3281" t="str">
        <f>VLOOKUP(A3281,vlookup_table!$A:$G,3,FALSE)</f>
        <v>MI</v>
      </c>
      <c r="P3281">
        <f>VLOOKUP(A3281,vlookup_table!$A:$G,4,FALSE)</f>
        <v>5002</v>
      </c>
      <c r="Q3281" t="str">
        <f>VLOOKUP(A3281,vlookup_table!$A:$G,5,FALSE)</f>
        <v>T2</v>
      </c>
      <c r="R3281" t="str">
        <f>VLOOKUP(A3281,vlookup_table!$A:$G,6,FALSE)</f>
        <v>M</v>
      </c>
      <c r="S3281">
        <f>VLOOKUP(A3281,vlookup_table!$A:$G,7,FALSE)</f>
        <v>13</v>
      </c>
      <c r="T3281">
        <f t="shared" si="102"/>
        <v>46</v>
      </c>
      <c r="U3281" t="str">
        <f t="shared" si="103"/>
        <v>Pueblo</v>
      </c>
    </row>
    <row r="3282" spans="1:21" ht="16" x14ac:dyDescent="0.4">
      <c r="A3282" s="9">
        <v>138307</v>
      </c>
      <c r="B3282" s="8" t="s">
        <v>51</v>
      </c>
      <c r="C3282" s="8" t="s">
        <v>97</v>
      </c>
      <c r="D3282" s="8">
        <v>1711</v>
      </c>
      <c r="E3282" s="8">
        <v>401</v>
      </c>
      <c r="F3282" s="8">
        <v>608</v>
      </c>
      <c r="G3282" s="8">
        <v>33</v>
      </c>
      <c r="H3282" s="8">
        <v>23098</v>
      </c>
      <c r="I3282" s="8">
        <v>9</v>
      </c>
      <c r="J3282" s="8">
        <v>18</v>
      </c>
      <c r="K3282" s="8">
        <v>441</v>
      </c>
      <c r="L3282" s="8">
        <v>527</v>
      </c>
      <c r="M3282" s="8">
        <v>12.4</v>
      </c>
      <c r="N3282">
        <f>VLOOKUP(A3282,vlookup_table!$A:$G,2,FALSE)</f>
        <v>0</v>
      </c>
      <c r="O3282" t="str">
        <f>VLOOKUP(A3282,vlookup_table!$A:$G,3,FALSE)</f>
        <v>AZ</v>
      </c>
      <c r="P3282">
        <f>VLOOKUP(A3282,vlookup_table!$A:$G,4,FALSE)</f>
        <v>4310</v>
      </c>
      <c r="Q3282" t="str">
        <f>VLOOKUP(A3282,vlookup_table!$A:$G,5,FALSE)</f>
        <v>S1</v>
      </c>
      <c r="R3282" t="str">
        <f>VLOOKUP(A3282,vlookup_table!$A:$G,6,FALSE)</f>
        <v>F</v>
      </c>
      <c r="S3282">
        <f>VLOOKUP(A3282,vlookup_table!$A:$G,7,FALSE)</f>
        <v>18</v>
      </c>
      <c r="T3282">
        <f t="shared" si="102"/>
        <v>53</v>
      </c>
      <c r="U3282" t="str">
        <f t="shared" si="103"/>
        <v>Suburbano</v>
      </c>
    </row>
    <row r="3283" spans="1:21" ht="16" x14ac:dyDescent="0.4">
      <c r="A3283" s="9">
        <v>163614</v>
      </c>
      <c r="B3283" s="8" t="s">
        <v>21</v>
      </c>
      <c r="C3283" s="8" t="s">
        <v>17</v>
      </c>
      <c r="D3283" s="8">
        <v>4051</v>
      </c>
      <c r="E3283" s="8">
        <v>588</v>
      </c>
      <c r="F3283" s="8">
        <v>630</v>
      </c>
      <c r="G3283" s="8">
        <v>97</v>
      </c>
      <c r="H3283" s="8">
        <v>21692</v>
      </c>
      <c r="I3283" s="8">
        <v>22</v>
      </c>
      <c r="J3283" s="8">
        <v>57</v>
      </c>
      <c r="K3283" s="8">
        <v>605</v>
      </c>
      <c r="L3283" s="8">
        <v>617</v>
      </c>
      <c r="M3283" s="8">
        <v>4.5714285710000002</v>
      </c>
      <c r="N3283">
        <f>VLOOKUP(A3283,vlookup_table!$A:$G,2,FALSE)</f>
        <v>0</v>
      </c>
      <c r="O3283" t="str">
        <f>VLOOKUP(A3283,vlookup_table!$A:$G,3,FALSE)</f>
        <v>CA</v>
      </c>
      <c r="P3283">
        <f>VLOOKUP(A3283,vlookup_table!$A:$G,4,FALSE)</f>
        <v>0</v>
      </c>
      <c r="Q3283" t="str">
        <f>VLOOKUP(A3283,vlookup_table!$A:$G,5,FALSE)</f>
        <v>U1</v>
      </c>
      <c r="R3283" t="str">
        <f>VLOOKUP(A3283,vlookup_table!$A:$G,6,FALSE)</f>
        <v>F</v>
      </c>
      <c r="S3283">
        <f>VLOOKUP(A3283,vlookup_table!$A:$G,7,FALSE)</f>
        <v>10</v>
      </c>
      <c r="T3283">
        <f t="shared" si="102"/>
        <v>96</v>
      </c>
      <c r="U3283" t="str">
        <f t="shared" si="103"/>
        <v>Urbano</v>
      </c>
    </row>
    <row r="3284" spans="1:21" ht="16" x14ac:dyDescent="0.4">
      <c r="A3284" s="9">
        <v>21966</v>
      </c>
      <c r="B3284" s="8" t="s">
        <v>18</v>
      </c>
      <c r="C3284" s="8" t="s">
        <v>97</v>
      </c>
      <c r="D3284" s="8">
        <v>824</v>
      </c>
      <c r="E3284" s="8">
        <v>285</v>
      </c>
      <c r="F3284" s="8">
        <v>356</v>
      </c>
      <c r="G3284" s="8">
        <v>3</v>
      </c>
      <c r="H3284" s="8">
        <v>13339</v>
      </c>
      <c r="I3284" s="8">
        <v>2</v>
      </c>
      <c r="J3284" s="8">
        <v>59</v>
      </c>
      <c r="K3284" s="8">
        <v>305</v>
      </c>
      <c r="L3284" s="8">
        <v>333</v>
      </c>
      <c r="M3284" s="8">
        <v>5.92</v>
      </c>
      <c r="N3284">
        <f>VLOOKUP(A3284,vlookup_table!$A:$G,2,FALSE)</f>
        <v>2</v>
      </c>
      <c r="O3284" t="str">
        <f>VLOOKUP(A3284,vlookup_table!$A:$G,3,FALSE)</f>
        <v>NC</v>
      </c>
      <c r="P3284">
        <f>VLOOKUP(A3284,vlookup_table!$A:$G,4,FALSE)</f>
        <v>0</v>
      </c>
      <c r="Q3284" t="str">
        <f>VLOOKUP(A3284,vlookup_table!$A:$G,5,FALSE)</f>
        <v>R2</v>
      </c>
      <c r="R3284" t="str">
        <f>VLOOKUP(A3284,vlookup_table!$A:$G,6,FALSE)</f>
        <v>F</v>
      </c>
      <c r="S3284">
        <f>VLOOKUP(A3284,vlookup_table!$A:$G,7,FALSE)</f>
        <v>6</v>
      </c>
      <c r="T3284">
        <f t="shared" si="102"/>
        <v>96</v>
      </c>
      <c r="U3284" t="str">
        <f t="shared" si="103"/>
        <v>Rural</v>
      </c>
    </row>
    <row r="3285" spans="1:21" ht="16" x14ac:dyDescent="0.4">
      <c r="A3285" s="9">
        <v>44433</v>
      </c>
      <c r="B3285" s="8" t="s">
        <v>13</v>
      </c>
      <c r="C3285" s="8" t="s">
        <v>14</v>
      </c>
      <c r="D3285" s="8">
        <v>606</v>
      </c>
      <c r="E3285" s="8">
        <v>220</v>
      </c>
      <c r="F3285" s="8">
        <v>290</v>
      </c>
      <c r="G3285" s="8">
        <v>2</v>
      </c>
      <c r="H3285" s="8">
        <v>11294</v>
      </c>
      <c r="I3285" s="8">
        <v>6</v>
      </c>
      <c r="J3285" s="8">
        <v>24</v>
      </c>
      <c r="K3285" s="8">
        <v>244</v>
      </c>
      <c r="L3285" s="8">
        <v>265</v>
      </c>
      <c r="M3285" s="8">
        <v>11</v>
      </c>
      <c r="N3285">
        <f>VLOOKUP(A3285,vlookup_table!$A:$G,2,FALSE)</f>
        <v>1</v>
      </c>
      <c r="O3285" t="str">
        <f>VLOOKUP(A3285,vlookup_table!$A:$G,3,FALSE)</f>
        <v>FL</v>
      </c>
      <c r="P3285">
        <f>VLOOKUP(A3285,vlookup_table!$A:$G,4,FALSE)</f>
        <v>2308</v>
      </c>
      <c r="Q3285" t="str">
        <f>VLOOKUP(A3285,vlookup_table!$A:$G,5,FALSE)</f>
        <v>C2</v>
      </c>
      <c r="R3285" t="str">
        <f>VLOOKUP(A3285,vlookup_table!$A:$G,6,FALSE)</f>
        <v>M</v>
      </c>
      <c r="S3285">
        <f>VLOOKUP(A3285,vlookup_table!$A:$G,7,FALSE)</f>
        <v>10</v>
      </c>
      <c r="T3285">
        <f t="shared" si="102"/>
        <v>73</v>
      </c>
      <c r="U3285" t="str">
        <f t="shared" si="103"/>
        <v>Ciudad</v>
      </c>
    </row>
    <row r="3286" spans="1:21" ht="16" x14ac:dyDescent="0.4">
      <c r="A3286" s="9">
        <v>189234</v>
      </c>
      <c r="B3286" s="8" t="s">
        <v>23</v>
      </c>
      <c r="C3286" s="8" t="s">
        <v>17</v>
      </c>
      <c r="D3286" s="8">
        <v>781</v>
      </c>
      <c r="E3286" s="8">
        <v>221</v>
      </c>
      <c r="F3286" s="8">
        <v>321</v>
      </c>
      <c r="G3286" s="8">
        <v>1</v>
      </c>
      <c r="H3286" s="8">
        <v>13071</v>
      </c>
      <c r="I3286" s="8">
        <v>4</v>
      </c>
      <c r="J3286" s="8">
        <v>15</v>
      </c>
      <c r="K3286" s="8">
        <v>263</v>
      </c>
      <c r="L3286" s="8">
        <v>294</v>
      </c>
      <c r="M3286" s="8">
        <v>6.3333333329999997</v>
      </c>
      <c r="N3286">
        <f>VLOOKUP(A3286,vlookup_table!$A:$G,2,FALSE)</f>
        <v>28</v>
      </c>
      <c r="O3286" t="str">
        <f>VLOOKUP(A3286,vlookup_table!$A:$G,3,FALSE)</f>
        <v>NV</v>
      </c>
      <c r="P3286">
        <f>VLOOKUP(A3286,vlookup_table!$A:$G,4,FALSE)</f>
        <v>0</v>
      </c>
      <c r="Q3286" t="str">
        <f>VLOOKUP(A3286,vlookup_table!$A:$G,5,FALSE)</f>
        <v>U3</v>
      </c>
      <c r="R3286" t="str">
        <f>VLOOKUP(A3286,vlookup_table!$A:$G,6,FALSE)</f>
        <v>F</v>
      </c>
      <c r="S3286">
        <f>VLOOKUP(A3286,vlookup_table!$A:$G,7,FALSE)</f>
        <v>5</v>
      </c>
      <c r="T3286">
        <f t="shared" si="102"/>
        <v>96</v>
      </c>
      <c r="U3286" t="str">
        <f t="shared" si="103"/>
        <v>Urbano</v>
      </c>
    </row>
    <row r="3287" spans="1:21" ht="16" x14ac:dyDescent="0.4">
      <c r="A3287" s="9">
        <v>37304</v>
      </c>
      <c r="B3287" s="8" t="s">
        <v>13</v>
      </c>
      <c r="C3287" s="8" t="s">
        <v>14</v>
      </c>
      <c r="D3287" s="8">
        <v>640</v>
      </c>
      <c r="E3287" s="8">
        <v>244</v>
      </c>
      <c r="F3287" s="8">
        <v>335</v>
      </c>
      <c r="G3287" s="8">
        <v>9</v>
      </c>
      <c r="H3287" s="8">
        <v>12992</v>
      </c>
      <c r="I3287" s="8">
        <v>4</v>
      </c>
      <c r="J3287" s="8">
        <v>40</v>
      </c>
      <c r="K3287" s="8">
        <v>266</v>
      </c>
      <c r="L3287" s="8">
        <v>303</v>
      </c>
      <c r="M3287" s="8">
        <v>7.6428571429999996</v>
      </c>
      <c r="N3287">
        <f>VLOOKUP(A3287,vlookup_table!$A:$G,2,FALSE)</f>
        <v>1</v>
      </c>
      <c r="O3287" t="str">
        <f>VLOOKUP(A3287,vlookup_table!$A:$G,3,FALSE)</f>
        <v>FL</v>
      </c>
      <c r="P3287">
        <f>VLOOKUP(A3287,vlookup_table!$A:$G,4,FALSE)</f>
        <v>3911</v>
      </c>
      <c r="Q3287" t="str">
        <f>VLOOKUP(A3287,vlookup_table!$A:$G,5,FALSE)</f>
        <v>S1</v>
      </c>
      <c r="R3287" t="str">
        <f>VLOOKUP(A3287,vlookup_table!$A:$G,6,FALSE)</f>
        <v>M</v>
      </c>
      <c r="S3287">
        <f>VLOOKUP(A3287,vlookup_table!$A:$G,7,FALSE)</f>
        <v>5</v>
      </c>
      <c r="T3287">
        <f t="shared" si="102"/>
        <v>57</v>
      </c>
      <c r="U3287" t="str">
        <f t="shared" si="103"/>
        <v>Suburbano</v>
      </c>
    </row>
    <row r="3288" spans="1:21" ht="16" x14ac:dyDescent="0.4">
      <c r="A3288" s="9">
        <v>35728</v>
      </c>
      <c r="B3288" s="8" t="s">
        <v>13</v>
      </c>
      <c r="C3288" s="8" t="s">
        <v>14</v>
      </c>
      <c r="D3288" s="8">
        <v>786</v>
      </c>
      <c r="E3288" s="8">
        <v>339</v>
      </c>
      <c r="F3288" s="8">
        <v>361</v>
      </c>
      <c r="G3288" s="8">
        <v>1</v>
      </c>
      <c r="H3288" s="8">
        <v>11296</v>
      </c>
      <c r="I3288" s="8">
        <v>9</v>
      </c>
      <c r="J3288" s="8">
        <v>24</v>
      </c>
      <c r="K3288" s="8">
        <v>354</v>
      </c>
      <c r="L3288" s="8">
        <v>349</v>
      </c>
      <c r="M3288" s="8">
        <v>11.33333333</v>
      </c>
      <c r="N3288">
        <f>VLOOKUP(A3288,vlookup_table!$A:$G,2,FALSE)</f>
        <v>0</v>
      </c>
      <c r="O3288" t="str">
        <f>VLOOKUP(A3288,vlookup_table!$A:$G,3,FALSE)</f>
        <v>FL</v>
      </c>
      <c r="P3288">
        <f>VLOOKUP(A3288,vlookup_table!$A:$G,4,FALSE)</f>
        <v>4801</v>
      </c>
      <c r="Q3288" t="str">
        <f>VLOOKUP(A3288,vlookup_table!$A:$G,5,FALSE)</f>
        <v>T2</v>
      </c>
      <c r="R3288" t="str">
        <f>VLOOKUP(A3288,vlookup_table!$A:$G,6,FALSE)</f>
        <v>M</v>
      </c>
      <c r="S3288">
        <f>VLOOKUP(A3288,vlookup_table!$A:$G,7,FALSE)</f>
        <v>10</v>
      </c>
      <c r="T3288">
        <f t="shared" si="102"/>
        <v>48</v>
      </c>
      <c r="U3288" t="str">
        <f t="shared" si="103"/>
        <v>Pueblo</v>
      </c>
    </row>
    <row r="3289" spans="1:21" ht="16" x14ac:dyDescent="0.4">
      <c r="A3289" s="9">
        <v>30640</v>
      </c>
      <c r="B3289" s="8" t="s">
        <v>36</v>
      </c>
      <c r="C3289" s="8" t="s">
        <v>17</v>
      </c>
      <c r="D3289" s="8">
        <v>629</v>
      </c>
      <c r="E3289" s="8">
        <v>256</v>
      </c>
      <c r="F3289" s="8">
        <v>420</v>
      </c>
      <c r="G3289" s="8">
        <v>0</v>
      </c>
      <c r="H3289" s="8">
        <v>15293</v>
      </c>
      <c r="I3289" s="8">
        <v>5</v>
      </c>
      <c r="J3289" s="8">
        <v>54</v>
      </c>
      <c r="K3289" s="8">
        <v>339</v>
      </c>
      <c r="L3289" s="8">
        <v>319</v>
      </c>
      <c r="M3289" s="8">
        <v>10.33333333</v>
      </c>
      <c r="N3289">
        <f>VLOOKUP(A3289,vlookup_table!$A:$G,2,FALSE)</f>
        <v>0</v>
      </c>
      <c r="O3289" t="str">
        <f>VLOOKUP(A3289,vlookup_table!$A:$G,3,FALSE)</f>
        <v>GA</v>
      </c>
      <c r="P3289">
        <f>VLOOKUP(A3289,vlookup_table!$A:$G,4,FALSE)</f>
        <v>3311</v>
      </c>
      <c r="Q3289" t="str">
        <f>VLOOKUP(A3289,vlookup_table!$A:$G,5,FALSE)</f>
        <v>C2</v>
      </c>
      <c r="R3289" t="str">
        <f>VLOOKUP(A3289,vlookup_table!$A:$G,6,FALSE)</f>
        <v>F</v>
      </c>
      <c r="S3289">
        <f>VLOOKUP(A3289,vlookup_table!$A:$G,7,FALSE)</f>
        <v>15</v>
      </c>
      <c r="T3289">
        <f t="shared" si="102"/>
        <v>63</v>
      </c>
      <c r="U3289" t="str">
        <f t="shared" si="103"/>
        <v>Ciudad</v>
      </c>
    </row>
    <row r="3290" spans="1:21" ht="16" x14ac:dyDescent="0.4">
      <c r="A3290" s="9">
        <v>7734</v>
      </c>
      <c r="B3290" s="8" t="s">
        <v>32</v>
      </c>
      <c r="C3290" s="8" t="s">
        <v>14</v>
      </c>
      <c r="D3290" s="8">
        <v>683</v>
      </c>
      <c r="E3290" s="8">
        <v>331</v>
      </c>
      <c r="F3290" s="8">
        <v>397</v>
      </c>
      <c r="G3290" s="8">
        <v>1</v>
      </c>
      <c r="H3290" s="8">
        <v>13025</v>
      </c>
      <c r="I3290" s="8">
        <v>2</v>
      </c>
      <c r="J3290" s="8">
        <v>92</v>
      </c>
      <c r="K3290" s="8">
        <v>349</v>
      </c>
      <c r="L3290" s="8">
        <v>367</v>
      </c>
      <c r="M3290" s="8">
        <v>11.227272729999999</v>
      </c>
      <c r="N3290">
        <f>VLOOKUP(A3290,vlookup_table!$A:$G,2,FALSE)</f>
        <v>1</v>
      </c>
      <c r="O3290" t="str">
        <f>VLOOKUP(A3290,vlookup_table!$A:$G,3,FALSE)</f>
        <v>WI</v>
      </c>
      <c r="P3290">
        <f>VLOOKUP(A3290,vlookup_table!$A:$G,4,FALSE)</f>
        <v>2512</v>
      </c>
      <c r="Q3290" t="str">
        <f>VLOOKUP(A3290,vlookup_table!$A:$G,5,FALSE)</f>
        <v>T2</v>
      </c>
      <c r="R3290" t="str">
        <f>VLOOKUP(A3290,vlookup_table!$A:$G,6,FALSE)</f>
        <v>M</v>
      </c>
      <c r="S3290">
        <f>VLOOKUP(A3290,vlookup_table!$A:$G,7,FALSE)</f>
        <v>20</v>
      </c>
      <c r="T3290">
        <f t="shared" si="102"/>
        <v>71</v>
      </c>
      <c r="U3290" t="str">
        <f t="shared" si="103"/>
        <v>Pueblo</v>
      </c>
    </row>
    <row r="3291" spans="1:21" ht="16" x14ac:dyDescent="0.4">
      <c r="A3291" s="9">
        <v>42776</v>
      </c>
      <c r="B3291" s="8" t="s">
        <v>13</v>
      </c>
      <c r="C3291" s="8" t="s">
        <v>14</v>
      </c>
      <c r="D3291" s="8">
        <v>1385</v>
      </c>
      <c r="E3291" s="8">
        <v>300</v>
      </c>
      <c r="F3291" s="8">
        <v>472</v>
      </c>
      <c r="G3291" s="8">
        <v>31</v>
      </c>
      <c r="H3291" s="8">
        <v>21226</v>
      </c>
      <c r="I3291" s="8">
        <v>5</v>
      </c>
      <c r="J3291" s="8">
        <v>13</v>
      </c>
      <c r="K3291" s="8">
        <v>358</v>
      </c>
      <c r="L3291" s="8">
        <v>391</v>
      </c>
      <c r="M3291" s="8">
        <v>14</v>
      </c>
      <c r="N3291">
        <f>VLOOKUP(A3291,vlookup_table!$A:$G,2,FALSE)</f>
        <v>2</v>
      </c>
      <c r="O3291" t="str">
        <f>VLOOKUP(A3291,vlookup_table!$A:$G,3,FALSE)</f>
        <v>FL</v>
      </c>
      <c r="P3291">
        <f>VLOOKUP(A3291,vlookup_table!$A:$G,4,FALSE)</f>
        <v>0</v>
      </c>
      <c r="Q3291" t="str">
        <f>VLOOKUP(A3291,vlookup_table!$A:$G,5,FALSE)</f>
        <v>C1</v>
      </c>
      <c r="R3291" t="str">
        <f>VLOOKUP(A3291,vlookup_table!$A:$G,6,FALSE)</f>
        <v>M</v>
      </c>
      <c r="S3291">
        <f>VLOOKUP(A3291,vlookup_table!$A:$G,7,FALSE)</f>
        <v>16</v>
      </c>
      <c r="T3291">
        <f t="shared" si="102"/>
        <v>96</v>
      </c>
      <c r="U3291" t="str">
        <f t="shared" si="103"/>
        <v>Ciudad</v>
      </c>
    </row>
    <row r="3292" spans="1:21" ht="16" x14ac:dyDescent="0.4">
      <c r="A3292" s="9">
        <v>44817</v>
      </c>
      <c r="B3292" s="8" t="s">
        <v>13</v>
      </c>
      <c r="C3292" s="8" t="s">
        <v>17</v>
      </c>
      <c r="D3292" s="8">
        <v>534</v>
      </c>
      <c r="E3292" s="8">
        <v>197</v>
      </c>
      <c r="F3292" s="8">
        <v>254</v>
      </c>
      <c r="G3292" s="8">
        <v>0</v>
      </c>
      <c r="H3292" s="8">
        <v>9144</v>
      </c>
      <c r="I3292" s="8">
        <v>2</v>
      </c>
      <c r="J3292" s="8">
        <v>25</v>
      </c>
      <c r="K3292" s="8">
        <v>223</v>
      </c>
      <c r="L3292" s="8">
        <v>231</v>
      </c>
      <c r="M3292" s="8">
        <v>3.3571428569999999</v>
      </c>
      <c r="N3292">
        <f>VLOOKUP(A3292,vlookup_table!$A:$G,2,FALSE)</f>
        <v>2</v>
      </c>
      <c r="O3292" t="str">
        <f>VLOOKUP(A3292,vlookup_table!$A:$G,3,FALSE)</f>
        <v>FL</v>
      </c>
      <c r="P3292">
        <f>VLOOKUP(A3292,vlookup_table!$A:$G,4,FALSE)</f>
        <v>1806</v>
      </c>
      <c r="Q3292" t="str">
        <f>VLOOKUP(A3292,vlookup_table!$A:$G,5,FALSE)</f>
        <v>T3</v>
      </c>
      <c r="R3292" t="str">
        <f>VLOOKUP(A3292,vlookup_table!$A:$G,6,FALSE)</f>
        <v>F</v>
      </c>
      <c r="S3292">
        <f>VLOOKUP(A3292,vlookup_table!$A:$G,7,FALSE)</f>
        <v>5</v>
      </c>
      <c r="T3292">
        <f t="shared" si="102"/>
        <v>78</v>
      </c>
      <c r="U3292" t="str">
        <f t="shared" si="103"/>
        <v>Pueblo</v>
      </c>
    </row>
    <row r="3293" spans="1:21" ht="16" x14ac:dyDescent="0.4">
      <c r="A3293" s="9">
        <v>165241</v>
      </c>
      <c r="B3293" s="8" t="s">
        <v>21</v>
      </c>
      <c r="C3293" s="8" t="s">
        <v>14</v>
      </c>
      <c r="D3293" s="8">
        <v>2589</v>
      </c>
      <c r="E3293" s="8">
        <v>620</v>
      </c>
      <c r="F3293" s="8">
        <v>733</v>
      </c>
      <c r="G3293" s="8">
        <v>81</v>
      </c>
      <c r="H3293" s="8">
        <v>28038</v>
      </c>
      <c r="I3293" s="8">
        <v>5</v>
      </c>
      <c r="J3293" s="8">
        <v>60</v>
      </c>
      <c r="K3293" s="8">
        <v>650</v>
      </c>
      <c r="L3293" s="8">
        <v>692</v>
      </c>
      <c r="M3293" s="8">
        <v>11.75</v>
      </c>
      <c r="N3293">
        <f>VLOOKUP(A3293,vlookup_table!$A:$G,2,FALSE)</f>
        <v>1</v>
      </c>
      <c r="O3293" t="str">
        <f>VLOOKUP(A3293,vlookup_table!$A:$G,3,FALSE)</f>
        <v>CA</v>
      </c>
      <c r="P3293">
        <f>VLOOKUP(A3293,vlookup_table!$A:$G,4,FALSE)</f>
        <v>2602</v>
      </c>
      <c r="Q3293" t="str">
        <f>VLOOKUP(A3293,vlookup_table!$A:$G,5,FALSE)</f>
        <v>C1</v>
      </c>
      <c r="R3293" t="str">
        <f>VLOOKUP(A3293,vlookup_table!$A:$G,6,FALSE)</f>
        <v>M</v>
      </c>
      <c r="S3293">
        <f>VLOOKUP(A3293,vlookup_table!$A:$G,7,FALSE)</f>
        <v>15</v>
      </c>
      <c r="T3293">
        <f t="shared" si="102"/>
        <v>70</v>
      </c>
      <c r="U3293" t="str">
        <f t="shared" si="103"/>
        <v>Ciudad</v>
      </c>
    </row>
    <row r="3294" spans="1:21" ht="16" x14ac:dyDescent="0.4">
      <c r="A3294" s="9">
        <v>111371</v>
      </c>
      <c r="B3294" s="8" t="s">
        <v>29</v>
      </c>
      <c r="C3294" s="8" t="s">
        <v>27</v>
      </c>
      <c r="D3294" s="8">
        <v>655</v>
      </c>
      <c r="E3294" s="8">
        <v>356</v>
      </c>
      <c r="F3294" s="8">
        <v>412</v>
      </c>
      <c r="G3294" s="8">
        <v>0</v>
      </c>
      <c r="H3294" s="8">
        <v>13334</v>
      </c>
      <c r="I3294" s="8">
        <v>2</v>
      </c>
      <c r="J3294" s="8">
        <v>48</v>
      </c>
      <c r="K3294" s="8">
        <v>401</v>
      </c>
      <c r="L3294" s="8">
        <v>362</v>
      </c>
      <c r="M3294" s="8">
        <v>8.6</v>
      </c>
      <c r="N3294">
        <f>VLOOKUP(A3294,vlookup_table!$A:$G,2,FALSE)</f>
        <v>0</v>
      </c>
      <c r="O3294" t="str">
        <f>VLOOKUP(A3294,vlookup_table!$A:$G,3,FALSE)</f>
        <v>AR</v>
      </c>
      <c r="P3294">
        <f>VLOOKUP(A3294,vlookup_table!$A:$G,4,FALSE)</f>
        <v>0</v>
      </c>
      <c r="Q3294" t="str">
        <f>VLOOKUP(A3294,vlookup_table!$A:$G,5,FALSE)</f>
        <v>T2</v>
      </c>
      <c r="R3294" t="str">
        <f>VLOOKUP(A3294,vlookup_table!$A:$G,6,FALSE)</f>
        <v>U</v>
      </c>
      <c r="S3294">
        <f>VLOOKUP(A3294,vlookup_table!$A:$G,7,FALSE)</f>
        <v>20</v>
      </c>
      <c r="T3294">
        <f t="shared" si="102"/>
        <v>96</v>
      </c>
      <c r="U3294" t="str">
        <f t="shared" si="103"/>
        <v>Pueblo</v>
      </c>
    </row>
    <row r="3295" spans="1:21" ht="16" x14ac:dyDescent="0.4">
      <c r="A3295" s="9">
        <v>134398</v>
      </c>
      <c r="B3295" s="8" t="s">
        <v>35</v>
      </c>
      <c r="C3295" s="8" t="s">
        <v>17</v>
      </c>
      <c r="D3295" s="8">
        <v>777</v>
      </c>
      <c r="E3295" s="8">
        <v>317</v>
      </c>
      <c r="F3295" s="8">
        <v>431</v>
      </c>
      <c r="G3295" s="8">
        <v>2</v>
      </c>
      <c r="H3295" s="8">
        <v>14867</v>
      </c>
      <c r="I3295" s="8">
        <v>4</v>
      </c>
      <c r="J3295" s="8">
        <v>59</v>
      </c>
      <c r="K3295" s="8">
        <v>408</v>
      </c>
      <c r="L3295" s="8">
        <v>346</v>
      </c>
      <c r="M3295" s="8">
        <v>7.5555555559999998</v>
      </c>
      <c r="N3295">
        <f>VLOOKUP(A3295,vlookup_table!$A:$G,2,FALSE)</f>
        <v>2</v>
      </c>
      <c r="O3295" t="str">
        <f>VLOOKUP(A3295,vlookup_table!$A:$G,3,FALSE)</f>
        <v>UT</v>
      </c>
      <c r="P3295">
        <f>VLOOKUP(A3295,vlookup_table!$A:$G,4,FALSE)</f>
        <v>2501</v>
      </c>
      <c r="Q3295" t="str">
        <f>VLOOKUP(A3295,vlookup_table!$A:$G,5,FALSE)</f>
        <v>U1</v>
      </c>
      <c r="R3295" t="str">
        <f>VLOOKUP(A3295,vlookup_table!$A:$G,6,FALSE)</f>
        <v>F</v>
      </c>
      <c r="S3295">
        <f>VLOOKUP(A3295,vlookup_table!$A:$G,7,FALSE)</f>
        <v>10</v>
      </c>
      <c r="T3295">
        <f t="shared" si="102"/>
        <v>71</v>
      </c>
      <c r="U3295" t="str">
        <f t="shared" si="103"/>
        <v>Urbano</v>
      </c>
    </row>
    <row r="3296" spans="1:21" ht="16" x14ac:dyDescent="0.4">
      <c r="A3296" s="9">
        <v>88868</v>
      </c>
      <c r="B3296" s="8" t="s">
        <v>16</v>
      </c>
      <c r="C3296" s="8" t="s">
        <v>17</v>
      </c>
      <c r="D3296" s="8">
        <v>2313</v>
      </c>
      <c r="E3296" s="8">
        <v>502</v>
      </c>
      <c r="F3296" s="8">
        <v>725</v>
      </c>
      <c r="G3296" s="8">
        <v>65</v>
      </c>
      <c r="H3296" s="8">
        <v>28018</v>
      </c>
      <c r="I3296" s="8">
        <v>9</v>
      </c>
      <c r="J3296" s="8">
        <v>56</v>
      </c>
      <c r="K3296" s="8">
        <v>646</v>
      </c>
      <c r="L3296" s="8">
        <v>579</v>
      </c>
      <c r="M3296" s="8">
        <v>7.4285714289999998</v>
      </c>
      <c r="N3296">
        <f>VLOOKUP(A3296,vlookup_table!$A:$G,2,FALSE)</f>
        <v>0</v>
      </c>
      <c r="O3296" t="str">
        <f>VLOOKUP(A3296,vlookup_table!$A:$G,3,FALSE)</f>
        <v>IL</v>
      </c>
      <c r="P3296">
        <f>VLOOKUP(A3296,vlookup_table!$A:$G,4,FALSE)</f>
        <v>2401</v>
      </c>
      <c r="Q3296" t="str">
        <f>VLOOKUP(A3296,vlookup_table!$A:$G,5,FALSE)</f>
        <v>S1</v>
      </c>
      <c r="R3296" t="str">
        <f>VLOOKUP(A3296,vlookup_table!$A:$G,6,FALSE)</f>
        <v>F</v>
      </c>
      <c r="S3296">
        <f>VLOOKUP(A3296,vlookup_table!$A:$G,7,FALSE)</f>
        <v>8</v>
      </c>
      <c r="T3296">
        <f t="shared" si="102"/>
        <v>72</v>
      </c>
      <c r="U3296" t="str">
        <f t="shared" si="103"/>
        <v>Suburbano</v>
      </c>
    </row>
    <row r="3297" spans="1:21" ht="16" x14ac:dyDescent="0.4">
      <c r="A3297" s="9">
        <v>183223</v>
      </c>
      <c r="B3297" s="8" t="s">
        <v>37</v>
      </c>
      <c r="C3297" s="8" t="s">
        <v>14</v>
      </c>
      <c r="D3297" s="8">
        <v>876</v>
      </c>
      <c r="E3297" s="8">
        <v>337</v>
      </c>
      <c r="F3297" s="8">
        <v>439</v>
      </c>
      <c r="G3297" s="8">
        <v>3</v>
      </c>
      <c r="H3297" s="8">
        <v>15017</v>
      </c>
      <c r="I3297" s="8">
        <v>4</v>
      </c>
      <c r="J3297" s="8">
        <v>37</v>
      </c>
      <c r="K3297" s="8">
        <v>353</v>
      </c>
      <c r="L3297" s="8">
        <v>403</v>
      </c>
      <c r="M3297" s="8">
        <v>15.25</v>
      </c>
      <c r="N3297">
        <f>VLOOKUP(A3297,vlookup_table!$A:$G,2,FALSE)</f>
        <v>1</v>
      </c>
      <c r="O3297" t="str">
        <f>VLOOKUP(A3297,vlookup_table!$A:$G,3,FALSE)</f>
        <v>WA</v>
      </c>
      <c r="P3297">
        <f>VLOOKUP(A3297,vlookup_table!$A:$G,4,FALSE)</f>
        <v>5601</v>
      </c>
      <c r="Q3297" t="str">
        <f>VLOOKUP(A3297,vlookup_table!$A:$G,5,FALSE)</f>
        <v>S2</v>
      </c>
      <c r="R3297" t="str">
        <f>VLOOKUP(A3297,vlookup_table!$A:$G,6,FALSE)</f>
        <v>M</v>
      </c>
      <c r="S3297">
        <f>VLOOKUP(A3297,vlookup_table!$A:$G,7,FALSE)</f>
        <v>23</v>
      </c>
      <c r="T3297">
        <f t="shared" si="102"/>
        <v>40</v>
      </c>
      <c r="U3297" t="str">
        <f t="shared" si="103"/>
        <v>Suburbano</v>
      </c>
    </row>
    <row r="3298" spans="1:21" ht="16" x14ac:dyDescent="0.4">
      <c r="A3298" s="9">
        <v>186925</v>
      </c>
      <c r="B3298" s="8" t="s">
        <v>48</v>
      </c>
      <c r="C3298" s="8" t="s">
        <v>17</v>
      </c>
      <c r="D3298" s="8">
        <v>235</v>
      </c>
      <c r="E3298" s="8">
        <v>211</v>
      </c>
      <c r="F3298" s="8">
        <v>295</v>
      </c>
      <c r="G3298" s="8">
        <v>0</v>
      </c>
      <c r="H3298" s="8">
        <v>9870</v>
      </c>
      <c r="I3298" s="8">
        <v>1</v>
      </c>
      <c r="J3298" s="8">
        <v>84</v>
      </c>
      <c r="K3298" s="8">
        <v>257</v>
      </c>
      <c r="L3298" s="8">
        <v>250</v>
      </c>
      <c r="M3298" s="8">
        <v>10.91666667</v>
      </c>
      <c r="N3298">
        <f>VLOOKUP(A3298,vlookup_table!$A:$G,2,FALSE)</f>
        <v>0</v>
      </c>
      <c r="O3298" t="str">
        <f>VLOOKUP(A3298,vlookup_table!$A:$G,3,FALSE)</f>
        <v>SD</v>
      </c>
      <c r="P3298">
        <f>VLOOKUP(A3298,vlookup_table!$A:$G,4,FALSE)</f>
        <v>3001</v>
      </c>
      <c r="Q3298" t="str">
        <f>VLOOKUP(A3298,vlookup_table!$A:$G,5,FALSE)</f>
        <v>R2</v>
      </c>
      <c r="R3298" t="str">
        <f>VLOOKUP(A3298,vlookup_table!$A:$G,6,FALSE)</f>
        <v>F</v>
      </c>
      <c r="S3298">
        <f>VLOOKUP(A3298,vlookup_table!$A:$G,7,FALSE)</f>
        <v>15</v>
      </c>
      <c r="T3298">
        <f t="shared" si="102"/>
        <v>66</v>
      </c>
      <c r="U3298" t="str">
        <f t="shared" si="103"/>
        <v>Rural</v>
      </c>
    </row>
    <row r="3299" spans="1:21" ht="16" x14ac:dyDescent="0.4">
      <c r="A3299" s="9">
        <v>132097</v>
      </c>
      <c r="B3299" s="8" t="s">
        <v>21</v>
      </c>
      <c r="C3299" s="8" t="s">
        <v>17</v>
      </c>
      <c r="D3299" s="8">
        <v>1988</v>
      </c>
      <c r="E3299" s="8">
        <v>364</v>
      </c>
      <c r="F3299" s="8">
        <v>494</v>
      </c>
      <c r="G3299" s="8">
        <v>49</v>
      </c>
      <c r="H3299" s="8">
        <v>17239</v>
      </c>
      <c r="I3299" s="8">
        <v>15</v>
      </c>
      <c r="J3299" s="8">
        <v>38</v>
      </c>
      <c r="K3299" s="8">
        <v>463</v>
      </c>
      <c r="L3299" s="8">
        <v>429</v>
      </c>
      <c r="M3299" s="8">
        <v>12.375</v>
      </c>
      <c r="N3299">
        <f>VLOOKUP(A3299,vlookup_table!$A:$G,2,FALSE)</f>
        <v>2</v>
      </c>
      <c r="O3299" t="str">
        <f>VLOOKUP(A3299,vlookup_table!$A:$G,3,FALSE)</f>
        <v>CA</v>
      </c>
      <c r="P3299">
        <f>VLOOKUP(A3299,vlookup_table!$A:$G,4,FALSE)</f>
        <v>3801</v>
      </c>
      <c r="Q3299" t="str">
        <f>VLOOKUP(A3299,vlookup_table!$A:$G,5,FALSE)</f>
        <v>T2</v>
      </c>
      <c r="R3299" t="str">
        <f>VLOOKUP(A3299,vlookup_table!$A:$G,6,FALSE)</f>
        <v>F</v>
      </c>
      <c r="S3299">
        <f>VLOOKUP(A3299,vlookup_table!$A:$G,7,FALSE)</f>
        <v>13</v>
      </c>
      <c r="T3299">
        <f t="shared" si="102"/>
        <v>58</v>
      </c>
      <c r="U3299" t="str">
        <f t="shared" si="103"/>
        <v>Pueblo</v>
      </c>
    </row>
    <row r="3300" spans="1:21" ht="16" x14ac:dyDescent="0.4">
      <c r="A3300" s="9">
        <v>61962</v>
      </c>
      <c r="B3300" s="8" t="s">
        <v>30</v>
      </c>
      <c r="C3300" s="8" t="s">
        <v>17</v>
      </c>
      <c r="D3300" s="8">
        <v>970</v>
      </c>
      <c r="E3300" s="8">
        <v>314</v>
      </c>
      <c r="F3300" s="8">
        <v>455</v>
      </c>
      <c r="G3300" s="8">
        <v>11</v>
      </c>
      <c r="H3300" s="8">
        <v>15281</v>
      </c>
      <c r="I3300" s="8">
        <v>1</v>
      </c>
      <c r="J3300" s="8">
        <v>66</v>
      </c>
      <c r="K3300" s="8">
        <v>370</v>
      </c>
      <c r="L3300" s="8">
        <v>389</v>
      </c>
      <c r="M3300" s="8">
        <v>12.66666667</v>
      </c>
      <c r="N3300">
        <f>VLOOKUP(A3300,vlookup_table!$A:$G,2,FALSE)</f>
        <v>0</v>
      </c>
      <c r="O3300" t="str">
        <f>VLOOKUP(A3300,vlookup_table!$A:$G,3,FALSE)</f>
        <v>IN</v>
      </c>
      <c r="P3300">
        <f>VLOOKUP(A3300,vlookup_table!$A:$G,4,FALSE)</f>
        <v>0</v>
      </c>
      <c r="Q3300" t="str">
        <f>VLOOKUP(A3300,vlookup_table!$A:$G,5,FALSE)</f>
        <v>T2</v>
      </c>
      <c r="R3300" t="str">
        <f>VLOOKUP(A3300,vlookup_table!$A:$G,6,FALSE)</f>
        <v>F</v>
      </c>
      <c r="S3300">
        <f>VLOOKUP(A3300,vlookup_table!$A:$G,7,FALSE)</f>
        <v>25</v>
      </c>
      <c r="T3300">
        <f t="shared" si="102"/>
        <v>96</v>
      </c>
      <c r="U3300" t="str">
        <f t="shared" si="103"/>
        <v>Pueblo</v>
      </c>
    </row>
    <row r="3301" spans="1:21" ht="16" x14ac:dyDescent="0.4">
      <c r="A3301" s="9">
        <v>162656</v>
      </c>
      <c r="B3301" s="8" t="s">
        <v>21</v>
      </c>
      <c r="C3301" s="8" t="s">
        <v>17</v>
      </c>
      <c r="D3301" s="8">
        <v>685</v>
      </c>
      <c r="E3301" s="8">
        <v>166</v>
      </c>
      <c r="F3301" s="8">
        <v>257</v>
      </c>
      <c r="G3301" s="8">
        <v>0</v>
      </c>
      <c r="H3301" s="8">
        <v>7945</v>
      </c>
      <c r="I3301" s="8">
        <v>3</v>
      </c>
      <c r="J3301" s="8">
        <v>60</v>
      </c>
      <c r="K3301" s="8">
        <v>205</v>
      </c>
      <c r="L3301" s="8">
        <v>227</v>
      </c>
      <c r="M3301" s="8">
        <v>17.399999999999999</v>
      </c>
      <c r="N3301">
        <f>VLOOKUP(A3301,vlookup_table!$A:$G,2,FALSE)</f>
        <v>0</v>
      </c>
      <c r="O3301" t="str">
        <f>VLOOKUP(A3301,vlookup_table!$A:$G,3,FALSE)</f>
        <v>CA</v>
      </c>
      <c r="P3301">
        <f>VLOOKUP(A3301,vlookup_table!$A:$G,4,FALSE)</f>
        <v>0</v>
      </c>
      <c r="Q3301" t="str">
        <f>VLOOKUP(A3301,vlookup_table!$A:$G,5,FALSE)</f>
        <v>T2</v>
      </c>
      <c r="R3301" t="str">
        <f>VLOOKUP(A3301,vlookup_table!$A:$G,6,FALSE)</f>
        <v>F</v>
      </c>
      <c r="S3301">
        <f>VLOOKUP(A3301,vlookup_table!$A:$G,7,FALSE)</f>
        <v>20</v>
      </c>
      <c r="T3301">
        <f t="shared" si="102"/>
        <v>96</v>
      </c>
      <c r="U3301" t="str">
        <f t="shared" si="103"/>
        <v>Pueblo</v>
      </c>
    </row>
    <row r="3302" spans="1:21" ht="16" x14ac:dyDescent="0.4">
      <c r="A3302" s="9">
        <v>79602</v>
      </c>
      <c r="B3302" s="8" t="s">
        <v>32</v>
      </c>
      <c r="C3302" s="8" t="s">
        <v>14</v>
      </c>
      <c r="D3302" s="8">
        <v>937</v>
      </c>
      <c r="E3302" s="8">
        <v>321</v>
      </c>
      <c r="F3302" s="8">
        <v>545</v>
      </c>
      <c r="G3302" s="8">
        <v>7</v>
      </c>
      <c r="H3302" s="8">
        <v>18567</v>
      </c>
      <c r="I3302" s="8">
        <v>13</v>
      </c>
      <c r="J3302" s="8">
        <v>52</v>
      </c>
      <c r="K3302" s="8">
        <v>441</v>
      </c>
      <c r="L3302" s="8">
        <v>433</v>
      </c>
      <c r="M3302" s="8">
        <v>10.57692308</v>
      </c>
      <c r="N3302">
        <f>VLOOKUP(A3302,vlookup_table!$A:$G,2,FALSE)</f>
        <v>2</v>
      </c>
      <c r="O3302" t="str">
        <f>VLOOKUP(A3302,vlookup_table!$A:$G,3,FALSE)</f>
        <v>WI</v>
      </c>
      <c r="P3302">
        <f>VLOOKUP(A3302,vlookup_table!$A:$G,4,FALSE)</f>
        <v>1102</v>
      </c>
      <c r="Q3302" t="str">
        <f>VLOOKUP(A3302,vlookup_table!$A:$G,5,FALSE)</f>
        <v>S1</v>
      </c>
      <c r="R3302" t="str">
        <f>VLOOKUP(A3302,vlookup_table!$A:$G,6,FALSE)</f>
        <v>M</v>
      </c>
      <c r="S3302">
        <f>VLOOKUP(A3302,vlookup_table!$A:$G,7,FALSE)</f>
        <v>15</v>
      </c>
      <c r="T3302">
        <f t="shared" si="102"/>
        <v>85</v>
      </c>
      <c r="U3302" t="str">
        <f t="shared" si="103"/>
        <v>Suburbano</v>
      </c>
    </row>
    <row r="3303" spans="1:21" ht="16" x14ac:dyDescent="0.4">
      <c r="A3303" s="9">
        <v>65578</v>
      </c>
      <c r="B3303" s="8" t="s">
        <v>26</v>
      </c>
      <c r="C3303" s="8" t="s">
        <v>17</v>
      </c>
      <c r="D3303" s="8">
        <v>693</v>
      </c>
      <c r="E3303" s="8">
        <v>399</v>
      </c>
      <c r="F3303" s="8">
        <v>481</v>
      </c>
      <c r="G3303" s="8">
        <v>0</v>
      </c>
      <c r="H3303" s="8">
        <v>15421</v>
      </c>
      <c r="I3303" s="8">
        <v>1</v>
      </c>
      <c r="J3303" s="8">
        <v>88</v>
      </c>
      <c r="K3303" s="8">
        <v>415</v>
      </c>
      <c r="L3303" s="8">
        <v>446</v>
      </c>
      <c r="M3303" s="8">
        <v>10.11111111</v>
      </c>
      <c r="N3303">
        <f>VLOOKUP(A3303,vlookup_table!$A:$G,2,FALSE)</f>
        <v>28</v>
      </c>
      <c r="O3303" t="str">
        <f>VLOOKUP(A3303,vlookup_table!$A:$G,3,FALSE)</f>
        <v>MI</v>
      </c>
      <c r="P3303">
        <f>VLOOKUP(A3303,vlookup_table!$A:$G,4,FALSE)</f>
        <v>2102</v>
      </c>
      <c r="Q3303" t="str">
        <f>VLOOKUP(A3303,vlookup_table!$A:$G,5,FALSE)</f>
        <v>U3</v>
      </c>
      <c r="R3303" t="str">
        <f>VLOOKUP(A3303,vlookup_table!$A:$G,6,FALSE)</f>
        <v>F</v>
      </c>
      <c r="S3303">
        <f>VLOOKUP(A3303,vlookup_table!$A:$G,7,FALSE)</f>
        <v>21</v>
      </c>
      <c r="T3303">
        <f t="shared" si="102"/>
        <v>75</v>
      </c>
      <c r="U3303" t="str">
        <f t="shared" si="103"/>
        <v>Urbano</v>
      </c>
    </row>
    <row r="3304" spans="1:21" ht="16" x14ac:dyDescent="0.4">
      <c r="A3304" s="9">
        <v>169186</v>
      </c>
      <c r="B3304" s="8" t="s">
        <v>21</v>
      </c>
      <c r="C3304" s="8" t="s">
        <v>14</v>
      </c>
      <c r="D3304" s="8">
        <v>1050</v>
      </c>
      <c r="E3304" s="8">
        <v>256</v>
      </c>
      <c r="F3304" s="8">
        <v>339</v>
      </c>
      <c r="G3304" s="8">
        <v>6</v>
      </c>
      <c r="H3304" s="8">
        <v>11406</v>
      </c>
      <c r="I3304" s="8">
        <v>1</v>
      </c>
      <c r="J3304" s="8">
        <v>59</v>
      </c>
      <c r="K3304" s="8">
        <v>290</v>
      </c>
      <c r="L3304" s="8">
        <v>296</v>
      </c>
      <c r="M3304" s="8">
        <v>5.2</v>
      </c>
      <c r="N3304">
        <f>VLOOKUP(A3304,vlookup_table!$A:$G,2,FALSE)</f>
        <v>1</v>
      </c>
      <c r="O3304" t="str">
        <f>VLOOKUP(A3304,vlookup_table!$A:$G,3,FALSE)</f>
        <v>CA</v>
      </c>
      <c r="P3304">
        <f>VLOOKUP(A3304,vlookup_table!$A:$G,4,FALSE)</f>
        <v>2801</v>
      </c>
      <c r="Q3304" t="str">
        <f>VLOOKUP(A3304,vlookup_table!$A:$G,5,FALSE)</f>
        <v>R2</v>
      </c>
      <c r="R3304" t="str">
        <f>VLOOKUP(A3304,vlookup_table!$A:$G,6,FALSE)</f>
        <v>M</v>
      </c>
      <c r="S3304">
        <f>VLOOKUP(A3304,vlookup_table!$A:$G,7,FALSE)</f>
        <v>9</v>
      </c>
      <c r="T3304">
        <f t="shared" si="102"/>
        <v>68</v>
      </c>
      <c r="U3304" t="str">
        <f t="shared" si="103"/>
        <v>Rural</v>
      </c>
    </row>
    <row r="3305" spans="1:21" ht="16" x14ac:dyDescent="0.4">
      <c r="A3305" s="9">
        <v>189438</v>
      </c>
      <c r="B3305" s="8" t="s">
        <v>34</v>
      </c>
      <c r="C3305" s="8" t="s">
        <v>14</v>
      </c>
      <c r="D3305" s="8">
        <v>1563</v>
      </c>
      <c r="E3305" s="8">
        <v>263</v>
      </c>
      <c r="F3305" s="8">
        <v>360</v>
      </c>
      <c r="G3305" s="8">
        <v>50</v>
      </c>
      <c r="H3305" s="8">
        <v>16647</v>
      </c>
      <c r="I3305" s="8">
        <v>28</v>
      </c>
      <c r="J3305" s="8">
        <v>15</v>
      </c>
      <c r="K3305" s="8">
        <v>349</v>
      </c>
      <c r="L3305" s="8">
        <v>275</v>
      </c>
      <c r="M3305" s="8">
        <v>7.6666666670000003</v>
      </c>
      <c r="N3305">
        <f>VLOOKUP(A3305,vlookup_table!$A:$G,2,FALSE)</f>
        <v>1</v>
      </c>
      <c r="O3305" t="str">
        <f>VLOOKUP(A3305,vlookup_table!$A:$G,3,FALSE)</f>
        <v>HI</v>
      </c>
      <c r="P3305">
        <f>VLOOKUP(A3305,vlookup_table!$A:$G,4,FALSE)</f>
        <v>4101</v>
      </c>
      <c r="Q3305" t="str">
        <f>VLOOKUP(A3305,vlookup_table!$A:$G,5,FALSE)</f>
        <v>U2</v>
      </c>
      <c r="R3305" t="str">
        <f>VLOOKUP(A3305,vlookup_table!$A:$G,6,FALSE)</f>
        <v>M</v>
      </c>
      <c r="S3305">
        <f>VLOOKUP(A3305,vlookup_table!$A:$G,7,FALSE)</f>
        <v>9</v>
      </c>
      <c r="T3305">
        <f t="shared" si="102"/>
        <v>55</v>
      </c>
      <c r="U3305" t="str">
        <f t="shared" si="103"/>
        <v>Urbano</v>
      </c>
    </row>
    <row r="3306" spans="1:21" ht="16" x14ac:dyDescent="0.4">
      <c r="A3306" s="9">
        <v>110871</v>
      </c>
      <c r="B3306" s="8" t="s">
        <v>29</v>
      </c>
      <c r="C3306" s="8" t="s">
        <v>97</v>
      </c>
      <c r="D3306" s="8">
        <v>341</v>
      </c>
      <c r="E3306" s="8">
        <v>160</v>
      </c>
      <c r="F3306" s="8">
        <v>252</v>
      </c>
      <c r="G3306" s="8">
        <v>0</v>
      </c>
      <c r="H3306" s="8">
        <v>8707</v>
      </c>
      <c r="I3306" s="8">
        <v>1</v>
      </c>
      <c r="J3306" s="8">
        <v>80</v>
      </c>
      <c r="K3306" s="8">
        <v>215</v>
      </c>
      <c r="L3306" s="8">
        <v>215</v>
      </c>
      <c r="M3306" s="8">
        <v>4</v>
      </c>
      <c r="N3306">
        <f>VLOOKUP(A3306,vlookup_table!$A:$G,2,FALSE)</f>
        <v>2</v>
      </c>
      <c r="O3306" t="str">
        <f>VLOOKUP(A3306,vlookup_table!$A:$G,3,FALSE)</f>
        <v>AR</v>
      </c>
      <c r="P3306">
        <f>VLOOKUP(A3306,vlookup_table!$A:$G,4,FALSE)</f>
        <v>1010</v>
      </c>
      <c r="Q3306" t="str">
        <f>VLOOKUP(A3306,vlookup_table!$A:$G,5,FALSE)</f>
        <v>R2</v>
      </c>
      <c r="R3306" t="str">
        <f>VLOOKUP(A3306,vlookup_table!$A:$G,6,FALSE)</f>
        <v>F</v>
      </c>
      <c r="S3306">
        <f>VLOOKUP(A3306,vlookup_table!$A:$G,7,FALSE)</f>
        <v>5</v>
      </c>
      <c r="T3306">
        <f t="shared" si="102"/>
        <v>86</v>
      </c>
      <c r="U3306" t="str">
        <f t="shared" si="103"/>
        <v>Rural</v>
      </c>
    </row>
    <row r="3307" spans="1:21" ht="16" x14ac:dyDescent="0.4">
      <c r="A3307" s="9">
        <v>168370</v>
      </c>
      <c r="B3307" s="8" t="s">
        <v>21</v>
      </c>
      <c r="C3307" s="8" t="s">
        <v>17</v>
      </c>
      <c r="D3307" s="8">
        <v>2798</v>
      </c>
      <c r="E3307" s="8">
        <v>425</v>
      </c>
      <c r="F3307" s="8">
        <v>474</v>
      </c>
      <c r="G3307" s="8">
        <v>76</v>
      </c>
      <c r="H3307" s="8">
        <v>21926</v>
      </c>
      <c r="I3307" s="8">
        <v>29</v>
      </c>
      <c r="J3307" s="8">
        <v>36</v>
      </c>
      <c r="K3307" s="8">
        <v>428</v>
      </c>
      <c r="L3307" s="8">
        <v>469</v>
      </c>
      <c r="M3307" s="8">
        <v>14.5</v>
      </c>
      <c r="N3307">
        <f>VLOOKUP(A3307,vlookup_table!$A:$G,2,FALSE)</f>
        <v>0</v>
      </c>
      <c r="O3307" t="str">
        <f>VLOOKUP(A3307,vlookup_table!$A:$G,3,FALSE)</f>
        <v>CA</v>
      </c>
      <c r="P3307">
        <f>VLOOKUP(A3307,vlookup_table!$A:$G,4,FALSE)</f>
        <v>5804</v>
      </c>
      <c r="Q3307" t="str">
        <f>VLOOKUP(A3307,vlookup_table!$A:$G,5,FALSE)</f>
        <v>S2</v>
      </c>
      <c r="R3307" t="str">
        <f>VLOOKUP(A3307,vlookup_table!$A:$G,6,FALSE)</f>
        <v>F</v>
      </c>
      <c r="S3307">
        <f>VLOOKUP(A3307,vlookup_table!$A:$G,7,FALSE)</f>
        <v>15</v>
      </c>
      <c r="T3307">
        <f t="shared" si="102"/>
        <v>38</v>
      </c>
      <c r="U3307" t="str">
        <f t="shared" si="103"/>
        <v>Suburbano</v>
      </c>
    </row>
    <row r="3308" spans="1:21" ht="16" x14ac:dyDescent="0.4">
      <c r="A3308" s="9">
        <v>156618</v>
      </c>
      <c r="B3308" s="8" t="s">
        <v>21</v>
      </c>
      <c r="C3308" s="8"/>
      <c r="D3308" s="8">
        <v>2043</v>
      </c>
      <c r="E3308" s="8">
        <v>364</v>
      </c>
      <c r="F3308" s="8">
        <v>423</v>
      </c>
      <c r="G3308" s="8">
        <v>53</v>
      </c>
      <c r="H3308" s="8">
        <v>19087</v>
      </c>
      <c r="I3308" s="8">
        <v>19</v>
      </c>
      <c r="J3308" s="8">
        <v>56</v>
      </c>
      <c r="K3308" s="8">
        <v>385</v>
      </c>
      <c r="L3308" s="8">
        <v>412</v>
      </c>
      <c r="M3308" s="8">
        <v>9.6666666669999994</v>
      </c>
      <c r="N3308">
        <f>VLOOKUP(A3308,vlookup_table!$A:$G,2,FALSE)</f>
        <v>0</v>
      </c>
      <c r="O3308" t="str">
        <f>VLOOKUP(A3308,vlookup_table!$A:$G,3,FALSE)</f>
        <v>CA</v>
      </c>
      <c r="P3308">
        <f>VLOOKUP(A3308,vlookup_table!$A:$G,4,FALSE)</f>
        <v>4401</v>
      </c>
      <c r="Q3308" t="str">
        <f>VLOOKUP(A3308,vlookup_table!$A:$G,5,FALSE)</f>
        <v>S2</v>
      </c>
      <c r="R3308" t="str">
        <f>VLOOKUP(A3308,vlookup_table!$A:$G,6,FALSE)</f>
        <v/>
      </c>
      <c r="S3308">
        <f>VLOOKUP(A3308,vlookup_table!$A:$G,7,FALSE)</f>
        <v>25</v>
      </c>
      <c r="T3308">
        <f t="shared" si="102"/>
        <v>52</v>
      </c>
      <c r="U3308" t="str">
        <f t="shared" si="103"/>
        <v>Suburbano</v>
      </c>
    </row>
    <row r="3309" spans="1:21" ht="16" x14ac:dyDescent="0.4">
      <c r="A3309" s="9">
        <v>109858</v>
      </c>
      <c r="B3309" s="8" t="s">
        <v>46</v>
      </c>
      <c r="C3309" s="8" t="s">
        <v>17</v>
      </c>
      <c r="D3309" s="8">
        <v>772</v>
      </c>
      <c r="E3309" s="8">
        <v>369</v>
      </c>
      <c r="F3309" s="8">
        <v>446</v>
      </c>
      <c r="G3309" s="8">
        <v>0</v>
      </c>
      <c r="H3309" s="8">
        <v>16215</v>
      </c>
      <c r="I3309" s="8">
        <v>0</v>
      </c>
      <c r="J3309" s="8">
        <v>70</v>
      </c>
      <c r="K3309" s="8">
        <v>365</v>
      </c>
      <c r="L3309" s="8">
        <v>447</v>
      </c>
      <c r="M3309" s="8">
        <v>9.6999999999999993</v>
      </c>
      <c r="N3309">
        <f>VLOOKUP(A3309,vlookup_table!$A:$G,2,FALSE)</f>
        <v>0</v>
      </c>
      <c r="O3309" t="str">
        <f>VLOOKUP(A3309,vlookup_table!$A:$G,3,FALSE)</f>
        <v>LA</v>
      </c>
      <c r="P3309">
        <f>VLOOKUP(A3309,vlookup_table!$A:$G,4,FALSE)</f>
        <v>5512</v>
      </c>
      <c r="Q3309" t="str">
        <f>VLOOKUP(A3309,vlookup_table!$A:$G,5,FALSE)</f>
        <v>S1</v>
      </c>
      <c r="R3309" t="str">
        <f>VLOOKUP(A3309,vlookup_table!$A:$G,6,FALSE)</f>
        <v>F</v>
      </c>
      <c r="S3309">
        <f>VLOOKUP(A3309,vlookup_table!$A:$G,7,FALSE)</f>
        <v>15</v>
      </c>
      <c r="T3309">
        <f t="shared" si="102"/>
        <v>41</v>
      </c>
      <c r="U3309" t="str">
        <f t="shared" si="103"/>
        <v>Suburbano</v>
      </c>
    </row>
    <row r="3310" spans="1:21" ht="16" x14ac:dyDescent="0.4">
      <c r="A3310" s="9">
        <v>99501</v>
      </c>
      <c r="B3310" s="8" t="s">
        <v>33</v>
      </c>
      <c r="C3310" s="8" t="s">
        <v>17</v>
      </c>
      <c r="D3310" s="8">
        <v>988</v>
      </c>
      <c r="E3310" s="8">
        <v>509</v>
      </c>
      <c r="F3310" s="8">
        <v>529</v>
      </c>
      <c r="G3310" s="8">
        <v>2</v>
      </c>
      <c r="H3310" s="8">
        <v>15666</v>
      </c>
      <c r="I3310" s="8">
        <v>1</v>
      </c>
      <c r="J3310" s="8">
        <v>80</v>
      </c>
      <c r="K3310" s="8">
        <v>521</v>
      </c>
      <c r="L3310" s="8">
        <v>509</v>
      </c>
      <c r="M3310" s="8">
        <v>10</v>
      </c>
      <c r="N3310">
        <f>VLOOKUP(A3310,vlookup_table!$A:$G,2,FALSE)</f>
        <v>0</v>
      </c>
      <c r="O3310" t="str">
        <f>VLOOKUP(A3310,vlookup_table!$A:$G,3,FALSE)</f>
        <v>MO</v>
      </c>
      <c r="P3310">
        <f>VLOOKUP(A3310,vlookup_table!$A:$G,4,FALSE)</f>
        <v>5701</v>
      </c>
      <c r="Q3310" t="str">
        <f>VLOOKUP(A3310,vlookup_table!$A:$G,5,FALSE)</f>
        <v>S1</v>
      </c>
      <c r="R3310" t="str">
        <f>VLOOKUP(A3310,vlookup_table!$A:$G,6,FALSE)</f>
        <v>F</v>
      </c>
      <c r="S3310">
        <f>VLOOKUP(A3310,vlookup_table!$A:$G,7,FALSE)</f>
        <v>10</v>
      </c>
      <c r="T3310">
        <f t="shared" si="102"/>
        <v>39</v>
      </c>
      <c r="U3310" t="str">
        <f t="shared" si="103"/>
        <v>Suburbano</v>
      </c>
    </row>
    <row r="3311" spans="1:21" ht="16" x14ac:dyDescent="0.4">
      <c r="A3311" s="9">
        <v>125467</v>
      </c>
      <c r="B3311" s="8" t="s">
        <v>20</v>
      </c>
      <c r="C3311" s="8" t="s">
        <v>17</v>
      </c>
      <c r="D3311" s="8">
        <v>431</v>
      </c>
      <c r="E3311" s="8">
        <v>194</v>
      </c>
      <c r="F3311" s="8">
        <v>223</v>
      </c>
      <c r="G3311" s="8">
        <v>0</v>
      </c>
      <c r="H3311" s="8">
        <v>8888</v>
      </c>
      <c r="I3311" s="8">
        <v>8</v>
      </c>
      <c r="J3311" s="8">
        <v>61</v>
      </c>
      <c r="K3311" s="8">
        <v>209</v>
      </c>
      <c r="L3311" s="8">
        <v>219</v>
      </c>
      <c r="M3311" s="8">
        <v>12.5</v>
      </c>
      <c r="N3311">
        <f>VLOOKUP(A3311,vlookup_table!$A:$G,2,FALSE)</f>
        <v>0</v>
      </c>
      <c r="O3311" t="str">
        <f>VLOOKUP(A3311,vlookup_table!$A:$G,3,FALSE)</f>
        <v>TX</v>
      </c>
      <c r="P3311">
        <f>VLOOKUP(A3311,vlookup_table!$A:$G,4,FALSE)</f>
        <v>0</v>
      </c>
      <c r="Q3311" t="str">
        <f>VLOOKUP(A3311,vlookup_table!$A:$G,5,FALSE)</f>
        <v>C3</v>
      </c>
      <c r="R3311" t="str">
        <f>VLOOKUP(A3311,vlookup_table!$A:$G,6,FALSE)</f>
        <v>F</v>
      </c>
      <c r="S3311">
        <f>VLOOKUP(A3311,vlookup_table!$A:$G,7,FALSE)</f>
        <v>15</v>
      </c>
      <c r="T3311">
        <f t="shared" si="102"/>
        <v>96</v>
      </c>
      <c r="U3311" t="str">
        <f t="shared" si="103"/>
        <v>Ciudad</v>
      </c>
    </row>
    <row r="3312" spans="1:21" ht="16" x14ac:dyDescent="0.4">
      <c r="A3312" s="9">
        <v>55956</v>
      </c>
      <c r="B3312" s="8" t="s">
        <v>13</v>
      </c>
      <c r="C3312" s="8" t="s">
        <v>17</v>
      </c>
      <c r="D3312" s="8">
        <v>1625</v>
      </c>
      <c r="E3312" s="8">
        <v>450</v>
      </c>
      <c r="F3312" s="8">
        <v>660</v>
      </c>
      <c r="G3312" s="8">
        <v>35</v>
      </c>
      <c r="H3312" s="8">
        <v>33485</v>
      </c>
      <c r="I3312" s="8">
        <v>5</v>
      </c>
      <c r="J3312" s="8">
        <v>21</v>
      </c>
      <c r="K3312" s="8">
        <v>531</v>
      </c>
      <c r="L3312" s="8">
        <v>578</v>
      </c>
      <c r="M3312" s="8">
        <v>9.25</v>
      </c>
      <c r="N3312">
        <f>VLOOKUP(A3312,vlookup_table!$A:$G,2,FALSE)</f>
        <v>0</v>
      </c>
      <c r="O3312" t="str">
        <f>VLOOKUP(A3312,vlookup_table!$A:$G,3,FALSE)</f>
        <v>FL</v>
      </c>
      <c r="P3312">
        <f>VLOOKUP(A3312,vlookup_table!$A:$G,4,FALSE)</f>
        <v>0</v>
      </c>
      <c r="Q3312" t="str">
        <f>VLOOKUP(A3312,vlookup_table!$A:$G,5,FALSE)</f>
        <v>C1</v>
      </c>
      <c r="R3312" t="str">
        <f>VLOOKUP(A3312,vlookup_table!$A:$G,6,FALSE)</f>
        <v>F</v>
      </c>
      <c r="S3312">
        <f>VLOOKUP(A3312,vlookup_table!$A:$G,7,FALSE)</f>
        <v>10</v>
      </c>
      <c r="T3312">
        <f t="shared" si="102"/>
        <v>96</v>
      </c>
      <c r="U3312" t="str">
        <f t="shared" si="103"/>
        <v>Ciudad</v>
      </c>
    </row>
    <row r="3313" spans="1:21" ht="16" x14ac:dyDescent="0.4">
      <c r="A3313" s="9">
        <v>103644</v>
      </c>
      <c r="B3313" s="8" t="s">
        <v>33</v>
      </c>
      <c r="C3313" s="8" t="s">
        <v>17</v>
      </c>
      <c r="D3313" s="8">
        <v>376</v>
      </c>
      <c r="E3313" s="8">
        <v>178</v>
      </c>
      <c r="F3313" s="8">
        <v>248</v>
      </c>
      <c r="G3313" s="8">
        <v>0</v>
      </c>
      <c r="H3313" s="8">
        <v>10244</v>
      </c>
      <c r="I3313" s="8">
        <v>0</v>
      </c>
      <c r="J3313" s="8">
        <v>71</v>
      </c>
      <c r="K3313" s="8">
        <v>233</v>
      </c>
      <c r="L3313" s="8">
        <v>219</v>
      </c>
      <c r="M3313" s="8">
        <v>6</v>
      </c>
      <c r="N3313">
        <f>VLOOKUP(A3313,vlookup_table!$A:$G,2,FALSE)</f>
        <v>0</v>
      </c>
      <c r="O3313" t="str">
        <f>VLOOKUP(A3313,vlookup_table!$A:$G,3,FALSE)</f>
        <v>MO</v>
      </c>
      <c r="P3313">
        <f>VLOOKUP(A3313,vlookup_table!$A:$G,4,FALSE)</f>
        <v>0</v>
      </c>
      <c r="Q3313" t="str">
        <f>VLOOKUP(A3313,vlookup_table!$A:$G,5,FALSE)</f>
        <v>T2</v>
      </c>
      <c r="R3313" t="str">
        <f>VLOOKUP(A3313,vlookup_table!$A:$G,6,FALSE)</f>
        <v>F</v>
      </c>
      <c r="S3313">
        <f>VLOOKUP(A3313,vlookup_table!$A:$G,7,FALSE)</f>
        <v>10</v>
      </c>
      <c r="T3313">
        <f t="shared" si="102"/>
        <v>96</v>
      </c>
      <c r="U3313" t="str">
        <f t="shared" si="103"/>
        <v>Pueblo</v>
      </c>
    </row>
    <row r="3314" spans="1:21" ht="16" x14ac:dyDescent="0.4">
      <c r="A3314" s="9">
        <v>39613</v>
      </c>
      <c r="B3314" s="8" t="s">
        <v>13</v>
      </c>
      <c r="C3314" s="8" t="s">
        <v>17</v>
      </c>
      <c r="D3314" s="8">
        <v>701</v>
      </c>
      <c r="E3314" s="8">
        <v>332</v>
      </c>
      <c r="F3314" s="8">
        <v>403</v>
      </c>
      <c r="G3314" s="8">
        <v>1</v>
      </c>
      <c r="H3314" s="8">
        <v>13020</v>
      </c>
      <c r="I3314" s="8">
        <v>6</v>
      </c>
      <c r="J3314" s="8">
        <v>37</v>
      </c>
      <c r="K3314" s="8">
        <v>348</v>
      </c>
      <c r="L3314" s="8">
        <v>394</v>
      </c>
      <c r="M3314" s="8">
        <v>9.6850000000000005</v>
      </c>
      <c r="N3314">
        <f>VLOOKUP(A3314,vlookup_table!$A:$G,2,FALSE)</f>
        <v>2</v>
      </c>
      <c r="O3314" t="str">
        <f>VLOOKUP(A3314,vlookup_table!$A:$G,3,FALSE)</f>
        <v>FL</v>
      </c>
      <c r="P3314">
        <f>VLOOKUP(A3314,vlookup_table!$A:$G,4,FALSE)</f>
        <v>5610</v>
      </c>
      <c r="Q3314" t="str">
        <f>VLOOKUP(A3314,vlookup_table!$A:$G,5,FALSE)</f>
        <v>S3</v>
      </c>
      <c r="R3314" t="str">
        <f>VLOOKUP(A3314,vlookup_table!$A:$G,6,FALSE)</f>
        <v>F</v>
      </c>
      <c r="S3314">
        <f>VLOOKUP(A3314,vlookup_table!$A:$G,7,FALSE)</f>
        <v>5</v>
      </c>
      <c r="T3314">
        <f t="shared" si="102"/>
        <v>40</v>
      </c>
      <c r="U3314" t="str">
        <f t="shared" si="103"/>
        <v>Suburbano</v>
      </c>
    </row>
    <row r="3315" spans="1:21" ht="16" x14ac:dyDescent="0.4">
      <c r="A3315" s="9">
        <v>159</v>
      </c>
      <c r="B3315" s="8" t="s">
        <v>52</v>
      </c>
      <c r="C3315" s="8" t="s">
        <v>14</v>
      </c>
      <c r="D3315" s="8">
        <v>530</v>
      </c>
      <c r="E3315" s="8">
        <v>236</v>
      </c>
      <c r="F3315" s="8">
        <v>359</v>
      </c>
      <c r="G3315" s="8">
        <v>1</v>
      </c>
      <c r="H3315" s="8">
        <v>12208</v>
      </c>
      <c r="I3315" s="8">
        <v>1</v>
      </c>
      <c r="J3315" s="8">
        <v>78</v>
      </c>
      <c r="K3315" s="8">
        <v>307</v>
      </c>
      <c r="L3315" s="8">
        <v>296</v>
      </c>
      <c r="M3315" s="8">
        <v>9.3103448279999999</v>
      </c>
      <c r="N3315">
        <f>VLOOKUP(A3315,vlookup_table!$A:$G,2,FALSE)</f>
        <v>2</v>
      </c>
      <c r="O3315" t="str">
        <f>VLOOKUP(A3315,vlookup_table!$A:$G,3,FALSE)</f>
        <v>MN</v>
      </c>
      <c r="P3315">
        <f>VLOOKUP(A3315,vlookup_table!$A:$G,4,FALSE)</f>
        <v>1602</v>
      </c>
      <c r="Q3315" t="str">
        <f>VLOOKUP(A3315,vlookup_table!$A:$G,5,FALSE)</f>
        <v>R2</v>
      </c>
      <c r="R3315" t="str">
        <f>VLOOKUP(A3315,vlookup_table!$A:$G,6,FALSE)</f>
        <v>M</v>
      </c>
      <c r="S3315">
        <f>VLOOKUP(A3315,vlookup_table!$A:$G,7,FALSE)</f>
        <v>12</v>
      </c>
      <c r="T3315">
        <f t="shared" si="102"/>
        <v>80</v>
      </c>
      <c r="U3315" t="str">
        <f t="shared" si="103"/>
        <v>Rural</v>
      </c>
    </row>
    <row r="3316" spans="1:21" ht="16" x14ac:dyDescent="0.4">
      <c r="A3316" s="9">
        <v>129748</v>
      </c>
      <c r="B3316" s="8" t="s">
        <v>45</v>
      </c>
      <c r="C3316" s="8" t="s">
        <v>17</v>
      </c>
      <c r="D3316" s="8">
        <v>1208</v>
      </c>
      <c r="E3316" s="8">
        <v>560</v>
      </c>
      <c r="F3316" s="8">
        <v>612</v>
      </c>
      <c r="G3316" s="8">
        <v>0</v>
      </c>
      <c r="H3316" s="8">
        <v>18843</v>
      </c>
      <c r="I3316" s="8">
        <v>4</v>
      </c>
      <c r="J3316" s="8">
        <v>29</v>
      </c>
      <c r="K3316" s="8">
        <v>549</v>
      </c>
      <c r="L3316" s="8">
        <v>616</v>
      </c>
      <c r="M3316" s="8">
        <v>13.8</v>
      </c>
      <c r="N3316">
        <f>VLOOKUP(A3316,vlookup_table!$A:$G,2,FALSE)</f>
        <v>2</v>
      </c>
      <c r="O3316" t="str">
        <f>VLOOKUP(A3316,vlookup_table!$A:$G,3,FALSE)</f>
        <v>CO</v>
      </c>
      <c r="P3316">
        <f>VLOOKUP(A3316,vlookup_table!$A:$G,4,FALSE)</f>
        <v>5701</v>
      </c>
      <c r="Q3316" t="str">
        <f>VLOOKUP(A3316,vlookup_table!$A:$G,5,FALSE)</f>
        <v>S1</v>
      </c>
      <c r="R3316" t="str">
        <f>VLOOKUP(A3316,vlookup_table!$A:$G,6,FALSE)</f>
        <v>F</v>
      </c>
      <c r="S3316">
        <f>VLOOKUP(A3316,vlookup_table!$A:$G,7,FALSE)</f>
        <v>16</v>
      </c>
      <c r="T3316">
        <f t="shared" si="102"/>
        <v>39</v>
      </c>
      <c r="U3316" t="str">
        <f t="shared" si="103"/>
        <v>Suburbano</v>
      </c>
    </row>
    <row r="3317" spans="1:21" ht="16" x14ac:dyDescent="0.4">
      <c r="A3317" s="9">
        <v>174576</v>
      </c>
      <c r="B3317" s="8" t="s">
        <v>47</v>
      </c>
      <c r="C3317" s="8" t="s">
        <v>17</v>
      </c>
      <c r="D3317" s="8">
        <v>681</v>
      </c>
      <c r="E3317" s="8">
        <v>335</v>
      </c>
      <c r="F3317" s="8">
        <v>419</v>
      </c>
      <c r="G3317" s="8">
        <v>0</v>
      </c>
      <c r="H3317" s="8">
        <v>14011</v>
      </c>
      <c r="I3317" s="8">
        <v>5</v>
      </c>
      <c r="J3317" s="8">
        <v>54</v>
      </c>
      <c r="K3317" s="8">
        <v>398</v>
      </c>
      <c r="L3317" s="8">
        <v>356</v>
      </c>
      <c r="M3317" s="8">
        <v>30.75</v>
      </c>
      <c r="N3317">
        <f>VLOOKUP(A3317,vlookup_table!$A:$G,2,FALSE)</f>
        <v>28</v>
      </c>
      <c r="O3317" t="str">
        <f>VLOOKUP(A3317,vlookup_table!$A:$G,3,FALSE)</f>
        <v>OR</v>
      </c>
      <c r="P3317">
        <f>VLOOKUP(A3317,vlookup_table!$A:$G,4,FALSE)</f>
        <v>4801</v>
      </c>
      <c r="Q3317" t="str">
        <f>VLOOKUP(A3317,vlookup_table!$A:$G,5,FALSE)</f>
        <v>S2</v>
      </c>
      <c r="R3317" t="str">
        <f>VLOOKUP(A3317,vlookup_table!$A:$G,6,FALSE)</f>
        <v>F</v>
      </c>
      <c r="S3317">
        <f>VLOOKUP(A3317,vlookup_table!$A:$G,7,FALSE)</f>
        <v>51</v>
      </c>
      <c r="T3317">
        <f t="shared" si="102"/>
        <v>48</v>
      </c>
      <c r="U3317" t="str">
        <f t="shared" si="103"/>
        <v>Suburbano</v>
      </c>
    </row>
    <row r="3318" spans="1:21" ht="16" x14ac:dyDescent="0.4">
      <c r="A3318" s="9">
        <v>71639</v>
      </c>
      <c r="B3318" s="8" t="s">
        <v>26</v>
      </c>
      <c r="C3318" s="8" t="s">
        <v>14</v>
      </c>
      <c r="D3318" s="8">
        <v>755</v>
      </c>
      <c r="E3318" s="8">
        <v>496</v>
      </c>
      <c r="F3318" s="8">
        <v>578</v>
      </c>
      <c r="G3318" s="8">
        <v>0</v>
      </c>
      <c r="H3318" s="8">
        <v>16944</v>
      </c>
      <c r="I3318" s="8">
        <v>6</v>
      </c>
      <c r="J3318" s="8">
        <v>57</v>
      </c>
      <c r="K3318" s="8">
        <v>530</v>
      </c>
      <c r="L3318" s="8">
        <v>520</v>
      </c>
      <c r="M3318" s="8">
        <v>12.14285714</v>
      </c>
      <c r="N3318">
        <f>VLOOKUP(A3318,vlookup_table!$A:$G,2,FALSE)</f>
        <v>1</v>
      </c>
      <c r="O3318" t="str">
        <f>VLOOKUP(A3318,vlookup_table!$A:$G,3,FALSE)</f>
        <v>MI</v>
      </c>
      <c r="P3318">
        <f>VLOOKUP(A3318,vlookup_table!$A:$G,4,FALSE)</f>
        <v>2301</v>
      </c>
      <c r="Q3318" t="str">
        <f>VLOOKUP(A3318,vlookup_table!$A:$G,5,FALSE)</f>
        <v>S1</v>
      </c>
      <c r="R3318" t="str">
        <f>VLOOKUP(A3318,vlookup_table!$A:$G,6,FALSE)</f>
        <v>M</v>
      </c>
      <c r="S3318">
        <f>VLOOKUP(A3318,vlookup_table!$A:$G,7,FALSE)</f>
        <v>17</v>
      </c>
      <c r="T3318">
        <f t="shared" si="102"/>
        <v>73</v>
      </c>
      <c r="U3318" t="str">
        <f t="shared" si="103"/>
        <v>Suburbano</v>
      </c>
    </row>
    <row r="3319" spans="1:21" ht="16" x14ac:dyDescent="0.4">
      <c r="A3319" s="9">
        <v>172851</v>
      </c>
      <c r="B3319" s="8" t="s">
        <v>21</v>
      </c>
      <c r="C3319" s="8" t="s">
        <v>14</v>
      </c>
      <c r="D3319" s="8">
        <v>1148</v>
      </c>
      <c r="E3319" s="8">
        <v>240</v>
      </c>
      <c r="F3319" s="8">
        <v>423</v>
      </c>
      <c r="G3319" s="8">
        <v>15</v>
      </c>
      <c r="H3319" s="8">
        <v>16188</v>
      </c>
      <c r="I3319" s="8">
        <v>5</v>
      </c>
      <c r="J3319" s="8">
        <v>49</v>
      </c>
      <c r="K3319" s="8">
        <v>311</v>
      </c>
      <c r="L3319" s="8">
        <v>321</v>
      </c>
      <c r="M3319" s="8">
        <v>13</v>
      </c>
      <c r="N3319">
        <f>VLOOKUP(A3319,vlookup_table!$A:$G,2,FALSE)</f>
        <v>1</v>
      </c>
      <c r="O3319" t="str">
        <f>VLOOKUP(A3319,vlookup_table!$A:$G,3,FALSE)</f>
        <v>CA</v>
      </c>
      <c r="P3319">
        <f>VLOOKUP(A3319,vlookup_table!$A:$G,4,FALSE)</f>
        <v>5001</v>
      </c>
      <c r="Q3319" t="str">
        <f>VLOOKUP(A3319,vlookup_table!$A:$G,5,FALSE)</f>
        <v>C2</v>
      </c>
      <c r="R3319" t="str">
        <f>VLOOKUP(A3319,vlookup_table!$A:$G,6,FALSE)</f>
        <v>M</v>
      </c>
      <c r="S3319">
        <f>VLOOKUP(A3319,vlookup_table!$A:$G,7,FALSE)</f>
        <v>10</v>
      </c>
      <c r="T3319">
        <f t="shared" si="102"/>
        <v>46</v>
      </c>
      <c r="U3319" t="str">
        <f t="shared" si="103"/>
        <v>Ciudad</v>
      </c>
    </row>
    <row r="3320" spans="1:21" ht="16" x14ac:dyDescent="0.4">
      <c r="A3320" s="9">
        <v>164364</v>
      </c>
      <c r="B3320" s="8" t="s">
        <v>21</v>
      </c>
      <c r="C3320" s="8" t="s">
        <v>17</v>
      </c>
      <c r="D3320" s="8">
        <v>2332</v>
      </c>
      <c r="E3320" s="8">
        <v>508</v>
      </c>
      <c r="F3320" s="8">
        <v>574</v>
      </c>
      <c r="G3320" s="8">
        <v>71</v>
      </c>
      <c r="H3320" s="8">
        <v>19798</v>
      </c>
      <c r="I3320" s="8">
        <v>6</v>
      </c>
      <c r="J3320" s="8">
        <v>59</v>
      </c>
      <c r="K3320" s="8">
        <v>533</v>
      </c>
      <c r="L3320" s="8">
        <v>528</v>
      </c>
      <c r="M3320" s="8">
        <v>5.7142857139999998</v>
      </c>
      <c r="N3320">
        <f>VLOOKUP(A3320,vlookup_table!$A:$G,2,FALSE)</f>
        <v>0</v>
      </c>
      <c r="O3320" t="str">
        <f>VLOOKUP(A3320,vlookup_table!$A:$G,3,FALSE)</f>
        <v>CA</v>
      </c>
      <c r="P3320">
        <f>VLOOKUP(A3320,vlookup_table!$A:$G,4,FALSE)</f>
        <v>5201</v>
      </c>
      <c r="Q3320" t="str">
        <f>VLOOKUP(A3320,vlookup_table!$A:$G,5,FALSE)</f>
        <v>S1</v>
      </c>
      <c r="R3320" t="str">
        <f>VLOOKUP(A3320,vlookup_table!$A:$G,6,FALSE)</f>
        <v>F</v>
      </c>
      <c r="S3320">
        <f>VLOOKUP(A3320,vlookup_table!$A:$G,7,FALSE)</f>
        <v>6</v>
      </c>
      <c r="T3320">
        <f t="shared" si="102"/>
        <v>44</v>
      </c>
      <c r="U3320" t="str">
        <f t="shared" si="103"/>
        <v>Suburbano</v>
      </c>
    </row>
    <row r="3321" spans="1:21" ht="16" x14ac:dyDescent="0.4">
      <c r="A3321" s="9">
        <v>176253</v>
      </c>
      <c r="B3321" s="8" t="s">
        <v>47</v>
      </c>
      <c r="C3321" s="8" t="s">
        <v>17</v>
      </c>
      <c r="D3321" s="8">
        <v>1506</v>
      </c>
      <c r="E3321" s="8">
        <v>517</v>
      </c>
      <c r="F3321" s="8">
        <v>711</v>
      </c>
      <c r="G3321" s="8">
        <v>20</v>
      </c>
      <c r="H3321" s="8">
        <v>39301</v>
      </c>
      <c r="I3321" s="8">
        <v>6</v>
      </c>
      <c r="J3321" s="8">
        <v>35</v>
      </c>
      <c r="K3321" s="8">
        <v>573</v>
      </c>
      <c r="L3321" s="8">
        <v>632</v>
      </c>
      <c r="M3321" s="8">
        <v>32.916666669999998</v>
      </c>
      <c r="N3321">
        <f>VLOOKUP(A3321,vlookup_table!$A:$G,2,FALSE)</f>
        <v>2</v>
      </c>
      <c r="O3321" t="str">
        <f>VLOOKUP(A3321,vlookup_table!$A:$G,3,FALSE)</f>
        <v>OR</v>
      </c>
      <c r="P3321">
        <f>VLOOKUP(A3321,vlookup_table!$A:$G,4,FALSE)</f>
        <v>1309</v>
      </c>
      <c r="Q3321" t="str">
        <f>VLOOKUP(A3321,vlookup_table!$A:$G,5,FALSE)</f>
        <v>R2</v>
      </c>
      <c r="R3321" t="str">
        <f>VLOOKUP(A3321,vlookup_table!$A:$G,6,FALSE)</f>
        <v>F</v>
      </c>
      <c r="S3321">
        <f>VLOOKUP(A3321,vlookup_table!$A:$G,7,FALSE)</f>
        <v>50</v>
      </c>
      <c r="T3321">
        <f t="shared" si="102"/>
        <v>83</v>
      </c>
      <c r="U3321" t="str">
        <f t="shared" si="103"/>
        <v>Rural</v>
      </c>
    </row>
    <row r="3322" spans="1:21" ht="16" x14ac:dyDescent="0.4">
      <c r="A3322" s="9">
        <v>140181</v>
      </c>
      <c r="B3322" s="8" t="s">
        <v>45</v>
      </c>
      <c r="C3322" s="8" t="s">
        <v>17</v>
      </c>
      <c r="D3322" s="8">
        <v>487</v>
      </c>
      <c r="E3322" s="8">
        <v>117</v>
      </c>
      <c r="F3322" s="8">
        <v>197</v>
      </c>
      <c r="G3322" s="8">
        <v>1</v>
      </c>
      <c r="H3322" s="8">
        <v>9103</v>
      </c>
      <c r="I3322" s="8">
        <v>5</v>
      </c>
      <c r="J3322" s="8">
        <v>32</v>
      </c>
      <c r="K3322" s="8">
        <v>152</v>
      </c>
      <c r="L3322" s="8">
        <v>161</v>
      </c>
      <c r="M3322" s="8">
        <v>3.4444444440000002</v>
      </c>
      <c r="N3322">
        <f>VLOOKUP(A3322,vlookup_table!$A:$G,2,FALSE)</f>
        <v>28</v>
      </c>
      <c r="O3322" t="str">
        <f>VLOOKUP(A3322,vlookup_table!$A:$G,3,FALSE)</f>
        <v>CO</v>
      </c>
      <c r="P3322">
        <f>VLOOKUP(A3322,vlookup_table!$A:$G,4,FALSE)</f>
        <v>2201</v>
      </c>
      <c r="Q3322" t="str">
        <f>VLOOKUP(A3322,vlookup_table!$A:$G,5,FALSE)</f>
        <v>T2</v>
      </c>
      <c r="R3322" t="str">
        <f>VLOOKUP(A3322,vlookup_table!$A:$G,6,FALSE)</f>
        <v>F</v>
      </c>
      <c r="S3322">
        <f>VLOOKUP(A3322,vlookup_table!$A:$G,7,FALSE)</f>
        <v>3</v>
      </c>
      <c r="T3322">
        <f t="shared" si="102"/>
        <v>74</v>
      </c>
      <c r="U3322" t="str">
        <f t="shared" si="103"/>
        <v>Pueblo</v>
      </c>
    </row>
    <row r="3323" spans="1:21" ht="16" x14ac:dyDescent="0.4">
      <c r="A3323" s="9">
        <v>5331</v>
      </c>
      <c r="B3323" s="8" t="s">
        <v>18</v>
      </c>
      <c r="C3323" s="8" t="s">
        <v>27</v>
      </c>
      <c r="D3323" s="8">
        <v>1618</v>
      </c>
      <c r="E3323" s="8">
        <v>508</v>
      </c>
      <c r="F3323" s="8">
        <v>635</v>
      </c>
      <c r="G3323" s="8">
        <v>12</v>
      </c>
      <c r="H3323" s="8">
        <v>22608</v>
      </c>
      <c r="I3323" s="8">
        <v>6</v>
      </c>
      <c r="J3323" s="8">
        <v>35</v>
      </c>
      <c r="K3323" s="8">
        <v>580</v>
      </c>
      <c r="L3323" s="8">
        <v>527</v>
      </c>
      <c r="M3323" s="8">
        <v>11.545454550000001</v>
      </c>
      <c r="N3323">
        <f>VLOOKUP(A3323,vlookup_table!$A:$G,2,FALSE)</f>
        <v>2</v>
      </c>
      <c r="O3323" t="str">
        <f>VLOOKUP(A3323,vlookup_table!$A:$G,3,FALSE)</f>
        <v>NC</v>
      </c>
      <c r="P3323">
        <f>VLOOKUP(A3323,vlookup_table!$A:$G,4,FALSE)</f>
        <v>0</v>
      </c>
      <c r="Q3323" t="str">
        <f>VLOOKUP(A3323,vlookup_table!$A:$G,5,FALSE)</f>
        <v>C1</v>
      </c>
      <c r="R3323" t="str">
        <f>VLOOKUP(A3323,vlookup_table!$A:$G,6,FALSE)</f>
        <v>U</v>
      </c>
      <c r="S3323">
        <f>VLOOKUP(A3323,vlookup_table!$A:$G,7,FALSE)</f>
        <v>14</v>
      </c>
      <c r="T3323">
        <f t="shared" si="102"/>
        <v>96</v>
      </c>
      <c r="U3323" t="str">
        <f t="shared" si="103"/>
        <v>Ciudad</v>
      </c>
    </row>
    <row r="3324" spans="1:21" ht="16" x14ac:dyDescent="0.4">
      <c r="A3324" s="9">
        <v>31953</v>
      </c>
      <c r="B3324" s="8" t="s">
        <v>16</v>
      </c>
      <c r="C3324" s="8" t="s">
        <v>14</v>
      </c>
      <c r="D3324" s="8">
        <v>1210</v>
      </c>
      <c r="E3324" s="8">
        <v>471</v>
      </c>
      <c r="F3324" s="8">
        <v>553</v>
      </c>
      <c r="G3324" s="8">
        <v>3</v>
      </c>
      <c r="H3324" s="8">
        <v>17995</v>
      </c>
      <c r="I3324" s="8">
        <v>8</v>
      </c>
      <c r="J3324" s="8">
        <v>61</v>
      </c>
      <c r="K3324" s="8">
        <v>519</v>
      </c>
      <c r="L3324" s="8">
        <v>511</v>
      </c>
      <c r="M3324" s="8">
        <v>12.222222220000001</v>
      </c>
      <c r="N3324">
        <f>VLOOKUP(A3324,vlookup_table!$A:$G,2,FALSE)</f>
        <v>1</v>
      </c>
      <c r="O3324" t="str">
        <f>VLOOKUP(A3324,vlookup_table!$A:$G,3,FALSE)</f>
        <v>IL</v>
      </c>
      <c r="P3324">
        <f>VLOOKUP(A3324,vlookup_table!$A:$G,4,FALSE)</f>
        <v>0</v>
      </c>
      <c r="Q3324" t="str">
        <f>VLOOKUP(A3324,vlookup_table!$A:$G,5,FALSE)</f>
        <v>T1</v>
      </c>
      <c r="R3324" t="str">
        <f>VLOOKUP(A3324,vlookup_table!$A:$G,6,FALSE)</f>
        <v>M</v>
      </c>
      <c r="S3324">
        <f>VLOOKUP(A3324,vlookup_table!$A:$G,7,FALSE)</f>
        <v>12</v>
      </c>
      <c r="T3324">
        <f t="shared" si="102"/>
        <v>96</v>
      </c>
      <c r="U3324" t="str">
        <f t="shared" si="103"/>
        <v>Pueblo</v>
      </c>
    </row>
    <row r="3325" spans="1:21" ht="16" x14ac:dyDescent="0.4">
      <c r="A3325" s="9">
        <v>79399</v>
      </c>
      <c r="B3325" s="8" t="s">
        <v>32</v>
      </c>
      <c r="C3325" s="8" t="s">
        <v>14</v>
      </c>
      <c r="D3325" s="8">
        <v>487</v>
      </c>
      <c r="E3325" s="8">
        <v>298</v>
      </c>
      <c r="F3325" s="8">
        <v>360</v>
      </c>
      <c r="G3325" s="8">
        <v>0</v>
      </c>
      <c r="H3325" s="8">
        <v>11498</v>
      </c>
      <c r="I3325" s="8">
        <v>1</v>
      </c>
      <c r="J3325" s="8">
        <v>82</v>
      </c>
      <c r="K3325" s="8">
        <v>322</v>
      </c>
      <c r="L3325" s="8">
        <v>328</v>
      </c>
      <c r="M3325" s="8">
        <v>17.5</v>
      </c>
      <c r="N3325">
        <f>VLOOKUP(A3325,vlookup_table!$A:$G,2,FALSE)</f>
        <v>0</v>
      </c>
      <c r="O3325" t="str">
        <f>VLOOKUP(A3325,vlookup_table!$A:$G,3,FALSE)</f>
        <v>WI</v>
      </c>
      <c r="P3325">
        <f>VLOOKUP(A3325,vlookup_table!$A:$G,4,FALSE)</f>
        <v>5507</v>
      </c>
      <c r="Q3325" t="str">
        <f>VLOOKUP(A3325,vlookup_table!$A:$G,5,FALSE)</f>
        <v>R2</v>
      </c>
      <c r="R3325" t="str">
        <f>VLOOKUP(A3325,vlookup_table!$A:$G,6,FALSE)</f>
        <v>M</v>
      </c>
      <c r="S3325">
        <f>VLOOKUP(A3325,vlookup_table!$A:$G,7,FALSE)</f>
        <v>30</v>
      </c>
      <c r="T3325">
        <f t="shared" si="102"/>
        <v>41</v>
      </c>
      <c r="U3325" t="str">
        <f t="shared" si="103"/>
        <v>Rural</v>
      </c>
    </row>
    <row r="3326" spans="1:21" ht="16" x14ac:dyDescent="0.4">
      <c r="A3326" s="9">
        <v>74732</v>
      </c>
      <c r="B3326" s="8" t="s">
        <v>26</v>
      </c>
      <c r="C3326" s="8" t="s">
        <v>14</v>
      </c>
      <c r="D3326" s="8">
        <v>229</v>
      </c>
      <c r="E3326" s="8">
        <v>214</v>
      </c>
      <c r="F3326" s="8">
        <v>285</v>
      </c>
      <c r="G3326" s="8">
        <v>0</v>
      </c>
      <c r="H3326" s="8">
        <v>8985</v>
      </c>
      <c r="I3326" s="8">
        <v>2</v>
      </c>
      <c r="J3326" s="8">
        <v>69</v>
      </c>
      <c r="K3326" s="8">
        <v>260</v>
      </c>
      <c r="L3326" s="8">
        <v>246</v>
      </c>
      <c r="M3326" s="8">
        <v>15.91666667</v>
      </c>
      <c r="N3326">
        <f>VLOOKUP(A3326,vlookup_table!$A:$G,2,FALSE)</f>
        <v>1</v>
      </c>
      <c r="O3326" t="str">
        <f>VLOOKUP(A3326,vlookup_table!$A:$G,3,FALSE)</f>
        <v>MI</v>
      </c>
      <c r="P3326">
        <f>VLOOKUP(A3326,vlookup_table!$A:$G,4,FALSE)</f>
        <v>0</v>
      </c>
      <c r="Q3326" t="str">
        <f>VLOOKUP(A3326,vlookup_table!$A:$G,5,FALSE)</f>
        <v>R2</v>
      </c>
      <c r="R3326" t="str">
        <f>VLOOKUP(A3326,vlookup_table!$A:$G,6,FALSE)</f>
        <v>M</v>
      </c>
      <c r="S3326">
        <f>VLOOKUP(A3326,vlookup_table!$A:$G,7,FALSE)</f>
        <v>15</v>
      </c>
      <c r="T3326">
        <f t="shared" si="102"/>
        <v>96</v>
      </c>
      <c r="U3326" t="str">
        <f t="shared" si="103"/>
        <v>Rural</v>
      </c>
    </row>
    <row r="3327" spans="1:21" ht="16" x14ac:dyDescent="0.4">
      <c r="A3327" s="9">
        <v>36395</v>
      </c>
      <c r="B3327" s="8" t="s">
        <v>13</v>
      </c>
      <c r="C3327" s="8" t="s">
        <v>14</v>
      </c>
      <c r="D3327" s="8">
        <v>885</v>
      </c>
      <c r="E3327" s="8">
        <v>345</v>
      </c>
      <c r="F3327" s="8">
        <v>595</v>
      </c>
      <c r="G3327" s="8">
        <v>1</v>
      </c>
      <c r="H3327" s="8">
        <v>30256</v>
      </c>
      <c r="I3327" s="8">
        <v>4</v>
      </c>
      <c r="J3327" s="8">
        <v>5</v>
      </c>
      <c r="K3327" s="8">
        <v>565</v>
      </c>
      <c r="L3327" s="8">
        <v>473</v>
      </c>
      <c r="M3327" s="8">
        <v>11.1</v>
      </c>
      <c r="N3327">
        <f>VLOOKUP(A3327,vlookup_table!$A:$G,2,FALSE)</f>
        <v>1</v>
      </c>
      <c r="O3327" t="str">
        <f>VLOOKUP(A3327,vlookup_table!$A:$G,3,FALSE)</f>
        <v>FL</v>
      </c>
      <c r="P3327">
        <f>VLOOKUP(A3327,vlookup_table!$A:$G,4,FALSE)</f>
        <v>1601</v>
      </c>
      <c r="Q3327" t="str">
        <f>VLOOKUP(A3327,vlookup_table!$A:$G,5,FALSE)</f>
        <v>C2</v>
      </c>
      <c r="R3327" t="str">
        <f>VLOOKUP(A3327,vlookup_table!$A:$G,6,FALSE)</f>
        <v>M</v>
      </c>
      <c r="S3327">
        <f>VLOOKUP(A3327,vlookup_table!$A:$G,7,FALSE)</f>
        <v>15</v>
      </c>
      <c r="T3327">
        <f t="shared" si="102"/>
        <v>80</v>
      </c>
      <c r="U3327" t="str">
        <f t="shared" si="103"/>
        <v>Ciudad</v>
      </c>
    </row>
    <row r="3328" spans="1:21" ht="16" x14ac:dyDescent="0.4">
      <c r="A3328" s="9">
        <v>75835</v>
      </c>
      <c r="B3328" s="8" t="s">
        <v>44</v>
      </c>
      <c r="C3328" s="8"/>
      <c r="D3328" s="8">
        <v>298</v>
      </c>
      <c r="E3328" s="8">
        <v>234</v>
      </c>
      <c r="F3328" s="8">
        <v>279</v>
      </c>
      <c r="G3328" s="8">
        <v>0</v>
      </c>
      <c r="H3328" s="8">
        <v>9825</v>
      </c>
      <c r="I3328" s="8">
        <v>4</v>
      </c>
      <c r="J3328" s="8">
        <v>64</v>
      </c>
      <c r="K3328" s="8">
        <v>250</v>
      </c>
      <c r="L3328" s="8">
        <v>269</v>
      </c>
      <c r="M3328" s="8">
        <v>3.8571428569999999</v>
      </c>
      <c r="N3328">
        <f>VLOOKUP(A3328,vlookup_table!$A:$G,2,FALSE)</f>
        <v>0</v>
      </c>
      <c r="O3328" t="str">
        <f>VLOOKUP(A3328,vlookup_table!$A:$G,3,FALSE)</f>
        <v>IA</v>
      </c>
      <c r="P3328">
        <f>VLOOKUP(A3328,vlookup_table!$A:$G,4,FALSE)</f>
        <v>4401</v>
      </c>
      <c r="Q3328" t="str">
        <f>VLOOKUP(A3328,vlookup_table!$A:$G,5,FALSE)</f>
        <v>C3</v>
      </c>
      <c r="R3328" t="str">
        <f>VLOOKUP(A3328,vlookup_table!$A:$G,6,FALSE)</f>
        <v/>
      </c>
      <c r="S3328">
        <f>VLOOKUP(A3328,vlookup_table!$A:$G,7,FALSE)</f>
        <v>5</v>
      </c>
      <c r="T3328">
        <f t="shared" si="102"/>
        <v>52</v>
      </c>
      <c r="U3328" t="str">
        <f t="shared" si="103"/>
        <v>Ciudad</v>
      </c>
    </row>
    <row r="3329" spans="1:21" ht="16" x14ac:dyDescent="0.4">
      <c r="A3329" s="9">
        <v>4606</v>
      </c>
      <c r="B3329" s="8" t="s">
        <v>16</v>
      </c>
      <c r="C3329" s="8"/>
      <c r="D3329" s="8">
        <v>1045</v>
      </c>
      <c r="E3329" s="8">
        <v>288</v>
      </c>
      <c r="F3329" s="8">
        <v>399</v>
      </c>
      <c r="G3329" s="8">
        <v>1</v>
      </c>
      <c r="H3329" s="8">
        <v>12829</v>
      </c>
      <c r="I3329" s="8">
        <v>33</v>
      </c>
      <c r="J3329" s="8">
        <v>56</v>
      </c>
      <c r="K3329" s="8">
        <v>347</v>
      </c>
      <c r="L3329" s="8">
        <v>337</v>
      </c>
      <c r="M3329" s="8">
        <v>24.75</v>
      </c>
      <c r="N3329">
        <f>VLOOKUP(A3329,vlookup_table!$A:$G,2,FALSE)</f>
        <v>0</v>
      </c>
      <c r="O3329" t="str">
        <f>VLOOKUP(A3329,vlookup_table!$A:$G,3,FALSE)</f>
        <v>IL</v>
      </c>
      <c r="P3329">
        <f>VLOOKUP(A3329,vlookup_table!$A:$G,4,FALSE)</f>
        <v>2509</v>
      </c>
      <c r="Q3329" t="str">
        <f>VLOOKUP(A3329,vlookup_table!$A:$G,5,FALSE)</f>
        <v>U3</v>
      </c>
      <c r="R3329" t="str">
        <f>VLOOKUP(A3329,vlookup_table!$A:$G,6,FALSE)</f>
        <v/>
      </c>
      <c r="S3329">
        <f>VLOOKUP(A3329,vlookup_table!$A:$G,7,FALSE)</f>
        <v>25</v>
      </c>
      <c r="T3329">
        <f t="shared" si="102"/>
        <v>71</v>
      </c>
      <c r="U3329" t="str">
        <f t="shared" si="103"/>
        <v>Urbano</v>
      </c>
    </row>
    <row r="3330" spans="1:21" ht="16" x14ac:dyDescent="0.4">
      <c r="A3330" s="9">
        <v>51234</v>
      </c>
      <c r="B3330" s="8" t="s">
        <v>49</v>
      </c>
      <c r="C3330" s="8" t="s">
        <v>17</v>
      </c>
      <c r="D3330" s="8">
        <v>484</v>
      </c>
      <c r="E3330" s="8">
        <v>232</v>
      </c>
      <c r="F3330" s="8">
        <v>318</v>
      </c>
      <c r="G3330" s="8">
        <v>0</v>
      </c>
      <c r="H3330" s="8">
        <v>10806</v>
      </c>
      <c r="I3330" s="8">
        <v>4</v>
      </c>
      <c r="J3330" s="8">
        <v>62</v>
      </c>
      <c r="K3330" s="8">
        <v>324</v>
      </c>
      <c r="L3330" s="8">
        <v>265</v>
      </c>
      <c r="M3330" s="8">
        <v>9.5</v>
      </c>
      <c r="N3330">
        <f>VLOOKUP(A3330,vlookup_table!$A:$G,2,FALSE)</f>
        <v>28</v>
      </c>
      <c r="O3330" t="str">
        <f>VLOOKUP(A3330,vlookup_table!$A:$G,3,FALSE)</f>
        <v>TN</v>
      </c>
      <c r="P3330">
        <f>VLOOKUP(A3330,vlookup_table!$A:$G,4,FALSE)</f>
        <v>2301</v>
      </c>
      <c r="Q3330" t="str">
        <f>VLOOKUP(A3330,vlookup_table!$A:$G,5,FALSE)</f>
        <v>S3</v>
      </c>
      <c r="R3330" t="str">
        <f>VLOOKUP(A3330,vlookup_table!$A:$G,6,FALSE)</f>
        <v>F</v>
      </c>
      <c r="S3330">
        <f>VLOOKUP(A3330,vlookup_table!$A:$G,7,FALSE)</f>
        <v>25</v>
      </c>
      <c r="T3330">
        <f t="shared" si="102"/>
        <v>73</v>
      </c>
      <c r="U3330" t="str">
        <f t="shared" si="103"/>
        <v>Suburbano</v>
      </c>
    </row>
    <row r="3331" spans="1:21" ht="16" x14ac:dyDescent="0.4">
      <c r="A3331" s="9">
        <v>71616</v>
      </c>
      <c r="B3331" s="8" t="s">
        <v>26</v>
      </c>
      <c r="C3331" s="8" t="s">
        <v>14</v>
      </c>
      <c r="D3331" s="8">
        <v>501</v>
      </c>
      <c r="E3331" s="8">
        <v>397</v>
      </c>
      <c r="F3331" s="8">
        <v>434</v>
      </c>
      <c r="G3331" s="8">
        <v>0</v>
      </c>
      <c r="H3331" s="8">
        <v>12437</v>
      </c>
      <c r="I3331" s="8">
        <v>2</v>
      </c>
      <c r="J3331" s="8">
        <v>71</v>
      </c>
      <c r="K3331" s="8">
        <v>403</v>
      </c>
      <c r="L3331" s="8">
        <v>424</v>
      </c>
      <c r="M3331" s="8">
        <v>27.625</v>
      </c>
      <c r="N3331">
        <f>VLOOKUP(A3331,vlookup_table!$A:$G,2,FALSE)</f>
        <v>1</v>
      </c>
      <c r="O3331" t="str">
        <f>VLOOKUP(A3331,vlookup_table!$A:$G,3,FALSE)</f>
        <v>MI</v>
      </c>
      <c r="P3331">
        <f>VLOOKUP(A3331,vlookup_table!$A:$G,4,FALSE)</f>
        <v>5601</v>
      </c>
      <c r="Q3331" t="str">
        <f>VLOOKUP(A3331,vlookup_table!$A:$G,5,FALSE)</f>
        <v>S2</v>
      </c>
      <c r="R3331" t="str">
        <f>VLOOKUP(A3331,vlookup_table!$A:$G,6,FALSE)</f>
        <v>M</v>
      </c>
      <c r="S3331">
        <f>VLOOKUP(A3331,vlookup_table!$A:$G,7,FALSE)</f>
        <v>50</v>
      </c>
      <c r="T3331">
        <f t="shared" ref="T3331:T3394" si="104">97-LEFT(P3331,2)-IF(RIGHT(P3331,2)&gt;6,1,0)</f>
        <v>40</v>
      </c>
      <c r="U3331" t="str">
        <f t="shared" ref="U3331:U3394" si="105">IF(LEFT(Q3331,1)="C","Ciudad",IF(LEFT(Q3331,1)="T","Pueblo",IF(LEFT(Q3331,1)="R","Rural",IF(LEFT(Q3331,1)="S","Suburbano",IF(LEFT(Q3331,1)="U","Urbano","")))))</f>
        <v>Suburbano</v>
      </c>
    </row>
    <row r="3332" spans="1:21" ht="16" x14ac:dyDescent="0.4">
      <c r="A3332" s="9">
        <v>182697</v>
      </c>
      <c r="B3332" s="8" t="s">
        <v>37</v>
      </c>
      <c r="C3332" s="8" t="s">
        <v>27</v>
      </c>
      <c r="D3332" s="8">
        <v>613</v>
      </c>
      <c r="E3332" s="8">
        <v>246</v>
      </c>
      <c r="F3332" s="8">
        <v>335</v>
      </c>
      <c r="G3332" s="8">
        <v>2</v>
      </c>
      <c r="H3332" s="8">
        <v>11634</v>
      </c>
      <c r="I3332" s="8">
        <v>3</v>
      </c>
      <c r="J3332" s="8">
        <v>56</v>
      </c>
      <c r="K3332" s="8">
        <v>290</v>
      </c>
      <c r="L3332" s="8">
        <v>296</v>
      </c>
      <c r="M3332" s="8">
        <v>20</v>
      </c>
      <c r="N3332">
        <f>VLOOKUP(A3332,vlookup_table!$A:$G,2,FALSE)</f>
        <v>2</v>
      </c>
      <c r="O3332" t="str">
        <f>VLOOKUP(A3332,vlookup_table!$A:$G,3,FALSE)</f>
        <v>WA</v>
      </c>
      <c r="P3332">
        <f>VLOOKUP(A3332,vlookup_table!$A:$G,4,FALSE)</f>
        <v>0</v>
      </c>
      <c r="Q3332" t="str">
        <f>VLOOKUP(A3332,vlookup_table!$A:$G,5,FALSE)</f>
        <v>R1</v>
      </c>
      <c r="R3332" t="str">
        <f>VLOOKUP(A3332,vlookup_table!$A:$G,6,FALSE)</f>
        <v>U</v>
      </c>
      <c r="S3332">
        <f>VLOOKUP(A3332,vlookup_table!$A:$G,7,FALSE)</f>
        <v>20</v>
      </c>
      <c r="T3332">
        <f t="shared" si="104"/>
        <v>96</v>
      </c>
      <c r="U3332" t="str">
        <f t="shared" si="105"/>
        <v>Rural</v>
      </c>
    </row>
    <row r="3333" spans="1:21" ht="16" x14ac:dyDescent="0.4">
      <c r="A3333" s="9">
        <v>173100</v>
      </c>
      <c r="B3333" s="8" t="s">
        <v>21</v>
      </c>
      <c r="C3333" s="8" t="s">
        <v>17</v>
      </c>
      <c r="D3333" s="8">
        <v>625</v>
      </c>
      <c r="E3333" s="8">
        <v>172</v>
      </c>
      <c r="F3333" s="8">
        <v>250</v>
      </c>
      <c r="G3333" s="8">
        <v>0</v>
      </c>
      <c r="H3333" s="8">
        <v>8875</v>
      </c>
      <c r="I3333" s="8">
        <v>1</v>
      </c>
      <c r="J3333" s="8">
        <v>63</v>
      </c>
      <c r="K3333" s="8">
        <v>190</v>
      </c>
      <c r="L3333" s="8">
        <v>226</v>
      </c>
      <c r="M3333" s="8">
        <v>13</v>
      </c>
      <c r="N3333">
        <f>VLOOKUP(A3333,vlookup_table!$A:$G,2,FALSE)</f>
        <v>0</v>
      </c>
      <c r="O3333" t="str">
        <f>VLOOKUP(A3333,vlookup_table!$A:$G,3,FALSE)</f>
        <v>CA</v>
      </c>
      <c r="P3333">
        <f>VLOOKUP(A3333,vlookup_table!$A:$G,4,FALSE)</f>
        <v>0</v>
      </c>
      <c r="Q3333" t="str">
        <f>VLOOKUP(A3333,vlookup_table!$A:$G,5,FALSE)</f>
        <v>R2</v>
      </c>
      <c r="R3333" t="str">
        <f>VLOOKUP(A3333,vlookup_table!$A:$G,6,FALSE)</f>
        <v>F</v>
      </c>
      <c r="S3333">
        <f>VLOOKUP(A3333,vlookup_table!$A:$G,7,FALSE)</f>
        <v>21</v>
      </c>
      <c r="T3333">
        <f t="shared" si="104"/>
        <v>96</v>
      </c>
      <c r="U3333" t="str">
        <f t="shared" si="105"/>
        <v>Rural</v>
      </c>
    </row>
    <row r="3334" spans="1:21" ht="16" x14ac:dyDescent="0.4">
      <c r="A3334" s="9">
        <v>172784</v>
      </c>
      <c r="B3334" s="8" t="s">
        <v>21</v>
      </c>
      <c r="C3334" s="8" t="s">
        <v>17</v>
      </c>
      <c r="D3334" s="8">
        <v>688</v>
      </c>
      <c r="E3334" s="8">
        <v>175</v>
      </c>
      <c r="F3334" s="8">
        <v>292</v>
      </c>
      <c r="G3334" s="8">
        <v>0</v>
      </c>
      <c r="H3334" s="8">
        <v>9422</v>
      </c>
      <c r="I3334" s="8">
        <v>3</v>
      </c>
      <c r="J3334" s="8">
        <v>66</v>
      </c>
      <c r="K3334" s="8">
        <v>187</v>
      </c>
      <c r="L3334" s="8">
        <v>258</v>
      </c>
      <c r="M3334" s="8">
        <v>5.5714285710000002</v>
      </c>
      <c r="N3334">
        <f>VLOOKUP(A3334,vlookup_table!$A:$G,2,FALSE)</f>
        <v>0</v>
      </c>
      <c r="O3334" t="str">
        <f>VLOOKUP(A3334,vlookup_table!$A:$G,3,FALSE)</f>
        <v>CA</v>
      </c>
      <c r="P3334">
        <f>VLOOKUP(A3334,vlookup_table!$A:$G,4,FALSE)</f>
        <v>3201</v>
      </c>
      <c r="Q3334" t="str">
        <f>VLOOKUP(A3334,vlookup_table!$A:$G,5,FALSE)</f>
        <v>R2</v>
      </c>
      <c r="R3334" t="str">
        <f>VLOOKUP(A3334,vlookup_table!$A:$G,6,FALSE)</f>
        <v>F</v>
      </c>
      <c r="S3334">
        <f>VLOOKUP(A3334,vlookup_table!$A:$G,7,FALSE)</f>
        <v>5</v>
      </c>
      <c r="T3334">
        <f t="shared" si="104"/>
        <v>64</v>
      </c>
      <c r="U3334" t="str">
        <f t="shared" si="105"/>
        <v>Rural</v>
      </c>
    </row>
    <row r="3335" spans="1:21" ht="16" x14ac:dyDescent="0.4">
      <c r="A3335" s="9">
        <v>145637</v>
      </c>
      <c r="B3335" s="8" t="s">
        <v>21</v>
      </c>
      <c r="C3335" s="8" t="s">
        <v>17</v>
      </c>
      <c r="D3335" s="8">
        <v>2908</v>
      </c>
      <c r="E3335" s="8">
        <v>606</v>
      </c>
      <c r="F3335" s="8">
        <v>717</v>
      </c>
      <c r="G3335" s="8">
        <v>87</v>
      </c>
      <c r="H3335" s="8">
        <v>23934</v>
      </c>
      <c r="I3335" s="8">
        <v>5</v>
      </c>
      <c r="J3335" s="8">
        <v>54</v>
      </c>
      <c r="K3335" s="8">
        <v>644</v>
      </c>
      <c r="L3335" s="8">
        <v>677</v>
      </c>
      <c r="M3335" s="8">
        <v>16.25</v>
      </c>
      <c r="N3335">
        <f>VLOOKUP(A3335,vlookup_table!$A:$G,2,FALSE)</f>
        <v>0</v>
      </c>
      <c r="O3335" t="str">
        <f>VLOOKUP(A3335,vlookup_table!$A:$G,3,FALSE)</f>
        <v>CA</v>
      </c>
      <c r="P3335">
        <f>VLOOKUP(A3335,vlookup_table!$A:$G,4,FALSE)</f>
        <v>4801</v>
      </c>
      <c r="Q3335" t="str">
        <f>VLOOKUP(A3335,vlookup_table!$A:$G,5,FALSE)</f>
        <v>S1</v>
      </c>
      <c r="R3335" t="str">
        <f>VLOOKUP(A3335,vlookup_table!$A:$G,6,FALSE)</f>
        <v>F</v>
      </c>
      <c r="S3335">
        <f>VLOOKUP(A3335,vlookup_table!$A:$G,7,FALSE)</f>
        <v>25</v>
      </c>
      <c r="T3335">
        <f t="shared" si="104"/>
        <v>48</v>
      </c>
      <c r="U3335" t="str">
        <f t="shared" si="105"/>
        <v>Suburbano</v>
      </c>
    </row>
    <row r="3336" spans="1:21" ht="16" x14ac:dyDescent="0.4">
      <c r="A3336" s="9">
        <v>41445</v>
      </c>
      <c r="B3336" s="8" t="s">
        <v>13</v>
      </c>
      <c r="C3336" s="8" t="s">
        <v>14</v>
      </c>
      <c r="D3336" s="8">
        <v>1007</v>
      </c>
      <c r="E3336" s="8">
        <v>433</v>
      </c>
      <c r="F3336" s="8">
        <v>608</v>
      </c>
      <c r="G3336" s="8">
        <v>16</v>
      </c>
      <c r="H3336" s="8">
        <v>22698</v>
      </c>
      <c r="I3336" s="8">
        <v>5</v>
      </c>
      <c r="J3336" s="8">
        <v>30</v>
      </c>
      <c r="K3336" s="8">
        <v>498</v>
      </c>
      <c r="L3336" s="8">
        <v>543</v>
      </c>
      <c r="M3336" s="8">
        <v>17.5</v>
      </c>
      <c r="N3336">
        <f>VLOOKUP(A3336,vlookup_table!$A:$G,2,FALSE)</f>
        <v>1</v>
      </c>
      <c r="O3336" t="str">
        <f>VLOOKUP(A3336,vlookup_table!$A:$G,3,FALSE)</f>
        <v>FL</v>
      </c>
      <c r="P3336">
        <f>VLOOKUP(A3336,vlookup_table!$A:$G,4,FALSE)</f>
        <v>5201</v>
      </c>
      <c r="Q3336" t="str">
        <f>VLOOKUP(A3336,vlookup_table!$A:$G,5,FALSE)</f>
        <v>S1</v>
      </c>
      <c r="R3336" t="str">
        <f>VLOOKUP(A3336,vlookup_table!$A:$G,6,FALSE)</f>
        <v>M</v>
      </c>
      <c r="S3336">
        <f>VLOOKUP(A3336,vlookup_table!$A:$G,7,FALSE)</f>
        <v>35</v>
      </c>
      <c r="T3336">
        <f t="shared" si="104"/>
        <v>44</v>
      </c>
      <c r="U3336" t="str">
        <f t="shared" si="105"/>
        <v>Suburbano</v>
      </c>
    </row>
    <row r="3337" spans="1:21" ht="16" x14ac:dyDescent="0.4">
      <c r="A3337" s="9">
        <v>22900</v>
      </c>
      <c r="B3337" s="8" t="s">
        <v>43</v>
      </c>
      <c r="C3337" s="8" t="s">
        <v>17</v>
      </c>
      <c r="D3337" s="8">
        <v>750</v>
      </c>
      <c r="E3337" s="8">
        <v>170</v>
      </c>
      <c r="F3337" s="8">
        <v>213</v>
      </c>
      <c r="G3337" s="8">
        <v>7</v>
      </c>
      <c r="H3337" s="8">
        <v>10765</v>
      </c>
      <c r="I3337" s="8">
        <v>3</v>
      </c>
      <c r="J3337" s="8">
        <v>74</v>
      </c>
      <c r="K3337" s="8">
        <v>171</v>
      </c>
      <c r="L3337" s="8">
        <v>223</v>
      </c>
      <c r="M3337" s="8">
        <v>21.333333329999999</v>
      </c>
      <c r="N3337">
        <f>VLOOKUP(A3337,vlookup_table!$A:$G,2,FALSE)</f>
        <v>2</v>
      </c>
      <c r="O3337" t="str">
        <f>VLOOKUP(A3337,vlookup_table!$A:$G,3,FALSE)</f>
        <v>SC</v>
      </c>
      <c r="P3337">
        <f>VLOOKUP(A3337,vlookup_table!$A:$G,4,FALSE)</f>
        <v>0</v>
      </c>
      <c r="Q3337" t="str">
        <f>VLOOKUP(A3337,vlookup_table!$A:$G,5,FALSE)</f>
        <v>C3</v>
      </c>
      <c r="R3337" t="str">
        <f>VLOOKUP(A3337,vlookup_table!$A:$G,6,FALSE)</f>
        <v>F</v>
      </c>
      <c r="S3337">
        <f>VLOOKUP(A3337,vlookup_table!$A:$G,7,FALSE)</f>
        <v>10</v>
      </c>
      <c r="T3337">
        <f t="shared" si="104"/>
        <v>96</v>
      </c>
      <c r="U3337" t="str">
        <f t="shared" si="105"/>
        <v>Ciudad</v>
      </c>
    </row>
    <row r="3338" spans="1:21" ht="16" x14ac:dyDescent="0.4">
      <c r="A3338" s="9">
        <v>93086</v>
      </c>
      <c r="B3338" s="8" t="s">
        <v>16</v>
      </c>
      <c r="C3338" s="8" t="s">
        <v>17</v>
      </c>
      <c r="D3338" s="8">
        <v>1088</v>
      </c>
      <c r="E3338" s="8">
        <v>241</v>
      </c>
      <c r="F3338" s="8">
        <v>343</v>
      </c>
      <c r="G3338" s="8">
        <v>11</v>
      </c>
      <c r="H3338" s="8">
        <v>10050</v>
      </c>
      <c r="I3338" s="8">
        <v>48</v>
      </c>
      <c r="J3338" s="8">
        <v>32</v>
      </c>
      <c r="K3338" s="8">
        <v>288</v>
      </c>
      <c r="L3338" s="8">
        <v>308</v>
      </c>
      <c r="M3338" s="8">
        <v>20</v>
      </c>
      <c r="N3338">
        <f>VLOOKUP(A3338,vlookup_table!$A:$G,2,FALSE)</f>
        <v>0</v>
      </c>
      <c r="O3338" t="str">
        <f>VLOOKUP(A3338,vlookup_table!$A:$G,3,FALSE)</f>
        <v>IL</v>
      </c>
      <c r="P3338">
        <f>VLOOKUP(A3338,vlookup_table!$A:$G,4,FALSE)</f>
        <v>6301</v>
      </c>
      <c r="Q3338" t="str">
        <f>VLOOKUP(A3338,vlookup_table!$A:$G,5,FALSE)</f>
        <v>U1</v>
      </c>
      <c r="R3338" t="str">
        <f>VLOOKUP(A3338,vlookup_table!$A:$G,6,FALSE)</f>
        <v>F</v>
      </c>
      <c r="S3338">
        <f>VLOOKUP(A3338,vlookup_table!$A:$G,7,FALSE)</f>
        <v>20</v>
      </c>
      <c r="T3338">
        <f t="shared" si="104"/>
        <v>33</v>
      </c>
      <c r="U3338" t="str">
        <f t="shared" si="105"/>
        <v>Urbano</v>
      </c>
    </row>
    <row r="3339" spans="1:21" ht="16" x14ac:dyDescent="0.4">
      <c r="A3339" s="9">
        <v>95727</v>
      </c>
      <c r="B3339" s="8" t="s">
        <v>16</v>
      </c>
      <c r="C3339" s="8" t="s">
        <v>27</v>
      </c>
      <c r="D3339" s="8">
        <v>364</v>
      </c>
      <c r="E3339" s="8">
        <v>305</v>
      </c>
      <c r="F3339" s="8">
        <v>383</v>
      </c>
      <c r="G3339" s="8">
        <v>0</v>
      </c>
      <c r="H3339" s="8">
        <v>12461</v>
      </c>
      <c r="I3339" s="8">
        <v>2</v>
      </c>
      <c r="J3339" s="8">
        <v>56</v>
      </c>
      <c r="K3339" s="8">
        <v>333</v>
      </c>
      <c r="L3339" s="8">
        <v>329</v>
      </c>
      <c r="M3339" s="8">
        <v>15.55555556</v>
      </c>
      <c r="N3339">
        <f>VLOOKUP(A3339,vlookup_table!$A:$G,2,FALSE)</f>
        <v>0</v>
      </c>
      <c r="O3339" t="str">
        <f>VLOOKUP(A3339,vlookup_table!$A:$G,3,FALSE)</f>
        <v>IL</v>
      </c>
      <c r="P3339">
        <f>VLOOKUP(A3339,vlookup_table!$A:$G,4,FALSE)</f>
        <v>5208</v>
      </c>
      <c r="Q3339" t="str">
        <f>VLOOKUP(A3339,vlookup_table!$A:$G,5,FALSE)</f>
        <v>S3</v>
      </c>
      <c r="R3339" t="str">
        <f>VLOOKUP(A3339,vlookup_table!$A:$G,6,FALSE)</f>
        <v>U</v>
      </c>
      <c r="S3339">
        <f>VLOOKUP(A3339,vlookup_table!$A:$G,7,FALSE)</f>
        <v>18</v>
      </c>
      <c r="T3339">
        <f t="shared" si="104"/>
        <v>44</v>
      </c>
      <c r="U3339" t="str">
        <f t="shared" si="105"/>
        <v>Suburbano</v>
      </c>
    </row>
    <row r="3340" spans="1:21" ht="16" x14ac:dyDescent="0.4">
      <c r="A3340" s="9">
        <v>127759</v>
      </c>
      <c r="B3340" s="8" t="s">
        <v>20</v>
      </c>
      <c r="C3340" s="8" t="s">
        <v>14</v>
      </c>
      <c r="D3340" s="8">
        <v>304</v>
      </c>
      <c r="E3340" s="8">
        <v>249</v>
      </c>
      <c r="F3340" s="8">
        <v>297</v>
      </c>
      <c r="G3340" s="8">
        <v>0</v>
      </c>
      <c r="H3340" s="8">
        <v>9565</v>
      </c>
      <c r="I3340" s="8">
        <v>5</v>
      </c>
      <c r="J3340" s="8">
        <v>61</v>
      </c>
      <c r="K3340" s="8">
        <v>260</v>
      </c>
      <c r="L3340" s="8">
        <v>281</v>
      </c>
      <c r="M3340" s="8">
        <v>5.8</v>
      </c>
      <c r="N3340">
        <f>VLOOKUP(A3340,vlookup_table!$A:$G,2,FALSE)</f>
        <v>1</v>
      </c>
      <c r="O3340" t="str">
        <f>VLOOKUP(A3340,vlookup_table!$A:$G,3,FALSE)</f>
        <v>TX</v>
      </c>
      <c r="P3340">
        <f>VLOOKUP(A3340,vlookup_table!$A:$G,4,FALSE)</f>
        <v>801</v>
      </c>
      <c r="Q3340" t="str">
        <f>VLOOKUP(A3340,vlookup_table!$A:$G,5,FALSE)</f>
        <v>T2</v>
      </c>
      <c r="R3340" t="str">
        <f>VLOOKUP(A3340,vlookup_table!$A:$G,6,FALSE)</f>
        <v>M</v>
      </c>
      <c r="S3340">
        <f>VLOOKUP(A3340,vlookup_table!$A:$G,7,FALSE)</f>
        <v>6</v>
      </c>
      <c r="T3340">
        <f t="shared" si="104"/>
        <v>16</v>
      </c>
      <c r="U3340" t="str">
        <f t="shared" si="105"/>
        <v>Pueblo</v>
      </c>
    </row>
    <row r="3341" spans="1:21" ht="16" x14ac:dyDescent="0.4">
      <c r="A3341" s="9">
        <v>190666</v>
      </c>
      <c r="B3341" s="8" t="s">
        <v>21</v>
      </c>
      <c r="C3341" s="8" t="s">
        <v>14</v>
      </c>
      <c r="D3341" s="8">
        <v>1202</v>
      </c>
      <c r="E3341" s="8">
        <v>256</v>
      </c>
      <c r="F3341" s="8">
        <v>325</v>
      </c>
      <c r="G3341" s="8">
        <v>4</v>
      </c>
      <c r="H3341" s="8">
        <v>14662</v>
      </c>
      <c r="I3341" s="8">
        <v>11</v>
      </c>
      <c r="J3341" s="8">
        <v>56</v>
      </c>
      <c r="K3341" s="8">
        <v>281</v>
      </c>
      <c r="L3341" s="8">
        <v>308</v>
      </c>
      <c r="M3341" s="8">
        <v>8.6111111109999996</v>
      </c>
      <c r="N3341">
        <f>VLOOKUP(A3341,vlookup_table!$A:$G,2,FALSE)</f>
        <v>1</v>
      </c>
      <c r="O3341" t="str">
        <f>VLOOKUP(A3341,vlookup_table!$A:$G,3,FALSE)</f>
        <v>CA</v>
      </c>
      <c r="P3341">
        <f>VLOOKUP(A3341,vlookup_table!$A:$G,4,FALSE)</f>
        <v>4812</v>
      </c>
      <c r="Q3341" t="str">
        <f>VLOOKUP(A3341,vlookup_table!$A:$G,5,FALSE)</f>
        <v>T2</v>
      </c>
      <c r="R3341" t="str">
        <f>VLOOKUP(A3341,vlookup_table!$A:$G,6,FALSE)</f>
        <v>M</v>
      </c>
      <c r="S3341">
        <f>VLOOKUP(A3341,vlookup_table!$A:$G,7,FALSE)</f>
        <v>13</v>
      </c>
      <c r="T3341">
        <f t="shared" si="104"/>
        <v>48</v>
      </c>
      <c r="U3341" t="str">
        <f t="shared" si="105"/>
        <v>Pueblo</v>
      </c>
    </row>
    <row r="3342" spans="1:21" ht="16" x14ac:dyDescent="0.4">
      <c r="A3342" s="9">
        <v>90894</v>
      </c>
      <c r="B3342" s="8" t="s">
        <v>16</v>
      </c>
      <c r="C3342" s="8"/>
      <c r="D3342" s="8">
        <v>827</v>
      </c>
      <c r="E3342" s="8">
        <v>369</v>
      </c>
      <c r="F3342" s="8">
        <v>430</v>
      </c>
      <c r="G3342" s="8">
        <v>1</v>
      </c>
      <c r="H3342" s="8">
        <v>14536</v>
      </c>
      <c r="I3342" s="8">
        <v>1</v>
      </c>
      <c r="J3342" s="8">
        <v>79</v>
      </c>
      <c r="K3342" s="8">
        <v>415</v>
      </c>
      <c r="L3342" s="8">
        <v>386</v>
      </c>
      <c r="M3342" s="8">
        <v>4.4736842110000001</v>
      </c>
      <c r="N3342">
        <f>VLOOKUP(A3342,vlookup_table!$A:$G,2,FALSE)</f>
        <v>0</v>
      </c>
      <c r="O3342" t="str">
        <f>VLOOKUP(A3342,vlookup_table!$A:$G,3,FALSE)</f>
        <v>IL</v>
      </c>
      <c r="P3342">
        <f>VLOOKUP(A3342,vlookup_table!$A:$G,4,FALSE)</f>
        <v>0</v>
      </c>
      <c r="Q3342" t="str">
        <f>VLOOKUP(A3342,vlookup_table!$A:$G,5,FALSE)</f>
        <v>S2</v>
      </c>
      <c r="R3342" t="str">
        <f>VLOOKUP(A3342,vlookup_table!$A:$G,6,FALSE)</f>
        <v/>
      </c>
      <c r="S3342">
        <f>VLOOKUP(A3342,vlookup_table!$A:$G,7,FALSE)</f>
        <v>4</v>
      </c>
      <c r="T3342">
        <f t="shared" si="104"/>
        <v>96</v>
      </c>
      <c r="U3342" t="str">
        <f t="shared" si="105"/>
        <v>Suburbano</v>
      </c>
    </row>
    <row r="3343" spans="1:21" ht="16" x14ac:dyDescent="0.4">
      <c r="A3343" s="9">
        <v>160275</v>
      </c>
      <c r="B3343" s="8" t="s">
        <v>21</v>
      </c>
      <c r="C3343" s="8" t="s">
        <v>17</v>
      </c>
      <c r="D3343" s="8">
        <v>1585</v>
      </c>
      <c r="E3343" s="8">
        <v>331</v>
      </c>
      <c r="F3343" s="8">
        <v>405</v>
      </c>
      <c r="G3343" s="8">
        <v>18</v>
      </c>
      <c r="H3343" s="8">
        <v>14925</v>
      </c>
      <c r="I3343" s="8">
        <v>11</v>
      </c>
      <c r="J3343" s="8">
        <v>50</v>
      </c>
      <c r="K3343" s="8">
        <v>358</v>
      </c>
      <c r="L3343" s="8">
        <v>373</v>
      </c>
      <c r="M3343" s="8">
        <v>20</v>
      </c>
      <c r="N3343">
        <f>VLOOKUP(A3343,vlookup_table!$A:$G,2,FALSE)</f>
        <v>28</v>
      </c>
      <c r="O3343" t="str">
        <f>VLOOKUP(A3343,vlookup_table!$A:$G,3,FALSE)</f>
        <v>CA</v>
      </c>
      <c r="P3343">
        <f>VLOOKUP(A3343,vlookup_table!$A:$G,4,FALSE)</f>
        <v>6801</v>
      </c>
      <c r="Q3343" t="str">
        <f>VLOOKUP(A3343,vlookup_table!$A:$G,5,FALSE)</f>
        <v>C2</v>
      </c>
      <c r="R3343" t="str">
        <f>VLOOKUP(A3343,vlookup_table!$A:$G,6,FALSE)</f>
        <v>F</v>
      </c>
      <c r="S3343">
        <f>VLOOKUP(A3343,vlookup_table!$A:$G,7,FALSE)</f>
        <v>5</v>
      </c>
      <c r="T3343">
        <f t="shared" si="104"/>
        <v>28</v>
      </c>
      <c r="U3343" t="str">
        <f t="shared" si="105"/>
        <v>Ciudad</v>
      </c>
    </row>
    <row r="3344" spans="1:21" ht="16" x14ac:dyDescent="0.4">
      <c r="A3344" s="9">
        <v>184723</v>
      </c>
      <c r="B3344" s="8" t="s">
        <v>60</v>
      </c>
      <c r="C3344" s="8" t="s">
        <v>14</v>
      </c>
      <c r="D3344" s="8">
        <v>1037</v>
      </c>
      <c r="E3344" s="8">
        <v>472</v>
      </c>
      <c r="F3344" s="8">
        <v>568</v>
      </c>
      <c r="G3344" s="8">
        <v>3</v>
      </c>
      <c r="H3344" s="8">
        <v>17888</v>
      </c>
      <c r="I3344" s="8">
        <v>2</v>
      </c>
      <c r="J3344" s="8">
        <v>30</v>
      </c>
      <c r="K3344" s="8">
        <v>513</v>
      </c>
      <c r="L3344" s="8">
        <v>533</v>
      </c>
      <c r="M3344" s="8">
        <v>16.25</v>
      </c>
      <c r="N3344">
        <f>VLOOKUP(A3344,vlookup_table!$A:$G,2,FALSE)</f>
        <v>1</v>
      </c>
      <c r="O3344" t="str">
        <f>VLOOKUP(A3344,vlookup_table!$A:$G,3,FALSE)</f>
        <v>AK</v>
      </c>
      <c r="P3344">
        <f>VLOOKUP(A3344,vlookup_table!$A:$G,4,FALSE)</f>
        <v>6901</v>
      </c>
      <c r="Q3344" t="str">
        <f>VLOOKUP(A3344,vlookup_table!$A:$G,5,FALSE)</f>
        <v>T2</v>
      </c>
      <c r="R3344" t="str">
        <f>VLOOKUP(A3344,vlookup_table!$A:$G,6,FALSE)</f>
        <v>M</v>
      </c>
      <c r="S3344">
        <f>VLOOKUP(A3344,vlookup_table!$A:$G,7,FALSE)</f>
        <v>10</v>
      </c>
      <c r="T3344">
        <f t="shared" si="104"/>
        <v>27</v>
      </c>
      <c r="U3344" t="str">
        <f t="shared" si="105"/>
        <v>Pueblo</v>
      </c>
    </row>
    <row r="3345" spans="1:21" ht="16" x14ac:dyDescent="0.4">
      <c r="A3345" s="9">
        <v>52548</v>
      </c>
      <c r="B3345" s="8" t="s">
        <v>49</v>
      </c>
      <c r="C3345" s="8" t="s">
        <v>14</v>
      </c>
      <c r="D3345" s="8">
        <v>457</v>
      </c>
      <c r="E3345" s="8">
        <v>203</v>
      </c>
      <c r="F3345" s="8">
        <v>316</v>
      </c>
      <c r="G3345" s="8">
        <v>1</v>
      </c>
      <c r="H3345" s="8">
        <v>10766</v>
      </c>
      <c r="I3345" s="8">
        <v>0</v>
      </c>
      <c r="J3345" s="8">
        <v>82</v>
      </c>
      <c r="K3345" s="8">
        <v>270</v>
      </c>
      <c r="L3345" s="8">
        <v>256</v>
      </c>
      <c r="M3345" s="8">
        <v>13.57142857</v>
      </c>
      <c r="N3345">
        <f>VLOOKUP(A3345,vlookup_table!$A:$G,2,FALSE)</f>
        <v>0</v>
      </c>
      <c r="O3345" t="str">
        <f>VLOOKUP(A3345,vlookup_table!$A:$G,3,FALSE)</f>
        <v>TN</v>
      </c>
      <c r="P3345">
        <f>VLOOKUP(A3345,vlookup_table!$A:$G,4,FALSE)</f>
        <v>3703</v>
      </c>
      <c r="Q3345" t="str">
        <f>VLOOKUP(A3345,vlookup_table!$A:$G,5,FALSE)</f>
        <v>R2</v>
      </c>
      <c r="R3345" t="str">
        <f>VLOOKUP(A3345,vlookup_table!$A:$G,6,FALSE)</f>
        <v>M</v>
      </c>
      <c r="S3345">
        <f>VLOOKUP(A3345,vlookup_table!$A:$G,7,FALSE)</f>
        <v>14</v>
      </c>
      <c r="T3345">
        <f t="shared" si="104"/>
        <v>59</v>
      </c>
      <c r="U3345" t="str">
        <f t="shared" si="105"/>
        <v>Rural</v>
      </c>
    </row>
    <row r="3346" spans="1:21" ht="16" x14ac:dyDescent="0.4">
      <c r="A3346" s="9">
        <v>158813</v>
      </c>
      <c r="B3346" s="8" t="s">
        <v>21</v>
      </c>
      <c r="C3346" s="8" t="s">
        <v>14</v>
      </c>
      <c r="D3346" s="8">
        <v>2279</v>
      </c>
      <c r="E3346" s="8">
        <v>429</v>
      </c>
      <c r="F3346" s="8">
        <v>520</v>
      </c>
      <c r="G3346" s="8">
        <v>84</v>
      </c>
      <c r="H3346" s="8">
        <v>25286</v>
      </c>
      <c r="I3346" s="8">
        <v>8</v>
      </c>
      <c r="J3346" s="8">
        <v>34</v>
      </c>
      <c r="K3346" s="8">
        <v>463</v>
      </c>
      <c r="L3346" s="8">
        <v>491</v>
      </c>
      <c r="M3346" s="8">
        <v>9.5</v>
      </c>
      <c r="N3346">
        <f>VLOOKUP(A3346,vlookup_table!$A:$G,2,FALSE)</f>
        <v>1</v>
      </c>
      <c r="O3346" t="str">
        <f>VLOOKUP(A3346,vlookup_table!$A:$G,3,FALSE)</f>
        <v>CA</v>
      </c>
      <c r="P3346">
        <f>VLOOKUP(A3346,vlookup_table!$A:$G,4,FALSE)</f>
        <v>1710</v>
      </c>
      <c r="Q3346" t="str">
        <f>VLOOKUP(A3346,vlookup_table!$A:$G,5,FALSE)</f>
        <v>C1</v>
      </c>
      <c r="R3346" t="str">
        <f>VLOOKUP(A3346,vlookup_table!$A:$G,6,FALSE)</f>
        <v>M</v>
      </c>
      <c r="S3346">
        <f>VLOOKUP(A3346,vlookup_table!$A:$G,7,FALSE)</f>
        <v>10</v>
      </c>
      <c r="T3346">
        <f t="shared" si="104"/>
        <v>79</v>
      </c>
      <c r="U3346" t="str">
        <f t="shared" si="105"/>
        <v>Ciudad</v>
      </c>
    </row>
    <row r="3347" spans="1:21" ht="16" x14ac:dyDescent="0.4">
      <c r="A3347" s="9">
        <v>73008</v>
      </c>
      <c r="B3347" s="8" t="s">
        <v>26</v>
      </c>
      <c r="C3347" s="8" t="s">
        <v>17</v>
      </c>
      <c r="D3347" s="8">
        <v>587</v>
      </c>
      <c r="E3347" s="8">
        <v>305</v>
      </c>
      <c r="F3347" s="8">
        <v>345</v>
      </c>
      <c r="G3347" s="8">
        <v>0</v>
      </c>
      <c r="H3347" s="8">
        <v>10907</v>
      </c>
      <c r="I3347" s="8">
        <v>1</v>
      </c>
      <c r="J3347" s="8">
        <v>91</v>
      </c>
      <c r="K3347" s="8">
        <v>325</v>
      </c>
      <c r="L3347" s="8">
        <v>316</v>
      </c>
      <c r="M3347" s="8">
        <v>8.2142857140000007</v>
      </c>
      <c r="N3347">
        <f>VLOOKUP(A3347,vlookup_table!$A:$G,2,FALSE)</f>
        <v>2</v>
      </c>
      <c r="O3347" t="str">
        <f>VLOOKUP(A3347,vlookup_table!$A:$G,3,FALSE)</f>
        <v>MI</v>
      </c>
      <c r="P3347">
        <f>VLOOKUP(A3347,vlookup_table!$A:$G,4,FALSE)</f>
        <v>5205</v>
      </c>
      <c r="Q3347" t="str">
        <f>VLOOKUP(A3347,vlookup_table!$A:$G,5,FALSE)</f>
        <v>R2</v>
      </c>
      <c r="R3347" t="str">
        <f>VLOOKUP(A3347,vlookup_table!$A:$G,6,FALSE)</f>
        <v>F</v>
      </c>
      <c r="S3347">
        <f>VLOOKUP(A3347,vlookup_table!$A:$G,7,FALSE)</f>
        <v>12</v>
      </c>
      <c r="T3347">
        <f t="shared" si="104"/>
        <v>44</v>
      </c>
      <c r="U3347" t="str">
        <f t="shared" si="105"/>
        <v>Rural</v>
      </c>
    </row>
    <row r="3348" spans="1:21" ht="16" x14ac:dyDescent="0.4">
      <c r="A3348" s="9">
        <v>105144</v>
      </c>
      <c r="B3348" s="8" t="s">
        <v>25</v>
      </c>
      <c r="C3348" s="8" t="s">
        <v>17</v>
      </c>
      <c r="D3348" s="8">
        <v>424</v>
      </c>
      <c r="E3348" s="8">
        <v>192</v>
      </c>
      <c r="F3348" s="8">
        <v>298</v>
      </c>
      <c r="G3348" s="8">
        <v>0</v>
      </c>
      <c r="H3348" s="8">
        <v>9813</v>
      </c>
      <c r="I3348" s="8">
        <v>1</v>
      </c>
      <c r="J3348" s="8">
        <v>77</v>
      </c>
      <c r="K3348" s="8">
        <v>244</v>
      </c>
      <c r="L3348" s="8">
        <v>236</v>
      </c>
      <c r="M3348" s="8">
        <v>4</v>
      </c>
      <c r="N3348">
        <f>VLOOKUP(A3348,vlookup_table!$A:$G,2,FALSE)</f>
        <v>0</v>
      </c>
      <c r="O3348" t="str">
        <f>VLOOKUP(A3348,vlookup_table!$A:$G,3,FALSE)</f>
        <v>KS</v>
      </c>
      <c r="P3348">
        <f>VLOOKUP(A3348,vlookup_table!$A:$G,4,FALSE)</f>
        <v>0</v>
      </c>
      <c r="Q3348" t="str">
        <f>VLOOKUP(A3348,vlookup_table!$A:$G,5,FALSE)</f>
        <v>C3</v>
      </c>
      <c r="R3348" t="str">
        <f>VLOOKUP(A3348,vlookup_table!$A:$G,6,FALSE)</f>
        <v>F</v>
      </c>
      <c r="S3348">
        <f>VLOOKUP(A3348,vlookup_table!$A:$G,7,FALSE)</f>
        <v>3</v>
      </c>
      <c r="T3348">
        <f t="shared" si="104"/>
        <v>96</v>
      </c>
      <c r="U3348" t="str">
        <f t="shared" si="105"/>
        <v>Ciudad</v>
      </c>
    </row>
    <row r="3349" spans="1:21" ht="16" x14ac:dyDescent="0.4">
      <c r="A3349" s="9">
        <v>52132</v>
      </c>
      <c r="B3349" s="8" t="s">
        <v>49</v>
      </c>
      <c r="C3349" s="8" t="s">
        <v>17</v>
      </c>
      <c r="D3349" s="8">
        <v>397</v>
      </c>
      <c r="E3349" s="8">
        <v>271</v>
      </c>
      <c r="F3349" s="8">
        <v>292</v>
      </c>
      <c r="G3349" s="8">
        <v>0</v>
      </c>
      <c r="H3349" s="8">
        <v>9937</v>
      </c>
      <c r="I3349" s="8">
        <v>0</v>
      </c>
      <c r="J3349" s="8">
        <v>89</v>
      </c>
      <c r="K3349" s="8">
        <v>293</v>
      </c>
      <c r="L3349" s="8">
        <v>270</v>
      </c>
      <c r="M3349" s="8">
        <v>6.8571428570000004</v>
      </c>
      <c r="N3349">
        <f>VLOOKUP(A3349,vlookup_table!$A:$G,2,FALSE)</f>
        <v>0</v>
      </c>
      <c r="O3349" t="str">
        <f>VLOOKUP(A3349,vlookup_table!$A:$G,3,FALSE)</f>
        <v>TN</v>
      </c>
      <c r="P3349">
        <f>VLOOKUP(A3349,vlookup_table!$A:$G,4,FALSE)</f>
        <v>0</v>
      </c>
      <c r="Q3349" t="str">
        <f>VLOOKUP(A3349,vlookup_table!$A:$G,5,FALSE)</f>
        <v/>
      </c>
      <c r="R3349" t="str">
        <f>VLOOKUP(A3349,vlookup_table!$A:$G,6,FALSE)</f>
        <v>F</v>
      </c>
      <c r="S3349">
        <f>VLOOKUP(A3349,vlookup_table!$A:$G,7,FALSE)</f>
        <v>7</v>
      </c>
      <c r="T3349">
        <f t="shared" si="104"/>
        <v>96</v>
      </c>
      <c r="U3349" t="str">
        <f t="shared" si="105"/>
        <v/>
      </c>
    </row>
    <row r="3350" spans="1:21" ht="16" x14ac:dyDescent="0.4">
      <c r="A3350" s="9">
        <v>12474</v>
      </c>
      <c r="B3350" s="8" t="s">
        <v>13</v>
      </c>
      <c r="C3350" s="8" t="s">
        <v>17</v>
      </c>
      <c r="D3350" s="8">
        <v>739</v>
      </c>
      <c r="E3350" s="8">
        <v>340</v>
      </c>
      <c r="F3350" s="8">
        <v>348</v>
      </c>
      <c r="G3350" s="8">
        <v>0</v>
      </c>
      <c r="H3350" s="8">
        <v>12436</v>
      </c>
      <c r="I3350" s="8">
        <v>2</v>
      </c>
      <c r="J3350" s="8">
        <v>34</v>
      </c>
      <c r="K3350" s="8">
        <v>347</v>
      </c>
      <c r="L3350" s="8">
        <v>339</v>
      </c>
      <c r="M3350" s="8">
        <v>8</v>
      </c>
      <c r="N3350">
        <f>VLOOKUP(A3350,vlookup_table!$A:$G,2,FALSE)</f>
        <v>1</v>
      </c>
      <c r="O3350" t="str">
        <f>VLOOKUP(A3350,vlookup_table!$A:$G,3,FALSE)</f>
        <v>FL</v>
      </c>
      <c r="P3350">
        <f>VLOOKUP(A3350,vlookup_table!$A:$G,4,FALSE)</f>
        <v>2307</v>
      </c>
      <c r="Q3350" t="str">
        <f>VLOOKUP(A3350,vlookup_table!$A:$G,5,FALSE)</f>
        <v>T2</v>
      </c>
      <c r="R3350" t="str">
        <f>VLOOKUP(A3350,vlookup_table!$A:$G,6,FALSE)</f>
        <v>F</v>
      </c>
      <c r="S3350">
        <f>VLOOKUP(A3350,vlookup_table!$A:$G,7,FALSE)</f>
        <v>10</v>
      </c>
      <c r="T3350">
        <f t="shared" si="104"/>
        <v>73</v>
      </c>
      <c r="U3350" t="str">
        <f t="shared" si="105"/>
        <v>Pueblo</v>
      </c>
    </row>
    <row r="3351" spans="1:21" ht="16" x14ac:dyDescent="0.4">
      <c r="A3351" s="9">
        <v>160425</v>
      </c>
      <c r="B3351" s="8" t="s">
        <v>21</v>
      </c>
      <c r="C3351" s="8" t="s">
        <v>27</v>
      </c>
      <c r="D3351" s="8">
        <v>1135</v>
      </c>
      <c r="E3351" s="8">
        <v>265</v>
      </c>
      <c r="F3351" s="8">
        <v>324</v>
      </c>
      <c r="G3351" s="8">
        <v>5</v>
      </c>
      <c r="H3351" s="8">
        <v>11259</v>
      </c>
      <c r="I3351" s="8">
        <v>10</v>
      </c>
      <c r="J3351" s="8">
        <v>53</v>
      </c>
      <c r="K3351" s="8">
        <v>299</v>
      </c>
      <c r="L3351" s="8">
        <v>306</v>
      </c>
      <c r="M3351" s="8">
        <v>9.923076923</v>
      </c>
      <c r="N3351">
        <f>VLOOKUP(A3351,vlookup_table!$A:$G,2,FALSE)</f>
        <v>0</v>
      </c>
      <c r="O3351" t="str">
        <f>VLOOKUP(A3351,vlookup_table!$A:$G,3,FALSE)</f>
        <v>CA</v>
      </c>
      <c r="P3351">
        <f>VLOOKUP(A3351,vlookup_table!$A:$G,4,FALSE)</f>
        <v>2601</v>
      </c>
      <c r="Q3351" t="str">
        <f>VLOOKUP(A3351,vlookup_table!$A:$G,5,FALSE)</f>
        <v>T2</v>
      </c>
      <c r="R3351" t="str">
        <f>VLOOKUP(A3351,vlookup_table!$A:$G,6,FALSE)</f>
        <v>U</v>
      </c>
      <c r="S3351">
        <f>VLOOKUP(A3351,vlookup_table!$A:$G,7,FALSE)</f>
        <v>12</v>
      </c>
      <c r="T3351">
        <f t="shared" si="104"/>
        <v>70</v>
      </c>
      <c r="U3351" t="str">
        <f t="shared" si="105"/>
        <v>Pueblo</v>
      </c>
    </row>
    <row r="3352" spans="1:21" ht="16" x14ac:dyDescent="0.4">
      <c r="A3352" s="9">
        <v>175112</v>
      </c>
      <c r="B3352" s="8" t="s">
        <v>21</v>
      </c>
      <c r="C3352" s="8" t="s">
        <v>17</v>
      </c>
      <c r="D3352" s="8">
        <v>3018</v>
      </c>
      <c r="E3352" s="8">
        <v>728</v>
      </c>
      <c r="F3352" s="8">
        <v>757</v>
      </c>
      <c r="G3352" s="8">
        <v>96</v>
      </c>
      <c r="H3352" s="8">
        <v>21525</v>
      </c>
      <c r="I3352" s="8">
        <v>20</v>
      </c>
      <c r="J3352" s="8">
        <v>45</v>
      </c>
      <c r="K3352" s="8">
        <v>749</v>
      </c>
      <c r="L3352" s="8">
        <v>749</v>
      </c>
      <c r="M3352" s="8">
        <v>20</v>
      </c>
      <c r="N3352">
        <f>VLOOKUP(A3352,vlookup_table!$A:$G,2,FALSE)</f>
        <v>0</v>
      </c>
      <c r="O3352" t="str">
        <f>VLOOKUP(A3352,vlookup_table!$A:$G,3,FALSE)</f>
        <v>CA</v>
      </c>
      <c r="P3352">
        <f>VLOOKUP(A3352,vlookup_table!$A:$G,4,FALSE)</f>
        <v>5701</v>
      </c>
      <c r="Q3352" t="str">
        <f>VLOOKUP(A3352,vlookup_table!$A:$G,5,FALSE)</f>
        <v>T2</v>
      </c>
      <c r="R3352" t="str">
        <f>VLOOKUP(A3352,vlookup_table!$A:$G,6,FALSE)</f>
        <v>F</v>
      </c>
      <c r="S3352">
        <f>VLOOKUP(A3352,vlookup_table!$A:$G,7,FALSE)</f>
        <v>20</v>
      </c>
      <c r="T3352">
        <f t="shared" si="104"/>
        <v>39</v>
      </c>
      <c r="U3352" t="str">
        <f t="shared" si="105"/>
        <v>Pueblo</v>
      </c>
    </row>
    <row r="3353" spans="1:21" ht="16" x14ac:dyDescent="0.4">
      <c r="A3353" s="9">
        <v>51382</v>
      </c>
      <c r="B3353" s="8" t="s">
        <v>49</v>
      </c>
      <c r="C3353" s="8" t="s">
        <v>14</v>
      </c>
      <c r="D3353" s="8">
        <v>688</v>
      </c>
      <c r="E3353" s="8">
        <v>311</v>
      </c>
      <c r="F3353" s="8">
        <v>377</v>
      </c>
      <c r="G3353" s="8">
        <v>0</v>
      </c>
      <c r="H3353" s="8">
        <v>11395</v>
      </c>
      <c r="I3353" s="8">
        <v>1</v>
      </c>
      <c r="J3353" s="8">
        <v>69</v>
      </c>
      <c r="K3353" s="8">
        <v>364</v>
      </c>
      <c r="L3353" s="8">
        <v>335</v>
      </c>
      <c r="M3353" s="8">
        <v>10.66666667</v>
      </c>
      <c r="N3353">
        <f>VLOOKUP(A3353,vlookup_table!$A:$G,2,FALSE)</f>
        <v>1</v>
      </c>
      <c r="O3353" t="str">
        <f>VLOOKUP(A3353,vlookup_table!$A:$G,3,FALSE)</f>
        <v>TN</v>
      </c>
      <c r="P3353">
        <f>VLOOKUP(A3353,vlookup_table!$A:$G,4,FALSE)</f>
        <v>0</v>
      </c>
      <c r="Q3353" t="str">
        <f>VLOOKUP(A3353,vlookup_table!$A:$G,5,FALSE)</f>
        <v>T2</v>
      </c>
      <c r="R3353" t="str">
        <f>VLOOKUP(A3353,vlookup_table!$A:$G,6,FALSE)</f>
        <v>M</v>
      </c>
      <c r="S3353">
        <f>VLOOKUP(A3353,vlookup_table!$A:$G,7,FALSE)</f>
        <v>25</v>
      </c>
      <c r="T3353">
        <f t="shared" si="104"/>
        <v>96</v>
      </c>
      <c r="U3353" t="str">
        <f t="shared" si="105"/>
        <v>Pueblo</v>
      </c>
    </row>
    <row r="3354" spans="1:21" ht="16" x14ac:dyDescent="0.4">
      <c r="A3354" s="9">
        <v>146153</v>
      </c>
      <c r="B3354" s="8" t="s">
        <v>21</v>
      </c>
      <c r="C3354" s="8" t="s">
        <v>17</v>
      </c>
      <c r="D3354" s="8">
        <v>1442</v>
      </c>
      <c r="E3354" s="8">
        <v>293</v>
      </c>
      <c r="F3354" s="8">
        <v>368</v>
      </c>
      <c r="G3354" s="8">
        <v>16</v>
      </c>
      <c r="H3354" s="8">
        <v>10759</v>
      </c>
      <c r="I3354" s="8">
        <v>36</v>
      </c>
      <c r="J3354" s="8">
        <v>46</v>
      </c>
      <c r="K3354" s="8">
        <v>321</v>
      </c>
      <c r="L3354" s="8">
        <v>333</v>
      </c>
      <c r="M3354" s="8">
        <v>18.25</v>
      </c>
      <c r="N3354">
        <f>VLOOKUP(A3354,vlookup_table!$A:$G,2,FALSE)</f>
        <v>0</v>
      </c>
      <c r="O3354" t="str">
        <f>VLOOKUP(A3354,vlookup_table!$A:$G,3,FALSE)</f>
        <v>CA</v>
      </c>
      <c r="P3354">
        <f>VLOOKUP(A3354,vlookup_table!$A:$G,4,FALSE)</f>
        <v>3210</v>
      </c>
      <c r="Q3354" t="str">
        <f>VLOOKUP(A3354,vlookup_table!$A:$G,5,FALSE)</f>
        <v>U3</v>
      </c>
      <c r="R3354" t="str">
        <f>VLOOKUP(A3354,vlookup_table!$A:$G,6,FALSE)</f>
        <v>F</v>
      </c>
      <c r="S3354">
        <f>VLOOKUP(A3354,vlookup_table!$A:$G,7,FALSE)</f>
        <v>44</v>
      </c>
      <c r="T3354">
        <f t="shared" si="104"/>
        <v>64</v>
      </c>
      <c r="U3354" t="str">
        <f t="shared" si="105"/>
        <v>Urbano</v>
      </c>
    </row>
    <row r="3355" spans="1:21" ht="16" x14ac:dyDescent="0.4">
      <c r="A3355" s="9">
        <v>133743</v>
      </c>
      <c r="B3355" s="8" t="s">
        <v>38</v>
      </c>
      <c r="C3355" s="8" t="s">
        <v>14</v>
      </c>
      <c r="D3355" s="8">
        <v>491</v>
      </c>
      <c r="E3355" s="8">
        <v>218</v>
      </c>
      <c r="F3355" s="8">
        <v>283</v>
      </c>
      <c r="G3355" s="8">
        <v>0</v>
      </c>
      <c r="H3355" s="8">
        <v>9606</v>
      </c>
      <c r="I3355" s="8">
        <v>2</v>
      </c>
      <c r="J3355" s="8">
        <v>40</v>
      </c>
      <c r="K3355" s="8">
        <v>255</v>
      </c>
      <c r="L3355" s="8">
        <v>248</v>
      </c>
      <c r="M3355" s="8">
        <v>8.25</v>
      </c>
      <c r="N3355">
        <f>VLOOKUP(A3355,vlookup_table!$A:$G,2,FALSE)</f>
        <v>1002</v>
      </c>
      <c r="O3355" t="str">
        <f>VLOOKUP(A3355,vlookup_table!$A:$G,3,FALSE)</f>
        <v>ID</v>
      </c>
      <c r="P3355">
        <f>VLOOKUP(A3355,vlookup_table!$A:$G,4,FALSE)</f>
        <v>4401</v>
      </c>
      <c r="Q3355" t="str">
        <f>VLOOKUP(A3355,vlookup_table!$A:$G,5,FALSE)</f>
        <v>R2</v>
      </c>
      <c r="R3355" t="str">
        <f>VLOOKUP(A3355,vlookup_table!$A:$G,6,FALSE)</f>
        <v>M</v>
      </c>
      <c r="S3355">
        <f>VLOOKUP(A3355,vlookup_table!$A:$G,7,FALSE)</f>
        <v>20</v>
      </c>
      <c r="T3355">
        <f t="shared" si="104"/>
        <v>52</v>
      </c>
      <c r="U3355" t="str">
        <f t="shared" si="105"/>
        <v>Rural</v>
      </c>
    </row>
    <row r="3356" spans="1:21" ht="16" x14ac:dyDescent="0.4">
      <c r="A3356" s="9">
        <v>155602</v>
      </c>
      <c r="B3356" s="8" t="s">
        <v>21</v>
      </c>
      <c r="C3356" s="8" t="s">
        <v>14</v>
      </c>
      <c r="D3356" s="8">
        <v>1426</v>
      </c>
      <c r="E3356" s="8">
        <v>435</v>
      </c>
      <c r="F3356" s="8">
        <v>577</v>
      </c>
      <c r="G3356" s="8">
        <v>2</v>
      </c>
      <c r="H3356" s="8">
        <v>21462</v>
      </c>
      <c r="I3356" s="8">
        <v>4</v>
      </c>
      <c r="J3356" s="8">
        <v>51</v>
      </c>
      <c r="K3356" s="8">
        <v>534</v>
      </c>
      <c r="L3356" s="8">
        <v>509</v>
      </c>
      <c r="M3356" s="8">
        <v>20.14285714</v>
      </c>
      <c r="N3356">
        <f>VLOOKUP(A3356,vlookup_table!$A:$G,2,FALSE)</f>
        <v>1</v>
      </c>
      <c r="O3356" t="str">
        <f>VLOOKUP(A3356,vlookup_table!$A:$G,3,FALSE)</f>
        <v>CA</v>
      </c>
      <c r="P3356">
        <f>VLOOKUP(A3356,vlookup_table!$A:$G,4,FALSE)</f>
        <v>2006</v>
      </c>
      <c r="Q3356" t="str">
        <f>VLOOKUP(A3356,vlookup_table!$A:$G,5,FALSE)</f>
        <v>C1</v>
      </c>
      <c r="R3356" t="str">
        <f>VLOOKUP(A3356,vlookup_table!$A:$G,6,FALSE)</f>
        <v>M</v>
      </c>
      <c r="S3356">
        <f>VLOOKUP(A3356,vlookup_table!$A:$G,7,FALSE)</f>
        <v>25</v>
      </c>
      <c r="T3356">
        <f t="shared" si="104"/>
        <v>76</v>
      </c>
      <c r="U3356" t="str">
        <f t="shared" si="105"/>
        <v>Ciudad</v>
      </c>
    </row>
    <row r="3357" spans="1:21" ht="16" x14ac:dyDescent="0.4">
      <c r="A3357" s="9">
        <v>149199</v>
      </c>
      <c r="B3357" s="8" t="s">
        <v>21</v>
      </c>
      <c r="C3357" s="8" t="s">
        <v>14</v>
      </c>
      <c r="D3357" s="8">
        <v>2667</v>
      </c>
      <c r="E3357" s="8">
        <v>481</v>
      </c>
      <c r="F3357" s="8">
        <v>671</v>
      </c>
      <c r="G3357" s="8">
        <v>89</v>
      </c>
      <c r="H3357" s="8">
        <v>23903</v>
      </c>
      <c r="I3357" s="8">
        <v>28</v>
      </c>
      <c r="J3357" s="8">
        <v>36</v>
      </c>
      <c r="K3357" s="8">
        <v>577</v>
      </c>
      <c r="L3357" s="8">
        <v>579</v>
      </c>
      <c r="M3357" s="8">
        <v>7.6666666670000003</v>
      </c>
      <c r="N3357">
        <f>VLOOKUP(A3357,vlookup_table!$A:$G,2,FALSE)</f>
        <v>0</v>
      </c>
      <c r="O3357" t="str">
        <f>VLOOKUP(A3357,vlookup_table!$A:$G,3,FALSE)</f>
        <v>CA</v>
      </c>
      <c r="P3357">
        <f>VLOOKUP(A3357,vlookup_table!$A:$G,4,FALSE)</f>
        <v>0</v>
      </c>
      <c r="Q3357" t="str">
        <f>VLOOKUP(A3357,vlookup_table!$A:$G,5,FALSE)</f>
        <v>U1</v>
      </c>
      <c r="R3357" t="str">
        <f>VLOOKUP(A3357,vlookup_table!$A:$G,6,FALSE)</f>
        <v>M</v>
      </c>
      <c r="S3357">
        <f>VLOOKUP(A3357,vlookup_table!$A:$G,7,FALSE)</f>
        <v>15</v>
      </c>
      <c r="T3357">
        <f t="shared" si="104"/>
        <v>96</v>
      </c>
      <c r="U3357" t="str">
        <f t="shared" si="105"/>
        <v>Urbano</v>
      </c>
    </row>
    <row r="3358" spans="1:21" ht="16" x14ac:dyDescent="0.4">
      <c r="A3358" s="9">
        <v>124514</v>
      </c>
      <c r="B3358" s="8" t="s">
        <v>20</v>
      </c>
      <c r="C3358" s="8" t="s">
        <v>17</v>
      </c>
      <c r="D3358" s="8">
        <v>575</v>
      </c>
      <c r="E3358" s="8">
        <v>425</v>
      </c>
      <c r="F3358" s="8">
        <v>451</v>
      </c>
      <c r="G3358" s="8">
        <v>0</v>
      </c>
      <c r="H3358" s="8">
        <v>12960</v>
      </c>
      <c r="I3358" s="8">
        <v>6</v>
      </c>
      <c r="J3358" s="8">
        <v>78</v>
      </c>
      <c r="K3358" s="8">
        <v>422</v>
      </c>
      <c r="L3358" s="8">
        <v>449</v>
      </c>
      <c r="M3358" s="8">
        <v>17.14285714</v>
      </c>
      <c r="N3358">
        <f>VLOOKUP(A3358,vlookup_table!$A:$G,2,FALSE)</f>
        <v>28</v>
      </c>
      <c r="O3358" t="str">
        <f>VLOOKUP(A3358,vlookup_table!$A:$G,3,FALSE)</f>
        <v>TX</v>
      </c>
      <c r="P3358">
        <f>VLOOKUP(A3358,vlookup_table!$A:$G,4,FALSE)</f>
        <v>5702</v>
      </c>
      <c r="Q3358" t="str">
        <f>VLOOKUP(A3358,vlookup_table!$A:$G,5,FALSE)</f>
        <v>C2</v>
      </c>
      <c r="R3358" t="str">
        <f>VLOOKUP(A3358,vlookup_table!$A:$G,6,FALSE)</f>
        <v>F</v>
      </c>
      <c r="S3358">
        <f>VLOOKUP(A3358,vlookup_table!$A:$G,7,FALSE)</f>
        <v>26</v>
      </c>
      <c r="T3358">
        <f t="shared" si="104"/>
        <v>39</v>
      </c>
      <c r="U3358" t="str">
        <f t="shared" si="105"/>
        <v>Ciudad</v>
      </c>
    </row>
    <row r="3359" spans="1:21" ht="16" x14ac:dyDescent="0.4">
      <c r="A3359" s="9">
        <v>57407</v>
      </c>
      <c r="B3359" s="8" t="s">
        <v>53</v>
      </c>
      <c r="C3359" s="8" t="s">
        <v>14</v>
      </c>
      <c r="D3359" s="8">
        <v>1453</v>
      </c>
      <c r="E3359" s="8">
        <v>512</v>
      </c>
      <c r="F3359" s="8">
        <v>658</v>
      </c>
      <c r="G3359" s="8">
        <v>27</v>
      </c>
      <c r="H3359" s="8">
        <v>22926</v>
      </c>
      <c r="I3359" s="8">
        <v>5</v>
      </c>
      <c r="J3359" s="8">
        <v>77</v>
      </c>
      <c r="K3359" s="8">
        <v>607</v>
      </c>
      <c r="L3359" s="8">
        <v>590</v>
      </c>
      <c r="M3359" s="8">
        <v>15</v>
      </c>
      <c r="N3359">
        <f>VLOOKUP(A3359,vlookup_table!$A:$G,2,FALSE)</f>
        <v>1</v>
      </c>
      <c r="O3359" t="str">
        <f>VLOOKUP(A3359,vlookup_table!$A:$G,3,FALSE)</f>
        <v>KY</v>
      </c>
      <c r="P3359">
        <f>VLOOKUP(A3359,vlookup_table!$A:$G,4,FALSE)</f>
        <v>4201</v>
      </c>
      <c r="Q3359" t="str">
        <f>VLOOKUP(A3359,vlookup_table!$A:$G,5,FALSE)</f>
        <v>S1</v>
      </c>
      <c r="R3359" t="str">
        <f>VLOOKUP(A3359,vlookup_table!$A:$G,6,FALSE)</f>
        <v>M</v>
      </c>
      <c r="S3359">
        <f>VLOOKUP(A3359,vlookup_table!$A:$G,7,FALSE)</f>
        <v>21</v>
      </c>
      <c r="T3359">
        <f t="shared" si="104"/>
        <v>54</v>
      </c>
      <c r="U3359" t="str">
        <f t="shared" si="105"/>
        <v>Suburbano</v>
      </c>
    </row>
    <row r="3360" spans="1:21" ht="16" x14ac:dyDescent="0.4">
      <c r="A3360" s="9">
        <v>185774</v>
      </c>
      <c r="B3360" s="8" t="s">
        <v>18</v>
      </c>
      <c r="C3360" s="8" t="s">
        <v>97</v>
      </c>
      <c r="D3360" s="8">
        <v>650</v>
      </c>
      <c r="E3360" s="8">
        <v>278</v>
      </c>
      <c r="F3360" s="8">
        <v>445</v>
      </c>
      <c r="G3360" s="8">
        <v>3</v>
      </c>
      <c r="H3360" s="8">
        <v>17843</v>
      </c>
      <c r="I3360" s="8">
        <v>1</v>
      </c>
      <c r="J3360" s="8">
        <v>59</v>
      </c>
      <c r="K3360" s="8">
        <v>372</v>
      </c>
      <c r="L3360" s="8">
        <v>339</v>
      </c>
      <c r="M3360" s="8">
        <v>15.477272729999999</v>
      </c>
      <c r="N3360">
        <f>VLOOKUP(A3360,vlookup_table!$A:$G,2,FALSE)</f>
        <v>0</v>
      </c>
      <c r="O3360" t="str">
        <f>VLOOKUP(A3360,vlookup_table!$A:$G,3,FALSE)</f>
        <v>NC</v>
      </c>
      <c r="P3360">
        <f>VLOOKUP(A3360,vlookup_table!$A:$G,4,FALSE)</f>
        <v>0</v>
      </c>
      <c r="Q3360" t="str">
        <f>VLOOKUP(A3360,vlookup_table!$A:$G,5,FALSE)</f>
        <v/>
      </c>
      <c r="R3360" t="str">
        <f>VLOOKUP(A3360,vlookup_table!$A:$G,6,FALSE)</f>
        <v>F</v>
      </c>
      <c r="S3360">
        <f>VLOOKUP(A3360,vlookup_table!$A:$G,7,FALSE)</f>
        <v>12</v>
      </c>
      <c r="T3360">
        <f t="shared" si="104"/>
        <v>96</v>
      </c>
      <c r="U3360" t="str">
        <f t="shared" si="105"/>
        <v/>
      </c>
    </row>
    <row r="3361" spans="1:21" ht="16" x14ac:dyDescent="0.4">
      <c r="A3361" s="9">
        <v>189962</v>
      </c>
      <c r="B3361" s="8" t="s">
        <v>21</v>
      </c>
      <c r="C3361" s="8" t="s">
        <v>14</v>
      </c>
      <c r="D3361" s="8">
        <v>833</v>
      </c>
      <c r="E3361" s="8">
        <v>295</v>
      </c>
      <c r="F3361" s="8">
        <v>403</v>
      </c>
      <c r="G3361" s="8">
        <v>6</v>
      </c>
      <c r="H3361" s="8">
        <v>13341</v>
      </c>
      <c r="I3361" s="8">
        <v>11</v>
      </c>
      <c r="J3361" s="8">
        <v>43</v>
      </c>
      <c r="K3361" s="8">
        <v>299</v>
      </c>
      <c r="L3361" s="8">
        <v>378</v>
      </c>
      <c r="M3361" s="8">
        <v>11.85714286</v>
      </c>
      <c r="N3361">
        <f>VLOOKUP(A3361,vlookup_table!$A:$G,2,FALSE)</f>
        <v>0</v>
      </c>
      <c r="O3361" t="str">
        <f>VLOOKUP(A3361,vlookup_table!$A:$G,3,FALSE)</f>
        <v>CA</v>
      </c>
      <c r="P3361">
        <f>VLOOKUP(A3361,vlookup_table!$A:$G,4,FALSE)</f>
        <v>4601</v>
      </c>
      <c r="Q3361" t="str">
        <f>VLOOKUP(A3361,vlookup_table!$A:$G,5,FALSE)</f>
        <v>T3</v>
      </c>
      <c r="R3361" t="str">
        <f>VLOOKUP(A3361,vlookup_table!$A:$G,6,FALSE)</f>
        <v>M</v>
      </c>
      <c r="S3361">
        <f>VLOOKUP(A3361,vlookup_table!$A:$G,7,FALSE)</f>
        <v>10</v>
      </c>
      <c r="T3361">
        <f t="shared" si="104"/>
        <v>50</v>
      </c>
      <c r="U3361" t="str">
        <f t="shared" si="105"/>
        <v>Pueblo</v>
      </c>
    </row>
    <row r="3362" spans="1:21" ht="16" x14ac:dyDescent="0.4">
      <c r="A3362" s="9">
        <v>27045</v>
      </c>
      <c r="B3362" s="8" t="s">
        <v>32</v>
      </c>
      <c r="C3362" s="8" t="s">
        <v>17</v>
      </c>
      <c r="D3362" s="8">
        <v>571</v>
      </c>
      <c r="E3362" s="8">
        <v>217</v>
      </c>
      <c r="F3362" s="8">
        <v>327</v>
      </c>
      <c r="G3362" s="8">
        <v>2</v>
      </c>
      <c r="H3362" s="8">
        <v>12055</v>
      </c>
      <c r="I3362" s="8">
        <v>2</v>
      </c>
      <c r="J3362" s="8">
        <v>65</v>
      </c>
      <c r="K3362" s="8">
        <v>259</v>
      </c>
      <c r="L3362" s="8">
        <v>280</v>
      </c>
      <c r="M3362" s="8">
        <v>8.9375</v>
      </c>
      <c r="N3362">
        <f>VLOOKUP(A3362,vlookup_table!$A:$G,2,FALSE)</f>
        <v>28</v>
      </c>
      <c r="O3362" t="str">
        <f>VLOOKUP(A3362,vlookup_table!$A:$G,3,FALSE)</f>
        <v>WI</v>
      </c>
      <c r="P3362">
        <f>VLOOKUP(A3362,vlookup_table!$A:$G,4,FALSE)</f>
        <v>0</v>
      </c>
      <c r="Q3362" t="str">
        <f>VLOOKUP(A3362,vlookup_table!$A:$G,5,FALSE)</f>
        <v>R2</v>
      </c>
      <c r="R3362" t="str">
        <f>VLOOKUP(A3362,vlookup_table!$A:$G,6,FALSE)</f>
        <v>F</v>
      </c>
      <c r="S3362">
        <f>VLOOKUP(A3362,vlookup_table!$A:$G,7,FALSE)</f>
        <v>16</v>
      </c>
      <c r="T3362">
        <f t="shared" si="104"/>
        <v>96</v>
      </c>
      <c r="U3362" t="str">
        <f t="shared" si="105"/>
        <v>Rural</v>
      </c>
    </row>
    <row r="3363" spans="1:21" ht="16" x14ac:dyDescent="0.4">
      <c r="A3363" s="9">
        <v>97424</v>
      </c>
      <c r="B3363" s="8" t="s">
        <v>16</v>
      </c>
      <c r="C3363" s="8" t="s">
        <v>14</v>
      </c>
      <c r="D3363" s="8">
        <v>413</v>
      </c>
      <c r="E3363" s="8">
        <v>166</v>
      </c>
      <c r="F3363" s="8">
        <v>323</v>
      </c>
      <c r="G3363" s="8">
        <v>1</v>
      </c>
      <c r="H3363" s="8">
        <v>11274</v>
      </c>
      <c r="I3363" s="8">
        <v>1</v>
      </c>
      <c r="J3363" s="8">
        <v>89</v>
      </c>
      <c r="K3363" s="8">
        <v>239</v>
      </c>
      <c r="L3363" s="8">
        <v>259</v>
      </c>
      <c r="M3363" s="8">
        <v>4.8484848490000001</v>
      </c>
      <c r="N3363">
        <f>VLOOKUP(A3363,vlookup_table!$A:$G,2,FALSE)</f>
        <v>2</v>
      </c>
      <c r="O3363" t="str">
        <f>VLOOKUP(A3363,vlookup_table!$A:$G,3,FALSE)</f>
        <v>IL</v>
      </c>
      <c r="P3363">
        <f>VLOOKUP(A3363,vlookup_table!$A:$G,4,FALSE)</f>
        <v>0</v>
      </c>
      <c r="Q3363" t="str">
        <f>VLOOKUP(A3363,vlookup_table!$A:$G,5,FALSE)</f>
        <v>R3</v>
      </c>
      <c r="R3363" t="str">
        <f>VLOOKUP(A3363,vlookup_table!$A:$G,6,FALSE)</f>
        <v>M</v>
      </c>
      <c r="S3363">
        <f>VLOOKUP(A3363,vlookup_table!$A:$G,7,FALSE)</f>
        <v>5</v>
      </c>
      <c r="T3363">
        <f t="shared" si="104"/>
        <v>96</v>
      </c>
      <c r="U3363" t="str">
        <f t="shared" si="105"/>
        <v>Rural</v>
      </c>
    </row>
    <row r="3364" spans="1:21" ht="16" x14ac:dyDescent="0.4">
      <c r="A3364" s="9">
        <v>163591</v>
      </c>
      <c r="B3364" s="8" t="s">
        <v>21</v>
      </c>
      <c r="C3364" s="8" t="s">
        <v>14</v>
      </c>
      <c r="D3364" s="8">
        <v>3919</v>
      </c>
      <c r="E3364" s="8">
        <v>427</v>
      </c>
      <c r="F3364" s="8">
        <v>589</v>
      </c>
      <c r="G3364" s="8">
        <v>93</v>
      </c>
      <c r="H3364" s="8">
        <v>25828</v>
      </c>
      <c r="I3364" s="8">
        <v>17</v>
      </c>
      <c r="J3364" s="8">
        <v>48</v>
      </c>
      <c r="K3364" s="8">
        <v>453</v>
      </c>
      <c r="L3364" s="8">
        <v>552</v>
      </c>
      <c r="M3364" s="8">
        <v>23.14285714</v>
      </c>
      <c r="N3364">
        <f>VLOOKUP(A3364,vlookup_table!$A:$G,2,FALSE)</f>
        <v>0</v>
      </c>
      <c r="O3364" t="str">
        <f>VLOOKUP(A3364,vlookup_table!$A:$G,3,FALSE)</f>
        <v>CA</v>
      </c>
      <c r="P3364">
        <f>VLOOKUP(A3364,vlookup_table!$A:$G,4,FALSE)</f>
        <v>2201</v>
      </c>
      <c r="Q3364" t="str">
        <f>VLOOKUP(A3364,vlookup_table!$A:$G,5,FALSE)</f>
        <v>U1</v>
      </c>
      <c r="R3364" t="str">
        <f>VLOOKUP(A3364,vlookup_table!$A:$G,6,FALSE)</f>
        <v>M</v>
      </c>
      <c r="S3364">
        <f>VLOOKUP(A3364,vlookup_table!$A:$G,7,FALSE)</f>
        <v>35</v>
      </c>
      <c r="T3364">
        <f t="shared" si="104"/>
        <v>74</v>
      </c>
      <c r="U3364" t="str">
        <f t="shared" si="105"/>
        <v>Urbano</v>
      </c>
    </row>
    <row r="3365" spans="1:21" ht="16" x14ac:dyDescent="0.4">
      <c r="A3365" s="9">
        <v>15772</v>
      </c>
      <c r="B3365" s="8" t="s">
        <v>18</v>
      </c>
      <c r="C3365" s="8" t="s">
        <v>97</v>
      </c>
      <c r="D3365" s="8">
        <v>439</v>
      </c>
      <c r="E3365" s="8">
        <v>134</v>
      </c>
      <c r="F3365" s="8">
        <v>212</v>
      </c>
      <c r="G3365" s="8">
        <v>0</v>
      </c>
      <c r="H3365" s="8">
        <v>7525</v>
      </c>
      <c r="I3365" s="8">
        <v>0</v>
      </c>
      <c r="J3365" s="8">
        <v>77</v>
      </c>
      <c r="K3365" s="8">
        <v>189</v>
      </c>
      <c r="L3365" s="8">
        <v>168</v>
      </c>
      <c r="M3365" s="8">
        <v>5.6666666670000003</v>
      </c>
      <c r="N3365">
        <f>VLOOKUP(A3365,vlookup_table!$A:$G,2,FALSE)</f>
        <v>2</v>
      </c>
      <c r="O3365" t="str">
        <f>VLOOKUP(A3365,vlookup_table!$A:$G,3,FALSE)</f>
        <v>NC</v>
      </c>
      <c r="P3365">
        <f>VLOOKUP(A3365,vlookup_table!$A:$G,4,FALSE)</f>
        <v>0</v>
      </c>
      <c r="Q3365" t="str">
        <f>VLOOKUP(A3365,vlookup_table!$A:$G,5,FALSE)</f>
        <v>C3</v>
      </c>
      <c r="R3365" t="str">
        <f>VLOOKUP(A3365,vlookup_table!$A:$G,6,FALSE)</f>
        <v>F</v>
      </c>
      <c r="S3365">
        <f>VLOOKUP(A3365,vlookup_table!$A:$G,7,FALSE)</f>
        <v>10</v>
      </c>
      <c r="T3365">
        <f t="shared" si="104"/>
        <v>96</v>
      </c>
      <c r="U3365" t="str">
        <f t="shared" si="105"/>
        <v>Ciudad</v>
      </c>
    </row>
    <row r="3366" spans="1:21" ht="16" x14ac:dyDescent="0.4">
      <c r="A3366" s="9">
        <v>71427</v>
      </c>
      <c r="B3366" s="8" t="s">
        <v>26</v>
      </c>
      <c r="C3366" s="8" t="s">
        <v>14</v>
      </c>
      <c r="D3366" s="8">
        <v>914</v>
      </c>
      <c r="E3366" s="8">
        <v>421</v>
      </c>
      <c r="F3366" s="8">
        <v>543</v>
      </c>
      <c r="G3366" s="8">
        <v>2</v>
      </c>
      <c r="H3366" s="8">
        <v>20079</v>
      </c>
      <c r="I3366" s="8">
        <v>2</v>
      </c>
      <c r="J3366" s="8">
        <v>74</v>
      </c>
      <c r="K3366" s="8">
        <v>530</v>
      </c>
      <c r="L3366" s="8">
        <v>467</v>
      </c>
      <c r="M3366" s="8">
        <v>16.5</v>
      </c>
      <c r="N3366">
        <f>VLOOKUP(A3366,vlookup_table!$A:$G,2,FALSE)</f>
        <v>1</v>
      </c>
      <c r="O3366" t="str">
        <f>VLOOKUP(A3366,vlookup_table!$A:$G,3,FALSE)</f>
        <v>MI</v>
      </c>
      <c r="P3366">
        <f>VLOOKUP(A3366,vlookup_table!$A:$G,4,FALSE)</f>
        <v>5510</v>
      </c>
      <c r="Q3366" t="str">
        <f>VLOOKUP(A3366,vlookup_table!$A:$G,5,FALSE)</f>
        <v>T1</v>
      </c>
      <c r="R3366" t="str">
        <f>VLOOKUP(A3366,vlookup_table!$A:$G,6,FALSE)</f>
        <v>M</v>
      </c>
      <c r="S3366">
        <f>VLOOKUP(A3366,vlookup_table!$A:$G,7,FALSE)</f>
        <v>30</v>
      </c>
      <c r="T3366">
        <f t="shared" si="104"/>
        <v>41</v>
      </c>
      <c r="U3366" t="str">
        <f t="shared" si="105"/>
        <v>Pueblo</v>
      </c>
    </row>
    <row r="3367" spans="1:21" ht="16" x14ac:dyDescent="0.4">
      <c r="A3367" s="9">
        <v>159039</v>
      </c>
      <c r="B3367" s="8" t="s">
        <v>21</v>
      </c>
      <c r="C3367" s="8" t="s">
        <v>17</v>
      </c>
      <c r="D3367" s="8">
        <v>1656</v>
      </c>
      <c r="E3367" s="8">
        <v>298</v>
      </c>
      <c r="F3367" s="8">
        <v>388</v>
      </c>
      <c r="G3367" s="8">
        <v>18</v>
      </c>
      <c r="H3367" s="8">
        <v>17943</v>
      </c>
      <c r="I3367" s="8">
        <v>10</v>
      </c>
      <c r="J3367" s="8">
        <v>36</v>
      </c>
      <c r="K3367" s="8">
        <v>350</v>
      </c>
      <c r="L3367" s="8">
        <v>356</v>
      </c>
      <c r="M3367" s="8">
        <v>15.35</v>
      </c>
      <c r="N3367">
        <f>VLOOKUP(A3367,vlookup_table!$A:$G,2,FALSE)</f>
        <v>0</v>
      </c>
      <c r="O3367" t="str">
        <f>VLOOKUP(A3367,vlookup_table!$A:$G,3,FALSE)</f>
        <v>CA</v>
      </c>
      <c r="P3367">
        <f>VLOOKUP(A3367,vlookup_table!$A:$G,4,FALSE)</f>
        <v>2001</v>
      </c>
      <c r="Q3367" t="str">
        <f>VLOOKUP(A3367,vlookup_table!$A:$G,5,FALSE)</f>
        <v>C2</v>
      </c>
      <c r="R3367" t="str">
        <f>VLOOKUP(A3367,vlookup_table!$A:$G,6,FALSE)</f>
        <v>F</v>
      </c>
      <c r="S3367">
        <f>VLOOKUP(A3367,vlookup_table!$A:$G,7,FALSE)</f>
        <v>25</v>
      </c>
      <c r="T3367">
        <f t="shared" si="104"/>
        <v>76</v>
      </c>
      <c r="U3367" t="str">
        <f t="shared" si="105"/>
        <v>Ciudad</v>
      </c>
    </row>
    <row r="3368" spans="1:21" ht="16" x14ac:dyDescent="0.4">
      <c r="A3368" s="9">
        <v>22984</v>
      </c>
      <c r="B3368" s="8" t="s">
        <v>43</v>
      </c>
      <c r="C3368" s="8" t="s">
        <v>17</v>
      </c>
      <c r="D3368" s="8">
        <v>0</v>
      </c>
      <c r="E3368" s="8">
        <v>0</v>
      </c>
      <c r="F3368" s="8">
        <v>0</v>
      </c>
      <c r="G3368" s="8">
        <v>0</v>
      </c>
      <c r="H3368" s="8">
        <v>0</v>
      </c>
      <c r="I3368" s="8">
        <v>0</v>
      </c>
      <c r="J3368" s="8">
        <v>0</v>
      </c>
      <c r="K3368" s="8">
        <v>0</v>
      </c>
      <c r="L3368" s="8">
        <v>0</v>
      </c>
      <c r="M3368" s="8">
        <v>6</v>
      </c>
      <c r="N3368">
        <f>VLOOKUP(A3368,vlookup_table!$A:$G,2,FALSE)</f>
        <v>0</v>
      </c>
      <c r="O3368" t="str">
        <f>VLOOKUP(A3368,vlookup_table!$A:$G,3,FALSE)</f>
        <v>SC</v>
      </c>
      <c r="P3368">
        <f>VLOOKUP(A3368,vlookup_table!$A:$G,4,FALSE)</f>
        <v>0</v>
      </c>
      <c r="Q3368" t="str">
        <f>VLOOKUP(A3368,vlookup_table!$A:$G,5,FALSE)</f>
        <v>T2</v>
      </c>
      <c r="R3368" t="str">
        <f>VLOOKUP(A3368,vlookup_table!$A:$G,6,FALSE)</f>
        <v>F</v>
      </c>
      <c r="S3368">
        <f>VLOOKUP(A3368,vlookup_table!$A:$G,7,FALSE)</f>
        <v>1</v>
      </c>
      <c r="T3368">
        <f t="shared" si="104"/>
        <v>96</v>
      </c>
      <c r="U3368" t="str">
        <f t="shared" si="105"/>
        <v>Pueblo</v>
      </c>
    </row>
    <row r="3369" spans="1:21" ht="16" x14ac:dyDescent="0.4">
      <c r="A3369" s="9">
        <v>89210</v>
      </c>
      <c r="B3369" s="8" t="s">
        <v>29</v>
      </c>
      <c r="C3369" s="8"/>
      <c r="D3369" s="8">
        <v>493</v>
      </c>
      <c r="E3369" s="8">
        <v>188</v>
      </c>
      <c r="F3369" s="8">
        <v>259</v>
      </c>
      <c r="G3369" s="8">
        <v>1</v>
      </c>
      <c r="H3369" s="8">
        <v>9997</v>
      </c>
      <c r="I3369" s="8">
        <v>3</v>
      </c>
      <c r="J3369" s="8">
        <v>35</v>
      </c>
      <c r="K3369" s="8">
        <v>202</v>
      </c>
      <c r="L3369" s="8">
        <v>223</v>
      </c>
      <c r="M3369" s="8">
        <v>44.727272730000003</v>
      </c>
      <c r="N3369">
        <f>VLOOKUP(A3369,vlookup_table!$A:$G,2,FALSE)</f>
        <v>2</v>
      </c>
      <c r="O3369" t="str">
        <f>VLOOKUP(A3369,vlookup_table!$A:$G,3,FALSE)</f>
        <v>AR</v>
      </c>
      <c r="P3369">
        <f>VLOOKUP(A3369,vlookup_table!$A:$G,4,FALSE)</f>
        <v>3801</v>
      </c>
      <c r="Q3369" t="str">
        <f>VLOOKUP(A3369,vlookup_table!$A:$G,5,FALSE)</f>
        <v>S2</v>
      </c>
      <c r="R3369" t="str">
        <f>VLOOKUP(A3369,vlookup_table!$A:$G,6,FALSE)</f>
        <v/>
      </c>
      <c r="S3369">
        <f>VLOOKUP(A3369,vlookup_table!$A:$G,7,FALSE)</f>
        <v>25</v>
      </c>
      <c r="T3369">
        <f t="shared" si="104"/>
        <v>58</v>
      </c>
      <c r="U3369" t="str">
        <f t="shared" si="105"/>
        <v>Suburbano</v>
      </c>
    </row>
    <row r="3370" spans="1:21" ht="16" x14ac:dyDescent="0.4">
      <c r="A3370" s="9">
        <v>6490</v>
      </c>
      <c r="B3370" s="8" t="s">
        <v>37</v>
      </c>
      <c r="C3370" s="8" t="s">
        <v>14</v>
      </c>
      <c r="D3370" s="8">
        <v>1118</v>
      </c>
      <c r="E3370" s="8">
        <v>354</v>
      </c>
      <c r="F3370" s="8">
        <v>466</v>
      </c>
      <c r="G3370" s="8">
        <v>7</v>
      </c>
      <c r="H3370" s="8">
        <v>13991</v>
      </c>
      <c r="I3370" s="8">
        <v>5</v>
      </c>
      <c r="J3370" s="8">
        <v>54</v>
      </c>
      <c r="K3370" s="8">
        <v>453</v>
      </c>
      <c r="L3370" s="8">
        <v>385</v>
      </c>
      <c r="M3370" s="8">
        <v>22</v>
      </c>
      <c r="N3370">
        <f>VLOOKUP(A3370,vlookup_table!$A:$G,2,FALSE)</f>
        <v>0</v>
      </c>
      <c r="O3370" t="str">
        <f>VLOOKUP(A3370,vlookup_table!$A:$G,3,FALSE)</f>
        <v>WA</v>
      </c>
      <c r="P3370">
        <f>VLOOKUP(A3370,vlookup_table!$A:$G,4,FALSE)</f>
        <v>1201</v>
      </c>
      <c r="Q3370" t="str">
        <f>VLOOKUP(A3370,vlookup_table!$A:$G,5,FALSE)</f>
        <v>T2</v>
      </c>
      <c r="R3370" t="str">
        <f>VLOOKUP(A3370,vlookup_table!$A:$G,6,FALSE)</f>
        <v>M</v>
      </c>
      <c r="S3370">
        <f>VLOOKUP(A3370,vlookup_table!$A:$G,7,FALSE)</f>
        <v>25</v>
      </c>
      <c r="T3370">
        <f t="shared" si="104"/>
        <v>84</v>
      </c>
      <c r="U3370" t="str">
        <f t="shared" si="105"/>
        <v>Pueblo</v>
      </c>
    </row>
    <row r="3371" spans="1:21" ht="16" x14ac:dyDescent="0.4">
      <c r="A3371" s="9">
        <v>48003</v>
      </c>
      <c r="B3371" s="8" t="s">
        <v>40</v>
      </c>
      <c r="C3371" s="8" t="s">
        <v>27</v>
      </c>
      <c r="D3371" s="8">
        <v>765</v>
      </c>
      <c r="E3371" s="8">
        <v>408</v>
      </c>
      <c r="F3371" s="8">
        <v>472</v>
      </c>
      <c r="G3371" s="8">
        <v>1</v>
      </c>
      <c r="H3371" s="8">
        <v>15150</v>
      </c>
      <c r="I3371" s="8">
        <v>1</v>
      </c>
      <c r="J3371" s="8">
        <v>68</v>
      </c>
      <c r="K3371" s="8">
        <v>430</v>
      </c>
      <c r="L3371" s="8">
        <v>441</v>
      </c>
      <c r="M3371" s="8">
        <v>7.6111111109999996</v>
      </c>
      <c r="N3371">
        <f>VLOOKUP(A3371,vlookup_table!$A:$G,2,FALSE)</f>
        <v>0</v>
      </c>
      <c r="O3371" t="str">
        <f>VLOOKUP(A3371,vlookup_table!$A:$G,3,FALSE)</f>
        <v>AL</v>
      </c>
      <c r="P3371">
        <f>VLOOKUP(A3371,vlookup_table!$A:$G,4,FALSE)</f>
        <v>0</v>
      </c>
      <c r="Q3371" t="str">
        <f>VLOOKUP(A3371,vlookup_table!$A:$G,5,FALSE)</f>
        <v>T2</v>
      </c>
      <c r="R3371" t="str">
        <f>VLOOKUP(A3371,vlookup_table!$A:$G,6,FALSE)</f>
        <v>U</v>
      </c>
      <c r="S3371">
        <f>VLOOKUP(A3371,vlookup_table!$A:$G,7,FALSE)</f>
        <v>10</v>
      </c>
      <c r="T3371">
        <f t="shared" si="104"/>
        <v>96</v>
      </c>
      <c r="U3371" t="str">
        <f t="shared" si="105"/>
        <v>Pueblo</v>
      </c>
    </row>
    <row r="3372" spans="1:21" ht="16" x14ac:dyDescent="0.4">
      <c r="A3372" s="9">
        <v>189199</v>
      </c>
      <c r="B3372" s="8" t="s">
        <v>25</v>
      </c>
      <c r="C3372" s="8" t="s">
        <v>17</v>
      </c>
      <c r="D3372" s="8">
        <v>636</v>
      </c>
      <c r="E3372" s="8">
        <v>311</v>
      </c>
      <c r="F3372" s="8">
        <v>495</v>
      </c>
      <c r="G3372" s="8">
        <v>0</v>
      </c>
      <c r="H3372" s="8">
        <v>16133</v>
      </c>
      <c r="I3372" s="8">
        <v>4</v>
      </c>
      <c r="J3372" s="8">
        <v>47</v>
      </c>
      <c r="K3372" s="8">
        <v>412</v>
      </c>
      <c r="L3372" s="8">
        <v>332</v>
      </c>
      <c r="M3372" s="8">
        <v>16.666666670000001</v>
      </c>
      <c r="N3372">
        <f>VLOOKUP(A3372,vlookup_table!$A:$G,2,FALSE)</f>
        <v>0</v>
      </c>
      <c r="O3372" t="str">
        <f>VLOOKUP(A3372,vlookup_table!$A:$G,3,FALSE)</f>
        <v>KS</v>
      </c>
      <c r="P3372">
        <f>VLOOKUP(A3372,vlookup_table!$A:$G,4,FALSE)</f>
        <v>0</v>
      </c>
      <c r="Q3372" t="str">
        <f>VLOOKUP(A3372,vlookup_table!$A:$G,5,FALSE)</f>
        <v>T2</v>
      </c>
      <c r="R3372" t="str">
        <f>VLOOKUP(A3372,vlookup_table!$A:$G,6,FALSE)</f>
        <v>F</v>
      </c>
      <c r="S3372">
        <f>VLOOKUP(A3372,vlookup_table!$A:$G,7,FALSE)</f>
        <v>25</v>
      </c>
      <c r="T3372">
        <f t="shared" si="104"/>
        <v>96</v>
      </c>
      <c r="U3372" t="str">
        <f t="shared" si="105"/>
        <v>Pueblo</v>
      </c>
    </row>
    <row r="3373" spans="1:21" ht="16" x14ac:dyDescent="0.4">
      <c r="A3373" s="9">
        <v>117882</v>
      </c>
      <c r="B3373" s="8" t="s">
        <v>29</v>
      </c>
      <c r="C3373" s="8" t="s">
        <v>97</v>
      </c>
      <c r="D3373" s="8">
        <v>424</v>
      </c>
      <c r="E3373" s="8">
        <v>252</v>
      </c>
      <c r="F3373" s="8">
        <v>354</v>
      </c>
      <c r="G3373" s="8">
        <v>0</v>
      </c>
      <c r="H3373" s="8">
        <v>14198</v>
      </c>
      <c r="I3373" s="8">
        <v>0</v>
      </c>
      <c r="J3373" s="8">
        <v>44</v>
      </c>
      <c r="K3373" s="8">
        <v>303</v>
      </c>
      <c r="L3373" s="8">
        <v>299</v>
      </c>
      <c r="M3373" s="8">
        <v>11.66666667</v>
      </c>
      <c r="N3373">
        <f>VLOOKUP(A3373,vlookup_table!$A:$G,2,FALSE)</f>
        <v>0</v>
      </c>
      <c r="O3373" t="str">
        <f>VLOOKUP(A3373,vlookup_table!$A:$G,3,FALSE)</f>
        <v>AR</v>
      </c>
      <c r="P3373">
        <f>VLOOKUP(A3373,vlookup_table!$A:$G,4,FALSE)</f>
        <v>2907</v>
      </c>
      <c r="Q3373" t="str">
        <f>VLOOKUP(A3373,vlookup_table!$A:$G,5,FALSE)</f>
        <v/>
      </c>
      <c r="R3373" t="str">
        <f>VLOOKUP(A3373,vlookup_table!$A:$G,6,FALSE)</f>
        <v>F</v>
      </c>
      <c r="S3373">
        <f>VLOOKUP(A3373,vlookup_table!$A:$G,7,FALSE)</f>
        <v>20</v>
      </c>
      <c r="T3373">
        <f t="shared" si="104"/>
        <v>67</v>
      </c>
      <c r="U3373" t="str">
        <f t="shared" si="105"/>
        <v/>
      </c>
    </row>
    <row r="3374" spans="1:21" ht="16" x14ac:dyDescent="0.4">
      <c r="A3374" s="9">
        <v>174932</v>
      </c>
      <c r="B3374" s="8" t="s">
        <v>47</v>
      </c>
      <c r="C3374" s="8" t="s">
        <v>17</v>
      </c>
      <c r="D3374" s="8">
        <v>923</v>
      </c>
      <c r="E3374" s="8">
        <v>447</v>
      </c>
      <c r="F3374" s="8">
        <v>524</v>
      </c>
      <c r="G3374" s="8">
        <v>1</v>
      </c>
      <c r="H3374" s="8">
        <v>17104</v>
      </c>
      <c r="I3374" s="8">
        <v>2</v>
      </c>
      <c r="J3374" s="8">
        <v>50</v>
      </c>
      <c r="K3374" s="8">
        <v>481</v>
      </c>
      <c r="L3374" s="8">
        <v>493</v>
      </c>
      <c r="M3374" s="8">
        <v>12.9</v>
      </c>
      <c r="N3374">
        <f>VLOOKUP(A3374,vlookup_table!$A:$G,2,FALSE)</f>
        <v>28</v>
      </c>
      <c r="O3374" t="str">
        <f>VLOOKUP(A3374,vlookup_table!$A:$G,3,FALSE)</f>
        <v>OR</v>
      </c>
      <c r="P3374">
        <f>VLOOKUP(A3374,vlookup_table!$A:$G,4,FALSE)</f>
        <v>0</v>
      </c>
      <c r="Q3374" t="str">
        <f>VLOOKUP(A3374,vlookup_table!$A:$G,5,FALSE)</f>
        <v>T2</v>
      </c>
      <c r="R3374" t="str">
        <f>VLOOKUP(A3374,vlookup_table!$A:$G,6,FALSE)</f>
        <v>F</v>
      </c>
      <c r="S3374">
        <f>VLOOKUP(A3374,vlookup_table!$A:$G,7,FALSE)</f>
        <v>20</v>
      </c>
      <c r="T3374">
        <f t="shared" si="104"/>
        <v>96</v>
      </c>
      <c r="U3374" t="str">
        <f t="shared" si="105"/>
        <v>Pueblo</v>
      </c>
    </row>
    <row r="3375" spans="1:21" ht="16" x14ac:dyDescent="0.4">
      <c r="A3375" s="9">
        <v>101033</v>
      </c>
      <c r="B3375" s="8" t="s">
        <v>33</v>
      </c>
      <c r="C3375" s="8" t="s">
        <v>14</v>
      </c>
      <c r="D3375" s="8">
        <v>696</v>
      </c>
      <c r="E3375" s="8">
        <v>387</v>
      </c>
      <c r="F3375" s="8">
        <v>430</v>
      </c>
      <c r="G3375" s="8">
        <v>0</v>
      </c>
      <c r="H3375" s="8">
        <v>12711</v>
      </c>
      <c r="I3375" s="8">
        <v>3</v>
      </c>
      <c r="J3375" s="8">
        <v>67</v>
      </c>
      <c r="K3375" s="8">
        <v>406</v>
      </c>
      <c r="L3375" s="8">
        <v>421</v>
      </c>
      <c r="M3375" s="8">
        <v>13.8</v>
      </c>
      <c r="N3375">
        <f>VLOOKUP(A3375,vlookup_table!$A:$G,2,FALSE)</f>
        <v>0</v>
      </c>
      <c r="O3375" t="str">
        <f>VLOOKUP(A3375,vlookup_table!$A:$G,3,FALSE)</f>
        <v>MO</v>
      </c>
      <c r="P3375">
        <f>VLOOKUP(A3375,vlookup_table!$A:$G,4,FALSE)</f>
        <v>5711</v>
      </c>
      <c r="Q3375" t="str">
        <f>VLOOKUP(A3375,vlookup_table!$A:$G,5,FALSE)</f>
        <v>T2</v>
      </c>
      <c r="R3375" t="str">
        <f>VLOOKUP(A3375,vlookup_table!$A:$G,6,FALSE)</f>
        <v>M</v>
      </c>
      <c r="S3375">
        <f>VLOOKUP(A3375,vlookup_table!$A:$G,7,FALSE)</f>
        <v>21</v>
      </c>
      <c r="T3375">
        <f t="shared" si="104"/>
        <v>39</v>
      </c>
      <c r="U3375" t="str">
        <f t="shared" si="105"/>
        <v>Pueblo</v>
      </c>
    </row>
    <row r="3376" spans="1:21" ht="16" x14ac:dyDescent="0.4">
      <c r="A3376" s="9">
        <v>143299</v>
      </c>
      <c r="B3376" s="8" t="s">
        <v>21</v>
      </c>
      <c r="C3376" s="8" t="s">
        <v>14</v>
      </c>
      <c r="D3376" s="8">
        <v>2581</v>
      </c>
      <c r="E3376" s="8">
        <v>555</v>
      </c>
      <c r="F3376" s="8">
        <v>676</v>
      </c>
      <c r="G3376" s="8">
        <v>71</v>
      </c>
      <c r="H3376" s="8">
        <v>21182</v>
      </c>
      <c r="I3376" s="8">
        <v>34</v>
      </c>
      <c r="J3376" s="8">
        <v>41</v>
      </c>
      <c r="K3376" s="8">
        <v>641</v>
      </c>
      <c r="L3376" s="8">
        <v>561</v>
      </c>
      <c r="M3376" s="8">
        <v>14.44444444</v>
      </c>
      <c r="N3376">
        <f>VLOOKUP(A3376,vlookup_table!$A:$G,2,FALSE)</f>
        <v>0</v>
      </c>
      <c r="O3376" t="str">
        <f>VLOOKUP(A3376,vlookup_table!$A:$G,3,FALSE)</f>
        <v>CA</v>
      </c>
      <c r="P3376">
        <f>VLOOKUP(A3376,vlookup_table!$A:$G,4,FALSE)</f>
        <v>2801</v>
      </c>
      <c r="Q3376" t="str">
        <f>VLOOKUP(A3376,vlookup_table!$A:$G,5,FALSE)</f>
        <v>U1</v>
      </c>
      <c r="R3376" t="str">
        <f>VLOOKUP(A3376,vlookup_table!$A:$G,6,FALSE)</f>
        <v>M</v>
      </c>
      <c r="S3376">
        <f>VLOOKUP(A3376,vlookup_table!$A:$G,7,FALSE)</f>
        <v>15</v>
      </c>
      <c r="T3376">
        <f t="shared" si="104"/>
        <v>68</v>
      </c>
      <c r="U3376" t="str">
        <f t="shared" si="105"/>
        <v>Urbano</v>
      </c>
    </row>
    <row r="3377" spans="1:21" ht="16" x14ac:dyDescent="0.4">
      <c r="A3377" s="9">
        <v>189749</v>
      </c>
      <c r="B3377" s="8" t="s">
        <v>13</v>
      </c>
      <c r="C3377" s="8" t="s">
        <v>14</v>
      </c>
      <c r="D3377" s="8">
        <v>1093</v>
      </c>
      <c r="E3377" s="8">
        <v>366</v>
      </c>
      <c r="F3377" s="8">
        <v>478</v>
      </c>
      <c r="G3377" s="8">
        <v>7</v>
      </c>
      <c r="H3377" s="8">
        <v>19287</v>
      </c>
      <c r="I3377" s="8">
        <v>9</v>
      </c>
      <c r="J3377" s="8">
        <v>15</v>
      </c>
      <c r="K3377" s="8">
        <v>413</v>
      </c>
      <c r="L3377" s="8">
        <v>434</v>
      </c>
      <c r="M3377" s="8">
        <v>9</v>
      </c>
      <c r="N3377">
        <f>VLOOKUP(A3377,vlookup_table!$A:$G,2,FALSE)</f>
        <v>1</v>
      </c>
      <c r="O3377" t="str">
        <f>VLOOKUP(A3377,vlookup_table!$A:$G,3,FALSE)</f>
        <v>FL</v>
      </c>
      <c r="P3377">
        <f>VLOOKUP(A3377,vlookup_table!$A:$G,4,FALSE)</f>
        <v>2211</v>
      </c>
      <c r="Q3377" t="str">
        <f>VLOOKUP(A3377,vlookup_table!$A:$G,5,FALSE)</f>
        <v>S2</v>
      </c>
      <c r="R3377" t="str">
        <f>VLOOKUP(A3377,vlookup_table!$A:$G,6,FALSE)</f>
        <v>M</v>
      </c>
      <c r="S3377">
        <f>VLOOKUP(A3377,vlookup_table!$A:$G,7,FALSE)</f>
        <v>10</v>
      </c>
      <c r="T3377">
        <f t="shared" si="104"/>
        <v>74</v>
      </c>
      <c r="U3377" t="str">
        <f t="shared" si="105"/>
        <v>Suburbano</v>
      </c>
    </row>
    <row r="3378" spans="1:21" ht="16" x14ac:dyDescent="0.4">
      <c r="A3378" s="9">
        <v>127108</v>
      </c>
      <c r="B3378" s="8" t="s">
        <v>20</v>
      </c>
      <c r="C3378" s="8"/>
      <c r="D3378" s="8">
        <v>727</v>
      </c>
      <c r="E3378" s="8">
        <v>427</v>
      </c>
      <c r="F3378" s="8">
        <v>437</v>
      </c>
      <c r="G3378" s="8">
        <v>0</v>
      </c>
      <c r="H3378" s="8">
        <v>14147</v>
      </c>
      <c r="I3378" s="8">
        <v>2</v>
      </c>
      <c r="J3378" s="8">
        <v>53</v>
      </c>
      <c r="K3378" s="8">
        <v>421</v>
      </c>
      <c r="L3378" s="8">
        <v>431</v>
      </c>
      <c r="M3378" s="8">
        <v>13.75</v>
      </c>
      <c r="N3378">
        <f>VLOOKUP(A3378,vlookup_table!$A:$G,2,FALSE)</f>
        <v>28</v>
      </c>
      <c r="O3378" t="str">
        <f>VLOOKUP(A3378,vlookup_table!$A:$G,3,FALSE)</f>
        <v>TX</v>
      </c>
      <c r="P3378">
        <f>VLOOKUP(A3378,vlookup_table!$A:$G,4,FALSE)</f>
        <v>0</v>
      </c>
      <c r="Q3378" t="str">
        <f>VLOOKUP(A3378,vlookup_table!$A:$G,5,FALSE)</f>
        <v>T1</v>
      </c>
      <c r="R3378" t="str">
        <f>VLOOKUP(A3378,vlookup_table!$A:$G,6,FALSE)</f>
        <v/>
      </c>
      <c r="S3378">
        <f>VLOOKUP(A3378,vlookup_table!$A:$G,7,FALSE)</f>
        <v>10</v>
      </c>
      <c r="T3378">
        <f t="shared" si="104"/>
        <v>96</v>
      </c>
      <c r="U3378" t="str">
        <f t="shared" si="105"/>
        <v>Pueblo</v>
      </c>
    </row>
    <row r="3379" spans="1:21" ht="16" x14ac:dyDescent="0.4">
      <c r="A3379" s="9">
        <v>74614</v>
      </c>
      <c r="B3379" s="8" t="s">
        <v>26</v>
      </c>
      <c r="C3379" s="8" t="s">
        <v>17</v>
      </c>
      <c r="D3379" s="8">
        <v>616</v>
      </c>
      <c r="E3379" s="8">
        <v>342</v>
      </c>
      <c r="F3379" s="8">
        <v>403</v>
      </c>
      <c r="G3379" s="8">
        <v>1</v>
      </c>
      <c r="H3379" s="8">
        <v>11510</v>
      </c>
      <c r="I3379" s="8">
        <v>1</v>
      </c>
      <c r="J3379" s="8">
        <v>80</v>
      </c>
      <c r="K3379" s="8">
        <v>373</v>
      </c>
      <c r="L3379" s="8">
        <v>375</v>
      </c>
      <c r="M3379" s="8">
        <v>4.4166666670000003</v>
      </c>
      <c r="N3379">
        <f>VLOOKUP(A3379,vlookup_table!$A:$G,2,FALSE)</f>
        <v>28</v>
      </c>
      <c r="O3379" t="str">
        <f>VLOOKUP(A3379,vlookup_table!$A:$G,3,FALSE)</f>
        <v>MI</v>
      </c>
      <c r="P3379">
        <f>VLOOKUP(A3379,vlookup_table!$A:$G,4,FALSE)</f>
        <v>3501</v>
      </c>
      <c r="Q3379" t="str">
        <f>VLOOKUP(A3379,vlookup_table!$A:$G,5,FALSE)</f>
        <v>R2</v>
      </c>
      <c r="R3379" t="str">
        <f>VLOOKUP(A3379,vlookup_table!$A:$G,6,FALSE)</f>
        <v>F</v>
      </c>
      <c r="S3379">
        <f>VLOOKUP(A3379,vlookup_table!$A:$G,7,FALSE)</f>
        <v>5</v>
      </c>
      <c r="T3379">
        <f t="shared" si="104"/>
        <v>61</v>
      </c>
      <c r="U3379" t="str">
        <f t="shared" si="105"/>
        <v>Rural</v>
      </c>
    </row>
    <row r="3380" spans="1:21" ht="16" x14ac:dyDescent="0.4">
      <c r="A3380" s="9">
        <v>182519</v>
      </c>
      <c r="B3380" s="8" t="s">
        <v>37</v>
      </c>
      <c r="C3380" s="8" t="s">
        <v>14</v>
      </c>
      <c r="D3380" s="8">
        <v>635</v>
      </c>
      <c r="E3380" s="8">
        <v>236</v>
      </c>
      <c r="F3380" s="8">
        <v>307</v>
      </c>
      <c r="G3380" s="8">
        <v>1</v>
      </c>
      <c r="H3380" s="8">
        <v>11588</v>
      </c>
      <c r="I3380" s="8">
        <v>3</v>
      </c>
      <c r="J3380" s="8">
        <v>52</v>
      </c>
      <c r="K3380" s="8">
        <v>243</v>
      </c>
      <c r="L3380" s="8">
        <v>298</v>
      </c>
      <c r="M3380" s="8">
        <v>15</v>
      </c>
      <c r="N3380">
        <f>VLOOKUP(A3380,vlookup_table!$A:$G,2,FALSE)</f>
        <v>1</v>
      </c>
      <c r="O3380" t="str">
        <f>VLOOKUP(A3380,vlookup_table!$A:$G,3,FALSE)</f>
        <v>WA</v>
      </c>
      <c r="P3380">
        <f>VLOOKUP(A3380,vlookup_table!$A:$G,4,FALSE)</f>
        <v>4701</v>
      </c>
      <c r="Q3380" t="str">
        <f>VLOOKUP(A3380,vlookup_table!$A:$G,5,FALSE)</f>
        <v>T2</v>
      </c>
      <c r="R3380" t="str">
        <f>VLOOKUP(A3380,vlookup_table!$A:$G,6,FALSE)</f>
        <v>M</v>
      </c>
      <c r="S3380">
        <f>VLOOKUP(A3380,vlookup_table!$A:$G,7,FALSE)</f>
        <v>5</v>
      </c>
      <c r="T3380">
        <f t="shared" si="104"/>
        <v>49</v>
      </c>
      <c r="U3380" t="str">
        <f t="shared" si="105"/>
        <v>Pueblo</v>
      </c>
    </row>
    <row r="3381" spans="1:21" ht="16" x14ac:dyDescent="0.4">
      <c r="A3381" s="9">
        <v>95467</v>
      </c>
      <c r="B3381" s="8" t="s">
        <v>16</v>
      </c>
      <c r="C3381" s="8" t="s">
        <v>17</v>
      </c>
      <c r="D3381" s="8">
        <v>765</v>
      </c>
      <c r="E3381" s="8">
        <v>352</v>
      </c>
      <c r="F3381" s="8">
        <v>456</v>
      </c>
      <c r="G3381" s="8">
        <v>2</v>
      </c>
      <c r="H3381" s="8">
        <v>18503</v>
      </c>
      <c r="I3381" s="8">
        <v>1</v>
      </c>
      <c r="J3381" s="8">
        <v>78</v>
      </c>
      <c r="K3381" s="8">
        <v>381</v>
      </c>
      <c r="L3381" s="8">
        <v>435</v>
      </c>
      <c r="M3381" s="8">
        <v>5.9375</v>
      </c>
      <c r="N3381">
        <f>VLOOKUP(A3381,vlookup_table!$A:$G,2,FALSE)</f>
        <v>0</v>
      </c>
      <c r="O3381" t="str">
        <f>VLOOKUP(A3381,vlookup_table!$A:$G,3,FALSE)</f>
        <v>IL</v>
      </c>
      <c r="P3381">
        <f>VLOOKUP(A3381,vlookup_table!$A:$G,4,FALSE)</f>
        <v>2501</v>
      </c>
      <c r="Q3381" t="str">
        <f>VLOOKUP(A3381,vlookup_table!$A:$G,5,FALSE)</f>
        <v>R2</v>
      </c>
      <c r="R3381" t="str">
        <f>VLOOKUP(A3381,vlookup_table!$A:$G,6,FALSE)</f>
        <v>F</v>
      </c>
      <c r="S3381">
        <f>VLOOKUP(A3381,vlookup_table!$A:$G,7,FALSE)</f>
        <v>4</v>
      </c>
      <c r="T3381">
        <f t="shared" si="104"/>
        <v>71</v>
      </c>
      <c r="U3381" t="str">
        <f t="shared" si="105"/>
        <v>Rural</v>
      </c>
    </row>
    <row r="3382" spans="1:21" ht="16" x14ac:dyDescent="0.4">
      <c r="A3382" s="9">
        <v>126530</v>
      </c>
      <c r="B3382" s="8" t="s">
        <v>20</v>
      </c>
      <c r="C3382" s="8" t="s">
        <v>14</v>
      </c>
      <c r="D3382" s="8">
        <v>369</v>
      </c>
      <c r="E3382" s="8">
        <v>253</v>
      </c>
      <c r="F3382" s="8">
        <v>291</v>
      </c>
      <c r="G3382" s="8">
        <v>0</v>
      </c>
      <c r="H3382" s="8">
        <v>7909</v>
      </c>
      <c r="I3382" s="8">
        <v>7</v>
      </c>
      <c r="J3382" s="8">
        <v>82</v>
      </c>
      <c r="K3382" s="8">
        <v>269</v>
      </c>
      <c r="L3382" s="8">
        <v>266</v>
      </c>
      <c r="M3382" s="8">
        <v>25</v>
      </c>
      <c r="N3382">
        <f>VLOOKUP(A3382,vlookup_table!$A:$G,2,FALSE)</f>
        <v>0</v>
      </c>
      <c r="O3382" t="str">
        <f>VLOOKUP(A3382,vlookup_table!$A:$G,3,FALSE)</f>
        <v>TX</v>
      </c>
      <c r="P3382">
        <f>VLOOKUP(A3382,vlookup_table!$A:$G,4,FALSE)</f>
        <v>4401</v>
      </c>
      <c r="Q3382" t="str">
        <f>VLOOKUP(A3382,vlookup_table!$A:$G,5,FALSE)</f>
        <v>T2</v>
      </c>
      <c r="R3382" t="str">
        <f>VLOOKUP(A3382,vlookup_table!$A:$G,6,FALSE)</f>
        <v>M</v>
      </c>
      <c r="S3382">
        <f>VLOOKUP(A3382,vlookup_table!$A:$G,7,FALSE)</f>
        <v>30</v>
      </c>
      <c r="T3382">
        <f t="shared" si="104"/>
        <v>52</v>
      </c>
      <c r="U3382" t="str">
        <f t="shared" si="105"/>
        <v>Pueblo</v>
      </c>
    </row>
    <row r="3383" spans="1:21" ht="16" x14ac:dyDescent="0.4">
      <c r="A3383" s="9">
        <v>9049</v>
      </c>
      <c r="B3383" s="8" t="s">
        <v>13</v>
      </c>
      <c r="C3383" s="8" t="s">
        <v>17</v>
      </c>
      <c r="D3383" s="8">
        <v>586</v>
      </c>
      <c r="E3383" s="8">
        <v>323</v>
      </c>
      <c r="F3383" s="8">
        <v>335</v>
      </c>
      <c r="G3383" s="8">
        <v>0</v>
      </c>
      <c r="H3383" s="8">
        <v>8833</v>
      </c>
      <c r="I3383" s="8">
        <v>37</v>
      </c>
      <c r="J3383" s="8">
        <v>27</v>
      </c>
      <c r="K3383" s="8">
        <v>327</v>
      </c>
      <c r="L3383" s="8">
        <v>334</v>
      </c>
      <c r="M3383" s="8">
        <v>8.8181818179999993</v>
      </c>
      <c r="N3383">
        <f>VLOOKUP(A3383,vlookup_table!$A:$G,2,FALSE)</f>
        <v>2</v>
      </c>
      <c r="O3383" t="str">
        <f>VLOOKUP(A3383,vlookup_table!$A:$G,3,FALSE)</f>
        <v>FL</v>
      </c>
      <c r="P3383">
        <f>VLOOKUP(A3383,vlookup_table!$A:$G,4,FALSE)</f>
        <v>4601</v>
      </c>
      <c r="Q3383" t="str">
        <f>VLOOKUP(A3383,vlookup_table!$A:$G,5,FALSE)</f>
        <v>C3</v>
      </c>
      <c r="R3383" t="str">
        <f>VLOOKUP(A3383,vlookup_table!$A:$G,6,FALSE)</f>
        <v>F</v>
      </c>
      <c r="S3383">
        <f>VLOOKUP(A3383,vlookup_table!$A:$G,7,FALSE)</f>
        <v>15</v>
      </c>
      <c r="T3383">
        <f t="shared" si="104"/>
        <v>50</v>
      </c>
      <c r="U3383" t="str">
        <f t="shared" si="105"/>
        <v>Ciudad</v>
      </c>
    </row>
    <row r="3384" spans="1:21" ht="16" x14ac:dyDescent="0.4">
      <c r="A3384" s="9">
        <v>19986</v>
      </c>
      <c r="B3384" s="8" t="s">
        <v>18</v>
      </c>
      <c r="C3384" s="8" t="s">
        <v>14</v>
      </c>
      <c r="D3384" s="8">
        <v>397</v>
      </c>
      <c r="E3384" s="8">
        <v>183</v>
      </c>
      <c r="F3384" s="8">
        <v>255</v>
      </c>
      <c r="G3384" s="8">
        <v>0</v>
      </c>
      <c r="H3384" s="8">
        <v>7214</v>
      </c>
      <c r="I3384" s="8">
        <v>0</v>
      </c>
      <c r="J3384" s="8">
        <v>90</v>
      </c>
      <c r="K3384" s="8">
        <v>210</v>
      </c>
      <c r="L3384" s="8">
        <v>230</v>
      </c>
      <c r="M3384" s="8">
        <v>9</v>
      </c>
      <c r="N3384">
        <f>VLOOKUP(A3384,vlookup_table!$A:$G,2,FALSE)</f>
        <v>0</v>
      </c>
      <c r="O3384" t="str">
        <f>VLOOKUP(A3384,vlookup_table!$A:$G,3,FALSE)</f>
        <v>NC</v>
      </c>
      <c r="P3384">
        <f>VLOOKUP(A3384,vlookup_table!$A:$G,4,FALSE)</f>
        <v>7001</v>
      </c>
      <c r="Q3384" t="str">
        <f>VLOOKUP(A3384,vlookup_table!$A:$G,5,FALSE)</f>
        <v>T2</v>
      </c>
      <c r="R3384" t="str">
        <f>VLOOKUP(A3384,vlookup_table!$A:$G,6,FALSE)</f>
        <v>M</v>
      </c>
      <c r="S3384">
        <f>VLOOKUP(A3384,vlookup_table!$A:$G,7,FALSE)</f>
        <v>10</v>
      </c>
      <c r="T3384">
        <f t="shared" si="104"/>
        <v>26</v>
      </c>
      <c r="U3384" t="str">
        <f t="shared" si="105"/>
        <v>Pueblo</v>
      </c>
    </row>
    <row r="3385" spans="1:21" ht="16" x14ac:dyDescent="0.4">
      <c r="A3385" s="9">
        <v>25731</v>
      </c>
      <c r="B3385" s="8" t="s">
        <v>36</v>
      </c>
      <c r="C3385" s="8" t="s">
        <v>14</v>
      </c>
      <c r="D3385" s="8">
        <v>804</v>
      </c>
      <c r="E3385" s="8">
        <v>366</v>
      </c>
      <c r="F3385" s="8">
        <v>441</v>
      </c>
      <c r="G3385" s="8">
        <v>7</v>
      </c>
      <c r="H3385" s="8">
        <v>15041</v>
      </c>
      <c r="I3385" s="8">
        <v>2</v>
      </c>
      <c r="J3385" s="8">
        <v>54</v>
      </c>
      <c r="K3385" s="8">
        <v>408</v>
      </c>
      <c r="L3385" s="8">
        <v>400</v>
      </c>
      <c r="M3385" s="8">
        <v>15</v>
      </c>
      <c r="N3385">
        <f>VLOOKUP(A3385,vlookup_table!$A:$G,2,FALSE)</f>
        <v>0</v>
      </c>
      <c r="O3385" t="str">
        <f>VLOOKUP(A3385,vlookup_table!$A:$G,3,FALSE)</f>
        <v>GA</v>
      </c>
      <c r="P3385">
        <f>VLOOKUP(A3385,vlookup_table!$A:$G,4,FALSE)</f>
        <v>6801</v>
      </c>
      <c r="Q3385" t="str">
        <f>VLOOKUP(A3385,vlookup_table!$A:$G,5,FALSE)</f>
        <v>T2</v>
      </c>
      <c r="R3385" t="str">
        <f>VLOOKUP(A3385,vlookup_table!$A:$G,6,FALSE)</f>
        <v>M</v>
      </c>
      <c r="S3385">
        <f>VLOOKUP(A3385,vlookup_table!$A:$G,7,FALSE)</f>
        <v>21</v>
      </c>
      <c r="T3385">
        <f t="shared" si="104"/>
        <v>28</v>
      </c>
      <c r="U3385" t="str">
        <f t="shared" si="105"/>
        <v>Pueblo</v>
      </c>
    </row>
    <row r="3386" spans="1:21" ht="16" x14ac:dyDescent="0.4">
      <c r="A3386" s="9">
        <v>45258</v>
      </c>
      <c r="B3386" s="8" t="s">
        <v>13</v>
      </c>
      <c r="C3386" s="8" t="s">
        <v>17</v>
      </c>
      <c r="D3386" s="8">
        <v>518</v>
      </c>
      <c r="E3386" s="8">
        <v>184</v>
      </c>
      <c r="F3386" s="8">
        <v>264</v>
      </c>
      <c r="G3386" s="8">
        <v>0</v>
      </c>
      <c r="H3386" s="8">
        <v>11126</v>
      </c>
      <c r="I3386" s="8">
        <v>7</v>
      </c>
      <c r="J3386" s="8">
        <v>12</v>
      </c>
      <c r="K3386" s="8">
        <v>213</v>
      </c>
      <c r="L3386" s="8">
        <v>228</v>
      </c>
      <c r="M3386" s="8">
        <v>10</v>
      </c>
      <c r="N3386">
        <f>VLOOKUP(A3386,vlookup_table!$A:$G,2,FALSE)</f>
        <v>0</v>
      </c>
      <c r="O3386" t="str">
        <f>VLOOKUP(A3386,vlookup_table!$A:$G,3,FALSE)</f>
        <v>FL</v>
      </c>
      <c r="P3386">
        <f>VLOOKUP(A3386,vlookup_table!$A:$G,4,FALSE)</f>
        <v>4501</v>
      </c>
      <c r="Q3386" t="str">
        <f>VLOOKUP(A3386,vlookup_table!$A:$G,5,FALSE)</f>
        <v>U3</v>
      </c>
      <c r="R3386" t="str">
        <f>VLOOKUP(A3386,vlookup_table!$A:$G,6,FALSE)</f>
        <v>F</v>
      </c>
      <c r="S3386">
        <f>VLOOKUP(A3386,vlookup_table!$A:$G,7,FALSE)</f>
        <v>5</v>
      </c>
      <c r="T3386">
        <f t="shared" si="104"/>
        <v>51</v>
      </c>
      <c r="U3386" t="str">
        <f t="shared" si="105"/>
        <v>Urbano</v>
      </c>
    </row>
    <row r="3387" spans="1:21" ht="16" x14ac:dyDescent="0.4">
      <c r="A3387" s="9">
        <v>175996</v>
      </c>
      <c r="B3387" s="8" t="s">
        <v>47</v>
      </c>
      <c r="C3387" s="8" t="s">
        <v>17</v>
      </c>
      <c r="D3387" s="8">
        <v>1149</v>
      </c>
      <c r="E3387" s="8">
        <v>504</v>
      </c>
      <c r="F3387" s="8">
        <v>580</v>
      </c>
      <c r="G3387" s="8">
        <v>6</v>
      </c>
      <c r="H3387" s="8">
        <v>19641</v>
      </c>
      <c r="I3387" s="8">
        <v>7</v>
      </c>
      <c r="J3387" s="8">
        <v>53</v>
      </c>
      <c r="K3387" s="8">
        <v>526</v>
      </c>
      <c r="L3387" s="8">
        <v>550</v>
      </c>
      <c r="M3387" s="8">
        <v>11.5</v>
      </c>
      <c r="N3387">
        <f>VLOOKUP(A3387,vlookup_table!$A:$G,2,FALSE)</f>
        <v>0</v>
      </c>
      <c r="O3387" t="str">
        <f>VLOOKUP(A3387,vlookup_table!$A:$G,3,FALSE)</f>
        <v>OR</v>
      </c>
      <c r="P3387">
        <f>VLOOKUP(A3387,vlookup_table!$A:$G,4,FALSE)</f>
        <v>3501</v>
      </c>
      <c r="Q3387" t="str">
        <f>VLOOKUP(A3387,vlookup_table!$A:$G,5,FALSE)</f>
        <v>S1</v>
      </c>
      <c r="R3387" t="str">
        <f>VLOOKUP(A3387,vlookup_table!$A:$G,6,FALSE)</f>
        <v>F</v>
      </c>
      <c r="S3387">
        <f>VLOOKUP(A3387,vlookup_table!$A:$G,7,FALSE)</f>
        <v>10</v>
      </c>
      <c r="T3387">
        <f t="shared" si="104"/>
        <v>61</v>
      </c>
      <c r="U3387" t="str">
        <f t="shared" si="105"/>
        <v>Suburbano</v>
      </c>
    </row>
    <row r="3388" spans="1:21" ht="16" x14ac:dyDescent="0.4">
      <c r="A3388" s="9">
        <v>56113</v>
      </c>
      <c r="B3388" s="8" t="s">
        <v>56</v>
      </c>
      <c r="C3388" s="8" t="s">
        <v>14</v>
      </c>
      <c r="D3388" s="8">
        <v>494</v>
      </c>
      <c r="E3388" s="8">
        <v>259</v>
      </c>
      <c r="F3388" s="8">
        <v>333</v>
      </c>
      <c r="G3388" s="8">
        <v>0</v>
      </c>
      <c r="H3388" s="8">
        <v>10812</v>
      </c>
      <c r="I3388" s="8">
        <v>1</v>
      </c>
      <c r="J3388" s="8">
        <v>65</v>
      </c>
      <c r="K3388" s="8">
        <v>306</v>
      </c>
      <c r="L3388" s="8">
        <v>296</v>
      </c>
      <c r="M3388" s="8">
        <v>4.1025641029999997</v>
      </c>
      <c r="N3388">
        <f>VLOOKUP(A3388,vlookup_table!$A:$G,2,FALSE)</f>
        <v>1002</v>
      </c>
      <c r="O3388" t="str">
        <f>VLOOKUP(A3388,vlookup_table!$A:$G,3,FALSE)</f>
        <v>MS</v>
      </c>
      <c r="P3388">
        <f>VLOOKUP(A3388,vlookup_table!$A:$G,4,FALSE)</f>
        <v>4504</v>
      </c>
      <c r="Q3388" t="str">
        <f>VLOOKUP(A3388,vlookup_table!$A:$G,5,FALSE)</f>
        <v>T2</v>
      </c>
      <c r="R3388" t="str">
        <f>VLOOKUP(A3388,vlookup_table!$A:$G,6,FALSE)</f>
        <v>M</v>
      </c>
      <c r="S3388">
        <f>VLOOKUP(A3388,vlookup_table!$A:$G,7,FALSE)</f>
        <v>5</v>
      </c>
      <c r="T3388">
        <f t="shared" si="104"/>
        <v>51</v>
      </c>
      <c r="U3388" t="str">
        <f t="shared" si="105"/>
        <v>Pueblo</v>
      </c>
    </row>
    <row r="3389" spans="1:21" ht="16" x14ac:dyDescent="0.4">
      <c r="A3389" s="9">
        <v>138945</v>
      </c>
      <c r="B3389" s="8" t="s">
        <v>51</v>
      </c>
      <c r="C3389" s="8" t="s">
        <v>97</v>
      </c>
      <c r="D3389" s="8">
        <v>1773</v>
      </c>
      <c r="E3389" s="8">
        <v>226</v>
      </c>
      <c r="F3389" s="8">
        <v>425</v>
      </c>
      <c r="G3389" s="8">
        <v>42</v>
      </c>
      <c r="H3389" s="8">
        <v>16919</v>
      </c>
      <c r="I3389" s="8">
        <v>7</v>
      </c>
      <c r="J3389" s="8">
        <v>15</v>
      </c>
      <c r="K3389" s="8">
        <v>354</v>
      </c>
      <c r="L3389" s="8">
        <v>342</v>
      </c>
      <c r="M3389" s="8">
        <v>11</v>
      </c>
      <c r="N3389">
        <f>VLOOKUP(A3389,vlookup_table!$A:$G,2,FALSE)</f>
        <v>28</v>
      </c>
      <c r="O3389" t="str">
        <f>VLOOKUP(A3389,vlookup_table!$A:$G,3,FALSE)</f>
        <v>AZ</v>
      </c>
      <c r="P3389">
        <f>VLOOKUP(A3389,vlookup_table!$A:$G,4,FALSE)</f>
        <v>2901</v>
      </c>
      <c r="Q3389" t="str">
        <f>VLOOKUP(A3389,vlookup_table!$A:$G,5,FALSE)</f>
        <v>C2</v>
      </c>
      <c r="R3389" t="str">
        <f>VLOOKUP(A3389,vlookup_table!$A:$G,6,FALSE)</f>
        <v>F</v>
      </c>
      <c r="S3389">
        <f>VLOOKUP(A3389,vlookup_table!$A:$G,7,FALSE)</f>
        <v>23</v>
      </c>
      <c r="T3389">
        <f t="shared" si="104"/>
        <v>67</v>
      </c>
      <c r="U3389" t="str">
        <f t="shared" si="105"/>
        <v>Ciudad</v>
      </c>
    </row>
    <row r="3390" spans="1:21" ht="16" x14ac:dyDescent="0.4">
      <c r="A3390" s="9">
        <v>135098</v>
      </c>
      <c r="B3390" s="8" t="s">
        <v>51</v>
      </c>
      <c r="C3390" s="8" t="s">
        <v>97</v>
      </c>
      <c r="D3390" s="8">
        <v>699</v>
      </c>
      <c r="E3390" s="8">
        <v>250</v>
      </c>
      <c r="F3390" s="8">
        <v>299</v>
      </c>
      <c r="G3390" s="8">
        <v>0</v>
      </c>
      <c r="H3390" s="8">
        <v>15108</v>
      </c>
      <c r="I3390" s="8">
        <v>12</v>
      </c>
      <c r="J3390" s="8">
        <v>35</v>
      </c>
      <c r="K3390" s="8">
        <v>290</v>
      </c>
      <c r="L3390" s="8">
        <v>286</v>
      </c>
      <c r="M3390" s="8">
        <v>7.5833333329999997</v>
      </c>
      <c r="N3390">
        <f>VLOOKUP(A3390,vlookup_table!$A:$G,2,FALSE)</f>
        <v>28</v>
      </c>
      <c r="O3390" t="str">
        <f>VLOOKUP(A3390,vlookup_table!$A:$G,3,FALSE)</f>
        <v>AZ</v>
      </c>
      <c r="P3390">
        <f>VLOOKUP(A3390,vlookup_table!$A:$G,4,FALSE)</f>
        <v>3106</v>
      </c>
      <c r="Q3390" t="str">
        <f>VLOOKUP(A3390,vlookup_table!$A:$G,5,FALSE)</f>
        <v>S2</v>
      </c>
      <c r="R3390" t="str">
        <f>VLOOKUP(A3390,vlookup_table!$A:$G,6,FALSE)</f>
        <v>F</v>
      </c>
      <c r="S3390">
        <f>VLOOKUP(A3390,vlookup_table!$A:$G,7,FALSE)</f>
        <v>20</v>
      </c>
      <c r="T3390">
        <f t="shared" si="104"/>
        <v>65</v>
      </c>
      <c r="U3390" t="str">
        <f t="shared" si="105"/>
        <v>Suburbano</v>
      </c>
    </row>
    <row r="3391" spans="1:21" ht="16" x14ac:dyDescent="0.4">
      <c r="A3391" s="9">
        <v>87074</v>
      </c>
      <c r="B3391" s="8" t="s">
        <v>31</v>
      </c>
      <c r="C3391" s="8" t="s">
        <v>97</v>
      </c>
      <c r="D3391" s="8">
        <v>320</v>
      </c>
      <c r="E3391" s="8">
        <v>172</v>
      </c>
      <c r="F3391" s="8">
        <v>285</v>
      </c>
      <c r="G3391" s="8">
        <v>0</v>
      </c>
      <c r="H3391" s="8">
        <v>9900</v>
      </c>
      <c r="I3391" s="8">
        <v>0</v>
      </c>
      <c r="J3391" s="8">
        <v>78</v>
      </c>
      <c r="K3391" s="8">
        <v>208</v>
      </c>
      <c r="L3391" s="8">
        <v>247</v>
      </c>
      <c r="M3391" s="8">
        <v>10.64</v>
      </c>
      <c r="N3391">
        <f>VLOOKUP(A3391,vlookup_table!$A:$G,2,FALSE)</f>
        <v>0</v>
      </c>
      <c r="O3391" t="str">
        <f>VLOOKUP(A3391,vlookup_table!$A:$G,3,FALSE)</f>
        <v>MT</v>
      </c>
      <c r="P3391">
        <f>VLOOKUP(A3391,vlookup_table!$A:$G,4,FALSE)</f>
        <v>7801</v>
      </c>
      <c r="Q3391" t="str">
        <f>VLOOKUP(A3391,vlookup_table!$A:$G,5,FALSE)</f>
        <v>R3</v>
      </c>
      <c r="R3391" t="str">
        <f>VLOOKUP(A3391,vlookup_table!$A:$G,6,FALSE)</f>
        <v>F</v>
      </c>
      <c r="S3391">
        <f>VLOOKUP(A3391,vlookup_table!$A:$G,7,FALSE)</f>
        <v>5</v>
      </c>
      <c r="T3391">
        <f t="shared" si="104"/>
        <v>18</v>
      </c>
      <c r="U3391" t="str">
        <f t="shared" si="105"/>
        <v>Rural</v>
      </c>
    </row>
    <row r="3392" spans="1:21" ht="16" x14ac:dyDescent="0.4">
      <c r="A3392" s="9">
        <v>23723</v>
      </c>
      <c r="B3392" s="8" t="s">
        <v>43</v>
      </c>
      <c r="C3392" s="8" t="s">
        <v>14</v>
      </c>
      <c r="D3392" s="8">
        <v>880</v>
      </c>
      <c r="E3392" s="8">
        <v>412</v>
      </c>
      <c r="F3392" s="8">
        <v>505</v>
      </c>
      <c r="G3392" s="8">
        <v>2</v>
      </c>
      <c r="H3392" s="8">
        <v>18480</v>
      </c>
      <c r="I3392" s="8">
        <v>2</v>
      </c>
      <c r="J3392" s="8">
        <v>49</v>
      </c>
      <c r="K3392" s="8">
        <v>433</v>
      </c>
      <c r="L3392" s="8">
        <v>469</v>
      </c>
      <c r="M3392" s="8">
        <v>7.5555555559999998</v>
      </c>
      <c r="N3392">
        <f>VLOOKUP(A3392,vlookup_table!$A:$G,2,FALSE)</f>
        <v>1</v>
      </c>
      <c r="O3392" t="str">
        <f>VLOOKUP(A3392,vlookup_table!$A:$G,3,FALSE)</f>
        <v>SC</v>
      </c>
      <c r="P3392">
        <f>VLOOKUP(A3392,vlookup_table!$A:$G,4,FALSE)</f>
        <v>6101</v>
      </c>
      <c r="Q3392" t="str">
        <f>VLOOKUP(A3392,vlookup_table!$A:$G,5,FALSE)</f>
        <v>T1</v>
      </c>
      <c r="R3392" t="str">
        <f>VLOOKUP(A3392,vlookup_table!$A:$G,6,FALSE)</f>
        <v>M</v>
      </c>
      <c r="S3392">
        <f>VLOOKUP(A3392,vlookup_table!$A:$G,7,FALSE)</f>
        <v>10</v>
      </c>
      <c r="T3392">
        <f t="shared" si="104"/>
        <v>35</v>
      </c>
      <c r="U3392" t="str">
        <f t="shared" si="105"/>
        <v>Pueblo</v>
      </c>
    </row>
    <row r="3393" spans="1:21" ht="16" x14ac:dyDescent="0.4">
      <c r="A3393" s="9">
        <v>116053</v>
      </c>
      <c r="B3393" s="8" t="s">
        <v>20</v>
      </c>
      <c r="C3393" s="8" t="s">
        <v>14</v>
      </c>
      <c r="D3393" s="8">
        <v>1112</v>
      </c>
      <c r="E3393" s="8">
        <v>594</v>
      </c>
      <c r="F3393" s="8">
        <v>639</v>
      </c>
      <c r="G3393" s="8">
        <v>4</v>
      </c>
      <c r="H3393" s="8">
        <v>26632</v>
      </c>
      <c r="I3393" s="8">
        <v>2</v>
      </c>
      <c r="J3393" s="8">
        <v>62</v>
      </c>
      <c r="K3393" s="8">
        <v>619</v>
      </c>
      <c r="L3393" s="8">
        <v>597</v>
      </c>
      <c r="M3393" s="8">
        <v>6</v>
      </c>
      <c r="N3393">
        <f>VLOOKUP(A3393,vlookup_table!$A:$G,2,FALSE)</f>
        <v>1</v>
      </c>
      <c r="O3393" t="str">
        <f>VLOOKUP(A3393,vlookup_table!$A:$G,3,FALSE)</f>
        <v>TX</v>
      </c>
      <c r="P3393">
        <f>VLOOKUP(A3393,vlookup_table!$A:$G,4,FALSE)</f>
        <v>5201</v>
      </c>
      <c r="Q3393" t="str">
        <f>VLOOKUP(A3393,vlookup_table!$A:$G,5,FALSE)</f>
        <v>C1</v>
      </c>
      <c r="R3393" t="str">
        <f>VLOOKUP(A3393,vlookup_table!$A:$G,6,FALSE)</f>
        <v>M</v>
      </c>
      <c r="S3393">
        <f>VLOOKUP(A3393,vlookup_table!$A:$G,7,FALSE)</f>
        <v>6</v>
      </c>
      <c r="T3393">
        <f t="shared" si="104"/>
        <v>44</v>
      </c>
      <c r="U3393" t="str">
        <f t="shared" si="105"/>
        <v>Ciudad</v>
      </c>
    </row>
    <row r="3394" spans="1:21" ht="16" x14ac:dyDescent="0.4">
      <c r="A3394" s="9">
        <v>92021</v>
      </c>
      <c r="B3394" s="8" t="s">
        <v>16</v>
      </c>
      <c r="C3394" s="8" t="s">
        <v>14</v>
      </c>
      <c r="D3394" s="8">
        <v>960</v>
      </c>
      <c r="E3394" s="8">
        <v>344</v>
      </c>
      <c r="F3394" s="8">
        <v>459</v>
      </c>
      <c r="G3394" s="8">
        <v>0</v>
      </c>
      <c r="H3394" s="8">
        <v>16580</v>
      </c>
      <c r="I3394" s="8">
        <v>8</v>
      </c>
      <c r="J3394" s="8">
        <v>71</v>
      </c>
      <c r="K3394" s="8">
        <v>411</v>
      </c>
      <c r="L3394" s="8">
        <v>398</v>
      </c>
      <c r="M3394" s="8">
        <v>20</v>
      </c>
      <c r="N3394">
        <f>VLOOKUP(A3394,vlookup_table!$A:$G,2,FALSE)</f>
        <v>1</v>
      </c>
      <c r="O3394" t="str">
        <f>VLOOKUP(A3394,vlookup_table!$A:$G,3,FALSE)</f>
        <v>IL</v>
      </c>
      <c r="P3394">
        <f>VLOOKUP(A3394,vlookup_table!$A:$G,4,FALSE)</f>
        <v>3201</v>
      </c>
      <c r="Q3394" t="str">
        <f>VLOOKUP(A3394,vlookup_table!$A:$G,5,FALSE)</f>
        <v>C2</v>
      </c>
      <c r="R3394" t="str">
        <f>VLOOKUP(A3394,vlookup_table!$A:$G,6,FALSE)</f>
        <v>M</v>
      </c>
      <c r="S3394">
        <f>VLOOKUP(A3394,vlookup_table!$A:$G,7,FALSE)</f>
        <v>20</v>
      </c>
      <c r="T3394">
        <f t="shared" si="104"/>
        <v>64</v>
      </c>
      <c r="U3394" t="str">
        <f t="shared" si="105"/>
        <v>Ciudad</v>
      </c>
    </row>
    <row r="3395" spans="1:21" ht="16" x14ac:dyDescent="0.4">
      <c r="A3395" s="9">
        <v>164989</v>
      </c>
      <c r="B3395" s="8" t="s">
        <v>21</v>
      </c>
      <c r="C3395" s="8" t="s">
        <v>17</v>
      </c>
      <c r="D3395" s="8">
        <v>5287</v>
      </c>
      <c r="E3395" s="8">
        <v>1032</v>
      </c>
      <c r="F3395" s="8">
        <v>1002</v>
      </c>
      <c r="G3395" s="8">
        <v>98</v>
      </c>
      <c r="H3395" s="8">
        <v>43904</v>
      </c>
      <c r="I3395" s="8">
        <v>10</v>
      </c>
      <c r="J3395" s="8">
        <v>51</v>
      </c>
      <c r="K3395" s="8">
        <v>1105</v>
      </c>
      <c r="L3395" s="8">
        <v>949</v>
      </c>
      <c r="M3395" s="8">
        <v>13.375</v>
      </c>
      <c r="N3395">
        <f>VLOOKUP(A3395,vlookup_table!$A:$G,2,FALSE)</f>
        <v>0</v>
      </c>
      <c r="O3395" t="str">
        <f>VLOOKUP(A3395,vlookup_table!$A:$G,3,FALSE)</f>
        <v>CA</v>
      </c>
      <c r="P3395">
        <f>VLOOKUP(A3395,vlookup_table!$A:$G,4,FALSE)</f>
        <v>3209</v>
      </c>
      <c r="Q3395" t="str">
        <f>VLOOKUP(A3395,vlookup_table!$A:$G,5,FALSE)</f>
        <v>S1</v>
      </c>
      <c r="R3395" t="str">
        <f>VLOOKUP(A3395,vlookup_table!$A:$G,6,FALSE)</f>
        <v>F</v>
      </c>
      <c r="S3395">
        <f>VLOOKUP(A3395,vlookup_table!$A:$G,7,FALSE)</f>
        <v>30</v>
      </c>
      <c r="T3395">
        <f t="shared" ref="T3395:T3458" si="106">97-LEFT(P3395,2)-IF(RIGHT(P3395,2)&gt;6,1,0)</f>
        <v>64</v>
      </c>
      <c r="U3395" t="str">
        <f t="shared" ref="U3395:U3458" si="107">IF(LEFT(Q3395,1)="C","Ciudad",IF(LEFT(Q3395,1)="T","Pueblo",IF(LEFT(Q3395,1)="R","Rural",IF(LEFT(Q3395,1)="S","Suburbano",IF(LEFT(Q3395,1)="U","Urbano","")))))</f>
        <v>Suburbano</v>
      </c>
    </row>
    <row r="3396" spans="1:21" ht="16" x14ac:dyDescent="0.4">
      <c r="A3396" s="9">
        <v>126013</v>
      </c>
      <c r="B3396" s="8" t="s">
        <v>20</v>
      </c>
      <c r="C3396" s="8" t="s">
        <v>14</v>
      </c>
      <c r="D3396" s="8">
        <v>697</v>
      </c>
      <c r="E3396" s="8">
        <v>435</v>
      </c>
      <c r="F3396" s="8">
        <v>497</v>
      </c>
      <c r="G3396" s="8">
        <v>0</v>
      </c>
      <c r="H3396" s="8">
        <v>15966</v>
      </c>
      <c r="I3396" s="8">
        <v>2</v>
      </c>
      <c r="J3396" s="8">
        <v>64</v>
      </c>
      <c r="K3396" s="8">
        <v>488</v>
      </c>
      <c r="L3396" s="8">
        <v>457</v>
      </c>
      <c r="M3396" s="8">
        <v>15.33333333</v>
      </c>
      <c r="N3396">
        <f>VLOOKUP(A3396,vlookup_table!$A:$G,2,FALSE)</f>
        <v>0</v>
      </c>
      <c r="O3396" t="str">
        <f>VLOOKUP(A3396,vlookup_table!$A:$G,3,FALSE)</f>
        <v>TX</v>
      </c>
      <c r="P3396">
        <f>VLOOKUP(A3396,vlookup_table!$A:$G,4,FALSE)</f>
        <v>4001</v>
      </c>
      <c r="Q3396" t="str">
        <f>VLOOKUP(A3396,vlookup_table!$A:$G,5,FALSE)</f>
        <v>R2</v>
      </c>
      <c r="R3396" t="str">
        <f>VLOOKUP(A3396,vlookup_table!$A:$G,6,FALSE)</f>
        <v>M</v>
      </c>
      <c r="S3396">
        <f>VLOOKUP(A3396,vlookup_table!$A:$G,7,FALSE)</f>
        <v>20</v>
      </c>
      <c r="T3396">
        <f t="shared" si="106"/>
        <v>56</v>
      </c>
      <c r="U3396" t="str">
        <f t="shared" si="107"/>
        <v>Rural</v>
      </c>
    </row>
    <row r="3397" spans="1:21" ht="16" x14ac:dyDescent="0.4">
      <c r="A3397" s="9">
        <v>117076</v>
      </c>
      <c r="B3397" s="8" t="s">
        <v>20</v>
      </c>
      <c r="C3397" s="8" t="s">
        <v>17</v>
      </c>
      <c r="D3397" s="8">
        <v>548</v>
      </c>
      <c r="E3397" s="8">
        <v>238</v>
      </c>
      <c r="F3397" s="8">
        <v>271</v>
      </c>
      <c r="G3397" s="8">
        <v>0</v>
      </c>
      <c r="H3397" s="8">
        <v>7325</v>
      </c>
      <c r="I3397" s="8">
        <v>11</v>
      </c>
      <c r="J3397" s="8">
        <v>79</v>
      </c>
      <c r="K3397" s="8">
        <v>236</v>
      </c>
      <c r="L3397" s="8">
        <v>261</v>
      </c>
      <c r="M3397" s="8">
        <v>7.9411764710000003</v>
      </c>
      <c r="N3397">
        <f>VLOOKUP(A3397,vlookup_table!$A:$G,2,FALSE)</f>
        <v>0</v>
      </c>
      <c r="O3397" t="str">
        <f>VLOOKUP(A3397,vlookup_table!$A:$G,3,FALSE)</f>
        <v>TX</v>
      </c>
      <c r="P3397">
        <f>VLOOKUP(A3397,vlookup_table!$A:$G,4,FALSE)</f>
        <v>1808</v>
      </c>
      <c r="Q3397" t="str">
        <f>VLOOKUP(A3397,vlookup_table!$A:$G,5,FALSE)</f>
        <v>S3</v>
      </c>
      <c r="R3397" t="str">
        <f>VLOOKUP(A3397,vlookup_table!$A:$G,6,FALSE)</f>
        <v>F</v>
      </c>
      <c r="S3397">
        <f>VLOOKUP(A3397,vlookup_table!$A:$G,7,FALSE)</f>
        <v>10</v>
      </c>
      <c r="T3397">
        <f t="shared" si="106"/>
        <v>78</v>
      </c>
      <c r="U3397" t="str">
        <f t="shared" si="107"/>
        <v>Suburbano</v>
      </c>
    </row>
    <row r="3398" spans="1:21" ht="16" x14ac:dyDescent="0.4">
      <c r="A3398" s="9">
        <v>26680</v>
      </c>
      <c r="B3398" s="8" t="s">
        <v>36</v>
      </c>
      <c r="C3398" s="8" t="s">
        <v>17</v>
      </c>
      <c r="D3398" s="8">
        <v>794</v>
      </c>
      <c r="E3398" s="8">
        <v>323</v>
      </c>
      <c r="F3398" s="8">
        <v>507</v>
      </c>
      <c r="G3398" s="8">
        <v>2</v>
      </c>
      <c r="H3398" s="8">
        <v>21758</v>
      </c>
      <c r="I3398" s="8">
        <v>2</v>
      </c>
      <c r="J3398" s="8">
        <v>69</v>
      </c>
      <c r="K3398" s="8">
        <v>396</v>
      </c>
      <c r="L3398" s="8">
        <v>461</v>
      </c>
      <c r="M3398" s="8">
        <v>10.81818182</v>
      </c>
      <c r="N3398">
        <f>VLOOKUP(A3398,vlookup_table!$A:$G,2,FALSE)</f>
        <v>2</v>
      </c>
      <c r="O3398" t="str">
        <f>VLOOKUP(A3398,vlookup_table!$A:$G,3,FALSE)</f>
        <v>GA</v>
      </c>
      <c r="P3398">
        <f>VLOOKUP(A3398,vlookup_table!$A:$G,4,FALSE)</f>
        <v>5608</v>
      </c>
      <c r="Q3398" t="str">
        <f>VLOOKUP(A3398,vlookup_table!$A:$G,5,FALSE)</f>
        <v>T1</v>
      </c>
      <c r="R3398" t="str">
        <f>VLOOKUP(A3398,vlookup_table!$A:$G,6,FALSE)</f>
        <v>F</v>
      </c>
      <c r="S3398">
        <f>VLOOKUP(A3398,vlookup_table!$A:$G,7,FALSE)</f>
        <v>15</v>
      </c>
      <c r="T3398">
        <f t="shared" si="106"/>
        <v>40</v>
      </c>
      <c r="U3398" t="str">
        <f t="shared" si="107"/>
        <v>Pueblo</v>
      </c>
    </row>
    <row r="3399" spans="1:21" ht="16" x14ac:dyDescent="0.4">
      <c r="A3399" s="9">
        <v>176252</v>
      </c>
      <c r="B3399" s="8" t="s">
        <v>47</v>
      </c>
      <c r="C3399" s="8" t="s">
        <v>14</v>
      </c>
      <c r="D3399" s="8">
        <v>716</v>
      </c>
      <c r="E3399" s="8">
        <v>371</v>
      </c>
      <c r="F3399" s="8">
        <v>421</v>
      </c>
      <c r="G3399" s="8">
        <v>2</v>
      </c>
      <c r="H3399" s="8">
        <v>15858</v>
      </c>
      <c r="I3399" s="8">
        <v>1</v>
      </c>
      <c r="J3399" s="8">
        <v>37</v>
      </c>
      <c r="K3399" s="8">
        <v>373</v>
      </c>
      <c r="L3399" s="8">
        <v>419</v>
      </c>
      <c r="M3399" s="8">
        <v>10.363636359999999</v>
      </c>
      <c r="N3399">
        <f>VLOOKUP(A3399,vlookup_table!$A:$G,2,FALSE)</f>
        <v>2</v>
      </c>
      <c r="O3399" t="str">
        <f>VLOOKUP(A3399,vlookup_table!$A:$G,3,FALSE)</f>
        <v>OR</v>
      </c>
      <c r="P3399">
        <f>VLOOKUP(A3399,vlookup_table!$A:$G,4,FALSE)</f>
        <v>1101</v>
      </c>
      <c r="Q3399" t="str">
        <f>VLOOKUP(A3399,vlookup_table!$A:$G,5,FALSE)</f>
        <v>S1</v>
      </c>
      <c r="R3399" t="str">
        <f>VLOOKUP(A3399,vlookup_table!$A:$G,6,FALSE)</f>
        <v>M</v>
      </c>
      <c r="S3399">
        <f>VLOOKUP(A3399,vlookup_table!$A:$G,7,FALSE)</f>
        <v>15</v>
      </c>
      <c r="T3399">
        <f t="shared" si="106"/>
        <v>85</v>
      </c>
      <c r="U3399" t="str">
        <f t="shared" si="107"/>
        <v>Suburbano</v>
      </c>
    </row>
    <row r="3400" spans="1:21" ht="16" x14ac:dyDescent="0.4">
      <c r="A3400" s="9">
        <v>119154</v>
      </c>
      <c r="B3400" s="8" t="s">
        <v>20</v>
      </c>
      <c r="C3400" s="8" t="s">
        <v>41</v>
      </c>
      <c r="D3400" s="8">
        <v>595</v>
      </c>
      <c r="E3400" s="8">
        <v>400</v>
      </c>
      <c r="F3400" s="8">
        <v>426</v>
      </c>
      <c r="G3400" s="8">
        <v>0</v>
      </c>
      <c r="H3400" s="8">
        <v>14881</v>
      </c>
      <c r="I3400" s="8">
        <v>0</v>
      </c>
      <c r="J3400" s="8">
        <v>62</v>
      </c>
      <c r="K3400" s="8">
        <v>429</v>
      </c>
      <c r="L3400" s="8">
        <v>387</v>
      </c>
      <c r="M3400" s="8">
        <v>5.576923077</v>
      </c>
      <c r="N3400">
        <f>VLOOKUP(A3400,vlookup_table!$A:$G,2,FALSE)</f>
        <v>1002</v>
      </c>
      <c r="O3400" t="str">
        <f>VLOOKUP(A3400,vlookup_table!$A:$G,3,FALSE)</f>
        <v>TX</v>
      </c>
      <c r="P3400">
        <f>VLOOKUP(A3400,vlookup_table!$A:$G,4,FALSE)</f>
        <v>2401</v>
      </c>
      <c r="Q3400" t="str">
        <f>VLOOKUP(A3400,vlookup_table!$A:$G,5,FALSE)</f>
        <v>C2</v>
      </c>
      <c r="R3400" t="str">
        <f>VLOOKUP(A3400,vlookup_table!$A:$G,6,FALSE)</f>
        <v>J</v>
      </c>
      <c r="S3400">
        <f>VLOOKUP(A3400,vlookup_table!$A:$G,7,FALSE)</f>
        <v>10</v>
      </c>
      <c r="T3400">
        <f t="shared" si="106"/>
        <v>72</v>
      </c>
      <c r="U3400" t="str">
        <f t="shared" si="107"/>
        <v>Ciudad</v>
      </c>
    </row>
    <row r="3401" spans="1:21" ht="16" x14ac:dyDescent="0.4">
      <c r="A3401" s="9">
        <v>141442</v>
      </c>
      <c r="B3401" s="8" t="s">
        <v>23</v>
      </c>
      <c r="C3401" s="8" t="s">
        <v>14</v>
      </c>
      <c r="D3401" s="8">
        <v>943</v>
      </c>
      <c r="E3401" s="8">
        <v>497</v>
      </c>
      <c r="F3401" s="8">
        <v>533</v>
      </c>
      <c r="G3401" s="8">
        <v>0</v>
      </c>
      <c r="H3401" s="8">
        <v>17961</v>
      </c>
      <c r="I3401" s="8">
        <v>11</v>
      </c>
      <c r="J3401" s="8">
        <v>25</v>
      </c>
      <c r="K3401" s="8">
        <v>509</v>
      </c>
      <c r="L3401" s="8">
        <v>523</v>
      </c>
      <c r="M3401" s="8">
        <v>17.09090909</v>
      </c>
      <c r="N3401">
        <f>VLOOKUP(A3401,vlookup_table!$A:$G,2,FALSE)</f>
        <v>1</v>
      </c>
      <c r="O3401" t="str">
        <f>VLOOKUP(A3401,vlookup_table!$A:$G,3,FALSE)</f>
        <v>NV</v>
      </c>
      <c r="P3401">
        <f>VLOOKUP(A3401,vlookup_table!$A:$G,4,FALSE)</f>
        <v>4803</v>
      </c>
      <c r="Q3401" t="str">
        <f>VLOOKUP(A3401,vlookup_table!$A:$G,5,FALSE)</f>
        <v>S2</v>
      </c>
      <c r="R3401" t="str">
        <f>VLOOKUP(A3401,vlookup_table!$A:$G,6,FALSE)</f>
        <v>M</v>
      </c>
      <c r="S3401">
        <f>VLOOKUP(A3401,vlookup_table!$A:$G,7,FALSE)</f>
        <v>18</v>
      </c>
      <c r="T3401">
        <f t="shared" si="106"/>
        <v>48</v>
      </c>
      <c r="U3401" t="str">
        <f t="shared" si="107"/>
        <v>Suburbano</v>
      </c>
    </row>
    <row r="3402" spans="1:21" ht="16" x14ac:dyDescent="0.4">
      <c r="A3402" s="9">
        <v>1012</v>
      </c>
      <c r="B3402" s="8" t="s">
        <v>18</v>
      </c>
      <c r="C3402" s="8" t="s">
        <v>14</v>
      </c>
      <c r="D3402" s="8">
        <v>1133</v>
      </c>
      <c r="E3402" s="8">
        <v>430</v>
      </c>
      <c r="F3402" s="8">
        <v>621</v>
      </c>
      <c r="G3402" s="8">
        <v>22</v>
      </c>
      <c r="H3402" s="8">
        <v>26361</v>
      </c>
      <c r="I3402" s="8">
        <v>0</v>
      </c>
      <c r="J3402" s="8">
        <v>66</v>
      </c>
      <c r="K3402" s="8">
        <v>601</v>
      </c>
      <c r="L3402" s="8">
        <v>533</v>
      </c>
      <c r="M3402" s="8">
        <v>12.21428571</v>
      </c>
      <c r="N3402">
        <f>VLOOKUP(A3402,vlookup_table!$A:$G,2,FALSE)</f>
        <v>2</v>
      </c>
      <c r="O3402" t="str">
        <f>VLOOKUP(A3402,vlookup_table!$A:$G,3,FALSE)</f>
        <v>NC</v>
      </c>
      <c r="P3402">
        <f>VLOOKUP(A3402,vlookup_table!$A:$G,4,FALSE)</f>
        <v>2201</v>
      </c>
      <c r="Q3402" t="str">
        <f>VLOOKUP(A3402,vlookup_table!$A:$G,5,FALSE)</f>
        <v>T1</v>
      </c>
      <c r="R3402" t="str">
        <f>VLOOKUP(A3402,vlookup_table!$A:$G,6,FALSE)</f>
        <v>M</v>
      </c>
      <c r="S3402">
        <f>VLOOKUP(A3402,vlookup_table!$A:$G,7,FALSE)</f>
        <v>15</v>
      </c>
      <c r="T3402">
        <f t="shared" si="106"/>
        <v>74</v>
      </c>
      <c r="U3402" t="str">
        <f t="shared" si="107"/>
        <v>Pueblo</v>
      </c>
    </row>
    <row r="3403" spans="1:21" ht="16" x14ac:dyDescent="0.4">
      <c r="A3403" s="9">
        <v>42878</v>
      </c>
      <c r="B3403" s="8" t="s">
        <v>13</v>
      </c>
      <c r="C3403" s="8" t="s">
        <v>17</v>
      </c>
      <c r="D3403" s="8">
        <v>595</v>
      </c>
      <c r="E3403" s="8">
        <v>248</v>
      </c>
      <c r="F3403" s="8">
        <v>313</v>
      </c>
      <c r="G3403" s="8">
        <v>0</v>
      </c>
      <c r="H3403" s="8">
        <v>15936</v>
      </c>
      <c r="I3403" s="8">
        <v>6</v>
      </c>
      <c r="J3403" s="8">
        <v>4</v>
      </c>
      <c r="K3403" s="8">
        <v>274</v>
      </c>
      <c r="L3403" s="8">
        <v>288</v>
      </c>
      <c r="M3403" s="8">
        <v>6.125</v>
      </c>
      <c r="N3403">
        <f>VLOOKUP(A3403,vlookup_table!$A:$G,2,FALSE)</f>
        <v>0</v>
      </c>
      <c r="O3403" t="str">
        <f>VLOOKUP(A3403,vlookup_table!$A:$G,3,FALSE)</f>
        <v>FL</v>
      </c>
      <c r="P3403">
        <f>VLOOKUP(A3403,vlookup_table!$A:$G,4,FALSE)</f>
        <v>2201</v>
      </c>
      <c r="Q3403" t="str">
        <f>VLOOKUP(A3403,vlookup_table!$A:$G,5,FALSE)</f>
        <v>C2</v>
      </c>
      <c r="R3403" t="str">
        <f>VLOOKUP(A3403,vlookup_table!$A:$G,6,FALSE)</f>
        <v>F</v>
      </c>
      <c r="S3403">
        <f>VLOOKUP(A3403,vlookup_table!$A:$G,7,FALSE)</f>
        <v>10</v>
      </c>
      <c r="T3403">
        <f t="shared" si="106"/>
        <v>74</v>
      </c>
      <c r="U3403" t="str">
        <f t="shared" si="107"/>
        <v>Ciudad</v>
      </c>
    </row>
    <row r="3404" spans="1:21" ht="16" x14ac:dyDescent="0.4">
      <c r="A3404" s="9">
        <v>188896</v>
      </c>
      <c r="B3404" s="8" t="s">
        <v>51</v>
      </c>
      <c r="C3404" s="8" t="s">
        <v>14</v>
      </c>
      <c r="D3404" s="8">
        <v>705</v>
      </c>
      <c r="E3404" s="8">
        <v>286</v>
      </c>
      <c r="F3404" s="8">
        <v>298</v>
      </c>
      <c r="G3404" s="8">
        <v>1</v>
      </c>
      <c r="H3404" s="8">
        <v>10610</v>
      </c>
      <c r="I3404" s="8">
        <v>3</v>
      </c>
      <c r="J3404" s="8">
        <v>14</v>
      </c>
      <c r="K3404" s="8">
        <v>293</v>
      </c>
      <c r="L3404" s="8">
        <v>284</v>
      </c>
      <c r="M3404" s="8">
        <v>25</v>
      </c>
      <c r="N3404">
        <f>VLOOKUP(A3404,vlookup_table!$A:$G,2,FALSE)</f>
        <v>1</v>
      </c>
      <c r="O3404" t="str">
        <f>VLOOKUP(A3404,vlookup_table!$A:$G,3,FALSE)</f>
        <v>AZ</v>
      </c>
      <c r="P3404">
        <f>VLOOKUP(A3404,vlookup_table!$A:$G,4,FALSE)</f>
        <v>3201</v>
      </c>
      <c r="Q3404" t="str">
        <f>VLOOKUP(A3404,vlookup_table!$A:$G,5,FALSE)</f>
        <v>T2</v>
      </c>
      <c r="R3404" t="str">
        <f>VLOOKUP(A3404,vlookup_table!$A:$G,6,FALSE)</f>
        <v>M</v>
      </c>
      <c r="S3404">
        <f>VLOOKUP(A3404,vlookup_table!$A:$G,7,FALSE)</f>
        <v>40</v>
      </c>
      <c r="T3404">
        <f t="shared" si="106"/>
        <v>64</v>
      </c>
      <c r="U3404" t="str">
        <f t="shared" si="107"/>
        <v>Pueblo</v>
      </c>
    </row>
    <row r="3405" spans="1:21" ht="16" x14ac:dyDescent="0.4">
      <c r="A3405" s="9">
        <v>99338</v>
      </c>
      <c r="B3405" s="8" t="s">
        <v>33</v>
      </c>
      <c r="C3405" s="8" t="s">
        <v>17</v>
      </c>
      <c r="D3405" s="8">
        <v>1844</v>
      </c>
      <c r="E3405" s="8">
        <v>676</v>
      </c>
      <c r="F3405" s="8">
        <v>786</v>
      </c>
      <c r="G3405" s="8">
        <v>43</v>
      </c>
      <c r="H3405" s="8">
        <v>25507</v>
      </c>
      <c r="I3405" s="8">
        <v>3</v>
      </c>
      <c r="J3405" s="8">
        <v>52</v>
      </c>
      <c r="K3405" s="8">
        <v>713</v>
      </c>
      <c r="L3405" s="8">
        <v>726</v>
      </c>
      <c r="M3405" s="8">
        <v>7.75</v>
      </c>
      <c r="N3405">
        <f>VLOOKUP(A3405,vlookup_table!$A:$G,2,FALSE)</f>
        <v>0</v>
      </c>
      <c r="O3405" t="str">
        <f>VLOOKUP(A3405,vlookup_table!$A:$G,3,FALSE)</f>
        <v>MO</v>
      </c>
      <c r="P3405">
        <f>VLOOKUP(A3405,vlookup_table!$A:$G,4,FALSE)</f>
        <v>4711</v>
      </c>
      <c r="Q3405" t="str">
        <f>VLOOKUP(A3405,vlookup_table!$A:$G,5,FALSE)</f>
        <v>T1</v>
      </c>
      <c r="R3405" t="str">
        <f>VLOOKUP(A3405,vlookup_table!$A:$G,6,FALSE)</f>
        <v>F</v>
      </c>
      <c r="S3405">
        <f>VLOOKUP(A3405,vlookup_table!$A:$G,7,FALSE)</f>
        <v>10</v>
      </c>
      <c r="T3405">
        <f t="shared" si="106"/>
        <v>49</v>
      </c>
      <c r="U3405" t="str">
        <f t="shared" si="107"/>
        <v>Pueblo</v>
      </c>
    </row>
    <row r="3406" spans="1:21" ht="16" x14ac:dyDescent="0.4">
      <c r="A3406" s="9">
        <v>64563</v>
      </c>
      <c r="B3406" s="8" t="s">
        <v>30</v>
      </c>
      <c r="C3406" s="8" t="s">
        <v>17</v>
      </c>
      <c r="D3406" s="8">
        <v>334</v>
      </c>
      <c r="E3406" s="8">
        <v>227</v>
      </c>
      <c r="F3406" s="8">
        <v>307</v>
      </c>
      <c r="G3406" s="8">
        <v>0</v>
      </c>
      <c r="H3406" s="8">
        <v>10104</v>
      </c>
      <c r="I3406" s="8">
        <v>0</v>
      </c>
      <c r="J3406" s="8">
        <v>58</v>
      </c>
      <c r="K3406" s="8">
        <v>265</v>
      </c>
      <c r="L3406" s="8">
        <v>269</v>
      </c>
      <c r="M3406" s="8">
        <v>13.57142857</v>
      </c>
      <c r="N3406">
        <f>VLOOKUP(A3406,vlookup_table!$A:$G,2,FALSE)</f>
        <v>0</v>
      </c>
      <c r="O3406" t="str">
        <f>VLOOKUP(A3406,vlookup_table!$A:$G,3,FALSE)</f>
        <v>IN</v>
      </c>
      <c r="P3406">
        <f>VLOOKUP(A3406,vlookup_table!$A:$G,4,FALSE)</f>
        <v>0</v>
      </c>
      <c r="Q3406" t="str">
        <f>VLOOKUP(A3406,vlookup_table!$A:$G,5,FALSE)</f>
        <v>R3</v>
      </c>
      <c r="R3406" t="str">
        <f>VLOOKUP(A3406,vlookup_table!$A:$G,6,FALSE)</f>
        <v>F</v>
      </c>
      <c r="S3406">
        <f>VLOOKUP(A3406,vlookup_table!$A:$G,7,FALSE)</f>
        <v>20</v>
      </c>
      <c r="T3406">
        <f t="shared" si="106"/>
        <v>96</v>
      </c>
      <c r="U3406" t="str">
        <f t="shared" si="107"/>
        <v>Rural</v>
      </c>
    </row>
    <row r="3407" spans="1:21" ht="16" x14ac:dyDescent="0.4">
      <c r="A3407" s="9">
        <v>5335</v>
      </c>
      <c r="B3407" s="8" t="s">
        <v>20</v>
      </c>
      <c r="C3407" s="8" t="s">
        <v>17</v>
      </c>
      <c r="D3407" s="8">
        <v>515</v>
      </c>
      <c r="E3407" s="8">
        <v>271</v>
      </c>
      <c r="F3407" s="8">
        <v>362</v>
      </c>
      <c r="G3407" s="8">
        <v>1</v>
      </c>
      <c r="H3407" s="8">
        <v>13012</v>
      </c>
      <c r="I3407" s="8">
        <v>2</v>
      </c>
      <c r="J3407" s="8">
        <v>56</v>
      </c>
      <c r="K3407" s="8">
        <v>361</v>
      </c>
      <c r="L3407" s="8">
        <v>315</v>
      </c>
      <c r="M3407" s="8">
        <v>10.6875</v>
      </c>
      <c r="N3407">
        <f>VLOOKUP(A3407,vlookup_table!$A:$G,2,FALSE)</f>
        <v>28</v>
      </c>
      <c r="O3407" t="str">
        <f>VLOOKUP(A3407,vlookup_table!$A:$G,3,FALSE)</f>
        <v>TX</v>
      </c>
      <c r="P3407">
        <f>VLOOKUP(A3407,vlookup_table!$A:$G,4,FALSE)</f>
        <v>2208</v>
      </c>
      <c r="Q3407" t="str">
        <f>VLOOKUP(A3407,vlookup_table!$A:$G,5,FALSE)</f>
        <v>R2</v>
      </c>
      <c r="R3407" t="str">
        <f>VLOOKUP(A3407,vlookup_table!$A:$G,6,FALSE)</f>
        <v>F</v>
      </c>
      <c r="S3407">
        <f>VLOOKUP(A3407,vlookup_table!$A:$G,7,FALSE)</f>
        <v>10</v>
      </c>
      <c r="T3407">
        <f t="shared" si="106"/>
        <v>74</v>
      </c>
      <c r="U3407" t="str">
        <f t="shared" si="107"/>
        <v>Rural</v>
      </c>
    </row>
    <row r="3408" spans="1:21" ht="16" x14ac:dyDescent="0.4">
      <c r="A3408" s="9">
        <v>112703</v>
      </c>
      <c r="B3408" s="8" t="s">
        <v>28</v>
      </c>
      <c r="C3408" s="8" t="s">
        <v>17</v>
      </c>
      <c r="D3408" s="8">
        <v>318</v>
      </c>
      <c r="E3408" s="8">
        <v>148</v>
      </c>
      <c r="F3408" s="8">
        <v>236</v>
      </c>
      <c r="G3408" s="8">
        <v>0</v>
      </c>
      <c r="H3408" s="8">
        <v>7787</v>
      </c>
      <c r="I3408" s="8">
        <v>1</v>
      </c>
      <c r="J3408" s="8">
        <v>80</v>
      </c>
      <c r="K3408" s="8">
        <v>197</v>
      </c>
      <c r="L3408" s="8">
        <v>200</v>
      </c>
      <c r="M3408" s="8">
        <v>15</v>
      </c>
      <c r="N3408">
        <f>VLOOKUP(A3408,vlookup_table!$A:$G,2,FALSE)</f>
        <v>2</v>
      </c>
      <c r="O3408" t="str">
        <f>VLOOKUP(A3408,vlookup_table!$A:$G,3,FALSE)</f>
        <v>OK</v>
      </c>
      <c r="P3408">
        <f>VLOOKUP(A3408,vlookup_table!$A:$G,4,FALSE)</f>
        <v>0</v>
      </c>
      <c r="Q3408" t="str">
        <f>VLOOKUP(A3408,vlookup_table!$A:$G,5,FALSE)</f>
        <v>R3</v>
      </c>
      <c r="R3408" t="str">
        <f>VLOOKUP(A3408,vlookup_table!$A:$G,6,FALSE)</f>
        <v>F</v>
      </c>
      <c r="S3408">
        <f>VLOOKUP(A3408,vlookup_table!$A:$G,7,FALSE)</f>
        <v>15</v>
      </c>
      <c r="T3408">
        <f t="shared" si="106"/>
        <v>96</v>
      </c>
      <c r="U3408" t="str">
        <f t="shared" si="107"/>
        <v>Rural</v>
      </c>
    </row>
    <row r="3409" spans="1:21" ht="16" x14ac:dyDescent="0.4">
      <c r="A3409" s="9">
        <v>32380</v>
      </c>
      <c r="B3409" s="8" t="s">
        <v>13</v>
      </c>
      <c r="C3409" s="8" t="s">
        <v>14</v>
      </c>
      <c r="D3409" s="8">
        <v>825</v>
      </c>
      <c r="E3409" s="8">
        <v>266</v>
      </c>
      <c r="F3409" s="8">
        <v>419</v>
      </c>
      <c r="G3409" s="8">
        <v>5</v>
      </c>
      <c r="H3409" s="8">
        <v>17633</v>
      </c>
      <c r="I3409" s="8">
        <v>7</v>
      </c>
      <c r="J3409" s="8">
        <v>5</v>
      </c>
      <c r="K3409" s="8">
        <v>263</v>
      </c>
      <c r="L3409" s="8">
        <v>405</v>
      </c>
      <c r="M3409" s="8">
        <v>4.7647058820000003</v>
      </c>
      <c r="N3409">
        <f>VLOOKUP(A3409,vlookup_table!$A:$G,2,FALSE)</f>
        <v>1</v>
      </c>
      <c r="O3409" t="str">
        <f>VLOOKUP(A3409,vlookup_table!$A:$G,3,FALSE)</f>
        <v>FL</v>
      </c>
      <c r="P3409">
        <f>VLOOKUP(A3409,vlookup_table!$A:$G,4,FALSE)</f>
        <v>2301</v>
      </c>
      <c r="Q3409" t="str">
        <f>VLOOKUP(A3409,vlookup_table!$A:$G,5,FALSE)</f>
        <v>C2</v>
      </c>
      <c r="R3409" t="str">
        <f>VLOOKUP(A3409,vlookup_table!$A:$G,6,FALSE)</f>
        <v>M</v>
      </c>
      <c r="S3409">
        <f>VLOOKUP(A3409,vlookup_table!$A:$G,7,FALSE)</f>
        <v>5</v>
      </c>
      <c r="T3409">
        <f t="shared" si="106"/>
        <v>73</v>
      </c>
      <c r="U3409" t="str">
        <f t="shared" si="107"/>
        <v>Ciudad</v>
      </c>
    </row>
    <row r="3410" spans="1:21" ht="16" x14ac:dyDescent="0.4">
      <c r="A3410" s="9">
        <v>40566</v>
      </c>
      <c r="B3410" s="8" t="s">
        <v>13</v>
      </c>
      <c r="C3410" s="8" t="s">
        <v>17</v>
      </c>
      <c r="D3410" s="8">
        <v>1530</v>
      </c>
      <c r="E3410" s="8">
        <v>442</v>
      </c>
      <c r="F3410" s="8">
        <v>619</v>
      </c>
      <c r="G3410" s="8">
        <v>25</v>
      </c>
      <c r="H3410" s="8">
        <v>23340</v>
      </c>
      <c r="I3410" s="8">
        <v>15</v>
      </c>
      <c r="J3410" s="8">
        <v>16</v>
      </c>
      <c r="K3410" s="8">
        <v>545</v>
      </c>
      <c r="L3410" s="8">
        <v>535</v>
      </c>
      <c r="M3410" s="8">
        <v>10.85714286</v>
      </c>
      <c r="N3410">
        <f>VLOOKUP(A3410,vlookup_table!$A:$G,2,FALSE)</f>
        <v>28</v>
      </c>
      <c r="O3410" t="str">
        <f>VLOOKUP(A3410,vlookup_table!$A:$G,3,FALSE)</f>
        <v>FL</v>
      </c>
      <c r="P3410">
        <f>VLOOKUP(A3410,vlookup_table!$A:$G,4,FALSE)</f>
        <v>4101</v>
      </c>
      <c r="Q3410" t="str">
        <f>VLOOKUP(A3410,vlookup_table!$A:$G,5,FALSE)</f>
        <v>S2</v>
      </c>
      <c r="R3410" t="str">
        <f>VLOOKUP(A3410,vlookup_table!$A:$G,6,FALSE)</f>
        <v>F</v>
      </c>
      <c r="S3410">
        <f>VLOOKUP(A3410,vlookup_table!$A:$G,7,FALSE)</f>
        <v>17</v>
      </c>
      <c r="T3410">
        <f t="shared" si="106"/>
        <v>55</v>
      </c>
      <c r="U3410" t="str">
        <f t="shared" si="107"/>
        <v>Suburbano</v>
      </c>
    </row>
    <row r="3411" spans="1:21" ht="16" x14ac:dyDescent="0.4">
      <c r="A3411" s="9">
        <v>32359</v>
      </c>
      <c r="B3411" s="8" t="s">
        <v>13</v>
      </c>
      <c r="C3411" s="8" t="s">
        <v>14</v>
      </c>
      <c r="D3411" s="8">
        <v>922</v>
      </c>
      <c r="E3411" s="8">
        <v>292</v>
      </c>
      <c r="F3411" s="8">
        <v>335</v>
      </c>
      <c r="G3411" s="8">
        <v>1</v>
      </c>
      <c r="H3411" s="8">
        <v>10541</v>
      </c>
      <c r="I3411" s="8">
        <v>6</v>
      </c>
      <c r="J3411" s="8">
        <v>18</v>
      </c>
      <c r="K3411" s="8">
        <v>304</v>
      </c>
      <c r="L3411" s="8">
        <v>319</v>
      </c>
      <c r="M3411" s="8">
        <v>4.2786885249999997</v>
      </c>
      <c r="N3411">
        <f>VLOOKUP(A3411,vlookup_table!$A:$G,2,FALSE)</f>
        <v>1</v>
      </c>
      <c r="O3411" t="str">
        <f>VLOOKUP(A3411,vlookup_table!$A:$G,3,FALSE)</f>
        <v>FL</v>
      </c>
      <c r="P3411">
        <f>VLOOKUP(A3411,vlookup_table!$A:$G,4,FALSE)</f>
        <v>3012</v>
      </c>
      <c r="Q3411" t="str">
        <f>VLOOKUP(A3411,vlookup_table!$A:$G,5,FALSE)</f>
        <v>C2</v>
      </c>
      <c r="R3411" t="str">
        <f>VLOOKUP(A3411,vlookup_table!$A:$G,6,FALSE)</f>
        <v>M</v>
      </c>
      <c r="S3411">
        <f>VLOOKUP(A3411,vlookup_table!$A:$G,7,FALSE)</f>
        <v>3</v>
      </c>
      <c r="T3411">
        <f t="shared" si="106"/>
        <v>66</v>
      </c>
      <c r="U3411" t="str">
        <f t="shared" si="107"/>
        <v>Ciudad</v>
      </c>
    </row>
    <row r="3412" spans="1:21" ht="16" x14ac:dyDescent="0.4">
      <c r="A3412" s="9">
        <v>146628</v>
      </c>
      <c r="B3412" s="8" t="s">
        <v>21</v>
      </c>
      <c r="C3412" s="8" t="s">
        <v>17</v>
      </c>
      <c r="D3412" s="8">
        <v>1999</v>
      </c>
      <c r="E3412" s="8">
        <v>154</v>
      </c>
      <c r="F3412" s="8">
        <v>220</v>
      </c>
      <c r="G3412" s="8">
        <v>50</v>
      </c>
      <c r="H3412" s="8">
        <v>6449</v>
      </c>
      <c r="I3412" s="8">
        <v>41</v>
      </c>
      <c r="J3412" s="8">
        <v>41</v>
      </c>
      <c r="K3412" s="8">
        <v>163</v>
      </c>
      <c r="L3412" s="8">
        <v>215</v>
      </c>
      <c r="M3412" s="8">
        <v>13.85714286</v>
      </c>
      <c r="N3412">
        <f>VLOOKUP(A3412,vlookup_table!$A:$G,2,FALSE)</f>
        <v>28</v>
      </c>
      <c r="O3412" t="str">
        <f>VLOOKUP(A3412,vlookup_table!$A:$G,3,FALSE)</f>
        <v>CA</v>
      </c>
      <c r="P3412">
        <f>VLOOKUP(A3412,vlookup_table!$A:$G,4,FALSE)</f>
        <v>3405</v>
      </c>
      <c r="Q3412" t="str">
        <f>VLOOKUP(A3412,vlookup_table!$A:$G,5,FALSE)</f>
        <v>C3</v>
      </c>
      <c r="R3412" t="str">
        <f>VLOOKUP(A3412,vlookup_table!$A:$G,6,FALSE)</f>
        <v>F</v>
      </c>
      <c r="S3412">
        <f>VLOOKUP(A3412,vlookup_table!$A:$G,7,FALSE)</f>
        <v>10</v>
      </c>
      <c r="T3412">
        <f t="shared" si="106"/>
        <v>62</v>
      </c>
      <c r="U3412" t="str">
        <f t="shared" si="107"/>
        <v>Ciudad</v>
      </c>
    </row>
    <row r="3413" spans="1:21" ht="16" x14ac:dyDescent="0.4">
      <c r="A3413" s="9">
        <v>113690</v>
      </c>
      <c r="B3413" s="8" t="s">
        <v>28</v>
      </c>
      <c r="C3413" s="8" t="s">
        <v>14</v>
      </c>
      <c r="D3413" s="8">
        <v>530</v>
      </c>
      <c r="E3413" s="8">
        <v>224</v>
      </c>
      <c r="F3413" s="8">
        <v>360</v>
      </c>
      <c r="G3413" s="8">
        <v>1</v>
      </c>
      <c r="H3413" s="8">
        <v>14188</v>
      </c>
      <c r="I3413" s="8">
        <v>10</v>
      </c>
      <c r="J3413" s="8">
        <v>42</v>
      </c>
      <c r="K3413" s="8">
        <v>242</v>
      </c>
      <c r="L3413" s="8">
        <v>316</v>
      </c>
      <c r="M3413" s="8">
        <v>20</v>
      </c>
      <c r="N3413">
        <f>VLOOKUP(A3413,vlookup_table!$A:$G,2,FALSE)</f>
        <v>1002</v>
      </c>
      <c r="O3413" t="str">
        <f>VLOOKUP(A3413,vlookup_table!$A:$G,3,FALSE)</f>
        <v>OK</v>
      </c>
      <c r="P3413">
        <f>VLOOKUP(A3413,vlookup_table!$A:$G,4,FALSE)</f>
        <v>4301</v>
      </c>
      <c r="Q3413" t="str">
        <f>VLOOKUP(A3413,vlookup_table!$A:$G,5,FALSE)</f>
        <v>C2</v>
      </c>
      <c r="R3413" t="str">
        <f>VLOOKUP(A3413,vlookup_table!$A:$G,6,FALSE)</f>
        <v>M</v>
      </c>
      <c r="S3413">
        <f>VLOOKUP(A3413,vlookup_table!$A:$G,7,FALSE)</f>
        <v>10</v>
      </c>
      <c r="T3413">
        <f t="shared" si="106"/>
        <v>53</v>
      </c>
      <c r="U3413" t="str">
        <f t="shared" si="107"/>
        <v>Ciudad</v>
      </c>
    </row>
    <row r="3414" spans="1:21" ht="16" x14ac:dyDescent="0.4">
      <c r="A3414" s="9">
        <v>102011</v>
      </c>
      <c r="B3414" s="8" t="s">
        <v>33</v>
      </c>
      <c r="C3414" s="8" t="s">
        <v>17</v>
      </c>
      <c r="D3414" s="8">
        <v>576</v>
      </c>
      <c r="E3414" s="8">
        <v>243</v>
      </c>
      <c r="F3414" s="8">
        <v>354</v>
      </c>
      <c r="G3414" s="8">
        <v>0</v>
      </c>
      <c r="H3414" s="8">
        <v>12603</v>
      </c>
      <c r="I3414" s="8">
        <v>0</v>
      </c>
      <c r="J3414" s="8">
        <v>83</v>
      </c>
      <c r="K3414" s="8">
        <v>312</v>
      </c>
      <c r="L3414" s="8">
        <v>301</v>
      </c>
      <c r="M3414" s="8">
        <v>19.92307692</v>
      </c>
      <c r="N3414">
        <f>VLOOKUP(A3414,vlookup_table!$A:$G,2,FALSE)</f>
        <v>0</v>
      </c>
      <c r="O3414" t="str">
        <f>VLOOKUP(A3414,vlookup_table!$A:$G,3,FALSE)</f>
        <v>MO</v>
      </c>
      <c r="P3414">
        <f>VLOOKUP(A3414,vlookup_table!$A:$G,4,FALSE)</f>
        <v>5404</v>
      </c>
      <c r="Q3414" t="str">
        <f>VLOOKUP(A3414,vlookup_table!$A:$G,5,FALSE)</f>
        <v>R2</v>
      </c>
      <c r="R3414" t="str">
        <f>VLOOKUP(A3414,vlookup_table!$A:$G,6,FALSE)</f>
        <v>F</v>
      </c>
      <c r="S3414">
        <f>VLOOKUP(A3414,vlookup_table!$A:$G,7,FALSE)</f>
        <v>30</v>
      </c>
      <c r="T3414">
        <f t="shared" si="106"/>
        <v>42</v>
      </c>
      <c r="U3414" t="str">
        <f t="shared" si="107"/>
        <v>Rural</v>
      </c>
    </row>
    <row r="3415" spans="1:21" ht="16" x14ac:dyDescent="0.4">
      <c r="A3415" s="9">
        <v>17714</v>
      </c>
      <c r="B3415" s="8" t="s">
        <v>18</v>
      </c>
      <c r="C3415" s="8" t="s">
        <v>97</v>
      </c>
      <c r="D3415" s="8">
        <v>770</v>
      </c>
      <c r="E3415" s="8">
        <v>350</v>
      </c>
      <c r="F3415" s="8">
        <v>436</v>
      </c>
      <c r="G3415" s="8">
        <v>0</v>
      </c>
      <c r="H3415" s="8">
        <v>11822</v>
      </c>
      <c r="I3415" s="8">
        <v>1</v>
      </c>
      <c r="J3415" s="8">
        <v>70</v>
      </c>
      <c r="K3415" s="8">
        <v>409</v>
      </c>
      <c r="L3415" s="8">
        <v>354</v>
      </c>
      <c r="M3415" s="8">
        <v>12.42857143</v>
      </c>
      <c r="N3415">
        <f>VLOOKUP(A3415,vlookup_table!$A:$G,2,FALSE)</f>
        <v>2</v>
      </c>
      <c r="O3415" t="str">
        <f>VLOOKUP(A3415,vlookup_table!$A:$G,3,FALSE)</f>
        <v>NC</v>
      </c>
      <c r="P3415">
        <f>VLOOKUP(A3415,vlookup_table!$A:$G,4,FALSE)</f>
        <v>3103</v>
      </c>
      <c r="Q3415" t="str">
        <f>VLOOKUP(A3415,vlookup_table!$A:$G,5,FALSE)</f>
        <v>S1</v>
      </c>
      <c r="R3415" t="str">
        <f>VLOOKUP(A3415,vlookup_table!$A:$G,6,FALSE)</f>
        <v>F</v>
      </c>
      <c r="S3415">
        <f>VLOOKUP(A3415,vlookup_table!$A:$G,7,FALSE)</f>
        <v>26</v>
      </c>
      <c r="T3415">
        <f t="shared" si="106"/>
        <v>65</v>
      </c>
      <c r="U3415" t="str">
        <f t="shared" si="107"/>
        <v>Suburbano</v>
      </c>
    </row>
    <row r="3416" spans="1:21" ht="16" x14ac:dyDescent="0.4">
      <c r="A3416" s="9">
        <v>134619</v>
      </c>
      <c r="B3416" s="8" t="s">
        <v>35</v>
      </c>
      <c r="C3416" s="8" t="s">
        <v>14</v>
      </c>
      <c r="D3416" s="8">
        <v>925</v>
      </c>
      <c r="E3416" s="8">
        <v>456</v>
      </c>
      <c r="F3416" s="8">
        <v>458</v>
      </c>
      <c r="G3416" s="8">
        <v>2</v>
      </c>
      <c r="H3416" s="8">
        <v>12465</v>
      </c>
      <c r="I3416" s="8">
        <v>5</v>
      </c>
      <c r="J3416" s="8">
        <v>71</v>
      </c>
      <c r="K3416" s="8">
        <v>457</v>
      </c>
      <c r="L3416" s="8">
        <v>463</v>
      </c>
      <c r="M3416" s="8">
        <v>9.3000000000000007</v>
      </c>
      <c r="N3416">
        <f>VLOOKUP(A3416,vlookup_table!$A:$G,2,FALSE)</f>
        <v>2</v>
      </c>
      <c r="O3416" t="str">
        <f>VLOOKUP(A3416,vlookup_table!$A:$G,3,FALSE)</f>
        <v>UT</v>
      </c>
      <c r="P3416">
        <f>VLOOKUP(A3416,vlookup_table!$A:$G,4,FALSE)</f>
        <v>5003</v>
      </c>
      <c r="Q3416" t="str">
        <f>VLOOKUP(A3416,vlookup_table!$A:$G,5,FALSE)</f>
        <v>S2</v>
      </c>
      <c r="R3416" t="str">
        <f>VLOOKUP(A3416,vlookup_table!$A:$G,6,FALSE)</f>
        <v>M</v>
      </c>
      <c r="S3416">
        <f>VLOOKUP(A3416,vlookup_table!$A:$G,7,FALSE)</f>
        <v>11</v>
      </c>
      <c r="T3416">
        <f t="shared" si="106"/>
        <v>46</v>
      </c>
      <c r="U3416" t="str">
        <f t="shared" si="107"/>
        <v>Suburbano</v>
      </c>
    </row>
    <row r="3417" spans="1:21" ht="16" x14ac:dyDescent="0.4">
      <c r="A3417" s="9">
        <v>106649</v>
      </c>
      <c r="B3417" s="8" t="s">
        <v>55</v>
      </c>
      <c r="C3417" s="8" t="s">
        <v>17</v>
      </c>
      <c r="D3417" s="8">
        <v>827</v>
      </c>
      <c r="E3417" s="8">
        <v>535</v>
      </c>
      <c r="F3417" s="8">
        <v>597</v>
      </c>
      <c r="G3417" s="8">
        <v>0</v>
      </c>
      <c r="H3417" s="8">
        <v>21162</v>
      </c>
      <c r="I3417" s="8">
        <v>3</v>
      </c>
      <c r="J3417" s="8">
        <v>38</v>
      </c>
      <c r="K3417" s="8">
        <v>542</v>
      </c>
      <c r="L3417" s="8">
        <v>598</v>
      </c>
      <c r="M3417" s="8">
        <v>19.600000000000001</v>
      </c>
      <c r="N3417">
        <f>VLOOKUP(A3417,vlookup_table!$A:$G,2,FALSE)</f>
        <v>2</v>
      </c>
      <c r="O3417" t="str">
        <f>VLOOKUP(A3417,vlookup_table!$A:$G,3,FALSE)</f>
        <v>NE</v>
      </c>
      <c r="P3417">
        <f>VLOOKUP(A3417,vlookup_table!$A:$G,4,FALSE)</f>
        <v>6201</v>
      </c>
      <c r="Q3417" t="str">
        <f>VLOOKUP(A3417,vlookup_table!$A:$G,5,FALSE)</f>
        <v>S1</v>
      </c>
      <c r="R3417" t="str">
        <f>VLOOKUP(A3417,vlookup_table!$A:$G,6,FALSE)</f>
        <v>F</v>
      </c>
      <c r="S3417">
        <f>VLOOKUP(A3417,vlookup_table!$A:$G,7,FALSE)</f>
        <v>26</v>
      </c>
      <c r="T3417">
        <f t="shared" si="106"/>
        <v>34</v>
      </c>
      <c r="U3417" t="str">
        <f t="shared" si="107"/>
        <v>Suburbano</v>
      </c>
    </row>
    <row r="3418" spans="1:21" ht="16" x14ac:dyDescent="0.4">
      <c r="A3418" s="9">
        <v>147045</v>
      </c>
      <c r="B3418" s="8" t="s">
        <v>21</v>
      </c>
      <c r="C3418" s="8" t="s">
        <v>17</v>
      </c>
      <c r="D3418" s="8">
        <v>1989</v>
      </c>
      <c r="E3418" s="8">
        <v>526</v>
      </c>
      <c r="F3418" s="8">
        <v>572</v>
      </c>
      <c r="G3418" s="8">
        <v>49</v>
      </c>
      <c r="H3418" s="8">
        <v>19716</v>
      </c>
      <c r="I3418" s="8">
        <v>13</v>
      </c>
      <c r="J3418" s="8">
        <v>50</v>
      </c>
      <c r="K3418" s="8">
        <v>607</v>
      </c>
      <c r="L3418" s="8">
        <v>540</v>
      </c>
      <c r="M3418" s="8">
        <v>7.9</v>
      </c>
      <c r="N3418">
        <f>VLOOKUP(A3418,vlookup_table!$A:$G,2,FALSE)</f>
        <v>2</v>
      </c>
      <c r="O3418" t="str">
        <f>VLOOKUP(A3418,vlookup_table!$A:$G,3,FALSE)</f>
        <v>CA</v>
      </c>
      <c r="P3418">
        <f>VLOOKUP(A3418,vlookup_table!$A:$G,4,FALSE)</f>
        <v>0</v>
      </c>
      <c r="Q3418" t="str">
        <f>VLOOKUP(A3418,vlookup_table!$A:$G,5,FALSE)</f>
        <v>U1</v>
      </c>
      <c r="R3418" t="str">
        <f>VLOOKUP(A3418,vlookup_table!$A:$G,6,FALSE)</f>
        <v>F</v>
      </c>
      <c r="S3418">
        <f>VLOOKUP(A3418,vlookup_table!$A:$G,7,FALSE)</f>
        <v>10</v>
      </c>
      <c r="T3418">
        <f t="shared" si="106"/>
        <v>96</v>
      </c>
      <c r="U3418" t="str">
        <f t="shared" si="107"/>
        <v>Urbano</v>
      </c>
    </row>
    <row r="3419" spans="1:21" ht="16" x14ac:dyDescent="0.4">
      <c r="A3419" s="9">
        <v>86420</v>
      </c>
      <c r="B3419" s="8" t="s">
        <v>42</v>
      </c>
      <c r="C3419" s="8" t="s">
        <v>17</v>
      </c>
      <c r="D3419" s="8">
        <v>734</v>
      </c>
      <c r="E3419" s="8">
        <v>408</v>
      </c>
      <c r="F3419" s="8">
        <v>402</v>
      </c>
      <c r="G3419" s="8">
        <v>0</v>
      </c>
      <c r="H3419" s="8">
        <v>11843</v>
      </c>
      <c r="I3419" s="8">
        <v>0</v>
      </c>
      <c r="J3419" s="8">
        <v>70</v>
      </c>
      <c r="K3419" s="8">
        <v>404</v>
      </c>
      <c r="L3419" s="8">
        <v>403</v>
      </c>
      <c r="M3419" s="8">
        <v>5.0833333329999997</v>
      </c>
      <c r="N3419">
        <f>VLOOKUP(A3419,vlookup_table!$A:$G,2,FALSE)</f>
        <v>0</v>
      </c>
      <c r="O3419" t="str">
        <f>VLOOKUP(A3419,vlookup_table!$A:$G,3,FALSE)</f>
        <v>ND</v>
      </c>
      <c r="P3419">
        <f>VLOOKUP(A3419,vlookup_table!$A:$G,4,FALSE)</f>
        <v>4212</v>
      </c>
      <c r="Q3419" t="str">
        <f>VLOOKUP(A3419,vlookup_table!$A:$G,5,FALSE)</f>
        <v>T2</v>
      </c>
      <c r="R3419" t="str">
        <f>VLOOKUP(A3419,vlookup_table!$A:$G,6,FALSE)</f>
        <v>F</v>
      </c>
      <c r="S3419">
        <f>VLOOKUP(A3419,vlookup_table!$A:$G,7,FALSE)</f>
        <v>7</v>
      </c>
      <c r="T3419">
        <f t="shared" si="106"/>
        <v>54</v>
      </c>
      <c r="U3419" t="str">
        <f t="shared" si="107"/>
        <v>Pueblo</v>
      </c>
    </row>
    <row r="3420" spans="1:21" ht="16" x14ac:dyDescent="0.4">
      <c r="A3420" s="9">
        <v>20445</v>
      </c>
      <c r="B3420" s="8" t="s">
        <v>18</v>
      </c>
      <c r="C3420" s="8" t="s">
        <v>14</v>
      </c>
      <c r="D3420" s="8">
        <v>572</v>
      </c>
      <c r="E3420" s="8">
        <v>212</v>
      </c>
      <c r="F3420" s="8">
        <v>282</v>
      </c>
      <c r="G3420" s="8">
        <v>2</v>
      </c>
      <c r="H3420" s="8">
        <v>9728</v>
      </c>
      <c r="I3420" s="8">
        <v>4</v>
      </c>
      <c r="J3420" s="8">
        <v>48</v>
      </c>
      <c r="K3420" s="8">
        <v>227</v>
      </c>
      <c r="L3420" s="8">
        <v>263</v>
      </c>
      <c r="M3420" s="8">
        <v>17.600000000000001</v>
      </c>
      <c r="N3420">
        <f>VLOOKUP(A3420,vlookup_table!$A:$G,2,FALSE)</f>
        <v>1</v>
      </c>
      <c r="O3420" t="str">
        <f>VLOOKUP(A3420,vlookup_table!$A:$G,3,FALSE)</f>
        <v>NC</v>
      </c>
      <c r="P3420">
        <f>VLOOKUP(A3420,vlookup_table!$A:$G,4,FALSE)</f>
        <v>3801</v>
      </c>
      <c r="Q3420" t="str">
        <f>VLOOKUP(A3420,vlookup_table!$A:$G,5,FALSE)</f>
        <v>C3</v>
      </c>
      <c r="R3420" t="str">
        <f>VLOOKUP(A3420,vlookup_table!$A:$G,6,FALSE)</f>
        <v>M</v>
      </c>
      <c r="S3420">
        <f>VLOOKUP(A3420,vlookup_table!$A:$G,7,FALSE)</f>
        <v>20</v>
      </c>
      <c r="T3420">
        <f t="shared" si="106"/>
        <v>58</v>
      </c>
      <c r="U3420" t="str">
        <f t="shared" si="107"/>
        <v>Ciudad</v>
      </c>
    </row>
    <row r="3421" spans="1:21" ht="16" x14ac:dyDescent="0.4">
      <c r="A3421" s="9">
        <v>89924</v>
      </c>
      <c r="B3421" s="8" t="s">
        <v>30</v>
      </c>
      <c r="C3421" s="8" t="s">
        <v>17</v>
      </c>
      <c r="D3421" s="8">
        <v>1152</v>
      </c>
      <c r="E3421" s="8">
        <v>521</v>
      </c>
      <c r="F3421" s="8">
        <v>561</v>
      </c>
      <c r="G3421" s="8">
        <v>9</v>
      </c>
      <c r="H3421" s="8">
        <v>17112</v>
      </c>
      <c r="I3421" s="8">
        <v>2</v>
      </c>
      <c r="J3421" s="8">
        <v>53</v>
      </c>
      <c r="K3421" s="8">
        <v>546</v>
      </c>
      <c r="L3421" s="8">
        <v>542</v>
      </c>
      <c r="M3421" s="8">
        <v>5.0909090910000003</v>
      </c>
      <c r="N3421">
        <f>VLOOKUP(A3421,vlookup_table!$A:$G,2,FALSE)</f>
        <v>2</v>
      </c>
      <c r="O3421" t="str">
        <f>VLOOKUP(A3421,vlookup_table!$A:$G,3,FALSE)</f>
        <v>IN</v>
      </c>
      <c r="P3421">
        <f>VLOOKUP(A3421,vlookup_table!$A:$G,4,FALSE)</f>
        <v>0</v>
      </c>
      <c r="Q3421" t="str">
        <f>VLOOKUP(A3421,vlookup_table!$A:$G,5,FALSE)</f>
        <v>S2</v>
      </c>
      <c r="R3421" t="str">
        <f>VLOOKUP(A3421,vlookup_table!$A:$G,6,FALSE)</f>
        <v>F</v>
      </c>
      <c r="S3421">
        <f>VLOOKUP(A3421,vlookup_table!$A:$G,7,FALSE)</f>
        <v>5</v>
      </c>
      <c r="T3421">
        <f t="shared" si="106"/>
        <v>96</v>
      </c>
      <c r="U3421" t="str">
        <f t="shared" si="107"/>
        <v>Suburbano</v>
      </c>
    </row>
    <row r="3422" spans="1:21" ht="16" x14ac:dyDescent="0.4">
      <c r="A3422" s="9">
        <v>156937</v>
      </c>
      <c r="B3422" s="8" t="s">
        <v>21</v>
      </c>
      <c r="C3422" s="8" t="s">
        <v>14</v>
      </c>
      <c r="D3422" s="8">
        <v>1605</v>
      </c>
      <c r="E3422" s="8">
        <v>416</v>
      </c>
      <c r="F3422" s="8">
        <v>443</v>
      </c>
      <c r="G3422" s="8">
        <v>20</v>
      </c>
      <c r="H3422" s="8">
        <v>15534</v>
      </c>
      <c r="I3422" s="8">
        <v>27</v>
      </c>
      <c r="J3422" s="8">
        <v>41</v>
      </c>
      <c r="K3422" s="8">
        <v>420</v>
      </c>
      <c r="L3422" s="8">
        <v>442</v>
      </c>
      <c r="M3422" s="8">
        <v>15</v>
      </c>
      <c r="N3422">
        <f>VLOOKUP(A3422,vlookup_table!$A:$G,2,FALSE)</f>
        <v>1</v>
      </c>
      <c r="O3422" t="str">
        <f>VLOOKUP(A3422,vlookup_table!$A:$G,3,FALSE)</f>
        <v>CA</v>
      </c>
      <c r="P3422">
        <f>VLOOKUP(A3422,vlookup_table!$A:$G,4,FALSE)</f>
        <v>5801</v>
      </c>
      <c r="Q3422" t="str">
        <f>VLOOKUP(A3422,vlookup_table!$A:$G,5,FALSE)</f>
        <v>U1</v>
      </c>
      <c r="R3422" t="str">
        <f>VLOOKUP(A3422,vlookup_table!$A:$G,6,FALSE)</f>
        <v>M</v>
      </c>
      <c r="S3422">
        <f>VLOOKUP(A3422,vlookup_table!$A:$G,7,FALSE)</f>
        <v>17</v>
      </c>
      <c r="T3422">
        <f t="shared" si="106"/>
        <v>38</v>
      </c>
      <c r="U3422" t="str">
        <f t="shared" si="107"/>
        <v>Urbano</v>
      </c>
    </row>
    <row r="3423" spans="1:21" ht="16" x14ac:dyDescent="0.4">
      <c r="A3423" s="9">
        <v>151986</v>
      </c>
      <c r="B3423" s="8" t="s">
        <v>21</v>
      </c>
      <c r="C3423" s="8" t="s">
        <v>17</v>
      </c>
      <c r="D3423" s="8">
        <v>2598</v>
      </c>
      <c r="E3423" s="8">
        <v>518</v>
      </c>
      <c r="F3423" s="8">
        <v>627</v>
      </c>
      <c r="G3423" s="8">
        <v>78</v>
      </c>
      <c r="H3423" s="8">
        <v>27570</v>
      </c>
      <c r="I3423" s="8">
        <v>8</v>
      </c>
      <c r="J3423" s="8">
        <v>38</v>
      </c>
      <c r="K3423" s="8">
        <v>570</v>
      </c>
      <c r="L3423" s="8">
        <v>576</v>
      </c>
      <c r="M3423" s="8">
        <v>9</v>
      </c>
      <c r="N3423">
        <f>VLOOKUP(A3423,vlookup_table!$A:$G,2,FALSE)</f>
        <v>2</v>
      </c>
      <c r="O3423" t="str">
        <f>VLOOKUP(A3423,vlookup_table!$A:$G,3,FALSE)</f>
        <v>CA</v>
      </c>
      <c r="P3423">
        <f>VLOOKUP(A3423,vlookup_table!$A:$G,4,FALSE)</f>
        <v>2101</v>
      </c>
      <c r="Q3423" t="str">
        <f>VLOOKUP(A3423,vlookup_table!$A:$G,5,FALSE)</f>
        <v>S1</v>
      </c>
      <c r="R3423" t="str">
        <f>VLOOKUP(A3423,vlookup_table!$A:$G,6,FALSE)</f>
        <v>F</v>
      </c>
      <c r="S3423">
        <f>VLOOKUP(A3423,vlookup_table!$A:$G,7,FALSE)</f>
        <v>15</v>
      </c>
      <c r="T3423">
        <f t="shared" si="106"/>
        <v>75</v>
      </c>
      <c r="U3423" t="str">
        <f t="shared" si="107"/>
        <v>Suburbano</v>
      </c>
    </row>
    <row r="3424" spans="1:21" ht="16" x14ac:dyDescent="0.4">
      <c r="A3424" s="9">
        <v>139324</v>
      </c>
      <c r="B3424" s="8" t="s">
        <v>50</v>
      </c>
      <c r="C3424" s="8" t="s">
        <v>27</v>
      </c>
      <c r="D3424" s="8">
        <v>1017</v>
      </c>
      <c r="E3424" s="8">
        <v>322</v>
      </c>
      <c r="F3424" s="8">
        <v>590</v>
      </c>
      <c r="G3424" s="8">
        <v>3</v>
      </c>
      <c r="H3424" s="8">
        <v>22316</v>
      </c>
      <c r="I3424" s="8">
        <v>6</v>
      </c>
      <c r="J3424" s="8">
        <v>35</v>
      </c>
      <c r="K3424" s="8">
        <v>521</v>
      </c>
      <c r="L3424" s="8">
        <v>407</v>
      </c>
      <c r="M3424" s="8">
        <v>10.8</v>
      </c>
      <c r="N3424">
        <f>VLOOKUP(A3424,vlookup_table!$A:$G,2,FALSE)</f>
        <v>0</v>
      </c>
      <c r="O3424" t="str">
        <f>VLOOKUP(A3424,vlookup_table!$A:$G,3,FALSE)</f>
        <v>NM</v>
      </c>
      <c r="P3424">
        <f>VLOOKUP(A3424,vlookup_table!$A:$G,4,FALSE)</f>
        <v>0</v>
      </c>
      <c r="Q3424" t="str">
        <f>VLOOKUP(A3424,vlookup_table!$A:$G,5,FALSE)</f>
        <v>S1</v>
      </c>
      <c r="R3424" t="str">
        <f>VLOOKUP(A3424,vlookup_table!$A:$G,6,FALSE)</f>
        <v>U</v>
      </c>
      <c r="S3424">
        <f>VLOOKUP(A3424,vlookup_table!$A:$G,7,FALSE)</f>
        <v>15</v>
      </c>
      <c r="T3424">
        <f t="shared" si="106"/>
        <v>96</v>
      </c>
      <c r="U3424" t="str">
        <f t="shared" si="107"/>
        <v>Suburbano</v>
      </c>
    </row>
    <row r="3425" spans="1:21" ht="16" x14ac:dyDescent="0.4">
      <c r="A3425" s="9">
        <v>154067</v>
      </c>
      <c r="B3425" s="8" t="s">
        <v>21</v>
      </c>
      <c r="C3425" s="8" t="s">
        <v>17</v>
      </c>
      <c r="D3425" s="8">
        <v>967</v>
      </c>
      <c r="E3425" s="8">
        <v>381</v>
      </c>
      <c r="F3425" s="8">
        <v>426</v>
      </c>
      <c r="G3425" s="8">
        <v>17</v>
      </c>
      <c r="H3425" s="8">
        <v>10138</v>
      </c>
      <c r="I3425" s="8">
        <v>8</v>
      </c>
      <c r="J3425" s="8">
        <v>69</v>
      </c>
      <c r="K3425" s="8">
        <v>391</v>
      </c>
      <c r="L3425" s="8">
        <v>392</v>
      </c>
      <c r="M3425" s="8">
        <v>8.4166666669999994</v>
      </c>
      <c r="N3425">
        <f>VLOOKUP(A3425,vlookup_table!$A:$G,2,FALSE)</f>
        <v>0</v>
      </c>
      <c r="O3425" t="str">
        <f>VLOOKUP(A3425,vlookup_table!$A:$G,3,FALSE)</f>
        <v>CA</v>
      </c>
      <c r="P3425">
        <f>VLOOKUP(A3425,vlookup_table!$A:$G,4,FALSE)</f>
        <v>0</v>
      </c>
      <c r="Q3425" t="str">
        <f>VLOOKUP(A3425,vlookup_table!$A:$G,5,FALSE)</f>
        <v/>
      </c>
      <c r="R3425" t="str">
        <f>VLOOKUP(A3425,vlookup_table!$A:$G,6,FALSE)</f>
        <v>F</v>
      </c>
      <c r="S3425">
        <f>VLOOKUP(A3425,vlookup_table!$A:$G,7,FALSE)</f>
        <v>10</v>
      </c>
      <c r="T3425">
        <f t="shared" si="106"/>
        <v>96</v>
      </c>
      <c r="U3425" t="str">
        <f t="shared" si="107"/>
        <v/>
      </c>
    </row>
    <row r="3426" spans="1:21" ht="16" x14ac:dyDescent="0.4">
      <c r="A3426" s="9">
        <v>74825</v>
      </c>
      <c r="B3426" s="8" t="s">
        <v>44</v>
      </c>
      <c r="C3426" s="8" t="s">
        <v>17</v>
      </c>
      <c r="D3426" s="8">
        <v>310</v>
      </c>
      <c r="E3426" s="8">
        <v>175</v>
      </c>
      <c r="F3426" s="8">
        <v>316</v>
      </c>
      <c r="G3426" s="8">
        <v>0</v>
      </c>
      <c r="H3426" s="8">
        <v>11934</v>
      </c>
      <c r="I3426" s="8">
        <v>0</v>
      </c>
      <c r="J3426" s="8">
        <v>84</v>
      </c>
      <c r="K3426" s="8">
        <v>288</v>
      </c>
      <c r="L3426" s="8">
        <v>244</v>
      </c>
      <c r="M3426" s="8">
        <v>4.6086956519999998</v>
      </c>
      <c r="N3426">
        <f>VLOOKUP(A3426,vlookup_table!$A:$G,2,FALSE)</f>
        <v>0</v>
      </c>
      <c r="O3426" t="str">
        <f>VLOOKUP(A3426,vlookup_table!$A:$G,3,FALSE)</f>
        <v>IA</v>
      </c>
      <c r="P3426">
        <f>VLOOKUP(A3426,vlookup_table!$A:$G,4,FALSE)</f>
        <v>2007</v>
      </c>
      <c r="Q3426" t="str">
        <f>VLOOKUP(A3426,vlookup_table!$A:$G,5,FALSE)</f>
        <v>T2</v>
      </c>
      <c r="R3426" t="str">
        <f>VLOOKUP(A3426,vlookup_table!$A:$G,6,FALSE)</f>
        <v>F</v>
      </c>
      <c r="S3426">
        <f>VLOOKUP(A3426,vlookup_table!$A:$G,7,FALSE)</f>
        <v>5</v>
      </c>
      <c r="T3426">
        <f t="shared" si="106"/>
        <v>76</v>
      </c>
      <c r="U3426" t="str">
        <f t="shared" si="107"/>
        <v>Pueblo</v>
      </c>
    </row>
    <row r="3427" spans="1:21" ht="16" x14ac:dyDescent="0.4">
      <c r="A3427" s="9">
        <v>22425</v>
      </c>
      <c r="B3427" s="8" t="s">
        <v>43</v>
      </c>
      <c r="C3427" s="8" t="s">
        <v>17</v>
      </c>
      <c r="D3427" s="8">
        <v>454</v>
      </c>
      <c r="E3427" s="8">
        <v>238</v>
      </c>
      <c r="F3427" s="8">
        <v>304</v>
      </c>
      <c r="G3427" s="8">
        <v>0</v>
      </c>
      <c r="H3427" s="8">
        <v>9795</v>
      </c>
      <c r="I3427" s="8">
        <v>1</v>
      </c>
      <c r="J3427" s="8">
        <v>90</v>
      </c>
      <c r="K3427" s="8">
        <v>261</v>
      </c>
      <c r="L3427" s="8">
        <v>290</v>
      </c>
      <c r="M3427" s="8">
        <v>13.81818182</v>
      </c>
      <c r="N3427">
        <f>VLOOKUP(A3427,vlookup_table!$A:$G,2,FALSE)</f>
        <v>28028</v>
      </c>
      <c r="O3427" t="str">
        <f>VLOOKUP(A3427,vlookup_table!$A:$G,3,FALSE)</f>
        <v>SC</v>
      </c>
      <c r="P3427">
        <f>VLOOKUP(A3427,vlookup_table!$A:$G,4,FALSE)</f>
        <v>3801</v>
      </c>
      <c r="Q3427" t="str">
        <f>VLOOKUP(A3427,vlookup_table!$A:$G,5,FALSE)</f>
        <v>R2</v>
      </c>
      <c r="R3427" t="str">
        <f>VLOOKUP(A3427,vlookup_table!$A:$G,6,FALSE)</f>
        <v>F</v>
      </c>
      <c r="S3427">
        <f>VLOOKUP(A3427,vlookup_table!$A:$G,7,FALSE)</f>
        <v>20</v>
      </c>
      <c r="T3427">
        <f t="shared" si="106"/>
        <v>58</v>
      </c>
      <c r="U3427" t="str">
        <f t="shared" si="107"/>
        <v>Rural</v>
      </c>
    </row>
    <row r="3428" spans="1:21" ht="16" x14ac:dyDescent="0.4">
      <c r="A3428" s="9">
        <v>55450</v>
      </c>
      <c r="B3428" s="8" t="s">
        <v>56</v>
      </c>
      <c r="C3428" s="8" t="s">
        <v>97</v>
      </c>
      <c r="D3428" s="8">
        <v>350</v>
      </c>
      <c r="E3428" s="8">
        <v>173</v>
      </c>
      <c r="F3428" s="8">
        <v>280</v>
      </c>
      <c r="G3428" s="8">
        <v>0</v>
      </c>
      <c r="H3428" s="8">
        <v>9613</v>
      </c>
      <c r="I3428" s="8">
        <v>0</v>
      </c>
      <c r="J3428" s="8">
        <v>89</v>
      </c>
      <c r="K3428" s="8">
        <v>220</v>
      </c>
      <c r="L3428" s="8">
        <v>241</v>
      </c>
      <c r="M3428" s="8">
        <v>3.52631579</v>
      </c>
      <c r="N3428">
        <f>VLOOKUP(A3428,vlookup_table!$A:$G,2,FALSE)</f>
        <v>0</v>
      </c>
      <c r="O3428" t="str">
        <f>VLOOKUP(A3428,vlookup_table!$A:$G,3,FALSE)</f>
        <v>MS</v>
      </c>
      <c r="P3428">
        <f>VLOOKUP(A3428,vlookup_table!$A:$G,4,FALSE)</f>
        <v>0</v>
      </c>
      <c r="Q3428" t="str">
        <f>VLOOKUP(A3428,vlookup_table!$A:$G,5,FALSE)</f>
        <v>R2</v>
      </c>
      <c r="R3428" t="str">
        <f>VLOOKUP(A3428,vlookup_table!$A:$G,6,FALSE)</f>
        <v>F</v>
      </c>
      <c r="S3428">
        <f>VLOOKUP(A3428,vlookup_table!$A:$G,7,FALSE)</f>
        <v>5</v>
      </c>
      <c r="T3428">
        <f t="shared" si="106"/>
        <v>96</v>
      </c>
      <c r="U3428" t="str">
        <f t="shared" si="107"/>
        <v>Rural</v>
      </c>
    </row>
    <row r="3429" spans="1:21" ht="16" x14ac:dyDescent="0.4">
      <c r="A3429" s="9">
        <v>64650</v>
      </c>
      <c r="B3429" s="8" t="s">
        <v>26</v>
      </c>
      <c r="C3429" s="8" t="s">
        <v>14</v>
      </c>
      <c r="D3429" s="8">
        <v>587</v>
      </c>
      <c r="E3429" s="8">
        <v>304</v>
      </c>
      <c r="F3429" s="8">
        <v>400</v>
      </c>
      <c r="G3429" s="8">
        <v>0</v>
      </c>
      <c r="H3429" s="8">
        <v>15481</v>
      </c>
      <c r="I3429" s="8">
        <v>7</v>
      </c>
      <c r="J3429" s="8">
        <v>86</v>
      </c>
      <c r="K3429" s="8">
        <v>319</v>
      </c>
      <c r="L3429" s="8">
        <v>362</v>
      </c>
      <c r="M3429" s="8">
        <v>26.5</v>
      </c>
      <c r="N3429">
        <f>VLOOKUP(A3429,vlookup_table!$A:$G,2,FALSE)</f>
        <v>1</v>
      </c>
      <c r="O3429" t="str">
        <f>VLOOKUP(A3429,vlookup_table!$A:$G,3,FALSE)</f>
        <v>MI</v>
      </c>
      <c r="P3429">
        <f>VLOOKUP(A3429,vlookup_table!$A:$G,4,FALSE)</f>
        <v>3301</v>
      </c>
      <c r="Q3429" t="str">
        <f>VLOOKUP(A3429,vlookup_table!$A:$G,5,FALSE)</f>
        <v>S3</v>
      </c>
      <c r="R3429" t="str">
        <f>VLOOKUP(A3429,vlookup_table!$A:$G,6,FALSE)</f>
        <v>M</v>
      </c>
      <c r="S3429">
        <f>VLOOKUP(A3429,vlookup_table!$A:$G,7,FALSE)</f>
        <v>40</v>
      </c>
      <c r="T3429">
        <f t="shared" si="106"/>
        <v>63</v>
      </c>
      <c r="U3429" t="str">
        <f t="shared" si="107"/>
        <v>Suburbano</v>
      </c>
    </row>
    <row r="3430" spans="1:21" ht="16" x14ac:dyDescent="0.4">
      <c r="A3430" s="9">
        <v>144974</v>
      </c>
      <c r="B3430" s="8" t="s">
        <v>21</v>
      </c>
      <c r="C3430" s="8" t="s">
        <v>14</v>
      </c>
      <c r="D3430" s="8">
        <v>3404</v>
      </c>
      <c r="E3430" s="8">
        <v>752</v>
      </c>
      <c r="F3430" s="8">
        <v>761</v>
      </c>
      <c r="G3430" s="8">
        <v>96</v>
      </c>
      <c r="H3430" s="8">
        <v>31850</v>
      </c>
      <c r="I3430" s="8">
        <v>7</v>
      </c>
      <c r="J3430" s="8">
        <v>44</v>
      </c>
      <c r="K3430" s="8">
        <v>750</v>
      </c>
      <c r="L3430" s="8">
        <v>770</v>
      </c>
      <c r="M3430" s="8">
        <v>10</v>
      </c>
      <c r="N3430">
        <f>VLOOKUP(A3430,vlookup_table!$A:$G,2,FALSE)</f>
        <v>1</v>
      </c>
      <c r="O3430" t="str">
        <f>VLOOKUP(A3430,vlookup_table!$A:$G,3,FALSE)</f>
        <v>CA</v>
      </c>
      <c r="P3430">
        <f>VLOOKUP(A3430,vlookup_table!$A:$G,4,FALSE)</f>
        <v>4901</v>
      </c>
      <c r="Q3430" t="str">
        <f>VLOOKUP(A3430,vlookup_table!$A:$G,5,FALSE)</f>
        <v>U1</v>
      </c>
      <c r="R3430" t="str">
        <f>VLOOKUP(A3430,vlookup_table!$A:$G,6,FALSE)</f>
        <v>M</v>
      </c>
      <c r="S3430">
        <f>VLOOKUP(A3430,vlookup_table!$A:$G,7,FALSE)</f>
        <v>20</v>
      </c>
      <c r="T3430">
        <f t="shared" si="106"/>
        <v>47</v>
      </c>
      <c r="U3430" t="str">
        <f t="shared" si="107"/>
        <v>Urbano</v>
      </c>
    </row>
    <row r="3431" spans="1:21" ht="16" x14ac:dyDescent="0.4">
      <c r="A3431" s="9">
        <v>4254</v>
      </c>
      <c r="B3431" s="8" t="s">
        <v>21</v>
      </c>
      <c r="C3431" s="8" t="s">
        <v>14</v>
      </c>
      <c r="D3431" s="8">
        <v>1738</v>
      </c>
      <c r="E3431" s="8">
        <v>355</v>
      </c>
      <c r="F3431" s="8">
        <v>395</v>
      </c>
      <c r="G3431" s="8">
        <v>29</v>
      </c>
      <c r="H3431" s="8">
        <v>15779</v>
      </c>
      <c r="I3431" s="8">
        <v>24</v>
      </c>
      <c r="J3431" s="8">
        <v>43</v>
      </c>
      <c r="K3431" s="8">
        <v>375</v>
      </c>
      <c r="L3431" s="8">
        <v>387</v>
      </c>
      <c r="M3431" s="8">
        <v>17.100000000000001</v>
      </c>
      <c r="N3431">
        <f>VLOOKUP(A3431,vlookup_table!$A:$G,2,FALSE)</f>
        <v>1</v>
      </c>
      <c r="O3431" t="str">
        <f>VLOOKUP(A3431,vlookup_table!$A:$G,3,FALSE)</f>
        <v>CA</v>
      </c>
      <c r="P3431">
        <f>VLOOKUP(A3431,vlookup_table!$A:$G,4,FALSE)</f>
        <v>4801</v>
      </c>
      <c r="Q3431" t="str">
        <f>VLOOKUP(A3431,vlookup_table!$A:$G,5,FALSE)</f>
        <v>C2</v>
      </c>
      <c r="R3431" t="str">
        <f>VLOOKUP(A3431,vlookup_table!$A:$G,6,FALSE)</f>
        <v>M</v>
      </c>
      <c r="S3431">
        <f>VLOOKUP(A3431,vlookup_table!$A:$G,7,FALSE)</f>
        <v>20</v>
      </c>
      <c r="T3431">
        <f t="shared" si="106"/>
        <v>48</v>
      </c>
      <c r="U3431" t="str">
        <f t="shared" si="107"/>
        <v>Ciudad</v>
      </c>
    </row>
    <row r="3432" spans="1:21" ht="16" x14ac:dyDescent="0.4">
      <c r="A3432" s="9">
        <v>171188</v>
      </c>
      <c r="B3432" s="8" t="s">
        <v>21</v>
      </c>
      <c r="C3432" s="8" t="s">
        <v>17</v>
      </c>
      <c r="D3432" s="8">
        <v>1283</v>
      </c>
      <c r="E3432" s="8">
        <v>223</v>
      </c>
      <c r="F3432" s="8">
        <v>359</v>
      </c>
      <c r="G3432" s="8">
        <v>18</v>
      </c>
      <c r="H3432" s="8">
        <v>13175</v>
      </c>
      <c r="I3432" s="8">
        <v>3</v>
      </c>
      <c r="J3432" s="8">
        <v>63</v>
      </c>
      <c r="K3432" s="8">
        <v>292</v>
      </c>
      <c r="L3432" s="8">
        <v>295</v>
      </c>
      <c r="M3432" s="8">
        <v>11.53333333</v>
      </c>
      <c r="N3432">
        <f>VLOOKUP(A3432,vlookup_table!$A:$G,2,FALSE)</f>
        <v>0</v>
      </c>
      <c r="O3432" t="str">
        <f>VLOOKUP(A3432,vlookup_table!$A:$G,3,FALSE)</f>
        <v>CA</v>
      </c>
      <c r="P3432">
        <f>VLOOKUP(A3432,vlookup_table!$A:$G,4,FALSE)</f>
        <v>3308</v>
      </c>
      <c r="Q3432" t="str">
        <f>VLOOKUP(A3432,vlookup_table!$A:$G,5,FALSE)</f>
        <v>T2</v>
      </c>
      <c r="R3432" t="str">
        <f>VLOOKUP(A3432,vlookup_table!$A:$G,6,FALSE)</f>
        <v>F</v>
      </c>
      <c r="S3432">
        <f>VLOOKUP(A3432,vlookup_table!$A:$G,7,FALSE)</f>
        <v>14</v>
      </c>
      <c r="T3432">
        <f t="shared" si="106"/>
        <v>63</v>
      </c>
      <c r="U3432" t="str">
        <f t="shared" si="107"/>
        <v>Pueblo</v>
      </c>
    </row>
    <row r="3433" spans="1:21" ht="16" x14ac:dyDescent="0.4">
      <c r="A3433" s="9">
        <v>181569</v>
      </c>
      <c r="B3433" s="8" t="s">
        <v>37</v>
      </c>
      <c r="C3433" s="8" t="s">
        <v>17</v>
      </c>
      <c r="D3433" s="8">
        <v>886</v>
      </c>
      <c r="E3433" s="8">
        <v>293</v>
      </c>
      <c r="F3433" s="8">
        <v>433</v>
      </c>
      <c r="G3433" s="8">
        <v>8</v>
      </c>
      <c r="H3433" s="8">
        <v>16413</v>
      </c>
      <c r="I3433" s="8">
        <v>1</v>
      </c>
      <c r="J3433" s="8">
        <v>42</v>
      </c>
      <c r="K3433" s="8">
        <v>351</v>
      </c>
      <c r="L3433" s="8">
        <v>366</v>
      </c>
      <c r="M3433" s="8">
        <v>17.333333329999999</v>
      </c>
      <c r="N3433">
        <f>VLOOKUP(A3433,vlookup_table!$A:$G,2,FALSE)</f>
        <v>0</v>
      </c>
      <c r="O3433" t="str">
        <f>VLOOKUP(A3433,vlookup_table!$A:$G,3,FALSE)</f>
        <v>WA</v>
      </c>
      <c r="P3433">
        <f>VLOOKUP(A3433,vlookup_table!$A:$G,4,FALSE)</f>
        <v>1909</v>
      </c>
      <c r="Q3433" t="str">
        <f>VLOOKUP(A3433,vlookup_table!$A:$G,5,FALSE)</f>
        <v>T2</v>
      </c>
      <c r="R3433" t="str">
        <f>VLOOKUP(A3433,vlookup_table!$A:$G,6,FALSE)</f>
        <v>F</v>
      </c>
      <c r="S3433">
        <f>VLOOKUP(A3433,vlookup_table!$A:$G,7,FALSE)</f>
        <v>21</v>
      </c>
      <c r="T3433">
        <f t="shared" si="106"/>
        <v>77</v>
      </c>
      <c r="U3433" t="str">
        <f t="shared" si="107"/>
        <v>Pueblo</v>
      </c>
    </row>
    <row r="3434" spans="1:21" ht="16" x14ac:dyDescent="0.4">
      <c r="A3434" s="9">
        <v>68797</v>
      </c>
      <c r="B3434" s="8" t="s">
        <v>26</v>
      </c>
      <c r="C3434" s="8" t="s">
        <v>17</v>
      </c>
      <c r="D3434" s="8">
        <v>927</v>
      </c>
      <c r="E3434" s="8">
        <v>323</v>
      </c>
      <c r="F3434" s="8">
        <v>371</v>
      </c>
      <c r="G3434" s="8">
        <v>2</v>
      </c>
      <c r="H3434" s="8">
        <v>18248</v>
      </c>
      <c r="I3434" s="8">
        <v>8</v>
      </c>
      <c r="J3434" s="8">
        <v>80</v>
      </c>
      <c r="K3434" s="8">
        <v>359</v>
      </c>
      <c r="L3434" s="8">
        <v>333</v>
      </c>
      <c r="M3434" s="8">
        <v>7.6666666670000003</v>
      </c>
      <c r="N3434">
        <f>VLOOKUP(A3434,vlookup_table!$A:$G,2,FALSE)</f>
        <v>0</v>
      </c>
      <c r="O3434" t="str">
        <f>VLOOKUP(A3434,vlookup_table!$A:$G,3,FALSE)</f>
        <v>MI</v>
      </c>
      <c r="P3434">
        <f>VLOOKUP(A3434,vlookup_table!$A:$G,4,FALSE)</f>
        <v>0</v>
      </c>
      <c r="Q3434" t="str">
        <f>VLOOKUP(A3434,vlookup_table!$A:$G,5,FALSE)</f>
        <v>S2</v>
      </c>
      <c r="R3434" t="str">
        <f>VLOOKUP(A3434,vlookup_table!$A:$G,6,FALSE)</f>
        <v>F</v>
      </c>
      <c r="S3434">
        <f>VLOOKUP(A3434,vlookup_table!$A:$G,7,FALSE)</f>
        <v>10</v>
      </c>
      <c r="T3434">
        <f t="shared" si="106"/>
        <v>96</v>
      </c>
      <c r="U3434" t="str">
        <f t="shared" si="107"/>
        <v>Suburbano</v>
      </c>
    </row>
    <row r="3435" spans="1:21" ht="16" x14ac:dyDescent="0.4">
      <c r="A3435" s="9">
        <v>99602</v>
      </c>
      <c r="B3435" s="8" t="s">
        <v>33</v>
      </c>
      <c r="C3435" s="8" t="s">
        <v>17</v>
      </c>
      <c r="D3435" s="8">
        <v>649</v>
      </c>
      <c r="E3435" s="8">
        <v>317</v>
      </c>
      <c r="F3435" s="8">
        <v>410</v>
      </c>
      <c r="G3435" s="8">
        <v>0</v>
      </c>
      <c r="H3435" s="8">
        <v>16063</v>
      </c>
      <c r="I3435" s="8">
        <v>1</v>
      </c>
      <c r="J3435" s="8">
        <v>71</v>
      </c>
      <c r="K3435" s="8">
        <v>399</v>
      </c>
      <c r="L3435" s="8">
        <v>350</v>
      </c>
      <c r="M3435" s="8">
        <v>7.9411764710000003</v>
      </c>
      <c r="N3435">
        <f>VLOOKUP(A3435,vlookup_table!$A:$G,2,FALSE)</f>
        <v>3</v>
      </c>
      <c r="O3435" t="str">
        <f>VLOOKUP(A3435,vlookup_table!$A:$G,3,FALSE)</f>
        <v>MO</v>
      </c>
      <c r="P3435">
        <f>VLOOKUP(A3435,vlookup_table!$A:$G,4,FALSE)</f>
        <v>2704</v>
      </c>
      <c r="Q3435" t="str">
        <f>VLOOKUP(A3435,vlookup_table!$A:$G,5,FALSE)</f>
        <v>S2</v>
      </c>
      <c r="R3435" t="str">
        <f>VLOOKUP(A3435,vlookup_table!$A:$G,6,FALSE)</f>
        <v>F</v>
      </c>
      <c r="S3435">
        <f>VLOOKUP(A3435,vlookup_table!$A:$G,7,FALSE)</f>
        <v>10</v>
      </c>
      <c r="T3435">
        <f t="shared" si="106"/>
        <v>69</v>
      </c>
      <c r="U3435" t="str">
        <f t="shared" si="107"/>
        <v>Suburbano</v>
      </c>
    </row>
    <row r="3436" spans="1:21" ht="16" x14ac:dyDescent="0.4">
      <c r="A3436" s="9">
        <v>182586</v>
      </c>
      <c r="B3436" s="8" t="s">
        <v>37</v>
      </c>
      <c r="C3436" s="8" t="s">
        <v>14</v>
      </c>
      <c r="D3436" s="8">
        <v>429</v>
      </c>
      <c r="E3436" s="8">
        <v>192</v>
      </c>
      <c r="F3436" s="8">
        <v>259</v>
      </c>
      <c r="G3436" s="8">
        <v>0</v>
      </c>
      <c r="H3436" s="8">
        <v>8712</v>
      </c>
      <c r="I3436" s="8">
        <v>1</v>
      </c>
      <c r="J3436" s="8">
        <v>49</v>
      </c>
      <c r="K3436" s="8">
        <v>215</v>
      </c>
      <c r="L3436" s="8">
        <v>224</v>
      </c>
      <c r="M3436" s="8">
        <v>6.8666666669999996</v>
      </c>
      <c r="N3436">
        <f>VLOOKUP(A3436,vlookup_table!$A:$G,2,FALSE)</f>
        <v>1</v>
      </c>
      <c r="O3436" t="str">
        <f>VLOOKUP(A3436,vlookup_table!$A:$G,3,FALSE)</f>
        <v>WA</v>
      </c>
      <c r="P3436">
        <f>VLOOKUP(A3436,vlookup_table!$A:$G,4,FALSE)</f>
        <v>1901</v>
      </c>
      <c r="Q3436" t="str">
        <f>VLOOKUP(A3436,vlookup_table!$A:$G,5,FALSE)</f>
        <v>R3</v>
      </c>
      <c r="R3436" t="str">
        <f>VLOOKUP(A3436,vlookup_table!$A:$G,6,FALSE)</f>
        <v>M</v>
      </c>
      <c r="S3436">
        <f>VLOOKUP(A3436,vlookup_table!$A:$G,7,FALSE)</f>
        <v>8</v>
      </c>
      <c r="T3436">
        <f t="shared" si="106"/>
        <v>77</v>
      </c>
      <c r="U3436" t="str">
        <f t="shared" si="107"/>
        <v>Rural</v>
      </c>
    </row>
    <row r="3437" spans="1:21" ht="16" x14ac:dyDescent="0.4">
      <c r="A3437" s="9">
        <v>11023</v>
      </c>
      <c r="B3437" s="8" t="s">
        <v>21</v>
      </c>
      <c r="C3437" s="8" t="s">
        <v>14</v>
      </c>
      <c r="D3437" s="8">
        <v>1869</v>
      </c>
      <c r="E3437" s="8">
        <v>559</v>
      </c>
      <c r="F3437" s="8">
        <v>600</v>
      </c>
      <c r="G3437" s="8">
        <v>38</v>
      </c>
      <c r="H3437" s="8">
        <v>20539</v>
      </c>
      <c r="I3437" s="8">
        <v>5</v>
      </c>
      <c r="J3437" s="8">
        <v>61</v>
      </c>
      <c r="K3437" s="8">
        <v>560</v>
      </c>
      <c r="L3437" s="8">
        <v>577</v>
      </c>
      <c r="M3437" s="8">
        <v>6.4</v>
      </c>
      <c r="N3437">
        <f>VLOOKUP(A3437,vlookup_table!$A:$G,2,FALSE)</f>
        <v>1</v>
      </c>
      <c r="O3437" t="str">
        <f>VLOOKUP(A3437,vlookup_table!$A:$G,3,FALSE)</f>
        <v>CA</v>
      </c>
      <c r="P3437">
        <f>VLOOKUP(A3437,vlookup_table!$A:$G,4,FALSE)</f>
        <v>2001</v>
      </c>
      <c r="Q3437" t="str">
        <f>VLOOKUP(A3437,vlookup_table!$A:$G,5,FALSE)</f>
        <v>T2</v>
      </c>
      <c r="R3437" t="str">
        <f>VLOOKUP(A3437,vlookup_table!$A:$G,6,FALSE)</f>
        <v>M</v>
      </c>
      <c r="S3437">
        <f>VLOOKUP(A3437,vlookup_table!$A:$G,7,FALSE)</f>
        <v>5</v>
      </c>
      <c r="T3437">
        <f t="shared" si="106"/>
        <v>76</v>
      </c>
      <c r="U3437" t="str">
        <f t="shared" si="107"/>
        <v>Pueblo</v>
      </c>
    </row>
    <row r="3438" spans="1:21" ht="16" x14ac:dyDescent="0.4">
      <c r="A3438" s="9">
        <v>176409</v>
      </c>
      <c r="B3438" s="8" t="s">
        <v>47</v>
      </c>
      <c r="C3438" s="8" t="s">
        <v>14</v>
      </c>
      <c r="D3438" s="8">
        <v>709</v>
      </c>
      <c r="E3438" s="8">
        <v>361</v>
      </c>
      <c r="F3438" s="8">
        <v>494</v>
      </c>
      <c r="G3438" s="8">
        <v>0</v>
      </c>
      <c r="H3438" s="8">
        <v>15076</v>
      </c>
      <c r="I3438" s="8">
        <v>2</v>
      </c>
      <c r="J3438" s="8">
        <v>53</v>
      </c>
      <c r="K3438" s="8">
        <v>442</v>
      </c>
      <c r="L3438" s="8">
        <v>440</v>
      </c>
      <c r="M3438" s="8">
        <v>12.4</v>
      </c>
      <c r="N3438">
        <f>VLOOKUP(A3438,vlookup_table!$A:$G,2,FALSE)</f>
        <v>1</v>
      </c>
      <c r="O3438" t="str">
        <f>VLOOKUP(A3438,vlookup_table!$A:$G,3,FALSE)</f>
        <v>OR</v>
      </c>
      <c r="P3438">
        <f>VLOOKUP(A3438,vlookup_table!$A:$G,4,FALSE)</f>
        <v>4106</v>
      </c>
      <c r="Q3438" t="str">
        <f>VLOOKUP(A3438,vlookup_table!$A:$G,5,FALSE)</f>
        <v>T2</v>
      </c>
      <c r="R3438" t="str">
        <f>VLOOKUP(A3438,vlookup_table!$A:$G,6,FALSE)</f>
        <v>M</v>
      </c>
      <c r="S3438">
        <f>VLOOKUP(A3438,vlookup_table!$A:$G,7,FALSE)</f>
        <v>30</v>
      </c>
      <c r="T3438">
        <f t="shared" si="106"/>
        <v>55</v>
      </c>
      <c r="U3438" t="str">
        <f t="shared" si="107"/>
        <v>Pueblo</v>
      </c>
    </row>
    <row r="3439" spans="1:21" ht="16" x14ac:dyDescent="0.4">
      <c r="A3439" s="9">
        <v>72452</v>
      </c>
      <c r="B3439" s="8" t="s">
        <v>26</v>
      </c>
      <c r="C3439" s="8" t="s">
        <v>17</v>
      </c>
      <c r="D3439" s="8">
        <v>951</v>
      </c>
      <c r="E3439" s="8">
        <v>601</v>
      </c>
      <c r="F3439" s="8">
        <v>648</v>
      </c>
      <c r="G3439" s="8">
        <v>2</v>
      </c>
      <c r="H3439" s="8">
        <v>20169</v>
      </c>
      <c r="I3439" s="8">
        <v>1</v>
      </c>
      <c r="J3439" s="8">
        <v>74</v>
      </c>
      <c r="K3439" s="8">
        <v>611</v>
      </c>
      <c r="L3439" s="8">
        <v>639</v>
      </c>
      <c r="M3439" s="8">
        <v>3.3333333330000001</v>
      </c>
      <c r="N3439">
        <f>VLOOKUP(A3439,vlookup_table!$A:$G,2,FALSE)</f>
        <v>0</v>
      </c>
      <c r="O3439" t="str">
        <f>VLOOKUP(A3439,vlookup_table!$A:$G,3,FALSE)</f>
        <v>MI</v>
      </c>
      <c r="P3439">
        <f>VLOOKUP(A3439,vlookup_table!$A:$G,4,FALSE)</f>
        <v>6110</v>
      </c>
      <c r="Q3439" t="str">
        <f>VLOOKUP(A3439,vlookup_table!$A:$G,5,FALSE)</f>
        <v>T2</v>
      </c>
      <c r="R3439" t="str">
        <f>VLOOKUP(A3439,vlookup_table!$A:$G,6,FALSE)</f>
        <v>F</v>
      </c>
      <c r="S3439">
        <f>VLOOKUP(A3439,vlookup_table!$A:$G,7,FALSE)</f>
        <v>4</v>
      </c>
      <c r="T3439">
        <f t="shared" si="106"/>
        <v>35</v>
      </c>
      <c r="U3439" t="str">
        <f t="shared" si="107"/>
        <v>Pueblo</v>
      </c>
    </row>
    <row r="3440" spans="1:21" ht="16" x14ac:dyDescent="0.4">
      <c r="A3440" s="9">
        <v>77523</v>
      </c>
      <c r="B3440" s="8" t="s">
        <v>32</v>
      </c>
      <c r="C3440" s="8" t="s">
        <v>17</v>
      </c>
      <c r="D3440" s="8">
        <v>856</v>
      </c>
      <c r="E3440" s="8">
        <v>458</v>
      </c>
      <c r="F3440" s="8">
        <v>536</v>
      </c>
      <c r="G3440" s="8">
        <v>0</v>
      </c>
      <c r="H3440" s="8">
        <v>18209</v>
      </c>
      <c r="I3440" s="8">
        <v>3</v>
      </c>
      <c r="J3440" s="8">
        <v>81</v>
      </c>
      <c r="K3440" s="8">
        <v>478</v>
      </c>
      <c r="L3440" s="8">
        <v>497</v>
      </c>
      <c r="M3440" s="8">
        <v>8.3571428569999995</v>
      </c>
      <c r="N3440">
        <f>VLOOKUP(A3440,vlookup_table!$A:$G,2,FALSE)</f>
        <v>0</v>
      </c>
      <c r="O3440" t="str">
        <f>VLOOKUP(A3440,vlookup_table!$A:$G,3,FALSE)</f>
        <v>WI</v>
      </c>
      <c r="P3440">
        <f>VLOOKUP(A3440,vlookup_table!$A:$G,4,FALSE)</f>
        <v>0</v>
      </c>
      <c r="Q3440" t="str">
        <f>VLOOKUP(A3440,vlookup_table!$A:$G,5,FALSE)</f>
        <v>T2</v>
      </c>
      <c r="R3440" t="str">
        <f>VLOOKUP(A3440,vlookup_table!$A:$G,6,FALSE)</f>
        <v>F</v>
      </c>
      <c r="S3440">
        <f>VLOOKUP(A3440,vlookup_table!$A:$G,7,FALSE)</f>
        <v>15</v>
      </c>
      <c r="T3440">
        <f t="shared" si="106"/>
        <v>96</v>
      </c>
      <c r="U3440" t="str">
        <f t="shared" si="107"/>
        <v>Pueblo</v>
      </c>
    </row>
    <row r="3441" spans="1:21" ht="16" x14ac:dyDescent="0.4">
      <c r="A3441" s="9">
        <v>29130</v>
      </c>
      <c r="B3441" s="8" t="s">
        <v>36</v>
      </c>
      <c r="C3441" s="8" t="s">
        <v>14</v>
      </c>
      <c r="D3441" s="8">
        <v>664</v>
      </c>
      <c r="E3441" s="8">
        <v>357</v>
      </c>
      <c r="F3441" s="8">
        <v>414</v>
      </c>
      <c r="G3441" s="8">
        <v>1</v>
      </c>
      <c r="H3441" s="8">
        <v>11747</v>
      </c>
      <c r="I3441" s="8">
        <v>0</v>
      </c>
      <c r="J3441" s="8">
        <v>86</v>
      </c>
      <c r="K3441" s="8">
        <v>363</v>
      </c>
      <c r="L3441" s="8">
        <v>389</v>
      </c>
      <c r="M3441" s="8">
        <v>9.6</v>
      </c>
      <c r="N3441">
        <f>VLOOKUP(A3441,vlookup_table!$A:$G,2,FALSE)</f>
        <v>1</v>
      </c>
      <c r="O3441" t="str">
        <f>VLOOKUP(A3441,vlookup_table!$A:$G,3,FALSE)</f>
        <v>GA</v>
      </c>
      <c r="P3441">
        <f>VLOOKUP(A3441,vlookup_table!$A:$G,4,FALSE)</f>
        <v>6701</v>
      </c>
      <c r="Q3441" t="str">
        <f>VLOOKUP(A3441,vlookup_table!$A:$G,5,FALSE)</f>
        <v>R2</v>
      </c>
      <c r="R3441" t="str">
        <f>VLOOKUP(A3441,vlookup_table!$A:$G,6,FALSE)</f>
        <v>M</v>
      </c>
      <c r="S3441">
        <f>VLOOKUP(A3441,vlookup_table!$A:$G,7,FALSE)</f>
        <v>10</v>
      </c>
      <c r="T3441">
        <f t="shared" si="106"/>
        <v>29</v>
      </c>
      <c r="U3441" t="str">
        <f t="shared" si="107"/>
        <v>Rural</v>
      </c>
    </row>
    <row r="3442" spans="1:21" ht="16" x14ac:dyDescent="0.4">
      <c r="A3442" s="9">
        <v>141308</v>
      </c>
      <c r="B3442" s="8" t="s">
        <v>35</v>
      </c>
      <c r="C3442" s="8" t="s">
        <v>17</v>
      </c>
      <c r="D3442" s="8">
        <v>695</v>
      </c>
      <c r="E3442" s="8">
        <v>288</v>
      </c>
      <c r="F3442" s="8">
        <v>412</v>
      </c>
      <c r="G3442" s="8">
        <v>0</v>
      </c>
      <c r="H3442" s="8">
        <v>11994</v>
      </c>
      <c r="I3442" s="8">
        <v>1</v>
      </c>
      <c r="J3442" s="8">
        <v>81</v>
      </c>
      <c r="K3442" s="8">
        <v>371</v>
      </c>
      <c r="L3442" s="8">
        <v>338</v>
      </c>
      <c r="M3442" s="8">
        <v>4.692307692</v>
      </c>
      <c r="N3442">
        <f>VLOOKUP(A3442,vlookup_table!$A:$G,2,FALSE)</f>
        <v>0</v>
      </c>
      <c r="O3442" t="str">
        <f>VLOOKUP(A3442,vlookup_table!$A:$G,3,FALSE)</f>
        <v>UT</v>
      </c>
      <c r="P3442">
        <f>VLOOKUP(A3442,vlookup_table!$A:$G,4,FALSE)</f>
        <v>5601</v>
      </c>
      <c r="Q3442" t="str">
        <f>VLOOKUP(A3442,vlookup_table!$A:$G,5,FALSE)</f>
        <v>S2</v>
      </c>
      <c r="R3442" t="str">
        <f>VLOOKUP(A3442,vlookup_table!$A:$G,6,FALSE)</f>
        <v>F</v>
      </c>
      <c r="S3442">
        <f>VLOOKUP(A3442,vlookup_table!$A:$G,7,FALSE)</f>
        <v>4</v>
      </c>
      <c r="T3442">
        <f t="shared" si="106"/>
        <v>40</v>
      </c>
      <c r="U3442" t="str">
        <f t="shared" si="107"/>
        <v>Suburbano</v>
      </c>
    </row>
    <row r="3443" spans="1:21" ht="16" x14ac:dyDescent="0.4">
      <c r="A3443" s="9">
        <v>15349</v>
      </c>
      <c r="B3443" s="8" t="s">
        <v>18</v>
      </c>
      <c r="C3443" s="8" t="s">
        <v>14</v>
      </c>
      <c r="D3443" s="8">
        <v>651</v>
      </c>
      <c r="E3443" s="8">
        <v>201</v>
      </c>
      <c r="F3443" s="8">
        <v>472</v>
      </c>
      <c r="G3443" s="8">
        <v>14</v>
      </c>
      <c r="H3443" s="8">
        <v>30052</v>
      </c>
      <c r="I3443" s="8">
        <v>1</v>
      </c>
      <c r="J3443" s="8">
        <v>62</v>
      </c>
      <c r="K3443" s="8">
        <v>367</v>
      </c>
      <c r="L3443" s="8">
        <v>336</v>
      </c>
      <c r="M3443" s="8">
        <v>20</v>
      </c>
      <c r="N3443">
        <f>VLOOKUP(A3443,vlookup_table!$A:$G,2,FALSE)</f>
        <v>1</v>
      </c>
      <c r="O3443" t="str">
        <f>VLOOKUP(A3443,vlookup_table!$A:$G,3,FALSE)</f>
        <v>NC</v>
      </c>
      <c r="P3443">
        <f>VLOOKUP(A3443,vlookup_table!$A:$G,4,FALSE)</f>
        <v>2201</v>
      </c>
      <c r="Q3443" t="str">
        <f>VLOOKUP(A3443,vlookup_table!$A:$G,5,FALSE)</f>
        <v>C2</v>
      </c>
      <c r="R3443" t="str">
        <f>VLOOKUP(A3443,vlookup_table!$A:$G,6,FALSE)</f>
        <v>M</v>
      </c>
      <c r="S3443">
        <f>VLOOKUP(A3443,vlookup_table!$A:$G,7,FALSE)</f>
        <v>30</v>
      </c>
      <c r="T3443">
        <f t="shared" si="106"/>
        <v>74</v>
      </c>
      <c r="U3443" t="str">
        <f t="shared" si="107"/>
        <v>Ciudad</v>
      </c>
    </row>
    <row r="3444" spans="1:21" ht="16" x14ac:dyDescent="0.4">
      <c r="A3444" s="9">
        <v>124095</v>
      </c>
      <c r="B3444" s="8" t="s">
        <v>20</v>
      </c>
      <c r="C3444" s="8" t="s">
        <v>17</v>
      </c>
      <c r="D3444" s="8">
        <v>328</v>
      </c>
      <c r="E3444" s="8">
        <v>268</v>
      </c>
      <c r="F3444" s="8">
        <v>317</v>
      </c>
      <c r="G3444" s="8">
        <v>0</v>
      </c>
      <c r="H3444" s="8">
        <v>10558</v>
      </c>
      <c r="I3444" s="8">
        <v>16</v>
      </c>
      <c r="J3444" s="8">
        <v>65</v>
      </c>
      <c r="K3444" s="8">
        <v>308</v>
      </c>
      <c r="L3444" s="8">
        <v>300</v>
      </c>
      <c r="M3444" s="8">
        <v>15</v>
      </c>
      <c r="N3444">
        <f>VLOOKUP(A3444,vlookup_table!$A:$G,2,FALSE)</f>
        <v>2</v>
      </c>
      <c r="O3444" t="str">
        <f>VLOOKUP(A3444,vlookup_table!$A:$G,3,FALSE)</f>
        <v>TX</v>
      </c>
      <c r="P3444">
        <f>VLOOKUP(A3444,vlookup_table!$A:$G,4,FALSE)</f>
        <v>2901</v>
      </c>
      <c r="Q3444" t="str">
        <f>VLOOKUP(A3444,vlookup_table!$A:$G,5,FALSE)</f>
        <v>C3</v>
      </c>
      <c r="R3444" t="str">
        <f>VLOOKUP(A3444,vlookup_table!$A:$G,6,FALSE)</f>
        <v>F</v>
      </c>
      <c r="S3444">
        <f>VLOOKUP(A3444,vlookup_table!$A:$G,7,FALSE)</f>
        <v>21</v>
      </c>
      <c r="T3444">
        <f t="shared" si="106"/>
        <v>67</v>
      </c>
      <c r="U3444" t="str">
        <f t="shared" si="107"/>
        <v>Ciudad</v>
      </c>
    </row>
    <row r="3445" spans="1:21" ht="16" x14ac:dyDescent="0.4">
      <c r="A3445" s="9">
        <v>106583</v>
      </c>
      <c r="B3445" s="8" t="s">
        <v>55</v>
      </c>
      <c r="C3445" s="8" t="s">
        <v>14</v>
      </c>
      <c r="D3445" s="8">
        <v>337</v>
      </c>
      <c r="E3445" s="8">
        <v>296</v>
      </c>
      <c r="F3445" s="8">
        <v>415</v>
      </c>
      <c r="G3445" s="8">
        <v>0</v>
      </c>
      <c r="H3445" s="8">
        <v>14902</v>
      </c>
      <c r="I3445" s="8">
        <v>1</v>
      </c>
      <c r="J3445" s="8">
        <v>83</v>
      </c>
      <c r="K3445" s="8">
        <v>344</v>
      </c>
      <c r="L3445" s="8">
        <v>350</v>
      </c>
      <c r="M3445" s="8">
        <v>5.5476190479999996</v>
      </c>
      <c r="N3445">
        <f>VLOOKUP(A3445,vlookup_table!$A:$G,2,FALSE)</f>
        <v>0</v>
      </c>
      <c r="O3445" t="str">
        <f>VLOOKUP(A3445,vlookup_table!$A:$G,3,FALSE)</f>
        <v>NE</v>
      </c>
      <c r="P3445">
        <f>VLOOKUP(A3445,vlookup_table!$A:$G,4,FALSE)</f>
        <v>2002</v>
      </c>
      <c r="Q3445" t="str">
        <f>VLOOKUP(A3445,vlookup_table!$A:$G,5,FALSE)</f>
        <v>R2</v>
      </c>
      <c r="R3445" t="str">
        <f>VLOOKUP(A3445,vlookup_table!$A:$G,6,FALSE)</f>
        <v>M</v>
      </c>
      <c r="S3445">
        <f>VLOOKUP(A3445,vlookup_table!$A:$G,7,FALSE)</f>
        <v>5</v>
      </c>
      <c r="T3445">
        <f t="shared" si="106"/>
        <v>76</v>
      </c>
      <c r="U3445" t="str">
        <f t="shared" si="107"/>
        <v>Rural</v>
      </c>
    </row>
    <row r="3446" spans="1:21" ht="16" x14ac:dyDescent="0.4">
      <c r="A3446" s="9">
        <v>131263</v>
      </c>
      <c r="B3446" s="8" t="s">
        <v>45</v>
      </c>
      <c r="C3446" s="8" t="s">
        <v>17</v>
      </c>
      <c r="D3446" s="8">
        <v>475</v>
      </c>
      <c r="E3446" s="8">
        <v>82</v>
      </c>
      <c r="F3446" s="8">
        <v>125</v>
      </c>
      <c r="G3446" s="8">
        <v>9</v>
      </c>
      <c r="H3446" s="8">
        <v>7813</v>
      </c>
      <c r="I3446" s="8">
        <v>5</v>
      </c>
      <c r="J3446" s="8">
        <v>46</v>
      </c>
      <c r="K3446" s="8">
        <v>90</v>
      </c>
      <c r="L3446" s="8">
        <v>150</v>
      </c>
      <c r="M3446" s="8">
        <v>9.5333333329999999</v>
      </c>
      <c r="N3446">
        <f>VLOOKUP(A3446,vlookup_table!$A:$G,2,FALSE)</f>
        <v>0</v>
      </c>
      <c r="O3446" t="str">
        <f>VLOOKUP(A3446,vlookup_table!$A:$G,3,FALSE)</f>
        <v>CO</v>
      </c>
      <c r="P3446">
        <f>VLOOKUP(A3446,vlookup_table!$A:$G,4,FALSE)</f>
        <v>701</v>
      </c>
      <c r="Q3446" t="str">
        <f>VLOOKUP(A3446,vlookup_table!$A:$G,5,FALSE)</f>
        <v>C3</v>
      </c>
      <c r="R3446" t="str">
        <f>VLOOKUP(A3446,vlookup_table!$A:$G,6,FALSE)</f>
        <v>F</v>
      </c>
      <c r="S3446">
        <f>VLOOKUP(A3446,vlookup_table!$A:$G,7,FALSE)</f>
        <v>12</v>
      </c>
      <c r="T3446">
        <f t="shared" si="106"/>
        <v>26</v>
      </c>
      <c r="U3446" t="str">
        <f t="shared" si="107"/>
        <v>Ciudad</v>
      </c>
    </row>
    <row r="3447" spans="1:21" ht="16" x14ac:dyDescent="0.4">
      <c r="A3447" s="9">
        <v>14376</v>
      </c>
      <c r="B3447" s="8" t="s">
        <v>53</v>
      </c>
      <c r="C3447" s="8" t="s">
        <v>17</v>
      </c>
      <c r="D3447" s="8">
        <v>295</v>
      </c>
      <c r="E3447" s="8">
        <v>182</v>
      </c>
      <c r="F3447" s="8">
        <v>285</v>
      </c>
      <c r="G3447" s="8">
        <v>0</v>
      </c>
      <c r="H3447" s="8">
        <v>10151</v>
      </c>
      <c r="I3447" s="8">
        <v>0</v>
      </c>
      <c r="J3447" s="8">
        <v>73</v>
      </c>
      <c r="K3447" s="8">
        <v>219</v>
      </c>
      <c r="L3447" s="8">
        <v>242</v>
      </c>
      <c r="M3447" s="8">
        <v>9.4545454549999999</v>
      </c>
      <c r="N3447">
        <f>VLOOKUP(A3447,vlookup_table!$A:$G,2,FALSE)</f>
        <v>0</v>
      </c>
      <c r="O3447" t="str">
        <f>VLOOKUP(A3447,vlookup_table!$A:$G,3,FALSE)</f>
        <v>KY</v>
      </c>
      <c r="P3447">
        <f>VLOOKUP(A3447,vlookup_table!$A:$G,4,FALSE)</f>
        <v>6611</v>
      </c>
      <c r="Q3447" t="str">
        <f>VLOOKUP(A3447,vlookup_table!$A:$G,5,FALSE)</f>
        <v>R2</v>
      </c>
      <c r="R3447" t="str">
        <f>VLOOKUP(A3447,vlookup_table!$A:$G,6,FALSE)</f>
        <v>F</v>
      </c>
      <c r="S3447">
        <f>VLOOKUP(A3447,vlookup_table!$A:$G,7,FALSE)</f>
        <v>15</v>
      </c>
      <c r="T3447">
        <f t="shared" si="106"/>
        <v>30</v>
      </c>
      <c r="U3447" t="str">
        <f t="shared" si="107"/>
        <v>Rural</v>
      </c>
    </row>
    <row r="3448" spans="1:21" ht="16" x14ac:dyDescent="0.4">
      <c r="A3448" s="9">
        <v>147641</v>
      </c>
      <c r="B3448" s="8" t="s">
        <v>21</v>
      </c>
      <c r="C3448" s="8" t="s">
        <v>17</v>
      </c>
      <c r="D3448" s="8">
        <v>2302</v>
      </c>
      <c r="E3448" s="8">
        <v>313</v>
      </c>
      <c r="F3448" s="8">
        <v>521</v>
      </c>
      <c r="G3448" s="8">
        <v>67</v>
      </c>
      <c r="H3448" s="8">
        <v>18199</v>
      </c>
      <c r="I3448" s="8">
        <v>15</v>
      </c>
      <c r="J3448" s="8">
        <v>48</v>
      </c>
      <c r="K3448" s="8">
        <v>390</v>
      </c>
      <c r="L3448" s="8">
        <v>411</v>
      </c>
      <c r="M3448" s="8">
        <v>7.1333333330000004</v>
      </c>
      <c r="N3448">
        <f>VLOOKUP(A3448,vlookup_table!$A:$G,2,FALSE)</f>
        <v>2</v>
      </c>
      <c r="O3448" t="str">
        <f>VLOOKUP(A3448,vlookup_table!$A:$G,3,FALSE)</f>
        <v>CA</v>
      </c>
      <c r="P3448">
        <f>VLOOKUP(A3448,vlookup_table!$A:$G,4,FALSE)</f>
        <v>1306</v>
      </c>
      <c r="Q3448" t="str">
        <f>VLOOKUP(A3448,vlookup_table!$A:$G,5,FALSE)</f>
        <v>S2</v>
      </c>
      <c r="R3448" t="str">
        <f>VLOOKUP(A3448,vlookup_table!$A:$G,6,FALSE)</f>
        <v>F</v>
      </c>
      <c r="S3448">
        <f>VLOOKUP(A3448,vlookup_table!$A:$G,7,FALSE)</f>
        <v>10</v>
      </c>
      <c r="T3448">
        <f t="shared" si="106"/>
        <v>83</v>
      </c>
      <c r="U3448" t="str">
        <f t="shared" si="107"/>
        <v>Suburbano</v>
      </c>
    </row>
    <row r="3449" spans="1:21" ht="16" x14ac:dyDescent="0.4">
      <c r="A3449" s="9">
        <v>131972</v>
      </c>
      <c r="B3449" s="8" t="s">
        <v>45</v>
      </c>
      <c r="C3449" s="8" t="s">
        <v>17</v>
      </c>
      <c r="D3449" s="8">
        <v>513</v>
      </c>
      <c r="E3449" s="8">
        <v>250</v>
      </c>
      <c r="F3449" s="8">
        <v>347</v>
      </c>
      <c r="G3449" s="8">
        <v>0</v>
      </c>
      <c r="H3449" s="8">
        <v>11462</v>
      </c>
      <c r="I3449" s="8">
        <v>3</v>
      </c>
      <c r="J3449" s="8">
        <v>59</v>
      </c>
      <c r="K3449" s="8">
        <v>288</v>
      </c>
      <c r="L3449" s="8">
        <v>313</v>
      </c>
      <c r="M3449" s="8">
        <v>5.7777777779999999</v>
      </c>
      <c r="N3449">
        <f>VLOOKUP(A3449,vlookup_table!$A:$G,2,FALSE)</f>
        <v>28</v>
      </c>
      <c r="O3449" t="str">
        <f>VLOOKUP(A3449,vlookup_table!$A:$G,3,FALSE)</f>
        <v>CO</v>
      </c>
      <c r="P3449">
        <f>VLOOKUP(A3449,vlookup_table!$A:$G,4,FALSE)</f>
        <v>0</v>
      </c>
      <c r="Q3449" t="str">
        <f>VLOOKUP(A3449,vlookup_table!$A:$G,5,FALSE)</f>
        <v>R2</v>
      </c>
      <c r="R3449" t="str">
        <f>VLOOKUP(A3449,vlookup_table!$A:$G,6,FALSE)</f>
        <v>F</v>
      </c>
      <c r="S3449">
        <f>VLOOKUP(A3449,vlookup_table!$A:$G,7,FALSE)</f>
        <v>6</v>
      </c>
      <c r="T3449">
        <f t="shared" si="106"/>
        <v>96</v>
      </c>
      <c r="U3449" t="str">
        <f t="shared" si="107"/>
        <v>Rural</v>
      </c>
    </row>
    <row r="3450" spans="1:21" ht="16" x14ac:dyDescent="0.4">
      <c r="A3450" s="9">
        <v>170714</v>
      </c>
      <c r="B3450" s="8" t="s">
        <v>21</v>
      </c>
      <c r="C3450" s="8"/>
      <c r="D3450" s="8">
        <v>1452</v>
      </c>
      <c r="E3450" s="8">
        <v>286</v>
      </c>
      <c r="F3450" s="8">
        <v>363</v>
      </c>
      <c r="G3450" s="8">
        <v>4</v>
      </c>
      <c r="H3450" s="8">
        <v>13126</v>
      </c>
      <c r="I3450" s="8">
        <v>9</v>
      </c>
      <c r="J3450" s="8">
        <v>61</v>
      </c>
      <c r="K3450" s="8">
        <v>279</v>
      </c>
      <c r="L3450" s="8">
        <v>346</v>
      </c>
      <c r="M3450" s="8">
        <v>12.61538462</v>
      </c>
      <c r="N3450">
        <f>VLOOKUP(A3450,vlookup_table!$A:$G,2,FALSE)</f>
        <v>0</v>
      </c>
      <c r="O3450" t="str">
        <f>VLOOKUP(A3450,vlookup_table!$A:$G,3,FALSE)</f>
        <v>CA</v>
      </c>
      <c r="P3450">
        <f>VLOOKUP(A3450,vlookup_table!$A:$G,4,FALSE)</f>
        <v>4106</v>
      </c>
      <c r="Q3450" t="str">
        <f>VLOOKUP(A3450,vlookup_table!$A:$G,5,FALSE)</f>
        <v>C1</v>
      </c>
      <c r="R3450" t="str">
        <f>VLOOKUP(A3450,vlookup_table!$A:$G,6,FALSE)</f>
        <v/>
      </c>
      <c r="S3450">
        <f>VLOOKUP(A3450,vlookup_table!$A:$G,7,FALSE)</f>
        <v>20</v>
      </c>
      <c r="T3450">
        <f t="shared" si="106"/>
        <v>55</v>
      </c>
      <c r="U3450" t="str">
        <f t="shared" si="107"/>
        <v>Ciudad</v>
      </c>
    </row>
    <row r="3451" spans="1:21" ht="16" x14ac:dyDescent="0.4">
      <c r="A3451" s="9">
        <v>167755</v>
      </c>
      <c r="B3451" s="8" t="s">
        <v>21</v>
      </c>
      <c r="C3451" s="8" t="s">
        <v>14</v>
      </c>
      <c r="D3451" s="8">
        <v>5940</v>
      </c>
      <c r="E3451" s="8">
        <v>761</v>
      </c>
      <c r="F3451" s="8">
        <v>1004</v>
      </c>
      <c r="G3451" s="8">
        <v>99</v>
      </c>
      <c r="H3451" s="8">
        <v>43571</v>
      </c>
      <c r="I3451" s="8">
        <v>18</v>
      </c>
      <c r="J3451" s="8">
        <v>41</v>
      </c>
      <c r="K3451" s="8">
        <v>1114</v>
      </c>
      <c r="L3451" s="8">
        <v>721</v>
      </c>
      <c r="M3451" s="8">
        <v>13</v>
      </c>
      <c r="N3451">
        <f>VLOOKUP(A3451,vlookup_table!$A:$G,2,FALSE)</f>
        <v>1</v>
      </c>
      <c r="O3451" t="str">
        <f>VLOOKUP(A3451,vlookup_table!$A:$G,3,FALSE)</f>
        <v>CA</v>
      </c>
      <c r="P3451">
        <f>VLOOKUP(A3451,vlookup_table!$A:$G,4,FALSE)</f>
        <v>4101</v>
      </c>
      <c r="Q3451" t="str">
        <f>VLOOKUP(A3451,vlookup_table!$A:$G,5,FALSE)</f>
        <v>S1</v>
      </c>
      <c r="R3451" t="str">
        <f>VLOOKUP(A3451,vlookup_table!$A:$G,6,FALSE)</f>
        <v>M</v>
      </c>
      <c r="S3451">
        <f>VLOOKUP(A3451,vlookup_table!$A:$G,7,FALSE)</f>
        <v>18</v>
      </c>
      <c r="T3451">
        <f t="shared" si="106"/>
        <v>55</v>
      </c>
      <c r="U3451" t="str">
        <f t="shared" si="107"/>
        <v>Suburbano</v>
      </c>
    </row>
    <row r="3452" spans="1:21" ht="16" x14ac:dyDescent="0.4">
      <c r="A3452" s="9">
        <v>188721</v>
      </c>
      <c r="B3452" s="8" t="s">
        <v>16</v>
      </c>
      <c r="C3452" s="8" t="s">
        <v>17</v>
      </c>
      <c r="D3452" s="8">
        <v>1159</v>
      </c>
      <c r="E3452" s="8">
        <v>505</v>
      </c>
      <c r="F3452" s="8">
        <v>541</v>
      </c>
      <c r="G3452" s="8">
        <v>3</v>
      </c>
      <c r="H3452" s="8">
        <v>16156</v>
      </c>
      <c r="I3452" s="8">
        <v>3</v>
      </c>
      <c r="J3452" s="8">
        <v>68</v>
      </c>
      <c r="K3452" s="8">
        <v>511</v>
      </c>
      <c r="L3452" s="8">
        <v>529</v>
      </c>
      <c r="M3452" s="8">
        <v>12.45454546</v>
      </c>
      <c r="N3452">
        <f>VLOOKUP(A3452,vlookup_table!$A:$G,2,FALSE)</f>
        <v>0</v>
      </c>
      <c r="O3452" t="str">
        <f>VLOOKUP(A3452,vlookup_table!$A:$G,3,FALSE)</f>
        <v>IL</v>
      </c>
      <c r="P3452">
        <f>VLOOKUP(A3452,vlookup_table!$A:$G,4,FALSE)</f>
        <v>2410</v>
      </c>
      <c r="Q3452" t="str">
        <f>VLOOKUP(A3452,vlookup_table!$A:$G,5,FALSE)</f>
        <v>S1</v>
      </c>
      <c r="R3452" t="str">
        <f>VLOOKUP(A3452,vlookup_table!$A:$G,6,FALSE)</f>
        <v>F</v>
      </c>
      <c r="S3452">
        <f>VLOOKUP(A3452,vlookup_table!$A:$G,7,FALSE)</f>
        <v>20</v>
      </c>
      <c r="T3452">
        <f t="shared" si="106"/>
        <v>72</v>
      </c>
      <c r="U3452" t="str">
        <f t="shared" si="107"/>
        <v>Suburbano</v>
      </c>
    </row>
    <row r="3453" spans="1:21" ht="16" x14ac:dyDescent="0.4">
      <c r="A3453" s="9">
        <v>4026</v>
      </c>
      <c r="B3453" s="8" t="s">
        <v>30</v>
      </c>
      <c r="C3453" s="8" t="s">
        <v>17</v>
      </c>
      <c r="D3453" s="8">
        <v>748</v>
      </c>
      <c r="E3453" s="8">
        <v>444</v>
      </c>
      <c r="F3453" s="8">
        <v>571</v>
      </c>
      <c r="G3453" s="8">
        <v>6</v>
      </c>
      <c r="H3453" s="8">
        <v>20264</v>
      </c>
      <c r="I3453" s="8">
        <v>2</v>
      </c>
      <c r="J3453" s="8">
        <v>62</v>
      </c>
      <c r="K3453" s="8">
        <v>495</v>
      </c>
      <c r="L3453" s="8">
        <v>515</v>
      </c>
      <c r="M3453" s="8">
        <v>3.2222222220000001</v>
      </c>
      <c r="N3453">
        <f>VLOOKUP(A3453,vlookup_table!$A:$G,2,FALSE)</f>
        <v>0</v>
      </c>
      <c r="O3453" t="str">
        <f>VLOOKUP(A3453,vlookup_table!$A:$G,3,FALSE)</f>
        <v>IN</v>
      </c>
      <c r="P3453">
        <f>VLOOKUP(A3453,vlookup_table!$A:$G,4,FALSE)</f>
        <v>2812</v>
      </c>
      <c r="Q3453" t="str">
        <f>VLOOKUP(A3453,vlookup_table!$A:$G,5,FALSE)</f>
        <v>C1</v>
      </c>
      <c r="R3453" t="str">
        <f>VLOOKUP(A3453,vlookup_table!$A:$G,6,FALSE)</f>
        <v>F</v>
      </c>
      <c r="S3453">
        <f>VLOOKUP(A3453,vlookup_table!$A:$G,7,FALSE)</f>
        <v>2</v>
      </c>
      <c r="T3453">
        <f t="shared" si="106"/>
        <v>68</v>
      </c>
      <c r="U3453" t="str">
        <f t="shared" si="107"/>
        <v>Ciudad</v>
      </c>
    </row>
    <row r="3454" spans="1:21" ht="16" x14ac:dyDescent="0.4">
      <c r="A3454" s="9">
        <v>151679</v>
      </c>
      <c r="B3454" s="8" t="s">
        <v>21</v>
      </c>
      <c r="C3454" s="8" t="s">
        <v>17</v>
      </c>
      <c r="D3454" s="8">
        <v>1478</v>
      </c>
      <c r="E3454" s="8">
        <v>339</v>
      </c>
      <c r="F3454" s="8">
        <v>354</v>
      </c>
      <c r="G3454" s="8">
        <v>14</v>
      </c>
      <c r="H3454" s="8">
        <v>11745</v>
      </c>
      <c r="I3454" s="8">
        <v>12</v>
      </c>
      <c r="J3454" s="8">
        <v>52</v>
      </c>
      <c r="K3454" s="8">
        <v>383</v>
      </c>
      <c r="L3454" s="8">
        <v>334</v>
      </c>
      <c r="M3454" s="8">
        <v>21</v>
      </c>
      <c r="N3454">
        <f>VLOOKUP(A3454,vlookup_table!$A:$G,2,FALSE)</f>
        <v>28</v>
      </c>
      <c r="O3454" t="str">
        <f>VLOOKUP(A3454,vlookup_table!$A:$G,3,FALSE)</f>
        <v>CA</v>
      </c>
      <c r="P3454">
        <f>VLOOKUP(A3454,vlookup_table!$A:$G,4,FALSE)</f>
        <v>4001</v>
      </c>
      <c r="Q3454" t="str">
        <f>VLOOKUP(A3454,vlookup_table!$A:$G,5,FALSE)</f>
        <v>S3</v>
      </c>
      <c r="R3454" t="str">
        <f>VLOOKUP(A3454,vlookup_table!$A:$G,6,FALSE)</f>
        <v>F</v>
      </c>
      <c r="S3454">
        <f>VLOOKUP(A3454,vlookup_table!$A:$G,7,FALSE)</f>
        <v>23</v>
      </c>
      <c r="T3454">
        <f t="shared" si="106"/>
        <v>56</v>
      </c>
      <c r="U3454" t="str">
        <f t="shared" si="107"/>
        <v>Suburbano</v>
      </c>
    </row>
    <row r="3455" spans="1:21" ht="16" x14ac:dyDescent="0.4">
      <c r="A3455" s="9">
        <v>155963</v>
      </c>
      <c r="B3455" s="8" t="s">
        <v>21</v>
      </c>
      <c r="C3455" s="8" t="s">
        <v>17</v>
      </c>
      <c r="D3455" s="8">
        <v>1272</v>
      </c>
      <c r="E3455" s="8">
        <v>405</v>
      </c>
      <c r="F3455" s="8">
        <v>433</v>
      </c>
      <c r="G3455" s="8">
        <v>0</v>
      </c>
      <c r="H3455" s="8">
        <v>11674</v>
      </c>
      <c r="I3455" s="8">
        <v>11</v>
      </c>
      <c r="J3455" s="8">
        <v>53</v>
      </c>
      <c r="K3455" s="8">
        <v>410</v>
      </c>
      <c r="L3455" s="8">
        <v>421</v>
      </c>
      <c r="M3455" s="8">
        <v>6.923076923</v>
      </c>
      <c r="N3455">
        <f>VLOOKUP(A3455,vlookup_table!$A:$G,2,FALSE)</f>
        <v>0</v>
      </c>
      <c r="O3455" t="str">
        <f>VLOOKUP(A3455,vlookup_table!$A:$G,3,FALSE)</f>
        <v>CA</v>
      </c>
      <c r="P3455">
        <f>VLOOKUP(A3455,vlookup_table!$A:$G,4,FALSE)</f>
        <v>2301</v>
      </c>
      <c r="Q3455" t="str">
        <f>VLOOKUP(A3455,vlookup_table!$A:$G,5,FALSE)</f>
        <v>C2</v>
      </c>
      <c r="R3455" t="str">
        <f>VLOOKUP(A3455,vlookup_table!$A:$G,6,FALSE)</f>
        <v>F</v>
      </c>
      <c r="S3455">
        <f>VLOOKUP(A3455,vlookup_table!$A:$G,7,FALSE)</f>
        <v>10</v>
      </c>
      <c r="T3455">
        <f t="shared" si="106"/>
        <v>73</v>
      </c>
      <c r="U3455" t="str">
        <f t="shared" si="107"/>
        <v>Ciudad</v>
      </c>
    </row>
    <row r="3456" spans="1:21" ht="16" x14ac:dyDescent="0.4">
      <c r="A3456" s="9">
        <v>70881</v>
      </c>
      <c r="B3456" s="8" t="s">
        <v>26</v>
      </c>
      <c r="C3456" s="8" t="s">
        <v>14</v>
      </c>
      <c r="D3456" s="8">
        <v>331</v>
      </c>
      <c r="E3456" s="8">
        <v>182</v>
      </c>
      <c r="F3456" s="8">
        <v>235</v>
      </c>
      <c r="G3456" s="8">
        <v>0</v>
      </c>
      <c r="H3456" s="8">
        <v>7226</v>
      </c>
      <c r="I3456" s="8">
        <v>0</v>
      </c>
      <c r="J3456" s="8">
        <v>88</v>
      </c>
      <c r="K3456" s="8">
        <v>206</v>
      </c>
      <c r="L3456" s="8">
        <v>219</v>
      </c>
      <c r="M3456" s="8">
        <v>13</v>
      </c>
      <c r="N3456">
        <f>VLOOKUP(A3456,vlookup_table!$A:$G,2,FALSE)</f>
        <v>1</v>
      </c>
      <c r="O3456" t="str">
        <f>VLOOKUP(A3456,vlookup_table!$A:$G,3,FALSE)</f>
        <v>MI</v>
      </c>
      <c r="P3456">
        <f>VLOOKUP(A3456,vlookup_table!$A:$G,4,FALSE)</f>
        <v>5706</v>
      </c>
      <c r="Q3456" t="str">
        <f>VLOOKUP(A3456,vlookup_table!$A:$G,5,FALSE)</f>
        <v>R3</v>
      </c>
      <c r="R3456" t="str">
        <f>VLOOKUP(A3456,vlookup_table!$A:$G,6,FALSE)</f>
        <v>M</v>
      </c>
      <c r="S3456">
        <f>VLOOKUP(A3456,vlookup_table!$A:$G,7,FALSE)</f>
        <v>15</v>
      </c>
      <c r="T3456">
        <f t="shared" si="106"/>
        <v>39</v>
      </c>
      <c r="U3456" t="str">
        <f t="shared" si="107"/>
        <v>Rural</v>
      </c>
    </row>
    <row r="3457" spans="1:21" ht="16" x14ac:dyDescent="0.4">
      <c r="A3457" s="9">
        <v>2153</v>
      </c>
      <c r="B3457" s="8" t="s">
        <v>20</v>
      </c>
      <c r="C3457" s="8" t="s">
        <v>14</v>
      </c>
      <c r="D3457" s="8">
        <v>839</v>
      </c>
      <c r="E3457" s="8">
        <v>363</v>
      </c>
      <c r="F3457" s="8">
        <v>484</v>
      </c>
      <c r="G3457" s="8">
        <v>0</v>
      </c>
      <c r="H3457" s="8">
        <v>15463</v>
      </c>
      <c r="I3457" s="8">
        <v>1</v>
      </c>
      <c r="J3457" s="8">
        <v>66</v>
      </c>
      <c r="K3457" s="8">
        <v>419</v>
      </c>
      <c r="L3457" s="8">
        <v>445</v>
      </c>
      <c r="M3457" s="8">
        <v>7.548387097</v>
      </c>
      <c r="N3457">
        <f>VLOOKUP(A3457,vlookup_table!$A:$G,2,FALSE)</f>
        <v>1002</v>
      </c>
      <c r="O3457" t="str">
        <f>VLOOKUP(A3457,vlookup_table!$A:$G,3,FALSE)</f>
        <v>TX</v>
      </c>
      <c r="P3457">
        <f>VLOOKUP(A3457,vlookup_table!$A:$G,4,FALSE)</f>
        <v>2408</v>
      </c>
      <c r="Q3457" t="str">
        <f>VLOOKUP(A3457,vlookup_table!$A:$G,5,FALSE)</f>
        <v>S2</v>
      </c>
      <c r="R3457" t="str">
        <f>VLOOKUP(A3457,vlookup_table!$A:$G,6,FALSE)</f>
        <v>M</v>
      </c>
      <c r="S3457">
        <f>VLOOKUP(A3457,vlookup_table!$A:$G,7,FALSE)</f>
        <v>8</v>
      </c>
      <c r="T3457">
        <f t="shared" si="106"/>
        <v>72</v>
      </c>
      <c r="U3457" t="str">
        <f t="shared" si="107"/>
        <v>Suburbano</v>
      </c>
    </row>
    <row r="3458" spans="1:21" ht="16" x14ac:dyDescent="0.4">
      <c r="A3458" s="9">
        <v>173192</v>
      </c>
      <c r="B3458" s="8" t="s">
        <v>21</v>
      </c>
      <c r="C3458" s="8" t="s">
        <v>17</v>
      </c>
      <c r="D3458" s="8">
        <v>608</v>
      </c>
      <c r="E3458" s="8">
        <v>165</v>
      </c>
      <c r="F3458" s="8">
        <v>254</v>
      </c>
      <c r="G3458" s="8">
        <v>2</v>
      </c>
      <c r="H3458" s="8">
        <v>10193</v>
      </c>
      <c r="I3458" s="8">
        <v>11</v>
      </c>
      <c r="J3458" s="8">
        <v>58</v>
      </c>
      <c r="K3458" s="8">
        <v>173</v>
      </c>
      <c r="L3458" s="8">
        <v>219</v>
      </c>
      <c r="M3458" s="8">
        <v>9.375</v>
      </c>
      <c r="N3458">
        <f>VLOOKUP(A3458,vlookup_table!$A:$G,2,FALSE)</f>
        <v>2</v>
      </c>
      <c r="O3458" t="str">
        <f>VLOOKUP(A3458,vlookup_table!$A:$G,3,FALSE)</f>
        <v>CA</v>
      </c>
      <c r="P3458">
        <f>VLOOKUP(A3458,vlookup_table!$A:$G,4,FALSE)</f>
        <v>1203</v>
      </c>
      <c r="Q3458" t="str">
        <f>VLOOKUP(A3458,vlookup_table!$A:$G,5,FALSE)</f>
        <v>T2</v>
      </c>
      <c r="R3458" t="str">
        <f>VLOOKUP(A3458,vlookup_table!$A:$G,6,FALSE)</f>
        <v>F</v>
      </c>
      <c r="S3458">
        <f>VLOOKUP(A3458,vlookup_table!$A:$G,7,FALSE)</f>
        <v>10</v>
      </c>
      <c r="T3458">
        <f t="shared" si="106"/>
        <v>84</v>
      </c>
      <c r="U3458" t="str">
        <f t="shared" si="107"/>
        <v>Pueblo</v>
      </c>
    </row>
    <row r="3459" spans="1:21" ht="16" x14ac:dyDescent="0.4">
      <c r="A3459" s="9">
        <v>4390</v>
      </c>
      <c r="B3459" s="8" t="s">
        <v>37</v>
      </c>
      <c r="C3459" s="8" t="s">
        <v>17</v>
      </c>
      <c r="D3459" s="8">
        <v>727</v>
      </c>
      <c r="E3459" s="8">
        <v>345</v>
      </c>
      <c r="F3459" s="8">
        <v>449</v>
      </c>
      <c r="G3459" s="8">
        <v>5</v>
      </c>
      <c r="H3459" s="8">
        <v>16422</v>
      </c>
      <c r="I3459" s="8">
        <v>6</v>
      </c>
      <c r="J3459" s="8">
        <v>33</v>
      </c>
      <c r="K3459" s="8">
        <v>395</v>
      </c>
      <c r="L3459" s="8">
        <v>401</v>
      </c>
      <c r="M3459" s="8">
        <v>8.7857142859999993</v>
      </c>
      <c r="N3459">
        <f>VLOOKUP(A3459,vlookup_table!$A:$G,2,FALSE)</f>
        <v>0</v>
      </c>
      <c r="O3459" t="str">
        <f>VLOOKUP(A3459,vlookup_table!$A:$G,3,FALSE)</f>
        <v>WA</v>
      </c>
      <c r="P3459">
        <f>VLOOKUP(A3459,vlookup_table!$A:$G,4,FALSE)</f>
        <v>1009</v>
      </c>
      <c r="Q3459" t="str">
        <f>VLOOKUP(A3459,vlookup_table!$A:$G,5,FALSE)</f>
        <v>S3</v>
      </c>
      <c r="R3459" t="str">
        <f>VLOOKUP(A3459,vlookup_table!$A:$G,6,FALSE)</f>
        <v>F</v>
      </c>
      <c r="S3459">
        <f>VLOOKUP(A3459,vlookup_table!$A:$G,7,FALSE)</f>
        <v>10</v>
      </c>
      <c r="T3459">
        <f t="shared" ref="T3459:T3522" si="108">97-LEFT(P3459,2)-IF(RIGHT(P3459,2)&gt;6,1,0)</f>
        <v>86</v>
      </c>
      <c r="U3459" t="str">
        <f t="shared" ref="U3459:U3522" si="109">IF(LEFT(Q3459,1)="C","Ciudad",IF(LEFT(Q3459,1)="T","Pueblo",IF(LEFT(Q3459,1)="R","Rural",IF(LEFT(Q3459,1)="S","Suburbano",IF(LEFT(Q3459,1)="U","Urbano","")))))</f>
        <v>Suburbano</v>
      </c>
    </row>
    <row r="3460" spans="1:21" ht="16" x14ac:dyDescent="0.4">
      <c r="A3460" s="9">
        <v>178789</v>
      </c>
      <c r="B3460" s="8" t="s">
        <v>37</v>
      </c>
      <c r="C3460" s="8" t="s">
        <v>17</v>
      </c>
      <c r="D3460" s="8">
        <v>1364</v>
      </c>
      <c r="E3460" s="8">
        <v>411</v>
      </c>
      <c r="F3460" s="8">
        <v>564</v>
      </c>
      <c r="G3460" s="8">
        <v>6</v>
      </c>
      <c r="H3460" s="8">
        <v>18678</v>
      </c>
      <c r="I3460" s="8">
        <v>4</v>
      </c>
      <c r="J3460" s="8">
        <v>50</v>
      </c>
      <c r="K3460" s="8">
        <v>477</v>
      </c>
      <c r="L3460" s="8">
        <v>483</v>
      </c>
      <c r="M3460" s="8">
        <v>20.875</v>
      </c>
      <c r="N3460">
        <f>VLOOKUP(A3460,vlookup_table!$A:$G,2,FALSE)</f>
        <v>28</v>
      </c>
      <c r="O3460" t="str">
        <f>VLOOKUP(A3460,vlookup_table!$A:$G,3,FALSE)</f>
        <v>WA</v>
      </c>
      <c r="P3460">
        <f>VLOOKUP(A3460,vlookup_table!$A:$G,4,FALSE)</f>
        <v>2606</v>
      </c>
      <c r="Q3460" t="str">
        <f>VLOOKUP(A3460,vlookup_table!$A:$G,5,FALSE)</f>
        <v>S1</v>
      </c>
      <c r="R3460" t="str">
        <f>VLOOKUP(A3460,vlookup_table!$A:$G,6,FALSE)</f>
        <v>F</v>
      </c>
      <c r="S3460">
        <f>VLOOKUP(A3460,vlookup_table!$A:$G,7,FALSE)</f>
        <v>10</v>
      </c>
      <c r="T3460">
        <f t="shared" si="108"/>
        <v>70</v>
      </c>
      <c r="U3460" t="str">
        <f t="shared" si="109"/>
        <v>Suburbano</v>
      </c>
    </row>
    <row r="3461" spans="1:21" ht="16" x14ac:dyDescent="0.4">
      <c r="A3461" s="9">
        <v>79650</v>
      </c>
      <c r="B3461" s="8" t="s">
        <v>32</v>
      </c>
      <c r="C3461" s="8" t="s">
        <v>17</v>
      </c>
      <c r="D3461" s="8">
        <v>731</v>
      </c>
      <c r="E3461" s="8">
        <v>359</v>
      </c>
      <c r="F3461" s="8">
        <v>447</v>
      </c>
      <c r="G3461" s="8">
        <v>4</v>
      </c>
      <c r="H3461" s="8">
        <v>14412</v>
      </c>
      <c r="I3461" s="8">
        <v>2</v>
      </c>
      <c r="J3461" s="8">
        <v>80</v>
      </c>
      <c r="K3461" s="8">
        <v>402</v>
      </c>
      <c r="L3461" s="8">
        <v>410</v>
      </c>
      <c r="M3461" s="8">
        <v>8.8333333330000006</v>
      </c>
      <c r="N3461">
        <f>VLOOKUP(A3461,vlookup_table!$A:$G,2,FALSE)</f>
        <v>0</v>
      </c>
      <c r="O3461" t="str">
        <f>VLOOKUP(A3461,vlookup_table!$A:$G,3,FALSE)</f>
        <v>WI</v>
      </c>
      <c r="P3461">
        <f>VLOOKUP(A3461,vlookup_table!$A:$G,4,FALSE)</f>
        <v>0</v>
      </c>
      <c r="Q3461" t="str">
        <f>VLOOKUP(A3461,vlookup_table!$A:$G,5,FALSE)</f>
        <v>S2</v>
      </c>
      <c r="R3461" t="str">
        <f>VLOOKUP(A3461,vlookup_table!$A:$G,6,FALSE)</f>
        <v>F</v>
      </c>
      <c r="S3461">
        <f>VLOOKUP(A3461,vlookup_table!$A:$G,7,FALSE)</f>
        <v>10</v>
      </c>
      <c r="T3461">
        <f t="shared" si="108"/>
        <v>96</v>
      </c>
      <c r="U3461" t="str">
        <f t="shared" si="109"/>
        <v>Suburbano</v>
      </c>
    </row>
    <row r="3462" spans="1:21" ht="16" x14ac:dyDescent="0.4">
      <c r="A3462" s="9">
        <v>163316</v>
      </c>
      <c r="B3462" s="8" t="s">
        <v>21</v>
      </c>
      <c r="C3462" s="8" t="s">
        <v>14</v>
      </c>
      <c r="D3462" s="8">
        <v>4769</v>
      </c>
      <c r="E3462" s="8">
        <v>518</v>
      </c>
      <c r="F3462" s="8">
        <v>757</v>
      </c>
      <c r="G3462" s="8">
        <v>90</v>
      </c>
      <c r="H3462" s="8">
        <v>38507</v>
      </c>
      <c r="I3462" s="8">
        <v>9</v>
      </c>
      <c r="J3462" s="8">
        <v>23</v>
      </c>
      <c r="K3462" s="8">
        <v>660</v>
      </c>
      <c r="L3462" s="8">
        <v>607</v>
      </c>
      <c r="M3462" s="8">
        <v>28.75</v>
      </c>
      <c r="N3462">
        <f>VLOOKUP(A3462,vlookup_table!$A:$G,2,FALSE)</f>
        <v>1</v>
      </c>
      <c r="O3462" t="str">
        <f>VLOOKUP(A3462,vlookup_table!$A:$G,3,FALSE)</f>
        <v>CA</v>
      </c>
      <c r="P3462">
        <f>VLOOKUP(A3462,vlookup_table!$A:$G,4,FALSE)</f>
        <v>3401</v>
      </c>
      <c r="Q3462" t="str">
        <f>VLOOKUP(A3462,vlookup_table!$A:$G,5,FALSE)</f>
        <v>U1</v>
      </c>
      <c r="R3462" t="str">
        <f>VLOOKUP(A3462,vlookup_table!$A:$G,6,FALSE)</f>
        <v>M</v>
      </c>
      <c r="S3462">
        <f>VLOOKUP(A3462,vlookup_table!$A:$G,7,FALSE)</f>
        <v>40</v>
      </c>
      <c r="T3462">
        <f t="shared" si="108"/>
        <v>62</v>
      </c>
      <c r="U3462" t="str">
        <f t="shared" si="109"/>
        <v>Urbano</v>
      </c>
    </row>
    <row r="3463" spans="1:21" ht="16" x14ac:dyDescent="0.4">
      <c r="A3463" s="9">
        <v>93824</v>
      </c>
      <c r="B3463" s="8" t="s">
        <v>16</v>
      </c>
      <c r="C3463" s="8" t="s">
        <v>17</v>
      </c>
      <c r="D3463" s="8">
        <v>1105</v>
      </c>
      <c r="E3463" s="8">
        <v>351</v>
      </c>
      <c r="F3463" s="8">
        <v>468</v>
      </c>
      <c r="G3463" s="8">
        <v>2</v>
      </c>
      <c r="H3463" s="8">
        <v>13805</v>
      </c>
      <c r="I3463" s="8">
        <v>21</v>
      </c>
      <c r="J3463" s="8">
        <v>62</v>
      </c>
      <c r="K3463" s="8">
        <v>461</v>
      </c>
      <c r="L3463" s="8">
        <v>362</v>
      </c>
      <c r="M3463" s="8">
        <v>4.576923077</v>
      </c>
      <c r="N3463">
        <f>VLOOKUP(A3463,vlookup_table!$A:$G,2,FALSE)</f>
        <v>2</v>
      </c>
      <c r="O3463" t="str">
        <f>VLOOKUP(A3463,vlookup_table!$A:$G,3,FALSE)</f>
        <v>IL</v>
      </c>
      <c r="P3463">
        <f>VLOOKUP(A3463,vlookup_table!$A:$G,4,FALSE)</f>
        <v>1807</v>
      </c>
      <c r="Q3463" t="str">
        <f>VLOOKUP(A3463,vlookup_table!$A:$G,5,FALSE)</f>
        <v>U2</v>
      </c>
      <c r="R3463" t="str">
        <f>VLOOKUP(A3463,vlookup_table!$A:$G,6,FALSE)</f>
        <v>F</v>
      </c>
      <c r="S3463">
        <f>VLOOKUP(A3463,vlookup_table!$A:$G,7,FALSE)</f>
        <v>10</v>
      </c>
      <c r="T3463">
        <f t="shared" si="108"/>
        <v>78</v>
      </c>
      <c r="U3463" t="str">
        <f t="shared" si="109"/>
        <v>Urbano</v>
      </c>
    </row>
    <row r="3464" spans="1:21" ht="16" x14ac:dyDescent="0.4">
      <c r="A3464" s="9">
        <v>33190</v>
      </c>
      <c r="B3464" s="8" t="s">
        <v>13</v>
      </c>
      <c r="C3464" s="8" t="s">
        <v>17</v>
      </c>
      <c r="D3464" s="8">
        <v>1010</v>
      </c>
      <c r="E3464" s="8">
        <v>407</v>
      </c>
      <c r="F3464" s="8">
        <v>632</v>
      </c>
      <c r="G3464" s="8">
        <v>24</v>
      </c>
      <c r="H3464" s="8">
        <v>23774</v>
      </c>
      <c r="I3464" s="8">
        <v>5</v>
      </c>
      <c r="J3464" s="8">
        <v>32</v>
      </c>
      <c r="K3464" s="8">
        <v>519</v>
      </c>
      <c r="L3464" s="8">
        <v>560</v>
      </c>
      <c r="M3464" s="8">
        <v>7.16</v>
      </c>
      <c r="N3464">
        <f>VLOOKUP(A3464,vlookup_table!$A:$G,2,FALSE)</f>
        <v>0</v>
      </c>
      <c r="O3464" t="str">
        <f>VLOOKUP(A3464,vlookup_table!$A:$G,3,FALSE)</f>
        <v>FL</v>
      </c>
      <c r="P3464">
        <f>VLOOKUP(A3464,vlookup_table!$A:$G,4,FALSE)</f>
        <v>5302</v>
      </c>
      <c r="Q3464" t="str">
        <f>VLOOKUP(A3464,vlookup_table!$A:$G,5,FALSE)</f>
        <v>C1</v>
      </c>
      <c r="R3464" t="str">
        <f>VLOOKUP(A3464,vlookup_table!$A:$G,6,FALSE)</f>
        <v>F</v>
      </c>
      <c r="S3464">
        <f>VLOOKUP(A3464,vlookup_table!$A:$G,7,FALSE)</f>
        <v>11</v>
      </c>
      <c r="T3464">
        <f t="shared" si="108"/>
        <v>43</v>
      </c>
      <c r="U3464" t="str">
        <f t="shared" si="109"/>
        <v>Ciudad</v>
      </c>
    </row>
    <row r="3465" spans="1:21" ht="16" x14ac:dyDescent="0.4">
      <c r="A3465" s="9">
        <v>4017</v>
      </c>
      <c r="B3465" s="8" t="s">
        <v>21</v>
      </c>
      <c r="C3465" s="8" t="s">
        <v>17</v>
      </c>
      <c r="D3465" s="8">
        <v>5725</v>
      </c>
      <c r="E3465" s="8">
        <v>610</v>
      </c>
      <c r="F3465" s="8">
        <v>807</v>
      </c>
      <c r="G3465" s="8">
        <v>97</v>
      </c>
      <c r="H3465" s="8">
        <v>53158</v>
      </c>
      <c r="I3465" s="8">
        <v>13</v>
      </c>
      <c r="J3465" s="8">
        <v>22</v>
      </c>
      <c r="K3465" s="8">
        <v>763</v>
      </c>
      <c r="L3465" s="8">
        <v>698</v>
      </c>
      <c r="M3465" s="8">
        <v>9.923076923</v>
      </c>
      <c r="N3465">
        <f>VLOOKUP(A3465,vlookup_table!$A:$G,2,FALSE)</f>
        <v>1</v>
      </c>
      <c r="O3465" t="str">
        <f>VLOOKUP(A3465,vlookup_table!$A:$G,3,FALSE)</f>
        <v>CA</v>
      </c>
      <c r="P3465">
        <f>VLOOKUP(A3465,vlookup_table!$A:$G,4,FALSE)</f>
        <v>3201</v>
      </c>
      <c r="Q3465" t="str">
        <f>VLOOKUP(A3465,vlookup_table!$A:$G,5,FALSE)</f>
        <v>S1</v>
      </c>
      <c r="R3465" t="str">
        <f>VLOOKUP(A3465,vlookup_table!$A:$G,6,FALSE)</f>
        <v>F</v>
      </c>
      <c r="S3465">
        <f>VLOOKUP(A3465,vlookup_table!$A:$G,7,FALSE)</f>
        <v>15</v>
      </c>
      <c r="T3465">
        <f t="shared" si="108"/>
        <v>64</v>
      </c>
      <c r="U3465" t="str">
        <f t="shared" si="109"/>
        <v>Suburbano</v>
      </c>
    </row>
    <row r="3466" spans="1:21" ht="16" x14ac:dyDescent="0.4">
      <c r="A3466" s="9">
        <v>176140</v>
      </c>
      <c r="B3466" s="8" t="s">
        <v>47</v>
      </c>
      <c r="C3466" s="8" t="s">
        <v>14</v>
      </c>
      <c r="D3466" s="8">
        <v>709</v>
      </c>
      <c r="E3466" s="8">
        <v>349</v>
      </c>
      <c r="F3466" s="8">
        <v>512</v>
      </c>
      <c r="G3466" s="8">
        <v>0</v>
      </c>
      <c r="H3466" s="8">
        <v>18938</v>
      </c>
      <c r="I3466" s="8">
        <v>4</v>
      </c>
      <c r="J3466" s="8">
        <v>49</v>
      </c>
      <c r="K3466" s="8">
        <v>431</v>
      </c>
      <c r="L3466" s="8">
        <v>420</v>
      </c>
      <c r="M3466" s="8">
        <v>8.75</v>
      </c>
      <c r="N3466">
        <f>VLOOKUP(A3466,vlookup_table!$A:$G,2,FALSE)</f>
        <v>1002</v>
      </c>
      <c r="O3466" t="str">
        <f>VLOOKUP(A3466,vlookup_table!$A:$G,3,FALSE)</f>
        <v>OR</v>
      </c>
      <c r="P3466">
        <f>VLOOKUP(A3466,vlookup_table!$A:$G,4,FALSE)</f>
        <v>3407</v>
      </c>
      <c r="Q3466" t="str">
        <f>VLOOKUP(A3466,vlookup_table!$A:$G,5,FALSE)</f>
        <v>C1</v>
      </c>
      <c r="R3466" t="str">
        <f>VLOOKUP(A3466,vlookup_table!$A:$G,6,FALSE)</f>
        <v>M</v>
      </c>
      <c r="S3466">
        <f>VLOOKUP(A3466,vlookup_table!$A:$G,7,FALSE)</f>
        <v>8</v>
      </c>
      <c r="T3466">
        <f t="shared" si="108"/>
        <v>62</v>
      </c>
      <c r="U3466" t="str">
        <f t="shared" si="109"/>
        <v>Ciudad</v>
      </c>
    </row>
    <row r="3467" spans="1:21" ht="16" x14ac:dyDescent="0.4">
      <c r="A3467" s="9">
        <v>120720</v>
      </c>
      <c r="B3467" s="8" t="s">
        <v>20</v>
      </c>
      <c r="C3467" s="8" t="s">
        <v>14</v>
      </c>
      <c r="D3467" s="8">
        <v>214</v>
      </c>
      <c r="E3467" s="8">
        <v>151</v>
      </c>
      <c r="F3467" s="8">
        <v>240</v>
      </c>
      <c r="G3467" s="8">
        <v>1</v>
      </c>
      <c r="H3467" s="8">
        <v>8210</v>
      </c>
      <c r="I3467" s="8">
        <v>4</v>
      </c>
      <c r="J3467" s="8">
        <v>87</v>
      </c>
      <c r="K3467" s="8">
        <v>176</v>
      </c>
      <c r="L3467" s="8">
        <v>203</v>
      </c>
      <c r="M3467" s="8">
        <v>17</v>
      </c>
      <c r="N3467">
        <f>VLOOKUP(A3467,vlookup_table!$A:$G,2,FALSE)</f>
        <v>2</v>
      </c>
      <c r="O3467" t="str">
        <f>VLOOKUP(A3467,vlookup_table!$A:$G,3,FALSE)</f>
        <v>TX</v>
      </c>
      <c r="P3467">
        <f>VLOOKUP(A3467,vlookup_table!$A:$G,4,FALSE)</f>
        <v>0</v>
      </c>
      <c r="Q3467" t="str">
        <f>VLOOKUP(A3467,vlookup_table!$A:$G,5,FALSE)</f>
        <v>R3</v>
      </c>
      <c r="R3467" t="str">
        <f>VLOOKUP(A3467,vlookup_table!$A:$G,6,FALSE)</f>
        <v>M</v>
      </c>
      <c r="S3467">
        <f>VLOOKUP(A3467,vlookup_table!$A:$G,7,FALSE)</f>
        <v>23</v>
      </c>
      <c r="T3467">
        <f t="shared" si="108"/>
        <v>96</v>
      </c>
      <c r="U3467" t="str">
        <f t="shared" si="109"/>
        <v>Rural</v>
      </c>
    </row>
    <row r="3468" spans="1:21" ht="16" x14ac:dyDescent="0.4">
      <c r="A3468" s="9">
        <v>80733</v>
      </c>
      <c r="B3468" s="8" t="s">
        <v>32</v>
      </c>
      <c r="C3468" s="8" t="s">
        <v>17</v>
      </c>
      <c r="D3468" s="8">
        <v>491</v>
      </c>
      <c r="E3468" s="8">
        <v>255</v>
      </c>
      <c r="F3468" s="8">
        <v>349</v>
      </c>
      <c r="G3468" s="8">
        <v>0</v>
      </c>
      <c r="H3468" s="8">
        <v>12302</v>
      </c>
      <c r="I3468" s="8">
        <v>1</v>
      </c>
      <c r="J3468" s="8">
        <v>79</v>
      </c>
      <c r="K3468" s="8">
        <v>331</v>
      </c>
      <c r="L3468" s="8">
        <v>314</v>
      </c>
      <c r="M3468" s="8">
        <v>7.5</v>
      </c>
      <c r="N3468">
        <f>VLOOKUP(A3468,vlookup_table!$A:$G,2,FALSE)</f>
        <v>0</v>
      </c>
      <c r="O3468" t="str">
        <f>VLOOKUP(A3468,vlookup_table!$A:$G,3,FALSE)</f>
        <v>WI</v>
      </c>
      <c r="P3468">
        <f>VLOOKUP(A3468,vlookup_table!$A:$G,4,FALSE)</f>
        <v>3101</v>
      </c>
      <c r="Q3468" t="str">
        <f>VLOOKUP(A3468,vlookup_table!$A:$G,5,FALSE)</f>
        <v>R2</v>
      </c>
      <c r="R3468" t="str">
        <f>VLOOKUP(A3468,vlookup_table!$A:$G,6,FALSE)</f>
        <v>F</v>
      </c>
      <c r="S3468">
        <f>VLOOKUP(A3468,vlookup_table!$A:$G,7,FALSE)</f>
        <v>15</v>
      </c>
      <c r="T3468">
        <f t="shared" si="108"/>
        <v>65</v>
      </c>
      <c r="U3468" t="str">
        <f t="shared" si="109"/>
        <v>Rural</v>
      </c>
    </row>
    <row r="3469" spans="1:21" ht="16" x14ac:dyDescent="0.4">
      <c r="A3469" s="9">
        <v>131468</v>
      </c>
      <c r="B3469" s="8" t="s">
        <v>45</v>
      </c>
      <c r="C3469" s="8"/>
      <c r="D3469" s="8">
        <v>726</v>
      </c>
      <c r="E3469" s="8">
        <v>303</v>
      </c>
      <c r="F3469" s="8">
        <v>400</v>
      </c>
      <c r="G3469" s="8">
        <v>0</v>
      </c>
      <c r="H3469" s="8">
        <v>15904</v>
      </c>
      <c r="I3469" s="8">
        <v>2</v>
      </c>
      <c r="J3469" s="8">
        <v>56</v>
      </c>
      <c r="K3469" s="8">
        <v>321</v>
      </c>
      <c r="L3469" s="8">
        <v>362</v>
      </c>
      <c r="M3469" s="8">
        <v>7.3636363640000004</v>
      </c>
      <c r="N3469">
        <f>VLOOKUP(A3469,vlookup_table!$A:$G,2,FALSE)</f>
        <v>1</v>
      </c>
      <c r="O3469" t="str">
        <f>VLOOKUP(A3469,vlookup_table!$A:$G,3,FALSE)</f>
        <v>CO</v>
      </c>
      <c r="P3469">
        <f>VLOOKUP(A3469,vlookup_table!$A:$G,4,FALSE)</f>
        <v>807</v>
      </c>
      <c r="Q3469" t="str">
        <f>VLOOKUP(A3469,vlookup_table!$A:$G,5,FALSE)</f>
        <v>S2</v>
      </c>
      <c r="R3469" t="str">
        <f>VLOOKUP(A3469,vlookup_table!$A:$G,6,FALSE)</f>
        <v/>
      </c>
      <c r="S3469">
        <f>VLOOKUP(A3469,vlookup_table!$A:$G,7,FALSE)</f>
        <v>8</v>
      </c>
      <c r="T3469">
        <f t="shared" si="108"/>
        <v>16</v>
      </c>
      <c r="U3469" t="str">
        <f t="shared" si="109"/>
        <v>Suburbano</v>
      </c>
    </row>
    <row r="3470" spans="1:21" ht="16" x14ac:dyDescent="0.4">
      <c r="A3470" s="9">
        <v>124298</v>
      </c>
      <c r="B3470" s="8" t="s">
        <v>20</v>
      </c>
      <c r="C3470" s="8" t="s">
        <v>17</v>
      </c>
      <c r="D3470" s="8">
        <v>816</v>
      </c>
      <c r="E3470" s="8">
        <v>360</v>
      </c>
      <c r="F3470" s="8">
        <v>635</v>
      </c>
      <c r="G3470" s="8">
        <v>3</v>
      </c>
      <c r="H3470" s="8">
        <v>28807</v>
      </c>
      <c r="I3470" s="8">
        <v>0</v>
      </c>
      <c r="J3470" s="8">
        <v>70</v>
      </c>
      <c r="K3470" s="8">
        <v>515</v>
      </c>
      <c r="L3470" s="8">
        <v>509</v>
      </c>
      <c r="M3470" s="8">
        <v>3.703703704</v>
      </c>
      <c r="N3470">
        <f>VLOOKUP(A3470,vlookup_table!$A:$G,2,FALSE)</f>
        <v>28</v>
      </c>
      <c r="O3470" t="str">
        <f>VLOOKUP(A3470,vlookup_table!$A:$G,3,FALSE)</f>
        <v>TX</v>
      </c>
      <c r="P3470">
        <f>VLOOKUP(A3470,vlookup_table!$A:$G,4,FALSE)</f>
        <v>1301</v>
      </c>
      <c r="Q3470" t="str">
        <f>VLOOKUP(A3470,vlookup_table!$A:$G,5,FALSE)</f>
        <v>C1</v>
      </c>
      <c r="R3470" t="str">
        <f>VLOOKUP(A3470,vlookup_table!$A:$G,6,FALSE)</f>
        <v>F</v>
      </c>
      <c r="S3470">
        <f>VLOOKUP(A3470,vlookup_table!$A:$G,7,FALSE)</f>
        <v>4</v>
      </c>
      <c r="T3470">
        <f t="shared" si="108"/>
        <v>83</v>
      </c>
      <c r="U3470" t="str">
        <f t="shared" si="109"/>
        <v>Ciudad</v>
      </c>
    </row>
    <row r="3471" spans="1:21" ht="16" x14ac:dyDescent="0.4">
      <c r="A3471" s="9">
        <v>21133</v>
      </c>
      <c r="B3471" s="8" t="s">
        <v>18</v>
      </c>
      <c r="C3471" s="8" t="s">
        <v>97</v>
      </c>
      <c r="D3471" s="8">
        <v>863</v>
      </c>
      <c r="E3471" s="8">
        <v>238</v>
      </c>
      <c r="F3471" s="8">
        <v>404</v>
      </c>
      <c r="G3471" s="8">
        <v>10</v>
      </c>
      <c r="H3471" s="8">
        <v>14415</v>
      </c>
      <c r="I3471" s="8">
        <v>1</v>
      </c>
      <c r="J3471" s="8">
        <v>69</v>
      </c>
      <c r="K3471" s="8">
        <v>311</v>
      </c>
      <c r="L3471" s="8">
        <v>319</v>
      </c>
      <c r="M3471" s="8">
        <v>7</v>
      </c>
      <c r="N3471">
        <f>VLOOKUP(A3471,vlookup_table!$A:$G,2,FALSE)</f>
        <v>0</v>
      </c>
      <c r="O3471" t="str">
        <f>VLOOKUP(A3471,vlookup_table!$A:$G,3,FALSE)</f>
        <v>NC</v>
      </c>
      <c r="P3471">
        <f>VLOOKUP(A3471,vlookup_table!$A:$G,4,FALSE)</f>
        <v>0</v>
      </c>
      <c r="Q3471" t="str">
        <f>VLOOKUP(A3471,vlookup_table!$A:$G,5,FALSE)</f>
        <v>R2</v>
      </c>
      <c r="R3471" t="str">
        <f>VLOOKUP(A3471,vlookup_table!$A:$G,6,FALSE)</f>
        <v>F</v>
      </c>
      <c r="S3471">
        <f>VLOOKUP(A3471,vlookup_table!$A:$G,7,FALSE)</f>
        <v>13</v>
      </c>
      <c r="T3471">
        <f t="shared" si="108"/>
        <v>96</v>
      </c>
      <c r="U3471" t="str">
        <f t="shared" si="109"/>
        <v>Rural</v>
      </c>
    </row>
    <row r="3472" spans="1:21" ht="16" x14ac:dyDescent="0.4">
      <c r="A3472" s="9">
        <v>23732</v>
      </c>
      <c r="B3472" s="8" t="s">
        <v>43</v>
      </c>
      <c r="C3472" s="8" t="s">
        <v>17</v>
      </c>
      <c r="D3472" s="8">
        <v>1060</v>
      </c>
      <c r="E3472" s="8">
        <v>313</v>
      </c>
      <c r="F3472" s="8">
        <v>465</v>
      </c>
      <c r="G3472" s="8">
        <v>30</v>
      </c>
      <c r="H3472" s="8">
        <v>17255</v>
      </c>
      <c r="I3472" s="8">
        <v>1</v>
      </c>
      <c r="J3472" s="8">
        <v>62</v>
      </c>
      <c r="K3472" s="8">
        <v>370</v>
      </c>
      <c r="L3472" s="8">
        <v>422</v>
      </c>
      <c r="M3472" s="8">
        <v>4.95</v>
      </c>
      <c r="N3472">
        <f>VLOOKUP(A3472,vlookup_table!$A:$G,2,FALSE)</f>
        <v>0</v>
      </c>
      <c r="O3472" t="str">
        <f>VLOOKUP(A3472,vlookup_table!$A:$G,3,FALSE)</f>
        <v>SC</v>
      </c>
      <c r="P3472">
        <f>VLOOKUP(A3472,vlookup_table!$A:$G,4,FALSE)</f>
        <v>0</v>
      </c>
      <c r="Q3472" t="str">
        <f>VLOOKUP(A3472,vlookup_table!$A:$G,5,FALSE)</f>
        <v>R1</v>
      </c>
      <c r="R3472" t="str">
        <f>VLOOKUP(A3472,vlookup_table!$A:$G,6,FALSE)</f>
        <v>F</v>
      </c>
      <c r="S3472">
        <f>VLOOKUP(A3472,vlookup_table!$A:$G,7,FALSE)</f>
        <v>4</v>
      </c>
      <c r="T3472">
        <f t="shared" si="108"/>
        <v>96</v>
      </c>
      <c r="U3472" t="str">
        <f t="shared" si="109"/>
        <v>Rural</v>
      </c>
    </row>
    <row r="3473" spans="1:21" ht="16" x14ac:dyDescent="0.4">
      <c r="A3473" s="9">
        <v>188133</v>
      </c>
      <c r="B3473" s="8" t="s">
        <v>40</v>
      </c>
      <c r="C3473" s="8" t="s">
        <v>17</v>
      </c>
      <c r="D3473" s="8">
        <v>828</v>
      </c>
      <c r="E3473" s="8">
        <v>478</v>
      </c>
      <c r="F3473" s="8">
        <v>540</v>
      </c>
      <c r="G3473" s="8">
        <v>2</v>
      </c>
      <c r="H3473" s="8">
        <v>16643</v>
      </c>
      <c r="I3473" s="8">
        <v>4</v>
      </c>
      <c r="J3473" s="8">
        <v>54</v>
      </c>
      <c r="K3473" s="8">
        <v>506</v>
      </c>
      <c r="L3473" s="8">
        <v>487</v>
      </c>
      <c r="M3473" s="8">
        <v>4.75</v>
      </c>
      <c r="N3473">
        <f>VLOOKUP(A3473,vlookup_table!$A:$G,2,FALSE)</f>
        <v>0</v>
      </c>
      <c r="O3473" t="str">
        <f>VLOOKUP(A3473,vlookup_table!$A:$G,3,FALSE)</f>
        <v>AL</v>
      </c>
      <c r="P3473">
        <f>VLOOKUP(A3473,vlookup_table!$A:$G,4,FALSE)</f>
        <v>0</v>
      </c>
      <c r="Q3473" t="str">
        <f>VLOOKUP(A3473,vlookup_table!$A:$G,5,FALSE)</f>
        <v>T3</v>
      </c>
      <c r="R3473" t="str">
        <f>VLOOKUP(A3473,vlookup_table!$A:$G,6,FALSE)</f>
        <v>F</v>
      </c>
      <c r="S3473">
        <f>VLOOKUP(A3473,vlookup_table!$A:$G,7,FALSE)</f>
        <v>5</v>
      </c>
      <c r="T3473">
        <f t="shared" si="108"/>
        <v>96</v>
      </c>
      <c r="U3473" t="str">
        <f t="shared" si="109"/>
        <v>Pueblo</v>
      </c>
    </row>
    <row r="3474" spans="1:21" ht="16" x14ac:dyDescent="0.4">
      <c r="A3474" s="9">
        <v>167838</v>
      </c>
      <c r="B3474" s="8" t="s">
        <v>21</v>
      </c>
      <c r="C3474" s="8" t="s">
        <v>14</v>
      </c>
      <c r="D3474" s="8">
        <v>2291</v>
      </c>
      <c r="E3474" s="8">
        <v>353</v>
      </c>
      <c r="F3474" s="8">
        <v>440</v>
      </c>
      <c r="G3474" s="8">
        <v>68</v>
      </c>
      <c r="H3474" s="8">
        <v>13687</v>
      </c>
      <c r="I3474" s="8">
        <v>14</v>
      </c>
      <c r="J3474" s="8">
        <v>58</v>
      </c>
      <c r="K3474" s="8">
        <v>407</v>
      </c>
      <c r="L3474" s="8">
        <v>402</v>
      </c>
      <c r="M3474" s="8">
        <v>8.875</v>
      </c>
      <c r="N3474">
        <f>VLOOKUP(A3474,vlookup_table!$A:$G,2,FALSE)</f>
        <v>1</v>
      </c>
      <c r="O3474" t="str">
        <f>VLOOKUP(A3474,vlookup_table!$A:$G,3,FALSE)</f>
        <v>CA</v>
      </c>
      <c r="P3474">
        <f>VLOOKUP(A3474,vlookup_table!$A:$G,4,FALSE)</f>
        <v>3402</v>
      </c>
      <c r="Q3474" t="str">
        <f>VLOOKUP(A3474,vlookup_table!$A:$G,5,FALSE)</f>
        <v>C2</v>
      </c>
      <c r="R3474" t="str">
        <f>VLOOKUP(A3474,vlookup_table!$A:$G,6,FALSE)</f>
        <v>M</v>
      </c>
      <c r="S3474">
        <f>VLOOKUP(A3474,vlookup_table!$A:$G,7,FALSE)</f>
        <v>15</v>
      </c>
      <c r="T3474">
        <f t="shared" si="108"/>
        <v>62</v>
      </c>
      <c r="U3474" t="str">
        <f t="shared" si="109"/>
        <v>Ciudad</v>
      </c>
    </row>
    <row r="3475" spans="1:21" ht="16" x14ac:dyDescent="0.4">
      <c r="A3475" s="9">
        <v>113186</v>
      </c>
      <c r="B3475" s="8" t="s">
        <v>28</v>
      </c>
      <c r="C3475" s="8" t="s">
        <v>14</v>
      </c>
      <c r="D3475" s="8">
        <v>1385</v>
      </c>
      <c r="E3475" s="8">
        <v>249</v>
      </c>
      <c r="F3475" s="8">
        <v>554</v>
      </c>
      <c r="G3475" s="8">
        <v>8</v>
      </c>
      <c r="H3475" s="8">
        <v>22877</v>
      </c>
      <c r="I3475" s="8">
        <v>2</v>
      </c>
      <c r="J3475" s="8">
        <v>58</v>
      </c>
      <c r="K3475" s="8">
        <v>409</v>
      </c>
      <c r="L3475" s="8">
        <v>419</v>
      </c>
      <c r="M3475" s="8">
        <v>5.3214285710000002</v>
      </c>
      <c r="N3475">
        <f>VLOOKUP(A3475,vlookup_table!$A:$G,2,FALSE)</f>
        <v>1002</v>
      </c>
      <c r="O3475" t="str">
        <f>VLOOKUP(A3475,vlookup_table!$A:$G,3,FALSE)</f>
        <v>OK</v>
      </c>
      <c r="P3475">
        <f>VLOOKUP(A3475,vlookup_table!$A:$G,4,FALSE)</f>
        <v>2001</v>
      </c>
      <c r="Q3475" t="str">
        <f>VLOOKUP(A3475,vlookup_table!$A:$G,5,FALSE)</f>
        <v>C2</v>
      </c>
      <c r="R3475" t="str">
        <f>VLOOKUP(A3475,vlookup_table!$A:$G,6,FALSE)</f>
        <v>M</v>
      </c>
      <c r="S3475">
        <f>VLOOKUP(A3475,vlookup_table!$A:$G,7,FALSE)</f>
        <v>5</v>
      </c>
      <c r="T3475">
        <f t="shared" si="108"/>
        <v>76</v>
      </c>
      <c r="U3475" t="str">
        <f t="shared" si="109"/>
        <v>Ciudad</v>
      </c>
    </row>
    <row r="3476" spans="1:21" ht="16" x14ac:dyDescent="0.4">
      <c r="A3476" s="9">
        <v>154114</v>
      </c>
      <c r="B3476" s="8" t="s">
        <v>23</v>
      </c>
      <c r="C3476" s="8" t="s">
        <v>17</v>
      </c>
      <c r="D3476" s="8">
        <v>775</v>
      </c>
      <c r="E3476" s="8">
        <v>218</v>
      </c>
      <c r="F3476" s="8">
        <v>312</v>
      </c>
      <c r="G3476" s="8">
        <v>0</v>
      </c>
      <c r="H3476" s="8">
        <v>15459</v>
      </c>
      <c r="I3476" s="8">
        <v>9</v>
      </c>
      <c r="J3476" s="8">
        <v>0</v>
      </c>
      <c r="K3476" s="8">
        <v>266</v>
      </c>
      <c r="L3476" s="8">
        <v>272</v>
      </c>
      <c r="M3476" s="8">
        <v>12.66666667</v>
      </c>
      <c r="N3476">
        <f>VLOOKUP(A3476,vlookup_table!$A:$G,2,FALSE)</f>
        <v>2</v>
      </c>
      <c r="O3476" t="str">
        <f>VLOOKUP(A3476,vlookup_table!$A:$G,3,FALSE)</f>
        <v>NV</v>
      </c>
      <c r="P3476">
        <f>VLOOKUP(A3476,vlookup_table!$A:$G,4,FALSE)</f>
        <v>3707</v>
      </c>
      <c r="Q3476" t="str">
        <f>VLOOKUP(A3476,vlookup_table!$A:$G,5,FALSE)</f>
        <v>T2</v>
      </c>
      <c r="R3476" t="str">
        <f>VLOOKUP(A3476,vlookup_table!$A:$G,6,FALSE)</f>
        <v>F</v>
      </c>
      <c r="S3476">
        <f>VLOOKUP(A3476,vlookup_table!$A:$G,7,FALSE)</f>
        <v>20</v>
      </c>
      <c r="T3476">
        <f t="shared" si="108"/>
        <v>59</v>
      </c>
      <c r="U3476" t="str">
        <f t="shared" si="109"/>
        <v>Pueblo</v>
      </c>
    </row>
    <row r="3477" spans="1:21" ht="16" x14ac:dyDescent="0.4">
      <c r="A3477" s="9">
        <v>171738</v>
      </c>
      <c r="B3477" s="8" t="s">
        <v>21</v>
      </c>
      <c r="C3477" s="8" t="s">
        <v>14</v>
      </c>
      <c r="D3477" s="8">
        <v>2098</v>
      </c>
      <c r="E3477" s="8">
        <v>564</v>
      </c>
      <c r="F3477" s="8">
        <v>730</v>
      </c>
      <c r="G3477" s="8">
        <v>55</v>
      </c>
      <c r="H3477" s="8">
        <v>34394</v>
      </c>
      <c r="I3477" s="8">
        <v>4</v>
      </c>
      <c r="J3477" s="8">
        <v>62</v>
      </c>
      <c r="K3477" s="8">
        <v>752</v>
      </c>
      <c r="L3477" s="8">
        <v>611</v>
      </c>
      <c r="M3477" s="8">
        <v>9.75</v>
      </c>
      <c r="N3477">
        <f>VLOOKUP(A3477,vlookup_table!$A:$G,2,FALSE)</f>
        <v>2</v>
      </c>
      <c r="O3477" t="str">
        <f>VLOOKUP(A3477,vlookup_table!$A:$G,3,FALSE)</f>
        <v>CA</v>
      </c>
      <c r="P3477">
        <f>VLOOKUP(A3477,vlookup_table!$A:$G,4,FALSE)</f>
        <v>701</v>
      </c>
      <c r="Q3477" t="str">
        <f>VLOOKUP(A3477,vlookup_table!$A:$G,5,FALSE)</f>
        <v>U1</v>
      </c>
      <c r="R3477" t="str">
        <f>VLOOKUP(A3477,vlookup_table!$A:$G,6,FALSE)</f>
        <v>M</v>
      </c>
      <c r="S3477">
        <f>VLOOKUP(A3477,vlookup_table!$A:$G,7,FALSE)</f>
        <v>12</v>
      </c>
      <c r="T3477">
        <f t="shared" si="108"/>
        <v>26</v>
      </c>
      <c r="U3477" t="str">
        <f t="shared" si="109"/>
        <v>Urbano</v>
      </c>
    </row>
    <row r="3478" spans="1:21" ht="16" x14ac:dyDescent="0.4">
      <c r="A3478" s="9">
        <v>20401</v>
      </c>
      <c r="B3478" s="8" t="s">
        <v>18</v>
      </c>
      <c r="C3478" s="8" t="s">
        <v>97</v>
      </c>
      <c r="D3478" s="8">
        <v>476</v>
      </c>
      <c r="E3478" s="8">
        <v>193</v>
      </c>
      <c r="F3478" s="8">
        <v>282</v>
      </c>
      <c r="G3478" s="8">
        <v>0</v>
      </c>
      <c r="H3478" s="8">
        <v>9066</v>
      </c>
      <c r="I3478" s="8">
        <v>0</v>
      </c>
      <c r="J3478" s="8">
        <v>90</v>
      </c>
      <c r="K3478" s="8">
        <v>244</v>
      </c>
      <c r="L3478" s="8">
        <v>243</v>
      </c>
      <c r="M3478" s="8">
        <v>16.166666670000001</v>
      </c>
      <c r="N3478">
        <f>VLOOKUP(A3478,vlookup_table!$A:$G,2,FALSE)</f>
        <v>0</v>
      </c>
      <c r="O3478" t="str">
        <f>VLOOKUP(A3478,vlookup_table!$A:$G,3,FALSE)</f>
        <v>NC</v>
      </c>
      <c r="P3478">
        <f>VLOOKUP(A3478,vlookup_table!$A:$G,4,FALSE)</f>
        <v>3201</v>
      </c>
      <c r="Q3478" t="str">
        <f>VLOOKUP(A3478,vlookup_table!$A:$G,5,FALSE)</f>
        <v>R3</v>
      </c>
      <c r="R3478" t="str">
        <f>VLOOKUP(A3478,vlookup_table!$A:$G,6,FALSE)</f>
        <v>F</v>
      </c>
      <c r="S3478">
        <f>VLOOKUP(A3478,vlookup_table!$A:$G,7,FALSE)</f>
        <v>30</v>
      </c>
      <c r="T3478">
        <f t="shared" si="108"/>
        <v>64</v>
      </c>
      <c r="U3478" t="str">
        <f t="shared" si="109"/>
        <v>Rural</v>
      </c>
    </row>
    <row r="3479" spans="1:21" ht="16" x14ac:dyDescent="0.4">
      <c r="A3479" s="9">
        <v>69878</v>
      </c>
      <c r="B3479" s="8" t="s">
        <v>26</v>
      </c>
      <c r="C3479" s="8" t="s">
        <v>14</v>
      </c>
      <c r="D3479" s="8">
        <v>568</v>
      </c>
      <c r="E3479" s="8">
        <v>375</v>
      </c>
      <c r="F3479" s="8">
        <v>459</v>
      </c>
      <c r="G3479" s="8">
        <v>0</v>
      </c>
      <c r="H3479" s="8">
        <v>15234</v>
      </c>
      <c r="I3479" s="8">
        <v>1</v>
      </c>
      <c r="J3479" s="8">
        <v>92</v>
      </c>
      <c r="K3479" s="8">
        <v>406</v>
      </c>
      <c r="L3479" s="8">
        <v>429</v>
      </c>
      <c r="M3479" s="8">
        <v>7.80952381</v>
      </c>
      <c r="N3479">
        <f>VLOOKUP(A3479,vlookup_table!$A:$G,2,FALSE)</f>
        <v>1</v>
      </c>
      <c r="O3479" t="str">
        <f>VLOOKUP(A3479,vlookup_table!$A:$G,3,FALSE)</f>
        <v>MI</v>
      </c>
      <c r="P3479">
        <f>VLOOKUP(A3479,vlookup_table!$A:$G,4,FALSE)</f>
        <v>2907</v>
      </c>
      <c r="Q3479" t="str">
        <f>VLOOKUP(A3479,vlookup_table!$A:$G,5,FALSE)</f>
        <v>R2</v>
      </c>
      <c r="R3479" t="str">
        <f>VLOOKUP(A3479,vlookup_table!$A:$G,6,FALSE)</f>
        <v>M</v>
      </c>
      <c r="S3479">
        <f>VLOOKUP(A3479,vlookup_table!$A:$G,7,FALSE)</f>
        <v>12</v>
      </c>
      <c r="T3479">
        <f t="shared" si="108"/>
        <v>67</v>
      </c>
      <c r="U3479" t="str">
        <f t="shared" si="109"/>
        <v>Rural</v>
      </c>
    </row>
    <row r="3480" spans="1:21" ht="16" x14ac:dyDescent="0.4">
      <c r="A3480" s="9">
        <v>138443</v>
      </c>
      <c r="B3480" s="8" t="s">
        <v>51</v>
      </c>
      <c r="C3480" s="8" t="s">
        <v>97</v>
      </c>
      <c r="D3480" s="8">
        <v>650</v>
      </c>
      <c r="E3480" s="8">
        <v>174</v>
      </c>
      <c r="F3480" s="8">
        <v>251</v>
      </c>
      <c r="G3480" s="8">
        <v>2</v>
      </c>
      <c r="H3480" s="8">
        <v>9170</v>
      </c>
      <c r="I3480" s="8">
        <v>6</v>
      </c>
      <c r="J3480" s="8">
        <v>28</v>
      </c>
      <c r="K3480" s="8">
        <v>203</v>
      </c>
      <c r="L3480" s="8">
        <v>216</v>
      </c>
      <c r="M3480" s="8">
        <v>15</v>
      </c>
      <c r="N3480">
        <f>VLOOKUP(A3480,vlookup_table!$A:$G,2,FALSE)</f>
        <v>0</v>
      </c>
      <c r="O3480" t="str">
        <f>VLOOKUP(A3480,vlookup_table!$A:$G,3,FALSE)</f>
        <v>AZ</v>
      </c>
      <c r="P3480">
        <f>VLOOKUP(A3480,vlookup_table!$A:$G,4,FALSE)</f>
        <v>5001</v>
      </c>
      <c r="Q3480" t="str">
        <f>VLOOKUP(A3480,vlookup_table!$A:$G,5,FALSE)</f>
        <v/>
      </c>
      <c r="R3480" t="str">
        <f>VLOOKUP(A3480,vlookup_table!$A:$G,6,FALSE)</f>
        <v>F</v>
      </c>
      <c r="S3480">
        <f>VLOOKUP(A3480,vlookup_table!$A:$G,7,FALSE)</f>
        <v>15</v>
      </c>
      <c r="T3480">
        <f t="shared" si="108"/>
        <v>46</v>
      </c>
      <c r="U3480" t="str">
        <f t="shared" si="109"/>
        <v/>
      </c>
    </row>
    <row r="3481" spans="1:21" ht="16" x14ac:dyDescent="0.4">
      <c r="A3481" s="9">
        <v>13806</v>
      </c>
      <c r="B3481" s="8" t="s">
        <v>32</v>
      </c>
      <c r="C3481" s="8" t="s">
        <v>17</v>
      </c>
      <c r="D3481" s="8">
        <v>409</v>
      </c>
      <c r="E3481" s="8">
        <v>216</v>
      </c>
      <c r="F3481" s="8">
        <v>317</v>
      </c>
      <c r="G3481" s="8">
        <v>0</v>
      </c>
      <c r="H3481" s="8">
        <v>10381</v>
      </c>
      <c r="I3481" s="8">
        <v>1</v>
      </c>
      <c r="J3481" s="8">
        <v>80</v>
      </c>
      <c r="K3481" s="8">
        <v>268</v>
      </c>
      <c r="L3481" s="8">
        <v>266</v>
      </c>
      <c r="M3481" s="8">
        <v>5.6029411769999999</v>
      </c>
      <c r="N3481">
        <f>VLOOKUP(A3481,vlookup_table!$A:$G,2,FALSE)</f>
        <v>2</v>
      </c>
      <c r="O3481" t="str">
        <f>VLOOKUP(A3481,vlookup_table!$A:$G,3,FALSE)</f>
        <v>WI</v>
      </c>
      <c r="P3481">
        <f>VLOOKUP(A3481,vlookup_table!$A:$G,4,FALSE)</f>
        <v>0</v>
      </c>
      <c r="Q3481" t="str">
        <f>VLOOKUP(A3481,vlookup_table!$A:$G,5,FALSE)</f>
        <v>R2</v>
      </c>
      <c r="R3481" t="str">
        <f>VLOOKUP(A3481,vlookup_table!$A:$G,6,FALSE)</f>
        <v>F</v>
      </c>
      <c r="S3481">
        <f>VLOOKUP(A3481,vlookup_table!$A:$G,7,FALSE)</f>
        <v>7</v>
      </c>
      <c r="T3481">
        <f t="shared" si="108"/>
        <v>96</v>
      </c>
      <c r="U3481" t="str">
        <f t="shared" si="109"/>
        <v>Rural</v>
      </c>
    </row>
    <row r="3482" spans="1:21" ht="16" x14ac:dyDescent="0.4">
      <c r="A3482" s="9">
        <v>119801</v>
      </c>
      <c r="B3482" s="8" t="s">
        <v>20</v>
      </c>
      <c r="C3482" s="8" t="s">
        <v>17</v>
      </c>
      <c r="D3482" s="8">
        <v>873</v>
      </c>
      <c r="E3482" s="8">
        <v>422</v>
      </c>
      <c r="F3482" s="8">
        <v>499</v>
      </c>
      <c r="G3482" s="8">
        <v>0</v>
      </c>
      <c r="H3482" s="8">
        <v>15800</v>
      </c>
      <c r="I3482" s="8">
        <v>1</v>
      </c>
      <c r="J3482" s="8">
        <v>54</v>
      </c>
      <c r="K3482" s="8">
        <v>486</v>
      </c>
      <c r="L3482" s="8">
        <v>459</v>
      </c>
      <c r="M3482" s="8">
        <v>14.66666667</v>
      </c>
      <c r="N3482">
        <f>VLOOKUP(A3482,vlookup_table!$A:$G,2,FALSE)</f>
        <v>28</v>
      </c>
      <c r="O3482" t="str">
        <f>VLOOKUP(A3482,vlookup_table!$A:$G,3,FALSE)</f>
        <v>TX</v>
      </c>
      <c r="P3482">
        <f>VLOOKUP(A3482,vlookup_table!$A:$G,4,FALSE)</f>
        <v>603</v>
      </c>
      <c r="Q3482" t="str">
        <f>VLOOKUP(A3482,vlookup_table!$A:$G,5,FALSE)</f>
        <v>T2</v>
      </c>
      <c r="R3482" t="str">
        <f>VLOOKUP(A3482,vlookup_table!$A:$G,6,FALSE)</f>
        <v>F</v>
      </c>
      <c r="S3482">
        <f>VLOOKUP(A3482,vlookup_table!$A:$G,7,FALSE)</f>
        <v>25</v>
      </c>
      <c r="T3482">
        <f t="shared" si="108"/>
        <v>36</v>
      </c>
      <c r="U3482" t="str">
        <f t="shared" si="109"/>
        <v>Pueblo</v>
      </c>
    </row>
    <row r="3483" spans="1:21" ht="16" x14ac:dyDescent="0.4">
      <c r="A3483" s="9">
        <v>56339</v>
      </c>
      <c r="B3483" s="8" t="s">
        <v>53</v>
      </c>
      <c r="C3483" s="8" t="s">
        <v>17</v>
      </c>
      <c r="D3483" s="8">
        <v>397</v>
      </c>
      <c r="E3483" s="8">
        <v>170</v>
      </c>
      <c r="F3483" s="8">
        <v>290</v>
      </c>
      <c r="G3483" s="8">
        <v>0</v>
      </c>
      <c r="H3483" s="8">
        <v>10204</v>
      </c>
      <c r="I3483" s="8">
        <v>0</v>
      </c>
      <c r="J3483" s="8">
        <v>93</v>
      </c>
      <c r="K3483" s="8">
        <v>209</v>
      </c>
      <c r="L3483" s="8">
        <v>235</v>
      </c>
      <c r="M3483" s="8">
        <v>3.6296296300000002</v>
      </c>
      <c r="N3483">
        <f>VLOOKUP(A3483,vlookup_table!$A:$G,2,FALSE)</f>
        <v>2</v>
      </c>
      <c r="O3483" t="str">
        <f>VLOOKUP(A3483,vlookup_table!$A:$G,3,FALSE)</f>
        <v>KY</v>
      </c>
      <c r="P3483">
        <f>VLOOKUP(A3483,vlookup_table!$A:$G,4,FALSE)</f>
        <v>1505</v>
      </c>
      <c r="Q3483" t="str">
        <f>VLOOKUP(A3483,vlookup_table!$A:$G,5,FALSE)</f>
        <v>T2</v>
      </c>
      <c r="R3483" t="str">
        <f>VLOOKUP(A3483,vlookup_table!$A:$G,6,FALSE)</f>
        <v>F</v>
      </c>
      <c r="S3483">
        <f>VLOOKUP(A3483,vlookup_table!$A:$G,7,FALSE)</f>
        <v>5</v>
      </c>
      <c r="T3483">
        <f t="shared" si="108"/>
        <v>81</v>
      </c>
      <c r="U3483" t="str">
        <f t="shared" si="109"/>
        <v>Pueblo</v>
      </c>
    </row>
    <row r="3484" spans="1:21" ht="16" x14ac:dyDescent="0.4">
      <c r="A3484" s="9">
        <v>125506</v>
      </c>
      <c r="B3484" s="8" t="s">
        <v>20</v>
      </c>
      <c r="C3484" s="8" t="s">
        <v>17</v>
      </c>
      <c r="D3484" s="8">
        <v>384</v>
      </c>
      <c r="E3484" s="8">
        <v>161</v>
      </c>
      <c r="F3484" s="8">
        <v>206</v>
      </c>
      <c r="G3484" s="8">
        <v>0</v>
      </c>
      <c r="H3484" s="8">
        <v>5691</v>
      </c>
      <c r="I3484" s="8">
        <v>8</v>
      </c>
      <c r="J3484" s="8">
        <v>88</v>
      </c>
      <c r="K3484" s="8">
        <v>166</v>
      </c>
      <c r="L3484" s="8">
        <v>187</v>
      </c>
      <c r="M3484" s="8">
        <v>12.2</v>
      </c>
      <c r="N3484">
        <f>VLOOKUP(A3484,vlookup_table!$A:$G,2,FALSE)</f>
        <v>28</v>
      </c>
      <c r="O3484" t="str">
        <f>VLOOKUP(A3484,vlookup_table!$A:$G,3,FALSE)</f>
        <v>TX</v>
      </c>
      <c r="P3484">
        <f>VLOOKUP(A3484,vlookup_table!$A:$G,4,FALSE)</f>
        <v>5501</v>
      </c>
      <c r="Q3484" t="str">
        <f>VLOOKUP(A3484,vlookup_table!$A:$G,5,FALSE)</f>
        <v>U4</v>
      </c>
      <c r="R3484" t="str">
        <f>VLOOKUP(A3484,vlookup_table!$A:$G,6,FALSE)</f>
        <v>F</v>
      </c>
      <c r="S3484">
        <f>VLOOKUP(A3484,vlookup_table!$A:$G,7,FALSE)</f>
        <v>20</v>
      </c>
      <c r="T3484">
        <f t="shared" si="108"/>
        <v>41</v>
      </c>
      <c r="U3484" t="str">
        <f t="shared" si="109"/>
        <v>Urbano</v>
      </c>
    </row>
    <row r="3485" spans="1:21" ht="16" x14ac:dyDescent="0.4">
      <c r="A3485" s="9">
        <v>190635</v>
      </c>
      <c r="B3485" s="8" t="s">
        <v>43</v>
      </c>
      <c r="C3485" s="8" t="s">
        <v>27</v>
      </c>
      <c r="D3485" s="8">
        <v>389</v>
      </c>
      <c r="E3485" s="8">
        <v>206</v>
      </c>
      <c r="F3485" s="8">
        <v>319</v>
      </c>
      <c r="G3485" s="8">
        <v>1</v>
      </c>
      <c r="H3485" s="8">
        <v>9837</v>
      </c>
      <c r="I3485" s="8">
        <v>0</v>
      </c>
      <c r="J3485" s="8">
        <v>78</v>
      </c>
      <c r="K3485" s="8">
        <v>289</v>
      </c>
      <c r="L3485" s="8">
        <v>269</v>
      </c>
      <c r="M3485" s="8">
        <v>8.6666666669999994</v>
      </c>
      <c r="N3485">
        <f>VLOOKUP(A3485,vlookup_table!$A:$G,2,FALSE)</f>
        <v>0</v>
      </c>
      <c r="O3485" t="str">
        <f>VLOOKUP(A3485,vlookup_table!$A:$G,3,FALSE)</f>
        <v>SC</v>
      </c>
      <c r="P3485">
        <f>VLOOKUP(A3485,vlookup_table!$A:$G,4,FALSE)</f>
        <v>0</v>
      </c>
      <c r="Q3485" t="str">
        <f>VLOOKUP(A3485,vlookup_table!$A:$G,5,FALSE)</f>
        <v/>
      </c>
      <c r="R3485" t="str">
        <f>VLOOKUP(A3485,vlookup_table!$A:$G,6,FALSE)</f>
        <v>U</v>
      </c>
      <c r="S3485">
        <f>VLOOKUP(A3485,vlookup_table!$A:$G,7,FALSE)</f>
        <v>32</v>
      </c>
      <c r="T3485">
        <f t="shared" si="108"/>
        <v>96</v>
      </c>
      <c r="U3485" t="str">
        <f t="shared" si="109"/>
        <v/>
      </c>
    </row>
    <row r="3486" spans="1:21" ht="16" x14ac:dyDescent="0.4">
      <c r="A3486" s="9">
        <v>12361</v>
      </c>
      <c r="B3486" s="8" t="s">
        <v>16</v>
      </c>
      <c r="C3486" s="8" t="s">
        <v>17</v>
      </c>
      <c r="D3486" s="8">
        <v>5778</v>
      </c>
      <c r="E3486" s="8">
        <v>517</v>
      </c>
      <c r="F3486" s="8">
        <v>996</v>
      </c>
      <c r="G3486" s="8">
        <v>99</v>
      </c>
      <c r="H3486" s="8">
        <v>57644</v>
      </c>
      <c r="I3486" s="8">
        <v>6</v>
      </c>
      <c r="J3486" s="8">
        <v>53</v>
      </c>
      <c r="K3486" s="8">
        <v>1068</v>
      </c>
      <c r="L3486" s="8">
        <v>668</v>
      </c>
      <c r="M3486" s="8">
        <v>62.5</v>
      </c>
      <c r="N3486">
        <f>VLOOKUP(A3486,vlookup_table!$A:$G,2,FALSE)</f>
        <v>28</v>
      </c>
      <c r="O3486" t="str">
        <f>VLOOKUP(A3486,vlookup_table!$A:$G,3,FALSE)</f>
        <v>IL</v>
      </c>
      <c r="P3486">
        <f>VLOOKUP(A3486,vlookup_table!$A:$G,4,FALSE)</f>
        <v>4204</v>
      </c>
      <c r="Q3486" t="str">
        <f>VLOOKUP(A3486,vlookup_table!$A:$G,5,FALSE)</f>
        <v>U1</v>
      </c>
      <c r="R3486" t="str">
        <f>VLOOKUP(A3486,vlookup_table!$A:$G,6,FALSE)</f>
        <v>F</v>
      </c>
      <c r="S3486">
        <f>VLOOKUP(A3486,vlookup_table!$A:$G,7,FALSE)</f>
        <v>100</v>
      </c>
      <c r="T3486">
        <f t="shared" si="108"/>
        <v>54</v>
      </c>
      <c r="U3486" t="str">
        <f t="shared" si="109"/>
        <v>Urbano</v>
      </c>
    </row>
    <row r="3487" spans="1:21" ht="16" x14ac:dyDescent="0.4">
      <c r="A3487" s="9">
        <v>136428</v>
      </c>
      <c r="B3487" s="8" t="s">
        <v>51</v>
      </c>
      <c r="C3487" s="8" t="s">
        <v>97</v>
      </c>
      <c r="D3487" s="8">
        <v>1887</v>
      </c>
      <c r="E3487" s="8">
        <v>591</v>
      </c>
      <c r="F3487" s="8">
        <v>829</v>
      </c>
      <c r="G3487" s="8">
        <v>42</v>
      </c>
      <c r="H3487" s="8">
        <v>47673</v>
      </c>
      <c r="I3487" s="8">
        <v>1</v>
      </c>
      <c r="J3487" s="8">
        <v>12</v>
      </c>
      <c r="K3487" s="8">
        <v>801</v>
      </c>
      <c r="L3487" s="8">
        <v>672</v>
      </c>
      <c r="M3487" s="8">
        <v>15</v>
      </c>
      <c r="N3487">
        <f>VLOOKUP(A3487,vlookup_table!$A:$G,2,FALSE)</f>
        <v>0</v>
      </c>
      <c r="O3487" t="str">
        <f>VLOOKUP(A3487,vlookup_table!$A:$G,3,FALSE)</f>
        <v>AZ</v>
      </c>
      <c r="P3487">
        <f>VLOOKUP(A3487,vlookup_table!$A:$G,4,FALSE)</f>
        <v>4701</v>
      </c>
      <c r="Q3487" t="str">
        <f>VLOOKUP(A3487,vlookup_table!$A:$G,5,FALSE)</f>
        <v>S1</v>
      </c>
      <c r="R3487" t="str">
        <f>VLOOKUP(A3487,vlookup_table!$A:$G,6,FALSE)</f>
        <v>F</v>
      </c>
      <c r="S3487">
        <f>VLOOKUP(A3487,vlookup_table!$A:$G,7,FALSE)</f>
        <v>25</v>
      </c>
      <c r="T3487">
        <f t="shared" si="108"/>
        <v>49</v>
      </c>
      <c r="U3487" t="str">
        <f t="shared" si="109"/>
        <v>Suburbano</v>
      </c>
    </row>
    <row r="3488" spans="1:21" ht="16" x14ac:dyDescent="0.4">
      <c r="A3488" s="9">
        <v>184478</v>
      </c>
      <c r="B3488" s="8" t="s">
        <v>37</v>
      </c>
      <c r="C3488" s="8" t="s">
        <v>14</v>
      </c>
      <c r="D3488" s="8">
        <v>439</v>
      </c>
      <c r="E3488" s="8">
        <v>143</v>
      </c>
      <c r="F3488" s="8">
        <v>230</v>
      </c>
      <c r="G3488" s="8">
        <v>0</v>
      </c>
      <c r="H3488" s="8">
        <v>10453</v>
      </c>
      <c r="I3488" s="8">
        <v>4</v>
      </c>
      <c r="J3488" s="8">
        <v>45</v>
      </c>
      <c r="K3488" s="8">
        <v>187</v>
      </c>
      <c r="L3488" s="8">
        <v>189</v>
      </c>
      <c r="M3488" s="8">
        <v>7.3333333329999997</v>
      </c>
      <c r="N3488">
        <f>VLOOKUP(A3488,vlookup_table!$A:$G,2,FALSE)</f>
        <v>1</v>
      </c>
      <c r="O3488" t="str">
        <f>VLOOKUP(A3488,vlookup_table!$A:$G,3,FALSE)</f>
        <v>WA</v>
      </c>
      <c r="P3488">
        <f>VLOOKUP(A3488,vlookup_table!$A:$G,4,FALSE)</f>
        <v>2001</v>
      </c>
      <c r="Q3488" t="str">
        <f>VLOOKUP(A3488,vlookup_table!$A:$G,5,FALSE)</f>
        <v>C3</v>
      </c>
      <c r="R3488" t="str">
        <f>VLOOKUP(A3488,vlookup_table!$A:$G,6,FALSE)</f>
        <v>M</v>
      </c>
      <c r="S3488">
        <f>VLOOKUP(A3488,vlookup_table!$A:$G,7,FALSE)</f>
        <v>15</v>
      </c>
      <c r="T3488">
        <f t="shared" si="108"/>
        <v>76</v>
      </c>
      <c r="U3488" t="str">
        <f t="shared" si="109"/>
        <v>Ciudad</v>
      </c>
    </row>
    <row r="3489" spans="1:21" ht="16" x14ac:dyDescent="0.4">
      <c r="A3489" s="9">
        <v>55105</v>
      </c>
      <c r="B3489" s="8" t="s">
        <v>56</v>
      </c>
      <c r="C3489" s="8" t="s">
        <v>97</v>
      </c>
      <c r="D3489" s="8">
        <v>407</v>
      </c>
      <c r="E3489" s="8">
        <v>182</v>
      </c>
      <c r="F3489" s="8">
        <v>282</v>
      </c>
      <c r="G3489" s="8">
        <v>0</v>
      </c>
      <c r="H3489" s="8">
        <v>8199</v>
      </c>
      <c r="I3489" s="8">
        <v>0</v>
      </c>
      <c r="J3489" s="8">
        <v>85</v>
      </c>
      <c r="K3489" s="8">
        <v>231</v>
      </c>
      <c r="L3489" s="8">
        <v>236</v>
      </c>
      <c r="M3489" s="8">
        <v>5.8</v>
      </c>
      <c r="N3489">
        <f>VLOOKUP(A3489,vlookup_table!$A:$G,2,FALSE)</f>
        <v>0</v>
      </c>
      <c r="O3489" t="str">
        <f>VLOOKUP(A3489,vlookup_table!$A:$G,3,FALSE)</f>
        <v>MS</v>
      </c>
      <c r="P3489">
        <f>VLOOKUP(A3489,vlookup_table!$A:$G,4,FALSE)</f>
        <v>0</v>
      </c>
      <c r="Q3489" t="str">
        <f>VLOOKUP(A3489,vlookup_table!$A:$G,5,FALSE)</f>
        <v>R2</v>
      </c>
      <c r="R3489" t="str">
        <f>VLOOKUP(A3489,vlookup_table!$A:$G,6,FALSE)</f>
        <v>F</v>
      </c>
      <c r="S3489">
        <f>VLOOKUP(A3489,vlookup_table!$A:$G,7,FALSE)</f>
        <v>4</v>
      </c>
      <c r="T3489">
        <f t="shared" si="108"/>
        <v>96</v>
      </c>
      <c r="U3489" t="str">
        <f t="shared" si="109"/>
        <v>Rural</v>
      </c>
    </row>
    <row r="3490" spans="1:21" ht="16" x14ac:dyDescent="0.4">
      <c r="A3490" s="9">
        <v>188170</v>
      </c>
      <c r="B3490" s="8" t="s">
        <v>13</v>
      </c>
      <c r="C3490" s="8" t="s">
        <v>14</v>
      </c>
      <c r="D3490" s="8">
        <v>1098</v>
      </c>
      <c r="E3490" s="8">
        <v>374</v>
      </c>
      <c r="F3490" s="8">
        <v>432</v>
      </c>
      <c r="G3490" s="8">
        <v>2</v>
      </c>
      <c r="H3490" s="8">
        <v>16263</v>
      </c>
      <c r="I3490" s="8">
        <v>9</v>
      </c>
      <c r="J3490" s="8">
        <v>11</v>
      </c>
      <c r="K3490" s="8">
        <v>386</v>
      </c>
      <c r="L3490" s="8">
        <v>427</v>
      </c>
      <c r="M3490" s="8">
        <v>22.785714290000001</v>
      </c>
      <c r="N3490">
        <f>VLOOKUP(A3490,vlookup_table!$A:$G,2,FALSE)</f>
        <v>2</v>
      </c>
      <c r="O3490" t="str">
        <f>VLOOKUP(A3490,vlookup_table!$A:$G,3,FALSE)</f>
        <v>FL</v>
      </c>
      <c r="P3490">
        <f>VLOOKUP(A3490,vlookup_table!$A:$G,4,FALSE)</f>
        <v>0</v>
      </c>
      <c r="Q3490" t="str">
        <f>VLOOKUP(A3490,vlookup_table!$A:$G,5,FALSE)</f>
        <v/>
      </c>
      <c r="R3490" t="str">
        <f>VLOOKUP(A3490,vlookup_table!$A:$G,6,FALSE)</f>
        <v>M</v>
      </c>
      <c r="S3490">
        <f>VLOOKUP(A3490,vlookup_table!$A:$G,7,FALSE)</f>
        <v>50</v>
      </c>
      <c r="T3490">
        <f t="shared" si="108"/>
        <v>96</v>
      </c>
      <c r="U3490" t="str">
        <f t="shared" si="109"/>
        <v/>
      </c>
    </row>
    <row r="3491" spans="1:21" ht="16" x14ac:dyDescent="0.4">
      <c r="A3491" s="9">
        <v>171397</v>
      </c>
      <c r="B3491" s="8" t="s">
        <v>30</v>
      </c>
      <c r="C3491" s="8" t="s">
        <v>14</v>
      </c>
      <c r="D3491" s="8">
        <v>709</v>
      </c>
      <c r="E3491" s="8">
        <v>403</v>
      </c>
      <c r="F3491" s="8">
        <v>549</v>
      </c>
      <c r="G3491" s="8">
        <v>4</v>
      </c>
      <c r="H3491" s="8">
        <v>21035</v>
      </c>
      <c r="I3491" s="8">
        <v>4</v>
      </c>
      <c r="J3491" s="8">
        <v>64</v>
      </c>
      <c r="K3491" s="8">
        <v>459</v>
      </c>
      <c r="L3491" s="8">
        <v>485</v>
      </c>
      <c r="M3491" s="8">
        <v>29</v>
      </c>
      <c r="N3491">
        <f>VLOOKUP(A3491,vlookup_table!$A:$G,2,FALSE)</f>
        <v>4</v>
      </c>
      <c r="O3491" t="str">
        <f>VLOOKUP(A3491,vlookup_table!$A:$G,3,FALSE)</f>
        <v>IN</v>
      </c>
      <c r="P3491">
        <f>VLOOKUP(A3491,vlookup_table!$A:$G,4,FALSE)</f>
        <v>6201</v>
      </c>
      <c r="Q3491" t="str">
        <f>VLOOKUP(A3491,vlookup_table!$A:$G,5,FALSE)</f>
        <v>C2</v>
      </c>
      <c r="R3491" t="str">
        <f>VLOOKUP(A3491,vlookup_table!$A:$G,6,FALSE)</f>
        <v>M</v>
      </c>
      <c r="S3491">
        <f>VLOOKUP(A3491,vlookup_table!$A:$G,7,FALSE)</f>
        <v>25</v>
      </c>
      <c r="T3491">
        <f t="shared" si="108"/>
        <v>34</v>
      </c>
      <c r="U3491" t="str">
        <f t="shared" si="109"/>
        <v>Ciudad</v>
      </c>
    </row>
    <row r="3492" spans="1:21" ht="16" x14ac:dyDescent="0.4">
      <c r="A3492" s="9">
        <v>159562</v>
      </c>
      <c r="B3492" s="8" t="s">
        <v>21</v>
      </c>
      <c r="C3492" s="8" t="s">
        <v>17</v>
      </c>
      <c r="D3492" s="8">
        <v>546</v>
      </c>
      <c r="E3492" s="8">
        <v>191</v>
      </c>
      <c r="F3492" s="8">
        <v>234</v>
      </c>
      <c r="G3492" s="8">
        <v>0</v>
      </c>
      <c r="H3492" s="8">
        <v>5846</v>
      </c>
      <c r="I3492" s="8">
        <v>36</v>
      </c>
      <c r="J3492" s="8">
        <v>44</v>
      </c>
      <c r="K3492" s="8">
        <v>208</v>
      </c>
      <c r="L3492" s="8">
        <v>219</v>
      </c>
      <c r="M3492" s="8">
        <v>14.8</v>
      </c>
      <c r="N3492">
        <f>VLOOKUP(A3492,vlookup_table!$A:$G,2,FALSE)</f>
        <v>0</v>
      </c>
      <c r="O3492" t="str">
        <f>VLOOKUP(A3492,vlookup_table!$A:$G,3,FALSE)</f>
        <v>CA</v>
      </c>
      <c r="P3492">
        <f>VLOOKUP(A3492,vlookup_table!$A:$G,4,FALSE)</f>
        <v>0</v>
      </c>
      <c r="Q3492" t="str">
        <f>VLOOKUP(A3492,vlookup_table!$A:$G,5,FALSE)</f>
        <v>R3</v>
      </c>
      <c r="R3492" t="str">
        <f>VLOOKUP(A3492,vlookup_table!$A:$G,6,FALSE)</f>
        <v>F</v>
      </c>
      <c r="S3492">
        <f>VLOOKUP(A3492,vlookup_table!$A:$G,7,FALSE)</f>
        <v>2</v>
      </c>
      <c r="T3492">
        <f t="shared" si="108"/>
        <v>96</v>
      </c>
      <c r="U3492" t="str">
        <f t="shared" si="109"/>
        <v>Rural</v>
      </c>
    </row>
    <row r="3493" spans="1:21" ht="16" x14ac:dyDescent="0.4">
      <c r="A3493" s="9">
        <v>32523</v>
      </c>
      <c r="B3493" s="8" t="s">
        <v>13</v>
      </c>
      <c r="C3493" s="8" t="s">
        <v>17</v>
      </c>
      <c r="D3493" s="8">
        <v>1073</v>
      </c>
      <c r="E3493" s="8">
        <v>377</v>
      </c>
      <c r="F3493" s="8">
        <v>456</v>
      </c>
      <c r="G3493" s="8">
        <v>7</v>
      </c>
      <c r="H3493" s="8">
        <v>15296</v>
      </c>
      <c r="I3493" s="8">
        <v>4</v>
      </c>
      <c r="J3493" s="8">
        <v>27</v>
      </c>
      <c r="K3493" s="8">
        <v>407</v>
      </c>
      <c r="L3493" s="8">
        <v>411</v>
      </c>
      <c r="M3493" s="8">
        <v>11.66666667</v>
      </c>
      <c r="N3493">
        <f>VLOOKUP(A3493,vlookup_table!$A:$G,2,FALSE)</f>
        <v>28</v>
      </c>
      <c r="O3493" t="str">
        <f>VLOOKUP(A3493,vlookup_table!$A:$G,3,FALSE)</f>
        <v>FL</v>
      </c>
      <c r="P3493">
        <f>VLOOKUP(A3493,vlookup_table!$A:$G,4,FALSE)</f>
        <v>4001</v>
      </c>
      <c r="Q3493" t="str">
        <f>VLOOKUP(A3493,vlookup_table!$A:$G,5,FALSE)</f>
        <v>T2</v>
      </c>
      <c r="R3493" t="str">
        <f>VLOOKUP(A3493,vlookup_table!$A:$G,6,FALSE)</f>
        <v>F</v>
      </c>
      <c r="S3493">
        <f>VLOOKUP(A3493,vlookup_table!$A:$G,7,FALSE)</f>
        <v>10</v>
      </c>
      <c r="T3493">
        <f t="shared" si="108"/>
        <v>56</v>
      </c>
      <c r="U3493" t="str">
        <f t="shared" si="109"/>
        <v>Pueblo</v>
      </c>
    </row>
    <row r="3494" spans="1:21" ht="16" x14ac:dyDescent="0.4">
      <c r="A3494" s="9">
        <v>115311</v>
      </c>
      <c r="B3494" s="8" t="s">
        <v>28</v>
      </c>
      <c r="C3494" s="8" t="s">
        <v>17</v>
      </c>
      <c r="D3494" s="8">
        <v>303</v>
      </c>
      <c r="E3494" s="8">
        <v>177</v>
      </c>
      <c r="F3494" s="8">
        <v>245</v>
      </c>
      <c r="G3494" s="8">
        <v>0</v>
      </c>
      <c r="H3494" s="8">
        <v>8573</v>
      </c>
      <c r="I3494" s="8">
        <v>0</v>
      </c>
      <c r="J3494" s="8">
        <v>77</v>
      </c>
      <c r="K3494" s="8">
        <v>204</v>
      </c>
      <c r="L3494" s="8">
        <v>225</v>
      </c>
      <c r="M3494" s="8">
        <v>3.75</v>
      </c>
      <c r="N3494">
        <f>VLOOKUP(A3494,vlookup_table!$A:$G,2,FALSE)</f>
        <v>0</v>
      </c>
      <c r="O3494" t="str">
        <f>VLOOKUP(A3494,vlookup_table!$A:$G,3,FALSE)</f>
        <v>OK</v>
      </c>
      <c r="P3494">
        <f>VLOOKUP(A3494,vlookup_table!$A:$G,4,FALSE)</f>
        <v>6701</v>
      </c>
      <c r="Q3494" t="str">
        <f>VLOOKUP(A3494,vlookup_table!$A:$G,5,FALSE)</f>
        <v>R3</v>
      </c>
      <c r="R3494" t="str">
        <f>VLOOKUP(A3494,vlookup_table!$A:$G,6,FALSE)</f>
        <v>F</v>
      </c>
      <c r="S3494">
        <f>VLOOKUP(A3494,vlookup_table!$A:$G,7,FALSE)</f>
        <v>4</v>
      </c>
      <c r="T3494">
        <f t="shared" si="108"/>
        <v>29</v>
      </c>
      <c r="U3494" t="str">
        <f t="shared" si="109"/>
        <v>Rural</v>
      </c>
    </row>
    <row r="3495" spans="1:21" ht="16" x14ac:dyDescent="0.4">
      <c r="A3495" s="9">
        <v>154668</v>
      </c>
      <c r="B3495" s="8" t="s">
        <v>21</v>
      </c>
      <c r="C3495" s="8" t="s">
        <v>17</v>
      </c>
      <c r="D3495" s="8">
        <v>690</v>
      </c>
      <c r="E3495" s="8">
        <v>315</v>
      </c>
      <c r="F3495" s="8">
        <v>367</v>
      </c>
      <c r="G3495" s="8">
        <v>0</v>
      </c>
      <c r="H3495" s="8">
        <v>12427</v>
      </c>
      <c r="I3495" s="8">
        <v>4</v>
      </c>
      <c r="J3495" s="8">
        <v>41</v>
      </c>
      <c r="K3495" s="8">
        <v>353</v>
      </c>
      <c r="L3495" s="8">
        <v>330</v>
      </c>
      <c r="M3495" s="8">
        <v>11.52631579</v>
      </c>
      <c r="N3495">
        <f>VLOOKUP(A3495,vlookup_table!$A:$G,2,FALSE)</f>
        <v>0</v>
      </c>
      <c r="O3495" t="str">
        <f>VLOOKUP(A3495,vlookup_table!$A:$G,3,FALSE)</f>
        <v>CA</v>
      </c>
      <c r="P3495">
        <f>VLOOKUP(A3495,vlookup_table!$A:$G,4,FALSE)</f>
        <v>2604</v>
      </c>
      <c r="Q3495" t="str">
        <f>VLOOKUP(A3495,vlookup_table!$A:$G,5,FALSE)</f>
        <v>T2</v>
      </c>
      <c r="R3495" t="str">
        <f>VLOOKUP(A3495,vlookup_table!$A:$G,6,FALSE)</f>
        <v>F</v>
      </c>
      <c r="S3495">
        <f>VLOOKUP(A3495,vlookup_table!$A:$G,7,FALSE)</f>
        <v>15</v>
      </c>
      <c r="T3495">
        <f t="shared" si="108"/>
        <v>70</v>
      </c>
      <c r="U3495" t="str">
        <f t="shared" si="109"/>
        <v>Pueblo</v>
      </c>
    </row>
    <row r="3496" spans="1:21" ht="16" x14ac:dyDescent="0.4">
      <c r="A3496" s="9">
        <v>103260</v>
      </c>
      <c r="B3496" s="8" t="s">
        <v>33</v>
      </c>
      <c r="C3496" s="8" t="s">
        <v>14</v>
      </c>
      <c r="D3496" s="8">
        <v>589</v>
      </c>
      <c r="E3496" s="8">
        <v>353</v>
      </c>
      <c r="F3496" s="8">
        <v>433</v>
      </c>
      <c r="G3496" s="8">
        <v>0</v>
      </c>
      <c r="H3496" s="8">
        <v>12376</v>
      </c>
      <c r="I3496" s="8">
        <v>0</v>
      </c>
      <c r="J3496" s="8">
        <v>93</v>
      </c>
      <c r="K3496" s="8">
        <v>388</v>
      </c>
      <c r="L3496" s="8">
        <v>398</v>
      </c>
      <c r="M3496" s="8">
        <v>8.7777777780000008</v>
      </c>
      <c r="N3496">
        <f>VLOOKUP(A3496,vlookup_table!$A:$G,2,FALSE)</f>
        <v>0</v>
      </c>
      <c r="O3496" t="str">
        <f>VLOOKUP(A3496,vlookup_table!$A:$G,3,FALSE)</f>
        <v>MO</v>
      </c>
      <c r="P3496">
        <f>VLOOKUP(A3496,vlookup_table!$A:$G,4,FALSE)</f>
        <v>6609</v>
      </c>
      <c r="Q3496" t="str">
        <f>VLOOKUP(A3496,vlookup_table!$A:$G,5,FALSE)</f>
        <v>T2</v>
      </c>
      <c r="R3496" t="str">
        <f>VLOOKUP(A3496,vlookup_table!$A:$G,6,FALSE)</f>
        <v>M</v>
      </c>
      <c r="S3496">
        <f>VLOOKUP(A3496,vlookup_table!$A:$G,7,FALSE)</f>
        <v>10</v>
      </c>
      <c r="T3496">
        <f t="shared" si="108"/>
        <v>30</v>
      </c>
      <c r="U3496" t="str">
        <f t="shared" si="109"/>
        <v>Pueblo</v>
      </c>
    </row>
    <row r="3497" spans="1:21" ht="16" x14ac:dyDescent="0.4">
      <c r="A3497" s="9">
        <v>19260</v>
      </c>
      <c r="B3497" s="8" t="s">
        <v>18</v>
      </c>
      <c r="C3497" s="8" t="s">
        <v>97</v>
      </c>
      <c r="D3497" s="8">
        <v>610</v>
      </c>
      <c r="E3497" s="8">
        <v>376</v>
      </c>
      <c r="F3497" s="8">
        <v>392</v>
      </c>
      <c r="G3497" s="8">
        <v>2</v>
      </c>
      <c r="H3497" s="8">
        <v>13105</v>
      </c>
      <c r="I3497" s="8">
        <v>0</v>
      </c>
      <c r="J3497" s="8">
        <v>72</v>
      </c>
      <c r="K3497" s="8">
        <v>427</v>
      </c>
      <c r="L3497" s="8">
        <v>347</v>
      </c>
      <c r="M3497" s="8">
        <v>8</v>
      </c>
      <c r="N3497">
        <f>VLOOKUP(A3497,vlookup_table!$A:$G,2,FALSE)</f>
        <v>28</v>
      </c>
      <c r="O3497" t="str">
        <f>VLOOKUP(A3497,vlookup_table!$A:$G,3,FALSE)</f>
        <v>NC</v>
      </c>
      <c r="P3497">
        <f>VLOOKUP(A3497,vlookup_table!$A:$G,4,FALSE)</f>
        <v>4401</v>
      </c>
      <c r="Q3497" t="str">
        <f>VLOOKUP(A3497,vlookup_table!$A:$G,5,FALSE)</f>
        <v>T2</v>
      </c>
      <c r="R3497" t="str">
        <f>VLOOKUP(A3497,vlookup_table!$A:$G,6,FALSE)</f>
        <v>F</v>
      </c>
      <c r="S3497">
        <f>VLOOKUP(A3497,vlookup_table!$A:$G,7,FALSE)</f>
        <v>175</v>
      </c>
      <c r="T3497">
        <f t="shared" si="108"/>
        <v>52</v>
      </c>
      <c r="U3497" t="str">
        <f t="shared" si="109"/>
        <v>Pueblo</v>
      </c>
    </row>
    <row r="3498" spans="1:21" ht="16" x14ac:dyDescent="0.4">
      <c r="A3498" s="9">
        <v>111023</v>
      </c>
      <c r="B3498" s="8" t="s">
        <v>29</v>
      </c>
      <c r="C3498" s="8" t="s">
        <v>97</v>
      </c>
      <c r="D3498" s="8">
        <v>332</v>
      </c>
      <c r="E3498" s="8">
        <v>170</v>
      </c>
      <c r="F3498" s="8">
        <v>269</v>
      </c>
      <c r="G3498" s="8">
        <v>0</v>
      </c>
      <c r="H3498" s="8">
        <v>8725</v>
      </c>
      <c r="I3498" s="8">
        <v>1</v>
      </c>
      <c r="J3498" s="8">
        <v>57</v>
      </c>
      <c r="K3498" s="8">
        <v>222</v>
      </c>
      <c r="L3498" s="8">
        <v>233</v>
      </c>
      <c r="M3498" s="8">
        <v>15</v>
      </c>
      <c r="N3498">
        <f>VLOOKUP(A3498,vlookup_table!$A:$G,2,FALSE)</f>
        <v>0</v>
      </c>
      <c r="O3498" t="str">
        <f>VLOOKUP(A3498,vlookup_table!$A:$G,3,FALSE)</f>
        <v>AR</v>
      </c>
      <c r="P3498">
        <f>VLOOKUP(A3498,vlookup_table!$A:$G,4,FALSE)</f>
        <v>4401</v>
      </c>
      <c r="Q3498" t="str">
        <f>VLOOKUP(A3498,vlookup_table!$A:$G,5,FALSE)</f>
        <v>R3</v>
      </c>
      <c r="R3498" t="str">
        <f>VLOOKUP(A3498,vlookup_table!$A:$G,6,FALSE)</f>
        <v>F</v>
      </c>
      <c r="S3498">
        <f>VLOOKUP(A3498,vlookup_table!$A:$G,7,FALSE)</f>
        <v>20</v>
      </c>
      <c r="T3498">
        <f t="shared" si="108"/>
        <v>52</v>
      </c>
      <c r="U3498" t="str">
        <f t="shared" si="109"/>
        <v>Rural</v>
      </c>
    </row>
    <row r="3499" spans="1:21" ht="16" x14ac:dyDescent="0.4">
      <c r="A3499" s="9">
        <v>67961</v>
      </c>
      <c r="B3499" s="8" t="s">
        <v>26</v>
      </c>
      <c r="C3499" s="8"/>
      <c r="D3499" s="8">
        <v>355</v>
      </c>
      <c r="E3499" s="8">
        <v>293</v>
      </c>
      <c r="F3499" s="8">
        <v>320</v>
      </c>
      <c r="G3499" s="8">
        <v>0</v>
      </c>
      <c r="H3499" s="8">
        <v>11403</v>
      </c>
      <c r="I3499" s="8">
        <v>9</v>
      </c>
      <c r="J3499" s="8">
        <v>76</v>
      </c>
      <c r="K3499" s="8">
        <v>312</v>
      </c>
      <c r="L3499" s="8">
        <v>312</v>
      </c>
      <c r="M3499" s="8">
        <v>15</v>
      </c>
      <c r="N3499">
        <f>VLOOKUP(A3499,vlookup_table!$A:$G,2,FALSE)</f>
        <v>0</v>
      </c>
      <c r="O3499" t="str">
        <f>VLOOKUP(A3499,vlookup_table!$A:$G,3,FALSE)</f>
        <v>MI</v>
      </c>
      <c r="P3499">
        <f>VLOOKUP(A3499,vlookup_table!$A:$G,4,FALSE)</f>
        <v>5208</v>
      </c>
      <c r="Q3499" t="str">
        <f>VLOOKUP(A3499,vlookup_table!$A:$G,5,FALSE)</f>
        <v>U3</v>
      </c>
      <c r="R3499" t="str">
        <f>VLOOKUP(A3499,vlookup_table!$A:$G,6,FALSE)</f>
        <v/>
      </c>
      <c r="S3499">
        <f>VLOOKUP(A3499,vlookup_table!$A:$G,7,FALSE)</f>
        <v>21</v>
      </c>
      <c r="T3499">
        <f t="shared" si="108"/>
        <v>44</v>
      </c>
      <c r="U3499" t="str">
        <f t="shared" si="109"/>
        <v>Urbano</v>
      </c>
    </row>
    <row r="3500" spans="1:21" ht="16" x14ac:dyDescent="0.4">
      <c r="A3500" s="9">
        <v>92272</v>
      </c>
      <c r="B3500" s="8" t="s">
        <v>16</v>
      </c>
      <c r="C3500" s="8" t="s">
        <v>14</v>
      </c>
      <c r="D3500" s="8">
        <v>549</v>
      </c>
      <c r="E3500" s="8">
        <v>292</v>
      </c>
      <c r="F3500" s="8">
        <v>352</v>
      </c>
      <c r="G3500" s="8">
        <v>1</v>
      </c>
      <c r="H3500" s="8">
        <v>11100</v>
      </c>
      <c r="I3500" s="8">
        <v>1</v>
      </c>
      <c r="J3500" s="8">
        <v>85</v>
      </c>
      <c r="K3500" s="8">
        <v>327</v>
      </c>
      <c r="L3500" s="8">
        <v>313</v>
      </c>
      <c r="M3500" s="8">
        <v>16.428571430000002</v>
      </c>
      <c r="N3500">
        <f>VLOOKUP(A3500,vlookup_table!$A:$G,2,FALSE)</f>
        <v>0</v>
      </c>
      <c r="O3500" t="str">
        <f>VLOOKUP(A3500,vlookup_table!$A:$G,3,FALSE)</f>
        <v>IL</v>
      </c>
      <c r="P3500">
        <f>VLOOKUP(A3500,vlookup_table!$A:$G,4,FALSE)</f>
        <v>0</v>
      </c>
      <c r="Q3500" t="str">
        <f>VLOOKUP(A3500,vlookup_table!$A:$G,5,FALSE)</f>
        <v>R2</v>
      </c>
      <c r="R3500" t="str">
        <f>VLOOKUP(A3500,vlookup_table!$A:$G,6,FALSE)</f>
        <v>M</v>
      </c>
      <c r="S3500">
        <f>VLOOKUP(A3500,vlookup_table!$A:$G,7,FALSE)</f>
        <v>20</v>
      </c>
      <c r="T3500">
        <f t="shared" si="108"/>
        <v>96</v>
      </c>
      <c r="U3500" t="str">
        <f t="shared" si="109"/>
        <v>Rural</v>
      </c>
    </row>
    <row r="3501" spans="1:21" ht="16" x14ac:dyDescent="0.4">
      <c r="A3501" s="9">
        <v>157311</v>
      </c>
      <c r="B3501" s="8" t="s">
        <v>21</v>
      </c>
      <c r="C3501" s="8" t="s">
        <v>14</v>
      </c>
      <c r="D3501" s="8">
        <v>5344</v>
      </c>
      <c r="E3501" s="8">
        <v>705</v>
      </c>
      <c r="F3501" s="8">
        <v>945</v>
      </c>
      <c r="G3501" s="8">
        <v>97</v>
      </c>
      <c r="H3501" s="8">
        <v>55857</v>
      </c>
      <c r="I3501" s="8">
        <v>4</v>
      </c>
      <c r="J3501" s="8">
        <v>54</v>
      </c>
      <c r="K3501" s="8">
        <v>943</v>
      </c>
      <c r="L3501" s="8">
        <v>787</v>
      </c>
      <c r="M3501" s="8">
        <v>17.5</v>
      </c>
      <c r="N3501">
        <f>VLOOKUP(A3501,vlookup_table!$A:$G,2,FALSE)</f>
        <v>1</v>
      </c>
      <c r="O3501" t="str">
        <f>VLOOKUP(A3501,vlookup_table!$A:$G,3,FALSE)</f>
        <v>CA</v>
      </c>
      <c r="P3501">
        <f>VLOOKUP(A3501,vlookup_table!$A:$G,4,FALSE)</f>
        <v>2001</v>
      </c>
      <c r="Q3501" t="str">
        <f>VLOOKUP(A3501,vlookup_table!$A:$G,5,FALSE)</f>
        <v>U1</v>
      </c>
      <c r="R3501" t="str">
        <f>VLOOKUP(A3501,vlookup_table!$A:$G,6,FALSE)</f>
        <v>M</v>
      </c>
      <c r="S3501">
        <f>VLOOKUP(A3501,vlookup_table!$A:$G,7,FALSE)</f>
        <v>25</v>
      </c>
      <c r="T3501">
        <f t="shared" si="108"/>
        <v>76</v>
      </c>
      <c r="U3501" t="str">
        <f t="shared" si="109"/>
        <v>Urbano</v>
      </c>
    </row>
    <row r="3502" spans="1:21" ht="16" x14ac:dyDescent="0.4">
      <c r="A3502" s="9">
        <v>190616</v>
      </c>
      <c r="B3502" s="8" t="s">
        <v>32</v>
      </c>
      <c r="C3502" s="8" t="s">
        <v>14</v>
      </c>
      <c r="D3502" s="8">
        <v>483</v>
      </c>
      <c r="E3502" s="8">
        <v>241</v>
      </c>
      <c r="F3502" s="8">
        <v>330</v>
      </c>
      <c r="G3502" s="8">
        <v>1</v>
      </c>
      <c r="H3502" s="8">
        <v>11527</v>
      </c>
      <c r="I3502" s="8">
        <v>1</v>
      </c>
      <c r="J3502" s="8">
        <v>76</v>
      </c>
      <c r="K3502" s="8">
        <v>281</v>
      </c>
      <c r="L3502" s="8">
        <v>286</v>
      </c>
      <c r="M3502" s="8">
        <v>7.5</v>
      </c>
      <c r="N3502">
        <f>VLOOKUP(A3502,vlookup_table!$A:$G,2,FALSE)</f>
        <v>1</v>
      </c>
      <c r="O3502" t="str">
        <f>VLOOKUP(A3502,vlookup_table!$A:$G,3,FALSE)</f>
        <v>WI</v>
      </c>
      <c r="P3502">
        <f>VLOOKUP(A3502,vlookup_table!$A:$G,4,FALSE)</f>
        <v>0</v>
      </c>
      <c r="Q3502" t="str">
        <f>VLOOKUP(A3502,vlookup_table!$A:$G,5,FALSE)</f>
        <v>R2</v>
      </c>
      <c r="R3502" t="str">
        <f>VLOOKUP(A3502,vlookup_table!$A:$G,6,FALSE)</f>
        <v>M</v>
      </c>
      <c r="S3502">
        <f>VLOOKUP(A3502,vlookup_table!$A:$G,7,FALSE)</f>
        <v>5</v>
      </c>
      <c r="T3502">
        <f t="shared" si="108"/>
        <v>96</v>
      </c>
      <c r="U3502" t="str">
        <f t="shared" si="109"/>
        <v>Rural</v>
      </c>
    </row>
    <row r="3503" spans="1:21" ht="16" x14ac:dyDescent="0.4">
      <c r="A3503" s="9">
        <v>121153</v>
      </c>
      <c r="B3503" s="8" t="s">
        <v>20</v>
      </c>
      <c r="C3503" s="8" t="s">
        <v>14</v>
      </c>
      <c r="D3503" s="8">
        <v>1438</v>
      </c>
      <c r="E3503" s="8">
        <v>366</v>
      </c>
      <c r="F3503" s="8">
        <v>622</v>
      </c>
      <c r="G3503" s="8">
        <v>15</v>
      </c>
      <c r="H3503" s="8">
        <v>21758</v>
      </c>
      <c r="I3503" s="8">
        <v>7</v>
      </c>
      <c r="J3503" s="8">
        <v>41</v>
      </c>
      <c r="K3503" s="8">
        <v>570</v>
      </c>
      <c r="L3503" s="8">
        <v>534</v>
      </c>
      <c r="M3503" s="8">
        <v>12.57142857</v>
      </c>
      <c r="N3503">
        <f>VLOOKUP(A3503,vlookup_table!$A:$G,2,FALSE)</f>
        <v>2</v>
      </c>
      <c r="O3503" t="str">
        <f>VLOOKUP(A3503,vlookup_table!$A:$G,3,FALSE)</f>
        <v>TX</v>
      </c>
      <c r="P3503">
        <f>VLOOKUP(A3503,vlookup_table!$A:$G,4,FALSE)</f>
        <v>3901</v>
      </c>
      <c r="Q3503" t="str">
        <f>VLOOKUP(A3503,vlookup_table!$A:$G,5,FALSE)</f>
        <v>U1</v>
      </c>
      <c r="R3503" t="str">
        <f>VLOOKUP(A3503,vlookup_table!$A:$G,6,FALSE)</f>
        <v>M</v>
      </c>
      <c r="S3503">
        <f>VLOOKUP(A3503,vlookup_table!$A:$G,7,FALSE)</f>
        <v>25</v>
      </c>
      <c r="T3503">
        <f t="shared" si="108"/>
        <v>57</v>
      </c>
      <c r="U3503" t="str">
        <f t="shared" si="109"/>
        <v>Urbano</v>
      </c>
    </row>
    <row r="3504" spans="1:21" ht="16" x14ac:dyDescent="0.4">
      <c r="A3504" s="9">
        <v>91431</v>
      </c>
      <c r="B3504" s="8" t="s">
        <v>16</v>
      </c>
      <c r="C3504" s="8" t="s">
        <v>17</v>
      </c>
      <c r="D3504" s="8">
        <v>1191</v>
      </c>
      <c r="E3504" s="8">
        <v>357</v>
      </c>
      <c r="F3504" s="8">
        <v>466</v>
      </c>
      <c r="G3504" s="8">
        <v>8</v>
      </c>
      <c r="H3504" s="8">
        <v>14436</v>
      </c>
      <c r="I3504" s="8">
        <v>2</v>
      </c>
      <c r="J3504" s="8">
        <v>92</v>
      </c>
      <c r="K3504" s="8">
        <v>362</v>
      </c>
      <c r="L3504" s="8">
        <v>455</v>
      </c>
      <c r="M3504" s="8">
        <v>25</v>
      </c>
      <c r="N3504">
        <f>VLOOKUP(A3504,vlookup_table!$A:$G,2,FALSE)</f>
        <v>2</v>
      </c>
      <c r="O3504" t="str">
        <f>VLOOKUP(A3504,vlookup_table!$A:$G,3,FALSE)</f>
        <v>IL</v>
      </c>
      <c r="P3504">
        <f>VLOOKUP(A3504,vlookup_table!$A:$G,4,FALSE)</f>
        <v>2901</v>
      </c>
      <c r="Q3504" t="str">
        <f>VLOOKUP(A3504,vlookup_table!$A:$G,5,FALSE)</f>
        <v>R2</v>
      </c>
      <c r="R3504" t="str">
        <f>VLOOKUP(A3504,vlookup_table!$A:$G,6,FALSE)</f>
        <v>F</v>
      </c>
      <c r="S3504">
        <f>VLOOKUP(A3504,vlookup_table!$A:$G,7,FALSE)</f>
        <v>50</v>
      </c>
      <c r="T3504">
        <f t="shared" si="108"/>
        <v>67</v>
      </c>
      <c r="U3504" t="str">
        <f t="shared" si="109"/>
        <v>Rural</v>
      </c>
    </row>
    <row r="3505" spans="1:21" ht="16" x14ac:dyDescent="0.4">
      <c r="A3505" s="9">
        <v>4917</v>
      </c>
      <c r="B3505" s="8" t="s">
        <v>46</v>
      </c>
      <c r="C3505" s="8" t="s">
        <v>17</v>
      </c>
      <c r="D3505" s="8">
        <v>801</v>
      </c>
      <c r="E3505" s="8">
        <v>425</v>
      </c>
      <c r="F3505" s="8">
        <v>498</v>
      </c>
      <c r="G3505" s="8">
        <v>1</v>
      </c>
      <c r="H3505" s="8">
        <v>18631</v>
      </c>
      <c r="I3505" s="8">
        <v>2</v>
      </c>
      <c r="J3505" s="8">
        <v>78</v>
      </c>
      <c r="K3505" s="8">
        <v>441</v>
      </c>
      <c r="L3505" s="8">
        <v>469</v>
      </c>
      <c r="M3505" s="8">
        <v>9.7894736840000007</v>
      </c>
      <c r="N3505">
        <f>VLOOKUP(A3505,vlookup_table!$A:$G,2,FALSE)</f>
        <v>2</v>
      </c>
      <c r="O3505" t="str">
        <f>VLOOKUP(A3505,vlookup_table!$A:$G,3,FALSE)</f>
        <v>LA</v>
      </c>
      <c r="P3505">
        <f>VLOOKUP(A3505,vlookup_table!$A:$G,4,FALSE)</f>
        <v>3901</v>
      </c>
      <c r="Q3505" t="str">
        <f>VLOOKUP(A3505,vlookup_table!$A:$G,5,FALSE)</f>
        <v>S1</v>
      </c>
      <c r="R3505" t="str">
        <f>VLOOKUP(A3505,vlookup_table!$A:$G,6,FALSE)</f>
        <v>F</v>
      </c>
      <c r="S3505">
        <f>VLOOKUP(A3505,vlookup_table!$A:$G,7,FALSE)</f>
        <v>15</v>
      </c>
      <c r="T3505">
        <f t="shared" si="108"/>
        <v>57</v>
      </c>
      <c r="U3505" t="str">
        <f t="shared" si="109"/>
        <v>Suburbano</v>
      </c>
    </row>
    <row r="3506" spans="1:21" ht="16" x14ac:dyDescent="0.4">
      <c r="A3506" s="9">
        <v>63436</v>
      </c>
      <c r="B3506" s="8" t="s">
        <v>30</v>
      </c>
      <c r="C3506" s="8" t="s">
        <v>17</v>
      </c>
      <c r="D3506" s="8">
        <v>333</v>
      </c>
      <c r="E3506" s="8">
        <v>224</v>
      </c>
      <c r="F3506" s="8">
        <v>322</v>
      </c>
      <c r="G3506" s="8">
        <v>0</v>
      </c>
      <c r="H3506" s="8">
        <v>11513</v>
      </c>
      <c r="I3506" s="8">
        <v>0</v>
      </c>
      <c r="J3506" s="8">
        <v>73</v>
      </c>
      <c r="K3506" s="8">
        <v>273</v>
      </c>
      <c r="L3506" s="8">
        <v>281</v>
      </c>
      <c r="M3506" s="8">
        <v>11.66666667</v>
      </c>
      <c r="N3506">
        <f>VLOOKUP(A3506,vlookup_table!$A:$G,2,FALSE)</f>
        <v>0</v>
      </c>
      <c r="O3506" t="str">
        <f>VLOOKUP(A3506,vlookup_table!$A:$G,3,FALSE)</f>
        <v>IN</v>
      </c>
      <c r="P3506">
        <f>VLOOKUP(A3506,vlookup_table!$A:$G,4,FALSE)</f>
        <v>2912</v>
      </c>
      <c r="Q3506" t="str">
        <f>VLOOKUP(A3506,vlookup_table!$A:$G,5,FALSE)</f>
        <v>T2</v>
      </c>
      <c r="R3506" t="str">
        <f>VLOOKUP(A3506,vlookup_table!$A:$G,6,FALSE)</f>
        <v>F</v>
      </c>
      <c r="S3506">
        <f>VLOOKUP(A3506,vlookup_table!$A:$G,7,FALSE)</f>
        <v>51</v>
      </c>
      <c r="T3506">
        <f t="shared" si="108"/>
        <v>67</v>
      </c>
      <c r="U3506" t="str">
        <f t="shared" si="109"/>
        <v>Pueblo</v>
      </c>
    </row>
    <row r="3507" spans="1:21" ht="16" x14ac:dyDescent="0.4">
      <c r="A3507" s="9">
        <v>20853</v>
      </c>
      <c r="B3507" s="8" t="s">
        <v>18</v>
      </c>
      <c r="C3507" s="8" t="s">
        <v>97</v>
      </c>
      <c r="D3507" s="8">
        <v>1521</v>
      </c>
      <c r="E3507" s="8">
        <v>405</v>
      </c>
      <c r="F3507" s="8">
        <v>508</v>
      </c>
      <c r="G3507" s="8">
        <v>22</v>
      </c>
      <c r="H3507" s="8">
        <v>21761</v>
      </c>
      <c r="I3507" s="8">
        <v>5</v>
      </c>
      <c r="J3507" s="8">
        <v>27</v>
      </c>
      <c r="K3507" s="8">
        <v>419</v>
      </c>
      <c r="L3507" s="8">
        <v>464</v>
      </c>
      <c r="M3507" s="8">
        <v>6.875</v>
      </c>
      <c r="N3507">
        <f>VLOOKUP(A3507,vlookup_table!$A:$G,2,FALSE)</f>
        <v>0</v>
      </c>
      <c r="O3507" t="str">
        <f>VLOOKUP(A3507,vlookup_table!$A:$G,3,FALSE)</f>
        <v>NC</v>
      </c>
      <c r="P3507">
        <f>VLOOKUP(A3507,vlookup_table!$A:$G,4,FALSE)</f>
        <v>0</v>
      </c>
      <c r="Q3507" t="str">
        <f>VLOOKUP(A3507,vlookup_table!$A:$G,5,FALSE)</f>
        <v>C1</v>
      </c>
      <c r="R3507" t="str">
        <f>VLOOKUP(A3507,vlookup_table!$A:$G,6,FALSE)</f>
        <v>F</v>
      </c>
      <c r="S3507">
        <f>VLOOKUP(A3507,vlookup_table!$A:$G,7,FALSE)</f>
        <v>10</v>
      </c>
      <c r="T3507">
        <f t="shared" si="108"/>
        <v>96</v>
      </c>
      <c r="U3507" t="str">
        <f t="shared" si="109"/>
        <v>Ciudad</v>
      </c>
    </row>
    <row r="3508" spans="1:21" ht="16" x14ac:dyDescent="0.4">
      <c r="A3508" s="9">
        <v>44351</v>
      </c>
      <c r="B3508" s="8" t="s">
        <v>13</v>
      </c>
      <c r="C3508" s="8" t="s">
        <v>14</v>
      </c>
      <c r="D3508" s="8">
        <v>948</v>
      </c>
      <c r="E3508" s="8">
        <v>330</v>
      </c>
      <c r="F3508" s="8">
        <v>411</v>
      </c>
      <c r="G3508" s="8">
        <v>4</v>
      </c>
      <c r="H3508" s="8">
        <v>17728</v>
      </c>
      <c r="I3508" s="8">
        <v>6</v>
      </c>
      <c r="J3508" s="8">
        <v>8</v>
      </c>
      <c r="K3508" s="8">
        <v>365</v>
      </c>
      <c r="L3508" s="8">
        <v>368</v>
      </c>
      <c r="M3508" s="8">
        <v>9.4</v>
      </c>
      <c r="N3508">
        <f>VLOOKUP(A3508,vlookup_table!$A:$G,2,FALSE)</f>
        <v>1</v>
      </c>
      <c r="O3508" t="str">
        <f>VLOOKUP(A3508,vlookup_table!$A:$G,3,FALSE)</f>
        <v>FL</v>
      </c>
      <c r="P3508">
        <f>VLOOKUP(A3508,vlookup_table!$A:$G,4,FALSE)</f>
        <v>1801</v>
      </c>
      <c r="Q3508" t="str">
        <f>VLOOKUP(A3508,vlookup_table!$A:$G,5,FALSE)</f>
        <v>C2</v>
      </c>
      <c r="R3508" t="str">
        <f>VLOOKUP(A3508,vlookup_table!$A:$G,6,FALSE)</f>
        <v>M</v>
      </c>
      <c r="S3508">
        <f>VLOOKUP(A3508,vlookup_table!$A:$G,7,FALSE)</f>
        <v>35</v>
      </c>
      <c r="T3508">
        <f t="shared" si="108"/>
        <v>78</v>
      </c>
      <c r="U3508" t="str">
        <f t="shared" si="109"/>
        <v>Ciudad</v>
      </c>
    </row>
    <row r="3509" spans="1:21" ht="16" x14ac:dyDescent="0.4">
      <c r="A3509" s="9">
        <v>130530</v>
      </c>
      <c r="B3509" s="8" t="s">
        <v>45</v>
      </c>
      <c r="C3509" s="8" t="s">
        <v>17</v>
      </c>
      <c r="D3509" s="8">
        <v>698</v>
      </c>
      <c r="E3509" s="8">
        <v>377</v>
      </c>
      <c r="F3509" s="8">
        <v>407</v>
      </c>
      <c r="G3509" s="8">
        <v>0</v>
      </c>
      <c r="H3509" s="8">
        <v>13327</v>
      </c>
      <c r="I3509" s="8">
        <v>1</v>
      </c>
      <c r="J3509" s="8">
        <v>49</v>
      </c>
      <c r="K3509" s="8">
        <v>395</v>
      </c>
      <c r="L3509" s="8">
        <v>382</v>
      </c>
      <c r="M3509" s="8">
        <v>20</v>
      </c>
      <c r="N3509">
        <f>VLOOKUP(A3509,vlookup_table!$A:$G,2,FALSE)</f>
        <v>2</v>
      </c>
      <c r="O3509" t="str">
        <f>VLOOKUP(A3509,vlookup_table!$A:$G,3,FALSE)</f>
        <v>CO</v>
      </c>
      <c r="P3509">
        <f>VLOOKUP(A3509,vlookup_table!$A:$G,4,FALSE)</f>
        <v>4001</v>
      </c>
      <c r="Q3509" t="str">
        <f>VLOOKUP(A3509,vlookup_table!$A:$G,5,FALSE)</f>
        <v>S2</v>
      </c>
      <c r="R3509" t="str">
        <f>VLOOKUP(A3509,vlookup_table!$A:$G,6,FALSE)</f>
        <v>F</v>
      </c>
      <c r="S3509">
        <f>VLOOKUP(A3509,vlookup_table!$A:$G,7,FALSE)</f>
        <v>20</v>
      </c>
      <c r="T3509">
        <f t="shared" si="108"/>
        <v>56</v>
      </c>
      <c r="U3509" t="str">
        <f t="shared" si="109"/>
        <v>Suburbano</v>
      </c>
    </row>
    <row r="3510" spans="1:21" ht="16" x14ac:dyDescent="0.4">
      <c r="A3510" s="9">
        <v>181550</v>
      </c>
      <c r="B3510" s="8" t="s">
        <v>37</v>
      </c>
      <c r="C3510" s="8" t="s">
        <v>17</v>
      </c>
      <c r="D3510" s="8">
        <v>735</v>
      </c>
      <c r="E3510" s="8">
        <v>192</v>
      </c>
      <c r="F3510" s="8">
        <v>300</v>
      </c>
      <c r="G3510" s="8">
        <v>0</v>
      </c>
      <c r="H3510" s="8">
        <v>10690</v>
      </c>
      <c r="I3510" s="8">
        <v>2</v>
      </c>
      <c r="J3510" s="8">
        <v>39</v>
      </c>
      <c r="K3510" s="8">
        <v>235</v>
      </c>
      <c r="L3510" s="8">
        <v>256</v>
      </c>
      <c r="M3510" s="8">
        <v>13.28571429</v>
      </c>
      <c r="N3510">
        <f>VLOOKUP(A3510,vlookup_table!$A:$G,2,FALSE)</f>
        <v>0</v>
      </c>
      <c r="O3510" t="str">
        <f>VLOOKUP(A3510,vlookup_table!$A:$G,3,FALSE)</f>
        <v>WA</v>
      </c>
      <c r="P3510">
        <f>VLOOKUP(A3510,vlookup_table!$A:$G,4,FALSE)</f>
        <v>4803</v>
      </c>
      <c r="Q3510" t="str">
        <f>VLOOKUP(A3510,vlookup_table!$A:$G,5,FALSE)</f>
        <v>C3</v>
      </c>
      <c r="R3510" t="str">
        <f>VLOOKUP(A3510,vlookup_table!$A:$G,6,FALSE)</f>
        <v>F</v>
      </c>
      <c r="S3510">
        <f>VLOOKUP(A3510,vlookup_table!$A:$G,7,FALSE)</f>
        <v>20</v>
      </c>
      <c r="T3510">
        <f t="shared" si="108"/>
        <v>48</v>
      </c>
      <c r="U3510" t="str">
        <f t="shared" si="109"/>
        <v>Ciudad</v>
      </c>
    </row>
    <row r="3511" spans="1:21" ht="16" x14ac:dyDescent="0.4">
      <c r="A3511" s="9">
        <v>108158</v>
      </c>
      <c r="B3511" s="8" t="s">
        <v>46</v>
      </c>
      <c r="C3511" s="8" t="s">
        <v>17</v>
      </c>
      <c r="D3511" s="8">
        <v>565</v>
      </c>
      <c r="E3511" s="8">
        <v>284</v>
      </c>
      <c r="F3511" s="8">
        <v>309</v>
      </c>
      <c r="G3511" s="8">
        <v>0</v>
      </c>
      <c r="H3511" s="8">
        <v>8302</v>
      </c>
      <c r="I3511" s="8">
        <v>7</v>
      </c>
      <c r="J3511" s="8">
        <v>76</v>
      </c>
      <c r="K3511" s="8">
        <v>297</v>
      </c>
      <c r="L3511" s="8">
        <v>304</v>
      </c>
      <c r="M3511" s="8">
        <v>3.95</v>
      </c>
      <c r="N3511">
        <f>VLOOKUP(A3511,vlookup_table!$A:$G,2,FALSE)</f>
        <v>0</v>
      </c>
      <c r="O3511" t="str">
        <f>VLOOKUP(A3511,vlookup_table!$A:$G,3,FALSE)</f>
        <v>LA</v>
      </c>
      <c r="P3511">
        <f>VLOOKUP(A3511,vlookup_table!$A:$G,4,FALSE)</f>
        <v>3410</v>
      </c>
      <c r="Q3511" t="str">
        <f>VLOOKUP(A3511,vlookup_table!$A:$G,5,FALSE)</f>
        <v>S2</v>
      </c>
      <c r="R3511" t="str">
        <f>VLOOKUP(A3511,vlookup_table!$A:$G,6,FALSE)</f>
        <v>F</v>
      </c>
      <c r="S3511">
        <f>VLOOKUP(A3511,vlookup_table!$A:$G,7,FALSE)</f>
        <v>5</v>
      </c>
      <c r="T3511">
        <f t="shared" si="108"/>
        <v>62</v>
      </c>
      <c r="U3511" t="str">
        <f t="shared" si="109"/>
        <v>Suburbano</v>
      </c>
    </row>
    <row r="3512" spans="1:21" ht="16" x14ac:dyDescent="0.4">
      <c r="A3512" s="9">
        <v>149164</v>
      </c>
      <c r="B3512" s="8" t="s">
        <v>21</v>
      </c>
      <c r="C3512" s="8" t="s">
        <v>14</v>
      </c>
      <c r="D3512" s="8">
        <v>3385</v>
      </c>
      <c r="E3512" s="8">
        <v>608</v>
      </c>
      <c r="F3512" s="8">
        <v>784</v>
      </c>
      <c r="G3512" s="8">
        <v>93</v>
      </c>
      <c r="H3512" s="8">
        <v>35534</v>
      </c>
      <c r="I3512" s="8">
        <v>13</v>
      </c>
      <c r="J3512" s="8">
        <v>42</v>
      </c>
      <c r="K3512" s="8">
        <v>731</v>
      </c>
      <c r="L3512" s="8">
        <v>705</v>
      </c>
      <c r="M3512" s="8">
        <v>14.2</v>
      </c>
      <c r="N3512">
        <f>VLOOKUP(A3512,vlookup_table!$A:$G,2,FALSE)</f>
        <v>4</v>
      </c>
      <c r="O3512" t="str">
        <f>VLOOKUP(A3512,vlookup_table!$A:$G,3,FALSE)</f>
        <v>CA</v>
      </c>
      <c r="P3512">
        <f>VLOOKUP(A3512,vlookup_table!$A:$G,4,FALSE)</f>
        <v>0</v>
      </c>
      <c r="Q3512" t="str">
        <f>VLOOKUP(A3512,vlookup_table!$A:$G,5,FALSE)</f>
        <v>S1</v>
      </c>
      <c r="R3512" t="str">
        <f>VLOOKUP(A3512,vlookup_table!$A:$G,6,FALSE)</f>
        <v>M</v>
      </c>
      <c r="S3512">
        <f>VLOOKUP(A3512,vlookup_table!$A:$G,7,FALSE)</f>
        <v>25</v>
      </c>
      <c r="T3512">
        <f t="shared" si="108"/>
        <v>96</v>
      </c>
      <c r="U3512" t="str">
        <f t="shared" si="109"/>
        <v>Suburbano</v>
      </c>
    </row>
    <row r="3513" spans="1:21" ht="16" x14ac:dyDescent="0.4">
      <c r="A3513" s="9">
        <v>186358</v>
      </c>
      <c r="B3513" s="8" t="s">
        <v>53</v>
      </c>
      <c r="C3513" s="8" t="s">
        <v>27</v>
      </c>
      <c r="D3513" s="8">
        <v>448</v>
      </c>
      <c r="E3513" s="8">
        <v>139</v>
      </c>
      <c r="F3513" s="8">
        <v>330</v>
      </c>
      <c r="G3513" s="8">
        <v>0</v>
      </c>
      <c r="H3513" s="8">
        <v>10164</v>
      </c>
      <c r="I3513" s="8">
        <v>1</v>
      </c>
      <c r="J3513" s="8">
        <v>43</v>
      </c>
      <c r="K3513" s="8">
        <v>303</v>
      </c>
      <c r="L3513" s="8">
        <v>197</v>
      </c>
      <c r="M3513" s="8">
        <v>5.1428571429999996</v>
      </c>
      <c r="N3513">
        <f>VLOOKUP(A3513,vlookup_table!$A:$G,2,FALSE)</f>
        <v>28</v>
      </c>
      <c r="O3513" t="str">
        <f>VLOOKUP(A3513,vlookup_table!$A:$G,3,FALSE)</f>
        <v>KY</v>
      </c>
      <c r="P3513">
        <f>VLOOKUP(A3513,vlookup_table!$A:$G,4,FALSE)</f>
        <v>0</v>
      </c>
      <c r="Q3513" t="str">
        <f>VLOOKUP(A3513,vlookup_table!$A:$G,5,FALSE)</f>
        <v>C2</v>
      </c>
      <c r="R3513" t="str">
        <f>VLOOKUP(A3513,vlookup_table!$A:$G,6,FALSE)</f>
        <v>U</v>
      </c>
      <c r="S3513">
        <f>VLOOKUP(A3513,vlookup_table!$A:$G,7,FALSE)</f>
        <v>5</v>
      </c>
      <c r="T3513">
        <f t="shared" si="108"/>
        <v>96</v>
      </c>
      <c r="U3513" t="str">
        <f t="shared" si="109"/>
        <v>Ciudad</v>
      </c>
    </row>
    <row r="3514" spans="1:21" ht="16" x14ac:dyDescent="0.4">
      <c r="A3514" s="9">
        <v>136629</v>
      </c>
      <c r="B3514" s="8" t="s">
        <v>51</v>
      </c>
      <c r="C3514" s="8" t="s">
        <v>14</v>
      </c>
      <c r="D3514" s="8">
        <v>1137</v>
      </c>
      <c r="E3514" s="8">
        <v>451</v>
      </c>
      <c r="F3514" s="8">
        <v>564</v>
      </c>
      <c r="G3514" s="8">
        <v>4</v>
      </c>
      <c r="H3514" s="8">
        <v>25510</v>
      </c>
      <c r="I3514" s="8">
        <v>5</v>
      </c>
      <c r="J3514" s="8">
        <v>8</v>
      </c>
      <c r="K3514" s="8">
        <v>490</v>
      </c>
      <c r="L3514" s="8">
        <v>503</v>
      </c>
      <c r="M3514" s="8">
        <v>20</v>
      </c>
      <c r="N3514">
        <f>VLOOKUP(A3514,vlookup_table!$A:$G,2,FALSE)</f>
        <v>1</v>
      </c>
      <c r="O3514" t="str">
        <f>VLOOKUP(A3514,vlookup_table!$A:$G,3,FALSE)</f>
        <v>AZ</v>
      </c>
      <c r="P3514">
        <f>VLOOKUP(A3514,vlookup_table!$A:$G,4,FALSE)</f>
        <v>0</v>
      </c>
      <c r="Q3514" t="str">
        <f>VLOOKUP(A3514,vlookup_table!$A:$G,5,FALSE)</f>
        <v>T1</v>
      </c>
      <c r="R3514" t="str">
        <f>VLOOKUP(A3514,vlookup_table!$A:$G,6,FALSE)</f>
        <v>M</v>
      </c>
      <c r="S3514">
        <f>VLOOKUP(A3514,vlookup_table!$A:$G,7,FALSE)</f>
        <v>10</v>
      </c>
      <c r="T3514">
        <f t="shared" si="108"/>
        <v>96</v>
      </c>
      <c r="U3514" t="str">
        <f t="shared" si="109"/>
        <v>Pueblo</v>
      </c>
    </row>
    <row r="3515" spans="1:21" ht="16" x14ac:dyDescent="0.4">
      <c r="A3515" s="9">
        <v>12330</v>
      </c>
      <c r="B3515" s="8" t="s">
        <v>16</v>
      </c>
      <c r="C3515" s="8" t="s">
        <v>14</v>
      </c>
      <c r="D3515" s="8">
        <v>1326</v>
      </c>
      <c r="E3515" s="8">
        <v>550</v>
      </c>
      <c r="F3515" s="8">
        <v>644</v>
      </c>
      <c r="G3515" s="8">
        <v>27</v>
      </c>
      <c r="H3515" s="8">
        <v>17543</v>
      </c>
      <c r="I3515" s="8">
        <v>6</v>
      </c>
      <c r="J3515" s="8">
        <v>87</v>
      </c>
      <c r="K3515" s="8">
        <v>503</v>
      </c>
      <c r="L3515" s="8">
        <v>675</v>
      </c>
      <c r="M3515" s="8">
        <v>41.833333330000002</v>
      </c>
      <c r="N3515">
        <f>VLOOKUP(A3515,vlookup_table!$A:$G,2,FALSE)</f>
        <v>1</v>
      </c>
      <c r="O3515" t="str">
        <f>VLOOKUP(A3515,vlookup_table!$A:$G,3,FALSE)</f>
        <v>IL</v>
      </c>
      <c r="P3515">
        <f>VLOOKUP(A3515,vlookup_table!$A:$G,4,FALSE)</f>
        <v>0</v>
      </c>
      <c r="Q3515" t="str">
        <f>VLOOKUP(A3515,vlookup_table!$A:$G,5,FALSE)</f>
        <v/>
      </c>
      <c r="R3515" t="str">
        <f>VLOOKUP(A3515,vlookup_table!$A:$G,6,FALSE)</f>
        <v>M</v>
      </c>
      <c r="S3515">
        <f>VLOOKUP(A3515,vlookup_table!$A:$G,7,FALSE)</f>
        <v>100</v>
      </c>
      <c r="T3515">
        <f t="shared" si="108"/>
        <v>96</v>
      </c>
      <c r="U3515" t="str">
        <f t="shared" si="109"/>
        <v/>
      </c>
    </row>
    <row r="3516" spans="1:21" ht="16" x14ac:dyDescent="0.4">
      <c r="A3516" s="9">
        <v>98941</v>
      </c>
      <c r="B3516" s="8" t="s">
        <v>16</v>
      </c>
      <c r="C3516" s="8" t="s">
        <v>17</v>
      </c>
      <c r="D3516" s="8">
        <v>423</v>
      </c>
      <c r="E3516" s="8">
        <v>213</v>
      </c>
      <c r="F3516" s="8">
        <v>330</v>
      </c>
      <c r="G3516" s="8">
        <v>1</v>
      </c>
      <c r="H3516" s="8">
        <v>11676</v>
      </c>
      <c r="I3516" s="8">
        <v>1</v>
      </c>
      <c r="J3516" s="8">
        <v>79</v>
      </c>
      <c r="K3516" s="8">
        <v>280</v>
      </c>
      <c r="L3516" s="8">
        <v>276</v>
      </c>
      <c r="M3516" s="8">
        <v>8.1666666669999994</v>
      </c>
      <c r="N3516">
        <f>VLOOKUP(A3516,vlookup_table!$A:$G,2,FALSE)</f>
        <v>0</v>
      </c>
      <c r="O3516" t="str">
        <f>VLOOKUP(A3516,vlookup_table!$A:$G,3,FALSE)</f>
        <v>IL</v>
      </c>
      <c r="P3516">
        <f>VLOOKUP(A3516,vlookup_table!$A:$G,4,FALSE)</f>
        <v>4701</v>
      </c>
      <c r="Q3516" t="str">
        <f>VLOOKUP(A3516,vlookup_table!$A:$G,5,FALSE)</f>
        <v>T2</v>
      </c>
      <c r="R3516" t="str">
        <f>VLOOKUP(A3516,vlookup_table!$A:$G,6,FALSE)</f>
        <v>F</v>
      </c>
      <c r="S3516">
        <f>VLOOKUP(A3516,vlookup_table!$A:$G,7,FALSE)</f>
        <v>9</v>
      </c>
      <c r="T3516">
        <f t="shared" si="108"/>
        <v>49</v>
      </c>
      <c r="U3516" t="str">
        <f t="shared" si="109"/>
        <v>Pueblo</v>
      </c>
    </row>
    <row r="3517" spans="1:21" ht="16" x14ac:dyDescent="0.4">
      <c r="A3517" s="9">
        <v>172597</v>
      </c>
      <c r="B3517" s="8" t="s">
        <v>21</v>
      </c>
      <c r="C3517" s="8" t="s">
        <v>17</v>
      </c>
      <c r="D3517" s="8">
        <v>1431</v>
      </c>
      <c r="E3517" s="8">
        <v>243</v>
      </c>
      <c r="F3517" s="8">
        <v>331</v>
      </c>
      <c r="G3517" s="8">
        <v>27</v>
      </c>
      <c r="H3517" s="8">
        <v>12639</v>
      </c>
      <c r="I3517" s="8">
        <v>2</v>
      </c>
      <c r="J3517" s="8">
        <v>69</v>
      </c>
      <c r="K3517" s="8">
        <v>289</v>
      </c>
      <c r="L3517" s="8">
        <v>289</v>
      </c>
      <c r="M3517" s="8">
        <v>7.153846154</v>
      </c>
      <c r="N3517">
        <f>VLOOKUP(A3517,vlookup_table!$A:$G,2,FALSE)</f>
        <v>2</v>
      </c>
      <c r="O3517" t="str">
        <f>VLOOKUP(A3517,vlookup_table!$A:$G,3,FALSE)</f>
        <v>CA</v>
      </c>
      <c r="P3517">
        <f>VLOOKUP(A3517,vlookup_table!$A:$G,4,FALSE)</f>
        <v>2601</v>
      </c>
      <c r="Q3517" t="str">
        <f>VLOOKUP(A3517,vlookup_table!$A:$G,5,FALSE)</f>
        <v>T1</v>
      </c>
      <c r="R3517" t="str">
        <f>VLOOKUP(A3517,vlookup_table!$A:$G,6,FALSE)</f>
        <v>F</v>
      </c>
      <c r="S3517">
        <f>VLOOKUP(A3517,vlookup_table!$A:$G,7,FALSE)</f>
        <v>3</v>
      </c>
      <c r="T3517">
        <f t="shared" si="108"/>
        <v>70</v>
      </c>
      <c r="U3517" t="str">
        <f t="shared" si="109"/>
        <v>Pueblo</v>
      </c>
    </row>
    <row r="3518" spans="1:21" ht="16" x14ac:dyDescent="0.4">
      <c r="A3518" s="9">
        <v>147956</v>
      </c>
      <c r="B3518" s="8" t="s">
        <v>21</v>
      </c>
      <c r="C3518" s="8" t="s">
        <v>17</v>
      </c>
      <c r="D3518" s="8">
        <v>2481</v>
      </c>
      <c r="E3518" s="8">
        <v>226</v>
      </c>
      <c r="F3518" s="8">
        <v>283</v>
      </c>
      <c r="G3518" s="8">
        <v>71</v>
      </c>
      <c r="H3518" s="8">
        <v>8369</v>
      </c>
      <c r="I3518" s="8">
        <v>59</v>
      </c>
      <c r="J3518" s="8">
        <v>28</v>
      </c>
      <c r="K3518" s="8">
        <v>248</v>
      </c>
      <c r="L3518" s="8">
        <v>270</v>
      </c>
      <c r="M3518" s="8">
        <v>9.1666666669999994</v>
      </c>
      <c r="N3518">
        <f>VLOOKUP(A3518,vlookup_table!$A:$G,2,FALSE)</f>
        <v>0</v>
      </c>
      <c r="O3518" t="str">
        <f>VLOOKUP(A3518,vlookup_table!$A:$G,3,FALSE)</f>
        <v>CA</v>
      </c>
      <c r="P3518">
        <f>VLOOKUP(A3518,vlookup_table!$A:$G,4,FALSE)</f>
        <v>4401</v>
      </c>
      <c r="Q3518" t="str">
        <f>VLOOKUP(A3518,vlookup_table!$A:$G,5,FALSE)</f>
        <v>U3</v>
      </c>
      <c r="R3518" t="str">
        <f>VLOOKUP(A3518,vlookup_table!$A:$G,6,FALSE)</f>
        <v>F</v>
      </c>
      <c r="S3518">
        <f>VLOOKUP(A3518,vlookup_table!$A:$G,7,FALSE)</f>
        <v>5</v>
      </c>
      <c r="T3518">
        <f t="shared" si="108"/>
        <v>52</v>
      </c>
      <c r="U3518" t="str">
        <f t="shared" si="109"/>
        <v>Urbano</v>
      </c>
    </row>
    <row r="3519" spans="1:21" ht="16" x14ac:dyDescent="0.4">
      <c r="A3519" s="9">
        <v>47819</v>
      </c>
      <c r="B3519" s="8" t="s">
        <v>40</v>
      </c>
      <c r="C3519" s="8" t="s">
        <v>14</v>
      </c>
      <c r="D3519" s="8">
        <v>682</v>
      </c>
      <c r="E3519" s="8">
        <v>451</v>
      </c>
      <c r="F3519" s="8">
        <v>485</v>
      </c>
      <c r="G3519" s="8">
        <v>0</v>
      </c>
      <c r="H3519" s="8">
        <v>17756</v>
      </c>
      <c r="I3519" s="8">
        <v>0</v>
      </c>
      <c r="J3519" s="8">
        <v>65</v>
      </c>
      <c r="K3519" s="8">
        <v>462</v>
      </c>
      <c r="L3519" s="8">
        <v>443</v>
      </c>
      <c r="M3519" s="8">
        <v>12.7</v>
      </c>
      <c r="N3519">
        <f>VLOOKUP(A3519,vlookup_table!$A:$G,2,FALSE)</f>
        <v>1002</v>
      </c>
      <c r="O3519" t="str">
        <f>VLOOKUP(A3519,vlookup_table!$A:$G,3,FALSE)</f>
        <v>AL</v>
      </c>
      <c r="P3519">
        <f>VLOOKUP(A3519,vlookup_table!$A:$G,4,FALSE)</f>
        <v>3801</v>
      </c>
      <c r="Q3519" t="str">
        <f>VLOOKUP(A3519,vlookup_table!$A:$G,5,FALSE)</f>
        <v>T1</v>
      </c>
      <c r="R3519" t="str">
        <f>VLOOKUP(A3519,vlookup_table!$A:$G,6,FALSE)</f>
        <v>M</v>
      </c>
      <c r="S3519">
        <f>VLOOKUP(A3519,vlookup_table!$A:$G,7,FALSE)</f>
        <v>10</v>
      </c>
      <c r="T3519">
        <f t="shared" si="108"/>
        <v>58</v>
      </c>
      <c r="U3519" t="str">
        <f t="shared" si="109"/>
        <v>Pueblo</v>
      </c>
    </row>
    <row r="3520" spans="1:21" ht="16" x14ac:dyDescent="0.4">
      <c r="A3520" s="9">
        <v>130554</v>
      </c>
      <c r="B3520" s="8" t="s">
        <v>45</v>
      </c>
      <c r="C3520" s="8" t="s">
        <v>17</v>
      </c>
      <c r="D3520" s="8">
        <v>663</v>
      </c>
      <c r="E3520" s="8">
        <v>375</v>
      </c>
      <c r="F3520" s="8">
        <v>425</v>
      </c>
      <c r="G3520" s="8">
        <v>0</v>
      </c>
      <c r="H3520" s="8">
        <v>12667</v>
      </c>
      <c r="I3520" s="8">
        <v>5</v>
      </c>
      <c r="J3520" s="8">
        <v>51</v>
      </c>
      <c r="K3520" s="8">
        <v>406</v>
      </c>
      <c r="L3520" s="8">
        <v>399</v>
      </c>
      <c r="M3520" s="8">
        <v>12.7</v>
      </c>
      <c r="N3520">
        <f>VLOOKUP(A3520,vlookup_table!$A:$G,2,FALSE)</f>
        <v>0</v>
      </c>
      <c r="O3520" t="str">
        <f>VLOOKUP(A3520,vlookup_table!$A:$G,3,FALSE)</f>
        <v>CO</v>
      </c>
      <c r="P3520">
        <f>VLOOKUP(A3520,vlookup_table!$A:$G,4,FALSE)</f>
        <v>5407</v>
      </c>
      <c r="Q3520" t="str">
        <f>VLOOKUP(A3520,vlookup_table!$A:$G,5,FALSE)</f>
        <v>S2</v>
      </c>
      <c r="R3520" t="str">
        <f>VLOOKUP(A3520,vlookup_table!$A:$G,6,FALSE)</f>
        <v>F</v>
      </c>
      <c r="S3520">
        <f>VLOOKUP(A3520,vlookup_table!$A:$G,7,FALSE)</f>
        <v>20</v>
      </c>
      <c r="T3520">
        <f t="shared" si="108"/>
        <v>42</v>
      </c>
      <c r="U3520" t="str">
        <f t="shared" si="109"/>
        <v>Suburbano</v>
      </c>
    </row>
    <row r="3521" spans="1:21" ht="16" x14ac:dyDescent="0.4">
      <c r="A3521" s="9">
        <v>157213</v>
      </c>
      <c r="B3521" s="8" t="s">
        <v>21</v>
      </c>
      <c r="C3521" s="8" t="s">
        <v>17</v>
      </c>
      <c r="D3521" s="8">
        <v>1909</v>
      </c>
      <c r="E3521" s="8">
        <v>417</v>
      </c>
      <c r="F3521" s="8">
        <v>550</v>
      </c>
      <c r="G3521" s="8">
        <v>45</v>
      </c>
      <c r="H3521" s="8">
        <v>23187</v>
      </c>
      <c r="I3521" s="8">
        <v>16</v>
      </c>
      <c r="J3521" s="8">
        <v>34</v>
      </c>
      <c r="K3521" s="8">
        <v>510</v>
      </c>
      <c r="L3521" s="8">
        <v>468</v>
      </c>
      <c r="M3521" s="8">
        <v>12.5</v>
      </c>
      <c r="N3521">
        <f>VLOOKUP(A3521,vlookup_table!$A:$G,2,FALSE)</f>
        <v>0</v>
      </c>
      <c r="O3521" t="str">
        <f>VLOOKUP(A3521,vlookup_table!$A:$G,3,FALSE)</f>
        <v>CA</v>
      </c>
      <c r="P3521">
        <f>VLOOKUP(A3521,vlookup_table!$A:$G,4,FALSE)</f>
        <v>0</v>
      </c>
      <c r="Q3521" t="str">
        <f>VLOOKUP(A3521,vlookup_table!$A:$G,5,FALSE)</f>
        <v>S1</v>
      </c>
      <c r="R3521" t="str">
        <f>VLOOKUP(A3521,vlookup_table!$A:$G,6,FALSE)</f>
        <v>F</v>
      </c>
      <c r="S3521">
        <f>VLOOKUP(A3521,vlookup_table!$A:$G,7,FALSE)</f>
        <v>20</v>
      </c>
      <c r="T3521">
        <f t="shared" si="108"/>
        <v>96</v>
      </c>
      <c r="U3521" t="str">
        <f t="shared" si="109"/>
        <v>Suburbano</v>
      </c>
    </row>
    <row r="3522" spans="1:21" ht="16" x14ac:dyDescent="0.4">
      <c r="A3522" s="9">
        <v>90532</v>
      </c>
      <c r="B3522" s="8" t="s">
        <v>51</v>
      </c>
      <c r="C3522" s="8" t="s">
        <v>14</v>
      </c>
      <c r="D3522" s="8">
        <v>727</v>
      </c>
      <c r="E3522" s="8">
        <v>350</v>
      </c>
      <c r="F3522" s="8">
        <v>426</v>
      </c>
      <c r="G3522" s="8">
        <v>0</v>
      </c>
      <c r="H3522" s="8">
        <v>20399</v>
      </c>
      <c r="I3522" s="8">
        <v>5</v>
      </c>
      <c r="J3522" s="8">
        <v>13</v>
      </c>
      <c r="K3522" s="8">
        <v>381</v>
      </c>
      <c r="L3522" s="8">
        <v>399</v>
      </c>
      <c r="M3522" s="8">
        <v>11.2</v>
      </c>
      <c r="N3522">
        <f>VLOOKUP(A3522,vlookup_table!$A:$G,2,FALSE)</f>
        <v>1002</v>
      </c>
      <c r="O3522" t="str">
        <f>VLOOKUP(A3522,vlookup_table!$A:$G,3,FALSE)</f>
        <v>AZ</v>
      </c>
      <c r="P3522">
        <f>VLOOKUP(A3522,vlookup_table!$A:$G,4,FALSE)</f>
        <v>6910</v>
      </c>
      <c r="Q3522" t="str">
        <f>VLOOKUP(A3522,vlookup_table!$A:$G,5,FALSE)</f>
        <v>S1</v>
      </c>
      <c r="R3522" t="str">
        <f>VLOOKUP(A3522,vlookup_table!$A:$G,6,FALSE)</f>
        <v>M</v>
      </c>
      <c r="S3522">
        <f>VLOOKUP(A3522,vlookup_table!$A:$G,7,FALSE)</f>
        <v>20</v>
      </c>
      <c r="T3522">
        <f t="shared" si="108"/>
        <v>27</v>
      </c>
      <c r="U3522" t="str">
        <f t="shared" si="109"/>
        <v>Suburbano</v>
      </c>
    </row>
    <row r="3523" spans="1:21" ht="16" x14ac:dyDescent="0.4">
      <c r="A3523" s="9">
        <v>187744</v>
      </c>
      <c r="B3523" s="8" t="s">
        <v>45</v>
      </c>
      <c r="C3523" s="8" t="s">
        <v>17</v>
      </c>
      <c r="D3523" s="8">
        <v>729</v>
      </c>
      <c r="E3523" s="8">
        <v>324</v>
      </c>
      <c r="F3523" s="8">
        <v>447</v>
      </c>
      <c r="G3523" s="8">
        <v>0</v>
      </c>
      <c r="H3523" s="8">
        <v>16479</v>
      </c>
      <c r="I3523" s="8">
        <v>2</v>
      </c>
      <c r="J3523" s="8">
        <v>37</v>
      </c>
      <c r="K3523" s="8">
        <v>343</v>
      </c>
      <c r="L3523" s="8">
        <v>400</v>
      </c>
      <c r="M3523" s="8">
        <v>4.8947368420000004</v>
      </c>
      <c r="N3523">
        <f>VLOOKUP(A3523,vlookup_table!$A:$G,2,FALSE)</f>
        <v>0</v>
      </c>
      <c r="O3523" t="str">
        <f>VLOOKUP(A3523,vlookup_table!$A:$G,3,FALSE)</f>
        <v>CO</v>
      </c>
      <c r="P3523">
        <f>VLOOKUP(A3523,vlookup_table!$A:$G,4,FALSE)</f>
        <v>0</v>
      </c>
      <c r="Q3523" t="str">
        <f>VLOOKUP(A3523,vlookup_table!$A:$G,5,FALSE)</f>
        <v>U1</v>
      </c>
      <c r="R3523" t="str">
        <f>VLOOKUP(A3523,vlookup_table!$A:$G,6,FALSE)</f>
        <v>F</v>
      </c>
      <c r="S3523">
        <f>VLOOKUP(A3523,vlookup_table!$A:$G,7,FALSE)</f>
        <v>7</v>
      </c>
      <c r="T3523">
        <f t="shared" ref="T3523:T3586" si="110">97-LEFT(P3523,2)-IF(RIGHT(P3523,2)&gt;6,1,0)</f>
        <v>96</v>
      </c>
      <c r="U3523" t="str">
        <f t="shared" ref="U3523:U3586" si="111">IF(LEFT(Q3523,1)="C","Ciudad",IF(LEFT(Q3523,1)="T","Pueblo",IF(LEFT(Q3523,1)="R","Rural",IF(LEFT(Q3523,1)="S","Suburbano",IF(LEFT(Q3523,1)="U","Urbano","")))))</f>
        <v>Urbano</v>
      </c>
    </row>
    <row r="3524" spans="1:21" ht="16" x14ac:dyDescent="0.4">
      <c r="A3524" s="9">
        <v>11143</v>
      </c>
      <c r="B3524" s="8" t="s">
        <v>44</v>
      </c>
      <c r="C3524" s="8" t="s">
        <v>14</v>
      </c>
      <c r="D3524" s="8">
        <v>424</v>
      </c>
      <c r="E3524" s="8">
        <v>294</v>
      </c>
      <c r="F3524" s="8">
        <v>368</v>
      </c>
      <c r="G3524" s="8">
        <v>0</v>
      </c>
      <c r="H3524" s="8">
        <v>11315</v>
      </c>
      <c r="I3524" s="8">
        <v>2</v>
      </c>
      <c r="J3524" s="8">
        <v>68</v>
      </c>
      <c r="K3524" s="8">
        <v>332</v>
      </c>
      <c r="L3524" s="8">
        <v>310</v>
      </c>
      <c r="M3524" s="8">
        <v>39</v>
      </c>
      <c r="N3524">
        <f>VLOOKUP(A3524,vlookup_table!$A:$G,2,FALSE)</f>
        <v>1</v>
      </c>
      <c r="O3524" t="str">
        <f>VLOOKUP(A3524,vlookup_table!$A:$G,3,FALSE)</f>
        <v>IA</v>
      </c>
      <c r="P3524">
        <f>VLOOKUP(A3524,vlookup_table!$A:$G,4,FALSE)</f>
        <v>2812</v>
      </c>
      <c r="Q3524" t="str">
        <f>VLOOKUP(A3524,vlookup_table!$A:$G,5,FALSE)</f>
        <v>C2</v>
      </c>
      <c r="R3524" t="str">
        <f>VLOOKUP(A3524,vlookup_table!$A:$G,6,FALSE)</f>
        <v>M</v>
      </c>
      <c r="S3524">
        <f>VLOOKUP(A3524,vlookup_table!$A:$G,7,FALSE)</f>
        <v>44</v>
      </c>
      <c r="T3524">
        <f t="shared" si="110"/>
        <v>68</v>
      </c>
      <c r="U3524" t="str">
        <f t="shared" si="111"/>
        <v>Ciudad</v>
      </c>
    </row>
    <row r="3525" spans="1:21" ht="16" x14ac:dyDescent="0.4">
      <c r="A3525" s="9">
        <v>121978</v>
      </c>
      <c r="B3525" s="8" t="s">
        <v>20</v>
      </c>
      <c r="C3525" s="8" t="s">
        <v>14</v>
      </c>
      <c r="D3525" s="8">
        <v>693</v>
      </c>
      <c r="E3525" s="8">
        <v>292</v>
      </c>
      <c r="F3525" s="8">
        <v>377</v>
      </c>
      <c r="G3525" s="8">
        <v>0</v>
      </c>
      <c r="H3525" s="8">
        <v>10971</v>
      </c>
      <c r="I3525" s="8">
        <v>15</v>
      </c>
      <c r="J3525" s="8">
        <v>60</v>
      </c>
      <c r="K3525" s="8">
        <v>325</v>
      </c>
      <c r="L3525" s="8">
        <v>352</v>
      </c>
      <c r="M3525" s="8">
        <v>24.444444440000002</v>
      </c>
      <c r="N3525">
        <f>VLOOKUP(A3525,vlookup_table!$A:$G,2,FALSE)</f>
        <v>1</v>
      </c>
      <c r="O3525" t="str">
        <f>VLOOKUP(A3525,vlookup_table!$A:$G,3,FALSE)</f>
        <v>TX</v>
      </c>
      <c r="P3525">
        <f>VLOOKUP(A3525,vlookup_table!$A:$G,4,FALSE)</f>
        <v>1907</v>
      </c>
      <c r="Q3525" t="str">
        <f>VLOOKUP(A3525,vlookup_table!$A:$G,5,FALSE)</f>
        <v>S2</v>
      </c>
      <c r="R3525" t="str">
        <f>VLOOKUP(A3525,vlookup_table!$A:$G,6,FALSE)</f>
        <v>M</v>
      </c>
      <c r="S3525">
        <f>VLOOKUP(A3525,vlookup_table!$A:$G,7,FALSE)</f>
        <v>50</v>
      </c>
      <c r="T3525">
        <f t="shared" si="110"/>
        <v>77</v>
      </c>
      <c r="U3525" t="str">
        <f t="shared" si="111"/>
        <v>Suburbano</v>
      </c>
    </row>
    <row r="3526" spans="1:21" ht="16" x14ac:dyDescent="0.4">
      <c r="A3526" s="9">
        <v>190597</v>
      </c>
      <c r="B3526" s="8" t="s">
        <v>13</v>
      </c>
      <c r="C3526" s="8" t="s">
        <v>17</v>
      </c>
      <c r="D3526" s="8">
        <v>737</v>
      </c>
      <c r="E3526" s="8">
        <v>273</v>
      </c>
      <c r="F3526" s="8">
        <v>383</v>
      </c>
      <c r="G3526" s="8">
        <v>5</v>
      </c>
      <c r="H3526" s="8">
        <v>15847</v>
      </c>
      <c r="I3526" s="8">
        <v>2</v>
      </c>
      <c r="J3526" s="8">
        <v>22</v>
      </c>
      <c r="K3526" s="8">
        <v>363</v>
      </c>
      <c r="L3526" s="8">
        <v>338</v>
      </c>
      <c r="M3526" s="8">
        <v>7.038461539</v>
      </c>
      <c r="N3526">
        <f>VLOOKUP(A3526,vlookup_table!$A:$G,2,FALSE)</f>
        <v>28</v>
      </c>
      <c r="O3526" t="str">
        <f>VLOOKUP(A3526,vlookup_table!$A:$G,3,FALSE)</f>
        <v>FL</v>
      </c>
      <c r="P3526">
        <f>VLOOKUP(A3526,vlookup_table!$A:$G,4,FALSE)</f>
        <v>4701</v>
      </c>
      <c r="Q3526" t="str">
        <f>VLOOKUP(A3526,vlookup_table!$A:$G,5,FALSE)</f>
        <v>C2</v>
      </c>
      <c r="R3526" t="str">
        <f>VLOOKUP(A3526,vlookup_table!$A:$G,6,FALSE)</f>
        <v>F</v>
      </c>
      <c r="S3526">
        <f>VLOOKUP(A3526,vlookup_table!$A:$G,7,FALSE)</f>
        <v>12</v>
      </c>
      <c r="T3526">
        <f t="shared" si="110"/>
        <v>49</v>
      </c>
      <c r="U3526" t="str">
        <f t="shared" si="111"/>
        <v>Ciudad</v>
      </c>
    </row>
    <row r="3527" spans="1:21" ht="16" x14ac:dyDescent="0.4">
      <c r="A3527" s="9">
        <v>6325</v>
      </c>
      <c r="B3527" s="8" t="s">
        <v>30</v>
      </c>
      <c r="C3527" s="8" t="s">
        <v>17</v>
      </c>
      <c r="D3527" s="8">
        <v>331</v>
      </c>
      <c r="E3527" s="8">
        <v>322</v>
      </c>
      <c r="F3527" s="8">
        <v>368</v>
      </c>
      <c r="G3527" s="8">
        <v>0</v>
      </c>
      <c r="H3527" s="8">
        <v>13193</v>
      </c>
      <c r="I3527" s="8">
        <v>1</v>
      </c>
      <c r="J3527" s="8">
        <v>70</v>
      </c>
      <c r="K3527" s="8">
        <v>370</v>
      </c>
      <c r="L3527" s="8">
        <v>320</v>
      </c>
      <c r="M3527" s="8">
        <v>14</v>
      </c>
      <c r="N3527">
        <f>VLOOKUP(A3527,vlookup_table!$A:$G,2,FALSE)</f>
        <v>0</v>
      </c>
      <c r="O3527" t="str">
        <f>VLOOKUP(A3527,vlookup_table!$A:$G,3,FALSE)</f>
        <v>IN</v>
      </c>
      <c r="P3527">
        <f>VLOOKUP(A3527,vlookup_table!$A:$G,4,FALSE)</f>
        <v>3001</v>
      </c>
      <c r="Q3527" t="str">
        <f>VLOOKUP(A3527,vlookup_table!$A:$G,5,FALSE)</f>
        <v>C2</v>
      </c>
      <c r="R3527" t="str">
        <f>VLOOKUP(A3527,vlookup_table!$A:$G,6,FALSE)</f>
        <v>F</v>
      </c>
      <c r="S3527">
        <f>VLOOKUP(A3527,vlookup_table!$A:$G,7,FALSE)</f>
        <v>15</v>
      </c>
      <c r="T3527">
        <f t="shared" si="110"/>
        <v>66</v>
      </c>
      <c r="U3527" t="str">
        <f t="shared" si="111"/>
        <v>Ciudad</v>
      </c>
    </row>
    <row r="3528" spans="1:21" ht="16" x14ac:dyDescent="0.4">
      <c r="A3528" s="9">
        <v>11943</v>
      </c>
      <c r="B3528" s="8" t="s">
        <v>21</v>
      </c>
      <c r="C3528" s="8" t="s">
        <v>17</v>
      </c>
      <c r="D3528" s="8">
        <v>3447</v>
      </c>
      <c r="E3528" s="8">
        <v>357</v>
      </c>
      <c r="F3528" s="8">
        <v>503</v>
      </c>
      <c r="G3528" s="8">
        <v>68</v>
      </c>
      <c r="H3528" s="8">
        <v>19465</v>
      </c>
      <c r="I3528" s="8">
        <v>12</v>
      </c>
      <c r="J3528" s="8">
        <v>32</v>
      </c>
      <c r="K3528" s="8">
        <v>400</v>
      </c>
      <c r="L3528" s="8">
        <v>451</v>
      </c>
      <c r="M3528" s="8">
        <v>13.44444444</v>
      </c>
      <c r="N3528">
        <f>VLOOKUP(A3528,vlookup_table!$A:$G,2,FALSE)</f>
        <v>2</v>
      </c>
      <c r="O3528" t="str">
        <f>VLOOKUP(A3528,vlookup_table!$A:$G,3,FALSE)</f>
        <v>CA</v>
      </c>
      <c r="P3528">
        <f>VLOOKUP(A3528,vlookup_table!$A:$G,4,FALSE)</f>
        <v>2101</v>
      </c>
      <c r="Q3528" t="str">
        <f>VLOOKUP(A3528,vlookup_table!$A:$G,5,FALSE)</f>
        <v>S1</v>
      </c>
      <c r="R3528" t="str">
        <f>VLOOKUP(A3528,vlookup_table!$A:$G,6,FALSE)</f>
        <v>F</v>
      </c>
      <c r="S3528">
        <f>VLOOKUP(A3528,vlookup_table!$A:$G,7,FALSE)</f>
        <v>10</v>
      </c>
      <c r="T3528">
        <f t="shared" si="110"/>
        <v>75</v>
      </c>
      <c r="U3528" t="str">
        <f t="shared" si="111"/>
        <v>Suburbano</v>
      </c>
    </row>
    <row r="3529" spans="1:21" ht="16" x14ac:dyDescent="0.4">
      <c r="A3529" s="9">
        <v>19789</v>
      </c>
      <c r="B3529" s="8" t="s">
        <v>18</v>
      </c>
      <c r="C3529" s="8" t="s">
        <v>14</v>
      </c>
      <c r="D3529" s="8">
        <v>355</v>
      </c>
      <c r="E3529" s="8">
        <v>219</v>
      </c>
      <c r="F3529" s="8">
        <v>285</v>
      </c>
      <c r="G3529" s="8">
        <v>0</v>
      </c>
      <c r="H3529" s="8">
        <v>9550</v>
      </c>
      <c r="I3529" s="8">
        <v>1</v>
      </c>
      <c r="J3529" s="8">
        <v>81</v>
      </c>
      <c r="K3529" s="8">
        <v>283</v>
      </c>
      <c r="L3529" s="8">
        <v>250</v>
      </c>
      <c r="M3529" s="8">
        <v>10</v>
      </c>
      <c r="N3529">
        <f>VLOOKUP(A3529,vlookup_table!$A:$G,2,FALSE)</f>
        <v>1</v>
      </c>
      <c r="O3529" t="str">
        <f>VLOOKUP(A3529,vlookup_table!$A:$G,3,FALSE)</f>
        <v>NC</v>
      </c>
      <c r="P3529">
        <f>VLOOKUP(A3529,vlookup_table!$A:$G,4,FALSE)</f>
        <v>4401</v>
      </c>
      <c r="Q3529" t="str">
        <f>VLOOKUP(A3529,vlookup_table!$A:$G,5,FALSE)</f>
        <v>T2</v>
      </c>
      <c r="R3529" t="str">
        <f>VLOOKUP(A3529,vlookup_table!$A:$G,6,FALSE)</f>
        <v>M</v>
      </c>
      <c r="S3529">
        <f>VLOOKUP(A3529,vlookup_table!$A:$G,7,FALSE)</f>
        <v>10</v>
      </c>
      <c r="T3529">
        <f t="shared" si="110"/>
        <v>52</v>
      </c>
      <c r="U3529" t="str">
        <f t="shared" si="111"/>
        <v>Pueblo</v>
      </c>
    </row>
    <row r="3530" spans="1:21" ht="16" x14ac:dyDescent="0.4">
      <c r="A3530" s="9">
        <v>41288</v>
      </c>
      <c r="B3530" s="8" t="s">
        <v>13</v>
      </c>
      <c r="C3530" s="8" t="s">
        <v>14</v>
      </c>
      <c r="D3530" s="8">
        <v>466</v>
      </c>
      <c r="E3530" s="8">
        <v>271</v>
      </c>
      <c r="F3530" s="8">
        <v>325</v>
      </c>
      <c r="G3530" s="8">
        <v>0</v>
      </c>
      <c r="H3530" s="8">
        <v>11148</v>
      </c>
      <c r="I3530" s="8">
        <v>11</v>
      </c>
      <c r="J3530" s="8">
        <v>28</v>
      </c>
      <c r="K3530" s="8">
        <v>292</v>
      </c>
      <c r="L3530" s="8">
        <v>291</v>
      </c>
      <c r="M3530" s="8">
        <v>5</v>
      </c>
      <c r="N3530">
        <f>VLOOKUP(A3530,vlookup_table!$A:$G,2,FALSE)</f>
        <v>1</v>
      </c>
      <c r="O3530" t="str">
        <f>VLOOKUP(A3530,vlookup_table!$A:$G,3,FALSE)</f>
        <v>FL</v>
      </c>
      <c r="P3530">
        <f>VLOOKUP(A3530,vlookup_table!$A:$G,4,FALSE)</f>
        <v>1301</v>
      </c>
      <c r="Q3530" t="str">
        <f>VLOOKUP(A3530,vlookup_table!$A:$G,5,FALSE)</f>
        <v>U3</v>
      </c>
      <c r="R3530" t="str">
        <f>VLOOKUP(A3530,vlookup_table!$A:$G,6,FALSE)</f>
        <v>M</v>
      </c>
      <c r="S3530">
        <f>VLOOKUP(A3530,vlookup_table!$A:$G,7,FALSE)</f>
        <v>9</v>
      </c>
      <c r="T3530">
        <f t="shared" si="110"/>
        <v>83</v>
      </c>
      <c r="U3530" t="str">
        <f t="shared" si="111"/>
        <v>Urbano</v>
      </c>
    </row>
    <row r="3531" spans="1:21" ht="16" x14ac:dyDescent="0.4">
      <c r="A3531" s="9">
        <v>102706</v>
      </c>
      <c r="B3531" s="8" t="s">
        <v>33</v>
      </c>
      <c r="C3531" s="8" t="s">
        <v>17</v>
      </c>
      <c r="D3531" s="8">
        <v>835</v>
      </c>
      <c r="E3531" s="8">
        <v>401</v>
      </c>
      <c r="F3531" s="8">
        <v>537</v>
      </c>
      <c r="G3531" s="8">
        <v>3</v>
      </c>
      <c r="H3531" s="8">
        <v>20242</v>
      </c>
      <c r="I3531" s="8">
        <v>1</v>
      </c>
      <c r="J3531" s="8">
        <v>69</v>
      </c>
      <c r="K3531" s="8">
        <v>423</v>
      </c>
      <c r="L3531" s="8">
        <v>487</v>
      </c>
      <c r="M3531" s="8">
        <v>3.375</v>
      </c>
      <c r="N3531">
        <f>VLOOKUP(A3531,vlookup_table!$A:$G,2,FALSE)</f>
        <v>28</v>
      </c>
      <c r="O3531" t="str">
        <f>VLOOKUP(A3531,vlookup_table!$A:$G,3,FALSE)</f>
        <v>MO</v>
      </c>
      <c r="P3531">
        <f>VLOOKUP(A3531,vlookup_table!$A:$G,4,FALSE)</f>
        <v>5511</v>
      </c>
      <c r="Q3531" t="str">
        <f>VLOOKUP(A3531,vlookup_table!$A:$G,5,FALSE)</f>
        <v>C1</v>
      </c>
      <c r="R3531" t="str">
        <f>VLOOKUP(A3531,vlookup_table!$A:$G,6,FALSE)</f>
        <v>F</v>
      </c>
      <c r="S3531">
        <f>VLOOKUP(A3531,vlookup_table!$A:$G,7,FALSE)</f>
        <v>3</v>
      </c>
      <c r="T3531">
        <f t="shared" si="110"/>
        <v>41</v>
      </c>
      <c r="U3531" t="str">
        <f t="shared" si="111"/>
        <v>Ciudad</v>
      </c>
    </row>
    <row r="3532" spans="1:21" ht="16" x14ac:dyDescent="0.4">
      <c r="A3532" s="9">
        <v>10287</v>
      </c>
      <c r="B3532" s="8" t="s">
        <v>13</v>
      </c>
      <c r="C3532" s="8" t="s">
        <v>17</v>
      </c>
      <c r="D3532" s="8">
        <v>1258</v>
      </c>
      <c r="E3532" s="8">
        <v>599</v>
      </c>
      <c r="F3532" s="8">
        <v>692</v>
      </c>
      <c r="G3532" s="8">
        <v>7</v>
      </c>
      <c r="H3532" s="8">
        <v>21114</v>
      </c>
      <c r="I3532" s="8">
        <v>27</v>
      </c>
      <c r="J3532" s="8">
        <v>37</v>
      </c>
      <c r="K3532" s="8">
        <v>634</v>
      </c>
      <c r="L3532" s="8">
        <v>649</v>
      </c>
      <c r="M3532" s="8">
        <v>8.2962962959999995</v>
      </c>
      <c r="N3532">
        <f>VLOOKUP(A3532,vlookup_table!$A:$G,2,FALSE)</f>
        <v>2</v>
      </c>
      <c r="O3532" t="str">
        <f>VLOOKUP(A3532,vlookup_table!$A:$G,3,FALSE)</f>
        <v>FL</v>
      </c>
      <c r="P3532">
        <f>VLOOKUP(A3532,vlookup_table!$A:$G,4,FALSE)</f>
        <v>1401</v>
      </c>
      <c r="Q3532" t="str">
        <f>VLOOKUP(A3532,vlookup_table!$A:$G,5,FALSE)</f>
        <v>S1</v>
      </c>
      <c r="R3532" t="str">
        <f>VLOOKUP(A3532,vlookup_table!$A:$G,6,FALSE)</f>
        <v>F</v>
      </c>
      <c r="S3532">
        <f>VLOOKUP(A3532,vlookup_table!$A:$G,7,FALSE)</f>
        <v>15</v>
      </c>
      <c r="T3532">
        <f t="shared" si="110"/>
        <v>82</v>
      </c>
      <c r="U3532" t="str">
        <f t="shared" si="111"/>
        <v>Suburbano</v>
      </c>
    </row>
    <row r="3533" spans="1:21" ht="16" x14ac:dyDescent="0.4">
      <c r="A3533" s="9">
        <v>34429</v>
      </c>
      <c r="B3533" s="8" t="s">
        <v>13</v>
      </c>
      <c r="C3533" s="8" t="s">
        <v>14</v>
      </c>
      <c r="D3533" s="8">
        <v>482</v>
      </c>
      <c r="E3533" s="8">
        <v>119</v>
      </c>
      <c r="F3533" s="8">
        <v>294</v>
      </c>
      <c r="G3533" s="8">
        <v>0</v>
      </c>
      <c r="H3533" s="8">
        <v>8265</v>
      </c>
      <c r="I3533" s="8">
        <v>1</v>
      </c>
      <c r="J3533" s="8">
        <v>69</v>
      </c>
      <c r="K3533" s="8">
        <v>226</v>
      </c>
      <c r="L3533" s="8">
        <v>234</v>
      </c>
      <c r="M3533" s="8">
        <v>12.53846154</v>
      </c>
      <c r="N3533">
        <f>VLOOKUP(A3533,vlookup_table!$A:$G,2,FALSE)</f>
        <v>1</v>
      </c>
      <c r="O3533" t="str">
        <f>VLOOKUP(A3533,vlookup_table!$A:$G,3,FALSE)</f>
        <v>FL</v>
      </c>
      <c r="P3533">
        <f>VLOOKUP(A3533,vlookup_table!$A:$G,4,FALSE)</f>
        <v>4501</v>
      </c>
      <c r="Q3533" t="str">
        <f>VLOOKUP(A3533,vlookup_table!$A:$G,5,FALSE)</f>
        <v>R2</v>
      </c>
      <c r="R3533" t="str">
        <f>VLOOKUP(A3533,vlookup_table!$A:$G,6,FALSE)</f>
        <v>M</v>
      </c>
      <c r="S3533">
        <f>VLOOKUP(A3533,vlookup_table!$A:$G,7,FALSE)</f>
        <v>15</v>
      </c>
      <c r="T3533">
        <f t="shared" si="110"/>
        <v>51</v>
      </c>
      <c r="U3533" t="str">
        <f t="shared" si="111"/>
        <v>Rural</v>
      </c>
    </row>
    <row r="3534" spans="1:21" ht="16" x14ac:dyDescent="0.4">
      <c r="A3534" s="9">
        <v>106190</v>
      </c>
      <c r="B3534" s="8" t="s">
        <v>25</v>
      </c>
      <c r="C3534" s="8" t="s">
        <v>14</v>
      </c>
      <c r="D3534" s="8">
        <v>404</v>
      </c>
      <c r="E3534" s="8">
        <v>277</v>
      </c>
      <c r="F3534" s="8">
        <v>339</v>
      </c>
      <c r="G3534" s="8">
        <v>0</v>
      </c>
      <c r="H3534" s="8">
        <v>10275</v>
      </c>
      <c r="I3534" s="8">
        <v>0</v>
      </c>
      <c r="J3534" s="8">
        <v>68</v>
      </c>
      <c r="K3534" s="8">
        <v>279</v>
      </c>
      <c r="L3534" s="8">
        <v>322</v>
      </c>
      <c r="M3534" s="8">
        <v>7.307692308</v>
      </c>
      <c r="N3534">
        <f>VLOOKUP(A3534,vlookup_table!$A:$G,2,FALSE)</f>
        <v>2</v>
      </c>
      <c r="O3534" t="str">
        <f>VLOOKUP(A3534,vlookup_table!$A:$G,3,FALSE)</f>
        <v>KS</v>
      </c>
      <c r="P3534">
        <f>VLOOKUP(A3534,vlookup_table!$A:$G,4,FALSE)</f>
        <v>2801</v>
      </c>
      <c r="Q3534" t="str">
        <f>VLOOKUP(A3534,vlookup_table!$A:$G,5,FALSE)</f>
        <v>R2</v>
      </c>
      <c r="R3534" t="str">
        <f>VLOOKUP(A3534,vlookup_table!$A:$G,6,FALSE)</f>
        <v>M</v>
      </c>
      <c r="S3534">
        <f>VLOOKUP(A3534,vlookup_table!$A:$G,7,FALSE)</f>
        <v>20</v>
      </c>
      <c r="T3534">
        <f t="shared" si="110"/>
        <v>68</v>
      </c>
      <c r="U3534" t="str">
        <f t="shared" si="111"/>
        <v>Rural</v>
      </c>
    </row>
    <row r="3535" spans="1:21" ht="16" x14ac:dyDescent="0.4">
      <c r="A3535" s="9">
        <v>16973</v>
      </c>
      <c r="B3535" s="8" t="s">
        <v>18</v>
      </c>
      <c r="C3535" s="8" t="s">
        <v>97</v>
      </c>
      <c r="D3535" s="8">
        <v>1024</v>
      </c>
      <c r="E3535" s="8">
        <v>303</v>
      </c>
      <c r="F3535" s="8">
        <v>404</v>
      </c>
      <c r="G3535" s="8">
        <v>9</v>
      </c>
      <c r="H3535" s="8">
        <v>16209</v>
      </c>
      <c r="I3535" s="8">
        <v>0</v>
      </c>
      <c r="J3535" s="8">
        <v>63</v>
      </c>
      <c r="K3535" s="8">
        <v>344</v>
      </c>
      <c r="L3535" s="8">
        <v>364</v>
      </c>
      <c r="M3535" s="8">
        <v>6.3947368420000004</v>
      </c>
      <c r="N3535">
        <f>VLOOKUP(A3535,vlookup_table!$A:$G,2,FALSE)</f>
        <v>0</v>
      </c>
      <c r="O3535" t="str">
        <f>VLOOKUP(A3535,vlookup_table!$A:$G,3,FALSE)</f>
        <v>NC</v>
      </c>
      <c r="P3535">
        <f>VLOOKUP(A3535,vlookup_table!$A:$G,4,FALSE)</f>
        <v>0</v>
      </c>
      <c r="Q3535" t="str">
        <f>VLOOKUP(A3535,vlookup_table!$A:$G,5,FALSE)</f>
        <v>T2</v>
      </c>
      <c r="R3535" t="str">
        <f>VLOOKUP(A3535,vlookup_table!$A:$G,6,FALSE)</f>
        <v>F</v>
      </c>
      <c r="S3535">
        <f>VLOOKUP(A3535,vlookup_table!$A:$G,7,FALSE)</f>
        <v>8</v>
      </c>
      <c r="T3535">
        <f t="shared" si="110"/>
        <v>96</v>
      </c>
      <c r="U3535" t="str">
        <f t="shared" si="111"/>
        <v>Pueblo</v>
      </c>
    </row>
    <row r="3536" spans="1:21" ht="16" x14ac:dyDescent="0.4">
      <c r="A3536" s="9">
        <v>2853</v>
      </c>
      <c r="B3536" s="8" t="s">
        <v>30</v>
      </c>
      <c r="C3536" s="8" t="s">
        <v>17</v>
      </c>
      <c r="D3536" s="8">
        <v>682</v>
      </c>
      <c r="E3536" s="8">
        <v>265</v>
      </c>
      <c r="F3536" s="8">
        <v>426</v>
      </c>
      <c r="G3536" s="8">
        <v>16</v>
      </c>
      <c r="H3536" s="8">
        <v>16860</v>
      </c>
      <c r="I3536" s="8">
        <v>1</v>
      </c>
      <c r="J3536" s="8">
        <v>55</v>
      </c>
      <c r="K3536" s="8">
        <v>342</v>
      </c>
      <c r="L3536" s="8">
        <v>364</v>
      </c>
      <c r="M3536" s="8">
        <v>7.7727272730000001</v>
      </c>
      <c r="N3536">
        <f>VLOOKUP(A3536,vlookup_table!$A:$G,2,FALSE)</f>
        <v>0</v>
      </c>
      <c r="O3536" t="str">
        <f>VLOOKUP(A3536,vlookup_table!$A:$G,3,FALSE)</f>
        <v>IN</v>
      </c>
      <c r="P3536">
        <f>VLOOKUP(A3536,vlookup_table!$A:$G,4,FALSE)</f>
        <v>0</v>
      </c>
      <c r="Q3536" t="str">
        <f>VLOOKUP(A3536,vlookup_table!$A:$G,5,FALSE)</f>
        <v/>
      </c>
      <c r="R3536" t="str">
        <f>VLOOKUP(A3536,vlookup_table!$A:$G,6,FALSE)</f>
        <v>F</v>
      </c>
      <c r="S3536">
        <f>VLOOKUP(A3536,vlookup_table!$A:$G,7,FALSE)</f>
        <v>10</v>
      </c>
      <c r="T3536">
        <f t="shared" si="110"/>
        <v>96</v>
      </c>
      <c r="U3536" t="str">
        <f t="shared" si="111"/>
        <v/>
      </c>
    </row>
    <row r="3537" spans="1:21" ht="16" x14ac:dyDescent="0.4">
      <c r="A3537" s="9">
        <v>131064</v>
      </c>
      <c r="B3537" s="8" t="s">
        <v>45</v>
      </c>
      <c r="C3537" s="8" t="s">
        <v>17</v>
      </c>
      <c r="D3537" s="8">
        <v>989</v>
      </c>
      <c r="E3537" s="8">
        <v>472</v>
      </c>
      <c r="F3537" s="8">
        <v>507</v>
      </c>
      <c r="G3537" s="8">
        <v>9</v>
      </c>
      <c r="H3537" s="8">
        <v>16856</v>
      </c>
      <c r="I3537" s="8">
        <v>1</v>
      </c>
      <c r="J3537" s="8">
        <v>40</v>
      </c>
      <c r="K3537" s="8">
        <v>477</v>
      </c>
      <c r="L3537" s="8">
        <v>507</v>
      </c>
      <c r="M3537" s="8">
        <v>12.08333333</v>
      </c>
      <c r="N3537">
        <f>VLOOKUP(A3537,vlookup_table!$A:$G,2,FALSE)</f>
        <v>0</v>
      </c>
      <c r="O3537" t="str">
        <f>VLOOKUP(A3537,vlookup_table!$A:$G,3,FALSE)</f>
        <v>CO</v>
      </c>
      <c r="P3537">
        <f>VLOOKUP(A3537,vlookup_table!$A:$G,4,FALSE)</f>
        <v>0</v>
      </c>
      <c r="Q3537" t="str">
        <f>VLOOKUP(A3537,vlookup_table!$A:$G,5,FALSE)</f>
        <v>T1</v>
      </c>
      <c r="R3537" t="str">
        <f>VLOOKUP(A3537,vlookup_table!$A:$G,6,FALSE)</f>
        <v>F</v>
      </c>
      <c r="S3537">
        <f>VLOOKUP(A3537,vlookup_table!$A:$G,7,FALSE)</f>
        <v>12</v>
      </c>
      <c r="T3537">
        <f t="shared" si="110"/>
        <v>96</v>
      </c>
      <c r="U3537" t="str">
        <f t="shared" si="111"/>
        <v>Pueblo</v>
      </c>
    </row>
    <row r="3538" spans="1:21" ht="16" x14ac:dyDescent="0.4">
      <c r="A3538" s="9">
        <v>136494</v>
      </c>
      <c r="B3538" s="8" t="s">
        <v>51</v>
      </c>
      <c r="C3538" s="8" t="s">
        <v>97</v>
      </c>
      <c r="D3538" s="8">
        <v>1390</v>
      </c>
      <c r="E3538" s="8">
        <v>441</v>
      </c>
      <c r="F3538" s="8">
        <v>547</v>
      </c>
      <c r="G3538" s="8">
        <v>6</v>
      </c>
      <c r="H3538" s="8">
        <v>19141</v>
      </c>
      <c r="I3538" s="8">
        <v>9</v>
      </c>
      <c r="J3538" s="8">
        <v>25</v>
      </c>
      <c r="K3538" s="8">
        <v>469</v>
      </c>
      <c r="L3538" s="8">
        <v>524</v>
      </c>
      <c r="M3538" s="8">
        <v>15</v>
      </c>
      <c r="N3538">
        <f>VLOOKUP(A3538,vlookup_table!$A:$G,2,FALSE)</f>
        <v>2</v>
      </c>
      <c r="O3538" t="str">
        <f>VLOOKUP(A3538,vlookup_table!$A:$G,3,FALSE)</f>
        <v>AZ</v>
      </c>
      <c r="P3538">
        <f>VLOOKUP(A3538,vlookup_table!$A:$G,4,FALSE)</f>
        <v>5201</v>
      </c>
      <c r="Q3538" t="str">
        <f>VLOOKUP(A3538,vlookup_table!$A:$G,5,FALSE)</f>
        <v>S1</v>
      </c>
      <c r="R3538" t="str">
        <f>VLOOKUP(A3538,vlookup_table!$A:$G,6,FALSE)</f>
        <v>F</v>
      </c>
      <c r="S3538">
        <f>VLOOKUP(A3538,vlookup_table!$A:$G,7,FALSE)</f>
        <v>15</v>
      </c>
      <c r="T3538">
        <f t="shared" si="110"/>
        <v>44</v>
      </c>
      <c r="U3538" t="str">
        <f t="shared" si="111"/>
        <v>Suburbano</v>
      </c>
    </row>
    <row r="3539" spans="1:21" ht="16" x14ac:dyDescent="0.4">
      <c r="A3539" s="9">
        <v>77848</v>
      </c>
      <c r="B3539" s="8" t="s">
        <v>32</v>
      </c>
      <c r="C3539" s="8" t="s">
        <v>17</v>
      </c>
      <c r="D3539" s="8">
        <v>691</v>
      </c>
      <c r="E3539" s="8">
        <v>249</v>
      </c>
      <c r="F3539" s="8">
        <v>436</v>
      </c>
      <c r="G3539" s="8">
        <v>0</v>
      </c>
      <c r="H3539" s="8">
        <v>13489</v>
      </c>
      <c r="I3539" s="8">
        <v>12</v>
      </c>
      <c r="J3539" s="8">
        <v>57</v>
      </c>
      <c r="K3539" s="8">
        <v>406</v>
      </c>
      <c r="L3539" s="8">
        <v>311</v>
      </c>
      <c r="M3539" s="8">
        <v>5</v>
      </c>
      <c r="N3539">
        <f>VLOOKUP(A3539,vlookup_table!$A:$G,2,FALSE)</f>
        <v>2</v>
      </c>
      <c r="O3539" t="str">
        <f>VLOOKUP(A3539,vlookup_table!$A:$G,3,FALSE)</f>
        <v>WI</v>
      </c>
      <c r="P3539">
        <f>VLOOKUP(A3539,vlookup_table!$A:$G,4,FALSE)</f>
        <v>2801</v>
      </c>
      <c r="Q3539" t="str">
        <f>VLOOKUP(A3539,vlookup_table!$A:$G,5,FALSE)</f>
        <v>S2</v>
      </c>
      <c r="R3539" t="str">
        <f>VLOOKUP(A3539,vlookup_table!$A:$G,6,FALSE)</f>
        <v>F</v>
      </c>
      <c r="S3539">
        <f>VLOOKUP(A3539,vlookup_table!$A:$G,7,FALSE)</f>
        <v>5</v>
      </c>
      <c r="T3539">
        <f t="shared" si="110"/>
        <v>68</v>
      </c>
      <c r="U3539" t="str">
        <f t="shared" si="111"/>
        <v>Suburbano</v>
      </c>
    </row>
    <row r="3540" spans="1:21" ht="16" x14ac:dyDescent="0.4">
      <c r="A3540" s="9">
        <v>43010</v>
      </c>
      <c r="B3540" s="8" t="s">
        <v>13</v>
      </c>
      <c r="C3540" s="8" t="s">
        <v>17</v>
      </c>
      <c r="D3540" s="8">
        <v>560</v>
      </c>
      <c r="E3540" s="8">
        <v>220</v>
      </c>
      <c r="F3540" s="8">
        <v>286</v>
      </c>
      <c r="G3540" s="8">
        <v>1</v>
      </c>
      <c r="H3540" s="8">
        <v>9385</v>
      </c>
      <c r="I3540" s="8">
        <v>21</v>
      </c>
      <c r="J3540" s="8">
        <v>37</v>
      </c>
      <c r="K3540" s="8">
        <v>227</v>
      </c>
      <c r="L3540" s="8">
        <v>270</v>
      </c>
      <c r="M3540" s="8">
        <v>17</v>
      </c>
      <c r="N3540">
        <f>VLOOKUP(A3540,vlookup_table!$A:$G,2,FALSE)</f>
        <v>28</v>
      </c>
      <c r="O3540" t="str">
        <f>VLOOKUP(A3540,vlookup_table!$A:$G,3,FALSE)</f>
        <v>FL</v>
      </c>
      <c r="P3540">
        <f>VLOOKUP(A3540,vlookup_table!$A:$G,4,FALSE)</f>
        <v>4501</v>
      </c>
      <c r="Q3540" t="str">
        <f>VLOOKUP(A3540,vlookup_table!$A:$G,5,FALSE)</f>
        <v>R1</v>
      </c>
      <c r="R3540" t="str">
        <f>VLOOKUP(A3540,vlookup_table!$A:$G,6,FALSE)</f>
        <v>F</v>
      </c>
      <c r="S3540">
        <f>VLOOKUP(A3540,vlookup_table!$A:$G,7,FALSE)</f>
        <v>25</v>
      </c>
      <c r="T3540">
        <f t="shared" si="110"/>
        <v>51</v>
      </c>
      <c r="U3540" t="str">
        <f t="shared" si="111"/>
        <v>Rural</v>
      </c>
    </row>
    <row r="3541" spans="1:21" ht="16" x14ac:dyDescent="0.4">
      <c r="A3541" s="9">
        <v>82518</v>
      </c>
      <c r="B3541" s="8" t="s">
        <v>52</v>
      </c>
      <c r="C3541" s="8" t="s">
        <v>14</v>
      </c>
      <c r="D3541" s="8">
        <v>906</v>
      </c>
      <c r="E3541" s="8">
        <v>476</v>
      </c>
      <c r="F3541" s="8">
        <v>668</v>
      </c>
      <c r="G3541" s="8">
        <v>0</v>
      </c>
      <c r="H3541" s="8">
        <v>22377</v>
      </c>
      <c r="I3541" s="8">
        <v>2</v>
      </c>
      <c r="J3541" s="8">
        <v>78</v>
      </c>
      <c r="K3541" s="8">
        <v>617</v>
      </c>
      <c r="L3541" s="8">
        <v>563</v>
      </c>
      <c r="M3541" s="8">
        <v>30.285714290000001</v>
      </c>
      <c r="N3541">
        <f>VLOOKUP(A3541,vlookup_table!$A:$G,2,FALSE)</f>
        <v>2</v>
      </c>
      <c r="O3541" t="str">
        <f>VLOOKUP(A3541,vlookup_table!$A:$G,3,FALSE)</f>
        <v>MN</v>
      </c>
      <c r="P3541">
        <f>VLOOKUP(A3541,vlookup_table!$A:$G,4,FALSE)</f>
        <v>1006</v>
      </c>
      <c r="Q3541" t="str">
        <f>VLOOKUP(A3541,vlookup_table!$A:$G,5,FALSE)</f>
        <v>S1</v>
      </c>
      <c r="R3541" t="str">
        <f>VLOOKUP(A3541,vlookup_table!$A:$G,6,FALSE)</f>
        <v>M</v>
      </c>
      <c r="S3541">
        <f>VLOOKUP(A3541,vlookup_table!$A:$G,7,FALSE)</f>
        <v>42</v>
      </c>
      <c r="T3541">
        <f t="shared" si="110"/>
        <v>86</v>
      </c>
      <c r="U3541" t="str">
        <f t="shared" si="111"/>
        <v>Suburbano</v>
      </c>
    </row>
    <row r="3542" spans="1:21" ht="16" x14ac:dyDescent="0.4">
      <c r="A3542" s="9">
        <v>130426</v>
      </c>
      <c r="B3542" s="8" t="s">
        <v>45</v>
      </c>
      <c r="C3542" s="8" t="s">
        <v>17</v>
      </c>
      <c r="D3542" s="8">
        <v>831</v>
      </c>
      <c r="E3542" s="8">
        <v>408</v>
      </c>
      <c r="F3542" s="8">
        <v>445</v>
      </c>
      <c r="G3542" s="8">
        <v>0</v>
      </c>
      <c r="H3542" s="8">
        <v>12932</v>
      </c>
      <c r="I3542" s="8">
        <v>4</v>
      </c>
      <c r="J3542" s="8">
        <v>54</v>
      </c>
      <c r="K3542" s="8">
        <v>415</v>
      </c>
      <c r="L3542" s="8">
        <v>426</v>
      </c>
      <c r="M3542" s="8">
        <v>25</v>
      </c>
      <c r="N3542">
        <f>VLOOKUP(A3542,vlookup_table!$A:$G,2,FALSE)</f>
        <v>0</v>
      </c>
      <c r="O3542" t="str">
        <f>VLOOKUP(A3542,vlookup_table!$A:$G,3,FALSE)</f>
        <v>CO</v>
      </c>
      <c r="P3542">
        <f>VLOOKUP(A3542,vlookup_table!$A:$G,4,FALSE)</f>
        <v>7101</v>
      </c>
      <c r="Q3542" t="str">
        <f>VLOOKUP(A3542,vlookup_table!$A:$G,5,FALSE)</f>
        <v>S2</v>
      </c>
      <c r="R3542" t="str">
        <f>VLOOKUP(A3542,vlookup_table!$A:$G,6,FALSE)</f>
        <v>F</v>
      </c>
      <c r="S3542">
        <f>VLOOKUP(A3542,vlookup_table!$A:$G,7,FALSE)</f>
        <v>30</v>
      </c>
      <c r="T3542">
        <f t="shared" si="110"/>
        <v>25</v>
      </c>
      <c r="U3542" t="str">
        <f t="shared" si="111"/>
        <v>Suburbano</v>
      </c>
    </row>
    <row r="3543" spans="1:21" ht="16" x14ac:dyDescent="0.4">
      <c r="A3543" s="9">
        <v>186807</v>
      </c>
      <c r="B3543" s="8" t="s">
        <v>21</v>
      </c>
      <c r="C3543" s="8" t="s">
        <v>17</v>
      </c>
      <c r="D3543" s="8">
        <v>5544</v>
      </c>
      <c r="E3543" s="8">
        <v>701</v>
      </c>
      <c r="F3543" s="8">
        <v>815</v>
      </c>
      <c r="G3543" s="8">
        <v>98</v>
      </c>
      <c r="H3543" s="8">
        <v>32332</v>
      </c>
      <c r="I3543" s="8">
        <v>17</v>
      </c>
      <c r="J3543" s="8">
        <v>38</v>
      </c>
      <c r="K3543" s="8">
        <v>761</v>
      </c>
      <c r="L3543" s="8">
        <v>769</v>
      </c>
      <c r="M3543" s="8">
        <v>24</v>
      </c>
      <c r="N3543">
        <f>VLOOKUP(A3543,vlookup_table!$A:$G,2,FALSE)</f>
        <v>2</v>
      </c>
      <c r="O3543" t="str">
        <f>VLOOKUP(A3543,vlookup_table!$A:$G,3,FALSE)</f>
        <v>CA</v>
      </c>
      <c r="P3543">
        <f>VLOOKUP(A3543,vlookup_table!$A:$G,4,FALSE)</f>
        <v>4701</v>
      </c>
      <c r="Q3543" t="str">
        <f>VLOOKUP(A3543,vlookup_table!$A:$G,5,FALSE)</f>
        <v>S1</v>
      </c>
      <c r="R3543" t="str">
        <f>VLOOKUP(A3543,vlookup_table!$A:$G,6,FALSE)</f>
        <v>F</v>
      </c>
      <c r="S3543">
        <f>VLOOKUP(A3543,vlookup_table!$A:$G,7,FALSE)</f>
        <v>33</v>
      </c>
      <c r="T3543">
        <f t="shared" si="110"/>
        <v>49</v>
      </c>
      <c r="U3543" t="str">
        <f t="shared" si="111"/>
        <v>Suburbano</v>
      </c>
    </row>
    <row r="3544" spans="1:21" ht="16" x14ac:dyDescent="0.4">
      <c r="A3544" s="9">
        <v>76891</v>
      </c>
      <c r="B3544" s="8" t="s">
        <v>44</v>
      </c>
      <c r="C3544" s="8" t="s">
        <v>14</v>
      </c>
      <c r="D3544" s="8">
        <v>740</v>
      </c>
      <c r="E3544" s="8">
        <v>555</v>
      </c>
      <c r="F3544" s="8">
        <v>669</v>
      </c>
      <c r="G3544" s="8">
        <v>1</v>
      </c>
      <c r="H3544" s="8">
        <v>20144</v>
      </c>
      <c r="I3544" s="8">
        <v>0</v>
      </c>
      <c r="J3544" s="8">
        <v>52</v>
      </c>
      <c r="K3544" s="8">
        <v>585</v>
      </c>
      <c r="L3544" s="8">
        <v>616</v>
      </c>
      <c r="M3544" s="8">
        <v>14.222222220000001</v>
      </c>
      <c r="N3544">
        <f>VLOOKUP(A3544,vlookup_table!$A:$G,2,FALSE)</f>
        <v>1</v>
      </c>
      <c r="O3544" t="str">
        <f>VLOOKUP(A3544,vlookup_table!$A:$G,3,FALSE)</f>
        <v>IA</v>
      </c>
      <c r="P3544">
        <f>VLOOKUP(A3544,vlookup_table!$A:$G,4,FALSE)</f>
        <v>6601</v>
      </c>
      <c r="Q3544" t="str">
        <f>VLOOKUP(A3544,vlookup_table!$A:$G,5,FALSE)</f>
        <v>S1</v>
      </c>
      <c r="R3544" t="str">
        <f>VLOOKUP(A3544,vlookup_table!$A:$G,6,FALSE)</f>
        <v>M</v>
      </c>
      <c r="S3544">
        <f>VLOOKUP(A3544,vlookup_table!$A:$G,7,FALSE)</f>
        <v>10</v>
      </c>
      <c r="T3544">
        <f t="shared" si="110"/>
        <v>30</v>
      </c>
      <c r="U3544" t="str">
        <f t="shared" si="111"/>
        <v>Suburbano</v>
      </c>
    </row>
    <row r="3545" spans="1:21" ht="16" x14ac:dyDescent="0.4">
      <c r="A3545" s="9">
        <v>114197</v>
      </c>
      <c r="B3545" s="8" t="s">
        <v>28</v>
      </c>
      <c r="C3545" s="8" t="s">
        <v>14</v>
      </c>
      <c r="D3545" s="8">
        <v>566</v>
      </c>
      <c r="E3545" s="8">
        <v>216</v>
      </c>
      <c r="F3545" s="8">
        <v>307</v>
      </c>
      <c r="G3545" s="8">
        <v>0</v>
      </c>
      <c r="H3545" s="8">
        <v>11117</v>
      </c>
      <c r="I3545" s="8">
        <v>2</v>
      </c>
      <c r="J3545" s="8">
        <v>57</v>
      </c>
      <c r="K3545" s="8">
        <v>277</v>
      </c>
      <c r="L3545" s="8">
        <v>279</v>
      </c>
      <c r="M3545" s="8">
        <v>11.33333333</v>
      </c>
      <c r="N3545">
        <f>VLOOKUP(A3545,vlookup_table!$A:$G,2,FALSE)</f>
        <v>1</v>
      </c>
      <c r="O3545" t="str">
        <f>VLOOKUP(A3545,vlookup_table!$A:$G,3,FALSE)</f>
        <v>OK</v>
      </c>
      <c r="P3545">
        <f>VLOOKUP(A3545,vlookup_table!$A:$G,4,FALSE)</f>
        <v>2901</v>
      </c>
      <c r="Q3545" t="str">
        <f>VLOOKUP(A3545,vlookup_table!$A:$G,5,FALSE)</f>
        <v>T2</v>
      </c>
      <c r="R3545" t="str">
        <f>VLOOKUP(A3545,vlookup_table!$A:$G,6,FALSE)</f>
        <v>M</v>
      </c>
      <c r="S3545">
        <f>VLOOKUP(A3545,vlookup_table!$A:$G,7,FALSE)</f>
        <v>11</v>
      </c>
      <c r="T3545">
        <f t="shared" si="110"/>
        <v>67</v>
      </c>
      <c r="U3545" t="str">
        <f t="shared" si="111"/>
        <v>Pueblo</v>
      </c>
    </row>
    <row r="3546" spans="1:21" ht="16" x14ac:dyDescent="0.4">
      <c r="A3546" s="9">
        <v>164894</v>
      </c>
      <c r="B3546" s="8" t="s">
        <v>21</v>
      </c>
      <c r="C3546" s="8" t="s">
        <v>17</v>
      </c>
      <c r="D3546" s="8">
        <v>1872</v>
      </c>
      <c r="E3546" s="8">
        <v>382</v>
      </c>
      <c r="F3546" s="8">
        <v>483</v>
      </c>
      <c r="G3546" s="8">
        <v>44</v>
      </c>
      <c r="H3546" s="8">
        <v>14606</v>
      </c>
      <c r="I3546" s="8">
        <v>31</v>
      </c>
      <c r="J3546" s="8">
        <v>41</v>
      </c>
      <c r="K3546" s="8">
        <v>445</v>
      </c>
      <c r="L3546" s="8">
        <v>421</v>
      </c>
      <c r="M3546" s="8">
        <v>3.8571428569999999</v>
      </c>
      <c r="N3546">
        <f>VLOOKUP(A3546,vlookup_table!$A:$G,2,FALSE)</f>
        <v>0</v>
      </c>
      <c r="O3546" t="str">
        <f>VLOOKUP(A3546,vlookup_table!$A:$G,3,FALSE)</f>
        <v>CA</v>
      </c>
      <c r="P3546">
        <f>VLOOKUP(A3546,vlookup_table!$A:$G,4,FALSE)</f>
        <v>2801</v>
      </c>
      <c r="Q3546" t="str">
        <f>VLOOKUP(A3546,vlookup_table!$A:$G,5,FALSE)</f>
        <v>S2</v>
      </c>
      <c r="R3546" t="str">
        <f>VLOOKUP(A3546,vlookup_table!$A:$G,6,FALSE)</f>
        <v>F</v>
      </c>
      <c r="S3546">
        <f>VLOOKUP(A3546,vlookup_table!$A:$G,7,FALSE)</f>
        <v>10</v>
      </c>
      <c r="T3546">
        <f t="shared" si="110"/>
        <v>68</v>
      </c>
      <c r="U3546" t="str">
        <f t="shared" si="111"/>
        <v>Suburbano</v>
      </c>
    </row>
    <row r="3547" spans="1:21" ht="16" x14ac:dyDescent="0.4">
      <c r="A3547" s="9">
        <v>23351</v>
      </c>
      <c r="B3547" s="8" t="s">
        <v>43</v>
      </c>
      <c r="C3547" s="8" t="s">
        <v>17</v>
      </c>
      <c r="D3547" s="8">
        <v>381</v>
      </c>
      <c r="E3547" s="8">
        <v>219</v>
      </c>
      <c r="F3547" s="8">
        <v>282</v>
      </c>
      <c r="G3547" s="8">
        <v>0</v>
      </c>
      <c r="H3547" s="8">
        <v>8259</v>
      </c>
      <c r="I3547" s="8">
        <v>0</v>
      </c>
      <c r="J3547" s="8">
        <v>93</v>
      </c>
      <c r="K3547" s="8">
        <v>267</v>
      </c>
      <c r="L3547" s="8">
        <v>257</v>
      </c>
      <c r="M3547" s="8">
        <v>9.0625</v>
      </c>
      <c r="N3547">
        <f>VLOOKUP(A3547,vlookup_table!$A:$G,2,FALSE)</f>
        <v>28</v>
      </c>
      <c r="O3547" t="str">
        <f>VLOOKUP(A3547,vlookup_table!$A:$G,3,FALSE)</f>
        <v>SC</v>
      </c>
      <c r="P3547">
        <f>VLOOKUP(A3547,vlookup_table!$A:$G,4,FALSE)</f>
        <v>2402</v>
      </c>
      <c r="Q3547" t="str">
        <f>VLOOKUP(A3547,vlookup_table!$A:$G,5,FALSE)</f>
        <v>R3</v>
      </c>
      <c r="R3547" t="str">
        <f>VLOOKUP(A3547,vlookup_table!$A:$G,6,FALSE)</f>
        <v>F</v>
      </c>
      <c r="S3547">
        <f>VLOOKUP(A3547,vlookup_table!$A:$G,7,FALSE)</f>
        <v>10</v>
      </c>
      <c r="T3547">
        <f t="shared" si="110"/>
        <v>72</v>
      </c>
      <c r="U3547" t="str">
        <f t="shared" si="111"/>
        <v>Rural</v>
      </c>
    </row>
    <row r="3548" spans="1:21" ht="16" x14ac:dyDescent="0.4">
      <c r="A3548" s="9">
        <v>37205</v>
      </c>
      <c r="B3548" s="8" t="s">
        <v>13</v>
      </c>
      <c r="C3548" s="8" t="s">
        <v>17</v>
      </c>
      <c r="D3548" s="8">
        <v>914</v>
      </c>
      <c r="E3548" s="8">
        <v>321</v>
      </c>
      <c r="F3548" s="8">
        <v>409</v>
      </c>
      <c r="G3548" s="8">
        <v>0</v>
      </c>
      <c r="H3548" s="8">
        <v>17804</v>
      </c>
      <c r="I3548" s="8">
        <v>11</v>
      </c>
      <c r="J3548" s="8">
        <v>16</v>
      </c>
      <c r="K3548" s="8">
        <v>363</v>
      </c>
      <c r="L3548" s="8">
        <v>371</v>
      </c>
      <c r="M3548" s="8">
        <v>10.33333333</v>
      </c>
      <c r="N3548">
        <f>VLOOKUP(A3548,vlookup_table!$A:$G,2,FALSE)</f>
        <v>0</v>
      </c>
      <c r="O3548" t="str">
        <f>VLOOKUP(A3548,vlookup_table!$A:$G,3,FALSE)</f>
        <v>FL</v>
      </c>
      <c r="P3548">
        <f>VLOOKUP(A3548,vlookup_table!$A:$G,4,FALSE)</f>
        <v>3009</v>
      </c>
      <c r="Q3548" t="str">
        <f>VLOOKUP(A3548,vlookup_table!$A:$G,5,FALSE)</f>
        <v>S2</v>
      </c>
      <c r="R3548" t="str">
        <f>VLOOKUP(A3548,vlookup_table!$A:$G,6,FALSE)</f>
        <v>F</v>
      </c>
      <c r="S3548">
        <f>VLOOKUP(A3548,vlookup_table!$A:$G,7,FALSE)</f>
        <v>10</v>
      </c>
      <c r="T3548">
        <f t="shared" si="110"/>
        <v>66</v>
      </c>
      <c r="U3548" t="str">
        <f t="shared" si="111"/>
        <v>Suburbano</v>
      </c>
    </row>
    <row r="3549" spans="1:21" ht="16" x14ac:dyDescent="0.4">
      <c r="A3549" s="9">
        <v>174453</v>
      </c>
      <c r="B3549" s="8" t="s">
        <v>47</v>
      </c>
      <c r="C3549" s="8" t="s">
        <v>14</v>
      </c>
      <c r="D3549" s="8">
        <v>765</v>
      </c>
      <c r="E3549" s="8">
        <v>313</v>
      </c>
      <c r="F3549" s="8">
        <v>386</v>
      </c>
      <c r="G3549" s="8">
        <v>1</v>
      </c>
      <c r="H3549" s="8">
        <v>18180</v>
      </c>
      <c r="I3549" s="8">
        <v>3</v>
      </c>
      <c r="J3549" s="8">
        <v>56</v>
      </c>
      <c r="K3549" s="8">
        <v>332</v>
      </c>
      <c r="L3549" s="8">
        <v>373</v>
      </c>
      <c r="M3549" s="8">
        <v>9.875</v>
      </c>
      <c r="N3549">
        <f>VLOOKUP(A3549,vlookup_table!$A:$G,2,FALSE)</f>
        <v>1</v>
      </c>
      <c r="O3549" t="str">
        <f>VLOOKUP(A3549,vlookup_table!$A:$G,3,FALSE)</f>
        <v>OR</v>
      </c>
      <c r="P3549">
        <f>VLOOKUP(A3549,vlookup_table!$A:$G,4,FALSE)</f>
        <v>2009</v>
      </c>
      <c r="Q3549" t="str">
        <f>VLOOKUP(A3549,vlookup_table!$A:$G,5,FALSE)</f>
        <v>R2</v>
      </c>
      <c r="R3549" t="str">
        <f>VLOOKUP(A3549,vlookup_table!$A:$G,6,FALSE)</f>
        <v>M</v>
      </c>
      <c r="S3549">
        <f>VLOOKUP(A3549,vlookup_table!$A:$G,7,FALSE)</f>
        <v>15</v>
      </c>
      <c r="T3549">
        <f t="shared" si="110"/>
        <v>76</v>
      </c>
      <c r="U3549" t="str">
        <f t="shared" si="111"/>
        <v>Rural</v>
      </c>
    </row>
    <row r="3550" spans="1:21" ht="16" x14ac:dyDescent="0.4">
      <c r="A3550" s="9">
        <v>150060</v>
      </c>
      <c r="B3550" s="8" t="s">
        <v>21</v>
      </c>
      <c r="C3550" s="8" t="s">
        <v>17</v>
      </c>
      <c r="D3550" s="8">
        <v>2773</v>
      </c>
      <c r="E3550" s="8">
        <v>357</v>
      </c>
      <c r="F3550" s="8">
        <v>455</v>
      </c>
      <c r="G3550" s="8">
        <v>82</v>
      </c>
      <c r="H3550" s="8">
        <v>16115</v>
      </c>
      <c r="I3550" s="8">
        <v>5</v>
      </c>
      <c r="J3550" s="8">
        <v>56</v>
      </c>
      <c r="K3550" s="8">
        <v>385</v>
      </c>
      <c r="L3550" s="8">
        <v>431</v>
      </c>
      <c r="M3550" s="8">
        <v>17.916666670000001</v>
      </c>
      <c r="N3550">
        <f>VLOOKUP(A3550,vlookup_table!$A:$G,2,FALSE)</f>
        <v>2</v>
      </c>
      <c r="O3550" t="str">
        <f>VLOOKUP(A3550,vlookup_table!$A:$G,3,FALSE)</f>
        <v>CA</v>
      </c>
      <c r="P3550">
        <f>VLOOKUP(A3550,vlookup_table!$A:$G,4,FALSE)</f>
        <v>0</v>
      </c>
      <c r="Q3550" t="str">
        <f>VLOOKUP(A3550,vlookup_table!$A:$G,5,FALSE)</f>
        <v>U1</v>
      </c>
      <c r="R3550" t="str">
        <f>VLOOKUP(A3550,vlookup_table!$A:$G,6,FALSE)</f>
        <v>F</v>
      </c>
      <c r="S3550">
        <f>VLOOKUP(A3550,vlookup_table!$A:$G,7,FALSE)</f>
        <v>20</v>
      </c>
      <c r="T3550">
        <f t="shared" si="110"/>
        <v>96</v>
      </c>
      <c r="U3550" t="str">
        <f t="shared" si="111"/>
        <v>Urbano</v>
      </c>
    </row>
    <row r="3551" spans="1:21" ht="16" x14ac:dyDescent="0.4">
      <c r="A3551" s="9">
        <v>6851</v>
      </c>
      <c r="B3551" s="8" t="s">
        <v>21</v>
      </c>
      <c r="C3551" s="8"/>
      <c r="D3551" s="8">
        <v>1400</v>
      </c>
      <c r="E3551" s="8">
        <v>246</v>
      </c>
      <c r="F3551" s="8">
        <v>331</v>
      </c>
      <c r="G3551" s="8">
        <v>18</v>
      </c>
      <c r="H3551" s="8">
        <v>11924</v>
      </c>
      <c r="I3551" s="8">
        <v>2</v>
      </c>
      <c r="J3551" s="8">
        <v>66</v>
      </c>
      <c r="K3551" s="8">
        <v>304</v>
      </c>
      <c r="L3551" s="8">
        <v>281</v>
      </c>
      <c r="M3551" s="8">
        <v>10</v>
      </c>
      <c r="N3551">
        <f>VLOOKUP(A3551,vlookup_table!$A:$G,2,FALSE)</f>
        <v>0</v>
      </c>
      <c r="O3551" t="str">
        <f>VLOOKUP(A3551,vlookup_table!$A:$G,3,FALSE)</f>
        <v>CA</v>
      </c>
      <c r="P3551">
        <f>VLOOKUP(A3551,vlookup_table!$A:$G,4,FALSE)</f>
        <v>3104</v>
      </c>
      <c r="Q3551" t="str">
        <f>VLOOKUP(A3551,vlookup_table!$A:$G,5,FALSE)</f>
        <v>T2</v>
      </c>
      <c r="R3551" t="str">
        <f>VLOOKUP(A3551,vlookup_table!$A:$G,6,FALSE)</f>
        <v/>
      </c>
      <c r="S3551">
        <f>VLOOKUP(A3551,vlookup_table!$A:$G,7,FALSE)</f>
        <v>7</v>
      </c>
      <c r="T3551">
        <f t="shared" si="110"/>
        <v>65</v>
      </c>
      <c r="U3551" t="str">
        <f t="shared" si="111"/>
        <v>Pueblo</v>
      </c>
    </row>
    <row r="3552" spans="1:21" ht="16" x14ac:dyDescent="0.4">
      <c r="A3552" s="9">
        <v>152094</v>
      </c>
      <c r="B3552" s="8" t="s">
        <v>21</v>
      </c>
      <c r="C3552" s="8" t="s">
        <v>17</v>
      </c>
      <c r="D3552" s="8">
        <v>1546</v>
      </c>
      <c r="E3552" s="8">
        <v>320</v>
      </c>
      <c r="F3552" s="8">
        <v>421</v>
      </c>
      <c r="G3552" s="8">
        <v>21</v>
      </c>
      <c r="H3552" s="8">
        <v>13648</v>
      </c>
      <c r="I3552" s="8">
        <v>6</v>
      </c>
      <c r="J3552" s="8">
        <v>44</v>
      </c>
      <c r="K3552" s="8">
        <v>388</v>
      </c>
      <c r="L3552" s="8">
        <v>379</v>
      </c>
      <c r="M3552" s="8">
        <v>7</v>
      </c>
      <c r="N3552">
        <f>VLOOKUP(A3552,vlookup_table!$A:$G,2,FALSE)</f>
        <v>0</v>
      </c>
      <c r="O3552" t="str">
        <f>VLOOKUP(A3552,vlookup_table!$A:$G,3,FALSE)</f>
        <v>CA</v>
      </c>
      <c r="P3552">
        <f>VLOOKUP(A3552,vlookup_table!$A:$G,4,FALSE)</f>
        <v>5201</v>
      </c>
      <c r="Q3552" t="str">
        <f>VLOOKUP(A3552,vlookup_table!$A:$G,5,FALSE)</f>
        <v>S2</v>
      </c>
      <c r="R3552" t="str">
        <f>VLOOKUP(A3552,vlookup_table!$A:$G,6,FALSE)</f>
        <v>F</v>
      </c>
      <c r="S3552">
        <f>VLOOKUP(A3552,vlookup_table!$A:$G,7,FALSE)</f>
        <v>10</v>
      </c>
      <c r="T3552">
        <f t="shared" si="110"/>
        <v>44</v>
      </c>
      <c r="U3552" t="str">
        <f t="shared" si="111"/>
        <v>Suburbano</v>
      </c>
    </row>
    <row r="3553" spans="1:21" ht="16" x14ac:dyDescent="0.4">
      <c r="A3553" s="9">
        <v>154892</v>
      </c>
      <c r="B3553" s="8" t="s">
        <v>21</v>
      </c>
      <c r="C3553" s="8" t="s">
        <v>17</v>
      </c>
      <c r="D3553" s="8">
        <v>1353</v>
      </c>
      <c r="E3553" s="8">
        <v>218</v>
      </c>
      <c r="F3553" s="8">
        <v>371</v>
      </c>
      <c r="G3553" s="8">
        <v>1</v>
      </c>
      <c r="H3553" s="8">
        <v>14010</v>
      </c>
      <c r="I3553" s="8">
        <v>7</v>
      </c>
      <c r="J3553" s="8">
        <v>40</v>
      </c>
      <c r="K3553" s="8">
        <v>349</v>
      </c>
      <c r="L3553" s="8">
        <v>290</v>
      </c>
      <c r="M3553" s="8">
        <v>7.05</v>
      </c>
      <c r="N3553">
        <f>VLOOKUP(A3553,vlookup_table!$A:$G,2,FALSE)</f>
        <v>0</v>
      </c>
      <c r="O3553" t="str">
        <f>VLOOKUP(A3553,vlookup_table!$A:$G,3,FALSE)</f>
        <v>CA</v>
      </c>
      <c r="P3553">
        <f>VLOOKUP(A3553,vlookup_table!$A:$G,4,FALSE)</f>
        <v>3801</v>
      </c>
      <c r="Q3553" t="str">
        <f>VLOOKUP(A3553,vlookup_table!$A:$G,5,FALSE)</f>
        <v>C3</v>
      </c>
      <c r="R3553" t="str">
        <f>VLOOKUP(A3553,vlookup_table!$A:$G,6,FALSE)</f>
        <v>F</v>
      </c>
      <c r="S3553">
        <f>VLOOKUP(A3553,vlookup_table!$A:$G,7,FALSE)</f>
        <v>9</v>
      </c>
      <c r="T3553">
        <f t="shared" si="110"/>
        <v>58</v>
      </c>
      <c r="U3553" t="str">
        <f t="shared" si="111"/>
        <v>Ciudad</v>
      </c>
    </row>
    <row r="3554" spans="1:21" ht="16" x14ac:dyDescent="0.4">
      <c r="A3554" s="9">
        <v>186204</v>
      </c>
      <c r="B3554" s="8" t="s">
        <v>51</v>
      </c>
      <c r="C3554" s="8" t="s">
        <v>14</v>
      </c>
      <c r="D3554" s="8">
        <v>1117</v>
      </c>
      <c r="E3554" s="8">
        <v>475</v>
      </c>
      <c r="F3554" s="8">
        <v>551</v>
      </c>
      <c r="G3554" s="8">
        <v>10</v>
      </c>
      <c r="H3554" s="8">
        <v>16341</v>
      </c>
      <c r="I3554" s="8">
        <v>3</v>
      </c>
      <c r="J3554" s="8">
        <v>33</v>
      </c>
      <c r="K3554" s="8">
        <v>501</v>
      </c>
      <c r="L3554" s="8">
        <v>527</v>
      </c>
      <c r="M3554" s="8">
        <v>7.5</v>
      </c>
      <c r="N3554">
        <f>VLOOKUP(A3554,vlookup_table!$A:$G,2,FALSE)</f>
        <v>1</v>
      </c>
      <c r="O3554" t="str">
        <f>VLOOKUP(A3554,vlookup_table!$A:$G,3,FALSE)</f>
        <v>AZ</v>
      </c>
      <c r="P3554">
        <f>VLOOKUP(A3554,vlookup_table!$A:$G,4,FALSE)</f>
        <v>4201</v>
      </c>
      <c r="Q3554" t="str">
        <f>VLOOKUP(A3554,vlookup_table!$A:$G,5,FALSE)</f>
        <v/>
      </c>
      <c r="R3554" t="str">
        <f>VLOOKUP(A3554,vlookup_table!$A:$G,6,FALSE)</f>
        <v>M</v>
      </c>
      <c r="S3554">
        <f>VLOOKUP(A3554,vlookup_table!$A:$G,7,FALSE)</f>
        <v>5</v>
      </c>
      <c r="T3554">
        <f t="shared" si="110"/>
        <v>54</v>
      </c>
      <c r="U3554" t="str">
        <f t="shared" si="111"/>
        <v/>
      </c>
    </row>
    <row r="3555" spans="1:21" ht="16" x14ac:dyDescent="0.4">
      <c r="A3555" s="9">
        <v>47860</v>
      </c>
      <c r="B3555" s="8" t="s">
        <v>40</v>
      </c>
      <c r="C3555" s="8" t="s">
        <v>14</v>
      </c>
      <c r="D3555" s="8">
        <v>549</v>
      </c>
      <c r="E3555" s="8">
        <v>401</v>
      </c>
      <c r="F3555" s="8">
        <v>475</v>
      </c>
      <c r="G3555" s="8">
        <v>1</v>
      </c>
      <c r="H3555" s="8">
        <v>16638</v>
      </c>
      <c r="I3555" s="8">
        <v>0</v>
      </c>
      <c r="J3555" s="8">
        <v>74</v>
      </c>
      <c r="K3555" s="8">
        <v>459</v>
      </c>
      <c r="L3555" s="8">
        <v>435</v>
      </c>
      <c r="M3555" s="8">
        <v>6.75</v>
      </c>
      <c r="N3555">
        <f>VLOOKUP(A3555,vlookup_table!$A:$G,2,FALSE)</f>
        <v>1</v>
      </c>
      <c r="O3555" t="str">
        <f>VLOOKUP(A3555,vlookup_table!$A:$G,3,FALSE)</f>
        <v>AL</v>
      </c>
      <c r="P3555">
        <f>VLOOKUP(A3555,vlookup_table!$A:$G,4,FALSE)</f>
        <v>3301</v>
      </c>
      <c r="Q3555" t="str">
        <f>VLOOKUP(A3555,vlookup_table!$A:$G,5,FALSE)</f>
        <v>T2</v>
      </c>
      <c r="R3555" t="str">
        <f>VLOOKUP(A3555,vlookup_table!$A:$G,6,FALSE)</f>
        <v>M</v>
      </c>
      <c r="S3555">
        <f>VLOOKUP(A3555,vlookup_table!$A:$G,7,FALSE)</f>
        <v>7</v>
      </c>
      <c r="T3555">
        <f t="shared" si="110"/>
        <v>63</v>
      </c>
      <c r="U3555" t="str">
        <f t="shared" si="111"/>
        <v>Pueblo</v>
      </c>
    </row>
    <row r="3556" spans="1:21" ht="16" x14ac:dyDescent="0.4">
      <c r="A3556" s="9">
        <v>120574</v>
      </c>
      <c r="B3556" s="8" t="s">
        <v>20</v>
      </c>
      <c r="C3556" s="8" t="s">
        <v>14</v>
      </c>
      <c r="D3556" s="8">
        <v>391</v>
      </c>
      <c r="E3556" s="8">
        <v>243</v>
      </c>
      <c r="F3556" s="8">
        <v>302</v>
      </c>
      <c r="G3556" s="8">
        <v>0</v>
      </c>
      <c r="H3556" s="8">
        <v>10702</v>
      </c>
      <c r="I3556" s="8">
        <v>0</v>
      </c>
      <c r="J3556" s="8">
        <v>79</v>
      </c>
      <c r="K3556" s="8">
        <v>263</v>
      </c>
      <c r="L3556" s="8">
        <v>255</v>
      </c>
      <c r="M3556" s="8">
        <v>16</v>
      </c>
      <c r="N3556">
        <f>VLOOKUP(A3556,vlookup_table!$A:$G,2,FALSE)</f>
        <v>1</v>
      </c>
      <c r="O3556" t="str">
        <f>VLOOKUP(A3556,vlookup_table!$A:$G,3,FALSE)</f>
        <v>TX</v>
      </c>
      <c r="P3556">
        <f>VLOOKUP(A3556,vlookup_table!$A:$G,4,FALSE)</f>
        <v>7101</v>
      </c>
      <c r="Q3556" t="str">
        <f>VLOOKUP(A3556,vlookup_table!$A:$G,5,FALSE)</f>
        <v>C2</v>
      </c>
      <c r="R3556" t="str">
        <f>VLOOKUP(A3556,vlookup_table!$A:$G,6,FALSE)</f>
        <v>M</v>
      </c>
      <c r="S3556">
        <f>VLOOKUP(A3556,vlookup_table!$A:$G,7,FALSE)</f>
        <v>17</v>
      </c>
      <c r="T3556">
        <f t="shared" si="110"/>
        <v>25</v>
      </c>
      <c r="U3556" t="str">
        <f t="shared" si="111"/>
        <v>Ciudad</v>
      </c>
    </row>
    <row r="3557" spans="1:21" ht="16" x14ac:dyDescent="0.4">
      <c r="A3557" s="9">
        <v>65746</v>
      </c>
      <c r="B3557" s="8" t="s">
        <v>26</v>
      </c>
      <c r="C3557" s="8" t="s">
        <v>14</v>
      </c>
      <c r="D3557" s="8">
        <v>780</v>
      </c>
      <c r="E3557" s="8">
        <v>395</v>
      </c>
      <c r="F3557" s="8">
        <v>548</v>
      </c>
      <c r="G3557" s="8">
        <v>0</v>
      </c>
      <c r="H3557" s="8">
        <v>18605</v>
      </c>
      <c r="I3557" s="8">
        <v>10</v>
      </c>
      <c r="J3557" s="8">
        <v>79</v>
      </c>
      <c r="K3557" s="8">
        <v>434</v>
      </c>
      <c r="L3557" s="8">
        <v>494</v>
      </c>
      <c r="M3557" s="8">
        <v>10</v>
      </c>
      <c r="N3557">
        <f>VLOOKUP(A3557,vlookup_table!$A:$G,2,FALSE)</f>
        <v>1</v>
      </c>
      <c r="O3557" t="str">
        <f>VLOOKUP(A3557,vlookup_table!$A:$G,3,FALSE)</f>
        <v>MI</v>
      </c>
      <c r="P3557">
        <f>VLOOKUP(A3557,vlookup_table!$A:$G,4,FALSE)</f>
        <v>6511</v>
      </c>
      <c r="Q3557" t="str">
        <f>VLOOKUP(A3557,vlookup_table!$A:$G,5,FALSE)</f>
        <v>S2</v>
      </c>
      <c r="R3557" t="str">
        <f>VLOOKUP(A3557,vlookup_table!$A:$G,6,FALSE)</f>
        <v>M</v>
      </c>
      <c r="S3557">
        <f>VLOOKUP(A3557,vlookup_table!$A:$G,7,FALSE)</f>
        <v>20</v>
      </c>
      <c r="T3557">
        <f t="shared" si="110"/>
        <v>31</v>
      </c>
      <c r="U3557" t="str">
        <f t="shared" si="111"/>
        <v>Suburbano</v>
      </c>
    </row>
    <row r="3558" spans="1:21" ht="16" x14ac:dyDescent="0.4">
      <c r="A3558" s="9">
        <v>172167</v>
      </c>
      <c r="B3558" s="8" t="s">
        <v>21</v>
      </c>
      <c r="C3558" s="8" t="s">
        <v>17</v>
      </c>
      <c r="D3558" s="8">
        <v>680</v>
      </c>
      <c r="E3558" s="8">
        <v>235</v>
      </c>
      <c r="F3558" s="8">
        <v>287</v>
      </c>
      <c r="G3558" s="8">
        <v>0</v>
      </c>
      <c r="H3558" s="8">
        <v>7362</v>
      </c>
      <c r="I3558" s="8">
        <v>12</v>
      </c>
      <c r="J3558" s="8">
        <v>60</v>
      </c>
      <c r="K3558" s="8">
        <v>243</v>
      </c>
      <c r="L3558" s="8">
        <v>282</v>
      </c>
      <c r="M3558" s="8">
        <v>13</v>
      </c>
      <c r="N3558">
        <f>VLOOKUP(A3558,vlookup_table!$A:$G,2,FALSE)</f>
        <v>0</v>
      </c>
      <c r="O3558" t="str">
        <f>VLOOKUP(A3558,vlookup_table!$A:$G,3,FALSE)</f>
        <v>CA</v>
      </c>
      <c r="P3558">
        <f>VLOOKUP(A3558,vlookup_table!$A:$G,4,FALSE)</f>
        <v>3901</v>
      </c>
      <c r="Q3558" t="str">
        <f>VLOOKUP(A3558,vlookup_table!$A:$G,5,FALSE)</f>
        <v>S3</v>
      </c>
      <c r="R3558" t="str">
        <f>VLOOKUP(A3558,vlookup_table!$A:$G,6,FALSE)</f>
        <v>F</v>
      </c>
      <c r="S3558">
        <f>VLOOKUP(A3558,vlookup_table!$A:$G,7,FALSE)</f>
        <v>20</v>
      </c>
      <c r="T3558">
        <f t="shared" si="110"/>
        <v>57</v>
      </c>
      <c r="U3558" t="str">
        <f t="shared" si="111"/>
        <v>Suburbano</v>
      </c>
    </row>
    <row r="3559" spans="1:21" ht="16" x14ac:dyDescent="0.4">
      <c r="A3559" s="9">
        <v>91580</v>
      </c>
      <c r="B3559" s="8" t="s">
        <v>16</v>
      </c>
      <c r="C3559" s="8" t="s">
        <v>17</v>
      </c>
      <c r="D3559" s="8">
        <v>852</v>
      </c>
      <c r="E3559" s="8">
        <v>377</v>
      </c>
      <c r="F3559" s="8">
        <v>417</v>
      </c>
      <c r="G3559" s="8">
        <v>1</v>
      </c>
      <c r="H3559" s="8">
        <v>13398</v>
      </c>
      <c r="I3559" s="8">
        <v>6</v>
      </c>
      <c r="J3559" s="8">
        <v>86</v>
      </c>
      <c r="K3559" s="8">
        <v>401</v>
      </c>
      <c r="L3559" s="8">
        <v>383</v>
      </c>
      <c r="M3559" s="8">
        <v>4.076923077</v>
      </c>
      <c r="N3559">
        <f>VLOOKUP(A3559,vlookup_table!$A:$G,2,FALSE)</f>
        <v>0</v>
      </c>
      <c r="O3559" t="str">
        <f>VLOOKUP(A3559,vlookup_table!$A:$G,3,FALSE)</f>
        <v>IL</v>
      </c>
      <c r="P3559">
        <f>VLOOKUP(A3559,vlookup_table!$A:$G,4,FALSE)</f>
        <v>0</v>
      </c>
      <c r="Q3559" t="str">
        <f>VLOOKUP(A3559,vlookup_table!$A:$G,5,FALSE)</f>
        <v>S2</v>
      </c>
      <c r="R3559" t="str">
        <f>VLOOKUP(A3559,vlookup_table!$A:$G,6,FALSE)</f>
        <v>F</v>
      </c>
      <c r="S3559">
        <f>VLOOKUP(A3559,vlookup_table!$A:$G,7,FALSE)</f>
        <v>4</v>
      </c>
      <c r="T3559">
        <f t="shared" si="110"/>
        <v>96</v>
      </c>
      <c r="U3559" t="str">
        <f t="shared" si="111"/>
        <v>Suburbano</v>
      </c>
    </row>
    <row r="3560" spans="1:21" ht="16" x14ac:dyDescent="0.4">
      <c r="A3560" s="9">
        <v>97015</v>
      </c>
      <c r="B3560" s="8" t="s">
        <v>20</v>
      </c>
      <c r="C3560" s="8" t="s">
        <v>17</v>
      </c>
      <c r="D3560" s="8">
        <v>992</v>
      </c>
      <c r="E3560" s="8">
        <v>551</v>
      </c>
      <c r="F3560" s="8">
        <v>602</v>
      </c>
      <c r="G3560" s="8">
        <v>0</v>
      </c>
      <c r="H3560" s="8">
        <v>17993</v>
      </c>
      <c r="I3560" s="8">
        <v>9</v>
      </c>
      <c r="J3560" s="8">
        <v>34</v>
      </c>
      <c r="K3560" s="8">
        <v>568</v>
      </c>
      <c r="L3560" s="8">
        <v>573</v>
      </c>
      <c r="M3560" s="8">
        <v>6.5454545450000001</v>
      </c>
      <c r="N3560">
        <f>VLOOKUP(A3560,vlookup_table!$A:$G,2,FALSE)</f>
        <v>28</v>
      </c>
      <c r="O3560" t="str">
        <f>VLOOKUP(A3560,vlookup_table!$A:$G,3,FALSE)</f>
        <v>TX</v>
      </c>
      <c r="P3560">
        <f>VLOOKUP(A3560,vlookup_table!$A:$G,4,FALSE)</f>
        <v>5801</v>
      </c>
      <c r="Q3560" t="str">
        <f>VLOOKUP(A3560,vlookup_table!$A:$G,5,FALSE)</f>
        <v>C1</v>
      </c>
      <c r="R3560" t="str">
        <f>VLOOKUP(A3560,vlookup_table!$A:$G,6,FALSE)</f>
        <v>F</v>
      </c>
      <c r="S3560">
        <f>VLOOKUP(A3560,vlookup_table!$A:$G,7,FALSE)</f>
        <v>4</v>
      </c>
      <c r="T3560">
        <f t="shared" si="110"/>
        <v>38</v>
      </c>
      <c r="U3560" t="str">
        <f t="shared" si="111"/>
        <v>Ciudad</v>
      </c>
    </row>
    <row r="3561" spans="1:21" ht="16" x14ac:dyDescent="0.4">
      <c r="A3561" s="9">
        <v>171383</v>
      </c>
      <c r="B3561" s="8" t="s">
        <v>21</v>
      </c>
      <c r="C3561" s="8" t="s">
        <v>14</v>
      </c>
      <c r="D3561" s="8">
        <v>2051</v>
      </c>
      <c r="E3561" s="8">
        <v>503</v>
      </c>
      <c r="F3561" s="8">
        <v>568</v>
      </c>
      <c r="G3561" s="8">
        <v>55</v>
      </c>
      <c r="H3561" s="8">
        <v>17646</v>
      </c>
      <c r="I3561" s="8">
        <v>2</v>
      </c>
      <c r="J3561" s="8">
        <v>62</v>
      </c>
      <c r="K3561" s="8">
        <v>519</v>
      </c>
      <c r="L3561" s="8">
        <v>547</v>
      </c>
      <c r="M3561" s="8">
        <v>7.6666666670000003</v>
      </c>
      <c r="N3561">
        <f>VLOOKUP(A3561,vlookup_table!$A:$G,2,FALSE)</f>
        <v>1002</v>
      </c>
      <c r="O3561" t="str">
        <f>VLOOKUP(A3561,vlookup_table!$A:$G,3,FALSE)</f>
        <v>CA</v>
      </c>
      <c r="P3561">
        <f>VLOOKUP(A3561,vlookup_table!$A:$G,4,FALSE)</f>
        <v>3101</v>
      </c>
      <c r="Q3561" t="str">
        <f>VLOOKUP(A3561,vlookup_table!$A:$G,5,FALSE)</f>
        <v>C1</v>
      </c>
      <c r="R3561" t="str">
        <f>VLOOKUP(A3561,vlookup_table!$A:$G,6,FALSE)</f>
        <v>M</v>
      </c>
      <c r="S3561">
        <f>VLOOKUP(A3561,vlookup_table!$A:$G,7,FALSE)</f>
        <v>7</v>
      </c>
      <c r="T3561">
        <f t="shared" si="110"/>
        <v>65</v>
      </c>
      <c r="U3561" t="str">
        <f t="shared" si="111"/>
        <v>Ciudad</v>
      </c>
    </row>
    <row r="3562" spans="1:21" ht="16" x14ac:dyDescent="0.4">
      <c r="A3562" s="9">
        <v>52161</v>
      </c>
      <c r="B3562" s="8" t="s">
        <v>49</v>
      </c>
      <c r="C3562" s="8" t="s">
        <v>17</v>
      </c>
      <c r="D3562" s="8">
        <v>325</v>
      </c>
      <c r="E3562" s="8">
        <v>148</v>
      </c>
      <c r="F3562" s="8">
        <v>209</v>
      </c>
      <c r="G3562" s="8">
        <v>0</v>
      </c>
      <c r="H3562" s="8">
        <v>6334</v>
      </c>
      <c r="I3562" s="8">
        <v>0</v>
      </c>
      <c r="J3562" s="8">
        <v>86</v>
      </c>
      <c r="K3562" s="8">
        <v>181</v>
      </c>
      <c r="L3562" s="8">
        <v>171</v>
      </c>
      <c r="M3562" s="8">
        <v>6.7</v>
      </c>
      <c r="N3562">
        <f>VLOOKUP(A3562,vlookup_table!$A:$G,2,FALSE)</f>
        <v>0</v>
      </c>
      <c r="O3562" t="str">
        <f>VLOOKUP(A3562,vlookup_table!$A:$G,3,FALSE)</f>
        <v>TN</v>
      </c>
      <c r="P3562">
        <f>VLOOKUP(A3562,vlookup_table!$A:$G,4,FALSE)</f>
        <v>3001</v>
      </c>
      <c r="Q3562" t="str">
        <f>VLOOKUP(A3562,vlookup_table!$A:$G,5,FALSE)</f>
        <v>R3</v>
      </c>
      <c r="R3562" t="str">
        <f>VLOOKUP(A3562,vlookup_table!$A:$G,6,FALSE)</f>
        <v>F</v>
      </c>
      <c r="S3562">
        <f>VLOOKUP(A3562,vlookup_table!$A:$G,7,FALSE)</f>
        <v>5</v>
      </c>
      <c r="T3562">
        <f t="shared" si="110"/>
        <v>66</v>
      </c>
      <c r="U3562" t="str">
        <f t="shared" si="111"/>
        <v>Rural</v>
      </c>
    </row>
    <row r="3563" spans="1:21" ht="16" x14ac:dyDescent="0.4">
      <c r="A3563" s="9">
        <v>153301</v>
      </c>
      <c r="B3563" s="8" t="s">
        <v>21</v>
      </c>
      <c r="C3563" s="8" t="s">
        <v>14</v>
      </c>
      <c r="D3563" s="8">
        <v>3438</v>
      </c>
      <c r="E3563" s="8">
        <v>106</v>
      </c>
      <c r="F3563" s="8">
        <v>211</v>
      </c>
      <c r="G3563" s="8">
        <v>50</v>
      </c>
      <c r="H3563" s="8">
        <v>11112</v>
      </c>
      <c r="I3563" s="8">
        <v>13</v>
      </c>
      <c r="J3563" s="8">
        <v>16</v>
      </c>
      <c r="K3563" s="8">
        <v>166</v>
      </c>
      <c r="L3563" s="8">
        <v>142</v>
      </c>
      <c r="M3563" s="8">
        <v>8.5789473679999997</v>
      </c>
      <c r="N3563">
        <f>VLOOKUP(A3563,vlookup_table!$A:$G,2,FALSE)</f>
        <v>1</v>
      </c>
      <c r="O3563" t="str">
        <f>VLOOKUP(A3563,vlookup_table!$A:$G,3,FALSE)</f>
        <v>CA</v>
      </c>
      <c r="P3563">
        <f>VLOOKUP(A3563,vlookup_table!$A:$G,4,FALSE)</f>
        <v>0</v>
      </c>
      <c r="Q3563" t="str">
        <f>VLOOKUP(A3563,vlookup_table!$A:$G,5,FALSE)</f>
        <v>U3</v>
      </c>
      <c r="R3563" t="str">
        <f>VLOOKUP(A3563,vlookup_table!$A:$G,6,FALSE)</f>
        <v>M</v>
      </c>
      <c r="S3563">
        <f>VLOOKUP(A3563,vlookup_table!$A:$G,7,FALSE)</f>
        <v>15</v>
      </c>
      <c r="T3563">
        <f t="shared" si="110"/>
        <v>96</v>
      </c>
      <c r="U3563" t="str">
        <f t="shared" si="111"/>
        <v>Urbano</v>
      </c>
    </row>
    <row r="3564" spans="1:21" ht="16" x14ac:dyDescent="0.4">
      <c r="A3564" s="9">
        <v>51520</v>
      </c>
      <c r="B3564" s="8" t="s">
        <v>49</v>
      </c>
      <c r="C3564" s="8" t="s">
        <v>27</v>
      </c>
      <c r="D3564" s="8">
        <v>672</v>
      </c>
      <c r="E3564" s="8">
        <v>179</v>
      </c>
      <c r="F3564" s="8">
        <v>373</v>
      </c>
      <c r="G3564" s="8">
        <v>0</v>
      </c>
      <c r="H3564" s="8">
        <v>15936</v>
      </c>
      <c r="I3564" s="8">
        <v>4</v>
      </c>
      <c r="J3564" s="8">
        <v>53</v>
      </c>
      <c r="K3564" s="8">
        <v>356</v>
      </c>
      <c r="L3564" s="8">
        <v>260</v>
      </c>
      <c r="M3564" s="8">
        <v>11.5</v>
      </c>
      <c r="N3564">
        <f>VLOOKUP(A3564,vlookup_table!$A:$G,2,FALSE)</f>
        <v>0</v>
      </c>
      <c r="O3564" t="str">
        <f>VLOOKUP(A3564,vlookup_table!$A:$G,3,FALSE)</f>
        <v>TN</v>
      </c>
      <c r="P3564">
        <f>VLOOKUP(A3564,vlookup_table!$A:$G,4,FALSE)</f>
        <v>0</v>
      </c>
      <c r="Q3564" t="str">
        <f>VLOOKUP(A3564,vlookup_table!$A:$G,5,FALSE)</f>
        <v>C2</v>
      </c>
      <c r="R3564" t="str">
        <f>VLOOKUP(A3564,vlookup_table!$A:$G,6,FALSE)</f>
        <v>U</v>
      </c>
      <c r="S3564">
        <f>VLOOKUP(A3564,vlookup_table!$A:$G,7,FALSE)</f>
        <v>10</v>
      </c>
      <c r="T3564">
        <f t="shared" si="110"/>
        <v>96</v>
      </c>
      <c r="U3564" t="str">
        <f t="shared" si="111"/>
        <v>Ciudad</v>
      </c>
    </row>
    <row r="3565" spans="1:21" ht="16" x14ac:dyDescent="0.4">
      <c r="A3565" s="9">
        <v>187755</v>
      </c>
      <c r="B3565" s="8" t="s">
        <v>16</v>
      </c>
      <c r="C3565" s="8" t="s">
        <v>14</v>
      </c>
      <c r="D3565" s="8">
        <v>1977</v>
      </c>
      <c r="E3565" s="8">
        <v>676</v>
      </c>
      <c r="F3565" s="8">
        <v>768</v>
      </c>
      <c r="G3565" s="8">
        <v>49</v>
      </c>
      <c r="H3565" s="8">
        <v>22666</v>
      </c>
      <c r="I3565" s="8">
        <v>6</v>
      </c>
      <c r="J3565" s="8">
        <v>44</v>
      </c>
      <c r="K3565" s="8">
        <v>693</v>
      </c>
      <c r="L3565" s="8">
        <v>751</v>
      </c>
      <c r="M3565" s="8">
        <v>10</v>
      </c>
      <c r="N3565">
        <f>VLOOKUP(A3565,vlookup_table!$A:$G,2,FALSE)</f>
        <v>1</v>
      </c>
      <c r="O3565" t="str">
        <f>VLOOKUP(A3565,vlookup_table!$A:$G,3,FALSE)</f>
        <v>IL</v>
      </c>
      <c r="P3565">
        <f>VLOOKUP(A3565,vlookup_table!$A:$G,4,FALSE)</f>
        <v>0</v>
      </c>
      <c r="Q3565" t="str">
        <f>VLOOKUP(A3565,vlookup_table!$A:$G,5,FALSE)</f>
        <v>S1</v>
      </c>
      <c r="R3565" t="str">
        <f>VLOOKUP(A3565,vlookup_table!$A:$G,6,FALSE)</f>
        <v>M</v>
      </c>
      <c r="S3565">
        <f>VLOOKUP(A3565,vlookup_table!$A:$G,7,FALSE)</f>
        <v>10</v>
      </c>
      <c r="T3565">
        <f t="shared" si="110"/>
        <v>96</v>
      </c>
      <c r="U3565" t="str">
        <f t="shared" si="111"/>
        <v>Suburbano</v>
      </c>
    </row>
    <row r="3566" spans="1:21" ht="16" x14ac:dyDescent="0.4">
      <c r="A3566" s="9">
        <v>189943</v>
      </c>
      <c r="B3566" s="8" t="s">
        <v>13</v>
      </c>
      <c r="C3566" s="8" t="s">
        <v>14</v>
      </c>
      <c r="D3566" s="8">
        <v>1437</v>
      </c>
      <c r="E3566" s="8">
        <v>385</v>
      </c>
      <c r="F3566" s="8">
        <v>551</v>
      </c>
      <c r="G3566" s="8">
        <v>29</v>
      </c>
      <c r="H3566" s="8">
        <v>23079</v>
      </c>
      <c r="I3566" s="8">
        <v>5</v>
      </c>
      <c r="J3566" s="8">
        <v>19</v>
      </c>
      <c r="K3566" s="8">
        <v>444</v>
      </c>
      <c r="L3566" s="8">
        <v>480</v>
      </c>
      <c r="M3566" s="8">
        <v>12.76</v>
      </c>
      <c r="N3566">
        <f>VLOOKUP(A3566,vlookup_table!$A:$G,2,FALSE)</f>
        <v>1</v>
      </c>
      <c r="O3566" t="str">
        <f>VLOOKUP(A3566,vlookup_table!$A:$G,3,FALSE)</f>
        <v>FL</v>
      </c>
      <c r="P3566">
        <f>VLOOKUP(A3566,vlookup_table!$A:$G,4,FALSE)</f>
        <v>1601</v>
      </c>
      <c r="Q3566" t="str">
        <f>VLOOKUP(A3566,vlookup_table!$A:$G,5,FALSE)</f>
        <v/>
      </c>
      <c r="R3566" t="str">
        <f>VLOOKUP(A3566,vlookup_table!$A:$G,6,FALSE)</f>
        <v>M</v>
      </c>
      <c r="S3566">
        <f>VLOOKUP(A3566,vlookup_table!$A:$G,7,FALSE)</f>
        <v>200</v>
      </c>
      <c r="T3566">
        <f t="shared" si="110"/>
        <v>80</v>
      </c>
      <c r="U3566" t="str">
        <f t="shared" si="111"/>
        <v/>
      </c>
    </row>
    <row r="3567" spans="1:21" ht="16" x14ac:dyDescent="0.4">
      <c r="A3567" s="9">
        <v>182895</v>
      </c>
      <c r="B3567" s="8" t="s">
        <v>37</v>
      </c>
      <c r="C3567" s="8"/>
      <c r="D3567" s="8">
        <v>563</v>
      </c>
      <c r="E3567" s="8">
        <v>340</v>
      </c>
      <c r="F3567" s="8">
        <v>414</v>
      </c>
      <c r="G3567" s="8">
        <v>1</v>
      </c>
      <c r="H3567" s="8">
        <v>13688</v>
      </c>
      <c r="I3567" s="8">
        <v>2</v>
      </c>
      <c r="J3567" s="8">
        <v>44</v>
      </c>
      <c r="K3567" s="8">
        <v>430</v>
      </c>
      <c r="L3567" s="8">
        <v>366</v>
      </c>
      <c r="M3567" s="8">
        <v>4.9411764710000003</v>
      </c>
      <c r="N3567">
        <f>VLOOKUP(A3567,vlookup_table!$A:$G,2,FALSE)</f>
        <v>2</v>
      </c>
      <c r="O3567" t="str">
        <f>VLOOKUP(A3567,vlookup_table!$A:$G,3,FALSE)</f>
        <v>WA</v>
      </c>
      <c r="P3567">
        <f>VLOOKUP(A3567,vlookup_table!$A:$G,4,FALSE)</f>
        <v>2304</v>
      </c>
      <c r="Q3567" t="str">
        <f>VLOOKUP(A3567,vlookup_table!$A:$G,5,FALSE)</f>
        <v>C2</v>
      </c>
      <c r="R3567" t="str">
        <f>VLOOKUP(A3567,vlookup_table!$A:$G,6,FALSE)</f>
        <v/>
      </c>
      <c r="S3567">
        <f>VLOOKUP(A3567,vlookup_table!$A:$G,7,FALSE)</f>
        <v>10</v>
      </c>
      <c r="T3567">
        <f t="shared" si="110"/>
        <v>73</v>
      </c>
      <c r="U3567" t="str">
        <f t="shared" si="111"/>
        <v>Ciudad</v>
      </c>
    </row>
    <row r="3568" spans="1:21" ht="16" x14ac:dyDescent="0.4">
      <c r="A3568" s="9">
        <v>135230</v>
      </c>
      <c r="B3568" s="8" t="s">
        <v>51</v>
      </c>
      <c r="C3568" s="8" t="s">
        <v>97</v>
      </c>
      <c r="D3568" s="8">
        <v>1099</v>
      </c>
      <c r="E3568" s="8">
        <v>351</v>
      </c>
      <c r="F3568" s="8">
        <v>564</v>
      </c>
      <c r="G3568" s="8">
        <v>2</v>
      </c>
      <c r="H3568" s="8">
        <v>22396</v>
      </c>
      <c r="I3568" s="8">
        <v>3</v>
      </c>
      <c r="J3568" s="8">
        <v>29</v>
      </c>
      <c r="K3568" s="8">
        <v>513</v>
      </c>
      <c r="L3568" s="8">
        <v>421</v>
      </c>
      <c r="M3568" s="8">
        <v>9.375</v>
      </c>
      <c r="N3568">
        <f>VLOOKUP(A3568,vlookup_table!$A:$G,2,FALSE)</f>
        <v>0</v>
      </c>
      <c r="O3568" t="str">
        <f>VLOOKUP(A3568,vlookup_table!$A:$G,3,FALSE)</f>
        <v>AZ</v>
      </c>
      <c r="P3568">
        <f>VLOOKUP(A3568,vlookup_table!$A:$G,4,FALSE)</f>
        <v>2602</v>
      </c>
      <c r="Q3568" t="str">
        <f>VLOOKUP(A3568,vlookup_table!$A:$G,5,FALSE)</f>
        <v>S1</v>
      </c>
      <c r="R3568" t="str">
        <f>VLOOKUP(A3568,vlookup_table!$A:$G,6,FALSE)</f>
        <v>F</v>
      </c>
      <c r="S3568">
        <f>VLOOKUP(A3568,vlookup_table!$A:$G,7,FALSE)</f>
        <v>12</v>
      </c>
      <c r="T3568">
        <f t="shared" si="110"/>
        <v>70</v>
      </c>
      <c r="U3568" t="str">
        <f t="shared" si="111"/>
        <v>Suburbano</v>
      </c>
    </row>
    <row r="3569" spans="1:21" ht="16" x14ac:dyDescent="0.4">
      <c r="A3569" s="9">
        <v>111081</v>
      </c>
      <c r="B3569" s="8" t="s">
        <v>51</v>
      </c>
      <c r="C3569" s="8" t="s">
        <v>97</v>
      </c>
      <c r="D3569" s="8">
        <v>707</v>
      </c>
      <c r="E3569" s="8">
        <v>211</v>
      </c>
      <c r="F3569" s="8">
        <v>323</v>
      </c>
      <c r="G3569" s="8">
        <v>0</v>
      </c>
      <c r="H3569" s="8">
        <v>14226</v>
      </c>
      <c r="I3569" s="8">
        <v>4</v>
      </c>
      <c r="J3569" s="8">
        <v>11</v>
      </c>
      <c r="K3569" s="8">
        <v>312</v>
      </c>
      <c r="L3569" s="8">
        <v>258</v>
      </c>
      <c r="M3569" s="8">
        <v>6.75</v>
      </c>
      <c r="N3569">
        <f>VLOOKUP(A3569,vlookup_table!$A:$G,2,FALSE)</f>
        <v>0</v>
      </c>
      <c r="O3569" t="str">
        <f>VLOOKUP(A3569,vlookup_table!$A:$G,3,FALSE)</f>
        <v>AZ</v>
      </c>
      <c r="P3569">
        <f>VLOOKUP(A3569,vlookup_table!$A:$G,4,FALSE)</f>
        <v>2801</v>
      </c>
      <c r="Q3569" t="str">
        <f>VLOOKUP(A3569,vlookup_table!$A:$G,5,FALSE)</f>
        <v>C2</v>
      </c>
      <c r="R3569" t="str">
        <f>VLOOKUP(A3569,vlookup_table!$A:$G,6,FALSE)</f>
        <v>F</v>
      </c>
      <c r="S3569">
        <f>VLOOKUP(A3569,vlookup_table!$A:$G,7,FALSE)</f>
        <v>9</v>
      </c>
      <c r="T3569">
        <f t="shared" si="110"/>
        <v>68</v>
      </c>
      <c r="U3569" t="str">
        <f t="shared" si="111"/>
        <v>Ciudad</v>
      </c>
    </row>
    <row r="3570" spans="1:21" ht="16" x14ac:dyDescent="0.4">
      <c r="A3570" s="9">
        <v>34632</v>
      </c>
      <c r="B3570" s="8" t="s">
        <v>13</v>
      </c>
      <c r="C3570" s="8" t="s">
        <v>17</v>
      </c>
      <c r="D3570" s="8">
        <v>842</v>
      </c>
      <c r="E3570" s="8">
        <v>377</v>
      </c>
      <c r="F3570" s="8">
        <v>461</v>
      </c>
      <c r="G3570" s="8">
        <v>0</v>
      </c>
      <c r="H3570" s="8">
        <v>15608</v>
      </c>
      <c r="I3570" s="8">
        <v>6</v>
      </c>
      <c r="J3570" s="8">
        <v>18</v>
      </c>
      <c r="K3570" s="8">
        <v>375</v>
      </c>
      <c r="L3570" s="8">
        <v>446</v>
      </c>
      <c r="M3570" s="8">
        <v>7.5</v>
      </c>
      <c r="N3570">
        <f>VLOOKUP(A3570,vlookup_table!$A:$G,2,FALSE)</f>
        <v>0</v>
      </c>
      <c r="O3570" t="str">
        <f>VLOOKUP(A3570,vlookup_table!$A:$G,3,FALSE)</f>
        <v>FL</v>
      </c>
      <c r="P3570">
        <f>VLOOKUP(A3570,vlookup_table!$A:$G,4,FALSE)</f>
        <v>3501</v>
      </c>
      <c r="Q3570" t="str">
        <f>VLOOKUP(A3570,vlookup_table!$A:$G,5,FALSE)</f>
        <v>S1</v>
      </c>
      <c r="R3570" t="str">
        <f>VLOOKUP(A3570,vlookup_table!$A:$G,6,FALSE)</f>
        <v>F</v>
      </c>
      <c r="S3570">
        <f>VLOOKUP(A3570,vlookup_table!$A:$G,7,FALSE)</f>
        <v>15</v>
      </c>
      <c r="T3570">
        <f t="shared" si="110"/>
        <v>61</v>
      </c>
      <c r="U3570" t="str">
        <f t="shared" si="111"/>
        <v>Suburbano</v>
      </c>
    </row>
    <row r="3571" spans="1:21" ht="16" x14ac:dyDescent="0.4">
      <c r="A3571" s="9">
        <v>56697</v>
      </c>
      <c r="B3571" s="8" t="s">
        <v>53</v>
      </c>
      <c r="C3571" s="8" t="s">
        <v>17</v>
      </c>
      <c r="D3571" s="8">
        <v>354</v>
      </c>
      <c r="E3571" s="8">
        <v>250</v>
      </c>
      <c r="F3571" s="8">
        <v>289</v>
      </c>
      <c r="G3571" s="8">
        <v>0</v>
      </c>
      <c r="H3571" s="8">
        <v>9288</v>
      </c>
      <c r="I3571" s="8">
        <v>1</v>
      </c>
      <c r="J3571" s="8">
        <v>90</v>
      </c>
      <c r="K3571" s="8">
        <v>256</v>
      </c>
      <c r="L3571" s="8">
        <v>277</v>
      </c>
      <c r="M3571" s="8">
        <v>7.7</v>
      </c>
      <c r="N3571">
        <f>VLOOKUP(A3571,vlookup_table!$A:$G,2,FALSE)</f>
        <v>2</v>
      </c>
      <c r="O3571" t="str">
        <f>VLOOKUP(A3571,vlookup_table!$A:$G,3,FALSE)</f>
        <v>KY</v>
      </c>
      <c r="P3571">
        <f>VLOOKUP(A3571,vlookup_table!$A:$G,4,FALSE)</f>
        <v>4601</v>
      </c>
      <c r="Q3571" t="str">
        <f>VLOOKUP(A3571,vlookup_table!$A:$G,5,FALSE)</f>
        <v>S3</v>
      </c>
      <c r="R3571" t="str">
        <f>VLOOKUP(A3571,vlookup_table!$A:$G,6,FALSE)</f>
        <v>F</v>
      </c>
      <c r="S3571">
        <f>VLOOKUP(A3571,vlookup_table!$A:$G,7,FALSE)</f>
        <v>10</v>
      </c>
      <c r="T3571">
        <f t="shared" si="110"/>
        <v>50</v>
      </c>
      <c r="U3571" t="str">
        <f t="shared" si="111"/>
        <v>Suburbano</v>
      </c>
    </row>
    <row r="3572" spans="1:21" ht="16" x14ac:dyDescent="0.4">
      <c r="A3572" s="9">
        <v>78116</v>
      </c>
      <c r="B3572" s="8" t="s">
        <v>32</v>
      </c>
      <c r="C3572" s="8" t="s">
        <v>17</v>
      </c>
      <c r="D3572" s="8">
        <v>720</v>
      </c>
      <c r="E3572" s="8">
        <v>399</v>
      </c>
      <c r="F3572" s="8">
        <v>446</v>
      </c>
      <c r="G3572" s="8">
        <v>0</v>
      </c>
      <c r="H3572" s="8">
        <v>14215</v>
      </c>
      <c r="I3572" s="8">
        <v>0</v>
      </c>
      <c r="J3572" s="8">
        <v>85</v>
      </c>
      <c r="K3572" s="8">
        <v>432</v>
      </c>
      <c r="L3572" s="8">
        <v>406</v>
      </c>
      <c r="M3572" s="8">
        <v>8.8000000000000007</v>
      </c>
      <c r="N3572">
        <f>VLOOKUP(A3572,vlookup_table!$A:$G,2,FALSE)</f>
        <v>0</v>
      </c>
      <c r="O3572" t="str">
        <f>VLOOKUP(A3572,vlookup_table!$A:$G,3,FALSE)</f>
        <v>WI</v>
      </c>
      <c r="P3572">
        <f>VLOOKUP(A3572,vlookup_table!$A:$G,4,FALSE)</f>
        <v>0</v>
      </c>
      <c r="Q3572" t="str">
        <f>VLOOKUP(A3572,vlookup_table!$A:$G,5,FALSE)</f>
        <v>R1</v>
      </c>
      <c r="R3572" t="str">
        <f>VLOOKUP(A3572,vlookup_table!$A:$G,6,FALSE)</f>
        <v>F</v>
      </c>
      <c r="S3572">
        <f>VLOOKUP(A3572,vlookup_table!$A:$G,7,FALSE)</f>
        <v>10</v>
      </c>
      <c r="T3572">
        <f t="shared" si="110"/>
        <v>96</v>
      </c>
      <c r="U3572" t="str">
        <f t="shared" si="111"/>
        <v>Rural</v>
      </c>
    </row>
    <row r="3573" spans="1:21" ht="16" x14ac:dyDescent="0.4">
      <c r="A3573" s="9">
        <v>110847</v>
      </c>
      <c r="B3573" s="8" t="s">
        <v>29</v>
      </c>
      <c r="C3573" s="8" t="s">
        <v>14</v>
      </c>
      <c r="D3573" s="8">
        <v>419</v>
      </c>
      <c r="E3573" s="8">
        <v>235</v>
      </c>
      <c r="F3573" s="8">
        <v>317</v>
      </c>
      <c r="G3573" s="8">
        <v>0</v>
      </c>
      <c r="H3573" s="8">
        <v>10482</v>
      </c>
      <c r="I3573" s="8">
        <v>1</v>
      </c>
      <c r="J3573" s="8">
        <v>69</v>
      </c>
      <c r="K3573" s="8">
        <v>277</v>
      </c>
      <c r="L3573" s="8">
        <v>284</v>
      </c>
      <c r="M3573" s="8">
        <v>5.2272727269999999</v>
      </c>
      <c r="N3573">
        <f>VLOOKUP(A3573,vlookup_table!$A:$G,2,FALSE)</f>
        <v>1002</v>
      </c>
      <c r="O3573" t="str">
        <f>VLOOKUP(A3573,vlookup_table!$A:$G,3,FALSE)</f>
        <v>AR</v>
      </c>
      <c r="P3573">
        <f>VLOOKUP(A3573,vlookup_table!$A:$G,4,FALSE)</f>
        <v>0</v>
      </c>
      <c r="Q3573" t="str">
        <f>VLOOKUP(A3573,vlookup_table!$A:$G,5,FALSE)</f>
        <v>R2</v>
      </c>
      <c r="R3573" t="str">
        <f>VLOOKUP(A3573,vlookup_table!$A:$G,6,FALSE)</f>
        <v>M</v>
      </c>
      <c r="S3573">
        <f>VLOOKUP(A3573,vlookup_table!$A:$G,7,FALSE)</f>
        <v>5</v>
      </c>
      <c r="T3573">
        <f t="shared" si="110"/>
        <v>96</v>
      </c>
      <c r="U3573" t="str">
        <f t="shared" si="111"/>
        <v>Rural</v>
      </c>
    </row>
    <row r="3574" spans="1:21" ht="16" x14ac:dyDescent="0.4">
      <c r="A3574" s="9">
        <v>152149</v>
      </c>
      <c r="B3574" s="8" t="s">
        <v>21</v>
      </c>
      <c r="C3574" s="8" t="s">
        <v>14</v>
      </c>
      <c r="D3574" s="8">
        <v>1538</v>
      </c>
      <c r="E3574" s="8">
        <v>303</v>
      </c>
      <c r="F3574" s="8">
        <v>389</v>
      </c>
      <c r="G3574" s="8">
        <v>19</v>
      </c>
      <c r="H3574" s="8">
        <v>13191</v>
      </c>
      <c r="I3574" s="8">
        <v>8</v>
      </c>
      <c r="J3574" s="8">
        <v>49</v>
      </c>
      <c r="K3574" s="8">
        <v>343</v>
      </c>
      <c r="L3574" s="8">
        <v>355</v>
      </c>
      <c r="M3574" s="8">
        <v>6.2</v>
      </c>
      <c r="N3574">
        <f>VLOOKUP(A3574,vlookup_table!$A:$G,2,FALSE)</f>
        <v>1</v>
      </c>
      <c r="O3574" t="str">
        <f>VLOOKUP(A3574,vlookup_table!$A:$G,3,FALSE)</f>
        <v>CA</v>
      </c>
      <c r="P3574">
        <f>VLOOKUP(A3574,vlookup_table!$A:$G,4,FALSE)</f>
        <v>3801</v>
      </c>
      <c r="Q3574" t="str">
        <f>VLOOKUP(A3574,vlookup_table!$A:$G,5,FALSE)</f>
        <v>S2</v>
      </c>
      <c r="R3574" t="str">
        <f>VLOOKUP(A3574,vlookup_table!$A:$G,6,FALSE)</f>
        <v>M</v>
      </c>
      <c r="S3574">
        <f>VLOOKUP(A3574,vlookup_table!$A:$G,7,FALSE)</f>
        <v>10</v>
      </c>
      <c r="T3574">
        <f t="shared" si="110"/>
        <v>58</v>
      </c>
      <c r="U3574" t="str">
        <f t="shared" si="111"/>
        <v>Suburbano</v>
      </c>
    </row>
    <row r="3575" spans="1:21" ht="16" x14ac:dyDescent="0.4">
      <c r="A3575" s="9">
        <v>169489</v>
      </c>
      <c r="B3575" s="8" t="s">
        <v>21</v>
      </c>
      <c r="C3575" s="8" t="s">
        <v>17</v>
      </c>
      <c r="D3575" s="8">
        <v>1281</v>
      </c>
      <c r="E3575" s="8">
        <v>370</v>
      </c>
      <c r="F3575" s="8">
        <v>403</v>
      </c>
      <c r="G3575" s="8">
        <v>3</v>
      </c>
      <c r="H3575" s="8">
        <v>11428</v>
      </c>
      <c r="I3575" s="8">
        <v>7</v>
      </c>
      <c r="J3575" s="8">
        <v>61</v>
      </c>
      <c r="K3575" s="8">
        <v>386</v>
      </c>
      <c r="L3575" s="8">
        <v>372</v>
      </c>
      <c r="M3575" s="8">
        <v>8.3333333330000006</v>
      </c>
      <c r="N3575">
        <f>VLOOKUP(A3575,vlookup_table!$A:$G,2,FALSE)</f>
        <v>0</v>
      </c>
      <c r="O3575" t="str">
        <f>VLOOKUP(A3575,vlookup_table!$A:$G,3,FALSE)</f>
        <v>CA</v>
      </c>
      <c r="P3575">
        <f>VLOOKUP(A3575,vlookup_table!$A:$G,4,FALSE)</f>
        <v>4001</v>
      </c>
      <c r="Q3575" t="str">
        <f>VLOOKUP(A3575,vlookup_table!$A:$G,5,FALSE)</f>
        <v>T2</v>
      </c>
      <c r="R3575" t="str">
        <f>VLOOKUP(A3575,vlookup_table!$A:$G,6,FALSE)</f>
        <v>F</v>
      </c>
      <c r="S3575">
        <f>VLOOKUP(A3575,vlookup_table!$A:$G,7,FALSE)</f>
        <v>8</v>
      </c>
      <c r="T3575">
        <f t="shared" si="110"/>
        <v>56</v>
      </c>
      <c r="U3575" t="str">
        <f t="shared" si="111"/>
        <v>Pueblo</v>
      </c>
    </row>
    <row r="3576" spans="1:21" ht="16" x14ac:dyDescent="0.4">
      <c r="A3576" s="9">
        <v>116063</v>
      </c>
      <c r="B3576" s="8" t="s">
        <v>20</v>
      </c>
      <c r="C3576" s="8" t="s">
        <v>17</v>
      </c>
      <c r="D3576" s="8">
        <v>680</v>
      </c>
      <c r="E3576" s="8">
        <v>339</v>
      </c>
      <c r="F3576" s="8">
        <v>382</v>
      </c>
      <c r="G3576" s="8">
        <v>0</v>
      </c>
      <c r="H3576" s="8">
        <v>10577</v>
      </c>
      <c r="I3576" s="8">
        <v>1</v>
      </c>
      <c r="J3576" s="8">
        <v>70</v>
      </c>
      <c r="K3576" s="8">
        <v>387</v>
      </c>
      <c r="L3576" s="8">
        <v>352</v>
      </c>
      <c r="M3576" s="8">
        <v>10</v>
      </c>
      <c r="N3576">
        <f>VLOOKUP(A3576,vlookup_table!$A:$G,2,FALSE)</f>
        <v>0</v>
      </c>
      <c r="O3576" t="str">
        <f>VLOOKUP(A3576,vlookup_table!$A:$G,3,FALSE)</f>
        <v>TX</v>
      </c>
      <c r="P3576">
        <f>VLOOKUP(A3576,vlookup_table!$A:$G,4,FALSE)</f>
        <v>3001</v>
      </c>
      <c r="Q3576" t="str">
        <f>VLOOKUP(A3576,vlookup_table!$A:$G,5,FALSE)</f>
        <v>C2</v>
      </c>
      <c r="R3576" t="str">
        <f>VLOOKUP(A3576,vlookup_table!$A:$G,6,FALSE)</f>
        <v>F</v>
      </c>
      <c r="S3576">
        <f>VLOOKUP(A3576,vlookup_table!$A:$G,7,FALSE)</f>
        <v>5</v>
      </c>
      <c r="T3576">
        <f t="shared" si="110"/>
        <v>66</v>
      </c>
      <c r="U3576" t="str">
        <f t="shared" si="111"/>
        <v>Ciudad</v>
      </c>
    </row>
    <row r="3577" spans="1:21" ht="16" x14ac:dyDescent="0.4">
      <c r="A3577" s="9">
        <v>81241</v>
      </c>
      <c r="B3577" s="8" t="s">
        <v>32</v>
      </c>
      <c r="C3577" s="8" t="s">
        <v>14</v>
      </c>
      <c r="D3577" s="8">
        <v>419</v>
      </c>
      <c r="E3577" s="8">
        <v>219</v>
      </c>
      <c r="F3577" s="8">
        <v>299</v>
      </c>
      <c r="G3577" s="8">
        <v>0</v>
      </c>
      <c r="H3577" s="8">
        <v>10050</v>
      </c>
      <c r="I3577" s="8">
        <v>1</v>
      </c>
      <c r="J3577" s="8">
        <v>83</v>
      </c>
      <c r="K3577" s="8">
        <v>243</v>
      </c>
      <c r="L3577" s="8">
        <v>266</v>
      </c>
      <c r="M3577" s="8">
        <v>10.5</v>
      </c>
      <c r="N3577">
        <f>VLOOKUP(A3577,vlookup_table!$A:$G,2,FALSE)</f>
        <v>1</v>
      </c>
      <c r="O3577" t="str">
        <f>VLOOKUP(A3577,vlookup_table!$A:$G,3,FALSE)</f>
        <v>WI</v>
      </c>
      <c r="P3577">
        <f>VLOOKUP(A3577,vlookup_table!$A:$G,4,FALSE)</f>
        <v>4507</v>
      </c>
      <c r="Q3577" t="str">
        <f>VLOOKUP(A3577,vlookup_table!$A:$G,5,FALSE)</f>
        <v>R2</v>
      </c>
      <c r="R3577" t="str">
        <f>VLOOKUP(A3577,vlookup_table!$A:$G,6,FALSE)</f>
        <v>M</v>
      </c>
      <c r="S3577">
        <f>VLOOKUP(A3577,vlookup_table!$A:$G,7,FALSE)</f>
        <v>20</v>
      </c>
      <c r="T3577">
        <f t="shared" si="110"/>
        <v>51</v>
      </c>
      <c r="U3577" t="str">
        <f t="shared" si="111"/>
        <v>Rural</v>
      </c>
    </row>
    <row r="3578" spans="1:21" ht="16" x14ac:dyDescent="0.4">
      <c r="A3578" s="9">
        <v>5642</v>
      </c>
      <c r="B3578" s="8" t="s">
        <v>16</v>
      </c>
      <c r="C3578" s="8" t="s">
        <v>17</v>
      </c>
      <c r="D3578" s="8">
        <v>1000</v>
      </c>
      <c r="E3578" s="8">
        <v>271</v>
      </c>
      <c r="F3578" s="8">
        <v>479</v>
      </c>
      <c r="G3578" s="8">
        <v>0</v>
      </c>
      <c r="H3578" s="8">
        <v>16266</v>
      </c>
      <c r="I3578" s="8">
        <v>30</v>
      </c>
      <c r="J3578" s="8">
        <v>64</v>
      </c>
      <c r="K3578" s="8">
        <v>458</v>
      </c>
      <c r="L3578" s="8">
        <v>377</v>
      </c>
      <c r="M3578" s="8">
        <v>17.333333329999999</v>
      </c>
      <c r="N3578">
        <f>VLOOKUP(A3578,vlookup_table!$A:$G,2,FALSE)</f>
        <v>0</v>
      </c>
      <c r="O3578" t="str">
        <f>VLOOKUP(A3578,vlookup_table!$A:$G,3,FALSE)</f>
        <v>IL</v>
      </c>
      <c r="P3578">
        <f>VLOOKUP(A3578,vlookup_table!$A:$G,4,FALSE)</f>
        <v>0</v>
      </c>
      <c r="Q3578" t="str">
        <f>VLOOKUP(A3578,vlookup_table!$A:$G,5,FALSE)</f>
        <v>U2</v>
      </c>
      <c r="R3578" t="str">
        <f>VLOOKUP(A3578,vlookup_table!$A:$G,6,FALSE)</f>
        <v>F</v>
      </c>
      <c r="S3578">
        <f>VLOOKUP(A3578,vlookup_table!$A:$G,7,FALSE)</f>
        <v>48</v>
      </c>
      <c r="T3578">
        <f t="shared" si="110"/>
        <v>96</v>
      </c>
      <c r="U3578" t="str">
        <f t="shared" si="111"/>
        <v>Urbano</v>
      </c>
    </row>
    <row r="3579" spans="1:21" ht="16" x14ac:dyDescent="0.4">
      <c r="A3579" s="9">
        <v>70493</v>
      </c>
      <c r="B3579" s="8" t="s">
        <v>26</v>
      </c>
      <c r="C3579" s="8" t="s">
        <v>14</v>
      </c>
      <c r="D3579" s="8">
        <v>279</v>
      </c>
      <c r="E3579" s="8">
        <v>119</v>
      </c>
      <c r="F3579" s="8">
        <v>207</v>
      </c>
      <c r="G3579" s="8">
        <v>0</v>
      </c>
      <c r="H3579" s="8">
        <v>6680</v>
      </c>
      <c r="I3579" s="8">
        <v>2</v>
      </c>
      <c r="J3579" s="8">
        <v>78</v>
      </c>
      <c r="K3579" s="8">
        <v>165</v>
      </c>
      <c r="L3579" s="8">
        <v>170</v>
      </c>
      <c r="M3579" s="8">
        <v>12</v>
      </c>
      <c r="N3579">
        <f>VLOOKUP(A3579,vlookup_table!$A:$G,2,FALSE)</f>
        <v>0</v>
      </c>
      <c r="O3579" t="str">
        <f>VLOOKUP(A3579,vlookup_table!$A:$G,3,FALSE)</f>
        <v>MI</v>
      </c>
      <c r="P3579">
        <f>VLOOKUP(A3579,vlookup_table!$A:$G,4,FALSE)</f>
        <v>1008</v>
      </c>
      <c r="Q3579" t="str">
        <f>VLOOKUP(A3579,vlookup_table!$A:$G,5,FALSE)</f>
        <v>R3</v>
      </c>
      <c r="R3579" t="str">
        <f>VLOOKUP(A3579,vlookup_table!$A:$G,6,FALSE)</f>
        <v>M</v>
      </c>
      <c r="S3579">
        <f>VLOOKUP(A3579,vlookup_table!$A:$G,7,FALSE)</f>
        <v>25</v>
      </c>
      <c r="T3579">
        <f t="shared" si="110"/>
        <v>86</v>
      </c>
      <c r="U3579" t="str">
        <f t="shared" si="111"/>
        <v>Rural</v>
      </c>
    </row>
    <row r="3580" spans="1:21" ht="16" x14ac:dyDescent="0.4">
      <c r="A3580" s="9">
        <v>147175</v>
      </c>
      <c r="B3580" s="8" t="s">
        <v>21</v>
      </c>
      <c r="C3580" s="8" t="s">
        <v>14</v>
      </c>
      <c r="D3580" s="8">
        <v>2074</v>
      </c>
      <c r="E3580" s="8">
        <v>495</v>
      </c>
      <c r="F3580" s="8">
        <v>586</v>
      </c>
      <c r="G3580" s="8">
        <v>52</v>
      </c>
      <c r="H3580" s="8">
        <v>20386</v>
      </c>
      <c r="I3580" s="8">
        <v>5</v>
      </c>
      <c r="J3580" s="8">
        <v>53</v>
      </c>
      <c r="K3580" s="8">
        <v>515</v>
      </c>
      <c r="L3580" s="8">
        <v>560</v>
      </c>
      <c r="M3580" s="8">
        <v>6.5</v>
      </c>
      <c r="N3580">
        <f>VLOOKUP(A3580,vlookup_table!$A:$G,2,FALSE)</f>
        <v>0</v>
      </c>
      <c r="O3580" t="str">
        <f>VLOOKUP(A3580,vlookup_table!$A:$G,3,FALSE)</f>
        <v>CA</v>
      </c>
      <c r="P3580">
        <f>VLOOKUP(A3580,vlookup_table!$A:$G,4,FALSE)</f>
        <v>0</v>
      </c>
      <c r="Q3580" t="str">
        <f>VLOOKUP(A3580,vlookup_table!$A:$G,5,FALSE)</f>
        <v>U4</v>
      </c>
      <c r="R3580" t="str">
        <f>VLOOKUP(A3580,vlookup_table!$A:$G,6,FALSE)</f>
        <v>M</v>
      </c>
      <c r="S3580">
        <f>VLOOKUP(A3580,vlookup_table!$A:$G,7,FALSE)</f>
        <v>7</v>
      </c>
      <c r="T3580">
        <f t="shared" si="110"/>
        <v>96</v>
      </c>
      <c r="U3580" t="str">
        <f t="shared" si="111"/>
        <v>Urbano</v>
      </c>
    </row>
    <row r="3581" spans="1:21" ht="16" x14ac:dyDescent="0.4">
      <c r="A3581" s="9">
        <v>145823</v>
      </c>
      <c r="B3581" s="8" t="s">
        <v>21</v>
      </c>
      <c r="C3581" s="8" t="s">
        <v>17</v>
      </c>
      <c r="D3581" s="8">
        <v>3297</v>
      </c>
      <c r="E3581" s="8">
        <v>698</v>
      </c>
      <c r="F3581" s="8">
        <v>789</v>
      </c>
      <c r="G3581" s="8">
        <v>94</v>
      </c>
      <c r="H3581" s="8">
        <v>21977</v>
      </c>
      <c r="I3581" s="8">
        <v>19</v>
      </c>
      <c r="J3581" s="8">
        <v>52</v>
      </c>
      <c r="K3581" s="8">
        <v>719</v>
      </c>
      <c r="L3581" s="8">
        <v>762</v>
      </c>
      <c r="M3581" s="8">
        <v>25</v>
      </c>
      <c r="N3581">
        <f>VLOOKUP(A3581,vlookup_table!$A:$G,2,FALSE)</f>
        <v>28</v>
      </c>
      <c r="O3581" t="str">
        <f>VLOOKUP(A3581,vlookup_table!$A:$G,3,FALSE)</f>
        <v>CA</v>
      </c>
      <c r="P3581">
        <f>VLOOKUP(A3581,vlookup_table!$A:$G,4,FALSE)</f>
        <v>0</v>
      </c>
      <c r="Q3581" t="str">
        <f>VLOOKUP(A3581,vlookup_table!$A:$G,5,FALSE)</f>
        <v>U1</v>
      </c>
      <c r="R3581" t="str">
        <f>VLOOKUP(A3581,vlookup_table!$A:$G,6,FALSE)</f>
        <v>F</v>
      </c>
      <c r="S3581">
        <f>VLOOKUP(A3581,vlookup_table!$A:$G,7,FALSE)</f>
        <v>50</v>
      </c>
      <c r="T3581">
        <f t="shared" si="110"/>
        <v>96</v>
      </c>
      <c r="U3581" t="str">
        <f t="shared" si="111"/>
        <v>Urbano</v>
      </c>
    </row>
    <row r="3582" spans="1:21" ht="16" x14ac:dyDescent="0.4">
      <c r="A3582" s="9">
        <v>76655</v>
      </c>
      <c r="B3582" s="8" t="s">
        <v>44</v>
      </c>
      <c r="C3582" s="8" t="s">
        <v>17</v>
      </c>
      <c r="D3582" s="8">
        <v>478</v>
      </c>
      <c r="E3582" s="8">
        <v>313</v>
      </c>
      <c r="F3582" s="8">
        <v>388</v>
      </c>
      <c r="G3582" s="8">
        <v>0</v>
      </c>
      <c r="H3582" s="8">
        <v>12606</v>
      </c>
      <c r="I3582" s="8">
        <v>2</v>
      </c>
      <c r="J3582" s="8">
        <v>78</v>
      </c>
      <c r="K3582" s="8">
        <v>397</v>
      </c>
      <c r="L3582" s="8">
        <v>331</v>
      </c>
      <c r="M3582" s="8">
        <v>11.7</v>
      </c>
      <c r="N3582">
        <f>VLOOKUP(A3582,vlookup_table!$A:$G,2,FALSE)</f>
        <v>28</v>
      </c>
      <c r="O3582" t="str">
        <f>VLOOKUP(A3582,vlookup_table!$A:$G,3,FALSE)</f>
        <v>IA</v>
      </c>
      <c r="P3582">
        <f>VLOOKUP(A3582,vlookup_table!$A:$G,4,FALSE)</f>
        <v>4309</v>
      </c>
      <c r="Q3582" t="str">
        <f>VLOOKUP(A3582,vlookup_table!$A:$G,5,FALSE)</f>
        <v>C2</v>
      </c>
      <c r="R3582" t="str">
        <f>VLOOKUP(A3582,vlookup_table!$A:$G,6,FALSE)</f>
        <v>F</v>
      </c>
      <c r="S3582">
        <f>VLOOKUP(A3582,vlookup_table!$A:$G,7,FALSE)</f>
        <v>10</v>
      </c>
      <c r="T3582">
        <f t="shared" si="110"/>
        <v>53</v>
      </c>
      <c r="U3582" t="str">
        <f t="shared" si="111"/>
        <v>Ciudad</v>
      </c>
    </row>
    <row r="3583" spans="1:21" ht="16" x14ac:dyDescent="0.4">
      <c r="A3583" s="9">
        <v>167538</v>
      </c>
      <c r="B3583" s="8" t="s">
        <v>23</v>
      </c>
      <c r="C3583" s="8" t="s">
        <v>17</v>
      </c>
      <c r="D3583" s="8">
        <v>948</v>
      </c>
      <c r="E3583" s="8">
        <v>325</v>
      </c>
      <c r="F3583" s="8">
        <v>398</v>
      </c>
      <c r="G3583" s="8">
        <v>3</v>
      </c>
      <c r="H3583" s="8">
        <v>15038</v>
      </c>
      <c r="I3583" s="8">
        <v>9</v>
      </c>
      <c r="J3583" s="8">
        <v>19</v>
      </c>
      <c r="K3583" s="8">
        <v>353</v>
      </c>
      <c r="L3583" s="8">
        <v>367</v>
      </c>
      <c r="M3583" s="8">
        <v>11.5</v>
      </c>
      <c r="N3583">
        <f>VLOOKUP(A3583,vlookup_table!$A:$G,2,FALSE)</f>
        <v>0</v>
      </c>
      <c r="O3583" t="str">
        <f>VLOOKUP(A3583,vlookup_table!$A:$G,3,FALSE)</f>
        <v>NV</v>
      </c>
      <c r="P3583">
        <f>VLOOKUP(A3583,vlookup_table!$A:$G,4,FALSE)</f>
        <v>3201</v>
      </c>
      <c r="Q3583" t="str">
        <f>VLOOKUP(A3583,vlookup_table!$A:$G,5,FALSE)</f>
        <v>U2</v>
      </c>
      <c r="R3583" t="str">
        <f>VLOOKUP(A3583,vlookup_table!$A:$G,6,FALSE)</f>
        <v>F</v>
      </c>
      <c r="S3583">
        <f>VLOOKUP(A3583,vlookup_table!$A:$G,7,FALSE)</f>
        <v>15</v>
      </c>
      <c r="T3583">
        <f t="shared" si="110"/>
        <v>64</v>
      </c>
      <c r="U3583" t="str">
        <f t="shared" si="111"/>
        <v>Urbano</v>
      </c>
    </row>
    <row r="3584" spans="1:21" ht="16" x14ac:dyDescent="0.4">
      <c r="A3584" s="9">
        <v>108976</v>
      </c>
      <c r="B3584" s="8" t="s">
        <v>46</v>
      </c>
      <c r="C3584" s="8" t="s">
        <v>14</v>
      </c>
      <c r="D3584" s="8">
        <v>1730</v>
      </c>
      <c r="E3584" s="8">
        <v>794</v>
      </c>
      <c r="F3584" s="8">
        <v>899</v>
      </c>
      <c r="G3584" s="8">
        <v>34</v>
      </c>
      <c r="H3584" s="8">
        <v>35252</v>
      </c>
      <c r="I3584" s="8">
        <v>1</v>
      </c>
      <c r="J3584" s="8">
        <v>49</v>
      </c>
      <c r="K3584" s="8">
        <v>843</v>
      </c>
      <c r="L3584" s="8">
        <v>833</v>
      </c>
      <c r="M3584" s="8">
        <v>13.75</v>
      </c>
      <c r="N3584">
        <f>VLOOKUP(A3584,vlookup_table!$A:$G,2,FALSE)</f>
        <v>1</v>
      </c>
      <c r="O3584" t="str">
        <f>VLOOKUP(A3584,vlookup_table!$A:$G,3,FALSE)</f>
        <v>LA</v>
      </c>
      <c r="P3584">
        <f>VLOOKUP(A3584,vlookup_table!$A:$G,4,FALSE)</f>
        <v>3801</v>
      </c>
      <c r="Q3584" t="str">
        <f>VLOOKUP(A3584,vlookup_table!$A:$G,5,FALSE)</f>
        <v/>
      </c>
      <c r="R3584" t="str">
        <f>VLOOKUP(A3584,vlookup_table!$A:$G,6,FALSE)</f>
        <v>M</v>
      </c>
      <c r="S3584">
        <f>VLOOKUP(A3584,vlookup_table!$A:$G,7,FALSE)</f>
        <v>25</v>
      </c>
      <c r="T3584">
        <f t="shared" si="110"/>
        <v>58</v>
      </c>
      <c r="U3584" t="str">
        <f t="shared" si="111"/>
        <v/>
      </c>
    </row>
    <row r="3585" spans="1:21" ht="16" x14ac:dyDescent="0.4">
      <c r="A3585" s="9">
        <v>79022</v>
      </c>
      <c r="B3585" s="8" t="s">
        <v>32</v>
      </c>
      <c r="C3585" s="8" t="s">
        <v>14</v>
      </c>
      <c r="D3585" s="8">
        <v>1375</v>
      </c>
      <c r="E3585" s="8">
        <v>79</v>
      </c>
      <c r="F3585" s="8">
        <v>221</v>
      </c>
      <c r="G3585" s="8">
        <v>0</v>
      </c>
      <c r="H3585" s="8">
        <v>8931</v>
      </c>
      <c r="I3585" s="8">
        <v>8</v>
      </c>
      <c r="J3585" s="8">
        <v>60</v>
      </c>
      <c r="K3585" s="8">
        <v>171</v>
      </c>
      <c r="L3585" s="8">
        <v>125</v>
      </c>
      <c r="M3585" s="8">
        <v>7</v>
      </c>
      <c r="N3585">
        <f>VLOOKUP(A3585,vlookup_table!$A:$G,2,FALSE)</f>
        <v>1</v>
      </c>
      <c r="O3585" t="str">
        <f>VLOOKUP(A3585,vlookup_table!$A:$G,3,FALSE)</f>
        <v>WI</v>
      </c>
      <c r="P3585">
        <f>VLOOKUP(A3585,vlookup_table!$A:$G,4,FALSE)</f>
        <v>5001</v>
      </c>
      <c r="Q3585" t="str">
        <f>VLOOKUP(A3585,vlookup_table!$A:$G,5,FALSE)</f>
        <v>U3</v>
      </c>
      <c r="R3585" t="str">
        <f>VLOOKUP(A3585,vlookup_table!$A:$G,6,FALSE)</f>
        <v>M</v>
      </c>
      <c r="S3585">
        <f>VLOOKUP(A3585,vlookup_table!$A:$G,7,FALSE)</f>
        <v>9</v>
      </c>
      <c r="T3585">
        <f t="shared" si="110"/>
        <v>46</v>
      </c>
      <c r="U3585" t="str">
        <f t="shared" si="111"/>
        <v>Urbano</v>
      </c>
    </row>
    <row r="3586" spans="1:21" ht="16" x14ac:dyDescent="0.4">
      <c r="A3586" s="9">
        <v>118097</v>
      </c>
      <c r="B3586" s="8" t="s">
        <v>20</v>
      </c>
      <c r="C3586" s="8" t="s">
        <v>17</v>
      </c>
      <c r="D3586" s="8">
        <v>398</v>
      </c>
      <c r="E3586" s="8">
        <v>216</v>
      </c>
      <c r="F3586" s="8">
        <v>308</v>
      </c>
      <c r="G3586" s="8">
        <v>0</v>
      </c>
      <c r="H3586" s="8">
        <v>11289</v>
      </c>
      <c r="I3586" s="8">
        <v>1</v>
      </c>
      <c r="J3586" s="8">
        <v>72</v>
      </c>
      <c r="K3586" s="8">
        <v>258</v>
      </c>
      <c r="L3586" s="8">
        <v>275</v>
      </c>
      <c r="M3586" s="8">
        <v>15</v>
      </c>
      <c r="N3586">
        <f>VLOOKUP(A3586,vlookup_table!$A:$G,2,FALSE)</f>
        <v>0</v>
      </c>
      <c r="O3586" t="str">
        <f>VLOOKUP(A3586,vlookup_table!$A:$G,3,FALSE)</f>
        <v>TX</v>
      </c>
      <c r="P3586">
        <f>VLOOKUP(A3586,vlookup_table!$A:$G,4,FALSE)</f>
        <v>5701</v>
      </c>
      <c r="Q3586" t="str">
        <f>VLOOKUP(A3586,vlookup_table!$A:$G,5,FALSE)</f>
        <v>R2</v>
      </c>
      <c r="R3586" t="str">
        <f>VLOOKUP(A3586,vlookup_table!$A:$G,6,FALSE)</f>
        <v>F</v>
      </c>
      <c r="S3586">
        <f>VLOOKUP(A3586,vlookup_table!$A:$G,7,FALSE)</f>
        <v>5</v>
      </c>
      <c r="T3586">
        <f t="shared" si="110"/>
        <v>39</v>
      </c>
      <c r="U3586" t="str">
        <f t="shared" si="111"/>
        <v>Rural</v>
      </c>
    </row>
    <row r="3587" spans="1:21" ht="16" x14ac:dyDescent="0.4">
      <c r="A3587" s="9">
        <v>58566</v>
      </c>
      <c r="B3587" s="8" t="s">
        <v>53</v>
      </c>
      <c r="C3587" s="8" t="s">
        <v>14</v>
      </c>
      <c r="D3587" s="8">
        <v>633</v>
      </c>
      <c r="E3587" s="8">
        <v>309</v>
      </c>
      <c r="F3587" s="8">
        <v>391</v>
      </c>
      <c r="G3587" s="8">
        <v>1</v>
      </c>
      <c r="H3587" s="8">
        <v>13407</v>
      </c>
      <c r="I3587" s="8">
        <v>1</v>
      </c>
      <c r="J3587" s="8">
        <v>63</v>
      </c>
      <c r="K3587" s="8">
        <v>326</v>
      </c>
      <c r="L3587" s="8">
        <v>351</v>
      </c>
      <c r="M3587" s="8">
        <v>12.33333333</v>
      </c>
      <c r="N3587">
        <f>VLOOKUP(A3587,vlookup_table!$A:$G,2,FALSE)</f>
        <v>0</v>
      </c>
      <c r="O3587" t="str">
        <f>VLOOKUP(A3587,vlookup_table!$A:$G,3,FALSE)</f>
        <v>KY</v>
      </c>
      <c r="P3587">
        <f>VLOOKUP(A3587,vlookup_table!$A:$G,4,FALSE)</f>
        <v>2301</v>
      </c>
      <c r="Q3587" t="str">
        <f>VLOOKUP(A3587,vlookup_table!$A:$G,5,FALSE)</f>
        <v>T2</v>
      </c>
      <c r="R3587" t="str">
        <f>VLOOKUP(A3587,vlookup_table!$A:$G,6,FALSE)</f>
        <v>M</v>
      </c>
      <c r="S3587">
        <f>VLOOKUP(A3587,vlookup_table!$A:$G,7,FALSE)</f>
        <v>16</v>
      </c>
      <c r="T3587">
        <f t="shared" ref="T3587:T3650" si="112">97-LEFT(P3587,2)-IF(RIGHT(P3587,2)&gt;6,1,0)</f>
        <v>73</v>
      </c>
      <c r="U3587" t="str">
        <f t="shared" ref="U3587:U3650" si="113">IF(LEFT(Q3587,1)="C","Ciudad",IF(LEFT(Q3587,1)="T","Pueblo",IF(LEFT(Q3587,1)="R","Rural",IF(LEFT(Q3587,1)="S","Suburbano",IF(LEFT(Q3587,1)="U","Urbano","")))))</f>
        <v>Pueblo</v>
      </c>
    </row>
    <row r="3588" spans="1:21" ht="16" x14ac:dyDescent="0.4">
      <c r="A3588" s="9">
        <v>167784</v>
      </c>
      <c r="B3588" s="8" t="s">
        <v>21</v>
      </c>
      <c r="C3588" s="8" t="s">
        <v>17</v>
      </c>
      <c r="D3588" s="8">
        <v>2380</v>
      </c>
      <c r="E3588" s="8">
        <v>274</v>
      </c>
      <c r="F3588" s="8">
        <v>417</v>
      </c>
      <c r="G3588" s="8">
        <v>64</v>
      </c>
      <c r="H3588" s="8">
        <v>16569</v>
      </c>
      <c r="I3588" s="8">
        <v>12</v>
      </c>
      <c r="J3588" s="8">
        <v>56</v>
      </c>
      <c r="K3588" s="8">
        <v>348</v>
      </c>
      <c r="L3588" s="8">
        <v>315</v>
      </c>
      <c r="M3588" s="8">
        <v>14.18181818</v>
      </c>
      <c r="N3588">
        <f>VLOOKUP(A3588,vlookup_table!$A:$G,2,FALSE)</f>
        <v>28</v>
      </c>
      <c r="O3588" t="str">
        <f>VLOOKUP(A3588,vlookup_table!$A:$G,3,FALSE)</f>
        <v>CA</v>
      </c>
      <c r="P3588">
        <f>VLOOKUP(A3588,vlookup_table!$A:$G,4,FALSE)</f>
        <v>1801</v>
      </c>
      <c r="Q3588" t="str">
        <f>VLOOKUP(A3588,vlookup_table!$A:$G,5,FALSE)</f>
        <v>S2</v>
      </c>
      <c r="R3588" t="str">
        <f>VLOOKUP(A3588,vlookup_table!$A:$G,6,FALSE)</f>
        <v>F</v>
      </c>
      <c r="S3588">
        <f>VLOOKUP(A3588,vlookup_table!$A:$G,7,FALSE)</f>
        <v>15</v>
      </c>
      <c r="T3588">
        <f t="shared" si="112"/>
        <v>78</v>
      </c>
      <c r="U3588" t="str">
        <f t="shared" si="113"/>
        <v>Suburbano</v>
      </c>
    </row>
    <row r="3589" spans="1:21" ht="16" x14ac:dyDescent="0.4">
      <c r="A3589" s="9">
        <v>37202</v>
      </c>
      <c r="B3589" s="8" t="s">
        <v>13</v>
      </c>
      <c r="C3589" s="8" t="s">
        <v>17</v>
      </c>
      <c r="D3589" s="8">
        <v>914</v>
      </c>
      <c r="E3589" s="8">
        <v>321</v>
      </c>
      <c r="F3589" s="8">
        <v>409</v>
      </c>
      <c r="G3589" s="8">
        <v>0</v>
      </c>
      <c r="H3589" s="8">
        <v>17804</v>
      </c>
      <c r="I3589" s="8">
        <v>11</v>
      </c>
      <c r="J3589" s="8">
        <v>16</v>
      </c>
      <c r="K3589" s="8">
        <v>363</v>
      </c>
      <c r="L3589" s="8">
        <v>371</v>
      </c>
      <c r="M3589" s="8">
        <v>11</v>
      </c>
      <c r="N3589">
        <f>VLOOKUP(A3589,vlookup_table!$A:$G,2,FALSE)</f>
        <v>0</v>
      </c>
      <c r="O3589" t="str">
        <f>VLOOKUP(A3589,vlookup_table!$A:$G,3,FALSE)</f>
        <v>FL</v>
      </c>
      <c r="P3589">
        <f>VLOOKUP(A3589,vlookup_table!$A:$G,4,FALSE)</f>
        <v>1201</v>
      </c>
      <c r="Q3589" t="str">
        <f>VLOOKUP(A3589,vlookup_table!$A:$G,5,FALSE)</f>
        <v>S2</v>
      </c>
      <c r="R3589" t="str">
        <f>VLOOKUP(A3589,vlookup_table!$A:$G,6,FALSE)</f>
        <v>F</v>
      </c>
      <c r="S3589">
        <f>VLOOKUP(A3589,vlookup_table!$A:$G,7,FALSE)</f>
        <v>25</v>
      </c>
      <c r="T3589">
        <f t="shared" si="112"/>
        <v>84</v>
      </c>
      <c r="U3589" t="str">
        <f t="shared" si="113"/>
        <v>Suburbano</v>
      </c>
    </row>
    <row r="3590" spans="1:21" ht="16" x14ac:dyDescent="0.4">
      <c r="A3590" s="9">
        <v>5510</v>
      </c>
      <c r="B3590" s="8" t="s">
        <v>37</v>
      </c>
      <c r="C3590" s="8" t="s">
        <v>17</v>
      </c>
      <c r="D3590" s="8">
        <v>705</v>
      </c>
      <c r="E3590" s="8">
        <v>250</v>
      </c>
      <c r="F3590" s="8">
        <v>330</v>
      </c>
      <c r="G3590" s="8">
        <v>0</v>
      </c>
      <c r="H3590" s="8">
        <v>13764</v>
      </c>
      <c r="I3590" s="8">
        <v>3</v>
      </c>
      <c r="J3590" s="8">
        <v>55</v>
      </c>
      <c r="K3590" s="8">
        <v>304</v>
      </c>
      <c r="L3590" s="8">
        <v>308</v>
      </c>
      <c r="M3590" s="8">
        <v>10.54054054</v>
      </c>
      <c r="N3590">
        <f>VLOOKUP(A3590,vlookup_table!$A:$G,2,FALSE)</f>
        <v>0</v>
      </c>
      <c r="O3590" t="str">
        <f>VLOOKUP(A3590,vlookup_table!$A:$G,3,FALSE)</f>
        <v>WA</v>
      </c>
      <c r="P3590">
        <f>VLOOKUP(A3590,vlookup_table!$A:$G,4,FALSE)</f>
        <v>1209</v>
      </c>
      <c r="Q3590" t="str">
        <f>VLOOKUP(A3590,vlookup_table!$A:$G,5,FALSE)</f>
        <v/>
      </c>
      <c r="R3590" t="str">
        <f>VLOOKUP(A3590,vlookup_table!$A:$G,6,FALSE)</f>
        <v>F</v>
      </c>
      <c r="S3590">
        <f>VLOOKUP(A3590,vlookup_table!$A:$G,7,FALSE)</f>
        <v>20</v>
      </c>
      <c r="T3590">
        <f t="shared" si="112"/>
        <v>84</v>
      </c>
      <c r="U3590" t="str">
        <f t="shared" si="113"/>
        <v/>
      </c>
    </row>
    <row r="3591" spans="1:21" ht="16" x14ac:dyDescent="0.4">
      <c r="A3591" s="9">
        <v>16771</v>
      </c>
      <c r="B3591" s="8" t="s">
        <v>18</v>
      </c>
      <c r="C3591" s="8" t="s">
        <v>97</v>
      </c>
      <c r="D3591" s="8">
        <v>2018</v>
      </c>
      <c r="E3591" s="8">
        <v>709</v>
      </c>
      <c r="F3591" s="8">
        <v>797</v>
      </c>
      <c r="G3591" s="8">
        <v>51</v>
      </c>
      <c r="H3591" s="8">
        <v>26070</v>
      </c>
      <c r="I3591" s="8">
        <v>9</v>
      </c>
      <c r="J3591" s="8">
        <v>45</v>
      </c>
      <c r="K3591" s="8">
        <v>755</v>
      </c>
      <c r="L3591" s="8">
        <v>752</v>
      </c>
      <c r="M3591" s="8">
        <v>4.7222222220000001</v>
      </c>
      <c r="N3591">
        <f>VLOOKUP(A3591,vlookup_table!$A:$G,2,FALSE)</f>
        <v>2</v>
      </c>
      <c r="O3591" t="str">
        <f>VLOOKUP(A3591,vlookup_table!$A:$G,3,FALSE)</f>
        <v>NC</v>
      </c>
      <c r="P3591">
        <f>VLOOKUP(A3591,vlookup_table!$A:$G,4,FALSE)</f>
        <v>201</v>
      </c>
      <c r="Q3591" t="str">
        <f>VLOOKUP(A3591,vlookup_table!$A:$G,5,FALSE)</f>
        <v>T1</v>
      </c>
      <c r="R3591" t="str">
        <f>VLOOKUP(A3591,vlookup_table!$A:$G,6,FALSE)</f>
        <v>F</v>
      </c>
      <c r="S3591">
        <f>VLOOKUP(A3591,vlookup_table!$A:$G,7,FALSE)</f>
        <v>5</v>
      </c>
      <c r="T3591">
        <f t="shared" si="112"/>
        <v>76</v>
      </c>
      <c r="U3591" t="str">
        <f t="shared" si="113"/>
        <v>Pueblo</v>
      </c>
    </row>
    <row r="3592" spans="1:21" ht="16" x14ac:dyDescent="0.4">
      <c r="A3592" s="9">
        <v>69997</v>
      </c>
      <c r="B3592" s="8" t="s">
        <v>26</v>
      </c>
      <c r="C3592" s="8" t="s">
        <v>14</v>
      </c>
      <c r="D3592" s="8">
        <v>1072</v>
      </c>
      <c r="E3592" s="8">
        <v>545</v>
      </c>
      <c r="F3592" s="8">
        <v>602</v>
      </c>
      <c r="G3592" s="8">
        <v>3</v>
      </c>
      <c r="H3592" s="8">
        <v>18492</v>
      </c>
      <c r="I3592" s="8">
        <v>2</v>
      </c>
      <c r="J3592" s="8">
        <v>82</v>
      </c>
      <c r="K3592" s="8">
        <v>597</v>
      </c>
      <c r="L3592" s="8">
        <v>600</v>
      </c>
      <c r="M3592" s="8">
        <v>15.53846154</v>
      </c>
      <c r="N3592">
        <f>VLOOKUP(A3592,vlookup_table!$A:$G,2,FALSE)</f>
        <v>0</v>
      </c>
      <c r="O3592" t="str">
        <f>VLOOKUP(A3592,vlookup_table!$A:$G,3,FALSE)</f>
        <v>MI</v>
      </c>
      <c r="P3592">
        <f>VLOOKUP(A3592,vlookup_table!$A:$G,4,FALSE)</f>
        <v>0</v>
      </c>
      <c r="Q3592" t="str">
        <f>VLOOKUP(A3592,vlookup_table!$A:$G,5,FALSE)</f>
        <v>T2</v>
      </c>
      <c r="R3592" t="str">
        <f>VLOOKUP(A3592,vlookup_table!$A:$G,6,FALSE)</f>
        <v>M</v>
      </c>
      <c r="S3592">
        <f>VLOOKUP(A3592,vlookup_table!$A:$G,7,FALSE)</f>
        <v>26</v>
      </c>
      <c r="T3592">
        <f t="shared" si="112"/>
        <v>96</v>
      </c>
      <c r="U3592" t="str">
        <f t="shared" si="113"/>
        <v>Pueblo</v>
      </c>
    </row>
    <row r="3593" spans="1:21" ht="16" x14ac:dyDescent="0.4">
      <c r="A3593" s="9">
        <v>190558</v>
      </c>
      <c r="B3593" s="8" t="s">
        <v>34</v>
      </c>
      <c r="C3593" s="8" t="s">
        <v>14</v>
      </c>
      <c r="D3593" s="8">
        <v>4572</v>
      </c>
      <c r="E3593" s="8">
        <v>400</v>
      </c>
      <c r="F3593" s="8">
        <v>613</v>
      </c>
      <c r="G3593" s="8">
        <v>94</v>
      </c>
      <c r="H3593" s="8">
        <v>23300</v>
      </c>
      <c r="I3593" s="8">
        <v>17</v>
      </c>
      <c r="J3593" s="8">
        <v>56</v>
      </c>
      <c r="K3593" s="8">
        <v>525</v>
      </c>
      <c r="L3593" s="8">
        <v>499</v>
      </c>
      <c r="M3593" s="8">
        <v>8.48</v>
      </c>
      <c r="N3593">
        <f>VLOOKUP(A3593,vlookup_table!$A:$G,2,FALSE)</f>
        <v>0</v>
      </c>
      <c r="O3593" t="str">
        <f>VLOOKUP(A3593,vlookup_table!$A:$G,3,FALSE)</f>
        <v>HI</v>
      </c>
      <c r="P3593">
        <f>VLOOKUP(A3593,vlookup_table!$A:$G,4,FALSE)</f>
        <v>1601</v>
      </c>
      <c r="Q3593" t="str">
        <f>VLOOKUP(A3593,vlookup_table!$A:$G,5,FALSE)</f>
        <v>U1</v>
      </c>
      <c r="R3593" t="str">
        <f>VLOOKUP(A3593,vlookup_table!$A:$G,6,FALSE)</f>
        <v>M</v>
      </c>
      <c r="S3593">
        <f>VLOOKUP(A3593,vlookup_table!$A:$G,7,FALSE)</f>
        <v>10</v>
      </c>
      <c r="T3593">
        <f t="shared" si="112"/>
        <v>80</v>
      </c>
      <c r="U3593" t="str">
        <f t="shared" si="113"/>
        <v>Urbano</v>
      </c>
    </row>
    <row r="3594" spans="1:21" ht="16" x14ac:dyDescent="0.4">
      <c r="A3594" s="9">
        <v>34608</v>
      </c>
      <c r="B3594" s="8" t="s">
        <v>13</v>
      </c>
      <c r="C3594" s="8" t="s">
        <v>14</v>
      </c>
      <c r="D3594" s="8">
        <v>967</v>
      </c>
      <c r="E3594" s="8">
        <v>434</v>
      </c>
      <c r="F3594" s="8">
        <v>501</v>
      </c>
      <c r="G3594" s="8">
        <v>3</v>
      </c>
      <c r="H3594" s="8">
        <v>17052</v>
      </c>
      <c r="I3594" s="8">
        <v>9</v>
      </c>
      <c r="J3594" s="8">
        <v>20</v>
      </c>
      <c r="K3594" s="8">
        <v>463</v>
      </c>
      <c r="L3594" s="8">
        <v>478</v>
      </c>
      <c r="M3594" s="8">
        <v>9.3333333330000006</v>
      </c>
      <c r="N3594">
        <f>VLOOKUP(A3594,vlookup_table!$A:$G,2,FALSE)</f>
        <v>1</v>
      </c>
      <c r="O3594" t="str">
        <f>VLOOKUP(A3594,vlookup_table!$A:$G,3,FALSE)</f>
        <v>FL</v>
      </c>
      <c r="P3594">
        <f>VLOOKUP(A3594,vlookup_table!$A:$G,4,FALSE)</f>
        <v>4210</v>
      </c>
      <c r="Q3594" t="str">
        <f>VLOOKUP(A3594,vlookup_table!$A:$G,5,FALSE)</f>
        <v>S1</v>
      </c>
      <c r="R3594" t="str">
        <f>VLOOKUP(A3594,vlookup_table!$A:$G,6,FALSE)</f>
        <v>M</v>
      </c>
      <c r="S3594">
        <f>VLOOKUP(A3594,vlookup_table!$A:$G,7,FALSE)</f>
        <v>12</v>
      </c>
      <c r="T3594">
        <f t="shared" si="112"/>
        <v>54</v>
      </c>
      <c r="U3594" t="str">
        <f t="shared" si="113"/>
        <v>Suburbano</v>
      </c>
    </row>
    <row r="3595" spans="1:21" ht="16" x14ac:dyDescent="0.4">
      <c r="A3595" s="9">
        <v>171357</v>
      </c>
      <c r="B3595" s="8" t="s">
        <v>21</v>
      </c>
      <c r="C3595" s="8" t="s">
        <v>17</v>
      </c>
      <c r="D3595" s="8">
        <v>2631</v>
      </c>
      <c r="E3595" s="8">
        <v>689</v>
      </c>
      <c r="F3595" s="8">
        <v>816</v>
      </c>
      <c r="G3595" s="8">
        <v>80</v>
      </c>
      <c r="H3595" s="8">
        <v>38138</v>
      </c>
      <c r="I3595" s="8">
        <v>4</v>
      </c>
      <c r="J3595" s="8">
        <v>50</v>
      </c>
      <c r="K3595" s="8">
        <v>753</v>
      </c>
      <c r="L3595" s="8">
        <v>772</v>
      </c>
      <c r="M3595" s="8">
        <v>25</v>
      </c>
      <c r="N3595">
        <f>VLOOKUP(A3595,vlookup_table!$A:$G,2,FALSE)</f>
        <v>0</v>
      </c>
      <c r="O3595" t="str">
        <f>VLOOKUP(A3595,vlookup_table!$A:$G,3,FALSE)</f>
        <v>CA</v>
      </c>
      <c r="P3595">
        <f>VLOOKUP(A3595,vlookup_table!$A:$G,4,FALSE)</f>
        <v>0</v>
      </c>
      <c r="Q3595" t="str">
        <f>VLOOKUP(A3595,vlookup_table!$A:$G,5,FALSE)</f>
        <v>T1</v>
      </c>
      <c r="R3595" t="str">
        <f>VLOOKUP(A3595,vlookup_table!$A:$G,6,FALSE)</f>
        <v>F</v>
      </c>
      <c r="S3595">
        <f>VLOOKUP(A3595,vlookup_table!$A:$G,7,FALSE)</f>
        <v>25</v>
      </c>
      <c r="T3595">
        <f t="shared" si="112"/>
        <v>96</v>
      </c>
      <c r="U3595" t="str">
        <f t="shared" si="113"/>
        <v>Pueblo</v>
      </c>
    </row>
    <row r="3596" spans="1:21" ht="16" x14ac:dyDescent="0.4">
      <c r="A3596" s="9">
        <v>190040</v>
      </c>
      <c r="B3596" s="8" t="s">
        <v>18</v>
      </c>
      <c r="C3596" s="8" t="s">
        <v>14</v>
      </c>
      <c r="D3596" s="8">
        <v>1610</v>
      </c>
      <c r="E3596" s="8">
        <v>413</v>
      </c>
      <c r="F3596" s="8">
        <v>721</v>
      </c>
      <c r="G3596" s="8">
        <v>33</v>
      </c>
      <c r="H3596" s="8">
        <v>24479</v>
      </c>
      <c r="I3596" s="8">
        <v>9</v>
      </c>
      <c r="J3596" s="8">
        <v>31</v>
      </c>
      <c r="K3596" s="8">
        <v>644</v>
      </c>
      <c r="L3596" s="8">
        <v>551</v>
      </c>
      <c r="M3596" s="8">
        <v>12.5</v>
      </c>
      <c r="N3596">
        <f>VLOOKUP(A3596,vlookup_table!$A:$G,2,FALSE)</f>
        <v>1</v>
      </c>
      <c r="O3596" t="str">
        <f>VLOOKUP(A3596,vlookup_table!$A:$G,3,FALSE)</f>
        <v>NC</v>
      </c>
      <c r="P3596">
        <f>VLOOKUP(A3596,vlookup_table!$A:$G,4,FALSE)</f>
        <v>0</v>
      </c>
      <c r="Q3596" t="str">
        <f>VLOOKUP(A3596,vlookup_table!$A:$G,5,FALSE)</f>
        <v>C1</v>
      </c>
      <c r="R3596" t="str">
        <f>VLOOKUP(A3596,vlookup_table!$A:$G,6,FALSE)</f>
        <v>M</v>
      </c>
      <c r="S3596">
        <f>VLOOKUP(A3596,vlookup_table!$A:$G,7,FALSE)</f>
        <v>12</v>
      </c>
      <c r="T3596">
        <f t="shared" si="112"/>
        <v>96</v>
      </c>
      <c r="U3596" t="str">
        <f t="shared" si="113"/>
        <v>Ciudad</v>
      </c>
    </row>
    <row r="3597" spans="1:21" ht="16" x14ac:dyDescent="0.4">
      <c r="A3597" s="9">
        <v>149956</v>
      </c>
      <c r="B3597" s="8" t="s">
        <v>21</v>
      </c>
      <c r="C3597" s="8" t="s">
        <v>17</v>
      </c>
      <c r="D3597" s="8">
        <v>1613</v>
      </c>
      <c r="E3597" s="8">
        <v>350</v>
      </c>
      <c r="F3597" s="8">
        <v>408</v>
      </c>
      <c r="G3597" s="8">
        <v>12</v>
      </c>
      <c r="H3597" s="8">
        <v>8897</v>
      </c>
      <c r="I3597" s="8">
        <v>39</v>
      </c>
      <c r="J3597" s="8">
        <v>49</v>
      </c>
      <c r="K3597" s="8">
        <v>352</v>
      </c>
      <c r="L3597" s="8">
        <v>403</v>
      </c>
      <c r="M3597" s="8">
        <v>6.548387097</v>
      </c>
      <c r="N3597">
        <f>VLOOKUP(A3597,vlookup_table!$A:$G,2,FALSE)</f>
        <v>0</v>
      </c>
      <c r="O3597" t="str">
        <f>VLOOKUP(A3597,vlookup_table!$A:$G,3,FALSE)</f>
        <v>CA</v>
      </c>
      <c r="P3597">
        <f>VLOOKUP(A3597,vlookup_table!$A:$G,4,FALSE)</f>
        <v>5001</v>
      </c>
      <c r="Q3597" t="str">
        <f>VLOOKUP(A3597,vlookup_table!$A:$G,5,FALSE)</f>
        <v>U3</v>
      </c>
      <c r="R3597" t="str">
        <f>VLOOKUP(A3597,vlookup_table!$A:$G,6,FALSE)</f>
        <v>F</v>
      </c>
      <c r="S3597">
        <f>VLOOKUP(A3597,vlookup_table!$A:$G,7,FALSE)</f>
        <v>15</v>
      </c>
      <c r="T3597">
        <f t="shared" si="112"/>
        <v>46</v>
      </c>
      <c r="U3597" t="str">
        <f t="shared" si="113"/>
        <v>Urbano</v>
      </c>
    </row>
    <row r="3598" spans="1:21" ht="16" x14ac:dyDescent="0.4">
      <c r="A3598" s="9">
        <v>37861</v>
      </c>
      <c r="B3598" s="8" t="s">
        <v>13</v>
      </c>
      <c r="C3598" s="8" t="s">
        <v>14</v>
      </c>
      <c r="D3598" s="8">
        <v>934</v>
      </c>
      <c r="E3598" s="8">
        <v>273</v>
      </c>
      <c r="F3598" s="8">
        <v>392</v>
      </c>
      <c r="G3598" s="8">
        <v>2</v>
      </c>
      <c r="H3598" s="8">
        <v>10327</v>
      </c>
      <c r="I3598" s="8">
        <v>69</v>
      </c>
      <c r="J3598" s="8">
        <v>14</v>
      </c>
      <c r="K3598" s="8">
        <v>353</v>
      </c>
      <c r="L3598" s="8">
        <v>334</v>
      </c>
      <c r="M3598" s="8">
        <v>12.222222220000001</v>
      </c>
      <c r="N3598">
        <f>VLOOKUP(A3598,vlookup_table!$A:$G,2,FALSE)</f>
        <v>1</v>
      </c>
      <c r="O3598" t="str">
        <f>VLOOKUP(A3598,vlookup_table!$A:$G,3,FALSE)</f>
        <v>FL</v>
      </c>
      <c r="P3598">
        <f>VLOOKUP(A3598,vlookup_table!$A:$G,4,FALSE)</f>
        <v>2808</v>
      </c>
      <c r="Q3598" t="str">
        <f>VLOOKUP(A3598,vlookup_table!$A:$G,5,FALSE)</f>
        <v>U2</v>
      </c>
      <c r="R3598" t="str">
        <f>VLOOKUP(A3598,vlookup_table!$A:$G,6,FALSE)</f>
        <v>M</v>
      </c>
      <c r="S3598">
        <f>VLOOKUP(A3598,vlookup_table!$A:$G,7,FALSE)</f>
        <v>15</v>
      </c>
      <c r="T3598">
        <f t="shared" si="112"/>
        <v>68</v>
      </c>
      <c r="U3598" t="str">
        <f t="shared" si="113"/>
        <v>Urbano</v>
      </c>
    </row>
    <row r="3599" spans="1:21" ht="16" x14ac:dyDescent="0.4">
      <c r="A3599" s="9">
        <v>168644</v>
      </c>
      <c r="B3599" s="8" t="s">
        <v>21</v>
      </c>
      <c r="C3599" s="8" t="s">
        <v>41</v>
      </c>
      <c r="D3599" s="8">
        <v>3156</v>
      </c>
      <c r="E3599" s="8">
        <v>645</v>
      </c>
      <c r="F3599" s="8">
        <v>664</v>
      </c>
      <c r="G3599" s="8">
        <v>97</v>
      </c>
      <c r="H3599" s="8">
        <v>19043</v>
      </c>
      <c r="I3599" s="8">
        <v>27</v>
      </c>
      <c r="J3599" s="8">
        <v>50</v>
      </c>
      <c r="K3599" s="8">
        <v>650</v>
      </c>
      <c r="L3599" s="8">
        <v>653</v>
      </c>
      <c r="M3599" s="8">
        <v>6.75</v>
      </c>
      <c r="N3599">
        <f>VLOOKUP(A3599,vlookup_table!$A:$G,2,FALSE)</f>
        <v>1002</v>
      </c>
      <c r="O3599" t="str">
        <f>VLOOKUP(A3599,vlookup_table!$A:$G,3,FALSE)</f>
        <v>CA</v>
      </c>
      <c r="P3599">
        <f>VLOOKUP(A3599,vlookup_table!$A:$G,4,FALSE)</f>
        <v>0</v>
      </c>
      <c r="Q3599" t="str">
        <f>VLOOKUP(A3599,vlookup_table!$A:$G,5,FALSE)</f>
        <v>S1</v>
      </c>
      <c r="R3599" t="str">
        <f>VLOOKUP(A3599,vlookup_table!$A:$G,6,FALSE)</f>
        <v>J</v>
      </c>
      <c r="S3599">
        <f>VLOOKUP(A3599,vlookup_table!$A:$G,7,FALSE)</f>
        <v>9</v>
      </c>
      <c r="T3599">
        <f t="shared" si="112"/>
        <v>96</v>
      </c>
      <c r="U3599" t="str">
        <f t="shared" si="113"/>
        <v>Suburbano</v>
      </c>
    </row>
    <row r="3600" spans="1:21" ht="16" x14ac:dyDescent="0.4">
      <c r="A3600" s="9">
        <v>18534</v>
      </c>
      <c r="B3600" s="8" t="s">
        <v>18</v>
      </c>
      <c r="C3600" s="8" t="s">
        <v>97</v>
      </c>
      <c r="D3600" s="8">
        <v>576</v>
      </c>
      <c r="E3600" s="8">
        <v>244</v>
      </c>
      <c r="F3600" s="8">
        <v>345</v>
      </c>
      <c r="G3600" s="8">
        <v>1</v>
      </c>
      <c r="H3600" s="8">
        <v>13192</v>
      </c>
      <c r="I3600" s="8">
        <v>2</v>
      </c>
      <c r="J3600" s="8">
        <v>95</v>
      </c>
      <c r="K3600" s="8">
        <v>335</v>
      </c>
      <c r="L3600" s="8">
        <v>293</v>
      </c>
      <c r="M3600" s="8">
        <v>25</v>
      </c>
      <c r="N3600">
        <f>VLOOKUP(A3600,vlookup_table!$A:$G,2,FALSE)</f>
        <v>28</v>
      </c>
      <c r="O3600" t="str">
        <f>VLOOKUP(A3600,vlookup_table!$A:$G,3,FALSE)</f>
        <v>NC</v>
      </c>
      <c r="P3600">
        <f>VLOOKUP(A3600,vlookup_table!$A:$G,4,FALSE)</f>
        <v>5101</v>
      </c>
      <c r="Q3600" t="str">
        <f>VLOOKUP(A3600,vlookup_table!$A:$G,5,FALSE)</f>
        <v>T2</v>
      </c>
      <c r="R3600" t="str">
        <f>VLOOKUP(A3600,vlookup_table!$A:$G,6,FALSE)</f>
        <v>F</v>
      </c>
      <c r="S3600">
        <f>VLOOKUP(A3600,vlookup_table!$A:$G,7,FALSE)</f>
        <v>15</v>
      </c>
      <c r="T3600">
        <f t="shared" si="112"/>
        <v>45</v>
      </c>
      <c r="U3600" t="str">
        <f t="shared" si="113"/>
        <v>Pueblo</v>
      </c>
    </row>
    <row r="3601" spans="1:21" ht="16" x14ac:dyDescent="0.4">
      <c r="A3601" s="9">
        <v>166106</v>
      </c>
      <c r="B3601" s="8" t="s">
        <v>21</v>
      </c>
      <c r="C3601" s="8" t="s">
        <v>17</v>
      </c>
      <c r="D3601" s="8">
        <v>1143</v>
      </c>
      <c r="E3601" s="8">
        <v>310</v>
      </c>
      <c r="F3601" s="8">
        <v>376</v>
      </c>
      <c r="G3601" s="8">
        <v>19</v>
      </c>
      <c r="H3601" s="8">
        <v>20576</v>
      </c>
      <c r="I3601" s="8">
        <v>14</v>
      </c>
      <c r="J3601" s="8">
        <v>47</v>
      </c>
      <c r="K3601" s="8">
        <v>374</v>
      </c>
      <c r="L3601" s="8">
        <v>356</v>
      </c>
      <c r="M3601" s="8">
        <v>6.266666667</v>
      </c>
      <c r="N3601">
        <f>VLOOKUP(A3601,vlookup_table!$A:$G,2,FALSE)</f>
        <v>0</v>
      </c>
      <c r="O3601" t="str">
        <f>VLOOKUP(A3601,vlookup_table!$A:$G,3,FALSE)</f>
        <v>CA</v>
      </c>
      <c r="P3601">
        <f>VLOOKUP(A3601,vlookup_table!$A:$G,4,FALSE)</f>
        <v>6301</v>
      </c>
      <c r="Q3601" t="str">
        <f>VLOOKUP(A3601,vlookup_table!$A:$G,5,FALSE)</f>
        <v>U1</v>
      </c>
      <c r="R3601" t="str">
        <f>VLOOKUP(A3601,vlookup_table!$A:$G,6,FALSE)</f>
        <v>F</v>
      </c>
      <c r="S3601">
        <f>VLOOKUP(A3601,vlookup_table!$A:$G,7,FALSE)</f>
        <v>10</v>
      </c>
      <c r="T3601">
        <f t="shared" si="112"/>
        <v>33</v>
      </c>
      <c r="U3601" t="str">
        <f t="shared" si="113"/>
        <v>Urbano</v>
      </c>
    </row>
    <row r="3602" spans="1:21" ht="16" x14ac:dyDescent="0.4">
      <c r="A3602" s="9">
        <v>96960</v>
      </c>
      <c r="B3602" s="8" t="s">
        <v>16</v>
      </c>
      <c r="C3602" s="8" t="s">
        <v>14</v>
      </c>
      <c r="D3602" s="8">
        <v>927</v>
      </c>
      <c r="E3602" s="8">
        <v>231</v>
      </c>
      <c r="F3602" s="8">
        <v>299</v>
      </c>
      <c r="G3602" s="8">
        <v>5</v>
      </c>
      <c r="H3602" s="8">
        <v>15037</v>
      </c>
      <c r="I3602" s="8">
        <v>0</v>
      </c>
      <c r="J3602" s="8">
        <v>82</v>
      </c>
      <c r="K3602" s="8">
        <v>250</v>
      </c>
      <c r="L3602" s="8">
        <v>280</v>
      </c>
      <c r="M3602" s="8">
        <v>6.6470588240000001</v>
      </c>
      <c r="N3602">
        <f>VLOOKUP(A3602,vlookup_table!$A:$G,2,FALSE)</f>
        <v>1002</v>
      </c>
      <c r="O3602" t="str">
        <f>VLOOKUP(A3602,vlookup_table!$A:$G,3,FALSE)</f>
        <v>IL</v>
      </c>
      <c r="P3602">
        <f>VLOOKUP(A3602,vlookup_table!$A:$G,4,FALSE)</f>
        <v>4001</v>
      </c>
      <c r="Q3602" t="str">
        <f>VLOOKUP(A3602,vlookup_table!$A:$G,5,FALSE)</f>
        <v>R2</v>
      </c>
      <c r="R3602" t="str">
        <f>VLOOKUP(A3602,vlookup_table!$A:$G,6,FALSE)</f>
        <v>M</v>
      </c>
      <c r="S3602">
        <f>VLOOKUP(A3602,vlookup_table!$A:$G,7,FALSE)</f>
        <v>8</v>
      </c>
      <c r="T3602">
        <f t="shared" si="112"/>
        <v>56</v>
      </c>
      <c r="U3602" t="str">
        <f t="shared" si="113"/>
        <v>Rural</v>
      </c>
    </row>
    <row r="3603" spans="1:21" ht="16" x14ac:dyDescent="0.4">
      <c r="A3603" s="9">
        <v>92972</v>
      </c>
      <c r="B3603" s="8" t="s">
        <v>16</v>
      </c>
      <c r="C3603" s="8" t="s">
        <v>17</v>
      </c>
      <c r="D3603" s="8">
        <v>5846</v>
      </c>
      <c r="E3603" s="8">
        <v>644</v>
      </c>
      <c r="F3603" s="8">
        <v>1041</v>
      </c>
      <c r="G3603" s="8">
        <v>98</v>
      </c>
      <c r="H3603" s="8">
        <v>100528</v>
      </c>
      <c r="I3603" s="8">
        <v>9</v>
      </c>
      <c r="J3603" s="8">
        <v>50</v>
      </c>
      <c r="K3603" s="8">
        <v>1177</v>
      </c>
      <c r="L3603" s="8">
        <v>785</v>
      </c>
      <c r="M3603" s="8">
        <v>30.666666670000001</v>
      </c>
      <c r="N3603">
        <f>VLOOKUP(A3603,vlookup_table!$A:$G,2,FALSE)</f>
        <v>2</v>
      </c>
      <c r="O3603" t="str">
        <f>VLOOKUP(A3603,vlookup_table!$A:$G,3,FALSE)</f>
        <v>IL</v>
      </c>
      <c r="P3603">
        <f>VLOOKUP(A3603,vlookup_table!$A:$G,4,FALSE)</f>
        <v>0</v>
      </c>
      <c r="Q3603" t="str">
        <f>VLOOKUP(A3603,vlookup_table!$A:$G,5,FALSE)</f>
        <v>U1</v>
      </c>
      <c r="R3603" t="str">
        <f>VLOOKUP(A3603,vlookup_table!$A:$G,6,FALSE)</f>
        <v>F</v>
      </c>
      <c r="S3603">
        <f>VLOOKUP(A3603,vlookup_table!$A:$G,7,FALSE)</f>
        <v>30</v>
      </c>
      <c r="T3603">
        <f t="shared" si="112"/>
        <v>96</v>
      </c>
      <c r="U3603" t="str">
        <f t="shared" si="113"/>
        <v>Urbano</v>
      </c>
    </row>
    <row r="3604" spans="1:21" ht="16" x14ac:dyDescent="0.4">
      <c r="A3604" s="9">
        <v>115341</v>
      </c>
      <c r="B3604" s="8" t="s">
        <v>28</v>
      </c>
      <c r="C3604" s="8" t="s">
        <v>17</v>
      </c>
      <c r="D3604" s="8">
        <v>218</v>
      </c>
      <c r="E3604" s="8">
        <v>172</v>
      </c>
      <c r="F3604" s="8">
        <v>258</v>
      </c>
      <c r="G3604" s="8">
        <v>0</v>
      </c>
      <c r="H3604" s="8">
        <v>8660</v>
      </c>
      <c r="I3604" s="8">
        <v>0</v>
      </c>
      <c r="J3604" s="8">
        <v>78</v>
      </c>
      <c r="K3604" s="8">
        <v>208</v>
      </c>
      <c r="L3604" s="8">
        <v>226</v>
      </c>
      <c r="M3604" s="8">
        <v>11.66666667</v>
      </c>
      <c r="N3604">
        <f>VLOOKUP(A3604,vlookup_table!$A:$G,2,FALSE)</f>
        <v>2</v>
      </c>
      <c r="O3604" t="str">
        <f>VLOOKUP(A3604,vlookup_table!$A:$G,3,FALSE)</f>
        <v>OK</v>
      </c>
      <c r="P3604">
        <f>VLOOKUP(A3604,vlookup_table!$A:$G,4,FALSE)</f>
        <v>2801</v>
      </c>
      <c r="Q3604" t="str">
        <f>VLOOKUP(A3604,vlookup_table!$A:$G,5,FALSE)</f>
        <v>R3</v>
      </c>
      <c r="R3604" t="str">
        <f>VLOOKUP(A3604,vlookup_table!$A:$G,6,FALSE)</f>
        <v>F</v>
      </c>
      <c r="S3604">
        <f>VLOOKUP(A3604,vlookup_table!$A:$G,7,FALSE)</f>
        <v>20</v>
      </c>
      <c r="T3604">
        <f t="shared" si="112"/>
        <v>68</v>
      </c>
      <c r="U3604" t="str">
        <f t="shared" si="113"/>
        <v>Rural</v>
      </c>
    </row>
    <row r="3605" spans="1:21" ht="16" x14ac:dyDescent="0.4">
      <c r="A3605" s="9">
        <v>63216</v>
      </c>
      <c r="B3605" s="8" t="s">
        <v>30</v>
      </c>
      <c r="C3605" s="8" t="s">
        <v>14</v>
      </c>
      <c r="D3605" s="8">
        <v>431</v>
      </c>
      <c r="E3605" s="8">
        <v>269</v>
      </c>
      <c r="F3605" s="8">
        <v>338</v>
      </c>
      <c r="G3605" s="8">
        <v>0</v>
      </c>
      <c r="H3605" s="8">
        <v>10493</v>
      </c>
      <c r="I3605" s="8">
        <v>0</v>
      </c>
      <c r="J3605" s="8">
        <v>79</v>
      </c>
      <c r="K3605" s="8">
        <v>307</v>
      </c>
      <c r="L3605" s="8">
        <v>309</v>
      </c>
      <c r="M3605" s="8">
        <v>5.8</v>
      </c>
      <c r="N3605">
        <f>VLOOKUP(A3605,vlookup_table!$A:$G,2,FALSE)</f>
        <v>1</v>
      </c>
      <c r="O3605" t="str">
        <f>VLOOKUP(A3605,vlookup_table!$A:$G,3,FALSE)</f>
        <v>IN</v>
      </c>
      <c r="P3605">
        <f>VLOOKUP(A3605,vlookup_table!$A:$G,4,FALSE)</f>
        <v>0</v>
      </c>
      <c r="Q3605" t="str">
        <f>VLOOKUP(A3605,vlookup_table!$A:$G,5,FALSE)</f>
        <v>T3</v>
      </c>
      <c r="R3605" t="str">
        <f>VLOOKUP(A3605,vlookup_table!$A:$G,6,FALSE)</f>
        <v>M</v>
      </c>
      <c r="S3605">
        <f>VLOOKUP(A3605,vlookup_table!$A:$G,7,FALSE)</f>
        <v>5</v>
      </c>
      <c r="T3605">
        <f t="shared" si="112"/>
        <v>96</v>
      </c>
      <c r="U3605" t="str">
        <f t="shared" si="113"/>
        <v>Pueblo</v>
      </c>
    </row>
    <row r="3606" spans="1:21" ht="16" x14ac:dyDescent="0.4">
      <c r="A3606" s="9">
        <v>87459</v>
      </c>
      <c r="B3606" s="8" t="s">
        <v>31</v>
      </c>
      <c r="C3606" s="8" t="s">
        <v>97</v>
      </c>
      <c r="D3606" s="8">
        <v>446</v>
      </c>
      <c r="E3606" s="8">
        <v>184</v>
      </c>
      <c r="F3606" s="8">
        <v>218</v>
      </c>
      <c r="G3606" s="8">
        <v>0</v>
      </c>
      <c r="H3606" s="8">
        <v>8395</v>
      </c>
      <c r="I3606" s="8">
        <v>0</v>
      </c>
      <c r="J3606" s="8">
        <v>61</v>
      </c>
      <c r="K3606" s="8">
        <v>195</v>
      </c>
      <c r="L3606" s="8">
        <v>203</v>
      </c>
      <c r="M3606" s="8">
        <v>3.2222222220000001</v>
      </c>
      <c r="N3606">
        <f>VLOOKUP(A3606,vlookup_table!$A:$G,2,FALSE)</f>
        <v>0</v>
      </c>
      <c r="O3606" t="str">
        <f>VLOOKUP(A3606,vlookup_table!$A:$G,3,FALSE)</f>
        <v>MT</v>
      </c>
      <c r="P3606">
        <f>VLOOKUP(A3606,vlookup_table!$A:$G,4,FALSE)</f>
        <v>0</v>
      </c>
      <c r="Q3606" t="str">
        <f>VLOOKUP(A3606,vlookup_table!$A:$G,5,FALSE)</f>
        <v>C2</v>
      </c>
      <c r="R3606" t="str">
        <f>VLOOKUP(A3606,vlookup_table!$A:$G,6,FALSE)</f>
        <v>F</v>
      </c>
      <c r="S3606">
        <f>VLOOKUP(A3606,vlookup_table!$A:$G,7,FALSE)</f>
        <v>4</v>
      </c>
      <c r="T3606">
        <f t="shared" si="112"/>
        <v>96</v>
      </c>
      <c r="U3606" t="str">
        <f t="shared" si="113"/>
        <v>Ciudad</v>
      </c>
    </row>
    <row r="3607" spans="1:21" ht="16" x14ac:dyDescent="0.4">
      <c r="A3607" s="9">
        <v>41325</v>
      </c>
      <c r="B3607" s="8" t="s">
        <v>13</v>
      </c>
      <c r="C3607" s="8" t="s">
        <v>17</v>
      </c>
      <c r="D3607" s="8">
        <v>803</v>
      </c>
      <c r="E3607" s="8">
        <v>290</v>
      </c>
      <c r="F3607" s="8">
        <v>382</v>
      </c>
      <c r="G3607" s="8">
        <v>0</v>
      </c>
      <c r="H3607" s="8">
        <v>14138</v>
      </c>
      <c r="I3607" s="8">
        <v>5</v>
      </c>
      <c r="J3607" s="8">
        <v>35</v>
      </c>
      <c r="K3607" s="8">
        <v>361</v>
      </c>
      <c r="L3607" s="8">
        <v>350</v>
      </c>
      <c r="M3607" s="8">
        <v>5.6666666670000003</v>
      </c>
      <c r="N3607">
        <f>VLOOKUP(A3607,vlookup_table!$A:$G,2,FALSE)</f>
        <v>0</v>
      </c>
      <c r="O3607" t="str">
        <f>VLOOKUP(A3607,vlookup_table!$A:$G,3,FALSE)</f>
        <v>FL</v>
      </c>
      <c r="P3607">
        <f>VLOOKUP(A3607,vlookup_table!$A:$G,4,FALSE)</f>
        <v>6301</v>
      </c>
      <c r="Q3607" t="str">
        <f>VLOOKUP(A3607,vlookup_table!$A:$G,5,FALSE)</f>
        <v>S2</v>
      </c>
      <c r="R3607" t="str">
        <f>VLOOKUP(A3607,vlookup_table!$A:$G,6,FALSE)</f>
        <v>F</v>
      </c>
      <c r="S3607">
        <f>VLOOKUP(A3607,vlookup_table!$A:$G,7,FALSE)</f>
        <v>12</v>
      </c>
      <c r="T3607">
        <f t="shared" si="112"/>
        <v>33</v>
      </c>
      <c r="U3607" t="str">
        <f t="shared" si="113"/>
        <v>Suburbano</v>
      </c>
    </row>
    <row r="3608" spans="1:21" ht="16" x14ac:dyDescent="0.4">
      <c r="A3608" s="9">
        <v>187472</v>
      </c>
      <c r="B3608" s="8" t="s">
        <v>16</v>
      </c>
      <c r="C3608" s="8" t="s">
        <v>17</v>
      </c>
      <c r="D3608" s="8">
        <v>753</v>
      </c>
      <c r="E3608" s="8">
        <v>333</v>
      </c>
      <c r="F3608" s="8">
        <v>425</v>
      </c>
      <c r="G3608" s="8">
        <v>0</v>
      </c>
      <c r="H3608" s="8">
        <v>14164</v>
      </c>
      <c r="I3608" s="8">
        <v>4</v>
      </c>
      <c r="J3608" s="8">
        <v>68</v>
      </c>
      <c r="K3608" s="8">
        <v>393</v>
      </c>
      <c r="L3608" s="8">
        <v>371</v>
      </c>
      <c r="M3608" s="8">
        <v>12.57142857</v>
      </c>
      <c r="N3608">
        <f>VLOOKUP(A3608,vlookup_table!$A:$G,2,FALSE)</f>
        <v>0</v>
      </c>
      <c r="O3608" t="str">
        <f>VLOOKUP(A3608,vlookup_table!$A:$G,3,FALSE)</f>
        <v>IL</v>
      </c>
      <c r="P3608">
        <f>VLOOKUP(A3608,vlookup_table!$A:$G,4,FALSE)</f>
        <v>0</v>
      </c>
      <c r="Q3608" t="str">
        <f>VLOOKUP(A3608,vlookup_table!$A:$G,5,FALSE)</f>
        <v>C1</v>
      </c>
      <c r="R3608" t="str">
        <f>VLOOKUP(A3608,vlookup_table!$A:$G,6,FALSE)</f>
        <v>F</v>
      </c>
      <c r="S3608">
        <f>VLOOKUP(A3608,vlookup_table!$A:$G,7,FALSE)</f>
        <v>15</v>
      </c>
      <c r="T3608">
        <f t="shared" si="112"/>
        <v>96</v>
      </c>
      <c r="U3608" t="str">
        <f t="shared" si="113"/>
        <v>Ciudad</v>
      </c>
    </row>
    <row r="3609" spans="1:21" ht="16" x14ac:dyDescent="0.4">
      <c r="A3609" s="9">
        <v>148572</v>
      </c>
      <c r="B3609" s="8" t="s">
        <v>21</v>
      </c>
      <c r="C3609" s="8" t="s">
        <v>14</v>
      </c>
      <c r="D3609" s="8">
        <v>1838</v>
      </c>
      <c r="E3609" s="8">
        <v>468</v>
      </c>
      <c r="F3609" s="8">
        <v>493</v>
      </c>
      <c r="G3609" s="8">
        <v>24</v>
      </c>
      <c r="H3609" s="8">
        <v>13500</v>
      </c>
      <c r="I3609" s="8">
        <v>29</v>
      </c>
      <c r="J3609" s="8">
        <v>50</v>
      </c>
      <c r="K3609" s="8">
        <v>465</v>
      </c>
      <c r="L3609" s="8">
        <v>536</v>
      </c>
      <c r="M3609" s="8">
        <v>5.1428571429999996</v>
      </c>
      <c r="N3609">
        <f>VLOOKUP(A3609,vlookup_table!$A:$G,2,FALSE)</f>
        <v>1</v>
      </c>
      <c r="O3609" t="str">
        <f>VLOOKUP(A3609,vlookup_table!$A:$G,3,FALSE)</f>
        <v>CA</v>
      </c>
      <c r="P3609">
        <f>VLOOKUP(A3609,vlookup_table!$A:$G,4,FALSE)</f>
        <v>2701</v>
      </c>
      <c r="Q3609" t="str">
        <f>VLOOKUP(A3609,vlookup_table!$A:$G,5,FALSE)</f>
        <v>U2</v>
      </c>
      <c r="R3609" t="str">
        <f>VLOOKUP(A3609,vlookup_table!$A:$G,6,FALSE)</f>
        <v>M</v>
      </c>
      <c r="S3609">
        <f>VLOOKUP(A3609,vlookup_table!$A:$G,7,FALSE)</f>
        <v>5</v>
      </c>
      <c r="T3609">
        <f t="shared" si="112"/>
        <v>69</v>
      </c>
      <c r="U3609" t="str">
        <f t="shared" si="113"/>
        <v>Urbano</v>
      </c>
    </row>
    <row r="3610" spans="1:21" ht="16" x14ac:dyDescent="0.4">
      <c r="A3610" s="9">
        <v>137256</v>
      </c>
      <c r="B3610" s="8" t="s">
        <v>51</v>
      </c>
      <c r="C3610" s="8" t="s">
        <v>97</v>
      </c>
      <c r="D3610" s="8">
        <v>619</v>
      </c>
      <c r="E3610" s="8">
        <v>187</v>
      </c>
      <c r="F3610" s="8">
        <v>242</v>
      </c>
      <c r="G3610" s="8">
        <v>0</v>
      </c>
      <c r="H3610" s="8">
        <v>13361</v>
      </c>
      <c r="I3610" s="8">
        <v>13</v>
      </c>
      <c r="J3610" s="8">
        <v>0</v>
      </c>
      <c r="K3610" s="8">
        <v>215</v>
      </c>
      <c r="L3610" s="8">
        <v>197</v>
      </c>
      <c r="M3610" s="8">
        <v>14.1</v>
      </c>
      <c r="N3610">
        <f>VLOOKUP(A3610,vlookup_table!$A:$G,2,FALSE)</f>
        <v>2</v>
      </c>
      <c r="O3610" t="str">
        <f>VLOOKUP(A3610,vlookup_table!$A:$G,3,FALSE)</f>
        <v>AZ</v>
      </c>
      <c r="P3610">
        <f>VLOOKUP(A3610,vlookup_table!$A:$G,4,FALSE)</f>
        <v>1309</v>
      </c>
      <c r="Q3610" t="str">
        <f>VLOOKUP(A3610,vlookup_table!$A:$G,5,FALSE)</f>
        <v>C3</v>
      </c>
      <c r="R3610" t="str">
        <f>VLOOKUP(A3610,vlookup_table!$A:$G,6,FALSE)</f>
        <v>F</v>
      </c>
      <c r="S3610">
        <f>VLOOKUP(A3610,vlookup_table!$A:$G,7,FALSE)</f>
        <v>25</v>
      </c>
      <c r="T3610">
        <f t="shared" si="112"/>
        <v>83</v>
      </c>
      <c r="U3610" t="str">
        <f t="shared" si="113"/>
        <v>Ciudad</v>
      </c>
    </row>
    <row r="3611" spans="1:21" ht="16" x14ac:dyDescent="0.4">
      <c r="A3611" s="9">
        <v>175731</v>
      </c>
      <c r="B3611" s="8" t="s">
        <v>47</v>
      </c>
      <c r="C3611" s="8" t="s">
        <v>14</v>
      </c>
      <c r="D3611" s="8">
        <v>864</v>
      </c>
      <c r="E3611" s="8">
        <v>358</v>
      </c>
      <c r="F3611" s="8">
        <v>464</v>
      </c>
      <c r="G3611" s="8">
        <v>2</v>
      </c>
      <c r="H3611" s="8">
        <v>16065</v>
      </c>
      <c r="I3611" s="8">
        <v>5</v>
      </c>
      <c r="J3611" s="8">
        <v>52</v>
      </c>
      <c r="K3611" s="8">
        <v>409</v>
      </c>
      <c r="L3611" s="8">
        <v>410</v>
      </c>
      <c r="M3611" s="8">
        <v>11</v>
      </c>
      <c r="N3611">
        <f>VLOOKUP(A3611,vlookup_table!$A:$G,2,FALSE)</f>
        <v>0</v>
      </c>
      <c r="O3611" t="str">
        <f>VLOOKUP(A3611,vlookup_table!$A:$G,3,FALSE)</f>
        <v>OR</v>
      </c>
      <c r="P3611">
        <f>VLOOKUP(A3611,vlookup_table!$A:$G,4,FALSE)</f>
        <v>1709</v>
      </c>
      <c r="Q3611" t="str">
        <f>VLOOKUP(A3611,vlookup_table!$A:$G,5,FALSE)</f>
        <v>S2</v>
      </c>
      <c r="R3611" t="str">
        <f>VLOOKUP(A3611,vlookup_table!$A:$G,6,FALSE)</f>
        <v>M</v>
      </c>
      <c r="S3611">
        <f>VLOOKUP(A3611,vlookup_table!$A:$G,7,FALSE)</f>
        <v>10</v>
      </c>
      <c r="T3611">
        <f t="shared" si="112"/>
        <v>79</v>
      </c>
      <c r="U3611" t="str">
        <f t="shared" si="113"/>
        <v>Suburbano</v>
      </c>
    </row>
    <row r="3612" spans="1:21" ht="16" x14ac:dyDescent="0.4">
      <c r="A3612" s="9">
        <v>94757</v>
      </c>
      <c r="B3612" s="8" t="s">
        <v>16</v>
      </c>
      <c r="C3612" s="8" t="s">
        <v>14</v>
      </c>
      <c r="D3612" s="8">
        <v>1279</v>
      </c>
      <c r="E3612" s="8">
        <v>410</v>
      </c>
      <c r="F3612" s="8">
        <v>466</v>
      </c>
      <c r="G3612" s="8">
        <v>3</v>
      </c>
      <c r="H3612" s="8">
        <v>15287</v>
      </c>
      <c r="I3612" s="8">
        <v>28</v>
      </c>
      <c r="J3612" s="8">
        <v>60</v>
      </c>
      <c r="K3612" s="8">
        <v>456</v>
      </c>
      <c r="L3612" s="8">
        <v>403</v>
      </c>
      <c r="M3612" s="8">
        <v>11.25</v>
      </c>
      <c r="N3612">
        <f>VLOOKUP(A3612,vlookup_table!$A:$G,2,FALSE)</f>
        <v>0</v>
      </c>
      <c r="O3612" t="str">
        <f>VLOOKUP(A3612,vlookup_table!$A:$G,3,FALSE)</f>
        <v>IL</v>
      </c>
      <c r="P3612">
        <f>VLOOKUP(A3612,vlookup_table!$A:$G,4,FALSE)</f>
        <v>4603</v>
      </c>
      <c r="Q3612" t="str">
        <f>VLOOKUP(A3612,vlookup_table!$A:$G,5,FALSE)</f>
        <v>S2</v>
      </c>
      <c r="R3612" t="str">
        <f>VLOOKUP(A3612,vlookup_table!$A:$G,6,FALSE)</f>
        <v>M</v>
      </c>
      <c r="S3612">
        <f>VLOOKUP(A3612,vlookup_table!$A:$G,7,FALSE)</f>
        <v>12</v>
      </c>
      <c r="T3612">
        <f t="shared" si="112"/>
        <v>50</v>
      </c>
      <c r="U3612" t="str">
        <f t="shared" si="113"/>
        <v>Suburbano</v>
      </c>
    </row>
    <row r="3613" spans="1:21" ht="16" x14ac:dyDescent="0.4">
      <c r="A3613" s="9">
        <v>136130</v>
      </c>
      <c r="B3613" s="8" t="s">
        <v>51</v>
      </c>
      <c r="C3613" s="8" t="s">
        <v>97</v>
      </c>
      <c r="D3613" s="8">
        <v>613</v>
      </c>
      <c r="E3613" s="8">
        <v>183</v>
      </c>
      <c r="F3613" s="8">
        <v>271</v>
      </c>
      <c r="G3613" s="8">
        <v>1</v>
      </c>
      <c r="H3613" s="8">
        <v>9700</v>
      </c>
      <c r="I3613" s="8">
        <v>3</v>
      </c>
      <c r="J3613" s="8">
        <v>21</v>
      </c>
      <c r="K3613" s="8">
        <v>236</v>
      </c>
      <c r="L3613" s="8">
        <v>226</v>
      </c>
      <c r="M3613" s="8">
        <v>7.15</v>
      </c>
      <c r="N3613">
        <f>VLOOKUP(A3613,vlookup_table!$A:$G,2,FALSE)</f>
        <v>0</v>
      </c>
      <c r="O3613" t="str">
        <f>VLOOKUP(A3613,vlookup_table!$A:$G,3,FALSE)</f>
        <v>AZ</v>
      </c>
      <c r="P3613">
        <f>VLOOKUP(A3613,vlookup_table!$A:$G,4,FALSE)</f>
        <v>0</v>
      </c>
      <c r="Q3613" t="str">
        <f>VLOOKUP(A3613,vlookup_table!$A:$G,5,FALSE)</f>
        <v>R2</v>
      </c>
      <c r="R3613" t="str">
        <f>VLOOKUP(A3613,vlookup_table!$A:$G,6,FALSE)</f>
        <v>F</v>
      </c>
      <c r="S3613">
        <f>VLOOKUP(A3613,vlookup_table!$A:$G,7,FALSE)</f>
        <v>10</v>
      </c>
      <c r="T3613">
        <f t="shared" si="112"/>
        <v>96</v>
      </c>
      <c r="U3613" t="str">
        <f t="shared" si="113"/>
        <v>Rural</v>
      </c>
    </row>
    <row r="3614" spans="1:21" ht="16" x14ac:dyDescent="0.4">
      <c r="A3614" s="9">
        <v>56816</v>
      </c>
      <c r="B3614" s="8" t="s">
        <v>53</v>
      </c>
      <c r="C3614" s="8" t="s">
        <v>17</v>
      </c>
      <c r="D3614" s="8">
        <v>870</v>
      </c>
      <c r="E3614" s="8">
        <v>481</v>
      </c>
      <c r="F3614" s="8">
        <v>555</v>
      </c>
      <c r="G3614" s="8">
        <v>1</v>
      </c>
      <c r="H3614" s="8">
        <v>22886</v>
      </c>
      <c r="I3614" s="8">
        <v>1</v>
      </c>
      <c r="J3614" s="8">
        <v>67</v>
      </c>
      <c r="K3614" s="8">
        <v>514</v>
      </c>
      <c r="L3614" s="8">
        <v>515</v>
      </c>
      <c r="M3614" s="8">
        <v>7.3</v>
      </c>
      <c r="N3614">
        <f>VLOOKUP(A3614,vlookup_table!$A:$G,2,FALSE)</f>
        <v>2</v>
      </c>
      <c r="O3614" t="str">
        <f>VLOOKUP(A3614,vlookup_table!$A:$G,3,FALSE)</f>
        <v>KY</v>
      </c>
      <c r="P3614">
        <f>VLOOKUP(A3614,vlookup_table!$A:$G,4,FALSE)</f>
        <v>2002</v>
      </c>
      <c r="Q3614" t="str">
        <f>VLOOKUP(A3614,vlookup_table!$A:$G,5,FALSE)</f>
        <v>S1</v>
      </c>
      <c r="R3614" t="str">
        <f>VLOOKUP(A3614,vlookup_table!$A:$G,6,FALSE)</f>
        <v>F</v>
      </c>
      <c r="S3614">
        <f>VLOOKUP(A3614,vlookup_table!$A:$G,7,FALSE)</f>
        <v>10</v>
      </c>
      <c r="T3614">
        <f t="shared" si="112"/>
        <v>76</v>
      </c>
      <c r="U3614" t="str">
        <f t="shared" si="113"/>
        <v>Suburbano</v>
      </c>
    </row>
    <row r="3615" spans="1:21" ht="16" x14ac:dyDescent="0.4">
      <c r="A3615" s="9">
        <v>148840</v>
      </c>
      <c r="B3615" s="8" t="s">
        <v>21</v>
      </c>
      <c r="C3615" s="8" t="s">
        <v>17</v>
      </c>
      <c r="D3615" s="8">
        <v>2171</v>
      </c>
      <c r="E3615" s="8">
        <v>495</v>
      </c>
      <c r="F3615" s="8">
        <v>519</v>
      </c>
      <c r="G3615" s="8">
        <v>67</v>
      </c>
      <c r="H3615" s="8">
        <v>17382</v>
      </c>
      <c r="I3615" s="8">
        <v>25</v>
      </c>
      <c r="J3615" s="8">
        <v>51</v>
      </c>
      <c r="K3615" s="8">
        <v>508</v>
      </c>
      <c r="L3615" s="8">
        <v>492</v>
      </c>
      <c r="M3615" s="8">
        <v>10.81818182</v>
      </c>
      <c r="N3615">
        <f>VLOOKUP(A3615,vlookup_table!$A:$G,2,FALSE)</f>
        <v>0</v>
      </c>
      <c r="O3615" t="str">
        <f>VLOOKUP(A3615,vlookup_table!$A:$G,3,FALSE)</f>
        <v>CA</v>
      </c>
      <c r="P3615">
        <f>VLOOKUP(A3615,vlookup_table!$A:$G,4,FALSE)</f>
        <v>201</v>
      </c>
      <c r="Q3615" t="str">
        <f>VLOOKUP(A3615,vlookup_table!$A:$G,5,FALSE)</f>
        <v>U1</v>
      </c>
      <c r="R3615" t="str">
        <f>VLOOKUP(A3615,vlookup_table!$A:$G,6,FALSE)</f>
        <v>F</v>
      </c>
      <c r="S3615">
        <f>VLOOKUP(A3615,vlookup_table!$A:$G,7,FALSE)</f>
        <v>11</v>
      </c>
      <c r="T3615">
        <f t="shared" si="112"/>
        <v>76</v>
      </c>
      <c r="U3615" t="str">
        <f t="shared" si="113"/>
        <v>Urbano</v>
      </c>
    </row>
    <row r="3616" spans="1:21" ht="16" x14ac:dyDescent="0.4">
      <c r="A3616" s="9">
        <v>79478</v>
      </c>
      <c r="B3616" s="8" t="s">
        <v>32</v>
      </c>
      <c r="C3616" s="8" t="s">
        <v>14</v>
      </c>
      <c r="D3616" s="8">
        <v>668</v>
      </c>
      <c r="E3616" s="8">
        <v>351</v>
      </c>
      <c r="F3616" s="8">
        <v>376</v>
      </c>
      <c r="G3616" s="8">
        <v>0</v>
      </c>
      <c r="H3616" s="8">
        <v>13340</v>
      </c>
      <c r="I3616" s="8">
        <v>2</v>
      </c>
      <c r="J3616" s="8">
        <v>85</v>
      </c>
      <c r="K3616" s="8">
        <v>386</v>
      </c>
      <c r="L3616" s="8">
        <v>352</v>
      </c>
      <c r="M3616" s="8">
        <v>13.25</v>
      </c>
      <c r="N3616">
        <f>VLOOKUP(A3616,vlookup_table!$A:$G,2,FALSE)</f>
        <v>1</v>
      </c>
      <c r="O3616" t="str">
        <f>VLOOKUP(A3616,vlookup_table!$A:$G,3,FALSE)</f>
        <v>WI</v>
      </c>
      <c r="P3616">
        <f>VLOOKUP(A3616,vlookup_table!$A:$G,4,FALSE)</f>
        <v>2101</v>
      </c>
      <c r="Q3616" t="str">
        <f>VLOOKUP(A3616,vlookup_table!$A:$G,5,FALSE)</f>
        <v>T2</v>
      </c>
      <c r="R3616" t="str">
        <f>VLOOKUP(A3616,vlookup_table!$A:$G,6,FALSE)</f>
        <v>M</v>
      </c>
      <c r="S3616">
        <f>VLOOKUP(A3616,vlookup_table!$A:$G,7,FALSE)</f>
        <v>25</v>
      </c>
      <c r="T3616">
        <f t="shared" si="112"/>
        <v>75</v>
      </c>
      <c r="U3616" t="str">
        <f t="shared" si="113"/>
        <v>Pueblo</v>
      </c>
    </row>
    <row r="3617" spans="1:21" ht="16" x14ac:dyDescent="0.4">
      <c r="A3617" s="9">
        <v>116008</v>
      </c>
      <c r="B3617" s="8" t="s">
        <v>20</v>
      </c>
      <c r="C3617" s="8" t="s">
        <v>17</v>
      </c>
      <c r="D3617" s="8">
        <v>813</v>
      </c>
      <c r="E3617" s="8">
        <v>465</v>
      </c>
      <c r="F3617" s="8">
        <v>511</v>
      </c>
      <c r="G3617" s="8">
        <v>0</v>
      </c>
      <c r="H3617" s="8">
        <v>15458</v>
      </c>
      <c r="I3617" s="8">
        <v>6</v>
      </c>
      <c r="J3617" s="8">
        <v>48</v>
      </c>
      <c r="K3617" s="8">
        <v>485</v>
      </c>
      <c r="L3617" s="8">
        <v>489</v>
      </c>
      <c r="M3617" s="8">
        <v>9.307692308</v>
      </c>
      <c r="N3617">
        <f>VLOOKUP(A3617,vlookup_table!$A:$G,2,FALSE)</f>
        <v>0</v>
      </c>
      <c r="O3617" t="str">
        <f>VLOOKUP(A3617,vlookup_table!$A:$G,3,FALSE)</f>
        <v>TX</v>
      </c>
      <c r="P3617">
        <f>VLOOKUP(A3617,vlookup_table!$A:$G,4,FALSE)</f>
        <v>3401</v>
      </c>
      <c r="Q3617" t="str">
        <f>VLOOKUP(A3617,vlookup_table!$A:$G,5,FALSE)</f>
        <v>T1</v>
      </c>
      <c r="R3617" t="str">
        <f>VLOOKUP(A3617,vlookup_table!$A:$G,6,FALSE)</f>
        <v>F</v>
      </c>
      <c r="S3617">
        <f>VLOOKUP(A3617,vlookup_table!$A:$G,7,FALSE)</f>
        <v>5</v>
      </c>
      <c r="T3617">
        <f t="shared" si="112"/>
        <v>62</v>
      </c>
      <c r="U3617" t="str">
        <f t="shared" si="113"/>
        <v>Pueblo</v>
      </c>
    </row>
    <row r="3618" spans="1:21" ht="16" x14ac:dyDescent="0.4">
      <c r="A3618" s="9">
        <v>150061</v>
      </c>
      <c r="B3618" s="8" t="s">
        <v>21</v>
      </c>
      <c r="C3618" s="8" t="s">
        <v>17</v>
      </c>
      <c r="D3618" s="8">
        <v>2618</v>
      </c>
      <c r="E3618" s="8">
        <v>621</v>
      </c>
      <c r="F3618" s="8">
        <v>704</v>
      </c>
      <c r="G3618" s="8">
        <v>85</v>
      </c>
      <c r="H3618" s="8">
        <v>27432</v>
      </c>
      <c r="I3618" s="8">
        <v>8</v>
      </c>
      <c r="J3618" s="8">
        <v>44</v>
      </c>
      <c r="K3618" s="8">
        <v>657</v>
      </c>
      <c r="L3618" s="8">
        <v>664</v>
      </c>
      <c r="M3618" s="8">
        <v>22.5</v>
      </c>
      <c r="N3618">
        <f>VLOOKUP(A3618,vlookup_table!$A:$G,2,FALSE)</f>
        <v>28</v>
      </c>
      <c r="O3618" t="str">
        <f>VLOOKUP(A3618,vlookup_table!$A:$G,3,FALSE)</f>
        <v>CA</v>
      </c>
      <c r="P3618">
        <f>VLOOKUP(A3618,vlookup_table!$A:$G,4,FALSE)</f>
        <v>5801</v>
      </c>
      <c r="Q3618" t="str">
        <f>VLOOKUP(A3618,vlookup_table!$A:$G,5,FALSE)</f>
        <v>S1</v>
      </c>
      <c r="R3618" t="str">
        <f>VLOOKUP(A3618,vlookup_table!$A:$G,6,FALSE)</f>
        <v>F</v>
      </c>
      <c r="S3618">
        <f>VLOOKUP(A3618,vlookup_table!$A:$G,7,FALSE)</f>
        <v>25</v>
      </c>
      <c r="T3618">
        <f t="shared" si="112"/>
        <v>38</v>
      </c>
      <c r="U3618" t="str">
        <f t="shared" si="113"/>
        <v>Suburbano</v>
      </c>
    </row>
    <row r="3619" spans="1:21" ht="16" x14ac:dyDescent="0.4">
      <c r="A3619" s="9">
        <v>6789</v>
      </c>
      <c r="B3619" s="8" t="s">
        <v>64</v>
      </c>
      <c r="C3619" s="8" t="s">
        <v>14</v>
      </c>
      <c r="D3619" s="8">
        <v>515</v>
      </c>
      <c r="E3619" s="8">
        <v>269</v>
      </c>
      <c r="F3619" s="8">
        <v>362</v>
      </c>
      <c r="G3619" s="8">
        <v>1</v>
      </c>
      <c r="H3619" s="8">
        <v>13550</v>
      </c>
      <c r="I3619" s="8">
        <v>1</v>
      </c>
      <c r="J3619" s="8">
        <v>92</v>
      </c>
      <c r="K3619" s="8">
        <v>284</v>
      </c>
      <c r="L3619" s="8">
        <v>336</v>
      </c>
      <c r="M3619" s="8">
        <v>26.95</v>
      </c>
      <c r="N3619">
        <f>VLOOKUP(A3619,vlookup_table!$A:$G,2,FALSE)</f>
        <v>1</v>
      </c>
      <c r="O3619" t="str">
        <f>VLOOKUP(A3619,vlookup_table!$A:$G,3,FALSE)</f>
        <v>PA</v>
      </c>
      <c r="P3619">
        <f>VLOOKUP(A3619,vlookup_table!$A:$G,4,FALSE)</f>
        <v>1703</v>
      </c>
      <c r="Q3619" t="str">
        <f>VLOOKUP(A3619,vlookup_table!$A:$G,5,FALSE)</f>
        <v>R3</v>
      </c>
      <c r="R3619" t="str">
        <f>VLOOKUP(A3619,vlookup_table!$A:$G,6,FALSE)</f>
        <v>M</v>
      </c>
      <c r="S3619">
        <f>VLOOKUP(A3619,vlookup_table!$A:$G,7,FALSE)</f>
        <v>10</v>
      </c>
      <c r="T3619">
        <f t="shared" si="112"/>
        <v>79</v>
      </c>
      <c r="U3619" t="str">
        <f t="shared" si="113"/>
        <v>Rural</v>
      </c>
    </row>
    <row r="3620" spans="1:21" ht="16" x14ac:dyDescent="0.4">
      <c r="A3620" s="9">
        <v>13196</v>
      </c>
      <c r="B3620" s="8" t="s">
        <v>21</v>
      </c>
      <c r="C3620" s="8" t="s">
        <v>17</v>
      </c>
      <c r="D3620" s="8">
        <v>5377</v>
      </c>
      <c r="E3620" s="8">
        <v>671</v>
      </c>
      <c r="F3620" s="8">
        <v>922</v>
      </c>
      <c r="G3620" s="8">
        <v>99</v>
      </c>
      <c r="H3620" s="8">
        <v>37647</v>
      </c>
      <c r="I3620" s="8">
        <v>29</v>
      </c>
      <c r="J3620" s="8">
        <v>40</v>
      </c>
      <c r="K3620" s="8">
        <v>949</v>
      </c>
      <c r="L3620" s="8">
        <v>811</v>
      </c>
      <c r="M3620" s="8">
        <v>100</v>
      </c>
      <c r="N3620">
        <f>VLOOKUP(A3620,vlookup_table!$A:$G,2,FALSE)</f>
        <v>28</v>
      </c>
      <c r="O3620" t="str">
        <f>VLOOKUP(A3620,vlookup_table!$A:$G,3,FALSE)</f>
        <v>CA</v>
      </c>
      <c r="P3620">
        <f>VLOOKUP(A3620,vlookup_table!$A:$G,4,FALSE)</f>
        <v>201</v>
      </c>
      <c r="Q3620" t="str">
        <f>VLOOKUP(A3620,vlookup_table!$A:$G,5,FALSE)</f>
        <v>S1</v>
      </c>
      <c r="R3620" t="str">
        <f>VLOOKUP(A3620,vlookup_table!$A:$G,6,FALSE)</f>
        <v>F</v>
      </c>
      <c r="S3620">
        <f>VLOOKUP(A3620,vlookup_table!$A:$G,7,FALSE)</f>
        <v>10</v>
      </c>
      <c r="T3620">
        <f t="shared" si="112"/>
        <v>76</v>
      </c>
      <c r="U3620" t="str">
        <f t="shared" si="113"/>
        <v>Suburbano</v>
      </c>
    </row>
    <row r="3621" spans="1:21" ht="16" x14ac:dyDescent="0.4">
      <c r="A3621" s="9">
        <v>26169</v>
      </c>
      <c r="B3621" s="8" t="s">
        <v>36</v>
      </c>
      <c r="C3621" s="8" t="s">
        <v>17</v>
      </c>
      <c r="D3621" s="8">
        <v>1034</v>
      </c>
      <c r="E3621" s="8">
        <v>511</v>
      </c>
      <c r="F3621" s="8">
        <v>574</v>
      </c>
      <c r="G3621" s="8">
        <v>7</v>
      </c>
      <c r="H3621" s="8">
        <v>19422</v>
      </c>
      <c r="I3621" s="8">
        <v>6</v>
      </c>
      <c r="J3621" s="8">
        <v>48</v>
      </c>
      <c r="K3621" s="8">
        <v>534</v>
      </c>
      <c r="L3621" s="8">
        <v>558</v>
      </c>
      <c r="M3621" s="8">
        <v>9</v>
      </c>
      <c r="N3621">
        <f>VLOOKUP(A3621,vlookup_table!$A:$G,2,FALSE)</f>
        <v>28</v>
      </c>
      <c r="O3621" t="str">
        <f>VLOOKUP(A3621,vlookup_table!$A:$G,3,FALSE)</f>
        <v>GA</v>
      </c>
      <c r="P3621">
        <f>VLOOKUP(A3621,vlookup_table!$A:$G,4,FALSE)</f>
        <v>0</v>
      </c>
      <c r="Q3621" t="str">
        <f>VLOOKUP(A3621,vlookup_table!$A:$G,5,FALSE)</f>
        <v>T1</v>
      </c>
      <c r="R3621" t="str">
        <f>VLOOKUP(A3621,vlookup_table!$A:$G,6,FALSE)</f>
        <v>F</v>
      </c>
      <c r="S3621">
        <f>VLOOKUP(A3621,vlookup_table!$A:$G,7,FALSE)</f>
        <v>12</v>
      </c>
      <c r="T3621">
        <f t="shared" si="112"/>
        <v>96</v>
      </c>
      <c r="U3621" t="str">
        <f t="shared" si="113"/>
        <v>Pueblo</v>
      </c>
    </row>
    <row r="3622" spans="1:21" ht="16" x14ac:dyDescent="0.4">
      <c r="A3622" s="9">
        <v>3691</v>
      </c>
      <c r="B3622" s="8" t="s">
        <v>26</v>
      </c>
      <c r="C3622" s="8" t="s">
        <v>17</v>
      </c>
      <c r="D3622" s="8">
        <v>605</v>
      </c>
      <c r="E3622" s="8">
        <v>396</v>
      </c>
      <c r="F3622" s="8">
        <v>486</v>
      </c>
      <c r="G3622" s="8">
        <v>0</v>
      </c>
      <c r="H3622" s="8">
        <v>15062</v>
      </c>
      <c r="I3622" s="8">
        <v>4</v>
      </c>
      <c r="J3622" s="8">
        <v>78</v>
      </c>
      <c r="K3622" s="8">
        <v>454</v>
      </c>
      <c r="L3622" s="8">
        <v>426</v>
      </c>
      <c r="M3622" s="8">
        <v>20</v>
      </c>
      <c r="N3622">
        <f>VLOOKUP(A3622,vlookup_table!$A:$G,2,FALSE)</f>
        <v>0</v>
      </c>
      <c r="O3622" t="str">
        <f>VLOOKUP(A3622,vlookup_table!$A:$G,3,FALSE)</f>
        <v>MI</v>
      </c>
      <c r="P3622">
        <f>VLOOKUP(A3622,vlookup_table!$A:$G,4,FALSE)</f>
        <v>3301</v>
      </c>
      <c r="Q3622" t="str">
        <f>VLOOKUP(A3622,vlookup_table!$A:$G,5,FALSE)</f>
        <v>U4</v>
      </c>
      <c r="R3622" t="str">
        <f>VLOOKUP(A3622,vlookup_table!$A:$G,6,FALSE)</f>
        <v>F</v>
      </c>
      <c r="S3622">
        <f>VLOOKUP(A3622,vlookup_table!$A:$G,7,FALSE)</f>
        <v>20</v>
      </c>
      <c r="T3622">
        <f t="shared" si="112"/>
        <v>63</v>
      </c>
      <c r="U3622" t="str">
        <f t="shared" si="113"/>
        <v>Urbano</v>
      </c>
    </row>
    <row r="3623" spans="1:21" ht="16" x14ac:dyDescent="0.4">
      <c r="A3623" s="9">
        <v>101432</v>
      </c>
      <c r="B3623" s="8" t="s">
        <v>33</v>
      </c>
      <c r="C3623" s="8" t="s">
        <v>14</v>
      </c>
      <c r="D3623" s="8">
        <v>240</v>
      </c>
      <c r="E3623" s="8">
        <v>202</v>
      </c>
      <c r="F3623" s="8">
        <v>267</v>
      </c>
      <c r="G3623" s="8">
        <v>0</v>
      </c>
      <c r="H3623" s="8">
        <v>9288</v>
      </c>
      <c r="I3623" s="8">
        <v>0</v>
      </c>
      <c r="J3623" s="8">
        <v>79</v>
      </c>
      <c r="K3623" s="8">
        <v>232</v>
      </c>
      <c r="L3623" s="8">
        <v>243</v>
      </c>
      <c r="M3623" s="8">
        <v>7.9090909089999997</v>
      </c>
      <c r="N3623">
        <f>VLOOKUP(A3623,vlookup_table!$A:$G,2,FALSE)</f>
        <v>1</v>
      </c>
      <c r="O3623" t="str">
        <f>VLOOKUP(A3623,vlookup_table!$A:$G,3,FALSE)</f>
        <v>MO</v>
      </c>
      <c r="P3623">
        <f>VLOOKUP(A3623,vlookup_table!$A:$G,4,FALSE)</f>
        <v>2401</v>
      </c>
      <c r="Q3623" t="str">
        <f>VLOOKUP(A3623,vlookup_table!$A:$G,5,FALSE)</f>
        <v>R3</v>
      </c>
      <c r="R3623" t="str">
        <f>VLOOKUP(A3623,vlookup_table!$A:$G,6,FALSE)</f>
        <v>M</v>
      </c>
      <c r="S3623">
        <f>VLOOKUP(A3623,vlookup_table!$A:$G,7,FALSE)</f>
        <v>8</v>
      </c>
      <c r="T3623">
        <f t="shared" si="112"/>
        <v>72</v>
      </c>
      <c r="U3623" t="str">
        <f t="shared" si="113"/>
        <v>Rural</v>
      </c>
    </row>
    <row r="3624" spans="1:21" ht="16" x14ac:dyDescent="0.4">
      <c r="A3624" s="9">
        <v>176379</v>
      </c>
      <c r="B3624" s="8" t="s">
        <v>47</v>
      </c>
      <c r="C3624" s="8" t="s">
        <v>14</v>
      </c>
      <c r="D3624" s="8">
        <v>829</v>
      </c>
      <c r="E3624" s="8">
        <v>397</v>
      </c>
      <c r="F3624" s="8">
        <v>456</v>
      </c>
      <c r="G3624" s="8">
        <v>1</v>
      </c>
      <c r="H3624" s="8">
        <v>14994</v>
      </c>
      <c r="I3624" s="8">
        <v>1</v>
      </c>
      <c r="J3624" s="8">
        <v>47</v>
      </c>
      <c r="K3624" s="8">
        <v>485</v>
      </c>
      <c r="L3624" s="8">
        <v>379</v>
      </c>
      <c r="M3624" s="8">
        <v>20</v>
      </c>
      <c r="N3624">
        <f>VLOOKUP(A3624,vlookup_table!$A:$G,2,FALSE)</f>
        <v>0</v>
      </c>
      <c r="O3624" t="str">
        <f>VLOOKUP(A3624,vlookup_table!$A:$G,3,FALSE)</f>
        <v>OR</v>
      </c>
      <c r="P3624">
        <f>VLOOKUP(A3624,vlookup_table!$A:$G,4,FALSE)</f>
        <v>2001</v>
      </c>
      <c r="Q3624" t="str">
        <f>VLOOKUP(A3624,vlookup_table!$A:$G,5,FALSE)</f>
        <v>C2</v>
      </c>
      <c r="R3624" t="str">
        <f>VLOOKUP(A3624,vlookup_table!$A:$G,6,FALSE)</f>
        <v>M</v>
      </c>
      <c r="S3624">
        <f>VLOOKUP(A3624,vlookup_table!$A:$G,7,FALSE)</f>
        <v>10</v>
      </c>
      <c r="T3624">
        <f t="shared" si="112"/>
        <v>76</v>
      </c>
      <c r="U3624" t="str">
        <f t="shared" si="113"/>
        <v>Ciudad</v>
      </c>
    </row>
    <row r="3625" spans="1:21" ht="16" x14ac:dyDescent="0.4">
      <c r="A3625" s="9">
        <v>171854</v>
      </c>
      <c r="B3625" s="8" t="s">
        <v>21</v>
      </c>
      <c r="C3625" s="8" t="s">
        <v>17</v>
      </c>
      <c r="D3625" s="8">
        <v>1189</v>
      </c>
      <c r="E3625" s="8">
        <v>278</v>
      </c>
      <c r="F3625" s="8">
        <v>343</v>
      </c>
      <c r="G3625" s="8">
        <v>4</v>
      </c>
      <c r="H3625" s="8">
        <v>13051</v>
      </c>
      <c r="I3625" s="8">
        <v>10</v>
      </c>
      <c r="J3625" s="8">
        <v>46</v>
      </c>
      <c r="K3625" s="8">
        <v>310</v>
      </c>
      <c r="L3625" s="8">
        <v>325</v>
      </c>
      <c r="M3625" s="8">
        <v>13.5</v>
      </c>
      <c r="N3625">
        <f>VLOOKUP(A3625,vlookup_table!$A:$G,2,FALSE)</f>
        <v>2</v>
      </c>
      <c r="O3625" t="str">
        <f>VLOOKUP(A3625,vlookup_table!$A:$G,3,FALSE)</f>
        <v>CA</v>
      </c>
      <c r="P3625">
        <f>VLOOKUP(A3625,vlookup_table!$A:$G,4,FALSE)</f>
        <v>2409</v>
      </c>
      <c r="Q3625" t="str">
        <f>VLOOKUP(A3625,vlookup_table!$A:$G,5,FALSE)</f>
        <v>S2</v>
      </c>
      <c r="R3625" t="str">
        <f>VLOOKUP(A3625,vlookup_table!$A:$G,6,FALSE)</f>
        <v>F</v>
      </c>
      <c r="S3625">
        <f>VLOOKUP(A3625,vlookup_table!$A:$G,7,FALSE)</f>
        <v>15</v>
      </c>
      <c r="T3625">
        <f t="shared" si="112"/>
        <v>72</v>
      </c>
      <c r="U3625" t="str">
        <f t="shared" si="113"/>
        <v>Suburbano</v>
      </c>
    </row>
    <row r="3626" spans="1:21" ht="16" x14ac:dyDescent="0.4">
      <c r="A3626" s="9">
        <v>159319</v>
      </c>
      <c r="B3626" s="8" t="s">
        <v>21</v>
      </c>
      <c r="C3626" s="8" t="s">
        <v>14</v>
      </c>
      <c r="D3626" s="8">
        <v>5828</v>
      </c>
      <c r="E3626" s="8">
        <v>856</v>
      </c>
      <c r="F3626" s="8">
        <v>976</v>
      </c>
      <c r="G3626" s="8">
        <v>98</v>
      </c>
      <c r="H3626" s="8">
        <v>40064</v>
      </c>
      <c r="I3626" s="8">
        <v>5</v>
      </c>
      <c r="J3626" s="8">
        <v>40</v>
      </c>
      <c r="K3626" s="8">
        <v>1043</v>
      </c>
      <c r="L3626" s="8">
        <v>854</v>
      </c>
      <c r="M3626" s="8">
        <v>10.66666667</v>
      </c>
      <c r="N3626">
        <f>VLOOKUP(A3626,vlookup_table!$A:$G,2,FALSE)</f>
        <v>2</v>
      </c>
      <c r="O3626" t="str">
        <f>VLOOKUP(A3626,vlookup_table!$A:$G,3,FALSE)</f>
        <v>CA</v>
      </c>
      <c r="P3626">
        <f>VLOOKUP(A3626,vlookup_table!$A:$G,4,FALSE)</f>
        <v>4506</v>
      </c>
      <c r="Q3626" t="str">
        <f>VLOOKUP(A3626,vlookup_table!$A:$G,5,FALSE)</f>
        <v>S1</v>
      </c>
      <c r="R3626" t="str">
        <f>VLOOKUP(A3626,vlookup_table!$A:$G,6,FALSE)</f>
        <v>M</v>
      </c>
      <c r="S3626">
        <f>VLOOKUP(A3626,vlookup_table!$A:$G,7,FALSE)</f>
        <v>20</v>
      </c>
      <c r="T3626">
        <f t="shared" si="112"/>
        <v>51</v>
      </c>
      <c r="U3626" t="str">
        <f t="shared" si="113"/>
        <v>Suburbano</v>
      </c>
    </row>
    <row r="3627" spans="1:21" ht="16" x14ac:dyDescent="0.4">
      <c r="A3627" s="9">
        <v>171338</v>
      </c>
      <c r="B3627" s="8" t="s">
        <v>21</v>
      </c>
      <c r="C3627" s="8" t="s">
        <v>17</v>
      </c>
      <c r="D3627" s="8">
        <v>2076</v>
      </c>
      <c r="E3627" s="8">
        <v>418</v>
      </c>
      <c r="F3627" s="8">
        <v>505</v>
      </c>
      <c r="G3627" s="8">
        <v>54</v>
      </c>
      <c r="H3627" s="8">
        <v>16340</v>
      </c>
      <c r="I3627" s="8">
        <v>3</v>
      </c>
      <c r="J3627" s="8">
        <v>63</v>
      </c>
      <c r="K3627" s="8">
        <v>443</v>
      </c>
      <c r="L3627" s="8">
        <v>479</v>
      </c>
      <c r="M3627" s="8">
        <v>6.6666666670000003</v>
      </c>
      <c r="N3627">
        <f>VLOOKUP(A3627,vlookup_table!$A:$G,2,FALSE)</f>
        <v>0</v>
      </c>
      <c r="O3627" t="str">
        <f>VLOOKUP(A3627,vlookup_table!$A:$G,3,FALSE)</f>
        <v>CA</v>
      </c>
      <c r="P3627">
        <f>VLOOKUP(A3627,vlookup_table!$A:$G,4,FALSE)</f>
        <v>4601</v>
      </c>
      <c r="Q3627" t="str">
        <f>VLOOKUP(A3627,vlookup_table!$A:$G,5,FALSE)</f>
        <v>T1</v>
      </c>
      <c r="R3627" t="str">
        <f>VLOOKUP(A3627,vlookup_table!$A:$G,6,FALSE)</f>
        <v>F</v>
      </c>
      <c r="S3627">
        <f>VLOOKUP(A3627,vlookup_table!$A:$G,7,FALSE)</f>
        <v>10</v>
      </c>
      <c r="T3627">
        <f t="shared" si="112"/>
        <v>50</v>
      </c>
      <c r="U3627" t="str">
        <f t="shared" si="113"/>
        <v>Pueblo</v>
      </c>
    </row>
    <row r="3628" spans="1:21" ht="16" x14ac:dyDescent="0.4">
      <c r="A3628" s="9">
        <v>160773</v>
      </c>
      <c r="B3628" s="8" t="s">
        <v>21</v>
      </c>
      <c r="C3628" s="8" t="s">
        <v>14</v>
      </c>
      <c r="D3628" s="8">
        <v>1679</v>
      </c>
      <c r="E3628" s="8">
        <v>503</v>
      </c>
      <c r="F3628" s="8">
        <v>560</v>
      </c>
      <c r="G3628" s="8">
        <v>34</v>
      </c>
      <c r="H3628" s="8">
        <v>16142</v>
      </c>
      <c r="I3628" s="8">
        <v>9</v>
      </c>
      <c r="J3628" s="8">
        <v>51</v>
      </c>
      <c r="K3628" s="8">
        <v>519</v>
      </c>
      <c r="L3628" s="8">
        <v>553</v>
      </c>
      <c r="M3628" s="8">
        <v>7.6</v>
      </c>
      <c r="N3628">
        <f>VLOOKUP(A3628,vlookup_table!$A:$G,2,FALSE)</f>
        <v>1</v>
      </c>
      <c r="O3628" t="str">
        <f>VLOOKUP(A3628,vlookup_table!$A:$G,3,FALSE)</f>
        <v>CA</v>
      </c>
      <c r="P3628">
        <f>VLOOKUP(A3628,vlookup_table!$A:$G,4,FALSE)</f>
        <v>4001</v>
      </c>
      <c r="Q3628" t="str">
        <f>VLOOKUP(A3628,vlookup_table!$A:$G,5,FALSE)</f>
        <v>C2</v>
      </c>
      <c r="R3628" t="str">
        <f>VLOOKUP(A3628,vlookup_table!$A:$G,6,FALSE)</f>
        <v>M</v>
      </c>
      <c r="S3628">
        <f>VLOOKUP(A3628,vlookup_table!$A:$G,7,FALSE)</f>
        <v>10</v>
      </c>
      <c r="T3628">
        <f t="shared" si="112"/>
        <v>56</v>
      </c>
      <c r="U3628" t="str">
        <f t="shared" si="113"/>
        <v>Ciudad</v>
      </c>
    </row>
    <row r="3629" spans="1:21" ht="16" x14ac:dyDescent="0.4">
      <c r="A3629" s="9">
        <v>21539</v>
      </c>
      <c r="B3629" s="8" t="s">
        <v>18</v>
      </c>
      <c r="C3629" s="8" t="s">
        <v>14</v>
      </c>
      <c r="D3629" s="8">
        <v>996</v>
      </c>
      <c r="E3629" s="8">
        <v>334</v>
      </c>
      <c r="F3629" s="8">
        <v>405</v>
      </c>
      <c r="G3629" s="8">
        <v>15</v>
      </c>
      <c r="H3629" s="8">
        <v>15432</v>
      </c>
      <c r="I3629" s="8">
        <v>1</v>
      </c>
      <c r="J3629" s="8">
        <v>73</v>
      </c>
      <c r="K3629" s="8">
        <v>370</v>
      </c>
      <c r="L3629" s="8">
        <v>391</v>
      </c>
      <c r="M3629" s="8">
        <v>3.6551724139999999</v>
      </c>
      <c r="N3629">
        <f>VLOOKUP(A3629,vlookup_table!$A:$G,2,FALSE)</f>
        <v>1</v>
      </c>
      <c r="O3629" t="str">
        <f>VLOOKUP(A3629,vlookup_table!$A:$G,3,FALSE)</f>
        <v>NC</v>
      </c>
      <c r="P3629">
        <f>VLOOKUP(A3629,vlookup_table!$A:$G,4,FALSE)</f>
        <v>4001</v>
      </c>
      <c r="Q3629" t="str">
        <f>VLOOKUP(A3629,vlookup_table!$A:$G,5,FALSE)</f>
        <v>R2</v>
      </c>
      <c r="R3629" t="str">
        <f>VLOOKUP(A3629,vlookup_table!$A:$G,6,FALSE)</f>
        <v>M</v>
      </c>
      <c r="S3629">
        <f>VLOOKUP(A3629,vlookup_table!$A:$G,7,FALSE)</f>
        <v>3</v>
      </c>
      <c r="T3629">
        <f t="shared" si="112"/>
        <v>56</v>
      </c>
      <c r="U3629" t="str">
        <f t="shared" si="113"/>
        <v>Rural</v>
      </c>
    </row>
    <row r="3630" spans="1:21" ht="16" x14ac:dyDescent="0.4">
      <c r="A3630" s="9">
        <v>125277</v>
      </c>
      <c r="B3630" s="8" t="s">
        <v>20</v>
      </c>
      <c r="C3630" s="8" t="s">
        <v>14</v>
      </c>
      <c r="D3630" s="8">
        <v>1136</v>
      </c>
      <c r="E3630" s="8">
        <v>505</v>
      </c>
      <c r="F3630" s="8">
        <v>590</v>
      </c>
      <c r="G3630" s="8">
        <v>11</v>
      </c>
      <c r="H3630" s="8">
        <v>24454</v>
      </c>
      <c r="I3630" s="8">
        <v>4</v>
      </c>
      <c r="J3630" s="8">
        <v>47</v>
      </c>
      <c r="K3630" s="8">
        <v>531</v>
      </c>
      <c r="L3630" s="8">
        <v>578</v>
      </c>
      <c r="M3630" s="8">
        <v>36.363636360000001</v>
      </c>
      <c r="N3630">
        <f>VLOOKUP(A3630,vlookup_table!$A:$G,2,FALSE)</f>
        <v>1</v>
      </c>
      <c r="O3630" t="str">
        <f>VLOOKUP(A3630,vlookup_table!$A:$G,3,FALSE)</f>
        <v>TX</v>
      </c>
      <c r="P3630">
        <f>VLOOKUP(A3630,vlookup_table!$A:$G,4,FALSE)</f>
        <v>3401</v>
      </c>
      <c r="Q3630" t="str">
        <f>VLOOKUP(A3630,vlookup_table!$A:$G,5,FALSE)</f>
        <v>S1</v>
      </c>
      <c r="R3630" t="str">
        <f>VLOOKUP(A3630,vlookup_table!$A:$G,6,FALSE)</f>
        <v>M</v>
      </c>
      <c r="S3630">
        <f>VLOOKUP(A3630,vlookup_table!$A:$G,7,FALSE)</f>
        <v>53</v>
      </c>
      <c r="T3630">
        <f t="shared" si="112"/>
        <v>62</v>
      </c>
      <c r="U3630" t="str">
        <f t="shared" si="113"/>
        <v>Suburbano</v>
      </c>
    </row>
    <row r="3631" spans="1:21" ht="16" x14ac:dyDescent="0.4">
      <c r="A3631" s="9">
        <v>116329</v>
      </c>
      <c r="B3631" s="8" t="s">
        <v>20</v>
      </c>
      <c r="C3631" s="8" t="s">
        <v>14</v>
      </c>
      <c r="D3631" s="8">
        <v>2196</v>
      </c>
      <c r="E3631" s="8">
        <v>606</v>
      </c>
      <c r="F3631" s="8">
        <v>875</v>
      </c>
      <c r="G3631" s="8">
        <v>66</v>
      </c>
      <c r="H3631" s="8">
        <v>34050</v>
      </c>
      <c r="I3631" s="8">
        <v>12</v>
      </c>
      <c r="J3631" s="8">
        <v>34</v>
      </c>
      <c r="K3631" s="8">
        <v>797</v>
      </c>
      <c r="L3631" s="8">
        <v>700</v>
      </c>
      <c r="M3631" s="8">
        <v>10.625</v>
      </c>
      <c r="N3631">
        <f>VLOOKUP(A3631,vlookup_table!$A:$G,2,FALSE)</f>
        <v>0</v>
      </c>
      <c r="O3631" t="str">
        <f>VLOOKUP(A3631,vlookup_table!$A:$G,3,FALSE)</f>
        <v>TX</v>
      </c>
      <c r="P3631">
        <f>VLOOKUP(A3631,vlookup_table!$A:$G,4,FALSE)</f>
        <v>5508</v>
      </c>
      <c r="Q3631" t="str">
        <f>VLOOKUP(A3631,vlookup_table!$A:$G,5,FALSE)</f>
        <v>S1</v>
      </c>
      <c r="R3631" t="str">
        <f>VLOOKUP(A3631,vlookup_table!$A:$G,6,FALSE)</f>
        <v>M</v>
      </c>
      <c r="S3631">
        <f>VLOOKUP(A3631,vlookup_table!$A:$G,7,FALSE)</f>
        <v>15</v>
      </c>
      <c r="T3631">
        <f t="shared" si="112"/>
        <v>41</v>
      </c>
      <c r="U3631" t="str">
        <f t="shared" si="113"/>
        <v>Suburbano</v>
      </c>
    </row>
    <row r="3632" spans="1:21" ht="16" x14ac:dyDescent="0.4">
      <c r="A3632" s="9">
        <v>126091</v>
      </c>
      <c r="B3632" s="8" t="s">
        <v>20</v>
      </c>
      <c r="C3632" s="8" t="s">
        <v>17</v>
      </c>
      <c r="D3632" s="8">
        <v>395</v>
      </c>
      <c r="E3632" s="8">
        <v>115</v>
      </c>
      <c r="F3632" s="8">
        <v>199</v>
      </c>
      <c r="G3632" s="8">
        <v>0</v>
      </c>
      <c r="H3632" s="8">
        <v>5058</v>
      </c>
      <c r="I3632" s="8">
        <v>10</v>
      </c>
      <c r="J3632" s="8">
        <v>89</v>
      </c>
      <c r="K3632" s="8">
        <v>154</v>
      </c>
      <c r="L3632" s="8">
        <v>177</v>
      </c>
      <c r="M3632" s="8">
        <v>6.2142857139999998</v>
      </c>
      <c r="N3632">
        <f>VLOOKUP(A3632,vlookup_table!$A:$G,2,FALSE)</f>
        <v>28</v>
      </c>
      <c r="O3632" t="str">
        <f>VLOOKUP(A3632,vlookup_table!$A:$G,3,FALSE)</f>
        <v>TX</v>
      </c>
      <c r="P3632">
        <f>VLOOKUP(A3632,vlookup_table!$A:$G,4,FALSE)</f>
        <v>4202</v>
      </c>
      <c r="Q3632" t="str">
        <f>VLOOKUP(A3632,vlookup_table!$A:$G,5,FALSE)</f>
        <v>C3</v>
      </c>
      <c r="R3632" t="str">
        <f>VLOOKUP(A3632,vlookup_table!$A:$G,6,FALSE)</f>
        <v>F</v>
      </c>
      <c r="S3632">
        <f>VLOOKUP(A3632,vlookup_table!$A:$G,7,FALSE)</f>
        <v>6</v>
      </c>
      <c r="T3632">
        <f t="shared" si="112"/>
        <v>54</v>
      </c>
      <c r="U3632" t="str">
        <f t="shared" si="113"/>
        <v>Ciudad</v>
      </c>
    </row>
    <row r="3633" spans="1:21" ht="16" x14ac:dyDescent="0.4">
      <c r="A3633" s="9">
        <v>22206</v>
      </c>
      <c r="B3633" s="8" t="s">
        <v>18</v>
      </c>
      <c r="C3633" s="8" t="s">
        <v>97</v>
      </c>
      <c r="D3633" s="8">
        <v>897</v>
      </c>
      <c r="E3633" s="8">
        <v>309</v>
      </c>
      <c r="F3633" s="8">
        <v>417</v>
      </c>
      <c r="G3633" s="8">
        <v>3</v>
      </c>
      <c r="H3633" s="8">
        <v>16489</v>
      </c>
      <c r="I3633" s="8">
        <v>3</v>
      </c>
      <c r="J3633" s="8">
        <v>45</v>
      </c>
      <c r="K3633" s="8">
        <v>360</v>
      </c>
      <c r="L3633" s="8">
        <v>366</v>
      </c>
      <c r="M3633" s="8">
        <v>14.5</v>
      </c>
      <c r="N3633">
        <f>VLOOKUP(A3633,vlookup_table!$A:$G,2,FALSE)</f>
        <v>0</v>
      </c>
      <c r="O3633" t="str">
        <f>VLOOKUP(A3633,vlookup_table!$A:$G,3,FALSE)</f>
        <v>NC</v>
      </c>
      <c r="P3633">
        <f>VLOOKUP(A3633,vlookup_table!$A:$G,4,FALSE)</f>
        <v>3510</v>
      </c>
      <c r="Q3633" t="str">
        <f>VLOOKUP(A3633,vlookup_table!$A:$G,5,FALSE)</f>
        <v/>
      </c>
      <c r="R3633" t="str">
        <f>VLOOKUP(A3633,vlookup_table!$A:$G,6,FALSE)</f>
        <v>F</v>
      </c>
      <c r="S3633">
        <f>VLOOKUP(A3633,vlookup_table!$A:$G,7,FALSE)</f>
        <v>25</v>
      </c>
      <c r="T3633">
        <f t="shared" si="112"/>
        <v>61</v>
      </c>
      <c r="U3633" t="str">
        <f t="shared" si="113"/>
        <v/>
      </c>
    </row>
    <row r="3634" spans="1:21" ht="16" x14ac:dyDescent="0.4">
      <c r="A3634" s="9">
        <v>9537</v>
      </c>
      <c r="B3634" s="8" t="s">
        <v>49</v>
      </c>
      <c r="C3634" s="8" t="s">
        <v>17</v>
      </c>
      <c r="D3634" s="8">
        <v>753</v>
      </c>
      <c r="E3634" s="8">
        <v>370</v>
      </c>
      <c r="F3634" s="8">
        <v>437</v>
      </c>
      <c r="G3634" s="8">
        <v>1</v>
      </c>
      <c r="H3634" s="8">
        <v>13078</v>
      </c>
      <c r="I3634" s="8">
        <v>1</v>
      </c>
      <c r="J3634" s="8">
        <v>53</v>
      </c>
      <c r="K3634" s="8">
        <v>383</v>
      </c>
      <c r="L3634" s="8">
        <v>412</v>
      </c>
      <c r="M3634" s="8">
        <v>19.222222219999999</v>
      </c>
      <c r="N3634">
        <f>VLOOKUP(A3634,vlookup_table!$A:$G,2,FALSE)</f>
        <v>0</v>
      </c>
      <c r="O3634" t="str">
        <f>VLOOKUP(A3634,vlookup_table!$A:$G,3,FALSE)</f>
        <v>TN</v>
      </c>
      <c r="P3634">
        <f>VLOOKUP(A3634,vlookup_table!$A:$G,4,FALSE)</f>
        <v>4301</v>
      </c>
      <c r="Q3634" t="str">
        <f>VLOOKUP(A3634,vlookup_table!$A:$G,5,FALSE)</f>
        <v>T2</v>
      </c>
      <c r="R3634" t="str">
        <f>VLOOKUP(A3634,vlookup_table!$A:$G,6,FALSE)</f>
        <v>F</v>
      </c>
      <c r="S3634">
        <f>VLOOKUP(A3634,vlookup_table!$A:$G,7,FALSE)</f>
        <v>35</v>
      </c>
      <c r="T3634">
        <f t="shared" si="112"/>
        <v>53</v>
      </c>
      <c r="U3634" t="str">
        <f t="shared" si="113"/>
        <v>Pueblo</v>
      </c>
    </row>
    <row r="3635" spans="1:21" ht="16" x14ac:dyDescent="0.4">
      <c r="A3635" s="9">
        <v>103857</v>
      </c>
      <c r="B3635" s="8" t="s">
        <v>33</v>
      </c>
      <c r="C3635" s="8" t="s">
        <v>14</v>
      </c>
      <c r="D3635" s="8">
        <v>278</v>
      </c>
      <c r="E3635" s="8">
        <v>158</v>
      </c>
      <c r="F3635" s="8">
        <v>234</v>
      </c>
      <c r="G3635" s="8">
        <v>1</v>
      </c>
      <c r="H3635" s="8">
        <v>8347</v>
      </c>
      <c r="I3635" s="8">
        <v>0</v>
      </c>
      <c r="J3635" s="8">
        <v>67</v>
      </c>
      <c r="K3635" s="8">
        <v>190</v>
      </c>
      <c r="L3635" s="8">
        <v>204</v>
      </c>
      <c r="M3635" s="8">
        <v>17.5</v>
      </c>
      <c r="N3635">
        <f>VLOOKUP(A3635,vlookup_table!$A:$G,2,FALSE)</f>
        <v>0</v>
      </c>
      <c r="O3635" t="str">
        <f>VLOOKUP(A3635,vlookup_table!$A:$G,3,FALSE)</f>
        <v>MO</v>
      </c>
      <c r="P3635">
        <f>VLOOKUP(A3635,vlookup_table!$A:$G,4,FALSE)</f>
        <v>0</v>
      </c>
      <c r="Q3635" t="str">
        <f>VLOOKUP(A3635,vlookup_table!$A:$G,5,FALSE)</f>
        <v>R3</v>
      </c>
      <c r="R3635" t="str">
        <f>VLOOKUP(A3635,vlookup_table!$A:$G,6,FALSE)</f>
        <v>M</v>
      </c>
      <c r="S3635">
        <f>VLOOKUP(A3635,vlookup_table!$A:$G,7,FALSE)</f>
        <v>15</v>
      </c>
      <c r="T3635">
        <f t="shared" si="112"/>
        <v>96</v>
      </c>
      <c r="U3635" t="str">
        <f t="shared" si="113"/>
        <v>Rural</v>
      </c>
    </row>
    <row r="3636" spans="1:21" ht="16" x14ac:dyDescent="0.4">
      <c r="A3636" s="9">
        <v>146940</v>
      </c>
      <c r="B3636" s="8" t="s">
        <v>21</v>
      </c>
      <c r="C3636" s="8" t="s">
        <v>14</v>
      </c>
      <c r="D3636" s="8">
        <v>5679</v>
      </c>
      <c r="E3636" s="8">
        <v>518</v>
      </c>
      <c r="F3636" s="8">
        <v>781</v>
      </c>
      <c r="G3636" s="8">
        <v>97</v>
      </c>
      <c r="H3636" s="8">
        <v>47163</v>
      </c>
      <c r="I3636" s="8">
        <v>4</v>
      </c>
      <c r="J3636" s="8">
        <v>44</v>
      </c>
      <c r="K3636" s="8">
        <v>787</v>
      </c>
      <c r="L3636" s="8">
        <v>629</v>
      </c>
      <c r="M3636" s="8">
        <v>8.5</v>
      </c>
      <c r="N3636">
        <f>VLOOKUP(A3636,vlookup_table!$A:$G,2,FALSE)</f>
        <v>2</v>
      </c>
      <c r="O3636" t="str">
        <f>VLOOKUP(A3636,vlookup_table!$A:$G,3,FALSE)</f>
        <v>CA</v>
      </c>
      <c r="P3636">
        <f>VLOOKUP(A3636,vlookup_table!$A:$G,4,FALSE)</f>
        <v>1001</v>
      </c>
      <c r="Q3636" t="str">
        <f>VLOOKUP(A3636,vlookup_table!$A:$G,5,FALSE)</f>
        <v>U1</v>
      </c>
      <c r="R3636" t="str">
        <f>VLOOKUP(A3636,vlookup_table!$A:$G,6,FALSE)</f>
        <v>M</v>
      </c>
      <c r="S3636">
        <f>VLOOKUP(A3636,vlookup_table!$A:$G,7,FALSE)</f>
        <v>15</v>
      </c>
      <c r="T3636">
        <f t="shared" si="112"/>
        <v>86</v>
      </c>
      <c r="U3636" t="str">
        <f t="shared" si="113"/>
        <v>Urbano</v>
      </c>
    </row>
    <row r="3637" spans="1:21" ht="16" x14ac:dyDescent="0.4">
      <c r="A3637" s="9">
        <v>129136</v>
      </c>
      <c r="B3637" s="8" t="s">
        <v>45</v>
      </c>
      <c r="C3637" s="8" t="s">
        <v>17</v>
      </c>
      <c r="D3637" s="8">
        <v>494</v>
      </c>
      <c r="E3637" s="8">
        <v>140</v>
      </c>
      <c r="F3637" s="8">
        <v>245</v>
      </c>
      <c r="G3637" s="8">
        <v>0</v>
      </c>
      <c r="H3637" s="8">
        <v>13810</v>
      </c>
      <c r="I3637" s="8">
        <v>0</v>
      </c>
      <c r="J3637" s="8">
        <v>50</v>
      </c>
      <c r="K3637" s="8">
        <v>161</v>
      </c>
      <c r="L3637" s="8">
        <v>175</v>
      </c>
      <c r="M3637" s="8">
        <v>25</v>
      </c>
      <c r="N3637">
        <f>VLOOKUP(A3637,vlookup_table!$A:$G,2,FALSE)</f>
        <v>28</v>
      </c>
      <c r="O3637" t="str">
        <f>VLOOKUP(A3637,vlookup_table!$A:$G,3,FALSE)</f>
        <v>CO</v>
      </c>
      <c r="P3637">
        <f>VLOOKUP(A3637,vlookup_table!$A:$G,4,FALSE)</f>
        <v>0</v>
      </c>
      <c r="Q3637" t="str">
        <f>VLOOKUP(A3637,vlookup_table!$A:$G,5,FALSE)</f>
        <v>C3</v>
      </c>
      <c r="R3637" t="str">
        <f>VLOOKUP(A3637,vlookup_table!$A:$G,6,FALSE)</f>
        <v>F</v>
      </c>
      <c r="S3637">
        <f>VLOOKUP(A3637,vlookup_table!$A:$G,7,FALSE)</f>
        <v>25</v>
      </c>
      <c r="T3637">
        <f t="shared" si="112"/>
        <v>96</v>
      </c>
      <c r="U3637" t="str">
        <f t="shared" si="113"/>
        <v>Ciudad</v>
      </c>
    </row>
    <row r="3638" spans="1:21" ht="16" x14ac:dyDescent="0.4">
      <c r="A3638" s="9">
        <v>170649</v>
      </c>
      <c r="B3638" s="8" t="s">
        <v>21</v>
      </c>
      <c r="C3638" s="8" t="s">
        <v>14</v>
      </c>
      <c r="D3638" s="8">
        <v>1600</v>
      </c>
      <c r="E3638" s="8">
        <v>548</v>
      </c>
      <c r="F3638" s="8">
        <v>608</v>
      </c>
      <c r="G3638" s="8">
        <v>15</v>
      </c>
      <c r="H3638" s="8">
        <v>21369</v>
      </c>
      <c r="I3638" s="8">
        <v>3</v>
      </c>
      <c r="J3638" s="8">
        <v>53</v>
      </c>
      <c r="K3638" s="8">
        <v>551</v>
      </c>
      <c r="L3638" s="8">
        <v>603</v>
      </c>
      <c r="M3638" s="8">
        <v>17</v>
      </c>
      <c r="N3638">
        <f>VLOOKUP(A3638,vlookup_table!$A:$G,2,FALSE)</f>
        <v>0</v>
      </c>
      <c r="O3638" t="str">
        <f>VLOOKUP(A3638,vlookup_table!$A:$G,3,FALSE)</f>
        <v>CA</v>
      </c>
      <c r="P3638">
        <f>VLOOKUP(A3638,vlookup_table!$A:$G,4,FALSE)</f>
        <v>3301</v>
      </c>
      <c r="Q3638" t="str">
        <f>VLOOKUP(A3638,vlookup_table!$A:$G,5,FALSE)</f>
        <v>U1</v>
      </c>
      <c r="R3638" t="str">
        <f>VLOOKUP(A3638,vlookup_table!$A:$G,6,FALSE)</f>
        <v>M</v>
      </c>
      <c r="S3638">
        <f>VLOOKUP(A3638,vlookup_table!$A:$G,7,FALSE)</f>
        <v>25</v>
      </c>
      <c r="T3638">
        <f t="shared" si="112"/>
        <v>63</v>
      </c>
      <c r="U3638" t="str">
        <f t="shared" si="113"/>
        <v>Urbano</v>
      </c>
    </row>
    <row r="3639" spans="1:21" ht="16" x14ac:dyDescent="0.4">
      <c r="A3639" s="9">
        <v>78256</v>
      </c>
      <c r="B3639" s="8" t="s">
        <v>32</v>
      </c>
      <c r="C3639" s="8" t="s">
        <v>17</v>
      </c>
      <c r="D3639" s="8">
        <v>273</v>
      </c>
      <c r="E3639" s="8">
        <v>207</v>
      </c>
      <c r="F3639" s="8">
        <v>255</v>
      </c>
      <c r="G3639" s="8">
        <v>0</v>
      </c>
      <c r="H3639" s="8">
        <v>6104</v>
      </c>
      <c r="I3639" s="8">
        <v>29</v>
      </c>
      <c r="J3639" s="8">
        <v>52</v>
      </c>
      <c r="K3639" s="8">
        <v>231</v>
      </c>
      <c r="L3639" s="8">
        <v>220</v>
      </c>
      <c r="M3639" s="8">
        <v>10.07692308</v>
      </c>
      <c r="N3639">
        <f>VLOOKUP(A3639,vlookup_table!$A:$G,2,FALSE)</f>
        <v>0</v>
      </c>
      <c r="O3639" t="str">
        <f>VLOOKUP(A3639,vlookup_table!$A:$G,3,FALSE)</f>
        <v>WI</v>
      </c>
      <c r="P3639">
        <f>VLOOKUP(A3639,vlookup_table!$A:$G,4,FALSE)</f>
        <v>3205</v>
      </c>
      <c r="Q3639" t="str">
        <f>VLOOKUP(A3639,vlookup_table!$A:$G,5,FALSE)</f>
        <v>U4</v>
      </c>
      <c r="R3639" t="str">
        <f>VLOOKUP(A3639,vlookup_table!$A:$G,6,FALSE)</f>
        <v>F</v>
      </c>
      <c r="S3639">
        <f>VLOOKUP(A3639,vlookup_table!$A:$G,7,FALSE)</f>
        <v>11</v>
      </c>
      <c r="T3639">
        <f t="shared" si="112"/>
        <v>64</v>
      </c>
      <c r="U3639" t="str">
        <f t="shared" si="113"/>
        <v>Urbano</v>
      </c>
    </row>
    <row r="3640" spans="1:21" ht="16" x14ac:dyDescent="0.4">
      <c r="A3640" s="9">
        <v>160736</v>
      </c>
      <c r="B3640" s="8" t="s">
        <v>21</v>
      </c>
      <c r="C3640" s="8" t="s">
        <v>17</v>
      </c>
      <c r="D3640" s="8">
        <v>1500</v>
      </c>
      <c r="E3640" s="8">
        <v>258</v>
      </c>
      <c r="F3640" s="8">
        <v>414</v>
      </c>
      <c r="G3640" s="8">
        <v>19</v>
      </c>
      <c r="H3640" s="8">
        <v>15518</v>
      </c>
      <c r="I3640" s="8">
        <v>0</v>
      </c>
      <c r="J3640" s="8">
        <v>57</v>
      </c>
      <c r="K3640" s="8">
        <v>346</v>
      </c>
      <c r="L3640" s="8">
        <v>331</v>
      </c>
      <c r="M3640" s="8">
        <v>10.44444444</v>
      </c>
      <c r="N3640">
        <f>VLOOKUP(A3640,vlookup_table!$A:$G,2,FALSE)</f>
        <v>28</v>
      </c>
      <c r="O3640" t="str">
        <f>VLOOKUP(A3640,vlookup_table!$A:$G,3,FALSE)</f>
        <v>CA</v>
      </c>
      <c r="P3640">
        <f>VLOOKUP(A3640,vlookup_table!$A:$G,4,FALSE)</f>
        <v>3401</v>
      </c>
      <c r="Q3640" t="str">
        <f>VLOOKUP(A3640,vlookup_table!$A:$G,5,FALSE)</f>
        <v>T3</v>
      </c>
      <c r="R3640" t="str">
        <f>VLOOKUP(A3640,vlookup_table!$A:$G,6,FALSE)</f>
        <v>F</v>
      </c>
      <c r="S3640">
        <f>VLOOKUP(A3640,vlookup_table!$A:$G,7,FALSE)</f>
        <v>12</v>
      </c>
      <c r="T3640">
        <f t="shared" si="112"/>
        <v>62</v>
      </c>
      <c r="U3640" t="str">
        <f t="shared" si="113"/>
        <v>Pueblo</v>
      </c>
    </row>
    <row r="3641" spans="1:21" ht="16" x14ac:dyDescent="0.4">
      <c r="A3641" s="9">
        <v>6198</v>
      </c>
      <c r="B3641" s="8" t="s">
        <v>21</v>
      </c>
      <c r="C3641" s="8" t="s">
        <v>17</v>
      </c>
      <c r="D3641" s="8">
        <v>1941</v>
      </c>
      <c r="E3641" s="8">
        <v>433</v>
      </c>
      <c r="F3641" s="8">
        <v>450</v>
      </c>
      <c r="G3641" s="8">
        <v>42</v>
      </c>
      <c r="H3641" s="8">
        <v>12296</v>
      </c>
      <c r="I3641" s="8">
        <v>13</v>
      </c>
      <c r="J3641" s="8">
        <v>58</v>
      </c>
      <c r="K3641" s="8">
        <v>412</v>
      </c>
      <c r="L3641" s="8">
        <v>474</v>
      </c>
      <c r="M3641" s="8">
        <v>13.65217391</v>
      </c>
      <c r="N3641">
        <f>VLOOKUP(A3641,vlookup_table!$A:$G,2,FALSE)</f>
        <v>2</v>
      </c>
      <c r="O3641" t="str">
        <f>VLOOKUP(A3641,vlookup_table!$A:$G,3,FALSE)</f>
        <v>CA</v>
      </c>
      <c r="P3641">
        <f>VLOOKUP(A3641,vlookup_table!$A:$G,4,FALSE)</f>
        <v>1102</v>
      </c>
      <c r="Q3641" t="str">
        <f>VLOOKUP(A3641,vlookup_table!$A:$G,5,FALSE)</f>
        <v>S1</v>
      </c>
      <c r="R3641" t="str">
        <f>VLOOKUP(A3641,vlookup_table!$A:$G,6,FALSE)</f>
        <v>F</v>
      </c>
      <c r="S3641">
        <f>VLOOKUP(A3641,vlookup_table!$A:$G,7,FALSE)</f>
        <v>20</v>
      </c>
      <c r="T3641">
        <f t="shared" si="112"/>
        <v>85</v>
      </c>
      <c r="U3641" t="str">
        <f t="shared" si="113"/>
        <v>Suburbano</v>
      </c>
    </row>
    <row r="3642" spans="1:21" ht="16" x14ac:dyDescent="0.4">
      <c r="A3642" s="9">
        <v>146695</v>
      </c>
      <c r="B3642" s="8" t="s">
        <v>21</v>
      </c>
      <c r="C3642" s="8" t="s">
        <v>17</v>
      </c>
      <c r="D3642" s="8">
        <v>3909</v>
      </c>
      <c r="E3642" s="8">
        <v>870</v>
      </c>
      <c r="F3642" s="8">
        <v>901</v>
      </c>
      <c r="G3642" s="8">
        <v>98</v>
      </c>
      <c r="H3642" s="8">
        <v>34835</v>
      </c>
      <c r="I3642" s="8">
        <v>16</v>
      </c>
      <c r="J3642" s="8">
        <v>45</v>
      </c>
      <c r="K3642" s="8">
        <v>886</v>
      </c>
      <c r="L3642" s="8">
        <v>878</v>
      </c>
      <c r="M3642" s="8">
        <v>20</v>
      </c>
      <c r="N3642">
        <f>VLOOKUP(A3642,vlookup_table!$A:$G,2,FALSE)</f>
        <v>2</v>
      </c>
      <c r="O3642" t="str">
        <f>VLOOKUP(A3642,vlookup_table!$A:$G,3,FALSE)</f>
        <v>CA</v>
      </c>
      <c r="P3642">
        <f>VLOOKUP(A3642,vlookup_table!$A:$G,4,FALSE)</f>
        <v>5501</v>
      </c>
      <c r="Q3642" t="str">
        <f>VLOOKUP(A3642,vlookup_table!$A:$G,5,FALSE)</f>
        <v>S1</v>
      </c>
      <c r="R3642" t="str">
        <f>VLOOKUP(A3642,vlookup_table!$A:$G,6,FALSE)</f>
        <v>F</v>
      </c>
      <c r="S3642">
        <f>VLOOKUP(A3642,vlookup_table!$A:$G,7,FALSE)</f>
        <v>20</v>
      </c>
      <c r="T3642">
        <f t="shared" si="112"/>
        <v>41</v>
      </c>
      <c r="U3642" t="str">
        <f t="shared" si="113"/>
        <v>Suburbano</v>
      </c>
    </row>
    <row r="3643" spans="1:21" ht="16" x14ac:dyDescent="0.4">
      <c r="A3643" s="9">
        <v>20631</v>
      </c>
      <c r="B3643" s="8" t="s">
        <v>18</v>
      </c>
      <c r="C3643" s="8" t="s">
        <v>17</v>
      </c>
      <c r="D3643" s="8">
        <v>615</v>
      </c>
      <c r="E3643" s="8">
        <v>311</v>
      </c>
      <c r="F3643" s="8">
        <v>369</v>
      </c>
      <c r="G3643" s="8">
        <v>1</v>
      </c>
      <c r="H3643" s="8">
        <v>12294</v>
      </c>
      <c r="I3643" s="8">
        <v>1</v>
      </c>
      <c r="J3643" s="8">
        <v>74</v>
      </c>
      <c r="K3643" s="8">
        <v>348</v>
      </c>
      <c r="L3643" s="8">
        <v>336</v>
      </c>
      <c r="M3643" s="8">
        <v>7.3636363640000004</v>
      </c>
      <c r="N3643">
        <f>VLOOKUP(A3643,vlookup_table!$A:$G,2,FALSE)</f>
        <v>0</v>
      </c>
      <c r="O3643" t="str">
        <f>VLOOKUP(A3643,vlookup_table!$A:$G,3,FALSE)</f>
        <v>NC</v>
      </c>
      <c r="P3643">
        <f>VLOOKUP(A3643,vlookup_table!$A:$G,4,FALSE)</f>
        <v>5501</v>
      </c>
      <c r="Q3643" t="str">
        <f>VLOOKUP(A3643,vlookup_table!$A:$G,5,FALSE)</f>
        <v>T2</v>
      </c>
      <c r="R3643" t="str">
        <f>VLOOKUP(A3643,vlookup_table!$A:$G,6,FALSE)</f>
        <v>F</v>
      </c>
      <c r="S3643">
        <f>VLOOKUP(A3643,vlookup_table!$A:$G,7,FALSE)</f>
        <v>20</v>
      </c>
      <c r="T3643">
        <f t="shared" si="112"/>
        <v>41</v>
      </c>
      <c r="U3643" t="str">
        <f t="shared" si="113"/>
        <v>Pueblo</v>
      </c>
    </row>
    <row r="3644" spans="1:21" ht="16" x14ac:dyDescent="0.4">
      <c r="A3644" s="9">
        <v>15006</v>
      </c>
      <c r="B3644" s="8" t="s">
        <v>21</v>
      </c>
      <c r="C3644" s="8" t="s">
        <v>17</v>
      </c>
      <c r="D3644" s="8">
        <v>5000</v>
      </c>
      <c r="E3644" s="8">
        <v>303</v>
      </c>
      <c r="F3644" s="8">
        <v>546</v>
      </c>
      <c r="G3644" s="8">
        <v>93</v>
      </c>
      <c r="H3644" s="8">
        <v>29754</v>
      </c>
      <c r="I3644" s="8">
        <v>36</v>
      </c>
      <c r="J3644" s="8">
        <v>23</v>
      </c>
      <c r="K3644" s="8">
        <v>400</v>
      </c>
      <c r="L3644" s="8">
        <v>427</v>
      </c>
      <c r="M3644" s="8">
        <v>11.25</v>
      </c>
      <c r="N3644">
        <f>VLOOKUP(A3644,vlookup_table!$A:$G,2,FALSE)</f>
        <v>0</v>
      </c>
      <c r="O3644" t="str">
        <f>VLOOKUP(A3644,vlookup_table!$A:$G,3,FALSE)</f>
        <v>CA</v>
      </c>
      <c r="P3644">
        <f>VLOOKUP(A3644,vlookup_table!$A:$G,4,FALSE)</f>
        <v>6601</v>
      </c>
      <c r="Q3644" t="str">
        <f>VLOOKUP(A3644,vlookup_table!$A:$G,5,FALSE)</f>
        <v>U1</v>
      </c>
      <c r="R3644" t="str">
        <f>VLOOKUP(A3644,vlookup_table!$A:$G,6,FALSE)</f>
        <v>F</v>
      </c>
      <c r="S3644">
        <f>VLOOKUP(A3644,vlookup_table!$A:$G,7,FALSE)</f>
        <v>10</v>
      </c>
      <c r="T3644">
        <f t="shared" si="112"/>
        <v>30</v>
      </c>
      <c r="U3644" t="str">
        <f t="shared" si="113"/>
        <v>Urbano</v>
      </c>
    </row>
    <row r="3645" spans="1:21" ht="16" x14ac:dyDescent="0.4">
      <c r="A3645" s="9">
        <v>1293</v>
      </c>
      <c r="B3645" s="8" t="s">
        <v>16</v>
      </c>
      <c r="C3645" s="8" t="s">
        <v>17</v>
      </c>
      <c r="D3645" s="8">
        <v>917</v>
      </c>
      <c r="E3645" s="8">
        <v>462</v>
      </c>
      <c r="F3645" s="8">
        <v>474</v>
      </c>
      <c r="G3645" s="8">
        <v>0</v>
      </c>
      <c r="H3645" s="8">
        <v>14229</v>
      </c>
      <c r="I3645" s="8">
        <v>1</v>
      </c>
      <c r="J3645" s="8">
        <v>85</v>
      </c>
      <c r="K3645" s="8">
        <v>480</v>
      </c>
      <c r="L3645" s="8">
        <v>434</v>
      </c>
      <c r="M3645" s="8">
        <v>5.2857142860000002</v>
      </c>
      <c r="N3645">
        <f>VLOOKUP(A3645,vlookup_table!$A:$G,2,FALSE)</f>
        <v>0</v>
      </c>
      <c r="O3645" t="str">
        <f>VLOOKUP(A3645,vlookup_table!$A:$G,3,FALSE)</f>
        <v>IL</v>
      </c>
      <c r="P3645">
        <f>VLOOKUP(A3645,vlookup_table!$A:$G,4,FALSE)</f>
        <v>2201</v>
      </c>
      <c r="Q3645" t="str">
        <f>VLOOKUP(A3645,vlookup_table!$A:$G,5,FALSE)</f>
        <v>S2</v>
      </c>
      <c r="R3645" t="str">
        <f>VLOOKUP(A3645,vlookup_table!$A:$G,6,FALSE)</f>
        <v>F</v>
      </c>
      <c r="S3645">
        <f>VLOOKUP(A3645,vlookup_table!$A:$G,7,FALSE)</f>
        <v>2</v>
      </c>
      <c r="T3645">
        <f t="shared" si="112"/>
        <v>74</v>
      </c>
      <c r="U3645" t="str">
        <f t="shared" si="113"/>
        <v>Suburbano</v>
      </c>
    </row>
    <row r="3646" spans="1:21" ht="16" x14ac:dyDescent="0.4">
      <c r="A3646" s="9">
        <v>139626</v>
      </c>
      <c r="B3646" s="8" t="s">
        <v>50</v>
      </c>
      <c r="C3646" s="8" t="s">
        <v>14</v>
      </c>
      <c r="D3646" s="8">
        <v>1590</v>
      </c>
      <c r="E3646" s="8">
        <v>524</v>
      </c>
      <c r="F3646" s="8">
        <v>682</v>
      </c>
      <c r="G3646" s="8">
        <v>33</v>
      </c>
      <c r="H3646" s="8">
        <v>27625</v>
      </c>
      <c r="I3646" s="8">
        <v>4</v>
      </c>
      <c r="J3646" s="8">
        <v>39</v>
      </c>
      <c r="K3646" s="8">
        <v>575</v>
      </c>
      <c r="L3646" s="8">
        <v>647</v>
      </c>
      <c r="M3646" s="8">
        <v>10.21428571</v>
      </c>
      <c r="N3646">
        <f>VLOOKUP(A3646,vlookup_table!$A:$G,2,FALSE)</f>
        <v>2</v>
      </c>
      <c r="O3646" t="str">
        <f>VLOOKUP(A3646,vlookup_table!$A:$G,3,FALSE)</f>
        <v>NM</v>
      </c>
      <c r="P3646">
        <f>VLOOKUP(A3646,vlookup_table!$A:$G,4,FALSE)</f>
        <v>2406</v>
      </c>
      <c r="Q3646" t="str">
        <f>VLOOKUP(A3646,vlookup_table!$A:$G,5,FALSE)</f>
        <v>U1</v>
      </c>
      <c r="R3646" t="str">
        <f>VLOOKUP(A3646,vlookup_table!$A:$G,6,FALSE)</f>
        <v>M</v>
      </c>
      <c r="S3646">
        <f>VLOOKUP(A3646,vlookup_table!$A:$G,7,FALSE)</f>
        <v>10</v>
      </c>
      <c r="T3646">
        <f t="shared" si="112"/>
        <v>72</v>
      </c>
      <c r="U3646" t="str">
        <f t="shared" si="113"/>
        <v>Urbano</v>
      </c>
    </row>
    <row r="3647" spans="1:21" ht="16" x14ac:dyDescent="0.4">
      <c r="A3647" s="9">
        <v>25760</v>
      </c>
      <c r="B3647" s="8" t="s">
        <v>36</v>
      </c>
      <c r="C3647" s="8" t="s">
        <v>14</v>
      </c>
      <c r="D3647" s="8">
        <v>554</v>
      </c>
      <c r="E3647" s="8">
        <v>275</v>
      </c>
      <c r="F3647" s="8">
        <v>444</v>
      </c>
      <c r="G3647" s="8">
        <v>0</v>
      </c>
      <c r="H3647" s="8">
        <v>13618</v>
      </c>
      <c r="I3647" s="8">
        <v>1</v>
      </c>
      <c r="J3647" s="8">
        <v>74</v>
      </c>
      <c r="K3647" s="8">
        <v>345</v>
      </c>
      <c r="L3647" s="8">
        <v>324</v>
      </c>
      <c r="M3647" s="8">
        <v>20</v>
      </c>
      <c r="N3647">
        <f>VLOOKUP(A3647,vlookup_table!$A:$G,2,FALSE)</f>
        <v>1</v>
      </c>
      <c r="O3647" t="str">
        <f>VLOOKUP(A3647,vlookup_table!$A:$G,3,FALSE)</f>
        <v>GA</v>
      </c>
      <c r="P3647">
        <f>VLOOKUP(A3647,vlookup_table!$A:$G,4,FALSE)</f>
        <v>0</v>
      </c>
      <c r="Q3647" t="str">
        <f>VLOOKUP(A3647,vlookup_table!$A:$G,5,FALSE)</f>
        <v>S3</v>
      </c>
      <c r="R3647" t="str">
        <f>VLOOKUP(A3647,vlookup_table!$A:$G,6,FALSE)</f>
        <v>M</v>
      </c>
      <c r="S3647">
        <f>VLOOKUP(A3647,vlookup_table!$A:$G,7,FALSE)</f>
        <v>20</v>
      </c>
      <c r="T3647">
        <f t="shared" si="112"/>
        <v>96</v>
      </c>
      <c r="U3647" t="str">
        <f t="shared" si="113"/>
        <v>Suburbano</v>
      </c>
    </row>
    <row r="3648" spans="1:21" ht="16" x14ac:dyDescent="0.4">
      <c r="A3648" s="9">
        <v>170486</v>
      </c>
      <c r="B3648" s="8" t="s">
        <v>21</v>
      </c>
      <c r="C3648" s="8" t="s">
        <v>14</v>
      </c>
      <c r="D3648" s="8">
        <v>993</v>
      </c>
      <c r="E3648" s="8">
        <v>347</v>
      </c>
      <c r="F3648" s="8">
        <v>443</v>
      </c>
      <c r="G3648" s="8">
        <v>1</v>
      </c>
      <c r="H3648" s="8">
        <v>13734</v>
      </c>
      <c r="I3648" s="8">
        <v>10</v>
      </c>
      <c r="J3648" s="8">
        <v>57</v>
      </c>
      <c r="K3648" s="8">
        <v>417</v>
      </c>
      <c r="L3648" s="8">
        <v>386</v>
      </c>
      <c r="M3648" s="8">
        <v>12.5</v>
      </c>
      <c r="N3648">
        <f>VLOOKUP(A3648,vlookup_table!$A:$G,2,FALSE)</f>
        <v>1</v>
      </c>
      <c r="O3648" t="str">
        <f>VLOOKUP(A3648,vlookup_table!$A:$G,3,FALSE)</f>
        <v>CA</v>
      </c>
      <c r="P3648">
        <f>VLOOKUP(A3648,vlookup_table!$A:$G,4,FALSE)</f>
        <v>0</v>
      </c>
      <c r="Q3648" t="str">
        <f>VLOOKUP(A3648,vlookup_table!$A:$G,5,FALSE)</f>
        <v>T1</v>
      </c>
      <c r="R3648" t="str">
        <f>VLOOKUP(A3648,vlookup_table!$A:$G,6,FALSE)</f>
        <v>M</v>
      </c>
      <c r="S3648">
        <f>VLOOKUP(A3648,vlookup_table!$A:$G,7,FALSE)</f>
        <v>12</v>
      </c>
      <c r="T3648">
        <f t="shared" si="112"/>
        <v>96</v>
      </c>
      <c r="U3648" t="str">
        <f t="shared" si="113"/>
        <v>Pueblo</v>
      </c>
    </row>
    <row r="3649" spans="1:21" ht="16" x14ac:dyDescent="0.4">
      <c r="A3649" s="9">
        <v>24172</v>
      </c>
      <c r="B3649" s="8" t="s">
        <v>43</v>
      </c>
      <c r="C3649" s="8" t="s">
        <v>17</v>
      </c>
      <c r="D3649" s="8">
        <v>714</v>
      </c>
      <c r="E3649" s="8">
        <v>191</v>
      </c>
      <c r="F3649" s="8">
        <v>333</v>
      </c>
      <c r="G3649" s="8">
        <v>1</v>
      </c>
      <c r="H3649" s="8">
        <v>9798</v>
      </c>
      <c r="I3649" s="8">
        <v>1</v>
      </c>
      <c r="J3649" s="8">
        <v>92</v>
      </c>
      <c r="K3649" s="8">
        <v>302</v>
      </c>
      <c r="L3649" s="8">
        <v>256</v>
      </c>
      <c r="M3649" s="8">
        <v>5</v>
      </c>
      <c r="N3649">
        <f>VLOOKUP(A3649,vlookup_table!$A:$G,2,FALSE)</f>
        <v>0</v>
      </c>
      <c r="O3649" t="str">
        <f>VLOOKUP(A3649,vlookup_table!$A:$G,3,FALSE)</f>
        <v>SC</v>
      </c>
      <c r="P3649">
        <f>VLOOKUP(A3649,vlookup_table!$A:$G,4,FALSE)</f>
        <v>2501</v>
      </c>
      <c r="Q3649" t="str">
        <f>VLOOKUP(A3649,vlookup_table!$A:$G,5,FALSE)</f>
        <v>R2</v>
      </c>
      <c r="R3649" t="str">
        <f>VLOOKUP(A3649,vlookup_table!$A:$G,6,FALSE)</f>
        <v>F</v>
      </c>
      <c r="S3649">
        <f>VLOOKUP(A3649,vlookup_table!$A:$G,7,FALSE)</f>
        <v>5</v>
      </c>
      <c r="T3649">
        <f t="shared" si="112"/>
        <v>71</v>
      </c>
      <c r="U3649" t="str">
        <f t="shared" si="113"/>
        <v>Rural</v>
      </c>
    </row>
    <row r="3650" spans="1:21" ht="16" x14ac:dyDescent="0.4">
      <c r="A3650" s="9">
        <v>174317</v>
      </c>
      <c r="B3650" s="8" t="s">
        <v>47</v>
      </c>
      <c r="C3650" s="8" t="s">
        <v>14</v>
      </c>
      <c r="D3650" s="8">
        <v>690</v>
      </c>
      <c r="E3650" s="8">
        <v>374</v>
      </c>
      <c r="F3650" s="8">
        <v>420</v>
      </c>
      <c r="G3650" s="8">
        <v>0</v>
      </c>
      <c r="H3650" s="8">
        <v>13265</v>
      </c>
      <c r="I3650" s="8">
        <v>9</v>
      </c>
      <c r="J3650" s="8">
        <v>48</v>
      </c>
      <c r="K3650" s="8">
        <v>392</v>
      </c>
      <c r="L3650" s="8">
        <v>412</v>
      </c>
      <c r="M3650" s="8">
        <v>10.125</v>
      </c>
      <c r="N3650">
        <f>VLOOKUP(A3650,vlookup_table!$A:$G,2,FALSE)</f>
        <v>1</v>
      </c>
      <c r="O3650" t="str">
        <f>VLOOKUP(A3650,vlookup_table!$A:$G,3,FALSE)</f>
        <v>OR</v>
      </c>
      <c r="P3650">
        <f>VLOOKUP(A3650,vlookup_table!$A:$G,4,FALSE)</f>
        <v>3008</v>
      </c>
      <c r="Q3650" t="str">
        <f>VLOOKUP(A3650,vlookup_table!$A:$G,5,FALSE)</f>
        <v>C2</v>
      </c>
      <c r="R3650" t="str">
        <f>VLOOKUP(A3650,vlookup_table!$A:$G,6,FALSE)</f>
        <v>M</v>
      </c>
      <c r="S3650">
        <f>VLOOKUP(A3650,vlookup_table!$A:$G,7,FALSE)</f>
        <v>14</v>
      </c>
      <c r="T3650">
        <f t="shared" si="112"/>
        <v>66</v>
      </c>
      <c r="U3650" t="str">
        <f t="shared" si="113"/>
        <v>Ciudad</v>
      </c>
    </row>
    <row r="3651" spans="1:21" ht="16" x14ac:dyDescent="0.4">
      <c r="A3651" s="9">
        <v>99849</v>
      </c>
      <c r="B3651" s="8" t="s">
        <v>33</v>
      </c>
      <c r="C3651" s="8" t="s">
        <v>14</v>
      </c>
      <c r="D3651" s="8">
        <v>566</v>
      </c>
      <c r="E3651" s="8">
        <v>352</v>
      </c>
      <c r="F3651" s="8">
        <v>380</v>
      </c>
      <c r="G3651" s="8">
        <v>0</v>
      </c>
      <c r="H3651" s="8">
        <v>13762</v>
      </c>
      <c r="I3651" s="8">
        <v>0</v>
      </c>
      <c r="J3651" s="8">
        <v>80</v>
      </c>
      <c r="K3651" s="8">
        <v>378</v>
      </c>
      <c r="L3651" s="8">
        <v>363</v>
      </c>
      <c r="M3651" s="8">
        <v>3.5714285710000002</v>
      </c>
      <c r="N3651">
        <f>VLOOKUP(A3651,vlookup_table!$A:$G,2,FALSE)</f>
        <v>1</v>
      </c>
      <c r="O3651" t="str">
        <f>VLOOKUP(A3651,vlookup_table!$A:$G,3,FALSE)</f>
        <v>MO</v>
      </c>
      <c r="P3651">
        <f>VLOOKUP(A3651,vlookup_table!$A:$G,4,FALSE)</f>
        <v>0</v>
      </c>
      <c r="Q3651" t="str">
        <f>VLOOKUP(A3651,vlookup_table!$A:$G,5,FALSE)</f>
        <v>S2</v>
      </c>
      <c r="R3651" t="str">
        <f>VLOOKUP(A3651,vlookup_table!$A:$G,6,FALSE)</f>
        <v>M</v>
      </c>
      <c r="S3651">
        <f>VLOOKUP(A3651,vlookup_table!$A:$G,7,FALSE)</f>
        <v>6</v>
      </c>
      <c r="T3651">
        <f t="shared" ref="T3651:T3714" si="114">97-LEFT(P3651,2)-IF(RIGHT(P3651,2)&gt;6,1,0)</f>
        <v>96</v>
      </c>
      <c r="U3651" t="str">
        <f t="shared" ref="U3651:U3714" si="115">IF(LEFT(Q3651,1)="C","Ciudad",IF(LEFT(Q3651,1)="T","Pueblo",IF(LEFT(Q3651,1)="R","Rural",IF(LEFT(Q3651,1)="S","Suburbano",IF(LEFT(Q3651,1)="U","Urbano","")))))</f>
        <v>Suburbano</v>
      </c>
    </row>
    <row r="3652" spans="1:21" ht="16" x14ac:dyDescent="0.4">
      <c r="A3652" s="9">
        <v>139282</v>
      </c>
      <c r="B3652" s="8" t="s">
        <v>50</v>
      </c>
      <c r="C3652" s="8" t="s">
        <v>14</v>
      </c>
      <c r="D3652" s="8">
        <v>1208</v>
      </c>
      <c r="E3652" s="8">
        <v>497</v>
      </c>
      <c r="F3652" s="8">
        <v>670</v>
      </c>
      <c r="G3652" s="8">
        <v>13</v>
      </c>
      <c r="H3652" s="8">
        <v>33095</v>
      </c>
      <c r="I3652" s="8">
        <v>4</v>
      </c>
      <c r="J3652" s="8">
        <v>45</v>
      </c>
      <c r="K3652" s="8">
        <v>603</v>
      </c>
      <c r="L3652" s="8">
        <v>574</v>
      </c>
      <c r="M3652" s="8">
        <v>13</v>
      </c>
      <c r="N3652">
        <f>VLOOKUP(A3652,vlookup_table!$A:$G,2,FALSE)</f>
        <v>1</v>
      </c>
      <c r="O3652" t="str">
        <f>VLOOKUP(A3652,vlookup_table!$A:$G,3,FALSE)</f>
        <v>NM</v>
      </c>
      <c r="P3652">
        <f>VLOOKUP(A3652,vlookup_table!$A:$G,4,FALSE)</f>
        <v>4901</v>
      </c>
      <c r="Q3652" t="str">
        <f>VLOOKUP(A3652,vlookup_table!$A:$G,5,FALSE)</f>
        <v>S1</v>
      </c>
      <c r="R3652" t="str">
        <f>VLOOKUP(A3652,vlookup_table!$A:$G,6,FALSE)</f>
        <v>M</v>
      </c>
      <c r="S3652">
        <f>VLOOKUP(A3652,vlookup_table!$A:$G,7,FALSE)</f>
        <v>23</v>
      </c>
      <c r="T3652">
        <f t="shared" si="114"/>
        <v>47</v>
      </c>
      <c r="U3652" t="str">
        <f t="shared" si="115"/>
        <v>Suburbano</v>
      </c>
    </row>
    <row r="3653" spans="1:21" ht="16" x14ac:dyDescent="0.4">
      <c r="A3653" s="9">
        <v>79562</v>
      </c>
      <c r="B3653" s="8" t="s">
        <v>32</v>
      </c>
      <c r="C3653" s="8" t="s">
        <v>14</v>
      </c>
      <c r="D3653" s="8">
        <v>677</v>
      </c>
      <c r="E3653" s="8">
        <v>272</v>
      </c>
      <c r="F3653" s="8">
        <v>387</v>
      </c>
      <c r="G3653" s="8">
        <v>0</v>
      </c>
      <c r="H3653" s="8">
        <v>15924</v>
      </c>
      <c r="I3653" s="8">
        <v>3</v>
      </c>
      <c r="J3653" s="8">
        <v>77</v>
      </c>
      <c r="K3653" s="8">
        <v>372</v>
      </c>
      <c r="L3653" s="8">
        <v>331</v>
      </c>
      <c r="M3653" s="8">
        <v>11.25</v>
      </c>
      <c r="N3653">
        <f>VLOOKUP(A3653,vlookup_table!$A:$G,2,FALSE)</f>
        <v>2</v>
      </c>
      <c r="O3653" t="str">
        <f>VLOOKUP(A3653,vlookup_table!$A:$G,3,FALSE)</f>
        <v>WI</v>
      </c>
      <c r="P3653">
        <f>VLOOKUP(A3653,vlookup_table!$A:$G,4,FALSE)</f>
        <v>7006</v>
      </c>
      <c r="Q3653" t="str">
        <f>VLOOKUP(A3653,vlookup_table!$A:$G,5,FALSE)</f>
        <v>S2</v>
      </c>
      <c r="R3653" t="str">
        <f>VLOOKUP(A3653,vlookup_table!$A:$G,6,FALSE)</f>
        <v>M</v>
      </c>
      <c r="S3653">
        <f>VLOOKUP(A3653,vlookup_table!$A:$G,7,FALSE)</f>
        <v>19</v>
      </c>
      <c r="T3653">
        <f t="shared" si="114"/>
        <v>26</v>
      </c>
      <c r="U3653" t="str">
        <f t="shared" si="115"/>
        <v>Suburbano</v>
      </c>
    </row>
    <row r="3654" spans="1:21" ht="16" x14ac:dyDescent="0.4">
      <c r="A3654" s="9">
        <v>136466</v>
      </c>
      <c r="B3654" s="8" t="s">
        <v>51</v>
      </c>
      <c r="C3654" s="8" t="s">
        <v>14</v>
      </c>
      <c r="D3654" s="8">
        <v>1079</v>
      </c>
      <c r="E3654" s="8">
        <v>623</v>
      </c>
      <c r="F3654" s="8">
        <v>648</v>
      </c>
      <c r="G3654" s="8">
        <v>0</v>
      </c>
      <c r="H3654" s="8">
        <v>20170</v>
      </c>
      <c r="I3654" s="8">
        <v>9</v>
      </c>
      <c r="J3654" s="8">
        <v>18</v>
      </c>
      <c r="K3654" s="8">
        <v>614</v>
      </c>
      <c r="L3654" s="8">
        <v>650</v>
      </c>
      <c r="M3654" s="8">
        <v>27</v>
      </c>
      <c r="N3654">
        <f>VLOOKUP(A3654,vlookup_table!$A:$G,2,FALSE)</f>
        <v>1</v>
      </c>
      <c r="O3654" t="str">
        <f>VLOOKUP(A3654,vlookup_table!$A:$G,3,FALSE)</f>
        <v>AZ</v>
      </c>
      <c r="P3654">
        <f>VLOOKUP(A3654,vlookup_table!$A:$G,4,FALSE)</f>
        <v>5108</v>
      </c>
      <c r="Q3654" t="str">
        <f>VLOOKUP(A3654,vlookup_table!$A:$G,5,FALSE)</f>
        <v>C2</v>
      </c>
      <c r="R3654" t="str">
        <f>VLOOKUP(A3654,vlookup_table!$A:$G,6,FALSE)</f>
        <v>M</v>
      </c>
      <c r="S3654">
        <f>VLOOKUP(A3654,vlookup_table!$A:$G,7,FALSE)</f>
        <v>10</v>
      </c>
      <c r="T3654">
        <f t="shared" si="114"/>
        <v>45</v>
      </c>
      <c r="U3654" t="str">
        <f t="shared" si="115"/>
        <v>Ciudad</v>
      </c>
    </row>
    <row r="3655" spans="1:21" ht="16" x14ac:dyDescent="0.4">
      <c r="A3655" s="9">
        <v>70835</v>
      </c>
      <c r="B3655" s="8" t="s">
        <v>26</v>
      </c>
      <c r="C3655" s="8" t="s">
        <v>17</v>
      </c>
      <c r="D3655" s="8">
        <v>354</v>
      </c>
      <c r="E3655" s="8">
        <v>207</v>
      </c>
      <c r="F3655" s="8">
        <v>295</v>
      </c>
      <c r="G3655" s="8">
        <v>0</v>
      </c>
      <c r="H3655" s="8">
        <v>9393</v>
      </c>
      <c r="I3655" s="8">
        <v>2</v>
      </c>
      <c r="J3655" s="8">
        <v>91</v>
      </c>
      <c r="K3655" s="8">
        <v>234</v>
      </c>
      <c r="L3655" s="8">
        <v>266</v>
      </c>
      <c r="M3655" s="8">
        <v>6.1111111109999996</v>
      </c>
      <c r="N3655">
        <f>VLOOKUP(A3655,vlookup_table!$A:$G,2,FALSE)</f>
        <v>0</v>
      </c>
      <c r="O3655" t="str">
        <f>VLOOKUP(A3655,vlookup_table!$A:$G,3,FALSE)</f>
        <v>MI</v>
      </c>
      <c r="P3655">
        <f>VLOOKUP(A3655,vlookup_table!$A:$G,4,FALSE)</f>
        <v>1912</v>
      </c>
      <c r="Q3655" t="str">
        <f>VLOOKUP(A3655,vlookup_table!$A:$G,5,FALSE)</f>
        <v>R3</v>
      </c>
      <c r="R3655" t="str">
        <f>VLOOKUP(A3655,vlookup_table!$A:$G,6,FALSE)</f>
        <v>F</v>
      </c>
      <c r="S3655">
        <f>VLOOKUP(A3655,vlookup_table!$A:$G,7,FALSE)</f>
        <v>9</v>
      </c>
      <c r="T3655">
        <f t="shared" si="114"/>
        <v>77</v>
      </c>
      <c r="U3655" t="str">
        <f t="shared" si="115"/>
        <v>Rural</v>
      </c>
    </row>
    <row r="3656" spans="1:21" ht="16" x14ac:dyDescent="0.4">
      <c r="A3656" s="9">
        <v>8195</v>
      </c>
      <c r="B3656" s="8" t="s">
        <v>16</v>
      </c>
      <c r="C3656" s="8" t="s">
        <v>14</v>
      </c>
      <c r="D3656" s="8">
        <v>354</v>
      </c>
      <c r="E3656" s="8">
        <v>188</v>
      </c>
      <c r="F3656" s="8">
        <v>292</v>
      </c>
      <c r="G3656" s="8">
        <v>0</v>
      </c>
      <c r="H3656" s="8">
        <v>10233</v>
      </c>
      <c r="I3656" s="8">
        <v>1</v>
      </c>
      <c r="J3656" s="8">
        <v>88</v>
      </c>
      <c r="K3656" s="8">
        <v>258</v>
      </c>
      <c r="L3656" s="8">
        <v>231</v>
      </c>
      <c r="M3656" s="8">
        <v>7.733333333</v>
      </c>
      <c r="N3656">
        <f>VLOOKUP(A3656,vlookup_table!$A:$G,2,FALSE)</f>
        <v>2</v>
      </c>
      <c r="O3656" t="str">
        <f>VLOOKUP(A3656,vlookup_table!$A:$G,3,FALSE)</f>
        <v>IL</v>
      </c>
      <c r="P3656">
        <f>VLOOKUP(A3656,vlookup_table!$A:$G,4,FALSE)</f>
        <v>3910</v>
      </c>
      <c r="Q3656" t="str">
        <f>VLOOKUP(A3656,vlookup_table!$A:$G,5,FALSE)</f>
        <v>R3</v>
      </c>
      <c r="R3656" t="str">
        <f>VLOOKUP(A3656,vlookup_table!$A:$G,6,FALSE)</f>
        <v>M</v>
      </c>
      <c r="S3656">
        <f>VLOOKUP(A3656,vlookup_table!$A:$G,7,FALSE)</f>
        <v>6</v>
      </c>
      <c r="T3656">
        <f t="shared" si="114"/>
        <v>57</v>
      </c>
      <c r="U3656" t="str">
        <f t="shared" si="115"/>
        <v>Rural</v>
      </c>
    </row>
    <row r="3657" spans="1:21" ht="16" x14ac:dyDescent="0.4">
      <c r="A3657" s="9">
        <v>28340</v>
      </c>
      <c r="B3657" s="8" t="s">
        <v>36</v>
      </c>
      <c r="C3657" s="8" t="s">
        <v>17</v>
      </c>
      <c r="D3657" s="8">
        <v>1216</v>
      </c>
      <c r="E3657" s="8">
        <v>541</v>
      </c>
      <c r="F3657" s="8">
        <v>687</v>
      </c>
      <c r="G3657" s="8">
        <v>2</v>
      </c>
      <c r="H3657" s="8">
        <v>29297</v>
      </c>
      <c r="I3657" s="8">
        <v>0</v>
      </c>
      <c r="J3657" s="8">
        <v>49</v>
      </c>
      <c r="K3657" s="8">
        <v>621</v>
      </c>
      <c r="L3657" s="8">
        <v>527</v>
      </c>
      <c r="M3657" s="8">
        <v>5.9090909089999997</v>
      </c>
      <c r="N3657">
        <f>VLOOKUP(A3657,vlookup_table!$A:$G,2,FALSE)</f>
        <v>0</v>
      </c>
      <c r="O3657" t="str">
        <f>VLOOKUP(A3657,vlookup_table!$A:$G,3,FALSE)</f>
        <v>GA</v>
      </c>
      <c r="P3657">
        <f>VLOOKUP(A3657,vlookup_table!$A:$G,4,FALSE)</f>
        <v>4401</v>
      </c>
      <c r="Q3657" t="str">
        <f>VLOOKUP(A3657,vlookup_table!$A:$G,5,FALSE)</f>
        <v>S1</v>
      </c>
      <c r="R3657" t="str">
        <f>VLOOKUP(A3657,vlookup_table!$A:$G,6,FALSE)</f>
        <v>F</v>
      </c>
      <c r="S3657">
        <f>VLOOKUP(A3657,vlookup_table!$A:$G,7,FALSE)</f>
        <v>10</v>
      </c>
      <c r="T3657">
        <f t="shared" si="114"/>
        <v>52</v>
      </c>
      <c r="U3657" t="str">
        <f t="shared" si="115"/>
        <v>Suburbano</v>
      </c>
    </row>
    <row r="3658" spans="1:21" ht="16" x14ac:dyDescent="0.4">
      <c r="A3658" s="9">
        <v>19235</v>
      </c>
      <c r="B3658" s="8" t="s">
        <v>18</v>
      </c>
      <c r="C3658" s="8" t="s">
        <v>14</v>
      </c>
      <c r="D3658" s="8">
        <v>538</v>
      </c>
      <c r="E3658" s="8">
        <v>238</v>
      </c>
      <c r="F3658" s="8">
        <v>331</v>
      </c>
      <c r="G3658" s="8">
        <v>1</v>
      </c>
      <c r="H3658" s="8">
        <v>12431</v>
      </c>
      <c r="I3658" s="8">
        <v>5</v>
      </c>
      <c r="J3658" s="8">
        <v>71</v>
      </c>
      <c r="K3658" s="8">
        <v>313</v>
      </c>
      <c r="L3658" s="8">
        <v>269</v>
      </c>
      <c r="M3658" s="8">
        <v>15.33333333</v>
      </c>
      <c r="N3658">
        <f>VLOOKUP(A3658,vlookup_table!$A:$G,2,FALSE)</f>
        <v>2</v>
      </c>
      <c r="O3658" t="str">
        <f>VLOOKUP(A3658,vlookup_table!$A:$G,3,FALSE)</f>
        <v>NC</v>
      </c>
      <c r="P3658">
        <f>VLOOKUP(A3658,vlookup_table!$A:$G,4,FALSE)</f>
        <v>2108</v>
      </c>
      <c r="Q3658" t="str">
        <f>VLOOKUP(A3658,vlookup_table!$A:$G,5,FALSE)</f>
        <v>T2</v>
      </c>
      <c r="R3658" t="str">
        <f>VLOOKUP(A3658,vlookup_table!$A:$G,6,FALSE)</f>
        <v>M</v>
      </c>
      <c r="S3658">
        <f>VLOOKUP(A3658,vlookup_table!$A:$G,7,FALSE)</f>
        <v>25</v>
      </c>
      <c r="T3658">
        <f t="shared" si="114"/>
        <v>75</v>
      </c>
      <c r="U3658" t="str">
        <f t="shared" si="115"/>
        <v>Pueblo</v>
      </c>
    </row>
    <row r="3659" spans="1:21" ht="16" x14ac:dyDescent="0.4">
      <c r="A3659" s="9">
        <v>29345</v>
      </c>
      <c r="B3659" s="8" t="s">
        <v>36</v>
      </c>
      <c r="C3659" s="8" t="s">
        <v>17</v>
      </c>
      <c r="D3659" s="8">
        <v>618</v>
      </c>
      <c r="E3659" s="8">
        <v>325</v>
      </c>
      <c r="F3659" s="8">
        <v>412</v>
      </c>
      <c r="G3659" s="8">
        <v>0</v>
      </c>
      <c r="H3659" s="8">
        <v>12727</v>
      </c>
      <c r="I3659" s="8">
        <v>0</v>
      </c>
      <c r="J3659" s="8">
        <v>85</v>
      </c>
      <c r="K3659" s="8">
        <v>363</v>
      </c>
      <c r="L3659" s="8">
        <v>375</v>
      </c>
      <c r="M3659" s="8">
        <v>7.25</v>
      </c>
      <c r="N3659">
        <f>VLOOKUP(A3659,vlookup_table!$A:$G,2,FALSE)</f>
        <v>0</v>
      </c>
      <c r="O3659" t="str">
        <f>VLOOKUP(A3659,vlookup_table!$A:$G,3,FALSE)</f>
        <v>GA</v>
      </c>
      <c r="P3659">
        <f>VLOOKUP(A3659,vlookup_table!$A:$G,4,FALSE)</f>
        <v>5001</v>
      </c>
      <c r="Q3659" t="str">
        <f>VLOOKUP(A3659,vlookup_table!$A:$G,5,FALSE)</f>
        <v/>
      </c>
      <c r="R3659" t="str">
        <f>VLOOKUP(A3659,vlookup_table!$A:$G,6,FALSE)</f>
        <v>F</v>
      </c>
      <c r="S3659">
        <f>VLOOKUP(A3659,vlookup_table!$A:$G,7,FALSE)</f>
        <v>17</v>
      </c>
      <c r="T3659">
        <f t="shared" si="114"/>
        <v>46</v>
      </c>
      <c r="U3659" t="str">
        <f t="shared" si="115"/>
        <v/>
      </c>
    </row>
    <row r="3660" spans="1:21" ht="16" x14ac:dyDescent="0.4">
      <c r="A3660" s="9">
        <v>58728</v>
      </c>
      <c r="B3660" s="8" t="s">
        <v>53</v>
      </c>
      <c r="C3660" s="8" t="s">
        <v>14</v>
      </c>
      <c r="D3660" s="8">
        <v>184</v>
      </c>
      <c r="E3660" s="8">
        <v>129</v>
      </c>
      <c r="F3660" s="8">
        <v>221</v>
      </c>
      <c r="G3660" s="8">
        <v>0</v>
      </c>
      <c r="H3660" s="8">
        <v>6801</v>
      </c>
      <c r="I3660" s="8">
        <v>0</v>
      </c>
      <c r="J3660" s="8">
        <v>77</v>
      </c>
      <c r="K3660" s="8">
        <v>152</v>
      </c>
      <c r="L3660" s="8">
        <v>192</v>
      </c>
      <c r="M3660" s="8">
        <v>10.4</v>
      </c>
      <c r="N3660">
        <f>VLOOKUP(A3660,vlookup_table!$A:$G,2,FALSE)</f>
        <v>0</v>
      </c>
      <c r="O3660" t="str">
        <f>VLOOKUP(A3660,vlookup_table!$A:$G,3,FALSE)</f>
        <v>KY</v>
      </c>
      <c r="P3660">
        <f>VLOOKUP(A3660,vlookup_table!$A:$G,4,FALSE)</f>
        <v>4811</v>
      </c>
      <c r="Q3660" t="str">
        <f>VLOOKUP(A3660,vlookup_table!$A:$G,5,FALSE)</f>
        <v>R3</v>
      </c>
      <c r="R3660" t="str">
        <f>VLOOKUP(A3660,vlookup_table!$A:$G,6,FALSE)</f>
        <v>M</v>
      </c>
      <c r="S3660">
        <f>VLOOKUP(A3660,vlookup_table!$A:$G,7,FALSE)</f>
        <v>20</v>
      </c>
      <c r="T3660">
        <f t="shared" si="114"/>
        <v>48</v>
      </c>
      <c r="U3660" t="str">
        <f t="shared" si="115"/>
        <v>Rural</v>
      </c>
    </row>
    <row r="3661" spans="1:21" ht="16" x14ac:dyDescent="0.4">
      <c r="A3661" s="9">
        <v>158390</v>
      </c>
      <c r="B3661" s="8" t="s">
        <v>23</v>
      </c>
      <c r="C3661" s="8" t="s">
        <v>17</v>
      </c>
      <c r="D3661" s="8">
        <v>950</v>
      </c>
      <c r="E3661" s="8">
        <v>365</v>
      </c>
      <c r="F3661" s="8">
        <v>427</v>
      </c>
      <c r="G3661" s="8">
        <v>0</v>
      </c>
      <c r="H3661" s="8">
        <v>15436</v>
      </c>
      <c r="I3661" s="8">
        <v>4</v>
      </c>
      <c r="J3661" s="8">
        <v>22</v>
      </c>
      <c r="K3661" s="8">
        <v>402</v>
      </c>
      <c r="L3661" s="8">
        <v>390</v>
      </c>
      <c r="M3661" s="8">
        <v>9.5</v>
      </c>
      <c r="N3661">
        <f>VLOOKUP(A3661,vlookup_table!$A:$G,2,FALSE)</f>
        <v>28</v>
      </c>
      <c r="O3661" t="str">
        <f>VLOOKUP(A3661,vlookup_table!$A:$G,3,FALSE)</f>
        <v>NV</v>
      </c>
      <c r="P3661">
        <f>VLOOKUP(A3661,vlookup_table!$A:$G,4,FALSE)</f>
        <v>3709</v>
      </c>
      <c r="Q3661" t="str">
        <f>VLOOKUP(A3661,vlookup_table!$A:$G,5,FALSE)</f>
        <v>U2</v>
      </c>
      <c r="R3661" t="str">
        <f>VLOOKUP(A3661,vlookup_table!$A:$G,6,FALSE)</f>
        <v>F</v>
      </c>
      <c r="S3661">
        <f>VLOOKUP(A3661,vlookup_table!$A:$G,7,FALSE)</f>
        <v>10</v>
      </c>
      <c r="T3661">
        <f t="shared" si="114"/>
        <v>59</v>
      </c>
      <c r="U3661" t="str">
        <f t="shared" si="115"/>
        <v>Urbano</v>
      </c>
    </row>
    <row r="3662" spans="1:21" ht="16" x14ac:dyDescent="0.4">
      <c r="A3662" s="9">
        <v>31400</v>
      </c>
      <c r="B3662" s="8" t="s">
        <v>36</v>
      </c>
      <c r="C3662" s="8" t="s">
        <v>17</v>
      </c>
      <c r="D3662" s="8">
        <v>650</v>
      </c>
      <c r="E3662" s="8">
        <v>267</v>
      </c>
      <c r="F3662" s="8">
        <v>355</v>
      </c>
      <c r="G3662" s="8">
        <v>3</v>
      </c>
      <c r="H3662" s="8">
        <v>11773</v>
      </c>
      <c r="I3662" s="8">
        <v>0</v>
      </c>
      <c r="J3662" s="8">
        <v>74</v>
      </c>
      <c r="K3662" s="8">
        <v>304</v>
      </c>
      <c r="L3662" s="8">
        <v>322</v>
      </c>
      <c r="M3662" s="8">
        <v>6.5</v>
      </c>
      <c r="N3662">
        <f>VLOOKUP(A3662,vlookup_table!$A:$G,2,FALSE)</f>
        <v>2</v>
      </c>
      <c r="O3662" t="str">
        <f>VLOOKUP(A3662,vlookup_table!$A:$G,3,FALSE)</f>
        <v>GA</v>
      </c>
      <c r="P3662">
        <f>VLOOKUP(A3662,vlookup_table!$A:$G,4,FALSE)</f>
        <v>0</v>
      </c>
      <c r="Q3662" t="str">
        <f>VLOOKUP(A3662,vlookup_table!$A:$G,5,FALSE)</f>
        <v>T2</v>
      </c>
      <c r="R3662" t="str">
        <f>VLOOKUP(A3662,vlookup_table!$A:$G,6,FALSE)</f>
        <v>F</v>
      </c>
      <c r="S3662">
        <f>VLOOKUP(A3662,vlookup_table!$A:$G,7,FALSE)</f>
        <v>10</v>
      </c>
      <c r="T3662">
        <f t="shared" si="114"/>
        <v>96</v>
      </c>
      <c r="U3662" t="str">
        <f t="shared" si="115"/>
        <v>Pueblo</v>
      </c>
    </row>
    <row r="3663" spans="1:21" ht="16" x14ac:dyDescent="0.4">
      <c r="A3663" s="9">
        <v>124872</v>
      </c>
      <c r="B3663" s="8" t="s">
        <v>20</v>
      </c>
      <c r="C3663" s="8" t="s">
        <v>14</v>
      </c>
      <c r="D3663" s="8">
        <v>550</v>
      </c>
      <c r="E3663" s="8">
        <v>282</v>
      </c>
      <c r="F3663" s="8">
        <v>433</v>
      </c>
      <c r="G3663" s="8">
        <v>2</v>
      </c>
      <c r="H3663" s="8">
        <v>15296</v>
      </c>
      <c r="I3663" s="8">
        <v>3</v>
      </c>
      <c r="J3663" s="8">
        <v>83</v>
      </c>
      <c r="K3663" s="8">
        <v>401</v>
      </c>
      <c r="L3663" s="8">
        <v>365</v>
      </c>
      <c r="M3663" s="8">
        <v>5.5185185189999997</v>
      </c>
      <c r="N3663">
        <f>VLOOKUP(A3663,vlookup_table!$A:$G,2,FALSE)</f>
        <v>1002</v>
      </c>
      <c r="O3663" t="str">
        <f>VLOOKUP(A3663,vlookup_table!$A:$G,3,FALSE)</f>
        <v>TX</v>
      </c>
      <c r="P3663">
        <f>VLOOKUP(A3663,vlookup_table!$A:$G,4,FALSE)</f>
        <v>1908</v>
      </c>
      <c r="Q3663" t="str">
        <f>VLOOKUP(A3663,vlookup_table!$A:$G,5,FALSE)</f>
        <v>C2</v>
      </c>
      <c r="R3663" t="str">
        <f>VLOOKUP(A3663,vlookup_table!$A:$G,6,FALSE)</f>
        <v>M</v>
      </c>
      <c r="S3663">
        <f>VLOOKUP(A3663,vlookup_table!$A:$G,7,FALSE)</f>
        <v>5</v>
      </c>
      <c r="T3663">
        <f t="shared" si="114"/>
        <v>77</v>
      </c>
      <c r="U3663" t="str">
        <f t="shared" si="115"/>
        <v>Ciudad</v>
      </c>
    </row>
    <row r="3664" spans="1:21" ht="16" x14ac:dyDescent="0.4">
      <c r="A3664" s="9">
        <v>175917</v>
      </c>
      <c r="B3664" s="8" t="s">
        <v>47</v>
      </c>
      <c r="C3664" s="8" t="s">
        <v>17</v>
      </c>
      <c r="D3664" s="8">
        <v>866</v>
      </c>
      <c r="E3664" s="8">
        <v>308</v>
      </c>
      <c r="F3664" s="8">
        <v>465</v>
      </c>
      <c r="G3664" s="8">
        <v>5</v>
      </c>
      <c r="H3664" s="8">
        <v>16560</v>
      </c>
      <c r="I3664" s="8">
        <v>5</v>
      </c>
      <c r="J3664" s="8">
        <v>54</v>
      </c>
      <c r="K3664" s="8">
        <v>375</v>
      </c>
      <c r="L3664" s="8">
        <v>410</v>
      </c>
      <c r="M3664" s="8">
        <v>13.33333333</v>
      </c>
      <c r="N3664">
        <f>VLOOKUP(A3664,vlookup_table!$A:$G,2,FALSE)</f>
        <v>0</v>
      </c>
      <c r="O3664" t="str">
        <f>VLOOKUP(A3664,vlookup_table!$A:$G,3,FALSE)</f>
        <v>OR</v>
      </c>
      <c r="P3664">
        <f>VLOOKUP(A3664,vlookup_table!$A:$G,4,FALSE)</f>
        <v>2510</v>
      </c>
      <c r="Q3664" t="str">
        <f>VLOOKUP(A3664,vlookup_table!$A:$G,5,FALSE)</f>
        <v>R2</v>
      </c>
      <c r="R3664" t="str">
        <f>VLOOKUP(A3664,vlookup_table!$A:$G,6,FALSE)</f>
        <v>F</v>
      </c>
      <c r="S3664">
        <f>VLOOKUP(A3664,vlookup_table!$A:$G,7,FALSE)</f>
        <v>15</v>
      </c>
      <c r="T3664">
        <f t="shared" si="114"/>
        <v>71</v>
      </c>
      <c r="U3664" t="str">
        <f t="shared" si="115"/>
        <v>Rural</v>
      </c>
    </row>
    <row r="3665" spans="1:21" ht="16" x14ac:dyDescent="0.4">
      <c r="A3665" s="9">
        <v>156473</v>
      </c>
      <c r="B3665" s="8" t="s">
        <v>21</v>
      </c>
      <c r="C3665" s="8" t="s">
        <v>17</v>
      </c>
      <c r="D3665" s="8">
        <v>2130</v>
      </c>
      <c r="E3665" s="8">
        <v>315</v>
      </c>
      <c r="F3665" s="8">
        <v>380</v>
      </c>
      <c r="G3665" s="8">
        <v>63</v>
      </c>
      <c r="H3665" s="8">
        <v>11583</v>
      </c>
      <c r="I3665" s="8">
        <v>40</v>
      </c>
      <c r="J3665" s="8">
        <v>35</v>
      </c>
      <c r="K3665" s="8">
        <v>309</v>
      </c>
      <c r="L3665" s="8">
        <v>380</v>
      </c>
      <c r="M3665" s="8">
        <v>5.7058823529999998</v>
      </c>
      <c r="N3665">
        <f>VLOOKUP(A3665,vlookup_table!$A:$G,2,FALSE)</f>
        <v>2</v>
      </c>
      <c r="O3665" t="str">
        <f>VLOOKUP(A3665,vlookup_table!$A:$G,3,FALSE)</f>
        <v>CA</v>
      </c>
      <c r="P3665">
        <f>VLOOKUP(A3665,vlookup_table!$A:$G,4,FALSE)</f>
        <v>1601</v>
      </c>
      <c r="Q3665" t="str">
        <f>VLOOKUP(A3665,vlookup_table!$A:$G,5,FALSE)</f>
        <v>U2</v>
      </c>
      <c r="R3665" t="str">
        <f>VLOOKUP(A3665,vlookup_table!$A:$G,6,FALSE)</f>
        <v>F</v>
      </c>
      <c r="S3665">
        <f>VLOOKUP(A3665,vlookup_table!$A:$G,7,FALSE)</f>
        <v>6</v>
      </c>
      <c r="T3665">
        <f t="shared" si="114"/>
        <v>80</v>
      </c>
      <c r="U3665" t="str">
        <f t="shared" si="115"/>
        <v>Urbano</v>
      </c>
    </row>
    <row r="3666" spans="1:21" ht="16" x14ac:dyDescent="0.4">
      <c r="A3666" s="9">
        <v>91835</v>
      </c>
      <c r="B3666" s="8" t="s">
        <v>16</v>
      </c>
      <c r="C3666" s="8" t="s">
        <v>17</v>
      </c>
      <c r="D3666" s="8">
        <v>978</v>
      </c>
      <c r="E3666" s="8">
        <v>301</v>
      </c>
      <c r="F3666" s="8">
        <v>467</v>
      </c>
      <c r="G3666" s="8">
        <v>0</v>
      </c>
      <c r="H3666" s="8">
        <v>14771</v>
      </c>
      <c r="I3666" s="8">
        <v>4</v>
      </c>
      <c r="J3666" s="8">
        <v>86</v>
      </c>
      <c r="K3666" s="8">
        <v>434</v>
      </c>
      <c r="L3666" s="8">
        <v>355</v>
      </c>
      <c r="M3666" s="8">
        <v>5</v>
      </c>
      <c r="N3666">
        <f>VLOOKUP(A3666,vlookup_table!$A:$G,2,FALSE)</f>
        <v>2</v>
      </c>
      <c r="O3666" t="str">
        <f>VLOOKUP(A3666,vlookup_table!$A:$G,3,FALSE)</f>
        <v>IL</v>
      </c>
      <c r="P3666">
        <f>VLOOKUP(A3666,vlookup_table!$A:$G,4,FALSE)</f>
        <v>501</v>
      </c>
      <c r="Q3666" t="str">
        <f>VLOOKUP(A3666,vlookup_table!$A:$G,5,FALSE)</f>
        <v>S2</v>
      </c>
      <c r="R3666" t="str">
        <f>VLOOKUP(A3666,vlookup_table!$A:$G,6,FALSE)</f>
        <v>F</v>
      </c>
      <c r="S3666">
        <f>VLOOKUP(A3666,vlookup_table!$A:$G,7,FALSE)</f>
        <v>5</v>
      </c>
      <c r="T3666">
        <f t="shared" si="114"/>
        <v>46</v>
      </c>
      <c r="U3666" t="str">
        <f t="shared" si="115"/>
        <v>Suburbano</v>
      </c>
    </row>
    <row r="3667" spans="1:21" ht="16" x14ac:dyDescent="0.4">
      <c r="A3667" s="9">
        <v>29348</v>
      </c>
      <c r="B3667" s="8" t="s">
        <v>36</v>
      </c>
      <c r="C3667" s="8" t="s">
        <v>14</v>
      </c>
      <c r="D3667" s="8">
        <v>598</v>
      </c>
      <c r="E3667" s="8">
        <v>283</v>
      </c>
      <c r="F3667" s="8">
        <v>362</v>
      </c>
      <c r="G3667" s="8">
        <v>1</v>
      </c>
      <c r="H3667" s="8">
        <v>12093</v>
      </c>
      <c r="I3667" s="8">
        <v>0</v>
      </c>
      <c r="J3667" s="8">
        <v>77</v>
      </c>
      <c r="K3667" s="8">
        <v>318</v>
      </c>
      <c r="L3667" s="8">
        <v>327</v>
      </c>
      <c r="M3667" s="8">
        <v>5.0555555559999998</v>
      </c>
      <c r="N3667">
        <f>VLOOKUP(A3667,vlookup_table!$A:$G,2,FALSE)</f>
        <v>1</v>
      </c>
      <c r="O3667" t="str">
        <f>VLOOKUP(A3667,vlookup_table!$A:$G,3,FALSE)</f>
        <v>GA</v>
      </c>
      <c r="P3667">
        <f>VLOOKUP(A3667,vlookup_table!$A:$G,4,FALSE)</f>
        <v>0</v>
      </c>
      <c r="Q3667" t="str">
        <f>VLOOKUP(A3667,vlookup_table!$A:$G,5,FALSE)</f>
        <v>R2</v>
      </c>
      <c r="R3667" t="str">
        <f>VLOOKUP(A3667,vlookup_table!$A:$G,6,FALSE)</f>
        <v>M</v>
      </c>
      <c r="S3667">
        <f>VLOOKUP(A3667,vlookup_table!$A:$G,7,FALSE)</f>
        <v>5</v>
      </c>
      <c r="T3667">
        <f t="shared" si="114"/>
        <v>96</v>
      </c>
      <c r="U3667" t="str">
        <f t="shared" si="115"/>
        <v>Rural</v>
      </c>
    </row>
    <row r="3668" spans="1:21" ht="16" x14ac:dyDescent="0.4">
      <c r="A3668" s="9">
        <v>18257</v>
      </c>
      <c r="B3668" s="8" t="s">
        <v>18</v>
      </c>
      <c r="C3668" s="8" t="s">
        <v>14</v>
      </c>
      <c r="D3668" s="8">
        <v>487</v>
      </c>
      <c r="E3668" s="8">
        <v>273</v>
      </c>
      <c r="F3668" s="8">
        <v>314</v>
      </c>
      <c r="G3668" s="8">
        <v>0</v>
      </c>
      <c r="H3668" s="8">
        <v>13272</v>
      </c>
      <c r="I3668" s="8">
        <v>1</v>
      </c>
      <c r="J3668" s="8">
        <v>76</v>
      </c>
      <c r="K3668" s="8">
        <v>308</v>
      </c>
      <c r="L3668" s="8">
        <v>275</v>
      </c>
      <c r="M3668" s="8">
        <v>4</v>
      </c>
      <c r="N3668">
        <f>VLOOKUP(A3668,vlookup_table!$A:$G,2,FALSE)</f>
        <v>0</v>
      </c>
      <c r="O3668" t="str">
        <f>VLOOKUP(A3668,vlookup_table!$A:$G,3,FALSE)</f>
        <v>NC</v>
      </c>
      <c r="P3668">
        <f>VLOOKUP(A3668,vlookup_table!$A:$G,4,FALSE)</f>
        <v>0</v>
      </c>
      <c r="Q3668" t="str">
        <f>VLOOKUP(A3668,vlookup_table!$A:$G,5,FALSE)</f>
        <v>T2</v>
      </c>
      <c r="R3668" t="str">
        <f>VLOOKUP(A3668,vlookup_table!$A:$G,6,FALSE)</f>
        <v>M</v>
      </c>
      <c r="S3668">
        <f>VLOOKUP(A3668,vlookup_table!$A:$G,7,FALSE)</f>
        <v>5</v>
      </c>
      <c r="T3668">
        <f t="shared" si="114"/>
        <v>96</v>
      </c>
      <c r="U3668" t="str">
        <f t="shared" si="115"/>
        <v>Pueblo</v>
      </c>
    </row>
    <row r="3669" spans="1:21" ht="16" x14ac:dyDescent="0.4">
      <c r="A3669" s="9">
        <v>69822</v>
      </c>
      <c r="B3669" s="8" t="s">
        <v>26</v>
      </c>
      <c r="C3669" s="8" t="s">
        <v>17</v>
      </c>
      <c r="D3669" s="8">
        <v>859</v>
      </c>
      <c r="E3669" s="8">
        <v>473</v>
      </c>
      <c r="F3669" s="8">
        <v>529</v>
      </c>
      <c r="G3669" s="8">
        <v>2</v>
      </c>
      <c r="H3669" s="8">
        <v>16331</v>
      </c>
      <c r="I3669" s="8">
        <v>2</v>
      </c>
      <c r="J3669" s="8">
        <v>86</v>
      </c>
      <c r="K3669" s="8">
        <v>499</v>
      </c>
      <c r="L3669" s="8">
        <v>503</v>
      </c>
      <c r="M3669" s="8">
        <v>10.33333333</v>
      </c>
      <c r="N3669">
        <f>VLOOKUP(A3669,vlookup_table!$A:$G,2,FALSE)</f>
        <v>0</v>
      </c>
      <c r="O3669" t="str">
        <f>VLOOKUP(A3669,vlookup_table!$A:$G,3,FALSE)</f>
        <v>MI</v>
      </c>
      <c r="P3669">
        <f>VLOOKUP(A3669,vlookup_table!$A:$G,4,FALSE)</f>
        <v>4601</v>
      </c>
      <c r="Q3669" t="str">
        <f>VLOOKUP(A3669,vlookup_table!$A:$G,5,FALSE)</f>
        <v>T2</v>
      </c>
      <c r="R3669" t="str">
        <f>VLOOKUP(A3669,vlookup_table!$A:$G,6,FALSE)</f>
        <v>F</v>
      </c>
      <c r="S3669">
        <f>VLOOKUP(A3669,vlookup_table!$A:$G,7,FALSE)</f>
        <v>15</v>
      </c>
      <c r="T3669">
        <f t="shared" si="114"/>
        <v>50</v>
      </c>
      <c r="U3669" t="str">
        <f t="shared" si="115"/>
        <v>Pueblo</v>
      </c>
    </row>
    <row r="3670" spans="1:21" ht="16" x14ac:dyDescent="0.4">
      <c r="A3670" s="9">
        <v>139180</v>
      </c>
      <c r="B3670" s="8" t="s">
        <v>50</v>
      </c>
      <c r="C3670" s="8" t="s">
        <v>17</v>
      </c>
      <c r="D3670" s="8">
        <v>359</v>
      </c>
      <c r="E3670" s="8">
        <v>164</v>
      </c>
      <c r="F3670" s="8">
        <v>242</v>
      </c>
      <c r="G3670" s="8">
        <v>0</v>
      </c>
      <c r="H3670" s="8">
        <v>7312</v>
      </c>
      <c r="I3670" s="8">
        <v>2</v>
      </c>
      <c r="J3670" s="8">
        <v>70</v>
      </c>
      <c r="K3670" s="8">
        <v>186</v>
      </c>
      <c r="L3670" s="8">
        <v>223</v>
      </c>
      <c r="M3670" s="8">
        <v>8.2222222219999992</v>
      </c>
      <c r="N3670">
        <f>VLOOKUP(A3670,vlookup_table!$A:$G,2,FALSE)</f>
        <v>28</v>
      </c>
      <c r="O3670" t="str">
        <f>VLOOKUP(A3670,vlookup_table!$A:$G,3,FALSE)</f>
        <v>NM</v>
      </c>
      <c r="P3670">
        <f>VLOOKUP(A3670,vlookup_table!$A:$G,4,FALSE)</f>
        <v>2001</v>
      </c>
      <c r="Q3670" t="str">
        <f>VLOOKUP(A3670,vlookup_table!$A:$G,5,FALSE)</f>
        <v>R3</v>
      </c>
      <c r="R3670" t="str">
        <f>VLOOKUP(A3670,vlookup_table!$A:$G,6,FALSE)</f>
        <v>F</v>
      </c>
      <c r="S3670">
        <f>VLOOKUP(A3670,vlookup_table!$A:$G,7,FALSE)</f>
        <v>15</v>
      </c>
      <c r="T3670">
        <f t="shared" si="114"/>
        <v>76</v>
      </c>
      <c r="U3670" t="str">
        <f t="shared" si="115"/>
        <v>Rural</v>
      </c>
    </row>
    <row r="3671" spans="1:21" ht="16" x14ac:dyDescent="0.4">
      <c r="A3671" s="9">
        <v>185080</v>
      </c>
      <c r="B3671" s="8" t="s">
        <v>21</v>
      </c>
      <c r="C3671" s="8" t="s">
        <v>17</v>
      </c>
      <c r="D3671" s="8">
        <v>2298</v>
      </c>
      <c r="E3671" s="8">
        <v>374</v>
      </c>
      <c r="F3671" s="8">
        <v>604</v>
      </c>
      <c r="G3671" s="8">
        <v>64</v>
      </c>
      <c r="H3671" s="8">
        <v>31281</v>
      </c>
      <c r="I3671" s="8">
        <v>12</v>
      </c>
      <c r="J3671" s="8">
        <v>12</v>
      </c>
      <c r="K3671" s="8">
        <v>514</v>
      </c>
      <c r="L3671" s="8">
        <v>473</v>
      </c>
      <c r="M3671" s="8">
        <v>98.785714290000001</v>
      </c>
      <c r="N3671">
        <f>VLOOKUP(A3671,vlookup_table!$A:$G,2,FALSE)</f>
        <v>0</v>
      </c>
      <c r="O3671" t="str">
        <f>VLOOKUP(A3671,vlookup_table!$A:$G,3,FALSE)</f>
        <v>CA</v>
      </c>
      <c r="P3671">
        <f>VLOOKUP(A3671,vlookup_table!$A:$G,4,FALSE)</f>
        <v>0</v>
      </c>
      <c r="Q3671" t="str">
        <f>VLOOKUP(A3671,vlookup_table!$A:$G,5,FALSE)</f>
        <v>C2</v>
      </c>
      <c r="R3671" t="str">
        <f>VLOOKUP(A3671,vlookup_table!$A:$G,6,FALSE)</f>
        <v>F</v>
      </c>
      <c r="S3671">
        <f>VLOOKUP(A3671,vlookup_table!$A:$G,7,FALSE)</f>
        <v>200</v>
      </c>
      <c r="T3671">
        <f t="shared" si="114"/>
        <v>96</v>
      </c>
      <c r="U3671" t="str">
        <f t="shared" si="115"/>
        <v>Ciudad</v>
      </c>
    </row>
    <row r="3672" spans="1:21" ht="16" x14ac:dyDescent="0.4">
      <c r="A3672" s="9">
        <v>151904</v>
      </c>
      <c r="B3672" s="8" t="s">
        <v>21</v>
      </c>
      <c r="C3672" s="8" t="s">
        <v>14</v>
      </c>
      <c r="D3672" s="8">
        <v>1088</v>
      </c>
      <c r="E3672" s="8">
        <v>278</v>
      </c>
      <c r="F3672" s="8">
        <v>380</v>
      </c>
      <c r="G3672" s="8">
        <v>19</v>
      </c>
      <c r="H3672" s="8">
        <v>15011</v>
      </c>
      <c r="I3672" s="8">
        <v>18</v>
      </c>
      <c r="J3672" s="8">
        <v>35</v>
      </c>
      <c r="K3672" s="8">
        <v>308</v>
      </c>
      <c r="L3672" s="8">
        <v>335</v>
      </c>
      <c r="M3672" s="8">
        <v>10.83333333</v>
      </c>
      <c r="N3672">
        <f>VLOOKUP(A3672,vlookup_table!$A:$G,2,FALSE)</f>
        <v>0</v>
      </c>
      <c r="O3672" t="str">
        <f>VLOOKUP(A3672,vlookup_table!$A:$G,3,FALSE)</f>
        <v>CA</v>
      </c>
      <c r="P3672">
        <f>VLOOKUP(A3672,vlookup_table!$A:$G,4,FALSE)</f>
        <v>1601</v>
      </c>
      <c r="Q3672" t="str">
        <f>VLOOKUP(A3672,vlookup_table!$A:$G,5,FALSE)</f>
        <v>C2</v>
      </c>
      <c r="R3672" t="str">
        <f>VLOOKUP(A3672,vlookup_table!$A:$G,6,FALSE)</f>
        <v>M</v>
      </c>
      <c r="S3672">
        <f>VLOOKUP(A3672,vlookup_table!$A:$G,7,FALSE)</f>
        <v>15</v>
      </c>
      <c r="T3672">
        <f t="shared" si="114"/>
        <v>80</v>
      </c>
      <c r="U3672" t="str">
        <f t="shared" si="115"/>
        <v>Ciudad</v>
      </c>
    </row>
    <row r="3673" spans="1:21" ht="16" x14ac:dyDescent="0.4">
      <c r="A3673" s="9">
        <v>107895</v>
      </c>
      <c r="B3673" s="8" t="s">
        <v>46</v>
      </c>
      <c r="C3673" s="8" t="s">
        <v>14</v>
      </c>
      <c r="D3673" s="8">
        <v>646</v>
      </c>
      <c r="E3673" s="8">
        <v>228</v>
      </c>
      <c r="F3673" s="8">
        <v>291</v>
      </c>
      <c r="G3673" s="8">
        <v>0</v>
      </c>
      <c r="H3673" s="8">
        <v>10918</v>
      </c>
      <c r="I3673" s="8">
        <v>3</v>
      </c>
      <c r="J3673" s="8">
        <v>72</v>
      </c>
      <c r="K3673" s="8">
        <v>237</v>
      </c>
      <c r="L3673" s="8">
        <v>299</v>
      </c>
      <c r="M3673" s="8">
        <v>3.1904761910000001</v>
      </c>
      <c r="N3673">
        <f>VLOOKUP(A3673,vlookup_table!$A:$G,2,FALSE)</f>
        <v>1</v>
      </c>
      <c r="O3673" t="str">
        <f>VLOOKUP(A3673,vlookup_table!$A:$G,3,FALSE)</f>
        <v>LA</v>
      </c>
      <c r="P3673">
        <f>VLOOKUP(A3673,vlookup_table!$A:$G,4,FALSE)</f>
        <v>4711</v>
      </c>
      <c r="Q3673" t="str">
        <f>VLOOKUP(A3673,vlookup_table!$A:$G,5,FALSE)</f>
        <v>U3</v>
      </c>
      <c r="R3673" t="str">
        <f>VLOOKUP(A3673,vlookup_table!$A:$G,6,FALSE)</f>
        <v>M</v>
      </c>
      <c r="S3673">
        <f>VLOOKUP(A3673,vlookup_table!$A:$G,7,FALSE)</f>
        <v>3</v>
      </c>
      <c r="T3673">
        <f t="shared" si="114"/>
        <v>49</v>
      </c>
      <c r="U3673" t="str">
        <f t="shared" si="115"/>
        <v>Urbano</v>
      </c>
    </row>
    <row r="3674" spans="1:21" ht="16" x14ac:dyDescent="0.4">
      <c r="A3674" s="9">
        <v>72844</v>
      </c>
      <c r="B3674" s="8" t="s">
        <v>26</v>
      </c>
      <c r="C3674" s="8" t="s">
        <v>17</v>
      </c>
      <c r="D3674" s="8">
        <v>740</v>
      </c>
      <c r="E3674" s="8">
        <v>401</v>
      </c>
      <c r="F3674" s="8">
        <v>491</v>
      </c>
      <c r="G3674" s="8">
        <v>1</v>
      </c>
      <c r="H3674" s="8">
        <v>15718</v>
      </c>
      <c r="I3674" s="8">
        <v>3</v>
      </c>
      <c r="J3674" s="8">
        <v>84</v>
      </c>
      <c r="K3674" s="8">
        <v>450</v>
      </c>
      <c r="L3674" s="8">
        <v>446</v>
      </c>
      <c r="M3674" s="8">
        <v>5.7647058820000003</v>
      </c>
      <c r="N3674">
        <f>VLOOKUP(A3674,vlookup_table!$A:$G,2,FALSE)</f>
        <v>0</v>
      </c>
      <c r="O3674" t="str">
        <f>VLOOKUP(A3674,vlookup_table!$A:$G,3,FALSE)</f>
        <v>MI</v>
      </c>
      <c r="P3674">
        <f>VLOOKUP(A3674,vlookup_table!$A:$G,4,FALSE)</f>
        <v>2005</v>
      </c>
      <c r="Q3674" t="str">
        <f>VLOOKUP(A3674,vlookup_table!$A:$G,5,FALSE)</f>
        <v>T1</v>
      </c>
      <c r="R3674" t="str">
        <f>VLOOKUP(A3674,vlookup_table!$A:$G,6,FALSE)</f>
        <v>F</v>
      </c>
      <c r="S3674">
        <f>VLOOKUP(A3674,vlookup_table!$A:$G,7,FALSE)</f>
        <v>10</v>
      </c>
      <c r="T3674">
        <f t="shared" si="114"/>
        <v>76</v>
      </c>
      <c r="U3674" t="str">
        <f t="shared" si="115"/>
        <v>Pueblo</v>
      </c>
    </row>
    <row r="3675" spans="1:21" ht="16" x14ac:dyDescent="0.4">
      <c r="A3675" s="9">
        <v>55756</v>
      </c>
      <c r="B3675" s="8" t="s">
        <v>56</v>
      </c>
      <c r="C3675" s="8" t="s">
        <v>17</v>
      </c>
      <c r="D3675" s="8">
        <v>743</v>
      </c>
      <c r="E3675" s="8">
        <v>465</v>
      </c>
      <c r="F3675" s="8">
        <v>540</v>
      </c>
      <c r="G3675" s="8">
        <v>5</v>
      </c>
      <c r="H3675" s="8">
        <v>22415</v>
      </c>
      <c r="I3675" s="8">
        <v>2</v>
      </c>
      <c r="J3675" s="8">
        <v>26</v>
      </c>
      <c r="K3675" s="8">
        <v>483</v>
      </c>
      <c r="L3675" s="8">
        <v>495</v>
      </c>
      <c r="M3675" s="8">
        <v>7.5555555559999998</v>
      </c>
      <c r="N3675">
        <f>VLOOKUP(A3675,vlookup_table!$A:$G,2,FALSE)</f>
        <v>28</v>
      </c>
      <c r="O3675" t="str">
        <f>VLOOKUP(A3675,vlookup_table!$A:$G,3,FALSE)</f>
        <v>MS</v>
      </c>
      <c r="P3675">
        <f>VLOOKUP(A3675,vlookup_table!$A:$G,4,FALSE)</f>
        <v>0</v>
      </c>
      <c r="Q3675" t="str">
        <f>VLOOKUP(A3675,vlookup_table!$A:$G,5,FALSE)</f>
        <v>C1</v>
      </c>
      <c r="R3675" t="str">
        <f>VLOOKUP(A3675,vlookup_table!$A:$G,6,FALSE)</f>
        <v>F</v>
      </c>
      <c r="S3675">
        <f>VLOOKUP(A3675,vlookup_table!$A:$G,7,FALSE)</f>
        <v>10</v>
      </c>
      <c r="T3675">
        <f t="shared" si="114"/>
        <v>96</v>
      </c>
      <c r="U3675" t="str">
        <f t="shared" si="115"/>
        <v>Ciudad</v>
      </c>
    </row>
    <row r="3676" spans="1:21" ht="16" x14ac:dyDescent="0.4">
      <c r="A3676" s="9">
        <v>59249</v>
      </c>
      <c r="B3676" s="8" t="s">
        <v>30</v>
      </c>
      <c r="C3676" s="8" t="s">
        <v>14</v>
      </c>
      <c r="D3676" s="8">
        <v>1781</v>
      </c>
      <c r="E3676" s="8">
        <v>762</v>
      </c>
      <c r="F3676" s="8">
        <v>853</v>
      </c>
      <c r="G3676" s="8">
        <v>38</v>
      </c>
      <c r="H3676" s="8">
        <v>27556</v>
      </c>
      <c r="I3676" s="8">
        <v>3</v>
      </c>
      <c r="J3676" s="8">
        <v>44</v>
      </c>
      <c r="K3676" s="8">
        <v>776</v>
      </c>
      <c r="L3676" s="8">
        <v>835</v>
      </c>
      <c r="M3676" s="8">
        <v>15</v>
      </c>
      <c r="N3676">
        <f>VLOOKUP(A3676,vlookup_table!$A:$G,2,FALSE)</f>
        <v>1</v>
      </c>
      <c r="O3676" t="str">
        <f>VLOOKUP(A3676,vlookup_table!$A:$G,3,FALSE)</f>
        <v>IN</v>
      </c>
      <c r="P3676">
        <f>VLOOKUP(A3676,vlookup_table!$A:$G,4,FALSE)</f>
        <v>7501</v>
      </c>
      <c r="Q3676" t="str">
        <f>VLOOKUP(A3676,vlookup_table!$A:$G,5,FALSE)</f>
        <v>S1</v>
      </c>
      <c r="R3676" t="str">
        <f>VLOOKUP(A3676,vlookup_table!$A:$G,6,FALSE)</f>
        <v>M</v>
      </c>
      <c r="S3676">
        <f>VLOOKUP(A3676,vlookup_table!$A:$G,7,FALSE)</f>
        <v>15</v>
      </c>
      <c r="T3676">
        <f t="shared" si="114"/>
        <v>21</v>
      </c>
      <c r="U3676" t="str">
        <f t="shared" si="115"/>
        <v>Suburbano</v>
      </c>
    </row>
    <row r="3677" spans="1:21" ht="16" x14ac:dyDescent="0.4">
      <c r="A3677" s="9">
        <v>132844</v>
      </c>
      <c r="B3677" s="8" t="s">
        <v>58</v>
      </c>
      <c r="C3677" s="8" t="s">
        <v>14</v>
      </c>
      <c r="D3677" s="8">
        <v>518</v>
      </c>
      <c r="E3677" s="8">
        <v>303</v>
      </c>
      <c r="F3677" s="8">
        <v>346</v>
      </c>
      <c r="G3677" s="8">
        <v>0</v>
      </c>
      <c r="H3677" s="8">
        <v>11266</v>
      </c>
      <c r="I3677" s="8">
        <v>0</v>
      </c>
      <c r="J3677" s="8">
        <v>35</v>
      </c>
      <c r="K3677" s="8">
        <v>318</v>
      </c>
      <c r="L3677" s="8">
        <v>313</v>
      </c>
      <c r="M3677" s="8">
        <v>13.275862070000001</v>
      </c>
      <c r="N3677">
        <f>VLOOKUP(A3677,vlookup_table!$A:$G,2,FALSE)</f>
        <v>0</v>
      </c>
      <c r="O3677" t="str">
        <f>VLOOKUP(A3677,vlookup_table!$A:$G,3,FALSE)</f>
        <v>WY</v>
      </c>
      <c r="P3677">
        <f>VLOOKUP(A3677,vlookup_table!$A:$G,4,FALSE)</f>
        <v>0</v>
      </c>
      <c r="Q3677" t="str">
        <f>VLOOKUP(A3677,vlookup_table!$A:$G,5,FALSE)</f>
        <v>T2</v>
      </c>
      <c r="R3677" t="str">
        <f>VLOOKUP(A3677,vlookup_table!$A:$G,6,FALSE)</f>
        <v>M</v>
      </c>
      <c r="S3677">
        <f>VLOOKUP(A3677,vlookup_table!$A:$G,7,FALSE)</f>
        <v>11</v>
      </c>
      <c r="T3677">
        <f t="shared" si="114"/>
        <v>96</v>
      </c>
      <c r="U3677" t="str">
        <f t="shared" si="115"/>
        <v>Pueblo</v>
      </c>
    </row>
    <row r="3678" spans="1:21" ht="16" x14ac:dyDescent="0.4">
      <c r="A3678" s="9">
        <v>4225</v>
      </c>
      <c r="B3678" s="8" t="s">
        <v>23</v>
      </c>
      <c r="C3678" s="8" t="s">
        <v>14</v>
      </c>
      <c r="D3678" s="8">
        <v>1003</v>
      </c>
      <c r="E3678" s="8">
        <v>258</v>
      </c>
      <c r="F3678" s="8">
        <v>386</v>
      </c>
      <c r="G3678" s="8">
        <v>5</v>
      </c>
      <c r="H3678" s="8">
        <v>15748</v>
      </c>
      <c r="I3678" s="8">
        <v>12</v>
      </c>
      <c r="J3678" s="8">
        <v>13</v>
      </c>
      <c r="K3678" s="8">
        <v>322</v>
      </c>
      <c r="L3678" s="8">
        <v>318</v>
      </c>
      <c r="M3678" s="8">
        <v>7.038461539</v>
      </c>
      <c r="N3678">
        <f>VLOOKUP(A3678,vlookup_table!$A:$G,2,FALSE)</f>
        <v>1</v>
      </c>
      <c r="O3678" t="str">
        <f>VLOOKUP(A3678,vlookup_table!$A:$G,3,FALSE)</f>
        <v>NV</v>
      </c>
      <c r="P3678">
        <f>VLOOKUP(A3678,vlookup_table!$A:$G,4,FALSE)</f>
        <v>907</v>
      </c>
      <c r="Q3678" t="str">
        <f>VLOOKUP(A3678,vlookup_table!$A:$G,5,FALSE)</f>
        <v/>
      </c>
      <c r="R3678" t="str">
        <f>VLOOKUP(A3678,vlookup_table!$A:$G,6,FALSE)</f>
        <v>M</v>
      </c>
      <c r="S3678">
        <f>VLOOKUP(A3678,vlookup_table!$A:$G,7,FALSE)</f>
        <v>10</v>
      </c>
      <c r="T3678">
        <f t="shared" si="114"/>
        <v>6</v>
      </c>
      <c r="U3678" t="str">
        <f t="shared" si="115"/>
        <v/>
      </c>
    </row>
    <row r="3679" spans="1:21" ht="16" x14ac:dyDescent="0.4">
      <c r="A3679" s="9">
        <v>136150</v>
      </c>
      <c r="B3679" s="8" t="s">
        <v>51</v>
      </c>
      <c r="C3679" s="8" t="s">
        <v>97</v>
      </c>
      <c r="D3679" s="8">
        <v>988</v>
      </c>
      <c r="E3679" s="8">
        <v>310</v>
      </c>
      <c r="F3679" s="8">
        <v>372</v>
      </c>
      <c r="G3679" s="8">
        <v>3</v>
      </c>
      <c r="H3679" s="8">
        <v>14315</v>
      </c>
      <c r="I3679" s="8">
        <v>3</v>
      </c>
      <c r="J3679" s="8">
        <v>26</v>
      </c>
      <c r="K3679" s="8">
        <v>327</v>
      </c>
      <c r="L3679" s="8">
        <v>372</v>
      </c>
      <c r="M3679" s="8">
        <v>23.38888889</v>
      </c>
      <c r="N3679">
        <f>VLOOKUP(A3679,vlookup_table!$A:$G,2,FALSE)</f>
        <v>0</v>
      </c>
      <c r="O3679" t="str">
        <f>VLOOKUP(A3679,vlookup_table!$A:$G,3,FALSE)</f>
        <v>AZ</v>
      </c>
      <c r="P3679">
        <f>VLOOKUP(A3679,vlookup_table!$A:$G,4,FALSE)</f>
        <v>1508</v>
      </c>
      <c r="Q3679" t="str">
        <f>VLOOKUP(A3679,vlookup_table!$A:$G,5,FALSE)</f>
        <v>R2</v>
      </c>
      <c r="R3679" t="str">
        <f>VLOOKUP(A3679,vlookup_table!$A:$G,6,FALSE)</f>
        <v>F</v>
      </c>
      <c r="S3679">
        <f>VLOOKUP(A3679,vlookup_table!$A:$G,7,FALSE)</f>
        <v>50</v>
      </c>
      <c r="T3679">
        <f t="shared" si="114"/>
        <v>81</v>
      </c>
      <c r="U3679" t="str">
        <f t="shared" si="115"/>
        <v>Rural</v>
      </c>
    </row>
    <row r="3680" spans="1:21" ht="16" x14ac:dyDescent="0.4">
      <c r="A3680" s="9">
        <v>66037</v>
      </c>
      <c r="B3680" s="8" t="s">
        <v>26</v>
      </c>
      <c r="C3680" s="8" t="s">
        <v>14</v>
      </c>
      <c r="D3680" s="8">
        <v>1478</v>
      </c>
      <c r="E3680" s="8">
        <v>576</v>
      </c>
      <c r="F3680" s="8">
        <v>606</v>
      </c>
      <c r="G3680" s="8">
        <v>14</v>
      </c>
      <c r="H3680" s="8">
        <v>19378</v>
      </c>
      <c r="I3680" s="8">
        <v>5</v>
      </c>
      <c r="J3680" s="8">
        <v>63</v>
      </c>
      <c r="K3680" s="8">
        <v>605</v>
      </c>
      <c r="L3680" s="8">
        <v>575</v>
      </c>
      <c r="M3680" s="8">
        <v>15.125</v>
      </c>
      <c r="N3680">
        <f>VLOOKUP(A3680,vlookup_table!$A:$G,2,FALSE)</f>
        <v>1</v>
      </c>
      <c r="O3680" t="str">
        <f>VLOOKUP(A3680,vlookup_table!$A:$G,3,FALSE)</f>
        <v>MI</v>
      </c>
      <c r="P3680">
        <f>VLOOKUP(A3680,vlookup_table!$A:$G,4,FALSE)</f>
        <v>4802</v>
      </c>
      <c r="Q3680" t="str">
        <f>VLOOKUP(A3680,vlookup_table!$A:$G,5,FALSE)</f>
        <v>T1</v>
      </c>
      <c r="R3680" t="str">
        <f>VLOOKUP(A3680,vlookup_table!$A:$G,6,FALSE)</f>
        <v>M</v>
      </c>
      <c r="S3680">
        <f>VLOOKUP(A3680,vlookup_table!$A:$G,7,FALSE)</f>
        <v>21</v>
      </c>
      <c r="T3680">
        <f t="shared" si="114"/>
        <v>48</v>
      </c>
      <c r="U3680" t="str">
        <f t="shared" si="115"/>
        <v>Pueblo</v>
      </c>
    </row>
    <row r="3681" spans="1:21" ht="16" x14ac:dyDescent="0.4">
      <c r="A3681" s="9">
        <v>95728</v>
      </c>
      <c r="B3681" s="8" t="s">
        <v>16</v>
      </c>
      <c r="C3681" s="8" t="s">
        <v>17</v>
      </c>
      <c r="D3681" s="8">
        <v>687</v>
      </c>
      <c r="E3681" s="8">
        <v>405</v>
      </c>
      <c r="F3681" s="8">
        <v>452</v>
      </c>
      <c r="G3681" s="8">
        <v>0</v>
      </c>
      <c r="H3681" s="8">
        <v>14237</v>
      </c>
      <c r="I3681" s="8">
        <v>4</v>
      </c>
      <c r="J3681" s="8">
        <v>69</v>
      </c>
      <c r="K3681" s="8">
        <v>410</v>
      </c>
      <c r="L3681" s="8">
        <v>431</v>
      </c>
      <c r="M3681" s="8">
        <v>12.83333333</v>
      </c>
      <c r="N3681">
        <f>VLOOKUP(A3681,vlookup_table!$A:$G,2,FALSE)</f>
        <v>0</v>
      </c>
      <c r="O3681" t="str">
        <f>VLOOKUP(A3681,vlookup_table!$A:$G,3,FALSE)</f>
        <v>IL</v>
      </c>
      <c r="P3681">
        <f>VLOOKUP(A3681,vlookup_table!$A:$G,4,FALSE)</f>
        <v>2806</v>
      </c>
      <c r="Q3681" t="str">
        <f>VLOOKUP(A3681,vlookup_table!$A:$G,5,FALSE)</f>
        <v>S2</v>
      </c>
      <c r="R3681" t="str">
        <f>VLOOKUP(A3681,vlookup_table!$A:$G,6,FALSE)</f>
        <v>F</v>
      </c>
      <c r="S3681">
        <f>VLOOKUP(A3681,vlookup_table!$A:$G,7,FALSE)</f>
        <v>15</v>
      </c>
      <c r="T3681">
        <f t="shared" si="114"/>
        <v>68</v>
      </c>
      <c r="U3681" t="str">
        <f t="shared" si="115"/>
        <v>Suburbano</v>
      </c>
    </row>
    <row r="3682" spans="1:21" ht="16" x14ac:dyDescent="0.4">
      <c r="A3682" s="9">
        <v>174895</v>
      </c>
      <c r="B3682" s="8" t="s">
        <v>47</v>
      </c>
      <c r="C3682" s="8" t="s">
        <v>17</v>
      </c>
      <c r="D3682" s="8">
        <v>457</v>
      </c>
      <c r="E3682" s="8">
        <v>187</v>
      </c>
      <c r="F3682" s="8">
        <v>267</v>
      </c>
      <c r="G3682" s="8">
        <v>0</v>
      </c>
      <c r="H3682" s="8">
        <v>12886</v>
      </c>
      <c r="I3682" s="8">
        <v>8</v>
      </c>
      <c r="J3682" s="8">
        <v>15</v>
      </c>
      <c r="K3682" s="8">
        <v>256</v>
      </c>
      <c r="L3682" s="8">
        <v>197</v>
      </c>
      <c r="M3682" s="8">
        <v>15</v>
      </c>
      <c r="N3682">
        <f>VLOOKUP(A3682,vlookup_table!$A:$G,2,FALSE)</f>
        <v>0</v>
      </c>
      <c r="O3682" t="str">
        <f>VLOOKUP(A3682,vlookup_table!$A:$G,3,FALSE)</f>
        <v>OR</v>
      </c>
      <c r="P3682">
        <f>VLOOKUP(A3682,vlookup_table!$A:$G,4,FALSE)</f>
        <v>2501</v>
      </c>
      <c r="Q3682" t="str">
        <f>VLOOKUP(A3682,vlookup_table!$A:$G,5,FALSE)</f>
        <v>T3</v>
      </c>
      <c r="R3682" t="str">
        <f>VLOOKUP(A3682,vlookup_table!$A:$G,6,FALSE)</f>
        <v>F</v>
      </c>
      <c r="S3682">
        <f>VLOOKUP(A3682,vlookup_table!$A:$G,7,FALSE)</f>
        <v>21</v>
      </c>
      <c r="T3682">
        <f t="shared" si="114"/>
        <v>71</v>
      </c>
      <c r="U3682" t="str">
        <f t="shared" si="115"/>
        <v>Pueblo</v>
      </c>
    </row>
    <row r="3683" spans="1:21" ht="16" x14ac:dyDescent="0.4">
      <c r="A3683" s="9">
        <v>165056</v>
      </c>
      <c r="B3683" s="8" t="s">
        <v>21</v>
      </c>
      <c r="C3683" s="8" t="s">
        <v>17</v>
      </c>
      <c r="D3683" s="8">
        <v>1884</v>
      </c>
      <c r="E3683" s="8">
        <v>454</v>
      </c>
      <c r="F3683" s="8">
        <v>490</v>
      </c>
      <c r="G3683" s="8">
        <v>33</v>
      </c>
      <c r="H3683" s="8">
        <v>14776</v>
      </c>
      <c r="I3683" s="8">
        <v>5</v>
      </c>
      <c r="J3683" s="8">
        <v>64</v>
      </c>
      <c r="K3683" s="8">
        <v>458</v>
      </c>
      <c r="L3683" s="8">
        <v>490</v>
      </c>
      <c r="M3683" s="8">
        <v>7.6875</v>
      </c>
      <c r="N3683">
        <f>VLOOKUP(A3683,vlookup_table!$A:$G,2,FALSE)</f>
        <v>0</v>
      </c>
      <c r="O3683" t="str">
        <f>VLOOKUP(A3683,vlookup_table!$A:$G,3,FALSE)</f>
        <v>CA</v>
      </c>
      <c r="P3683">
        <f>VLOOKUP(A3683,vlookup_table!$A:$G,4,FALSE)</f>
        <v>5405</v>
      </c>
      <c r="Q3683" t="str">
        <f>VLOOKUP(A3683,vlookup_table!$A:$G,5,FALSE)</f>
        <v>C2</v>
      </c>
      <c r="R3683" t="str">
        <f>VLOOKUP(A3683,vlookup_table!$A:$G,6,FALSE)</f>
        <v>F</v>
      </c>
      <c r="S3683">
        <f>VLOOKUP(A3683,vlookup_table!$A:$G,7,FALSE)</f>
        <v>5</v>
      </c>
      <c r="T3683">
        <f t="shared" si="114"/>
        <v>42</v>
      </c>
      <c r="U3683" t="str">
        <f t="shared" si="115"/>
        <v>Ciudad</v>
      </c>
    </row>
    <row r="3684" spans="1:21" ht="16" x14ac:dyDescent="0.4">
      <c r="A3684" s="9">
        <v>112367</v>
      </c>
      <c r="B3684" s="8" t="s">
        <v>29</v>
      </c>
      <c r="C3684" s="8" t="s">
        <v>97</v>
      </c>
      <c r="D3684" s="8">
        <v>516</v>
      </c>
      <c r="E3684" s="8">
        <v>272</v>
      </c>
      <c r="F3684" s="8">
        <v>344</v>
      </c>
      <c r="G3684" s="8">
        <v>0</v>
      </c>
      <c r="H3684" s="8">
        <v>11682</v>
      </c>
      <c r="I3684" s="8">
        <v>1</v>
      </c>
      <c r="J3684" s="8">
        <v>60</v>
      </c>
      <c r="K3684" s="8">
        <v>337</v>
      </c>
      <c r="L3684" s="8">
        <v>303</v>
      </c>
      <c r="M3684" s="8">
        <v>5.5789473679999997</v>
      </c>
      <c r="N3684">
        <f>VLOOKUP(A3684,vlookup_table!$A:$G,2,FALSE)</f>
        <v>2</v>
      </c>
      <c r="O3684" t="str">
        <f>VLOOKUP(A3684,vlookup_table!$A:$G,3,FALSE)</f>
        <v>AR</v>
      </c>
      <c r="P3684">
        <f>VLOOKUP(A3684,vlookup_table!$A:$G,4,FALSE)</f>
        <v>2101</v>
      </c>
      <c r="Q3684" t="str">
        <f>VLOOKUP(A3684,vlookup_table!$A:$G,5,FALSE)</f>
        <v>T2</v>
      </c>
      <c r="R3684" t="str">
        <f>VLOOKUP(A3684,vlookup_table!$A:$G,6,FALSE)</f>
        <v>F</v>
      </c>
      <c r="S3684">
        <f>VLOOKUP(A3684,vlookup_table!$A:$G,7,FALSE)</f>
        <v>10</v>
      </c>
      <c r="T3684">
        <f t="shared" si="114"/>
        <v>75</v>
      </c>
      <c r="U3684" t="str">
        <f t="shared" si="115"/>
        <v>Pueblo</v>
      </c>
    </row>
    <row r="3685" spans="1:21" ht="16" x14ac:dyDescent="0.4">
      <c r="A3685" s="9">
        <v>147190</v>
      </c>
      <c r="B3685" s="8" t="s">
        <v>21</v>
      </c>
      <c r="C3685" s="8" t="s">
        <v>17</v>
      </c>
      <c r="D3685" s="8">
        <v>1545</v>
      </c>
      <c r="E3685" s="8">
        <v>305</v>
      </c>
      <c r="F3685" s="8">
        <v>376</v>
      </c>
      <c r="G3685" s="8">
        <v>12</v>
      </c>
      <c r="H3685" s="8">
        <v>10242</v>
      </c>
      <c r="I3685" s="8">
        <v>31</v>
      </c>
      <c r="J3685" s="8">
        <v>40</v>
      </c>
      <c r="K3685" s="8">
        <v>326</v>
      </c>
      <c r="L3685" s="8">
        <v>360</v>
      </c>
      <c r="M3685" s="8">
        <v>16.25</v>
      </c>
      <c r="N3685">
        <f>VLOOKUP(A3685,vlookup_table!$A:$G,2,FALSE)</f>
        <v>28</v>
      </c>
      <c r="O3685" t="str">
        <f>VLOOKUP(A3685,vlookup_table!$A:$G,3,FALSE)</f>
        <v>CA</v>
      </c>
      <c r="P3685">
        <f>VLOOKUP(A3685,vlookup_table!$A:$G,4,FALSE)</f>
        <v>4801</v>
      </c>
      <c r="Q3685" t="str">
        <f>VLOOKUP(A3685,vlookup_table!$A:$G,5,FALSE)</f>
        <v>U3</v>
      </c>
      <c r="R3685" t="str">
        <f>VLOOKUP(A3685,vlookup_table!$A:$G,6,FALSE)</f>
        <v>F</v>
      </c>
      <c r="S3685">
        <f>VLOOKUP(A3685,vlookup_table!$A:$G,7,FALSE)</f>
        <v>10</v>
      </c>
      <c r="T3685">
        <f t="shared" si="114"/>
        <v>48</v>
      </c>
      <c r="U3685" t="str">
        <f t="shared" si="115"/>
        <v>Urbano</v>
      </c>
    </row>
    <row r="3686" spans="1:21" ht="16" x14ac:dyDescent="0.4">
      <c r="A3686" s="9">
        <v>5613</v>
      </c>
      <c r="B3686" s="8" t="s">
        <v>21</v>
      </c>
      <c r="C3686" s="8" t="s">
        <v>17</v>
      </c>
      <c r="D3686" s="8">
        <v>2880</v>
      </c>
      <c r="E3686" s="8">
        <v>511</v>
      </c>
      <c r="F3686" s="8">
        <v>587</v>
      </c>
      <c r="G3686" s="8">
        <v>91</v>
      </c>
      <c r="H3686" s="8">
        <v>25314</v>
      </c>
      <c r="I3686" s="8">
        <v>9</v>
      </c>
      <c r="J3686" s="8">
        <v>55</v>
      </c>
      <c r="K3686" s="8">
        <v>539</v>
      </c>
      <c r="L3686" s="8">
        <v>566</v>
      </c>
      <c r="M3686" s="8">
        <v>8.3157894740000007</v>
      </c>
      <c r="N3686">
        <f>VLOOKUP(A3686,vlookup_table!$A:$G,2,FALSE)</f>
        <v>2</v>
      </c>
      <c r="O3686" t="str">
        <f>VLOOKUP(A3686,vlookup_table!$A:$G,3,FALSE)</f>
        <v>CA</v>
      </c>
      <c r="P3686">
        <f>VLOOKUP(A3686,vlookup_table!$A:$G,4,FALSE)</f>
        <v>3501</v>
      </c>
      <c r="Q3686" t="str">
        <f>VLOOKUP(A3686,vlookup_table!$A:$G,5,FALSE)</f>
        <v/>
      </c>
      <c r="R3686" t="str">
        <f>VLOOKUP(A3686,vlookup_table!$A:$G,6,FALSE)</f>
        <v>F</v>
      </c>
      <c r="S3686">
        <f>VLOOKUP(A3686,vlookup_table!$A:$G,7,FALSE)</f>
        <v>12</v>
      </c>
      <c r="T3686">
        <f t="shared" si="114"/>
        <v>61</v>
      </c>
      <c r="U3686" t="str">
        <f t="shared" si="115"/>
        <v/>
      </c>
    </row>
    <row r="3687" spans="1:21" ht="16" x14ac:dyDescent="0.4">
      <c r="A3687" s="9">
        <v>43126</v>
      </c>
      <c r="B3687" s="8" t="s">
        <v>13</v>
      </c>
      <c r="C3687" s="8" t="s">
        <v>17</v>
      </c>
      <c r="D3687" s="8">
        <v>845</v>
      </c>
      <c r="E3687" s="8">
        <v>334</v>
      </c>
      <c r="F3687" s="8">
        <v>511</v>
      </c>
      <c r="G3687" s="8">
        <v>13</v>
      </c>
      <c r="H3687" s="8">
        <v>25715</v>
      </c>
      <c r="I3687" s="8">
        <v>6</v>
      </c>
      <c r="J3687" s="8">
        <v>10</v>
      </c>
      <c r="K3687" s="8">
        <v>351</v>
      </c>
      <c r="L3687" s="8">
        <v>496</v>
      </c>
      <c r="M3687" s="8">
        <v>4.875</v>
      </c>
      <c r="N3687">
        <f>VLOOKUP(A3687,vlookup_table!$A:$G,2,FALSE)</f>
        <v>0</v>
      </c>
      <c r="O3687" t="str">
        <f>VLOOKUP(A3687,vlookup_table!$A:$G,3,FALSE)</f>
        <v>FL</v>
      </c>
      <c r="P3687">
        <f>VLOOKUP(A3687,vlookup_table!$A:$G,4,FALSE)</f>
        <v>4901</v>
      </c>
      <c r="Q3687" t="str">
        <f>VLOOKUP(A3687,vlookup_table!$A:$G,5,FALSE)</f>
        <v>C2</v>
      </c>
      <c r="R3687" t="str">
        <f>VLOOKUP(A3687,vlookup_table!$A:$G,6,FALSE)</f>
        <v>F</v>
      </c>
      <c r="S3687">
        <f>VLOOKUP(A3687,vlookup_table!$A:$G,7,FALSE)</f>
        <v>5</v>
      </c>
      <c r="T3687">
        <f t="shared" si="114"/>
        <v>47</v>
      </c>
      <c r="U3687" t="str">
        <f t="shared" si="115"/>
        <v>Ciudad</v>
      </c>
    </row>
    <row r="3688" spans="1:21" ht="16" x14ac:dyDescent="0.4">
      <c r="A3688" s="9">
        <v>53753</v>
      </c>
      <c r="B3688" s="8" t="s">
        <v>49</v>
      </c>
      <c r="C3688" s="8" t="s">
        <v>17</v>
      </c>
      <c r="D3688" s="8">
        <v>1239</v>
      </c>
      <c r="E3688" s="8">
        <v>534</v>
      </c>
      <c r="F3688" s="8">
        <v>653</v>
      </c>
      <c r="G3688" s="8">
        <v>11</v>
      </c>
      <c r="H3688" s="8">
        <v>23901</v>
      </c>
      <c r="I3688" s="8">
        <v>4</v>
      </c>
      <c r="J3688" s="8">
        <v>42</v>
      </c>
      <c r="K3688" s="8">
        <v>571</v>
      </c>
      <c r="L3688" s="8">
        <v>624</v>
      </c>
      <c r="M3688" s="8">
        <v>15.84615385</v>
      </c>
      <c r="N3688">
        <f>VLOOKUP(A3688,vlookup_table!$A:$G,2,FALSE)</f>
        <v>0</v>
      </c>
      <c r="O3688" t="str">
        <f>VLOOKUP(A3688,vlookup_table!$A:$G,3,FALSE)</f>
        <v>TN</v>
      </c>
      <c r="P3688">
        <f>VLOOKUP(A3688,vlookup_table!$A:$G,4,FALSE)</f>
        <v>5307</v>
      </c>
      <c r="Q3688" t="str">
        <f>VLOOKUP(A3688,vlookup_table!$A:$G,5,FALSE)</f>
        <v>S1</v>
      </c>
      <c r="R3688" t="str">
        <f>VLOOKUP(A3688,vlookup_table!$A:$G,6,FALSE)</f>
        <v>F</v>
      </c>
      <c r="S3688">
        <f>VLOOKUP(A3688,vlookup_table!$A:$G,7,FALSE)</f>
        <v>30</v>
      </c>
      <c r="T3688">
        <f t="shared" si="114"/>
        <v>43</v>
      </c>
      <c r="U3688" t="str">
        <f t="shared" si="115"/>
        <v>Suburbano</v>
      </c>
    </row>
    <row r="3689" spans="1:21" ht="16" x14ac:dyDescent="0.4">
      <c r="A3689" s="9">
        <v>190651</v>
      </c>
      <c r="B3689" s="8" t="s">
        <v>16</v>
      </c>
      <c r="C3689" s="8" t="s">
        <v>17</v>
      </c>
      <c r="D3689" s="8">
        <v>753</v>
      </c>
      <c r="E3689" s="8">
        <v>387</v>
      </c>
      <c r="F3689" s="8">
        <v>452</v>
      </c>
      <c r="G3689" s="8">
        <v>0</v>
      </c>
      <c r="H3689" s="8">
        <v>17356</v>
      </c>
      <c r="I3689" s="8">
        <v>6</v>
      </c>
      <c r="J3689" s="8">
        <v>61</v>
      </c>
      <c r="K3689" s="8">
        <v>432</v>
      </c>
      <c r="L3689" s="8">
        <v>417</v>
      </c>
      <c r="M3689" s="8">
        <v>25</v>
      </c>
      <c r="N3689">
        <f>VLOOKUP(A3689,vlookup_table!$A:$G,2,FALSE)</f>
        <v>28</v>
      </c>
      <c r="O3689" t="str">
        <f>VLOOKUP(A3689,vlookup_table!$A:$G,3,FALSE)</f>
        <v>IL</v>
      </c>
      <c r="P3689">
        <f>VLOOKUP(A3689,vlookup_table!$A:$G,4,FALSE)</f>
        <v>5201</v>
      </c>
      <c r="Q3689" t="str">
        <f>VLOOKUP(A3689,vlookup_table!$A:$G,5,FALSE)</f>
        <v>C1</v>
      </c>
      <c r="R3689" t="str">
        <f>VLOOKUP(A3689,vlookup_table!$A:$G,6,FALSE)</f>
        <v>F</v>
      </c>
      <c r="S3689">
        <f>VLOOKUP(A3689,vlookup_table!$A:$G,7,FALSE)</f>
        <v>10</v>
      </c>
      <c r="T3689">
        <f t="shared" si="114"/>
        <v>44</v>
      </c>
      <c r="U3689" t="str">
        <f t="shared" si="115"/>
        <v>Ciudad</v>
      </c>
    </row>
    <row r="3690" spans="1:21" ht="16" x14ac:dyDescent="0.4">
      <c r="A3690" s="9">
        <v>12597</v>
      </c>
      <c r="B3690" s="8" t="s">
        <v>21</v>
      </c>
      <c r="C3690" s="8" t="s">
        <v>17</v>
      </c>
      <c r="D3690" s="8">
        <v>2885</v>
      </c>
      <c r="E3690" s="8">
        <v>737</v>
      </c>
      <c r="F3690" s="8">
        <v>824</v>
      </c>
      <c r="G3690" s="8">
        <v>94</v>
      </c>
      <c r="H3690" s="8">
        <v>28134</v>
      </c>
      <c r="I3690" s="8">
        <v>12</v>
      </c>
      <c r="J3690" s="8">
        <v>48</v>
      </c>
      <c r="K3690" s="8">
        <v>773</v>
      </c>
      <c r="L3690" s="8">
        <v>798</v>
      </c>
      <c r="M3690" s="8">
        <v>53.857142860000003</v>
      </c>
      <c r="N3690">
        <f>VLOOKUP(A3690,vlookup_table!$A:$G,2,FALSE)</f>
        <v>28</v>
      </c>
      <c r="O3690" t="str">
        <f>VLOOKUP(A3690,vlookup_table!$A:$G,3,FALSE)</f>
        <v>CA</v>
      </c>
      <c r="P3690">
        <f>VLOOKUP(A3690,vlookup_table!$A:$G,4,FALSE)</f>
        <v>0</v>
      </c>
      <c r="Q3690" t="str">
        <f>VLOOKUP(A3690,vlookup_table!$A:$G,5,FALSE)</f>
        <v>S1</v>
      </c>
      <c r="R3690" t="str">
        <f>VLOOKUP(A3690,vlookup_table!$A:$G,6,FALSE)</f>
        <v>F</v>
      </c>
      <c r="S3690">
        <f>VLOOKUP(A3690,vlookup_table!$A:$G,7,FALSE)</f>
        <v>101</v>
      </c>
      <c r="T3690">
        <f t="shared" si="114"/>
        <v>96</v>
      </c>
      <c r="U3690" t="str">
        <f t="shared" si="115"/>
        <v>Suburbano</v>
      </c>
    </row>
    <row r="3691" spans="1:21" ht="16" x14ac:dyDescent="0.4">
      <c r="A3691" s="9">
        <v>164169</v>
      </c>
      <c r="B3691" s="8" t="s">
        <v>21</v>
      </c>
      <c r="C3691" s="8" t="s">
        <v>14</v>
      </c>
      <c r="D3691" s="8">
        <v>2292</v>
      </c>
      <c r="E3691" s="8">
        <v>642</v>
      </c>
      <c r="F3691" s="8">
        <v>710</v>
      </c>
      <c r="G3691" s="8">
        <v>70</v>
      </c>
      <c r="H3691" s="8">
        <v>22186</v>
      </c>
      <c r="I3691" s="8">
        <v>13</v>
      </c>
      <c r="J3691" s="8">
        <v>52</v>
      </c>
      <c r="K3691" s="8">
        <v>670</v>
      </c>
      <c r="L3691" s="8">
        <v>680</v>
      </c>
      <c r="M3691" s="8">
        <v>10</v>
      </c>
      <c r="N3691">
        <f>VLOOKUP(A3691,vlookup_table!$A:$G,2,FALSE)</f>
        <v>0</v>
      </c>
      <c r="O3691" t="str">
        <f>VLOOKUP(A3691,vlookup_table!$A:$G,3,FALSE)</f>
        <v>CA</v>
      </c>
      <c r="P3691">
        <f>VLOOKUP(A3691,vlookup_table!$A:$G,4,FALSE)</f>
        <v>6201</v>
      </c>
      <c r="Q3691" t="str">
        <f>VLOOKUP(A3691,vlookup_table!$A:$G,5,FALSE)</f>
        <v>S1</v>
      </c>
      <c r="R3691" t="str">
        <f>VLOOKUP(A3691,vlookup_table!$A:$G,6,FALSE)</f>
        <v>M</v>
      </c>
      <c r="S3691">
        <f>VLOOKUP(A3691,vlookup_table!$A:$G,7,FALSE)</f>
        <v>15</v>
      </c>
      <c r="T3691">
        <f t="shared" si="114"/>
        <v>34</v>
      </c>
      <c r="U3691" t="str">
        <f t="shared" si="115"/>
        <v>Suburbano</v>
      </c>
    </row>
    <row r="3692" spans="1:21" ht="16" x14ac:dyDescent="0.4">
      <c r="A3692" s="9">
        <v>20106</v>
      </c>
      <c r="B3692" s="8" t="s">
        <v>18</v>
      </c>
      <c r="C3692" s="8" t="s">
        <v>14</v>
      </c>
      <c r="D3692" s="8">
        <v>949</v>
      </c>
      <c r="E3692" s="8">
        <v>303</v>
      </c>
      <c r="F3692" s="8">
        <v>390</v>
      </c>
      <c r="G3692" s="8">
        <v>6</v>
      </c>
      <c r="H3692" s="8">
        <v>14449</v>
      </c>
      <c r="I3692" s="8">
        <v>1</v>
      </c>
      <c r="J3692" s="8">
        <v>65</v>
      </c>
      <c r="K3692" s="8">
        <v>347</v>
      </c>
      <c r="L3692" s="8">
        <v>347</v>
      </c>
      <c r="M3692" s="8">
        <v>12</v>
      </c>
      <c r="N3692">
        <f>VLOOKUP(A3692,vlookup_table!$A:$G,2,FALSE)</f>
        <v>1</v>
      </c>
      <c r="O3692" t="str">
        <f>VLOOKUP(A3692,vlookup_table!$A:$G,3,FALSE)</f>
        <v>NC</v>
      </c>
      <c r="P3692">
        <f>VLOOKUP(A3692,vlookup_table!$A:$G,4,FALSE)</f>
        <v>2601</v>
      </c>
      <c r="Q3692" t="str">
        <f>VLOOKUP(A3692,vlookup_table!$A:$G,5,FALSE)</f>
        <v>R2</v>
      </c>
      <c r="R3692" t="str">
        <f>VLOOKUP(A3692,vlookup_table!$A:$G,6,FALSE)</f>
        <v>M</v>
      </c>
      <c r="S3692">
        <f>VLOOKUP(A3692,vlookup_table!$A:$G,7,FALSE)</f>
        <v>12</v>
      </c>
      <c r="T3692">
        <f t="shared" si="114"/>
        <v>70</v>
      </c>
      <c r="U3692" t="str">
        <f t="shared" si="115"/>
        <v>Rural</v>
      </c>
    </row>
    <row r="3693" spans="1:21" ht="16" x14ac:dyDescent="0.4">
      <c r="A3693" s="9">
        <v>143565</v>
      </c>
      <c r="B3693" s="8" t="s">
        <v>21</v>
      </c>
      <c r="C3693" s="8" t="s">
        <v>17</v>
      </c>
      <c r="D3693" s="8">
        <v>1387</v>
      </c>
      <c r="E3693" s="8">
        <v>406</v>
      </c>
      <c r="F3693" s="8">
        <v>442</v>
      </c>
      <c r="G3693" s="8">
        <v>4</v>
      </c>
      <c r="H3693" s="8">
        <v>12732</v>
      </c>
      <c r="I3693" s="8">
        <v>5</v>
      </c>
      <c r="J3693" s="8">
        <v>40</v>
      </c>
      <c r="K3693" s="8">
        <v>464</v>
      </c>
      <c r="L3693" s="8">
        <v>403</v>
      </c>
      <c r="M3693" s="8">
        <v>11.4</v>
      </c>
      <c r="N3693">
        <f>VLOOKUP(A3693,vlookup_table!$A:$G,2,FALSE)</f>
        <v>28</v>
      </c>
      <c r="O3693" t="str">
        <f>VLOOKUP(A3693,vlookup_table!$A:$G,3,FALSE)</f>
        <v>CA</v>
      </c>
      <c r="P3693">
        <f>VLOOKUP(A3693,vlookup_table!$A:$G,4,FALSE)</f>
        <v>3001</v>
      </c>
      <c r="Q3693" t="str">
        <f>VLOOKUP(A3693,vlookup_table!$A:$G,5,FALSE)</f>
        <v>U2</v>
      </c>
      <c r="R3693" t="str">
        <f>VLOOKUP(A3693,vlookup_table!$A:$G,6,FALSE)</f>
        <v>F</v>
      </c>
      <c r="S3693">
        <f>VLOOKUP(A3693,vlookup_table!$A:$G,7,FALSE)</f>
        <v>17</v>
      </c>
      <c r="T3693">
        <f t="shared" si="114"/>
        <v>66</v>
      </c>
      <c r="U3693" t="str">
        <f t="shared" si="115"/>
        <v>Urbano</v>
      </c>
    </row>
    <row r="3694" spans="1:21" ht="16" x14ac:dyDescent="0.4">
      <c r="A3694" s="9">
        <v>96080</v>
      </c>
      <c r="B3694" s="8" t="s">
        <v>16</v>
      </c>
      <c r="C3694" s="8" t="s">
        <v>17</v>
      </c>
      <c r="D3694" s="8">
        <v>568</v>
      </c>
      <c r="E3694" s="8">
        <v>220</v>
      </c>
      <c r="F3694" s="8">
        <v>353</v>
      </c>
      <c r="G3694" s="8">
        <v>0</v>
      </c>
      <c r="H3694" s="8">
        <v>12599</v>
      </c>
      <c r="I3694" s="8">
        <v>0</v>
      </c>
      <c r="J3694" s="8">
        <v>84</v>
      </c>
      <c r="K3694" s="8">
        <v>279</v>
      </c>
      <c r="L3694" s="8">
        <v>282</v>
      </c>
      <c r="M3694" s="8">
        <v>3.4444444440000002</v>
      </c>
      <c r="N3694">
        <f>VLOOKUP(A3694,vlookup_table!$A:$G,2,FALSE)</f>
        <v>2</v>
      </c>
      <c r="O3694" t="str">
        <f>VLOOKUP(A3694,vlookup_table!$A:$G,3,FALSE)</f>
        <v>IL</v>
      </c>
      <c r="P3694">
        <f>VLOOKUP(A3694,vlookup_table!$A:$G,4,FALSE)</f>
        <v>2001</v>
      </c>
      <c r="Q3694" t="str">
        <f>VLOOKUP(A3694,vlookup_table!$A:$G,5,FALSE)</f>
        <v>T2</v>
      </c>
      <c r="R3694" t="str">
        <f>VLOOKUP(A3694,vlookup_table!$A:$G,6,FALSE)</f>
        <v>F</v>
      </c>
      <c r="S3694">
        <f>VLOOKUP(A3694,vlookup_table!$A:$G,7,FALSE)</f>
        <v>5</v>
      </c>
      <c r="T3694">
        <f t="shared" si="114"/>
        <v>76</v>
      </c>
      <c r="U3694" t="str">
        <f t="shared" si="115"/>
        <v>Pueblo</v>
      </c>
    </row>
    <row r="3695" spans="1:21" ht="16" x14ac:dyDescent="0.4">
      <c r="A3695" s="9">
        <v>184492</v>
      </c>
      <c r="B3695" s="8" t="s">
        <v>37</v>
      </c>
      <c r="C3695" s="8"/>
      <c r="D3695" s="8">
        <v>917</v>
      </c>
      <c r="E3695" s="8">
        <v>391</v>
      </c>
      <c r="F3695" s="8">
        <v>519</v>
      </c>
      <c r="G3695" s="8">
        <v>4</v>
      </c>
      <c r="H3695" s="8">
        <v>16290</v>
      </c>
      <c r="I3695" s="8">
        <v>0</v>
      </c>
      <c r="J3695" s="8">
        <v>63</v>
      </c>
      <c r="K3695" s="8">
        <v>463</v>
      </c>
      <c r="L3695" s="8">
        <v>476</v>
      </c>
      <c r="M3695" s="8">
        <v>8.5714285710000002</v>
      </c>
      <c r="N3695">
        <f>VLOOKUP(A3695,vlookup_table!$A:$G,2,FALSE)</f>
        <v>0</v>
      </c>
      <c r="O3695" t="str">
        <f>VLOOKUP(A3695,vlookup_table!$A:$G,3,FALSE)</f>
        <v>WA</v>
      </c>
      <c r="P3695">
        <f>VLOOKUP(A3695,vlookup_table!$A:$G,4,FALSE)</f>
        <v>2801</v>
      </c>
      <c r="Q3695" t="str">
        <f>VLOOKUP(A3695,vlookup_table!$A:$G,5,FALSE)</f>
        <v>T1</v>
      </c>
      <c r="R3695" t="str">
        <f>VLOOKUP(A3695,vlookup_table!$A:$G,6,FALSE)</f>
        <v/>
      </c>
      <c r="S3695">
        <f>VLOOKUP(A3695,vlookup_table!$A:$G,7,FALSE)</f>
        <v>9</v>
      </c>
      <c r="T3695">
        <f t="shared" si="114"/>
        <v>68</v>
      </c>
      <c r="U3695" t="str">
        <f t="shared" si="115"/>
        <v>Pueblo</v>
      </c>
    </row>
    <row r="3696" spans="1:21" ht="16" x14ac:dyDescent="0.4">
      <c r="A3696" s="9">
        <v>128522</v>
      </c>
      <c r="B3696" s="8" t="s">
        <v>20</v>
      </c>
      <c r="C3696" s="8" t="s">
        <v>17</v>
      </c>
      <c r="D3696" s="8">
        <v>243</v>
      </c>
      <c r="E3696" s="8">
        <v>132</v>
      </c>
      <c r="F3696" s="8">
        <v>160</v>
      </c>
      <c r="G3696" s="8">
        <v>0</v>
      </c>
      <c r="H3696" s="8">
        <v>4960</v>
      </c>
      <c r="I3696" s="8">
        <v>5</v>
      </c>
      <c r="J3696" s="8">
        <v>84</v>
      </c>
      <c r="K3696" s="8">
        <v>147</v>
      </c>
      <c r="L3696" s="8">
        <v>154</v>
      </c>
      <c r="M3696" s="8">
        <v>9.0625</v>
      </c>
      <c r="N3696">
        <f>VLOOKUP(A3696,vlookup_table!$A:$G,2,FALSE)</f>
        <v>0</v>
      </c>
      <c r="O3696" t="str">
        <f>VLOOKUP(A3696,vlookup_table!$A:$G,3,FALSE)</f>
        <v>TX</v>
      </c>
      <c r="P3696">
        <f>VLOOKUP(A3696,vlookup_table!$A:$G,4,FALSE)</f>
        <v>0</v>
      </c>
      <c r="Q3696" t="str">
        <f>VLOOKUP(A3696,vlookup_table!$A:$G,5,FALSE)</f>
        <v>T1</v>
      </c>
      <c r="R3696" t="str">
        <f>VLOOKUP(A3696,vlookup_table!$A:$G,6,FALSE)</f>
        <v>F</v>
      </c>
      <c r="S3696">
        <f>VLOOKUP(A3696,vlookup_table!$A:$G,7,FALSE)</f>
        <v>20</v>
      </c>
      <c r="T3696">
        <f t="shared" si="114"/>
        <v>96</v>
      </c>
      <c r="U3696" t="str">
        <f t="shared" si="115"/>
        <v>Pueblo</v>
      </c>
    </row>
    <row r="3697" spans="1:21" ht="16" x14ac:dyDescent="0.4">
      <c r="A3697" s="9">
        <v>167551</v>
      </c>
      <c r="B3697" s="8" t="s">
        <v>21</v>
      </c>
      <c r="C3697" s="8" t="s">
        <v>17</v>
      </c>
      <c r="D3697" s="8">
        <v>2356</v>
      </c>
      <c r="E3697" s="8">
        <v>277</v>
      </c>
      <c r="F3697" s="8">
        <v>401</v>
      </c>
      <c r="G3697" s="8">
        <v>78</v>
      </c>
      <c r="H3697" s="8">
        <v>15245</v>
      </c>
      <c r="I3697" s="8">
        <v>34</v>
      </c>
      <c r="J3697" s="8">
        <v>38</v>
      </c>
      <c r="K3697" s="8">
        <v>359</v>
      </c>
      <c r="L3697" s="8">
        <v>359</v>
      </c>
      <c r="M3697" s="8">
        <v>15.83333333</v>
      </c>
      <c r="N3697">
        <f>VLOOKUP(A3697,vlookup_table!$A:$G,2,FALSE)</f>
        <v>0</v>
      </c>
      <c r="O3697" t="str">
        <f>VLOOKUP(A3697,vlookup_table!$A:$G,3,FALSE)</f>
        <v>CA</v>
      </c>
      <c r="P3697">
        <f>VLOOKUP(A3697,vlookup_table!$A:$G,4,FALSE)</f>
        <v>4401</v>
      </c>
      <c r="Q3697" t="str">
        <f>VLOOKUP(A3697,vlookup_table!$A:$G,5,FALSE)</f>
        <v>U1</v>
      </c>
      <c r="R3697" t="str">
        <f>VLOOKUP(A3697,vlookup_table!$A:$G,6,FALSE)</f>
        <v>F</v>
      </c>
      <c r="S3697">
        <f>VLOOKUP(A3697,vlookup_table!$A:$G,7,FALSE)</f>
        <v>20</v>
      </c>
      <c r="T3697">
        <f t="shared" si="114"/>
        <v>52</v>
      </c>
      <c r="U3697" t="str">
        <f t="shared" si="115"/>
        <v>Urbano</v>
      </c>
    </row>
    <row r="3698" spans="1:21" ht="16" x14ac:dyDescent="0.4">
      <c r="A3698" s="9">
        <v>101972</v>
      </c>
      <c r="B3698" s="8" t="s">
        <v>33</v>
      </c>
      <c r="C3698" s="8" t="s">
        <v>17</v>
      </c>
      <c r="D3698" s="8">
        <v>844</v>
      </c>
      <c r="E3698" s="8">
        <v>340</v>
      </c>
      <c r="F3698" s="8">
        <v>358</v>
      </c>
      <c r="G3698" s="8">
        <v>0</v>
      </c>
      <c r="H3698" s="8">
        <v>12280</v>
      </c>
      <c r="I3698" s="8">
        <v>0</v>
      </c>
      <c r="J3698" s="8">
        <v>69</v>
      </c>
      <c r="K3698" s="8">
        <v>373</v>
      </c>
      <c r="L3698" s="8">
        <v>356</v>
      </c>
      <c r="M3698" s="8">
        <v>20</v>
      </c>
      <c r="N3698">
        <f>VLOOKUP(A3698,vlookup_table!$A:$G,2,FALSE)</f>
        <v>0</v>
      </c>
      <c r="O3698" t="str">
        <f>VLOOKUP(A3698,vlookup_table!$A:$G,3,FALSE)</f>
        <v>MO</v>
      </c>
      <c r="P3698">
        <f>VLOOKUP(A3698,vlookup_table!$A:$G,4,FALSE)</f>
        <v>0</v>
      </c>
      <c r="Q3698" t="str">
        <f>VLOOKUP(A3698,vlookup_table!$A:$G,5,FALSE)</f>
        <v>T2</v>
      </c>
      <c r="R3698" t="str">
        <f>VLOOKUP(A3698,vlookup_table!$A:$G,6,FALSE)</f>
        <v>F</v>
      </c>
      <c r="S3698">
        <f>VLOOKUP(A3698,vlookup_table!$A:$G,7,FALSE)</f>
        <v>25</v>
      </c>
      <c r="T3698">
        <f t="shared" si="114"/>
        <v>96</v>
      </c>
      <c r="U3698" t="str">
        <f t="shared" si="115"/>
        <v>Pueblo</v>
      </c>
    </row>
    <row r="3699" spans="1:21" ht="16" x14ac:dyDescent="0.4">
      <c r="A3699" s="9">
        <v>75609</v>
      </c>
      <c r="B3699" s="8" t="s">
        <v>44</v>
      </c>
      <c r="C3699" s="8" t="s">
        <v>14</v>
      </c>
      <c r="D3699" s="8">
        <v>338</v>
      </c>
      <c r="E3699" s="8">
        <v>260</v>
      </c>
      <c r="F3699" s="8">
        <v>386</v>
      </c>
      <c r="G3699" s="8">
        <v>1</v>
      </c>
      <c r="H3699" s="8">
        <v>14351</v>
      </c>
      <c r="I3699" s="8">
        <v>1</v>
      </c>
      <c r="J3699" s="8">
        <v>92</v>
      </c>
      <c r="K3699" s="8">
        <v>315</v>
      </c>
      <c r="L3699" s="8">
        <v>336</v>
      </c>
      <c r="M3699" s="8">
        <v>4</v>
      </c>
      <c r="N3699">
        <f>VLOOKUP(A3699,vlookup_table!$A:$G,2,FALSE)</f>
        <v>0</v>
      </c>
      <c r="O3699" t="str">
        <f>VLOOKUP(A3699,vlookup_table!$A:$G,3,FALSE)</f>
        <v>IA</v>
      </c>
      <c r="P3699">
        <f>VLOOKUP(A3699,vlookup_table!$A:$G,4,FALSE)</f>
        <v>1107</v>
      </c>
      <c r="Q3699" t="str">
        <f>VLOOKUP(A3699,vlookup_table!$A:$G,5,FALSE)</f>
        <v>R2</v>
      </c>
      <c r="R3699" t="str">
        <f>VLOOKUP(A3699,vlookup_table!$A:$G,6,FALSE)</f>
        <v>M</v>
      </c>
      <c r="S3699">
        <f>VLOOKUP(A3699,vlookup_table!$A:$G,7,FALSE)</f>
        <v>10</v>
      </c>
      <c r="T3699">
        <f t="shared" si="114"/>
        <v>85</v>
      </c>
      <c r="U3699" t="str">
        <f t="shared" si="115"/>
        <v>Rural</v>
      </c>
    </row>
    <row r="3700" spans="1:21" ht="16" x14ac:dyDescent="0.4">
      <c r="A3700" s="9">
        <v>89863</v>
      </c>
      <c r="B3700" s="8" t="s">
        <v>16</v>
      </c>
      <c r="C3700" s="8" t="s">
        <v>17</v>
      </c>
      <c r="D3700" s="8">
        <v>1118</v>
      </c>
      <c r="E3700" s="8">
        <v>510</v>
      </c>
      <c r="F3700" s="8">
        <v>607</v>
      </c>
      <c r="G3700" s="8">
        <v>0</v>
      </c>
      <c r="H3700" s="8">
        <v>22026</v>
      </c>
      <c r="I3700" s="8">
        <v>12</v>
      </c>
      <c r="J3700" s="8">
        <v>57</v>
      </c>
      <c r="K3700" s="8">
        <v>563</v>
      </c>
      <c r="L3700" s="8">
        <v>562</v>
      </c>
      <c r="M3700" s="8">
        <v>14.38461539</v>
      </c>
      <c r="N3700">
        <f>VLOOKUP(A3700,vlookup_table!$A:$G,2,FALSE)</f>
        <v>0</v>
      </c>
      <c r="O3700" t="str">
        <f>VLOOKUP(A3700,vlookup_table!$A:$G,3,FALSE)</f>
        <v>IL</v>
      </c>
      <c r="P3700">
        <f>VLOOKUP(A3700,vlookup_table!$A:$G,4,FALSE)</f>
        <v>4711</v>
      </c>
      <c r="Q3700" t="str">
        <f>VLOOKUP(A3700,vlookup_table!$A:$G,5,FALSE)</f>
        <v>S1</v>
      </c>
      <c r="R3700" t="str">
        <f>VLOOKUP(A3700,vlookup_table!$A:$G,6,FALSE)</f>
        <v>F</v>
      </c>
      <c r="S3700">
        <f>VLOOKUP(A3700,vlookup_table!$A:$G,7,FALSE)</f>
        <v>23</v>
      </c>
      <c r="T3700">
        <f t="shared" si="114"/>
        <v>49</v>
      </c>
      <c r="U3700" t="str">
        <f t="shared" si="115"/>
        <v>Suburbano</v>
      </c>
    </row>
    <row r="3701" spans="1:21" ht="16" x14ac:dyDescent="0.4">
      <c r="A3701" s="9">
        <v>80310</v>
      </c>
      <c r="B3701" s="8" t="s">
        <v>32</v>
      </c>
      <c r="C3701" s="8" t="s">
        <v>14</v>
      </c>
      <c r="D3701" s="8">
        <v>640</v>
      </c>
      <c r="E3701" s="8">
        <v>376</v>
      </c>
      <c r="F3701" s="8">
        <v>411</v>
      </c>
      <c r="G3701" s="8">
        <v>0</v>
      </c>
      <c r="H3701" s="8">
        <v>12455</v>
      </c>
      <c r="I3701" s="8">
        <v>2</v>
      </c>
      <c r="J3701" s="8">
        <v>91</v>
      </c>
      <c r="K3701" s="8">
        <v>404</v>
      </c>
      <c r="L3701" s="8">
        <v>384</v>
      </c>
      <c r="M3701" s="8">
        <v>14</v>
      </c>
      <c r="N3701">
        <f>VLOOKUP(A3701,vlookup_table!$A:$G,2,FALSE)</f>
        <v>1</v>
      </c>
      <c r="O3701" t="str">
        <f>VLOOKUP(A3701,vlookup_table!$A:$G,3,FALSE)</f>
        <v>WI</v>
      </c>
      <c r="P3701">
        <f>VLOOKUP(A3701,vlookup_table!$A:$G,4,FALSE)</f>
        <v>4401</v>
      </c>
      <c r="Q3701" t="str">
        <f>VLOOKUP(A3701,vlookup_table!$A:$G,5,FALSE)</f>
        <v>C2</v>
      </c>
      <c r="R3701" t="str">
        <f>VLOOKUP(A3701,vlookup_table!$A:$G,6,FALSE)</f>
        <v>M</v>
      </c>
      <c r="S3701">
        <f>VLOOKUP(A3701,vlookup_table!$A:$G,7,FALSE)</f>
        <v>20</v>
      </c>
      <c r="T3701">
        <f t="shared" si="114"/>
        <v>52</v>
      </c>
      <c r="U3701" t="str">
        <f t="shared" si="115"/>
        <v>Ciudad</v>
      </c>
    </row>
    <row r="3702" spans="1:21" ht="16" x14ac:dyDescent="0.4">
      <c r="A3702" s="9">
        <v>2757</v>
      </c>
      <c r="B3702" s="8" t="s">
        <v>33</v>
      </c>
      <c r="C3702" s="8" t="s">
        <v>17</v>
      </c>
      <c r="D3702" s="8">
        <v>770</v>
      </c>
      <c r="E3702" s="8">
        <v>103</v>
      </c>
      <c r="F3702" s="8">
        <v>278</v>
      </c>
      <c r="G3702" s="8">
        <v>7</v>
      </c>
      <c r="H3702" s="8">
        <v>10556</v>
      </c>
      <c r="I3702" s="8">
        <v>2</v>
      </c>
      <c r="J3702" s="8">
        <v>48</v>
      </c>
      <c r="K3702" s="8">
        <v>239</v>
      </c>
      <c r="L3702" s="8">
        <v>161</v>
      </c>
      <c r="M3702" s="8">
        <v>8.3529411769999999</v>
      </c>
      <c r="N3702">
        <f>VLOOKUP(A3702,vlookup_table!$A:$G,2,FALSE)</f>
        <v>28</v>
      </c>
      <c r="O3702" t="str">
        <f>VLOOKUP(A3702,vlookup_table!$A:$G,3,FALSE)</f>
        <v>MO</v>
      </c>
      <c r="P3702">
        <f>VLOOKUP(A3702,vlookup_table!$A:$G,4,FALSE)</f>
        <v>6112</v>
      </c>
      <c r="Q3702" t="str">
        <f>VLOOKUP(A3702,vlookup_table!$A:$G,5,FALSE)</f>
        <v>U3</v>
      </c>
      <c r="R3702" t="str">
        <f>VLOOKUP(A3702,vlookup_table!$A:$G,6,FALSE)</f>
        <v>F</v>
      </c>
      <c r="S3702">
        <f>VLOOKUP(A3702,vlookup_table!$A:$G,7,FALSE)</f>
        <v>10</v>
      </c>
      <c r="T3702">
        <f t="shared" si="114"/>
        <v>35</v>
      </c>
      <c r="U3702" t="str">
        <f t="shared" si="115"/>
        <v>Urbano</v>
      </c>
    </row>
    <row r="3703" spans="1:21" ht="16" x14ac:dyDescent="0.4">
      <c r="A3703" s="9">
        <v>56169</v>
      </c>
      <c r="B3703" s="8" t="s">
        <v>56</v>
      </c>
      <c r="C3703" s="8" t="s">
        <v>17</v>
      </c>
      <c r="D3703" s="8">
        <v>557</v>
      </c>
      <c r="E3703" s="8">
        <v>190</v>
      </c>
      <c r="F3703" s="8">
        <v>346</v>
      </c>
      <c r="G3703" s="8">
        <v>1</v>
      </c>
      <c r="H3703" s="8">
        <v>9593</v>
      </c>
      <c r="I3703" s="8">
        <v>3</v>
      </c>
      <c r="J3703" s="8">
        <v>71</v>
      </c>
      <c r="K3703" s="8">
        <v>302</v>
      </c>
      <c r="L3703" s="8">
        <v>267</v>
      </c>
      <c r="M3703" s="8">
        <v>20</v>
      </c>
      <c r="N3703">
        <f>VLOOKUP(A3703,vlookup_table!$A:$G,2,FALSE)</f>
        <v>2</v>
      </c>
      <c r="O3703" t="str">
        <f>VLOOKUP(A3703,vlookup_table!$A:$G,3,FALSE)</f>
        <v>MS</v>
      </c>
      <c r="P3703">
        <f>VLOOKUP(A3703,vlookup_table!$A:$G,4,FALSE)</f>
        <v>0</v>
      </c>
      <c r="Q3703" t="str">
        <f>VLOOKUP(A3703,vlookup_table!$A:$G,5,FALSE)</f>
        <v>T2</v>
      </c>
      <c r="R3703" t="str">
        <f>VLOOKUP(A3703,vlookup_table!$A:$G,6,FALSE)</f>
        <v>F</v>
      </c>
      <c r="S3703">
        <f>VLOOKUP(A3703,vlookup_table!$A:$G,7,FALSE)</f>
        <v>20</v>
      </c>
      <c r="T3703">
        <f t="shared" si="114"/>
        <v>96</v>
      </c>
      <c r="U3703" t="str">
        <f t="shared" si="115"/>
        <v>Pueblo</v>
      </c>
    </row>
    <row r="3704" spans="1:21" ht="16" x14ac:dyDescent="0.4">
      <c r="A3704" s="9">
        <v>104259</v>
      </c>
      <c r="B3704" s="8" t="s">
        <v>25</v>
      </c>
      <c r="C3704" s="8" t="s">
        <v>17</v>
      </c>
      <c r="D3704" s="8">
        <v>477</v>
      </c>
      <c r="E3704" s="8">
        <v>219</v>
      </c>
      <c r="F3704" s="8">
        <v>314</v>
      </c>
      <c r="G3704" s="8">
        <v>0</v>
      </c>
      <c r="H3704" s="8">
        <v>10490</v>
      </c>
      <c r="I3704" s="8">
        <v>0</v>
      </c>
      <c r="J3704" s="8">
        <v>55</v>
      </c>
      <c r="K3704" s="8">
        <v>221</v>
      </c>
      <c r="L3704" s="8">
        <v>274</v>
      </c>
      <c r="M3704" s="8">
        <v>9.1</v>
      </c>
      <c r="N3704">
        <f>VLOOKUP(A3704,vlookup_table!$A:$G,2,FALSE)</f>
        <v>0</v>
      </c>
      <c r="O3704" t="str">
        <f>VLOOKUP(A3704,vlookup_table!$A:$G,3,FALSE)</f>
        <v>KS</v>
      </c>
      <c r="P3704">
        <f>VLOOKUP(A3704,vlookup_table!$A:$G,4,FALSE)</f>
        <v>4811</v>
      </c>
      <c r="Q3704" t="str">
        <f>VLOOKUP(A3704,vlookup_table!$A:$G,5,FALSE)</f>
        <v>T2</v>
      </c>
      <c r="R3704" t="str">
        <f>VLOOKUP(A3704,vlookup_table!$A:$G,6,FALSE)</f>
        <v>F</v>
      </c>
      <c r="S3704">
        <f>VLOOKUP(A3704,vlookup_table!$A:$G,7,FALSE)</f>
        <v>15</v>
      </c>
      <c r="T3704">
        <f t="shared" si="114"/>
        <v>48</v>
      </c>
      <c r="U3704" t="str">
        <f t="shared" si="115"/>
        <v>Pueblo</v>
      </c>
    </row>
    <row r="3705" spans="1:21" ht="16" x14ac:dyDescent="0.4">
      <c r="A3705" s="9">
        <v>10467</v>
      </c>
      <c r="B3705" s="8" t="s">
        <v>26</v>
      </c>
      <c r="C3705" s="8" t="s">
        <v>14</v>
      </c>
      <c r="D3705" s="8">
        <v>1089</v>
      </c>
      <c r="E3705" s="8">
        <v>541</v>
      </c>
      <c r="F3705" s="8">
        <v>626</v>
      </c>
      <c r="G3705" s="8">
        <v>3</v>
      </c>
      <c r="H3705" s="8">
        <v>19313</v>
      </c>
      <c r="I3705" s="8">
        <v>3</v>
      </c>
      <c r="J3705" s="8">
        <v>75</v>
      </c>
      <c r="K3705" s="8">
        <v>580</v>
      </c>
      <c r="L3705" s="8">
        <v>581</v>
      </c>
      <c r="M3705" s="8">
        <v>12.33333333</v>
      </c>
      <c r="N3705">
        <f>VLOOKUP(A3705,vlookup_table!$A:$G,2,FALSE)</f>
        <v>1</v>
      </c>
      <c r="O3705" t="str">
        <f>VLOOKUP(A3705,vlookup_table!$A:$G,3,FALSE)</f>
        <v>MI</v>
      </c>
      <c r="P3705">
        <f>VLOOKUP(A3705,vlookup_table!$A:$G,4,FALSE)</f>
        <v>2306</v>
      </c>
      <c r="Q3705" t="str">
        <f>VLOOKUP(A3705,vlookup_table!$A:$G,5,FALSE)</f>
        <v>T1</v>
      </c>
      <c r="R3705" t="str">
        <f>VLOOKUP(A3705,vlookup_table!$A:$G,6,FALSE)</f>
        <v>M</v>
      </c>
      <c r="S3705">
        <f>VLOOKUP(A3705,vlookup_table!$A:$G,7,FALSE)</f>
        <v>20</v>
      </c>
      <c r="T3705">
        <f t="shared" si="114"/>
        <v>73</v>
      </c>
      <c r="U3705" t="str">
        <f t="shared" si="115"/>
        <v>Pueblo</v>
      </c>
    </row>
    <row r="3706" spans="1:21" ht="16" x14ac:dyDescent="0.4">
      <c r="A3706" s="9">
        <v>165494</v>
      </c>
      <c r="B3706" s="8" t="s">
        <v>21</v>
      </c>
      <c r="C3706" s="8" t="s">
        <v>17</v>
      </c>
      <c r="D3706" s="8">
        <v>3898</v>
      </c>
      <c r="E3706" s="8">
        <v>744</v>
      </c>
      <c r="F3706" s="8">
        <v>816</v>
      </c>
      <c r="G3706" s="8">
        <v>96</v>
      </c>
      <c r="H3706" s="8">
        <v>26483</v>
      </c>
      <c r="I3706" s="8">
        <v>10</v>
      </c>
      <c r="J3706" s="8">
        <v>51</v>
      </c>
      <c r="K3706" s="8">
        <v>754</v>
      </c>
      <c r="L3706" s="8">
        <v>785</v>
      </c>
      <c r="M3706" s="8">
        <v>15.55555556</v>
      </c>
      <c r="N3706">
        <f>VLOOKUP(A3706,vlookup_table!$A:$G,2,FALSE)</f>
        <v>0</v>
      </c>
      <c r="O3706" t="str">
        <f>VLOOKUP(A3706,vlookup_table!$A:$G,3,FALSE)</f>
        <v>CA</v>
      </c>
      <c r="P3706">
        <f>VLOOKUP(A3706,vlookup_table!$A:$G,4,FALSE)</f>
        <v>4507</v>
      </c>
      <c r="Q3706" t="str">
        <f>VLOOKUP(A3706,vlookup_table!$A:$G,5,FALSE)</f>
        <v>C1</v>
      </c>
      <c r="R3706" t="str">
        <f>VLOOKUP(A3706,vlookup_table!$A:$G,6,FALSE)</f>
        <v>F</v>
      </c>
      <c r="S3706">
        <f>VLOOKUP(A3706,vlookup_table!$A:$G,7,FALSE)</f>
        <v>15</v>
      </c>
      <c r="T3706">
        <f t="shared" si="114"/>
        <v>51</v>
      </c>
      <c r="U3706" t="str">
        <f t="shared" si="115"/>
        <v>Ciudad</v>
      </c>
    </row>
    <row r="3707" spans="1:21" ht="16" x14ac:dyDescent="0.4">
      <c r="A3707" s="9">
        <v>124817</v>
      </c>
      <c r="B3707" s="8" t="s">
        <v>20</v>
      </c>
      <c r="C3707" s="8" t="s">
        <v>14</v>
      </c>
      <c r="D3707" s="8">
        <v>639</v>
      </c>
      <c r="E3707" s="8">
        <v>242</v>
      </c>
      <c r="F3707" s="8">
        <v>269</v>
      </c>
      <c r="G3707" s="8">
        <v>1</v>
      </c>
      <c r="H3707" s="8">
        <v>5612</v>
      </c>
      <c r="I3707" s="8">
        <v>21</v>
      </c>
      <c r="J3707" s="8">
        <v>73</v>
      </c>
      <c r="K3707" s="8">
        <v>236</v>
      </c>
      <c r="L3707" s="8">
        <v>274</v>
      </c>
      <c r="M3707" s="8">
        <v>6.55</v>
      </c>
      <c r="N3707">
        <f>VLOOKUP(A3707,vlookup_table!$A:$G,2,FALSE)</f>
        <v>1</v>
      </c>
      <c r="O3707" t="str">
        <f>VLOOKUP(A3707,vlookup_table!$A:$G,3,FALSE)</f>
        <v>TX</v>
      </c>
      <c r="P3707">
        <f>VLOOKUP(A3707,vlookup_table!$A:$G,4,FALSE)</f>
        <v>6210</v>
      </c>
      <c r="Q3707" t="str">
        <f>VLOOKUP(A3707,vlookup_table!$A:$G,5,FALSE)</f>
        <v/>
      </c>
      <c r="R3707" t="str">
        <f>VLOOKUP(A3707,vlookup_table!$A:$G,6,FALSE)</f>
        <v>M</v>
      </c>
      <c r="S3707">
        <f>VLOOKUP(A3707,vlookup_table!$A:$G,7,FALSE)</f>
        <v>10</v>
      </c>
      <c r="T3707">
        <f t="shared" si="114"/>
        <v>34</v>
      </c>
      <c r="U3707" t="str">
        <f t="shared" si="115"/>
        <v/>
      </c>
    </row>
    <row r="3708" spans="1:21" ht="16" x14ac:dyDescent="0.4">
      <c r="A3708" s="9">
        <v>149777</v>
      </c>
      <c r="B3708" s="8" t="s">
        <v>21</v>
      </c>
      <c r="C3708" s="8" t="s">
        <v>17</v>
      </c>
      <c r="D3708" s="8">
        <v>2215</v>
      </c>
      <c r="E3708" s="8">
        <v>195</v>
      </c>
      <c r="F3708" s="8">
        <v>292</v>
      </c>
      <c r="G3708" s="8">
        <v>68</v>
      </c>
      <c r="H3708" s="8">
        <v>7978</v>
      </c>
      <c r="I3708" s="8">
        <v>59</v>
      </c>
      <c r="J3708" s="8">
        <v>26</v>
      </c>
      <c r="K3708" s="8">
        <v>260</v>
      </c>
      <c r="L3708" s="8">
        <v>263</v>
      </c>
      <c r="M3708" s="8">
        <v>15</v>
      </c>
      <c r="N3708">
        <f>VLOOKUP(A3708,vlookup_table!$A:$G,2,FALSE)</f>
        <v>0</v>
      </c>
      <c r="O3708" t="str">
        <f>VLOOKUP(A3708,vlookup_table!$A:$G,3,FALSE)</f>
        <v>CA</v>
      </c>
      <c r="P3708">
        <f>VLOOKUP(A3708,vlookup_table!$A:$G,4,FALSE)</f>
        <v>5201</v>
      </c>
      <c r="Q3708" t="str">
        <f>VLOOKUP(A3708,vlookup_table!$A:$G,5,FALSE)</f>
        <v>U2</v>
      </c>
      <c r="R3708" t="str">
        <f>VLOOKUP(A3708,vlookup_table!$A:$G,6,FALSE)</f>
        <v>F</v>
      </c>
      <c r="S3708">
        <f>VLOOKUP(A3708,vlookup_table!$A:$G,7,FALSE)</f>
        <v>20</v>
      </c>
      <c r="T3708">
        <f t="shared" si="114"/>
        <v>44</v>
      </c>
      <c r="U3708" t="str">
        <f t="shared" si="115"/>
        <v>Urbano</v>
      </c>
    </row>
    <row r="3709" spans="1:21" ht="16" x14ac:dyDescent="0.4">
      <c r="A3709" s="9">
        <v>24272</v>
      </c>
      <c r="B3709" s="8" t="s">
        <v>43</v>
      </c>
      <c r="C3709" s="8" t="s">
        <v>17</v>
      </c>
      <c r="D3709" s="8">
        <v>664</v>
      </c>
      <c r="E3709" s="8">
        <v>219</v>
      </c>
      <c r="F3709" s="8">
        <v>334</v>
      </c>
      <c r="G3709" s="8">
        <v>0</v>
      </c>
      <c r="H3709" s="8">
        <v>18368</v>
      </c>
      <c r="I3709" s="8">
        <v>3</v>
      </c>
      <c r="J3709" s="8">
        <v>33</v>
      </c>
      <c r="K3709" s="8">
        <v>283</v>
      </c>
      <c r="L3709" s="8">
        <v>286</v>
      </c>
      <c r="M3709" s="8">
        <v>12.4</v>
      </c>
      <c r="N3709">
        <f>VLOOKUP(A3709,vlookup_table!$A:$G,2,FALSE)</f>
        <v>0</v>
      </c>
      <c r="O3709" t="str">
        <f>VLOOKUP(A3709,vlookup_table!$A:$G,3,FALSE)</f>
        <v>SC</v>
      </c>
      <c r="P3709">
        <f>VLOOKUP(A3709,vlookup_table!$A:$G,4,FALSE)</f>
        <v>2307</v>
      </c>
      <c r="Q3709" t="str">
        <f>VLOOKUP(A3709,vlookup_table!$A:$G,5,FALSE)</f>
        <v>T2</v>
      </c>
      <c r="R3709" t="str">
        <f>VLOOKUP(A3709,vlookup_table!$A:$G,6,FALSE)</f>
        <v>F</v>
      </c>
      <c r="S3709">
        <f>VLOOKUP(A3709,vlookup_table!$A:$G,7,FALSE)</f>
        <v>20</v>
      </c>
      <c r="T3709">
        <f t="shared" si="114"/>
        <v>73</v>
      </c>
      <c r="U3709" t="str">
        <f t="shared" si="115"/>
        <v>Pueblo</v>
      </c>
    </row>
    <row r="3710" spans="1:21" ht="16" x14ac:dyDescent="0.4">
      <c r="A3710" s="9">
        <v>147855</v>
      </c>
      <c r="B3710" s="8" t="s">
        <v>21</v>
      </c>
      <c r="C3710" s="8" t="s">
        <v>14</v>
      </c>
      <c r="D3710" s="8">
        <v>4548</v>
      </c>
      <c r="E3710" s="8">
        <v>786</v>
      </c>
      <c r="F3710" s="8">
        <v>878</v>
      </c>
      <c r="G3710" s="8">
        <v>96</v>
      </c>
      <c r="H3710" s="8">
        <v>33442</v>
      </c>
      <c r="I3710" s="8">
        <v>28</v>
      </c>
      <c r="J3710" s="8">
        <v>40</v>
      </c>
      <c r="K3710" s="8">
        <v>848</v>
      </c>
      <c r="L3710" s="8">
        <v>831</v>
      </c>
      <c r="M3710" s="8">
        <v>10</v>
      </c>
      <c r="N3710">
        <f>VLOOKUP(A3710,vlookup_table!$A:$G,2,FALSE)</f>
        <v>2</v>
      </c>
      <c r="O3710" t="str">
        <f>VLOOKUP(A3710,vlookup_table!$A:$G,3,FALSE)</f>
        <v>CA</v>
      </c>
      <c r="P3710">
        <f>VLOOKUP(A3710,vlookup_table!$A:$G,4,FALSE)</f>
        <v>1707</v>
      </c>
      <c r="Q3710" t="str">
        <f>VLOOKUP(A3710,vlookup_table!$A:$G,5,FALSE)</f>
        <v>S1</v>
      </c>
      <c r="R3710" t="str">
        <f>VLOOKUP(A3710,vlookup_table!$A:$G,6,FALSE)</f>
        <v>M</v>
      </c>
      <c r="S3710">
        <f>VLOOKUP(A3710,vlookup_table!$A:$G,7,FALSE)</f>
        <v>15</v>
      </c>
      <c r="T3710">
        <f t="shared" si="114"/>
        <v>79</v>
      </c>
      <c r="U3710" t="str">
        <f t="shared" si="115"/>
        <v>Suburbano</v>
      </c>
    </row>
    <row r="3711" spans="1:21" ht="16" x14ac:dyDescent="0.4">
      <c r="A3711" s="9">
        <v>73144</v>
      </c>
      <c r="B3711" s="8" t="s">
        <v>26</v>
      </c>
      <c r="C3711" s="8" t="s">
        <v>17</v>
      </c>
      <c r="D3711" s="8">
        <v>690</v>
      </c>
      <c r="E3711" s="8">
        <v>304</v>
      </c>
      <c r="F3711" s="8">
        <v>383</v>
      </c>
      <c r="G3711" s="8">
        <v>1</v>
      </c>
      <c r="H3711" s="8">
        <v>12933</v>
      </c>
      <c r="I3711" s="8">
        <v>2</v>
      </c>
      <c r="J3711" s="8">
        <v>81</v>
      </c>
      <c r="K3711" s="8">
        <v>334</v>
      </c>
      <c r="L3711" s="8">
        <v>353</v>
      </c>
      <c r="M3711" s="8">
        <v>22.222222219999999</v>
      </c>
      <c r="N3711">
        <f>VLOOKUP(A3711,vlookup_table!$A:$G,2,FALSE)</f>
        <v>2</v>
      </c>
      <c r="O3711" t="str">
        <f>VLOOKUP(A3711,vlookup_table!$A:$G,3,FALSE)</f>
        <v>MI</v>
      </c>
      <c r="P3711">
        <f>VLOOKUP(A3711,vlookup_table!$A:$G,4,FALSE)</f>
        <v>2312</v>
      </c>
      <c r="Q3711" t="str">
        <f>VLOOKUP(A3711,vlookup_table!$A:$G,5,FALSE)</f>
        <v>T2</v>
      </c>
      <c r="R3711" t="str">
        <f>VLOOKUP(A3711,vlookup_table!$A:$G,6,FALSE)</f>
        <v>F</v>
      </c>
      <c r="S3711">
        <f>VLOOKUP(A3711,vlookup_table!$A:$G,7,FALSE)</f>
        <v>25</v>
      </c>
      <c r="T3711">
        <f t="shared" si="114"/>
        <v>73</v>
      </c>
      <c r="U3711" t="str">
        <f t="shared" si="115"/>
        <v>Pueblo</v>
      </c>
    </row>
    <row r="3712" spans="1:21" ht="16" x14ac:dyDescent="0.4">
      <c r="A3712" s="9">
        <v>83220</v>
      </c>
      <c r="B3712" s="8" t="s">
        <v>52</v>
      </c>
      <c r="C3712" s="8" t="s">
        <v>17</v>
      </c>
      <c r="D3712" s="8">
        <v>391</v>
      </c>
      <c r="E3712" s="8">
        <v>280</v>
      </c>
      <c r="F3712" s="8">
        <v>375</v>
      </c>
      <c r="G3712" s="8">
        <v>0</v>
      </c>
      <c r="H3712" s="8">
        <v>12693</v>
      </c>
      <c r="I3712" s="8">
        <v>0</v>
      </c>
      <c r="J3712" s="8">
        <v>89</v>
      </c>
      <c r="K3712" s="8">
        <v>323</v>
      </c>
      <c r="L3712" s="8">
        <v>326</v>
      </c>
      <c r="M3712" s="8">
        <v>15</v>
      </c>
      <c r="N3712">
        <f>VLOOKUP(A3712,vlookup_table!$A:$G,2,FALSE)</f>
        <v>28</v>
      </c>
      <c r="O3712" t="str">
        <f>VLOOKUP(A3712,vlookup_table!$A:$G,3,FALSE)</f>
        <v>MN</v>
      </c>
      <c r="P3712">
        <f>VLOOKUP(A3712,vlookup_table!$A:$G,4,FALSE)</f>
        <v>5401</v>
      </c>
      <c r="Q3712" t="str">
        <f>VLOOKUP(A3712,vlookup_table!$A:$G,5,FALSE)</f>
        <v>R2</v>
      </c>
      <c r="R3712" t="str">
        <f>VLOOKUP(A3712,vlookup_table!$A:$G,6,FALSE)</f>
        <v>F</v>
      </c>
      <c r="S3712">
        <f>VLOOKUP(A3712,vlookup_table!$A:$G,7,FALSE)</f>
        <v>5</v>
      </c>
      <c r="T3712">
        <f t="shared" si="114"/>
        <v>42</v>
      </c>
      <c r="U3712" t="str">
        <f t="shared" si="115"/>
        <v>Rural</v>
      </c>
    </row>
    <row r="3713" spans="1:21" ht="16" x14ac:dyDescent="0.4">
      <c r="A3713" s="9">
        <v>17921</v>
      </c>
      <c r="B3713" s="8" t="s">
        <v>18</v>
      </c>
      <c r="C3713" s="8" t="s">
        <v>17</v>
      </c>
      <c r="D3713" s="8">
        <v>732</v>
      </c>
      <c r="E3713" s="8">
        <v>347</v>
      </c>
      <c r="F3713" s="8">
        <v>462</v>
      </c>
      <c r="G3713" s="8">
        <v>0</v>
      </c>
      <c r="H3713" s="8">
        <v>17541</v>
      </c>
      <c r="I3713" s="8">
        <v>4</v>
      </c>
      <c r="J3713" s="8">
        <v>75</v>
      </c>
      <c r="K3713" s="8">
        <v>414</v>
      </c>
      <c r="L3713" s="8">
        <v>400</v>
      </c>
      <c r="M3713" s="8">
        <v>7.2857142860000002</v>
      </c>
      <c r="N3713">
        <f>VLOOKUP(A3713,vlookup_table!$A:$G,2,FALSE)</f>
        <v>28</v>
      </c>
      <c r="O3713" t="str">
        <f>VLOOKUP(A3713,vlookup_table!$A:$G,3,FALSE)</f>
        <v>NC</v>
      </c>
      <c r="P3713">
        <f>VLOOKUP(A3713,vlookup_table!$A:$G,4,FALSE)</f>
        <v>2801</v>
      </c>
      <c r="Q3713" t="str">
        <f>VLOOKUP(A3713,vlookup_table!$A:$G,5,FALSE)</f>
        <v>C2</v>
      </c>
      <c r="R3713" t="str">
        <f>VLOOKUP(A3713,vlookup_table!$A:$G,6,FALSE)</f>
        <v>F</v>
      </c>
      <c r="S3713">
        <f>VLOOKUP(A3713,vlookup_table!$A:$G,7,FALSE)</f>
        <v>8</v>
      </c>
      <c r="T3713">
        <f t="shared" si="114"/>
        <v>68</v>
      </c>
      <c r="U3713" t="str">
        <f t="shared" si="115"/>
        <v>Ciudad</v>
      </c>
    </row>
    <row r="3714" spans="1:21" ht="16" x14ac:dyDescent="0.4">
      <c r="A3714" s="9">
        <v>184237</v>
      </c>
      <c r="B3714" s="8" t="s">
        <v>37</v>
      </c>
      <c r="C3714" s="8" t="s">
        <v>14</v>
      </c>
      <c r="D3714" s="8">
        <v>976</v>
      </c>
      <c r="E3714" s="8">
        <v>479</v>
      </c>
      <c r="F3714" s="8">
        <v>571</v>
      </c>
      <c r="G3714" s="8">
        <v>8</v>
      </c>
      <c r="H3714" s="8">
        <v>20488</v>
      </c>
      <c r="I3714" s="8">
        <v>2</v>
      </c>
      <c r="J3714" s="8">
        <v>47</v>
      </c>
      <c r="K3714" s="8">
        <v>515</v>
      </c>
      <c r="L3714" s="8">
        <v>536</v>
      </c>
      <c r="M3714" s="8">
        <v>8.1111111109999996</v>
      </c>
      <c r="N3714">
        <f>VLOOKUP(A3714,vlookup_table!$A:$G,2,FALSE)</f>
        <v>0</v>
      </c>
      <c r="O3714" t="str">
        <f>VLOOKUP(A3714,vlookup_table!$A:$G,3,FALSE)</f>
        <v>WA</v>
      </c>
      <c r="P3714">
        <f>VLOOKUP(A3714,vlookup_table!$A:$G,4,FALSE)</f>
        <v>6201</v>
      </c>
      <c r="Q3714" t="str">
        <f>VLOOKUP(A3714,vlookup_table!$A:$G,5,FALSE)</f>
        <v>S1</v>
      </c>
      <c r="R3714" t="str">
        <f>VLOOKUP(A3714,vlookup_table!$A:$G,6,FALSE)</f>
        <v>M</v>
      </c>
      <c r="S3714">
        <f>VLOOKUP(A3714,vlookup_table!$A:$G,7,FALSE)</f>
        <v>14</v>
      </c>
      <c r="T3714">
        <f t="shared" si="114"/>
        <v>34</v>
      </c>
      <c r="U3714" t="str">
        <f t="shared" si="115"/>
        <v>Suburbano</v>
      </c>
    </row>
    <row r="3715" spans="1:21" ht="16" x14ac:dyDescent="0.4">
      <c r="A3715" s="9">
        <v>132179</v>
      </c>
      <c r="B3715" s="8" t="s">
        <v>45</v>
      </c>
      <c r="C3715" s="8" t="s">
        <v>17</v>
      </c>
      <c r="D3715" s="8">
        <v>728</v>
      </c>
      <c r="E3715" s="8">
        <v>306</v>
      </c>
      <c r="F3715" s="8">
        <v>330</v>
      </c>
      <c r="G3715" s="8">
        <v>1</v>
      </c>
      <c r="H3715" s="8">
        <v>10468</v>
      </c>
      <c r="I3715" s="8">
        <v>0</v>
      </c>
      <c r="J3715" s="8">
        <v>50</v>
      </c>
      <c r="K3715" s="8">
        <v>335</v>
      </c>
      <c r="L3715" s="8">
        <v>297</v>
      </c>
      <c r="M3715" s="8">
        <v>11.222222220000001</v>
      </c>
      <c r="N3715">
        <f>VLOOKUP(A3715,vlookup_table!$A:$G,2,FALSE)</f>
        <v>0</v>
      </c>
      <c r="O3715" t="str">
        <f>VLOOKUP(A3715,vlookup_table!$A:$G,3,FALSE)</f>
        <v>CO</v>
      </c>
      <c r="P3715">
        <f>VLOOKUP(A3715,vlookup_table!$A:$G,4,FALSE)</f>
        <v>0</v>
      </c>
      <c r="Q3715" t="str">
        <f>VLOOKUP(A3715,vlookup_table!$A:$G,5,FALSE)</f>
        <v>R2</v>
      </c>
      <c r="R3715" t="str">
        <f>VLOOKUP(A3715,vlookup_table!$A:$G,6,FALSE)</f>
        <v>F</v>
      </c>
      <c r="S3715">
        <f>VLOOKUP(A3715,vlookup_table!$A:$G,7,FALSE)</f>
        <v>14</v>
      </c>
      <c r="T3715">
        <f t="shared" ref="T3715:T3778" si="116">97-LEFT(P3715,2)-IF(RIGHT(P3715,2)&gt;6,1,0)</f>
        <v>96</v>
      </c>
      <c r="U3715" t="str">
        <f t="shared" ref="U3715:U3778" si="117">IF(LEFT(Q3715,1)="C","Ciudad",IF(LEFT(Q3715,1)="T","Pueblo",IF(LEFT(Q3715,1)="R","Rural",IF(LEFT(Q3715,1)="S","Suburbano",IF(LEFT(Q3715,1)="U","Urbano","")))))</f>
        <v>Rural</v>
      </c>
    </row>
    <row r="3716" spans="1:21" ht="16" x14ac:dyDescent="0.4">
      <c r="A3716" s="9">
        <v>117922</v>
      </c>
      <c r="B3716" s="8" t="s">
        <v>20</v>
      </c>
      <c r="C3716" s="8" t="s">
        <v>14</v>
      </c>
      <c r="D3716" s="8">
        <v>376</v>
      </c>
      <c r="E3716" s="8">
        <v>179</v>
      </c>
      <c r="F3716" s="8">
        <v>287</v>
      </c>
      <c r="G3716" s="8">
        <v>1</v>
      </c>
      <c r="H3716" s="8">
        <v>10225</v>
      </c>
      <c r="I3716" s="8">
        <v>0</v>
      </c>
      <c r="J3716" s="8">
        <v>76</v>
      </c>
      <c r="K3716" s="8">
        <v>234</v>
      </c>
      <c r="L3716" s="8">
        <v>234</v>
      </c>
      <c r="M3716" s="8">
        <v>8.0850000000000009</v>
      </c>
      <c r="N3716">
        <f>VLOOKUP(A3716,vlookup_table!$A:$G,2,FALSE)</f>
        <v>1</v>
      </c>
      <c r="O3716" t="str">
        <f>VLOOKUP(A3716,vlookup_table!$A:$G,3,FALSE)</f>
        <v>TX</v>
      </c>
      <c r="P3716">
        <f>VLOOKUP(A3716,vlookup_table!$A:$G,4,FALSE)</f>
        <v>2307</v>
      </c>
      <c r="Q3716" t="str">
        <f>VLOOKUP(A3716,vlookup_table!$A:$G,5,FALSE)</f>
        <v>R2</v>
      </c>
      <c r="R3716" t="str">
        <f>VLOOKUP(A3716,vlookup_table!$A:$G,6,FALSE)</f>
        <v>M</v>
      </c>
      <c r="S3716">
        <f>VLOOKUP(A3716,vlookup_table!$A:$G,7,FALSE)</f>
        <v>15</v>
      </c>
      <c r="T3716">
        <f t="shared" si="116"/>
        <v>73</v>
      </c>
      <c r="U3716" t="str">
        <f t="shared" si="117"/>
        <v>Rural</v>
      </c>
    </row>
    <row r="3717" spans="1:21" ht="16" x14ac:dyDescent="0.4">
      <c r="A3717" s="9">
        <v>76851</v>
      </c>
      <c r="B3717" s="8" t="s">
        <v>44</v>
      </c>
      <c r="C3717" s="8" t="s">
        <v>14</v>
      </c>
      <c r="D3717" s="8">
        <v>466</v>
      </c>
      <c r="E3717" s="8">
        <v>224</v>
      </c>
      <c r="F3717" s="8">
        <v>311</v>
      </c>
      <c r="G3717" s="8">
        <v>0</v>
      </c>
      <c r="H3717" s="8">
        <v>11257</v>
      </c>
      <c r="I3717" s="8">
        <v>0</v>
      </c>
      <c r="J3717" s="8">
        <v>84</v>
      </c>
      <c r="K3717" s="8">
        <v>266</v>
      </c>
      <c r="L3717" s="8">
        <v>258</v>
      </c>
      <c r="M3717" s="8">
        <v>16.25</v>
      </c>
      <c r="N3717">
        <f>VLOOKUP(A3717,vlookup_table!$A:$G,2,FALSE)</f>
        <v>2</v>
      </c>
      <c r="O3717" t="str">
        <f>VLOOKUP(A3717,vlookup_table!$A:$G,3,FALSE)</f>
        <v>IA</v>
      </c>
      <c r="P3717">
        <f>VLOOKUP(A3717,vlookup_table!$A:$G,4,FALSE)</f>
        <v>1501</v>
      </c>
      <c r="Q3717" t="str">
        <f>VLOOKUP(A3717,vlookup_table!$A:$G,5,FALSE)</f>
        <v>R2</v>
      </c>
      <c r="R3717" t="str">
        <f>VLOOKUP(A3717,vlookup_table!$A:$G,6,FALSE)</f>
        <v>M</v>
      </c>
      <c r="S3717">
        <f>VLOOKUP(A3717,vlookup_table!$A:$G,7,FALSE)</f>
        <v>20</v>
      </c>
      <c r="T3717">
        <f t="shared" si="116"/>
        <v>81</v>
      </c>
      <c r="U3717" t="str">
        <f t="shared" si="117"/>
        <v>Rural</v>
      </c>
    </row>
    <row r="3718" spans="1:21" ht="16" x14ac:dyDescent="0.4">
      <c r="A3718" s="9">
        <v>38098</v>
      </c>
      <c r="B3718" s="8" t="s">
        <v>13</v>
      </c>
      <c r="C3718" s="8" t="s">
        <v>17</v>
      </c>
      <c r="D3718" s="8">
        <v>1657</v>
      </c>
      <c r="E3718" s="8">
        <v>264</v>
      </c>
      <c r="F3718" s="8">
        <v>491</v>
      </c>
      <c r="G3718" s="8">
        <v>45</v>
      </c>
      <c r="H3718" s="8">
        <v>23026</v>
      </c>
      <c r="I3718" s="8">
        <v>29</v>
      </c>
      <c r="J3718" s="8">
        <v>13</v>
      </c>
      <c r="K3718" s="8">
        <v>360</v>
      </c>
      <c r="L3718" s="8">
        <v>388</v>
      </c>
      <c r="M3718" s="8">
        <v>4.0999999999999996</v>
      </c>
      <c r="N3718">
        <f>VLOOKUP(A3718,vlookup_table!$A:$G,2,FALSE)</f>
        <v>0</v>
      </c>
      <c r="O3718" t="str">
        <f>VLOOKUP(A3718,vlookup_table!$A:$G,3,FALSE)</f>
        <v>FL</v>
      </c>
      <c r="P3718">
        <f>VLOOKUP(A3718,vlookup_table!$A:$G,4,FALSE)</f>
        <v>2701</v>
      </c>
      <c r="Q3718" t="str">
        <f>VLOOKUP(A3718,vlookup_table!$A:$G,5,FALSE)</f>
        <v>U2</v>
      </c>
      <c r="R3718" t="str">
        <f>VLOOKUP(A3718,vlookup_table!$A:$G,6,FALSE)</f>
        <v>F</v>
      </c>
      <c r="S3718">
        <f>VLOOKUP(A3718,vlookup_table!$A:$G,7,FALSE)</f>
        <v>3</v>
      </c>
      <c r="T3718">
        <f t="shared" si="116"/>
        <v>69</v>
      </c>
      <c r="U3718" t="str">
        <f t="shared" si="117"/>
        <v>Urbano</v>
      </c>
    </row>
    <row r="3719" spans="1:21" ht="16" x14ac:dyDescent="0.4">
      <c r="A3719" s="9">
        <v>138173</v>
      </c>
      <c r="B3719" s="8" t="s">
        <v>51</v>
      </c>
      <c r="C3719" s="8" t="s">
        <v>97</v>
      </c>
      <c r="D3719" s="8">
        <v>785</v>
      </c>
      <c r="E3719" s="8">
        <v>390</v>
      </c>
      <c r="F3719" s="8">
        <v>530</v>
      </c>
      <c r="G3719" s="8">
        <v>7</v>
      </c>
      <c r="H3719" s="8">
        <v>20699</v>
      </c>
      <c r="I3719" s="8">
        <v>8</v>
      </c>
      <c r="J3719" s="8">
        <v>24</v>
      </c>
      <c r="K3719" s="8">
        <v>487</v>
      </c>
      <c r="L3719" s="8">
        <v>465</v>
      </c>
      <c r="M3719" s="8">
        <v>9.4</v>
      </c>
      <c r="N3719">
        <f>VLOOKUP(A3719,vlookup_table!$A:$G,2,FALSE)</f>
        <v>28</v>
      </c>
      <c r="O3719" t="str">
        <f>VLOOKUP(A3719,vlookup_table!$A:$G,3,FALSE)</f>
        <v>AZ</v>
      </c>
      <c r="P3719">
        <f>VLOOKUP(A3719,vlookup_table!$A:$G,4,FALSE)</f>
        <v>5401</v>
      </c>
      <c r="Q3719" t="str">
        <f>VLOOKUP(A3719,vlookup_table!$A:$G,5,FALSE)</f>
        <v>S1</v>
      </c>
      <c r="R3719" t="str">
        <f>VLOOKUP(A3719,vlookup_table!$A:$G,6,FALSE)</f>
        <v>F</v>
      </c>
      <c r="S3719">
        <f>VLOOKUP(A3719,vlookup_table!$A:$G,7,FALSE)</f>
        <v>10</v>
      </c>
      <c r="T3719">
        <f t="shared" si="116"/>
        <v>42</v>
      </c>
      <c r="U3719" t="str">
        <f t="shared" si="117"/>
        <v>Suburbano</v>
      </c>
    </row>
    <row r="3720" spans="1:21" ht="16" x14ac:dyDescent="0.4">
      <c r="A3720" s="9">
        <v>161760</v>
      </c>
      <c r="B3720" s="8" t="s">
        <v>21</v>
      </c>
      <c r="C3720" s="8" t="s">
        <v>17</v>
      </c>
      <c r="D3720" s="8">
        <v>4058</v>
      </c>
      <c r="E3720" s="8">
        <v>578</v>
      </c>
      <c r="F3720" s="8">
        <v>797</v>
      </c>
      <c r="G3720" s="8">
        <v>92</v>
      </c>
      <c r="H3720" s="8">
        <v>37190</v>
      </c>
      <c r="I3720" s="8">
        <v>10</v>
      </c>
      <c r="J3720" s="8">
        <v>38</v>
      </c>
      <c r="K3720" s="8">
        <v>701</v>
      </c>
      <c r="L3720" s="8">
        <v>671</v>
      </c>
      <c r="M3720" s="8">
        <v>35</v>
      </c>
      <c r="N3720">
        <f>VLOOKUP(A3720,vlookup_table!$A:$G,2,FALSE)</f>
        <v>0</v>
      </c>
      <c r="O3720" t="str">
        <f>VLOOKUP(A3720,vlookup_table!$A:$G,3,FALSE)</f>
        <v>CA</v>
      </c>
      <c r="P3720">
        <f>VLOOKUP(A3720,vlookup_table!$A:$G,4,FALSE)</f>
        <v>0</v>
      </c>
      <c r="Q3720" t="str">
        <f>VLOOKUP(A3720,vlookup_table!$A:$G,5,FALSE)</f>
        <v>T3</v>
      </c>
      <c r="R3720" t="str">
        <f>VLOOKUP(A3720,vlookup_table!$A:$G,6,FALSE)</f>
        <v>F</v>
      </c>
      <c r="S3720">
        <f>VLOOKUP(A3720,vlookup_table!$A:$G,7,FALSE)</f>
        <v>35</v>
      </c>
      <c r="T3720">
        <f t="shared" si="116"/>
        <v>96</v>
      </c>
      <c r="U3720" t="str">
        <f t="shared" si="117"/>
        <v>Pueblo</v>
      </c>
    </row>
    <row r="3721" spans="1:21" ht="16" x14ac:dyDescent="0.4">
      <c r="A3721" s="9">
        <v>94884</v>
      </c>
      <c r="B3721" s="8" t="s">
        <v>16</v>
      </c>
      <c r="C3721" s="8" t="s">
        <v>14</v>
      </c>
      <c r="D3721" s="8">
        <v>927</v>
      </c>
      <c r="E3721" s="8">
        <v>388</v>
      </c>
      <c r="F3721" s="8">
        <v>431</v>
      </c>
      <c r="G3721" s="8">
        <v>0</v>
      </c>
      <c r="H3721" s="8">
        <v>15328</v>
      </c>
      <c r="I3721" s="8">
        <v>4</v>
      </c>
      <c r="J3721" s="8">
        <v>88</v>
      </c>
      <c r="K3721" s="8">
        <v>464</v>
      </c>
      <c r="L3721" s="8">
        <v>391</v>
      </c>
      <c r="M3721" s="8">
        <v>30</v>
      </c>
      <c r="N3721">
        <f>VLOOKUP(A3721,vlookup_table!$A:$G,2,FALSE)</f>
        <v>0</v>
      </c>
      <c r="O3721" t="str">
        <f>VLOOKUP(A3721,vlookup_table!$A:$G,3,FALSE)</f>
        <v>IL</v>
      </c>
      <c r="P3721">
        <f>VLOOKUP(A3721,vlookup_table!$A:$G,4,FALSE)</f>
        <v>4310</v>
      </c>
      <c r="Q3721" t="str">
        <f>VLOOKUP(A3721,vlookup_table!$A:$G,5,FALSE)</f>
        <v>S2</v>
      </c>
      <c r="R3721" t="str">
        <f>VLOOKUP(A3721,vlookup_table!$A:$G,6,FALSE)</f>
        <v>M</v>
      </c>
      <c r="S3721">
        <f>VLOOKUP(A3721,vlookup_table!$A:$G,7,FALSE)</f>
        <v>40</v>
      </c>
      <c r="T3721">
        <f t="shared" si="116"/>
        <v>53</v>
      </c>
      <c r="U3721" t="str">
        <f t="shared" si="117"/>
        <v>Suburbano</v>
      </c>
    </row>
    <row r="3722" spans="1:21" ht="16" x14ac:dyDescent="0.4">
      <c r="A3722" s="9">
        <v>162820</v>
      </c>
      <c r="B3722" s="8" t="s">
        <v>21</v>
      </c>
      <c r="C3722" s="8" t="s">
        <v>14</v>
      </c>
      <c r="D3722" s="8">
        <v>3365</v>
      </c>
      <c r="E3722" s="8">
        <v>544</v>
      </c>
      <c r="F3722" s="8">
        <v>621</v>
      </c>
      <c r="G3722" s="8">
        <v>94</v>
      </c>
      <c r="H3722" s="8">
        <v>27608</v>
      </c>
      <c r="I3722" s="8">
        <v>8</v>
      </c>
      <c r="J3722" s="8">
        <v>59</v>
      </c>
      <c r="K3722" s="8">
        <v>525</v>
      </c>
      <c r="L3722" s="8">
        <v>655</v>
      </c>
      <c r="M3722" s="8">
        <v>17.5</v>
      </c>
      <c r="N3722">
        <f>VLOOKUP(A3722,vlookup_table!$A:$G,2,FALSE)</f>
        <v>1</v>
      </c>
      <c r="O3722" t="str">
        <f>VLOOKUP(A3722,vlookup_table!$A:$G,3,FALSE)</f>
        <v>CA</v>
      </c>
      <c r="P3722">
        <f>VLOOKUP(A3722,vlookup_table!$A:$G,4,FALSE)</f>
        <v>5701</v>
      </c>
      <c r="Q3722" t="str">
        <f>VLOOKUP(A3722,vlookup_table!$A:$G,5,FALSE)</f>
        <v>U1</v>
      </c>
      <c r="R3722" t="str">
        <f>VLOOKUP(A3722,vlookup_table!$A:$G,6,FALSE)</f>
        <v>M</v>
      </c>
      <c r="S3722">
        <f>VLOOKUP(A3722,vlookup_table!$A:$G,7,FALSE)</f>
        <v>25</v>
      </c>
      <c r="T3722">
        <f t="shared" si="116"/>
        <v>39</v>
      </c>
      <c r="U3722" t="str">
        <f t="shared" si="117"/>
        <v>Urbano</v>
      </c>
    </row>
    <row r="3723" spans="1:21" ht="16" x14ac:dyDescent="0.4">
      <c r="A3723" s="9">
        <v>156437</v>
      </c>
      <c r="B3723" s="8" t="s">
        <v>21</v>
      </c>
      <c r="C3723" s="8" t="s">
        <v>14</v>
      </c>
      <c r="D3723" s="8">
        <v>2130</v>
      </c>
      <c r="E3723" s="8">
        <v>315</v>
      </c>
      <c r="F3723" s="8">
        <v>380</v>
      </c>
      <c r="G3723" s="8">
        <v>63</v>
      </c>
      <c r="H3723" s="8">
        <v>11583</v>
      </c>
      <c r="I3723" s="8">
        <v>40</v>
      </c>
      <c r="J3723" s="8">
        <v>35</v>
      </c>
      <c r="K3723" s="8">
        <v>309</v>
      </c>
      <c r="L3723" s="8">
        <v>380</v>
      </c>
      <c r="M3723" s="8">
        <v>15</v>
      </c>
      <c r="N3723">
        <f>VLOOKUP(A3723,vlookup_table!$A:$G,2,FALSE)</f>
        <v>0</v>
      </c>
      <c r="O3723" t="str">
        <f>VLOOKUP(A3723,vlookup_table!$A:$G,3,FALSE)</f>
        <v>CA</v>
      </c>
      <c r="P3723">
        <f>VLOOKUP(A3723,vlookup_table!$A:$G,4,FALSE)</f>
        <v>3401</v>
      </c>
      <c r="Q3723" t="str">
        <f>VLOOKUP(A3723,vlookup_table!$A:$G,5,FALSE)</f>
        <v>U2</v>
      </c>
      <c r="R3723" t="str">
        <f>VLOOKUP(A3723,vlookup_table!$A:$G,6,FALSE)</f>
        <v>M</v>
      </c>
      <c r="S3723">
        <f>VLOOKUP(A3723,vlookup_table!$A:$G,7,FALSE)</f>
        <v>27</v>
      </c>
      <c r="T3723">
        <f t="shared" si="116"/>
        <v>62</v>
      </c>
      <c r="U3723" t="str">
        <f t="shared" si="117"/>
        <v>Urbano</v>
      </c>
    </row>
    <row r="3724" spans="1:21" ht="16" x14ac:dyDescent="0.4">
      <c r="A3724" s="9">
        <v>141645</v>
      </c>
      <c r="B3724" s="8" t="s">
        <v>23</v>
      </c>
      <c r="C3724" s="8" t="s">
        <v>17</v>
      </c>
      <c r="D3724" s="8">
        <v>1446</v>
      </c>
      <c r="E3724" s="8">
        <v>509</v>
      </c>
      <c r="F3724" s="8">
        <v>556</v>
      </c>
      <c r="G3724" s="8">
        <v>14</v>
      </c>
      <c r="H3724" s="8">
        <v>22085</v>
      </c>
      <c r="I3724" s="8">
        <v>5</v>
      </c>
      <c r="J3724" s="8">
        <v>26</v>
      </c>
      <c r="K3724" s="8">
        <v>520</v>
      </c>
      <c r="L3724" s="8">
        <v>544</v>
      </c>
      <c r="M3724" s="8">
        <v>14.8</v>
      </c>
      <c r="N3724">
        <f>VLOOKUP(A3724,vlookup_table!$A:$G,2,FALSE)</f>
        <v>0</v>
      </c>
      <c r="O3724" t="str">
        <f>VLOOKUP(A3724,vlookup_table!$A:$G,3,FALSE)</f>
        <v>NV</v>
      </c>
      <c r="P3724">
        <f>VLOOKUP(A3724,vlookup_table!$A:$G,4,FALSE)</f>
        <v>0</v>
      </c>
      <c r="Q3724" t="str">
        <f>VLOOKUP(A3724,vlookup_table!$A:$G,5,FALSE)</f>
        <v>S1</v>
      </c>
      <c r="R3724" t="str">
        <f>VLOOKUP(A3724,vlookup_table!$A:$G,6,FALSE)</f>
        <v>F</v>
      </c>
      <c r="S3724">
        <f>VLOOKUP(A3724,vlookup_table!$A:$G,7,FALSE)</f>
        <v>35</v>
      </c>
      <c r="T3724">
        <f t="shared" si="116"/>
        <v>96</v>
      </c>
      <c r="U3724" t="str">
        <f t="shared" si="117"/>
        <v>Suburbano</v>
      </c>
    </row>
    <row r="3725" spans="1:21" ht="16" x14ac:dyDescent="0.4">
      <c r="A3725" s="9">
        <v>152494</v>
      </c>
      <c r="B3725" s="8" t="s">
        <v>21</v>
      </c>
      <c r="C3725" s="8" t="s">
        <v>14</v>
      </c>
      <c r="D3725" s="8">
        <v>2278</v>
      </c>
      <c r="E3725" s="8">
        <v>525</v>
      </c>
      <c r="F3725" s="8">
        <v>589</v>
      </c>
      <c r="G3725" s="8">
        <v>65</v>
      </c>
      <c r="H3725" s="8">
        <v>18780</v>
      </c>
      <c r="I3725" s="8">
        <v>1</v>
      </c>
      <c r="J3725" s="8">
        <v>55</v>
      </c>
      <c r="K3725" s="8">
        <v>604</v>
      </c>
      <c r="L3725" s="8">
        <v>571</v>
      </c>
      <c r="M3725" s="8">
        <v>15.55555556</v>
      </c>
      <c r="N3725">
        <f>VLOOKUP(A3725,vlookup_table!$A:$G,2,FALSE)</f>
        <v>0</v>
      </c>
      <c r="O3725" t="str">
        <f>VLOOKUP(A3725,vlookup_table!$A:$G,3,FALSE)</f>
        <v>CA</v>
      </c>
      <c r="P3725">
        <f>VLOOKUP(A3725,vlookup_table!$A:$G,4,FALSE)</f>
        <v>2205</v>
      </c>
      <c r="Q3725" t="str">
        <f>VLOOKUP(A3725,vlookup_table!$A:$G,5,FALSE)</f>
        <v>S1</v>
      </c>
      <c r="R3725" t="str">
        <f>VLOOKUP(A3725,vlookup_table!$A:$G,6,FALSE)</f>
        <v>M</v>
      </c>
      <c r="S3725">
        <f>VLOOKUP(A3725,vlookup_table!$A:$G,7,FALSE)</f>
        <v>5</v>
      </c>
      <c r="T3725">
        <f t="shared" si="116"/>
        <v>74</v>
      </c>
      <c r="U3725" t="str">
        <f t="shared" si="117"/>
        <v>Suburbano</v>
      </c>
    </row>
    <row r="3726" spans="1:21" ht="16" x14ac:dyDescent="0.4">
      <c r="A3726" s="9">
        <v>188492</v>
      </c>
      <c r="B3726" s="8" t="s">
        <v>45</v>
      </c>
      <c r="C3726" s="8" t="s">
        <v>17</v>
      </c>
      <c r="D3726" s="8">
        <v>493</v>
      </c>
      <c r="E3726" s="8">
        <v>220</v>
      </c>
      <c r="F3726" s="8">
        <v>324</v>
      </c>
      <c r="G3726" s="8">
        <v>0</v>
      </c>
      <c r="H3726" s="8">
        <v>12802</v>
      </c>
      <c r="I3726" s="8">
        <v>3</v>
      </c>
      <c r="J3726" s="8">
        <v>64</v>
      </c>
      <c r="K3726" s="8">
        <v>252</v>
      </c>
      <c r="L3726" s="8">
        <v>264</v>
      </c>
      <c r="M3726" s="8">
        <v>13.3</v>
      </c>
      <c r="N3726">
        <f>VLOOKUP(A3726,vlookup_table!$A:$G,2,FALSE)</f>
        <v>2</v>
      </c>
      <c r="O3726" t="str">
        <f>VLOOKUP(A3726,vlookup_table!$A:$G,3,FALSE)</f>
        <v>CO</v>
      </c>
      <c r="P3726">
        <f>VLOOKUP(A3726,vlookup_table!$A:$G,4,FALSE)</f>
        <v>1303</v>
      </c>
      <c r="Q3726" t="str">
        <f>VLOOKUP(A3726,vlookup_table!$A:$G,5,FALSE)</f>
        <v>C2</v>
      </c>
      <c r="R3726" t="str">
        <f>VLOOKUP(A3726,vlookup_table!$A:$G,6,FALSE)</f>
        <v>F</v>
      </c>
      <c r="S3726">
        <f>VLOOKUP(A3726,vlookup_table!$A:$G,7,FALSE)</f>
        <v>20</v>
      </c>
      <c r="T3726">
        <f t="shared" si="116"/>
        <v>83</v>
      </c>
      <c r="U3726" t="str">
        <f t="shared" si="117"/>
        <v>Ciudad</v>
      </c>
    </row>
    <row r="3727" spans="1:21" ht="16" x14ac:dyDescent="0.4">
      <c r="A3727" s="9">
        <v>177824</v>
      </c>
      <c r="B3727" s="8" t="s">
        <v>47</v>
      </c>
      <c r="C3727" s="8" t="s">
        <v>17</v>
      </c>
      <c r="D3727" s="8">
        <v>450</v>
      </c>
      <c r="E3727" s="8">
        <v>217</v>
      </c>
      <c r="F3727" s="8">
        <v>269</v>
      </c>
      <c r="G3727" s="8">
        <v>0</v>
      </c>
      <c r="H3727" s="8">
        <v>8816</v>
      </c>
      <c r="I3727" s="8">
        <v>7</v>
      </c>
      <c r="J3727" s="8">
        <v>53</v>
      </c>
      <c r="K3727" s="8">
        <v>208</v>
      </c>
      <c r="L3727" s="8">
        <v>270</v>
      </c>
      <c r="M3727" s="8">
        <v>7.625</v>
      </c>
      <c r="N3727">
        <f>VLOOKUP(A3727,vlookup_table!$A:$G,2,FALSE)</f>
        <v>28</v>
      </c>
      <c r="O3727" t="str">
        <f>VLOOKUP(A3727,vlookup_table!$A:$G,3,FALSE)</f>
        <v>OR</v>
      </c>
      <c r="P3727">
        <f>VLOOKUP(A3727,vlookup_table!$A:$G,4,FALSE)</f>
        <v>4201</v>
      </c>
      <c r="Q3727" t="str">
        <f>VLOOKUP(A3727,vlookup_table!$A:$G,5,FALSE)</f>
        <v>R2</v>
      </c>
      <c r="R3727" t="str">
        <f>VLOOKUP(A3727,vlookup_table!$A:$G,6,FALSE)</f>
        <v>F</v>
      </c>
      <c r="S3727">
        <f>VLOOKUP(A3727,vlookup_table!$A:$G,7,FALSE)</f>
        <v>9</v>
      </c>
      <c r="T3727">
        <f t="shared" si="116"/>
        <v>54</v>
      </c>
      <c r="U3727" t="str">
        <f t="shared" si="117"/>
        <v>Rural</v>
      </c>
    </row>
    <row r="3728" spans="1:21" ht="16" x14ac:dyDescent="0.4">
      <c r="A3728" s="9">
        <v>139030</v>
      </c>
      <c r="B3728" s="8" t="s">
        <v>51</v>
      </c>
      <c r="C3728" s="8" t="s">
        <v>97</v>
      </c>
      <c r="D3728" s="8">
        <v>778</v>
      </c>
      <c r="E3728" s="8">
        <v>280</v>
      </c>
      <c r="F3728" s="8">
        <v>313</v>
      </c>
      <c r="G3728" s="8">
        <v>4</v>
      </c>
      <c r="H3728" s="8">
        <v>11652</v>
      </c>
      <c r="I3728" s="8">
        <v>3</v>
      </c>
      <c r="J3728" s="8">
        <v>12</v>
      </c>
      <c r="K3728" s="8">
        <v>298</v>
      </c>
      <c r="L3728" s="8">
        <v>290</v>
      </c>
      <c r="M3728" s="8">
        <v>6.4285714289999998</v>
      </c>
      <c r="N3728">
        <f>VLOOKUP(A3728,vlookup_table!$A:$G,2,FALSE)</f>
        <v>0</v>
      </c>
      <c r="O3728" t="str">
        <f>VLOOKUP(A3728,vlookup_table!$A:$G,3,FALSE)</f>
        <v>AZ</v>
      </c>
      <c r="P3728">
        <f>VLOOKUP(A3728,vlookup_table!$A:$G,4,FALSE)</f>
        <v>3701</v>
      </c>
      <c r="Q3728" t="str">
        <f>VLOOKUP(A3728,vlookup_table!$A:$G,5,FALSE)</f>
        <v/>
      </c>
      <c r="R3728" t="str">
        <f>VLOOKUP(A3728,vlookup_table!$A:$G,6,FALSE)</f>
        <v>F</v>
      </c>
      <c r="S3728">
        <f>VLOOKUP(A3728,vlookup_table!$A:$G,7,FALSE)</f>
        <v>5</v>
      </c>
      <c r="T3728">
        <f t="shared" si="116"/>
        <v>59</v>
      </c>
      <c r="U3728" t="str">
        <f t="shared" si="117"/>
        <v/>
      </c>
    </row>
    <row r="3729" spans="1:21" ht="16" x14ac:dyDescent="0.4">
      <c r="A3729" s="9">
        <v>89500</v>
      </c>
      <c r="B3729" s="8" t="s">
        <v>51</v>
      </c>
      <c r="C3729" s="8" t="s">
        <v>97</v>
      </c>
      <c r="D3729" s="8">
        <v>1250</v>
      </c>
      <c r="E3729" s="8">
        <v>218</v>
      </c>
      <c r="F3729" s="8">
        <v>441</v>
      </c>
      <c r="G3729" s="8">
        <v>0</v>
      </c>
      <c r="H3729" s="8">
        <v>13293</v>
      </c>
      <c r="I3729" s="8">
        <v>2</v>
      </c>
      <c r="J3729" s="8">
        <v>19</v>
      </c>
      <c r="K3729" s="8">
        <v>459</v>
      </c>
      <c r="L3729" s="8">
        <v>328</v>
      </c>
      <c r="M3729" s="8">
        <v>8.65</v>
      </c>
      <c r="N3729">
        <f>VLOOKUP(A3729,vlookup_table!$A:$G,2,FALSE)</f>
        <v>0</v>
      </c>
      <c r="O3729" t="str">
        <f>VLOOKUP(A3729,vlookup_table!$A:$G,3,FALSE)</f>
        <v>AZ</v>
      </c>
      <c r="P3729">
        <f>VLOOKUP(A3729,vlookup_table!$A:$G,4,FALSE)</f>
        <v>3301</v>
      </c>
      <c r="Q3729" t="str">
        <f>VLOOKUP(A3729,vlookup_table!$A:$G,5,FALSE)</f>
        <v>S3</v>
      </c>
      <c r="R3729" t="str">
        <f>VLOOKUP(A3729,vlookup_table!$A:$G,6,FALSE)</f>
        <v>F</v>
      </c>
      <c r="S3729">
        <f>VLOOKUP(A3729,vlookup_table!$A:$G,7,FALSE)</f>
        <v>10</v>
      </c>
      <c r="T3729">
        <f t="shared" si="116"/>
        <v>63</v>
      </c>
      <c r="U3729" t="str">
        <f t="shared" si="117"/>
        <v>Suburbano</v>
      </c>
    </row>
    <row r="3730" spans="1:21" ht="16" x14ac:dyDescent="0.4">
      <c r="A3730" s="9">
        <v>48587</v>
      </c>
      <c r="B3730" s="8" t="s">
        <v>40</v>
      </c>
      <c r="C3730" s="8" t="s">
        <v>14</v>
      </c>
      <c r="D3730" s="8">
        <v>425</v>
      </c>
      <c r="E3730" s="8">
        <v>264</v>
      </c>
      <c r="F3730" s="8">
        <v>320</v>
      </c>
      <c r="G3730" s="8">
        <v>0</v>
      </c>
      <c r="H3730" s="8">
        <v>9998</v>
      </c>
      <c r="I3730" s="8">
        <v>0</v>
      </c>
      <c r="J3730" s="8">
        <v>78</v>
      </c>
      <c r="K3730" s="8">
        <v>245</v>
      </c>
      <c r="L3730" s="8">
        <v>311</v>
      </c>
      <c r="M3730" s="8">
        <v>12.33333333</v>
      </c>
      <c r="N3730">
        <f>VLOOKUP(A3730,vlookup_table!$A:$G,2,FALSE)</f>
        <v>1</v>
      </c>
      <c r="O3730" t="str">
        <f>VLOOKUP(A3730,vlookup_table!$A:$G,3,FALSE)</f>
        <v>AL</v>
      </c>
      <c r="P3730">
        <f>VLOOKUP(A3730,vlookup_table!$A:$G,4,FALSE)</f>
        <v>2301</v>
      </c>
      <c r="Q3730" t="str">
        <f>VLOOKUP(A3730,vlookup_table!$A:$G,5,FALSE)</f>
        <v>R2</v>
      </c>
      <c r="R3730" t="str">
        <f>VLOOKUP(A3730,vlookup_table!$A:$G,6,FALSE)</f>
        <v>M</v>
      </c>
      <c r="S3730">
        <f>VLOOKUP(A3730,vlookup_table!$A:$G,7,FALSE)</f>
        <v>15</v>
      </c>
      <c r="T3730">
        <f t="shared" si="116"/>
        <v>73</v>
      </c>
      <c r="U3730" t="str">
        <f t="shared" si="117"/>
        <v>Rural</v>
      </c>
    </row>
    <row r="3731" spans="1:21" ht="16" x14ac:dyDescent="0.4">
      <c r="A3731" s="9">
        <v>187501</v>
      </c>
      <c r="B3731" s="8" t="s">
        <v>34</v>
      </c>
      <c r="C3731" s="8" t="s">
        <v>17</v>
      </c>
      <c r="D3731" s="8">
        <v>4250</v>
      </c>
      <c r="E3731" s="8">
        <v>299</v>
      </c>
      <c r="F3731" s="8">
        <v>364</v>
      </c>
      <c r="G3731" s="8">
        <v>99</v>
      </c>
      <c r="H3731" s="8">
        <v>12365</v>
      </c>
      <c r="I3731" s="8">
        <v>4</v>
      </c>
      <c r="J3731" s="8">
        <v>12</v>
      </c>
      <c r="K3731" s="8">
        <v>301</v>
      </c>
      <c r="L3731" s="8">
        <v>363</v>
      </c>
      <c r="M3731" s="8">
        <v>5.75</v>
      </c>
      <c r="N3731">
        <f>VLOOKUP(A3731,vlookup_table!$A:$G,2,FALSE)</f>
        <v>0</v>
      </c>
      <c r="O3731" t="str">
        <f>VLOOKUP(A3731,vlookup_table!$A:$G,3,FALSE)</f>
        <v>HI</v>
      </c>
      <c r="P3731">
        <f>VLOOKUP(A3731,vlookup_table!$A:$G,4,FALSE)</f>
        <v>0</v>
      </c>
      <c r="Q3731" t="str">
        <f>VLOOKUP(A3731,vlookup_table!$A:$G,5,FALSE)</f>
        <v>T1</v>
      </c>
      <c r="R3731" t="str">
        <f>VLOOKUP(A3731,vlookup_table!$A:$G,6,FALSE)</f>
        <v>F</v>
      </c>
      <c r="S3731">
        <f>VLOOKUP(A3731,vlookup_table!$A:$G,7,FALSE)</f>
        <v>10</v>
      </c>
      <c r="T3731">
        <f t="shared" si="116"/>
        <v>96</v>
      </c>
      <c r="U3731" t="str">
        <f t="shared" si="117"/>
        <v>Pueblo</v>
      </c>
    </row>
    <row r="3732" spans="1:21" ht="16" x14ac:dyDescent="0.4">
      <c r="A3732" s="9">
        <v>135888</v>
      </c>
      <c r="B3732" s="8" t="s">
        <v>51</v>
      </c>
      <c r="C3732" s="8" t="s">
        <v>14</v>
      </c>
      <c r="D3732" s="8">
        <v>842</v>
      </c>
      <c r="E3732" s="8">
        <v>247</v>
      </c>
      <c r="F3732" s="8">
        <v>321</v>
      </c>
      <c r="G3732" s="8">
        <v>0</v>
      </c>
      <c r="H3732" s="8">
        <v>16269</v>
      </c>
      <c r="I3732" s="8">
        <v>3</v>
      </c>
      <c r="J3732" s="8">
        <v>4</v>
      </c>
      <c r="K3732" s="8">
        <v>266</v>
      </c>
      <c r="L3732" s="8">
        <v>277</v>
      </c>
      <c r="M3732" s="8">
        <v>12.5</v>
      </c>
      <c r="N3732">
        <f>VLOOKUP(A3732,vlookup_table!$A:$G,2,FALSE)</f>
        <v>2</v>
      </c>
      <c r="O3732" t="str">
        <f>VLOOKUP(A3732,vlookup_table!$A:$G,3,FALSE)</f>
        <v>AZ</v>
      </c>
      <c r="P3732">
        <f>VLOOKUP(A3732,vlookup_table!$A:$G,4,FALSE)</f>
        <v>0</v>
      </c>
      <c r="Q3732" t="str">
        <f>VLOOKUP(A3732,vlookup_table!$A:$G,5,FALSE)</f>
        <v>C3</v>
      </c>
      <c r="R3732" t="str">
        <f>VLOOKUP(A3732,vlookup_table!$A:$G,6,FALSE)</f>
        <v>M</v>
      </c>
      <c r="S3732">
        <f>VLOOKUP(A3732,vlookup_table!$A:$G,7,FALSE)</f>
        <v>16</v>
      </c>
      <c r="T3732">
        <f t="shared" si="116"/>
        <v>96</v>
      </c>
      <c r="U3732" t="str">
        <f t="shared" si="117"/>
        <v>Ciudad</v>
      </c>
    </row>
    <row r="3733" spans="1:21" ht="16" x14ac:dyDescent="0.4">
      <c r="A3733" s="9">
        <v>67333</v>
      </c>
      <c r="B3733" s="8" t="s">
        <v>26</v>
      </c>
      <c r="C3733" s="8" t="s">
        <v>17</v>
      </c>
      <c r="D3733" s="8">
        <v>1092</v>
      </c>
      <c r="E3733" s="8">
        <v>580</v>
      </c>
      <c r="F3733" s="8">
        <v>631</v>
      </c>
      <c r="G3733" s="8">
        <v>0</v>
      </c>
      <c r="H3733" s="8">
        <v>17240</v>
      </c>
      <c r="I3733" s="8">
        <v>8</v>
      </c>
      <c r="J3733" s="8">
        <v>70</v>
      </c>
      <c r="K3733" s="8">
        <v>587</v>
      </c>
      <c r="L3733" s="8">
        <v>620</v>
      </c>
      <c r="M3733" s="8">
        <v>8.3333333330000006</v>
      </c>
      <c r="N3733">
        <f>VLOOKUP(A3733,vlookup_table!$A:$G,2,FALSE)</f>
        <v>0</v>
      </c>
      <c r="O3733" t="str">
        <f>VLOOKUP(A3733,vlookup_table!$A:$G,3,FALSE)</f>
        <v>MI</v>
      </c>
      <c r="P3733">
        <f>VLOOKUP(A3733,vlookup_table!$A:$G,4,FALSE)</f>
        <v>5401</v>
      </c>
      <c r="Q3733" t="str">
        <f>VLOOKUP(A3733,vlookup_table!$A:$G,5,FALSE)</f>
        <v>S1</v>
      </c>
      <c r="R3733" t="str">
        <f>VLOOKUP(A3733,vlookup_table!$A:$G,6,FALSE)</f>
        <v>F</v>
      </c>
      <c r="S3733">
        <f>VLOOKUP(A3733,vlookup_table!$A:$G,7,FALSE)</f>
        <v>8</v>
      </c>
      <c r="T3733">
        <f t="shared" si="116"/>
        <v>42</v>
      </c>
      <c r="U3733" t="str">
        <f t="shared" si="117"/>
        <v>Suburbano</v>
      </c>
    </row>
    <row r="3734" spans="1:21" ht="16" x14ac:dyDescent="0.4">
      <c r="A3734" s="9">
        <v>62741</v>
      </c>
      <c r="B3734" s="8" t="s">
        <v>30</v>
      </c>
      <c r="C3734" s="8" t="s">
        <v>14</v>
      </c>
      <c r="D3734" s="8">
        <v>625</v>
      </c>
      <c r="E3734" s="8">
        <v>319</v>
      </c>
      <c r="F3734" s="8">
        <v>411</v>
      </c>
      <c r="G3734" s="8">
        <v>2</v>
      </c>
      <c r="H3734" s="8">
        <v>13847</v>
      </c>
      <c r="I3734" s="8">
        <v>0</v>
      </c>
      <c r="J3734" s="8">
        <v>73</v>
      </c>
      <c r="K3734" s="8">
        <v>362</v>
      </c>
      <c r="L3734" s="8">
        <v>362</v>
      </c>
      <c r="M3734" s="8">
        <v>8.5</v>
      </c>
      <c r="N3734">
        <f>VLOOKUP(A3734,vlookup_table!$A:$G,2,FALSE)</f>
        <v>2</v>
      </c>
      <c r="O3734" t="str">
        <f>VLOOKUP(A3734,vlookup_table!$A:$G,3,FALSE)</f>
        <v>IN</v>
      </c>
      <c r="P3734">
        <f>VLOOKUP(A3734,vlookup_table!$A:$G,4,FALSE)</f>
        <v>0</v>
      </c>
      <c r="Q3734" t="str">
        <f>VLOOKUP(A3734,vlookup_table!$A:$G,5,FALSE)</f>
        <v>R2</v>
      </c>
      <c r="R3734" t="str">
        <f>VLOOKUP(A3734,vlookup_table!$A:$G,6,FALSE)</f>
        <v>M</v>
      </c>
      <c r="S3734">
        <f>VLOOKUP(A3734,vlookup_table!$A:$G,7,FALSE)</f>
        <v>11</v>
      </c>
      <c r="T3734">
        <f t="shared" si="116"/>
        <v>96</v>
      </c>
      <c r="U3734" t="str">
        <f t="shared" si="117"/>
        <v>Rural</v>
      </c>
    </row>
    <row r="3735" spans="1:21" ht="16" x14ac:dyDescent="0.4">
      <c r="A3735" s="9">
        <v>112247</v>
      </c>
      <c r="B3735" s="8" t="s">
        <v>33</v>
      </c>
      <c r="C3735" s="8" t="s">
        <v>17</v>
      </c>
      <c r="D3735" s="8">
        <v>643</v>
      </c>
      <c r="E3735" s="8">
        <v>257</v>
      </c>
      <c r="F3735" s="8">
        <v>321</v>
      </c>
      <c r="G3735" s="8">
        <v>0</v>
      </c>
      <c r="H3735" s="8">
        <v>11257</v>
      </c>
      <c r="I3735" s="8">
        <v>5</v>
      </c>
      <c r="J3735" s="8">
        <v>44</v>
      </c>
      <c r="K3735" s="8">
        <v>272</v>
      </c>
      <c r="L3735" s="8">
        <v>296</v>
      </c>
      <c r="M3735" s="8">
        <v>23.333333329999999</v>
      </c>
      <c r="N3735">
        <f>VLOOKUP(A3735,vlookup_table!$A:$G,2,FALSE)</f>
        <v>0</v>
      </c>
      <c r="O3735" t="str">
        <f>VLOOKUP(A3735,vlookup_table!$A:$G,3,FALSE)</f>
        <v>MO</v>
      </c>
      <c r="P3735">
        <f>VLOOKUP(A3735,vlookup_table!$A:$G,4,FALSE)</f>
        <v>4906</v>
      </c>
      <c r="Q3735" t="str">
        <f>VLOOKUP(A3735,vlookup_table!$A:$G,5,FALSE)</f>
        <v>C2</v>
      </c>
      <c r="R3735" t="str">
        <f>VLOOKUP(A3735,vlookup_table!$A:$G,6,FALSE)</f>
        <v>F</v>
      </c>
      <c r="S3735">
        <f>VLOOKUP(A3735,vlookup_table!$A:$G,7,FALSE)</f>
        <v>25</v>
      </c>
      <c r="T3735">
        <f t="shared" si="116"/>
        <v>47</v>
      </c>
      <c r="U3735" t="str">
        <f t="shared" si="117"/>
        <v>Ciudad</v>
      </c>
    </row>
    <row r="3736" spans="1:21" ht="16" x14ac:dyDescent="0.4">
      <c r="A3736" s="9">
        <v>137845</v>
      </c>
      <c r="B3736" s="8" t="s">
        <v>51</v>
      </c>
      <c r="C3736" s="8" t="s">
        <v>14</v>
      </c>
      <c r="D3736" s="8">
        <v>676</v>
      </c>
      <c r="E3736" s="8">
        <v>379</v>
      </c>
      <c r="F3736" s="8">
        <v>433</v>
      </c>
      <c r="G3736" s="8">
        <v>0</v>
      </c>
      <c r="H3736" s="8">
        <v>13487</v>
      </c>
      <c r="I3736" s="8">
        <v>3</v>
      </c>
      <c r="J3736" s="8">
        <v>22</v>
      </c>
      <c r="K3736" s="8">
        <v>409</v>
      </c>
      <c r="L3736" s="8">
        <v>380</v>
      </c>
      <c r="M3736" s="8">
        <v>6.75</v>
      </c>
      <c r="N3736">
        <f>VLOOKUP(A3736,vlookup_table!$A:$G,2,FALSE)</f>
        <v>1</v>
      </c>
      <c r="O3736" t="str">
        <f>VLOOKUP(A3736,vlookup_table!$A:$G,3,FALSE)</f>
        <v>AZ</v>
      </c>
      <c r="P3736">
        <f>VLOOKUP(A3736,vlookup_table!$A:$G,4,FALSE)</f>
        <v>4601</v>
      </c>
      <c r="Q3736" t="str">
        <f>VLOOKUP(A3736,vlookup_table!$A:$G,5,FALSE)</f>
        <v>C1</v>
      </c>
      <c r="R3736" t="str">
        <f>VLOOKUP(A3736,vlookup_table!$A:$G,6,FALSE)</f>
        <v>M</v>
      </c>
      <c r="S3736">
        <f>VLOOKUP(A3736,vlookup_table!$A:$G,7,FALSE)</f>
        <v>15</v>
      </c>
      <c r="T3736">
        <f t="shared" si="116"/>
        <v>50</v>
      </c>
      <c r="U3736" t="str">
        <f t="shared" si="117"/>
        <v>Ciudad</v>
      </c>
    </row>
    <row r="3737" spans="1:21" ht="16" x14ac:dyDescent="0.4">
      <c r="A3737" s="9">
        <v>59984</v>
      </c>
      <c r="B3737" s="8" t="s">
        <v>30</v>
      </c>
      <c r="C3737" s="8" t="s">
        <v>17</v>
      </c>
      <c r="D3737" s="8">
        <v>1101</v>
      </c>
      <c r="E3737" s="8">
        <v>518</v>
      </c>
      <c r="F3737" s="8">
        <v>701</v>
      </c>
      <c r="G3737" s="8">
        <v>10</v>
      </c>
      <c r="H3737" s="8">
        <v>35560</v>
      </c>
      <c r="I3737" s="8">
        <v>2</v>
      </c>
      <c r="J3737" s="8">
        <v>57</v>
      </c>
      <c r="K3737" s="8">
        <v>631</v>
      </c>
      <c r="L3737" s="8">
        <v>615</v>
      </c>
      <c r="M3737" s="8">
        <v>11.66666667</v>
      </c>
      <c r="N3737">
        <f>VLOOKUP(A3737,vlookup_table!$A:$G,2,FALSE)</f>
        <v>28</v>
      </c>
      <c r="O3737" t="str">
        <f>VLOOKUP(A3737,vlookup_table!$A:$G,3,FALSE)</f>
        <v>IN</v>
      </c>
      <c r="P3737">
        <f>VLOOKUP(A3737,vlookup_table!$A:$G,4,FALSE)</f>
        <v>1601</v>
      </c>
      <c r="Q3737" t="str">
        <f>VLOOKUP(A3737,vlookup_table!$A:$G,5,FALSE)</f>
        <v>S1</v>
      </c>
      <c r="R3737" t="str">
        <f>VLOOKUP(A3737,vlookup_table!$A:$G,6,FALSE)</f>
        <v>F</v>
      </c>
      <c r="S3737">
        <f>VLOOKUP(A3737,vlookup_table!$A:$G,7,FALSE)</f>
        <v>17</v>
      </c>
      <c r="T3737">
        <f t="shared" si="116"/>
        <v>80</v>
      </c>
      <c r="U3737" t="str">
        <f t="shared" si="117"/>
        <v>Suburbano</v>
      </c>
    </row>
    <row r="3738" spans="1:21" ht="16" x14ac:dyDescent="0.4">
      <c r="A3738" s="9">
        <v>141186</v>
      </c>
      <c r="B3738" s="8" t="s">
        <v>23</v>
      </c>
      <c r="C3738" s="8" t="s">
        <v>17</v>
      </c>
      <c r="D3738" s="8">
        <v>706</v>
      </c>
      <c r="E3738" s="8">
        <v>283</v>
      </c>
      <c r="F3738" s="8">
        <v>371</v>
      </c>
      <c r="G3738" s="8">
        <v>0</v>
      </c>
      <c r="H3738" s="8">
        <v>14352</v>
      </c>
      <c r="I3738" s="8">
        <v>10</v>
      </c>
      <c r="J3738" s="8">
        <v>23</v>
      </c>
      <c r="K3738" s="8">
        <v>316</v>
      </c>
      <c r="L3738" s="8">
        <v>339</v>
      </c>
      <c r="M3738" s="8">
        <v>6.4782608699999997</v>
      </c>
      <c r="N3738">
        <f>VLOOKUP(A3738,vlookup_table!$A:$G,2,FALSE)</f>
        <v>0</v>
      </c>
      <c r="O3738" t="str">
        <f>VLOOKUP(A3738,vlookup_table!$A:$G,3,FALSE)</f>
        <v>NV</v>
      </c>
      <c r="P3738">
        <f>VLOOKUP(A3738,vlookup_table!$A:$G,4,FALSE)</f>
        <v>3107</v>
      </c>
      <c r="Q3738" t="str">
        <f>VLOOKUP(A3738,vlookup_table!$A:$G,5,FALSE)</f>
        <v>S2</v>
      </c>
      <c r="R3738" t="str">
        <f>VLOOKUP(A3738,vlookup_table!$A:$G,6,FALSE)</f>
        <v>F</v>
      </c>
      <c r="S3738">
        <f>VLOOKUP(A3738,vlookup_table!$A:$G,7,FALSE)</f>
        <v>12</v>
      </c>
      <c r="T3738">
        <f t="shared" si="116"/>
        <v>65</v>
      </c>
      <c r="U3738" t="str">
        <f t="shared" si="117"/>
        <v>Suburbano</v>
      </c>
    </row>
    <row r="3739" spans="1:21" ht="16" x14ac:dyDescent="0.4">
      <c r="A3739" s="9">
        <v>138597</v>
      </c>
      <c r="B3739" s="8" t="s">
        <v>51</v>
      </c>
      <c r="C3739" s="8" t="s">
        <v>97</v>
      </c>
      <c r="D3739" s="8">
        <v>1573</v>
      </c>
      <c r="E3739" s="8">
        <v>569</v>
      </c>
      <c r="F3739" s="8">
        <v>702</v>
      </c>
      <c r="G3739" s="8">
        <v>33</v>
      </c>
      <c r="H3739" s="8">
        <v>28844</v>
      </c>
      <c r="I3739" s="8">
        <v>1</v>
      </c>
      <c r="J3739" s="8">
        <v>24</v>
      </c>
      <c r="K3739" s="8">
        <v>572</v>
      </c>
      <c r="L3739" s="8">
        <v>709</v>
      </c>
      <c r="M3739" s="8">
        <v>7.2352941179999997</v>
      </c>
      <c r="N3739">
        <f>VLOOKUP(A3739,vlookup_table!$A:$G,2,FALSE)</f>
        <v>2</v>
      </c>
      <c r="O3739" t="str">
        <f>VLOOKUP(A3739,vlookup_table!$A:$G,3,FALSE)</f>
        <v>AZ</v>
      </c>
      <c r="P3739">
        <f>VLOOKUP(A3739,vlookup_table!$A:$G,4,FALSE)</f>
        <v>3009</v>
      </c>
      <c r="Q3739" t="str">
        <f>VLOOKUP(A3739,vlookup_table!$A:$G,5,FALSE)</f>
        <v>T1</v>
      </c>
      <c r="R3739" t="str">
        <f>VLOOKUP(A3739,vlookup_table!$A:$G,6,FALSE)</f>
        <v>F</v>
      </c>
      <c r="S3739">
        <f>VLOOKUP(A3739,vlookup_table!$A:$G,7,FALSE)</f>
        <v>11</v>
      </c>
      <c r="T3739">
        <f t="shared" si="116"/>
        <v>66</v>
      </c>
      <c r="U3739" t="str">
        <f t="shared" si="117"/>
        <v>Pueblo</v>
      </c>
    </row>
    <row r="3740" spans="1:21" ht="16" x14ac:dyDescent="0.4">
      <c r="A3740" s="9">
        <v>150404</v>
      </c>
      <c r="B3740" s="8" t="s">
        <v>21</v>
      </c>
      <c r="C3740" s="8" t="s">
        <v>17</v>
      </c>
      <c r="D3740" s="8">
        <v>1745</v>
      </c>
      <c r="E3740" s="8">
        <v>386</v>
      </c>
      <c r="F3740" s="8">
        <v>357</v>
      </c>
      <c r="G3740" s="8">
        <v>16</v>
      </c>
      <c r="H3740" s="8">
        <v>10891</v>
      </c>
      <c r="I3740" s="8">
        <v>23</v>
      </c>
      <c r="J3740" s="8">
        <v>45</v>
      </c>
      <c r="K3740" s="8">
        <v>348</v>
      </c>
      <c r="L3740" s="8">
        <v>398</v>
      </c>
      <c r="M3740" s="8">
        <v>10.414634149999999</v>
      </c>
      <c r="N3740">
        <f>VLOOKUP(A3740,vlookup_table!$A:$G,2,FALSE)</f>
        <v>0</v>
      </c>
      <c r="O3740" t="str">
        <f>VLOOKUP(A3740,vlookup_table!$A:$G,3,FALSE)</f>
        <v>CA</v>
      </c>
      <c r="P3740">
        <f>VLOOKUP(A3740,vlookup_table!$A:$G,4,FALSE)</f>
        <v>4801</v>
      </c>
      <c r="Q3740" t="str">
        <f>VLOOKUP(A3740,vlookup_table!$A:$G,5,FALSE)</f>
        <v>S2</v>
      </c>
      <c r="R3740" t="str">
        <f>VLOOKUP(A3740,vlookup_table!$A:$G,6,FALSE)</f>
        <v>F</v>
      </c>
      <c r="S3740">
        <f>VLOOKUP(A3740,vlookup_table!$A:$G,7,FALSE)</f>
        <v>10</v>
      </c>
      <c r="T3740">
        <f t="shared" si="116"/>
        <v>48</v>
      </c>
      <c r="U3740" t="str">
        <f t="shared" si="117"/>
        <v>Suburbano</v>
      </c>
    </row>
    <row r="3741" spans="1:21" ht="16" x14ac:dyDescent="0.4">
      <c r="A3741" s="9">
        <v>166521</v>
      </c>
      <c r="B3741" s="8" t="s">
        <v>21</v>
      </c>
      <c r="C3741" s="8" t="s">
        <v>17</v>
      </c>
      <c r="D3741" s="8">
        <v>3422</v>
      </c>
      <c r="E3741" s="8">
        <v>638</v>
      </c>
      <c r="F3741" s="8">
        <v>807</v>
      </c>
      <c r="G3741" s="8">
        <v>91</v>
      </c>
      <c r="H3741" s="8">
        <v>33068</v>
      </c>
      <c r="I3741" s="8">
        <v>10</v>
      </c>
      <c r="J3741" s="8">
        <v>52</v>
      </c>
      <c r="K3741" s="8">
        <v>775</v>
      </c>
      <c r="L3741" s="8">
        <v>693</v>
      </c>
      <c r="M3741" s="8">
        <v>18.2</v>
      </c>
      <c r="N3741">
        <f>VLOOKUP(A3741,vlookup_table!$A:$G,2,FALSE)</f>
        <v>28</v>
      </c>
      <c r="O3741" t="str">
        <f>VLOOKUP(A3741,vlookup_table!$A:$G,3,FALSE)</f>
        <v>CA</v>
      </c>
      <c r="P3741">
        <f>VLOOKUP(A3741,vlookup_table!$A:$G,4,FALSE)</f>
        <v>4612</v>
      </c>
      <c r="Q3741" t="str">
        <f>VLOOKUP(A3741,vlookup_table!$A:$G,5,FALSE)</f>
        <v>S1</v>
      </c>
      <c r="R3741" t="str">
        <f>VLOOKUP(A3741,vlookup_table!$A:$G,6,FALSE)</f>
        <v>F</v>
      </c>
      <c r="S3741">
        <f>VLOOKUP(A3741,vlookup_table!$A:$G,7,FALSE)</f>
        <v>27</v>
      </c>
      <c r="T3741">
        <f t="shared" si="116"/>
        <v>50</v>
      </c>
      <c r="U3741" t="str">
        <f t="shared" si="117"/>
        <v>Suburbano</v>
      </c>
    </row>
    <row r="3742" spans="1:21" ht="16" x14ac:dyDescent="0.4">
      <c r="A3742" s="9">
        <v>148153</v>
      </c>
      <c r="B3742" s="8" t="s">
        <v>21</v>
      </c>
      <c r="C3742" s="8" t="s">
        <v>17</v>
      </c>
      <c r="D3742" s="8">
        <v>3576</v>
      </c>
      <c r="E3742" s="8">
        <v>661</v>
      </c>
      <c r="F3742" s="8">
        <v>826</v>
      </c>
      <c r="G3742" s="8">
        <v>96</v>
      </c>
      <c r="H3742" s="8">
        <v>29413</v>
      </c>
      <c r="I3742" s="8">
        <v>14</v>
      </c>
      <c r="J3742" s="8">
        <v>50</v>
      </c>
      <c r="K3742" s="8">
        <v>768</v>
      </c>
      <c r="L3742" s="8">
        <v>729</v>
      </c>
      <c r="M3742" s="8">
        <v>8.8877142859999996</v>
      </c>
      <c r="N3742">
        <f>VLOOKUP(A3742,vlookup_table!$A:$G,2,FALSE)</f>
        <v>2</v>
      </c>
      <c r="O3742" t="str">
        <f>VLOOKUP(A3742,vlookup_table!$A:$G,3,FALSE)</f>
        <v>CA</v>
      </c>
      <c r="P3742">
        <f>VLOOKUP(A3742,vlookup_table!$A:$G,4,FALSE)</f>
        <v>6201</v>
      </c>
      <c r="Q3742" t="str">
        <f>VLOOKUP(A3742,vlookup_table!$A:$G,5,FALSE)</f>
        <v>C1</v>
      </c>
      <c r="R3742" t="str">
        <f>VLOOKUP(A3742,vlookup_table!$A:$G,6,FALSE)</f>
        <v>F</v>
      </c>
      <c r="S3742">
        <f>VLOOKUP(A3742,vlookup_table!$A:$G,7,FALSE)</f>
        <v>11</v>
      </c>
      <c r="T3742">
        <f t="shared" si="116"/>
        <v>34</v>
      </c>
      <c r="U3742" t="str">
        <f t="shared" si="117"/>
        <v>Ciudad</v>
      </c>
    </row>
    <row r="3743" spans="1:21" ht="16" x14ac:dyDescent="0.4">
      <c r="A3743" s="9">
        <v>38266</v>
      </c>
      <c r="B3743" s="8" t="s">
        <v>13</v>
      </c>
      <c r="C3743" s="8" t="s">
        <v>17</v>
      </c>
      <c r="D3743" s="8">
        <v>590</v>
      </c>
      <c r="E3743" s="8">
        <v>267</v>
      </c>
      <c r="F3743" s="8">
        <v>322</v>
      </c>
      <c r="G3743" s="8">
        <v>0</v>
      </c>
      <c r="H3743" s="8">
        <v>8625</v>
      </c>
      <c r="I3743" s="8">
        <v>40</v>
      </c>
      <c r="J3743" s="8">
        <v>29</v>
      </c>
      <c r="K3743" s="8">
        <v>319</v>
      </c>
      <c r="L3743" s="8">
        <v>304</v>
      </c>
      <c r="M3743" s="8">
        <v>15</v>
      </c>
      <c r="N3743">
        <f>VLOOKUP(A3743,vlookup_table!$A:$G,2,FALSE)</f>
        <v>0</v>
      </c>
      <c r="O3743" t="str">
        <f>VLOOKUP(A3743,vlookup_table!$A:$G,3,FALSE)</f>
        <v>FL</v>
      </c>
      <c r="P3743">
        <f>VLOOKUP(A3743,vlookup_table!$A:$G,4,FALSE)</f>
        <v>2201</v>
      </c>
      <c r="Q3743" t="str">
        <f>VLOOKUP(A3743,vlookup_table!$A:$G,5,FALSE)</f>
        <v>U3</v>
      </c>
      <c r="R3743" t="str">
        <f>VLOOKUP(A3743,vlookup_table!$A:$G,6,FALSE)</f>
        <v>F</v>
      </c>
      <c r="S3743">
        <f>VLOOKUP(A3743,vlookup_table!$A:$G,7,FALSE)</f>
        <v>10</v>
      </c>
      <c r="T3743">
        <f t="shared" si="116"/>
        <v>74</v>
      </c>
      <c r="U3743" t="str">
        <f t="shared" si="117"/>
        <v>Urbano</v>
      </c>
    </row>
    <row r="3744" spans="1:21" ht="16" x14ac:dyDescent="0.4">
      <c r="A3744" s="9">
        <v>161108</v>
      </c>
      <c r="B3744" s="8" t="s">
        <v>21</v>
      </c>
      <c r="C3744" s="8" t="s">
        <v>14</v>
      </c>
      <c r="D3744" s="8">
        <v>996</v>
      </c>
      <c r="E3744" s="8">
        <v>277</v>
      </c>
      <c r="F3744" s="8">
        <v>330</v>
      </c>
      <c r="G3744" s="8">
        <v>10</v>
      </c>
      <c r="H3744" s="8">
        <v>8189</v>
      </c>
      <c r="I3744" s="8">
        <v>14</v>
      </c>
      <c r="J3744" s="8">
        <v>61</v>
      </c>
      <c r="K3744" s="8">
        <v>284</v>
      </c>
      <c r="L3744" s="8">
        <v>300</v>
      </c>
      <c r="M3744" s="8">
        <v>5.25</v>
      </c>
      <c r="N3744">
        <f>VLOOKUP(A3744,vlookup_table!$A:$G,2,FALSE)</f>
        <v>1</v>
      </c>
      <c r="O3744" t="str">
        <f>VLOOKUP(A3744,vlookup_table!$A:$G,3,FALSE)</f>
        <v>CA</v>
      </c>
      <c r="P3744">
        <f>VLOOKUP(A3744,vlookup_table!$A:$G,4,FALSE)</f>
        <v>0</v>
      </c>
      <c r="Q3744" t="str">
        <f>VLOOKUP(A3744,vlookup_table!$A:$G,5,FALSE)</f>
        <v>U2</v>
      </c>
      <c r="R3744" t="str">
        <f>VLOOKUP(A3744,vlookup_table!$A:$G,6,FALSE)</f>
        <v>M</v>
      </c>
      <c r="S3744">
        <f>VLOOKUP(A3744,vlookup_table!$A:$G,7,FALSE)</f>
        <v>5</v>
      </c>
      <c r="T3744">
        <f t="shared" si="116"/>
        <v>96</v>
      </c>
      <c r="U3744" t="str">
        <f t="shared" si="117"/>
        <v>Urbano</v>
      </c>
    </row>
    <row r="3745" spans="1:21" ht="16" x14ac:dyDescent="0.4">
      <c r="A3745" s="9">
        <v>44406</v>
      </c>
      <c r="B3745" s="8" t="s">
        <v>13</v>
      </c>
      <c r="C3745" s="8" t="s">
        <v>17</v>
      </c>
      <c r="D3745" s="8">
        <v>945</v>
      </c>
      <c r="E3745" s="8">
        <v>292</v>
      </c>
      <c r="F3745" s="8">
        <v>456</v>
      </c>
      <c r="G3745" s="8">
        <v>7</v>
      </c>
      <c r="H3745" s="8">
        <v>17575</v>
      </c>
      <c r="I3745" s="8">
        <v>2</v>
      </c>
      <c r="J3745" s="8">
        <v>29</v>
      </c>
      <c r="K3745" s="8">
        <v>317</v>
      </c>
      <c r="L3745" s="8">
        <v>376</v>
      </c>
      <c r="M3745" s="8">
        <v>4.625</v>
      </c>
      <c r="N3745">
        <f>VLOOKUP(A3745,vlookup_table!$A:$G,2,FALSE)</f>
        <v>0</v>
      </c>
      <c r="O3745" t="str">
        <f>VLOOKUP(A3745,vlookup_table!$A:$G,3,FALSE)</f>
        <v>FL</v>
      </c>
      <c r="P3745">
        <f>VLOOKUP(A3745,vlookup_table!$A:$G,4,FALSE)</f>
        <v>3901</v>
      </c>
      <c r="Q3745" t="str">
        <f>VLOOKUP(A3745,vlookup_table!$A:$G,5,FALSE)</f>
        <v>C2</v>
      </c>
      <c r="R3745" t="str">
        <f>VLOOKUP(A3745,vlookup_table!$A:$G,6,FALSE)</f>
        <v>F</v>
      </c>
      <c r="S3745">
        <f>VLOOKUP(A3745,vlookup_table!$A:$G,7,FALSE)</f>
        <v>10</v>
      </c>
      <c r="T3745">
        <f t="shared" si="116"/>
        <v>57</v>
      </c>
      <c r="U3745" t="str">
        <f t="shared" si="117"/>
        <v>Ciudad</v>
      </c>
    </row>
    <row r="3746" spans="1:21" ht="16" x14ac:dyDescent="0.4">
      <c r="A3746" s="9">
        <v>8669</v>
      </c>
      <c r="B3746" s="8" t="s">
        <v>16</v>
      </c>
      <c r="C3746" s="8" t="s">
        <v>17</v>
      </c>
      <c r="D3746" s="8">
        <v>1757</v>
      </c>
      <c r="E3746" s="8">
        <v>472</v>
      </c>
      <c r="F3746" s="8">
        <v>588</v>
      </c>
      <c r="G3746" s="8">
        <v>28</v>
      </c>
      <c r="H3746" s="8">
        <v>20587</v>
      </c>
      <c r="I3746" s="8">
        <v>15</v>
      </c>
      <c r="J3746" s="8">
        <v>60</v>
      </c>
      <c r="K3746" s="8">
        <v>488</v>
      </c>
      <c r="L3746" s="8">
        <v>560</v>
      </c>
      <c r="M3746" s="8">
        <v>8.3888888890000004</v>
      </c>
      <c r="N3746">
        <f>VLOOKUP(A3746,vlookup_table!$A:$G,2,FALSE)</f>
        <v>2</v>
      </c>
      <c r="O3746" t="str">
        <f>VLOOKUP(A3746,vlookup_table!$A:$G,3,FALSE)</f>
        <v>IL</v>
      </c>
      <c r="P3746">
        <f>VLOOKUP(A3746,vlookup_table!$A:$G,4,FALSE)</f>
        <v>5206</v>
      </c>
      <c r="Q3746" t="str">
        <f>VLOOKUP(A3746,vlookup_table!$A:$G,5,FALSE)</f>
        <v>S1</v>
      </c>
      <c r="R3746" t="str">
        <f>VLOOKUP(A3746,vlookup_table!$A:$G,6,FALSE)</f>
        <v>F</v>
      </c>
      <c r="S3746">
        <f>VLOOKUP(A3746,vlookup_table!$A:$G,7,FALSE)</f>
        <v>10</v>
      </c>
      <c r="T3746">
        <f t="shared" si="116"/>
        <v>44</v>
      </c>
      <c r="U3746" t="str">
        <f t="shared" si="117"/>
        <v>Suburbano</v>
      </c>
    </row>
    <row r="3747" spans="1:21" ht="16" x14ac:dyDescent="0.4">
      <c r="A3747" s="9">
        <v>173702</v>
      </c>
      <c r="B3747" s="8" t="s">
        <v>34</v>
      </c>
      <c r="C3747" s="8" t="s">
        <v>14</v>
      </c>
      <c r="D3747" s="8">
        <v>2609</v>
      </c>
      <c r="E3747" s="8">
        <v>486</v>
      </c>
      <c r="F3747" s="8">
        <v>555</v>
      </c>
      <c r="G3747" s="8">
        <v>73</v>
      </c>
      <c r="H3747" s="8">
        <v>16626</v>
      </c>
      <c r="I3747" s="8">
        <v>6</v>
      </c>
      <c r="J3747" s="8">
        <v>59</v>
      </c>
      <c r="K3747" s="8">
        <v>497</v>
      </c>
      <c r="L3747" s="8">
        <v>542</v>
      </c>
      <c r="M3747" s="8">
        <v>4.5</v>
      </c>
      <c r="N3747">
        <f>VLOOKUP(A3747,vlookup_table!$A:$G,2,FALSE)</f>
        <v>0</v>
      </c>
      <c r="O3747" t="str">
        <f>VLOOKUP(A3747,vlookup_table!$A:$G,3,FALSE)</f>
        <v>HI</v>
      </c>
      <c r="P3747">
        <f>VLOOKUP(A3747,vlookup_table!$A:$G,4,FALSE)</f>
        <v>2401</v>
      </c>
      <c r="Q3747" t="str">
        <f>VLOOKUP(A3747,vlookup_table!$A:$G,5,FALSE)</f>
        <v>S1</v>
      </c>
      <c r="R3747" t="str">
        <f>VLOOKUP(A3747,vlookup_table!$A:$G,6,FALSE)</f>
        <v>M</v>
      </c>
      <c r="S3747">
        <f>VLOOKUP(A3747,vlookup_table!$A:$G,7,FALSE)</f>
        <v>25</v>
      </c>
      <c r="T3747">
        <f t="shared" si="116"/>
        <v>72</v>
      </c>
      <c r="U3747" t="str">
        <f t="shared" si="117"/>
        <v>Suburbano</v>
      </c>
    </row>
    <row r="3748" spans="1:21" ht="16" x14ac:dyDescent="0.4">
      <c r="A3748" s="9">
        <v>174956</v>
      </c>
      <c r="B3748" s="8" t="s">
        <v>47</v>
      </c>
      <c r="C3748" s="8" t="s">
        <v>17</v>
      </c>
      <c r="D3748" s="8">
        <v>598</v>
      </c>
      <c r="E3748" s="8">
        <v>276</v>
      </c>
      <c r="F3748" s="8">
        <v>374</v>
      </c>
      <c r="G3748" s="8">
        <v>2</v>
      </c>
      <c r="H3748" s="8">
        <v>12592</v>
      </c>
      <c r="I3748" s="8">
        <v>4</v>
      </c>
      <c r="J3748" s="8">
        <v>49</v>
      </c>
      <c r="K3748" s="8">
        <v>333</v>
      </c>
      <c r="L3748" s="8">
        <v>322</v>
      </c>
      <c r="M3748" s="8">
        <v>7.25</v>
      </c>
      <c r="N3748">
        <f>VLOOKUP(A3748,vlookup_table!$A:$G,2,FALSE)</f>
        <v>2</v>
      </c>
      <c r="O3748" t="str">
        <f>VLOOKUP(A3748,vlookup_table!$A:$G,3,FALSE)</f>
        <v>OR</v>
      </c>
      <c r="P3748">
        <f>VLOOKUP(A3748,vlookup_table!$A:$G,4,FALSE)</f>
        <v>1101</v>
      </c>
      <c r="Q3748" t="str">
        <f>VLOOKUP(A3748,vlookup_table!$A:$G,5,FALSE)</f>
        <v>T2</v>
      </c>
      <c r="R3748" t="str">
        <f>VLOOKUP(A3748,vlookup_table!$A:$G,6,FALSE)</f>
        <v>F</v>
      </c>
      <c r="S3748">
        <f>VLOOKUP(A3748,vlookup_table!$A:$G,7,FALSE)</f>
        <v>10</v>
      </c>
      <c r="T3748">
        <f t="shared" si="116"/>
        <v>85</v>
      </c>
      <c r="U3748" t="str">
        <f t="shared" si="117"/>
        <v>Pueblo</v>
      </c>
    </row>
    <row r="3749" spans="1:21" ht="16" x14ac:dyDescent="0.4">
      <c r="A3749" s="9">
        <v>52592</v>
      </c>
      <c r="B3749" s="8" t="s">
        <v>49</v>
      </c>
      <c r="C3749" s="8" t="s">
        <v>17</v>
      </c>
      <c r="D3749" s="8">
        <v>667</v>
      </c>
      <c r="E3749" s="8">
        <v>313</v>
      </c>
      <c r="F3749" s="8">
        <v>370</v>
      </c>
      <c r="G3749" s="8">
        <v>0</v>
      </c>
      <c r="H3749" s="8">
        <v>11897</v>
      </c>
      <c r="I3749" s="8">
        <v>0</v>
      </c>
      <c r="J3749" s="8">
        <v>79</v>
      </c>
      <c r="K3749" s="8">
        <v>325</v>
      </c>
      <c r="L3749" s="8">
        <v>352</v>
      </c>
      <c r="M3749" s="8">
        <v>9.0909090910000003</v>
      </c>
      <c r="N3749">
        <f>VLOOKUP(A3749,vlookup_table!$A:$G,2,FALSE)</f>
        <v>0</v>
      </c>
      <c r="O3749" t="str">
        <f>VLOOKUP(A3749,vlookup_table!$A:$G,3,FALSE)</f>
        <v>TN</v>
      </c>
      <c r="P3749">
        <f>VLOOKUP(A3749,vlookup_table!$A:$G,4,FALSE)</f>
        <v>4206</v>
      </c>
      <c r="Q3749" t="str">
        <f>VLOOKUP(A3749,vlookup_table!$A:$G,5,FALSE)</f>
        <v>T2</v>
      </c>
      <c r="R3749" t="str">
        <f>VLOOKUP(A3749,vlookup_table!$A:$G,6,FALSE)</f>
        <v>F</v>
      </c>
      <c r="S3749">
        <f>VLOOKUP(A3749,vlookup_table!$A:$G,7,FALSE)</f>
        <v>10</v>
      </c>
      <c r="T3749">
        <f t="shared" si="116"/>
        <v>54</v>
      </c>
      <c r="U3749" t="str">
        <f t="shared" si="117"/>
        <v>Pueblo</v>
      </c>
    </row>
    <row r="3750" spans="1:21" ht="16" x14ac:dyDescent="0.4">
      <c r="A3750" s="9">
        <v>80505</v>
      </c>
      <c r="B3750" s="8" t="s">
        <v>32</v>
      </c>
      <c r="C3750" s="8" t="s">
        <v>17</v>
      </c>
      <c r="D3750" s="8">
        <v>673</v>
      </c>
      <c r="E3750" s="8">
        <v>358</v>
      </c>
      <c r="F3750" s="8">
        <v>416</v>
      </c>
      <c r="G3750" s="8">
        <v>0</v>
      </c>
      <c r="H3750" s="8">
        <v>13043</v>
      </c>
      <c r="I3750" s="8">
        <v>1</v>
      </c>
      <c r="J3750" s="8">
        <v>78</v>
      </c>
      <c r="K3750" s="8">
        <v>383</v>
      </c>
      <c r="L3750" s="8">
        <v>381</v>
      </c>
      <c r="M3750" s="8">
        <v>12.11111111</v>
      </c>
      <c r="N3750">
        <f>VLOOKUP(A3750,vlookup_table!$A:$G,2,FALSE)</f>
        <v>0</v>
      </c>
      <c r="O3750" t="str">
        <f>VLOOKUP(A3750,vlookup_table!$A:$G,3,FALSE)</f>
        <v>WI</v>
      </c>
      <c r="P3750">
        <f>VLOOKUP(A3750,vlookup_table!$A:$G,4,FALSE)</f>
        <v>3608</v>
      </c>
      <c r="Q3750" t="str">
        <f>VLOOKUP(A3750,vlookup_table!$A:$G,5,FALSE)</f>
        <v>S2</v>
      </c>
      <c r="R3750" t="str">
        <f>VLOOKUP(A3750,vlookup_table!$A:$G,6,FALSE)</f>
        <v>F</v>
      </c>
      <c r="S3750">
        <f>VLOOKUP(A3750,vlookup_table!$A:$G,7,FALSE)</f>
        <v>20</v>
      </c>
      <c r="T3750">
        <f t="shared" si="116"/>
        <v>60</v>
      </c>
      <c r="U3750" t="str">
        <f t="shared" si="117"/>
        <v>Suburbano</v>
      </c>
    </row>
    <row r="3751" spans="1:21" ht="16" x14ac:dyDescent="0.4">
      <c r="A3751" s="9">
        <v>188734</v>
      </c>
      <c r="B3751" s="8" t="s">
        <v>34</v>
      </c>
      <c r="C3751" s="8" t="s">
        <v>41</v>
      </c>
      <c r="D3751" s="8">
        <v>3500</v>
      </c>
      <c r="E3751" s="8">
        <v>269</v>
      </c>
      <c r="F3751" s="8">
        <v>285</v>
      </c>
      <c r="G3751" s="8">
        <v>99</v>
      </c>
      <c r="H3751" s="8">
        <v>8815</v>
      </c>
      <c r="I3751" s="8">
        <v>5</v>
      </c>
      <c r="J3751" s="8">
        <v>8</v>
      </c>
      <c r="K3751" s="8">
        <v>264</v>
      </c>
      <c r="L3751" s="8">
        <v>292</v>
      </c>
      <c r="M3751" s="8">
        <v>5.375</v>
      </c>
      <c r="N3751">
        <f>VLOOKUP(A3751,vlookup_table!$A:$G,2,FALSE)</f>
        <v>14002</v>
      </c>
      <c r="O3751" t="str">
        <f>VLOOKUP(A3751,vlookup_table!$A:$G,3,FALSE)</f>
        <v>HI</v>
      </c>
      <c r="P3751">
        <f>VLOOKUP(A3751,vlookup_table!$A:$G,4,FALSE)</f>
        <v>0</v>
      </c>
      <c r="Q3751" t="str">
        <f>VLOOKUP(A3751,vlookup_table!$A:$G,5,FALSE)</f>
        <v>T2</v>
      </c>
      <c r="R3751" t="str">
        <f>VLOOKUP(A3751,vlookup_table!$A:$G,6,FALSE)</f>
        <v>J</v>
      </c>
      <c r="S3751">
        <f>VLOOKUP(A3751,vlookup_table!$A:$G,7,FALSE)</f>
        <v>5</v>
      </c>
      <c r="T3751">
        <f t="shared" si="116"/>
        <v>96</v>
      </c>
      <c r="U3751" t="str">
        <f t="shared" si="117"/>
        <v>Pueblo</v>
      </c>
    </row>
    <row r="3752" spans="1:21" ht="16" x14ac:dyDescent="0.4">
      <c r="A3752" s="9">
        <v>148569</v>
      </c>
      <c r="B3752" s="8" t="s">
        <v>21</v>
      </c>
      <c r="C3752" s="8" t="s">
        <v>14</v>
      </c>
      <c r="D3752" s="8">
        <v>1443</v>
      </c>
      <c r="E3752" s="8">
        <v>280</v>
      </c>
      <c r="F3752" s="8">
        <v>328</v>
      </c>
      <c r="G3752" s="8">
        <v>4</v>
      </c>
      <c r="H3752" s="8">
        <v>6221</v>
      </c>
      <c r="I3752" s="8">
        <v>45</v>
      </c>
      <c r="J3752" s="8">
        <v>39</v>
      </c>
      <c r="K3752" s="8">
        <v>272</v>
      </c>
      <c r="L3752" s="8">
        <v>329</v>
      </c>
      <c r="M3752" s="8">
        <v>10.4</v>
      </c>
      <c r="N3752">
        <f>VLOOKUP(A3752,vlookup_table!$A:$G,2,FALSE)</f>
        <v>1</v>
      </c>
      <c r="O3752" t="str">
        <f>VLOOKUP(A3752,vlookup_table!$A:$G,3,FALSE)</f>
        <v>CA</v>
      </c>
      <c r="P3752">
        <f>VLOOKUP(A3752,vlookup_table!$A:$G,4,FALSE)</f>
        <v>3901</v>
      </c>
      <c r="Q3752" t="str">
        <f>VLOOKUP(A3752,vlookup_table!$A:$G,5,FALSE)</f>
        <v>U4</v>
      </c>
      <c r="R3752" t="str">
        <f>VLOOKUP(A3752,vlookup_table!$A:$G,6,FALSE)</f>
        <v>M</v>
      </c>
      <c r="S3752">
        <f>VLOOKUP(A3752,vlookup_table!$A:$G,7,FALSE)</f>
        <v>19</v>
      </c>
      <c r="T3752">
        <f t="shared" si="116"/>
        <v>57</v>
      </c>
      <c r="U3752" t="str">
        <f t="shared" si="117"/>
        <v>Urbano</v>
      </c>
    </row>
    <row r="3753" spans="1:21" ht="16" x14ac:dyDescent="0.4">
      <c r="A3753" s="9">
        <v>2262</v>
      </c>
      <c r="B3753" s="8" t="s">
        <v>21</v>
      </c>
      <c r="C3753" s="8" t="s">
        <v>17</v>
      </c>
      <c r="D3753" s="8">
        <v>1778</v>
      </c>
      <c r="E3753" s="8">
        <v>411</v>
      </c>
      <c r="F3753" s="8">
        <v>503</v>
      </c>
      <c r="G3753" s="8">
        <v>27</v>
      </c>
      <c r="H3753" s="8">
        <v>18236</v>
      </c>
      <c r="I3753" s="8">
        <v>21</v>
      </c>
      <c r="J3753" s="8">
        <v>41</v>
      </c>
      <c r="K3753" s="8">
        <v>480</v>
      </c>
      <c r="L3753" s="8">
        <v>439</v>
      </c>
      <c r="M3753" s="8">
        <v>6.5277777779999999</v>
      </c>
      <c r="N3753">
        <f>VLOOKUP(A3753,vlookup_table!$A:$G,2,FALSE)</f>
        <v>0</v>
      </c>
      <c r="O3753" t="str">
        <f>VLOOKUP(A3753,vlookup_table!$A:$G,3,FALSE)</f>
        <v>CA</v>
      </c>
      <c r="P3753">
        <f>VLOOKUP(A3753,vlookup_table!$A:$G,4,FALSE)</f>
        <v>4003</v>
      </c>
      <c r="Q3753" t="str">
        <f>VLOOKUP(A3753,vlookup_table!$A:$G,5,FALSE)</f>
        <v>U1</v>
      </c>
      <c r="R3753" t="str">
        <f>VLOOKUP(A3753,vlookup_table!$A:$G,6,FALSE)</f>
        <v>F</v>
      </c>
      <c r="S3753">
        <f>VLOOKUP(A3753,vlookup_table!$A:$G,7,FALSE)</f>
        <v>125</v>
      </c>
      <c r="T3753">
        <f t="shared" si="116"/>
        <v>56</v>
      </c>
      <c r="U3753" t="str">
        <f t="shared" si="117"/>
        <v>Urbano</v>
      </c>
    </row>
    <row r="3754" spans="1:21" ht="16" x14ac:dyDescent="0.4">
      <c r="A3754" s="9">
        <v>41091</v>
      </c>
      <c r="B3754" s="8" t="s">
        <v>13</v>
      </c>
      <c r="C3754" s="8" t="s">
        <v>17</v>
      </c>
      <c r="D3754" s="8">
        <v>661</v>
      </c>
      <c r="E3754" s="8">
        <v>211</v>
      </c>
      <c r="F3754" s="8">
        <v>251</v>
      </c>
      <c r="G3754" s="8">
        <v>0</v>
      </c>
      <c r="H3754" s="8">
        <v>12774</v>
      </c>
      <c r="I3754" s="8">
        <v>3</v>
      </c>
      <c r="J3754" s="8">
        <v>14</v>
      </c>
      <c r="K3754" s="8">
        <v>236</v>
      </c>
      <c r="L3754" s="8">
        <v>247</v>
      </c>
      <c r="M3754" s="8">
        <v>7.2142857139999998</v>
      </c>
      <c r="N3754">
        <f>VLOOKUP(A3754,vlookup_table!$A:$G,2,FALSE)</f>
        <v>2</v>
      </c>
      <c r="O3754" t="str">
        <f>VLOOKUP(A3754,vlookup_table!$A:$G,3,FALSE)</f>
        <v>FL</v>
      </c>
      <c r="P3754">
        <f>VLOOKUP(A3754,vlookup_table!$A:$G,4,FALSE)</f>
        <v>2607</v>
      </c>
      <c r="Q3754" t="str">
        <f>VLOOKUP(A3754,vlookup_table!$A:$G,5,FALSE)</f>
        <v>C2</v>
      </c>
      <c r="R3754" t="str">
        <f>VLOOKUP(A3754,vlookup_table!$A:$G,6,FALSE)</f>
        <v>F</v>
      </c>
      <c r="S3754">
        <f>VLOOKUP(A3754,vlookup_table!$A:$G,7,FALSE)</f>
        <v>10</v>
      </c>
      <c r="T3754">
        <f t="shared" si="116"/>
        <v>70</v>
      </c>
      <c r="U3754" t="str">
        <f t="shared" si="117"/>
        <v>Ciudad</v>
      </c>
    </row>
    <row r="3755" spans="1:21" ht="16" x14ac:dyDescent="0.4">
      <c r="A3755" s="9">
        <v>30047</v>
      </c>
      <c r="B3755" s="8" t="s">
        <v>36</v>
      </c>
      <c r="C3755" s="8" t="s">
        <v>17</v>
      </c>
      <c r="D3755" s="8">
        <v>436</v>
      </c>
      <c r="E3755" s="8">
        <v>279</v>
      </c>
      <c r="F3755" s="8">
        <v>383</v>
      </c>
      <c r="G3755" s="8">
        <v>2</v>
      </c>
      <c r="H3755" s="8">
        <v>12382</v>
      </c>
      <c r="I3755" s="8">
        <v>2</v>
      </c>
      <c r="J3755" s="8">
        <v>81</v>
      </c>
      <c r="K3755" s="8">
        <v>302</v>
      </c>
      <c r="L3755" s="8">
        <v>351</v>
      </c>
      <c r="M3755" s="8">
        <v>7.0526315789999998</v>
      </c>
      <c r="N3755">
        <f>VLOOKUP(A3755,vlookup_table!$A:$G,2,FALSE)</f>
        <v>2</v>
      </c>
      <c r="O3755" t="str">
        <f>VLOOKUP(A3755,vlookup_table!$A:$G,3,FALSE)</f>
        <v>GA</v>
      </c>
      <c r="P3755">
        <f>VLOOKUP(A3755,vlookup_table!$A:$G,4,FALSE)</f>
        <v>5201</v>
      </c>
      <c r="Q3755" t="str">
        <f>VLOOKUP(A3755,vlookup_table!$A:$G,5,FALSE)</f>
        <v>R2</v>
      </c>
      <c r="R3755" t="str">
        <f>VLOOKUP(A3755,vlookup_table!$A:$G,6,FALSE)</f>
        <v>F</v>
      </c>
      <c r="S3755">
        <f>VLOOKUP(A3755,vlookup_table!$A:$G,7,FALSE)</f>
        <v>10</v>
      </c>
      <c r="T3755">
        <f t="shared" si="116"/>
        <v>44</v>
      </c>
      <c r="U3755" t="str">
        <f t="shared" si="117"/>
        <v>Rural</v>
      </c>
    </row>
    <row r="3756" spans="1:21" ht="16" x14ac:dyDescent="0.4">
      <c r="A3756" s="9">
        <v>167580</v>
      </c>
      <c r="B3756" s="8" t="s">
        <v>21</v>
      </c>
      <c r="C3756" s="8" t="s">
        <v>14</v>
      </c>
      <c r="D3756" s="8">
        <v>2394</v>
      </c>
      <c r="E3756" s="8">
        <v>385</v>
      </c>
      <c r="F3756" s="8">
        <v>444</v>
      </c>
      <c r="G3756" s="8">
        <v>70</v>
      </c>
      <c r="H3756" s="8">
        <v>21417</v>
      </c>
      <c r="I3756" s="8">
        <v>29</v>
      </c>
      <c r="J3756" s="8">
        <v>36</v>
      </c>
      <c r="K3756" s="8">
        <v>382</v>
      </c>
      <c r="L3756" s="8">
        <v>439</v>
      </c>
      <c r="M3756" s="8">
        <v>10</v>
      </c>
      <c r="N3756">
        <f>VLOOKUP(A3756,vlookup_table!$A:$G,2,FALSE)</f>
        <v>1</v>
      </c>
      <c r="O3756" t="str">
        <f>VLOOKUP(A3756,vlookup_table!$A:$G,3,FALSE)</f>
        <v>CA</v>
      </c>
      <c r="P3756">
        <f>VLOOKUP(A3756,vlookup_table!$A:$G,4,FALSE)</f>
        <v>0</v>
      </c>
      <c r="Q3756" t="str">
        <f>VLOOKUP(A3756,vlookup_table!$A:$G,5,FALSE)</f>
        <v>U1</v>
      </c>
      <c r="R3756" t="str">
        <f>VLOOKUP(A3756,vlookup_table!$A:$G,6,FALSE)</f>
        <v>M</v>
      </c>
      <c r="S3756">
        <f>VLOOKUP(A3756,vlookup_table!$A:$G,7,FALSE)</f>
        <v>21</v>
      </c>
      <c r="T3756">
        <f t="shared" si="116"/>
        <v>96</v>
      </c>
      <c r="U3756" t="str">
        <f t="shared" si="117"/>
        <v>Urbano</v>
      </c>
    </row>
    <row r="3757" spans="1:21" ht="16" x14ac:dyDescent="0.4">
      <c r="A3757" s="9">
        <v>76030</v>
      </c>
      <c r="B3757" s="8" t="s">
        <v>44</v>
      </c>
      <c r="C3757" s="8" t="s">
        <v>14</v>
      </c>
      <c r="D3757" s="8">
        <v>551</v>
      </c>
      <c r="E3757" s="8">
        <v>304</v>
      </c>
      <c r="F3757" s="8">
        <v>378</v>
      </c>
      <c r="G3757" s="8">
        <v>0</v>
      </c>
      <c r="H3757" s="8">
        <v>14020</v>
      </c>
      <c r="I3757" s="8">
        <v>1</v>
      </c>
      <c r="J3757" s="8">
        <v>70</v>
      </c>
      <c r="K3757" s="8">
        <v>322</v>
      </c>
      <c r="L3757" s="8">
        <v>338</v>
      </c>
      <c r="M3757" s="8">
        <v>6.7272727269999999</v>
      </c>
      <c r="N3757">
        <f>VLOOKUP(A3757,vlookup_table!$A:$G,2,FALSE)</f>
        <v>1</v>
      </c>
      <c r="O3757" t="str">
        <f>VLOOKUP(A3757,vlookup_table!$A:$G,3,FALSE)</f>
        <v>IA</v>
      </c>
      <c r="P3757">
        <f>VLOOKUP(A3757,vlookup_table!$A:$G,4,FALSE)</f>
        <v>5401</v>
      </c>
      <c r="Q3757" t="str">
        <f>VLOOKUP(A3757,vlookup_table!$A:$G,5,FALSE)</f>
        <v>S2</v>
      </c>
      <c r="R3757" t="str">
        <f>VLOOKUP(A3757,vlookup_table!$A:$G,6,FALSE)</f>
        <v>M</v>
      </c>
      <c r="S3757">
        <f>VLOOKUP(A3757,vlookup_table!$A:$G,7,FALSE)</f>
        <v>14</v>
      </c>
      <c r="T3757">
        <f t="shared" si="116"/>
        <v>42</v>
      </c>
      <c r="U3757" t="str">
        <f t="shared" si="117"/>
        <v>Suburbano</v>
      </c>
    </row>
    <row r="3758" spans="1:21" ht="16" x14ac:dyDescent="0.4">
      <c r="A3758" s="9">
        <v>21003</v>
      </c>
      <c r="B3758" s="8" t="s">
        <v>18</v>
      </c>
      <c r="C3758" s="8" t="s">
        <v>17</v>
      </c>
      <c r="D3758" s="8">
        <v>517</v>
      </c>
      <c r="E3758" s="8">
        <v>213</v>
      </c>
      <c r="F3758" s="8">
        <v>269</v>
      </c>
      <c r="G3758" s="8">
        <v>0</v>
      </c>
      <c r="H3758" s="8">
        <v>8518</v>
      </c>
      <c r="I3758" s="8">
        <v>2</v>
      </c>
      <c r="J3758" s="8">
        <v>70</v>
      </c>
      <c r="K3758" s="8">
        <v>256</v>
      </c>
      <c r="L3758" s="8">
        <v>240</v>
      </c>
      <c r="M3758" s="8">
        <v>12.222222220000001</v>
      </c>
      <c r="N3758">
        <f>VLOOKUP(A3758,vlookup_table!$A:$G,2,FALSE)</f>
        <v>2</v>
      </c>
      <c r="O3758" t="str">
        <f>VLOOKUP(A3758,vlookup_table!$A:$G,3,FALSE)</f>
        <v>NC</v>
      </c>
      <c r="P3758">
        <f>VLOOKUP(A3758,vlookup_table!$A:$G,4,FALSE)</f>
        <v>0</v>
      </c>
      <c r="Q3758" t="str">
        <f>VLOOKUP(A3758,vlookup_table!$A:$G,5,FALSE)</f>
        <v>R3</v>
      </c>
      <c r="R3758" t="str">
        <f>VLOOKUP(A3758,vlookup_table!$A:$G,6,FALSE)</f>
        <v>F</v>
      </c>
      <c r="S3758">
        <f>VLOOKUP(A3758,vlookup_table!$A:$G,7,FALSE)</f>
        <v>10</v>
      </c>
      <c r="T3758">
        <f t="shared" si="116"/>
        <v>96</v>
      </c>
      <c r="U3758" t="str">
        <f t="shared" si="117"/>
        <v>Rural</v>
      </c>
    </row>
    <row r="3759" spans="1:21" ht="16" x14ac:dyDescent="0.4">
      <c r="A3759" s="9">
        <v>149117</v>
      </c>
      <c r="B3759" s="8" t="s">
        <v>21</v>
      </c>
      <c r="C3759" s="8" t="s">
        <v>17</v>
      </c>
      <c r="D3759" s="8">
        <v>2549</v>
      </c>
      <c r="E3759" s="8">
        <v>610</v>
      </c>
      <c r="F3759" s="8">
        <v>621</v>
      </c>
      <c r="G3759" s="8">
        <v>92</v>
      </c>
      <c r="H3759" s="8">
        <v>19524</v>
      </c>
      <c r="I3759" s="8">
        <v>11</v>
      </c>
      <c r="J3759" s="8">
        <v>51</v>
      </c>
      <c r="K3759" s="8">
        <v>616</v>
      </c>
      <c r="L3759" s="8">
        <v>590</v>
      </c>
      <c r="M3759" s="8">
        <v>15</v>
      </c>
      <c r="N3759">
        <f>VLOOKUP(A3759,vlookup_table!$A:$G,2,FALSE)</f>
        <v>0</v>
      </c>
      <c r="O3759" t="str">
        <f>VLOOKUP(A3759,vlookup_table!$A:$G,3,FALSE)</f>
        <v>CA</v>
      </c>
      <c r="P3759">
        <f>VLOOKUP(A3759,vlookup_table!$A:$G,4,FALSE)</f>
        <v>0</v>
      </c>
      <c r="Q3759" t="str">
        <f>VLOOKUP(A3759,vlookup_table!$A:$G,5,FALSE)</f>
        <v>C2</v>
      </c>
      <c r="R3759" t="str">
        <f>VLOOKUP(A3759,vlookup_table!$A:$G,6,FALSE)</f>
        <v>F</v>
      </c>
      <c r="S3759">
        <f>VLOOKUP(A3759,vlookup_table!$A:$G,7,FALSE)</f>
        <v>30</v>
      </c>
      <c r="T3759">
        <f t="shared" si="116"/>
        <v>96</v>
      </c>
      <c r="U3759" t="str">
        <f t="shared" si="117"/>
        <v>Ciudad</v>
      </c>
    </row>
    <row r="3760" spans="1:21" ht="16" x14ac:dyDescent="0.4">
      <c r="A3760" s="9">
        <v>47810</v>
      </c>
      <c r="B3760" s="8" t="s">
        <v>40</v>
      </c>
      <c r="C3760" s="8" t="s">
        <v>17</v>
      </c>
      <c r="D3760" s="8">
        <v>465</v>
      </c>
      <c r="E3760" s="8">
        <v>271</v>
      </c>
      <c r="F3760" s="8">
        <v>336</v>
      </c>
      <c r="G3760" s="8">
        <v>0</v>
      </c>
      <c r="H3760" s="8">
        <v>9970</v>
      </c>
      <c r="I3760" s="8">
        <v>1</v>
      </c>
      <c r="J3760" s="8">
        <v>79</v>
      </c>
      <c r="K3760" s="8">
        <v>313</v>
      </c>
      <c r="L3760" s="8">
        <v>312</v>
      </c>
      <c r="M3760" s="8">
        <v>4.5</v>
      </c>
      <c r="N3760">
        <f>VLOOKUP(A3760,vlookup_table!$A:$G,2,FALSE)</f>
        <v>0</v>
      </c>
      <c r="O3760" t="str">
        <f>VLOOKUP(A3760,vlookup_table!$A:$G,3,FALSE)</f>
        <v>AL</v>
      </c>
      <c r="P3760">
        <f>VLOOKUP(A3760,vlookup_table!$A:$G,4,FALSE)</f>
        <v>0</v>
      </c>
      <c r="Q3760" t="str">
        <f>VLOOKUP(A3760,vlookup_table!$A:$G,5,FALSE)</f>
        <v>R2</v>
      </c>
      <c r="R3760" t="str">
        <f>VLOOKUP(A3760,vlookup_table!$A:$G,6,FALSE)</f>
        <v>F</v>
      </c>
      <c r="S3760">
        <f>VLOOKUP(A3760,vlookup_table!$A:$G,7,FALSE)</f>
        <v>7</v>
      </c>
      <c r="T3760">
        <f t="shared" si="116"/>
        <v>96</v>
      </c>
      <c r="U3760" t="str">
        <f t="shared" si="117"/>
        <v>Rural</v>
      </c>
    </row>
    <row r="3761" spans="1:21" ht="16" x14ac:dyDescent="0.4">
      <c r="A3761" s="9">
        <v>112301</v>
      </c>
      <c r="B3761" s="8" t="s">
        <v>20</v>
      </c>
      <c r="C3761" s="8"/>
      <c r="D3761" s="8">
        <v>435</v>
      </c>
      <c r="E3761" s="8">
        <v>314</v>
      </c>
      <c r="F3761" s="8">
        <v>431</v>
      </c>
      <c r="G3761" s="8">
        <v>0</v>
      </c>
      <c r="H3761" s="8">
        <v>13352</v>
      </c>
      <c r="I3761" s="8">
        <v>2</v>
      </c>
      <c r="J3761" s="8">
        <v>72</v>
      </c>
      <c r="K3761" s="8">
        <v>357</v>
      </c>
      <c r="L3761" s="8">
        <v>378</v>
      </c>
      <c r="M3761" s="8">
        <v>7.4</v>
      </c>
      <c r="N3761">
        <f>VLOOKUP(A3761,vlookup_table!$A:$G,2,FALSE)</f>
        <v>0</v>
      </c>
      <c r="O3761" t="str">
        <f>VLOOKUP(A3761,vlookup_table!$A:$G,3,FALSE)</f>
        <v>TX</v>
      </c>
      <c r="P3761">
        <f>VLOOKUP(A3761,vlookup_table!$A:$G,4,FALSE)</f>
        <v>0</v>
      </c>
      <c r="Q3761" t="str">
        <f>VLOOKUP(A3761,vlookup_table!$A:$G,5,FALSE)</f>
        <v>R3</v>
      </c>
      <c r="R3761" t="str">
        <f>VLOOKUP(A3761,vlookup_table!$A:$G,6,FALSE)</f>
        <v/>
      </c>
      <c r="S3761">
        <f>VLOOKUP(A3761,vlookup_table!$A:$G,7,FALSE)</f>
        <v>10</v>
      </c>
      <c r="T3761">
        <f t="shared" si="116"/>
        <v>96</v>
      </c>
      <c r="U3761" t="str">
        <f t="shared" si="117"/>
        <v>Rural</v>
      </c>
    </row>
    <row r="3762" spans="1:21" ht="16" x14ac:dyDescent="0.4">
      <c r="A3762" s="9">
        <v>100218</v>
      </c>
      <c r="B3762" s="8" t="s">
        <v>33</v>
      </c>
      <c r="C3762" s="8" t="s">
        <v>17</v>
      </c>
      <c r="D3762" s="8">
        <v>665</v>
      </c>
      <c r="E3762" s="8">
        <v>224</v>
      </c>
      <c r="F3762" s="8">
        <v>323</v>
      </c>
      <c r="G3762" s="8">
        <v>0</v>
      </c>
      <c r="H3762" s="8">
        <v>12187</v>
      </c>
      <c r="I3762" s="8">
        <v>1</v>
      </c>
      <c r="J3762" s="8">
        <v>90</v>
      </c>
      <c r="K3762" s="8">
        <v>246</v>
      </c>
      <c r="L3762" s="8">
        <v>276</v>
      </c>
      <c r="M3762" s="8">
        <v>5.4666666670000001</v>
      </c>
      <c r="N3762">
        <f>VLOOKUP(A3762,vlookup_table!$A:$G,2,FALSE)</f>
        <v>2</v>
      </c>
      <c r="O3762" t="str">
        <f>VLOOKUP(A3762,vlookup_table!$A:$G,3,FALSE)</f>
        <v>MO</v>
      </c>
      <c r="P3762">
        <f>VLOOKUP(A3762,vlookup_table!$A:$G,4,FALSE)</f>
        <v>1701</v>
      </c>
      <c r="Q3762" t="str">
        <f>VLOOKUP(A3762,vlookup_table!$A:$G,5,FALSE)</f>
        <v>U3</v>
      </c>
      <c r="R3762" t="str">
        <f>VLOOKUP(A3762,vlookup_table!$A:$G,6,FALSE)</f>
        <v>F</v>
      </c>
      <c r="S3762">
        <f>VLOOKUP(A3762,vlookup_table!$A:$G,7,FALSE)</f>
        <v>8</v>
      </c>
      <c r="T3762">
        <f t="shared" si="116"/>
        <v>79</v>
      </c>
      <c r="U3762" t="str">
        <f t="shared" si="117"/>
        <v>Urbano</v>
      </c>
    </row>
    <row r="3763" spans="1:21" ht="16" x14ac:dyDescent="0.4">
      <c r="A3763" s="9">
        <v>14154</v>
      </c>
      <c r="B3763" s="8" t="s">
        <v>40</v>
      </c>
      <c r="C3763" s="8" t="s">
        <v>17</v>
      </c>
      <c r="D3763" s="8">
        <v>801</v>
      </c>
      <c r="E3763" s="8">
        <v>393</v>
      </c>
      <c r="F3763" s="8">
        <v>473</v>
      </c>
      <c r="G3763" s="8">
        <v>0</v>
      </c>
      <c r="H3763" s="8">
        <v>16846</v>
      </c>
      <c r="I3763" s="8">
        <v>0</v>
      </c>
      <c r="J3763" s="8">
        <v>42</v>
      </c>
      <c r="K3763" s="8">
        <v>488</v>
      </c>
      <c r="L3763" s="8">
        <v>409</v>
      </c>
      <c r="M3763" s="8">
        <v>16.5</v>
      </c>
      <c r="N3763">
        <f>VLOOKUP(A3763,vlookup_table!$A:$G,2,FALSE)</f>
        <v>0</v>
      </c>
      <c r="O3763" t="str">
        <f>VLOOKUP(A3763,vlookup_table!$A:$G,3,FALSE)</f>
        <v>AL</v>
      </c>
      <c r="P3763">
        <f>VLOOKUP(A3763,vlookup_table!$A:$G,4,FALSE)</f>
        <v>2201</v>
      </c>
      <c r="Q3763" t="str">
        <f>VLOOKUP(A3763,vlookup_table!$A:$G,5,FALSE)</f>
        <v>T1</v>
      </c>
      <c r="R3763" t="str">
        <f>VLOOKUP(A3763,vlookup_table!$A:$G,6,FALSE)</f>
        <v>F</v>
      </c>
      <c r="S3763">
        <f>VLOOKUP(A3763,vlookup_table!$A:$G,7,FALSE)</f>
        <v>15</v>
      </c>
      <c r="T3763">
        <f t="shared" si="116"/>
        <v>74</v>
      </c>
      <c r="U3763" t="str">
        <f t="shared" si="117"/>
        <v>Pueblo</v>
      </c>
    </row>
    <row r="3764" spans="1:21" ht="16" x14ac:dyDescent="0.4">
      <c r="A3764" s="9">
        <v>16014</v>
      </c>
      <c r="B3764" s="8" t="s">
        <v>18</v>
      </c>
      <c r="C3764" s="8" t="s">
        <v>14</v>
      </c>
      <c r="D3764" s="8">
        <v>628</v>
      </c>
      <c r="E3764" s="8">
        <v>322</v>
      </c>
      <c r="F3764" s="8">
        <v>399</v>
      </c>
      <c r="G3764" s="8">
        <v>1</v>
      </c>
      <c r="H3764" s="8">
        <v>13033</v>
      </c>
      <c r="I3764" s="8">
        <v>0</v>
      </c>
      <c r="J3764" s="8">
        <v>85</v>
      </c>
      <c r="K3764" s="8">
        <v>363</v>
      </c>
      <c r="L3764" s="8">
        <v>362</v>
      </c>
      <c r="M3764" s="8">
        <v>10.53846154</v>
      </c>
      <c r="N3764">
        <f>VLOOKUP(A3764,vlookup_table!$A:$G,2,FALSE)</f>
        <v>1</v>
      </c>
      <c r="O3764" t="str">
        <f>VLOOKUP(A3764,vlookup_table!$A:$G,3,FALSE)</f>
        <v>NC</v>
      </c>
      <c r="P3764">
        <f>VLOOKUP(A3764,vlookup_table!$A:$G,4,FALSE)</f>
        <v>0</v>
      </c>
      <c r="Q3764" t="str">
        <f>VLOOKUP(A3764,vlookup_table!$A:$G,5,FALSE)</f>
        <v>T2</v>
      </c>
      <c r="R3764" t="str">
        <f>VLOOKUP(A3764,vlookup_table!$A:$G,6,FALSE)</f>
        <v>M</v>
      </c>
      <c r="S3764">
        <f>VLOOKUP(A3764,vlookup_table!$A:$G,7,FALSE)</f>
        <v>10</v>
      </c>
      <c r="T3764">
        <f t="shared" si="116"/>
        <v>96</v>
      </c>
      <c r="U3764" t="str">
        <f t="shared" si="117"/>
        <v>Pueblo</v>
      </c>
    </row>
    <row r="3765" spans="1:21" ht="16" x14ac:dyDescent="0.4">
      <c r="A3765" s="9">
        <v>140723</v>
      </c>
      <c r="B3765" s="8" t="s">
        <v>20</v>
      </c>
      <c r="C3765" s="8" t="s">
        <v>14</v>
      </c>
      <c r="D3765" s="8">
        <v>729</v>
      </c>
      <c r="E3765" s="8">
        <v>402</v>
      </c>
      <c r="F3765" s="8">
        <v>500</v>
      </c>
      <c r="G3765" s="8">
        <v>0</v>
      </c>
      <c r="H3765" s="8">
        <v>18754</v>
      </c>
      <c r="I3765" s="8">
        <v>2</v>
      </c>
      <c r="J3765" s="8">
        <v>43</v>
      </c>
      <c r="K3765" s="8">
        <v>434</v>
      </c>
      <c r="L3765" s="8">
        <v>442</v>
      </c>
      <c r="M3765" s="8">
        <v>17.666666670000001</v>
      </c>
      <c r="N3765">
        <f>VLOOKUP(A3765,vlookup_table!$A:$G,2,FALSE)</f>
        <v>1</v>
      </c>
      <c r="O3765" t="str">
        <f>VLOOKUP(A3765,vlookup_table!$A:$G,3,FALSE)</f>
        <v>TX</v>
      </c>
      <c r="P3765">
        <f>VLOOKUP(A3765,vlookup_table!$A:$G,4,FALSE)</f>
        <v>2009</v>
      </c>
      <c r="Q3765" t="str">
        <f>VLOOKUP(A3765,vlookup_table!$A:$G,5,FALSE)</f>
        <v>C1</v>
      </c>
      <c r="R3765" t="str">
        <f>VLOOKUP(A3765,vlookup_table!$A:$G,6,FALSE)</f>
        <v>M</v>
      </c>
      <c r="S3765">
        <f>VLOOKUP(A3765,vlookup_table!$A:$G,7,FALSE)</f>
        <v>40</v>
      </c>
      <c r="T3765">
        <f t="shared" si="116"/>
        <v>76</v>
      </c>
      <c r="U3765" t="str">
        <f t="shared" si="117"/>
        <v>Ciudad</v>
      </c>
    </row>
    <row r="3766" spans="1:21" ht="16" x14ac:dyDescent="0.4">
      <c r="A3766" s="9">
        <v>169346</v>
      </c>
      <c r="B3766" s="8" t="s">
        <v>21</v>
      </c>
      <c r="C3766" s="8" t="s">
        <v>17</v>
      </c>
      <c r="D3766" s="8">
        <v>818</v>
      </c>
      <c r="E3766" s="8">
        <v>156</v>
      </c>
      <c r="F3766" s="8">
        <v>192</v>
      </c>
      <c r="G3766" s="8">
        <v>1</v>
      </c>
      <c r="H3766" s="8">
        <v>5422</v>
      </c>
      <c r="I3766" s="8">
        <v>16</v>
      </c>
      <c r="J3766" s="8">
        <v>65</v>
      </c>
      <c r="K3766" s="8">
        <v>155</v>
      </c>
      <c r="L3766" s="8">
        <v>195</v>
      </c>
      <c r="M3766" s="8">
        <v>7.6428571429999996</v>
      </c>
      <c r="N3766">
        <f>VLOOKUP(A3766,vlookup_table!$A:$G,2,FALSE)</f>
        <v>0</v>
      </c>
      <c r="O3766" t="str">
        <f>VLOOKUP(A3766,vlookup_table!$A:$G,3,FALSE)</f>
        <v>CA</v>
      </c>
      <c r="P3766">
        <f>VLOOKUP(A3766,vlookup_table!$A:$G,4,FALSE)</f>
        <v>5101</v>
      </c>
      <c r="Q3766" t="str">
        <f>VLOOKUP(A3766,vlookup_table!$A:$G,5,FALSE)</f>
        <v>C3</v>
      </c>
      <c r="R3766" t="str">
        <f>VLOOKUP(A3766,vlookup_table!$A:$G,6,FALSE)</f>
        <v>F</v>
      </c>
      <c r="S3766">
        <f>VLOOKUP(A3766,vlookup_table!$A:$G,7,FALSE)</f>
        <v>10</v>
      </c>
      <c r="T3766">
        <f t="shared" si="116"/>
        <v>45</v>
      </c>
      <c r="U3766" t="str">
        <f t="shared" si="117"/>
        <v>Ciudad</v>
      </c>
    </row>
    <row r="3767" spans="1:21" ht="16" x14ac:dyDescent="0.4">
      <c r="A3767" s="9">
        <v>61536</v>
      </c>
      <c r="B3767" s="8" t="s">
        <v>30</v>
      </c>
      <c r="C3767" s="8" t="s">
        <v>14</v>
      </c>
      <c r="D3767" s="8">
        <v>561</v>
      </c>
      <c r="E3767" s="8">
        <v>363</v>
      </c>
      <c r="F3767" s="8">
        <v>422</v>
      </c>
      <c r="G3767" s="8">
        <v>0</v>
      </c>
      <c r="H3767" s="8">
        <v>15208</v>
      </c>
      <c r="I3767" s="8">
        <v>4</v>
      </c>
      <c r="J3767" s="8">
        <v>73</v>
      </c>
      <c r="K3767" s="8">
        <v>376</v>
      </c>
      <c r="L3767" s="8">
        <v>386</v>
      </c>
      <c r="M3767" s="8">
        <v>12.5</v>
      </c>
      <c r="N3767">
        <f>VLOOKUP(A3767,vlookup_table!$A:$G,2,FALSE)</f>
        <v>0</v>
      </c>
      <c r="O3767" t="str">
        <f>VLOOKUP(A3767,vlookup_table!$A:$G,3,FALSE)</f>
        <v>IN</v>
      </c>
      <c r="P3767">
        <f>VLOOKUP(A3767,vlookup_table!$A:$G,4,FALSE)</f>
        <v>0</v>
      </c>
      <c r="Q3767" t="str">
        <f>VLOOKUP(A3767,vlookup_table!$A:$G,5,FALSE)</f>
        <v>C3</v>
      </c>
      <c r="R3767" t="str">
        <f>VLOOKUP(A3767,vlookup_table!$A:$G,6,FALSE)</f>
        <v>M</v>
      </c>
      <c r="S3767">
        <f>VLOOKUP(A3767,vlookup_table!$A:$G,7,FALSE)</f>
        <v>25</v>
      </c>
      <c r="T3767">
        <f t="shared" si="116"/>
        <v>96</v>
      </c>
      <c r="U3767" t="str">
        <f t="shared" si="117"/>
        <v>Ciudad</v>
      </c>
    </row>
    <row r="3768" spans="1:21" ht="16" x14ac:dyDescent="0.4">
      <c r="A3768" s="9">
        <v>154544</v>
      </c>
      <c r="B3768" s="8" t="s">
        <v>21</v>
      </c>
      <c r="C3768" s="8" t="s">
        <v>17</v>
      </c>
      <c r="D3768" s="8">
        <v>653</v>
      </c>
      <c r="E3768" s="8">
        <v>194</v>
      </c>
      <c r="F3768" s="8">
        <v>292</v>
      </c>
      <c r="G3768" s="8">
        <v>2</v>
      </c>
      <c r="H3768" s="8">
        <v>12177</v>
      </c>
      <c r="I3768" s="8">
        <v>5</v>
      </c>
      <c r="J3768" s="8">
        <v>35</v>
      </c>
      <c r="K3768" s="8">
        <v>218</v>
      </c>
      <c r="L3768" s="8">
        <v>252</v>
      </c>
      <c r="M3768" s="8">
        <v>7.9356666669999996</v>
      </c>
      <c r="N3768">
        <f>VLOOKUP(A3768,vlookup_table!$A:$G,2,FALSE)</f>
        <v>2</v>
      </c>
      <c r="O3768" t="str">
        <f>VLOOKUP(A3768,vlookup_table!$A:$G,3,FALSE)</f>
        <v>CA</v>
      </c>
      <c r="P3768">
        <f>VLOOKUP(A3768,vlookup_table!$A:$G,4,FALSE)</f>
        <v>5304</v>
      </c>
      <c r="Q3768" t="str">
        <f>VLOOKUP(A3768,vlookup_table!$A:$G,5,FALSE)</f>
        <v>T2</v>
      </c>
      <c r="R3768" t="str">
        <f>VLOOKUP(A3768,vlookup_table!$A:$G,6,FALSE)</f>
        <v>F</v>
      </c>
      <c r="S3768">
        <f>VLOOKUP(A3768,vlookup_table!$A:$G,7,FALSE)</f>
        <v>20</v>
      </c>
      <c r="T3768">
        <f t="shared" si="116"/>
        <v>43</v>
      </c>
      <c r="U3768" t="str">
        <f t="shared" si="117"/>
        <v>Pueblo</v>
      </c>
    </row>
    <row r="3769" spans="1:21" ht="16" x14ac:dyDescent="0.4">
      <c r="A3769" s="9">
        <v>185149</v>
      </c>
      <c r="B3769" s="8" t="s">
        <v>16</v>
      </c>
      <c r="C3769" s="8" t="s">
        <v>14</v>
      </c>
      <c r="D3769" s="8">
        <v>396</v>
      </c>
      <c r="E3769" s="8">
        <v>280</v>
      </c>
      <c r="F3769" s="8">
        <v>368</v>
      </c>
      <c r="G3769" s="8">
        <v>0</v>
      </c>
      <c r="H3769" s="8">
        <v>12044</v>
      </c>
      <c r="I3769" s="8">
        <v>1</v>
      </c>
      <c r="J3769" s="8">
        <v>78</v>
      </c>
      <c r="K3769" s="8">
        <v>318</v>
      </c>
      <c r="L3769" s="8">
        <v>335</v>
      </c>
      <c r="M3769" s="8">
        <v>8.6470588240000001</v>
      </c>
      <c r="N3769">
        <f>VLOOKUP(A3769,vlookup_table!$A:$G,2,FALSE)</f>
        <v>2</v>
      </c>
      <c r="O3769" t="str">
        <f>VLOOKUP(A3769,vlookup_table!$A:$G,3,FALSE)</f>
        <v>IL</v>
      </c>
      <c r="P3769">
        <f>VLOOKUP(A3769,vlookup_table!$A:$G,4,FALSE)</f>
        <v>2103</v>
      </c>
      <c r="Q3769" t="str">
        <f>VLOOKUP(A3769,vlookup_table!$A:$G,5,FALSE)</f>
        <v>T3</v>
      </c>
      <c r="R3769" t="str">
        <f>VLOOKUP(A3769,vlookup_table!$A:$G,6,FALSE)</f>
        <v>M</v>
      </c>
      <c r="S3769">
        <f>VLOOKUP(A3769,vlookup_table!$A:$G,7,FALSE)</f>
        <v>5</v>
      </c>
      <c r="T3769">
        <f t="shared" si="116"/>
        <v>75</v>
      </c>
      <c r="U3769" t="str">
        <f t="shared" si="117"/>
        <v>Pueblo</v>
      </c>
    </row>
    <row r="3770" spans="1:21" ht="16" x14ac:dyDescent="0.4">
      <c r="A3770" s="9">
        <v>186251</v>
      </c>
      <c r="B3770" s="8" t="s">
        <v>21</v>
      </c>
      <c r="C3770" s="8" t="s">
        <v>17</v>
      </c>
      <c r="D3770" s="8">
        <v>3836</v>
      </c>
      <c r="E3770" s="8">
        <v>491</v>
      </c>
      <c r="F3770" s="8">
        <v>706</v>
      </c>
      <c r="G3770" s="8">
        <v>95</v>
      </c>
      <c r="H3770" s="8">
        <v>32838</v>
      </c>
      <c r="I3770" s="8">
        <v>4</v>
      </c>
      <c r="J3770" s="8">
        <v>41</v>
      </c>
      <c r="K3770" s="8">
        <v>616</v>
      </c>
      <c r="L3770" s="8">
        <v>579</v>
      </c>
      <c r="M3770" s="8">
        <v>13.06666667</v>
      </c>
      <c r="N3770">
        <f>VLOOKUP(A3770,vlookup_table!$A:$G,2,FALSE)</f>
        <v>0</v>
      </c>
      <c r="O3770" t="str">
        <f>VLOOKUP(A3770,vlookup_table!$A:$G,3,FALSE)</f>
        <v>CA</v>
      </c>
      <c r="P3770">
        <f>VLOOKUP(A3770,vlookup_table!$A:$G,4,FALSE)</f>
        <v>1002</v>
      </c>
      <c r="Q3770" t="str">
        <f>VLOOKUP(A3770,vlookup_table!$A:$G,5,FALSE)</f>
        <v>U1</v>
      </c>
      <c r="R3770" t="str">
        <f>VLOOKUP(A3770,vlookup_table!$A:$G,6,FALSE)</f>
        <v>F</v>
      </c>
      <c r="S3770">
        <f>VLOOKUP(A3770,vlookup_table!$A:$G,7,FALSE)</f>
        <v>17</v>
      </c>
      <c r="T3770">
        <f t="shared" si="116"/>
        <v>86</v>
      </c>
      <c r="U3770" t="str">
        <f t="shared" si="117"/>
        <v>Urbano</v>
      </c>
    </row>
    <row r="3771" spans="1:21" ht="16" x14ac:dyDescent="0.4">
      <c r="A3771" s="9">
        <v>44582</v>
      </c>
      <c r="B3771" s="8" t="s">
        <v>13</v>
      </c>
      <c r="C3771" s="8" t="s">
        <v>14</v>
      </c>
      <c r="D3771" s="8">
        <v>427</v>
      </c>
      <c r="E3771" s="8">
        <v>162</v>
      </c>
      <c r="F3771" s="8">
        <v>215</v>
      </c>
      <c r="G3771" s="8">
        <v>0</v>
      </c>
      <c r="H3771" s="8">
        <v>10083</v>
      </c>
      <c r="I3771" s="8">
        <v>7</v>
      </c>
      <c r="J3771" s="8">
        <v>8</v>
      </c>
      <c r="K3771" s="8">
        <v>194</v>
      </c>
      <c r="L3771" s="8">
        <v>168</v>
      </c>
      <c r="M3771" s="8">
        <v>3.3571428569999999</v>
      </c>
      <c r="N3771">
        <f>VLOOKUP(A3771,vlookup_table!$A:$G,2,FALSE)</f>
        <v>1</v>
      </c>
      <c r="O3771" t="str">
        <f>VLOOKUP(A3771,vlookup_table!$A:$G,3,FALSE)</f>
        <v>FL</v>
      </c>
      <c r="P3771">
        <f>VLOOKUP(A3771,vlookup_table!$A:$G,4,FALSE)</f>
        <v>1901</v>
      </c>
      <c r="Q3771" t="str">
        <f>VLOOKUP(A3771,vlookup_table!$A:$G,5,FALSE)</f>
        <v>T3</v>
      </c>
      <c r="R3771" t="str">
        <f>VLOOKUP(A3771,vlookup_table!$A:$G,6,FALSE)</f>
        <v>M</v>
      </c>
      <c r="S3771">
        <f>VLOOKUP(A3771,vlookup_table!$A:$G,7,FALSE)</f>
        <v>5</v>
      </c>
      <c r="T3771">
        <f t="shared" si="116"/>
        <v>77</v>
      </c>
      <c r="U3771" t="str">
        <f t="shared" si="117"/>
        <v>Pueblo</v>
      </c>
    </row>
    <row r="3772" spans="1:21" ht="16" x14ac:dyDescent="0.4">
      <c r="A3772" s="9">
        <v>177516</v>
      </c>
      <c r="B3772" s="8" t="s">
        <v>47</v>
      </c>
      <c r="C3772" s="8" t="s">
        <v>14</v>
      </c>
      <c r="D3772" s="8">
        <v>718</v>
      </c>
      <c r="E3772" s="8">
        <v>193</v>
      </c>
      <c r="F3772" s="8">
        <v>311</v>
      </c>
      <c r="G3772" s="8">
        <v>1</v>
      </c>
      <c r="H3772" s="8">
        <v>11481</v>
      </c>
      <c r="I3772" s="8">
        <v>3</v>
      </c>
      <c r="J3772" s="8">
        <v>36</v>
      </c>
      <c r="K3772" s="8">
        <v>243</v>
      </c>
      <c r="L3772" s="8">
        <v>274</v>
      </c>
      <c r="M3772" s="8">
        <v>13.42857143</v>
      </c>
      <c r="N3772">
        <f>VLOOKUP(A3772,vlookup_table!$A:$G,2,FALSE)</f>
        <v>1</v>
      </c>
      <c r="O3772" t="str">
        <f>VLOOKUP(A3772,vlookup_table!$A:$G,3,FALSE)</f>
        <v>OR</v>
      </c>
      <c r="P3772">
        <f>VLOOKUP(A3772,vlookup_table!$A:$G,4,FALSE)</f>
        <v>2102</v>
      </c>
      <c r="Q3772" t="str">
        <f>VLOOKUP(A3772,vlookup_table!$A:$G,5,FALSE)</f>
        <v>R2</v>
      </c>
      <c r="R3772" t="str">
        <f>VLOOKUP(A3772,vlookup_table!$A:$G,6,FALSE)</f>
        <v>M</v>
      </c>
      <c r="S3772">
        <f>VLOOKUP(A3772,vlookup_table!$A:$G,7,FALSE)</f>
        <v>37</v>
      </c>
      <c r="T3772">
        <f t="shared" si="116"/>
        <v>75</v>
      </c>
      <c r="U3772" t="str">
        <f t="shared" si="117"/>
        <v>Rural</v>
      </c>
    </row>
    <row r="3773" spans="1:21" ht="16" x14ac:dyDescent="0.4">
      <c r="A3773" s="9">
        <v>107693</v>
      </c>
      <c r="B3773" s="8" t="s">
        <v>55</v>
      </c>
      <c r="C3773" s="8" t="s">
        <v>17</v>
      </c>
      <c r="D3773" s="8">
        <v>259</v>
      </c>
      <c r="E3773" s="8">
        <v>265</v>
      </c>
      <c r="F3773" s="8">
        <v>349</v>
      </c>
      <c r="G3773" s="8">
        <v>0</v>
      </c>
      <c r="H3773" s="8">
        <v>11187</v>
      </c>
      <c r="I3773" s="8">
        <v>0</v>
      </c>
      <c r="J3773" s="8">
        <v>85</v>
      </c>
      <c r="K3773" s="8">
        <v>311</v>
      </c>
      <c r="L3773" s="8">
        <v>316</v>
      </c>
      <c r="M3773" s="8">
        <v>7.346153846</v>
      </c>
      <c r="N3773">
        <f>VLOOKUP(A3773,vlookup_table!$A:$G,2,FALSE)</f>
        <v>0</v>
      </c>
      <c r="O3773" t="str">
        <f>VLOOKUP(A3773,vlookup_table!$A:$G,3,FALSE)</f>
        <v>NE</v>
      </c>
      <c r="P3773">
        <f>VLOOKUP(A3773,vlookup_table!$A:$G,4,FALSE)</f>
        <v>4401</v>
      </c>
      <c r="Q3773" t="str">
        <f>VLOOKUP(A3773,vlookup_table!$A:$G,5,FALSE)</f>
        <v>R2</v>
      </c>
      <c r="R3773" t="str">
        <f>VLOOKUP(A3773,vlookup_table!$A:$G,6,FALSE)</f>
        <v>F</v>
      </c>
      <c r="S3773">
        <f>VLOOKUP(A3773,vlookup_table!$A:$G,7,FALSE)</f>
        <v>10</v>
      </c>
      <c r="T3773">
        <f t="shared" si="116"/>
        <v>52</v>
      </c>
      <c r="U3773" t="str">
        <f t="shared" si="117"/>
        <v>Rural</v>
      </c>
    </row>
    <row r="3774" spans="1:21" ht="16" x14ac:dyDescent="0.4">
      <c r="A3774" s="9">
        <v>33512</v>
      </c>
      <c r="B3774" s="8" t="s">
        <v>13</v>
      </c>
      <c r="C3774" s="8" t="s">
        <v>17</v>
      </c>
      <c r="D3774" s="8">
        <v>397</v>
      </c>
      <c r="E3774" s="8">
        <v>138</v>
      </c>
      <c r="F3774" s="8">
        <v>245</v>
      </c>
      <c r="G3774" s="8">
        <v>1</v>
      </c>
      <c r="H3774" s="8">
        <v>7456</v>
      </c>
      <c r="I3774" s="8">
        <v>1</v>
      </c>
      <c r="J3774" s="8">
        <v>71</v>
      </c>
      <c r="K3774" s="8">
        <v>168</v>
      </c>
      <c r="L3774" s="8">
        <v>216</v>
      </c>
      <c r="M3774" s="8">
        <v>13</v>
      </c>
      <c r="N3774">
        <f>VLOOKUP(A3774,vlookup_table!$A:$G,2,FALSE)</f>
        <v>0</v>
      </c>
      <c r="O3774" t="str">
        <f>VLOOKUP(A3774,vlookup_table!$A:$G,3,FALSE)</f>
        <v>FL</v>
      </c>
      <c r="P3774">
        <f>VLOOKUP(A3774,vlookup_table!$A:$G,4,FALSE)</f>
        <v>3401</v>
      </c>
      <c r="Q3774" t="str">
        <f>VLOOKUP(A3774,vlookup_table!$A:$G,5,FALSE)</f>
        <v>R3</v>
      </c>
      <c r="R3774" t="str">
        <f>VLOOKUP(A3774,vlookup_table!$A:$G,6,FALSE)</f>
        <v>F</v>
      </c>
      <c r="S3774">
        <f>VLOOKUP(A3774,vlookup_table!$A:$G,7,FALSE)</f>
        <v>19</v>
      </c>
      <c r="T3774">
        <f t="shared" si="116"/>
        <v>62</v>
      </c>
      <c r="U3774" t="str">
        <f t="shared" si="117"/>
        <v>Rural</v>
      </c>
    </row>
    <row r="3775" spans="1:21" ht="16" x14ac:dyDescent="0.4">
      <c r="A3775" s="9">
        <v>105431</v>
      </c>
      <c r="B3775" s="8" t="s">
        <v>25</v>
      </c>
      <c r="C3775" s="8" t="s">
        <v>14</v>
      </c>
      <c r="D3775" s="8">
        <v>332</v>
      </c>
      <c r="E3775" s="8">
        <v>218</v>
      </c>
      <c r="F3775" s="8">
        <v>330</v>
      </c>
      <c r="G3775" s="8">
        <v>0</v>
      </c>
      <c r="H3775" s="8">
        <v>11739</v>
      </c>
      <c r="I3775" s="8">
        <v>1</v>
      </c>
      <c r="J3775" s="8">
        <v>81</v>
      </c>
      <c r="K3775" s="8">
        <v>278</v>
      </c>
      <c r="L3775" s="8">
        <v>269</v>
      </c>
      <c r="M3775" s="8">
        <v>11.4</v>
      </c>
      <c r="N3775">
        <f>VLOOKUP(A3775,vlookup_table!$A:$G,2,FALSE)</f>
        <v>1</v>
      </c>
      <c r="O3775" t="str">
        <f>VLOOKUP(A3775,vlookup_table!$A:$G,3,FALSE)</f>
        <v>KS</v>
      </c>
      <c r="P3775">
        <f>VLOOKUP(A3775,vlookup_table!$A:$G,4,FALSE)</f>
        <v>4301</v>
      </c>
      <c r="Q3775" t="str">
        <f>VLOOKUP(A3775,vlookup_table!$A:$G,5,FALSE)</f>
        <v>R2</v>
      </c>
      <c r="R3775" t="str">
        <f>VLOOKUP(A3775,vlookup_table!$A:$G,6,FALSE)</f>
        <v>M</v>
      </c>
      <c r="S3775">
        <f>VLOOKUP(A3775,vlookup_table!$A:$G,7,FALSE)</f>
        <v>25</v>
      </c>
      <c r="T3775">
        <f t="shared" si="116"/>
        <v>53</v>
      </c>
      <c r="U3775" t="str">
        <f t="shared" si="117"/>
        <v>Rural</v>
      </c>
    </row>
    <row r="3776" spans="1:21" ht="16" x14ac:dyDescent="0.4">
      <c r="A3776" s="9">
        <v>188639</v>
      </c>
      <c r="B3776" s="8" t="s">
        <v>47</v>
      </c>
      <c r="C3776" s="8" t="s">
        <v>14</v>
      </c>
      <c r="D3776" s="8">
        <v>932</v>
      </c>
      <c r="E3776" s="8">
        <v>442</v>
      </c>
      <c r="F3776" s="8">
        <v>558</v>
      </c>
      <c r="G3776" s="8">
        <v>2</v>
      </c>
      <c r="H3776" s="8">
        <v>22287</v>
      </c>
      <c r="I3776" s="8">
        <v>4</v>
      </c>
      <c r="J3776" s="8">
        <v>43</v>
      </c>
      <c r="K3776" s="8">
        <v>506</v>
      </c>
      <c r="L3776" s="8">
        <v>519</v>
      </c>
      <c r="M3776" s="8">
        <v>18.266666669999999</v>
      </c>
      <c r="N3776">
        <f>VLOOKUP(A3776,vlookup_table!$A:$G,2,FALSE)</f>
        <v>1</v>
      </c>
      <c r="O3776" t="str">
        <f>VLOOKUP(A3776,vlookup_table!$A:$G,3,FALSE)</f>
        <v>OR</v>
      </c>
      <c r="P3776">
        <f>VLOOKUP(A3776,vlookup_table!$A:$G,4,FALSE)</f>
        <v>2401</v>
      </c>
      <c r="Q3776" t="str">
        <f>VLOOKUP(A3776,vlookup_table!$A:$G,5,FALSE)</f>
        <v>C1</v>
      </c>
      <c r="R3776" t="str">
        <f>VLOOKUP(A3776,vlookup_table!$A:$G,6,FALSE)</f>
        <v>M</v>
      </c>
      <c r="S3776">
        <f>VLOOKUP(A3776,vlookup_table!$A:$G,7,FALSE)</f>
        <v>24</v>
      </c>
      <c r="T3776">
        <f t="shared" si="116"/>
        <v>72</v>
      </c>
      <c r="U3776" t="str">
        <f t="shared" si="117"/>
        <v>Ciudad</v>
      </c>
    </row>
    <row r="3777" spans="1:21" ht="16" x14ac:dyDescent="0.4">
      <c r="A3777" s="9">
        <v>36472</v>
      </c>
      <c r="B3777" s="8" t="s">
        <v>13</v>
      </c>
      <c r="C3777" s="8" t="s">
        <v>17</v>
      </c>
      <c r="D3777" s="8">
        <v>2250</v>
      </c>
      <c r="E3777" s="8">
        <v>254</v>
      </c>
      <c r="F3777" s="8">
        <v>415</v>
      </c>
      <c r="G3777" s="8">
        <v>55</v>
      </c>
      <c r="H3777" s="8">
        <v>24752</v>
      </c>
      <c r="I3777" s="8">
        <v>28</v>
      </c>
      <c r="J3777" s="8">
        <v>1</v>
      </c>
      <c r="K3777" s="8">
        <v>319</v>
      </c>
      <c r="L3777" s="8">
        <v>333</v>
      </c>
      <c r="M3777" s="8">
        <v>7.1428571429999996</v>
      </c>
      <c r="N3777">
        <f>VLOOKUP(A3777,vlookup_table!$A:$G,2,FALSE)</f>
        <v>0</v>
      </c>
      <c r="O3777" t="str">
        <f>VLOOKUP(A3777,vlookup_table!$A:$G,3,FALSE)</f>
        <v>FL</v>
      </c>
      <c r="P3777">
        <f>VLOOKUP(A3777,vlookup_table!$A:$G,4,FALSE)</f>
        <v>4001</v>
      </c>
      <c r="Q3777" t="str">
        <f>VLOOKUP(A3777,vlookup_table!$A:$G,5,FALSE)</f>
        <v>C1</v>
      </c>
      <c r="R3777" t="str">
        <f>VLOOKUP(A3777,vlookup_table!$A:$G,6,FALSE)</f>
        <v>F</v>
      </c>
      <c r="S3777">
        <f>VLOOKUP(A3777,vlookup_table!$A:$G,7,FALSE)</f>
        <v>13</v>
      </c>
      <c r="T3777">
        <f t="shared" si="116"/>
        <v>56</v>
      </c>
      <c r="U3777" t="str">
        <f t="shared" si="117"/>
        <v>Ciudad</v>
      </c>
    </row>
    <row r="3778" spans="1:21" ht="16" x14ac:dyDescent="0.4">
      <c r="A3778" s="9">
        <v>166864</v>
      </c>
      <c r="B3778" s="8" t="s">
        <v>21</v>
      </c>
      <c r="C3778" s="8" t="s">
        <v>17</v>
      </c>
      <c r="D3778" s="8">
        <v>5222</v>
      </c>
      <c r="E3778" s="8">
        <v>799</v>
      </c>
      <c r="F3778" s="8">
        <v>966</v>
      </c>
      <c r="G3778" s="8">
        <v>98</v>
      </c>
      <c r="H3778" s="8">
        <v>40664</v>
      </c>
      <c r="I3778" s="8">
        <v>3</v>
      </c>
      <c r="J3778" s="8">
        <v>58</v>
      </c>
      <c r="K3778" s="8">
        <v>906</v>
      </c>
      <c r="L3778" s="8">
        <v>843</v>
      </c>
      <c r="M3778" s="8">
        <v>15</v>
      </c>
      <c r="N3778">
        <f>VLOOKUP(A3778,vlookup_table!$A:$G,2,FALSE)</f>
        <v>0</v>
      </c>
      <c r="O3778" t="str">
        <f>VLOOKUP(A3778,vlookup_table!$A:$G,3,FALSE)</f>
        <v>CA</v>
      </c>
      <c r="P3778">
        <f>VLOOKUP(A3778,vlookup_table!$A:$G,4,FALSE)</f>
        <v>2001</v>
      </c>
      <c r="Q3778" t="str">
        <f>VLOOKUP(A3778,vlookup_table!$A:$G,5,FALSE)</f>
        <v>S1</v>
      </c>
      <c r="R3778" t="str">
        <f>VLOOKUP(A3778,vlookup_table!$A:$G,6,FALSE)</f>
        <v>F</v>
      </c>
      <c r="S3778">
        <f>VLOOKUP(A3778,vlookup_table!$A:$G,7,FALSE)</f>
        <v>25</v>
      </c>
      <c r="T3778">
        <f t="shared" si="116"/>
        <v>76</v>
      </c>
      <c r="U3778" t="str">
        <f t="shared" si="117"/>
        <v>Suburbano</v>
      </c>
    </row>
    <row r="3779" spans="1:21" ht="16" x14ac:dyDescent="0.4">
      <c r="A3779" s="9">
        <v>176680</v>
      </c>
      <c r="B3779" s="8" t="s">
        <v>47</v>
      </c>
      <c r="C3779" s="8" t="s">
        <v>17</v>
      </c>
      <c r="D3779" s="8">
        <v>834</v>
      </c>
      <c r="E3779" s="8">
        <v>222</v>
      </c>
      <c r="F3779" s="8">
        <v>448</v>
      </c>
      <c r="G3779" s="8">
        <v>5</v>
      </c>
      <c r="H3779" s="8">
        <v>15044</v>
      </c>
      <c r="I3779" s="8">
        <v>5</v>
      </c>
      <c r="J3779" s="8">
        <v>39</v>
      </c>
      <c r="K3779" s="8">
        <v>377</v>
      </c>
      <c r="L3779" s="8">
        <v>306</v>
      </c>
      <c r="M3779" s="8">
        <v>7.9166666670000003</v>
      </c>
      <c r="N3779">
        <f>VLOOKUP(A3779,vlookup_table!$A:$G,2,FALSE)</f>
        <v>0</v>
      </c>
      <c r="O3779" t="str">
        <f>VLOOKUP(A3779,vlookup_table!$A:$G,3,FALSE)</f>
        <v>OR</v>
      </c>
      <c r="P3779">
        <f>VLOOKUP(A3779,vlookup_table!$A:$G,4,FALSE)</f>
        <v>4702</v>
      </c>
      <c r="Q3779" t="str">
        <f>VLOOKUP(A3779,vlookup_table!$A:$G,5,FALSE)</f>
        <v>C1</v>
      </c>
      <c r="R3779" t="str">
        <f>VLOOKUP(A3779,vlookup_table!$A:$G,6,FALSE)</f>
        <v>F</v>
      </c>
      <c r="S3779">
        <f>VLOOKUP(A3779,vlookup_table!$A:$G,7,FALSE)</f>
        <v>5</v>
      </c>
      <c r="T3779">
        <f t="shared" ref="T3779:T3842" si="118">97-LEFT(P3779,2)-IF(RIGHT(P3779,2)&gt;6,1,0)</f>
        <v>49</v>
      </c>
      <c r="U3779" t="str">
        <f t="shared" ref="U3779:U3842" si="119">IF(LEFT(Q3779,1)="C","Ciudad",IF(LEFT(Q3779,1)="T","Pueblo",IF(LEFT(Q3779,1)="R","Rural",IF(LEFT(Q3779,1)="S","Suburbano",IF(LEFT(Q3779,1)="U","Urbano","")))))</f>
        <v>Ciudad</v>
      </c>
    </row>
    <row r="3780" spans="1:21" ht="16" x14ac:dyDescent="0.4">
      <c r="A3780" s="9">
        <v>49722</v>
      </c>
      <c r="B3780" s="8" t="s">
        <v>40</v>
      </c>
      <c r="C3780" s="8" t="s">
        <v>17</v>
      </c>
      <c r="D3780" s="8">
        <v>1332</v>
      </c>
      <c r="E3780" s="8">
        <v>553</v>
      </c>
      <c r="F3780" s="8">
        <v>648</v>
      </c>
      <c r="G3780" s="8">
        <v>4</v>
      </c>
      <c r="H3780" s="8">
        <v>21032</v>
      </c>
      <c r="I3780" s="8">
        <v>6</v>
      </c>
      <c r="J3780" s="8">
        <v>53</v>
      </c>
      <c r="K3780" s="8">
        <v>547</v>
      </c>
      <c r="L3780" s="8">
        <v>645</v>
      </c>
      <c r="M3780" s="8">
        <v>3.5</v>
      </c>
      <c r="N3780">
        <f>VLOOKUP(A3780,vlookup_table!$A:$G,2,FALSE)</f>
        <v>0</v>
      </c>
      <c r="O3780" t="str">
        <f>VLOOKUP(A3780,vlookup_table!$A:$G,3,FALSE)</f>
        <v>AL</v>
      </c>
      <c r="P3780">
        <f>VLOOKUP(A3780,vlookup_table!$A:$G,4,FALSE)</f>
        <v>0</v>
      </c>
      <c r="Q3780" t="str">
        <f>VLOOKUP(A3780,vlookup_table!$A:$G,5,FALSE)</f>
        <v>R2</v>
      </c>
      <c r="R3780" t="str">
        <f>VLOOKUP(A3780,vlookup_table!$A:$G,6,FALSE)</f>
        <v>F</v>
      </c>
      <c r="S3780">
        <f>VLOOKUP(A3780,vlookup_table!$A:$G,7,FALSE)</f>
        <v>3</v>
      </c>
      <c r="T3780">
        <f t="shared" si="118"/>
        <v>96</v>
      </c>
      <c r="U3780" t="str">
        <f t="shared" si="119"/>
        <v>Rural</v>
      </c>
    </row>
    <row r="3781" spans="1:21" ht="16" x14ac:dyDescent="0.4">
      <c r="A3781" s="9">
        <v>191528</v>
      </c>
      <c r="B3781" s="8" t="s">
        <v>20</v>
      </c>
      <c r="C3781" s="8" t="s">
        <v>17</v>
      </c>
      <c r="D3781" s="8">
        <v>814</v>
      </c>
      <c r="E3781" s="8">
        <v>498</v>
      </c>
      <c r="F3781" s="8">
        <v>550</v>
      </c>
      <c r="G3781" s="8">
        <v>0</v>
      </c>
      <c r="H3781" s="8">
        <v>16756</v>
      </c>
      <c r="I3781" s="8">
        <v>5</v>
      </c>
      <c r="J3781" s="8">
        <v>64</v>
      </c>
      <c r="K3781" s="8">
        <v>518</v>
      </c>
      <c r="L3781" s="8">
        <v>532</v>
      </c>
      <c r="M3781" s="8">
        <v>8.5</v>
      </c>
      <c r="N3781">
        <f>VLOOKUP(A3781,vlookup_table!$A:$G,2,FALSE)</f>
        <v>28</v>
      </c>
      <c r="O3781" t="str">
        <f>VLOOKUP(A3781,vlookup_table!$A:$G,3,FALSE)</f>
        <v>TX</v>
      </c>
      <c r="P3781">
        <f>VLOOKUP(A3781,vlookup_table!$A:$G,4,FALSE)</f>
        <v>4101</v>
      </c>
      <c r="Q3781" t="str">
        <f>VLOOKUP(A3781,vlookup_table!$A:$G,5,FALSE)</f>
        <v/>
      </c>
      <c r="R3781" t="str">
        <f>VLOOKUP(A3781,vlookup_table!$A:$G,6,FALSE)</f>
        <v>F</v>
      </c>
      <c r="S3781">
        <f>VLOOKUP(A3781,vlookup_table!$A:$G,7,FALSE)</f>
        <v>20</v>
      </c>
      <c r="T3781">
        <f t="shared" si="118"/>
        <v>55</v>
      </c>
      <c r="U3781" t="str">
        <f t="shared" si="119"/>
        <v/>
      </c>
    </row>
    <row r="3782" spans="1:21" ht="16" x14ac:dyDescent="0.4">
      <c r="A3782" s="9">
        <v>10631</v>
      </c>
      <c r="B3782" s="8" t="s">
        <v>40</v>
      </c>
      <c r="C3782" s="8"/>
      <c r="D3782" s="8">
        <v>550</v>
      </c>
      <c r="E3782" s="8">
        <v>752</v>
      </c>
      <c r="F3782" s="8">
        <v>0</v>
      </c>
      <c r="G3782" s="8">
        <v>0</v>
      </c>
      <c r="H3782" s="8">
        <v>14633</v>
      </c>
      <c r="I3782" s="8">
        <v>0</v>
      </c>
      <c r="J3782" s="8">
        <v>69</v>
      </c>
      <c r="K3782" s="8">
        <v>0</v>
      </c>
      <c r="L3782" s="8">
        <v>601</v>
      </c>
      <c r="M3782" s="8">
        <v>10.96296296</v>
      </c>
      <c r="N3782">
        <f>VLOOKUP(A3782,vlookup_table!$A:$G,2,FALSE)</f>
        <v>0</v>
      </c>
      <c r="O3782" t="str">
        <f>VLOOKUP(A3782,vlookup_table!$A:$G,3,FALSE)</f>
        <v>AL</v>
      </c>
      <c r="P3782">
        <f>VLOOKUP(A3782,vlookup_table!$A:$G,4,FALSE)</f>
        <v>0</v>
      </c>
      <c r="Q3782" t="str">
        <f>VLOOKUP(A3782,vlookup_table!$A:$G,5,FALSE)</f>
        <v>C3</v>
      </c>
      <c r="R3782" t="str">
        <f>VLOOKUP(A3782,vlookup_table!$A:$G,6,FALSE)</f>
        <v/>
      </c>
      <c r="S3782">
        <f>VLOOKUP(A3782,vlookup_table!$A:$G,7,FALSE)</f>
        <v>15</v>
      </c>
      <c r="T3782">
        <f t="shared" si="118"/>
        <v>96</v>
      </c>
      <c r="U3782" t="str">
        <f t="shared" si="119"/>
        <v>Ciudad</v>
      </c>
    </row>
    <row r="3783" spans="1:21" ht="16" x14ac:dyDescent="0.4">
      <c r="A3783" s="9">
        <v>118736</v>
      </c>
      <c r="B3783" s="8" t="s">
        <v>20</v>
      </c>
      <c r="C3783" s="8" t="s">
        <v>14</v>
      </c>
      <c r="D3783" s="8">
        <v>550</v>
      </c>
      <c r="E3783" s="8">
        <v>238</v>
      </c>
      <c r="F3783" s="8">
        <v>255</v>
      </c>
      <c r="G3783" s="8">
        <v>0</v>
      </c>
      <c r="H3783" s="8">
        <v>11519</v>
      </c>
      <c r="I3783" s="8">
        <v>4</v>
      </c>
      <c r="J3783" s="8">
        <v>64</v>
      </c>
      <c r="K3783" s="8">
        <v>251</v>
      </c>
      <c r="L3783" s="8">
        <v>255</v>
      </c>
      <c r="M3783" s="8">
        <v>25</v>
      </c>
      <c r="N3783">
        <f>VLOOKUP(A3783,vlookup_table!$A:$G,2,FALSE)</f>
        <v>1</v>
      </c>
      <c r="O3783" t="str">
        <f>VLOOKUP(A3783,vlookup_table!$A:$G,3,FALSE)</f>
        <v>TX</v>
      </c>
      <c r="P3783">
        <f>VLOOKUP(A3783,vlookup_table!$A:$G,4,FALSE)</f>
        <v>3001</v>
      </c>
      <c r="Q3783" t="str">
        <f>VLOOKUP(A3783,vlookup_table!$A:$G,5,FALSE)</f>
        <v>C2</v>
      </c>
      <c r="R3783" t="str">
        <f>VLOOKUP(A3783,vlookup_table!$A:$G,6,FALSE)</f>
        <v>M</v>
      </c>
      <c r="S3783">
        <f>VLOOKUP(A3783,vlookup_table!$A:$G,7,FALSE)</f>
        <v>25</v>
      </c>
      <c r="T3783">
        <f t="shared" si="118"/>
        <v>66</v>
      </c>
      <c r="U3783" t="str">
        <f t="shared" si="119"/>
        <v>Ciudad</v>
      </c>
    </row>
    <row r="3784" spans="1:21" ht="16" x14ac:dyDescent="0.4">
      <c r="A3784" s="9">
        <v>36479</v>
      </c>
      <c r="B3784" s="8" t="s">
        <v>13</v>
      </c>
      <c r="C3784" s="8" t="s">
        <v>14</v>
      </c>
      <c r="D3784" s="8">
        <v>1227</v>
      </c>
      <c r="E3784" s="8">
        <v>249</v>
      </c>
      <c r="F3784" s="8">
        <v>457</v>
      </c>
      <c r="G3784" s="8">
        <v>8</v>
      </c>
      <c r="H3784" s="8">
        <v>22670</v>
      </c>
      <c r="I3784" s="8">
        <v>24</v>
      </c>
      <c r="J3784" s="8">
        <v>4</v>
      </c>
      <c r="K3784" s="8">
        <v>336</v>
      </c>
      <c r="L3784" s="8">
        <v>346</v>
      </c>
      <c r="M3784" s="8">
        <v>7.4285714289999998</v>
      </c>
      <c r="N3784">
        <f>VLOOKUP(A3784,vlookup_table!$A:$G,2,FALSE)</f>
        <v>1</v>
      </c>
      <c r="O3784" t="str">
        <f>VLOOKUP(A3784,vlookup_table!$A:$G,3,FALSE)</f>
        <v>FL</v>
      </c>
      <c r="P3784">
        <f>VLOOKUP(A3784,vlookup_table!$A:$G,4,FALSE)</f>
        <v>1502</v>
      </c>
      <c r="Q3784" t="str">
        <f>VLOOKUP(A3784,vlookup_table!$A:$G,5,FALSE)</f>
        <v>C2</v>
      </c>
      <c r="R3784" t="str">
        <f>VLOOKUP(A3784,vlookup_table!$A:$G,6,FALSE)</f>
        <v>M</v>
      </c>
      <c r="S3784">
        <f>VLOOKUP(A3784,vlookup_table!$A:$G,7,FALSE)</f>
        <v>10</v>
      </c>
      <c r="T3784">
        <f t="shared" si="118"/>
        <v>81</v>
      </c>
      <c r="U3784" t="str">
        <f t="shared" si="119"/>
        <v>Ciudad</v>
      </c>
    </row>
    <row r="3785" spans="1:21" ht="16" x14ac:dyDescent="0.4">
      <c r="A3785" s="9">
        <v>182800</v>
      </c>
      <c r="B3785" s="8" t="s">
        <v>37</v>
      </c>
      <c r="C3785" s="8" t="s">
        <v>14</v>
      </c>
      <c r="D3785" s="8">
        <v>1006</v>
      </c>
      <c r="E3785" s="8">
        <v>427</v>
      </c>
      <c r="F3785" s="8">
        <v>458</v>
      </c>
      <c r="G3785" s="8">
        <v>5</v>
      </c>
      <c r="H3785" s="8">
        <v>16068</v>
      </c>
      <c r="I3785" s="8">
        <v>4</v>
      </c>
      <c r="J3785" s="8">
        <v>35</v>
      </c>
      <c r="K3785" s="8">
        <v>411</v>
      </c>
      <c r="L3785" s="8">
        <v>464</v>
      </c>
      <c r="M3785" s="8">
        <v>14.0952381</v>
      </c>
      <c r="N3785">
        <f>VLOOKUP(A3785,vlookup_table!$A:$G,2,FALSE)</f>
        <v>2</v>
      </c>
      <c r="O3785" t="str">
        <f>VLOOKUP(A3785,vlookup_table!$A:$G,3,FALSE)</f>
        <v>WA</v>
      </c>
      <c r="P3785">
        <f>VLOOKUP(A3785,vlookup_table!$A:$G,4,FALSE)</f>
        <v>0</v>
      </c>
      <c r="Q3785" t="str">
        <f>VLOOKUP(A3785,vlookup_table!$A:$G,5,FALSE)</f>
        <v>T2</v>
      </c>
      <c r="R3785" t="str">
        <f>VLOOKUP(A3785,vlookup_table!$A:$G,6,FALSE)</f>
        <v>M</v>
      </c>
      <c r="S3785">
        <f>VLOOKUP(A3785,vlookup_table!$A:$G,7,FALSE)</f>
        <v>21</v>
      </c>
      <c r="T3785">
        <f t="shared" si="118"/>
        <v>96</v>
      </c>
      <c r="U3785" t="str">
        <f t="shared" si="119"/>
        <v>Pueblo</v>
      </c>
    </row>
    <row r="3786" spans="1:21" ht="16" x14ac:dyDescent="0.4">
      <c r="A3786" s="9">
        <v>36165</v>
      </c>
      <c r="B3786" s="8" t="s">
        <v>13</v>
      </c>
      <c r="C3786" s="8" t="s">
        <v>14</v>
      </c>
      <c r="D3786" s="8">
        <v>1569</v>
      </c>
      <c r="E3786" s="8">
        <v>553</v>
      </c>
      <c r="F3786" s="8">
        <v>684</v>
      </c>
      <c r="G3786" s="8">
        <v>24</v>
      </c>
      <c r="H3786" s="8">
        <v>27532</v>
      </c>
      <c r="I3786" s="8">
        <v>4</v>
      </c>
      <c r="J3786" s="8">
        <v>15</v>
      </c>
      <c r="K3786" s="8">
        <v>605</v>
      </c>
      <c r="L3786" s="8">
        <v>626</v>
      </c>
      <c r="M3786" s="8">
        <v>18.333333329999999</v>
      </c>
      <c r="N3786">
        <f>VLOOKUP(A3786,vlookup_table!$A:$G,2,FALSE)</f>
        <v>0</v>
      </c>
      <c r="O3786" t="str">
        <f>VLOOKUP(A3786,vlookup_table!$A:$G,3,FALSE)</f>
        <v>FL</v>
      </c>
      <c r="P3786">
        <f>VLOOKUP(A3786,vlookup_table!$A:$G,4,FALSE)</f>
        <v>2501</v>
      </c>
      <c r="Q3786" t="str">
        <f>VLOOKUP(A3786,vlookup_table!$A:$G,5,FALSE)</f>
        <v>C1</v>
      </c>
      <c r="R3786" t="str">
        <f>VLOOKUP(A3786,vlookup_table!$A:$G,6,FALSE)</f>
        <v>M</v>
      </c>
      <c r="S3786">
        <f>VLOOKUP(A3786,vlookup_table!$A:$G,7,FALSE)</f>
        <v>20</v>
      </c>
      <c r="T3786">
        <f t="shared" si="118"/>
        <v>71</v>
      </c>
      <c r="U3786" t="str">
        <f t="shared" si="119"/>
        <v>Ciudad</v>
      </c>
    </row>
    <row r="3787" spans="1:21" ht="16" x14ac:dyDescent="0.4">
      <c r="A3787" s="9">
        <v>66187</v>
      </c>
      <c r="B3787" s="8" t="s">
        <v>26</v>
      </c>
      <c r="C3787" s="8" t="s">
        <v>17</v>
      </c>
      <c r="D3787" s="8">
        <v>701</v>
      </c>
      <c r="E3787" s="8">
        <v>490</v>
      </c>
      <c r="F3787" s="8">
        <v>587</v>
      </c>
      <c r="G3787" s="8">
        <v>0</v>
      </c>
      <c r="H3787" s="8">
        <v>18230</v>
      </c>
      <c r="I3787" s="8">
        <v>1</v>
      </c>
      <c r="J3787" s="8">
        <v>93</v>
      </c>
      <c r="K3787" s="8">
        <v>578</v>
      </c>
      <c r="L3787" s="8">
        <v>521</v>
      </c>
      <c r="M3787" s="8">
        <v>15</v>
      </c>
      <c r="N3787">
        <f>VLOOKUP(A3787,vlookup_table!$A:$G,2,FALSE)</f>
        <v>28</v>
      </c>
      <c r="O3787" t="str">
        <f>VLOOKUP(A3787,vlookup_table!$A:$G,3,FALSE)</f>
        <v>MI</v>
      </c>
      <c r="P3787">
        <f>VLOOKUP(A3787,vlookup_table!$A:$G,4,FALSE)</f>
        <v>0</v>
      </c>
      <c r="Q3787" t="str">
        <f>VLOOKUP(A3787,vlookup_table!$A:$G,5,FALSE)</f>
        <v>S2</v>
      </c>
      <c r="R3787" t="str">
        <f>VLOOKUP(A3787,vlookup_table!$A:$G,6,FALSE)</f>
        <v>F</v>
      </c>
      <c r="S3787">
        <f>VLOOKUP(A3787,vlookup_table!$A:$G,7,FALSE)</f>
        <v>15</v>
      </c>
      <c r="T3787">
        <f t="shared" si="118"/>
        <v>96</v>
      </c>
      <c r="U3787" t="str">
        <f t="shared" si="119"/>
        <v>Suburbano</v>
      </c>
    </row>
    <row r="3788" spans="1:21" ht="16" x14ac:dyDescent="0.4">
      <c r="A3788" s="9">
        <v>189258</v>
      </c>
      <c r="B3788" s="8" t="s">
        <v>59</v>
      </c>
      <c r="C3788" s="8" t="s">
        <v>17</v>
      </c>
      <c r="D3788" s="8">
        <v>1354</v>
      </c>
      <c r="E3788" s="8">
        <v>515</v>
      </c>
      <c r="F3788" s="8">
        <v>540</v>
      </c>
      <c r="G3788" s="8">
        <v>14</v>
      </c>
      <c r="H3788" s="8">
        <v>22028</v>
      </c>
      <c r="I3788" s="8">
        <v>1</v>
      </c>
      <c r="J3788" s="8">
        <v>61</v>
      </c>
      <c r="K3788" s="8">
        <v>506</v>
      </c>
      <c r="L3788" s="8">
        <v>530</v>
      </c>
      <c r="M3788" s="8">
        <v>8.6363636360000005</v>
      </c>
      <c r="N3788">
        <f>VLOOKUP(A3788,vlookup_table!$A:$G,2,FALSE)</f>
        <v>0</v>
      </c>
      <c r="O3788" t="str">
        <f>VLOOKUP(A3788,vlookup_table!$A:$G,3,FALSE)</f>
        <v>MD</v>
      </c>
      <c r="P3788">
        <f>VLOOKUP(A3788,vlookup_table!$A:$G,4,FALSE)</f>
        <v>0</v>
      </c>
      <c r="Q3788" t="str">
        <f>VLOOKUP(A3788,vlookup_table!$A:$G,5,FALSE)</f>
        <v>T1</v>
      </c>
      <c r="R3788" t="str">
        <f>VLOOKUP(A3788,vlookup_table!$A:$G,6,FALSE)</f>
        <v>F</v>
      </c>
      <c r="S3788">
        <f>VLOOKUP(A3788,vlookup_table!$A:$G,7,FALSE)</f>
        <v>15</v>
      </c>
      <c r="T3788">
        <f t="shared" si="118"/>
        <v>96</v>
      </c>
      <c r="U3788" t="str">
        <f t="shared" si="119"/>
        <v>Pueblo</v>
      </c>
    </row>
    <row r="3789" spans="1:21" ht="16" x14ac:dyDescent="0.4">
      <c r="A3789" s="9">
        <v>12853</v>
      </c>
      <c r="B3789" s="8" t="s">
        <v>23</v>
      </c>
      <c r="C3789" s="8" t="s">
        <v>17</v>
      </c>
      <c r="D3789" s="8">
        <v>614</v>
      </c>
      <c r="E3789" s="8">
        <v>196</v>
      </c>
      <c r="F3789" s="8">
        <v>256</v>
      </c>
      <c r="G3789" s="8">
        <v>0</v>
      </c>
      <c r="H3789" s="8">
        <v>9308</v>
      </c>
      <c r="I3789" s="8">
        <v>2</v>
      </c>
      <c r="J3789" s="8">
        <v>25</v>
      </c>
      <c r="K3789" s="8">
        <v>272</v>
      </c>
      <c r="L3789" s="8">
        <v>227</v>
      </c>
      <c r="M3789" s="8">
        <v>8.0389610390000001</v>
      </c>
      <c r="N3789">
        <f>VLOOKUP(A3789,vlookup_table!$A:$G,2,FALSE)</f>
        <v>2</v>
      </c>
      <c r="O3789" t="str">
        <f>VLOOKUP(A3789,vlookup_table!$A:$G,3,FALSE)</f>
        <v>NV</v>
      </c>
      <c r="P3789">
        <f>VLOOKUP(A3789,vlookup_table!$A:$G,4,FALSE)</f>
        <v>2710</v>
      </c>
      <c r="Q3789" t="str">
        <f>VLOOKUP(A3789,vlookup_table!$A:$G,5,FALSE)</f>
        <v>T3</v>
      </c>
      <c r="R3789" t="str">
        <f>VLOOKUP(A3789,vlookup_table!$A:$G,6,FALSE)</f>
        <v>F</v>
      </c>
      <c r="S3789">
        <f>VLOOKUP(A3789,vlookup_table!$A:$G,7,FALSE)</f>
        <v>12</v>
      </c>
      <c r="T3789">
        <f t="shared" si="118"/>
        <v>69</v>
      </c>
      <c r="U3789" t="str">
        <f t="shared" si="119"/>
        <v>Pueblo</v>
      </c>
    </row>
    <row r="3790" spans="1:21" ht="16" x14ac:dyDescent="0.4">
      <c r="A3790" s="9">
        <v>188377</v>
      </c>
      <c r="B3790" s="8" t="s">
        <v>16</v>
      </c>
      <c r="C3790" s="8" t="s">
        <v>17</v>
      </c>
      <c r="D3790" s="8">
        <v>940</v>
      </c>
      <c r="E3790" s="8">
        <v>285</v>
      </c>
      <c r="F3790" s="8">
        <v>406</v>
      </c>
      <c r="G3790" s="8">
        <v>1</v>
      </c>
      <c r="H3790" s="8">
        <v>13571</v>
      </c>
      <c r="I3790" s="8">
        <v>16</v>
      </c>
      <c r="J3790" s="8">
        <v>68</v>
      </c>
      <c r="K3790" s="8">
        <v>339</v>
      </c>
      <c r="L3790" s="8">
        <v>333</v>
      </c>
      <c r="M3790" s="8">
        <v>7.8571428570000004</v>
      </c>
      <c r="N3790">
        <f>VLOOKUP(A3790,vlookup_table!$A:$G,2,FALSE)</f>
        <v>0</v>
      </c>
      <c r="O3790" t="str">
        <f>VLOOKUP(A3790,vlookup_table!$A:$G,3,FALSE)</f>
        <v>IL</v>
      </c>
      <c r="P3790">
        <f>VLOOKUP(A3790,vlookup_table!$A:$G,4,FALSE)</f>
        <v>1909</v>
      </c>
      <c r="Q3790" t="str">
        <f>VLOOKUP(A3790,vlookup_table!$A:$G,5,FALSE)</f>
        <v/>
      </c>
      <c r="R3790" t="str">
        <f>VLOOKUP(A3790,vlookup_table!$A:$G,6,FALSE)</f>
        <v>F</v>
      </c>
      <c r="S3790">
        <f>VLOOKUP(A3790,vlookup_table!$A:$G,7,FALSE)</f>
        <v>5</v>
      </c>
      <c r="T3790">
        <f t="shared" si="118"/>
        <v>77</v>
      </c>
      <c r="U3790" t="str">
        <f t="shared" si="119"/>
        <v/>
      </c>
    </row>
    <row r="3791" spans="1:21" ht="16" x14ac:dyDescent="0.4">
      <c r="A3791" s="9">
        <v>139926</v>
      </c>
      <c r="B3791" s="8" t="s">
        <v>50</v>
      </c>
      <c r="C3791" s="8" t="s">
        <v>17</v>
      </c>
      <c r="D3791" s="8">
        <v>2056</v>
      </c>
      <c r="E3791" s="8">
        <v>545</v>
      </c>
      <c r="F3791" s="8">
        <v>756</v>
      </c>
      <c r="G3791" s="8">
        <v>51</v>
      </c>
      <c r="H3791" s="8">
        <v>26183</v>
      </c>
      <c r="I3791" s="8">
        <v>4</v>
      </c>
      <c r="J3791" s="8">
        <v>49</v>
      </c>
      <c r="K3791" s="8">
        <v>597</v>
      </c>
      <c r="L3791" s="8">
        <v>658</v>
      </c>
      <c r="M3791" s="8">
        <v>17.666666670000001</v>
      </c>
      <c r="N3791">
        <f>VLOOKUP(A3791,vlookup_table!$A:$G,2,FALSE)</f>
        <v>28</v>
      </c>
      <c r="O3791" t="str">
        <f>VLOOKUP(A3791,vlookup_table!$A:$G,3,FALSE)</f>
        <v>NM</v>
      </c>
      <c r="P3791">
        <f>VLOOKUP(A3791,vlookup_table!$A:$G,4,FALSE)</f>
        <v>0</v>
      </c>
      <c r="Q3791" t="str">
        <f>VLOOKUP(A3791,vlookup_table!$A:$G,5,FALSE)</f>
        <v>T1</v>
      </c>
      <c r="R3791" t="str">
        <f>VLOOKUP(A3791,vlookup_table!$A:$G,6,FALSE)</f>
        <v>F</v>
      </c>
      <c r="S3791">
        <f>VLOOKUP(A3791,vlookup_table!$A:$G,7,FALSE)</f>
        <v>20</v>
      </c>
      <c r="T3791">
        <f t="shared" si="118"/>
        <v>96</v>
      </c>
      <c r="U3791" t="str">
        <f t="shared" si="119"/>
        <v>Pueblo</v>
      </c>
    </row>
    <row r="3792" spans="1:21" ht="16" x14ac:dyDescent="0.4">
      <c r="A3792" s="9">
        <v>10851</v>
      </c>
      <c r="B3792" s="8" t="s">
        <v>21</v>
      </c>
      <c r="C3792" s="8" t="s">
        <v>14</v>
      </c>
      <c r="D3792" s="8">
        <v>800</v>
      </c>
      <c r="E3792" s="8">
        <v>303</v>
      </c>
      <c r="F3792" s="8">
        <v>288</v>
      </c>
      <c r="G3792" s="8">
        <v>0</v>
      </c>
      <c r="H3792" s="8">
        <v>9847</v>
      </c>
      <c r="I3792" s="8">
        <v>13</v>
      </c>
      <c r="J3792" s="8">
        <v>45</v>
      </c>
      <c r="K3792" s="8">
        <v>249</v>
      </c>
      <c r="L3792" s="8">
        <v>298</v>
      </c>
      <c r="M3792" s="8">
        <v>12.10869565</v>
      </c>
      <c r="N3792">
        <f>VLOOKUP(A3792,vlookup_table!$A:$G,2,FALSE)</f>
        <v>0</v>
      </c>
      <c r="O3792" t="str">
        <f>VLOOKUP(A3792,vlookup_table!$A:$G,3,FALSE)</f>
        <v>CA</v>
      </c>
      <c r="P3792">
        <f>VLOOKUP(A3792,vlookup_table!$A:$G,4,FALSE)</f>
        <v>0</v>
      </c>
      <c r="Q3792" t="str">
        <f>VLOOKUP(A3792,vlookup_table!$A:$G,5,FALSE)</f>
        <v>T2</v>
      </c>
      <c r="R3792" t="str">
        <f>VLOOKUP(A3792,vlookup_table!$A:$G,6,FALSE)</f>
        <v>M</v>
      </c>
      <c r="S3792">
        <f>VLOOKUP(A3792,vlookup_table!$A:$G,7,FALSE)</f>
        <v>35</v>
      </c>
      <c r="T3792">
        <f t="shared" si="118"/>
        <v>96</v>
      </c>
      <c r="U3792" t="str">
        <f t="shared" si="119"/>
        <v>Pueblo</v>
      </c>
    </row>
    <row r="3793" spans="1:21" ht="16" x14ac:dyDescent="0.4">
      <c r="A3793" s="9">
        <v>119366</v>
      </c>
      <c r="B3793" s="8" t="s">
        <v>20</v>
      </c>
      <c r="C3793" s="8" t="s">
        <v>14</v>
      </c>
      <c r="D3793" s="8">
        <v>554</v>
      </c>
      <c r="E3793" s="8">
        <v>312</v>
      </c>
      <c r="F3793" s="8">
        <v>356</v>
      </c>
      <c r="G3793" s="8">
        <v>0</v>
      </c>
      <c r="H3793" s="8">
        <v>15583</v>
      </c>
      <c r="I3793" s="8">
        <v>4</v>
      </c>
      <c r="J3793" s="8">
        <v>61</v>
      </c>
      <c r="K3793" s="8">
        <v>346</v>
      </c>
      <c r="L3793" s="8">
        <v>333</v>
      </c>
      <c r="M3793" s="8">
        <v>4.5789473679999997</v>
      </c>
      <c r="N3793">
        <f>VLOOKUP(A3793,vlookup_table!$A:$G,2,FALSE)</f>
        <v>1</v>
      </c>
      <c r="O3793" t="str">
        <f>VLOOKUP(A3793,vlookup_table!$A:$G,3,FALSE)</f>
        <v>TX</v>
      </c>
      <c r="P3793">
        <f>VLOOKUP(A3793,vlookup_table!$A:$G,4,FALSE)</f>
        <v>6212</v>
      </c>
      <c r="Q3793" t="str">
        <f>VLOOKUP(A3793,vlookup_table!$A:$G,5,FALSE)</f>
        <v>C1</v>
      </c>
      <c r="R3793" t="str">
        <f>VLOOKUP(A3793,vlookup_table!$A:$G,6,FALSE)</f>
        <v>M</v>
      </c>
      <c r="S3793">
        <f>VLOOKUP(A3793,vlookup_table!$A:$G,7,FALSE)</f>
        <v>6</v>
      </c>
      <c r="T3793">
        <f t="shared" si="118"/>
        <v>34</v>
      </c>
      <c r="U3793" t="str">
        <f t="shared" si="119"/>
        <v>Ciudad</v>
      </c>
    </row>
    <row r="3794" spans="1:21" ht="16" x14ac:dyDescent="0.4">
      <c r="A3794" s="9">
        <v>150260</v>
      </c>
      <c r="B3794" s="8" t="s">
        <v>21</v>
      </c>
      <c r="C3794" s="8" t="s">
        <v>17</v>
      </c>
      <c r="D3794" s="8">
        <v>2182</v>
      </c>
      <c r="E3794" s="8">
        <v>555</v>
      </c>
      <c r="F3794" s="8">
        <v>569</v>
      </c>
      <c r="G3794" s="8">
        <v>67</v>
      </c>
      <c r="H3794" s="8">
        <v>17516</v>
      </c>
      <c r="I3794" s="8">
        <v>13</v>
      </c>
      <c r="J3794" s="8">
        <v>57</v>
      </c>
      <c r="K3794" s="8">
        <v>561</v>
      </c>
      <c r="L3794" s="8">
        <v>559</v>
      </c>
      <c r="M3794" s="8">
        <v>6.5909090910000003</v>
      </c>
      <c r="N3794">
        <f>VLOOKUP(A3794,vlookup_table!$A:$G,2,FALSE)</f>
        <v>0</v>
      </c>
      <c r="O3794" t="str">
        <f>VLOOKUP(A3794,vlookup_table!$A:$G,3,FALSE)</f>
        <v>CA</v>
      </c>
      <c r="P3794">
        <f>VLOOKUP(A3794,vlookup_table!$A:$G,4,FALSE)</f>
        <v>2009</v>
      </c>
      <c r="Q3794" t="str">
        <f>VLOOKUP(A3794,vlookup_table!$A:$G,5,FALSE)</f>
        <v>S2</v>
      </c>
      <c r="R3794" t="str">
        <f>VLOOKUP(A3794,vlookup_table!$A:$G,6,FALSE)</f>
        <v>F</v>
      </c>
      <c r="S3794">
        <f>VLOOKUP(A3794,vlookup_table!$A:$G,7,FALSE)</f>
        <v>10</v>
      </c>
      <c r="T3794">
        <f t="shared" si="118"/>
        <v>76</v>
      </c>
      <c r="U3794" t="str">
        <f t="shared" si="119"/>
        <v>Suburbano</v>
      </c>
    </row>
    <row r="3795" spans="1:21" ht="16" x14ac:dyDescent="0.4">
      <c r="A3795" s="9">
        <v>73272</v>
      </c>
      <c r="B3795" s="8" t="s">
        <v>26</v>
      </c>
      <c r="C3795" s="8" t="s">
        <v>17</v>
      </c>
      <c r="D3795" s="8">
        <v>929</v>
      </c>
      <c r="E3795" s="8">
        <v>437</v>
      </c>
      <c r="F3795" s="8">
        <v>481</v>
      </c>
      <c r="G3795" s="8">
        <v>1</v>
      </c>
      <c r="H3795" s="8">
        <v>13814</v>
      </c>
      <c r="I3795" s="8">
        <v>1</v>
      </c>
      <c r="J3795" s="8">
        <v>88</v>
      </c>
      <c r="K3795" s="8">
        <v>446</v>
      </c>
      <c r="L3795" s="8">
        <v>465</v>
      </c>
      <c r="M3795" s="8">
        <v>12.875</v>
      </c>
      <c r="N3795">
        <f>VLOOKUP(A3795,vlookup_table!$A:$G,2,FALSE)</f>
        <v>0</v>
      </c>
      <c r="O3795" t="str">
        <f>VLOOKUP(A3795,vlookup_table!$A:$G,3,FALSE)</f>
        <v>MI</v>
      </c>
      <c r="P3795">
        <f>VLOOKUP(A3795,vlookup_table!$A:$G,4,FALSE)</f>
        <v>2302</v>
      </c>
      <c r="Q3795" t="str">
        <f>VLOOKUP(A3795,vlookup_table!$A:$G,5,FALSE)</f>
        <v>T2</v>
      </c>
      <c r="R3795" t="str">
        <f>VLOOKUP(A3795,vlookup_table!$A:$G,6,FALSE)</f>
        <v>F</v>
      </c>
      <c r="S3795">
        <f>VLOOKUP(A3795,vlookup_table!$A:$G,7,FALSE)</f>
        <v>15</v>
      </c>
      <c r="T3795">
        <f t="shared" si="118"/>
        <v>73</v>
      </c>
      <c r="U3795" t="str">
        <f t="shared" si="119"/>
        <v>Pueblo</v>
      </c>
    </row>
    <row r="3796" spans="1:21" ht="16" x14ac:dyDescent="0.4">
      <c r="A3796" s="9">
        <v>43101</v>
      </c>
      <c r="B3796" s="8" t="s">
        <v>13</v>
      </c>
      <c r="C3796" s="8" t="s">
        <v>17</v>
      </c>
      <c r="D3796" s="8">
        <v>2379</v>
      </c>
      <c r="E3796" s="8">
        <v>464</v>
      </c>
      <c r="F3796" s="8">
        <v>755</v>
      </c>
      <c r="G3796" s="8">
        <v>66</v>
      </c>
      <c r="H3796" s="8">
        <v>31616</v>
      </c>
      <c r="I3796" s="8">
        <v>8</v>
      </c>
      <c r="J3796" s="8">
        <v>18</v>
      </c>
      <c r="K3796" s="8">
        <v>651</v>
      </c>
      <c r="L3796" s="8">
        <v>596</v>
      </c>
      <c r="M3796" s="8">
        <v>19</v>
      </c>
      <c r="N3796">
        <f>VLOOKUP(A3796,vlookup_table!$A:$G,2,FALSE)</f>
        <v>0</v>
      </c>
      <c r="O3796" t="str">
        <f>VLOOKUP(A3796,vlookup_table!$A:$G,3,FALSE)</f>
        <v>FL</v>
      </c>
      <c r="P3796">
        <f>VLOOKUP(A3796,vlookup_table!$A:$G,4,FALSE)</f>
        <v>4903</v>
      </c>
      <c r="Q3796" t="str">
        <f>VLOOKUP(A3796,vlookup_table!$A:$G,5,FALSE)</f>
        <v>C1</v>
      </c>
      <c r="R3796" t="str">
        <f>VLOOKUP(A3796,vlookup_table!$A:$G,6,FALSE)</f>
        <v>F</v>
      </c>
      <c r="S3796">
        <f>VLOOKUP(A3796,vlookup_table!$A:$G,7,FALSE)</f>
        <v>10</v>
      </c>
      <c r="T3796">
        <f t="shared" si="118"/>
        <v>47</v>
      </c>
      <c r="U3796" t="str">
        <f t="shared" si="119"/>
        <v>Ciudad</v>
      </c>
    </row>
    <row r="3797" spans="1:21" ht="16" x14ac:dyDescent="0.4">
      <c r="A3797" s="9">
        <v>50640</v>
      </c>
      <c r="B3797" s="8" t="s">
        <v>13</v>
      </c>
      <c r="C3797" s="8" t="s">
        <v>14</v>
      </c>
      <c r="D3797" s="8">
        <v>908</v>
      </c>
      <c r="E3797" s="8">
        <v>415</v>
      </c>
      <c r="F3797" s="8">
        <v>471</v>
      </c>
      <c r="G3797" s="8">
        <v>5</v>
      </c>
      <c r="H3797" s="8">
        <v>15683</v>
      </c>
      <c r="I3797" s="8">
        <v>11</v>
      </c>
      <c r="J3797" s="8">
        <v>31</v>
      </c>
      <c r="K3797" s="8">
        <v>422</v>
      </c>
      <c r="L3797" s="8">
        <v>465</v>
      </c>
      <c r="M3797" s="8">
        <v>6.0555555559999998</v>
      </c>
      <c r="N3797">
        <f>VLOOKUP(A3797,vlookup_table!$A:$G,2,FALSE)</f>
        <v>2</v>
      </c>
      <c r="O3797" t="str">
        <f>VLOOKUP(A3797,vlookup_table!$A:$G,3,FALSE)</f>
        <v>FL</v>
      </c>
      <c r="P3797">
        <f>VLOOKUP(A3797,vlookup_table!$A:$G,4,FALSE)</f>
        <v>2101</v>
      </c>
      <c r="Q3797" t="str">
        <f>VLOOKUP(A3797,vlookup_table!$A:$G,5,FALSE)</f>
        <v>T2</v>
      </c>
      <c r="R3797" t="str">
        <f>VLOOKUP(A3797,vlookup_table!$A:$G,6,FALSE)</f>
        <v>M</v>
      </c>
      <c r="S3797">
        <f>VLOOKUP(A3797,vlookup_table!$A:$G,7,FALSE)</f>
        <v>5</v>
      </c>
      <c r="T3797">
        <f t="shared" si="118"/>
        <v>75</v>
      </c>
      <c r="U3797" t="str">
        <f t="shared" si="119"/>
        <v>Pueblo</v>
      </c>
    </row>
    <row r="3798" spans="1:21" ht="16" x14ac:dyDescent="0.4">
      <c r="A3798" s="9">
        <v>190577</v>
      </c>
      <c r="B3798" s="8" t="s">
        <v>20</v>
      </c>
      <c r="C3798" s="8" t="s">
        <v>17</v>
      </c>
      <c r="D3798" s="8">
        <v>786</v>
      </c>
      <c r="E3798" s="8">
        <v>385</v>
      </c>
      <c r="F3798" s="8">
        <v>466</v>
      </c>
      <c r="G3798" s="8">
        <v>0</v>
      </c>
      <c r="H3798" s="8">
        <v>16433</v>
      </c>
      <c r="I3798" s="8">
        <v>5</v>
      </c>
      <c r="J3798" s="8">
        <v>67</v>
      </c>
      <c r="K3798" s="8">
        <v>493</v>
      </c>
      <c r="L3798" s="8">
        <v>391</v>
      </c>
      <c r="M3798" s="8">
        <v>11.71428571</v>
      </c>
      <c r="N3798">
        <f>VLOOKUP(A3798,vlookup_table!$A:$G,2,FALSE)</f>
        <v>2</v>
      </c>
      <c r="O3798" t="str">
        <f>VLOOKUP(A3798,vlookup_table!$A:$G,3,FALSE)</f>
        <v>TX</v>
      </c>
      <c r="P3798">
        <f>VLOOKUP(A3798,vlookup_table!$A:$G,4,FALSE)</f>
        <v>5601</v>
      </c>
      <c r="Q3798" t="str">
        <f>VLOOKUP(A3798,vlookup_table!$A:$G,5,FALSE)</f>
        <v>T1</v>
      </c>
      <c r="R3798" t="str">
        <f>VLOOKUP(A3798,vlookup_table!$A:$G,6,FALSE)</f>
        <v>F</v>
      </c>
      <c r="S3798">
        <f>VLOOKUP(A3798,vlookup_table!$A:$G,7,FALSE)</f>
        <v>30</v>
      </c>
      <c r="T3798">
        <f t="shared" si="118"/>
        <v>40</v>
      </c>
      <c r="U3798" t="str">
        <f t="shared" si="119"/>
        <v>Pueblo</v>
      </c>
    </row>
    <row r="3799" spans="1:21" ht="16" x14ac:dyDescent="0.4">
      <c r="A3799" s="9">
        <v>96003</v>
      </c>
      <c r="B3799" s="8" t="s">
        <v>16</v>
      </c>
      <c r="C3799" s="8" t="s">
        <v>17</v>
      </c>
      <c r="D3799" s="8">
        <v>450</v>
      </c>
      <c r="E3799" s="8">
        <v>258</v>
      </c>
      <c r="F3799" s="8">
        <v>339</v>
      </c>
      <c r="G3799" s="8">
        <v>0</v>
      </c>
      <c r="H3799" s="8">
        <v>11241</v>
      </c>
      <c r="I3799" s="8">
        <v>0</v>
      </c>
      <c r="J3799" s="8">
        <v>61</v>
      </c>
      <c r="K3799" s="8">
        <v>310</v>
      </c>
      <c r="L3799" s="8">
        <v>301</v>
      </c>
      <c r="M3799" s="8">
        <v>4.8</v>
      </c>
      <c r="N3799">
        <f>VLOOKUP(A3799,vlookup_table!$A:$G,2,FALSE)</f>
        <v>0</v>
      </c>
      <c r="O3799" t="str">
        <f>VLOOKUP(A3799,vlookup_table!$A:$G,3,FALSE)</f>
        <v>IL</v>
      </c>
      <c r="P3799">
        <f>VLOOKUP(A3799,vlookup_table!$A:$G,4,FALSE)</f>
        <v>2201</v>
      </c>
      <c r="Q3799" t="str">
        <f>VLOOKUP(A3799,vlookup_table!$A:$G,5,FALSE)</f>
        <v>R2</v>
      </c>
      <c r="R3799" t="str">
        <f>VLOOKUP(A3799,vlookup_table!$A:$G,6,FALSE)</f>
        <v>F</v>
      </c>
      <c r="S3799">
        <f>VLOOKUP(A3799,vlookup_table!$A:$G,7,FALSE)</f>
        <v>6</v>
      </c>
      <c r="T3799">
        <f t="shared" si="118"/>
        <v>74</v>
      </c>
      <c r="U3799" t="str">
        <f t="shared" si="119"/>
        <v>Rural</v>
      </c>
    </row>
    <row r="3800" spans="1:21" ht="16" x14ac:dyDescent="0.4">
      <c r="A3800" s="9">
        <v>185913</v>
      </c>
      <c r="B3800" s="8" t="s">
        <v>21</v>
      </c>
      <c r="C3800" s="8" t="s">
        <v>14</v>
      </c>
      <c r="D3800" s="8">
        <v>2223</v>
      </c>
      <c r="E3800" s="8">
        <v>413</v>
      </c>
      <c r="F3800" s="8">
        <v>415</v>
      </c>
      <c r="G3800" s="8">
        <v>67</v>
      </c>
      <c r="H3800" s="8">
        <v>10217</v>
      </c>
      <c r="I3800" s="8">
        <v>70</v>
      </c>
      <c r="J3800" s="8">
        <v>22</v>
      </c>
      <c r="K3800" s="8">
        <v>331</v>
      </c>
      <c r="L3800" s="8">
        <v>492</v>
      </c>
      <c r="M3800" s="8">
        <v>5.6666666670000003</v>
      </c>
      <c r="N3800">
        <f>VLOOKUP(A3800,vlookup_table!$A:$G,2,FALSE)</f>
        <v>0</v>
      </c>
      <c r="O3800" t="str">
        <f>VLOOKUP(A3800,vlookup_table!$A:$G,3,FALSE)</f>
        <v>CA</v>
      </c>
      <c r="P3800">
        <f>VLOOKUP(A3800,vlookup_table!$A:$G,4,FALSE)</f>
        <v>0</v>
      </c>
      <c r="Q3800" t="str">
        <f>VLOOKUP(A3800,vlookup_table!$A:$G,5,FALSE)</f>
        <v>S2</v>
      </c>
      <c r="R3800" t="str">
        <f>VLOOKUP(A3800,vlookup_table!$A:$G,6,FALSE)</f>
        <v>M</v>
      </c>
      <c r="S3800">
        <f>VLOOKUP(A3800,vlookup_table!$A:$G,7,FALSE)</f>
        <v>10</v>
      </c>
      <c r="T3800">
        <f t="shared" si="118"/>
        <v>96</v>
      </c>
      <c r="U3800" t="str">
        <f t="shared" si="119"/>
        <v>Suburbano</v>
      </c>
    </row>
    <row r="3801" spans="1:21" ht="16" x14ac:dyDescent="0.4">
      <c r="A3801" s="9">
        <v>54259</v>
      </c>
      <c r="B3801" s="8" t="s">
        <v>49</v>
      </c>
      <c r="C3801" s="8" t="s">
        <v>14</v>
      </c>
      <c r="D3801" s="8">
        <v>553</v>
      </c>
      <c r="E3801" s="8">
        <v>219</v>
      </c>
      <c r="F3801" s="8">
        <v>319</v>
      </c>
      <c r="G3801" s="8">
        <v>1</v>
      </c>
      <c r="H3801" s="8">
        <v>11263</v>
      </c>
      <c r="I3801" s="8">
        <v>2</v>
      </c>
      <c r="J3801" s="8">
        <v>76</v>
      </c>
      <c r="K3801" s="8">
        <v>249</v>
      </c>
      <c r="L3801" s="8">
        <v>275</v>
      </c>
      <c r="M3801" s="8">
        <v>10</v>
      </c>
      <c r="N3801">
        <f>VLOOKUP(A3801,vlookup_table!$A:$G,2,FALSE)</f>
        <v>0</v>
      </c>
      <c r="O3801" t="str">
        <f>VLOOKUP(A3801,vlookup_table!$A:$G,3,FALSE)</f>
        <v>TN</v>
      </c>
      <c r="P3801">
        <f>VLOOKUP(A3801,vlookup_table!$A:$G,4,FALSE)</f>
        <v>3201</v>
      </c>
      <c r="Q3801" t="str">
        <f>VLOOKUP(A3801,vlookup_table!$A:$G,5,FALSE)</f>
        <v/>
      </c>
      <c r="R3801" t="str">
        <f>VLOOKUP(A3801,vlookup_table!$A:$G,6,FALSE)</f>
        <v>M</v>
      </c>
      <c r="S3801">
        <f>VLOOKUP(A3801,vlookup_table!$A:$G,7,FALSE)</f>
        <v>15</v>
      </c>
      <c r="T3801">
        <f t="shared" si="118"/>
        <v>64</v>
      </c>
      <c r="U3801" t="str">
        <f t="shared" si="119"/>
        <v/>
      </c>
    </row>
    <row r="3802" spans="1:21" ht="16" x14ac:dyDescent="0.4">
      <c r="A3802" s="9">
        <v>85003</v>
      </c>
      <c r="B3802" s="8" t="s">
        <v>52</v>
      </c>
      <c r="C3802" s="8" t="s">
        <v>14</v>
      </c>
      <c r="D3802" s="8">
        <v>331</v>
      </c>
      <c r="E3802" s="8">
        <v>248</v>
      </c>
      <c r="F3802" s="8">
        <v>326</v>
      </c>
      <c r="G3802" s="8">
        <v>0</v>
      </c>
      <c r="H3802" s="8">
        <v>10969</v>
      </c>
      <c r="I3802" s="8">
        <v>1</v>
      </c>
      <c r="J3802" s="8">
        <v>83</v>
      </c>
      <c r="K3802" s="8">
        <v>291</v>
      </c>
      <c r="L3802" s="8">
        <v>276</v>
      </c>
      <c r="M3802" s="8">
        <v>5.4705882350000001</v>
      </c>
      <c r="N3802">
        <f>VLOOKUP(A3802,vlookup_table!$A:$G,2,FALSE)</f>
        <v>0</v>
      </c>
      <c r="O3802" t="str">
        <f>VLOOKUP(A3802,vlookup_table!$A:$G,3,FALSE)</f>
        <v>MN</v>
      </c>
      <c r="P3802">
        <f>VLOOKUP(A3802,vlookup_table!$A:$G,4,FALSE)</f>
        <v>0</v>
      </c>
      <c r="Q3802" t="str">
        <f>VLOOKUP(A3802,vlookup_table!$A:$G,5,FALSE)</f>
        <v>R2</v>
      </c>
      <c r="R3802" t="str">
        <f>VLOOKUP(A3802,vlookup_table!$A:$G,6,FALSE)</f>
        <v>M</v>
      </c>
      <c r="S3802">
        <f>VLOOKUP(A3802,vlookup_table!$A:$G,7,FALSE)</f>
        <v>8</v>
      </c>
      <c r="T3802">
        <f t="shared" si="118"/>
        <v>96</v>
      </c>
      <c r="U3802" t="str">
        <f t="shared" si="119"/>
        <v>Rural</v>
      </c>
    </row>
    <row r="3803" spans="1:21" ht="16" x14ac:dyDescent="0.4">
      <c r="A3803" s="9">
        <v>5074</v>
      </c>
      <c r="B3803" s="8" t="s">
        <v>21</v>
      </c>
      <c r="C3803" s="8" t="s">
        <v>14</v>
      </c>
      <c r="D3803" s="8">
        <v>1089</v>
      </c>
      <c r="E3803" s="8">
        <v>296</v>
      </c>
      <c r="F3803" s="8">
        <v>352</v>
      </c>
      <c r="G3803" s="8">
        <v>3</v>
      </c>
      <c r="H3803" s="8">
        <v>12998</v>
      </c>
      <c r="I3803" s="8">
        <v>10</v>
      </c>
      <c r="J3803" s="8">
        <v>51</v>
      </c>
      <c r="K3803" s="8">
        <v>324</v>
      </c>
      <c r="L3803" s="8">
        <v>328</v>
      </c>
      <c r="M3803" s="8">
        <v>22.882352940000001</v>
      </c>
      <c r="N3803">
        <f>VLOOKUP(A3803,vlookup_table!$A:$G,2,FALSE)</f>
        <v>1</v>
      </c>
      <c r="O3803" t="str">
        <f>VLOOKUP(A3803,vlookup_table!$A:$G,3,FALSE)</f>
        <v>CA</v>
      </c>
      <c r="P3803">
        <f>VLOOKUP(A3803,vlookup_table!$A:$G,4,FALSE)</f>
        <v>1705</v>
      </c>
      <c r="Q3803" t="str">
        <f>VLOOKUP(A3803,vlookup_table!$A:$G,5,FALSE)</f>
        <v>S2</v>
      </c>
      <c r="R3803" t="str">
        <f>VLOOKUP(A3803,vlookup_table!$A:$G,6,FALSE)</f>
        <v>M</v>
      </c>
      <c r="S3803">
        <f>VLOOKUP(A3803,vlookup_table!$A:$G,7,FALSE)</f>
        <v>31</v>
      </c>
      <c r="T3803">
        <f t="shared" si="118"/>
        <v>79</v>
      </c>
      <c r="U3803" t="str">
        <f t="shared" si="119"/>
        <v>Suburbano</v>
      </c>
    </row>
    <row r="3804" spans="1:21" ht="16" x14ac:dyDescent="0.4">
      <c r="A3804" s="9">
        <v>33359</v>
      </c>
      <c r="B3804" s="8" t="s">
        <v>13</v>
      </c>
      <c r="C3804" s="8" t="s">
        <v>17</v>
      </c>
      <c r="D3804" s="8">
        <v>737</v>
      </c>
      <c r="E3804" s="8">
        <v>357</v>
      </c>
      <c r="F3804" s="8">
        <v>441</v>
      </c>
      <c r="G3804" s="8">
        <v>0</v>
      </c>
      <c r="H3804" s="8">
        <v>16190</v>
      </c>
      <c r="I3804" s="8">
        <v>4</v>
      </c>
      <c r="J3804" s="8">
        <v>29</v>
      </c>
      <c r="K3804" s="8">
        <v>382</v>
      </c>
      <c r="L3804" s="8">
        <v>395</v>
      </c>
      <c r="M3804" s="8">
        <v>8.4285714289999998</v>
      </c>
      <c r="N3804">
        <f>VLOOKUP(A3804,vlookup_table!$A:$G,2,FALSE)</f>
        <v>28</v>
      </c>
      <c r="O3804" t="str">
        <f>VLOOKUP(A3804,vlookup_table!$A:$G,3,FALSE)</f>
        <v>FL</v>
      </c>
      <c r="P3804">
        <f>VLOOKUP(A3804,vlookup_table!$A:$G,4,FALSE)</f>
        <v>3606</v>
      </c>
      <c r="Q3804" t="str">
        <f>VLOOKUP(A3804,vlookup_table!$A:$G,5,FALSE)</f>
        <v>S2</v>
      </c>
      <c r="R3804" t="str">
        <f>VLOOKUP(A3804,vlookup_table!$A:$G,6,FALSE)</f>
        <v>F</v>
      </c>
      <c r="S3804">
        <f>VLOOKUP(A3804,vlookup_table!$A:$G,7,FALSE)</f>
        <v>10</v>
      </c>
      <c r="T3804">
        <f t="shared" si="118"/>
        <v>60</v>
      </c>
      <c r="U3804" t="str">
        <f t="shared" si="119"/>
        <v>Suburbano</v>
      </c>
    </row>
    <row r="3805" spans="1:21" ht="16" x14ac:dyDescent="0.4">
      <c r="A3805" s="9">
        <v>103982</v>
      </c>
      <c r="B3805" s="8" t="s">
        <v>33</v>
      </c>
      <c r="C3805" s="8" t="s">
        <v>14</v>
      </c>
      <c r="D3805" s="8">
        <v>486</v>
      </c>
      <c r="E3805" s="8">
        <v>237</v>
      </c>
      <c r="F3805" s="8">
        <v>301</v>
      </c>
      <c r="G3805" s="8">
        <v>0</v>
      </c>
      <c r="H3805" s="8">
        <v>10474</v>
      </c>
      <c r="I3805" s="8">
        <v>1</v>
      </c>
      <c r="J3805" s="8">
        <v>68</v>
      </c>
      <c r="K3805" s="8">
        <v>261</v>
      </c>
      <c r="L3805" s="8">
        <v>274</v>
      </c>
      <c r="M3805" s="8">
        <v>11.823529410000001</v>
      </c>
      <c r="N3805">
        <f>VLOOKUP(A3805,vlookup_table!$A:$G,2,FALSE)</f>
        <v>1</v>
      </c>
      <c r="O3805" t="str">
        <f>VLOOKUP(A3805,vlookup_table!$A:$G,3,FALSE)</f>
        <v>MO</v>
      </c>
      <c r="P3805">
        <f>VLOOKUP(A3805,vlookup_table!$A:$G,4,FALSE)</f>
        <v>3310</v>
      </c>
      <c r="Q3805" t="str">
        <f>VLOOKUP(A3805,vlookup_table!$A:$G,5,FALSE)</f>
        <v>R2</v>
      </c>
      <c r="R3805" t="str">
        <f>VLOOKUP(A3805,vlookup_table!$A:$G,6,FALSE)</f>
        <v>M</v>
      </c>
      <c r="S3805">
        <f>VLOOKUP(A3805,vlookup_table!$A:$G,7,FALSE)</f>
        <v>15</v>
      </c>
      <c r="T3805">
        <f t="shared" si="118"/>
        <v>63</v>
      </c>
      <c r="U3805" t="str">
        <f t="shared" si="119"/>
        <v>Rural</v>
      </c>
    </row>
    <row r="3806" spans="1:21" ht="16" x14ac:dyDescent="0.4">
      <c r="A3806" s="9">
        <v>118564</v>
      </c>
      <c r="B3806" s="8" t="s">
        <v>20</v>
      </c>
      <c r="C3806" s="8" t="s">
        <v>17</v>
      </c>
      <c r="D3806" s="8">
        <v>376</v>
      </c>
      <c r="E3806" s="8">
        <v>180</v>
      </c>
      <c r="F3806" s="8">
        <v>281</v>
      </c>
      <c r="G3806" s="8">
        <v>1</v>
      </c>
      <c r="H3806" s="8">
        <v>10145</v>
      </c>
      <c r="I3806" s="8">
        <v>2</v>
      </c>
      <c r="J3806" s="8">
        <v>83</v>
      </c>
      <c r="K3806" s="8">
        <v>214</v>
      </c>
      <c r="L3806" s="8">
        <v>244</v>
      </c>
      <c r="M3806" s="8">
        <v>3.5</v>
      </c>
      <c r="N3806">
        <f>VLOOKUP(A3806,vlookup_table!$A:$G,2,FALSE)</f>
        <v>0</v>
      </c>
      <c r="O3806" t="str">
        <f>VLOOKUP(A3806,vlookup_table!$A:$G,3,FALSE)</f>
        <v>TX</v>
      </c>
      <c r="P3806">
        <f>VLOOKUP(A3806,vlookup_table!$A:$G,4,FALSE)</f>
        <v>3611</v>
      </c>
      <c r="Q3806" t="str">
        <f>VLOOKUP(A3806,vlookup_table!$A:$G,5,FALSE)</f>
        <v>R3</v>
      </c>
      <c r="R3806" t="str">
        <f>VLOOKUP(A3806,vlookup_table!$A:$G,6,FALSE)</f>
        <v>F</v>
      </c>
      <c r="S3806">
        <f>VLOOKUP(A3806,vlookup_table!$A:$G,7,FALSE)</f>
        <v>5</v>
      </c>
      <c r="T3806">
        <f t="shared" si="118"/>
        <v>60</v>
      </c>
      <c r="U3806" t="str">
        <f t="shared" si="119"/>
        <v>Rural</v>
      </c>
    </row>
    <row r="3807" spans="1:21" ht="16" x14ac:dyDescent="0.4">
      <c r="A3807" s="9">
        <v>136991</v>
      </c>
      <c r="B3807" s="8" t="s">
        <v>51</v>
      </c>
      <c r="C3807" s="8" t="s">
        <v>14</v>
      </c>
      <c r="D3807" s="8">
        <v>1074</v>
      </c>
      <c r="E3807" s="8">
        <v>469</v>
      </c>
      <c r="F3807" s="8">
        <v>516</v>
      </c>
      <c r="G3807" s="8">
        <v>11</v>
      </c>
      <c r="H3807" s="8">
        <v>18042</v>
      </c>
      <c r="I3807" s="8">
        <v>2</v>
      </c>
      <c r="J3807" s="8">
        <v>34</v>
      </c>
      <c r="K3807" s="8">
        <v>472</v>
      </c>
      <c r="L3807" s="8">
        <v>510</v>
      </c>
      <c r="M3807" s="8">
        <v>9.3636363639999995</v>
      </c>
      <c r="N3807">
        <f>VLOOKUP(A3807,vlookup_table!$A:$G,2,FALSE)</f>
        <v>0</v>
      </c>
      <c r="O3807" t="str">
        <f>VLOOKUP(A3807,vlookup_table!$A:$G,3,FALSE)</f>
        <v>AZ</v>
      </c>
      <c r="P3807">
        <f>VLOOKUP(A3807,vlookup_table!$A:$G,4,FALSE)</f>
        <v>4207</v>
      </c>
      <c r="Q3807" t="str">
        <f>VLOOKUP(A3807,vlookup_table!$A:$G,5,FALSE)</f>
        <v>T1</v>
      </c>
      <c r="R3807" t="str">
        <f>VLOOKUP(A3807,vlookup_table!$A:$G,6,FALSE)</f>
        <v>M</v>
      </c>
      <c r="S3807">
        <f>VLOOKUP(A3807,vlookup_table!$A:$G,7,FALSE)</f>
        <v>15</v>
      </c>
      <c r="T3807">
        <f t="shared" si="118"/>
        <v>54</v>
      </c>
      <c r="U3807" t="str">
        <f t="shared" si="119"/>
        <v>Pueblo</v>
      </c>
    </row>
    <row r="3808" spans="1:21" ht="16" x14ac:dyDescent="0.4">
      <c r="A3808" s="9">
        <v>133305</v>
      </c>
      <c r="B3808" s="8" t="s">
        <v>38</v>
      </c>
      <c r="C3808" s="8" t="s">
        <v>14</v>
      </c>
      <c r="D3808" s="8">
        <v>717</v>
      </c>
      <c r="E3808" s="8">
        <v>267</v>
      </c>
      <c r="F3808" s="8">
        <v>410</v>
      </c>
      <c r="G3808" s="8">
        <v>4</v>
      </c>
      <c r="H3808" s="8">
        <v>12937</v>
      </c>
      <c r="I3808" s="8">
        <v>0</v>
      </c>
      <c r="J3808" s="8">
        <v>53</v>
      </c>
      <c r="K3808" s="8">
        <v>304</v>
      </c>
      <c r="L3808" s="8">
        <v>381</v>
      </c>
      <c r="M3808" s="8">
        <v>8.75</v>
      </c>
      <c r="N3808">
        <f>VLOOKUP(A3808,vlookup_table!$A:$G,2,FALSE)</f>
        <v>0</v>
      </c>
      <c r="O3808" t="str">
        <f>VLOOKUP(A3808,vlookup_table!$A:$G,3,FALSE)</f>
        <v>ID</v>
      </c>
      <c r="P3808">
        <f>VLOOKUP(A3808,vlookup_table!$A:$G,4,FALSE)</f>
        <v>2801</v>
      </c>
      <c r="Q3808" t="str">
        <f>VLOOKUP(A3808,vlookup_table!$A:$G,5,FALSE)</f>
        <v>R2</v>
      </c>
      <c r="R3808" t="str">
        <f>VLOOKUP(A3808,vlookup_table!$A:$G,6,FALSE)</f>
        <v>M</v>
      </c>
      <c r="S3808">
        <f>VLOOKUP(A3808,vlookup_table!$A:$G,7,FALSE)</f>
        <v>5</v>
      </c>
      <c r="T3808">
        <f t="shared" si="118"/>
        <v>68</v>
      </c>
      <c r="U3808" t="str">
        <f t="shared" si="119"/>
        <v>Rural</v>
      </c>
    </row>
    <row r="3809" spans="1:21" ht="16" x14ac:dyDescent="0.4">
      <c r="A3809" s="9">
        <v>112148</v>
      </c>
      <c r="B3809" s="8" t="s">
        <v>29</v>
      </c>
      <c r="C3809" s="8" t="s">
        <v>14</v>
      </c>
      <c r="D3809" s="8">
        <v>543</v>
      </c>
      <c r="E3809" s="8">
        <v>198</v>
      </c>
      <c r="F3809" s="8">
        <v>285</v>
      </c>
      <c r="G3809" s="8">
        <v>1</v>
      </c>
      <c r="H3809" s="8">
        <v>11363</v>
      </c>
      <c r="I3809" s="8">
        <v>2</v>
      </c>
      <c r="J3809" s="8">
        <v>33</v>
      </c>
      <c r="K3809" s="8">
        <v>224</v>
      </c>
      <c r="L3809" s="8">
        <v>252</v>
      </c>
      <c r="M3809" s="8">
        <v>14.42857143</v>
      </c>
      <c r="N3809">
        <f>VLOOKUP(A3809,vlookup_table!$A:$G,2,FALSE)</f>
        <v>1</v>
      </c>
      <c r="O3809" t="str">
        <f>VLOOKUP(A3809,vlookup_table!$A:$G,3,FALSE)</f>
        <v>AR</v>
      </c>
      <c r="P3809">
        <f>VLOOKUP(A3809,vlookup_table!$A:$G,4,FALSE)</f>
        <v>1511</v>
      </c>
      <c r="Q3809" t="str">
        <f>VLOOKUP(A3809,vlookup_table!$A:$G,5,FALSE)</f>
        <v>T2</v>
      </c>
      <c r="R3809" t="str">
        <f>VLOOKUP(A3809,vlookup_table!$A:$G,6,FALSE)</f>
        <v>M</v>
      </c>
      <c r="S3809">
        <f>VLOOKUP(A3809,vlookup_table!$A:$G,7,FALSE)</f>
        <v>25</v>
      </c>
      <c r="T3809">
        <f t="shared" si="118"/>
        <v>81</v>
      </c>
      <c r="U3809" t="str">
        <f t="shared" si="119"/>
        <v>Pueblo</v>
      </c>
    </row>
    <row r="3810" spans="1:21" ht="16" x14ac:dyDescent="0.4">
      <c r="A3810" s="9">
        <v>25804</v>
      </c>
      <c r="B3810" s="8" t="s">
        <v>36</v>
      </c>
      <c r="C3810" s="8" t="s">
        <v>14</v>
      </c>
      <c r="D3810" s="8">
        <v>1276</v>
      </c>
      <c r="E3810" s="8">
        <v>523</v>
      </c>
      <c r="F3810" s="8">
        <v>572</v>
      </c>
      <c r="G3810" s="8">
        <v>29</v>
      </c>
      <c r="H3810" s="8">
        <v>16775</v>
      </c>
      <c r="I3810" s="8">
        <v>2</v>
      </c>
      <c r="J3810" s="8">
        <v>53</v>
      </c>
      <c r="K3810" s="8">
        <v>516</v>
      </c>
      <c r="L3810" s="8">
        <v>571</v>
      </c>
      <c r="M3810" s="8">
        <v>32.333333330000002</v>
      </c>
      <c r="N3810">
        <f>VLOOKUP(A3810,vlookup_table!$A:$G,2,FALSE)</f>
        <v>1</v>
      </c>
      <c r="O3810" t="str">
        <f>VLOOKUP(A3810,vlookup_table!$A:$G,3,FALSE)</f>
        <v>GA</v>
      </c>
      <c r="P3810">
        <f>VLOOKUP(A3810,vlookup_table!$A:$G,4,FALSE)</f>
        <v>5601</v>
      </c>
      <c r="Q3810" t="str">
        <f>VLOOKUP(A3810,vlookup_table!$A:$G,5,FALSE)</f>
        <v>T1</v>
      </c>
      <c r="R3810" t="str">
        <f>VLOOKUP(A3810,vlookup_table!$A:$G,6,FALSE)</f>
        <v>M</v>
      </c>
      <c r="S3810">
        <f>VLOOKUP(A3810,vlookup_table!$A:$G,7,FALSE)</f>
        <v>41</v>
      </c>
      <c r="T3810">
        <f t="shared" si="118"/>
        <v>40</v>
      </c>
      <c r="U3810" t="str">
        <f t="shared" si="119"/>
        <v>Pueblo</v>
      </c>
    </row>
    <row r="3811" spans="1:21" ht="16" x14ac:dyDescent="0.4">
      <c r="A3811" s="9">
        <v>20167</v>
      </c>
      <c r="B3811" s="8" t="s">
        <v>18</v>
      </c>
      <c r="C3811" s="8" t="s">
        <v>14</v>
      </c>
      <c r="D3811" s="8">
        <v>451</v>
      </c>
      <c r="E3811" s="8">
        <v>183</v>
      </c>
      <c r="F3811" s="8">
        <v>274</v>
      </c>
      <c r="G3811" s="8">
        <v>1</v>
      </c>
      <c r="H3811" s="8">
        <v>11232</v>
      </c>
      <c r="I3811" s="8">
        <v>1</v>
      </c>
      <c r="J3811" s="8">
        <v>84</v>
      </c>
      <c r="K3811" s="8">
        <v>226</v>
      </c>
      <c r="L3811" s="8">
        <v>236</v>
      </c>
      <c r="M3811" s="8">
        <v>18.333333329999999</v>
      </c>
      <c r="N3811">
        <f>VLOOKUP(A3811,vlookup_table!$A:$G,2,FALSE)</f>
        <v>1002</v>
      </c>
      <c r="O3811" t="str">
        <f>VLOOKUP(A3811,vlookup_table!$A:$G,3,FALSE)</f>
        <v>NC</v>
      </c>
      <c r="P3811">
        <f>VLOOKUP(A3811,vlookup_table!$A:$G,4,FALSE)</f>
        <v>0</v>
      </c>
      <c r="Q3811" t="str">
        <f>VLOOKUP(A3811,vlookup_table!$A:$G,5,FALSE)</f>
        <v>R2</v>
      </c>
      <c r="R3811" t="str">
        <f>VLOOKUP(A3811,vlookup_table!$A:$G,6,FALSE)</f>
        <v>M</v>
      </c>
      <c r="S3811">
        <f>VLOOKUP(A3811,vlookup_table!$A:$G,7,FALSE)</f>
        <v>25</v>
      </c>
      <c r="T3811">
        <f t="shared" si="118"/>
        <v>96</v>
      </c>
      <c r="U3811" t="str">
        <f t="shared" si="119"/>
        <v>Rural</v>
      </c>
    </row>
    <row r="3812" spans="1:21" ht="16" x14ac:dyDescent="0.4">
      <c r="A3812" s="9">
        <v>79717</v>
      </c>
      <c r="B3812" s="8" t="s">
        <v>32</v>
      </c>
      <c r="C3812" s="8" t="s">
        <v>14</v>
      </c>
      <c r="D3812" s="8">
        <v>860</v>
      </c>
      <c r="E3812" s="8">
        <v>409</v>
      </c>
      <c r="F3812" s="8">
        <v>479</v>
      </c>
      <c r="G3812" s="8">
        <v>0</v>
      </c>
      <c r="H3812" s="8">
        <v>16458</v>
      </c>
      <c r="I3812" s="8">
        <v>3</v>
      </c>
      <c r="J3812" s="8">
        <v>64</v>
      </c>
      <c r="K3812" s="8">
        <v>469</v>
      </c>
      <c r="L3812" s="8">
        <v>442</v>
      </c>
      <c r="M3812" s="8">
        <v>12.5</v>
      </c>
      <c r="N3812">
        <f>VLOOKUP(A3812,vlookup_table!$A:$G,2,FALSE)</f>
        <v>1</v>
      </c>
      <c r="O3812" t="str">
        <f>VLOOKUP(A3812,vlookup_table!$A:$G,3,FALSE)</f>
        <v>WI</v>
      </c>
      <c r="P3812">
        <f>VLOOKUP(A3812,vlookup_table!$A:$G,4,FALSE)</f>
        <v>5701</v>
      </c>
      <c r="Q3812" t="str">
        <f>VLOOKUP(A3812,vlookup_table!$A:$G,5,FALSE)</f>
        <v>S1</v>
      </c>
      <c r="R3812" t="str">
        <f>VLOOKUP(A3812,vlookup_table!$A:$G,6,FALSE)</f>
        <v>M</v>
      </c>
      <c r="S3812">
        <f>VLOOKUP(A3812,vlookup_table!$A:$G,7,FALSE)</f>
        <v>15</v>
      </c>
      <c r="T3812">
        <f t="shared" si="118"/>
        <v>39</v>
      </c>
      <c r="U3812" t="str">
        <f t="shared" si="119"/>
        <v>Suburbano</v>
      </c>
    </row>
    <row r="3813" spans="1:21" ht="16" x14ac:dyDescent="0.4">
      <c r="A3813" s="9">
        <v>32950</v>
      </c>
      <c r="B3813" s="8" t="s">
        <v>13</v>
      </c>
      <c r="C3813" s="8" t="s">
        <v>17</v>
      </c>
      <c r="D3813" s="8">
        <v>465</v>
      </c>
      <c r="E3813" s="8">
        <v>271</v>
      </c>
      <c r="F3813" s="8">
        <v>338</v>
      </c>
      <c r="G3813" s="8">
        <v>0</v>
      </c>
      <c r="H3813" s="8">
        <v>11843</v>
      </c>
      <c r="I3813" s="8">
        <v>2</v>
      </c>
      <c r="J3813" s="8">
        <v>49</v>
      </c>
      <c r="K3813" s="8">
        <v>295</v>
      </c>
      <c r="L3813" s="8">
        <v>298</v>
      </c>
      <c r="M3813" s="8">
        <v>5.2857142860000002</v>
      </c>
      <c r="N3813">
        <f>VLOOKUP(A3813,vlookup_table!$A:$G,2,FALSE)</f>
        <v>2</v>
      </c>
      <c r="O3813" t="str">
        <f>VLOOKUP(A3813,vlookup_table!$A:$G,3,FALSE)</f>
        <v>FL</v>
      </c>
      <c r="P3813">
        <f>VLOOKUP(A3813,vlookup_table!$A:$G,4,FALSE)</f>
        <v>4208</v>
      </c>
      <c r="Q3813" t="str">
        <f>VLOOKUP(A3813,vlookup_table!$A:$G,5,FALSE)</f>
        <v>S2</v>
      </c>
      <c r="R3813" t="str">
        <f>VLOOKUP(A3813,vlookup_table!$A:$G,6,FALSE)</f>
        <v>F</v>
      </c>
      <c r="S3813">
        <f>VLOOKUP(A3813,vlookup_table!$A:$G,7,FALSE)</f>
        <v>5</v>
      </c>
      <c r="T3813">
        <f t="shared" si="118"/>
        <v>54</v>
      </c>
      <c r="U3813" t="str">
        <f t="shared" si="119"/>
        <v>Suburbano</v>
      </c>
    </row>
    <row r="3814" spans="1:21" ht="16" x14ac:dyDescent="0.4">
      <c r="A3814" s="9">
        <v>187604</v>
      </c>
      <c r="B3814" s="8" t="s">
        <v>49</v>
      </c>
      <c r="C3814" s="8"/>
      <c r="D3814" s="8">
        <v>1349</v>
      </c>
      <c r="E3814" s="8">
        <v>481</v>
      </c>
      <c r="F3814" s="8">
        <v>628</v>
      </c>
      <c r="G3814" s="8">
        <v>21</v>
      </c>
      <c r="H3814" s="8">
        <v>22094</v>
      </c>
      <c r="I3814" s="8">
        <v>4</v>
      </c>
      <c r="J3814" s="8">
        <v>45</v>
      </c>
      <c r="K3814" s="8">
        <v>593</v>
      </c>
      <c r="L3814" s="8">
        <v>521</v>
      </c>
      <c r="M3814" s="8">
        <v>5.3</v>
      </c>
      <c r="N3814">
        <f>VLOOKUP(A3814,vlookup_table!$A:$G,2,FALSE)</f>
        <v>0</v>
      </c>
      <c r="O3814" t="str">
        <f>VLOOKUP(A3814,vlookup_table!$A:$G,3,FALSE)</f>
        <v>TN</v>
      </c>
      <c r="P3814">
        <f>VLOOKUP(A3814,vlookup_table!$A:$G,4,FALSE)</f>
        <v>0</v>
      </c>
      <c r="Q3814" t="str">
        <f>VLOOKUP(A3814,vlookup_table!$A:$G,5,FALSE)</f>
        <v>T1</v>
      </c>
      <c r="R3814" t="str">
        <f>VLOOKUP(A3814,vlookup_table!$A:$G,6,FALSE)</f>
        <v/>
      </c>
      <c r="S3814">
        <f>VLOOKUP(A3814,vlookup_table!$A:$G,7,FALSE)</f>
        <v>11</v>
      </c>
      <c r="T3814">
        <f t="shared" si="118"/>
        <v>96</v>
      </c>
      <c r="U3814" t="str">
        <f t="shared" si="119"/>
        <v>Pueblo</v>
      </c>
    </row>
    <row r="3815" spans="1:21" ht="16" x14ac:dyDescent="0.4">
      <c r="A3815" s="9">
        <v>45158</v>
      </c>
      <c r="B3815" s="8" t="s">
        <v>13</v>
      </c>
      <c r="C3815" s="8" t="s">
        <v>17</v>
      </c>
      <c r="D3815" s="8">
        <v>917</v>
      </c>
      <c r="E3815" s="8">
        <v>250</v>
      </c>
      <c r="F3815" s="8">
        <v>374</v>
      </c>
      <c r="G3815" s="8">
        <v>0</v>
      </c>
      <c r="H3815" s="8">
        <v>14202</v>
      </c>
      <c r="I3815" s="8">
        <v>11</v>
      </c>
      <c r="J3815" s="8">
        <v>16</v>
      </c>
      <c r="K3815" s="8">
        <v>286</v>
      </c>
      <c r="L3815" s="8">
        <v>318</v>
      </c>
      <c r="M3815" s="8">
        <v>8.5</v>
      </c>
      <c r="N3815">
        <f>VLOOKUP(A3815,vlookup_table!$A:$G,2,FALSE)</f>
        <v>0</v>
      </c>
      <c r="O3815" t="str">
        <f>VLOOKUP(A3815,vlookup_table!$A:$G,3,FALSE)</f>
        <v>FL</v>
      </c>
      <c r="P3815">
        <f>VLOOKUP(A3815,vlookup_table!$A:$G,4,FALSE)</f>
        <v>3408</v>
      </c>
      <c r="Q3815" t="str">
        <f>VLOOKUP(A3815,vlookup_table!$A:$G,5,FALSE)</f>
        <v>C2</v>
      </c>
      <c r="R3815" t="str">
        <f>VLOOKUP(A3815,vlookup_table!$A:$G,6,FALSE)</f>
        <v>F</v>
      </c>
      <c r="S3815">
        <f>VLOOKUP(A3815,vlookup_table!$A:$G,7,FALSE)</f>
        <v>10</v>
      </c>
      <c r="T3815">
        <f t="shared" si="118"/>
        <v>62</v>
      </c>
      <c r="U3815" t="str">
        <f t="shared" si="119"/>
        <v>Ciudad</v>
      </c>
    </row>
    <row r="3816" spans="1:21" ht="16" x14ac:dyDescent="0.4">
      <c r="A3816" s="9">
        <v>145885</v>
      </c>
      <c r="B3816" s="8" t="s">
        <v>21</v>
      </c>
      <c r="C3816" s="8" t="s">
        <v>17</v>
      </c>
      <c r="D3816" s="8">
        <v>3130</v>
      </c>
      <c r="E3816" s="8">
        <v>564</v>
      </c>
      <c r="F3816" s="8">
        <v>682</v>
      </c>
      <c r="G3816" s="8">
        <v>79</v>
      </c>
      <c r="H3816" s="8">
        <v>25384</v>
      </c>
      <c r="I3816" s="8">
        <v>18</v>
      </c>
      <c r="J3816" s="8">
        <v>47</v>
      </c>
      <c r="K3816" s="8">
        <v>624</v>
      </c>
      <c r="L3816" s="8">
        <v>631</v>
      </c>
      <c r="M3816" s="8">
        <v>20</v>
      </c>
      <c r="N3816">
        <f>VLOOKUP(A3816,vlookup_table!$A:$G,2,FALSE)</f>
        <v>0</v>
      </c>
      <c r="O3816" t="str">
        <f>VLOOKUP(A3816,vlookup_table!$A:$G,3,FALSE)</f>
        <v>CA</v>
      </c>
      <c r="P3816">
        <f>VLOOKUP(A3816,vlookup_table!$A:$G,4,FALSE)</f>
        <v>3801</v>
      </c>
      <c r="Q3816" t="str">
        <f>VLOOKUP(A3816,vlookup_table!$A:$G,5,FALSE)</f>
        <v>S1</v>
      </c>
      <c r="R3816" t="str">
        <f>VLOOKUP(A3816,vlookup_table!$A:$G,6,FALSE)</f>
        <v>F</v>
      </c>
      <c r="S3816">
        <f>VLOOKUP(A3816,vlookup_table!$A:$G,7,FALSE)</f>
        <v>20</v>
      </c>
      <c r="T3816">
        <f t="shared" si="118"/>
        <v>58</v>
      </c>
      <c r="U3816" t="str">
        <f t="shared" si="119"/>
        <v>Suburbano</v>
      </c>
    </row>
    <row r="3817" spans="1:21" ht="16" x14ac:dyDescent="0.4">
      <c r="A3817" s="9">
        <v>104401</v>
      </c>
      <c r="B3817" s="8" t="s">
        <v>25</v>
      </c>
      <c r="C3817" s="8" t="s">
        <v>17</v>
      </c>
      <c r="D3817" s="8">
        <v>850</v>
      </c>
      <c r="E3817" s="8">
        <v>270</v>
      </c>
      <c r="F3817" s="8">
        <v>534</v>
      </c>
      <c r="G3817" s="8">
        <v>4</v>
      </c>
      <c r="H3817" s="8">
        <v>14689</v>
      </c>
      <c r="I3817" s="8">
        <v>8</v>
      </c>
      <c r="J3817" s="8">
        <v>48</v>
      </c>
      <c r="K3817" s="8">
        <v>468</v>
      </c>
      <c r="L3817" s="8">
        <v>360</v>
      </c>
      <c r="M3817" s="8">
        <v>10.35714286</v>
      </c>
      <c r="N3817">
        <f>VLOOKUP(A3817,vlookup_table!$A:$G,2,FALSE)</f>
        <v>0</v>
      </c>
      <c r="O3817" t="str">
        <f>VLOOKUP(A3817,vlookup_table!$A:$G,3,FALSE)</f>
        <v>KS</v>
      </c>
      <c r="P3817">
        <f>VLOOKUP(A3817,vlookup_table!$A:$G,4,FALSE)</f>
        <v>2702</v>
      </c>
      <c r="Q3817" t="str">
        <f>VLOOKUP(A3817,vlookup_table!$A:$G,5,FALSE)</f>
        <v>C1</v>
      </c>
      <c r="R3817" t="str">
        <f>VLOOKUP(A3817,vlookup_table!$A:$G,6,FALSE)</f>
        <v>F</v>
      </c>
      <c r="S3817">
        <f>VLOOKUP(A3817,vlookup_table!$A:$G,7,FALSE)</f>
        <v>15</v>
      </c>
      <c r="T3817">
        <f t="shared" si="118"/>
        <v>69</v>
      </c>
      <c r="U3817" t="str">
        <f t="shared" si="119"/>
        <v>Ciudad</v>
      </c>
    </row>
    <row r="3818" spans="1:21" ht="16" x14ac:dyDescent="0.4">
      <c r="A3818" s="9">
        <v>176491</v>
      </c>
      <c r="B3818" s="8" t="s">
        <v>47</v>
      </c>
      <c r="C3818" s="8" t="s">
        <v>17</v>
      </c>
      <c r="D3818" s="8">
        <v>550</v>
      </c>
      <c r="E3818" s="8">
        <v>289</v>
      </c>
      <c r="F3818" s="8">
        <v>363</v>
      </c>
      <c r="G3818" s="8">
        <v>1</v>
      </c>
      <c r="H3818" s="8">
        <v>12798</v>
      </c>
      <c r="I3818" s="8">
        <v>3</v>
      </c>
      <c r="J3818" s="8">
        <v>58</v>
      </c>
      <c r="K3818" s="8">
        <v>345</v>
      </c>
      <c r="L3818" s="8">
        <v>327</v>
      </c>
      <c r="M3818" s="8">
        <v>16.5</v>
      </c>
      <c r="N3818">
        <f>VLOOKUP(A3818,vlookup_table!$A:$G,2,FALSE)</f>
        <v>0</v>
      </c>
      <c r="O3818" t="str">
        <f>VLOOKUP(A3818,vlookup_table!$A:$G,3,FALSE)</f>
        <v>OR</v>
      </c>
      <c r="P3818">
        <f>VLOOKUP(A3818,vlookup_table!$A:$G,4,FALSE)</f>
        <v>0</v>
      </c>
      <c r="Q3818" t="str">
        <f>VLOOKUP(A3818,vlookup_table!$A:$G,5,FALSE)</f>
        <v>R2</v>
      </c>
      <c r="R3818" t="str">
        <f>VLOOKUP(A3818,vlookup_table!$A:$G,6,FALSE)</f>
        <v>F</v>
      </c>
      <c r="S3818">
        <f>VLOOKUP(A3818,vlookup_table!$A:$G,7,FALSE)</f>
        <v>25</v>
      </c>
      <c r="T3818">
        <f t="shared" si="118"/>
        <v>96</v>
      </c>
      <c r="U3818" t="str">
        <f t="shared" si="119"/>
        <v>Rural</v>
      </c>
    </row>
    <row r="3819" spans="1:21" ht="16" x14ac:dyDescent="0.4">
      <c r="A3819" s="9">
        <v>89873</v>
      </c>
      <c r="B3819" s="8" t="s">
        <v>16</v>
      </c>
      <c r="C3819" s="8" t="s">
        <v>17</v>
      </c>
      <c r="D3819" s="8">
        <v>1865</v>
      </c>
      <c r="E3819" s="8">
        <v>549</v>
      </c>
      <c r="F3819" s="8">
        <v>669</v>
      </c>
      <c r="G3819" s="8">
        <v>43</v>
      </c>
      <c r="H3819" s="8">
        <v>20320</v>
      </c>
      <c r="I3819" s="8">
        <v>6</v>
      </c>
      <c r="J3819" s="8">
        <v>74</v>
      </c>
      <c r="K3819" s="8">
        <v>609</v>
      </c>
      <c r="L3819" s="8">
        <v>644</v>
      </c>
      <c r="M3819" s="8">
        <v>13.25</v>
      </c>
      <c r="N3819">
        <f>VLOOKUP(A3819,vlookup_table!$A:$G,2,FALSE)</f>
        <v>0</v>
      </c>
      <c r="O3819" t="str">
        <f>VLOOKUP(A3819,vlookup_table!$A:$G,3,FALSE)</f>
        <v>IL</v>
      </c>
      <c r="P3819">
        <f>VLOOKUP(A3819,vlookup_table!$A:$G,4,FALSE)</f>
        <v>4506</v>
      </c>
      <c r="Q3819" t="str">
        <f>VLOOKUP(A3819,vlookup_table!$A:$G,5,FALSE)</f>
        <v>T1</v>
      </c>
      <c r="R3819" t="str">
        <f>VLOOKUP(A3819,vlookup_table!$A:$G,6,FALSE)</f>
        <v>F</v>
      </c>
      <c r="S3819">
        <f>VLOOKUP(A3819,vlookup_table!$A:$G,7,FALSE)</f>
        <v>11</v>
      </c>
      <c r="T3819">
        <f t="shared" si="118"/>
        <v>51</v>
      </c>
      <c r="U3819" t="str">
        <f t="shared" si="119"/>
        <v>Pueblo</v>
      </c>
    </row>
    <row r="3820" spans="1:21" ht="16" x14ac:dyDescent="0.4">
      <c r="A3820" s="9">
        <v>1673</v>
      </c>
      <c r="B3820" s="8" t="s">
        <v>35</v>
      </c>
      <c r="C3820" s="8" t="s">
        <v>17</v>
      </c>
      <c r="D3820" s="8">
        <v>1033</v>
      </c>
      <c r="E3820" s="8">
        <v>427</v>
      </c>
      <c r="F3820" s="8">
        <v>536</v>
      </c>
      <c r="G3820" s="8">
        <v>14</v>
      </c>
      <c r="H3820" s="8">
        <v>12145</v>
      </c>
      <c r="I3820" s="8">
        <v>1</v>
      </c>
      <c r="J3820" s="8">
        <v>72</v>
      </c>
      <c r="K3820" s="8">
        <v>448</v>
      </c>
      <c r="L3820" s="8">
        <v>510</v>
      </c>
      <c r="M3820" s="8">
        <v>9.6875</v>
      </c>
      <c r="N3820">
        <f>VLOOKUP(A3820,vlookup_table!$A:$G,2,FALSE)</f>
        <v>0</v>
      </c>
      <c r="O3820" t="str">
        <f>VLOOKUP(A3820,vlookup_table!$A:$G,3,FALSE)</f>
        <v>UT</v>
      </c>
      <c r="P3820">
        <f>VLOOKUP(A3820,vlookup_table!$A:$G,4,FALSE)</f>
        <v>3001</v>
      </c>
      <c r="Q3820" t="str">
        <f>VLOOKUP(A3820,vlookup_table!$A:$G,5,FALSE)</f>
        <v>T1</v>
      </c>
      <c r="R3820" t="str">
        <f>VLOOKUP(A3820,vlookup_table!$A:$G,6,FALSE)</f>
        <v>F</v>
      </c>
      <c r="S3820">
        <f>VLOOKUP(A3820,vlookup_table!$A:$G,7,FALSE)</f>
        <v>40</v>
      </c>
      <c r="T3820">
        <f t="shared" si="118"/>
        <v>66</v>
      </c>
      <c r="U3820" t="str">
        <f t="shared" si="119"/>
        <v>Pueblo</v>
      </c>
    </row>
    <row r="3821" spans="1:21" ht="16" x14ac:dyDescent="0.4">
      <c r="A3821" s="9">
        <v>12874</v>
      </c>
      <c r="B3821" s="8" t="s">
        <v>52</v>
      </c>
      <c r="C3821" s="8" t="s">
        <v>17</v>
      </c>
      <c r="D3821" s="8">
        <v>403</v>
      </c>
      <c r="E3821" s="8">
        <v>199</v>
      </c>
      <c r="F3821" s="8">
        <v>301</v>
      </c>
      <c r="G3821" s="8">
        <v>0</v>
      </c>
      <c r="H3821" s="8">
        <v>10368</v>
      </c>
      <c r="I3821" s="8">
        <v>2</v>
      </c>
      <c r="J3821" s="8">
        <v>80</v>
      </c>
      <c r="K3821" s="8">
        <v>260</v>
      </c>
      <c r="L3821" s="8">
        <v>253</v>
      </c>
      <c r="M3821" s="8">
        <v>7.5714285710000002</v>
      </c>
      <c r="N3821">
        <f>VLOOKUP(A3821,vlookup_table!$A:$G,2,FALSE)</f>
        <v>2</v>
      </c>
      <c r="O3821" t="str">
        <f>VLOOKUP(A3821,vlookup_table!$A:$G,3,FALSE)</f>
        <v>MN</v>
      </c>
      <c r="P3821">
        <f>VLOOKUP(A3821,vlookup_table!$A:$G,4,FALSE)</f>
        <v>1606</v>
      </c>
      <c r="Q3821" t="str">
        <f>VLOOKUP(A3821,vlookup_table!$A:$G,5,FALSE)</f>
        <v>R2</v>
      </c>
      <c r="R3821" t="str">
        <f>VLOOKUP(A3821,vlookup_table!$A:$G,6,FALSE)</f>
        <v>F</v>
      </c>
      <c r="S3821">
        <f>VLOOKUP(A3821,vlookup_table!$A:$G,7,FALSE)</f>
        <v>10</v>
      </c>
      <c r="T3821">
        <f t="shared" si="118"/>
        <v>80</v>
      </c>
      <c r="U3821" t="str">
        <f t="shared" si="119"/>
        <v>Rural</v>
      </c>
    </row>
    <row r="3822" spans="1:21" ht="16" x14ac:dyDescent="0.4">
      <c r="A3822" s="9">
        <v>188851</v>
      </c>
      <c r="B3822" s="8" t="s">
        <v>21</v>
      </c>
      <c r="C3822" s="8" t="s">
        <v>14</v>
      </c>
      <c r="D3822" s="8">
        <v>2192</v>
      </c>
      <c r="E3822" s="8">
        <v>400</v>
      </c>
      <c r="F3822" s="8">
        <v>573</v>
      </c>
      <c r="G3822" s="8">
        <v>60</v>
      </c>
      <c r="H3822" s="8">
        <v>15755</v>
      </c>
      <c r="I3822" s="8">
        <v>31</v>
      </c>
      <c r="J3822" s="8">
        <v>48</v>
      </c>
      <c r="K3822" s="8">
        <v>410</v>
      </c>
      <c r="L3822" s="8">
        <v>515</v>
      </c>
      <c r="M3822" s="8">
        <v>24</v>
      </c>
      <c r="N3822">
        <f>VLOOKUP(A3822,vlookup_table!$A:$G,2,FALSE)</f>
        <v>1</v>
      </c>
      <c r="O3822" t="str">
        <f>VLOOKUP(A3822,vlookup_table!$A:$G,3,FALSE)</f>
        <v>CA</v>
      </c>
      <c r="P3822">
        <f>VLOOKUP(A3822,vlookup_table!$A:$G,4,FALSE)</f>
        <v>1601</v>
      </c>
      <c r="Q3822" t="str">
        <f>VLOOKUP(A3822,vlookup_table!$A:$G,5,FALSE)</f>
        <v>S2</v>
      </c>
      <c r="R3822" t="str">
        <f>VLOOKUP(A3822,vlookup_table!$A:$G,6,FALSE)</f>
        <v>M</v>
      </c>
      <c r="S3822">
        <f>VLOOKUP(A3822,vlookup_table!$A:$G,7,FALSE)</f>
        <v>23</v>
      </c>
      <c r="T3822">
        <f t="shared" si="118"/>
        <v>80</v>
      </c>
      <c r="U3822" t="str">
        <f t="shared" si="119"/>
        <v>Suburbano</v>
      </c>
    </row>
    <row r="3823" spans="1:21" ht="16" x14ac:dyDescent="0.4">
      <c r="A3823" s="9">
        <v>160258</v>
      </c>
      <c r="B3823" s="8" t="s">
        <v>21</v>
      </c>
      <c r="C3823" s="8" t="s">
        <v>14</v>
      </c>
      <c r="D3823" s="8">
        <v>2656</v>
      </c>
      <c r="E3823" s="8">
        <v>437</v>
      </c>
      <c r="F3823" s="8">
        <v>531</v>
      </c>
      <c r="G3823" s="8">
        <v>85</v>
      </c>
      <c r="H3823" s="8">
        <v>19931</v>
      </c>
      <c r="I3823" s="8">
        <v>18</v>
      </c>
      <c r="J3823" s="8">
        <v>46</v>
      </c>
      <c r="K3823" s="8">
        <v>492</v>
      </c>
      <c r="L3823" s="8">
        <v>488</v>
      </c>
      <c r="M3823" s="8">
        <v>8.6999999999999993</v>
      </c>
      <c r="N3823">
        <f>VLOOKUP(A3823,vlookup_table!$A:$G,2,FALSE)</f>
        <v>0</v>
      </c>
      <c r="O3823" t="str">
        <f>VLOOKUP(A3823,vlookup_table!$A:$G,3,FALSE)</f>
        <v>CA</v>
      </c>
      <c r="P3823">
        <f>VLOOKUP(A3823,vlookup_table!$A:$G,4,FALSE)</f>
        <v>1803</v>
      </c>
      <c r="Q3823" t="str">
        <f>VLOOKUP(A3823,vlookup_table!$A:$G,5,FALSE)</f>
        <v>C1</v>
      </c>
      <c r="R3823" t="str">
        <f>VLOOKUP(A3823,vlookup_table!$A:$G,6,FALSE)</f>
        <v>M</v>
      </c>
      <c r="S3823">
        <f>VLOOKUP(A3823,vlookup_table!$A:$G,7,FALSE)</f>
        <v>15</v>
      </c>
      <c r="T3823">
        <f t="shared" si="118"/>
        <v>78</v>
      </c>
      <c r="U3823" t="str">
        <f t="shared" si="119"/>
        <v>Ciudad</v>
      </c>
    </row>
    <row r="3824" spans="1:21" ht="16" x14ac:dyDescent="0.4">
      <c r="A3824" s="9">
        <v>108760</v>
      </c>
      <c r="B3824" s="8" t="s">
        <v>46</v>
      </c>
      <c r="C3824" s="8" t="s">
        <v>17</v>
      </c>
      <c r="D3824" s="8">
        <v>564</v>
      </c>
      <c r="E3824" s="8">
        <v>211</v>
      </c>
      <c r="F3824" s="8">
        <v>285</v>
      </c>
      <c r="G3824" s="8">
        <v>1</v>
      </c>
      <c r="H3824" s="8">
        <v>8384</v>
      </c>
      <c r="I3824" s="8">
        <v>0</v>
      </c>
      <c r="J3824" s="8">
        <v>86</v>
      </c>
      <c r="K3824" s="8">
        <v>251</v>
      </c>
      <c r="L3824" s="8">
        <v>254</v>
      </c>
      <c r="M3824" s="8">
        <v>15</v>
      </c>
      <c r="N3824">
        <f>VLOOKUP(A3824,vlookup_table!$A:$G,2,FALSE)</f>
        <v>2</v>
      </c>
      <c r="O3824" t="str">
        <f>VLOOKUP(A3824,vlookup_table!$A:$G,3,FALSE)</f>
        <v>LA</v>
      </c>
      <c r="P3824">
        <f>VLOOKUP(A3824,vlookup_table!$A:$G,4,FALSE)</f>
        <v>0</v>
      </c>
      <c r="Q3824" t="str">
        <f>VLOOKUP(A3824,vlookup_table!$A:$G,5,FALSE)</f>
        <v>R3</v>
      </c>
      <c r="R3824" t="str">
        <f>VLOOKUP(A3824,vlookup_table!$A:$G,6,FALSE)</f>
        <v>F</v>
      </c>
      <c r="S3824">
        <f>VLOOKUP(A3824,vlookup_table!$A:$G,7,FALSE)</f>
        <v>22</v>
      </c>
      <c r="T3824">
        <f t="shared" si="118"/>
        <v>96</v>
      </c>
      <c r="U3824" t="str">
        <f t="shared" si="119"/>
        <v>Rural</v>
      </c>
    </row>
    <row r="3825" spans="1:21" ht="16" x14ac:dyDescent="0.4">
      <c r="A3825" s="9">
        <v>187696</v>
      </c>
      <c r="B3825" s="8" t="s">
        <v>20</v>
      </c>
      <c r="C3825" s="8" t="s">
        <v>17</v>
      </c>
      <c r="D3825" s="8">
        <v>1182</v>
      </c>
      <c r="E3825" s="8">
        <v>269</v>
      </c>
      <c r="F3825" s="8">
        <v>482</v>
      </c>
      <c r="G3825" s="8">
        <v>0</v>
      </c>
      <c r="H3825" s="8">
        <v>16352</v>
      </c>
      <c r="I3825" s="8">
        <v>12</v>
      </c>
      <c r="J3825" s="8">
        <v>39</v>
      </c>
      <c r="K3825" s="8">
        <v>374</v>
      </c>
      <c r="L3825" s="8">
        <v>361</v>
      </c>
      <c r="M3825" s="8">
        <v>17.5</v>
      </c>
      <c r="N3825">
        <f>VLOOKUP(A3825,vlookup_table!$A:$G,2,FALSE)</f>
        <v>28</v>
      </c>
      <c r="O3825" t="str">
        <f>VLOOKUP(A3825,vlookup_table!$A:$G,3,FALSE)</f>
        <v>TX</v>
      </c>
      <c r="P3825">
        <f>VLOOKUP(A3825,vlookup_table!$A:$G,4,FALSE)</f>
        <v>0</v>
      </c>
      <c r="Q3825" t="str">
        <f>VLOOKUP(A3825,vlookup_table!$A:$G,5,FALSE)</f>
        <v>C1</v>
      </c>
      <c r="R3825" t="str">
        <f>VLOOKUP(A3825,vlookup_table!$A:$G,6,FALSE)</f>
        <v>F</v>
      </c>
      <c r="S3825">
        <f>VLOOKUP(A3825,vlookup_table!$A:$G,7,FALSE)</f>
        <v>10</v>
      </c>
      <c r="T3825">
        <f t="shared" si="118"/>
        <v>96</v>
      </c>
      <c r="U3825" t="str">
        <f t="shared" si="119"/>
        <v>Ciudad</v>
      </c>
    </row>
    <row r="3826" spans="1:21" ht="16" x14ac:dyDescent="0.4">
      <c r="A3826" s="9">
        <v>66199</v>
      </c>
      <c r="B3826" s="8" t="s">
        <v>26</v>
      </c>
      <c r="C3826" s="8" t="s">
        <v>17</v>
      </c>
      <c r="D3826" s="8">
        <v>646</v>
      </c>
      <c r="E3826" s="8">
        <v>377</v>
      </c>
      <c r="F3826" s="8">
        <v>439</v>
      </c>
      <c r="G3826" s="8">
        <v>0</v>
      </c>
      <c r="H3826" s="8">
        <v>18681</v>
      </c>
      <c r="I3826" s="8">
        <v>2</v>
      </c>
      <c r="J3826" s="8">
        <v>80</v>
      </c>
      <c r="K3826" s="8">
        <v>399</v>
      </c>
      <c r="L3826" s="8">
        <v>408</v>
      </c>
      <c r="M3826" s="8">
        <v>4.6666666670000003</v>
      </c>
      <c r="N3826">
        <f>VLOOKUP(A3826,vlookup_table!$A:$G,2,FALSE)</f>
        <v>0</v>
      </c>
      <c r="O3826" t="str">
        <f>VLOOKUP(A3826,vlookup_table!$A:$G,3,FALSE)</f>
        <v>MI</v>
      </c>
      <c r="P3826">
        <f>VLOOKUP(A3826,vlookup_table!$A:$G,4,FALSE)</f>
        <v>0</v>
      </c>
      <c r="Q3826" t="str">
        <f>VLOOKUP(A3826,vlookup_table!$A:$G,5,FALSE)</f>
        <v>S2</v>
      </c>
      <c r="R3826" t="str">
        <f>VLOOKUP(A3826,vlookup_table!$A:$G,6,FALSE)</f>
        <v>F</v>
      </c>
      <c r="S3826">
        <f>VLOOKUP(A3826,vlookup_table!$A:$G,7,FALSE)</f>
        <v>5</v>
      </c>
      <c r="T3826">
        <f t="shared" si="118"/>
        <v>96</v>
      </c>
      <c r="U3826" t="str">
        <f t="shared" si="119"/>
        <v>Suburbano</v>
      </c>
    </row>
    <row r="3827" spans="1:21" ht="16" x14ac:dyDescent="0.4">
      <c r="A3827" s="9">
        <v>104905</v>
      </c>
      <c r="B3827" s="8" t="s">
        <v>25</v>
      </c>
      <c r="C3827" s="8" t="s">
        <v>17</v>
      </c>
      <c r="D3827" s="8">
        <v>877</v>
      </c>
      <c r="E3827" s="8">
        <v>382</v>
      </c>
      <c r="F3827" s="8">
        <v>554</v>
      </c>
      <c r="G3827" s="8">
        <v>1</v>
      </c>
      <c r="H3827" s="8">
        <v>22091</v>
      </c>
      <c r="I3827" s="8">
        <v>2</v>
      </c>
      <c r="J3827" s="8">
        <v>42</v>
      </c>
      <c r="K3827" s="8">
        <v>503</v>
      </c>
      <c r="L3827" s="8">
        <v>460</v>
      </c>
      <c r="M3827" s="8">
        <v>11.42857143</v>
      </c>
      <c r="N3827">
        <f>VLOOKUP(A3827,vlookup_table!$A:$G,2,FALSE)</f>
        <v>0</v>
      </c>
      <c r="O3827" t="str">
        <f>VLOOKUP(A3827,vlookup_table!$A:$G,3,FALSE)</f>
        <v>KS</v>
      </c>
      <c r="P3827">
        <f>VLOOKUP(A3827,vlookup_table!$A:$G,4,FALSE)</f>
        <v>5401</v>
      </c>
      <c r="Q3827" t="str">
        <f>VLOOKUP(A3827,vlookup_table!$A:$G,5,FALSE)</f>
        <v>S1</v>
      </c>
      <c r="R3827" t="str">
        <f>VLOOKUP(A3827,vlookup_table!$A:$G,6,FALSE)</f>
        <v>F</v>
      </c>
      <c r="S3827">
        <f>VLOOKUP(A3827,vlookup_table!$A:$G,7,FALSE)</f>
        <v>15</v>
      </c>
      <c r="T3827">
        <f t="shared" si="118"/>
        <v>42</v>
      </c>
      <c r="U3827" t="str">
        <f t="shared" si="119"/>
        <v>Suburbano</v>
      </c>
    </row>
    <row r="3828" spans="1:21" ht="16" x14ac:dyDescent="0.4">
      <c r="A3828" s="9">
        <v>102665</v>
      </c>
      <c r="B3828" s="8" t="s">
        <v>33</v>
      </c>
      <c r="C3828" s="8" t="s">
        <v>14</v>
      </c>
      <c r="D3828" s="8">
        <v>424</v>
      </c>
      <c r="E3828" s="8">
        <v>215</v>
      </c>
      <c r="F3828" s="8">
        <v>277</v>
      </c>
      <c r="G3828" s="8">
        <v>0</v>
      </c>
      <c r="H3828" s="8">
        <v>9603</v>
      </c>
      <c r="I3828" s="8">
        <v>0</v>
      </c>
      <c r="J3828" s="8">
        <v>81</v>
      </c>
      <c r="K3828" s="8">
        <v>255</v>
      </c>
      <c r="L3828" s="8">
        <v>242</v>
      </c>
      <c r="M3828" s="8">
        <v>8.75</v>
      </c>
      <c r="N3828">
        <f>VLOOKUP(A3828,vlookup_table!$A:$G,2,FALSE)</f>
        <v>1</v>
      </c>
      <c r="O3828" t="str">
        <f>VLOOKUP(A3828,vlookup_table!$A:$G,3,FALSE)</f>
        <v>MO</v>
      </c>
      <c r="P3828">
        <f>VLOOKUP(A3828,vlookup_table!$A:$G,4,FALSE)</f>
        <v>4001</v>
      </c>
      <c r="Q3828" t="str">
        <f>VLOOKUP(A3828,vlookup_table!$A:$G,5,FALSE)</f>
        <v>C3</v>
      </c>
      <c r="R3828" t="str">
        <f>VLOOKUP(A3828,vlookup_table!$A:$G,6,FALSE)</f>
        <v>M</v>
      </c>
      <c r="S3828">
        <f>VLOOKUP(A3828,vlookup_table!$A:$G,7,FALSE)</f>
        <v>20</v>
      </c>
      <c r="T3828">
        <f t="shared" si="118"/>
        <v>56</v>
      </c>
      <c r="U3828" t="str">
        <f t="shared" si="119"/>
        <v>Ciudad</v>
      </c>
    </row>
    <row r="3829" spans="1:21" ht="16" x14ac:dyDescent="0.4">
      <c r="A3829" s="9">
        <v>137199</v>
      </c>
      <c r="B3829" s="8" t="s">
        <v>51</v>
      </c>
      <c r="C3829" s="8" t="s">
        <v>97</v>
      </c>
      <c r="D3829" s="8">
        <v>723</v>
      </c>
      <c r="E3829" s="8">
        <v>270</v>
      </c>
      <c r="F3829" s="8">
        <v>386</v>
      </c>
      <c r="G3829" s="8">
        <v>0</v>
      </c>
      <c r="H3829" s="8">
        <v>20233</v>
      </c>
      <c r="I3829" s="8">
        <v>8</v>
      </c>
      <c r="J3829" s="8">
        <v>1</v>
      </c>
      <c r="K3829" s="8">
        <v>335</v>
      </c>
      <c r="L3829" s="8">
        <v>321</v>
      </c>
      <c r="M3829" s="8">
        <v>7.6</v>
      </c>
      <c r="N3829">
        <f>VLOOKUP(A3829,vlookup_table!$A:$G,2,FALSE)</f>
        <v>2</v>
      </c>
      <c r="O3829" t="str">
        <f>VLOOKUP(A3829,vlookup_table!$A:$G,3,FALSE)</f>
        <v>AZ</v>
      </c>
      <c r="P3829">
        <f>VLOOKUP(A3829,vlookup_table!$A:$G,4,FALSE)</f>
        <v>808</v>
      </c>
      <c r="Q3829" t="str">
        <f>VLOOKUP(A3829,vlookup_table!$A:$G,5,FALSE)</f>
        <v>C1</v>
      </c>
      <c r="R3829" t="str">
        <f>VLOOKUP(A3829,vlookup_table!$A:$G,6,FALSE)</f>
        <v>F</v>
      </c>
      <c r="S3829">
        <f>VLOOKUP(A3829,vlookup_table!$A:$G,7,FALSE)</f>
        <v>10</v>
      </c>
      <c r="T3829">
        <f t="shared" si="118"/>
        <v>16</v>
      </c>
      <c r="U3829" t="str">
        <f t="shared" si="119"/>
        <v>Ciudad</v>
      </c>
    </row>
    <row r="3830" spans="1:21" ht="16" x14ac:dyDescent="0.4">
      <c r="A3830" s="9">
        <v>159507</v>
      </c>
      <c r="B3830" s="8" t="s">
        <v>21</v>
      </c>
      <c r="C3830" s="8" t="s">
        <v>17</v>
      </c>
      <c r="D3830" s="8">
        <v>928</v>
      </c>
      <c r="E3830" s="8">
        <v>409</v>
      </c>
      <c r="F3830" s="8">
        <v>541</v>
      </c>
      <c r="G3830" s="8">
        <v>5</v>
      </c>
      <c r="H3830" s="8">
        <v>19428</v>
      </c>
      <c r="I3830" s="8">
        <v>1</v>
      </c>
      <c r="J3830" s="8">
        <v>65</v>
      </c>
      <c r="K3830" s="8">
        <v>484</v>
      </c>
      <c r="L3830" s="8">
        <v>456</v>
      </c>
      <c r="M3830" s="8">
        <v>20</v>
      </c>
      <c r="N3830">
        <f>VLOOKUP(A3830,vlookup_table!$A:$G,2,FALSE)</f>
        <v>0</v>
      </c>
      <c r="O3830" t="str">
        <f>VLOOKUP(A3830,vlookup_table!$A:$G,3,FALSE)</f>
        <v>CA</v>
      </c>
      <c r="P3830">
        <f>VLOOKUP(A3830,vlookup_table!$A:$G,4,FALSE)</f>
        <v>2301</v>
      </c>
      <c r="Q3830" t="str">
        <f>VLOOKUP(A3830,vlookup_table!$A:$G,5,FALSE)</f>
        <v>T2</v>
      </c>
      <c r="R3830" t="str">
        <f>VLOOKUP(A3830,vlookup_table!$A:$G,6,FALSE)</f>
        <v>F</v>
      </c>
      <c r="S3830">
        <f>VLOOKUP(A3830,vlookup_table!$A:$G,7,FALSE)</f>
        <v>20</v>
      </c>
      <c r="T3830">
        <f t="shared" si="118"/>
        <v>73</v>
      </c>
      <c r="U3830" t="str">
        <f t="shared" si="119"/>
        <v>Pueblo</v>
      </c>
    </row>
    <row r="3831" spans="1:21" ht="16" x14ac:dyDescent="0.4">
      <c r="A3831" s="9">
        <v>137577</v>
      </c>
      <c r="B3831" s="8" t="s">
        <v>51</v>
      </c>
      <c r="C3831" s="8" t="s">
        <v>14</v>
      </c>
      <c r="D3831" s="8">
        <v>1052</v>
      </c>
      <c r="E3831" s="8">
        <v>505</v>
      </c>
      <c r="F3831" s="8">
        <v>525</v>
      </c>
      <c r="G3831" s="8">
        <v>0</v>
      </c>
      <c r="H3831" s="8">
        <v>27683</v>
      </c>
      <c r="I3831" s="8">
        <v>0</v>
      </c>
      <c r="J3831" s="8">
        <v>54</v>
      </c>
      <c r="K3831" s="8">
        <v>505</v>
      </c>
      <c r="L3831" s="8">
        <v>525</v>
      </c>
      <c r="M3831" s="8">
        <v>7.2</v>
      </c>
      <c r="N3831">
        <f>VLOOKUP(A3831,vlookup_table!$A:$G,2,FALSE)</f>
        <v>0</v>
      </c>
      <c r="O3831" t="str">
        <f>VLOOKUP(A3831,vlookup_table!$A:$G,3,FALSE)</f>
        <v>AZ</v>
      </c>
      <c r="P3831">
        <f>VLOOKUP(A3831,vlookup_table!$A:$G,4,FALSE)</f>
        <v>0</v>
      </c>
      <c r="Q3831" t="str">
        <f>VLOOKUP(A3831,vlookup_table!$A:$G,5,FALSE)</f>
        <v>S1</v>
      </c>
      <c r="R3831" t="str">
        <f>VLOOKUP(A3831,vlookup_table!$A:$G,6,FALSE)</f>
        <v>M</v>
      </c>
      <c r="S3831">
        <f>VLOOKUP(A3831,vlookup_table!$A:$G,7,FALSE)</f>
        <v>10</v>
      </c>
      <c r="T3831">
        <f t="shared" si="118"/>
        <v>96</v>
      </c>
      <c r="U3831" t="str">
        <f t="shared" si="119"/>
        <v>Suburbano</v>
      </c>
    </row>
    <row r="3832" spans="1:21" ht="16" x14ac:dyDescent="0.4">
      <c r="A3832" s="9">
        <v>113805</v>
      </c>
      <c r="B3832" s="8" t="s">
        <v>28</v>
      </c>
      <c r="C3832" s="8" t="s">
        <v>17</v>
      </c>
      <c r="D3832" s="8">
        <v>392</v>
      </c>
      <c r="E3832" s="8">
        <v>216</v>
      </c>
      <c r="F3832" s="8">
        <v>355</v>
      </c>
      <c r="G3832" s="8">
        <v>0</v>
      </c>
      <c r="H3832" s="8">
        <v>14127</v>
      </c>
      <c r="I3832" s="8">
        <v>0</v>
      </c>
      <c r="J3832" s="8">
        <v>81</v>
      </c>
      <c r="K3832" s="8">
        <v>238</v>
      </c>
      <c r="L3832" s="8">
        <v>322</v>
      </c>
      <c r="M3832" s="8">
        <v>10.95454546</v>
      </c>
      <c r="N3832">
        <f>VLOOKUP(A3832,vlookup_table!$A:$G,2,FALSE)</f>
        <v>0</v>
      </c>
      <c r="O3832" t="str">
        <f>VLOOKUP(A3832,vlookup_table!$A:$G,3,FALSE)</f>
        <v>OK</v>
      </c>
      <c r="P3832">
        <f>VLOOKUP(A3832,vlookup_table!$A:$G,4,FALSE)</f>
        <v>2001</v>
      </c>
      <c r="Q3832" t="str">
        <f>VLOOKUP(A3832,vlookup_table!$A:$G,5,FALSE)</f>
        <v>T2</v>
      </c>
      <c r="R3832" t="str">
        <f>VLOOKUP(A3832,vlookup_table!$A:$G,6,FALSE)</f>
        <v>F</v>
      </c>
      <c r="S3832">
        <f>VLOOKUP(A3832,vlookup_table!$A:$G,7,FALSE)</f>
        <v>20</v>
      </c>
      <c r="T3832">
        <f t="shared" si="118"/>
        <v>76</v>
      </c>
      <c r="U3832" t="str">
        <f t="shared" si="119"/>
        <v>Pueblo</v>
      </c>
    </row>
    <row r="3833" spans="1:21" ht="16" x14ac:dyDescent="0.4">
      <c r="A3833" s="9">
        <v>46203</v>
      </c>
      <c r="B3833" s="8" t="s">
        <v>21</v>
      </c>
      <c r="C3833" s="8" t="s">
        <v>17</v>
      </c>
      <c r="D3833" s="8">
        <v>2347</v>
      </c>
      <c r="E3833" s="8">
        <v>471</v>
      </c>
      <c r="F3833" s="8">
        <v>669</v>
      </c>
      <c r="G3833" s="8">
        <v>68</v>
      </c>
      <c r="H3833" s="8">
        <v>30302</v>
      </c>
      <c r="I3833" s="8">
        <v>12</v>
      </c>
      <c r="J3833" s="8">
        <v>41</v>
      </c>
      <c r="K3833" s="8">
        <v>570</v>
      </c>
      <c r="L3833" s="8">
        <v>574</v>
      </c>
      <c r="M3833" s="8">
        <v>7.8</v>
      </c>
      <c r="N3833">
        <f>VLOOKUP(A3833,vlookup_table!$A:$G,2,FALSE)</f>
        <v>0</v>
      </c>
      <c r="O3833" t="str">
        <f>VLOOKUP(A3833,vlookup_table!$A:$G,3,FALSE)</f>
        <v>CA</v>
      </c>
      <c r="P3833">
        <f>VLOOKUP(A3833,vlookup_table!$A:$G,4,FALSE)</f>
        <v>3701</v>
      </c>
      <c r="Q3833" t="str">
        <f>VLOOKUP(A3833,vlookup_table!$A:$G,5,FALSE)</f>
        <v>U1</v>
      </c>
      <c r="R3833" t="str">
        <f>VLOOKUP(A3833,vlookup_table!$A:$G,6,FALSE)</f>
        <v>F</v>
      </c>
      <c r="S3833">
        <f>VLOOKUP(A3833,vlookup_table!$A:$G,7,FALSE)</f>
        <v>10</v>
      </c>
      <c r="T3833">
        <f t="shared" si="118"/>
        <v>59</v>
      </c>
      <c r="U3833" t="str">
        <f t="shared" si="119"/>
        <v>Urbano</v>
      </c>
    </row>
    <row r="3834" spans="1:21" ht="16" x14ac:dyDescent="0.4">
      <c r="A3834" s="9">
        <v>78753</v>
      </c>
      <c r="B3834" s="8" t="s">
        <v>32</v>
      </c>
      <c r="C3834" s="8" t="s">
        <v>17</v>
      </c>
      <c r="D3834" s="8">
        <v>668</v>
      </c>
      <c r="E3834" s="8">
        <v>174</v>
      </c>
      <c r="F3834" s="8">
        <v>330</v>
      </c>
      <c r="G3834" s="8">
        <v>0</v>
      </c>
      <c r="H3834" s="8">
        <v>12685</v>
      </c>
      <c r="I3834" s="8">
        <v>7</v>
      </c>
      <c r="J3834" s="8">
        <v>73</v>
      </c>
      <c r="K3834" s="8">
        <v>271</v>
      </c>
      <c r="L3834" s="8">
        <v>241</v>
      </c>
      <c r="M3834" s="8">
        <v>3.2857142860000002</v>
      </c>
      <c r="N3834">
        <f>VLOOKUP(A3834,vlookup_table!$A:$G,2,FALSE)</f>
        <v>0</v>
      </c>
      <c r="O3834" t="str">
        <f>VLOOKUP(A3834,vlookup_table!$A:$G,3,FALSE)</f>
        <v>WI</v>
      </c>
      <c r="P3834">
        <f>VLOOKUP(A3834,vlookup_table!$A:$G,4,FALSE)</f>
        <v>1801</v>
      </c>
      <c r="Q3834" t="str">
        <f>VLOOKUP(A3834,vlookup_table!$A:$G,5,FALSE)</f>
        <v>U2</v>
      </c>
      <c r="R3834" t="str">
        <f>VLOOKUP(A3834,vlookup_table!$A:$G,6,FALSE)</f>
        <v>F</v>
      </c>
      <c r="S3834">
        <f>VLOOKUP(A3834,vlookup_table!$A:$G,7,FALSE)</f>
        <v>3</v>
      </c>
      <c r="T3834">
        <f t="shared" si="118"/>
        <v>78</v>
      </c>
      <c r="U3834" t="str">
        <f t="shared" si="119"/>
        <v>Urbano</v>
      </c>
    </row>
    <row r="3835" spans="1:21" ht="16" x14ac:dyDescent="0.4">
      <c r="A3835" s="9">
        <v>189711</v>
      </c>
      <c r="B3835" s="8" t="s">
        <v>51</v>
      </c>
      <c r="C3835" s="8" t="s">
        <v>14</v>
      </c>
      <c r="D3835" s="8">
        <v>727</v>
      </c>
      <c r="E3835" s="8">
        <v>350</v>
      </c>
      <c r="F3835" s="8">
        <v>426</v>
      </c>
      <c r="G3835" s="8">
        <v>0</v>
      </c>
      <c r="H3835" s="8">
        <v>20399</v>
      </c>
      <c r="I3835" s="8">
        <v>5</v>
      </c>
      <c r="J3835" s="8">
        <v>13</v>
      </c>
      <c r="K3835" s="8">
        <v>381</v>
      </c>
      <c r="L3835" s="8">
        <v>399</v>
      </c>
      <c r="M3835" s="8">
        <v>4.625</v>
      </c>
      <c r="N3835">
        <f>VLOOKUP(A3835,vlookup_table!$A:$G,2,FALSE)</f>
        <v>1</v>
      </c>
      <c r="O3835" t="str">
        <f>VLOOKUP(A3835,vlookup_table!$A:$G,3,FALSE)</f>
        <v>AZ</v>
      </c>
      <c r="P3835">
        <f>VLOOKUP(A3835,vlookup_table!$A:$G,4,FALSE)</f>
        <v>0</v>
      </c>
      <c r="Q3835" t="str">
        <f>VLOOKUP(A3835,vlookup_table!$A:$G,5,FALSE)</f>
        <v>S2</v>
      </c>
      <c r="R3835" t="str">
        <f>VLOOKUP(A3835,vlookup_table!$A:$G,6,FALSE)</f>
        <v>M</v>
      </c>
      <c r="S3835">
        <f>VLOOKUP(A3835,vlookup_table!$A:$G,7,FALSE)</f>
        <v>10</v>
      </c>
      <c r="T3835">
        <f t="shared" si="118"/>
        <v>96</v>
      </c>
      <c r="U3835" t="str">
        <f t="shared" si="119"/>
        <v>Suburbano</v>
      </c>
    </row>
    <row r="3836" spans="1:21" ht="16" x14ac:dyDescent="0.4">
      <c r="A3836" s="9">
        <v>160972</v>
      </c>
      <c r="B3836" s="8" t="s">
        <v>21</v>
      </c>
      <c r="C3836" s="8" t="s">
        <v>14</v>
      </c>
      <c r="D3836" s="8">
        <v>1053</v>
      </c>
      <c r="E3836" s="8">
        <v>607</v>
      </c>
      <c r="F3836" s="8">
        <v>647</v>
      </c>
      <c r="G3836" s="8">
        <v>1</v>
      </c>
      <c r="H3836" s="8">
        <v>23739</v>
      </c>
      <c r="I3836" s="8">
        <v>4</v>
      </c>
      <c r="J3836" s="8">
        <v>40</v>
      </c>
      <c r="K3836" s="8">
        <v>631</v>
      </c>
      <c r="L3836" s="8">
        <v>609</v>
      </c>
      <c r="M3836" s="8">
        <v>28.53846154</v>
      </c>
      <c r="N3836">
        <f>VLOOKUP(A3836,vlookup_table!$A:$G,2,FALSE)</f>
        <v>1</v>
      </c>
      <c r="O3836" t="str">
        <f>VLOOKUP(A3836,vlookup_table!$A:$G,3,FALSE)</f>
        <v>CA</v>
      </c>
      <c r="P3836">
        <f>VLOOKUP(A3836,vlookup_table!$A:$G,4,FALSE)</f>
        <v>1901</v>
      </c>
      <c r="Q3836" t="str">
        <f>VLOOKUP(A3836,vlookup_table!$A:$G,5,FALSE)</f>
        <v>T1</v>
      </c>
      <c r="R3836" t="str">
        <f>VLOOKUP(A3836,vlookup_table!$A:$G,6,FALSE)</f>
        <v>M</v>
      </c>
      <c r="S3836">
        <f>VLOOKUP(A3836,vlookup_table!$A:$G,7,FALSE)</f>
        <v>53</v>
      </c>
      <c r="T3836">
        <f t="shared" si="118"/>
        <v>77</v>
      </c>
      <c r="U3836" t="str">
        <f t="shared" si="119"/>
        <v>Pueblo</v>
      </c>
    </row>
    <row r="3837" spans="1:21" ht="16" x14ac:dyDescent="0.4">
      <c r="A3837" s="9">
        <v>28514</v>
      </c>
      <c r="B3837" s="8" t="s">
        <v>36</v>
      </c>
      <c r="C3837" s="8" t="s">
        <v>17</v>
      </c>
      <c r="D3837" s="8">
        <v>2159</v>
      </c>
      <c r="E3837" s="8">
        <v>871</v>
      </c>
      <c r="F3837" s="8">
        <v>968</v>
      </c>
      <c r="G3837" s="8">
        <v>59</v>
      </c>
      <c r="H3837" s="8">
        <v>39328</v>
      </c>
      <c r="I3837" s="8">
        <v>11</v>
      </c>
      <c r="J3837" s="8">
        <v>17</v>
      </c>
      <c r="K3837" s="8">
        <v>905</v>
      </c>
      <c r="L3837" s="8">
        <v>938</v>
      </c>
      <c r="M3837" s="8">
        <v>7.3333333329999997</v>
      </c>
      <c r="N3837">
        <f>VLOOKUP(A3837,vlookup_table!$A:$G,2,FALSE)</f>
        <v>0</v>
      </c>
      <c r="O3837" t="str">
        <f>VLOOKUP(A3837,vlookup_table!$A:$G,3,FALSE)</f>
        <v>GA</v>
      </c>
      <c r="P3837">
        <f>VLOOKUP(A3837,vlookup_table!$A:$G,4,FALSE)</f>
        <v>4801</v>
      </c>
      <c r="Q3837" t="str">
        <f>VLOOKUP(A3837,vlookup_table!$A:$G,5,FALSE)</f>
        <v>S1</v>
      </c>
      <c r="R3837" t="str">
        <f>VLOOKUP(A3837,vlookup_table!$A:$G,6,FALSE)</f>
        <v>F</v>
      </c>
      <c r="S3837">
        <f>VLOOKUP(A3837,vlookup_table!$A:$G,7,FALSE)</f>
        <v>21</v>
      </c>
      <c r="T3837">
        <f t="shared" si="118"/>
        <v>48</v>
      </c>
      <c r="U3837" t="str">
        <f t="shared" si="119"/>
        <v>Suburbano</v>
      </c>
    </row>
    <row r="3838" spans="1:21" ht="16" x14ac:dyDescent="0.4">
      <c r="A3838" s="9">
        <v>51469</v>
      </c>
      <c r="B3838" s="8" t="s">
        <v>49</v>
      </c>
      <c r="C3838" s="8" t="s">
        <v>17</v>
      </c>
      <c r="D3838" s="8">
        <v>616</v>
      </c>
      <c r="E3838" s="8">
        <v>295</v>
      </c>
      <c r="F3838" s="8">
        <v>341</v>
      </c>
      <c r="G3838" s="8">
        <v>0</v>
      </c>
      <c r="H3838" s="8">
        <v>12508</v>
      </c>
      <c r="I3838" s="8">
        <v>3</v>
      </c>
      <c r="J3838" s="8">
        <v>64</v>
      </c>
      <c r="K3838" s="8">
        <v>311</v>
      </c>
      <c r="L3838" s="8">
        <v>316</v>
      </c>
      <c r="M3838" s="8">
        <v>7.3333333329999997</v>
      </c>
      <c r="N3838">
        <f>VLOOKUP(A3838,vlookup_table!$A:$G,2,FALSE)</f>
        <v>28</v>
      </c>
      <c r="O3838" t="str">
        <f>VLOOKUP(A3838,vlookup_table!$A:$G,3,FALSE)</f>
        <v>TN</v>
      </c>
      <c r="P3838">
        <f>VLOOKUP(A3838,vlookup_table!$A:$G,4,FALSE)</f>
        <v>5401</v>
      </c>
      <c r="Q3838" t="str">
        <f>VLOOKUP(A3838,vlookup_table!$A:$G,5,FALSE)</f>
        <v>C2</v>
      </c>
      <c r="R3838" t="str">
        <f>VLOOKUP(A3838,vlookup_table!$A:$G,6,FALSE)</f>
        <v>F</v>
      </c>
      <c r="S3838">
        <f>VLOOKUP(A3838,vlookup_table!$A:$G,7,FALSE)</f>
        <v>10</v>
      </c>
      <c r="T3838">
        <f t="shared" si="118"/>
        <v>42</v>
      </c>
      <c r="U3838" t="str">
        <f t="shared" si="119"/>
        <v>Ciudad</v>
      </c>
    </row>
    <row r="3839" spans="1:21" ht="16" x14ac:dyDescent="0.4">
      <c r="A3839" s="9">
        <v>4693</v>
      </c>
      <c r="B3839" s="8" t="s">
        <v>21</v>
      </c>
      <c r="C3839" s="8" t="s">
        <v>17</v>
      </c>
      <c r="D3839" s="8">
        <v>2421</v>
      </c>
      <c r="E3839" s="8">
        <v>552</v>
      </c>
      <c r="F3839" s="8">
        <v>556</v>
      </c>
      <c r="G3839" s="8">
        <v>89</v>
      </c>
      <c r="H3839" s="8">
        <v>15948</v>
      </c>
      <c r="I3839" s="8">
        <v>14</v>
      </c>
      <c r="J3839" s="8">
        <v>50</v>
      </c>
      <c r="K3839" s="8">
        <v>544</v>
      </c>
      <c r="L3839" s="8">
        <v>568</v>
      </c>
      <c r="M3839" s="8">
        <v>12.14634146</v>
      </c>
      <c r="N3839">
        <f>VLOOKUP(A3839,vlookup_table!$A:$G,2,FALSE)</f>
        <v>0</v>
      </c>
      <c r="O3839" t="str">
        <f>VLOOKUP(A3839,vlookup_table!$A:$G,3,FALSE)</f>
        <v>CA</v>
      </c>
      <c r="P3839">
        <f>VLOOKUP(A3839,vlookup_table!$A:$G,4,FALSE)</f>
        <v>4005</v>
      </c>
      <c r="Q3839" t="str">
        <f>VLOOKUP(A3839,vlookup_table!$A:$G,5,FALSE)</f>
        <v>C1</v>
      </c>
      <c r="R3839" t="str">
        <f>VLOOKUP(A3839,vlookup_table!$A:$G,6,FALSE)</f>
        <v>F</v>
      </c>
      <c r="S3839">
        <f>VLOOKUP(A3839,vlookup_table!$A:$G,7,FALSE)</f>
        <v>18</v>
      </c>
      <c r="T3839">
        <f t="shared" si="118"/>
        <v>56</v>
      </c>
      <c r="U3839" t="str">
        <f t="shared" si="119"/>
        <v>Ciudad</v>
      </c>
    </row>
    <row r="3840" spans="1:21" ht="16" x14ac:dyDescent="0.4">
      <c r="A3840" s="9">
        <v>22664</v>
      </c>
      <c r="B3840" s="8" t="s">
        <v>43</v>
      </c>
      <c r="C3840" s="8" t="s">
        <v>17</v>
      </c>
      <c r="D3840" s="8">
        <v>386</v>
      </c>
      <c r="E3840" s="8">
        <v>202</v>
      </c>
      <c r="F3840" s="8">
        <v>291</v>
      </c>
      <c r="G3840" s="8">
        <v>0</v>
      </c>
      <c r="H3840" s="8">
        <v>8534</v>
      </c>
      <c r="I3840" s="8">
        <v>0</v>
      </c>
      <c r="J3840" s="8">
        <v>92</v>
      </c>
      <c r="K3840" s="8">
        <v>256</v>
      </c>
      <c r="L3840" s="8">
        <v>254</v>
      </c>
      <c r="M3840" s="8">
        <v>15.44444444</v>
      </c>
      <c r="N3840">
        <f>VLOOKUP(A3840,vlookup_table!$A:$G,2,FALSE)</f>
        <v>0</v>
      </c>
      <c r="O3840" t="str">
        <f>VLOOKUP(A3840,vlookup_table!$A:$G,3,FALSE)</f>
        <v>SC</v>
      </c>
      <c r="P3840">
        <f>VLOOKUP(A3840,vlookup_table!$A:$G,4,FALSE)</f>
        <v>0</v>
      </c>
      <c r="Q3840" t="str">
        <f>VLOOKUP(A3840,vlookup_table!$A:$G,5,FALSE)</f>
        <v>R3</v>
      </c>
      <c r="R3840" t="str">
        <f>VLOOKUP(A3840,vlookup_table!$A:$G,6,FALSE)</f>
        <v>F</v>
      </c>
      <c r="S3840">
        <f>VLOOKUP(A3840,vlookup_table!$A:$G,7,FALSE)</f>
        <v>17</v>
      </c>
      <c r="T3840">
        <f t="shared" si="118"/>
        <v>96</v>
      </c>
      <c r="U3840" t="str">
        <f t="shared" si="119"/>
        <v>Rural</v>
      </c>
    </row>
    <row r="3841" spans="1:21" ht="16" x14ac:dyDescent="0.4">
      <c r="A3841" s="9">
        <v>39967</v>
      </c>
      <c r="B3841" s="8" t="s">
        <v>13</v>
      </c>
      <c r="C3841" s="8" t="s">
        <v>14</v>
      </c>
      <c r="D3841" s="8">
        <v>1289</v>
      </c>
      <c r="E3841" s="8">
        <v>394</v>
      </c>
      <c r="F3841" s="8">
        <v>610</v>
      </c>
      <c r="G3841" s="8">
        <v>20</v>
      </c>
      <c r="H3841" s="8">
        <v>27608</v>
      </c>
      <c r="I3841" s="8">
        <v>9</v>
      </c>
      <c r="J3841" s="8">
        <v>9</v>
      </c>
      <c r="K3841" s="8">
        <v>476</v>
      </c>
      <c r="L3841" s="8">
        <v>521</v>
      </c>
      <c r="M3841" s="8">
        <v>50</v>
      </c>
      <c r="N3841">
        <f>VLOOKUP(A3841,vlookup_table!$A:$G,2,FALSE)</f>
        <v>1</v>
      </c>
      <c r="O3841" t="str">
        <f>VLOOKUP(A3841,vlookup_table!$A:$G,3,FALSE)</f>
        <v>FL</v>
      </c>
      <c r="P3841">
        <f>VLOOKUP(A3841,vlookup_table!$A:$G,4,FALSE)</f>
        <v>3001</v>
      </c>
      <c r="Q3841" t="str">
        <f>VLOOKUP(A3841,vlookup_table!$A:$G,5,FALSE)</f>
        <v>C2</v>
      </c>
      <c r="R3841" t="str">
        <f>VLOOKUP(A3841,vlookup_table!$A:$G,6,FALSE)</f>
        <v>M</v>
      </c>
      <c r="S3841">
        <f>VLOOKUP(A3841,vlookup_table!$A:$G,7,FALSE)</f>
        <v>75</v>
      </c>
      <c r="T3841">
        <f t="shared" si="118"/>
        <v>66</v>
      </c>
      <c r="U3841" t="str">
        <f t="shared" si="119"/>
        <v>Ciudad</v>
      </c>
    </row>
    <row r="3842" spans="1:21" ht="16" x14ac:dyDescent="0.4">
      <c r="A3842" s="9">
        <v>60490</v>
      </c>
      <c r="B3842" s="8" t="s">
        <v>30</v>
      </c>
      <c r="C3842" s="8" t="s">
        <v>17</v>
      </c>
      <c r="D3842" s="8">
        <v>874</v>
      </c>
      <c r="E3842" s="8">
        <v>510</v>
      </c>
      <c r="F3842" s="8">
        <v>555</v>
      </c>
      <c r="G3842" s="8">
        <v>4</v>
      </c>
      <c r="H3842" s="8">
        <v>18907</v>
      </c>
      <c r="I3842" s="8">
        <v>0</v>
      </c>
      <c r="J3842" s="8">
        <v>73</v>
      </c>
      <c r="K3842" s="8">
        <v>516</v>
      </c>
      <c r="L3842" s="8">
        <v>543</v>
      </c>
      <c r="M3842" s="8">
        <v>17.333333329999999</v>
      </c>
      <c r="N3842">
        <f>VLOOKUP(A3842,vlookup_table!$A:$G,2,FALSE)</f>
        <v>0</v>
      </c>
      <c r="O3842" t="str">
        <f>VLOOKUP(A3842,vlookup_table!$A:$G,3,FALSE)</f>
        <v>IN</v>
      </c>
      <c r="P3842">
        <f>VLOOKUP(A3842,vlookup_table!$A:$G,4,FALSE)</f>
        <v>5201</v>
      </c>
      <c r="Q3842" t="str">
        <f>VLOOKUP(A3842,vlookup_table!$A:$G,5,FALSE)</f>
        <v>T1</v>
      </c>
      <c r="R3842" t="str">
        <f>VLOOKUP(A3842,vlookup_table!$A:$G,6,FALSE)</f>
        <v>F</v>
      </c>
      <c r="S3842">
        <f>VLOOKUP(A3842,vlookup_table!$A:$G,7,FALSE)</f>
        <v>60</v>
      </c>
      <c r="T3842">
        <f t="shared" si="118"/>
        <v>44</v>
      </c>
      <c r="U3842" t="str">
        <f t="shared" si="119"/>
        <v>Pueblo</v>
      </c>
    </row>
    <row r="3843" spans="1:21" ht="16" x14ac:dyDescent="0.4">
      <c r="A3843" s="9">
        <v>74523</v>
      </c>
      <c r="B3843" s="8" t="s">
        <v>26</v>
      </c>
      <c r="C3843" s="8" t="s">
        <v>17</v>
      </c>
      <c r="D3843" s="8">
        <v>441</v>
      </c>
      <c r="E3843" s="8">
        <v>228</v>
      </c>
      <c r="F3843" s="8">
        <v>331</v>
      </c>
      <c r="G3843" s="8">
        <v>0</v>
      </c>
      <c r="H3843" s="8">
        <v>11359</v>
      </c>
      <c r="I3843" s="8">
        <v>1</v>
      </c>
      <c r="J3843" s="8">
        <v>82</v>
      </c>
      <c r="K3843" s="8">
        <v>288</v>
      </c>
      <c r="L3843" s="8">
        <v>279</v>
      </c>
      <c r="M3843" s="8">
        <v>8.0833333330000006</v>
      </c>
      <c r="N3843">
        <f>VLOOKUP(A3843,vlookup_table!$A:$G,2,FALSE)</f>
        <v>0</v>
      </c>
      <c r="O3843" t="str">
        <f>VLOOKUP(A3843,vlookup_table!$A:$G,3,FALSE)</f>
        <v>MI</v>
      </c>
      <c r="P3843">
        <f>VLOOKUP(A3843,vlookup_table!$A:$G,4,FALSE)</f>
        <v>0</v>
      </c>
      <c r="Q3843" t="str">
        <f>VLOOKUP(A3843,vlookup_table!$A:$G,5,FALSE)</f>
        <v>C3</v>
      </c>
      <c r="R3843" t="str">
        <f>VLOOKUP(A3843,vlookup_table!$A:$G,6,FALSE)</f>
        <v>F</v>
      </c>
      <c r="S3843">
        <f>VLOOKUP(A3843,vlookup_table!$A:$G,7,FALSE)</f>
        <v>10</v>
      </c>
      <c r="T3843">
        <f t="shared" ref="T3843:T3906" si="120">97-LEFT(P3843,2)-IF(RIGHT(P3843,2)&gt;6,1,0)</f>
        <v>96</v>
      </c>
      <c r="U3843" t="str">
        <f t="shared" ref="U3843:U3906" si="121">IF(LEFT(Q3843,1)="C","Ciudad",IF(LEFT(Q3843,1)="T","Pueblo",IF(LEFT(Q3843,1)="R","Rural",IF(LEFT(Q3843,1)="S","Suburbano",IF(LEFT(Q3843,1)="U","Urbano","")))))</f>
        <v>Ciudad</v>
      </c>
    </row>
    <row r="3844" spans="1:21" ht="16" x14ac:dyDescent="0.4">
      <c r="A3844" s="9">
        <v>70146</v>
      </c>
      <c r="B3844" s="8" t="s">
        <v>26</v>
      </c>
      <c r="C3844" s="8" t="s">
        <v>17</v>
      </c>
      <c r="D3844" s="8">
        <v>606</v>
      </c>
      <c r="E3844" s="8">
        <v>509</v>
      </c>
      <c r="F3844" s="8">
        <v>503</v>
      </c>
      <c r="G3844" s="8">
        <v>0</v>
      </c>
      <c r="H3844" s="8">
        <v>15017</v>
      </c>
      <c r="I3844" s="8">
        <v>4</v>
      </c>
      <c r="J3844" s="8">
        <v>83</v>
      </c>
      <c r="K3844" s="8">
        <v>530</v>
      </c>
      <c r="L3844" s="8">
        <v>461</v>
      </c>
      <c r="M3844" s="8">
        <v>6.875</v>
      </c>
      <c r="N3844">
        <f>VLOOKUP(A3844,vlookup_table!$A:$G,2,FALSE)</f>
        <v>2</v>
      </c>
      <c r="O3844" t="str">
        <f>VLOOKUP(A3844,vlookup_table!$A:$G,3,FALSE)</f>
        <v>MI</v>
      </c>
      <c r="P3844">
        <f>VLOOKUP(A3844,vlookup_table!$A:$G,4,FALSE)</f>
        <v>3807</v>
      </c>
      <c r="Q3844" t="str">
        <f>VLOOKUP(A3844,vlookup_table!$A:$G,5,FALSE)</f>
        <v>T2</v>
      </c>
      <c r="R3844" t="str">
        <f>VLOOKUP(A3844,vlookup_table!$A:$G,6,FALSE)</f>
        <v>F</v>
      </c>
      <c r="S3844">
        <f>VLOOKUP(A3844,vlookup_table!$A:$G,7,FALSE)</f>
        <v>10</v>
      </c>
      <c r="T3844">
        <f t="shared" si="120"/>
        <v>58</v>
      </c>
      <c r="U3844" t="str">
        <f t="shared" si="121"/>
        <v>Pueblo</v>
      </c>
    </row>
    <row r="3845" spans="1:21" ht="16" x14ac:dyDescent="0.4">
      <c r="A3845" s="9">
        <v>125501</v>
      </c>
      <c r="B3845" s="8" t="s">
        <v>20</v>
      </c>
      <c r="C3845" s="8" t="s">
        <v>17</v>
      </c>
      <c r="D3845" s="8">
        <v>527</v>
      </c>
      <c r="E3845" s="8">
        <v>276</v>
      </c>
      <c r="F3845" s="8">
        <v>329</v>
      </c>
      <c r="G3845" s="8">
        <v>1</v>
      </c>
      <c r="H3845" s="8">
        <v>10096</v>
      </c>
      <c r="I3845" s="8">
        <v>5</v>
      </c>
      <c r="J3845" s="8">
        <v>83</v>
      </c>
      <c r="K3845" s="8">
        <v>315</v>
      </c>
      <c r="L3845" s="8">
        <v>289</v>
      </c>
      <c r="M3845" s="8">
        <v>13</v>
      </c>
      <c r="N3845">
        <f>VLOOKUP(A3845,vlookup_table!$A:$G,2,FALSE)</f>
        <v>28</v>
      </c>
      <c r="O3845" t="str">
        <f>VLOOKUP(A3845,vlookup_table!$A:$G,3,FALSE)</f>
        <v>TX</v>
      </c>
      <c r="P3845">
        <f>VLOOKUP(A3845,vlookup_table!$A:$G,4,FALSE)</f>
        <v>4801</v>
      </c>
      <c r="Q3845" t="str">
        <f>VLOOKUP(A3845,vlookup_table!$A:$G,5,FALSE)</f>
        <v>U3</v>
      </c>
      <c r="R3845" t="str">
        <f>VLOOKUP(A3845,vlookup_table!$A:$G,6,FALSE)</f>
        <v>F</v>
      </c>
      <c r="S3845">
        <f>VLOOKUP(A3845,vlookup_table!$A:$G,7,FALSE)</f>
        <v>14</v>
      </c>
      <c r="T3845">
        <f t="shared" si="120"/>
        <v>48</v>
      </c>
      <c r="U3845" t="str">
        <f t="shared" si="121"/>
        <v>Urbano</v>
      </c>
    </row>
    <row r="3846" spans="1:21" ht="16" x14ac:dyDescent="0.4">
      <c r="A3846" s="9">
        <v>38853</v>
      </c>
      <c r="B3846" s="8" t="s">
        <v>30</v>
      </c>
      <c r="C3846" s="8" t="s">
        <v>17</v>
      </c>
      <c r="D3846" s="8">
        <v>655</v>
      </c>
      <c r="E3846" s="8">
        <v>329</v>
      </c>
      <c r="F3846" s="8">
        <v>376</v>
      </c>
      <c r="G3846" s="8">
        <v>0</v>
      </c>
      <c r="H3846" s="8">
        <v>11645</v>
      </c>
      <c r="I3846" s="8">
        <v>3</v>
      </c>
      <c r="J3846" s="8">
        <v>71</v>
      </c>
      <c r="K3846" s="8">
        <v>369</v>
      </c>
      <c r="L3846" s="8">
        <v>344</v>
      </c>
      <c r="M3846" s="8">
        <v>6.35</v>
      </c>
      <c r="N3846">
        <f>VLOOKUP(A3846,vlookup_table!$A:$G,2,FALSE)</f>
        <v>2</v>
      </c>
      <c r="O3846" t="str">
        <f>VLOOKUP(A3846,vlookup_table!$A:$G,3,FALSE)</f>
        <v>IN</v>
      </c>
      <c r="P3846">
        <f>VLOOKUP(A3846,vlookup_table!$A:$G,4,FALSE)</f>
        <v>2807</v>
      </c>
      <c r="Q3846" t="str">
        <f>VLOOKUP(A3846,vlookup_table!$A:$G,5,FALSE)</f>
        <v>U3</v>
      </c>
      <c r="R3846" t="str">
        <f>VLOOKUP(A3846,vlookup_table!$A:$G,6,FALSE)</f>
        <v>F</v>
      </c>
      <c r="S3846">
        <f>VLOOKUP(A3846,vlookup_table!$A:$G,7,FALSE)</f>
        <v>12</v>
      </c>
      <c r="T3846">
        <f t="shared" si="120"/>
        <v>68</v>
      </c>
      <c r="U3846" t="str">
        <f t="shared" si="121"/>
        <v>Urbano</v>
      </c>
    </row>
    <row r="3847" spans="1:21" ht="16" x14ac:dyDescent="0.4">
      <c r="A3847" s="9">
        <v>25591</v>
      </c>
      <c r="B3847" s="8" t="s">
        <v>36</v>
      </c>
      <c r="C3847" s="8" t="s">
        <v>17</v>
      </c>
      <c r="D3847" s="8">
        <v>0</v>
      </c>
      <c r="E3847" s="8">
        <v>0</v>
      </c>
      <c r="F3847" s="8">
        <v>0</v>
      </c>
      <c r="G3847" s="8">
        <v>0</v>
      </c>
      <c r="H3847" s="8">
        <v>0</v>
      </c>
      <c r="I3847" s="8">
        <v>0</v>
      </c>
      <c r="J3847" s="8">
        <v>0</v>
      </c>
      <c r="K3847" s="8">
        <v>0</v>
      </c>
      <c r="L3847" s="8">
        <v>0</v>
      </c>
      <c r="M3847" s="8">
        <v>6.4285714289999998</v>
      </c>
      <c r="N3847">
        <f>VLOOKUP(A3847,vlookup_table!$A:$G,2,FALSE)</f>
        <v>0</v>
      </c>
      <c r="O3847" t="str">
        <f>VLOOKUP(A3847,vlookup_table!$A:$G,3,FALSE)</f>
        <v>GA</v>
      </c>
      <c r="P3847">
        <f>VLOOKUP(A3847,vlookup_table!$A:$G,4,FALSE)</f>
        <v>0</v>
      </c>
      <c r="Q3847" t="str">
        <f>VLOOKUP(A3847,vlookup_table!$A:$G,5,FALSE)</f>
        <v>C3</v>
      </c>
      <c r="R3847" t="str">
        <f>VLOOKUP(A3847,vlookup_table!$A:$G,6,FALSE)</f>
        <v>F</v>
      </c>
      <c r="S3847">
        <f>VLOOKUP(A3847,vlookup_table!$A:$G,7,FALSE)</f>
        <v>13</v>
      </c>
      <c r="T3847">
        <f t="shared" si="120"/>
        <v>96</v>
      </c>
      <c r="U3847" t="str">
        <f t="shared" si="121"/>
        <v>Ciudad</v>
      </c>
    </row>
    <row r="3848" spans="1:21" ht="16" x14ac:dyDescent="0.4">
      <c r="A3848" s="9">
        <v>66610</v>
      </c>
      <c r="B3848" s="8" t="s">
        <v>26</v>
      </c>
      <c r="C3848" s="8" t="s">
        <v>17</v>
      </c>
      <c r="D3848" s="8">
        <v>1102</v>
      </c>
      <c r="E3848" s="8">
        <v>404</v>
      </c>
      <c r="F3848" s="8">
        <v>591</v>
      </c>
      <c r="G3848" s="8">
        <v>1</v>
      </c>
      <c r="H3848" s="8">
        <v>21178</v>
      </c>
      <c r="I3848" s="8">
        <v>5</v>
      </c>
      <c r="J3848" s="8">
        <v>68</v>
      </c>
      <c r="K3848" s="8">
        <v>540</v>
      </c>
      <c r="L3848" s="8">
        <v>470</v>
      </c>
      <c r="M3848" s="8">
        <v>15</v>
      </c>
      <c r="N3848">
        <f>VLOOKUP(A3848,vlookup_table!$A:$G,2,FALSE)</f>
        <v>2</v>
      </c>
      <c r="O3848" t="str">
        <f>VLOOKUP(A3848,vlookup_table!$A:$G,3,FALSE)</f>
        <v>MI</v>
      </c>
      <c r="P3848">
        <f>VLOOKUP(A3848,vlookup_table!$A:$G,4,FALSE)</f>
        <v>2401</v>
      </c>
      <c r="Q3848" t="str">
        <f>VLOOKUP(A3848,vlookup_table!$A:$G,5,FALSE)</f>
        <v>S2</v>
      </c>
      <c r="R3848" t="str">
        <f>VLOOKUP(A3848,vlookup_table!$A:$G,6,FALSE)</f>
        <v>F</v>
      </c>
      <c r="S3848">
        <f>VLOOKUP(A3848,vlookup_table!$A:$G,7,FALSE)</f>
        <v>10</v>
      </c>
      <c r="T3848">
        <f t="shared" si="120"/>
        <v>72</v>
      </c>
      <c r="U3848" t="str">
        <f t="shared" si="121"/>
        <v>Suburbano</v>
      </c>
    </row>
    <row r="3849" spans="1:21" ht="16" x14ac:dyDescent="0.4">
      <c r="A3849" s="9">
        <v>11738</v>
      </c>
      <c r="B3849" s="8" t="s">
        <v>21</v>
      </c>
      <c r="C3849" s="8" t="s">
        <v>14</v>
      </c>
      <c r="D3849" s="8">
        <v>3818</v>
      </c>
      <c r="E3849" s="8">
        <v>584</v>
      </c>
      <c r="F3849" s="8">
        <v>708</v>
      </c>
      <c r="G3849" s="8">
        <v>97</v>
      </c>
      <c r="H3849" s="8">
        <v>27062</v>
      </c>
      <c r="I3849" s="8">
        <v>13</v>
      </c>
      <c r="J3849" s="8">
        <v>43</v>
      </c>
      <c r="K3849" s="8">
        <v>637</v>
      </c>
      <c r="L3849" s="8">
        <v>649</v>
      </c>
      <c r="M3849" s="8">
        <v>8.75</v>
      </c>
      <c r="N3849">
        <f>VLOOKUP(A3849,vlookup_table!$A:$G,2,FALSE)</f>
        <v>1</v>
      </c>
      <c r="O3849" t="str">
        <f>VLOOKUP(A3849,vlookup_table!$A:$G,3,FALSE)</f>
        <v>CA</v>
      </c>
      <c r="P3849">
        <f>VLOOKUP(A3849,vlookup_table!$A:$G,4,FALSE)</f>
        <v>1301</v>
      </c>
      <c r="Q3849" t="str">
        <f>VLOOKUP(A3849,vlookup_table!$A:$G,5,FALSE)</f>
        <v>S1</v>
      </c>
      <c r="R3849" t="str">
        <f>VLOOKUP(A3849,vlookup_table!$A:$G,6,FALSE)</f>
        <v>M</v>
      </c>
      <c r="S3849">
        <f>VLOOKUP(A3849,vlookup_table!$A:$G,7,FALSE)</f>
        <v>10</v>
      </c>
      <c r="T3849">
        <f t="shared" si="120"/>
        <v>83</v>
      </c>
      <c r="U3849" t="str">
        <f t="shared" si="121"/>
        <v>Suburbano</v>
      </c>
    </row>
    <row r="3850" spans="1:21" ht="16" x14ac:dyDescent="0.4">
      <c r="A3850" s="9">
        <v>117026</v>
      </c>
      <c r="B3850" s="8" t="s">
        <v>20</v>
      </c>
      <c r="C3850" s="8" t="s">
        <v>14</v>
      </c>
      <c r="D3850" s="8">
        <v>481</v>
      </c>
      <c r="E3850" s="8">
        <v>243</v>
      </c>
      <c r="F3850" s="8">
        <v>323</v>
      </c>
      <c r="G3850" s="8">
        <v>0</v>
      </c>
      <c r="H3850" s="8">
        <v>10964</v>
      </c>
      <c r="I3850" s="8">
        <v>0</v>
      </c>
      <c r="J3850" s="8">
        <v>84</v>
      </c>
      <c r="K3850" s="8">
        <v>265</v>
      </c>
      <c r="L3850" s="8">
        <v>282</v>
      </c>
      <c r="M3850" s="8">
        <v>8.6666666669999994</v>
      </c>
      <c r="N3850">
        <f>VLOOKUP(A3850,vlookup_table!$A:$G,2,FALSE)</f>
        <v>3</v>
      </c>
      <c r="O3850" t="str">
        <f>VLOOKUP(A3850,vlookup_table!$A:$G,3,FALSE)</f>
        <v>TX</v>
      </c>
      <c r="P3850">
        <f>VLOOKUP(A3850,vlookup_table!$A:$G,4,FALSE)</f>
        <v>3801</v>
      </c>
      <c r="Q3850" t="str">
        <f>VLOOKUP(A3850,vlookup_table!$A:$G,5,FALSE)</f>
        <v>S3</v>
      </c>
      <c r="R3850" t="str">
        <f>VLOOKUP(A3850,vlookup_table!$A:$G,6,FALSE)</f>
        <v>M</v>
      </c>
      <c r="S3850">
        <f>VLOOKUP(A3850,vlookup_table!$A:$G,7,FALSE)</f>
        <v>9</v>
      </c>
      <c r="T3850">
        <f t="shared" si="120"/>
        <v>58</v>
      </c>
      <c r="U3850" t="str">
        <f t="shared" si="121"/>
        <v>Suburbano</v>
      </c>
    </row>
    <row r="3851" spans="1:21" ht="16" x14ac:dyDescent="0.4">
      <c r="A3851" s="9">
        <v>59588</v>
      </c>
      <c r="B3851" s="8" t="s">
        <v>30</v>
      </c>
      <c r="C3851" s="8" t="s">
        <v>14</v>
      </c>
      <c r="D3851" s="8">
        <v>421</v>
      </c>
      <c r="E3851" s="8">
        <v>268</v>
      </c>
      <c r="F3851" s="8">
        <v>323</v>
      </c>
      <c r="G3851" s="8">
        <v>0</v>
      </c>
      <c r="H3851" s="8">
        <v>9593</v>
      </c>
      <c r="I3851" s="8">
        <v>1</v>
      </c>
      <c r="J3851" s="8">
        <v>80</v>
      </c>
      <c r="K3851" s="8">
        <v>310</v>
      </c>
      <c r="L3851" s="8">
        <v>295</v>
      </c>
      <c r="M3851" s="8">
        <v>2.9714285710000001</v>
      </c>
      <c r="N3851">
        <f>VLOOKUP(A3851,vlookup_table!$A:$G,2,FALSE)</f>
        <v>0</v>
      </c>
      <c r="O3851" t="str">
        <f>VLOOKUP(A3851,vlookup_table!$A:$G,3,FALSE)</f>
        <v>IN</v>
      </c>
      <c r="P3851">
        <f>VLOOKUP(A3851,vlookup_table!$A:$G,4,FALSE)</f>
        <v>2001</v>
      </c>
      <c r="Q3851" t="str">
        <f>VLOOKUP(A3851,vlookup_table!$A:$G,5,FALSE)</f>
        <v>R2</v>
      </c>
      <c r="R3851" t="str">
        <f>VLOOKUP(A3851,vlookup_table!$A:$G,6,FALSE)</f>
        <v>M</v>
      </c>
      <c r="S3851">
        <f>VLOOKUP(A3851,vlookup_table!$A:$G,7,FALSE)</f>
        <v>3</v>
      </c>
      <c r="T3851">
        <f t="shared" si="120"/>
        <v>76</v>
      </c>
      <c r="U3851" t="str">
        <f t="shared" si="121"/>
        <v>Rural</v>
      </c>
    </row>
    <row r="3852" spans="1:21" ht="16" x14ac:dyDescent="0.4">
      <c r="A3852" s="9">
        <v>162997</v>
      </c>
      <c r="B3852" s="8" t="s">
        <v>21</v>
      </c>
      <c r="C3852" s="8" t="s">
        <v>17</v>
      </c>
      <c r="D3852" s="8">
        <v>550</v>
      </c>
      <c r="E3852" s="8">
        <v>137</v>
      </c>
      <c r="F3852" s="8">
        <v>426</v>
      </c>
      <c r="G3852" s="8">
        <v>0</v>
      </c>
      <c r="H3852" s="8">
        <v>18812</v>
      </c>
      <c r="I3852" s="8">
        <v>66</v>
      </c>
      <c r="J3852" s="8">
        <v>18</v>
      </c>
      <c r="K3852" s="8">
        <v>218</v>
      </c>
      <c r="L3852" s="8">
        <v>296</v>
      </c>
      <c r="M3852" s="8">
        <v>16</v>
      </c>
      <c r="N3852">
        <f>VLOOKUP(A3852,vlookup_table!$A:$G,2,FALSE)</f>
        <v>2</v>
      </c>
      <c r="O3852" t="str">
        <f>VLOOKUP(A3852,vlookup_table!$A:$G,3,FALSE)</f>
        <v>CA</v>
      </c>
      <c r="P3852">
        <f>VLOOKUP(A3852,vlookup_table!$A:$G,4,FALSE)</f>
        <v>3701</v>
      </c>
      <c r="Q3852" t="str">
        <f>VLOOKUP(A3852,vlookup_table!$A:$G,5,FALSE)</f>
        <v>U3</v>
      </c>
      <c r="R3852" t="str">
        <f>VLOOKUP(A3852,vlookup_table!$A:$G,6,FALSE)</f>
        <v>F</v>
      </c>
      <c r="S3852">
        <f>VLOOKUP(A3852,vlookup_table!$A:$G,7,FALSE)</f>
        <v>21</v>
      </c>
      <c r="T3852">
        <f t="shared" si="120"/>
        <v>59</v>
      </c>
      <c r="U3852" t="str">
        <f t="shared" si="121"/>
        <v>Urbano</v>
      </c>
    </row>
    <row r="3853" spans="1:21" ht="16" x14ac:dyDescent="0.4">
      <c r="A3853" s="9">
        <v>136747</v>
      </c>
      <c r="B3853" s="8" t="s">
        <v>51</v>
      </c>
      <c r="C3853" s="8" t="s">
        <v>97</v>
      </c>
      <c r="D3853" s="8">
        <v>656</v>
      </c>
      <c r="E3853" s="8">
        <v>388</v>
      </c>
      <c r="F3853" s="8">
        <v>411</v>
      </c>
      <c r="G3853" s="8">
        <v>0</v>
      </c>
      <c r="H3853" s="8">
        <v>15381</v>
      </c>
      <c r="I3853" s="8">
        <v>7</v>
      </c>
      <c r="J3853" s="8">
        <v>36</v>
      </c>
      <c r="K3853" s="8">
        <v>397</v>
      </c>
      <c r="L3853" s="8">
        <v>395</v>
      </c>
      <c r="M3853" s="8">
        <v>6.384615385</v>
      </c>
      <c r="N3853">
        <f>VLOOKUP(A3853,vlookup_table!$A:$G,2,FALSE)</f>
        <v>2</v>
      </c>
      <c r="O3853" t="str">
        <f>VLOOKUP(A3853,vlookup_table!$A:$G,3,FALSE)</f>
        <v>AZ</v>
      </c>
      <c r="P3853">
        <f>VLOOKUP(A3853,vlookup_table!$A:$G,4,FALSE)</f>
        <v>3401</v>
      </c>
      <c r="Q3853" t="str">
        <f>VLOOKUP(A3853,vlookup_table!$A:$G,5,FALSE)</f>
        <v>S2</v>
      </c>
      <c r="R3853" t="str">
        <f>VLOOKUP(A3853,vlookup_table!$A:$G,6,FALSE)</f>
        <v>F</v>
      </c>
      <c r="S3853">
        <f>VLOOKUP(A3853,vlookup_table!$A:$G,7,FALSE)</f>
        <v>6</v>
      </c>
      <c r="T3853">
        <f t="shared" si="120"/>
        <v>62</v>
      </c>
      <c r="U3853" t="str">
        <f t="shared" si="121"/>
        <v>Suburbano</v>
      </c>
    </row>
    <row r="3854" spans="1:21" ht="16" x14ac:dyDescent="0.4">
      <c r="A3854" s="9">
        <v>115088</v>
      </c>
      <c r="B3854" s="8" t="s">
        <v>28</v>
      </c>
      <c r="C3854" s="8" t="s">
        <v>17</v>
      </c>
      <c r="D3854" s="8">
        <v>586</v>
      </c>
      <c r="E3854" s="8">
        <v>241</v>
      </c>
      <c r="F3854" s="8">
        <v>387</v>
      </c>
      <c r="G3854" s="8">
        <v>3</v>
      </c>
      <c r="H3854" s="8">
        <v>20826</v>
      </c>
      <c r="I3854" s="8">
        <v>1</v>
      </c>
      <c r="J3854" s="8">
        <v>70</v>
      </c>
      <c r="K3854" s="8">
        <v>351</v>
      </c>
      <c r="L3854" s="8">
        <v>348</v>
      </c>
      <c r="M3854" s="8">
        <v>8</v>
      </c>
      <c r="N3854">
        <f>VLOOKUP(A3854,vlookup_table!$A:$G,2,FALSE)</f>
        <v>0</v>
      </c>
      <c r="O3854" t="str">
        <f>VLOOKUP(A3854,vlookup_table!$A:$G,3,FALSE)</f>
        <v>OK</v>
      </c>
      <c r="P3854">
        <f>VLOOKUP(A3854,vlookup_table!$A:$G,4,FALSE)</f>
        <v>2001</v>
      </c>
      <c r="Q3854" t="str">
        <f>VLOOKUP(A3854,vlookup_table!$A:$G,5,FALSE)</f>
        <v>T2</v>
      </c>
      <c r="R3854" t="str">
        <f>VLOOKUP(A3854,vlookup_table!$A:$G,6,FALSE)</f>
        <v>F</v>
      </c>
      <c r="S3854">
        <f>VLOOKUP(A3854,vlookup_table!$A:$G,7,FALSE)</f>
        <v>17</v>
      </c>
      <c r="T3854">
        <f t="shared" si="120"/>
        <v>76</v>
      </c>
      <c r="U3854" t="str">
        <f t="shared" si="121"/>
        <v>Pueblo</v>
      </c>
    </row>
    <row r="3855" spans="1:21" ht="16" x14ac:dyDescent="0.4">
      <c r="A3855" s="9">
        <v>168358</v>
      </c>
      <c r="B3855" s="8" t="s">
        <v>21</v>
      </c>
      <c r="C3855" s="8" t="s">
        <v>14</v>
      </c>
      <c r="D3855" s="8">
        <v>1401</v>
      </c>
      <c r="E3855" s="8">
        <v>232</v>
      </c>
      <c r="F3855" s="8">
        <v>305</v>
      </c>
      <c r="G3855" s="8">
        <v>16</v>
      </c>
      <c r="H3855" s="8">
        <v>10481</v>
      </c>
      <c r="I3855" s="8">
        <v>41</v>
      </c>
      <c r="J3855" s="8">
        <v>39</v>
      </c>
      <c r="K3855" s="8">
        <v>252</v>
      </c>
      <c r="L3855" s="8">
        <v>274</v>
      </c>
      <c r="M3855" s="8">
        <v>14.33333333</v>
      </c>
      <c r="N3855">
        <f>VLOOKUP(A3855,vlookup_table!$A:$G,2,FALSE)</f>
        <v>1</v>
      </c>
      <c r="O3855" t="str">
        <f>VLOOKUP(A3855,vlookup_table!$A:$G,3,FALSE)</f>
        <v>CA</v>
      </c>
      <c r="P3855">
        <f>VLOOKUP(A3855,vlookup_table!$A:$G,4,FALSE)</f>
        <v>5501</v>
      </c>
      <c r="Q3855" t="str">
        <f>VLOOKUP(A3855,vlookup_table!$A:$G,5,FALSE)</f>
        <v>U3</v>
      </c>
      <c r="R3855" t="str">
        <f>VLOOKUP(A3855,vlookup_table!$A:$G,6,FALSE)</f>
        <v>M</v>
      </c>
      <c r="S3855">
        <f>VLOOKUP(A3855,vlookup_table!$A:$G,7,FALSE)</f>
        <v>10</v>
      </c>
      <c r="T3855">
        <f t="shared" si="120"/>
        <v>41</v>
      </c>
      <c r="U3855" t="str">
        <f t="shared" si="121"/>
        <v>Urbano</v>
      </c>
    </row>
    <row r="3856" spans="1:21" ht="16" x14ac:dyDescent="0.4">
      <c r="A3856" s="9">
        <v>24896</v>
      </c>
      <c r="B3856" s="8" t="s">
        <v>43</v>
      </c>
      <c r="C3856" s="8" t="s">
        <v>14</v>
      </c>
      <c r="D3856" s="8">
        <v>1974</v>
      </c>
      <c r="E3856" s="8">
        <v>433</v>
      </c>
      <c r="F3856" s="8">
        <v>571</v>
      </c>
      <c r="G3856" s="8">
        <v>48</v>
      </c>
      <c r="H3856" s="8">
        <v>26435</v>
      </c>
      <c r="I3856" s="8">
        <v>5</v>
      </c>
      <c r="J3856" s="8">
        <v>28</v>
      </c>
      <c r="K3856" s="8">
        <v>469</v>
      </c>
      <c r="L3856" s="8">
        <v>528</v>
      </c>
      <c r="M3856" s="8">
        <v>10.33333333</v>
      </c>
      <c r="N3856">
        <f>VLOOKUP(A3856,vlookup_table!$A:$G,2,FALSE)</f>
        <v>1</v>
      </c>
      <c r="O3856" t="str">
        <f>VLOOKUP(A3856,vlookup_table!$A:$G,3,FALSE)</f>
        <v>SC</v>
      </c>
      <c r="P3856">
        <f>VLOOKUP(A3856,vlookup_table!$A:$G,4,FALSE)</f>
        <v>3012</v>
      </c>
      <c r="Q3856" t="str">
        <f>VLOOKUP(A3856,vlookup_table!$A:$G,5,FALSE)</f>
        <v>C1</v>
      </c>
      <c r="R3856" t="str">
        <f>VLOOKUP(A3856,vlookup_table!$A:$G,6,FALSE)</f>
        <v>M</v>
      </c>
      <c r="S3856">
        <f>VLOOKUP(A3856,vlookup_table!$A:$G,7,FALSE)</f>
        <v>15</v>
      </c>
      <c r="T3856">
        <f t="shared" si="120"/>
        <v>66</v>
      </c>
      <c r="U3856" t="str">
        <f t="shared" si="121"/>
        <v>Ciudad</v>
      </c>
    </row>
    <row r="3857" spans="1:21" ht="16" x14ac:dyDescent="0.4">
      <c r="A3857" s="9">
        <v>157061</v>
      </c>
      <c r="B3857" s="8" t="s">
        <v>21</v>
      </c>
      <c r="C3857" s="8" t="s">
        <v>17</v>
      </c>
      <c r="D3857" s="8">
        <v>5886</v>
      </c>
      <c r="E3857" s="8">
        <v>1096</v>
      </c>
      <c r="F3857" s="8">
        <v>1116</v>
      </c>
      <c r="G3857" s="8">
        <v>98</v>
      </c>
      <c r="H3857" s="8">
        <v>82369</v>
      </c>
      <c r="I3857" s="8">
        <v>14</v>
      </c>
      <c r="J3857" s="8">
        <v>50</v>
      </c>
      <c r="K3857" s="8">
        <v>1500</v>
      </c>
      <c r="L3857" s="8">
        <v>1005</v>
      </c>
      <c r="M3857" s="8">
        <v>20</v>
      </c>
      <c r="N3857">
        <f>VLOOKUP(A3857,vlookup_table!$A:$G,2,FALSE)</f>
        <v>0</v>
      </c>
      <c r="O3857" t="str">
        <f>VLOOKUP(A3857,vlookup_table!$A:$G,3,FALSE)</f>
        <v>CA</v>
      </c>
      <c r="P3857">
        <f>VLOOKUP(A3857,vlookup_table!$A:$G,4,FALSE)</f>
        <v>0</v>
      </c>
      <c r="Q3857" t="str">
        <f>VLOOKUP(A3857,vlookup_table!$A:$G,5,FALSE)</f>
        <v>S1</v>
      </c>
      <c r="R3857" t="str">
        <f>VLOOKUP(A3857,vlookup_table!$A:$G,6,FALSE)</f>
        <v>F</v>
      </c>
      <c r="S3857">
        <f>VLOOKUP(A3857,vlookup_table!$A:$G,7,FALSE)</f>
        <v>25</v>
      </c>
      <c r="T3857">
        <f t="shared" si="120"/>
        <v>96</v>
      </c>
      <c r="U3857" t="str">
        <f t="shared" si="121"/>
        <v>Suburbano</v>
      </c>
    </row>
    <row r="3858" spans="1:21" ht="16" x14ac:dyDescent="0.4">
      <c r="A3858" s="9">
        <v>127795</v>
      </c>
      <c r="B3858" s="8" t="s">
        <v>20</v>
      </c>
      <c r="C3858" s="8" t="s">
        <v>14</v>
      </c>
      <c r="D3858" s="8">
        <v>557</v>
      </c>
      <c r="E3858" s="8">
        <v>319</v>
      </c>
      <c r="F3858" s="8">
        <v>411</v>
      </c>
      <c r="G3858" s="8">
        <v>0</v>
      </c>
      <c r="H3858" s="8">
        <v>16016</v>
      </c>
      <c r="I3858" s="8">
        <v>0</v>
      </c>
      <c r="J3858" s="8">
        <v>70</v>
      </c>
      <c r="K3858" s="8">
        <v>370</v>
      </c>
      <c r="L3858" s="8">
        <v>368</v>
      </c>
      <c r="M3858" s="8">
        <v>7</v>
      </c>
      <c r="N3858">
        <f>VLOOKUP(A3858,vlookup_table!$A:$G,2,FALSE)</f>
        <v>1</v>
      </c>
      <c r="O3858" t="str">
        <f>VLOOKUP(A3858,vlookup_table!$A:$G,3,FALSE)</f>
        <v>TX</v>
      </c>
      <c r="P3858">
        <f>VLOOKUP(A3858,vlookup_table!$A:$G,4,FALSE)</f>
        <v>5107</v>
      </c>
      <c r="Q3858" t="str">
        <f>VLOOKUP(A3858,vlookup_table!$A:$G,5,FALSE)</f>
        <v>C2</v>
      </c>
      <c r="R3858" t="str">
        <f>VLOOKUP(A3858,vlookup_table!$A:$G,6,FALSE)</f>
        <v>M</v>
      </c>
      <c r="S3858">
        <f>VLOOKUP(A3858,vlookup_table!$A:$G,7,FALSE)</f>
        <v>15</v>
      </c>
      <c r="T3858">
        <f t="shared" si="120"/>
        <v>45</v>
      </c>
      <c r="U3858" t="str">
        <f t="shared" si="121"/>
        <v>Ciudad</v>
      </c>
    </row>
    <row r="3859" spans="1:21" ht="16" x14ac:dyDescent="0.4">
      <c r="A3859" s="9">
        <v>13215</v>
      </c>
      <c r="B3859" s="8" t="s">
        <v>21</v>
      </c>
      <c r="C3859" s="8" t="s">
        <v>14</v>
      </c>
      <c r="D3859" s="8">
        <v>1416</v>
      </c>
      <c r="E3859" s="8">
        <v>293</v>
      </c>
      <c r="F3859" s="8">
        <v>376</v>
      </c>
      <c r="G3859" s="8">
        <v>18</v>
      </c>
      <c r="H3859" s="8">
        <v>12588</v>
      </c>
      <c r="I3859" s="8">
        <v>2</v>
      </c>
      <c r="J3859" s="8">
        <v>62</v>
      </c>
      <c r="K3859" s="8">
        <v>321</v>
      </c>
      <c r="L3859" s="8">
        <v>357</v>
      </c>
      <c r="M3859" s="8">
        <v>11</v>
      </c>
      <c r="N3859">
        <f>VLOOKUP(A3859,vlookup_table!$A:$G,2,FALSE)</f>
        <v>1</v>
      </c>
      <c r="O3859" t="str">
        <f>VLOOKUP(A3859,vlookup_table!$A:$G,3,FALSE)</f>
        <v>CA</v>
      </c>
      <c r="P3859">
        <f>VLOOKUP(A3859,vlookup_table!$A:$G,4,FALSE)</f>
        <v>5001</v>
      </c>
      <c r="Q3859" t="str">
        <f>VLOOKUP(A3859,vlookup_table!$A:$G,5,FALSE)</f>
        <v>R2</v>
      </c>
      <c r="R3859" t="str">
        <f>VLOOKUP(A3859,vlookup_table!$A:$G,6,FALSE)</f>
        <v>M</v>
      </c>
      <c r="S3859">
        <f>VLOOKUP(A3859,vlookup_table!$A:$G,7,FALSE)</f>
        <v>21</v>
      </c>
      <c r="T3859">
        <f t="shared" si="120"/>
        <v>46</v>
      </c>
      <c r="U3859" t="str">
        <f t="shared" si="121"/>
        <v>Rural</v>
      </c>
    </row>
    <row r="3860" spans="1:21" ht="16" x14ac:dyDescent="0.4">
      <c r="A3860" s="9">
        <v>129899</v>
      </c>
      <c r="B3860" s="8" t="s">
        <v>45</v>
      </c>
      <c r="C3860" s="8" t="s">
        <v>14</v>
      </c>
      <c r="D3860" s="8">
        <v>688</v>
      </c>
      <c r="E3860" s="8">
        <v>232</v>
      </c>
      <c r="F3860" s="8">
        <v>312</v>
      </c>
      <c r="G3860" s="8">
        <v>1</v>
      </c>
      <c r="H3860" s="8">
        <v>11778</v>
      </c>
      <c r="I3860" s="8">
        <v>3</v>
      </c>
      <c r="J3860" s="8">
        <v>52</v>
      </c>
      <c r="K3860" s="8">
        <v>305</v>
      </c>
      <c r="L3860" s="8">
        <v>267</v>
      </c>
      <c r="M3860" s="8">
        <v>12.5</v>
      </c>
      <c r="N3860">
        <f>VLOOKUP(A3860,vlookup_table!$A:$G,2,FALSE)</f>
        <v>0</v>
      </c>
      <c r="O3860" t="str">
        <f>VLOOKUP(A3860,vlookup_table!$A:$G,3,FALSE)</f>
        <v>CO</v>
      </c>
      <c r="P3860">
        <f>VLOOKUP(A3860,vlookup_table!$A:$G,4,FALSE)</f>
        <v>2201</v>
      </c>
      <c r="Q3860" t="str">
        <f>VLOOKUP(A3860,vlookup_table!$A:$G,5,FALSE)</f>
        <v>S2</v>
      </c>
      <c r="R3860" t="str">
        <f>VLOOKUP(A3860,vlookup_table!$A:$G,6,FALSE)</f>
        <v>M</v>
      </c>
      <c r="S3860">
        <f>VLOOKUP(A3860,vlookup_table!$A:$G,7,FALSE)</f>
        <v>12</v>
      </c>
      <c r="T3860">
        <f t="shared" si="120"/>
        <v>74</v>
      </c>
      <c r="U3860" t="str">
        <f t="shared" si="121"/>
        <v>Suburbano</v>
      </c>
    </row>
    <row r="3861" spans="1:21" ht="16" x14ac:dyDescent="0.4">
      <c r="A3861" s="9">
        <v>156428</v>
      </c>
      <c r="B3861" s="8" t="s">
        <v>21</v>
      </c>
      <c r="C3861" s="8" t="s">
        <v>17</v>
      </c>
      <c r="D3861" s="8">
        <v>1610</v>
      </c>
      <c r="E3861" s="8">
        <v>317</v>
      </c>
      <c r="F3861" s="8">
        <v>396</v>
      </c>
      <c r="G3861" s="8">
        <v>5</v>
      </c>
      <c r="H3861" s="8">
        <v>17698</v>
      </c>
      <c r="I3861" s="8">
        <v>15</v>
      </c>
      <c r="J3861" s="8">
        <v>44</v>
      </c>
      <c r="K3861" s="8">
        <v>310</v>
      </c>
      <c r="L3861" s="8">
        <v>375</v>
      </c>
      <c r="M3861" s="8">
        <v>8.0555555559999998</v>
      </c>
      <c r="N3861">
        <f>VLOOKUP(A3861,vlookup_table!$A:$G,2,FALSE)</f>
        <v>0</v>
      </c>
      <c r="O3861" t="str">
        <f>VLOOKUP(A3861,vlookup_table!$A:$G,3,FALSE)</f>
        <v>CA</v>
      </c>
      <c r="P3861">
        <f>VLOOKUP(A3861,vlookup_table!$A:$G,4,FALSE)</f>
        <v>2610</v>
      </c>
      <c r="Q3861" t="str">
        <f>VLOOKUP(A3861,vlookup_table!$A:$G,5,FALSE)</f>
        <v>U1</v>
      </c>
      <c r="R3861" t="str">
        <f>VLOOKUP(A3861,vlookup_table!$A:$G,6,FALSE)</f>
        <v>F</v>
      </c>
      <c r="S3861">
        <f>VLOOKUP(A3861,vlookup_table!$A:$G,7,FALSE)</f>
        <v>9</v>
      </c>
      <c r="T3861">
        <f t="shared" si="120"/>
        <v>70</v>
      </c>
      <c r="U3861" t="str">
        <f t="shared" si="121"/>
        <v>Urbano</v>
      </c>
    </row>
    <row r="3862" spans="1:21" ht="16" x14ac:dyDescent="0.4">
      <c r="A3862" s="9">
        <v>157284</v>
      </c>
      <c r="B3862" s="8" t="s">
        <v>21</v>
      </c>
      <c r="C3862" s="8" t="s">
        <v>17</v>
      </c>
      <c r="D3862" s="8">
        <v>5500</v>
      </c>
      <c r="E3862" s="8">
        <v>480</v>
      </c>
      <c r="F3862" s="8">
        <v>775</v>
      </c>
      <c r="G3862" s="8">
        <v>97</v>
      </c>
      <c r="H3862" s="8">
        <v>40224</v>
      </c>
      <c r="I3862" s="8">
        <v>5</v>
      </c>
      <c r="J3862" s="8">
        <v>64</v>
      </c>
      <c r="K3862" s="8">
        <v>535</v>
      </c>
      <c r="L3862" s="8">
        <v>597</v>
      </c>
      <c r="M3862" s="8">
        <v>15</v>
      </c>
      <c r="N3862">
        <f>VLOOKUP(A3862,vlookup_table!$A:$G,2,FALSE)</f>
        <v>0</v>
      </c>
      <c r="O3862" t="str">
        <f>VLOOKUP(A3862,vlookup_table!$A:$G,3,FALSE)</f>
        <v>CA</v>
      </c>
      <c r="P3862">
        <f>VLOOKUP(A3862,vlookup_table!$A:$G,4,FALSE)</f>
        <v>1501</v>
      </c>
      <c r="Q3862" t="str">
        <f>VLOOKUP(A3862,vlookup_table!$A:$G,5,FALSE)</f>
        <v>S1</v>
      </c>
      <c r="R3862" t="str">
        <f>VLOOKUP(A3862,vlookup_table!$A:$G,6,FALSE)</f>
        <v>F</v>
      </c>
      <c r="S3862">
        <f>VLOOKUP(A3862,vlookup_table!$A:$G,7,FALSE)</f>
        <v>20</v>
      </c>
      <c r="T3862">
        <f t="shared" si="120"/>
        <v>81</v>
      </c>
      <c r="U3862" t="str">
        <f t="shared" si="121"/>
        <v>Suburbano</v>
      </c>
    </row>
    <row r="3863" spans="1:21" ht="16" x14ac:dyDescent="0.4">
      <c r="A3863" s="9">
        <v>147508</v>
      </c>
      <c r="B3863" s="8" t="s">
        <v>21</v>
      </c>
      <c r="C3863" s="8" t="s">
        <v>17</v>
      </c>
      <c r="D3863" s="8">
        <v>2352</v>
      </c>
      <c r="E3863" s="8">
        <v>363</v>
      </c>
      <c r="F3863" s="8">
        <v>530</v>
      </c>
      <c r="G3863" s="8">
        <v>71</v>
      </c>
      <c r="H3863" s="8">
        <v>18059</v>
      </c>
      <c r="I3863" s="8">
        <v>18</v>
      </c>
      <c r="J3863" s="8">
        <v>44</v>
      </c>
      <c r="K3863" s="8">
        <v>478</v>
      </c>
      <c r="L3863" s="8">
        <v>434</v>
      </c>
      <c r="M3863" s="8">
        <v>15</v>
      </c>
      <c r="N3863">
        <f>VLOOKUP(A3863,vlookup_table!$A:$G,2,FALSE)</f>
        <v>0</v>
      </c>
      <c r="O3863" t="str">
        <f>VLOOKUP(A3863,vlookup_table!$A:$G,3,FALSE)</f>
        <v>CA</v>
      </c>
      <c r="P3863">
        <f>VLOOKUP(A3863,vlookup_table!$A:$G,4,FALSE)</f>
        <v>0</v>
      </c>
      <c r="Q3863" t="str">
        <f>VLOOKUP(A3863,vlookup_table!$A:$G,5,FALSE)</f>
        <v>S2</v>
      </c>
      <c r="R3863" t="str">
        <f>VLOOKUP(A3863,vlookup_table!$A:$G,6,FALSE)</f>
        <v>F</v>
      </c>
      <c r="S3863">
        <f>VLOOKUP(A3863,vlookup_table!$A:$G,7,FALSE)</f>
        <v>10</v>
      </c>
      <c r="T3863">
        <f t="shared" si="120"/>
        <v>96</v>
      </c>
      <c r="U3863" t="str">
        <f t="shared" si="121"/>
        <v>Suburbano</v>
      </c>
    </row>
    <row r="3864" spans="1:21" ht="16" x14ac:dyDescent="0.4">
      <c r="A3864" s="9">
        <v>37575</v>
      </c>
      <c r="B3864" s="8" t="s">
        <v>13</v>
      </c>
      <c r="C3864" s="8" t="s">
        <v>14</v>
      </c>
      <c r="D3864" s="8">
        <v>1938</v>
      </c>
      <c r="E3864" s="8">
        <v>400</v>
      </c>
      <c r="F3864" s="8">
        <v>606</v>
      </c>
      <c r="G3864" s="8">
        <v>50</v>
      </c>
      <c r="H3864" s="8">
        <v>34430</v>
      </c>
      <c r="I3864" s="8">
        <v>56</v>
      </c>
      <c r="J3864" s="8">
        <v>10</v>
      </c>
      <c r="K3864" s="8">
        <v>482</v>
      </c>
      <c r="L3864" s="8">
        <v>500</v>
      </c>
      <c r="M3864" s="8">
        <v>55</v>
      </c>
      <c r="N3864">
        <f>VLOOKUP(A3864,vlookup_table!$A:$G,2,FALSE)</f>
        <v>1</v>
      </c>
      <c r="O3864" t="str">
        <f>VLOOKUP(A3864,vlookup_table!$A:$G,3,FALSE)</f>
        <v>FL</v>
      </c>
      <c r="P3864">
        <f>VLOOKUP(A3864,vlookup_table!$A:$G,4,FALSE)</f>
        <v>0</v>
      </c>
      <c r="Q3864" t="str">
        <f>VLOOKUP(A3864,vlookup_table!$A:$G,5,FALSE)</f>
        <v>U1</v>
      </c>
      <c r="R3864" t="str">
        <f>VLOOKUP(A3864,vlookup_table!$A:$G,6,FALSE)</f>
        <v>M</v>
      </c>
      <c r="S3864">
        <f>VLOOKUP(A3864,vlookup_table!$A:$G,7,FALSE)</f>
        <v>50</v>
      </c>
      <c r="T3864">
        <f t="shared" si="120"/>
        <v>96</v>
      </c>
      <c r="U3864" t="str">
        <f t="shared" si="121"/>
        <v>Urbano</v>
      </c>
    </row>
    <row r="3865" spans="1:21" ht="16" x14ac:dyDescent="0.4">
      <c r="A3865" s="9">
        <v>91787</v>
      </c>
      <c r="B3865" s="8" t="s">
        <v>16</v>
      </c>
      <c r="C3865" s="8" t="s">
        <v>17</v>
      </c>
      <c r="D3865" s="8">
        <v>1705</v>
      </c>
      <c r="E3865" s="8">
        <v>512</v>
      </c>
      <c r="F3865" s="8">
        <v>659</v>
      </c>
      <c r="G3865" s="8">
        <v>35</v>
      </c>
      <c r="H3865" s="8">
        <v>20460</v>
      </c>
      <c r="I3865" s="8">
        <v>17</v>
      </c>
      <c r="J3865" s="8">
        <v>74</v>
      </c>
      <c r="K3865" s="8">
        <v>565</v>
      </c>
      <c r="L3865" s="8">
        <v>610</v>
      </c>
      <c r="M3865" s="8">
        <v>12.5</v>
      </c>
      <c r="N3865">
        <f>VLOOKUP(A3865,vlookup_table!$A:$G,2,FALSE)</f>
        <v>2</v>
      </c>
      <c r="O3865" t="str">
        <f>VLOOKUP(A3865,vlookup_table!$A:$G,3,FALSE)</f>
        <v>IL</v>
      </c>
      <c r="P3865">
        <f>VLOOKUP(A3865,vlookup_table!$A:$G,4,FALSE)</f>
        <v>4601</v>
      </c>
      <c r="Q3865" t="str">
        <f>VLOOKUP(A3865,vlookup_table!$A:$G,5,FALSE)</f>
        <v>S1</v>
      </c>
      <c r="R3865" t="str">
        <f>VLOOKUP(A3865,vlookup_table!$A:$G,6,FALSE)</f>
        <v>F</v>
      </c>
      <c r="S3865">
        <f>VLOOKUP(A3865,vlookup_table!$A:$G,7,FALSE)</f>
        <v>25</v>
      </c>
      <c r="T3865">
        <f t="shared" si="120"/>
        <v>50</v>
      </c>
      <c r="U3865" t="str">
        <f t="shared" si="121"/>
        <v>Suburbano</v>
      </c>
    </row>
    <row r="3866" spans="1:21" ht="16" x14ac:dyDescent="0.4">
      <c r="A3866" s="9">
        <v>160292</v>
      </c>
      <c r="B3866" s="8" t="s">
        <v>21</v>
      </c>
      <c r="C3866" s="8" t="s">
        <v>14</v>
      </c>
      <c r="D3866" s="8">
        <v>861</v>
      </c>
      <c r="E3866" s="8">
        <v>243</v>
      </c>
      <c r="F3866" s="8">
        <v>289</v>
      </c>
      <c r="G3866" s="8">
        <v>0</v>
      </c>
      <c r="H3866" s="8">
        <v>6630</v>
      </c>
      <c r="I3866" s="8">
        <v>44</v>
      </c>
      <c r="J3866" s="8">
        <v>49</v>
      </c>
      <c r="K3866" s="8">
        <v>240</v>
      </c>
      <c r="L3866" s="8">
        <v>280</v>
      </c>
      <c r="M3866" s="8">
        <v>10.88888889</v>
      </c>
      <c r="N3866">
        <f>VLOOKUP(A3866,vlookup_table!$A:$G,2,FALSE)</f>
        <v>2</v>
      </c>
      <c r="O3866" t="str">
        <f>VLOOKUP(A3866,vlookup_table!$A:$G,3,FALSE)</f>
        <v>CA</v>
      </c>
      <c r="P3866">
        <f>VLOOKUP(A3866,vlookup_table!$A:$G,4,FALSE)</f>
        <v>1304</v>
      </c>
      <c r="Q3866" t="str">
        <f>VLOOKUP(A3866,vlookup_table!$A:$G,5,FALSE)</f>
        <v>R3</v>
      </c>
      <c r="R3866" t="str">
        <f>VLOOKUP(A3866,vlookup_table!$A:$G,6,FALSE)</f>
        <v>M</v>
      </c>
      <c r="S3866">
        <f>VLOOKUP(A3866,vlookup_table!$A:$G,7,FALSE)</f>
        <v>16</v>
      </c>
      <c r="T3866">
        <f t="shared" si="120"/>
        <v>83</v>
      </c>
      <c r="U3866" t="str">
        <f t="shared" si="121"/>
        <v>Rural</v>
      </c>
    </row>
    <row r="3867" spans="1:21" ht="16" x14ac:dyDescent="0.4">
      <c r="A3867" s="9">
        <v>32288</v>
      </c>
      <c r="B3867" s="8" t="s">
        <v>13</v>
      </c>
      <c r="C3867" s="8" t="s">
        <v>17</v>
      </c>
      <c r="D3867" s="8">
        <v>875</v>
      </c>
      <c r="E3867" s="8">
        <v>119</v>
      </c>
      <c r="F3867" s="8">
        <v>191</v>
      </c>
      <c r="G3867" s="8">
        <v>25</v>
      </c>
      <c r="H3867" s="8">
        <v>9084</v>
      </c>
      <c r="I3867" s="8">
        <v>10</v>
      </c>
      <c r="J3867" s="8">
        <v>0</v>
      </c>
      <c r="K3867" s="8">
        <v>188</v>
      </c>
      <c r="L3867" s="8">
        <v>142</v>
      </c>
      <c r="M3867" s="8">
        <v>8</v>
      </c>
      <c r="N3867">
        <f>VLOOKUP(A3867,vlookup_table!$A:$G,2,FALSE)</f>
        <v>2</v>
      </c>
      <c r="O3867" t="str">
        <f>VLOOKUP(A3867,vlookup_table!$A:$G,3,FALSE)</f>
        <v>FL</v>
      </c>
      <c r="P3867">
        <f>VLOOKUP(A3867,vlookup_table!$A:$G,4,FALSE)</f>
        <v>3601</v>
      </c>
      <c r="Q3867" t="str">
        <f>VLOOKUP(A3867,vlookup_table!$A:$G,5,FALSE)</f>
        <v>C3</v>
      </c>
      <c r="R3867" t="str">
        <f>VLOOKUP(A3867,vlookup_table!$A:$G,6,FALSE)</f>
        <v>F</v>
      </c>
      <c r="S3867">
        <f>VLOOKUP(A3867,vlookup_table!$A:$G,7,FALSE)</f>
        <v>10</v>
      </c>
      <c r="T3867">
        <f t="shared" si="120"/>
        <v>60</v>
      </c>
      <c r="U3867" t="str">
        <f t="shared" si="121"/>
        <v>Ciudad</v>
      </c>
    </row>
    <row r="3868" spans="1:21" ht="16" x14ac:dyDescent="0.4">
      <c r="A3868" s="9">
        <v>14152</v>
      </c>
      <c r="B3868" s="8" t="s">
        <v>35</v>
      </c>
      <c r="C3868" s="8" t="s">
        <v>14</v>
      </c>
      <c r="D3868" s="8">
        <v>738</v>
      </c>
      <c r="E3868" s="8">
        <v>380</v>
      </c>
      <c r="F3868" s="8">
        <v>447</v>
      </c>
      <c r="G3868" s="8">
        <v>0</v>
      </c>
      <c r="H3868" s="8">
        <v>16793</v>
      </c>
      <c r="I3868" s="8">
        <v>2</v>
      </c>
      <c r="J3868" s="8">
        <v>79</v>
      </c>
      <c r="K3868" s="8">
        <v>400</v>
      </c>
      <c r="L3868" s="8">
        <v>402</v>
      </c>
      <c r="M3868" s="8">
        <v>7.4</v>
      </c>
      <c r="N3868">
        <f>VLOOKUP(A3868,vlookup_table!$A:$G,2,FALSE)</f>
        <v>1</v>
      </c>
      <c r="O3868" t="str">
        <f>VLOOKUP(A3868,vlookup_table!$A:$G,3,FALSE)</f>
        <v>UT</v>
      </c>
      <c r="P3868">
        <f>VLOOKUP(A3868,vlookup_table!$A:$G,4,FALSE)</f>
        <v>4508</v>
      </c>
      <c r="Q3868" t="str">
        <f>VLOOKUP(A3868,vlookup_table!$A:$G,5,FALSE)</f>
        <v>C2</v>
      </c>
      <c r="R3868" t="str">
        <f>VLOOKUP(A3868,vlookup_table!$A:$G,6,FALSE)</f>
        <v>M</v>
      </c>
      <c r="S3868">
        <f>VLOOKUP(A3868,vlookup_table!$A:$G,7,FALSE)</f>
        <v>10</v>
      </c>
      <c r="T3868">
        <f t="shared" si="120"/>
        <v>51</v>
      </c>
      <c r="U3868" t="str">
        <f t="shared" si="121"/>
        <v>Ciudad</v>
      </c>
    </row>
    <row r="3869" spans="1:21" ht="16" x14ac:dyDescent="0.4">
      <c r="A3869" s="9">
        <v>115346</v>
      </c>
      <c r="B3869" s="8" t="s">
        <v>28</v>
      </c>
      <c r="C3869" s="8" t="s">
        <v>17</v>
      </c>
      <c r="D3869" s="8">
        <v>251</v>
      </c>
      <c r="E3869" s="8">
        <v>183</v>
      </c>
      <c r="F3869" s="8">
        <v>265</v>
      </c>
      <c r="G3869" s="8">
        <v>0</v>
      </c>
      <c r="H3869" s="8">
        <v>8947</v>
      </c>
      <c r="I3869" s="8">
        <v>0</v>
      </c>
      <c r="J3869" s="8">
        <v>75</v>
      </c>
      <c r="K3869" s="8">
        <v>212</v>
      </c>
      <c r="L3869" s="8">
        <v>238</v>
      </c>
      <c r="M3869" s="8">
        <v>9.4</v>
      </c>
      <c r="N3869">
        <f>VLOOKUP(A3869,vlookup_table!$A:$G,2,FALSE)</f>
        <v>0</v>
      </c>
      <c r="O3869" t="str">
        <f>VLOOKUP(A3869,vlookup_table!$A:$G,3,FALSE)</f>
        <v>OK</v>
      </c>
      <c r="P3869">
        <f>VLOOKUP(A3869,vlookup_table!$A:$G,4,FALSE)</f>
        <v>4201</v>
      </c>
      <c r="Q3869" t="str">
        <f>VLOOKUP(A3869,vlookup_table!$A:$G,5,FALSE)</f>
        <v>R3</v>
      </c>
      <c r="R3869" t="str">
        <f>VLOOKUP(A3869,vlookup_table!$A:$G,6,FALSE)</f>
        <v>F</v>
      </c>
      <c r="S3869">
        <f>VLOOKUP(A3869,vlookup_table!$A:$G,7,FALSE)</f>
        <v>25</v>
      </c>
      <c r="T3869">
        <f t="shared" si="120"/>
        <v>54</v>
      </c>
      <c r="U3869" t="str">
        <f t="shared" si="121"/>
        <v>Rural</v>
      </c>
    </row>
    <row r="3870" spans="1:21" ht="16" x14ac:dyDescent="0.4">
      <c r="A3870" s="9">
        <v>18339</v>
      </c>
      <c r="B3870" s="8" t="s">
        <v>18</v>
      </c>
      <c r="C3870" s="8" t="s">
        <v>14</v>
      </c>
      <c r="D3870" s="8">
        <v>469</v>
      </c>
      <c r="E3870" s="8">
        <v>192</v>
      </c>
      <c r="F3870" s="8">
        <v>280</v>
      </c>
      <c r="G3870" s="8">
        <v>1</v>
      </c>
      <c r="H3870" s="8">
        <v>9448</v>
      </c>
      <c r="I3870" s="8">
        <v>0</v>
      </c>
      <c r="J3870" s="8">
        <v>84</v>
      </c>
      <c r="K3870" s="8">
        <v>222</v>
      </c>
      <c r="L3870" s="8">
        <v>245</v>
      </c>
      <c r="M3870" s="8">
        <v>10</v>
      </c>
      <c r="N3870">
        <f>VLOOKUP(A3870,vlookup_table!$A:$G,2,FALSE)</f>
        <v>1</v>
      </c>
      <c r="O3870" t="str">
        <f>VLOOKUP(A3870,vlookup_table!$A:$G,3,FALSE)</f>
        <v>NC</v>
      </c>
      <c r="P3870">
        <f>VLOOKUP(A3870,vlookup_table!$A:$G,4,FALSE)</f>
        <v>4801</v>
      </c>
      <c r="Q3870" t="str">
        <f>VLOOKUP(A3870,vlookup_table!$A:$G,5,FALSE)</f>
        <v>R2</v>
      </c>
      <c r="R3870" t="str">
        <f>VLOOKUP(A3870,vlookup_table!$A:$G,6,FALSE)</f>
        <v>M</v>
      </c>
      <c r="S3870">
        <f>VLOOKUP(A3870,vlookup_table!$A:$G,7,FALSE)</f>
        <v>10</v>
      </c>
      <c r="T3870">
        <f t="shared" si="120"/>
        <v>48</v>
      </c>
      <c r="U3870" t="str">
        <f t="shared" si="121"/>
        <v>Rural</v>
      </c>
    </row>
    <row r="3871" spans="1:21" ht="16" x14ac:dyDescent="0.4">
      <c r="A3871" s="9">
        <v>26645</v>
      </c>
      <c r="B3871" s="8" t="s">
        <v>36</v>
      </c>
      <c r="C3871" s="8" t="s">
        <v>17</v>
      </c>
      <c r="D3871" s="8">
        <v>681</v>
      </c>
      <c r="E3871" s="8">
        <v>318</v>
      </c>
      <c r="F3871" s="8">
        <v>377</v>
      </c>
      <c r="G3871" s="8">
        <v>2</v>
      </c>
      <c r="H3871" s="8">
        <v>12180</v>
      </c>
      <c r="I3871" s="8">
        <v>0</v>
      </c>
      <c r="J3871" s="8">
        <v>71</v>
      </c>
      <c r="K3871" s="8">
        <v>337</v>
      </c>
      <c r="L3871" s="8">
        <v>355</v>
      </c>
      <c r="M3871" s="8">
        <v>7.375</v>
      </c>
      <c r="N3871">
        <f>VLOOKUP(A3871,vlookup_table!$A:$G,2,FALSE)</f>
        <v>2</v>
      </c>
      <c r="O3871" t="str">
        <f>VLOOKUP(A3871,vlookup_table!$A:$G,3,FALSE)</f>
        <v>GA</v>
      </c>
      <c r="P3871">
        <f>VLOOKUP(A3871,vlookup_table!$A:$G,4,FALSE)</f>
        <v>4901</v>
      </c>
      <c r="Q3871" t="str">
        <f>VLOOKUP(A3871,vlookup_table!$A:$G,5,FALSE)</f>
        <v>R2</v>
      </c>
      <c r="R3871" t="str">
        <f>VLOOKUP(A3871,vlookup_table!$A:$G,6,FALSE)</f>
        <v>F</v>
      </c>
      <c r="S3871">
        <f>VLOOKUP(A3871,vlookup_table!$A:$G,7,FALSE)</f>
        <v>15</v>
      </c>
      <c r="T3871">
        <f t="shared" si="120"/>
        <v>47</v>
      </c>
      <c r="U3871" t="str">
        <f t="shared" si="121"/>
        <v>Rural</v>
      </c>
    </row>
    <row r="3872" spans="1:21" ht="16" x14ac:dyDescent="0.4">
      <c r="A3872" s="9">
        <v>85617</v>
      </c>
      <c r="B3872" s="8" t="s">
        <v>52</v>
      </c>
      <c r="C3872" s="8" t="s">
        <v>14</v>
      </c>
      <c r="D3872" s="8">
        <v>486</v>
      </c>
      <c r="E3872" s="8">
        <v>262</v>
      </c>
      <c r="F3872" s="8">
        <v>348</v>
      </c>
      <c r="G3872" s="8">
        <v>0</v>
      </c>
      <c r="H3872" s="8">
        <v>10756</v>
      </c>
      <c r="I3872" s="8">
        <v>1</v>
      </c>
      <c r="J3872" s="8">
        <v>66</v>
      </c>
      <c r="K3872" s="8">
        <v>299</v>
      </c>
      <c r="L3872" s="8">
        <v>310</v>
      </c>
      <c r="M3872" s="8">
        <v>8</v>
      </c>
      <c r="N3872">
        <f>VLOOKUP(A3872,vlookup_table!$A:$G,2,FALSE)</f>
        <v>0</v>
      </c>
      <c r="O3872" t="str">
        <f>VLOOKUP(A3872,vlookup_table!$A:$G,3,FALSE)</f>
        <v>MN</v>
      </c>
      <c r="P3872">
        <f>VLOOKUP(A3872,vlookup_table!$A:$G,4,FALSE)</f>
        <v>1801</v>
      </c>
      <c r="Q3872" t="str">
        <f>VLOOKUP(A3872,vlookup_table!$A:$G,5,FALSE)</f>
        <v>R2</v>
      </c>
      <c r="R3872" t="str">
        <f>VLOOKUP(A3872,vlookup_table!$A:$G,6,FALSE)</f>
        <v>M</v>
      </c>
      <c r="S3872">
        <f>VLOOKUP(A3872,vlookup_table!$A:$G,7,FALSE)</f>
        <v>9</v>
      </c>
      <c r="T3872">
        <f t="shared" si="120"/>
        <v>78</v>
      </c>
      <c r="U3872" t="str">
        <f t="shared" si="121"/>
        <v>Rural</v>
      </c>
    </row>
    <row r="3873" spans="1:21" ht="16" x14ac:dyDescent="0.4">
      <c r="A3873" s="9">
        <v>66830</v>
      </c>
      <c r="B3873" s="8" t="s">
        <v>26</v>
      </c>
      <c r="C3873" s="8" t="s">
        <v>17</v>
      </c>
      <c r="D3873" s="8">
        <v>943</v>
      </c>
      <c r="E3873" s="8">
        <v>464</v>
      </c>
      <c r="F3873" s="8">
        <v>464</v>
      </c>
      <c r="G3873" s="8">
        <v>5</v>
      </c>
      <c r="H3873" s="8">
        <v>15214</v>
      </c>
      <c r="I3873" s="8">
        <v>1</v>
      </c>
      <c r="J3873" s="8">
        <v>80</v>
      </c>
      <c r="K3873" s="8">
        <v>465</v>
      </c>
      <c r="L3873" s="8">
        <v>435</v>
      </c>
      <c r="M3873" s="8">
        <v>10</v>
      </c>
      <c r="N3873">
        <f>VLOOKUP(A3873,vlookup_table!$A:$G,2,FALSE)</f>
        <v>0</v>
      </c>
      <c r="O3873" t="str">
        <f>VLOOKUP(A3873,vlookup_table!$A:$G,3,FALSE)</f>
        <v>MI</v>
      </c>
      <c r="P3873">
        <f>VLOOKUP(A3873,vlookup_table!$A:$G,4,FALSE)</f>
        <v>2901</v>
      </c>
      <c r="Q3873" t="str">
        <f>VLOOKUP(A3873,vlookup_table!$A:$G,5,FALSE)</f>
        <v>T2</v>
      </c>
      <c r="R3873" t="str">
        <f>VLOOKUP(A3873,vlookup_table!$A:$G,6,FALSE)</f>
        <v>F</v>
      </c>
      <c r="S3873">
        <f>VLOOKUP(A3873,vlookup_table!$A:$G,7,FALSE)</f>
        <v>10</v>
      </c>
      <c r="T3873">
        <f t="shared" si="120"/>
        <v>67</v>
      </c>
      <c r="U3873" t="str">
        <f t="shared" si="121"/>
        <v>Pueblo</v>
      </c>
    </row>
    <row r="3874" spans="1:21" ht="16" x14ac:dyDescent="0.4">
      <c r="A3874" s="9">
        <v>152847</v>
      </c>
      <c r="B3874" s="8" t="s">
        <v>21</v>
      </c>
      <c r="C3874" s="8" t="s">
        <v>14</v>
      </c>
      <c r="D3874" s="8">
        <v>2799</v>
      </c>
      <c r="E3874" s="8">
        <v>518</v>
      </c>
      <c r="F3874" s="8">
        <v>599</v>
      </c>
      <c r="G3874" s="8">
        <v>85</v>
      </c>
      <c r="H3874" s="8">
        <v>29620</v>
      </c>
      <c r="I3874" s="8">
        <v>7</v>
      </c>
      <c r="J3874" s="8">
        <v>28</v>
      </c>
      <c r="K3874" s="8">
        <v>576</v>
      </c>
      <c r="L3874" s="8">
        <v>554</v>
      </c>
      <c r="M3874" s="8">
        <v>14.80952381</v>
      </c>
      <c r="N3874">
        <f>VLOOKUP(A3874,vlookup_table!$A:$G,2,FALSE)</f>
        <v>1</v>
      </c>
      <c r="O3874" t="str">
        <f>VLOOKUP(A3874,vlookup_table!$A:$G,3,FALSE)</f>
        <v>CA</v>
      </c>
      <c r="P3874">
        <f>VLOOKUP(A3874,vlookup_table!$A:$G,4,FALSE)</f>
        <v>2001</v>
      </c>
      <c r="Q3874" t="str">
        <f>VLOOKUP(A3874,vlookup_table!$A:$G,5,FALSE)</f>
        <v>S1</v>
      </c>
      <c r="R3874" t="str">
        <f>VLOOKUP(A3874,vlookup_table!$A:$G,6,FALSE)</f>
        <v>M</v>
      </c>
      <c r="S3874">
        <f>VLOOKUP(A3874,vlookup_table!$A:$G,7,FALSE)</f>
        <v>37</v>
      </c>
      <c r="T3874">
        <f t="shared" si="120"/>
        <v>76</v>
      </c>
      <c r="U3874" t="str">
        <f t="shared" si="121"/>
        <v>Suburbano</v>
      </c>
    </row>
    <row r="3875" spans="1:21" ht="16" x14ac:dyDescent="0.4">
      <c r="A3875" s="9">
        <v>51426</v>
      </c>
      <c r="B3875" s="8" t="s">
        <v>49</v>
      </c>
      <c r="C3875" s="8" t="s">
        <v>14</v>
      </c>
      <c r="D3875" s="8">
        <v>531</v>
      </c>
      <c r="E3875" s="8">
        <v>226</v>
      </c>
      <c r="F3875" s="8">
        <v>322</v>
      </c>
      <c r="G3875" s="8">
        <v>1</v>
      </c>
      <c r="H3875" s="8">
        <v>10808</v>
      </c>
      <c r="I3875" s="8">
        <v>1</v>
      </c>
      <c r="J3875" s="8">
        <v>76</v>
      </c>
      <c r="K3875" s="8">
        <v>248</v>
      </c>
      <c r="L3875" s="8">
        <v>283</v>
      </c>
      <c r="M3875" s="8">
        <v>11.66666667</v>
      </c>
      <c r="N3875">
        <f>VLOOKUP(A3875,vlookup_table!$A:$G,2,FALSE)</f>
        <v>1</v>
      </c>
      <c r="O3875" t="str">
        <f>VLOOKUP(A3875,vlookup_table!$A:$G,3,FALSE)</f>
        <v>TN</v>
      </c>
      <c r="P3875">
        <f>VLOOKUP(A3875,vlookup_table!$A:$G,4,FALSE)</f>
        <v>4601</v>
      </c>
      <c r="Q3875" t="str">
        <f>VLOOKUP(A3875,vlookup_table!$A:$G,5,FALSE)</f>
        <v>T2</v>
      </c>
      <c r="R3875" t="str">
        <f>VLOOKUP(A3875,vlookup_table!$A:$G,6,FALSE)</f>
        <v>M</v>
      </c>
      <c r="S3875">
        <f>VLOOKUP(A3875,vlookup_table!$A:$G,7,FALSE)</f>
        <v>25</v>
      </c>
      <c r="T3875">
        <f t="shared" si="120"/>
        <v>50</v>
      </c>
      <c r="U3875" t="str">
        <f t="shared" si="121"/>
        <v>Pueblo</v>
      </c>
    </row>
    <row r="3876" spans="1:21" ht="16" x14ac:dyDescent="0.4">
      <c r="A3876" s="9">
        <v>42068</v>
      </c>
      <c r="B3876" s="8" t="s">
        <v>13</v>
      </c>
      <c r="C3876" s="8" t="s">
        <v>17</v>
      </c>
      <c r="D3876" s="8">
        <v>645</v>
      </c>
      <c r="E3876" s="8">
        <v>199</v>
      </c>
      <c r="F3876" s="8">
        <v>262</v>
      </c>
      <c r="G3876" s="8">
        <v>1</v>
      </c>
      <c r="H3876" s="8">
        <v>10201</v>
      </c>
      <c r="I3876" s="8">
        <v>2</v>
      </c>
      <c r="J3876" s="8">
        <v>26</v>
      </c>
      <c r="K3876" s="8">
        <v>215</v>
      </c>
      <c r="L3876" s="8">
        <v>241</v>
      </c>
      <c r="M3876" s="8">
        <v>8.6875</v>
      </c>
      <c r="N3876">
        <f>VLOOKUP(A3876,vlookup_table!$A:$G,2,FALSE)</f>
        <v>2</v>
      </c>
      <c r="O3876" t="str">
        <f>VLOOKUP(A3876,vlookup_table!$A:$G,3,FALSE)</f>
        <v>FL</v>
      </c>
      <c r="P3876">
        <f>VLOOKUP(A3876,vlookup_table!$A:$G,4,FALSE)</f>
        <v>1801</v>
      </c>
      <c r="Q3876" t="str">
        <f>VLOOKUP(A3876,vlookup_table!$A:$G,5,FALSE)</f>
        <v>T2</v>
      </c>
      <c r="R3876" t="str">
        <f>VLOOKUP(A3876,vlookup_table!$A:$G,6,FALSE)</f>
        <v>F</v>
      </c>
      <c r="S3876">
        <f>VLOOKUP(A3876,vlookup_table!$A:$G,7,FALSE)</f>
        <v>10</v>
      </c>
      <c r="T3876">
        <f t="shared" si="120"/>
        <v>78</v>
      </c>
      <c r="U3876" t="str">
        <f t="shared" si="121"/>
        <v>Pueblo</v>
      </c>
    </row>
    <row r="3877" spans="1:21" ht="16" x14ac:dyDescent="0.4">
      <c r="A3877" s="9">
        <v>66797</v>
      </c>
      <c r="B3877" s="8" t="s">
        <v>26</v>
      </c>
      <c r="C3877" s="8" t="s">
        <v>14</v>
      </c>
      <c r="D3877" s="8">
        <v>1595</v>
      </c>
      <c r="E3877" s="8">
        <v>562</v>
      </c>
      <c r="F3877" s="8">
        <v>758</v>
      </c>
      <c r="G3877" s="8">
        <v>35</v>
      </c>
      <c r="H3877" s="8">
        <v>23981</v>
      </c>
      <c r="I3877" s="8">
        <v>4</v>
      </c>
      <c r="J3877" s="8">
        <v>82</v>
      </c>
      <c r="K3877" s="8">
        <v>663</v>
      </c>
      <c r="L3877" s="8">
        <v>700</v>
      </c>
      <c r="M3877" s="8">
        <v>23</v>
      </c>
      <c r="N3877">
        <f>VLOOKUP(A3877,vlookup_table!$A:$G,2,FALSE)</f>
        <v>1</v>
      </c>
      <c r="O3877" t="str">
        <f>VLOOKUP(A3877,vlookup_table!$A:$G,3,FALSE)</f>
        <v>MI</v>
      </c>
      <c r="P3877">
        <f>VLOOKUP(A3877,vlookup_table!$A:$G,4,FALSE)</f>
        <v>0</v>
      </c>
      <c r="Q3877" t="str">
        <f>VLOOKUP(A3877,vlookup_table!$A:$G,5,FALSE)</f>
        <v>S1</v>
      </c>
      <c r="R3877" t="str">
        <f>VLOOKUP(A3877,vlookup_table!$A:$G,6,FALSE)</f>
        <v>M</v>
      </c>
      <c r="S3877">
        <f>VLOOKUP(A3877,vlookup_table!$A:$G,7,FALSE)</f>
        <v>30</v>
      </c>
      <c r="T3877">
        <f t="shared" si="120"/>
        <v>96</v>
      </c>
      <c r="U3877" t="str">
        <f t="shared" si="121"/>
        <v>Suburbano</v>
      </c>
    </row>
    <row r="3878" spans="1:21" ht="16" x14ac:dyDescent="0.4">
      <c r="A3878" s="9">
        <v>120203</v>
      </c>
      <c r="B3878" s="8" t="s">
        <v>20</v>
      </c>
      <c r="C3878" s="8" t="s">
        <v>17</v>
      </c>
      <c r="D3878" s="8">
        <v>567</v>
      </c>
      <c r="E3878" s="8">
        <v>334</v>
      </c>
      <c r="F3878" s="8">
        <v>531</v>
      </c>
      <c r="G3878" s="8">
        <v>4</v>
      </c>
      <c r="H3878" s="8">
        <v>17087</v>
      </c>
      <c r="I3878" s="8">
        <v>1</v>
      </c>
      <c r="J3878" s="8">
        <v>85</v>
      </c>
      <c r="K3878" s="8">
        <v>399</v>
      </c>
      <c r="L3878" s="8">
        <v>446</v>
      </c>
      <c r="M3878" s="8">
        <v>14</v>
      </c>
      <c r="N3878">
        <f>VLOOKUP(A3878,vlookup_table!$A:$G,2,FALSE)</f>
        <v>28</v>
      </c>
      <c r="O3878" t="str">
        <f>VLOOKUP(A3878,vlookup_table!$A:$G,3,FALSE)</f>
        <v>TX</v>
      </c>
      <c r="P3878">
        <f>VLOOKUP(A3878,vlookup_table!$A:$G,4,FALSE)</f>
        <v>3501</v>
      </c>
      <c r="Q3878" t="str">
        <f>VLOOKUP(A3878,vlookup_table!$A:$G,5,FALSE)</f>
        <v>R2</v>
      </c>
      <c r="R3878" t="str">
        <f>VLOOKUP(A3878,vlookup_table!$A:$G,6,FALSE)</f>
        <v>F</v>
      </c>
      <c r="S3878">
        <f>VLOOKUP(A3878,vlookup_table!$A:$G,7,FALSE)</f>
        <v>20</v>
      </c>
      <c r="T3878">
        <f t="shared" si="120"/>
        <v>61</v>
      </c>
      <c r="U3878" t="str">
        <f t="shared" si="121"/>
        <v>Rural</v>
      </c>
    </row>
    <row r="3879" spans="1:21" ht="16" x14ac:dyDescent="0.4">
      <c r="A3879" s="9">
        <v>113560</v>
      </c>
      <c r="B3879" s="8" t="s">
        <v>28</v>
      </c>
      <c r="C3879" s="8" t="s">
        <v>14</v>
      </c>
      <c r="D3879" s="8">
        <v>930</v>
      </c>
      <c r="E3879" s="8">
        <v>519</v>
      </c>
      <c r="F3879" s="8">
        <v>594</v>
      </c>
      <c r="G3879" s="8">
        <v>1</v>
      </c>
      <c r="H3879" s="8">
        <v>20445</v>
      </c>
      <c r="I3879" s="8">
        <v>5</v>
      </c>
      <c r="J3879" s="8">
        <v>42</v>
      </c>
      <c r="K3879" s="8">
        <v>551</v>
      </c>
      <c r="L3879" s="8">
        <v>560</v>
      </c>
      <c r="M3879" s="8">
        <v>12.75</v>
      </c>
      <c r="N3879">
        <f>VLOOKUP(A3879,vlookup_table!$A:$G,2,FALSE)</f>
        <v>1</v>
      </c>
      <c r="O3879" t="str">
        <f>VLOOKUP(A3879,vlookup_table!$A:$G,3,FALSE)</f>
        <v>OK</v>
      </c>
      <c r="P3879">
        <f>VLOOKUP(A3879,vlookup_table!$A:$G,4,FALSE)</f>
        <v>2804</v>
      </c>
      <c r="Q3879" t="str">
        <f>VLOOKUP(A3879,vlookup_table!$A:$G,5,FALSE)</f>
        <v>S1</v>
      </c>
      <c r="R3879" t="str">
        <f>VLOOKUP(A3879,vlookup_table!$A:$G,6,FALSE)</f>
        <v>M</v>
      </c>
      <c r="S3879">
        <f>VLOOKUP(A3879,vlookup_table!$A:$G,7,FALSE)</f>
        <v>25</v>
      </c>
      <c r="T3879">
        <f t="shared" si="120"/>
        <v>68</v>
      </c>
      <c r="U3879" t="str">
        <f t="shared" si="121"/>
        <v>Suburbano</v>
      </c>
    </row>
    <row r="3880" spans="1:21" ht="16" x14ac:dyDescent="0.4">
      <c r="A3880" s="9">
        <v>188854</v>
      </c>
      <c r="B3880" s="8" t="s">
        <v>47</v>
      </c>
      <c r="C3880" s="8" t="s">
        <v>17</v>
      </c>
      <c r="D3880" s="8">
        <v>851</v>
      </c>
      <c r="E3880" s="8">
        <v>338</v>
      </c>
      <c r="F3880" s="8">
        <v>392</v>
      </c>
      <c r="G3880" s="8">
        <v>0</v>
      </c>
      <c r="H3880" s="8">
        <v>15286</v>
      </c>
      <c r="I3880" s="8">
        <v>6</v>
      </c>
      <c r="J3880" s="8">
        <v>44</v>
      </c>
      <c r="K3880" s="8">
        <v>321</v>
      </c>
      <c r="L3880" s="8">
        <v>400</v>
      </c>
      <c r="M3880" s="8">
        <v>8.8333333330000006</v>
      </c>
      <c r="N3880">
        <f>VLOOKUP(A3880,vlookup_table!$A:$G,2,FALSE)</f>
        <v>0</v>
      </c>
      <c r="O3880" t="str">
        <f>VLOOKUP(A3880,vlookup_table!$A:$G,3,FALSE)</f>
        <v>OR</v>
      </c>
      <c r="P3880">
        <f>VLOOKUP(A3880,vlookup_table!$A:$G,4,FALSE)</f>
        <v>2401</v>
      </c>
      <c r="Q3880" t="str">
        <f>VLOOKUP(A3880,vlookup_table!$A:$G,5,FALSE)</f>
        <v/>
      </c>
      <c r="R3880" t="str">
        <f>VLOOKUP(A3880,vlookup_table!$A:$G,6,FALSE)</f>
        <v>F</v>
      </c>
      <c r="S3880">
        <f>VLOOKUP(A3880,vlookup_table!$A:$G,7,FALSE)</f>
        <v>5</v>
      </c>
      <c r="T3880">
        <f t="shared" si="120"/>
        <v>72</v>
      </c>
      <c r="U3880" t="str">
        <f t="shared" si="121"/>
        <v/>
      </c>
    </row>
    <row r="3881" spans="1:21" ht="16" x14ac:dyDescent="0.4">
      <c r="A3881" s="9">
        <v>80378</v>
      </c>
      <c r="B3881" s="8" t="s">
        <v>32</v>
      </c>
      <c r="C3881" s="8" t="s">
        <v>17</v>
      </c>
      <c r="D3881" s="8">
        <v>689</v>
      </c>
      <c r="E3881" s="8">
        <v>235</v>
      </c>
      <c r="F3881" s="8">
        <v>338</v>
      </c>
      <c r="G3881" s="8">
        <v>0</v>
      </c>
      <c r="H3881" s="8">
        <v>11586</v>
      </c>
      <c r="I3881" s="8">
        <v>5</v>
      </c>
      <c r="J3881" s="8">
        <v>81</v>
      </c>
      <c r="K3881" s="8">
        <v>341</v>
      </c>
      <c r="L3881" s="8">
        <v>257</v>
      </c>
      <c r="M3881" s="8">
        <v>4.8571428570000004</v>
      </c>
      <c r="N3881">
        <f>VLOOKUP(A3881,vlookup_table!$A:$G,2,FALSE)</f>
        <v>2</v>
      </c>
      <c r="O3881" t="str">
        <f>VLOOKUP(A3881,vlookup_table!$A:$G,3,FALSE)</f>
        <v>WI</v>
      </c>
      <c r="P3881">
        <f>VLOOKUP(A3881,vlookup_table!$A:$G,4,FALSE)</f>
        <v>1209</v>
      </c>
      <c r="Q3881" t="str">
        <f>VLOOKUP(A3881,vlookup_table!$A:$G,5,FALSE)</f>
        <v>T2</v>
      </c>
      <c r="R3881" t="str">
        <f>VLOOKUP(A3881,vlookup_table!$A:$G,6,FALSE)</f>
        <v>F</v>
      </c>
      <c r="S3881">
        <f>VLOOKUP(A3881,vlookup_table!$A:$G,7,FALSE)</f>
        <v>5</v>
      </c>
      <c r="T3881">
        <f t="shared" si="120"/>
        <v>84</v>
      </c>
      <c r="U3881" t="str">
        <f t="shared" si="121"/>
        <v>Pueblo</v>
      </c>
    </row>
    <row r="3882" spans="1:21" ht="16" x14ac:dyDescent="0.4">
      <c r="A3882" s="9">
        <v>148227</v>
      </c>
      <c r="B3882" s="8" t="s">
        <v>21</v>
      </c>
      <c r="C3882" s="8" t="s">
        <v>14</v>
      </c>
      <c r="D3882" s="8">
        <v>2413</v>
      </c>
      <c r="E3882" s="8">
        <v>564</v>
      </c>
      <c r="F3882" s="8">
        <v>560</v>
      </c>
      <c r="G3882" s="8">
        <v>88</v>
      </c>
      <c r="H3882" s="8">
        <v>16288</v>
      </c>
      <c r="I3882" s="8">
        <v>25</v>
      </c>
      <c r="J3882" s="8">
        <v>40</v>
      </c>
      <c r="K3882" s="8">
        <v>566</v>
      </c>
      <c r="L3882" s="8">
        <v>553</v>
      </c>
      <c r="M3882" s="8">
        <v>10.75</v>
      </c>
      <c r="N3882">
        <f>VLOOKUP(A3882,vlookup_table!$A:$G,2,FALSE)</f>
        <v>1002</v>
      </c>
      <c r="O3882" t="str">
        <f>VLOOKUP(A3882,vlookup_table!$A:$G,3,FALSE)</f>
        <v>CA</v>
      </c>
      <c r="P3882">
        <f>VLOOKUP(A3882,vlookup_table!$A:$G,4,FALSE)</f>
        <v>2801</v>
      </c>
      <c r="Q3882" t="str">
        <f>VLOOKUP(A3882,vlookup_table!$A:$G,5,FALSE)</f>
        <v>S1</v>
      </c>
      <c r="R3882" t="str">
        <f>VLOOKUP(A3882,vlookup_table!$A:$G,6,FALSE)</f>
        <v>M</v>
      </c>
      <c r="S3882">
        <f>VLOOKUP(A3882,vlookup_table!$A:$G,7,FALSE)</f>
        <v>10</v>
      </c>
      <c r="T3882">
        <f t="shared" si="120"/>
        <v>68</v>
      </c>
      <c r="U3882" t="str">
        <f t="shared" si="121"/>
        <v>Suburbano</v>
      </c>
    </row>
    <row r="3883" spans="1:21" ht="16" x14ac:dyDescent="0.4">
      <c r="A3883" s="9">
        <v>129360</v>
      </c>
      <c r="B3883" s="8" t="s">
        <v>20</v>
      </c>
      <c r="C3883" s="8" t="s">
        <v>14</v>
      </c>
      <c r="D3883" s="8">
        <v>749</v>
      </c>
      <c r="E3883" s="8">
        <v>228</v>
      </c>
      <c r="F3883" s="8">
        <v>377</v>
      </c>
      <c r="G3883" s="8">
        <v>0</v>
      </c>
      <c r="H3883" s="8">
        <v>14895</v>
      </c>
      <c r="I3883" s="8">
        <v>5</v>
      </c>
      <c r="J3883" s="8">
        <v>65</v>
      </c>
      <c r="K3883" s="8">
        <v>295</v>
      </c>
      <c r="L3883" s="8">
        <v>289</v>
      </c>
      <c r="M3883" s="8">
        <v>5.6363636359999996</v>
      </c>
      <c r="N3883">
        <f>VLOOKUP(A3883,vlookup_table!$A:$G,2,FALSE)</f>
        <v>0</v>
      </c>
      <c r="O3883" t="str">
        <f>VLOOKUP(A3883,vlookup_table!$A:$G,3,FALSE)</f>
        <v>TX</v>
      </c>
      <c r="P3883">
        <f>VLOOKUP(A3883,vlookup_table!$A:$G,4,FALSE)</f>
        <v>5512</v>
      </c>
      <c r="Q3883" t="str">
        <f>VLOOKUP(A3883,vlookup_table!$A:$G,5,FALSE)</f>
        <v>S2</v>
      </c>
      <c r="R3883" t="str">
        <f>VLOOKUP(A3883,vlookup_table!$A:$G,6,FALSE)</f>
        <v>M</v>
      </c>
      <c r="S3883">
        <f>VLOOKUP(A3883,vlookup_table!$A:$G,7,FALSE)</f>
        <v>15</v>
      </c>
      <c r="T3883">
        <f t="shared" si="120"/>
        <v>41</v>
      </c>
      <c r="U3883" t="str">
        <f t="shared" si="121"/>
        <v>Suburbano</v>
      </c>
    </row>
    <row r="3884" spans="1:21" ht="16" x14ac:dyDescent="0.4">
      <c r="A3884" s="9">
        <v>187628</v>
      </c>
      <c r="B3884" s="8" t="s">
        <v>53</v>
      </c>
      <c r="C3884" s="8"/>
      <c r="D3884" s="8">
        <v>896</v>
      </c>
      <c r="E3884" s="8">
        <v>455</v>
      </c>
      <c r="F3884" s="8">
        <v>507</v>
      </c>
      <c r="G3884" s="8">
        <v>1</v>
      </c>
      <c r="H3884" s="8">
        <v>18693</v>
      </c>
      <c r="I3884" s="8">
        <v>1</v>
      </c>
      <c r="J3884" s="8">
        <v>79</v>
      </c>
      <c r="K3884" s="8">
        <v>464</v>
      </c>
      <c r="L3884" s="8">
        <v>493</v>
      </c>
      <c r="M3884" s="8">
        <v>10.28571429</v>
      </c>
      <c r="N3884">
        <f>VLOOKUP(A3884,vlookup_table!$A:$G,2,FALSE)</f>
        <v>0</v>
      </c>
      <c r="O3884" t="str">
        <f>VLOOKUP(A3884,vlookup_table!$A:$G,3,FALSE)</f>
        <v>KY</v>
      </c>
      <c r="P3884">
        <f>VLOOKUP(A3884,vlookup_table!$A:$G,4,FALSE)</f>
        <v>0</v>
      </c>
      <c r="Q3884" t="str">
        <f>VLOOKUP(A3884,vlookup_table!$A:$G,5,FALSE)</f>
        <v>T1</v>
      </c>
      <c r="R3884" t="str">
        <f>VLOOKUP(A3884,vlookup_table!$A:$G,6,FALSE)</f>
        <v/>
      </c>
      <c r="S3884">
        <f>VLOOKUP(A3884,vlookup_table!$A:$G,7,FALSE)</f>
        <v>19</v>
      </c>
      <c r="T3884">
        <f t="shared" si="120"/>
        <v>96</v>
      </c>
      <c r="U3884" t="str">
        <f t="shared" si="121"/>
        <v>Pueblo</v>
      </c>
    </row>
    <row r="3885" spans="1:21" ht="16" x14ac:dyDescent="0.4">
      <c r="A3885" s="9">
        <v>117177</v>
      </c>
      <c r="B3885" s="8" t="s">
        <v>20</v>
      </c>
      <c r="C3885" s="8" t="s">
        <v>17</v>
      </c>
      <c r="D3885" s="8">
        <v>505</v>
      </c>
      <c r="E3885" s="8">
        <v>304</v>
      </c>
      <c r="F3885" s="8">
        <v>425</v>
      </c>
      <c r="G3885" s="8">
        <v>0</v>
      </c>
      <c r="H3885" s="8">
        <v>13296</v>
      </c>
      <c r="I3885" s="8">
        <v>18</v>
      </c>
      <c r="J3885" s="8">
        <v>68</v>
      </c>
      <c r="K3885" s="8">
        <v>366</v>
      </c>
      <c r="L3885" s="8">
        <v>351</v>
      </c>
      <c r="M3885" s="8">
        <v>6</v>
      </c>
      <c r="N3885">
        <f>VLOOKUP(A3885,vlookup_table!$A:$G,2,FALSE)</f>
        <v>0</v>
      </c>
      <c r="O3885" t="str">
        <f>VLOOKUP(A3885,vlookup_table!$A:$G,3,FALSE)</f>
        <v>TX</v>
      </c>
      <c r="P3885">
        <f>VLOOKUP(A3885,vlookup_table!$A:$G,4,FALSE)</f>
        <v>1512</v>
      </c>
      <c r="Q3885" t="str">
        <f>VLOOKUP(A3885,vlookup_table!$A:$G,5,FALSE)</f>
        <v>U3</v>
      </c>
      <c r="R3885" t="str">
        <f>VLOOKUP(A3885,vlookup_table!$A:$G,6,FALSE)</f>
        <v>F</v>
      </c>
      <c r="S3885">
        <f>VLOOKUP(A3885,vlookup_table!$A:$G,7,FALSE)</f>
        <v>9</v>
      </c>
      <c r="T3885">
        <f t="shared" si="120"/>
        <v>81</v>
      </c>
      <c r="U3885" t="str">
        <f t="shared" si="121"/>
        <v>Urbano</v>
      </c>
    </row>
    <row r="3886" spans="1:21" ht="16" x14ac:dyDescent="0.4">
      <c r="A3886" s="9">
        <v>13748</v>
      </c>
      <c r="B3886" s="8" t="s">
        <v>21</v>
      </c>
      <c r="C3886" s="8" t="s">
        <v>17</v>
      </c>
      <c r="D3886" s="8">
        <v>4104</v>
      </c>
      <c r="E3886" s="8">
        <v>811</v>
      </c>
      <c r="F3886" s="8">
        <v>876</v>
      </c>
      <c r="G3886" s="8">
        <v>98</v>
      </c>
      <c r="H3886" s="8">
        <v>29544</v>
      </c>
      <c r="I3886" s="8">
        <v>21</v>
      </c>
      <c r="J3886" s="8">
        <v>36</v>
      </c>
      <c r="K3886" s="8">
        <v>848</v>
      </c>
      <c r="L3886" s="8">
        <v>827</v>
      </c>
      <c r="M3886" s="8">
        <v>10.30769231</v>
      </c>
      <c r="N3886">
        <f>VLOOKUP(A3886,vlookup_table!$A:$G,2,FALSE)</f>
        <v>0</v>
      </c>
      <c r="O3886" t="str">
        <f>VLOOKUP(A3886,vlookup_table!$A:$G,3,FALSE)</f>
        <v>CA</v>
      </c>
      <c r="P3886">
        <f>VLOOKUP(A3886,vlookup_table!$A:$G,4,FALSE)</f>
        <v>2509</v>
      </c>
      <c r="Q3886" t="str">
        <f>VLOOKUP(A3886,vlookup_table!$A:$G,5,FALSE)</f>
        <v/>
      </c>
      <c r="R3886" t="str">
        <f>VLOOKUP(A3886,vlookup_table!$A:$G,6,FALSE)</f>
        <v>F</v>
      </c>
      <c r="S3886">
        <f>VLOOKUP(A3886,vlookup_table!$A:$G,7,FALSE)</f>
        <v>12</v>
      </c>
      <c r="T3886">
        <f t="shared" si="120"/>
        <v>71</v>
      </c>
      <c r="U3886" t="str">
        <f t="shared" si="121"/>
        <v/>
      </c>
    </row>
    <row r="3887" spans="1:21" ht="16" x14ac:dyDescent="0.4">
      <c r="A3887" s="9">
        <v>173563</v>
      </c>
      <c r="B3887" s="8" t="s">
        <v>34</v>
      </c>
      <c r="C3887" s="8" t="s">
        <v>17</v>
      </c>
      <c r="D3887" s="8">
        <v>2027</v>
      </c>
      <c r="E3887" s="8">
        <v>360</v>
      </c>
      <c r="F3887" s="8">
        <v>447</v>
      </c>
      <c r="G3887" s="8">
        <v>50</v>
      </c>
      <c r="H3887" s="8">
        <v>14005</v>
      </c>
      <c r="I3887" s="8">
        <v>15</v>
      </c>
      <c r="J3887" s="8">
        <v>47</v>
      </c>
      <c r="K3887" s="8">
        <v>382</v>
      </c>
      <c r="L3887" s="8">
        <v>421</v>
      </c>
      <c r="M3887" s="8">
        <v>10.6</v>
      </c>
      <c r="N3887">
        <f>VLOOKUP(A3887,vlookup_table!$A:$G,2,FALSE)</f>
        <v>0</v>
      </c>
      <c r="O3887" t="str">
        <f>VLOOKUP(A3887,vlookup_table!$A:$G,3,FALSE)</f>
        <v>HI</v>
      </c>
      <c r="P3887">
        <f>VLOOKUP(A3887,vlookup_table!$A:$G,4,FALSE)</f>
        <v>3001</v>
      </c>
      <c r="Q3887" t="str">
        <f>VLOOKUP(A3887,vlookup_table!$A:$G,5,FALSE)</f>
        <v>T2</v>
      </c>
      <c r="R3887" t="str">
        <f>VLOOKUP(A3887,vlookup_table!$A:$G,6,FALSE)</f>
        <v>F</v>
      </c>
      <c r="S3887">
        <f>VLOOKUP(A3887,vlookup_table!$A:$G,7,FALSE)</f>
        <v>30</v>
      </c>
      <c r="T3887">
        <f t="shared" si="120"/>
        <v>66</v>
      </c>
      <c r="U3887" t="str">
        <f t="shared" si="121"/>
        <v>Pueblo</v>
      </c>
    </row>
    <row r="3888" spans="1:21" ht="16" x14ac:dyDescent="0.4">
      <c r="A3888" s="9">
        <v>39869</v>
      </c>
      <c r="B3888" s="8" t="s">
        <v>13</v>
      </c>
      <c r="C3888" s="8" t="s">
        <v>17</v>
      </c>
      <c r="D3888" s="8">
        <v>2171</v>
      </c>
      <c r="E3888" s="8">
        <v>545</v>
      </c>
      <c r="F3888" s="8">
        <v>665</v>
      </c>
      <c r="G3888" s="8">
        <v>60</v>
      </c>
      <c r="H3888" s="8">
        <v>22696</v>
      </c>
      <c r="I3888" s="8">
        <v>9</v>
      </c>
      <c r="J3888" s="8">
        <v>19</v>
      </c>
      <c r="K3888" s="8">
        <v>613</v>
      </c>
      <c r="L3888" s="8">
        <v>612</v>
      </c>
      <c r="M3888" s="8">
        <v>15</v>
      </c>
      <c r="N3888">
        <f>VLOOKUP(A3888,vlookup_table!$A:$G,2,FALSE)</f>
        <v>28</v>
      </c>
      <c r="O3888" t="str">
        <f>VLOOKUP(A3888,vlookup_table!$A:$G,3,FALSE)</f>
        <v>FL</v>
      </c>
      <c r="P3888">
        <f>VLOOKUP(A3888,vlookup_table!$A:$G,4,FALSE)</f>
        <v>0</v>
      </c>
      <c r="Q3888" t="str">
        <f>VLOOKUP(A3888,vlookup_table!$A:$G,5,FALSE)</f>
        <v>S2</v>
      </c>
      <c r="R3888" t="str">
        <f>VLOOKUP(A3888,vlookup_table!$A:$G,6,FALSE)</f>
        <v>F</v>
      </c>
      <c r="S3888">
        <f>VLOOKUP(A3888,vlookup_table!$A:$G,7,FALSE)</f>
        <v>21</v>
      </c>
      <c r="T3888">
        <f t="shared" si="120"/>
        <v>96</v>
      </c>
      <c r="U3888" t="str">
        <f t="shared" si="121"/>
        <v>Suburbano</v>
      </c>
    </row>
    <row r="3889" spans="1:21" ht="16" x14ac:dyDescent="0.4">
      <c r="A3889" s="9">
        <v>188316</v>
      </c>
      <c r="B3889" s="8" t="s">
        <v>13</v>
      </c>
      <c r="C3889" s="8" t="s">
        <v>17</v>
      </c>
      <c r="D3889" s="8">
        <v>661</v>
      </c>
      <c r="E3889" s="8">
        <v>320</v>
      </c>
      <c r="F3889" s="8">
        <v>299</v>
      </c>
      <c r="G3889" s="8">
        <v>0</v>
      </c>
      <c r="H3889" s="8">
        <v>10910</v>
      </c>
      <c r="I3889" s="8">
        <v>0</v>
      </c>
      <c r="J3889" s="8">
        <v>24</v>
      </c>
      <c r="K3889" s="8">
        <v>325</v>
      </c>
      <c r="L3889" s="8">
        <v>310</v>
      </c>
      <c r="M3889" s="8">
        <v>13.1</v>
      </c>
      <c r="N3889">
        <f>VLOOKUP(A3889,vlookup_table!$A:$G,2,FALSE)</f>
        <v>28</v>
      </c>
      <c r="O3889" t="str">
        <f>VLOOKUP(A3889,vlookup_table!$A:$G,3,FALSE)</f>
        <v>FL</v>
      </c>
      <c r="P3889">
        <f>VLOOKUP(A3889,vlookup_table!$A:$G,4,FALSE)</f>
        <v>2305</v>
      </c>
      <c r="Q3889" t="str">
        <f>VLOOKUP(A3889,vlookup_table!$A:$G,5,FALSE)</f>
        <v>S3</v>
      </c>
      <c r="R3889" t="str">
        <f>VLOOKUP(A3889,vlookup_table!$A:$G,6,FALSE)</f>
        <v>F</v>
      </c>
      <c r="S3889">
        <f>VLOOKUP(A3889,vlookup_table!$A:$G,7,FALSE)</f>
        <v>10</v>
      </c>
      <c r="T3889">
        <f t="shared" si="120"/>
        <v>73</v>
      </c>
      <c r="U3889" t="str">
        <f t="shared" si="121"/>
        <v>Suburbano</v>
      </c>
    </row>
    <row r="3890" spans="1:21" ht="16" x14ac:dyDescent="0.4">
      <c r="A3890" s="9">
        <v>74345</v>
      </c>
      <c r="B3890" s="8" t="s">
        <v>26</v>
      </c>
      <c r="C3890" s="8" t="s">
        <v>14</v>
      </c>
      <c r="D3890" s="8">
        <v>538</v>
      </c>
      <c r="E3890" s="8">
        <v>251</v>
      </c>
      <c r="F3890" s="8">
        <v>298</v>
      </c>
      <c r="G3890" s="8">
        <v>0</v>
      </c>
      <c r="H3890" s="8">
        <v>10118</v>
      </c>
      <c r="I3890" s="8">
        <v>2</v>
      </c>
      <c r="J3890" s="8">
        <v>84</v>
      </c>
      <c r="K3890" s="8">
        <v>258</v>
      </c>
      <c r="L3890" s="8">
        <v>281</v>
      </c>
      <c r="M3890" s="8">
        <v>10.1875</v>
      </c>
      <c r="N3890">
        <f>VLOOKUP(A3890,vlookup_table!$A:$G,2,FALSE)</f>
        <v>72</v>
      </c>
      <c r="O3890" t="str">
        <f>VLOOKUP(A3890,vlookup_table!$A:$G,3,FALSE)</f>
        <v>MI</v>
      </c>
      <c r="P3890">
        <f>VLOOKUP(A3890,vlookup_table!$A:$G,4,FALSE)</f>
        <v>3504</v>
      </c>
      <c r="Q3890" t="str">
        <f>VLOOKUP(A3890,vlookup_table!$A:$G,5,FALSE)</f>
        <v>T2</v>
      </c>
      <c r="R3890" t="str">
        <f>VLOOKUP(A3890,vlookup_table!$A:$G,6,FALSE)</f>
        <v>M</v>
      </c>
      <c r="S3890">
        <f>VLOOKUP(A3890,vlookup_table!$A:$G,7,FALSE)</f>
        <v>25</v>
      </c>
      <c r="T3890">
        <f t="shared" si="120"/>
        <v>61</v>
      </c>
      <c r="U3890" t="str">
        <f t="shared" si="121"/>
        <v>Pueblo</v>
      </c>
    </row>
    <row r="3891" spans="1:21" ht="16" x14ac:dyDescent="0.4">
      <c r="A3891" s="9">
        <v>57496</v>
      </c>
      <c r="B3891" s="8" t="s">
        <v>53</v>
      </c>
      <c r="C3891" s="8" t="s">
        <v>14</v>
      </c>
      <c r="D3891" s="8">
        <v>460</v>
      </c>
      <c r="E3891" s="8">
        <v>299</v>
      </c>
      <c r="F3891" s="8">
        <v>353</v>
      </c>
      <c r="G3891" s="8">
        <v>1</v>
      </c>
      <c r="H3891" s="8">
        <v>11756</v>
      </c>
      <c r="I3891" s="8">
        <v>1</v>
      </c>
      <c r="J3891" s="8">
        <v>83</v>
      </c>
      <c r="K3891" s="8">
        <v>331</v>
      </c>
      <c r="L3891" s="8">
        <v>321</v>
      </c>
      <c r="M3891" s="8">
        <v>15.75</v>
      </c>
      <c r="N3891">
        <f>VLOOKUP(A3891,vlookup_table!$A:$G,2,FALSE)</f>
        <v>0</v>
      </c>
      <c r="O3891" t="str">
        <f>VLOOKUP(A3891,vlookup_table!$A:$G,3,FALSE)</f>
        <v>KY</v>
      </c>
      <c r="P3891">
        <f>VLOOKUP(A3891,vlookup_table!$A:$G,4,FALSE)</f>
        <v>3510</v>
      </c>
      <c r="Q3891" t="str">
        <f>VLOOKUP(A3891,vlookup_table!$A:$G,5,FALSE)</f>
        <v>T2</v>
      </c>
      <c r="R3891" t="str">
        <f>VLOOKUP(A3891,vlookup_table!$A:$G,6,FALSE)</f>
        <v>M</v>
      </c>
      <c r="S3891">
        <f>VLOOKUP(A3891,vlookup_table!$A:$G,7,FALSE)</f>
        <v>25</v>
      </c>
      <c r="T3891">
        <f t="shared" si="120"/>
        <v>61</v>
      </c>
      <c r="U3891" t="str">
        <f t="shared" si="121"/>
        <v>Pueblo</v>
      </c>
    </row>
    <row r="3892" spans="1:21" ht="16" x14ac:dyDescent="0.4">
      <c r="A3892" s="9">
        <v>65806</v>
      </c>
      <c r="B3892" s="8" t="s">
        <v>26</v>
      </c>
      <c r="C3892" s="8" t="s">
        <v>17</v>
      </c>
      <c r="D3892" s="8">
        <v>814</v>
      </c>
      <c r="E3892" s="8">
        <v>430</v>
      </c>
      <c r="F3892" s="8">
        <v>505</v>
      </c>
      <c r="G3892" s="8">
        <v>0</v>
      </c>
      <c r="H3892" s="8">
        <v>16948</v>
      </c>
      <c r="I3892" s="8">
        <v>8</v>
      </c>
      <c r="J3892" s="8">
        <v>79</v>
      </c>
      <c r="K3892" s="8">
        <v>468</v>
      </c>
      <c r="L3892" s="8">
        <v>471</v>
      </c>
      <c r="M3892" s="8">
        <v>4.80952381</v>
      </c>
      <c r="N3892">
        <f>VLOOKUP(A3892,vlookup_table!$A:$G,2,FALSE)</f>
        <v>0</v>
      </c>
      <c r="O3892" t="str">
        <f>VLOOKUP(A3892,vlookup_table!$A:$G,3,FALSE)</f>
        <v>MI</v>
      </c>
      <c r="P3892">
        <f>VLOOKUP(A3892,vlookup_table!$A:$G,4,FALSE)</f>
        <v>3109</v>
      </c>
      <c r="Q3892" t="str">
        <f>VLOOKUP(A3892,vlookup_table!$A:$G,5,FALSE)</f>
        <v>U2</v>
      </c>
      <c r="R3892" t="str">
        <f>VLOOKUP(A3892,vlookup_table!$A:$G,6,FALSE)</f>
        <v>F</v>
      </c>
      <c r="S3892">
        <f>VLOOKUP(A3892,vlookup_table!$A:$G,7,FALSE)</f>
        <v>5</v>
      </c>
      <c r="T3892">
        <f t="shared" si="120"/>
        <v>65</v>
      </c>
      <c r="U3892" t="str">
        <f t="shared" si="121"/>
        <v>Urbano</v>
      </c>
    </row>
    <row r="3893" spans="1:21" ht="16" x14ac:dyDescent="0.4">
      <c r="A3893" s="9">
        <v>152054</v>
      </c>
      <c r="B3893" s="8" t="s">
        <v>21</v>
      </c>
      <c r="C3893" s="8" t="s">
        <v>17</v>
      </c>
      <c r="D3893" s="8">
        <v>2297</v>
      </c>
      <c r="E3893" s="8">
        <v>512</v>
      </c>
      <c r="F3893" s="8">
        <v>607</v>
      </c>
      <c r="G3893" s="8">
        <v>71</v>
      </c>
      <c r="H3893" s="8">
        <v>20184</v>
      </c>
      <c r="I3893" s="8">
        <v>13</v>
      </c>
      <c r="J3893" s="8">
        <v>49</v>
      </c>
      <c r="K3893" s="8">
        <v>550</v>
      </c>
      <c r="L3893" s="8">
        <v>562</v>
      </c>
      <c r="M3893" s="8">
        <v>11.83333333</v>
      </c>
      <c r="N3893">
        <f>VLOOKUP(A3893,vlookup_table!$A:$G,2,FALSE)</f>
        <v>2</v>
      </c>
      <c r="O3893" t="str">
        <f>VLOOKUP(A3893,vlookup_table!$A:$G,3,FALSE)</f>
        <v>CA</v>
      </c>
      <c r="P3893">
        <f>VLOOKUP(A3893,vlookup_table!$A:$G,4,FALSE)</f>
        <v>2401</v>
      </c>
      <c r="Q3893" t="str">
        <f>VLOOKUP(A3893,vlookup_table!$A:$G,5,FALSE)</f>
        <v>S1</v>
      </c>
      <c r="R3893" t="str">
        <f>VLOOKUP(A3893,vlookup_table!$A:$G,6,FALSE)</f>
        <v>F</v>
      </c>
      <c r="S3893">
        <f>VLOOKUP(A3893,vlookup_table!$A:$G,7,FALSE)</f>
        <v>25</v>
      </c>
      <c r="T3893">
        <f t="shared" si="120"/>
        <v>72</v>
      </c>
      <c r="U3893" t="str">
        <f t="shared" si="121"/>
        <v>Suburbano</v>
      </c>
    </row>
    <row r="3894" spans="1:21" ht="16" x14ac:dyDescent="0.4">
      <c r="A3894" s="9">
        <v>191064</v>
      </c>
      <c r="B3894" s="8" t="s">
        <v>49</v>
      </c>
      <c r="C3894" s="8" t="s">
        <v>17</v>
      </c>
      <c r="D3894" s="8">
        <v>297</v>
      </c>
      <c r="E3894" s="8">
        <v>130</v>
      </c>
      <c r="F3894" s="8">
        <v>208</v>
      </c>
      <c r="G3894" s="8">
        <v>1</v>
      </c>
      <c r="H3894" s="8">
        <v>8510</v>
      </c>
      <c r="I3894" s="8">
        <v>0</v>
      </c>
      <c r="J3894" s="8">
        <v>68</v>
      </c>
      <c r="K3894" s="8">
        <v>163</v>
      </c>
      <c r="L3894" s="8">
        <v>179</v>
      </c>
      <c r="M3894" s="8">
        <v>4.7272727269999999</v>
      </c>
      <c r="N3894">
        <f>VLOOKUP(A3894,vlookup_table!$A:$G,2,FALSE)</f>
        <v>0</v>
      </c>
      <c r="O3894" t="str">
        <f>VLOOKUP(A3894,vlookup_table!$A:$G,3,FALSE)</f>
        <v>TN</v>
      </c>
      <c r="P3894">
        <f>VLOOKUP(A3894,vlookup_table!$A:$G,4,FALSE)</f>
        <v>2001</v>
      </c>
      <c r="Q3894" t="str">
        <f>VLOOKUP(A3894,vlookup_table!$A:$G,5,FALSE)</f>
        <v>C3</v>
      </c>
      <c r="R3894" t="str">
        <f>VLOOKUP(A3894,vlookup_table!$A:$G,6,FALSE)</f>
        <v>F</v>
      </c>
      <c r="S3894">
        <f>VLOOKUP(A3894,vlookup_table!$A:$G,7,FALSE)</f>
        <v>3</v>
      </c>
      <c r="T3894">
        <f t="shared" si="120"/>
        <v>76</v>
      </c>
      <c r="U3894" t="str">
        <f t="shared" si="121"/>
        <v>Ciudad</v>
      </c>
    </row>
    <row r="3895" spans="1:21" ht="16" x14ac:dyDescent="0.4">
      <c r="A3895" s="9">
        <v>117847</v>
      </c>
      <c r="B3895" s="8" t="s">
        <v>20</v>
      </c>
      <c r="C3895" s="8" t="s">
        <v>14</v>
      </c>
      <c r="D3895" s="8">
        <v>393</v>
      </c>
      <c r="E3895" s="8">
        <v>287</v>
      </c>
      <c r="F3895" s="8">
        <v>363</v>
      </c>
      <c r="G3895" s="8">
        <v>0</v>
      </c>
      <c r="H3895" s="8">
        <v>11982</v>
      </c>
      <c r="I3895" s="8">
        <v>0</v>
      </c>
      <c r="J3895" s="8">
        <v>59</v>
      </c>
      <c r="K3895" s="8">
        <v>313</v>
      </c>
      <c r="L3895" s="8">
        <v>314</v>
      </c>
      <c r="M3895" s="8">
        <v>20</v>
      </c>
      <c r="N3895">
        <f>VLOOKUP(A3895,vlookup_table!$A:$G,2,FALSE)</f>
        <v>1</v>
      </c>
      <c r="O3895" t="str">
        <f>VLOOKUP(A3895,vlookup_table!$A:$G,3,FALSE)</f>
        <v>TX</v>
      </c>
      <c r="P3895">
        <f>VLOOKUP(A3895,vlookup_table!$A:$G,4,FALSE)</f>
        <v>4601</v>
      </c>
      <c r="Q3895" t="str">
        <f>VLOOKUP(A3895,vlookup_table!$A:$G,5,FALSE)</f>
        <v>T2</v>
      </c>
      <c r="R3895" t="str">
        <f>VLOOKUP(A3895,vlookup_table!$A:$G,6,FALSE)</f>
        <v>M</v>
      </c>
      <c r="S3895">
        <f>VLOOKUP(A3895,vlookup_table!$A:$G,7,FALSE)</f>
        <v>20</v>
      </c>
      <c r="T3895">
        <f t="shared" si="120"/>
        <v>50</v>
      </c>
      <c r="U3895" t="str">
        <f t="shared" si="121"/>
        <v>Pueblo</v>
      </c>
    </row>
    <row r="3896" spans="1:21" ht="16" x14ac:dyDescent="0.4">
      <c r="A3896" s="9">
        <v>137626</v>
      </c>
      <c r="B3896" s="8" t="s">
        <v>51</v>
      </c>
      <c r="C3896" s="8" t="s">
        <v>14</v>
      </c>
      <c r="D3896" s="8">
        <v>675</v>
      </c>
      <c r="E3896" s="8">
        <v>354</v>
      </c>
      <c r="F3896" s="8">
        <v>407</v>
      </c>
      <c r="G3896" s="8">
        <v>0</v>
      </c>
      <c r="H3896" s="8">
        <v>11717</v>
      </c>
      <c r="I3896" s="8">
        <v>0</v>
      </c>
      <c r="J3896" s="8">
        <v>61</v>
      </c>
      <c r="K3896" s="8">
        <v>357</v>
      </c>
      <c r="L3896" s="8">
        <v>397</v>
      </c>
      <c r="M3896" s="8">
        <v>20</v>
      </c>
      <c r="N3896">
        <f>VLOOKUP(A3896,vlookup_table!$A:$G,2,FALSE)</f>
        <v>1</v>
      </c>
      <c r="O3896" t="str">
        <f>VLOOKUP(A3896,vlookup_table!$A:$G,3,FALSE)</f>
        <v>AZ</v>
      </c>
      <c r="P3896">
        <f>VLOOKUP(A3896,vlookup_table!$A:$G,4,FALSE)</f>
        <v>4801</v>
      </c>
      <c r="Q3896" t="str">
        <f>VLOOKUP(A3896,vlookup_table!$A:$G,5,FALSE)</f>
        <v>R2</v>
      </c>
      <c r="R3896" t="str">
        <f>VLOOKUP(A3896,vlookup_table!$A:$G,6,FALSE)</f>
        <v>M</v>
      </c>
      <c r="S3896">
        <f>VLOOKUP(A3896,vlookup_table!$A:$G,7,FALSE)</f>
        <v>20</v>
      </c>
      <c r="T3896">
        <f t="shared" si="120"/>
        <v>48</v>
      </c>
      <c r="U3896" t="str">
        <f t="shared" si="121"/>
        <v>Rural</v>
      </c>
    </row>
    <row r="3897" spans="1:21" ht="16" x14ac:dyDescent="0.4">
      <c r="A3897" s="9">
        <v>39659</v>
      </c>
      <c r="B3897" s="8" t="s">
        <v>13</v>
      </c>
      <c r="C3897" s="8" t="s">
        <v>14</v>
      </c>
      <c r="D3897" s="8">
        <v>897</v>
      </c>
      <c r="E3897" s="8">
        <v>208</v>
      </c>
      <c r="F3897" s="8">
        <v>317</v>
      </c>
      <c r="G3897" s="8">
        <v>14</v>
      </c>
      <c r="H3897" s="8">
        <v>13239</v>
      </c>
      <c r="I3897" s="8">
        <v>9</v>
      </c>
      <c r="J3897" s="8">
        <v>12</v>
      </c>
      <c r="K3897" s="8">
        <v>240</v>
      </c>
      <c r="L3897" s="8">
        <v>259</v>
      </c>
      <c r="M3897" s="8">
        <v>12.33333333</v>
      </c>
      <c r="N3897">
        <f>VLOOKUP(A3897,vlookup_table!$A:$G,2,FALSE)</f>
        <v>0</v>
      </c>
      <c r="O3897" t="str">
        <f>VLOOKUP(A3897,vlookup_table!$A:$G,3,FALSE)</f>
        <v>FL</v>
      </c>
      <c r="P3897">
        <f>VLOOKUP(A3897,vlookup_table!$A:$G,4,FALSE)</f>
        <v>5401</v>
      </c>
      <c r="Q3897" t="str">
        <f>VLOOKUP(A3897,vlookup_table!$A:$G,5,FALSE)</f>
        <v>S3</v>
      </c>
      <c r="R3897" t="str">
        <f>VLOOKUP(A3897,vlookup_table!$A:$G,6,FALSE)</f>
        <v>M</v>
      </c>
      <c r="S3897">
        <f>VLOOKUP(A3897,vlookup_table!$A:$G,7,FALSE)</f>
        <v>20</v>
      </c>
      <c r="T3897">
        <f t="shared" si="120"/>
        <v>42</v>
      </c>
      <c r="U3897" t="str">
        <f t="shared" si="121"/>
        <v>Suburbano</v>
      </c>
    </row>
    <row r="3898" spans="1:21" ht="16" x14ac:dyDescent="0.4">
      <c r="A3898" s="9">
        <v>136607</v>
      </c>
      <c r="B3898" s="8" t="s">
        <v>51</v>
      </c>
      <c r="C3898" s="8" t="s">
        <v>14</v>
      </c>
      <c r="D3898" s="8">
        <v>1402</v>
      </c>
      <c r="E3898" s="8">
        <v>460</v>
      </c>
      <c r="F3898" s="8">
        <v>628</v>
      </c>
      <c r="G3898" s="8">
        <v>3</v>
      </c>
      <c r="H3898" s="8">
        <v>23187</v>
      </c>
      <c r="I3898" s="8">
        <v>5</v>
      </c>
      <c r="J3898" s="8">
        <v>11</v>
      </c>
      <c r="K3898" s="8">
        <v>545</v>
      </c>
      <c r="L3898" s="8">
        <v>548</v>
      </c>
      <c r="M3898" s="8">
        <v>14.625</v>
      </c>
      <c r="N3898">
        <f>VLOOKUP(A3898,vlookup_table!$A:$G,2,FALSE)</f>
        <v>0</v>
      </c>
      <c r="O3898" t="str">
        <f>VLOOKUP(A3898,vlookup_table!$A:$G,3,FALSE)</f>
        <v>AZ</v>
      </c>
      <c r="P3898">
        <f>VLOOKUP(A3898,vlookup_table!$A:$G,4,FALSE)</f>
        <v>2112</v>
      </c>
      <c r="Q3898" t="str">
        <f>VLOOKUP(A3898,vlookup_table!$A:$G,5,FALSE)</f>
        <v>C1</v>
      </c>
      <c r="R3898" t="str">
        <f>VLOOKUP(A3898,vlookup_table!$A:$G,6,FALSE)</f>
        <v>M</v>
      </c>
      <c r="S3898">
        <f>VLOOKUP(A3898,vlookup_table!$A:$G,7,FALSE)</f>
        <v>32</v>
      </c>
      <c r="T3898">
        <f t="shared" si="120"/>
        <v>75</v>
      </c>
      <c r="U3898" t="str">
        <f t="shared" si="121"/>
        <v>Ciudad</v>
      </c>
    </row>
    <row r="3899" spans="1:21" ht="16" x14ac:dyDescent="0.4">
      <c r="A3899" s="9">
        <v>61745</v>
      </c>
      <c r="B3899" s="8" t="s">
        <v>30</v>
      </c>
      <c r="C3899" s="8" t="s">
        <v>14</v>
      </c>
      <c r="D3899" s="8">
        <v>566</v>
      </c>
      <c r="E3899" s="8">
        <v>315</v>
      </c>
      <c r="F3899" s="8">
        <v>329</v>
      </c>
      <c r="G3899" s="8">
        <v>1</v>
      </c>
      <c r="H3899" s="8">
        <v>12827</v>
      </c>
      <c r="I3899" s="8">
        <v>2</v>
      </c>
      <c r="J3899" s="8">
        <v>74</v>
      </c>
      <c r="K3899" s="8">
        <v>310</v>
      </c>
      <c r="L3899" s="8">
        <v>326</v>
      </c>
      <c r="M3899" s="8">
        <v>17.5</v>
      </c>
      <c r="N3899">
        <f>VLOOKUP(A3899,vlookup_table!$A:$G,2,FALSE)</f>
        <v>0</v>
      </c>
      <c r="O3899" t="str">
        <f>VLOOKUP(A3899,vlookup_table!$A:$G,3,FALSE)</f>
        <v>IN</v>
      </c>
      <c r="P3899">
        <f>VLOOKUP(A3899,vlookup_table!$A:$G,4,FALSE)</f>
        <v>6401</v>
      </c>
      <c r="Q3899" t="str">
        <f>VLOOKUP(A3899,vlookup_table!$A:$G,5,FALSE)</f>
        <v>T2</v>
      </c>
      <c r="R3899" t="str">
        <f>VLOOKUP(A3899,vlookup_table!$A:$G,6,FALSE)</f>
        <v>M</v>
      </c>
      <c r="S3899">
        <f>VLOOKUP(A3899,vlookup_table!$A:$G,7,FALSE)</f>
        <v>20</v>
      </c>
      <c r="T3899">
        <f t="shared" si="120"/>
        <v>32</v>
      </c>
      <c r="U3899" t="str">
        <f t="shared" si="121"/>
        <v>Pueblo</v>
      </c>
    </row>
    <row r="3900" spans="1:21" ht="16" x14ac:dyDescent="0.4">
      <c r="A3900" s="9">
        <v>29875</v>
      </c>
      <c r="B3900" s="8" t="s">
        <v>36</v>
      </c>
      <c r="C3900" s="8" t="s">
        <v>14</v>
      </c>
      <c r="D3900" s="8">
        <v>1483</v>
      </c>
      <c r="E3900" s="8">
        <v>673</v>
      </c>
      <c r="F3900" s="8">
        <v>774</v>
      </c>
      <c r="G3900" s="8">
        <v>25</v>
      </c>
      <c r="H3900" s="8">
        <v>27393</v>
      </c>
      <c r="I3900" s="8">
        <v>6</v>
      </c>
      <c r="J3900" s="8">
        <v>47</v>
      </c>
      <c r="K3900" s="8">
        <v>695</v>
      </c>
      <c r="L3900" s="8">
        <v>744</v>
      </c>
      <c r="M3900" s="8">
        <v>20</v>
      </c>
      <c r="N3900">
        <f>VLOOKUP(A3900,vlookup_table!$A:$G,2,FALSE)</f>
        <v>1002</v>
      </c>
      <c r="O3900" t="str">
        <f>VLOOKUP(A3900,vlookup_table!$A:$G,3,FALSE)</f>
        <v>GA</v>
      </c>
      <c r="P3900">
        <f>VLOOKUP(A3900,vlookup_table!$A:$G,4,FALSE)</f>
        <v>5901</v>
      </c>
      <c r="Q3900" t="str">
        <f>VLOOKUP(A3900,vlookup_table!$A:$G,5,FALSE)</f>
        <v>C1</v>
      </c>
      <c r="R3900" t="str">
        <f>VLOOKUP(A3900,vlookup_table!$A:$G,6,FALSE)</f>
        <v>M</v>
      </c>
      <c r="S3900">
        <f>VLOOKUP(A3900,vlookup_table!$A:$G,7,FALSE)</f>
        <v>20</v>
      </c>
      <c r="T3900">
        <f t="shared" si="120"/>
        <v>37</v>
      </c>
      <c r="U3900" t="str">
        <f t="shared" si="121"/>
        <v>Ciudad</v>
      </c>
    </row>
    <row r="3901" spans="1:21" ht="16" x14ac:dyDescent="0.4">
      <c r="A3901" s="9">
        <v>7174</v>
      </c>
      <c r="B3901" s="8" t="s">
        <v>16</v>
      </c>
      <c r="C3901" s="8" t="s">
        <v>17</v>
      </c>
      <c r="D3901" s="8">
        <v>504</v>
      </c>
      <c r="E3901" s="8">
        <v>289</v>
      </c>
      <c r="F3901" s="8">
        <v>356</v>
      </c>
      <c r="G3901" s="8">
        <v>0</v>
      </c>
      <c r="H3901" s="8">
        <v>11074</v>
      </c>
      <c r="I3901" s="8">
        <v>1</v>
      </c>
      <c r="J3901" s="8">
        <v>81</v>
      </c>
      <c r="K3901" s="8">
        <v>355</v>
      </c>
      <c r="L3901" s="8">
        <v>296</v>
      </c>
      <c r="M3901" s="8">
        <v>8.3636363639999995</v>
      </c>
      <c r="N3901">
        <f>VLOOKUP(A3901,vlookup_table!$A:$G,2,FALSE)</f>
        <v>0</v>
      </c>
      <c r="O3901" t="str">
        <f>VLOOKUP(A3901,vlookup_table!$A:$G,3,FALSE)</f>
        <v>IL</v>
      </c>
      <c r="P3901">
        <f>VLOOKUP(A3901,vlookup_table!$A:$G,4,FALSE)</f>
        <v>301</v>
      </c>
      <c r="Q3901" t="str">
        <f>VLOOKUP(A3901,vlookup_table!$A:$G,5,FALSE)</f>
        <v>T2</v>
      </c>
      <c r="R3901" t="str">
        <f>VLOOKUP(A3901,vlookup_table!$A:$G,6,FALSE)</f>
        <v>F</v>
      </c>
      <c r="S3901">
        <f>VLOOKUP(A3901,vlookup_table!$A:$G,7,FALSE)</f>
        <v>10</v>
      </c>
      <c r="T3901">
        <f t="shared" si="120"/>
        <v>66</v>
      </c>
      <c r="U3901" t="str">
        <f t="shared" si="121"/>
        <v>Pueblo</v>
      </c>
    </row>
    <row r="3902" spans="1:21" ht="16" x14ac:dyDescent="0.4">
      <c r="A3902" s="9">
        <v>166416</v>
      </c>
      <c r="B3902" s="8" t="s">
        <v>21</v>
      </c>
      <c r="C3902" s="8" t="s">
        <v>14</v>
      </c>
      <c r="D3902" s="8">
        <v>1394</v>
      </c>
      <c r="E3902" s="8">
        <v>242</v>
      </c>
      <c r="F3902" s="8">
        <v>300</v>
      </c>
      <c r="G3902" s="8">
        <v>13</v>
      </c>
      <c r="H3902" s="8">
        <v>11177</v>
      </c>
      <c r="I3902" s="8">
        <v>28</v>
      </c>
      <c r="J3902" s="8">
        <v>43</v>
      </c>
      <c r="K3902" s="8">
        <v>263</v>
      </c>
      <c r="L3902" s="8">
        <v>302</v>
      </c>
      <c r="M3902" s="8">
        <v>20</v>
      </c>
      <c r="N3902">
        <f>VLOOKUP(A3902,vlookup_table!$A:$G,2,FALSE)</f>
        <v>1</v>
      </c>
      <c r="O3902" t="str">
        <f>VLOOKUP(A3902,vlookup_table!$A:$G,3,FALSE)</f>
        <v>CA</v>
      </c>
      <c r="P3902">
        <f>VLOOKUP(A3902,vlookup_table!$A:$G,4,FALSE)</f>
        <v>5301</v>
      </c>
      <c r="Q3902" t="str">
        <f>VLOOKUP(A3902,vlookup_table!$A:$G,5,FALSE)</f>
        <v>U2</v>
      </c>
      <c r="R3902" t="str">
        <f>VLOOKUP(A3902,vlookup_table!$A:$G,6,FALSE)</f>
        <v>M</v>
      </c>
      <c r="S3902">
        <f>VLOOKUP(A3902,vlookup_table!$A:$G,7,FALSE)</f>
        <v>20</v>
      </c>
      <c r="T3902">
        <f t="shared" si="120"/>
        <v>43</v>
      </c>
      <c r="U3902" t="str">
        <f t="shared" si="121"/>
        <v>Urbano</v>
      </c>
    </row>
    <row r="3903" spans="1:21" ht="16" x14ac:dyDescent="0.4">
      <c r="A3903" s="9">
        <v>95408</v>
      </c>
      <c r="B3903" s="8" t="s">
        <v>16</v>
      </c>
      <c r="C3903" s="8" t="s">
        <v>17</v>
      </c>
      <c r="D3903" s="8">
        <v>739</v>
      </c>
      <c r="E3903" s="8">
        <v>353</v>
      </c>
      <c r="F3903" s="8">
        <v>486</v>
      </c>
      <c r="G3903" s="8">
        <v>1</v>
      </c>
      <c r="H3903" s="8">
        <v>17038</v>
      </c>
      <c r="I3903" s="8">
        <v>0</v>
      </c>
      <c r="J3903" s="8">
        <v>77</v>
      </c>
      <c r="K3903" s="8">
        <v>415</v>
      </c>
      <c r="L3903" s="8">
        <v>436</v>
      </c>
      <c r="M3903" s="8">
        <v>10</v>
      </c>
      <c r="N3903">
        <f>VLOOKUP(A3903,vlookup_table!$A:$G,2,FALSE)</f>
        <v>0</v>
      </c>
      <c r="O3903" t="str">
        <f>VLOOKUP(A3903,vlookup_table!$A:$G,3,FALSE)</f>
        <v>IL</v>
      </c>
      <c r="P3903">
        <f>VLOOKUP(A3903,vlookup_table!$A:$G,4,FALSE)</f>
        <v>5201</v>
      </c>
      <c r="Q3903" t="str">
        <f>VLOOKUP(A3903,vlookup_table!$A:$G,5,FALSE)</f>
        <v>R2</v>
      </c>
      <c r="R3903" t="str">
        <f>VLOOKUP(A3903,vlookup_table!$A:$G,6,FALSE)</f>
        <v>F</v>
      </c>
      <c r="S3903">
        <f>VLOOKUP(A3903,vlookup_table!$A:$G,7,FALSE)</f>
        <v>15</v>
      </c>
      <c r="T3903">
        <f t="shared" si="120"/>
        <v>44</v>
      </c>
      <c r="U3903" t="str">
        <f t="shared" si="121"/>
        <v>Rural</v>
      </c>
    </row>
    <row r="3904" spans="1:21" ht="16" x14ac:dyDescent="0.4">
      <c r="A3904" s="9">
        <v>102181</v>
      </c>
      <c r="B3904" s="8" t="s">
        <v>33</v>
      </c>
      <c r="C3904" s="8" t="s">
        <v>17</v>
      </c>
      <c r="D3904" s="8">
        <v>915</v>
      </c>
      <c r="E3904" s="8">
        <v>307</v>
      </c>
      <c r="F3904" s="8">
        <v>537</v>
      </c>
      <c r="G3904" s="8">
        <v>0</v>
      </c>
      <c r="H3904" s="8">
        <v>22420</v>
      </c>
      <c r="I3904" s="8">
        <v>2</v>
      </c>
      <c r="J3904" s="8">
        <v>56</v>
      </c>
      <c r="K3904" s="8">
        <v>442</v>
      </c>
      <c r="L3904" s="8">
        <v>385</v>
      </c>
      <c r="M3904" s="8">
        <v>13.3</v>
      </c>
      <c r="N3904">
        <f>VLOOKUP(A3904,vlookup_table!$A:$G,2,FALSE)</f>
        <v>0</v>
      </c>
      <c r="O3904" t="str">
        <f>VLOOKUP(A3904,vlookup_table!$A:$G,3,FALSE)</f>
        <v>MO</v>
      </c>
      <c r="P3904">
        <f>VLOOKUP(A3904,vlookup_table!$A:$G,4,FALSE)</f>
        <v>3404</v>
      </c>
      <c r="Q3904" t="str">
        <f>VLOOKUP(A3904,vlookup_table!$A:$G,5,FALSE)</f>
        <v>S1</v>
      </c>
      <c r="R3904" t="str">
        <f>VLOOKUP(A3904,vlookup_table!$A:$G,6,FALSE)</f>
        <v>F</v>
      </c>
      <c r="S3904">
        <f>VLOOKUP(A3904,vlookup_table!$A:$G,7,FALSE)</f>
        <v>15</v>
      </c>
      <c r="T3904">
        <f t="shared" si="120"/>
        <v>62</v>
      </c>
      <c r="U3904" t="str">
        <f t="shared" si="121"/>
        <v>Suburbano</v>
      </c>
    </row>
    <row r="3905" spans="1:21" ht="16" x14ac:dyDescent="0.4">
      <c r="A3905" s="9">
        <v>155851</v>
      </c>
      <c r="B3905" s="8" t="s">
        <v>21</v>
      </c>
      <c r="C3905" s="8" t="s">
        <v>17</v>
      </c>
      <c r="D3905" s="8">
        <v>978</v>
      </c>
      <c r="E3905" s="8">
        <v>200</v>
      </c>
      <c r="F3905" s="8">
        <v>307</v>
      </c>
      <c r="G3905" s="8">
        <v>1</v>
      </c>
      <c r="H3905" s="8">
        <v>13560</v>
      </c>
      <c r="I3905" s="8">
        <v>6</v>
      </c>
      <c r="J3905" s="8">
        <v>25</v>
      </c>
      <c r="K3905" s="8">
        <v>291</v>
      </c>
      <c r="L3905" s="8">
        <v>256</v>
      </c>
      <c r="M3905" s="8">
        <v>20</v>
      </c>
      <c r="N3905">
        <f>VLOOKUP(A3905,vlookup_table!$A:$G,2,FALSE)</f>
        <v>28</v>
      </c>
      <c r="O3905" t="str">
        <f>VLOOKUP(A3905,vlookup_table!$A:$G,3,FALSE)</f>
        <v>CA</v>
      </c>
      <c r="P3905">
        <f>VLOOKUP(A3905,vlookup_table!$A:$G,4,FALSE)</f>
        <v>6201</v>
      </c>
      <c r="Q3905" t="str">
        <f>VLOOKUP(A3905,vlookup_table!$A:$G,5,FALSE)</f>
        <v>C2</v>
      </c>
      <c r="R3905" t="str">
        <f>VLOOKUP(A3905,vlookup_table!$A:$G,6,FALSE)</f>
        <v>F</v>
      </c>
      <c r="S3905">
        <f>VLOOKUP(A3905,vlookup_table!$A:$G,7,FALSE)</f>
        <v>20</v>
      </c>
      <c r="T3905">
        <f t="shared" si="120"/>
        <v>34</v>
      </c>
      <c r="U3905" t="str">
        <f t="shared" si="121"/>
        <v>Ciudad</v>
      </c>
    </row>
    <row r="3906" spans="1:21" ht="16" x14ac:dyDescent="0.4">
      <c r="A3906" s="9">
        <v>40421</v>
      </c>
      <c r="B3906" s="8" t="s">
        <v>13</v>
      </c>
      <c r="C3906" s="8" t="s">
        <v>14</v>
      </c>
      <c r="D3906" s="8">
        <v>1270</v>
      </c>
      <c r="E3906" s="8">
        <v>363</v>
      </c>
      <c r="F3906" s="8">
        <v>519</v>
      </c>
      <c r="G3906" s="8">
        <v>15</v>
      </c>
      <c r="H3906" s="8">
        <v>17548</v>
      </c>
      <c r="I3906" s="8">
        <v>8</v>
      </c>
      <c r="J3906" s="8">
        <v>26</v>
      </c>
      <c r="K3906" s="8">
        <v>471</v>
      </c>
      <c r="L3906" s="8">
        <v>429</v>
      </c>
      <c r="M3906" s="8">
        <v>6.269230769</v>
      </c>
      <c r="N3906">
        <f>VLOOKUP(A3906,vlookup_table!$A:$G,2,FALSE)</f>
        <v>1002</v>
      </c>
      <c r="O3906" t="str">
        <f>VLOOKUP(A3906,vlookup_table!$A:$G,3,FALSE)</f>
        <v>FL</v>
      </c>
      <c r="P3906">
        <f>VLOOKUP(A3906,vlookup_table!$A:$G,4,FALSE)</f>
        <v>3911</v>
      </c>
      <c r="Q3906" t="str">
        <f>VLOOKUP(A3906,vlookup_table!$A:$G,5,FALSE)</f>
        <v>C1</v>
      </c>
      <c r="R3906" t="str">
        <f>VLOOKUP(A3906,vlookup_table!$A:$G,6,FALSE)</f>
        <v>M</v>
      </c>
      <c r="S3906">
        <f>VLOOKUP(A3906,vlookup_table!$A:$G,7,FALSE)</f>
        <v>5</v>
      </c>
      <c r="T3906">
        <f t="shared" si="120"/>
        <v>57</v>
      </c>
      <c r="U3906" t="str">
        <f t="shared" si="121"/>
        <v>Ciudad</v>
      </c>
    </row>
    <row r="3907" spans="1:21" ht="16" x14ac:dyDescent="0.4">
      <c r="A3907" s="9">
        <v>26346</v>
      </c>
      <c r="B3907" s="8" t="s">
        <v>36</v>
      </c>
      <c r="C3907" s="8" t="s">
        <v>17</v>
      </c>
      <c r="D3907" s="8">
        <v>1717</v>
      </c>
      <c r="E3907" s="8">
        <v>443</v>
      </c>
      <c r="F3907" s="8">
        <v>645</v>
      </c>
      <c r="G3907" s="8">
        <v>29</v>
      </c>
      <c r="H3907" s="8">
        <v>21385</v>
      </c>
      <c r="I3907" s="8">
        <v>3</v>
      </c>
      <c r="J3907" s="8">
        <v>55</v>
      </c>
      <c r="K3907" s="8">
        <v>511</v>
      </c>
      <c r="L3907" s="8">
        <v>588</v>
      </c>
      <c r="M3907" s="8">
        <v>9</v>
      </c>
      <c r="N3907">
        <f>VLOOKUP(A3907,vlookup_table!$A:$G,2,FALSE)</f>
        <v>0</v>
      </c>
      <c r="O3907" t="str">
        <f>VLOOKUP(A3907,vlookup_table!$A:$G,3,FALSE)</f>
        <v>GA</v>
      </c>
      <c r="P3907">
        <f>VLOOKUP(A3907,vlookup_table!$A:$G,4,FALSE)</f>
        <v>3201</v>
      </c>
      <c r="Q3907" t="str">
        <f>VLOOKUP(A3907,vlookup_table!$A:$G,5,FALSE)</f>
        <v>S1</v>
      </c>
      <c r="R3907" t="str">
        <f>VLOOKUP(A3907,vlookup_table!$A:$G,6,FALSE)</f>
        <v>F</v>
      </c>
      <c r="S3907">
        <f>VLOOKUP(A3907,vlookup_table!$A:$G,7,FALSE)</f>
        <v>10</v>
      </c>
      <c r="T3907">
        <f t="shared" ref="T3907:T3970" si="122">97-LEFT(P3907,2)-IF(RIGHT(P3907,2)&gt;6,1,0)</f>
        <v>64</v>
      </c>
      <c r="U3907" t="str">
        <f t="shared" ref="U3907:U3970" si="123">IF(LEFT(Q3907,1)="C","Ciudad",IF(LEFT(Q3907,1)="T","Pueblo",IF(LEFT(Q3907,1)="R","Rural",IF(LEFT(Q3907,1)="S","Suburbano",IF(LEFT(Q3907,1)="U","Urbano","")))))</f>
        <v>Suburbano</v>
      </c>
    </row>
    <row r="3908" spans="1:21" ht="16" x14ac:dyDescent="0.4">
      <c r="A3908" s="9">
        <v>152621</v>
      </c>
      <c r="B3908" s="8" t="s">
        <v>21</v>
      </c>
      <c r="C3908" s="8" t="s">
        <v>14</v>
      </c>
      <c r="D3908" s="8">
        <v>2449</v>
      </c>
      <c r="E3908" s="8">
        <v>464</v>
      </c>
      <c r="F3908" s="8">
        <v>519</v>
      </c>
      <c r="G3908" s="8">
        <v>75</v>
      </c>
      <c r="H3908" s="8">
        <v>19318</v>
      </c>
      <c r="I3908" s="8">
        <v>11</v>
      </c>
      <c r="J3908" s="8">
        <v>37</v>
      </c>
      <c r="K3908" s="8">
        <v>472</v>
      </c>
      <c r="L3908" s="8">
        <v>518</v>
      </c>
      <c r="M3908" s="8">
        <v>7.615384615</v>
      </c>
      <c r="N3908">
        <f>VLOOKUP(A3908,vlookup_table!$A:$G,2,FALSE)</f>
        <v>4</v>
      </c>
      <c r="O3908" t="str">
        <f>VLOOKUP(A3908,vlookup_table!$A:$G,3,FALSE)</f>
        <v>CA</v>
      </c>
      <c r="P3908">
        <f>VLOOKUP(A3908,vlookup_table!$A:$G,4,FALSE)</f>
        <v>1801</v>
      </c>
      <c r="Q3908" t="str">
        <f>VLOOKUP(A3908,vlookup_table!$A:$G,5,FALSE)</f>
        <v>C1</v>
      </c>
      <c r="R3908" t="str">
        <f>VLOOKUP(A3908,vlookup_table!$A:$G,6,FALSE)</f>
        <v>M</v>
      </c>
      <c r="S3908">
        <f>VLOOKUP(A3908,vlookup_table!$A:$G,7,FALSE)</f>
        <v>10</v>
      </c>
      <c r="T3908">
        <f t="shared" si="122"/>
        <v>78</v>
      </c>
      <c r="U3908" t="str">
        <f t="shared" si="123"/>
        <v>Ciudad</v>
      </c>
    </row>
    <row r="3909" spans="1:21" ht="16" x14ac:dyDescent="0.4">
      <c r="A3909" s="9">
        <v>164220</v>
      </c>
      <c r="B3909" s="8" t="s">
        <v>21</v>
      </c>
      <c r="C3909" s="8" t="s">
        <v>17</v>
      </c>
      <c r="D3909" s="8">
        <v>2869</v>
      </c>
      <c r="E3909" s="8">
        <v>630</v>
      </c>
      <c r="F3909" s="8">
        <v>745</v>
      </c>
      <c r="G3909" s="8">
        <v>74</v>
      </c>
      <c r="H3909" s="8">
        <v>24945</v>
      </c>
      <c r="I3909" s="8">
        <v>6</v>
      </c>
      <c r="J3909" s="8">
        <v>46</v>
      </c>
      <c r="K3909" s="8">
        <v>668</v>
      </c>
      <c r="L3909" s="8">
        <v>686</v>
      </c>
      <c r="M3909" s="8">
        <v>10.5</v>
      </c>
      <c r="N3909">
        <f>VLOOKUP(A3909,vlookup_table!$A:$G,2,FALSE)</f>
        <v>2</v>
      </c>
      <c r="O3909" t="str">
        <f>VLOOKUP(A3909,vlookup_table!$A:$G,3,FALSE)</f>
        <v>CA</v>
      </c>
      <c r="P3909">
        <f>VLOOKUP(A3909,vlookup_table!$A:$G,4,FALSE)</f>
        <v>2601</v>
      </c>
      <c r="Q3909" t="str">
        <f>VLOOKUP(A3909,vlookup_table!$A:$G,5,FALSE)</f>
        <v>T1</v>
      </c>
      <c r="R3909" t="str">
        <f>VLOOKUP(A3909,vlookup_table!$A:$G,6,FALSE)</f>
        <v>F</v>
      </c>
      <c r="S3909">
        <f>VLOOKUP(A3909,vlookup_table!$A:$G,7,FALSE)</f>
        <v>10</v>
      </c>
      <c r="T3909">
        <f t="shared" si="122"/>
        <v>70</v>
      </c>
      <c r="U3909" t="str">
        <f t="shared" si="123"/>
        <v>Pueblo</v>
      </c>
    </row>
    <row r="3910" spans="1:21" ht="16" x14ac:dyDescent="0.4">
      <c r="A3910" s="9">
        <v>190477</v>
      </c>
      <c r="B3910" s="8" t="s">
        <v>37</v>
      </c>
      <c r="C3910" s="8" t="s">
        <v>14</v>
      </c>
      <c r="D3910" s="8">
        <v>1212</v>
      </c>
      <c r="E3910" s="8">
        <v>298</v>
      </c>
      <c r="F3910" s="8">
        <v>422</v>
      </c>
      <c r="G3910" s="8">
        <v>17</v>
      </c>
      <c r="H3910" s="8">
        <v>15314</v>
      </c>
      <c r="I3910" s="8">
        <v>5</v>
      </c>
      <c r="J3910" s="8">
        <v>47</v>
      </c>
      <c r="K3910" s="8">
        <v>354</v>
      </c>
      <c r="L3910" s="8">
        <v>365</v>
      </c>
      <c r="M3910" s="8">
        <v>14.66666667</v>
      </c>
      <c r="N3910">
        <f>VLOOKUP(A3910,vlookup_table!$A:$G,2,FALSE)</f>
        <v>2</v>
      </c>
      <c r="O3910" t="str">
        <f>VLOOKUP(A3910,vlookup_table!$A:$G,3,FALSE)</f>
        <v>WA</v>
      </c>
      <c r="P3910">
        <f>VLOOKUP(A3910,vlookup_table!$A:$G,4,FALSE)</f>
        <v>0</v>
      </c>
      <c r="Q3910" t="str">
        <f>VLOOKUP(A3910,vlookup_table!$A:$G,5,FALSE)</f>
        <v>R1</v>
      </c>
      <c r="R3910" t="str">
        <f>VLOOKUP(A3910,vlookup_table!$A:$G,6,FALSE)</f>
        <v>M</v>
      </c>
      <c r="S3910">
        <f>VLOOKUP(A3910,vlookup_table!$A:$G,7,FALSE)</f>
        <v>25</v>
      </c>
      <c r="T3910">
        <f t="shared" si="122"/>
        <v>96</v>
      </c>
      <c r="U3910" t="str">
        <f t="shared" si="123"/>
        <v>Rural</v>
      </c>
    </row>
    <row r="3911" spans="1:21" ht="16" x14ac:dyDescent="0.4">
      <c r="A3911" s="9">
        <v>58203</v>
      </c>
      <c r="B3911" s="8" t="s">
        <v>53</v>
      </c>
      <c r="C3911" s="8" t="s">
        <v>14</v>
      </c>
      <c r="D3911" s="8">
        <v>224</v>
      </c>
      <c r="E3911" s="8">
        <v>138</v>
      </c>
      <c r="F3911" s="8">
        <v>218</v>
      </c>
      <c r="G3911" s="8">
        <v>0</v>
      </c>
      <c r="H3911" s="8">
        <v>7051</v>
      </c>
      <c r="I3911" s="8">
        <v>0</v>
      </c>
      <c r="J3911" s="8">
        <v>81</v>
      </c>
      <c r="K3911" s="8">
        <v>163</v>
      </c>
      <c r="L3911" s="8">
        <v>193</v>
      </c>
      <c r="M3911" s="8">
        <v>5.3333333329999997</v>
      </c>
      <c r="N3911">
        <f>VLOOKUP(A3911,vlookup_table!$A:$G,2,FALSE)</f>
        <v>1</v>
      </c>
      <c r="O3911" t="str">
        <f>VLOOKUP(A3911,vlookup_table!$A:$G,3,FALSE)</f>
        <v>KY</v>
      </c>
      <c r="P3911">
        <f>VLOOKUP(A3911,vlookup_table!$A:$G,4,FALSE)</f>
        <v>4401</v>
      </c>
      <c r="Q3911" t="str">
        <f>VLOOKUP(A3911,vlookup_table!$A:$G,5,FALSE)</f>
        <v>R3</v>
      </c>
      <c r="R3911" t="str">
        <f>VLOOKUP(A3911,vlookup_table!$A:$G,6,FALSE)</f>
        <v>M</v>
      </c>
      <c r="S3911">
        <f>VLOOKUP(A3911,vlookup_table!$A:$G,7,FALSE)</f>
        <v>6</v>
      </c>
      <c r="T3911">
        <f t="shared" si="122"/>
        <v>52</v>
      </c>
      <c r="U3911" t="str">
        <f t="shared" si="123"/>
        <v>Rural</v>
      </c>
    </row>
    <row r="3912" spans="1:21" ht="16" x14ac:dyDescent="0.4">
      <c r="A3912" s="9">
        <v>115188</v>
      </c>
      <c r="B3912" s="8" t="s">
        <v>28</v>
      </c>
      <c r="C3912" s="8" t="s">
        <v>17</v>
      </c>
      <c r="D3912" s="8">
        <v>160</v>
      </c>
      <c r="E3912" s="8">
        <v>118</v>
      </c>
      <c r="F3912" s="8">
        <v>218</v>
      </c>
      <c r="G3912" s="8">
        <v>1</v>
      </c>
      <c r="H3912" s="8">
        <v>7192</v>
      </c>
      <c r="I3912" s="8">
        <v>3</v>
      </c>
      <c r="J3912" s="8">
        <v>68</v>
      </c>
      <c r="K3912" s="8">
        <v>170</v>
      </c>
      <c r="L3912" s="8">
        <v>161</v>
      </c>
      <c r="M3912" s="8">
        <v>10.5</v>
      </c>
      <c r="N3912">
        <f>VLOOKUP(A3912,vlookup_table!$A:$G,2,FALSE)</f>
        <v>2</v>
      </c>
      <c r="O3912" t="str">
        <f>VLOOKUP(A3912,vlookup_table!$A:$G,3,FALSE)</f>
        <v>OK</v>
      </c>
      <c r="P3912">
        <f>VLOOKUP(A3912,vlookup_table!$A:$G,4,FALSE)</f>
        <v>3601</v>
      </c>
      <c r="Q3912" t="str">
        <f>VLOOKUP(A3912,vlookup_table!$A:$G,5,FALSE)</f>
        <v>R3</v>
      </c>
      <c r="R3912" t="str">
        <f>VLOOKUP(A3912,vlookup_table!$A:$G,6,FALSE)</f>
        <v>F</v>
      </c>
      <c r="S3912">
        <f>VLOOKUP(A3912,vlookup_table!$A:$G,7,FALSE)</f>
        <v>16</v>
      </c>
      <c r="T3912">
        <f t="shared" si="122"/>
        <v>60</v>
      </c>
      <c r="U3912" t="str">
        <f t="shared" si="123"/>
        <v>Rural</v>
      </c>
    </row>
    <row r="3913" spans="1:21" ht="16" x14ac:dyDescent="0.4">
      <c r="A3913" s="9">
        <v>148918</v>
      </c>
      <c r="B3913" s="8" t="s">
        <v>21</v>
      </c>
      <c r="C3913" s="8" t="s">
        <v>17</v>
      </c>
      <c r="D3913" s="8">
        <v>1178</v>
      </c>
      <c r="E3913" s="8">
        <v>322</v>
      </c>
      <c r="F3913" s="8">
        <v>444</v>
      </c>
      <c r="G3913" s="8">
        <v>9</v>
      </c>
      <c r="H3913" s="8">
        <v>14711</v>
      </c>
      <c r="I3913" s="8">
        <v>2</v>
      </c>
      <c r="J3913" s="8">
        <v>55</v>
      </c>
      <c r="K3913" s="8">
        <v>384</v>
      </c>
      <c r="L3913" s="8">
        <v>370</v>
      </c>
      <c r="M3913" s="8">
        <v>12.33333333</v>
      </c>
      <c r="N3913">
        <f>VLOOKUP(A3913,vlookup_table!$A:$G,2,FALSE)</f>
        <v>0</v>
      </c>
      <c r="O3913" t="str">
        <f>VLOOKUP(A3913,vlookup_table!$A:$G,3,FALSE)</f>
        <v>CA</v>
      </c>
      <c r="P3913">
        <f>VLOOKUP(A3913,vlookup_table!$A:$G,4,FALSE)</f>
        <v>0</v>
      </c>
      <c r="Q3913" t="str">
        <f>VLOOKUP(A3913,vlookup_table!$A:$G,5,FALSE)</f>
        <v>C2</v>
      </c>
      <c r="R3913" t="str">
        <f>VLOOKUP(A3913,vlookup_table!$A:$G,6,FALSE)</f>
        <v>F</v>
      </c>
      <c r="S3913">
        <f>VLOOKUP(A3913,vlookup_table!$A:$G,7,FALSE)</f>
        <v>21</v>
      </c>
      <c r="T3913">
        <f t="shared" si="122"/>
        <v>96</v>
      </c>
      <c r="U3913" t="str">
        <f t="shared" si="123"/>
        <v>Ciudad</v>
      </c>
    </row>
    <row r="3914" spans="1:21" ht="16" x14ac:dyDescent="0.4">
      <c r="A3914" s="9">
        <v>55117</v>
      </c>
      <c r="B3914" s="8" t="s">
        <v>56</v>
      </c>
      <c r="C3914" s="8" t="s">
        <v>17</v>
      </c>
      <c r="D3914" s="8">
        <v>668</v>
      </c>
      <c r="E3914" s="8">
        <v>303</v>
      </c>
      <c r="F3914" s="8">
        <v>484</v>
      </c>
      <c r="G3914" s="8">
        <v>0</v>
      </c>
      <c r="H3914" s="8">
        <v>18900</v>
      </c>
      <c r="I3914" s="8">
        <v>0</v>
      </c>
      <c r="J3914" s="8">
        <v>59</v>
      </c>
      <c r="K3914" s="8">
        <v>456</v>
      </c>
      <c r="L3914" s="8">
        <v>326</v>
      </c>
      <c r="M3914" s="8">
        <v>15</v>
      </c>
      <c r="N3914">
        <f>VLOOKUP(A3914,vlookup_table!$A:$G,2,FALSE)</f>
        <v>0</v>
      </c>
      <c r="O3914" t="str">
        <f>VLOOKUP(A3914,vlookup_table!$A:$G,3,FALSE)</f>
        <v>MS</v>
      </c>
      <c r="P3914">
        <f>VLOOKUP(A3914,vlookup_table!$A:$G,4,FALSE)</f>
        <v>2905</v>
      </c>
      <c r="Q3914" t="str">
        <f>VLOOKUP(A3914,vlookup_table!$A:$G,5,FALSE)</f>
        <v>S1</v>
      </c>
      <c r="R3914" t="str">
        <f>VLOOKUP(A3914,vlookup_table!$A:$G,6,FALSE)</f>
        <v>F</v>
      </c>
      <c r="S3914">
        <f>VLOOKUP(A3914,vlookup_table!$A:$G,7,FALSE)</f>
        <v>15</v>
      </c>
      <c r="T3914">
        <f t="shared" si="122"/>
        <v>67</v>
      </c>
      <c r="U3914" t="str">
        <f t="shared" si="123"/>
        <v>Suburbano</v>
      </c>
    </row>
    <row r="3915" spans="1:21" ht="16" x14ac:dyDescent="0.4">
      <c r="A3915" s="9">
        <v>157106</v>
      </c>
      <c r="B3915" s="8" t="s">
        <v>21</v>
      </c>
      <c r="C3915" s="8" t="s">
        <v>17</v>
      </c>
      <c r="D3915" s="8">
        <v>5886</v>
      </c>
      <c r="E3915" s="8">
        <v>1096</v>
      </c>
      <c r="F3915" s="8">
        <v>1116</v>
      </c>
      <c r="G3915" s="8">
        <v>98</v>
      </c>
      <c r="H3915" s="8">
        <v>82369</v>
      </c>
      <c r="I3915" s="8">
        <v>14</v>
      </c>
      <c r="J3915" s="8">
        <v>50</v>
      </c>
      <c r="K3915" s="8">
        <v>1500</v>
      </c>
      <c r="L3915" s="8">
        <v>1005</v>
      </c>
      <c r="M3915" s="8">
        <v>19.3125</v>
      </c>
      <c r="N3915">
        <f>VLOOKUP(A3915,vlookup_table!$A:$G,2,FALSE)</f>
        <v>0</v>
      </c>
      <c r="O3915" t="str">
        <f>VLOOKUP(A3915,vlookup_table!$A:$G,3,FALSE)</f>
        <v>CA</v>
      </c>
      <c r="P3915">
        <f>VLOOKUP(A3915,vlookup_table!$A:$G,4,FALSE)</f>
        <v>5111</v>
      </c>
      <c r="Q3915" t="str">
        <f>VLOOKUP(A3915,vlookup_table!$A:$G,5,FALSE)</f>
        <v>T1</v>
      </c>
      <c r="R3915" t="str">
        <f>VLOOKUP(A3915,vlookup_table!$A:$G,6,FALSE)</f>
        <v>F</v>
      </c>
      <c r="S3915">
        <f>VLOOKUP(A3915,vlookup_table!$A:$G,7,FALSE)</f>
        <v>26</v>
      </c>
      <c r="T3915">
        <f t="shared" si="122"/>
        <v>45</v>
      </c>
      <c r="U3915" t="str">
        <f t="shared" si="123"/>
        <v>Pueblo</v>
      </c>
    </row>
    <row r="3916" spans="1:21" ht="16" x14ac:dyDescent="0.4">
      <c r="A3916" s="9">
        <v>183193</v>
      </c>
      <c r="B3916" s="8" t="s">
        <v>37</v>
      </c>
      <c r="C3916" s="8" t="s">
        <v>17</v>
      </c>
      <c r="D3916" s="8">
        <v>696</v>
      </c>
      <c r="E3916" s="8">
        <v>367</v>
      </c>
      <c r="F3916" s="8">
        <v>423</v>
      </c>
      <c r="G3916" s="8">
        <v>0</v>
      </c>
      <c r="H3916" s="8">
        <v>13480</v>
      </c>
      <c r="I3916" s="8">
        <v>4</v>
      </c>
      <c r="J3916" s="8">
        <v>33</v>
      </c>
      <c r="K3916" s="8">
        <v>383</v>
      </c>
      <c r="L3916" s="8">
        <v>406</v>
      </c>
      <c r="M3916" s="8">
        <v>9</v>
      </c>
      <c r="N3916">
        <f>VLOOKUP(A3916,vlookup_table!$A:$G,2,FALSE)</f>
        <v>0</v>
      </c>
      <c r="O3916" t="str">
        <f>VLOOKUP(A3916,vlookup_table!$A:$G,3,FALSE)</f>
        <v>WA</v>
      </c>
      <c r="P3916">
        <f>VLOOKUP(A3916,vlookup_table!$A:$G,4,FALSE)</f>
        <v>5801</v>
      </c>
      <c r="Q3916" t="str">
        <f>VLOOKUP(A3916,vlookup_table!$A:$G,5,FALSE)</f>
        <v>S2</v>
      </c>
      <c r="R3916" t="str">
        <f>VLOOKUP(A3916,vlookup_table!$A:$G,6,FALSE)</f>
        <v>F</v>
      </c>
      <c r="S3916">
        <f>VLOOKUP(A3916,vlookup_table!$A:$G,7,FALSE)</f>
        <v>31</v>
      </c>
      <c r="T3916">
        <f t="shared" si="122"/>
        <v>38</v>
      </c>
      <c r="U3916" t="str">
        <f t="shared" si="123"/>
        <v>Suburbano</v>
      </c>
    </row>
    <row r="3917" spans="1:21" ht="16" x14ac:dyDescent="0.4">
      <c r="A3917" s="9">
        <v>170402</v>
      </c>
      <c r="B3917" s="8" t="s">
        <v>21</v>
      </c>
      <c r="C3917" s="8" t="s">
        <v>17</v>
      </c>
      <c r="D3917" s="8">
        <v>1224</v>
      </c>
      <c r="E3917" s="8">
        <v>228</v>
      </c>
      <c r="F3917" s="8">
        <v>356</v>
      </c>
      <c r="G3917" s="8">
        <v>19</v>
      </c>
      <c r="H3917" s="8">
        <v>15512</v>
      </c>
      <c r="I3917" s="8">
        <v>8</v>
      </c>
      <c r="J3917" s="8">
        <v>50</v>
      </c>
      <c r="K3917" s="8">
        <v>312</v>
      </c>
      <c r="L3917" s="8">
        <v>325</v>
      </c>
      <c r="M3917" s="8">
        <v>6.8</v>
      </c>
      <c r="N3917">
        <f>VLOOKUP(A3917,vlookup_table!$A:$G,2,FALSE)</f>
        <v>0</v>
      </c>
      <c r="O3917" t="str">
        <f>VLOOKUP(A3917,vlookup_table!$A:$G,3,FALSE)</f>
        <v>CA</v>
      </c>
      <c r="P3917">
        <f>VLOOKUP(A3917,vlookup_table!$A:$G,4,FALSE)</f>
        <v>4301</v>
      </c>
      <c r="Q3917" t="str">
        <f>VLOOKUP(A3917,vlookup_table!$A:$G,5,FALSE)</f>
        <v>R1</v>
      </c>
      <c r="R3917" t="str">
        <f>VLOOKUP(A3917,vlookup_table!$A:$G,6,FALSE)</f>
        <v>F</v>
      </c>
      <c r="S3917">
        <f>VLOOKUP(A3917,vlookup_table!$A:$G,7,FALSE)</f>
        <v>10</v>
      </c>
      <c r="T3917">
        <f t="shared" si="122"/>
        <v>53</v>
      </c>
      <c r="U3917" t="str">
        <f t="shared" si="123"/>
        <v>Rural</v>
      </c>
    </row>
    <row r="3918" spans="1:21" ht="16" x14ac:dyDescent="0.4">
      <c r="A3918" s="9">
        <v>52588</v>
      </c>
      <c r="B3918" s="8" t="s">
        <v>49</v>
      </c>
      <c r="C3918" s="8"/>
      <c r="D3918" s="8">
        <v>585</v>
      </c>
      <c r="E3918" s="8">
        <v>212</v>
      </c>
      <c r="F3918" s="8">
        <v>326</v>
      </c>
      <c r="G3918" s="8">
        <v>4</v>
      </c>
      <c r="H3918" s="8">
        <v>13218</v>
      </c>
      <c r="I3918" s="8">
        <v>1</v>
      </c>
      <c r="J3918" s="8">
        <v>71</v>
      </c>
      <c r="K3918" s="8">
        <v>258</v>
      </c>
      <c r="L3918" s="8">
        <v>286</v>
      </c>
      <c r="M3918" s="8">
        <v>10.75</v>
      </c>
      <c r="N3918">
        <f>VLOOKUP(A3918,vlookup_table!$A:$G,2,FALSE)</f>
        <v>0</v>
      </c>
      <c r="O3918" t="str">
        <f>VLOOKUP(A3918,vlookup_table!$A:$G,3,FALSE)</f>
        <v>TN</v>
      </c>
      <c r="P3918">
        <f>VLOOKUP(A3918,vlookup_table!$A:$G,4,FALSE)</f>
        <v>0</v>
      </c>
      <c r="Q3918" t="str">
        <f>VLOOKUP(A3918,vlookup_table!$A:$G,5,FALSE)</f>
        <v>R3</v>
      </c>
      <c r="R3918" t="str">
        <f>VLOOKUP(A3918,vlookup_table!$A:$G,6,FALSE)</f>
        <v/>
      </c>
      <c r="S3918">
        <f>VLOOKUP(A3918,vlookup_table!$A:$G,7,FALSE)</f>
        <v>15</v>
      </c>
      <c r="T3918">
        <f t="shared" si="122"/>
        <v>96</v>
      </c>
      <c r="U3918" t="str">
        <f t="shared" si="123"/>
        <v>Rural</v>
      </c>
    </row>
    <row r="3919" spans="1:21" ht="16" x14ac:dyDescent="0.4">
      <c r="A3919" s="9">
        <v>182356</v>
      </c>
      <c r="B3919" s="8" t="s">
        <v>37</v>
      </c>
      <c r="C3919" s="8" t="s">
        <v>17</v>
      </c>
      <c r="D3919" s="8">
        <v>555</v>
      </c>
      <c r="E3919" s="8">
        <v>305</v>
      </c>
      <c r="F3919" s="8">
        <v>319</v>
      </c>
      <c r="G3919" s="8">
        <v>0</v>
      </c>
      <c r="H3919" s="8">
        <v>11395</v>
      </c>
      <c r="I3919" s="8">
        <v>6</v>
      </c>
      <c r="J3919" s="8">
        <v>48</v>
      </c>
      <c r="K3919" s="8">
        <v>299</v>
      </c>
      <c r="L3919" s="8">
        <v>331</v>
      </c>
      <c r="M3919" s="8">
        <v>11.28571429</v>
      </c>
      <c r="N3919">
        <f>VLOOKUP(A3919,vlookup_table!$A:$G,2,FALSE)</f>
        <v>0</v>
      </c>
      <c r="O3919" t="str">
        <f>VLOOKUP(A3919,vlookup_table!$A:$G,3,FALSE)</f>
        <v>WA</v>
      </c>
      <c r="P3919">
        <f>VLOOKUP(A3919,vlookup_table!$A:$G,4,FALSE)</f>
        <v>3801</v>
      </c>
      <c r="Q3919" t="str">
        <f>VLOOKUP(A3919,vlookup_table!$A:$G,5,FALSE)</f>
        <v>C3</v>
      </c>
      <c r="R3919" t="str">
        <f>VLOOKUP(A3919,vlookup_table!$A:$G,6,FALSE)</f>
        <v>F</v>
      </c>
      <c r="S3919">
        <f>VLOOKUP(A3919,vlookup_table!$A:$G,7,FALSE)</f>
        <v>12</v>
      </c>
      <c r="T3919">
        <f t="shared" si="122"/>
        <v>58</v>
      </c>
      <c r="U3919" t="str">
        <f t="shared" si="123"/>
        <v>Ciudad</v>
      </c>
    </row>
    <row r="3920" spans="1:21" ht="16" x14ac:dyDescent="0.4">
      <c r="A3920" s="9">
        <v>43052</v>
      </c>
      <c r="B3920" s="8" t="s">
        <v>13</v>
      </c>
      <c r="C3920" s="8" t="s">
        <v>17</v>
      </c>
      <c r="D3920" s="8">
        <v>2038</v>
      </c>
      <c r="E3920" s="8">
        <v>390</v>
      </c>
      <c r="F3920" s="8">
        <v>670</v>
      </c>
      <c r="G3920" s="8">
        <v>51</v>
      </c>
      <c r="H3920" s="8">
        <v>29920</v>
      </c>
      <c r="I3920" s="8">
        <v>4</v>
      </c>
      <c r="J3920" s="8">
        <v>23</v>
      </c>
      <c r="K3920" s="8">
        <v>515</v>
      </c>
      <c r="L3920" s="8">
        <v>564</v>
      </c>
      <c r="M3920" s="8">
        <v>8.1111111109999996</v>
      </c>
      <c r="N3920">
        <f>VLOOKUP(A3920,vlookup_table!$A:$G,2,FALSE)</f>
        <v>0</v>
      </c>
      <c r="O3920" t="str">
        <f>VLOOKUP(A3920,vlookup_table!$A:$G,3,FALSE)</f>
        <v>FL</v>
      </c>
      <c r="P3920">
        <f>VLOOKUP(A3920,vlookup_table!$A:$G,4,FALSE)</f>
        <v>5407</v>
      </c>
      <c r="Q3920" t="str">
        <f>VLOOKUP(A3920,vlookup_table!$A:$G,5,FALSE)</f>
        <v>C1</v>
      </c>
      <c r="R3920" t="str">
        <f>VLOOKUP(A3920,vlookup_table!$A:$G,6,FALSE)</f>
        <v>F</v>
      </c>
      <c r="S3920">
        <f>VLOOKUP(A3920,vlookup_table!$A:$G,7,FALSE)</f>
        <v>5</v>
      </c>
      <c r="T3920">
        <f t="shared" si="122"/>
        <v>42</v>
      </c>
      <c r="U3920" t="str">
        <f t="shared" si="123"/>
        <v>Ciudad</v>
      </c>
    </row>
    <row r="3921" spans="1:21" ht="16" x14ac:dyDescent="0.4">
      <c r="A3921" s="9">
        <v>120050</v>
      </c>
      <c r="B3921" s="8" t="s">
        <v>20</v>
      </c>
      <c r="C3921" s="8" t="s">
        <v>14</v>
      </c>
      <c r="D3921" s="8">
        <v>281</v>
      </c>
      <c r="E3921" s="8">
        <v>209</v>
      </c>
      <c r="F3921" s="8">
        <v>313</v>
      </c>
      <c r="G3921" s="8">
        <v>0</v>
      </c>
      <c r="H3921" s="8">
        <v>11808</v>
      </c>
      <c r="I3921" s="8">
        <v>2</v>
      </c>
      <c r="J3921" s="8">
        <v>84</v>
      </c>
      <c r="K3921" s="8">
        <v>241</v>
      </c>
      <c r="L3921" s="8">
        <v>280</v>
      </c>
      <c r="M3921" s="8">
        <v>15</v>
      </c>
      <c r="N3921">
        <f>VLOOKUP(A3921,vlookup_table!$A:$G,2,FALSE)</f>
        <v>1</v>
      </c>
      <c r="O3921" t="str">
        <f>VLOOKUP(A3921,vlookup_table!$A:$G,3,FALSE)</f>
        <v>TX</v>
      </c>
      <c r="P3921">
        <f>VLOOKUP(A3921,vlookup_table!$A:$G,4,FALSE)</f>
        <v>0</v>
      </c>
      <c r="Q3921" t="str">
        <f>VLOOKUP(A3921,vlookup_table!$A:$G,5,FALSE)</f>
        <v>R2</v>
      </c>
      <c r="R3921" t="str">
        <f>VLOOKUP(A3921,vlookup_table!$A:$G,6,FALSE)</f>
        <v>M</v>
      </c>
      <c r="S3921">
        <f>VLOOKUP(A3921,vlookup_table!$A:$G,7,FALSE)</f>
        <v>21</v>
      </c>
      <c r="T3921">
        <f t="shared" si="122"/>
        <v>96</v>
      </c>
      <c r="U3921" t="str">
        <f t="shared" si="123"/>
        <v>Rural</v>
      </c>
    </row>
    <row r="3922" spans="1:21" ht="16" x14ac:dyDescent="0.4">
      <c r="A3922" s="9">
        <v>186198</v>
      </c>
      <c r="B3922" s="8" t="s">
        <v>35</v>
      </c>
      <c r="C3922" s="8" t="s">
        <v>17</v>
      </c>
      <c r="D3922" s="8">
        <v>835</v>
      </c>
      <c r="E3922" s="8">
        <v>358</v>
      </c>
      <c r="F3922" s="8">
        <v>426</v>
      </c>
      <c r="G3922" s="8">
        <v>1</v>
      </c>
      <c r="H3922" s="8">
        <v>20786</v>
      </c>
      <c r="I3922" s="8">
        <v>4</v>
      </c>
      <c r="J3922" s="8">
        <v>65</v>
      </c>
      <c r="K3922" s="8">
        <v>400</v>
      </c>
      <c r="L3922" s="8">
        <v>394</v>
      </c>
      <c r="M3922" s="8">
        <v>13.0625</v>
      </c>
      <c r="N3922">
        <f>VLOOKUP(A3922,vlookup_table!$A:$G,2,FALSE)</f>
        <v>0</v>
      </c>
      <c r="O3922" t="str">
        <f>VLOOKUP(A3922,vlookup_table!$A:$G,3,FALSE)</f>
        <v>UT</v>
      </c>
      <c r="P3922">
        <f>VLOOKUP(A3922,vlookup_table!$A:$G,4,FALSE)</f>
        <v>2301</v>
      </c>
      <c r="Q3922" t="str">
        <f>VLOOKUP(A3922,vlookup_table!$A:$G,5,FALSE)</f>
        <v>U1</v>
      </c>
      <c r="R3922" t="str">
        <f>VLOOKUP(A3922,vlookup_table!$A:$G,6,FALSE)</f>
        <v>F</v>
      </c>
      <c r="S3922">
        <f>VLOOKUP(A3922,vlookup_table!$A:$G,7,FALSE)</f>
        <v>15</v>
      </c>
      <c r="T3922">
        <f t="shared" si="122"/>
        <v>73</v>
      </c>
      <c r="U3922" t="str">
        <f t="shared" si="123"/>
        <v>Urbano</v>
      </c>
    </row>
    <row r="3923" spans="1:21" ht="16" x14ac:dyDescent="0.4">
      <c r="A3923" s="9">
        <v>170864</v>
      </c>
      <c r="B3923" s="8" t="s">
        <v>21</v>
      </c>
      <c r="C3923" s="8" t="s">
        <v>14</v>
      </c>
      <c r="D3923" s="8">
        <v>2494</v>
      </c>
      <c r="E3923" s="8">
        <v>526</v>
      </c>
      <c r="F3923" s="8">
        <v>728</v>
      </c>
      <c r="G3923" s="8">
        <v>69</v>
      </c>
      <c r="H3923" s="8">
        <v>27861</v>
      </c>
      <c r="I3923" s="8">
        <v>5</v>
      </c>
      <c r="J3923" s="8">
        <v>59</v>
      </c>
      <c r="K3923" s="8">
        <v>643</v>
      </c>
      <c r="L3923" s="8">
        <v>639</v>
      </c>
      <c r="M3923" s="8">
        <v>11.66666667</v>
      </c>
      <c r="N3923">
        <f>VLOOKUP(A3923,vlookup_table!$A:$G,2,FALSE)</f>
        <v>28</v>
      </c>
      <c r="O3923" t="str">
        <f>VLOOKUP(A3923,vlookup_table!$A:$G,3,FALSE)</f>
        <v>CA</v>
      </c>
      <c r="P3923">
        <f>VLOOKUP(A3923,vlookup_table!$A:$G,4,FALSE)</f>
        <v>4201</v>
      </c>
      <c r="Q3923" t="str">
        <f>VLOOKUP(A3923,vlookup_table!$A:$G,5,FALSE)</f>
        <v>S1</v>
      </c>
      <c r="R3923" t="str">
        <f>VLOOKUP(A3923,vlookup_table!$A:$G,6,FALSE)</f>
        <v>M</v>
      </c>
      <c r="S3923">
        <f>VLOOKUP(A3923,vlookup_table!$A:$G,7,FALSE)</f>
        <v>10</v>
      </c>
      <c r="T3923">
        <f t="shared" si="122"/>
        <v>54</v>
      </c>
      <c r="U3923" t="str">
        <f t="shared" si="123"/>
        <v>Suburbano</v>
      </c>
    </row>
    <row r="3924" spans="1:21" ht="16" x14ac:dyDescent="0.4">
      <c r="A3924" s="9">
        <v>126184</v>
      </c>
      <c r="B3924" s="8" t="s">
        <v>20</v>
      </c>
      <c r="C3924" s="8" t="s">
        <v>17</v>
      </c>
      <c r="D3924" s="8">
        <v>444</v>
      </c>
      <c r="E3924" s="8">
        <v>221</v>
      </c>
      <c r="F3924" s="8">
        <v>272</v>
      </c>
      <c r="G3924" s="8">
        <v>1</v>
      </c>
      <c r="H3924" s="8">
        <v>7653</v>
      </c>
      <c r="I3924" s="8">
        <v>2</v>
      </c>
      <c r="J3924" s="8">
        <v>73</v>
      </c>
      <c r="K3924" s="8">
        <v>243</v>
      </c>
      <c r="L3924" s="8">
        <v>251</v>
      </c>
      <c r="M3924" s="8">
        <v>5.7777777779999999</v>
      </c>
      <c r="N3924">
        <f>VLOOKUP(A3924,vlookup_table!$A:$G,2,FALSE)</f>
        <v>0</v>
      </c>
      <c r="O3924" t="str">
        <f>VLOOKUP(A3924,vlookup_table!$A:$G,3,FALSE)</f>
        <v>TX</v>
      </c>
      <c r="P3924">
        <f>VLOOKUP(A3924,vlookup_table!$A:$G,4,FALSE)</f>
        <v>2801</v>
      </c>
      <c r="Q3924" t="str">
        <f>VLOOKUP(A3924,vlookup_table!$A:$G,5,FALSE)</f>
        <v>C3</v>
      </c>
      <c r="R3924" t="str">
        <f>VLOOKUP(A3924,vlookup_table!$A:$G,6,FALSE)</f>
        <v>F</v>
      </c>
      <c r="S3924">
        <f>VLOOKUP(A3924,vlookup_table!$A:$G,7,FALSE)</f>
        <v>7</v>
      </c>
      <c r="T3924">
        <f t="shared" si="122"/>
        <v>68</v>
      </c>
      <c r="U3924" t="str">
        <f t="shared" si="123"/>
        <v>Ciudad</v>
      </c>
    </row>
    <row r="3925" spans="1:21" ht="16" x14ac:dyDescent="0.4">
      <c r="A3925" s="9">
        <v>25147</v>
      </c>
      <c r="B3925" s="8" t="s">
        <v>43</v>
      </c>
      <c r="C3925" s="8" t="s">
        <v>14</v>
      </c>
      <c r="D3925" s="8">
        <v>499</v>
      </c>
      <c r="E3925" s="8">
        <v>214</v>
      </c>
      <c r="F3925" s="8">
        <v>276</v>
      </c>
      <c r="G3925" s="8">
        <v>0</v>
      </c>
      <c r="H3925" s="8">
        <v>8425</v>
      </c>
      <c r="I3925" s="8">
        <v>0</v>
      </c>
      <c r="J3925" s="8">
        <v>78</v>
      </c>
      <c r="K3925" s="8">
        <v>252</v>
      </c>
      <c r="L3925" s="8">
        <v>249</v>
      </c>
      <c r="M3925" s="8">
        <v>3.9666666670000001</v>
      </c>
      <c r="N3925">
        <f>VLOOKUP(A3925,vlookup_table!$A:$G,2,FALSE)</f>
        <v>72</v>
      </c>
      <c r="O3925" t="str">
        <f>VLOOKUP(A3925,vlookup_table!$A:$G,3,FALSE)</f>
        <v>SC</v>
      </c>
      <c r="P3925">
        <f>VLOOKUP(A3925,vlookup_table!$A:$G,4,FALSE)</f>
        <v>2101</v>
      </c>
      <c r="Q3925" t="str">
        <f>VLOOKUP(A3925,vlookup_table!$A:$G,5,FALSE)</f>
        <v>T1</v>
      </c>
      <c r="R3925" t="str">
        <f>VLOOKUP(A3925,vlookup_table!$A:$G,6,FALSE)</f>
        <v>M</v>
      </c>
      <c r="S3925">
        <f>VLOOKUP(A3925,vlookup_table!$A:$G,7,FALSE)</f>
        <v>5</v>
      </c>
      <c r="T3925">
        <f t="shared" si="122"/>
        <v>75</v>
      </c>
      <c r="U3925" t="str">
        <f t="shared" si="123"/>
        <v>Pueblo</v>
      </c>
    </row>
    <row r="3926" spans="1:21" ht="16" x14ac:dyDescent="0.4">
      <c r="A3926" s="9">
        <v>81200</v>
      </c>
      <c r="B3926" s="8" t="s">
        <v>32</v>
      </c>
      <c r="C3926" s="8" t="s">
        <v>14</v>
      </c>
      <c r="D3926" s="8">
        <v>612</v>
      </c>
      <c r="E3926" s="8">
        <v>305</v>
      </c>
      <c r="F3926" s="8">
        <v>372</v>
      </c>
      <c r="G3926" s="8">
        <v>0</v>
      </c>
      <c r="H3926" s="8">
        <v>11671</v>
      </c>
      <c r="I3926" s="8">
        <v>1</v>
      </c>
      <c r="J3926" s="8">
        <v>84</v>
      </c>
      <c r="K3926" s="8">
        <v>332</v>
      </c>
      <c r="L3926" s="8">
        <v>346</v>
      </c>
      <c r="M3926" s="8">
        <v>20.5</v>
      </c>
      <c r="N3926">
        <f>VLOOKUP(A3926,vlookup_table!$A:$G,2,FALSE)</f>
        <v>1</v>
      </c>
      <c r="O3926" t="str">
        <f>VLOOKUP(A3926,vlookup_table!$A:$G,3,FALSE)</f>
        <v>WI</v>
      </c>
      <c r="P3926">
        <f>VLOOKUP(A3926,vlookup_table!$A:$G,4,FALSE)</f>
        <v>2908</v>
      </c>
      <c r="Q3926" t="str">
        <f>VLOOKUP(A3926,vlookup_table!$A:$G,5,FALSE)</f>
        <v>R2</v>
      </c>
      <c r="R3926" t="str">
        <f>VLOOKUP(A3926,vlookup_table!$A:$G,6,FALSE)</f>
        <v>M</v>
      </c>
      <c r="S3926">
        <f>VLOOKUP(A3926,vlookup_table!$A:$G,7,FALSE)</f>
        <v>5</v>
      </c>
      <c r="T3926">
        <f t="shared" si="122"/>
        <v>67</v>
      </c>
      <c r="U3926" t="str">
        <f t="shared" si="123"/>
        <v>Rural</v>
      </c>
    </row>
    <row r="3927" spans="1:21" ht="16" x14ac:dyDescent="0.4">
      <c r="A3927" s="9">
        <v>152657</v>
      </c>
      <c r="B3927" s="8" t="s">
        <v>21</v>
      </c>
      <c r="C3927" s="8" t="s">
        <v>17</v>
      </c>
      <c r="D3927" s="8">
        <v>1841</v>
      </c>
      <c r="E3927" s="8">
        <v>376</v>
      </c>
      <c r="F3927" s="8">
        <v>450</v>
      </c>
      <c r="G3927" s="8">
        <v>46</v>
      </c>
      <c r="H3927" s="8">
        <v>17077</v>
      </c>
      <c r="I3927" s="8">
        <v>8</v>
      </c>
      <c r="J3927" s="8">
        <v>32</v>
      </c>
      <c r="K3927" s="8">
        <v>387</v>
      </c>
      <c r="L3927" s="8">
        <v>435</v>
      </c>
      <c r="M3927" s="8">
        <v>11.625</v>
      </c>
      <c r="N3927">
        <f>VLOOKUP(A3927,vlookup_table!$A:$G,2,FALSE)</f>
        <v>0</v>
      </c>
      <c r="O3927" t="str">
        <f>VLOOKUP(A3927,vlookup_table!$A:$G,3,FALSE)</f>
        <v>CA</v>
      </c>
      <c r="P3927">
        <f>VLOOKUP(A3927,vlookup_table!$A:$G,4,FALSE)</f>
        <v>5001</v>
      </c>
      <c r="Q3927" t="str">
        <f>VLOOKUP(A3927,vlookup_table!$A:$G,5,FALSE)</f>
        <v>S2</v>
      </c>
      <c r="R3927" t="str">
        <f>VLOOKUP(A3927,vlookup_table!$A:$G,6,FALSE)</f>
        <v>F</v>
      </c>
      <c r="S3927">
        <f>VLOOKUP(A3927,vlookup_table!$A:$G,7,FALSE)</f>
        <v>15</v>
      </c>
      <c r="T3927">
        <f t="shared" si="122"/>
        <v>46</v>
      </c>
      <c r="U3927" t="str">
        <f t="shared" si="123"/>
        <v>Suburbano</v>
      </c>
    </row>
    <row r="3928" spans="1:21" ht="16" x14ac:dyDescent="0.4">
      <c r="A3928" s="9">
        <v>16329</v>
      </c>
      <c r="B3928" s="8" t="s">
        <v>18</v>
      </c>
      <c r="C3928" s="8" t="s">
        <v>17</v>
      </c>
      <c r="D3928" s="8">
        <v>683</v>
      </c>
      <c r="E3928" s="8">
        <v>312</v>
      </c>
      <c r="F3928" s="8">
        <v>354</v>
      </c>
      <c r="G3928" s="8">
        <v>0</v>
      </c>
      <c r="H3928" s="8">
        <v>11075</v>
      </c>
      <c r="I3928" s="8">
        <v>0</v>
      </c>
      <c r="J3928" s="8">
        <v>78</v>
      </c>
      <c r="K3928" s="8">
        <v>337</v>
      </c>
      <c r="L3928" s="8">
        <v>329</v>
      </c>
      <c r="M3928" s="8">
        <v>4.8666666669999996</v>
      </c>
      <c r="N3928">
        <f>VLOOKUP(A3928,vlookup_table!$A:$G,2,FALSE)</f>
        <v>0</v>
      </c>
      <c r="O3928" t="str">
        <f>VLOOKUP(A3928,vlookup_table!$A:$G,3,FALSE)</f>
        <v>NC</v>
      </c>
      <c r="P3928">
        <f>VLOOKUP(A3928,vlookup_table!$A:$G,4,FALSE)</f>
        <v>4701</v>
      </c>
      <c r="Q3928" t="str">
        <f>VLOOKUP(A3928,vlookup_table!$A:$G,5,FALSE)</f>
        <v>T2</v>
      </c>
      <c r="R3928" t="str">
        <f>VLOOKUP(A3928,vlookup_table!$A:$G,6,FALSE)</f>
        <v>F</v>
      </c>
      <c r="S3928">
        <f>VLOOKUP(A3928,vlookup_table!$A:$G,7,FALSE)</f>
        <v>7</v>
      </c>
      <c r="T3928">
        <f t="shared" si="122"/>
        <v>49</v>
      </c>
      <c r="U3928" t="str">
        <f t="shared" si="123"/>
        <v>Pueblo</v>
      </c>
    </row>
    <row r="3929" spans="1:21" ht="16" x14ac:dyDescent="0.4">
      <c r="A3929" s="9">
        <v>87508</v>
      </c>
      <c r="B3929" s="8" t="s">
        <v>31</v>
      </c>
      <c r="C3929" s="8" t="s">
        <v>17</v>
      </c>
      <c r="D3929" s="8">
        <v>621</v>
      </c>
      <c r="E3929" s="8">
        <v>214</v>
      </c>
      <c r="F3929" s="8">
        <v>297</v>
      </c>
      <c r="G3929" s="8">
        <v>0</v>
      </c>
      <c r="H3929" s="8">
        <v>9788</v>
      </c>
      <c r="I3929" s="8">
        <v>1</v>
      </c>
      <c r="J3929" s="8">
        <v>47</v>
      </c>
      <c r="K3929" s="8">
        <v>239</v>
      </c>
      <c r="L3929" s="8">
        <v>270</v>
      </c>
      <c r="M3929" s="8">
        <v>6.263157895</v>
      </c>
      <c r="N3929">
        <f>VLOOKUP(A3929,vlookup_table!$A:$G,2,FALSE)</f>
        <v>1002</v>
      </c>
      <c r="O3929" t="str">
        <f>VLOOKUP(A3929,vlookup_table!$A:$G,3,FALSE)</f>
        <v>MT</v>
      </c>
      <c r="P3929">
        <f>VLOOKUP(A3929,vlookup_table!$A:$G,4,FALSE)</f>
        <v>5207</v>
      </c>
      <c r="Q3929" t="str">
        <f>VLOOKUP(A3929,vlookup_table!$A:$G,5,FALSE)</f>
        <v>R2</v>
      </c>
      <c r="R3929" t="str">
        <f>VLOOKUP(A3929,vlookup_table!$A:$G,6,FALSE)</f>
        <v>F</v>
      </c>
      <c r="S3929">
        <f>VLOOKUP(A3929,vlookup_table!$A:$G,7,FALSE)</f>
        <v>9</v>
      </c>
      <c r="T3929">
        <f t="shared" si="122"/>
        <v>44</v>
      </c>
      <c r="U3929" t="str">
        <f t="shared" si="123"/>
        <v>Rural</v>
      </c>
    </row>
    <row r="3930" spans="1:21" ht="16" x14ac:dyDescent="0.4">
      <c r="A3930" s="9">
        <v>190311</v>
      </c>
      <c r="B3930" s="8" t="s">
        <v>43</v>
      </c>
      <c r="C3930" s="8" t="s">
        <v>14</v>
      </c>
      <c r="D3930" s="8">
        <v>550</v>
      </c>
      <c r="E3930" s="8">
        <v>249</v>
      </c>
      <c r="F3930" s="8">
        <v>410</v>
      </c>
      <c r="G3930" s="8">
        <v>0</v>
      </c>
      <c r="H3930" s="8">
        <v>19689</v>
      </c>
      <c r="I3930" s="8">
        <v>8</v>
      </c>
      <c r="J3930" s="8">
        <v>38</v>
      </c>
      <c r="K3930" s="8">
        <v>419</v>
      </c>
      <c r="L3930" s="8">
        <v>305</v>
      </c>
      <c r="M3930" s="8">
        <v>14.35869565</v>
      </c>
      <c r="N3930">
        <f>VLOOKUP(A3930,vlookup_table!$A:$G,2,FALSE)</f>
        <v>1</v>
      </c>
      <c r="O3930" t="str">
        <f>VLOOKUP(A3930,vlookup_table!$A:$G,3,FALSE)</f>
        <v>SC</v>
      </c>
      <c r="P3930">
        <f>VLOOKUP(A3930,vlookup_table!$A:$G,4,FALSE)</f>
        <v>0</v>
      </c>
      <c r="Q3930" t="str">
        <f>VLOOKUP(A3930,vlookup_table!$A:$G,5,FALSE)</f>
        <v>S2</v>
      </c>
      <c r="R3930" t="str">
        <f>VLOOKUP(A3930,vlookup_table!$A:$G,6,FALSE)</f>
        <v>M</v>
      </c>
      <c r="S3930">
        <f>VLOOKUP(A3930,vlookup_table!$A:$G,7,FALSE)</f>
        <v>15</v>
      </c>
      <c r="T3930">
        <f t="shared" si="122"/>
        <v>96</v>
      </c>
      <c r="U3930" t="str">
        <f t="shared" si="123"/>
        <v>Suburbano</v>
      </c>
    </row>
    <row r="3931" spans="1:21" ht="16" x14ac:dyDescent="0.4">
      <c r="A3931" s="9">
        <v>165314</v>
      </c>
      <c r="B3931" s="8" t="s">
        <v>21</v>
      </c>
      <c r="C3931" s="8" t="s">
        <v>17</v>
      </c>
      <c r="D3931" s="8">
        <v>1203</v>
      </c>
      <c r="E3931" s="8">
        <v>290</v>
      </c>
      <c r="F3931" s="8">
        <v>604</v>
      </c>
      <c r="G3931" s="8">
        <v>0</v>
      </c>
      <c r="H3931" s="8">
        <v>19183</v>
      </c>
      <c r="I3931" s="8">
        <v>19</v>
      </c>
      <c r="J3931" s="8">
        <v>78</v>
      </c>
      <c r="K3931" s="8">
        <v>413</v>
      </c>
      <c r="L3931" s="8">
        <v>493</v>
      </c>
      <c r="M3931" s="8">
        <v>16.5</v>
      </c>
      <c r="N3931">
        <f>VLOOKUP(A3931,vlookup_table!$A:$G,2,FALSE)</f>
        <v>0</v>
      </c>
      <c r="O3931" t="str">
        <f>VLOOKUP(A3931,vlookup_table!$A:$G,3,FALSE)</f>
        <v>CA</v>
      </c>
      <c r="P3931">
        <f>VLOOKUP(A3931,vlookup_table!$A:$G,4,FALSE)</f>
        <v>4701</v>
      </c>
      <c r="Q3931" t="str">
        <f>VLOOKUP(A3931,vlookup_table!$A:$G,5,FALSE)</f>
        <v>S1</v>
      </c>
      <c r="R3931" t="str">
        <f>VLOOKUP(A3931,vlookup_table!$A:$G,6,FALSE)</f>
        <v>F</v>
      </c>
      <c r="S3931">
        <f>VLOOKUP(A3931,vlookup_table!$A:$G,7,FALSE)</f>
        <v>25</v>
      </c>
      <c r="T3931">
        <f t="shared" si="122"/>
        <v>49</v>
      </c>
      <c r="U3931" t="str">
        <f t="shared" si="123"/>
        <v>Suburbano</v>
      </c>
    </row>
    <row r="3932" spans="1:21" ht="16" x14ac:dyDescent="0.4">
      <c r="A3932" s="9">
        <v>160570</v>
      </c>
      <c r="B3932" s="8" t="s">
        <v>37</v>
      </c>
      <c r="C3932" s="8" t="s">
        <v>14</v>
      </c>
      <c r="D3932" s="8">
        <v>1412</v>
      </c>
      <c r="E3932" s="8">
        <v>399</v>
      </c>
      <c r="F3932" s="8">
        <v>457</v>
      </c>
      <c r="G3932" s="8">
        <v>17</v>
      </c>
      <c r="H3932" s="8">
        <v>15307</v>
      </c>
      <c r="I3932" s="8">
        <v>4</v>
      </c>
      <c r="J3932" s="8">
        <v>58</v>
      </c>
      <c r="K3932" s="8">
        <v>413</v>
      </c>
      <c r="L3932" s="8">
        <v>442</v>
      </c>
      <c r="M3932" s="8">
        <v>15.33333333</v>
      </c>
      <c r="N3932">
        <f>VLOOKUP(A3932,vlookup_table!$A:$G,2,FALSE)</f>
        <v>0</v>
      </c>
      <c r="O3932" t="str">
        <f>VLOOKUP(A3932,vlookup_table!$A:$G,3,FALSE)</f>
        <v>WA</v>
      </c>
      <c r="P3932">
        <f>VLOOKUP(A3932,vlookup_table!$A:$G,4,FALSE)</f>
        <v>2401</v>
      </c>
      <c r="Q3932" t="str">
        <f>VLOOKUP(A3932,vlookup_table!$A:$G,5,FALSE)</f>
        <v>T1</v>
      </c>
      <c r="R3932" t="str">
        <f>VLOOKUP(A3932,vlookup_table!$A:$G,6,FALSE)</f>
        <v>M</v>
      </c>
      <c r="S3932">
        <f>VLOOKUP(A3932,vlookup_table!$A:$G,7,FALSE)</f>
        <v>15</v>
      </c>
      <c r="T3932">
        <f t="shared" si="122"/>
        <v>72</v>
      </c>
      <c r="U3932" t="str">
        <f t="shared" si="123"/>
        <v>Pueblo</v>
      </c>
    </row>
    <row r="3933" spans="1:21" ht="16" x14ac:dyDescent="0.4">
      <c r="A3933" s="9">
        <v>151806</v>
      </c>
      <c r="B3933" s="8" t="s">
        <v>21</v>
      </c>
      <c r="C3933" s="8" t="s">
        <v>14</v>
      </c>
      <c r="D3933" s="8">
        <v>1420</v>
      </c>
      <c r="E3933" s="8">
        <v>351</v>
      </c>
      <c r="F3933" s="8">
        <v>420</v>
      </c>
      <c r="G3933" s="8">
        <v>4</v>
      </c>
      <c r="H3933" s="8">
        <v>14537</v>
      </c>
      <c r="I3933" s="8">
        <v>14</v>
      </c>
      <c r="J3933" s="8">
        <v>49</v>
      </c>
      <c r="K3933" s="8">
        <v>433</v>
      </c>
      <c r="L3933" s="8">
        <v>388</v>
      </c>
      <c r="M3933" s="8">
        <v>4.5</v>
      </c>
      <c r="N3933">
        <f>VLOOKUP(A3933,vlookup_table!$A:$G,2,FALSE)</f>
        <v>1</v>
      </c>
      <c r="O3933" t="str">
        <f>VLOOKUP(A3933,vlookup_table!$A:$G,3,FALSE)</f>
        <v>CA</v>
      </c>
      <c r="P3933">
        <f>VLOOKUP(A3933,vlookup_table!$A:$G,4,FALSE)</f>
        <v>2501</v>
      </c>
      <c r="Q3933" t="str">
        <f>VLOOKUP(A3933,vlookup_table!$A:$G,5,FALSE)</f>
        <v>S2</v>
      </c>
      <c r="R3933" t="str">
        <f>VLOOKUP(A3933,vlookup_table!$A:$G,6,FALSE)</f>
        <v>M</v>
      </c>
      <c r="S3933">
        <f>VLOOKUP(A3933,vlookup_table!$A:$G,7,FALSE)</f>
        <v>4</v>
      </c>
      <c r="T3933">
        <f t="shared" si="122"/>
        <v>71</v>
      </c>
      <c r="U3933" t="str">
        <f t="shared" si="123"/>
        <v>Suburbano</v>
      </c>
    </row>
    <row r="3934" spans="1:21" ht="16" x14ac:dyDescent="0.4">
      <c r="A3934" s="9">
        <v>51731</v>
      </c>
      <c r="B3934" s="8" t="s">
        <v>49</v>
      </c>
      <c r="C3934" s="8" t="s">
        <v>14</v>
      </c>
      <c r="D3934" s="8">
        <v>640</v>
      </c>
      <c r="E3934" s="8">
        <v>226</v>
      </c>
      <c r="F3934" s="8">
        <v>351</v>
      </c>
      <c r="G3934" s="8">
        <v>1</v>
      </c>
      <c r="H3934" s="8">
        <v>11829</v>
      </c>
      <c r="I3934" s="8">
        <v>1</v>
      </c>
      <c r="J3934" s="8">
        <v>55</v>
      </c>
      <c r="K3934" s="8">
        <v>302</v>
      </c>
      <c r="L3934" s="8">
        <v>289</v>
      </c>
      <c r="M3934" s="8">
        <v>10.75</v>
      </c>
      <c r="N3934">
        <f>VLOOKUP(A3934,vlookup_table!$A:$G,2,FALSE)</f>
        <v>1</v>
      </c>
      <c r="O3934" t="str">
        <f>VLOOKUP(A3934,vlookup_table!$A:$G,3,FALSE)</f>
        <v>TN</v>
      </c>
      <c r="P3934">
        <f>VLOOKUP(A3934,vlookup_table!$A:$G,4,FALSE)</f>
        <v>5101</v>
      </c>
      <c r="Q3934" t="str">
        <f>VLOOKUP(A3934,vlookup_table!$A:$G,5,FALSE)</f>
        <v>T2</v>
      </c>
      <c r="R3934" t="str">
        <f>VLOOKUP(A3934,vlookup_table!$A:$G,6,FALSE)</f>
        <v>M</v>
      </c>
      <c r="S3934">
        <f>VLOOKUP(A3934,vlookup_table!$A:$G,7,FALSE)</f>
        <v>20</v>
      </c>
      <c r="T3934">
        <f t="shared" si="122"/>
        <v>45</v>
      </c>
      <c r="U3934" t="str">
        <f t="shared" si="123"/>
        <v>Pueblo</v>
      </c>
    </row>
    <row r="3935" spans="1:21" ht="16" x14ac:dyDescent="0.4">
      <c r="A3935" s="9">
        <v>17418</v>
      </c>
      <c r="B3935" s="8" t="s">
        <v>18</v>
      </c>
      <c r="C3935" s="8" t="s">
        <v>17</v>
      </c>
      <c r="D3935" s="8">
        <v>853</v>
      </c>
      <c r="E3935" s="8">
        <v>289</v>
      </c>
      <c r="F3935" s="8">
        <v>440</v>
      </c>
      <c r="G3935" s="8">
        <v>2</v>
      </c>
      <c r="H3935" s="8">
        <v>17351</v>
      </c>
      <c r="I3935" s="8">
        <v>9</v>
      </c>
      <c r="J3935" s="8">
        <v>51</v>
      </c>
      <c r="K3935" s="8">
        <v>450</v>
      </c>
      <c r="L3935" s="8">
        <v>331</v>
      </c>
      <c r="M3935" s="8">
        <v>9.75</v>
      </c>
      <c r="N3935">
        <f>VLOOKUP(A3935,vlookup_table!$A:$G,2,FALSE)</f>
        <v>0</v>
      </c>
      <c r="O3935" t="str">
        <f>VLOOKUP(A3935,vlookup_table!$A:$G,3,FALSE)</f>
        <v>NC</v>
      </c>
      <c r="P3935">
        <f>VLOOKUP(A3935,vlookup_table!$A:$G,4,FALSE)</f>
        <v>5401</v>
      </c>
      <c r="Q3935" t="str">
        <f>VLOOKUP(A3935,vlookup_table!$A:$G,5,FALSE)</f>
        <v>S1</v>
      </c>
      <c r="R3935" t="str">
        <f>VLOOKUP(A3935,vlookup_table!$A:$G,6,FALSE)</f>
        <v>F</v>
      </c>
      <c r="S3935">
        <f>VLOOKUP(A3935,vlookup_table!$A:$G,7,FALSE)</f>
        <v>13</v>
      </c>
      <c r="T3935">
        <f t="shared" si="122"/>
        <v>42</v>
      </c>
      <c r="U3935" t="str">
        <f t="shared" si="123"/>
        <v>Suburbano</v>
      </c>
    </row>
    <row r="3936" spans="1:21" ht="16" x14ac:dyDescent="0.4">
      <c r="A3936" s="9">
        <v>103953</v>
      </c>
      <c r="B3936" s="8" t="s">
        <v>33</v>
      </c>
      <c r="C3936" s="8" t="s">
        <v>17</v>
      </c>
      <c r="D3936" s="8">
        <v>868</v>
      </c>
      <c r="E3936" s="8">
        <v>359</v>
      </c>
      <c r="F3936" s="8">
        <v>430</v>
      </c>
      <c r="G3936" s="8">
        <v>3</v>
      </c>
      <c r="H3936" s="8">
        <v>14270</v>
      </c>
      <c r="I3936" s="8">
        <v>1</v>
      </c>
      <c r="J3936" s="8">
        <v>60</v>
      </c>
      <c r="K3936" s="8">
        <v>384</v>
      </c>
      <c r="L3936" s="8">
        <v>399</v>
      </c>
      <c r="M3936" s="8">
        <v>2.3157894739999998</v>
      </c>
      <c r="N3936">
        <f>VLOOKUP(A3936,vlookup_table!$A:$G,2,FALSE)</f>
        <v>0</v>
      </c>
      <c r="O3936" t="str">
        <f>VLOOKUP(A3936,vlookup_table!$A:$G,3,FALSE)</f>
        <v>MO</v>
      </c>
      <c r="P3936">
        <f>VLOOKUP(A3936,vlookup_table!$A:$G,4,FALSE)</f>
        <v>0</v>
      </c>
      <c r="Q3936" t="str">
        <f>VLOOKUP(A3936,vlookup_table!$A:$G,5,FALSE)</f>
        <v>T2</v>
      </c>
      <c r="R3936" t="str">
        <f>VLOOKUP(A3936,vlookup_table!$A:$G,6,FALSE)</f>
        <v>F</v>
      </c>
      <c r="S3936">
        <f>VLOOKUP(A3936,vlookup_table!$A:$G,7,FALSE)</f>
        <v>5</v>
      </c>
      <c r="T3936">
        <f t="shared" si="122"/>
        <v>96</v>
      </c>
      <c r="U3936" t="str">
        <f t="shared" si="123"/>
        <v>Pueblo</v>
      </c>
    </row>
    <row r="3937" spans="1:21" ht="16" x14ac:dyDescent="0.4">
      <c r="A3937" s="9">
        <v>14552</v>
      </c>
      <c r="B3937" s="8" t="s">
        <v>13</v>
      </c>
      <c r="C3937" s="8" t="s">
        <v>14</v>
      </c>
      <c r="D3937" s="8">
        <v>1518</v>
      </c>
      <c r="E3937" s="8">
        <v>449</v>
      </c>
      <c r="F3937" s="8">
        <v>523</v>
      </c>
      <c r="G3937" s="8">
        <v>26</v>
      </c>
      <c r="H3937" s="8">
        <v>17518</v>
      </c>
      <c r="I3937" s="8">
        <v>11</v>
      </c>
      <c r="J3937" s="8">
        <v>39</v>
      </c>
      <c r="K3937" s="8">
        <v>469</v>
      </c>
      <c r="L3937" s="8">
        <v>494</v>
      </c>
      <c r="M3937" s="8">
        <v>10.7</v>
      </c>
      <c r="N3937">
        <f>VLOOKUP(A3937,vlookup_table!$A:$G,2,FALSE)</f>
        <v>0</v>
      </c>
      <c r="O3937" t="str">
        <f>VLOOKUP(A3937,vlookup_table!$A:$G,3,FALSE)</f>
        <v>FL</v>
      </c>
      <c r="P3937">
        <f>VLOOKUP(A3937,vlookup_table!$A:$G,4,FALSE)</f>
        <v>4906</v>
      </c>
      <c r="Q3937" t="str">
        <f>VLOOKUP(A3937,vlookup_table!$A:$G,5,FALSE)</f>
        <v>T1</v>
      </c>
      <c r="R3937" t="str">
        <f>VLOOKUP(A3937,vlookup_table!$A:$G,6,FALSE)</f>
        <v>M</v>
      </c>
      <c r="S3937">
        <f>VLOOKUP(A3937,vlookup_table!$A:$G,7,FALSE)</f>
        <v>16</v>
      </c>
      <c r="T3937">
        <f t="shared" si="122"/>
        <v>47</v>
      </c>
      <c r="U3937" t="str">
        <f t="shared" si="123"/>
        <v>Pueblo</v>
      </c>
    </row>
    <row r="3938" spans="1:21" ht="16" x14ac:dyDescent="0.4">
      <c r="A3938" s="9">
        <v>186109</v>
      </c>
      <c r="B3938" s="8" t="s">
        <v>16</v>
      </c>
      <c r="C3938" s="8" t="s">
        <v>17</v>
      </c>
      <c r="D3938" s="8">
        <v>590</v>
      </c>
      <c r="E3938" s="8">
        <v>353</v>
      </c>
      <c r="F3938" s="8">
        <v>409</v>
      </c>
      <c r="G3938" s="8">
        <v>1</v>
      </c>
      <c r="H3938" s="8">
        <v>13030</v>
      </c>
      <c r="I3938" s="8">
        <v>2</v>
      </c>
      <c r="J3938" s="8">
        <v>83</v>
      </c>
      <c r="K3938" s="8">
        <v>403</v>
      </c>
      <c r="L3938" s="8">
        <v>362</v>
      </c>
      <c r="M3938" s="8">
        <v>8.2173913039999995</v>
      </c>
      <c r="N3938">
        <f>VLOOKUP(A3938,vlookup_table!$A:$G,2,FALSE)</f>
        <v>28028</v>
      </c>
      <c r="O3938" t="str">
        <f>VLOOKUP(A3938,vlookup_table!$A:$G,3,FALSE)</f>
        <v>IL</v>
      </c>
      <c r="P3938">
        <f>VLOOKUP(A3938,vlookup_table!$A:$G,4,FALSE)</f>
        <v>1309</v>
      </c>
      <c r="Q3938" t="str">
        <f>VLOOKUP(A3938,vlookup_table!$A:$G,5,FALSE)</f>
        <v>T2</v>
      </c>
      <c r="R3938" t="str">
        <f>VLOOKUP(A3938,vlookup_table!$A:$G,6,FALSE)</f>
        <v>F</v>
      </c>
      <c r="S3938">
        <f>VLOOKUP(A3938,vlookup_table!$A:$G,7,FALSE)</f>
        <v>8</v>
      </c>
      <c r="T3938">
        <f t="shared" si="122"/>
        <v>83</v>
      </c>
      <c r="U3938" t="str">
        <f t="shared" si="123"/>
        <v>Pueblo</v>
      </c>
    </row>
    <row r="3939" spans="1:21" ht="16" x14ac:dyDescent="0.4">
      <c r="A3939" s="9">
        <v>40283</v>
      </c>
      <c r="B3939" s="8" t="s">
        <v>13</v>
      </c>
      <c r="C3939" s="8" t="s">
        <v>17</v>
      </c>
      <c r="D3939" s="8">
        <v>801</v>
      </c>
      <c r="E3939" s="8">
        <v>301</v>
      </c>
      <c r="F3939" s="8">
        <v>408</v>
      </c>
      <c r="G3939" s="8">
        <v>0</v>
      </c>
      <c r="H3939" s="8">
        <v>13339</v>
      </c>
      <c r="I3939" s="8">
        <v>17</v>
      </c>
      <c r="J3939" s="8">
        <v>21</v>
      </c>
      <c r="K3939" s="8">
        <v>370</v>
      </c>
      <c r="L3939" s="8">
        <v>360</v>
      </c>
      <c r="M3939" s="8">
        <v>15.2</v>
      </c>
      <c r="N3939">
        <f>VLOOKUP(A3939,vlookup_table!$A:$G,2,FALSE)</f>
        <v>0</v>
      </c>
      <c r="O3939" t="str">
        <f>VLOOKUP(A3939,vlookup_table!$A:$G,3,FALSE)</f>
        <v>FL</v>
      </c>
      <c r="P3939">
        <f>VLOOKUP(A3939,vlookup_table!$A:$G,4,FALSE)</f>
        <v>5502</v>
      </c>
      <c r="Q3939" t="str">
        <f>VLOOKUP(A3939,vlookup_table!$A:$G,5,FALSE)</f>
        <v>C2</v>
      </c>
      <c r="R3939" t="str">
        <f>VLOOKUP(A3939,vlookup_table!$A:$G,6,FALSE)</f>
        <v>F</v>
      </c>
      <c r="S3939">
        <f>VLOOKUP(A3939,vlookup_table!$A:$G,7,FALSE)</f>
        <v>25</v>
      </c>
      <c r="T3939">
        <f t="shared" si="122"/>
        <v>41</v>
      </c>
      <c r="U3939" t="str">
        <f t="shared" si="123"/>
        <v>Ciudad</v>
      </c>
    </row>
    <row r="3940" spans="1:21" ht="16" x14ac:dyDescent="0.4">
      <c r="A3940" s="9">
        <v>142161</v>
      </c>
      <c r="B3940" s="8" t="s">
        <v>23</v>
      </c>
      <c r="C3940" s="8" t="s">
        <v>14</v>
      </c>
      <c r="D3940" s="8">
        <v>675</v>
      </c>
      <c r="E3940" s="8">
        <v>336</v>
      </c>
      <c r="F3940" s="8">
        <v>372</v>
      </c>
      <c r="G3940" s="8">
        <v>0</v>
      </c>
      <c r="H3940" s="8">
        <v>11280</v>
      </c>
      <c r="I3940" s="8">
        <v>1</v>
      </c>
      <c r="J3940" s="8">
        <v>28</v>
      </c>
      <c r="K3940" s="8">
        <v>375</v>
      </c>
      <c r="L3940" s="8">
        <v>325</v>
      </c>
      <c r="M3940" s="8">
        <v>5</v>
      </c>
      <c r="N3940">
        <f>VLOOKUP(A3940,vlookup_table!$A:$G,2,FALSE)</f>
        <v>0</v>
      </c>
      <c r="O3940" t="str">
        <f>VLOOKUP(A3940,vlookup_table!$A:$G,3,FALSE)</f>
        <v>NV</v>
      </c>
      <c r="P3940">
        <f>VLOOKUP(A3940,vlookup_table!$A:$G,4,FALSE)</f>
        <v>3001</v>
      </c>
      <c r="Q3940" t="str">
        <f>VLOOKUP(A3940,vlookup_table!$A:$G,5,FALSE)</f>
        <v>T2</v>
      </c>
      <c r="R3940" t="str">
        <f>VLOOKUP(A3940,vlookup_table!$A:$G,6,FALSE)</f>
        <v>M</v>
      </c>
      <c r="S3940">
        <f>VLOOKUP(A3940,vlookup_table!$A:$G,7,FALSE)</f>
        <v>5</v>
      </c>
      <c r="T3940">
        <f t="shared" si="122"/>
        <v>66</v>
      </c>
      <c r="U3940" t="str">
        <f t="shared" si="123"/>
        <v>Pueblo</v>
      </c>
    </row>
    <row r="3941" spans="1:21" ht="16" x14ac:dyDescent="0.4">
      <c r="A3941" s="9">
        <v>181337</v>
      </c>
      <c r="B3941" s="8" t="s">
        <v>37</v>
      </c>
      <c r="C3941" s="8" t="s">
        <v>17</v>
      </c>
      <c r="D3941" s="8">
        <v>1217</v>
      </c>
      <c r="E3941" s="8">
        <v>465</v>
      </c>
      <c r="F3941" s="8">
        <v>598</v>
      </c>
      <c r="G3941" s="8">
        <v>19</v>
      </c>
      <c r="H3941" s="8">
        <v>29913</v>
      </c>
      <c r="I3941" s="8">
        <v>5</v>
      </c>
      <c r="J3941" s="8">
        <v>52</v>
      </c>
      <c r="K3941" s="8">
        <v>506</v>
      </c>
      <c r="L3941" s="8">
        <v>556</v>
      </c>
      <c r="M3941" s="8">
        <v>9.8571428569999995</v>
      </c>
      <c r="N3941">
        <f>VLOOKUP(A3941,vlookup_table!$A:$G,2,FALSE)</f>
        <v>2</v>
      </c>
      <c r="O3941" t="str">
        <f>VLOOKUP(A3941,vlookup_table!$A:$G,3,FALSE)</f>
        <v>WA</v>
      </c>
      <c r="P3941">
        <f>VLOOKUP(A3941,vlookup_table!$A:$G,4,FALSE)</f>
        <v>3011</v>
      </c>
      <c r="Q3941" t="str">
        <f>VLOOKUP(A3941,vlookup_table!$A:$G,5,FALSE)</f>
        <v>C1</v>
      </c>
      <c r="R3941" t="str">
        <f>VLOOKUP(A3941,vlookup_table!$A:$G,6,FALSE)</f>
        <v>F</v>
      </c>
      <c r="S3941">
        <f>VLOOKUP(A3941,vlookup_table!$A:$G,7,FALSE)</f>
        <v>12</v>
      </c>
      <c r="T3941">
        <f t="shared" si="122"/>
        <v>66</v>
      </c>
      <c r="U3941" t="str">
        <f t="shared" si="123"/>
        <v>Ciudad</v>
      </c>
    </row>
    <row r="3942" spans="1:21" ht="16" x14ac:dyDescent="0.4">
      <c r="A3942" s="9">
        <v>161646</v>
      </c>
      <c r="B3942" s="8" t="s">
        <v>21</v>
      </c>
      <c r="C3942" s="8" t="s">
        <v>14</v>
      </c>
      <c r="D3942" s="8">
        <v>1897</v>
      </c>
      <c r="E3942" s="8">
        <v>369</v>
      </c>
      <c r="F3942" s="8">
        <v>520</v>
      </c>
      <c r="G3942" s="8">
        <v>41</v>
      </c>
      <c r="H3942" s="8">
        <v>18370</v>
      </c>
      <c r="I3942" s="8">
        <v>9</v>
      </c>
      <c r="J3942" s="8">
        <v>58</v>
      </c>
      <c r="K3942" s="8">
        <v>481</v>
      </c>
      <c r="L3942" s="8">
        <v>433</v>
      </c>
      <c r="M3942" s="8">
        <v>23</v>
      </c>
      <c r="N3942">
        <f>VLOOKUP(A3942,vlookup_table!$A:$G,2,FALSE)</f>
        <v>1</v>
      </c>
      <c r="O3942" t="str">
        <f>VLOOKUP(A3942,vlookup_table!$A:$G,3,FALSE)</f>
        <v>CA</v>
      </c>
      <c r="P3942">
        <f>VLOOKUP(A3942,vlookup_table!$A:$G,4,FALSE)</f>
        <v>0</v>
      </c>
      <c r="Q3942" t="str">
        <f>VLOOKUP(A3942,vlookup_table!$A:$G,5,FALSE)</f>
        <v>C1</v>
      </c>
      <c r="R3942" t="str">
        <f>VLOOKUP(A3942,vlookup_table!$A:$G,6,FALSE)</f>
        <v>M</v>
      </c>
      <c r="S3942">
        <f>VLOOKUP(A3942,vlookup_table!$A:$G,7,FALSE)</f>
        <v>23</v>
      </c>
      <c r="T3942">
        <f t="shared" si="122"/>
        <v>96</v>
      </c>
      <c r="U3942" t="str">
        <f t="shared" si="123"/>
        <v>Ciudad</v>
      </c>
    </row>
    <row r="3943" spans="1:21" ht="16" x14ac:dyDescent="0.4">
      <c r="A3943" s="9">
        <v>181869</v>
      </c>
      <c r="B3943" s="8" t="s">
        <v>37</v>
      </c>
      <c r="C3943" s="8" t="s">
        <v>14</v>
      </c>
      <c r="D3943" s="8">
        <v>1038</v>
      </c>
      <c r="E3943" s="8">
        <v>294</v>
      </c>
      <c r="F3943" s="8">
        <v>344</v>
      </c>
      <c r="G3943" s="8">
        <v>3</v>
      </c>
      <c r="H3943" s="8">
        <v>12639</v>
      </c>
      <c r="I3943" s="8">
        <v>2</v>
      </c>
      <c r="J3943" s="8">
        <v>46</v>
      </c>
      <c r="K3943" s="8">
        <v>317</v>
      </c>
      <c r="L3943" s="8">
        <v>325</v>
      </c>
      <c r="M3943" s="8">
        <v>7</v>
      </c>
      <c r="N3943">
        <f>VLOOKUP(A3943,vlookup_table!$A:$G,2,FALSE)</f>
        <v>1</v>
      </c>
      <c r="O3943" t="str">
        <f>VLOOKUP(A3943,vlookup_table!$A:$G,3,FALSE)</f>
        <v>WA</v>
      </c>
      <c r="P3943">
        <f>VLOOKUP(A3943,vlookup_table!$A:$G,4,FALSE)</f>
        <v>2201</v>
      </c>
      <c r="Q3943" t="str">
        <f>VLOOKUP(A3943,vlookup_table!$A:$G,5,FALSE)</f>
        <v>T2</v>
      </c>
      <c r="R3943" t="str">
        <f>VLOOKUP(A3943,vlookup_table!$A:$G,6,FALSE)</f>
        <v>M</v>
      </c>
      <c r="S3943">
        <f>VLOOKUP(A3943,vlookup_table!$A:$G,7,FALSE)</f>
        <v>10</v>
      </c>
      <c r="T3943">
        <f t="shared" si="122"/>
        <v>74</v>
      </c>
      <c r="U3943" t="str">
        <f t="shared" si="123"/>
        <v>Pueblo</v>
      </c>
    </row>
    <row r="3944" spans="1:21" ht="16" x14ac:dyDescent="0.4">
      <c r="A3944" s="9">
        <v>55302</v>
      </c>
      <c r="B3944" s="8" t="s">
        <v>56</v>
      </c>
      <c r="C3944" s="8" t="s">
        <v>14</v>
      </c>
      <c r="D3944" s="8">
        <v>878</v>
      </c>
      <c r="E3944" s="8">
        <v>607</v>
      </c>
      <c r="F3944" s="8">
        <v>654</v>
      </c>
      <c r="G3944" s="8">
        <v>1</v>
      </c>
      <c r="H3944" s="8">
        <v>20596</v>
      </c>
      <c r="I3944" s="8">
        <v>1</v>
      </c>
      <c r="J3944" s="8">
        <v>64</v>
      </c>
      <c r="K3944" s="8">
        <v>630</v>
      </c>
      <c r="L3944" s="8">
        <v>622</v>
      </c>
      <c r="M3944" s="8">
        <v>9.75</v>
      </c>
      <c r="N3944">
        <f>VLOOKUP(A3944,vlookup_table!$A:$G,2,FALSE)</f>
        <v>0</v>
      </c>
      <c r="O3944" t="str">
        <f>VLOOKUP(A3944,vlookup_table!$A:$G,3,FALSE)</f>
        <v>MS</v>
      </c>
      <c r="P3944">
        <f>VLOOKUP(A3944,vlookup_table!$A:$G,4,FALSE)</f>
        <v>2402</v>
      </c>
      <c r="Q3944" t="str">
        <f>VLOOKUP(A3944,vlookup_table!$A:$G,5,FALSE)</f>
        <v>S1</v>
      </c>
      <c r="R3944" t="str">
        <f>VLOOKUP(A3944,vlookup_table!$A:$G,6,FALSE)</f>
        <v>M</v>
      </c>
      <c r="S3944">
        <f>VLOOKUP(A3944,vlookup_table!$A:$G,7,FALSE)</f>
        <v>15</v>
      </c>
      <c r="T3944">
        <f t="shared" si="122"/>
        <v>72</v>
      </c>
      <c r="U3944" t="str">
        <f t="shared" si="123"/>
        <v>Suburbano</v>
      </c>
    </row>
    <row r="3945" spans="1:21" ht="16" x14ac:dyDescent="0.4">
      <c r="A3945" s="9">
        <v>189508</v>
      </c>
      <c r="B3945" s="8" t="s">
        <v>16</v>
      </c>
      <c r="C3945" s="8" t="s">
        <v>14</v>
      </c>
      <c r="D3945" s="8">
        <v>680</v>
      </c>
      <c r="E3945" s="8">
        <v>289</v>
      </c>
      <c r="F3945" s="8">
        <v>316</v>
      </c>
      <c r="G3945" s="8">
        <v>0</v>
      </c>
      <c r="H3945" s="8">
        <v>9856</v>
      </c>
      <c r="I3945" s="8">
        <v>36</v>
      </c>
      <c r="J3945" s="8">
        <v>55</v>
      </c>
      <c r="K3945" s="8">
        <v>325</v>
      </c>
      <c r="L3945" s="8">
        <v>293</v>
      </c>
      <c r="M3945" s="8">
        <v>4.6666666670000003</v>
      </c>
      <c r="N3945">
        <f>VLOOKUP(A3945,vlookup_table!$A:$G,2,FALSE)</f>
        <v>1</v>
      </c>
      <c r="O3945" t="str">
        <f>VLOOKUP(A3945,vlookup_table!$A:$G,3,FALSE)</f>
        <v>IL</v>
      </c>
      <c r="P3945">
        <f>VLOOKUP(A3945,vlookup_table!$A:$G,4,FALSE)</f>
        <v>0</v>
      </c>
      <c r="Q3945" t="str">
        <f>VLOOKUP(A3945,vlookup_table!$A:$G,5,FALSE)</f>
        <v/>
      </c>
      <c r="R3945" t="str">
        <f>VLOOKUP(A3945,vlookup_table!$A:$G,6,FALSE)</f>
        <v>M</v>
      </c>
      <c r="S3945">
        <f>VLOOKUP(A3945,vlookup_table!$A:$G,7,FALSE)</f>
        <v>7</v>
      </c>
      <c r="T3945">
        <f t="shared" si="122"/>
        <v>96</v>
      </c>
      <c r="U3945" t="str">
        <f t="shared" si="123"/>
        <v/>
      </c>
    </row>
    <row r="3946" spans="1:21" ht="16" x14ac:dyDescent="0.4">
      <c r="A3946" s="9">
        <v>129031</v>
      </c>
      <c r="B3946" s="8" t="s">
        <v>20</v>
      </c>
      <c r="C3946" s="8" t="s">
        <v>14</v>
      </c>
      <c r="D3946" s="8">
        <v>1269</v>
      </c>
      <c r="E3946" s="8">
        <v>512</v>
      </c>
      <c r="F3946" s="8">
        <v>597</v>
      </c>
      <c r="G3946" s="8">
        <v>15</v>
      </c>
      <c r="H3946" s="8">
        <v>20906</v>
      </c>
      <c r="I3946" s="8">
        <v>16</v>
      </c>
      <c r="J3946" s="8">
        <v>50</v>
      </c>
      <c r="K3946" s="8">
        <v>574</v>
      </c>
      <c r="L3946" s="8">
        <v>540</v>
      </c>
      <c r="M3946" s="8">
        <v>4.2549019609999998</v>
      </c>
      <c r="N3946">
        <f>VLOOKUP(A3946,vlookup_table!$A:$G,2,FALSE)</f>
        <v>1002</v>
      </c>
      <c r="O3946" t="str">
        <f>VLOOKUP(A3946,vlookup_table!$A:$G,3,FALSE)</f>
        <v>TX</v>
      </c>
      <c r="P3946">
        <f>VLOOKUP(A3946,vlookup_table!$A:$G,4,FALSE)</f>
        <v>1702</v>
      </c>
      <c r="Q3946" t="str">
        <f>VLOOKUP(A3946,vlookup_table!$A:$G,5,FALSE)</f>
        <v>U1</v>
      </c>
      <c r="R3946" t="str">
        <f>VLOOKUP(A3946,vlookup_table!$A:$G,6,FALSE)</f>
        <v>M</v>
      </c>
      <c r="S3946">
        <f>VLOOKUP(A3946,vlookup_table!$A:$G,7,FALSE)</f>
        <v>10</v>
      </c>
      <c r="T3946">
        <f t="shared" si="122"/>
        <v>79</v>
      </c>
      <c r="U3946" t="str">
        <f t="shared" si="123"/>
        <v>Urbano</v>
      </c>
    </row>
    <row r="3947" spans="1:21" ht="16" x14ac:dyDescent="0.4">
      <c r="A3947" s="9">
        <v>177962</v>
      </c>
      <c r="B3947" s="8" t="s">
        <v>47</v>
      </c>
      <c r="C3947" s="8" t="s">
        <v>14</v>
      </c>
      <c r="D3947" s="8">
        <v>617</v>
      </c>
      <c r="E3947" s="8">
        <v>332</v>
      </c>
      <c r="F3947" s="8">
        <v>423</v>
      </c>
      <c r="G3947" s="8">
        <v>0</v>
      </c>
      <c r="H3947" s="8">
        <v>13784</v>
      </c>
      <c r="I3947" s="8">
        <v>1</v>
      </c>
      <c r="J3947" s="8">
        <v>43</v>
      </c>
      <c r="K3947" s="8">
        <v>363</v>
      </c>
      <c r="L3947" s="8">
        <v>353</v>
      </c>
      <c r="M3947" s="8">
        <v>4.5333333329999999</v>
      </c>
      <c r="N3947">
        <f>VLOOKUP(A3947,vlookup_table!$A:$G,2,FALSE)</f>
        <v>2</v>
      </c>
      <c r="O3947" t="str">
        <f>VLOOKUP(A3947,vlookup_table!$A:$G,3,FALSE)</f>
        <v>OR</v>
      </c>
      <c r="P3947">
        <f>VLOOKUP(A3947,vlookup_table!$A:$G,4,FALSE)</f>
        <v>2305</v>
      </c>
      <c r="Q3947" t="str">
        <f>VLOOKUP(A3947,vlookup_table!$A:$G,5,FALSE)</f>
        <v>T2</v>
      </c>
      <c r="R3947" t="str">
        <f>VLOOKUP(A3947,vlookup_table!$A:$G,6,FALSE)</f>
        <v>M</v>
      </c>
      <c r="S3947">
        <f>VLOOKUP(A3947,vlookup_table!$A:$G,7,FALSE)</f>
        <v>5</v>
      </c>
      <c r="T3947">
        <f t="shared" si="122"/>
        <v>73</v>
      </c>
      <c r="U3947" t="str">
        <f t="shared" si="123"/>
        <v>Pueblo</v>
      </c>
    </row>
    <row r="3948" spans="1:21" ht="16" x14ac:dyDescent="0.4">
      <c r="A3948" s="9">
        <v>171832</v>
      </c>
      <c r="B3948" s="8" t="s">
        <v>21</v>
      </c>
      <c r="C3948" s="8" t="s">
        <v>14</v>
      </c>
      <c r="D3948" s="8">
        <v>1365</v>
      </c>
      <c r="E3948" s="8">
        <v>282</v>
      </c>
      <c r="F3948" s="8">
        <v>430</v>
      </c>
      <c r="G3948" s="8">
        <v>15</v>
      </c>
      <c r="H3948" s="8">
        <v>16473</v>
      </c>
      <c r="I3948" s="8">
        <v>8</v>
      </c>
      <c r="J3948" s="8">
        <v>52</v>
      </c>
      <c r="K3948" s="8">
        <v>359</v>
      </c>
      <c r="L3948" s="8">
        <v>356</v>
      </c>
      <c r="M3948" s="8">
        <v>25</v>
      </c>
      <c r="N3948">
        <f>VLOOKUP(A3948,vlookup_table!$A:$G,2,FALSE)</f>
        <v>4</v>
      </c>
      <c r="O3948" t="str">
        <f>VLOOKUP(A3948,vlookup_table!$A:$G,3,FALSE)</f>
        <v>CA</v>
      </c>
      <c r="P3948">
        <f>VLOOKUP(A3948,vlookup_table!$A:$G,4,FALSE)</f>
        <v>0</v>
      </c>
      <c r="Q3948" t="str">
        <f>VLOOKUP(A3948,vlookup_table!$A:$G,5,FALSE)</f>
        <v>U2</v>
      </c>
      <c r="R3948" t="str">
        <f>VLOOKUP(A3948,vlookup_table!$A:$G,6,FALSE)</f>
        <v>M</v>
      </c>
      <c r="S3948">
        <f>VLOOKUP(A3948,vlookup_table!$A:$G,7,FALSE)</f>
        <v>25</v>
      </c>
      <c r="T3948">
        <f t="shared" si="122"/>
        <v>96</v>
      </c>
      <c r="U3948" t="str">
        <f t="shared" si="123"/>
        <v>Urbano</v>
      </c>
    </row>
    <row r="3949" spans="1:21" ht="16" x14ac:dyDescent="0.4">
      <c r="A3949" s="9">
        <v>57992</v>
      </c>
      <c r="B3949" s="8" t="s">
        <v>53</v>
      </c>
      <c r="C3949" s="8" t="s">
        <v>14</v>
      </c>
      <c r="D3949" s="8">
        <v>838</v>
      </c>
      <c r="E3949" s="8">
        <v>404</v>
      </c>
      <c r="F3949" s="8">
        <v>528</v>
      </c>
      <c r="G3949" s="8">
        <v>2</v>
      </c>
      <c r="H3949" s="8">
        <v>17321</v>
      </c>
      <c r="I3949" s="8">
        <v>0</v>
      </c>
      <c r="J3949" s="8">
        <v>72</v>
      </c>
      <c r="K3949" s="8">
        <v>436</v>
      </c>
      <c r="L3949" s="8">
        <v>493</v>
      </c>
      <c r="M3949" s="8">
        <v>4.8666666669999996</v>
      </c>
      <c r="N3949">
        <f>VLOOKUP(A3949,vlookup_table!$A:$G,2,FALSE)</f>
        <v>1</v>
      </c>
      <c r="O3949" t="str">
        <f>VLOOKUP(A3949,vlookup_table!$A:$G,3,FALSE)</f>
        <v>KY</v>
      </c>
      <c r="P3949">
        <f>VLOOKUP(A3949,vlookup_table!$A:$G,4,FALSE)</f>
        <v>4611</v>
      </c>
      <c r="Q3949" t="str">
        <f>VLOOKUP(A3949,vlookup_table!$A:$G,5,FALSE)</f>
        <v>R1</v>
      </c>
      <c r="R3949" t="str">
        <f>VLOOKUP(A3949,vlookup_table!$A:$G,6,FALSE)</f>
        <v>M</v>
      </c>
      <c r="S3949">
        <f>VLOOKUP(A3949,vlookup_table!$A:$G,7,FALSE)</f>
        <v>5</v>
      </c>
      <c r="T3949">
        <f t="shared" si="122"/>
        <v>50</v>
      </c>
      <c r="U3949" t="str">
        <f t="shared" si="123"/>
        <v>Rural</v>
      </c>
    </row>
    <row r="3950" spans="1:21" ht="16" x14ac:dyDescent="0.4">
      <c r="A3950" s="9">
        <v>132154</v>
      </c>
      <c r="B3950" s="8" t="s">
        <v>45</v>
      </c>
      <c r="C3950" s="8" t="s">
        <v>14</v>
      </c>
      <c r="D3950" s="8">
        <v>1070</v>
      </c>
      <c r="E3950" s="8">
        <v>271</v>
      </c>
      <c r="F3950" s="8">
        <v>394</v>
      </c>
      <c r="G3950" s="8">
        <v>2</v>
      </c>
      <c r="H3950" s="8">
        <v>13186</v>
      </c>
      <c r="I3950" s="8">
        <v>3</v>
      </c>
      <c r="J3950" s="8">
        <v>36</v>
      </c>
      <c r="K3950" s="8">
        <v>388</v>
      </c>
      <c r="L3950" s="8">
        <v>330</v>
      </c>
      <c r="M3950" s="8">
        <v>8.25</v>
      </c>
      <c r="N3950">
        <f>VLOOKUP(A3950,vlookup_table!$A:$G,2,FALSE)</f>
        <v>1</v>
      </c>
      <c r="O3950" t="str">
        <f>VLOOKUP(A3950,vlookup_table!$A:$G,3,FALSE)</f>
        <v>CO</v>
      </c>
      <c r="P3950">
        <f>VLOOKUP(A3950,vlookup_table!$A:$G,4,FALSE)</f>
        <v>1701</v>
      </c>
      <c r="Q3950" t="str">
        <f>VLOOKUP(A3950,vlookup_table!$A:$G,5,FALSE)</f>
        <v>T1</v>
      </c>
      <c r="R3950" t="str">
        <f>VLOOKUP(A3950,vlookup_table!$A:$G,6,FALSE)</f>
        <v>M</v>
      </c>
      <c r="S3950">
        <f>VLOOKUP(A3950,vlookup_table!$A:$G,7,FALSE)</f>
        <v>15</v>
      </c>
      <c r="T3950">
        <f t="shared" si="122"/>
        <v>79</v>
      </c>
      <c r="U3950" t="str">
        <f t="shared" si="123"/>
        <v>Pueblo</v>
      </c>
    </row>
    <row r="3951" spans="1:21" ht="16" x14ac:dyDescent="0.4">
      <c r="A3951" s="9">
        <v>150191</v>
      </c>
      <c r="B3951" s="8" t="s">
        <v>21</v>
      </c>
      <c r="C3951" s="8" t="s">
        <v>14</v>
      </c>
      <c r="D3951" s="8">
        <v>2166</v>
      </c>
      <c r="E3951" s="8">
        <v>427</v>
      </c>
      <c r="F3951" s="8">
        <v>559</v>
      </c>
      <c r="G3951" s="8">
        <v>68</v>
      </c>
      <c r="H3951" s="8">
        <v>15653</v>
      </c>
      <c r="I3951" s="8">
        <v>15</v>
      </c>
      <c r="J3951" s="8">
        <v>54</v>
      </c>
      <c r="K3951" s="8">
        <v>515</v>
      </c>
      <c r="L3951" s="8">
        <v>471</v>
      </c>
      <c r="M3951" s="8">
        <v>9.0909090910000003</v>
      </c>
      <c r="N3951">
        <f>VLOOKUP(A3951,vlookup_table!$A:$G,2,FALSE)</f>
        <v>1</v>
      </c>
      <c r="O3951" t="str">
        <f>VLOOKUP(A3951,vlookup_table!$A:$G,3,FALSE)</f>
        <v>CA</v>
      </c>
      <c r="P3951">
        <f>VLOOKUP(A3951,vlookup_table!$A:$G,4,FALSE)</f>
        <v>4405</v>
      </c>
      <c r="Q3951" t="str">
        <f>VLOOKUP(A3951,vlookup_table!$A:$G,5,FALSE)</f>
        <v>S2</v>
      </c>
      <c r="R3951" t="str">
        <f>VLOOKUP(A3951,vlookup_table!$A:$G,6,FALSE)</f>
        <v>M</v>
      </c>
      <c r="S3951">
        <f>VLOOKUP(A3951,vlookup_table!$A:$G,7,FALSE)</f>
        <v>11</v>
      </c>
      <c r="T3951">
        <f t="shared" si="122"/>
        <v>52</v>
      </c>
      <c r="U3951" t="str">
        <f t="shared" si="123"/>
        <v>Suburbano</v>
      </c>
    </row>
    <row r="3952" spans="1:21" ht="16" x14ac:dyDescent="0.4">
      <c r="A3952" s="9">
        <v>25107</v>
      </c>
      <c r="B3952" s="8" t="s">
        <v>43</v>
      </c>
      <c r="C3952" s="8" t="s">
        <v>17</v>
      </c>
      <c r="D3952" s="8">
        <v>803</v>
      </c>
      <c r="E3952" s="8">
        <v>333</v>
      </c>
      <c r="F3952" s="8">
        <v>417</v>
      </c>
      <c r="G3952" s="8">
        <v>1</v>
      </c>
      <c r="H3952" s="8">
        <v>14356</v>
      </c>
      <c r="I3952" s="8">
        <v>1</v>
      </c>
      <c r="J3952" s="8">
        <v>32</v>
      </c>
      <c r="K3952" s="8">
        <v>360</v>
      </c>
      <c r="L3952" s="8">
        <v>375</v>
      </c>
      <c r="M3952" s="8">
        <v>5.8235294120000001</v>
      </c>
      <c r="N3952">
        <f>VLOOKUP(A3952,vlookup_table!$A:$G,2,FALSE)</f>
        <v>2</v>
      </c>
      <c r="O3952" t="str">
        <f>VLOOKUP(A3952,vlookup_table!$A:$G,3,FALSE)</f>
        <v>SC</v>
      </c>
      <c r="P3952">
        <f>VLOOKUP(A3952,vlookup_table!$A:$G,4,FALSE)</f>
        <v>4805</v>
      </c>
      <c r="Q3952" t="str">
        <f>VLOOKUP(A3952,vlookup_table!$A:$G,5,FALSE)</f>
        <v>R2</v>
      </c>
      <c r="R3952" t="str">
        <f>VLOOKUP(A3952,vlookup_table!$A:$G,6,FALSE)</f>
        <v>F</v>
      </c>
      <c r="S3952">
        <f>VLOOKUP(A3952,vlookup_table!$A:$G,7,FALSE)</f>
        <v>5</v>
      </c>
      <c r="T3952">
        <f t="shared" si="122"/>
        <v>48</v>
      </c>
      <c r="U3952" t="str">
        <f t="shared" si="123"/>
        <v>Rural</v>
      </c>
    </row>
    <row r="3953" spans="1:21" ht="16" x14ac:dyDescent="0.4">
      <c r="A3953" s="9">
        <v>59645</v>
      </c>
      <c r="B3953" s="8" t="s">
        <v>30</v>
      </c>
      <c r="C3953" s="8" t="s">
        <v>17</v>
      </c>
      <c r="D3953" s="8">
        <v>666</v>
      </c>
      <c r="E3953" s="8">
        <v>255</v>
      </c>
      <c r="F3953" s="8">
        <v>394</v>
      </c>
      <c r="G3953" s="8">
        <v>1</v>
      </c>
      <c r="H3953" s="8">
        <v>14934</v>
      </c>
      <c r="I3953" s="8">
        <v>1</v>
      </c>
      <c r="J3953" s="8">
        <v>77</v>
      </c>
      <c r="K3953" s="8">
        <v>332</v>
      </c>
      <c r="L3953" s="8">
        <v>325</v>
      </c>
      <c r="M3953" s="8">
        <v>4.5</v>
      </c>
      <c r="N3953">
        <f>VLOOKUP(A3953,vlookup_table!$A:$G,2,FALSE)</f>
        <v>0</v>
      </c>
      <c r="O3953" t="str">
        <f>VLOOKUP(A3953,vlookup_table!$A:$G,3,FALSE)</f>
        <v>IN</v>
      </c>
      <c r="P3953">
        <f>VLOOKUP(A3953,vlookup_table!$A:$G,4,FALSE)</f>
        <v>3910</v>
      </c>
      <c r="Q3953" t="str">
        <f>VLOOKUP(A3953,vlookup_table!$A:$G,5,FALSE)</f>
        <v>S2</v>
      </c>
      <c r="R3953" t="str">
        <f>VLOOKUP(A3953,vlookup_table!$A:$G,6,FALSE)</f>
        <v>F</v>
      </c>
      <c r="S3953">
        <f>VLOOKUP(A3953,vlookup_table!$A:$G,7,FALSE)</f>
        <v>4</v>
      </c>
      <c r="T3953">
        <f t="shared" si="122"/>
        <v>57</v>
      </c>
      <c r="U3953" t="str">
        <f t="shared" si="123"/>
        <v>Suburbano</v>
      </c>
    </row>
    <row r="3954" spans="1:21" ht="16" x14ac:dyDescent="0.4">
      <c r="A3954" s="9">
        <v>139224</v>
      </c>
      <c r="B3954" s="8" t="s">
        <v>50</v>
      </c>
      <c r="C3954" s="8" t="s">
        <v>17</v>
      </c>
      <c r="D3954" s="8">
        <v>279</v>
      </c>
      <c r="E3954" s="8">
        <v>144</v>
      </c>
      <c r="F3954" s="8">
        <v>211</v>
      </c>
      <c r="G3954" s="8">
        <v>0</v>
      </c>
      <c r="H3954" s="8">
        <v>7112</v>
      </c>
      <c r="I3954" s="8">
        <v>1</v>
      </c>
      <c r="J3954" s="8">
        <v>70</v>
      </c>
      <c r="K3954" s="8">
        <v>171</v>
      </c>
      <c r="L3954" s="8">
        <v>184</v>
      </c>
      <c r="M3954" s="8">
        <v>21.345454549999999</v>
      </c>
      <c r="N3954">
        <f>VLOOKUP(A3954,vlookup_table!$A:$G,2,FALSE)</f>
        <v>0</v>
      </c>
      <c r="O3954" t="str">
        <f>VLOOKUP(A3954,vlookup_table!$A:$G,3,FALSE)</f>
        <v>NM</v>
      </c>
      <c r="P3954">
        <f>VLOOKUP(A3954,vlookup_table!$A:$G,4,FALSE)</f>
        <v>0</v>
      </c>
      <c r="Q3954" t="str">
        <f>VLOOKUP(A3954,vlookup_table!$A:$G,5,FALSE)</f>
        <v>R3</v>
      </c>
      <c r="R3954" t="str">
        <f>VLOOKUP(A3954,vlookup_table!$A:$G,6,FALSE)</f>
        <v>F</v>
      </c>
      <c r="S3954">
        <f>VLOOKUP(A3954,vlookup_table!$A:$G,7,FALSE)</f>
        <v>15</v>
      </c>
      <c r="T3954">
        <f t="shared" si="122"/>
        <v>96</v>
      </c>
      <c r="U3954" t="str">
        <f t="shared" si="123"/>
        <v>Rural</v>
      </c>
    </row>
    <row r="3955" spans="1:21" ht="16" x14ac:dyDescent="0.4">
      <c r="A3955" s="9">
        <v>53078</v>
      </c>
      <c r="B3955" s="8" t="s">
        <v>49</v>
      </c>
      <c r="C3955" s="8" t="s">
        <v>17</v>
      </c>
      <c r="D3955" s="8">
        <v>1217</v>
      </c>
      <c r="E3955" s="8">
        <v>567</v>
      </c>
      <c r="F3955" s="8">
        <v>644</v>
      </c>
      <c r="G3955" s="8">
        <v>2</v>
      </c>
      <c r="H3955" s="8">
        <v>20593</v>
      </c>
      <c r="I3955" s="8">
        <v>5</v>
      </c>
      <c r="J3955" s="8">
        <v>43</v>
      </c>
      <c r="K3955" s="8">
        <v>614</v>
      </c>
      <c r="L3955" s="8">
        <v>608</v>
      </c>
      <c r="M3955" s="8">
        <v>19</v>
      </c>
      <c r="N3955">
        <f>VLOOKUP(A3955,vlookup_table!$A:$G,2,FALSE)</f>
        <v>28</v>
      </c>
      <c r="O3955" t="str">
        <f>VLOOKUP(A3955,vlookup_table!$A:$G,3,FALSE)</f>
        <v>TN</v>
      </c>
      <c r="P3955">
        <f>VLOOKUP(A3955,vlookup_table!$A:$G,4,FALSE)</f>
        <v>5305</v>
      </c>
      <c r="Q3955" t="str">
        <f>VLOOKUP(A3955,vlookup_table!$A:$G,5,FALSE)</f>
        <v>T1</v>
      </c>
      <c r="R3955" t="str">
        <f>VLOOKUP(A3955,vlookup_table!$A:$G,6,FALSE)</f>
        <v>F</v>
      </c>
      <c r="S3955">
        <f>VLOOKUP(A3955,vlookup_table!$A:$G,7,FALSE)</f>
        <v>25</v>
      </c>
      <c r="T3955">
        <f t="shared" si="122"/>
        <v>43</v>
      </c>
      <c r="U3955" t="str">
        <f t="shared" si="123"/>
        <v>Pueblo</v>
      </c>
    </row>
    <row r="3956" spans="1:21" ht="16" x14ac:dyDescent="0.4">
      <c r="A3956" s="9">
        <v>125593</v>
      </c>
      <c r="B3956" s="8" t="s">
        <v>20</v>
      </c>
      <c r="C3956" s="8" t="s">
        <v>17</v>
      </c>
      <c r="D3956" s="8">
        <v>876</v>
      </c>
      <c r="E3956" s="8">
        <v>364</v>
      </c>
      <c r="F3956" s="8">
        <v>529</v>
      </c>
      <c r="G3956" s="8">
        <v>2</v>
      </c>
      <c r="H3956" s="8">
        <v>19328</v>
      </c>
      <c r="I3956" s="8">
        <v>5</v>
      </c>
      <c r="J3956" s="8">
        <v>57</v>
      </c>
      <c r="K3956" s="8">
        <v>504</v>
      </c>
      <c r="L3956" s="8">
        <v>414</v>
      </c>
      <c r="M3956" s="8">
        <v>24.444444440000002</v>
      </c>
      <c r="N3956">
        <f>VLOOKUP(A3956,vlookup_table!$A:$G,2,FALSE)</f>
        <v>2</v>
      </c>
      <c r="O3956" t="str">
        <f>VLOOKUP(A3956,vlookup_table!$A:$G,3,FALSE)</f>
        <v>TX</v>
      </c>
      <c r="P3956">
        <f>VLOOKUP(A3956,vlookup_table!$A:$G,4,FALSE)</f>
        <v>1609</v>
      </c>
      <c r="Q3956" t="str">
        <f>VLOOKUP(A3956,vlookup_table!$A:$G,5,FALSE)</f>
        <v>S1</v>
      </c>
      <c r="R3956" t="str">
        <f>VLOOKUP(A3956,vlookup_table!$A:$G,6,FALSE)</f>
        <v>F</v>
      </c>
      <c r="S3956">
        <f>VLOOKUP(A3956,vlookup_table!$A:$G,7,FALSE)</f>
        <v>25</v>
      </c>
      <c r="T3956">
        <f t="shared" si="122"/>
        <v>80</v>
      </c>
      <c r="U3956" t="str">
        <f t="shared" si="123"/>
        <v>Suburbano</v>
      </c>
    </row>
    <row r="3957" spans="1:21" ht="16" x14ac:dyDescent="0.4">
      <c r="A3957" s="9">
        <v>185525</v>
      </c>
      <c r="B3957" s="8" t="s">
        <v>25</v>
      </c>
      <c r="C3957" s="8" t="s">
        <v>14</v>
      </c>
      <c r="D3957" s="8">
        <v>1076</v>
      </c>
      <c r="E3957" s="8">
        <v>593</v>
      </c>
      <c r="F3957" s="8">
        <v>613</v>
      </c>
      <c r="G3957" s="8">
        <v>0</v>
      </c>
      <c r="H3957" s="8">
        <v>18113</v>
      </c>
      <c r="I3957" s="8">
        <v>1</v>
      </c>
      <c r="J3957" s="8">
        <v>32</v>
      </c>
      <c r="K3957" s="8">
        <v>586</v>
      </c>
      <c r="L3957" s="8">
        <v>623</v>
      </c>
      <c r="M3957" s="8">
        <v>12.33333333</v>
      </c>
      <c r="N3957">
        <f>VLOOKUP(A3957,vlookup_table!$A:$G,2,FALSE)</f>
        <v>1</v>
      </c>
      <c r="O3957" t="str">
        <f>VLOOKUP(A3957,vlookup_table!$A:$G,3,FALSE)</f>
        <v>KS</v>
      </c>
      <c r="P3957">
        <f>VLOOKUP(A3957,vlookup_table!$A:$G,4,FALSE)</f>
        <v>4907</v>
      </c>
      <c r="Q3957" t="str">
        <f>VLOOKUP(A3957,vlookup_table!$A:$G,5,FALSE)</f>
        <v>S1</v>
      </c>
      <c r="R3957" t="str">
        <f>VLOOKUP(A3957,vlookup_table!$A:$G,6,FALSE)</f>
        <v>M</v>
      </c>
      <c r="S3957">
        <f>VLOOKUP(A3957,vlookup_table!$A:$G,7,FALSE)</f>
        <v>21</v>
      </c>
      <c r="T3957">
        <f t="shared" si="122"/>
        <v>47</v>
      </c>
      <c r="U3957" t="str">
        <f t="shared" si="123"/>
        <v>Suburbano</v>
      </c>
    </row>
    <row r="3958" spans="1:21" ht="16" x14ac:dyDescent="0.4">
      <c r="A3958" s="9">
        <v>109848</v>
      </c>
      <c r="B3958" s="8" t="s">
        <v>46</v>
      </c>
      <c r="C3958" s="8" t="s">
        <v>27</v>
      </c>
      <c r="D3958" s="8">
        <v>500</v>
      </c>
      <c r="E3958" s="8">
        <v>296</v>
      </c>
      <c r="F3958" s="8">
        <v>303</v>
      </c>
      <c r="G3958" s="8">
        <v>0</v>
      </c>
      <c r="H3958" s="8">
        <v>8662</v>
      </c>
      <c r="I3958" s="8">
        <v>1</v>
      </c>
      <c r="J3958" s="8">
        <v>91</v>
      </c>
      <c r="K3958" s="8">
        <v>313</v>
      </c>
      <c r="L3958" s="8">
        <v>291</v>
      </c>
      <c r="M3958" s="8">
        <v>12.14285714</v>
      </c>
      <c r="N3958">
        <f>VLOOKUP(A3958,vlookup_table!$A:$G,2,FALSE)</f>
        <v>0</v>
      </c>
      <c r="O3958" t="str">
        <f>VLOOKUP(A3958,vlookup_table!$A:$G,3,FALSE)</f>
        <v>LA</v>
      </c>
      <c r="P3958">
        <f>VLOOKUP(A3958,vlookup_table!$A:$G,4,FALSE)</f>
        <v>4701</v>
      </c>
      <c r="Q3958" t="str">
        <f>VLOOKUP(A3958,vlookup_table!$A:$G,5,FALSE)</f>
        <v>S2</v>
      </c>
      <c r="R3958" t="str">
        <f>VLOOKUP(A3958,vlookup_table!$A:$G,6,FALSE)</f>
        <v>U</v>
      </c>
      <c r="S3958">
        <f>VLOOKUP(A3958,vlookup_table!$A:$G,7,FALSE)</f>
        <v>21</v>
      </c>
      <c r="T3958">
        <f t="shared" si="122"/>
        <v>49</v>
      </c>
      <c r="U3958" t="str">
        <f t="shared" si="123"/>
        <v>Suburbano</v>
      </c>
    </row>
    <row r="3959" spans="1:21" ht="16" x14ac:dyDescent="0.4">
      <c r="A3959" s="9">
        <v>170098</v>
      </c>
      <c r="B3959" s="8" t="s">
        <v>21</v>
      </c>
      <c r="C3959" s="8" t="s">
        <v>17</v>
      </c>
      <c r="D3959" s="8">
        <v>877</v>
      </c>
      <c r="E3959" s="8">
        <v>183</v>
      </c>
      <c r="F3959" s="8">
        <v>289</v>
      </c>
      <c r="G3959" s="8">
        <v>9</v>
      </c>
      <c r="H3959" s="8">
        <v>11139</v>
      </c>
      <c r="I3959" s="8">
        <v>5</v>
      </c>
      <c r="J3959" s="8">
        <v>46</v>
      </c>
      <c r="K3959" s="8">
        <v>257</v>
      </c>
      <c r="L3959" s="8">
        <v>236</v>
      </c>
      <c r="M3959" s="8">
        <v>6.7142857139999998</v>
      </c>
      <c r="N3959">
        <f>VLOOKUP(A3959,vlookup_table!$A:$G,2,FALSE)</f>
        <v>2</v>
      </c>
      <c r="O3959" t="str">
        <f>VLOOKUP(A3959,vlookup_table!$A:$G,3,FALSE)</f>
        <v>CA</v>
      </c>
      <c r="P3959">
        <f>VLOOKUP(A3959,vlookup_table!$A:$G,4,FALSE)</f>
        <v>2801</v>
      </c>
      <c r="Q3959" t="str">
        <f>VLOOKUP(A3959,vlookup_table!$A:$G,5,FALSE)</f>
        <v>R2</v>
      </c>
      <c r="R3959" t="str">
        <f>VLOOKUP(A3959,vlookup_table!$A:$G,6,FALSE)</f>
        <v>F</v>
      </c>
      <c r="S3959">
        <f>VLOOKUP(A3959,vlookup_table!$A:$G,7,FALSE)</f>
        <v>10</v>
      </c>
      <c r="T3959">
        <f t="shared" si="122"/>
        <v>68</v>
      </c>
      <c r="U3959" t="str">
        <f t="shared" si="123"/>
        <v>Rural</v>
      </c>
    </row>
    <row r="3960" spans="1:21" ht="16" x14ac:dyDescent="0.4">
      <c r="A3960" s="9">
        <v>171358</v>
      </c>
      <c r="B3960" s="8" t="s">
        <v>21</v>
      </c>
      <c r="C3960" s="8" t="s">
        <v>14</v>
      </c>
      <c r="D3960" s="8">
        <v>2631</v>
      </c>
      <c r="E3960" s="8">
        <v>689</v>
      </c>
      <c r="F3960" s="8">
        <v>816</v>
      </c>
      <c r="G3960" s="8">
        <v>80</v>
      </c>
      <c r="H3960" s="8">
        <v>38138</v>
      </c>
      <c r="I3960" s="8">
        <v>4</v>
      </c>
      <c r="J3960" s="8">
        <v>50</v>
      </c>
      <c r="K3960" s="8">
        <v>753</v>
      </c>
      <c r="L3960" s="8">
        <v>772</v>
      </c>
      <c r="M3960" s="8">
        <v>19.61538462</v>
      </c>
      <c r="N3960">
        <f>VLOOKUP(A3960,vlookup_table!$A:$G,2,FALSE)</f>
        <v>0</v>
      </c>
      <c r="O3960" t="str">
        <f>VLOOKUP(A3960,vlookup_table!$A:$G,3,FALSE)</f>
        <v>CA</v>
      </c>
      <c r="P3960">
        <f>VLOOKUP(A3960,vlookup_table!$A:$G,4,FALSE)</f>
        <v>1802</v>
      </c>
      <c r="Q3960" t="str">
        <f>VLOOKUP(A3960,vlookup_table!$A:$G,5,FALSE)</f>
        <v>T1</v>
      </c>
      <c r="R3960" t="str">
        <f>VLOOKUP(A3960,vlookup_table!$A:$G,6,FALSE)</f>
        <v>M</v>
      </c>
      <c r="S3960">
        <f>VLOOKUP(A3960,vlookup_table!$A:$G,7,FALSE)</f>
        <v>30</v>
      </c>
      <c r="T3960">
        <f t="shared" si="122"/>
        <v>78</v>
      </c>
      <c r="U3960" t="str">
        <f t="shared" si="123"/>
        <v>Pueblo</v>
      </c>
    </row>
    <row r="3961" spans="1:21" ht="16" x14ac:dyDescent="0.4">
      <c r="A3961" s="9">
        <v>46165</v>
      </c>
      <c r="B3961" s="8" t="s">
        <v>13</v>
      </c>
      <c r="C3961" s="8" t="s">
        <v>17</v>
      </c>
      <c r="D3961" s="8">
        <v>916</v>
      </c>
      <c r="E3961" s="8">
        <v>270</v>
      </c>
      <c r="F3961" s="8">
        <v>519</v>
      </c>
      <c r="G3961" s="8">
        <v>2</v>
      </c>
      <c r="H3961" s="8">
        <v>18827</v>
      </c>
      <c r="I3961" s="8">
        <v>3</v>
      </c>
      <c r="J3961" s="8">
        <v>21</v>
      </c>
      <c r="K3961" s="8">
        <v>388</v>
      </c>
      <c r="L3961" s="8">
        <v>401</v>
      </c>
      <c r="M3961" s="8">
        <v>11.18181818</v>
      </c>
      <c r="N3961">
        <f>VLOOKUP(A3961,vlookup_table!$A:$G,2,FALSE)</f>
        <v>0</v>
      </c>
      <c r="O3961" t="str">
        <f>VLOOKUP(A3961,vlookup_table!$A:$G,3,FALSE)</f>
        <v>FL</v>
      </c>
      <c r="P3961">
        <f>VLOOKUP(A3961,vlookup_table!$A:$G,4,FALSE)</f>
        <v>2407</v>
      </c>
      <c r="Q3961" t="str">
        <f>VLOOKUP(A3961,vlookup_table!$A:$G,5,FALSE)</f>
        <v>T2</v>
      </c>
      <c r="R3961" t="str">
        <f>VLOOKUP(A3961,vlookup_table!$A:$G,6,FALSE)</f>
        <v>F</v>
      </c>
      <c r="S3961">
        <f>VLOOKUP(A3961,vlookup_table!$A:$G,7,FALSE)</f>
        <v>15</v>
      </c>
      <c r="T3961">
        <f t="shared" si="122"/>
        <v>72</v>
      </c>
      <c r="U3961" t="str">
        <f t="shared" si="123"/>
        <v>Pueblo</v>
      </c>
    </row>
    <row r="3962" spans="1:21" ht="16" x14ac:dyDescent="0.4">
      <c r="A3962" s="9">
        <v>121640</v>
      </c>
      <c r="B3962" s="8" t="s">
        <v>20</v>
      </c>
      <c r="C3962" s="8" t="s">
        <v>17</v>
      </c>
      <c r="D3962" s="8">
        <v>1205</v>
      </c>
      <c r="E3962" s="8">
        <v>645</v>
      </c>
      <c r="F3962" s="8">
        <v>710</v>
      </c>
      <c r="G3962" s="8">
        <v>8</v>
      </c>
      <c r="H3962" s="8">
        <v>22842</v>
      </c>
      <c r="I3962" s="8">
        <v>16</v>
      </c>
      <c r="J3962" s="8">
        <v>33</v>
      </c>
      <c r="K3962" s="8">
        <v>651</v>
      </c>
      <c r="L3962" s="8">
        <v>699</v>
      </c>
      <c r="M3962" s="8">
        <v>20</v>
      </c>
      <c r="N3962">
        <f>VLOOKUP(A3962,vlookup_table!$A:$G,2,FALSE)</f>
        <v>2</v>
      </c>
      <c r="O3962" t="str">
        <f>VLOOKUP(A3962,vlookup_table!$A:$G,3,FALSE)</f>
        <v>TX</v>
      </c>
      <c r="P3962">
        <f>VLOOKUP(A3962,vlookup_table!$A:$G,4,FALSE)</f>
        <v>6401</v>
      </c>
      <c r="Q3962" t="str">
        <f>VLOOKUP(A3962,vlookup_table!$A:$G,5,FALSE)</f>
        <v>C1</v>
      </c>
      <c r="R3962" t="str">
        <f>VLOOKUP(A3962,vlookup_table!$A:$G,6,FALSE)</f>
        <v>F</v>
      </c>
      <c r="S3962">
        <f>VLOOKUP(A3962,vlookup_table!$A:$G,7,FALSE)</f>
        <v>35</v>
      </c>
      <c r="T3962">
        <f t="shared" si="122"/>
        <v>32</v>
      </c>
      <c r="U3962" t="str">
        <f t="shared" si="123"/>
        <v>Ciudad</v>
      </c>
    </row>
    <row r="3963" spans="1:21" ht="16" x14ac:dyDescent="0.4">
      <c r="A3963" s="9">
        <v>178423</v>
      </c>
      <c r="B3963" s="8" t="s">
        <v>37</v>
      </c>
      <c r="C3963" s="8" t="s">
        <v>17</v>
      </c>
      <c r="D3963" s="8">
        <v>1952</v>
      </c>
      <c r="E3963" s="8">
        <v>483</v>
      </c>
      <c r="F3963" s="8">
        <v>578</v>
      </c>
      <c r="G3963" s="8">
        <v>47</v>
      </c>
      <c r="H3963" s="8">
        <v>19585</v>
      </c>
      <c r="I3963" s="8">
        <v>8</v>
      </c>
      <c r="J3963" s="8">
        <v>52</v>
      </c>
      <c r="K3963" s="8">
        <v>527</v>
      </c>
      <c r="L3963" s="8">
        <v>522</v>
      </c>
      <c r="M3963" s="8">
        <v>5.2222222220000001</v>
      </c>
      <c r="N3963">
        <f>VLOOKUP(A3963,vlookup_table!$A:$G,2,FALSE)</f>
        <v>0</v>
      </c>
      <c r="O3963" t="str">
        <f>VLOOKUP(A3963,vlookup_table!$A:$G,3,FALSE)</f>
        <v>WA</v>
      </c>
      <c r="P3963">
        <f>VLOOKUP(A3963,vlookup_table!$A:$G,4,FALSE)</f>
        <v>0</v>
      </c>
      <c r="Q3963" t="str">
        <f>VLOOKUP(A3963,vlookup_table!$A:$G,5,FALSE)</f>
        <v>S1</v>
      </c>
      <c r="R3963" t="str">
        <f>VLOOKUP(A3963,vlookup_table!$A:$G,6,FALSE)</f>
        <v>F</v>
      </c>
      <c r="S3963">
        <f>VLOOKUP(A3963,vlookup_table!$A:$G,7,FALSE)</f>
        <v>15</v>
      </c>
      <c r="T3963">
        <f t="shared" si="122"/>
        <v>96</v>
      </c>
      <c r="U3963" t="str">
        <f t="shared" si="123"/>
        <v>Suburbano</v>
      </c>
    </row>
    <row r="3964" spans="1:21" ht="16" x14ac:dyDescent="0.4">
      <c r="A3964" s="9">
        <v>153528</v>
      </c>
      <c r="B3964" s="8" t="s">
        <v>21</v>
      </c>
      <c r="C3964" s="8" t="s">
        <v>17</v>
      </c>
      <c r="D3964" s="8">
        <v>1620</v>
      </c>
      <c r="E3964" s="8">
        <v>393</v>
      </c>
      <c r="F3964" s="8">
        <v>485</v>
      </c>
      <c r="G3964" s="8">
        <v>5</v>
      </c>
      <c r="H3964" s="8">
        <v>13441</v>
      </c>
      <c r="I3964" s="8">
        <v>24</v>
      </c>
      <c r="J3964" s="8">
        <v>38</v>
      </c>
      <c r="K3964" s="8">
        <v>452</v>
      </c>
      <c r="L3964" s="8">
        <v>432</v>
      </c>
      <c r="M3964" s="8">
        <v>3.2976190480000001</v>
      </c>
      <c r="N3964">
        <f>VLOOKUP(A3964,vlookup_table!$A:$G,2,FALSE)</f>
        <v>0</v>
      </c>
      <c r="O3964" t="str">
        <f>VLOOKUP(A3964,vlookup_table!$A:$G,3,FALSE)</f>
        <v>CA</v>
      </c>
      <c r="P3964">
        <f>VLOOKUP(A3964,vlookup_table!$A:$G,4,FALSE)</f>
        <v>0</v>
      </c>
      <c r="Q3964" t="str">
        <f>VLOOKUP(A3964,vlookup_table!$A:$G,5,FALSE)</f>
        <v>S2</v>
      </c>
      <c r="R3964" t="str">
        <f>VLOOKUP(A3964,vlookup_table!$A:$G,6,FALSE)</f>
        <v>F</v>
      </c>
      <c r="S3964">
        <f>VLOOKUP(A3964,vlookup_table!$A:$G,7,FALSE)</f>
        <v>5</v>
      </c>
      <c r="T3964">
        <f t="shared" si="122"/>
        <v>96</v>
      </c>
      <c r="U3964" t="str">
        <f t="shared" si="123"/>
        <v>Suburbano</v>
      </c>
    </row>
    <row r="3965" spans="1:21" ht="16" x14ac:dyDescent="0.4">
      <c r="A3965" s="9">
        <v>56367</v>
      </c>
      <c r="B3965" s="8" t="s">
        <v>53</v>
      </c>
      <c r="C3965" s="8" t="s">
        <v>14</v>
      </c>
      <c r="D3965" s="8">
        <v>301</v>
      </c>
      <c r="E3965" s="8">
        <v>195</v>
      </c>
      <c r="F3965" s="8">
        <v>354</v>
      </c>
      <c r="G3965" s="8">
        <v>0</v>
      </c>
      <c r="H3965" s="8">
        <v>10710</v>
      </c>
      <c r="I3965" s="8">
        <v>0</v>
      </c>
      <c r="J3965" s="8">
        <v>80</v>
      </c>
      <c r="K3965" s="8">
        <v>249</v>
      </c>
      <c r="L3965" s="8">
        <v>299</v>
      </c>
      <c r="M3965" s="8">
        <v>5.1666666670000003</v>
      </c>
      <c r="N3965">
        <f>VLOOKUP(A3965,vlookup_table!$A:$G,2,FALSE)</f>
        <v>1</v>
      </c>
      <c r="O3965" t="str">
        <f>VLOOKUP(A3965,vlookup_table!$A:$G,3,FALSE)</f>
        <v>KY</v>
      </c>
      <c r="P3965">
        <f>VLOOKUP(A3965,vlookup_table!$A:$G,4,FALSE)</f>
        <v>4701</v>
      </c>
      <c r="Q3965" t="str">
        <f>VLOOKUP(A3965,vlookup_table!$A:$G,5,FALSE)</f>
        <v>R2</v>
      </c>
      <c r="R3965" t="str">
        <f>VLOOKUP(A3965,vlookup_table!$A:$G,6,FALSE)</f>
        <v>M</v>
      </c>
      <c r="S3965">
        <f>VLOOKUP(A3965,vlookup_table!$A:$G,7,FALSE)</f>
        <v>5</v>
      </c>
      <c r="T3965">
        <f t="shared" si="122"/>
        <v>49</v>
      </c>
      <c r="U3965" t="str">
        <f t="shared" si="123"/>
        <v>Rural</v>
      </c>
    </row>
    <row r="3966" spans="1:21" ht="16" x14ac:dyDescent="0.4">
      <c r="A3966" s="9">
        <v>49565</v>
      </c>
      <c r="B3966" s="8" t="s">
        <v>40</v>
      </c>
      <c r="C3966" s="8" t="s">
        <v>14</v>
      </c>
      <c r="D3966" s="8">
        <v>842</v>
      </c>
      <c r="E3966" s="8">
        <v>438</v>
      </c>
      <c r="F3966" s="8">
        <v>516</v>
      </c>
      <c r="G3966" s="8">
        <v>5</v>
      </c>
      <c r="H3966" s="8">
        <v>15854</v>
      </c>
      <c r="I3966" s="8">
        <v>3</v>
      </c>
      <c r="J3966" s="8">
        <v>50</v>
      </c>
      <c r="K3966" s="8">
        <v>446</v>
      </c>
      <c r="L3966" s="8">
        <v>505</v>
      </c>
      <c r="M3966" s="8">
        <v>15.6</v>
      </c>
      <c r="N3966">
        <f>VLOOKUP(A3966,vlookup_table!$A:$G,2,FALSE)</f>
        <v>1</v>
      </c>
      <c r="O3966" t="str">
        <f>VLOOKUP(A3966,vlookup_table!$A:$G,3,FALSE)</f>
        <v>AL</v>
      </c>
      <c r="P3966">
        <f>VLOOKUP(A3966,vlookup_table!$A:$G,4,FALSE)</f>
        <v>4401</v>
      </c>
      <c r="Q3966" t="str">
        <f>VLOOKUP(A3966,vlookup_table!$A:$G,5,FALSE)</f>
        <v>T1</v>
      </c>
      <c r="R3966" t="str">
        <f>VLOOKUP(A3966,vlookup_table!$A:$G,6,FALSE)</f>
        <v>M</v>
      </c>
      <c r="S3966">
        <f>VLOOKUP(A3966,vlookup_table!$A:$G,7,FALSE)</f>
        <v>5</v>
      </c>
      <c r="T3966">
        <f t="shared" si="122"/>
        <v>52</v>
      </c>
      <c r="U3966" t="str">
        <f t="shared" si="123"/>
        <v>Pueblo</v>
      </c>
    </row>
    <row r="3967" spans="1:21" ht="16" x14ac:dyDescent="0.4">
      <c r="A3967" s="9">
        <v>86692</v>
      </c>
      <c r="B3967" s="8" t="s">
        <v>42</v>
      </c>
      <c r="C3967" s="8" t="s">
        <v>14</v>
      </c>
      <c r="D3967" s="8">
        <v>349</v>
      </c>
      <c r="E3967" s="8">
        <v>201</v>
      </c>
      <c r="F3967" s="8">
        <v>281</v>
      </c>
      <c r="G3967" s="8">
        <v>0</v>
      </c>
      <c r="H3967" s="8">
        <v>9651</v>
      </c>
      <c r="I3967" s="8">
        <v>0</v>
      </c>
      <c r="J3967" s="8">
        <v>87</v>
      </c>
      <c r="K3967" s="8">
        <v>272</v>
      </c>
      <c r="L3967" s="8">
        <v>214</v>
      </c>
      <c r="M3967" s="8">
        <v>12.2</v>
      </c>
      <c r="N3967">
        <f>VLOOKUP(A3967,vlookup_table!$A:$G,2,FALSE)</f>
        <v>1</v>
      </c>
      <c r="O3967" t="str">
        <f>VLOOKUP(A3967,vlookup_table!$A:$G,3,FALSE)</f>
        <v>ND</v>
      </c>
      <c r="P3967">
        <f>VLOOKUP(A3967,vlookup_table!$A:$G,4,FALSE)</f>
        <v>4001</v>
      </c>
      <c r="Q3967" t="str">
        <f>VLOOKUP(A3967,vlookup_table!$A:$G,5,FALSE)</f>
        <v>T2</v>
      </c>
      <c r="R3967" t="str">
        <f>VLOOKUP(A3967,vlookup_table!$A:$G,6,FALSE)</f>
        <v>M</v>
      </c>
      <c r="S3967">
        <f>VLOOKUP(A3967,vlookup_table!$A:$G,7,FALSE)</f>
        <v>19</v>
      </c>
      <c r="T3967">
        <f t="shared" si="122"/>
        <v>56</v>
      </c>
      <c r="U3967" t="str">
        <f t="shared" si="123"/>
        <v>Pueblo</v>
      </c>
    </row>
    <row r="3968" spans="1:21" ht="16" x14ac:dyDescent="0.4">
      <c r="A3968" s="9">
        <v>7082</v>
      </c>
      <c r="B3968" s="8" t="s">
        <v>21</v>
      </c>
      <c r="C3968" s="8" t="s">
        <v>17</v>
      </c>
      <c r="D3968" s="8">
        <v>3327</v>
      </c>
      <c r="E3968" s="8">
        <v>404</v>
      </c>
      <c r="F3968" s="8">
        <v>538</v>
      </c>
      <c r="G3968" s="8">
        <v>94</v>
      </c>
      <c r="H3968" s="8">
        <v>18128</v>
      </c>
      <c r="I3968" s="8">
        <v>40</v>
      </c>
      <c r="J3968" s="8">
        <v>48</v>
      </c>
      <c r="K3968" s="8">
        <v>429</v>
      </c>
      <c r="L3968" s="8">
        <v>484</v>
      </c>
      <c r="M3968" s="8">
        <v>10.88888889</v>
      </c>
      <c r="N3968">
        <f>VLOOKUP(A3968,vlookup_table!$A:$G,2,FALSE)</f>
        <v>28</v>
      </c>
      <c r="O3968" t="str">
        <f>VLOOKUP(A3968,vlookup_table!$A:$G,3,FALSE)</f>
        <v>CA</v>
      </c>
      <c r="P3968">
        <f>VLOOKUP(A3968,vlookup_table!$A:$G,4,FALSE)</f>
        <v>1701</v>
      </c>
      <c r="Q3968" t="str">
        <f>VLOOKUP(A3968,vlookup_table!$A:$G,5,FALSE)</f>
        <v>U1</v>
      </c>
      <c r="R3968" t="str">
        <f>VLOOKUP(A3968,vlookup_table!$A:$G,6,FALSE)</f>
        <v>F</v>
      </c>
      <c r="S3968">
        <f>VLOOKUP(A3968,vlookup_table!$A:$G,7,FALSE)</f>
        <v>10</v>
      </c>
      <c r="T3968">
        <f t="shared" si="122"/>
        <v>79</v>
      </c>
      <c r="U3968" t="str">
        <f t="shared" si="123"/>
        <v>Urbano</v>
      </c>
    </row>
    <row r="3969" spans="1:21" ht="16" x14ac:dyDescent="0.4">
      <c r="A3969" s="9">
        <v>116539</v>
      </c>
      <c r="B3969" s="8" t="s">
        <v>21</v>
      </c>
      <c r="C3969" s="8" t="s">
        <v>17</v>
      </c>
      <c r="D3969" s="8">
        <v>1606</v>
      </c>
      <c r="E3969" s="8">
        <v>293</v>
      </c>
      <c r="F3969" s="8">
        <v>367</v>
      </c>
      <c r="G3969" s="8">
        <v>25</v>
      </c>
      <c r="H3969" s="8">
        <v>12438</v>
      </c>
      <c r="I3969" s="8">
        <v>15</v>
      </c>
      <c r="J3969" s="8">
        <v>38</v>
      </c>
      <c r="K3969" s="8">
        <v>316</v>
      </c>
      <c r="L3969" s="8">
        <v>351</v>
      </c>
      <c r="M3969" s="8">
        <v>13.42857143</v>
      </c>
      <c r="N3969">
        <f>VLOOKUP(A3969,vlookup_table!$A:$G,2,FALSE)</f>
        <v>0</v>
      </c>
      <c r="O3969" t="str">
        <f>VLOOKUP(A3969,vlookup_table!$A:$G,3,FALSE)</f>
        <v>CA</v>
      </c>
      <c r="P3969">
        <f>VLOOKUP(A3969,vlookup_table!$A:$G,4,FALSE)</f>
        <v>3001</v>
      </c>
      <c r="Q3969" t="str">
        <f>VLOOKUP(A3969,vlookup_table!$A:$G,5,FALSE)</f>
        <v>T2</v>
      </c>
      <c r="R3969" t="str">
        <f>VLOOKUP(A3969,vlookup_table!$A:$G,6,FALSE)</f>
        <v>F</v>
      </c>
      <c r="S3969">
        <f>VLOOKUP(A3969,vlookup_table!$A:$G,7,FALSE)</f>
        <v>19</v>
      </c>
      <c r="T3969">
        <f t="shared" si="122"/>
        <v>66</v>
      </c>
      <c r="U3969" t="str">
        <f t="shared" si="123"/>
        <v>Pueblo</v>
      </c>
    </row>
    <row r="3970" spans="1:21" ht="16" x14ac:dyDescent="0.4">
      <c r="A3970" s="9">
        <v>65656</v>
      </c>
      <c r="B3970" s="8" t="s">
        <v>26</v>
      </c>
      <c r="C3970" s="8"/>
      <c r="D3970" s="8">
        <v>928</v>
      </c>
      <c r="E3970" s="8">
        <v>334</v>
      </c>
      <c r="F3970" s="8">
        <v>527</v>
      </c>
      <c r="G3970" s="8">
        <v>1</v>
      </c>
      <c r="H3970" s="8">
        <v>23732</v>
      </c>
      <c r="I3970" s="8">
        <v>15</v>
      </c>
      <c r="J3970" s="8">
        <v>57</v>
      </c>
      <c r="K3970" s="8">
        <v>463</v>
      </c>
      <c r="L3970" s="8">
        <v>403</v>
      </c>
      <c r="M3970" s="8">
        <v>15</v>
      </c>
      <c r="N3970">
        <f>VLOOKUP(A3970,vlookup_table!$A:$G,2,FALSE)</f>
        <v>0</v>
      </c>
      <c r="O3970" t="str">
        <f>VLOOKUP(A3970,vlookup_table!$A:$G,3,FALSE)</f>
        <v>MI</v>
      </c>
      <c r="P3970">
        <f>VLOOKUP(A3970,vlookup_table!$A:$G,4,FALSE)</f>
        <v>0</v>
      </c>
      <c r="Q3970" t="str">
        <f>VLOOKUP(A3970,vlookup_table!$A:$G,5,FALSE)</f>
        <v>S3</v>
      </c>
      <c r="R3970" t="str">
        <f>VLOOKUP(A3970,vlookup_table!$A:$G,6,FALSE)</f>
        <v/>
      </c>
      <c r="S3970">
        <f>VLOOKUP(A3970,vlookup_table!$A:$G,7,FALSE)</f>
        <v>25</v>
      </c>
      <c r="T3970">
        <f t="shared" si="122"/>
        <v>96</v>
      </c>
      <c r="U3970" t="str">
        <f t="shared" si="123"/>
        <v>Suburbano</v>
      </c>
    </row>
    <row r="3971" spans="1:21" ht="16" x14ac:dyDescent="0.4">
      <c r="A3971" s="9">
        <v>121986</v>
      </c>
      <c r="B3971" s="8" t="s">
        <v>20</v>
      </c>
      <c r="C3971" s="8" t="s">
        <v>17</v>
      </c>
      <c r="D3971" s="8">
        <v>733</v>
      </c>
      <c r="E3971" s="8">
        <v>452</v>
      </c>
      <c r="F3971" s="8">
        <v>503</v>
      </c>
      <c r="G3971" s="8">
        <v>0</v>
      </c>
      <c r="H3971" s="8">
        <v>14468</v>
      </c>
      <c r="I3971" s="8">
        <v>17</v>
      </c>
      <c r="J3971" s="8">
        <v>50</v>
      </c>
      <c r="K3971" s="8">
        <v>453</v>
      </c>
      <c r="L3971" s="8">
        <v>496</v>
      </c>
      <c r="M3971" s="8">
        <v>6.6666666670000003</v>
      </c>
      <c r="N3971">
        <f>VLOOKUP(A3971,vlookup_table!$A:$G,2,FALSE)</f>
        <v>0</v>
      </c>
      <c r="O3971" t="str">
        <f>VLOOKUP(A3971,vlookup_table!$A:$G,3,FALSE)</f>
        <v>TX</v>
      </c>
      <c r="P3971">
        <f>VLOOKUP(A3971,vlookup_table!$A:$G,4,FALSE)</f>
        <v>0</v>
      </c>
      <c r="Q3971" t="str">
        <f>VLOOKUP(A3971,vlookup_table!$A:$G,5,FALSE)</f>
        <v>U3</v>
      </c>
      <c r="R3971" t="str">
        <f>VLOOKUP(A3971,vlookup_table!$A:$G,6,FALSE)</f>
        <v>F</v>
      </c>
      <c r="S3971">
        <f>VLOOKUP(A3971,vlookup_table!$A:$G,7,FALSE)</f>
        <v>3</v>
      </c>
      <c r="T3971">
        <f t="shared" ref="T3971:T4029" si="124">97-LEFT(P3971,2)-IF(RIGHT(P3971,2)&gt;6,1,0)</f>
        <v>96</v>
      </c>
      <c r="U3971" t="str">
        <f t="shared" ref="U3971:U4029" si="125">IF(LEFT(Q3971,1)="C","Ciudad",IF(LEFT(Q3971,1)="T","Pueblo",IF(LEFT(Q3971,1)="R","Rural",IF(LEFT(Q3971,1)="S","Suburbano",IF(LEFT(Q3971,1)="U","Urbano","")))))</f>
        <v>Urbano</v>
      </c>
    </row>
    <row r="3972" spans="1:21" ht="16" x14ac:dyDescent="0.4">
      <c r="A3972" s="9">
        <v>83718</v>
      </c>
      <c r="B3972" s="8" t="s">
        <v>52</v>
      </c>
      <c r="C3972" s="8" t="s">
        <v>17</v>
      </c>
      <c r="D3972" s="8">
        <v>813</v>
      </c>
      <c r="E3972" s="8">
        <v>216</v>
      </c>
      <c r="F3972" s="8">
        <v>382</v>
      </c>
      <c r="G3972" s="8">
        <v>0</v>
      </c>
      <c r="H3972" s="8">
        <v>18722</v>
      </c>
      <c r="I3972" s="8">
        <v>0</v>
      </c>
      <c r="J3972" s="8">
        <v>62</v>
      </c>
      <c r="K3972" s="8">
        <v>295</v>
      </c>
      <c r="L3972" s="8">
        <v>281</v>
      </c>
      <c r="M3972" s="8">
        <v>2.7058823529999998</v>
      </c>
      <c r="N3972">
        <f>VLOOKUP(A3972,vlookup_table!$A:$G,2,FALSE)</f>
        <v>0</v>
      </c>
      <c r="O3972" t="str">
        <f>VLOOKUP(A3972,vlookup_table!$A:$G,3,FALSE)</f>
        <v>MN</v>
      </c>
      <c r="P3972">
        <f>VLOOKUP(A3972,vlookup_table!$A:$G,4,FALSE)</f>
        <v>1601</v>
      </c>
      <c r="Q3972" t="str">
        <f>VLOOKUP(A3972,vlookup_table!$A:$G,5,FALSE)</f>
        <v>C2</v>
      </c>
      <c r="R3972" t="str">
        <f>VLOOKUP(A3972,vlookup_table!$A:$G,6,FALSE)</f>
        <v>F</v>
      </c>
      <c r="S3972">
        <f>VLOOKUP(A3972,vlookup_table!$A:$G,7,FALSE)</f>
        <v>3</v>
      </c>
      <c r="T3972">
        <f t="shared" si="124"/>
        <v>80</v>
      </c>
      <c r="U3972" t="str">
        <f t="shared" si="125"/>
        <v>Ciudad</v>
      </c>
    </row>
    <row r="3973" spans="1:21" ht="16" x14ac:dyDescent="0.4">
      <c r="A3973" s="9">
        <v>80336</v>
      </c>
      <c r="B3973" s="8" t="s">
        <v>32</v>
      </c>
      <c r="C3973" s="8" t="s">
        <v>17</v>
      </c>
      <c r="D3973" s="8">
        <v>836</v>
      </c>
      <c r="E3973" s="8">
        <v>464</v>
      </c>
      <c r="F3973" s="8">
        <v>512</v>
      </c>
      <c r="G3973" s="8">
        <v>0</v>
      </c>
      <c r="H3973" s="8">
        <v>15024</v>
      </c>
      <c r="I3973" s="8">
        <v>5</v>
      </c>
      <c r="J3973" s="8">
        <v>84</v>
      </c>
      <c r="K3973" s="8">
        <v>468</v>
      </c>
      <c r="L3973" s="8">
        <v>496</v>
      </c>
      <c r="M3973" s="8">
        <v>6.9285714289999998</v>
      </c>
      <c r="N3973">
        <f>VLOOKUP(A3973,vlookup_table!$A:$G,2,FALSE)</f>
        <v>2</v>
      </c>
      <c r="O3973" t="str">
        <f>VLOOKUP(A3973,vlookup_table!$A:$G,3,FALSE)</f>
        <v>WI</v>
      </c>
      <c r="P3973">
        <f>VLOOKUP(A3973,vlookup_table!$A:$G,4,FALSE)</f>
        <v>3001</v>
      </c>
      <c r="Q3973" t="str">
        <f>VLOOKUP(A3973,vlookup_table!$A:$G,5,FALSE)</f>
        <v>C2</v>
      </c>
      <c r="R3973" t="str">
        <f>VLOOKUP(A3973,vlookup_table!$A:$G,6,FALSE)</f>
        <v>F</v>
      </c>
      <c r="S3973">
        <f>VLOOKUP(A3973,vlookup_table!$A:$G,7,FALSE)</f>
        <v>12</v>
      </c>
      <c r="T3973">
        <f t="shared" si="124"/>
        <v>66</v>
      </c>
      <c r="U3973" t="str">
        <f t="shared" si="125"/>
        <v>Ciudad</v>
      </c>
    </row>
    <row r="3974" spans="1:21" ht="16" x14ac:dyDescent="0.4">
      <c r="A3974" s="9">
        <v>72166</v>
      </c>
      <c r="B3974" s="8" t="s">
        <v>26</v>
      </c>
      <c r="C3974" s="8" t="s">
        <v>17</v>
      </c>
      <c r="D3974" s="8">
        <v>483</v>
      </c>
      <c r="E3974" s="8">
        <v>364</v>
      </c>
      <c r="F3974" s="8">
        <v>463</v>
      </c>
      <c r="G3974" s="8">
        <v>0</v>
      </c>
      <c r="H3974" s="8">
        <v>15398</v>
      </c>
      <c r="I3974" s="8">
        <v>0</v>
      </c>
      <c r="J3974" s="8">
        <v>89</v>
      </c>
      <c r="K3974" s="8">
        <v>388</v>
      </c>
      <c r="L3974" s="8">
        <v>412</v>
      </c>
      <c r="M3974" s="8">
        <v>13</v>
      </c>
      <c r="N3974">
        <f>VLOOKUP(A3974,vlookup_table!$A:$G,2,FALSE)</f>
        <v>28</v>
      </c>
      <c r="O3974" t="str">
        <f>VLOOKUP(A3974,vlookup_table!$A:$G,3,FALSE)</f>
        <v>MI</v>
      </c>
      <c r="P3974">
        <f>VLOOKUP(A3974,vlookup_table!$A:$G,4,FALSE)</f>
        <v>5801</v>
      </c>
      <c r="Q3974" t="str">
        <f>VLOOKUP(A3974,vlookup_table!$A:$G,5,FALSE)</f>
        <v>T2</v>
      </c>
      <c r="R3974" t="str">
        <f>VLOOKUP(A3974,vlookup_table!$A:$G,6,FALSE)</f>
        <v>F</v>
      </c>
      <c r="S3974">
        <f>VLOOKUP(A3974,vlookup_table!$A:$G,7,FALSE)</f>
        <v>20</v>
      </c>
      <c r="T3974">
        <f t="shared" si="124"/>
        <v>38</v>
      </c>
      <c r="U3974" t="str">
        <f t="shared" si="125"/>
        <v>Pueblo</v>
      </c>
    </row>
    <row r="3975" spans="1:21" ht="16" x14ac:dyDescent="0.4">
      <c r="A3975" s="9">
        <v>150945</v>
      </c>
      <c r="B3975" s="8" t="s">
        <v>21</v>
      </c>
      <c r="C3975" s="8" t="s">
        <v>17</v>
      </c>
      <c r="D3975" s="8">
        <v>1473</v>
      </c>
      <c r="E3975" s="8">
        <v>424</v>
      </c>
      <c r="F3975" s="8">
        <v>452</v>
      </c>
      <c r="G3975" s="8">
        <v>1</v>
      </c>
      <c r="H3975" s="8">
        <v>13529</v>
      </c>
      <c r="I3975" s="8">
        <v>14</v>
      </c>
      <c r="J3975" s="8">
        <v>65</v>
      </c>
      <c r="K3975" s="8">
        <v>436</v>
      </c>
      <c r="L3975" s="8">
        <v>444</v>
      </c>
      <c r="M3975" s="8">
        <v>13.33333333</v>
      </c>
      <c r="N3975">
        <f>VLOOKUP(A3975,vlookup_table!$A:$G,2,FALSE)</f>
        <v>1</v>
      </c>
      <c r="O3975" t="str">
        <f>VLOOKUP(A3975,vlookup_table!$A:$G,3,FALSE)</f>
        <v>CA</v>
      </c>
      <c r="P3975">
        <f>VLOOKUP(A3975,vlookup_table!$A:$G,4,FALSE)</f>
        <v>0</v>
      </c>
      <c r="Q3975" t="str">
        <f>VLOOKUP(A3975,vlookup_table!$A:$G,5,FALSE)</f>
        <v>U3</v>
      </c>
      <c r="R3975" t="str">
        <f>VLOOKUP(A3975,vlookup_table!$A:$G,6,FALSE)</f>
        <v>F</v>
      </c>
      <c r="S3975">
        <f>VLOOKUP(A3975,vlookup_table!$A:$G,7,FALSE)</f>
        <v>20</v>
      </c>
      <c r="T3975">
        <f t="shared" si="124"/>
        <v>96</v>
      </c>
      <c r="U3975" t="str">
        <f t="shared" si="125"/>
        <v>Urbano</v>
      </c>
    </row>
    <row r="3976" spans="1:21" ht="16" x14ac:dyDescent="0.4">
      <c r="A3976" s="9">
        <v>132847</v>
      </c>
      <c r="B3976" s="8" t="s">
        <v>58</v>
      </c>
      <c r="C3976" s="8" t="s">
        <v>14</v>
      </c>
      <c r="D3976" s="8">
        <v>0</v>
      </c>
      <c r="E3976" s="8">
        <v>0</v>
      </c>
      <c r="F3976" s="8">
        <v>0</v>
      </c>
      <c r="G3976" s="8">
        <v>0</v>
      </c>
      <c r="H3976" s="8">
        <v>0</v>
      </c>
      <c r="I3976" s="8">
        <v>0</v>
      </c>
      <c r="J3976" s="8">
        <v>0</v>
      </c>
      <c r="K3976" s="8">
        <v>0</v>
      </c>
      <c r="L3976" s="8">
        <v>0</v>
      </c>
      <c r="M3976" s="8">
        <v>20</v>
      </c>
      <c r="N3976">
        <f>VLOOKUP(A3976,vlookup_table!$A:$G,2,FALSE)</f>
        <v>1</v>
      </c>
      <c r="O3976" t="str">
        <f>VLOOKUP(A3976,vlookup_table!$A:$G,3,FALSE)</f>
        <v>WY</v>
      </c>
      <c r="P3976">
        <f>VLOOKUP(A3976,vlookup_table!$A:$G,4,FALSE)</f>
        <v>6801</v>
      </c>
      <c r="Q3976" t="str">
        <f>VLOOKUP(A3976,vlookup_table!$A:$G,5,FALSE)</f>
        <v>T3</v>
      </c>
      <c r="R3976" t="str">
        <f>VLOOKUP(A3976,vlookup_table!$A:$G,6,FALSE)</f>
        <v>M</v>
      </c>
      <c r="S3976">
        <f>VLOOKUP(A3976,vlookup_table!$A:$G,7,FALSE)</f>
        <v>10</v>
      </c>
      <c r="T3976">
        <f t="shared" si="124"/>
        <v>28</v>
      </c>
      <c r="U3976" t="str">
        <f t="shared" si="125"/>
        <v>Pueblo</v>
      </c>
    </row>
    <row r="3977" spans="1:21" ht="16" x14ac:dyDescent="0.4">
      <c r="A3977" s="9">
        <v>21244</v>
      </c>
      <c r="B3977" s="8" t="s">
        <v>18</v>
      </c>
      <c r="C3977" s="8" t="s">
        <v>17</v>
      </c>
      <c r="D3977" s="8">
        <v>828</v>
      </c>
      <c r="E3977" s="8">
        <v>232</v>
      </c>
      <c r="F3977" s="8">
        <v>380</v>
      </c>
      <c r="G3977" s="8">
        <v>13</v>
      </c>
      <c r="H3977" s="8">
        <v>15119</v>
      </c>
      <c r="I3977" s="8">
        <v>1</v>
      </c>
      <c r="J3977" s="8">
        <v>66</v>
      </c>
      <c r="K3977" s="8">
        <v>308</v>
      </c>
      <c r="L3977" s="8">
        <v>327</v>
      </c>
      <c r="M3977" s="8">
        <v>10.30769231</v>
      </c>
      <c r="N3977">
        <f>VLOOKUP(A3977,vlookup_table!$A:$G,2,FALSE)</f>
        <v>0</v>
      </c>
      <c r="O3977" t="str">
        <f>VLOOKUP(A3977,vlookup_table!$A:$G,3,FALSE)</f>
        <v>NC</v>
      </c>
      <c r="P3977">
        <f>VLOOKUP(A3977,vlookup_table!$A:$G,4,FALSE)</f>
        <v>2307</v>
      </c>
      <c r="Q3977" t="str">
        <f>VLOOKUP(A3977,vlookup_table!$A:$G,5,FALSE)</f>
        <v>R1</v>
      </c>
      <c r="R3977" t="str">
        <f>VLOOKUP(A3977,vlookup_table!$A:$G,6,FALSE)</f>
        <v>F</v>
      </c>
      <c r="S3977">
        <f>VLOOKUP(A3977,vlookup_table!$A:$G,7,FALSE)</f>
        <v>12</v>
      </c>
      <c r="T3977">
        <f t="shared" si="124"/>
        <v>73</v>
      </c>
      <c r="U3977" t="str">
        <f t="shared" si="125"/>
        <v>Rural</v>
      </c>
    </row>
    <row r="3978" spans="1:21" ht="16" x14ac:dyDescent="0.4">
      <c r="A3978" s="9">
        <v>82618</v>
      </c>
      <c r="B3978" s="8" t="s">
        <v>52</v>
      </c>
      <c r="C3978" s="8" t="s">
        <v>14</v>
      </c>
      <c r="D3978" s="8">
        <v>836</v>
      </c>
      <c r="E3978" s="8">
        <v>477</v>
      </c>
      <c r="F3978" s="8">
        <v>540</v>
      </c>
      <c r="G3978" s="8">
        <v>0</v>
      </c>
      <c r="H3978" s="8">
        <v>15366</v>
      </c>
      <c r="I3978" s="8">
        <v>3</v>
      </c>
      <c r="J3978" s="8">
        <v>81</v>
      </c>
      <c r="K3978" s="8">
        <v>508</v>
      </c>
      <c r="L3978" s="8">
        <v>495</v>
      </c>
      <c r="M3978" s="8">
        <v>6.2380952379999997</v>
      </c>
      <c r="N3978">
        <f>VLOOKUP(A3978,vlookup_table!$A:$G,2,FALSE)</f>
        <v>0</v>
      </c>
      <c r="O3978" t="str">
        <f>VLOOKUP(A3978,vlookup_table!$A:$G,3,FALSE)</f>
        <v>MN</v>
      </c>
      <c r="P3978">
        <f>VLOOKUP(A3978,vlookup_table!$A:$G,4,FALSE)</f>
        <v>6001</v>
      </c>
      <c r="Q3978" t="str">
        <f>VLOOKUP(A3978,vlookup_table!$A:$G,5,FALSE)</f>
        <v>S2</v>
      </c>
      <c r="R3978" t="str">
        <f>VLOOKUP(A3978,vlookup_table!$A:$G,6,FALSE)</f>
        <v>M</v>
      </c>
      <c r="S3978">
        <f>VLOOKUP(A3978,vlookup_table!$A:$G,7,FALSE)</f>
        <v>5</v>
      </c>
      <c r="T3978">
        <f t="shared" si="124"/>
        <v>36</v>
      </c>
      <c r="U3978" t="str">
        <f t="shared" si="125"/>
        <v>Suburbano</v>
      </c>
    </row>
    <row r="3979" spans="1:21" ht="16" x14ac:dyDescent="0.4">
      <c r="A3979" s="9">
        <v>169044</v>
      </c>
      <c r="B3979" s="8" t="s">
        <v>21</v>
      </c>
      <c r="C3979" s="8" t="s">
        <v>17</v>
      </c>
      <c r="D3979" s="8">
        <v>993</v>
      </c>
      <c r="E3979" s="8">
        <v>252</v>
      </c>
      <c r="F3979" s="8">
        <v>344</v>
      </c>
      <c r="G3979" s="8">
        <v>6</v>
      </c>
      <c r="H3979" s="8">
        <v>12884</v>
      </c>
      <c r="I3979" s="8">
        <v>1</v>
      </c>
      <c r="J3979" s="8">
        <v>60</v>
      </c>
      <c r="K3979" s="8">
        <v>291</v>
      </c>
      <c r="L3979" s="8">
        <v>316</v>
      </c>
      <c r="M3979" s="8">
        <v>6.96</v>
      </c>
      <c r="N3979">
        <f>VLOOKUP(A3979,vlookup_table!$A:$G,2,FALSE)</f>
        <v>0</v>
      </c>
      <c r="O3979" t="str">
        <f>VLOOKUP(A3979,vlookup_table!$A:$G,3,FALSE)</f>
        <v>CA</v>
      </c>
      <c r="P3979">
        <f>VLOOKUP(A3979,vlookup_table!$A:$G,4,FALSE)</f>
        <v>3401</v>
      </c>
      <c r="Q3979" t="str">
        <f>VLOOKUP(A3979,vlookup_table!$A:$G,5,FALSE)</f>
        <v>R2</v>
      </c>
      <c r="R3979" t="str">
        <f>VLOOKUP(A3979,vlookup_table!$A:$G,6,FALSE)</f>
        <v>F</v>
      </c>
      <c r="S3979">
        <f>VLOOKUP(A3979,vlookup_table!$A:$G,7,FALSE)</f>
        <v>15</v>
      </c>
      <c r="T3979">
        <f t="shared" si="124"/>
        <v>62</v>
      </c>
      <c r="U3979" t="str">
        <f t="shared" si="125"/>
        <v>Rural</v>
      </c>
    </row>
    <row r="3980" spans="1:21" ht="16" x14ac:dyDescent="0.4">
      <c r="A3980" s="9">
        <v>165830</v>
      </c>
      <c r="B3980" s="8" t="s">
        <v>21</v>
      </c>
      <c r="C3980" s="8" t="s">
        <v>17</v>
      </c>
      <c r="D3980" s="8">
        <v>3230</v>
      </c>
      <c r="E3980" s="8">
        <v>650</v>
      </c>
      <c r="F3980" s="8">
        <v>752</v>
      </c>
      <c r="G3980" s="8">
        <v>93</v>
      </c>
      <c r="H3980" s="8">
        <v>27549</v>
      </c>
      <c r="I3980" s="8">
        <v>4</v>
      </c>
      <c r="J3980" s="8">
        <v>53</v>
      </c>
      <c r="K3980" s="8">
        <v>688</v>
      </c>
      <c r="L3980" s="8">
        <v>714</v>
      </c>
      <c r="M3980" s="8">
        <v>18.333333329999999</v>
      </c>
      <c r="N3980">
        <f>VLOOKUP(A3980,vlookup_table!$A:$G,2,FALSE)</f>
        <v>0</v>
      </c>
      <c r="O3980" t="str">
        <f>VLOOKUP(A3980,vlookup_table!$A:$G,3,FALSE)</f>
        <v>CA</v>
      </c>
      <c r="P3980">
        <f>VLOOKUP(A3980,vlookup_table!$A:$G,4,FALSE)</f>
        <v>5510</v>
      </c>
      <c r="Q3980" t="str">
        <f>VLOOKUP(A3980,vlookup_table!$A:$G,5,FALSE)</f>
        <v>C1</v>
      </c>
      <c r="R3980" t="str">
        <f>VLOOKUP(A3980,vlookup_table!$A:$G,6,FALSE)</f>
        <v>F</v>
      </c>
      <c r="S3980">
        <f>VLOOKUP(A3980,vlookup_table!$A:$G,7,FALSE)</f>
        <v>25</v>
      </c>
      <c r="T3980">
        <f t="shared" si="124"/>
        <v>41</v>
      </c>
      <c r="U3980" t="str">
        <f t="shared" si="125"/>
        <v>Ciudad</v>
      </c>
    </row>
    <row r="3981" spans="1:21" ht="16" x14ac:dyDescent="0.4">
      <c r="A3981" s="9">
        <v>165820</v>
      </c>
      <c r="B3981" s="8" t="s">
        <v>21</v>
      </c>
      <c r="C3981" s="8" t="s">
        <v>17</v>
      </c>
      <c r="D3981" s="8">
        <v>2854</v>
      </c>
      <c r="E3981" s="8">
        <v>732</v>
      </c>
      <c r="F3981" s="8">
        <v>785</v>
      </c>
      <c r="G3981" s="8">
        <v>94</v>
      </c>
      <c r="H3981" s="8">
        <v>29170</v>
      </c>
      <c r="I3981" s="8">
        <v>7</v>
      </c>
      <c r="J3981" s="8">
        <v>45</v>
      </c>
      <c r="K3981" s="8">
        <v>749</v>
      </c>
      <c r="L3981" s="8">
        <v>760</v>
      </c>
      <c r="M3981" s="8">
        <v>20</v>
      </c>
      <c r="N3981">
        <f>VLOOKUP(A3981,vlookup_table!$A:$G,2,FALSE)</f>
        <v>2</v>
      </c>
      <c r="O3981" t="str">
        <f>VLOOKUP(A3981,vlookup_table!$A:$G,3,FALSE)</f>
        <v>CA</v>
      </c>
      <c r="P3981">
        <f>VLOOKUP(A3981,vlookup_table!$A:$G,4,FALSE)</f>
        <v>2201</v>
      </c>
      <c r="Q3981" t="str">
        <f>VLOOKUP(A3981,vlookup_table!$A:$G,5,FALSE)</f>
        <v>C1</v>
      </c>
      <c r="R3981" t="str">
        <f>VLOOKUP(A3981,vlookup_table!$A:$G,6,FALSE)</f>
        <v>F</v>
      </c>
      <c r="S3981">
        <f>VLOOKUP(A3981,vlookup_table!$A:$G,7,FALSE)</f>
        <v>20</v>
      </c>
      <c r="T3981">
        <f t="shared" si="124"/>
        <v>74</v>
      </c>
      <c r="U3981" t="str">
        <f t="shared" si="125"/>
        <v>Ciudad</v>
      </c>
    </row>
    <row r="3982" spans="1:21" ht="16" x14ac:dyDescent="0.4">
      <c r="A3982" s="9">
        <v>29010</v>
      </c>
      <c r="B3982" s="8" t="s">
        <v>46</v>
      </c>
      <c r="C3982" s="8" t="s">
        <v>14</v>
      </c>
      <c r="D3982" s="8">
        <v>775</v>
      </c>
      <c r="E3982" s="8">
        <v>354</v>
      </c>
      <c r="F3982" s="8">
        <v>447</v>
      </c>
      <c r="G3982" s="8">
        <v>7</v>
      </c>
      <c r="H3982" s="8">
        <v>14170</v>
      </c>
      <c r="I3982" s="8">
        <v>3</v>
      </c>
      <c r="J3982" s="8">
        <v>70</v>
      </c>
      <c r="K3982" s="8">
        <v>395</v>
      </c>
      <c r="L3982" s="8">
        <v>410</v>
      </c>
      <c r="M3982" s="8">
        <v>18</v>
      </c>
      <c r="N3982">
        <f>VLOOKUP(A3982,vlookup_table!$A:$G,2,FALSE)</f>
        <v>2</v>
      </c>
      <c r="O3982" t="str">
        <f>VLOOKUP(A3982,vlookup_table!$A:$G,3,FALSE)</f>
        <v>LA</v>
      </c>
      <c r="P3982">
        <f>VLOOKUP(A3982,vlookup_table!$A:$G,4,FALSE)</f>
        <v>5001</v>
      </c>
      <c r="Q3982" t="str">
        <f>VLOOKUP(A3982,vlookup_table!$A:$G,5,FALSE)</f>
        <v>R2</v>
      </c>
      <c r="R3982" t="str">
        <f>VLOOKUP(A3982,vlookup_table!$A:$G,6,FALSE)</f>
        <v>M</v>
      </c>
      <c r="S3982">
        <f>VLOOKUP(A3982,vlookup_table!$A:$G,7,FALSE)</f>
        <v>24</v>
      </c>
      <c r="T3982">
        <f t="shared" si="124"/>
        <v>46</v>
      </c>
      <c r="U3982" t="str">
        <f t="shared" si="125"/>
        <v>Rural</v>
      </c>
    </row>
    <row r="3983" spans="1:21" ht="16" x14ac:dyDescent="0.4">
      <c r="A3983" s="9">
        <v>159721</v>
      </c>
      <c r="B3983" s="8" t="s">
        <v>21</v>
      </c>
      <c r="C3983" s="8" t="s">
        <v>17</v>
      </c>
      <c r="D3983" s="8">
        <v>683</v>
      </c>
      <c r="E3983" s="8">
        <v>194</v>
      </c>
      <c r="F3983" s="8">
        <v>333</v>
      </c>
      <c r="G3983" s="8">
        <v>1</v>
      </c>
      <c r="H3983" s="8">
        <v>10267</v>
      </c>
      <c r="I3983" s="8">
        <v>9</v>
      </c>
      <c r="J3983" s="8">
        <v>64</v>
      </c>
      <c r="K3983" s="8">
        <v>216</v>
      </c>
      <c r="L3983" s="8">
        <v>295</v>
      </c>
      <c r="M3983" s="8">
        <v>11.363636359999999</v>
      </c>
      <c r="N3983">
        <f>VLOOKUP(A3983,vlookup_table!$A:$G,2,FALSE)</f>
        <v>0</v>
      </c>
      <c r="O3983" t="str">
        <f>VLOOKUP(A3983,vlookup_table!$A:$G,3,FALSE)</f>
        <v>CA</v>
      </c>
      <c r="P3983">
        <f>VLOOKUP(A3983,vlookup_table!$A:$G,4,FALSE)</f>
        <v>3811</v>
      </c>
      <c r="Q3983" t="str">
        <f>VLOOKUP(A3983,vlookup_table!$A:$G,5,FALSE)</f>
        <v>T3</v>
      </c>
      <c r="R3983" t="str">
        <f>VLOOKUP(A3983,vlookup_table!$A:$G,6,FALSE)</f>
        <v>F</v>
      </c>
      <c r="S3983">
        <f>VLOOKUP(A3983,vlookup_table!$A:$G,7,FALSE)</f>
        <v>35</v>
      </c>
      <c r="T3983">
        <f t="shared" si="124"/>
        <v>58</v>
      </c>
      <c r="U3983" t="str">
        <f t="shared" si="125"/>
        <v>Pueblo</v>
      </c>
    </row>
    <row r="3984" spans="1:21" ht="16" x14ac:dyDescent="0.4">
      <c r="A3984" s="9">
        <v>47709</v>
      </c>
      <c r="B3984" s="8" t="s">
        <v>40</v>
      </c>
      <c r="C3984" s="8" t="s">
        <v>41</v>
      </c>
      <c r="D3984" s="8">
        <v>367</v>
      </c>
      <c r="E3984" s="8">
        <v>179</v>
      </c>
      <c r="F3984" s="8">
        <v>276</v>
      </c>
      <c r="G3984" s="8">
        <v>0</v>
      </c>
      <c r="H3984" s="8">
        <v>9389</v>
      </c>
      <c r="I3984" s="8">
        <v>0</v>
      </c>
      <c r="J3984" s="8">
        <v>79</v>
      </c>
      <c r="K3984" s="8">
        <v>220</v>
      </c>
      <c r="L3984" s="8">
        <v>236</v>
      </c>
      <c r="M3984" s="8">
        <v>11.44444444</v>
      </c>
      <c r="N3984">
        <f>VLOOKUP(A3984,vlookup_table!$A:$G,2,FALSE)</f>
        <v>1002</v>
      </c>
      <c r="O3984" t="str">
        <f>VLOOKUP(A3984,vlookup_table!$A:$G,3,FALSE)</f>
        <v>AL</v>
      </c>
      <c r="P3984">
        <f>VLOOKUP(A3984,vlookup_table!$A:$G,4,FALSE)</f>
        <v>2008</v>
      </c>
      <c r="Q3984" t="str">
        <f>VLOOKUP(A3984,vlookup_table!$A:$G,5,FALSE)</f>
        <v>R3</v>
      </c>
      <c r="R3984" t="str">
        <f>VLOOKUP(A3984,vlookup_table!$A:$G,6,FALSE)</f>
        <v>J</v>
      </c>
      <c r="S3984">
        <f>VLOOKUP(A3984,vlookup_table!$A:$G,7,FALSE)</f>
        <v>20</v>
      </c>
      <c r="T3984">
        <f t="shared" si="124"/>
        <v>76</v>
      </c>
      <c r="U3984" t="str">
        <f t="shared" si="125"/>
        <v>Rural</v>
      </c>
    </row>
    <row r="3985" spans="1:21" ht="16" x14ac:dyDescent="0.4">
      <c r="A3985" s="9">
        <v>174152</v>
      </c>
      <c r="B3985" s="8" t="s">
        <v>34</v>
      </c>
      <c r="C3985" s="8" t="s">
        <v>17</v>
      </c>
      <c r="D3985" s="8">
        <v>3373</v>
      </c>
      <c r="E3985" s="8">
        <v>633</v>
      </c>
      <c r="F3985" s="8">
        <v>673</v>
      </c>
      <c r="G3985" s="8">
        <v>93</v>
      </c>
      <c r="H3985" s="8">
        <v>19518</v>
      </c>
      <c r="I3985" s="8">
        <v>7</v>
      </c>
      <c r="J3985" s="8">
        <v>68</v>
      </c>
      <c r="K3985" s="8">
        <v>628</v>
      </c>
      <c r="L3985" s="8">
        <v>669</v>
      </c>
      <c r="M3985" s="8">
        <v>13</v>
      </c>
      <c r="N3985">
        <f>VLOOKUP(A3985,vlookup_table!$A:$G,2,FALSE)</f>
        <v>2</v>
      </c>
      <c r="O3985" t="str">
        <f>VLOOKUP(A3985,vlookup_table!$A:$G,3,FALSE)</f>
        <v>HI</v>
      </c>
      <c r="P3985">
        <f>VLOOKUP(A3985,vlookup_table!$A:$G,4,FALSE)</f>
        <v>3001</v>
      </c>
      <c r="Q3985" t="str">
        <f>VLOOKUP(A3985,vlookup_table!$A:$G,5,FALSE)</f>
        <v>S1</v>
      </c>
      <c r="R3985" t="str">
        <f>VLOOKUP(A3985,vlookup_table!$A:$G,6,FALSE)</f>
        <v>F</v>
      </c>
      <c r="S3985">
        <f>VLOOKUP(A3985,vlookup_table!$A:$G,7,FALSE)</f>
        <v>26</v>
      </c>
      <c r="T3985">
        <f t="shared" si="124"/>
        <v>66</v>
      </c>
      <c r="U3985" t="str">
        <f t="shared" si="125"/>
        <v>Suburbano</v>
      </c>
    </row>
    <row r="3986" spans="1:21" ht="16" x14ac:dyDescent="0.4">
      <c r="A3986" s="9">
        <v>36776</v>
      </c>
      <c r="B3986" s="8" t="s">
        <v>13</v>
      </c>
      <c r="C3986" s="8" t="s">
        <v>14</v>
      </c>
      <c r="D3986" s="8">
        <v>653</v>
      </c>
      <c r="E3986" s="8">
        <v>319</v>
      </c>
      <c r="F3986" s="8">
        <v>379</v>
      </c>
      <c r="G3986" s="8">
        <v>0</v>
      </c>
      <c r="H3986" s="8">
        <v>12869</v>
      </c>
      <c r="I3986" s="8">
        <v>11</v>
      </c>
      <c r="J3986" s="8">
        <v>35</v>
      </c>
      <c r="K3986" s="8">
        <v>360</v>
      </c>
      <c r="L3986" s="8">
        <v>358</v>
      </c>
      <c r="M3986" s="8">
        <v>9.5</v>
      </c>
      <c r="N3986">
        <f>VLOOKUP(A3986,vlookup_table!$A:$G,2,FALSE)</f>
        <v>1</v>
      </c>
      <c r="O3986" t="str">
        <f>VLOOKUP(A3986,vlookup_table!$A:$G,3,FALSE)</f>
        <v>FL</v>
      </c>
      <c r="P3986">
        <f>VLOOKUP(A3986,vlookup_table!$A:$G,4,FALSE)</f>
        <v>2601</v>
      </c>
      <c r="Q3986" t="str">
        <f>VLOOKUP(A3986,vlookup_table!$A:$G,5,FALSE)</f>
        <v>S3</v>
      </c>
      <c r="R3986" t="str">
        <f>VLOOKUP(A3986,vlookup_table!$A:$G,6,FALSE)</f>
        <v>M</v>
      </c>
      <c r="S3986">
        <f>VLOOKUP(A3986,vlookup_table!$A:$G,7,FALSE)</f>
        <v>20</v>
      </c>
      <c r="T3986">
        <f t="shared" si="124"/>
        <v>70</v>
      </c>
      <c r="U3986" t="str">
        <f t="shared" si="125"/>
        <v>Suburbano</v>
      </c>
    </row>
    <row r="3987" spans="1:21" ht="16" x14ac:dyDescent="0.4">
      <c r="A3987" s="9">
        <v>57899</v>
      </c>
      <c r="B3987" s="8" t="s">
        <v>53</v>
      </c>
      <c r="C3987" s="8" t="s">
        <v>17</v>
      </c>
      <c r="D3987" s="8">
        <v>307</v>
      </c>
      <c r="E3987" s="8">
        <v>159</v>
      </c>
      <c r="F3987" s="8">
        <v>216</v>
      </c>
      <c r="G3987" s="8">
        <v>0</v>
      </c>
      <c r="H3987" s="8">
        <v>7110</v>
      </c>
      <c r="I3987" s="8">
        <v>0</v>
      </c>
      <c r="J3987" s="8">
        <v>92</v>
      </c>
      <c r="K3987" s="8">
        <v>169</v>
      </c>
      <c r="L3987" s="8">
        <v>204</v>
      </c>
      <c r="M3987" s="8">
        <v>10.551724139999999</v>
      </c>
      <c r="N3987">
        <f>VLOOKUP(A3987,vlookup_table!$A:$G,2,FALSE)</f>
        <v>0</v>
      </c>
      <c r="O3987" t="str">
        <f>VLOOKUP(A3987,vlookup_table!$A:$G,3,FALSE)</f>
        <v>KY</v>
      </c>
      <c r="P3987">
        <f>VLOOKUP(A3987,vlookup_table!$A:$G,4,FALSE)</f>
        <v>0</v>
      </c>
      <c r="Q3987" t="str">
        <f>VLOOKUP(A3987,vlookup_table!$A:$G,5,FALSE)</f>
        <v>S2</v>
      </c>
      <c r="R3987" t="str">
        <f>VLOOKUP(A3987,vlookup_table!$A:$G,6,FALSE)</f>
        <v>F</v>
      </c>
      <c r="S3987">
        <f>VLOOKUP(A3987,vlookup_table!$A:$G,7,FALSE)</f>
        <v>10</v>
      </c>
      <c r="T3987">
        <f t="shared" si="124"/>
        <v>96</v>
      </c>
      <c r="U3987" t="str">
        <f t="shared" si="125"/>
        <v>Suburbano</v>
      </c>
    </row>
    <row r="3988" spans="1:21" ht="16" x14ac:dyDescent="0.4">
      <c r="A3988" s="9">
        <v>105305</v>
      </c>
      <c r="B3988" s="8" t="s">
        <v>25</v>
      </c>
      <c r="C3988" s="8" t="s">
        <v>14</v>
      </c>
      <c r="D3988" s="8">
        <v>249</v>
      </c>
      <c r="E3988" s="8">
        <v>205</v>
      </c>
      <c r="F3988" s="8">
        <v>260</v>
      </c>
      <c r="G3988" s="8">
        <v>0</v>
      </c>
      <c r="H3988" s="8">
        <v>9031</v>
      </c>
      <c r="I3988" s="8">
        <v>0</v>
      </c>
      <c r="J3988" s="8">
        <v>75</v>
      </c>
      <c r="K3988" s="8">
        <v>224</v>
      </c>
      <c r="L3988" s="8">
        <v>234</v>
      </c>
      <c r="M3988" s="8">
        <v>4.75</v>
      </c>
      <c r="N3988">
        <f>VLOOKUP(A3988,vlookup_table!$A:$G,2,FALSE)</f>
        <v>1</v>
      </c>
      <c r="O3988" t="str">
        <f>VLOOKUP(A3988,vlookup_table!$A:$G,3,FALSE)</f>
        <v>KS</v>
      </c>
      <c r="P3988">
        <f>VLOOKUP(A3988,vlookup_table!$A:$G,4,FALSE)</f>
        <v>0</v>
      </c>
      <c r="Q3988" t="str">
        <f>VLOOKUP(A3988,vlookup_table!$A:$G,5,FALSE)</f>
        <v>R3</v>
      </c>
      <c r="R3988" t="str">
        <f>VLOOKUP(A3988,vlookup_table!$A:$G,6,FALSE)</f>
        <v>M</v>
      </c>
      <c r="S3988">
        <f>VLOOKUP(A3988,vlookup_table!$A:$G,7,FALSE)</f>
        <v>6</v>
      </c>
      <c r="T3988">
        <f t="shared" si="124"/>
        <v>96</v>
      </c>
      <c r="U3988" t="str">
        <f t="shared" si="125"/>
        <v>Rural</v>
      </c>
    </row>
    <row r="3989" spans="1:21" ht="16" x14ac:dyDescent="0.4">
      <c r="A3989" s="9">
        <v>108635</v>
      </c>
      <c r="B3989" s="8" t="s">
        <v>46</v>
      </c>
      <c r="C3989" s="8" t="s">
        <v>14</v>
      </c>
      <c r="D3989" s="8">
        <v>730</v>
      </c>
      <c r="E3989" s="8">
        <v>350</v>
      </c>
      <c r="F3989" s="8">
        <v>393</v>
      </c>
      <c r="G3989" s="8">
        <v>3</v>
      </c>
      <c r="H3989" s="8">
        <v>12460</v>
      </c>
      <c r="I3989" s="8">
        <v>1</v>
      </c>
      <c r="J3989" s="8">
        <v>81</v>
      </c>
      <c r="K3989" s="8">
        <v>362</v>
      </c>
      <c r="L3989" s="8">
        <v>364</v>
      </c>
      <c r="M3989" s="8">
        <v>8.5</v>
      </c>
      <c r="N3989">
        <f>VLOOKUP(A3989,vlookup_table!$A:$G,2,FALSE)</f>
        <v>1</v>
      </c>
      <c r="O3989" t="str">
        <f>VLOOKUP(A3989,vlookup_table!$A:$G,3,FALSE)</f>
        <v>LA</v>
      </c>
      <c r="P3989">
        <f>VLOOKUP(A3989,vlookup_table!$A:$G,4,FALSE)</f>
        <v>4310</v>
      </c>
      <c r="Q3989" t="str">
        <f>VLOOKUP(A3989,vlookup_table!$A:$G,5,FALSE)</f>
        <v>T1</v>
      </c>
      <c r="R3989" t="str">
        <f>VLOOKUP(A3989,vlookup_table!$A:$G,6,FALSE)</f>
        <v>M</v>
      </c>
      <c r="S3989">
        <f>VLOOKUP(A3989,vlookup_table!$A:$G,7,FALSE)</f>
        <v>5</v>
      </c>
      <c r="T3989">
        <f t="shared" si="124"/>
        <v>53</v>
      </c>
      <c r="U3989" t="str">
        <f t="shared" si="125"/>
        <v>Pueblo</v>
      </c>
    </row>
    <row r="3990" spans="1:21" ht="16" x14ac:dyDescent="0.4">
      <c r="A3990" s="9">
        <v>44800</v>
      </c>
      <c r="B3990" s="8" t="s">
        <v>13</v>
      </c>
      <c r="C3990" s="8"/>
      <c r="D3990" s="8">
        <v>599</v>
      </c>
      <c r="E3990" s="8">
        <v>200</v>
      </c>
      <c r="F3990" s="8">
        <v>288</v>
      </c>
      <c r="G3990" s="8">
        <v>2</v>
      </c>
      <c r="H3990" s="8">
        <v>11547</v>
      </c>
      <c r="I3990" s="8">
        <v>3</v>
      </c>
      <c r="J3990" s="8">
        <v>34</v>
      </c>
      <c r="K3990" s="8">
        <v>236</v>
      </c>
      <c r="L3990" s="8">
        <v>253</v>
      </c>
      <c r="M3990" s="8">
        <v>7.32</v>
      </c>
      <c r="N3990">
        <f>VLOOKUP(A3990,vlookup_table!$A:$G,2,FALSE)</f>
        <v>28</v>
      </c>
      <c r="O3990" t="str">
        <f>VLOOKUP(A3990,vlookup_table!$A:$G,3,FALSE)</f>
        <v>FL</v>
      </c>
      <c r="P3990">
        <f>VLOOKUP(A3990,vlookup_table!$A:$G,4,FALSE)</f>
        <v>0</v>
      </c>
      <c r="Q3990" t="str">
        <f>VLOOKUP(A3990,vlookup_table!$A:$G,5,FALSE)</f>
        <v>T2</v>
      </c>
      <c r="R3990" t="str">
        <f>VLOOKUP(A3990,vlookup_table!$A:$G,6,FALSE)</f>
        <v/>
      </c>
      <c r="S3990">
        <f>VLOOKUP(A3990,vlookup_table!$A:$G,7,FALSE)</f>
        <v>5</v>
      </c>
      <c r="T3990">
        <f t="shared" si="124"/>
        <v>96</v>
      </c>
      <c r="U3990" t="str">
        <f t="shared" si="125"/>
        <v>Pueblo</v>
      </c>
    </row>
    <row r="3991" spans="1:21" ht="16" x14ac:dyDescent="0.4">
      <c r="A3991" s="9">
        <v>112944</v>
      </c>
      <c r="B3991" s="8" t="s">
        <v>28</v>
      </c>
      <c r="C3991" s="8" t="s">
        <v>17</v>
      </c>
      <c r="D3991" s="8">
        <v>684</v>
      </c>
      <c r="E3991" s="8">
        <v>323</v>
      </c>
      <c r="F3991" s="8">
        <v>430</v>
      </c>
      <c r="G3991" s="8">
        <v>1</v>
      </c>
      <c r="H3991" s="8">
        <v>14293</v>
      </c>
      <c r="I3991" s="8">
        <v>0</v>
      </c>
      <c r="J3991" s="8">
        <v>82</v>
      </c>
      <c r="K3991" s="8">
        <v>386</v>
      </c>
      <c r="L3991" s="8">
        <v>388</v>
      </c>
      <c r="M3991" s="8">
        <v>7.0833333329999997</v>
      </c>
      <c r="N3991">
        <f>VLOOKUP(A3991,vlookup_table!$A:$G,2,FALSE)</f>
        <v>2</v>
      </c>
      <c r="O3991" t="str">
        <f>VLOOKUP(A3991,vlookup_table!$A:$G,3,FALSE)</f>
        <v>OK</v>
      </c>
      <c r="P3991">
        <f>VLOOKUP(A3991,vlookup_table!$A:$G,4,FALSE)</f>
        <v>601</v>
      </c>
      <c r="Q3991" t="str">
        <f>VLOOKUP(A3991,vlookup_table!$A:$G,5,FALSE)</f>
        <v>C1</v>
      </c>
      <c r="R3991" t="str">
        <f>VLOOKUP(A3991,vlookup_table!$A:$G,6,FALSE)</f>
        <v>F</v>
      </c>
      <c r="S3991">
        <f>VLOOKUP(A3991,vlookup_table!$A:$G,7,FALSE)</f>
        <v>15</v>
      </c>
      <c r="T3991">
        <f t="shared" si="124"/>
        <v>36</v>
      </c>
      <c r="U3991" t="str">
        <f t="shared" si="125"/>
        <v>Ciudad</v>
      </c>
    </row>
    <row r="3992" spans="1:21" ht="16" x14ac:dyDescent="0.4">
      <c r="A3992" s="9">
        <v>128059</v>
      </c>
      <c r="B3992" s="8" t="s">
        <v>20</v>
      </c>
      <c r="C3992" s="8" t="s">
        <v>14</v>
      </c>
      <c r="D3992" s="8">
        <v>350</v>
      </c>
      <c r="E3992" s="8">
        <v>250</v>
      </c>
      <c r="F3992" s="8">
        <v>355</v>
      </c>
      <c r="G3992" s="8">
        <v>0</v>
      </c>
      <c r="H3992" s="8">
        <v>11680</v>
      </c>
      <c r="I3992" s="8">
        <v>4</v>
      </c>
      <c r="J3992" s="8">
        <v>80</v>
      </c>
      <c r="K3992" s="8">
        <v>278</v>
      </c>
      <c r="L3992" s="8">
        <v>335</v>
      </c>
      <c r="M3992" s="8">
        <v>10.125</v>
      </c>
      <c r="N3992">
        <f>VLOOKUP(A3992,vlookup_table!$A:$G,2,FALSE)</f>
        <v>1</v>
      </c>
      <c r="O3992" t="str">
        <f>VLOOKUP(A3992,vlookup_table!$A:$G,3,FALSE)</f>
        <v>TX</v>
      </c>
      <c r="P3992">
        <f>VLOOKUP(A3992,vlookup_table!$A:$G,4,FALSE)</f>
        <v>0</v>
      </c>
      <c r="Q3992" t="str">
        <f>VLOOKUP(A3992,vlookup_table!$A:$G,5,FALSE)</f>
        <v>R2</v>
      </c>
      <c r="R3992" t="str">
        <f>VLOOKUP(A3992,vlookup_table!$A:$G,6,FALSE)</f>
        <v>M</v>
      </c>
      <c r="S3992">
        <f>VLOOKUP(A3992,vlookup_table!$A:$G,7,FALSE)</f>
        <v>20</v>
      </c>
      <c r="T3992">
        <f t="shared" si="124"/>
        <v>96</v>
      </c>
      <c r="U3992" t="str">
        <f t="shared" si="125"/>
        <v>Rural</v>
      </c>
    </row>
    <row r="3993" spans="1:21" ht="16" x14ac:dyDescent="0.4">
      <c r="A3993" s="9">
        <v>109961</v>
      </c>
      <c r="B3993" s="8" t="s">
        <v>46</v>
      </c>
      <c r="C3993" s="8" t="s">
        <v>17</v>
      </c>
      <c r="D3993" s="8">
        <v>304</v>
      </c>
      <c r="E3993" s="8">
        <v>194</v>
      </c>
      <c r="F3993" s="8">
        <v>266</v>
      </c>
      <c r="G3993" s="8">
        <v>0</v>
      </c>
      <c r="H3993" s="8">
        <v>8103</v>
      </c>
      <c r="I3993" s="8">
        <v>0</v>
      </c>
      <c r="J3993" s="8">
        <v>93</v>
      </c>
      <c r="K3993" s="8">
        <v>230</v>
      </c>
      <c r="L3993" s="8">
        <v>224</v>
      </c>
      <c r="M3993" s="8">
        <v>10</v>
      </c>
      <c r="N3993">
        <f>VLOOKUP(A3993,vlookup_table!$A:$G,2,FALSE)</f>
        <v>28</v>
      </c>
      <c r="O3993" t="str">
        <f>VLOOKUP(A3993,vlookup_table!$A:$G,3,FALSE)</f>
        <v>LA</v>
      </c>
      <c r="P3993">
        <f>VLOOKUP(A3993,vlookup_table!$A:$G,4,FALSE)</f>
        <v>4901</v>
      </c>
      <c r="Q3993" t="str">
        <f>VLOOKUP(A3993,vlookup_table!$A:$G,5,FALSE)</f>
        <v>R3</v>
      </c>
      <c r="R3993" t="str">
        <f>VLOOKUP(A3993,vlookup_table!$A:$G,6,FALSE)</f>
        <v>F</v>
      </c>
      <c r="S3993">
        <f>VLOOKUP(A3993,vlookup_table!$A:$G,7,FALSE)</f>
        <v>20</v>
      </c>
      <c r="T3993">
        <f t="shared" si="124"/>
        <v>47</v>
      </c>
      <c r="U3993" t="str">
        <f t="shared" si="125"/>
        <v>Rural</v>
      </c>
    </row>
    <row r="3994" spans="1:21" ht="16" x14ac:dyDescent="0.4">
      <c r="A3994" s="9">
        <v>27634</v>
      </c>
      <c r="B3994" s="8" t="s">
        <v>59</v>
      </c>
      <c r="C3994" s="8" t="s">
        <v>14</v>
      </c>
      <c r="D3994" s="8">
        <v>1236</v>
      </c>
      <c r="E3994" s="8">
        <v>461</v>
      </c>
      <c r="F3994" s="8">
        <v>544</v>
      </c>
      <c r="G3994" s="8">
        <v>15</v>
      </c>
      <c r="H3994" s="8">
        <v>17784</v>
      </c>
      <c r="I3994" s="8">
        <v>2</v>
      </c>
      <c r="J3994" s="8">
        <v>63</v>
      </c>
      <c r="K3994" s="8">
        <v>467</v>
      </c>
      <c r="L3994" s="8">
        <v>513</v>
      </c>
      <c r="M3994" s="8">
        <v>5.375</v>
      </c>
      <c r="N3994">
        <f>VLOOKUP(A3994,vlookup_table!$A:$G,2,FALSE)</f>
        <v>0</v>
      </c>
      <c r="O3994" t="str">
        <f>VLOOKUP(A3994,vlookup_table!$A:$G,3,FALSE)</f>
        <v>MD</v>
      </c>
      <c r="P3994">
        <f>VLOOKUP(A3994,vlookup_table!$A:$G,4,FALSE)</f>
        <v>0</v>
      </c>
      <c r="Q3994" t="str">
        <f>VLOOKUP(A3994,vlookup_table!$A:$G,5,FALSE)</f>
        <v>T1</v>
      </c>
      <c r="R3994" t="str">
        <f>VLOOKUP(A3994,vlookup_table!$A:$G,6,FALSE)</f>
        <v>M</v>
      </c>
      <c r="S3994">
        <f>VLOOKUP(A3994,vlookup_table!$A:$G,7,FALSE)</f>
        <v>5</v>
      </c>
      <c r="T3994">
        <f t="shared" si="124"/>
        <v>96</v>
      </c>
      <c r="U3994" t="str">
        <f t="shared" si="125"/>
        <v>Pueblo</v>
      </c>
    </row>
    <row r="3995" spans="1:21" ht="16" x14ac:dyDescent="0.4">
      <c r="A3995" s="9">
        <v>125630</v>
      </c>
      <c r="B3995" s="8" t="s">
        <v>20</v>
      </c>
      <c r="C3995" s="8" t="s">
        <v>27</v>
      </c>
      <c r="D3995" s="8">
        <v>1101</v>
      </c>
      <c r="E3995" s="8">
        <v>538</v>
      </c>
      <c r="F3995" s="8">
        <v>640</v>
      </c>
      <c r="G3995" s="8">
        <v>0</v>
      </c>
      <c r="H3995" s="8">
        <v>19641</v>
      </c>
      <c r="I3995" s="8">
        <v>8</v>
      </c>
      <c r="J3995" s="8">
        <v>48</v>
      </c>
      <c r="K3995" s="8">
        <v>600</v>
      </c>
      <c r="L3995" s="8">
        <v>609</v>
      </c>
      <c r="M3995" s="8">
        <v>16.666666670000001</v>
      </c>
      <c r="N3995">
        <f>VLOOKUP(A3995,vlookup_table!$A:$G,2,FALSE)</f>
        <v>1</v>
      </c>
      <c r="O3995" t="str">
        <f>VLOOKUP(A3995,vlookup_table!$A:$G,3,FALSE)</f>
        <v>TX</v>
      </c>
      <c r="P3995">
        <f>VLOOKUP(A3995,vlookup_table!$A:$G,4,FALSE)</f>
        <v>0</v>
      </c>
      <c r="Q3995" t="str">
        <f>VLOOKUP(A3995,vlookup_table!$A:$G,5,FALSE)</f>
        <v>S1</v>
      </c>
      <c r="R3995" t="str">
        <f>VLOOKUP(A3995,vlookup_table!$A:$G,6,FALSE)</f>
        <v>U</v>
      </c>
      <c r="S3995">
        <f>VLOOKUP(A3995,vlookup_table!$A:$G,7,FALSE)</f>
        <v>25</v>
      </c>
      <c r="T3995">
        <f t="shared" si="124"/>
        <v>96</v>
      </c>
      <c r="U3995" t="str">
        <f t="shared" si="125"/>
        <v>Suburbano</v>
      </c>
    </row>
    <row r="3996" spans="1:21" ht="16" x14ac:dyDescent="0.4">
      <c r="A3996" s="9">
        <v>158454</v>
      </c>
      <c r="B3996" s="8" t="s">
        <v>21</v>
      </c>
      <c r="C3996" s="8" t="s">
        <v>41</v>
      </c>
      <c r="D3996" s="8">
        <v>2326</v>
      </c>
      <c r="E3996" s="8">
        <v>506</v>
      </c>
      <c r="F3996" s="8">
        <v>553</v>
      </c>
      <c r="G3996" s="8">
        <v>74</v>
      </c>
      <c r="H3996" s="8">
        <v>18918</v>
      </c>
      <c r="I3996" s="8">
        <v>7</v>
      </c>
      <c r="J3996" s="8">
        <v>58</v>
      </c>
      <c r="K3996" s="8">
        <v>545</v>
      </c>
      <c r="L3996" s="8">
        <v>514</v>
      </c>
      <c r="M3996" s="8">
        <v>12.15384615</v>
      </c>
      <c r="N3996">
        <f>VLOOKUP(A3996,vlookup_table!$A:$G,2,FALSE)</f>
        <v>1002</v>
      </c>
      <c r="O3996" t="str">
        <f>VLOOKUP(A3996,vlookup_table!$A:$G,3,FALSE)</f>
        <v>CA</v>
      </c>
      <c r="P3996">
        <f>VLOOKUP(A3996,vlookup_table!$A:$G,4,FALSE)</f>
        <v>6601</v>
      </c>
      <c r="Q3996" t="str">
        <f>VLOOKUP(A3996,vlookup_table!$A:$G,5,FALSE)</f>
        <v>U2</v>
      </c>
      <c r="R3996" t="str">
        <f>VLOOKUP(A3996,vlookup_table!$A:$G,6,FALSE)</f>
        <v>J</v>
      </c>
      <c r="S3996">
        <f>VLOOKUP(A3996,vlookup_table!$A:$G,7,FALSE)</f>
        <v>12</v>
      </c>
      <c r="T3996">
        <f t="shared" si="124"/>
        <v>30</v>
      </c>
      <c r="U3996" t="str">
        <f t="shared" si="125"/>
        <v>Urbano</v>
      </c>
    </row>
    <row r="3997" spans="1:21" ht="16" x14ac:dyDescent="0.4">
      <c r="A3997" s="9">
        <v>4881</v>
      </c>
      <c r="B3997" s="8" t="s">
        <v>13</v>
      </c>
      <c r="C3997" s="8" t="s">
        <v>14</v>
      </c>
      <c r="D3997" s="8">
        <v>599</v>
      </c>
      <c r="E3997" s="8">
        <v>100</v>
      </c>
      <c r="F3997" s="8">
        <v>423</v>
      </c>
      <c r="G3997" s="8">
        <v>4</v>
      </c>
      <c r="H3997" s="8">
        <v>11670</v>
      </c>
      <c r="I3997" s="8">
        <v>10</v>
      </c>
      <c r="J3997" s="8">
        <v>27</v>
      </c>
      <c r="K3997" s="8">
        <v>406</v>
      </c>
      <c r="L3997" s="8">
        <v>200</v>
      </c>
      <c r="M3997" s="8">
        <v>9.230769231</v>
      </c>
      <c r="N3997">
        <f>VLOOKUP(A3997,vlookup_table!$A:$G,2,FALSE)</f>
        <v>28</v>
      </c>
      <c r="O3997" t="str">
        <f>VLOOKUP(A3997,vlookup_table!$A:$G,3,FALSE)</f>
        <v>FL</v>
      </c>
      <c r="P3997">
        <f>VLOOKUP(A3997,vlookup_table!$A:$G,4,FALSE)</f>
        <v>7401</v>
      </c>
      <c r="Q3997" t="str">
        <f>VLOOKUP(A3997,vlookup_table!$A:$G,5,FALSE)</f>
        <v>C1</v>
      </c>
      <c r="R3997" t="str">
        <f>VLOOKUP(A3997,vlookup_table!$A:$G,6,FALSE)</f>
        <v>M</v>
      </c>
      <c r="S3997">
        <f>VLOOKUP(A3997,vlookup_table!$A:$G,7,FALSE)</f>
        <v>10</v>
      </c>
      <c r="T3997">
        <f t="shared" si="124"/>
        <v>22</v>
      </c>
      <c r="U3997" t="str">
        <f t="shared" si="125"/>
        <v>Ciudad</v>
      </c>
    </row>
    <row r="3998" spans="1:21" ht="16" x14ac:dyDescent="0.4">
      <c r="A3998" s="9">
        <v>66358</v>
      </c>
      <c r="B3998" s="8" t="s">
        <v>42</v>
      </c>
      <c r="C3998" s="8" t="s">
        <v>14</v>
      </c>
      <c r="D3998" s="8">
        <v>593</v>
      </c>
      <c r="E3998" s="8">
        <v>258</v>
      </c>
      <c r="F3998" s="8">
        <v>299</v>
      </c>
      <c r="G3998" s="8">
        <v>0</v>
      </c>
      <c r="H3998" s="8">
        <v>10186</v>
      </c>
      <c r="I3998" s="8">
        <v>1</v>
      </c>
      <c r="J3998" s="8">
        <v>70</v>
      </c>
      <c r="K3998" s="8">
        <v>298</v>
      </c>
      <c r="L3998" s="8">
        <v>274</v>
      </c>
      <c r="M3998" s="8">
        <v>5.266666667</v>
      </c>
      <c r="N3998">
        <f>VLOOKUP(A3998,vlookup_table!$A:$G,2,FALSE)</f>
        <v>1</v>
      </c>
      <c r="O3998" t="str">
        <f>VLOOKUP(A3998,vlookup_table!$A:$G,3,FALSE)</f>
        <v>ND</v>
      </c>
      <c r="P3998">
        <f>VLOOKUP(A3998,vlookup_table!$A:$G,4,FALSE)</f>
        <v>3301</v>
      </c>
      <c r="Q3998" t="str">
        <f>VLOOKUP(A3998,vlookup_table!$A:$G,5,FALSE)</f>
        <v>S2</v>
      </c>
      <c r="R3998" t="str">
        <f>VLOOKUP(A3998,vlookup_table!$A:$G,6,FALSE)</f>
        <v>M</v>
      </c>
      <c r="S3998">
        <f>VLOOKUP(A3998,vlookup_table!$A:$G,7,FALSE)</f>
        <v>5</v>
      </c>
      <c r="T3998">
        <f t="shared" si="124"/>
        <v>63</v>
      </c>
      <c r="U3998" t="str">
        <f t="shared" si="125"/>
        <v>Suburbano</v>
      </c>
    </row>
    <row r="3999" spans="1:21" ht="16" x14ac:dyDescent="0.4">
      <c r="A3999" s="9">
        <v>2231</v>
      </c>
      <c r="B3999" s="8" t="s">
        <v>32</v>
      </c>
      <c r="C3999" s="8" t="s">
        <v>14</v>
      </c>
      <c r="D3999" s="8">
        <v>564</v>
      </c>
      <c r="E3999" s="8">
        <v>217</v>
      </c>
      <c r="F3999" s="8">
        <v>397</v>
      </c>
      <c r="G3999" s="8">
        <v>0</v>
      </c>
      <c r="H3999" s="8">
        <v>12315</v>
      </c>
      <c r="I3999" s="8">
        <v>0</v>
      </c>
      <c r="J3999" s="8">
        <v>96</v>
      </c>
      <c r="K3999" s="8">
        <v>386</v>
      </c>
      <c r="L3999" s="8">
        <v>295</v>
      </c>
      <c r="M3999" s="8">
        <v>11.4</v>
      </c>
      <c r="N3999">
        <f>VLOOKUP(A3999,vlookup_table!$A:$G,2,FALSE)</f>
        <v>1</v>
      </c>
      <c r="O3999" t="str">
        <f>VLOOKUP(A3999,vlookup_table!$A:$G,3,FALSE)</f>
        <v>WI</v>
      </c>
      <c r="P3999">
        <f>VLOOKUP(A3999,vlookup_table!$A:$G,4,FALSE)</f>
        <v>7301</v>
      </c>
      <c r="Q3999" t="str">
        <f>VLOOKUP(A3999,vlookup_table!$A:$G,5,FALSE)</f>
        <v>T2</v>
      </c>
      <c r="R3999" t="str">
        <f>VLOOKUP(A3999,vlookup_table!$A:$G,6,FALSE)</f>
        <v>M</v>
      </c>
      <c r="S3999">
        <f>VLOOKUP(A3999,vlookup_table!$A:$G,7,FALSE)</f>
        <v>14</v>
      </c>
      <c r="T3999">
        <f t="shared" si="124"/>
        <v>23</v>
      </c>
      <c r="U3999" t="str">
        <f t="shared" si="125"/>
        <v>Pueblo</v>
      </c>
    </row>
    <row r="4000" spans="1:21" ht="16" x14ac:dyDescent="0.4">
      <c r="A4000" s="9">
        <v>68534</v>
      </c>
      <c r="B4000" s="8" t="s">
        <v>26</v>
      </c>
      <c r="C4000" s="8" t="s">
        <v>14</v>
      </c>
      <c r="D4000" s="8">
        <v>651</v>
      </c>
      <c r="E4000" s="8">
        <v>431</v>
      </c>
      <c r="F4000" s="8">
        <v>505</v>
      </c>
      <c r="G4000" s="8">
        <v>0</v>
      </c>
      <c r="H4000" s="8">
        <v>14845</v>
      </c>
      <c r="I4000" s="8">
        <v>7</v>
      </c>
      <c r="J4000" s="8">
        <v>77</v>
      </c>
      <c r="K4000" s="8">
        <v>451</v>
      </c>
      <c r="L4000" s="8">
        <v>455</v>
      </c>
      <c r="M4000" s="8">
        <v>7.4285714289999998</v>
      </c>
      <c r="N4000">
        <f>VLOOKUP(A4000,vlookup_table!$A:$G,2,FALSE)</f>
        <v>1</v>
      </c>
      <c r="O4000" t="str">
        <f>VLOOKUP(A4000,vlookup_table!$A:$G,3,FALSE)</f>
        <v>MI</v>
      </c>
      <c r="P4000">
        <f>VLOOKUP(A4000,vlookup_table!$A:$G,4,FALSE)</f>
        <v>1709</v>
      </c>
      <c r="Q4000" t="str">
        <f>VLOOKUP(A4000,vlookup_table!$A:$G,5,FALSE)</f>
        <v>S2</v>
      </c>
      <c r="R4000" t="str">
        <f>VLOOKUP(A4000,vlookup_table!$A:$G,6,FALSE)</f>
        <v>M</v>
      </c>
      <c r="S4000">
        <f>VLOOKUP(A4000,vlookup_table!$A:$G,7,FALSE)</f>
        <v>9</v>
      </c>
      <c r="T4000">
        <f t="shared" si="124"/>
        <v>79</v>
      </c>
      <c r="U4000" t="str">
        <f t="shared" si="125"/>
        <v>Suburbano</v>
      </c>
    </row>
    <row r="4001" spans="1:21" ht="16" x14ac:dyDescent="0.4">
      <c r="A4001" s="9">
        <v>177737</v>
      </c>
      <c r="B4001" s="8" t="s">
        <v>47</v>
      </c>
      <c r="C4001" s="8" t="s">
        <v>17</v>
      </c>
      <c r="D4001" s="8">
        <v>429</v>
      </c>
      <c r="E4001" s="8">
        <v>192</v>
      </c>
      <c r="F4001" s="8">
        <v>277</v>
      </c>
      <c r="G4001" s="8">
        <v>1</v>
      </c>
      <c r="H4001" s="8">
        <v>8906</v>
      </c>
      <c r="I4001" s="8">
        <v>20</v>
      </c>
      <c r="J4001" s="8">
        <v>43</v>
      </c>
      <c r="K4001" s="8">
        <v>207</v>
      </c>
      <c r="L4001" s="8">
        <v>259</v>
      </c>
      <c r="M4001" s="8">
        <v>16.11111111</v>
      </c>
      <c r="N4001">
        <f>VLOOKUP(A4001,vlookup_table!$A:$G,2,FALSE)</f>
        <v>2</v>
      </c>
      <c r="O4001" t="str">
        <f>VLOOKUP(A4001,vlookup_table!$A:$G,3,FALSE)</f>
        <v>OR</v>
      </c>
      <c r="P4001">
        <f>VLOOKUP(A4001,vlookup_table!$A:$G,4,FALSE)</f>
        <v>609</v>
      </c>
      <c r="Q4001" t="str">
        <f>VLOOKUP(A4001,vlookup_table!$A:$G,5,FALSE)</f>
        <v>R2</v>
      </c>
      <c r="R4001" t="str">
        <f>VLOOKUP(A4001,vlookup_table!$A:$G,6,FALSE)</f>
        <v>F</v>
      </c>
      <c r="S4001">
        <f>VLOOKUP(A4001,vlookup_table!$A:$G,7,FALSE)</f>
        <v>25</v>
      </c>
      <c r="T4001">
        <f t="shared" si="124"/>
        <v>36</v>
      </c>
      <c r="U4001" t="str">
        <f t="shared" si="125"/>
        <v>Rural</v>
      </c>
    </row>
    <row r="4002" spans="1:21" ht="16" x14ac:dyDescent="0.4">
      <c r="A4002" s="9">
        <v>145855</v>
      </c>
      <c r="B4002" s="8" t="s">
        <v>21</v>
      </c>
      <c r="C4002" s="8" t="s">
        <v>14</v>
      </c>
      <c r="D4002" s="8">
        <v>2264</v>
      </c>
      <c r="E4002" s="8">
        <v>453</v>
      </c>
      <c r="F4002" s="8">
        <v>537</v>
      </c>
      <c r="G4002" s="8">
        <v>66</v>
      </c>
      <c r="H4002" s="8">
        <v>17928</v>
      </c>
      <c r="I4002" s="8">
        <v>9</v>
      </c>
      <c r="J4002" s="8">
        <v>57</v>
      </c>
      <c r="K4002" s="8">
        <v>503</v>
      </c>
      <c r="L4002" s="8">
        <v>509</v>
      </c>
      <c r="M4002" s="8">
        <v>9.7142857140000007</v>
      </c>
      <c r="N4002">
        <f>VLOOKUP(A4002,vlookup_table!$A:$G,2,FALSE)</f>
        <v>1</v>
      </c>
      <c r="O4002" t="str">
        <f>VLOOKUP(A4002,vlookup_table!$A:$G,3,FALSE)</f>
        <v>CA</v>
      </c>
      <c r="P4002">
        <f>VLOOKUP(A4002,vlookup_table!$A:$G,4,FALSE)</f>
        <v>4601</v>
      </c>
      <c r="Q4002" t="str">
        <f>VLOOKUP(A4002,vlookup_table!$A:$G,5,FALSE)</f>
        <v>U1</v>
      </c>
      <c r="R4002" t="str">
        <f>VLOOKUP(A4002,vlookup_table!$A:$G,6,FALSE)</f>
        <v>M</v>
      </c>
      <c r="S4002">
        <f>VLOOKUP(A4002,vlookup_table!$A:$G,7,FALSE)</f>
        <v>12</v>
      </c>
      <c r="T4002">
        <f t="shared" si="124"/>
        <v>50</v>
      </c>
      <c r="U4002" t="str">
        <f t="shared" si="125"/>
        <v>Urbano</v>
      </c>
    </row>
    <row r="4003" spans="1:21" ht="16" x14ac:dyDescent="0.4">
      <c r="A4003" s="9">
        <v>155569</v>
      </c>
      <c r="B4003" s="8" t="s">
        <v>21</v>
      </c>
      <c r="C4003" s="8" t="s">
        <v>14</v>
      </c>
      <c r="D4003" s="8">
        <v>1691</v>
      </c>
      <c r="E4003" s="8">
        <v>500</v>
      </c>
      <c r="F4003" s="8">
        <v>580</v>
      </c>
      <c r="G4003" s="8">
        <v>27</v>
      </c>
      <c r="H4003" s="8">
        <v>18202</v>
      </c>
      <c r="I4003" s="8">
        <v>16</v>
      </c>
      <c r="J4003" s="8">
        <v>45</v>
      </c>
      <c r="K4003" s="8">
        <v>556</v>
      </c>
      <c r="L4003" s="8">
        <v>520</v>
      </c>
      <c r="M4003" s="8">
        <v>14.33333333</v>
      </c>
      <c r="N4003">
        <f>VLOOKUP(A4003,vlookup_table!$A:$G,2,FALSE)</f>
        <v>0</v>
      </c>
      <c r="O4003" t="str">
        <f>VLOOKUP(A4003,vlookup_table!$A:$G,3,FALSE)</f>
        <v>CA</v>
      </c>
      <c r="P4003">
        <f>VLOOKUP(A4003,vlookup_table!$A:$G,4,FALSE)</f>
        <v>2701</v>
      </c>
      <c r="Q4003" t="str">
        <f>VLOOKUP(A4003,vlookup_table!$A:$G,5,FALSE)</f>
        <v>S1</v>
      </c>
      <c r="R4003" t="str">
        <f>VLOOKUP(A4003,vlookup_table!$A:$G,6,FALSE)</f>
        <v>M</v>
      </c>
      <c r="S4003">
        <f>VLOOKUP(A4003,vlookup_table!$A:$G,7,FALSE)</f>
        <v>20</v>
      </c>
      <c r="T4003">
        <f t="shared" si="124"/>
        <v>69</v>
      </c>
      <c r="U4003" t="str">
        <f t="shared" si="125"/>
        <v>Suburbano</v>
      </c>
    </row>
    <row r="4004" spans="1:21" ht="16" x14ac:dyDescent="0.4">
      <c r="A4004" s="9">
        <v>157826</v>
      </c>
      <c r="B4004" s="8" t="s">
        <v>21</v>
      </c>
      <c r="C4004" s="8" t="s">
        <v>17</v>
      </c>
      <c r="D4004" s="8">
        <v>2387</v>
      </c>
      <c r="E4004" s="8">
        <v>394</v>
      </c>
      <c r="F4004" s="8">
        <v>447</v>
      </c>
      <c r="G4004" s="8">
        <v>76</v>
      </c>
      <c r="H4004" s="8">
        <v>17331</v>
      </c>
      <c r="I4004" s="8">
        <v>18</v>
      </c>
      <c r="J4004" s="8">
        <v>46</v>
      </c>
      <c r="K4004" s="8">
        <v>399</v>
      </c>
      <c r="L4004" s="8">
        <v>446</v>
      </c>
      <c r="M4004" s="8">
        <v>8.0454545460000002</v>
      </c>
      <c r="N4004">
        <f>VLOOKUP(A4004,vlookup_table!$A:$G,2,FALSE)</f>
        <v>0</v>
      </c>
      <c r="O4004" t="str">
        <f>VLOOKUP(A4004,vlookup_table!$A:$G,3,FALSE)</f>
        <v>CA</v>
      </c>
      <c r="P4004">
        <f>VLOOKUP(A4004,vlookup_table!$A:$G,4,FALSE)</f>
        <v>0</v>
      </c>
      <c r="Q4004" t="str">
        <f>VLOOKUP(A4004,vlookup_table!$A:$G,5,FALSE)</f>
        <v>U4</v>
      </c>
      <c r="R4004" t="str">
        <f>VLOOKUP(A4004,vlookup_table!$A:$G,6,FALSE)</f>
        <v>F</v>
      </c>
      <c r="S4004">
        <f>VLOOKUP(A4004,vlookup_table!$A:$G,7,FALSE)</f>
        <v>15</v>
      </c>
      <c r="T4004">
        <f t="shared" si="124"/>
        <v>96</v>
      </c>
      <c r="U4004" t="str">
        <f t="shared" si="125"/>
        <v>Urbano</v>
      </c>
    </row>
    <row r="4005" spans="1:21" ht="16" x14ac:dyDescent="0.4">
      <c r="A4005" s="9">
        <v>60884</v>
      </c>
      <c r="B4005" s="8" t="s">
        <v>30</v>
      </c>
      <c r="C4005" s="8" t="s">
        <v>17</v>
      </c>
      <c r="D4005" s="8">
        <v>813</v>
      </c>
      <c r="E4005" s="8">
        <v>414</v>
      </c>
      <c r="F4005" s="8">
        <v>561</v>
      </c>
      <c r="G4005" s="8">
        <v>1</v>
      </c>
      <c r="H4005" s="8">
        <v>26469</v>
      </c>
      <c r="I4005" s="8">
        <v>3</v>
      </c>
      <c r="J4005" s="8">
        <v>68</v>
      </c>
      <c r="K4005" s="8">
        <v>495</v>
      </c>
      <c r="L4005" s="8">
        <v>499</v>
      </c>
      <c r="M4005" s="8">
        <v>14.83333333</v>
      </c>
      <c r="N4005">
        <f>VLOOKUP(A4005,vlookup_table!$A:$G,2,FALSE)</f>
        <v>0</v>
      </c>
      <c r="O4005" t="str">
        <f>VLOOKUP(A4005,vlookup_table!$A:$G,3,FALSE)</f>
        <v>IN</v>
      </c>
      <c r="P4005">
        <f>VLOOKUP(A4005,vlookup_table!$A:$G,4,FALSE)</f>
        <v>0</v>
      </c>
      <c r="Q4005" t="str">
        <f>VLOOKUP(A4005,vlookup_table!$A:$G,5,FALSE)</f>
        <v>S2</v>
      </c>
      <c r="R4005" t="str">
        <f>VLOOKUP(A4005,vlookup_table!$A:$G,6,FALSE)</f>
        <v>F</v>
      </c>
      <c r="S4005">
        <f>VLOOKUP(A4005,vlookup_table!$A:$G,7,FALSE)</f>
        <v>15</v>
      </c>
      <c r="T4005">
        <f t="shared" si="124"/>
        <v>96</v>
      </c>
      <c r="U4005" t="str">
        <f t="shared" si="125"/>
        <v>Suburbano</v>
      </c>
    </row>
    <row r="4006" spans="1:21" ht="16" x14ac:dyDescent="0.4">
      <c r="A4006" s="9">
        <v>4638</v>
      </c>
      <c r="B4006" s="8" t="s">
        <v>21</v>
      </c>
      <c r="C4006" s="8" t="s">
        <v>17</v>
      </c>
      <c r="D4006" s="8">
        <v>2473</v>
      </c>
      <c r="E4006" s="8">
        <v>585</v>
      </c>
      <c r="F4006" s="8">
        <v>611</v>
      </c>
      <c r="G4006" s="8">
        <v>86</v>
      </c>
      <c r="H4006" s="8">
        <v>21343</v>
      </c>
      <c r="I4006" s="8">
        <v>4</v>
      </c>
      <c r="J4006" s="8">
        <v>48</v>
      </c>
      <c r="K4006" s="8">
        <v>586</v>
      </c>
      <c r="L4006" s="8">
        <v>610</v>
      </c>
      <c r="M4006" s="8">
        <v>25.84375</v>
      </c>
      <c r="N4006">
        <f>VLOOKUP(A4006,vlookup_table!$A:$G,2,FALSE)</f>
        <v>0</v>
      </c>
      <c r="O4006" t="str">
        <f>VLOOKUP(A4006,vlookup_table!$A:$G,3,FALSE)</f>
        <v>CA</v>
      </c>
      <c r="P4006">
        <f>VLOOKUP(A4006,vlookup_table!$A:$G,4,FALSE)</f>
        <v>2401</v>
      </c>
      <c r="Q4006" t="str">
        <f>VLOOKUP(A4006,vlookup_table!$A:$G,5,FALSE)</f>
        <v>S1</v>
      </c>
      <c r="R4006" t="str">
        <f>VLOOKUP(A4006,vlookup_table!$A:$G,6,FALSE)</f>
        <v>F</v>
      </c>
      <c r="S4006">
        <f>VLOOKUP(A4006,vlookup_table!$A:$G,7,FALSE)</f>
        <v>25</v>
      </c>
      <c r="T4006">
        <f t="shared" si="124"/>
        <v>72</v>
      </c>
      <c r="U4006" t="str">
        <f t="shared" si="125"/>
        <v>Suburbano</v>
      </c>
    </row>
    <row r="4007" spans="1:21" ht="16" x14ac:dyDescent="0.4">
      <c r="A4007" s="9">
        <v>75851</v>
      </c>
      <c r="B4007" s="8" t="s">
        <v>44</v>
      </c>
      <c r="C4007" s="8" t="s">
        <v>17</v>
      </c>
      <c r="D4007" s="8">
        <v>243</v>
      </c>
      <c r="E4007" s="8">
        <v>208</v>
      </c>
      <c r="F4007" s="8">
        <v>271</v>
      </c>
      <c r="G4007" s="8">
        <v>0</v>
      </c>
      <c r="H4007" s="8">
        <v>8359</v>
      </c>
      <c r="I4007" s="8">
        <v>1</v>
      </c>
      <c r="J4007" s="8">
        <v>85</v>
      </c>
      <c r="K4007" s="8">
        <v>251</v>
      </c>
      <c r="L4007" s="8">
        <v>244</v>
      </c>
      <c r="M4007" s="8">
        <v>4.3529411769999999</v>
      </c>
      <c r="N4007">
        <f>VLOOKUP(A4007,vlookup_table!$A:$G,2,FALSE)</f>
        <v>2</v>
      </c>
      <c r="O4007" t="str">
        <f>VLOOKUP(A4007,vlookup_table!$A:$G,3,FALSE)</f>
        <v>IA</v>
      </c>
      <c r="P4007">
        <f>VLOOKUP(A4007,vlookup_table!$A:$G,4,FALSE)</f>
        <v>1810</v>
      </c>
      <c r="Q4007" t="str">
        <f>VLOOKUP(A4007,vlookup_table!$A:$G,5,FALSE)</f>
        <v>C3</v>
      </c>
      <c r="R4007" t="str">
        <f>VLOOKUP(A4007,vlookup_table!$A:$G,6,FALSE)</f>
        <v>F</v>
      </c>
      <c r="S4007">
        <f>VLOOKUP(A4007,vlookup_table!$A:$G,7,FALSE)</f>
        <v>5</v>
      </c>
      <c r="T4007">
        <f t="shared" si="124"/>
        <v>78</v>
      </c>
      <c r="U4007" t="str">
        <f t="shared" si="125"/>
        <v>Ciudad</v>
      </c>
    </row>
    <row r="4008" spans="1:21" ht="16" x14ac:dyDescent="0.4">
      <c r="A4008" s="9">
        <v>162867</v>
      </c>
      <c r="B4008" s="8" t="s">
        <v>21</v>
      </c>
      <c r="C4008" s="8" t="s">
        <v>14</v>
      </c>
      <c r="D4008" s="8">
        <v>3330</v>
      </c>
      <c r="E4008" s="8">
        <v>517</v>
      </c>
      <c r="F4008" s="8">
        <v>632</v>
      </c>
      <c r="G4008" s="8">
        <v>97</v>
      </c>
      <c r="H4008" s="8">
        <v>22695</v>
      </c>
      <c r="I4008" s="8">
        <v>19</v>
      </c>
      <c r="J4008" s="8">
        <v>36</v>
      </c>
      <c r="K4008" s="8">
        <v>581</v>
      </c>
      <c r="L4008" s="8">
        <v>576</v>
      </c>
      <c r="M4008" s="8">
        <v>12.5</v>
      </c>
      <c r="N4008">
        <f>VLOOKUP(A4008,vlookup_table!$A:$G,2,FALSE)</f>
        <v>0</v>
      </c>
      <c r="O4008" t="str">
        <f>VLOOKUP(A4008,vlookup_table!$A:$G,3,FALSE)</f>
        <v>CA</v>
      </c>
      <c r="P4008">
        <f>VLOOKUP(A4008,vlookup_table!$A:$G,4,FALSE)</f>
        <v>6801</v>
      </c>
      <c r="Q4008" t="str">
        <f>VLOOKUP(A4008,vlookup_table!$A:$G,5,FALSE)</f>
        <v>U1</v>
      </c>
      <c r="R4008" t="str">
        <f>VLOOKUP(A4008,vlookup_table!$A:$G,6,FALSE)</f>
        <v>M</v>
      </c>
      <c r="S4008">
        <f>VLOOKUP(A4008,vlookup_table!$A:$G,7,FALSE)</f>
        <v>11</v>
      </c>
      <c r="T4008">
        <f t="shared" si="124"/>
        <v>28</v>
      </c>
      <c r="U4008" t="str">
        <f t="shared" si="125"/>
        <v>Urbano</v>
      </c>
    </row>
    <row r="4009" spans="1:21" ht="16" x14ac:dyDescent="0.4">
      <c r="A4009" s="9">
        <v>145540</v>
      </c>
      <c r="B4009" s="8" t="s">
        <v>21</v>
      </c>
      <c r="C4009" s="8" t="s">
        <v>14</v>
      </c>
      <c r="D4009" s="8">
        <v>4178</v>
      </c>
      <c r="E4009" s="8">
        <v>659</v>
      </c>
      <c r="F4009" s="8">
        <v>764</v>
      </c>
      <c r="G4009" s="8">
        <v>97</v>
      </c>
      <c r="H4009" s="8">
        <v>26035</v>
      </c>
      <c r="I4009" s="8">
        <v>26</v>
      </c>
      <c r="J4009" s="8">
        <v>37</v>
      </c>
      <c r="K4009" s="8">
        <v>687</v>
      </c>
      <c r="L4009" s="8">
        <v>723</v>
      </c>
      <c r="M4009" s="8">
        <v>10</v>
      </c>
      <c r="N4009">
        <f>VLOOKUP(A4009,vlookup_table!$A:$G,2,FALSE)</f>
        <v>1</v>
      </c>
      <c r="O4009" t="str">
        <f>VLOOKUP(A4009,vlookup_table!$A:$G,3,FALSE)</f>
        <v>CA</v>
      </c>
      <c r="P4009">
        <f>VLOOKUP(A4009,vlookup_table!$A:$G,4,FALSE)</f>
        <v>0</v>
      </c>
      <c r="Q4009" t="str">
        <f>VLOOKUP(A4009,vlookup_table!$A:$G,5,FALSE)</f>
        <v>S1</v>
      </c>
      <c r="R4009" t="str">
        <f>VLOOKUP(A4009,vlookup_table!$A:$G,6,FALSE)</f>
        <v>M</v>
      </c>
      <c r="S4009">
        <f>VLOOKUP(A4009,vlookup_table!$A:$G,7,FALSE)</f>
        <v>21</v>
      </c>
      <c r="T4009">
        <f t="shared" si="124"/>
        <v>96</v>
      </c>
      <c r="U4009" t="str">
        <f t="shared" si="125"/>
        <v>Suburbano</v>
      </c>
    </row>
    <row r="4010" spans="1:21" ht="16" x14ac:dyDescent="0.4">
      <c r="A4010" s="9">
        <v>124042</v>
      </c>
      <c r="B4010" s="8" t="s">
        <v>20</v>
      </c>
      <c r="C4010" s="8" t="s">
        <v>14</v>
      </c>
      <c r="D4010" s="8">
        <v>465</v>
      </c>
      <c r="E4010" s="8">
        <v>202</v>
      </c>
      <c r="F4010" s="8">
        <v>354</v>
      </c>
      <c r="G4010" s="8">
        <v>1</v>
      </c>
      <c r="H4010" s="8">
        <v>13849</v>
      </c>
      <c r="I4010" s="8">
        <v>0</v>
      </c>
      <c r="J4010" s="8">
        <v>68</v>
      </c>
      <c r="K4010" s="8">
        <v>279</v>
      </c>
      <c r="L4010" s="8">
        <v>278</v>
      </c>
      <c r="M4010" s="8">
        <v>6.6666666670000003</v>
      </c>
      <c r="N4010">
        <f>VLOOKUP(A4010,vlookup_table!$A:$G,2,FALSE)</f>
        <v>2</v>
      </c>
      <c r="O4010" t="str">
        <f>VLOOKUP(A4010,vlookup_table!$A:$G,3,FALSE)</f>
        <v>TX</v>
      </c>
      <c r="P4010">
        <f>VLOOKUP(A4010,vlookup_table!$A:$G,4,FALSE)</f>
        <v>1812</v>
      </c>
      <c r="Q4010" t="str">
        <f>VLOOKUP(A4010,vlookup_table!$A:$G,5,FALSE)</f>
        <v>T2</v>
      </c>
      <c r="R4010" t="str">
        <f>VLOOKUP(A4010,vlookup_table!$A:$G,6,FALSE)</f>
        <v>M</v>
      </c>
      <c r="S4010">
        <f>VLOOKUP(A4010,vlookup_table!$A:$G,7,FALSE)</f>
        <v>20</v>
      </c>
      <c r="T4010">
        <f t="shared" si="124"/>
        <v>78</v>
      </c>
      <c r="U4010" t="str">
        <f t="shared" si="125"/>
        <v>Pueblo</v>
      </c>
    </row>
    <row r="4011" spans="1:21" ht="16" x14ac:dyDescent="0.4">
      <c r="A4011" s="9">
        <v>83698</v>
      </c>
      <c r="B4011" s="8" t="s">
        <v>52</v>
      </c>
      <c r="C4011" s="8" t="s">
        <v>14</v>
      </c>
      <c r="D4011" s="8">
        <v>878</v>
      </c>
      <c r="E4011" s="8">
        <v>412</v>
      </c>
      <c r="F4011" s="8">
        <v>454</v>
      </c>
      <c r="G4011" s="8">
        <v>0</v>
      </c>
      <c r="H4011" s="8">
        <v>18625</v>
      </c>
      <c r="I4011" s="8">
        <v>4</v>
      </c>
      <c r="J4011" s="8">
        <v>78</v>
      </c>
      <c r="K4011" s="8">
        <v>420</v>
      </c>
      <c r="L4011" s="8">
        <v>455</v>
      </c>
      <c r="M4011" s="8">
        <v>10.125</v>
      </c>
      <c r="N4011">
        <f>VLOOKUP(A4011,vlookup_table!$A:$G,2,FALSE)</f>
        <v>1</v>
      </c>
      <c r="O4011" t="str">
        <f>VLOOKUP(A4011,vlookup_table!$A:$G,3,FALSE)</f>
        <v>MN</v>
      </c>
      <c r="P4011">
        <f>VLOOKUP(A4011,vlookup_table!$A:$G,4,FALSE)</f>
        <v>5112</v>
      </c>
      <c r="Q4011" t="str">
        <f>VLOOKUP(A4011,vlookup_table!$A:$G,5,FALSE)</f>
        <v>S2</v>
      </c>
      <c r="R4011" t="str">
        <f>VLOOKUP(A4011,vlookup_table!$A:$G,6,FALSE)</f>
        <v>M</v>
      </c>
      <c r="S4011">
        <f>VLOOKUP(A4011,vlookup_table!$A:$G,7,FALSE)</f>
        <v>16</v>
      </c>
      <c r="T4011">
        <f t="shared" si="124"/>
        <v>45</v>
      </c>
      <c r="U4011" t="str">
        <f t="shared" si="125"/>
        <v>Suburbano</v>
      </c>
    </row>
    <row r="4012" spans="1:21" ht="16" x14ac:dyDescent="0.4">
      <c r="A4012" s="9">
        <v>142600</v>
      </c>
      <c r="B4012" s="8" t="s">
        <v>21</v>
      </c>
      <c r="C4012" s="8" t="s">
        <v>17</v>
      </c>
      <c r="D4012" s="8">
        <v>919</v>
      </c>
      <c r="E4012" s="8">
        <v>89</v>
      </c>
      <c r="F4012" s="8">
        <v>210</v>
      </c>
      <c r="G4012" s="8">
        <v>3</v>
      </c>
      <c r="H4012" s="8">
        <v>4825</v>
      </c>
      <c r="I4012" s="8">
        <v>41</v>
      </c>
      <c r="J4012" s="8">
        <v>37</v>
      </c>
      <c r="K4012" s="8">
        <v>193</v>
      </c>
      <c r="L4012" s="8">
        <v>154</v>
      </c>
      <c r="M4012" s="8">
        <v>25</v>
      </c>
      <c r="N4012">
        <f>VLOOKUP(A4012,vlookup_table!$A:$G,2,FALSE)</f>
        <v>0</v>
      </c>
      <c r="O4012" t="str">
        <f>VLOOKUP(A4012,vlookup_table!$A:$G,3,FALSE)</f>
        <v>CA</v>
      </c>
      <c r="P4012">
        <f>VLOOKUP(A4012,vlookup_table!$A:$G,4,FALSE)</f>
        <v>4301</v>
      </c>
      <c r="Q4012" t="str">
        <f>VLOOKUP(A4012,vlookup_table!$A:$G,5,FALSE)</f>
        <v>U4</v>
      </c>
      <c r="R4012" t="str">
        <f>VLOOKUP(A4012,vlookup_table!$A:$G,6,FALSE)</f>
        <v>F</v>
      </c>
      <c r="S4012">
        <f>VLOOKUP(A4012,vlookup_table!$A:$G,7,FALSE)</f>
        <v>25</v>
      </c>
      <c r="T4012">
        <f t="shared" si="124"/>
        <v>53</v>
      </c>
      <c r="U4012" t="str">
        <f t="shared" si="125"/>
        <v>Urbano</v>
      </c>
    </row>
    <row r="4013" spans="1:21" ht="16" x14ac:dyDescent="0.4">
      <c r="A4013" s="9">
        <v>26009</v>
      </c>
      <c r="B4013" s="8" t="s">
        <v>36</v>
      </c>
      <c r="C4013" s="8" t="s">
        <v>17</v>
      </c>
      <c r="D4013" s="8">
        <v>899</v>
      </c>
      <c r="E4013" s="8">
        <v>396</v>
      </c>
      <c r="F4013" s="8">
        <v>501</v>
      </c>
      <c r="G4013" s="8">
        <v>1</v>
      </c>
      <c r="H4013" s="8">
        <v>15973</v>
      </c>
      <c r="I4013" s="8">
        <v>6</v>
      </c>
      <c r="J4013" s="8">
        <v>44</v>
      </c>
      <c r="K4013" s="8">
        <v>417</v>
      </c>
      <c r="L4013" s="8">
        <v>479</v>
      </c>
      <c r="M4013" s="8">
        <v>8</v>
      </c>
      <c r="N4013">
        <f>VLOOKUP(A4013,vlookup_table!$A:$G,2,FALSE)</f>
        <v>2</v>
      </c>
      <c r="O4013" t="str">
        <f>VLOOKUP(A4013,vlookup_table!$A:$G,3,FALSE)</f>
        <v>GA</v>
      </c>
      <c r="P4013">
        <f>VLOOKUP(A4013,vlookup_table!$A:$G,4,FALSE)</f>
        <v>6411</v>
      </c>
      <c r="Q4013" t="str">
        <f>VLOOKUP(A4013,vlookup_table!$A:$G,5,FALSE)</f>
        <v>S2</v>
      </c>
      <c r="R4013" t="str">
        <f>VLOOKUP(A4013,vlookup_table!$A:$G,6,FALSE)</f>
        <v>F</v>
      </c>
      <c r="S4013">
        <f>VLOOKUP(A4013,vlookup_table!$A:$G,7,FALSE)</f>
        <v>15</v>
      </c>
      <c r="T4013">
        <f t="shared" si="124"/>
        <v>32</v>
      </c>
      <c r="U4013" t="str">
        <f t="shared" si="125"/>
        <v>Suburbano</v>
      </c>
    </row>
    <row r="4014" spans="1:21" ht="16" x14ac:dyDescent="0.4">
      <c r="A4014" s="9">
        <v>2311</v>
      </c>
      <c r="B4014" s="8" t="s">
        <v>26</v>
      </c>
      <c r="C4014" s="8" t="s">
        <v>14</v>
      </c>
      <c r="D4014" s="8">
        <v>817</v>
      </c>
      <c r="E4014" s="8">
        <v>488</v>
      </c>
      <c r="F4014" s="8">
        <v>567</v>
      </c>
      <c r="G4014" s="8">
        <v>0</v>
      </c>
      <c r="H4014" s="8">
        <v>18712</v>
      </c>
      <c r="I4014" s="8">
        <v>1</v>
      </c>
      <c r="J4014" s="8">
        <v>77</v>
      </c>
      <c r="K4014" s="8">
        <v>534</v>
      </c>
      <c r="L4014" s="8">
        <v>526</v>
      </c>
      <c r="M4014" s="8">
        <v>5.3333333329999997</v>
      </c>
      <c r="N4014">
        <f>VLOOKUP(A4014,vlookup_table!$A:$G,2,FALSE)</f>
        <v>0</v>
      </c>
      <c r="O4014" t="str">
        <f>VLOOKUP(A4014,vlookup_table!$A:$G,3,FALSE)</f>
        <v>MI</v>
      </c>
      <c r="P4014">
        <f>VLOOKUP(A4014,vlookup_table!$A:$G,4,FALSE)</f>
        <v>0</v>
      </c>
      <c r="Q4014" t="str">
        <f>VLOOKUP(A4014,vlookup_table!$A:$G,5,FALSE)</f>
        <v/>
      </c>
      <c r="R4014" t="str">
        <f>VLOOKUP(A4014,vlookup_table!$A:$G,6,FALSE)</f>
        <v>M</v>
      </c>
      <c r="S4014">
        <f>VLOOKUP(A4014,vlookup_table!$A:$G,7,FALSE)</f>
        <v>5</v>
      </c>
      <c r="T4014">
        <f t="shared" si="124"/>
        <v>96</v>
      </c>
      <c r="U4014" t="str">
        <f t="shared" si="125"/>
        <v/>
      </c>
    </row>
    <row r="4015" spans="1:21" ht="16" x14ac:dyDescent="0.4">
      <c r="A4015" s="9">
        <v>77441</v>
      </c>
      <c r="B4015" s="8" t="s">
        <v>32</v>
      </c>
      <c r="C4015" s="8" t="s">
        <v>17</v>
      </c>
      <c r="D4015" s="8">
        <v>725</v>
      </c>
      <c r="E4015" s="8">
        <v>316</v>
      </c>
      <c r="F4015" s="8">
        <v>376</v>
      </c>
      <c r="G4015" s="8">
        <v>0</v>
      </c>
      <c r="H4015" s="8">
        <v>11623</v>
      </c>
      <c r="I4015" s="8">
        <v>1</v>
      </c>
      <c r="J4015" s="8">
        <v>86</v>
      </c>
      <c r="K4015" s="8">
        <v>354</v>
      </c>
      <c r="L4015" s="8">
        <v>335</v>
      </c>
      <c r="M4015" s="8">
        <v>7.6666666670000003</v>
      </c>
      <c r="N4015">
        <f>VLOOKUP(A4015,vlookup_table!$A:$G,2,FALSE)</f>
        <v>0</v>
      </c>
      <c r="O4015" t="str">
        <f>VLOOKUP(A4015,vlookup_table!$A:$G,3,FALSE)</f>
        <v>WI</v>
      </c>
      <c r="P4015">
        <f>VLOOKUP(A4015,vlookup_table!$A:$G,4,FALSE)</f>
        <v>5701</v>
      </c>
      <c r="Q4015" t="str">
        <f>VLOOKUP(A4015,vlookup_table!$A:$G,5,FALSE)</f>
        <v>T2</v>
      </c>
      <c r="R4015" t="str">
        <f>VLOOKUP(A4015,vlookup_table!$A:$G,6,FALSE)</f>
        <v>F</v>
      </c>
      <c r="S4015">
        <f>VLOOKUP(A4015,vlookup_table!$A:$G,7,FALSE)</f>
        <v>7</v>
      </c>
      <c r="T4015">
        <f t="shared" si="124"/>
        <v>39</v>
      </c>
      <c r="U4015" t="str">
        <f t="shared" si="125"/>
        <v>Pueblo</v>
      </c>
    </row>
    <row r="4016" spans="1:21" ht="16" x14ac:dyDescent="0.4">
      <c r="A4016" s="9">
        <v>6403</v>
      </c>
      <c r="B4016" s="8" t="s">
        <v>13</v>
      </c>
      <c r="C4016" s="8" t="s">
        <v>14</v>
      </c>
      <c r="D4016" s="8">
        <v>677</v>
      </c>
      <c r="E4016" s="8">
        <v>311</v>
      </c>
      <c r="F4016" s="8">
        <v>313</v>
      </c>
      <c r="G4016" s="8">
        <v>0</v>
      </c>
      <c r="H4016" s="8">
        <v>12509</v>
      </c>
      <c r="I4016" s="8">
        <v>2</v>
      </c>
      <c r="J4016" s="8">
        <v>23</v>
      </c>
      <c r="K4016" s="8">
        <v>272</v>
      </c>
      <c r="L4016" s="8">
        <v>324</v>
      </c>
      <c r="M4016" s="8">
        <v>10.11538462</v>
      </c>
      <c r="N4016">
        <f>VLOOKUP(A4016,vlookup_table!$A:$G,2,FALSE)</f>
        <v>1</v>
      </c>
      <c r="O4016" t="str">
        <f>VLOOKUP(A4016,vlookup_table!$A:$G,3,FALSE)</f>
        <v>FL</v>
      </c>
      <c r="P4016">
        <f>VLOOKUP(A4016,vlookup_table!$A:$G,4,FALSE)</f>
        <v>2703</v>
      </c>
      <c r="Q4016" t="str">
        <f>VLOOKUP(A4016,vlookup_table!$A:$G,5,FALSE)</f>
        <v>C2</v>
      </c>
      <c r="R4016" t="str">
        <f>VLOOKUP(A4016,vlookup_table!$A:$G,6,FALSE)</f>
        <v>M</v>
      </c>
      <c r="S4016">
        <f>VLOOKUP(A4016,vlookup_table!$A:$G,7,FALSE)</f>
        <v>10</v>
      </c>
      <c r="T4016">
        <f t="shared" si="124"/>
        <v>69</v>
      </c>
      <c r="U4016" t="str">
        <f t="shared" si="125"/>
        <v>Ciudad</v>
      </c>
    </row>
    <row r="4017" spans="1:21" ht="16" x14ac:dyDescent="0.4">
      <c r="A4017" s="9">
        <v>117326</v>
      </c>
      <c r="B4017" s="8" t="s">
        <v>20</v>
      </c>
      <c r="C4017" s="8" t="s">
        <v>17</v>
      </c>
      <c r="D4017" s="8">
        <v>1715</v>
      </c>
      <c r="E4017" s="8">
        <v>554</v>
      </c>
      <c r="F4017" s="8">
        <v>837</v>
      </c>
      <c r="G4017" s="8">
        <v>34</v>
      </c>
      <c r="H4017" s="8">
        <v>31480</v>
      </c>
      <c r="I4017" s="8">
        <v>3</v>
      </c>
      <c r="J4017" s="8">
        <v>54</v>
      </c>
      <c r="K4017" s="8">
        <v>750</v>
      </c>
      <c r="L4017" s="8">
        <v>626</v>
      </c>
      <c r="M4017" s="8">
        <v>6.9166666670000003</v>
      </c>
      <c r="N4017">
        <f>VLOOKUP(A4017,vlookup_table!$A:$G,2,FALSE)</f>
        <v>0</v>
      </c>
      <c r="O4017" t="str">
        <f>VLOOKUP(A4017,vlookup_table!$A:$G,3,FALSE)</f>
        <v>TX</v>
      </c>
      <c r="P4017">
        <f>VLOOKUP(A4017,vlookup_table!$A:$G,4,FALSE)</f>
        <v>4105</v>
      </c>
      <c r="Q4017" t="str">
        <f>VLOOKUP(A4017,vlookup_table!$A:$G,5,FALSE)</f>
        <v>U1</v>
      </c>
      <c r="R4017" t="str">
        <f>VLOOKUP(A4017,vlookup_table!$A:$G,6,FALSE)</f>
        <v>F</v>
      </c>
      <c r="S4017">
        <f>VLOOKUP(A4017,vlookup_table!$A:$G,7,FALSE)</f>
        <v>10</v>
      </c>
      <c r="T4017">
        <f t="shared" si="124"/>
        <v>55</v>
      </c>
      <c r="U4017" t="str">
        <f t="shared" si="125"/>
        <v>Urbano</v>
      </c>
    </row>
    <row r="4018" spans="1:21" ht="16" x14ac:dyDescent="0.4">
      <c r="A4018" s="9">
        <v>68618</v>
      </c>
      <c r="B4018" s="8" t="s">
        <v>26</v>
      </c>
      <c r="C4018" s="8" t="s">
        <v>14</v>
      </c>
      <c r="D4018" s="8">
        <v>726</v>
      </c>
      <c r="E4018" s="8">
        <v>485</v>
      </c>
      <c r="F4018" s="8">
        <v>509</v>
      </c>
      <c r="G4018" s="8">
        <v>0</v>
      </c>
      <c r="H4018" s="8">
        <v>17020</v>
      </c>
      <c r="I4018" s="8">
        <v>3</v>
      </c>
      <c r="J4018" s="8">
        <v>85</v>
      </c>
      <c r="K4018" s="8">
        <v>495</v>
      </c>
      <c r="L4018" s="8">
        <v>516</v>
      </c>
      <c r="M4018" s="8">
        <v>17.22580645</v>
      </c>
      <c r="N4018">
        <f>VLOOKUP(A4018,vlookup_table!$A:$G,2,FALSE)</f>
        <v>1</v>
      </c>
      <c r="O4018" t="str">
        <f>VLOOKUP(A4018,vlookup_table!$A:$G,3,FALSE)</f>
        <v>MI</v>
      </c>
      <c r="P4018">
        <f>VLOOKUP(A4018,vlookup_table!$A:$G,4,FALSE)</f>
        <v>3312</v>
      </c>
      <c r="Q4018" t="str">
        <f>VLOOKUP(A4018,vlookup_table!$A:$G,5,FALSE)</f>
        <v>T1</v>
      </c>
      <c r="R4018" t="str">
        <f>VLOOKUP(A4018,vlookup_table!$A:$G,6,FALSE)</f>
        <v>M</v>
      </c>
      <c r="S4018">
        <f>VLOOKUP(A4018,vlookup_table!$A:$G,7,FALSE)</f>
        <v>40</v>
      </c>
      <c r="T4018">
        <f t="shared" si="124"/>
        <v>63</v>
      </c>
      <c r="U4018" t="str">
        <f t="shared" si="125"/>
        <v>Pueblo</v>
      </c>
    </row>
    <row r="4019" spans="1:21" ht="16" x14ac:dyDescent="0.4">
      <c r="A4019" s="9">
        <v>1646</v>
      </c>
      <c r="B4019" s="8" t="s">
        <v>21</v>
      </c>
      <c r="C4019" s="8" t="s">
        <v>14</v>
      </c>
      <c r="D4019" s="8">
        <v>675</v>
      </c>
      <c r="E4019" s="8">
        <v>163</v>
      </c>
      <c r="F4019" s="8">
        <v>230</v>
      </c>
      <c r="G4019" s="8">
        <v>1</v>
      </c>
      <c r="H4019" s="8">
        <v>7083</v>
      </c>
      <c r="I4019" s="8">
        <v>13</v>
      </c>
      <c r="J4019" s="8">
        <v>57</v>
      </c>
      <c r="K4019" s="8">
        <v>209</v>
      </c>
      <c r="L4019" s="8">
        <v>194</v>
      </c>
      <c r="M4019" s="8">
        <v>7.5625</v>
      </c>
      <c r="N4019">
        <f>VLOOKUP(A4019,vlookup_table!$A:$G,2,FALSE)</f>
        <v>1</v>
      </c>
      <c r="O4019" t="str">
        <f>VLOOKUP(A4019,vlookup_table!$A:$G,3,FALSE)</f>
        <v>CA</v>
      </c>
      <c r="P4019">
        <f>VLOOKUP(A4019,vlookup_table!$A:$G,4,FALSE)</f>
        <v>4711</v>
      </c>
      <c r="Q4019" t="str">
        <f>VLOOKUP(A4019,vlookup_table!$A:$G,5,FALSE)</f>
        <v>C3</v>
      </c>
      <c r="R4019" t="str">
        <f>VLOOKUP(A4019,vlookup_table!$A:$G,6,FALSE)</f>
        <v>M</v>
      </c>
      <c r="S4019">
        <f>VLOOKUP(A4019,vlookup_table!$A:$G,7,FALSE)</f>
        <v>10</v>
      </c>
      <c r="T4019">
        <f t="shared" si="124"/>
        <v>49</v>
      </c>
      <c r="U4019" t="str">
        <f t="shared" si="125"/>
        <v>Ciudad</v>
      </c>
    </row>
    <row r="4020" spans="1:21" ht="16" x14ac:dyDescent="0.4">
      <c r="A4020" s="9">
        <v>66762</v>
      </c>
      <c r="B4020" s="8" t="s">
        <v>26</v>
      </c>
      <c r="C4020" s="8" t="s">
        <v>17</v>
      </c>
      <c r="D4020" s="8">
        <v>632</v>
      </c>
      <c r="E4020" s="8">
        <v>279</v>
      </c>
      <c r="F4020" s="8">
        <v>388</v>
      </c>
      <c r="G4020" s="8">
        <v>2</v>
      </c>
      <c r="H4020" s="8">
        <v>12653</v>
      </c>
      <c r="I4020" s="8">
        <v>1</v>
      </c>
      <c r="J4020" s="8">
        <v>71</v>
      </c>
      <c r="K4020" s="8">
        <v>336</v>
      </c>
      <c r="L4020" s="8">
        <v>339</v>
      </c>
      <c r="M4020" s="8">
        <v>8.5333333329999999</v>
      </c>
      <c r="N4020">
        <f>VLOOKUP(A4020,vlookup_table!$A:$G,2,FALSE)</f>
        <v>0</v>
      </c>
      <c r="O4020" t="str">
        <f>VLOOKUP(A4020,vlookup_table!$A:$G,3,FALSE)</f>
        <v>MI</v>
      </c>
      <c r="P4020">
        <f>VLOOKUP(A4020,vlookup_table!$A:$G,4,FALSE)</f>
        <v>0</v>
      </c>
      <c r="Q4020" t="str">
        <f>VLOOKUP(A4020,vlookup_table!$A:$G,5,FALSE)</f>
        <v/>
      </c>
      <c r="R4020" t="str">
        <f>VLOOKUP(A4020,vlookup_table!$A:$G,6,FALSE)</f>
        <v>F</v>
      </c>
      <c r="S4020">
        <f>VLOOKUP(A4020,vlookup_table!$A:$G,7,FALSE)</f>
        <v>5</v>
      </c>
      <c r="T4020">
        <f t="shared" si="124"/>
        <v>96</v>
      </c>
      <c r="U4020" t="str">
        <f t="shared" si="125"/>
        <v/>
      </c>
    </row>
    <row r="4021" spans="1:21" ht="16" x14ac:dyDescent="0.4">
      <c r="A4021" s="9">
        <v>6443</v>
      </c>
      <c r="B4021" s="8" t="s">
        <v>13</v>
      </c>
      <c r="C4021" s="8" t="s">
        <v>14</v>
      </c>
      <c r="D4021" s="8">
        <v>595</v>
      </c>
      <c r="E4021" s="8">
        <v>252</v>
      </c>
      <c r="F4021" s="8">
        <v>274</v>
      </c>
      <c r="G4021" s="8">
        <v>0</v>
      </c>
      <c r="H4021" s="8">
        <v>11132</v>
      </c>
      <c r="I4021" s="8">
        <v>8</v>
      </c>
      <c r="J4021" s="8">
        <v>11</v>
      </c>
      <c r="K4021" s="8">
        <v>263</v>
      </c>
      <c r="L4021" s="8">
        <v>262</v>
      </c>
      <c r="M4021" s="8">
        <v>14.69230769</v>
      </c>
      <c r="N4021">
        <f>VLOOKUP(A4021,vlookup_table!$A:$G,2,FALSE)</f>
        <v>1</v>
      </c>
      <c r="O4021" t="str">
        <f>VLOOKUP(A4021,vlookup_table!$A:$G,3,FALSE)</f>
        <v>FL</v>
      </c>
      <c r="P4021">
        <f>VLOOKUP(A4021,vlookup_table!$A:$G,4,FALSE)</f>
        <v>2501</v>
      </c>
      <c r="Q4021" t="str">
        <f>VLOOKUP(A4021,vlookup_table!$A:$G,5,FALSE)</f>
        <v>T2</v>
      </c>
      <c r="R4021" t="str">
        <f>VLOOKUP(A4021,vlookup_table!$A:$G,6,FALSE)</f>
        <v>M</v>
      </c>
      <c r="S4021">
        <f>VLOOKUP(A4021,vlookup_table!$A:$G,7,FALSE)</f>
        <v>20</v>
      </c>
      <c r="T4021">
        <f t="shared" si="124"/>
        <v>71</v>
      </c>
      <c r="U4021" t="str">
        <f t="shared" si="125"/>
        <v>Pueblo</v>
      </c>
    </row>
    <row r="4022" spans="1:21" ht="16" x14ac:dyDescent="0.4">
      <c r="A4022" s="9">
        <v>151175</v>
      </c>
      <c r="B4022" s="8" t="s">
        <v>21</v>
      </c>
      <c r="C4022" s="8" t="s">
        <v>17</v>
      </c>
      <c r="D4022" s="8">
        <v>2707</v>
      </c>
      <c r="E4022" s="8">
        <v>507</v>
      </c>
      <c r="F4022" s="8">
        <v>537</v>
      </c>
      <c r="G4022" s="8">
        <v>80</v>
      </c>
      <c r="H4022" s="8">
        <v>16165</v>
      </c>
      <c r="I4022" s="8">
        <v>24</v>
      </c>
      <c r="J4022" s="8">
        <v>54</v>
      </c>
      <c r="K4022" s="8">
        <v>504</v>
      </c>
      <c r="L4022" s="8">
        <v>538</v>
      </c>
      <c r="M4022" s="8">
        <v>12.117647059999999</v>
      </c>
      <c r="N4022">
        <f>VLOOKUP(A4022,vlookup_table!$A:$G,2,FALSE)</f>
        <v>0</v>
      </c>
      <c r="O4022" t="str">
        <f>VLOOKUP(A4022,vlookup_table!$A:$G,3,FALSE)</f>
        <v>CA</v>
      </c>
      <c r="P4022">
        <f>VLOOKUP(A4022,vlookup_table!$A:$G,4,FALSE)</f>
        <v>4001</v>
      </c>
      <c r="Q4022" t="str">
        <f>VLOOKUP(A4022,vlookup_table!$A:$G,5,FALSE)</f>
        <v>U1</v>
      </c>
      <c r="R4022" t="str">
        <f>VLOOKUP(A4022,vlookup_table!$A:$G,6,FALSE)</f>
        <v>F</v>
      </c>
      <c r="S4022">
        <f>VLOOKUP(A4022,vlookup_table!$A:$G,7,FALSE)</f>
        <v>22</v>
      </c>
      <c r="T4022">
        <f t="shared" si="124"/>
        <v>56</v>
      </c>
      <c r="U4022" t="str">
        <f t="shared" si="125"/>
        <v>Urbano</v>
      </c>
    </row>
    <row r="4023" spans="1:21" ht="16" x14ac:dyDescent="0.4">
      <c r="A4023" s="9">
        <v>151504</v>
      </c>
      <c r="B4023" s="8" t="s">
        <v>21</v>
      </c>
      <c r="C4023" s="8" t="s">
        <v>14</v>
      </c>
      <c r="D4023" s="8">
        <v>2666</v>
      </c>
      <c r="E4023" s="8">
        <v>535</v>
      </c>
      <c r="F4023" s="8">
        <v>653</v>
      </c>
      <c r="G4023" s="8">
        <v>63</v>
      </c>
      <c r="H4023" s="8">
        <v>24745</v>
      </c>
      <c r="I4023" s="8">
        <v>22</v>
      </c>
      <c r="J4023" s="8">
        <v>45</v>
      </c>
      <c r="K4023" s="8">
        <v>609</v>
      </c>
      <c r="L4023" s="8">
        <v>612</v>
      </c>
      <c r="M4023" s="8">
        <v>12.33333333</v>
      </c>
      <c r="N4023">
        <f>VLOOKUP(A4023,vlookup_table!$A:$G,2,FALSE)</f>
        <v>1</v>
      </c>
      <c r="O4023" t="str">
        <f>VLOOKUP(A4023,vlookup_table!$A:$G,3,FALSE)</f>
        <v>CA</v>
      </c>
      <c r="P4023">
        <f>VLOOKUP(A4023,vlookup_table!$A:$G,4,FALSE)</f>
        <v>4401</v>
      </c>
      <c r="Q4023" t="str">
        <f>VLOOKUP(A4023,vlookup_table!$A:$G,5,FALSE)</f>
        <v>S1</v>
      </c>
      <c r="R4023" t="str">
        <f>VLOOKUP(A4023,vlookup_table!$A:$G,6,FALSE)</f>
        <v>M</v>
      </c>
      <c r="S4023">
        <f>VLOOKUP(A4023,vlookup_table!$A:$G,7,FALSE)</f>
        <v>21</v>
      </c>
      <c r="T4023">
        <f t="shared" si="124"/>
        <v>52</v>
      </c>
      <c r="U4023" t="str">
        <f t="shared" si="125"/>
        <v>Suburbano</v>
      </c>
    </row>
    <row r="4024" spans="1:21" ht="16" x14ac:dyDescent="0.4">
      <c r="A4024" s="9">
        <v>74303</v>
      </c>
      <c r="B4024" s="8" t="s">
        <v>26</v>
      </c>
      <c r="C4024" s="8" t="s">
        <v>14</v>
      </c>
      <c r="D4024" s="8">
        <v>444</v>
      </c>
      <c r="E4024" s="8">
        <v>225</v>
      </c>
      <c r="F4024" s="8">
        <v>299</v>
      </c>
      <c r="G4024" s="8">
        <v>3</v>
      </c>
      <c r="H4024" s="8">
        <v>10088</v>
      </c>
      <c r="I4024" s="8">
        <v>1</v>
      </c>
      <c r="J4024" s="8">
        <v>86</v>
      </c>
      <c r="K4024" s="8">
        <v>264</v>
      </c>
      <c r="L4024" s="8">
        <v>269</v>
      </c>
      <c r="M4024" s="8">
        <v>17.14285714</v>
      </c>
      <c r="N4024">
        <f>VLOOKUP(A4024,vlookup_table!$A:$G,2,FALSE)</f>
        <v>4</v>
      </c>
      <c r="O4024" t="str">
        <f>VLOOKUP(A4024,vlookup_table!$A:$G,3,FALSE)</f>
        <v>MI</v>
      </c>
      <c r="P4024">
        <f>VLOOKUP(A4024,vlookup_table!$A:$G,4,FALSE)</f>
        <v>405</v>
      </c>
      <c r="Q4024" t="str">
        <f>VLOOKUP(A4024,vlookup_table!$A:$G,5,FALSE)</f>
        <v>R2</v>
      </c>
      <c r="R4024" t="str">
        <f>VLOOKUP(A4024,vlookup_table!$A:$G,6,FALSE)</f>
        <v>M</v>
      </c>
      <c r="S4024">
        <f>VLOOKUP(A4024,vlookup_table!$A:$G,7,FALSE)</f>
        <v>25</v>
      </c>
      <c r="T4024">
        <f t="shared" si="124"/>
        <v>56</v>
      </c>
      <c r="U4024" t="str">
        <f t="shared" si="125"/>
        <v>Rural</v>
      </c>
    </row>
    <row r="4025" spans="1:21" ht="16" x14ac:dyDescent="0.4">
      <c r="A4025" s="9">
        <v>41537</v>
      </c>
      <c r="B4025" s="8" t="s">
        <v>13</v>
      </c>
      <c r="C4025" s="8" t="s">
        <v>17</v>
      </c>
      <c r="D4025" s="8">
        <v>742</v>
      </c>
      <c r="E4025" s="8">
        <v>396</v>
      </c>
      <c r="F4025" s="8">
        <v>470</v>
      </c>
      <c r="G4025" s="8">
        <v>0</v>
      </c>
      <c r="H4025" s="8">
        <v>15356</v>
      </c>
      <c r="I4025" s="8">
        <v>7</v>
      </c>
      <c r="J4025" s="8">
        <v>37</v>
      </c>
      <c r="K4025" s="8">
        <v>424</v>
      </c>
      <c r="L4025" s="8">
        <v>450</v>
      </c>
      <c r="M4025" s="8">
        <v>14.28571429</v>
      </c>
      <c r="N4025">
        <f>VLOOKUP(A4025,vlookup_table!$A:$G,2,FALSE)</f>
        <v>2</v>
      </c>
      <c r="O4025" t="str">
        <f>VLOOKUP(A4025,vlookup_table!$A:$G,3,FALSE)</f>
        <v>FL</v>
      </c>
      <c r="P4025">
        <f>VLOOKUP(A4025,vlookup_table!$A:$G,4,FALSE)</f>
        <v>6101</v>
      </c>
      <c r="Q4025" t="str">
        <f>VLOOKUP(A4025,vlookup_table!$A:$G,5,FALSE)</f>
        <v>S2</v>
      </c>
      <c r="R4025" t="str">
        <f>VLOOKUP(A4025,vlookup_table!$A:$G,6,FALSE)</f>
        <v>F</v>
      </c>
      <c r="S4025">
        <f>VLOOKUP(A4025,vlookup_table!$A:$G,7,FALSE)</f>
        <v>50</v>
      </c>
      <c r="T4025">
        <f t="shared" si="124"/>
        <v>35</v>
      </c>
      <c r="U4025" t="str">
        <f t="shared" si="125"/>
        <v>Suburbano</v>
      </c>
    </row>
    <row r="4026" spans="1:21" ht="16" x14ac:dyDescent="0.4">
      <c r="A4026" s="9">
        <v>4881</v>
      </c>
      <c r="B4026" s="8" t="s">
        <v>13</v>
      </c>
      <c r="C4026" s="8" t="s">
        <v>14</v>
      </c>
      <c r="D4026" s="8">
        <v>599</v>
      </c>
      <c r="E4026" s="8">
        <v>100</v>
      </c>
      <c r="F4026" s="8">
        <v>423</v>
      </c>
      <c r="G4026" s="8">
        <v>4</v>
      </c>
      <c r="H4026" s="8">
        <v>11670</v>
      </c>
      <c r="I4026" s="8">
        <v>10</v>
      </c>
      <c r="J4026" s="8">
        <v>27</v>
      </c>
      <c r="K4026" s="8">
        <v>406</v>
      </c>
      <c r="L4026" s="8">
        <v>200</v>
      </c>
      <c r="M4026" s="8">
        <v>9.230769231</v>
      </c>
      <c r="N4026">
        <f>VLOOKUP(A4026,vlookup_table!$A:$G,2,FALSE)</f>
        <v>28</v>
      </c>
      <c r="O4026" t="str">
        <f>VLOOKUP(A4026,vlookup_table!$A:$G,3,FALSE)</f>
        <v>FL</v>
      </c>
      <c r="P4026">
        <f>VLOOKUP(A4026,vlookup_table!$A:$G,4,FALSE)</f>
        <v>7401</v>
      </c>
      <c r="Q4026" t="str">
        <f>VLOOKUP(A4026,vlookup_table!$A:$G,5,FALSE)</f>
        <v>C1</v>
      </c>
      <c r="R4026" t="str">
        <f>VLOOKUP(A4026,vlookup_table!$A:$G,6,FALSE)</f>
        <v>M</v>
      </c>
      <c r="S4026">
        <f>VLOOKUP(A4026,vlookup_table!$A:$G,7,FALSE)</f>
        <v>10</v>
      </c>
      <c r="T4026">
        <f t="shared" si="124"/>
        <v>22</v>
      </c>
      <c r="U4026" t="str">
        <f t="shared" si="125"/>
        <v>Ciudad</v>
      </c>
    </row>
    <row r="4027" spans="1:21" ht="16" x14ac:dyDescent="0.4">
      <c r="A4027" s="9">
        <v>66358</v>
      </c>
      <c r="B4027" s="8" t="s">
        <v>42</v>
      </c>
      <c r="C4027" s="8" t="s">
        <v>14</v>
      </c>
      <c r="D4027" s="8">
        <v>593</v>
      </c>
      <c r="E4027" s="8">
        <v>258</v>
      </c>
      <c r="F4027" s="8">
        <v>299</v>
      </c>
      <c r="G4027" s="8">
        <v>0</v>
      </c>
      <c r="H4027" s="8">
        <v>10186</v>
      </c>
      <c r="I4027" s="8">
        <v>1</v>
      </c>
      <c r="J4027" s="8">
        <v>70</v>
      </c>
      <c r="K4027" s="8">
        <v>298</v>
      </c>
      <c r="L4027" s="8">
        <v>274</v>
      </c>
      <c r="M4027" s="8">
        <v>5.266666667</v>
      </c>
      <c r="N4027">
        <f>VLOOKUP(A4027,vlookup_table!$A:$G,2,FALSE)</f>
        <v>1</v>
      </c>
      <c r="O4027" t="str">
        <f>VLOOKUP(A4027,vlookup_table!$A:$G,3,FALSE)</f>
        <v>ND</v>
      </c>
      <c r="P4027">
        <f>VLOOKUP(A4027,vlookup_table!$A:$G,4,FALSE)</f>
        <v>3301</v>
      </c>
      <c r="Q4027" t="str">
        <f>VLOOKUP(A4027,vlookup_table!$A:$G,5,FALSE)</f>
        <v>S2</v>
      </c>
      <c r="R4027" t="str">
        <f>VLOOKUP(A4027,vlookup_table!$A:$G,6,FALSE)</f>
        <v>M</v>
      </c>
      <c r="S4027">
        <f>VLOOKUP(A4027,vlookup_table!$A:$G,7,FALSE)</f>
        <v>5</v>
      </c>
      <c r="T4027">
        <f t="shared" si="124"/>
        <v>63</v>
      </c>
      <c r="U4027" t="str">
        <f t="shared" si="125"/>
        <v>Suburbano</v>
      </c>
    </row>
    <row r="4028" spans="1:21" ht="16" x14ac:dyDescent="0.4">
      <c r="A4028" s="9">
        <v>2231</v>
      </c>
      <c r="B4028" s="8" t="s">
        <v>32</v>
      </c>
      <c r="C4028" s="8" t="s">
        <v>14</v>
      </c>
      <c r="D4028" s="8">
        <v>564</v>
      </c>
      <c r="E4028" s="8">
        <v>217</v>
      </c>
      <c r="F4028" s="8">
        <v>397</v>
      </c>
      <c r="G4028" s="8">
        <v>0</v>
      </c>
      <c r="H4028" s="8">
        <v>12315</v>
      </c>
      <c r="I4028" s="8">
        <v>0</v>
      </c>
      <c r="J4028" s="8">
        <v>96</v>
      </c>
      <c r="K4028" s="8">
        <v>386</v>
      </c>
      <c r="L4028" s="8">
        <v>295</v>
      </c>
      <c r="M4028" s="8">
        <v>11.4</v>
      </c>
      <c r="N4028">
        <f>VLOOKUP(A4028,vlookup_table!$A:$G,2,FALSE)</f>
        <v>1</v>
      </c>
      <c r="O4028" t="str">
        <f>VLOOKUP(A4028,vlookup_table!$A:$G,3,FALSE)</f>
        <v>WI</v>
      </c>
      <c r="P4028">
        <f>VLOOKUP(A4028,vlookup_table!$A:$G,4,FALSE)</f>
        <v>7301</v>
      </c>
      <c r="Q4028" t="str">
        <f>VLOOKUP(A4028,vlookup_table!$A:$G,5,FALSE)</f>
        <v>T2</v>
      </c>
      <c r="R4028" t="str">
        <f>VLOOKUP(A4028,vlookup_table!$A:$G,6,FALSE)</f>
        <v>M</v>
      </c>
      <c r="S4028">
        <f>VLOOKUP(A4028,vlookup_table!$A:$G,7,FALSE)</f>
        <v>14</v>
      </c>
      <c r="T4028">
        <f t="shared" si="124"/>
        <v>23</v>
      </c>
      <c r="U4028" t="str">
        <f t="shared" si="125"/>
        <v>Pueblo</v>
      </c>
    </row>
    <row r="4029" spans="1:21" ht="16" x14ac:dyDescent="0.4">
      <c r="A4029" s="9">
        <v>68534</v>
      </c>
      <c r="B4029" s="8" t="s">
        <v>26</v>
      </c>
      <c r="C4029" s="8" t="s">
        <v>14</v>
      </c>
      <c r="D4029" s="8">
        <v>651</v>
      </c>
      <c r="E4029" s="8">
        <v>431</v>
      </c>
      <c r="F4029" s="8">
        <v>505</v>
      </c>
      <c r="G4029" s="8">
        <v>0</v>
      </c>
      <c r="H4029" s="8">
        <v>14845</v>
      </c>
      <c r="I4029" s="8">
        <v>7</v>
      </c>
      <c r="J4029" s="8">
        <v>77</v>
      </c>
      <c r="K4029" s="8">
        <v>451</v>
      </c>
      <c r="L4029" s="8">
        <v>455</v>
      </c>
      <c r="M4029" s="8">
        <v>7.4285714289999998</v>
      </c>
      <c r="N4029">
        <f>VLOOKUP(A4029,vlookup_table!$A:$G,2,FALSE)</f>
        <v>1</v>
      </c>
      <c r="O4029" t="str">
        <f>VLOOKUP(A4029,vlookup_table!$A:$G,3,FALSE)</f>
        <v>MI</v>
      </c>
      <c r="P4029">
        <f>VLOOKUP(A4029,vlookup_table!$A:$G,4,FALSE)</f>
        <v>1709</v>
      </c>
      <c r="Q4029" t="str">
        <f>VLOOKUP(A4029,vlookup_table!$A:$G,5,FALSE)</f>
        <v>S2</v>
      </c>
      <c r="R4029" t="str">
        <f>VLOOKUP(A4029,vlookup_table!$A:$G,6,FALSE)</f>
        <v>M</v>
      </c>
      <c r="S4029">
        <f>VLOOKUP(A4029,vlookup_table!$A:$G,7,FALSE)</f>
        <v>9</v>
      </c>
      <c r="T4029">
        <f t="shared" si="124"/>
        <v>79</v>
      </c>
      <c r="U4029" t="str">
        <f t="shared" si="125"/>
        <v>Suburbano</v>
      </c>
    </row>
  </sheetData>
  <autoFilter ref="A1:U1" xr:uid="{7C5E0A65-54CB-47AF-B456-641F16DFE87D}"/>
  <hyperlinks>
    <hyperlink ref="H16" r:id="rId1" display="10755@" xr:uid="{8DE64830-0BB2-CC43-9D1C-E69B24534859}"/>
    <hyperlink ref="H994" r:id="rId2" display="10909@" xr:uid="{917519B6-CF99-2540-B3C7-AD095CAFD1A4}"/>
    <hyperlink ref="H972" r:id="rId3" display="10909@" xr:uid="{7F9359DB-589F-174F-9A1C-B28F9C608D90}"/>
    <hyperlink ref="H942" r:id="rId4" display="10909@" xr:uid="{06EEA83A-D8CF-5147-96AD-F72467EAC01D}"/>
    <hyperlink ref="H925" r:id="rId5" display="10909@" xr:uid="{020142F2-2182-4240-A9D7-442E42F182AA}"/>
    <hyperlink ref="H907" r:id="rId6" display="10909@" xr:uid="{192D6555-47F1-4D49-9FA6-03598A4FE7C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4DF8E-09E6-4AAF-9D82-97A578EE7933}">
  <dimension ref="A1:G4001"/>
  <sheetViews>
    <sheetView workbookViewId="0">
      <selection activeCell="I4" sqref="I4"/>
    </sheetView>
  </sheetViews>
  <sheetFormatPr defaultRowHeight="14.5" x14ac:dyDescent="0.35"/>
  <cols>
    <col min="1" max="2" width="8.81640625" bestFit="1" customWidth="1"/>
    <col min="3" max="3" width="8.08984375" bestFit="1" customWidth="1"/>
    <col min="4" max="4" width="6.7265625" bestFit="1" customWidth="1"/>
    <col min="5" max="5" width="10" bestFit="1" customWidth="1"/>
    <col min="6" max="6" width="10.08984375" bestFit="1" customWidth="1"/>
    <col min="7" max="7" width="11.54296875" bestFit="1" customWidth="1"/>
  </cols>
  <sheetData>
    <row r="1" spans="1:7" x14ac:dyDescent="0.35">
      <c r="A1" s="10" t="s">
        <v>0</v>
      </c>
      <c r="B1" t="s">
        <v>74</v>
      </c>
      <c r="C1" t="s">
        <v>1</v>
      </c>
      <c r="D1" t="s">
        <v>75</v>
      </c>
      <c r="E1" t="s">
        <v>76</v>
      </c>
      <c r="F1" t="s">
        <v>2</v>
      </c>
      <c r="G1" t="s">
        <v>77</v>
      </c>
    </row>
    <row r="2" spans="1:7" x14ac:dyDescent="0.35">
      <c r="A2">
        <v>44060</v>
      </c>
      <c r="B2">
        <v>1</v>
      </c>
      <c r="C2" s="5" t="s">
        <v>13</v>
      </c>
      <c r="D2">
        <v>1901</v>
      </c>
      <c r="E2" s="5" t="s">
        <v>78</v>
      </c>
      <c r="F2" s="5" t="s">
        <v>14</v>
      </c>
      <c r="G2">
        <v>100</v>
      </c>
    </row>
    <row r="3" spans="1:7" x14ac:dyDescent="0.35">
      <c r="A3">
        <v>96093</v>
      </c>
      <c r="B3">
        <v>0</v>
      </c>
      <c r="C3" s="5" t="s">
        <v>16</v>
      </c>
      <c r="D3">
        <v>0</v>
      </c>
      <c r="E3" s="5" t="s">
        <v>79</v>
      </c>
      <c r="F3" s="5" t="s">
        <v>14</v>
      </c>
      <c r="G3">
        <v>7</v>
      </c>
    </row>
    <row r="4" spans="1:7" x14ac:dyDescent="0.35">
      <c r="A4">
        <v>43333</v>
      </c>
      <c r="B4">
        <v>0</v>
      </c>
      <c r="C4" s="5" t="s">
        <v>13</v>
      </c>
      <c r="D4">
        <v>2501</v>
      </c>
      <c r="E4" s="5" t="s">
        <v>78</v>
      </c>
      <c r="F4" s="5" t="s">
        <v>17</v>
      </c>
      <c r="G4">
        <v>5</v>
      </c>
    </row>
    <row r="5" spans="1:7" x14ac:dyDescent="0.35">
      <c r="A5">
        <v>21885</v>
      </c>
      <c r="B5">
        <v>0</v>
      </c>
      <c r="C5" s="5" t="s">
        <v>18</v>
      </c>
      <c r="D5">
        <v>2208</v>
      </c>
      <c r="E5" s="5" t="s">
        <v>79</v>
      </c>
      <c r="F5" s="5" t="s">
        <v>14</v>
      </c>
      <c r="G5">
        <v>38</v>
      </c>
    </row>
    <row r="6" spans="1:7" x14ac:dyDescent="0.35">
      <c r="A6">
        <v>190108</v>
      </c>
      <c r="B6">
        <v>28</v>
      </c>
      <c r="C6" s="5" t="s">
        <v>13</v>
      </c>
      <c r="D6">
        <v>0</v>
      </c>
      <c r="E6" s="5" t="s">
        <v>78</v>
      </c>
      <c r="F6" s="5" t="s">
        <v>17</v>
      </c>
      <c r="G6">
        <v>5</v>
      </c>
    </row>
    <row r="7" spans="1:7" x14ac:dyDescent="0.35">
      <c r="A7">
        <v>100640</v>
      </c>
      <c r="B7">
        <v>1</v>
      </c>
      <c r="C7" s="5" t="s">
        <v>16</v>
      </c>
      <c r="D7">
        <v>6104</v>
      </c>
      <c r="E7" s="5" t="s">
        <v>80</v>
      </c>
      <c r="F7" s="5" t="s">
        <v>14</v>
      </c>
      <c r="G7">
        <v>30</v>
      </c>
    </row>
    <row r="8" spans="1:7" x14ac:dyDescent="0.35">
      <c r="A8">
        <v>18581</v>
      </c>
      <c r="B8">
        <v>0</v>
      </c>
      <c r="C8" s="5" t="s">
        <v>18</v>
      </c>
      <c r="D8">
        <v>4407</v>
      </c>
      <c r="E8" s="5" t="s">
        <v>81</v>
      </c>
      <c r="F8" s="5" t="s">
        <v>17</v>
      </c>
      <c r="G8">
        <v>12</v>
      </c>
    </row>
    <row r="9" spans="1:7" x14ac:dyDescent="0.35">
      <c r="A9">
        <v>119038</v>
      </c>
      <c r="B9">
        <v>1002</v>
      </c>
      <c r="C9" s="5" t="s">
        <v>20</v>
      </c>
      <c r="D9">
        <v>0</v>
      </c>
      <c r="E9" s="5" t="s">
        <v>82</v>
      </c>
      <c r="F9" s="5" t="s">
        <v>14</v>
      </c>
      <c r="G9">
        <v>7</v>
      </c>
    </row>
    <row r="10" spans="1:7" x14ac:dyDescent="0.35">
      <c r="A10">
        <v>173223</v>
      </c>
      <c r="B10">
        <v>0</v>
      </c>
      <c r="C10" s="5" t="s">
        <v>21</v>
      </c>
      <c r="D10">
        <v>1801</v>
      </c>
      <c r="E10" s="5" t="s">
        <v>79</v>
      </c>
      <c r="F10" s="5" t="s">
        <v>17</v>
      </c>
      <c r="G10">
        <v>10</v>
      </c>
    </row>
    <row r="11" spans="1:7" x14ac:dyDescent="0.35">
      <c r="A11">
        <v>157988</v>
      </c>
      <c r="B11">
        <v>28</v>
      </c>
      <c r="C11" s="5" t="s">
        <v>21</v>
      </c>
      <c r="D11">
        <v>0</v>
      </c>
      <c r="E11" s="5" t="s">
        <v>83</v>
      </c>
      <c r="F11" s="5" t="s">
        <v>17</v>
      </c>
      <c r="G11">
        <v>10</v>
      </c>
    </row>
    <row r="12" spans="1:7" x14ac:dyDescent="0.35">
      <c r="A12">
        <v>141720</v>
      </c>
      <c r="B12">
        <v>28</v>
      </c>
      <c r="C12" s="5" t="s">
        <v>23</v>
      </c>
      <c r="D12">
        <v>5401</v>
      </c>
      <c r="E12" s="5" t="s">
        <v>84</v>
      </c>
      <c r="F12" s="5" t="s">
        <v>17</v>
      </c>
      <c r="G12">
        <v>5</v>
      </c>
    </row>
    <row r="13" spans="1:7" x14ac:dyDescent="0.35">
      <c r="A13">
        <v>186272</v>
      </c>
      <c r="B13">
        <v>2</v>
      </c>
      <c r="C13" s="5" t="s">
        <v>21</v>
      </c>
      <c r="D13">
        <v>3401</v>
      </c>
      <c r="E13" s="5" t="s">
        <v>85</v>
      </c>
      <c r="F13" s="5" t="s">
        <v>17</v>
      </c>
      <c r="G13">
        <v>10</v>
      </c>
    </row>
    <row r="14" spans="1:7" x14ac:dyDescent="0.35">
      <c r="A14">
        <v>154301</v>
      </c>
      <c r="B14">
        <v>2</v>
      </c>
      <c r="C14" s="5" t="s">
        <v>21</v>
      </c>
      <c r="D14">
        <v>2801</v>
      </c>
      <c r="E14" s="5" t="s">
        <v>79</v>
      </c>
      <c r="F14" s="5" t="s">
        <v>17</v>
      </c>
      <c r="G14">
        <v>10</v>
      </c>
    </row>
    <row r="15" spans="1:7" x14ac:dyDescent="0.35">
      <c r="A15">
        <v>189722</v>
      </c>
      <c r="B15">
        <v>1</v>
      </c>
      <c r="C15" s="5" t="s">
        <v>24</v>
      </c>
      <c r="D15">
        <v>0</v>
      </c>
      <c r="E15" s="5" t="s">
        <v>86</v>
      </c>
      <c r="F15" s="5" t="s">
        <v>14</v>
      </c>
      <c r="G15">
        <v>6</v>
      </c>
    </row>
    <row r="16" spans="1:7" x14ac:dyDescent="0.35">
      <c r="A16">
        <v>188304</v>
      </c>
      <c r="B16">
        <v>0</v>
      </c>
      <c r="C16" s="5" t="s">
        <v>25</v>
      </c>
      <c r="D16">
        <v>2405</v>
      </c>
      <c r="E16" s="5" t="s">
        <v>79</v>
      </c>
      <c r="F16" s="5" t="s">
        <v>17</v>
      </c>
      <c r="G16">
        <v>10</v>
      </c>
    </row>
    <row r="17" spans="1:7" x14ac:dyDescent="0.35">
      <c r="A17">
        <v>73699</v>
      </c>
      <c r="B17">
        <v>1</v>
      </c>
      <c r="C17" s="5" t="s">
        <v>26</v>
      </c>
      <c r="D17">
        <v>5102</v>
      </c>
      <c r="E17" s="5" t="s">
        <v>83</v>
      </c>
      <c r="F17" s="5" t="s">
        <v>86</v>
      </c>
      <c r="G17">
        <v>15</v>
      </c>
    </row>
    <row r="18" spans="1:7" x14ac:dyDescent="0.35">
      <c r="A18">
        <v>31977</v>
      </c>
      <c r="B18">
        <v>2</v>
      </c>
      <c r="C18" s="5" t="s">
        <v>13</v>
      </c>
      <c r="D18">
        <v>2701</v>
      </c>
      <c r="E18" s="5" t="s">
        <v>84</v>
      </c>
      <c r="F18" s="5" t="s">
        <v>17</v>
      </c>
      <c r="G18">
        <v>28</v>
      </c>
    </row>
    <row r="19" spans="1:7" x14ac:dyDescent="0.35">
      <c r="A19">
        <v>44336</v>
      </c>
      <c r="B19">
        <v>0</v>
      </c>
      <c r="C19" s="5" t="s">
        <v>13</v>
      </c>
      <c r="D19">
        <v>6501</v>
      </c>
      <c r="E19" s="5" t="s">
        <v>78</v>
      </c>
      <c r="F19" s="5" t="s">
        <v>17</v>
      </c>
      <c r="G19">
        <v>15</v>
      </c>
    </row>
    <row r="20" spans="1:7" x14ac:dyDescent="0.35">
      <c r="A20">
        <v>127823</v>
      </c>
      <c r="B20">
        <v>2</v>
      </c>
      <c r="C20" s="5" t="s">
        <v>20</v>
      </c>
      <c r="D20">
        <v>2301</v>
      </c>
      <c r="E20" s="5" t="s">
        <v>87</v>
      </c>
      <c r="F20" s="5" t="s">
        <v>17</v>
      </c>
      <c r="G20">
        <v>6</v>
      </c>
    </row>
    <row r="21" spans="1:7" x14ac:dyDescent="0.35">
      <c r="A21">
        <v>150739</v>
      </c>
      <c r="B21">
        <v>2</v>
      </c>
      <c r="C21" s="5" t="s">
        <v>21</v>
      </c>
      <c r="D21">
        <v>5410</v>
      </c>
      <c r="E21" s="5" t="s">
        <v>83</v>
      </c>
      <c r="F21" s="5" t="s">
        <v>27</v>
      </c>
      <c r="G21">
        <v>12</v>
      </c>
    </row>
    <row r="22" spans="1:7" x14ac:dyDescent="0.35">
      <c r="A22">
        <v>41384</v>
      </c>
      <c r="B22">
        <v>28</v>
      </c>
      <c r="C22" s="5" t="s">
        <v>13</v>
      </c>
      <c r="D22">
        <v>5107</v>
      </c>
      <c r="E22" s="5" t="s">
        <v>88</v>
      </c>
      <c r="F22" s="5" t="s">
        <v>17</v>
      </c>
      <c r="G22">
        <v>12</v>
      </c>
    </row>
    <row r="23" spans="1:7" x14ac:dyDescent="0.35">
      <c r="A23">
        <v>114721</v>
      </c>
      <c r="B23">
        <v>0</v>
      </c>
      <c r="C23" s="5" t="s">
        <v>28</v>
      </c>
      <c r="D23">
        <v>0</v>
      </c>
      <c r="E23" s="5" t="s">
        <v>78</v>
      </c>
      <c r="F23" s="5" t="s">
        <v>86</v>
      </c>
      <c r="G23">
        <v>15</v>
      </c>
    </row>
    <row r="24" spans="1:7" x14ac:dyDescent="0.35">
      <c r="A24">
        <v>111795</v>
      </c>
      <c r="B24">
        <v>0</v>
      </c>
      <c r="C24" s="5" t="s">
        <v>29</v>
      </c>
      <c r="D24">
        <v>0</v>
      </c>
      <c r="E24" s="5" t="s">
        <v>86</v>
      </c>
      <c r="F24" s="5" t="s">
        <v>86</v>
      </c>
      <c r="G24">
        <v>5</v>
      </c>
    </row>
    <row r="25" spans="1:7" x14ac:dyDescent="0.35">
      <c r="A25">
        <v>64480</v>
      </c>
      <c r="B25">
        <v>28</v>
      </c>
      <c r="C25" s="5" t="s">
        <v>30</v>
      </c>
      <c r="D25">
        <v>0</v>
      </c>
      <c r="E25" s="5" t="s">
        <v>79</v>
      </c>
      <c r="F25" s="5" t="s">
        <v>17</v>
      </c>
      <c r="G25">
        <v>10</v>
      </c>
    </row>
    <row r="26" spans="1:7" x14ac:dyDescent="0.35">
      <c r="A26">
        <v>87259</v>
      </c>
      <c r="B26">
        <v>2</v>
      </c>
      <c r="C26" s="5" t="s">
        <v>31</v>
      </c>
      <c r="D26">
        <v>4304</v>
      </c>
      <c r="E26" s="5" t="s">
        <v>82</v>
      </c>
      <c r="F26" s="5" t="s">
        <v>14</v>
      </c>
      <c r="G26">
        <v>25</v>
      </c>
    </row>
    <row r="27" spans="1:7" x14ac:dyDescent="0.35">
      <c r="A27">
        <v>115823</v>
      </c>
      <c r="B27">
        <v>0</v>
      </c>
      <c r="C27" s="5" t="s">
        <v>20</v>
      </c>
      <c r="D27">
        <v>0</v>
      </c>
      <c r="E27" s="5" t="s">
        <v>83</v>
      </c>
      <c r="F27" s="5" t="s">
        <v>14</v>
      </c>
      <c r="G27">
        <v>15</v>
      </c>
    </row>
    <row r="28" spans="1:7" x14ac:dyDescent="0.35">
      <c r="A28">
        <v>95701</v>
      </c>
      <c r="B28">
        <v>1</v>
      </c>
      <c r="C28" s="5" t="s">
        <v>16</v>
      </c>
      <c r="D28">
        <v>4406</v>
      </c>
      <c r="E28" s="5" t="s">
        <v>80</v>
      </c>
      <c r="F28" s="5" t="s">
        <v>14</v>
      </c>
      <c r="G28">
        <v>5</v>
      </c>
    </row>
    <row r="29" spans="1:7" x14ac:dyDescent="0.35">
      <c r="A29">
        <v>5172</v>
      </c>
      <c r="B29">
        <v>1</v>
      </c>
      <c r="C29" s="5" t="s">
        <v>16</v>
      </c>
      <c r="D29">
        <v>6105</v>
      </c>
      <c r="E29" s="5" t="s">
        <v>89</v>
      </c>
      <c r="F29" s="5" t="s">
        <v>14</v>
      </c>
      <c r="G29">
        <v>10</v>
      </c>
    </row>
    <row r="30" spans="1:7" x14ac:dyDescent="0.35">
      <c r="A30">
        <v>152486</v>
      </c>
      <c r="B30">
        <v>1</v>
      </c>
      <c r="C30" s="5" t="s">
        <v>21</v>
      </c>
      <c r="D30">
        <v>2401</v>
      </c>
      <c r="E30" s="5" t="s">
        <v>80</v>
      </c>
      <c r="F30" s="5" t="s">
        <v>14</v>
      </c>
      <c r="G30">
        <v>5</v>
      </c>
    </row>
    <row r="31" spans="1:7" x14ac:dyDescent="0.35">
      <c r="A31">
        <v>153880</v>
      </c>
      <c r="B31">
        <v>2</v>
      </c>
      <c r="C31" s="5" t="s">
        <v>32</v>
      </c>
      <c r="D31">
        <v>5001</v>
      </c>
      <c r="E31" s="5" t="s">
        <v>83</v>
      </c>
      <c r="F31" s="5" t="s">
        <v>17</v>
      </c>
      <c r="G31">
        <v>5</v>
      </c>
    </row>
    <row r="32" spans="1:7" x14ac:dyDescent="0.35">
      <c r="A32">
        <v>101855</v>
      </c>
      <c r="B32">
        <v>1</v>
      </c>
      <c r="C32" s="5" t="s">
        <v>33</v>
      </c>
      <c r="D32">
        <v>2401</v>
      </c>
      <c r="E32" s="5" t="s">
        <v>78</v>
      </c>
      <c r="F32" s="5" t="s">
        <v>14</v>
      </c>
      <c r="G32">
        <v>10</v>
      </c>
    </row>
    <row r="33" spans="1:7" x14ac:dyDescent="0.35">
      <c r="A33">
        <v>62932</v>
      </c>
      <c r="B33">
        <v>1</v>
      </c>
      <c r="C33" s="5" t="s">
        <v>30</v>
      </c>
      <c r="D33">
        <v>0</v>
      </c>
      <c r="E33" s="5" t="s">
        <v>88</v>
      </c>
      <c r="F33" s="5" t="s">
        <v>14</v>
      </c>
      <c r="G33">
        <v>10</v>
      </c>
    </row>
    <row r="34" spans="1:7" x14ac:dyDescent="0.35">
      <c r="A34">
        <v>125930</v>
      </c>
      <c r="B34">
        <v>0</v>
      </c>
      <c r="C34" s="5" t="s">
        <v>20</v>
      </c>
      <c r="D34">
        <v>4806</v>
      </c>
      <c r="E34" s="5" t="s">
        <v>81</v>
      </c>
      <c r="F34" s="5" t="s">
        <v>17</v>
      </c>
      <c r="G34">
        <v>75</v>
      </c>
    </row>
    <row r="35" spans="1:7" x14ac:dyDescent="0.35">
      <c r="A35">
        <v>173653</v>
      </c>
      <c r="B35">
        <v>28</v>
      </c>
      <c r="C35" s="5" t="s">
        <v>34</v>
      </c>
      <c r="D35">
        <v>2401</v>
      </c>
      <c r="E35" s="5" t="s">
        <v>78</v>
      </c>
      <c r="F35" s="5" t="s">
        <v>17</v>
      </c>
      <c r="G35">
        <v>21</v>
      </c>
    </row>
    <row r="36" spans="1:7" x14ac:dyDescent="0.35">
      <c r="A36">
        <v>11011</v>
      </c>
      <c r="B36">
        <v>1002</v>
      </c>
      <c r="C36" s="5" t="s">
        <v>13</v>
      </c>
      <c r="D36">
        <v>2601</v>
      </c>
      <c r="E36" s="5" t="s">
        <v>88</v>
      </c>
      <c r="F36" s="5" t="s">
        <v>14</v>
      </c>
      <c r="G36">
        <v>20</v>
      </c>
    </row>
    <row r="37" spans="1:7" x14ac:dyDescent="0.35">
      <c r="A37">
        <v>116894</v>
      </c>
      <c r="B37">
        <v>1</v>
      </c>
      <c r="C37" s="5" t="s">
        <v>20</v>
      </c>
      <c r="D37">
        <v>2201</v>
      </c>
      <c r="E37" s="5" t="s">
        <v>85</v>
      </c>
      <c r="F37" s="5" t="s">
        <v>14</v>
      </c>
      <c r="G37">
        <v>20</v>
      </c>
    </row>
    <row r="38" spans="1:7" x14ac:dyDescent="0.35">
      <c r="A38">
        <v>154245</v>
      </c>
      <c r="B38">
        <v>2</v>
      </c>
      <c r="C38" s="5" t="s">
        <v>21</v>
      </c>
      <c r="D38">
        <v>4304</v>
      </c>
      <c r="E38" s="5" t="s">
        <v>90</v>
      </c>
      <c r="F38" s="5" t="s">
        <v>17</v>
      </c>
      <c r="G38">
        <v>15</v>
      </c>
    </row>
    <row r="39" spans="1:7" x14ac:dyDescent="0.35">
      <c r="A39">
        <v>134773</v>
      </c>
      <c r="B39">
        <v>1</v>
      </c>
      <c r="C39" s="5" t="s">
        <v>35</v>
      </c>
      <c r="D39">
        <v>3201</v>
      </c>
      <c r="E39" s="5" t="s">
        <v>87</v>
      </c>
      <c r="F39" s="5" t="s">
        <v>14</v>
      </c>
      <c r="G39">
        <v>25</v>
      </c>
    </row>
    <row r="40" spans="1:7" x14ac:dyDescent="0.35">
      <c r="A40">
        <v>26271</v>
      </c>
      <c r="B40">
        <v>28</v>
      </c>
      <c r="C40" s="5" t="s">
        <v>36</v>
      </c>
      <c r="D40">
        <v>3701</v>
      </c>
      <c r="E40" s="5" t="s">
        <v>78</v>
      </c>
      <c r="F40" s="5" t="s">
        <v>17</v>
      </c>
      <c r="G40">
        <v>16</v>
      </c>
    </row>
    <row r="41" spans="1:7" x14ac:dyDescent="0.35">
      <c r="A41">
        <v>180292</v>
      </c>
      <c r="B41">
        <v>28</v>
      </c>
      <c r="C41" s="5" t="s">
        <v>37</v>
      </c>
      <c r="D41">
        <v>2105</v>
      </c>
      <c r="E41" s="5" t="s">
        <v>78</v>
      </c>
      <c r="F41" s="5" t="s">
        <v>17</v>
      </c>
      <c r="G41">
        <v>10</v>
      </c>
    </row>
    <row r="42" spans="1:7" x14ac:dyDescent="0.35">
      <c r="A42">
        <v>10145</v>
      </c>
      <c r="B42">
        <v>2</v>
      </c>
      <c r="C42" s="5" t="s">
        <v>21</v>
      </c>
      <c r="D42">
        <v>5401</v>
      </c>
      <c r="E42" s="5" t="s">
        <v>82</v>
      </c>
      <c r="F42" s="5" t="s">
        <v>17</v>
      </c>
      <c r="G42">
        <v>5</v>
      </c>
    </row>
    <row r="43" spans="1:7" x14ac:dyDescent="0.35">
      <c r="A43">
        <v>133806</v>
      </c>
      <c r="B43">
        <v>0</v>
      </c>
      <c r="C43" s="5" t="s">
        <v>38</v>
      </c>
      <c r="D43">
        <v>0</v>
      </c>
      <c r="E43" s="5" t="s">
        <v>79</v>
      </c>
      <c r="F43" s="5" t="s">
        <v>27</v>
      </c>
      <c r="G43">
        <v>15</v>
      </c>
    </row>
    <row r="44" spans="1:7" x14ac:dyDescent="0.35">
      <c r="A44">
        <v>112632</v>
      </c>
      <c r="B44">
        <v>2</v>
      </c>
      <c r="C44" s="5" t="s">
        <v>39</v>
      </c>
      <c r="D44">
        <v>5001</v>
      </c>
      <c r="E44" s="5" t="s">
        <v>86</v>
      </c>
      <c r="F44" s="5" t="s">
        <v>14</v>
      </c>
      <c r="G44">
        <v>11</v>
      </c>
    </row>
    <row r="45" spans="1:7" x14ac:dyDescent="0.35">
      <c r="A45">
        <v>143253</v>
      </c>
      <c r="B45">
        <v>0</v>
      </c>
      <c r="C45" s="5" t="s">
        <v>21</v>
      </c>
      <c r="D45">
        <v>2101</v>
      </c>
      <c r="E45" s="5" t="s">
        <v>91</v>
      </c>
      <c r="F45" s="5" t="s">
        <v>17</v>
      </c>
      <c r="G45">
        <v>5</v>
      </c>
    </row>
    <row r="46" spans="1:7" x14ac:dyDescent="0.35">
      <c r="A46">
        <v>403</v>
      </c>
      <c r="B46">
        <v>0</v>
      </c>
      <c r="C46" s="5" t="s">
        <v>40</v>
      </c>
      <c r="D46">
        <v>3901</v>
      </c>
      <c r="E46" s="5" t="s">
        <v>86</v>
      </c>
      <c r="F46" s="5" t="s">
        <v>41</v>
      </c>
      <c r="G46">
        <v>35</v>
      </c>
    </row>
    <row r="47" spans="1:7" x14ac:dyDescent="0.35">
      <c r="A47">
        <v>189882</v>
      </c>
      <c r="B47">
        <v>0</v>
      </c>
      <c r="C47" s="5" t="s">
        <v>42</v>
      </c>
      <c r="D47">
        <v>4201</v>
      </c>
      <c r="E47" s="5" t="s">
        <v>78</v>
      </c>
      <c r="F47" s="5" t="s">
        <v>17</v>
      </c>
      <c r="G47">
        <v>10</v>
      </c>
    </row>
    <row r="48" spans="1:7" x14ac:dyDescent="0.35">
      <c r="A48">
        <v>119570</v>
      </c>
      <c r="B48">
        <v>1</v>
      </c>
      <c r="C48" s="5" t="s">
        <v>20</v>
      </c>
      <c r="D48">
        <v>5201</v>
      </c>
      <c r="E48" s="5" t="s">
        <v>83</v>
      </c>
      <c r="F48" s="5" t="s">
        <v>14</v>
      </c>
      <c r="G48">
        <v>10</v>
      </c>
    </row>
    <row r="49" spans="1:7" x14ac:dyDescent="0.35">
      <c r="A49">
        <v>144021</v>
      </c>
      <c r="B49">
        <v>0</v>
      </c>
      <c r="C49" s="5" t="s">
        <v>21</v>
      </c>
      <c r="D49">
        <v>4903</v>
      </c>
      <c r="E49" s="5" t="s">
        <v>92</v>
      </c>
      <c r="F49" s="5" t="s">
        <v>17</v>
      </c>
      <c r="G49">
        <v>15</v>
      </c>
    </row>
    <row r="50" spans="1:7" x14ac:dyDescent="0.35">
      <c r="A50">
        <v>93356</v>
      </c>
      <c r="B50">
        <v>0</v>
      </c>
      <c r="C50" s="5" t="s">
        <v>16</v>
      </c>
      <c r="D50">
        <v>3705</v>
      </c>
      <c r="E50" s="5" t="s">
        <v>93</v>
      </c>
      <c r="F50" s="5" t="s">
        <v>17</v>
      </c>
      <c r="G50">
        <v>25</v>
      </c>
    </row>
    <row r="51" spans="1:7" x14ac:dyDescent="0.35">
      <c r="A51">
        <v>24711</v>
      </c>
      <c r="B51">
        <v>0</v>
      </c>
      <c r="C51" s="5" t="s">
        <v>43</v>
      </c>
      <c r="D51">
        <v>0</v>
      </c>
      <c r="E51" s="5" t="s">
        <v>79</v>
      </c>
      <c r="F51" s="5" t="s">
        <v>17</v>
      </c>
      <c r="G51">
        <v>10</v>
      </c>
    </row>
    <row r="52" spans="1:7" x14ac:dyDescent="0.35">
      <c r="A52">
        <v>74914</v>
      </c>
      <c r="B52">
        <v>0</v>
      </c>
      <c r="C52" s="5" t="s">
        <v>44</v>
      </c>
      <c r="D52">
        <v>1501</v>
      </c>
      <c r="E52" s="5" t="s">
        <v>79</v>
      </c>
      <c r="F52" s="5" t="s">
        <v>17</v>
      </c>
      <c r="G52">
        <v>6</v>
      </c>
    </row>
    <row r="53" spans="1:7" x14ac:dyDescent="0.35">
      <c r="A53">
        <v>6909</v>
      </c>
      <c r="B53">
        <v>1</v>
      </c>
      <c r="C53" s="5" t="s">
        <v>45</v>
      </c>
      <c r="D53">
        <v>2801</v>
      </c>
      <c r="E53" s="5" t="s">
        <v>89</v>
      </c>
      <c r="F53" s="5" t="s">
        <v>14</v>
      </c>
      <c r="G53">
        <v>15</v>
      </c>
    </row>
    <row r="54" spans="1:7" x14ac:dyDescent="0.35">
      <c r="A54">
        <v>124543</v>
      </c>
      <c r="B54">
        <v>1002</v>
      </c>
      <c r="C54" s="5" t="s">
        <v>20</v>
      </c>
      <c r="D54">
        <v>5811</v>
      </c>
      <c r="E54" s="5" t="s">
        <v>84</v>
      </c>
      <c r="F54" s="5" t="s">
        <v>14</v>
      </c>
      <c r="G54">
        <v>18</v>
      </c>
    </row>
    <row r="55" spans="1:7" x14ac:dyDescent="0.35">
      <c r="A55">
        <v>163018</v>
      </c>
      <c r="B55">
        <v>1</v>
      </c>
      <c r="C55" s="5" t="s">
        <v>21</v>
      </c>
      <c r="D55">
        <v>0</v>
      </c>
      <c r="E55" s="5" t="s">
        <v>85</v>
      </c>
      <c r="F55" s="5" t="s">
        <v>14</v>
      </c>
      <c r="G55">
        <v>24</v>
      </c>
    </row>
    <row r="56" spans="1:7" x14ac:dyDescent="0.35">
      <c r="A56">
        <v>190671</v>
      </c>
      <c r="B56">
        <v>0</v>
      </c>
      <c r="C56" s="5" t="s">
        <v>21</v>
      </c>
      <c r="D56">
        <v>1901</v>
      </c>
      <c r="E56" s="5" t="s">
        <v>86</v>
      </c>
      <c r="F56" s="5" t="s">
        <v>86</v>
      </c>
      <c r="G56">
        <v>14</v>
      </c>
    </row>
    <row r="57" spans="1:7" x14ac:dyDescent="0.35">
      <c r="A57">
        <v>33356</v>
      </c>
      <c r="B57">
        <v>0</v>
      </c>
      <c r="C57" s="5" t="s">
        <v>13</v>
      </c>
      <c r="D57">
        <v>1401</v>
      </c>
      <c r="E57" s="5" t="s">
        <v>83</v>
      </c>
      <c r="F57" s="5" t="s">
        <v>17</v>
      </c>
      <c r="G57">
        <v>20</v>
      </c>
    </row>
    <row r="58" spans="1:7" x14ac:dyDescent="0.35">
      <c r="A58">
        <v>151600</v>
      </c>
      <c r="B58">
        <v>1</v>
      </c>
      <c r="C58" s="5" t="s">
        <v>21</v>
      </c>
      <c r="D58">
        <v>6601</v>
      </c>
      <c r="E58" s="5" t="s">
        <v>80</v>
      </c>
      <c r="F58" s="5" t="s">
        <v>14</v>
      </c>
      <c r="G58">
        <v>21</v>
      </c>
    </row>
    <row r="59" spans="1:7" x14ac:dyDescent="0.35">
      <c r="A59">
        <v>21259</v>
      </c>
      <c r="B59">
        <v>0</v>
      </c>
      <c r="C59" s="5" t="s">
        <v>18</v>
      </c>
      <c r="D59">
        <v>4001</v>
      </c>
      <c r="E59" s="5" t="s">
        <v>78</v>
      </c>
      <c r="F59" s="5" t="s">
        <v>17</v>
      </c>
      <c r="G59">
        <v>15</v>
      </c>
    </row>
    <row r="60" spans="1:7" x14ac:dyDescent="0.35">
      <c r="A60">
        <v>128987</v>
      </c>
      <c r="B60">
        <v>28</v>
      </c>
      <c r="C60" s="5" t="s">
        <v>20</v>
      </c>
      <c r="D60">
        <v>3912</v>
      </c>
      <c r="E60" s="5" t="s">
        <v>85</v>
      </c>
      <c r="F60" s="5" t="s">
        <v>17</v>
      </c>
      <c r="G60">
        <v>41</v>
      </c>
    </row>
    <row r="61" spans="1:7" x14ac:dyDescent="0.35">
      <c r="A61">
        <v>108926</v>
      </c>
      <c r="B61">
        <v>1</v>
      </c>
      <c r="C61" s="5" t="s">
        <v>46</v>
      </c>
      <c r="D61">
        <v>2601</v>
      </c>
      <c r="E61" s="5" t="s">
        <v>79</v>
      </c>
      <c r="F61" s="5" t="s">
        <v>14</v>
      </c>
      <c r="G61">
        <v>20</v>
      </c>
    </row>
    <row r="62" spans="1:7" x14ac:dyDescent="0.35">
      <c r="A62">
        <v>154709</v>
      </c>
      <c r="B62">
        <v>0</v>
      </c>
      <c r="C62" s="5" t="s">
        <v>21</v>
      </c>
      <c r="D62">
        <v>0</v>
      </c>
      <c r="E62" s="5" t="s">
        <v>80</v>
      </c>
      <c r="F62" s="5" t="s">
        <v>17</v>
      </c>
      <c r="G62">
        <v>5</v>
      </c>
    </row>
    <row r="63" spans="1:7" x14ac:dyDescent="0.35">
      <c r="A63">
        <v>108050</v>
      </c>
      <c r="B63">
        <v>0</v>
      </c>
      <c r="C63" s="5" t="s">
        <v>46</v>
      </c>
      <c r="D63">
        <v>1401</v>
      </c>
      <c r="E63" s="5" t="s">
        <v>84</v>
      </c>
      <c r="F63" s="5" t="s">
        <v>17</v>
      </c>
      <c r="G63">
        <v>16</v>
      </c>
    </row>
    <row r="64" spans="1:7" x14ac:dyDescent="0.35">
      <c r="A64">
        <v>187274</v>
      </c>
      <c r="B64">
        <v>0</v>
      </c>
      <c r="C64" s="5" t="s">
        <v>44</v>
      </c>
      <c r="D64">
        <v>0</v>
      </c>
      <c r="E64" s="5" t="s">
        <v>81</v>
      </c>
      <c r="F64" s="5" t="s">
        <v>17</v>
      </c>
      <c r="G64">
        <v>15</v>
      </c>
    </row>
    <row r="65" spans="1:7" x14ac:dyDescent="0.35">
      <c r="A65">
        <v>171655</v>
      </c>
      <c r="B65">
        <v>0</v>
      </c>
      <c r="C65" s="5" t="s">
        <v>21</v>
      </c>
      <c r="D65">
        <v>0</v>
      </c>
      <c r="E65" s="5" t="s">
        <v>88</v>
      </c>
      <c r="F65" s="5" t="s">
        <v>17</v>
      </c>
      <c r="G65">
        <v>12</v>
      </c>
    </row>
    <row r="66" spans="1:7" x14ac:dyDescent="0.35">
      <c r="A66">
        <v>160488</v>
      </c>
      <c r="B66">
        <v>0</v>
      </c>
      <c r="C66" s="5" t="s">
        <v>47</v>
      </c>
      <c r="D66">
        <v>0</v>
      </c>
      <c r="E66" s="5" t="s">
        <v>78</v>
      </c>
      <c r="F66" s="5" t="s">
        <v>14</v>
      </c>
      <c r="G66">
        <v>10</v>
      </c>
    </row>
    <row r="67" spans="1:7" x14ac:dyDescent="0.35">
      <c r="A67">
        <v>21305</v>
      </c>
      <c r="B67">
        <v>1</v>
      </c>
      <c r="C67" s="5" t="s">
        <v>18</v>
      </c>
      <c r="D67">
        <v>5601</v>
      </c>
      <c r="E67" s="5" t="s">
        <v>81</v>
      </c>
      <c r="F67" s="5" t="s">
        <v>14</v>
      </c>
      <c r="G67">
        <v>10</v>
      </c>
    </row>
    <row r="68" spans="1:7" x14ac:dyDescent="0.35">
      <c r="A68">
        <v>98470</v>
      </c>
      <c r="B68">
        <v>2</v>
      </c>
      <c r="C68" s="5" t="s">
        <v>16</v>
      </c>
      <c r="D68">
        <v>1108</v>
      </c>
      <c r="E68" s="5" t="s">
        <v>79</v>
      </c>
      <c r="F68" s="5" t="s">
        <v>17</v>
      </c>
      <c r="G68">
        <v>14</v>
      </c>
    </row>
    <row r="69" spans="1:7" x14ac:dyDescent="0.35">
      <c r="A69">
        <v>140586</v>
      </c>
      <c r="B69">
        <v>1</v>
      </c>
      <c r="C69" s="5" t="s">
        <v>20</v>
      </c>
      <c r="D69">
        <v>0</v>
      </c>
      <c r="E69" s="5" t="s">
        <v>84</v>
      </c>
      <c r="F69" s="5" t="s">
        <v>14</v>
      </c>
      <c r="G69">
        <v>20</v>
      </c>
    </row>
    <row r="70" spans="1:7" x14ac:dyDescent="0.35">
      <c r="A70">
        <v>158101</v>
      </c>
      <c r="B70">
        <v>1</v>
      </c>
      <c r="C70" s="5" t="s">
        <v>21</v>
      </c>
      <c r="D70">
        <v>1701</v>
      </c>
      <c r="E70" s="5" t="s">
        <v>83</v>
      </c>
      <c r="F70" s="5" t="s">
        <v>14</v>
      </c>
      <c r="G70">
        <v>15</v>
      </c>
    </row>
    <row r="71" spans="1:7" x14ac:dyDescent="0.35">
      <c r="A71">
        <v>150043</v>
      </c>
      <c r="B71">
        <v>1002</v>
      </c>
      <c r="C71" s="5" t="s">
        <v>21</v>
      </c>
      <c r="D71">
        <v>3201</v>
      </c>
      <c r="E71" s="5" t="s">
        <v>83</v>
      </c>
      <c r="F71" s="5" t="s">
        <v>14</v>
      </c>
      <c r="G71">
        <v>20</v>
      </c>
    </row>
    <row r="72" spans="1:7" x14ac:dyDescent="0.35">
      <c r="A72">
        <v>96251</v>
      </c>
      <c r="B72">
        <v>0</v>
      </c>
      <c r="C72" s="5" t="s">
        <v>16</v>
      </c>
      <c r="D72">
        <v>4401</v>
      </c>
      <c r="E72" s="5" t="s">
        <v>94</v>
      </c>
      <c r="F72" s="5" t="s">
        <v>17</v>
      </c>
      <c r="G72">
        <v>10</v>
      </c>
    </row>
    <row r="73" spans="1:7" x14ac:dyDescent="0.35">
      <c r="A73">
        <v>188547</v>
      </c>
      <c r="B73">
        <v>1</v>
      </c>
      <c r="C73" s="5" t="s">
        <v>21</v>
      </c>
      <c r="D73">
        <v>0</v>
      </c>
      <c r="E73" s="5" t="s">
        <v>92</v>
      </c>
      <c r="F73" s="5" t="s">
        <v>14</v>
      </c>
      <c r="G73">
        <v>25</v>
      </c>
    </row>
    <row r="74" spans="1:7" x14ac:dyDescent="0.35">
      <c r="A74">
        <v>180617</v>
      </c>
      <c r="B74">
        <v>1002</v>
      </c>
      <c r="C74" s="5" t="s">
        <v>37</v>
      </c>
      <c r="D74">
        <v>2101</v>
      </c>
      <c r="E74" s="5" t="s">
        <v>78</v>
      </c>
      <c r="F74" s="5" t="s">
        <v>14</v>
      </c>
      <c r="G74">
        <v>11</v>
      </c>
    </row>
    <row r="75" spans="1:7" x14ac:dyDescent="0.35">
      <c r="A75">
        <v>86000</v>
      </c>
      <c r="B75">
        <v>0</v>
      </c>
      <c r="C75" s="5" t="s">
        <v>48</v>
      </c>
      <c r="D75">
        <v>1201</v>
      </c>
      <c r="E75" s="5" t="s">
        <v>78</v>
      </c>
      <c r="F75" s="5" t="s">
        <v>17</v>
      </c>
      <c r="G75">
        <v>10</v>
      </c>
    </row>
    <row r="76" spans="1:7" x14ac:dyDescent="0.35">
      <c r="A76">
        <v>13265</v>
      </c>
      <c r="B76">
        <v>28</v>
      </c>
      <c r="C76" s="5" t="s">
        <v>40</v>
      </c>
      <c r="D76">
        <v>1901</v>
      </c>
      <c r="E76" s="5" t="s">
        <v>87</v>
      </c>
      <c r="F76" s="5" t="s">
        <v>17</v>
      </c>
      <c r="G76">
        <v>11</v>
      </c>
    </row>
    <row r="77" spans="1:7" x14ac:dyDescent="0.35">
      <c r="A77">
        <v>71</v>
      </c>
      <c r="B77">
        <v>0</v>
      </c>
      <c r="C77" s="5" t="s">
        <v>49</v>
      </c>
      <c r="D77">
        <v>3401</v>
      </c>
      <c r="E77" s="5" t="s">
        <v>81</v>
      </c>
      <c r="F77" s="5" t="s">
        <v>17</v>
      </c>
      <c r="G77">
        <v>16</v>
      </c>
    </row>
    <row r="78" spans="1:7" x14ac:dyDescent="0.35">
      <c r="A78">
        <v>148969</v>
      </c>
      <c r="B78">
        <v>0</v>
      </c>
      <c r="C78" s="5" t="s">
        <v>21</v>
      </c>
      <c r="D78">
        <v>0</v>
      </c>
      <c r="E78" s="5" t="s">
        <v>82</v>
      </c>
      <c r="F78" s="5" t="s">
        <v>17</v>
      </c>
      <c r="G78">
        <v>10</v>
      </c>
    </row>
    <row r="79" spans="1:7" x14ac:dyDescent="0.35">
      <c r="A79">
        <v>156324</v>
      </c>
      <c r="B79">
        <v>0</v>
      </c>
      <c r="C79" s="5" t="s">
        <v>21</v>
      </c>
      <c r="D79">
        <v>0</v>
      </c>
      <c r="E79" s="5" t="s">
        <v>83</v>
      </c>
      <c r="F79" s="5" t="s">
        <v>86</v>
      </c>
      <c r="G79">
        <v>15</v>
      </c>
    </row>
    <row r="80" spans="1:7" x14ac:dyDescent="0.35">
      <c r="A80">
        <v>130976</v>
      </c>
      <c r="B80">
        <v>2</v>
      </c>
      <c r="C80" s="5" t="s">
        <v>45</v>
      </c>
      <c r="D80">
        <v>1412</v>
      </c>
      <c r="E80" s="5" t="s">
        <v>78</v>
      </c>
      <c r="F80" s="5" t="s">
        <v>17</v>
      </c>
      <c r="G80">
        <v>7</v>
      </c>
    </row>
    <row r="81" spans="1:7" x14ac:dyDescent="0.35">
      <c r="A81">
        <v>140141</v>
      </c>
      <c r="B81">
        <v>0</v>
      </c>
      <c r="C81" s="5" t="s">
        <v>50</v>
      </c>
      <c r="D81">
        <v>4401</v>
      </c>
      <c r="E81" s="5" t="s">
        <v>81</v>
      </c>
      <c r="F81" s="5" t="s">
        <v>17</v>
      </c>
      <c r="G81">
        <v>14</v>
      </c>
    </row>
    <row r="82" spans="1:7" x14ac:dyDescent="0.35">
      <c r="A82">
        <v>85416</v>
      </c>
      <c r="B82">
        <v>0</v>
      </c>
      <c r="C82" s="5" t="s">
        <v>21</v>
      </c>
      <c r="D82">
        <v>0</v>
      </c>
      <c r="E82" s="5" t="s">
        <v>78</v>
      </c>
      <c r="F82" s="5" t="s">
        <v>17</v>
      </c>
      <c r="G82">
        <v>25</v>
      </c>
    </row>
    <row r="83" spans="1:7" x14ac:dyDescent="0.35">
      <c r="A83">
        <v>108150</v>
      </c>
      <c r="B83">
        <v>2</v>
      </c>
      <c r="C83" s="5" t="s">
        <v>46</v>
      </c>
      <c r="D83">
        <v>6312</v>
      </c>
      <c r="E83" s="5" t="s">
        <v>83</v>
      </c>
      <c r="F83" s="5" t="s">
        <v>17</v>
      </c>
      <c r="G83">
        <v>20</v>
      </c>
    </row>
    <row r="84" spans="1:7" x14ac:dyDescent="0.35">
      <c r="A84">
        <v>129823</v>
      </c>
      <c r="B84">
        <v>1002</v>
      </c>
      <c r="C84" s="5" t="s">
        <v>45</v>
      </c>
      <c r="D84">
        <v>5601</v>
      </c>
      <c r="E84" s="5" t="s">
        <v>83</v>
      </c>
      <c r="F84" s="5" t="s">
        <v>14</v>
      </c>
      <c r="G84">
        <v>10</v>
      </c>
    </row>
    <row r="85" spans="1:7" x14ac:dyDescent="0.35">
      <c r="A85">
        <v>104413</v>
      </c>
      <c r="B85">
        <v>1</v>
      </c>
      <c r="C85" s="5" t="s">
        <v>51</v>
      </c>
      <c r="D85">
        <v>4201</v>
      </c>
      <c r="E85" s="5" t="s">
        <v>81</v>
      </c>
      <c r="F85" s="5" t="s">
        <v>14</v>
      </c>
      <c r="G85">
        <v>6</v>
      </c>
    </row>
    <row r="86" spans="1:7" x14ac:dyDescent="0.35">
      <c r="A86">
        <v>60512</v>
      </c>
      <c r="B86">
        <v>2</v>
      </c>
      <c r="C86" s="5" t="s">
        <v>16</v>
      </c>
      <c r="D86">
        <v>2801</v>
      </c>
      <c r="E86" s="5" t="s">
        <v>80</v>
      </c>
      <c r="F86" s="5" t="s">
        <v>86</v>
      </c>
      <c r="G86">
        <v>25</v>
      </c>
    </row>
    <row r="87" spans="1:7" x14ac:dyDescent="0.35">
      <c r="A87">
        <v>90480</v>
      </c>
      <c r="B87">
        <v>0</v>
      </c>
      <c r="C87" s="5" t="s">
        <v>16</v>
      </c>
      <c r="D87">
        <v>4201</v>
      </c>
      <c r="E87" s="5" t="s">
        <v>82</v>
      </c>
      <c r="F87" s="5" t="s">
        <v>17</v>
      </c>
      <c r="G87">
        <v>11</v>
      </c>
    </row>
    <row r="88" spans="1:7" x14ac:dyDescent="0.35">
      <c r="A88">
        <v>148911</v>
      </c>
      <c r="B88">
        <v>28</v>
      </c>
      <c r="C88" s="5" t="s">
        <v>21</v>
      </c>
      <c r="D88">
        <v>7201</v>
      </c>
      <c r="E88" s="5" t="s">
        <v>78</v>
      </c>
      <c r="F88" s="5" t="s">
        <v>17</v>
      </c>
      <c r="G88">
        <v>10</v>
      </c>
    </row>
    <row r="89" spans="1:7" x14ac:dyDescent="0.35">
      <c r="A89">
        <v>52990</v>
      </c>
      <c r="B89">
        <v>1002</v>
      </c>
      <c r="C89" s="5" t="s">
        <v>49</v>
      </c>
      <c r="D89">
        <v>3801</v>
      </c>
      <c r="E89" s="5" t="s">
        <v>79</v>
      </c>
      <c r="F89" s="5" t="s">
        <v>14</v>
      </c>
      <c r="G89">
        <v>26</v>
      </c>
    </row>
    <row r="90" spans="1:7" x14ac:dyDescent="0.35">
      <c r="A90">
        <v>148022</v>
      </c>
      <c r="B90">
        <v>0</v>
      </c>
      <c r="C90" s="5" t="s">
        <v>21</v>
      </c>
      <c r="D90">
        <v>4608</v>
      </c>
      <c r="E90" s="5" t="s">
        <v>93</v>
      </c>
      <c r="F90" s="5" t="s">
        <v>17</v>
      </c>
      <c r="G90">
        <v>10</v>
      </c>
    </row>
    <row r="91" spans="1:7" x14ac:dyDescent="0.35">
      <c r="A91">
        <v>147406</v>
      </c>
      <c r="B91">
        <v>1002</v>
      </c>
      <c r="C91" s="5" t="s">
        <v>21</v>
      </c>
      <c r="D91">
        <v>2801</v>
      </c>
      <c r="E91" s="5" t="s">
        <v>85</v>
      </c>
      <c r="F91" s="5" t="s">
        <v>14</v>
      </c>
      <c r="G91">
        <v>38</v>
      </c>
    </row>
    <row r="92" spans="1:7" x14ac:dyDescent="0.35">
      <c r="A92">
        <v>103468</v>
      </c>
      <c r="B92">
        <v>0</v>
      </c>
      <c r="C92" s="5" t="s">
        <v>33</v>
      </c>
      <c r="D92">
        <v>4103</v>
      </c>
      <c r="E92" s="5" t="s">
        <v>79</v>
      </c>
      <c r="F92" s="5" t="s">
        <v>17</v>
      </c>
      <c r="G92">
        <v>15</v>
      </c>
    </row>
    <row r="93" spans="1:7" x14ac:dyDescent="0.35">
      <c r="A93">
        <v>84100</v>
      </c>
      <c r="B93">
        <v>72</v>
      </c>
      <c r="C93" s="5" t="s">
        <v>52</v>
      </c>
      <c r="D93">
        <v>3201</v>
      </c>
      <c r="E93" s="5" t="s">
        <v>83</v>
      </c>
      <c r="F93" s="5" t="s">
        <v>14</v>
      </c>
      <c r="G93">
        <v>14</v>
      </c>
    </row>
    <row r="94" spans="1:7" x14ac:dyDescent="0.35">
      <c r="A94">
        <v>137548</v>
      </c>
      <c r="B94">
        <v>0</v>
      </c>
      <c r="C94" s="5" t="s">
        <v>51</v>
      </c>
      <c r="D94">
        <v>2009</v>
      </c>
      <c r="E94" s="5" t="s">
        <v>82</v>
      </c>
      <c r="F94" s="5" t="s">
        <v>14</v>
      </c>
      <c r="G94">
        <v>9</v>
      </c>
    </row>
    <row r="95" spans="1:7" x14ac:dyDescent="0.35">
      <c r="A95">
        <v>6932</v>
      </c>
      <c r="B95">
        <v>1</v>
      </c>
      <c r="C95" s="5" t="s">
        <v>33</v>
      </c>
      <c r="D95">
        <v>1708</v>
      </c>
      <c r="E95" s="5" t="s">
        <v>83</v>
      </c>
      <c r="F95" s="5" t="s">
        <v>14</v>
      </c>
      <c r="G95">
        <v>10</v>
      </c>
    </row>
    <row r="96" spans="1:7" x14ac:dyDescent="0.35">
      <c r="A96">
        <v>37118</v>
      </c>
      <c r="B96">
        <v>0</v>
      </c>
      <c r="C96" s="5" t="s">
        <v>13</v>
      </c>
      <c r="D96">
        <v>2607</v>
      </c>
      <c r="E96" s="5" t="s">
        <v>80</v>
      </c>
      <c r="F96" s="5" t="s">
        <v>86</v>
      </c>
      <c r="G96">
        <v>15</v>
      </c>
    </row>
    <row r="97" spans="1:7" x14ac:dyDescent="0.35">
      <c r="A97">
        <v>109179</v>
      </c>
      <c r="B97">
        <v>0</v>
      </c>
      <c r="C97" s="5" t="s">
        <v>46</v>
      </c>
      <c r="D97">
        <v>4201</v>
      </c>
      <c r="E97" s="5" t="s">
        <v>81</v>
      </c>
      <c r="F97" s="5" t="s">
        <v>14</v>
      </c>
      <c r="G97">
        <v>14</v>
      </c>
    </row>
    <row r="98" spans="1:7" x14ac:dyDescent="0.35">
      <c r="A98">
        <v>140642</v>
      </c>
      <c r="B98">
        <v>2</v>
      </c>
      <c r="C98" s="5" t="s">
        <v>50</v>
      </c>
      <c r="D98">
        <v>2710</v>
      </c>
      <c r="E98" s="5" t="s">
        <v>79</v>
      </c>
      <c r="F98" s="5" t="s">
        <v>17</v>
      </c>
      <c r="G98">
        <v>5</v>
      </c>
    </row>
    <row r="99" spans="1:7" x14ac:dyDescent="0.35">
      <c r="A99">
        <v>77057</v>
      </c>
      <c r="B99">
        <v>0</v>
      </c>
      <c r="C99" s="5" t="s">
        <v>44</v>
      </c>
      <c r="D99">
        <v>3601</v>
      </c>
      <c r="E99" s="5" t="s">
        <v>80</v>
      </c>
      <c r="F99" s="5" t="s">
        <v>17</v>
      </c>
      <c r="G99">
        <v>15</v>
      </c>
    </row>
    <row r="100" spans="1:7" x14ac:dyDescent="0.35">
      <c r="A100">
        <v>83131</v>
      </c>
      <c r="B100">
        <v>1</v>
      </c>
      <c r="C100" s="5" t="s">
        <v>52</v>
      </c>
      <c r="D100">
        <v>0</v>
      </c>
      <c r="E100" s="5" t="s">
        <v>81</v>
      </c>
      <c r="F100" s="5" t="s">
        <v>14</v>
      </c>
      <c r="G100">
        <v>20</v>
      </c>
    </row>
    <row r="101" spans="1:7" x14ac:dyDescent="0.35">
      <c r="A101">
        <v>168078</v>
      </c>
      <c r="B101">
        <v>1</v>
      </c>
      <c r="C101" s="5" t="s">
        <v>21</v>
      </c>
      <c r="D101">
        <v>3501</v>
      </c>
      <c r="E101" s="5" t="s">
        <v>83</v>
      </c>
      <c r="F101" s="5" t="s">
        <v>14</v>
      </c>
      <c r="G101">
        <v>19</v>
      </c>
    </row>
    <row r="102" spans="1:7" x14ac:dyDescent="0.35">
      <c r="A102">
        <v>32975</v>
      </c>
      <c r="B102">
        <v>1</v>
      </c>
      <c r="C102" s="5" t="s">
        <v>43</v>
      </c>
      <c r="D102">
        <v>5908</v>
      </c>
      <c r="E102" s="5" t="s">
        <v>80</v>
      </c>
      <c r="F102" s="5" t="s">
        <v>14</v>
      </c>
      <c r="G102">
        <v>25</v>
      </c>
    </row>
    <row r="103" spans="1:7" x14ac:dyDescent="0.35">
      <c r="A103">
        <v>37472</v>
      </c>
      <c r="B103">
        <v>1</v>
      </c>
      <c r="C103" s="5" t="s">
        <v>13</v>
      </c>
      <c r="D103">
        <v>0</v>
      </c>
      <c r="E103" s="5" t="s">
        <v>87</v>
      </c>
      <c r="F103" s="5" t="s">
        <v>14</v>
      </c>
      <c r="G103">
        <v>20</v>
      </c>
    </row>
    <row r="104" spans="1:7" x14ac:dyDescent="0.35">
      <c r="A104">
        <v>63113</v>
      </c>
      <c r="B104">
        <v>0</v>
      </c>
      <c r="C104" s="5" t="s">
        <v>30</v>
      </c>
      <c r="D104">
        <v>2805</v>
      </c>
      <c r="E104" s="5" t="s">
        <v>79</v>
      </c>
      <c r="F104" s="5" t="s">
        <v>14</v>
      </c>
      <c r="G104">
        <v>5</v>
      </c>
    </row>
    <row r="105" spans="1:7" x14ac:dyDescent="0.35">
      <c r="A105">
        <v>57039</v>
      </c>
      <c r="B105">
        <v>0</v>
      </c>
      <c r="C105" s="5" t="s">
        <v>53</v>
      </c>
      <c r="D105">
        <v>2911</v>
      </c>
      <c r="E105" s="5" t="s">
        <v>89</v>
      </c>
      <c r="F105" s="5" t="s">
        <v>17</v>
      </c>
      <c r="G105">
        <v>5</v>
      </c>
    </row>
    <row r="106" spans="1:7" x14ac:dyDescent="0.35">
      <c r="A106">
        <v>58786</v>
      </c>
      <c r="B106">
        <v>0</v>
      </c>
      <c r="C106" s="5" t="s">
        <v>53</v>
      </c>
      <c r="D106">
        <v>2701</v>
      </c>
      <c r="E106" s="5" t="s">
        <v>81</v>
      </c>
      <c r="F106" s="5" t="s">
        <v>17</v>
      </c>
      <c r="G106">
        <v>20</v>
      </c>
    </row>
    <row r="107" spans="1:7" x14ac:dyDescent="0.35">
      <c r="A107">
        <v>164306</v>
      </c>
      <c r="B107">
        <v>0</v>
      </c>
      <c r="C107" s="5" t="s">
        <v>21</v>
      </c>
      <c r="D107">
        <v>0</v>
      </c>
      <c r="E107" s="5" t="s">
        <v>80</v>
      </c>
      <c r="F107" s="5" t="s">
        <v>17</v>
      </c>
      <c r="G107">
        <v>30</v>
      </c>
    </row>
    <row r="108" spans="1:7" x14ac:dyDescent="0.35">
      <c r="A108">
        <v>113129</v>
      </c>
      <c r="B108">
        <v>0</v>
      </c>
      <c r="C108" s="5" t="s">
        <v>28</v>
      </c>
      <c r="D108">
        <v>1501</v>
      </c>
      <c r="E108" s="5" t="s">
        <v>83</v>
      </c>
      <c r="F108" s="5" t="s">
        <v>17</v>
      </c>
      <c r="G108">
        <v>20</v>
      </c>
    </row>
    <row r="109" spans="1:7" x14ac:dyDescent="0.35">
      <c r="A109">
        <v>19094</v>
      </c>
      <c r="B109">
        <v>28</v>
      </c>
      <c r="C109" s="5" t="s">
        <v>39</v>
      </c>
      <c r="D109">
        <v>0</v>
      </c>
      <c r="E109" s="5" t="s">
        <v>84</v>
      </c>
      <c r="F109" s="5" t="s">
        <v>17</v>
      </c>
      <c r="G109">
        <v>40</v>
      </c>
    </row>
    <row r="110" spans="1:7" x14ac:dyDescent="0.35">
      <c r="A110">
        <v>102224</v>
      </c>
      <c r="B110">
        <v>1002</v>
      </c>
      <c r="C110" s="5" t="s">
        <v>54</v>
      </c>
      <c r="D110">
        <v>0</v>
      </c>
      <c r="E110" s="5" t="s">
        <v>83</v>
      </c>
      <c r="F110" s="5" t="s">
        <v>41</v>
      </c>
      <c r="G110">
        <v>6</v>
      </c>
    </row>
    <row r="111" spans="1:7" x14ac:dyDescent="0.35">
      <c r="A111">
        <v>155375</v>
      </c>
      <c r="B111">
        <v>2</v>
      </c>
      <c r="C111" s="5" t="s">
        <v>21</v>
      </c>
      <c r="D111">
        <v>2201</v>
      </c>
      <c r="E111" s="5" t="s">
        <v>80</v>
      </c>
      <c r="F111" s="5" t="s">
        <v>17</v>
      </c>
      <c r="G111">
        <v>6</v>
      </c>
    </row>
    <row r="112" spans="1:7" x14ac:dyDescent="0.35">
      <c r="A112">
        <v>185030</v>
      </c>
      <c r="B112">
        <v>0</v>
      </c>
      <c r="C112" s="5" t="s">
        <v>13</v>
      </c>
      <c r="D112">
        <v>1704</v>
      </c>
      <c r="E112" s="5" t="s">
        <v>85</v>
      </c>
      <c r="F112" s="5" t="s">
        <v>14</v>
      </c>
      <c r="G112">
        <v>10</v>
      </c>
    </row>
    <row r="113" spans="1:7" x14ac:dyDescent="0.35">
      <c r="A113">
        <v>149887</v>
      </c>
      <c r="B113">
        <v>1</v>
      </c>
      <c r="C113" s="5" t="s">
        <v>21</v>
      </c>
      <c r="D113">
        <v>0</v>
      </c>
      <c r="E113" s="5" t="s">
        <v>87</v>
      </c>
      <c r="F113" s="5" t="s">
        <v>14</v>
      </c>
      <c r="G113">
        <v>15</v>
      </c>
    </row>
    <row r="114" spans="1:7" x14ac:dyDescent="0.35">
      <c r="A114">
        <v>117216</v>
      </c>
      <c r="B114">
        <v>2</v>
      </c>
      <c r="C114" s="5" t="s">
        <v>20</v>
      </c>
      <c r="D114">
        <v>6201</v>
      </c>
      <c r="E114" s="5" t="s">
        <v>80</v>
      </c>
      <c r="F114" s="5" t="s">
        <v>17</v>
      </c>
      <c r="G114">
        <v>30</v>
      </c>
    </row>
    <row r="115" spans="1:7" x14ac:dyDescent="0.35">
      <c r="A115">
        <v>167892</v>
      </c>
      <c r="B115">
        <v>0</v>
      </c>
      <c r="C115" s="5" t="s">
        <v>21</v>
      </c>
      <c r="D115">
        <v>0</v>
      </c>
      <c r="E115" s="5" t="s">
        <v>85</v>
      </c>
      <c r="F115" s="5" t="s">
        <v>17</v>
      </c>
      <c r="G115">
        <v>10</v>
      </c>
    </row>
    <row r="116" spans="1:7" x14ac:dyDescent="0.35">
      <c r="A116">
        <v>107618</v>
      </c>
      <c r="B116">
        <v>0</v>
      </c>
      <c r="C116" s="5" t="s">
        <v>55</v>
      </c>
      <c r="D116">
        <v>1801</v>
      </c>
      <c r="E116" s="5" t="s">
        <v>89</v>
      </c>
      <c r="F116" s="5" t="s">
        <v>17</v>
      </c>
      <c r="G116">
        <v>2</v>
      </c>
    </row>
    <row r="117" spans="1:7" x14ac:dyDescent="0.35">
      <c r="A117">
        <v>72410</v>
      </c>
      <c r="B117">
        <v>0</v>
      </c>
      <c r="C117" s="5" t="s">
        <v>26</v>
      </c>
      <c r="D117">
        <v>0</v>
      </c>
      <c r="E117" s="5" t="s">
        <v>79</v>
      </c>
      <c r="F117" s="5" t="s">
        <v>14</v>
      </c>
      <c r="G117">
        <v>20</v>
      </c>
    </row>
    <row r="118" spans="1:7" x14ac:dyDescent="0.35">
      <c r="A118">
        <v>112319</v>
      </c>
      <c r="B118">
        <v>2</v>
      </c>
      <c r="C118" s="5" t="s">
        <v>29</v>
      </c>
      <c r="D118">
        <v>3201</v>
      </c>
      <c r="E118" s="5" t="s">
        <v>82</v>
      </c>
      <c r="F118" s="5" t="s">
        <v>17</v>
      </c>
      <c r="G118">
        <v>30</v>
      </c>
    </row>
    <row r="119" spans="1:7" x14ac:dyDescent="0.35">
      <c r="A119">
        <v>28061</v>
      </c>
      <c r="B119">
        <v>0</v>
      </c>
      <c r="C119" s="5" t="s">
        <v>36</v>
      </c>
      <c r="D119">
        <v>5902</v>
      </c>
      <c r="E119" s="5" t="s">
        <v>79</v>
      </c>
      <c r="F119" s="5" t="s">
        <v>17</v>
      </c>
      <c r="G119">
        <v>5</v>
      </c>
    </row>
    <row r="120" spans="1:7" x14ac:dyDescent="0.35">
      <c r="A120">
        <v>108371</v>
      </c>
      <c r="B120">
        <v>28</v>
      </c>
      <c r="C120" s="5" t="s">
        <v>46</v>
      </c>
      <c r="D120">
        <v>1401</v>
      </c>
      <c r="E120" s="5" t="s">
        <v>93</v>
      </c>
      <c r="F120" s="5" t="s">
        <v>17</v>
      </c>
      <c r="G120">
        <v>20</v>
      </c>
    </row>
    <row r="121" spans="1:7" x14ac:dyDescent="0.35">
      <c r="A121">
        <v>187807</v>
      </c>
      <c r="B121">
        <v>1</v>
      </c>
      <c r="C121" s="5" t="s">
        <v>26</v>
      </c>
      <c r="D121">
        <v>8305</v>
      </c>
      <c r="E121" s="5" t="s">
        <v>81</v>
      </c>
      <c r="F121" s="5" t="s">
        <v>14</v>
      </c>
      <c r="G121">
        <v>22</v>
      </c>
    </row>
    <row r="122" spans="1:7" x14ac:dyDescent="0.35">
      <c r="A122">
        <v>180383</v>
      </c>
      <c r="B122">
        <v>0</v>
      </c>
      <c r="C122" s="5" t="s">
        <v>37</v>
      </c>
      <c r="D122">
        <v>609</v>
      </c>
      <c r="E122" s="5" t="s">
        <v>87</v>
      </c>
      <c r="F122" s="5" t="s">
        <v>17</v>
      </c>
      <c r="G122">
        <v>11</v>
      </c>
    </row>
    <row r="123" spans="1:7" x14ac:dyDescent="0.35">
      <c r="A123">
        <v>183013</v>
      </c>
      <c r="B123">
        <v>1</v>
      </c>
      <c r="C123" s="5" t="s">
        <v>37</v>
      </c>
      <c r="D123">
        <v>3001</v>
      </c>
      <c r="E123" s="5" t="s">
        <v>80</v>
      </c>
      <c r="F123" s="5" t="s">
        <v>14</v>
      </c>
      <c r="G123">
        <v>11</v>
      </c>
    </row>
    <row r="124" spans="1:7" x14ac:dyDescent="0.35">
      <c r="A124">
        <v>187769</v>
      </c>
      <c r="B124">
        <v>1</v>
      </c>
      <c r="C124" s="5" t="s">
        <v>21</v>
      </c>
      <c r="D124">
        <v>5403</v>
      </c>
      <c r="E124" s="5" t="s">
        <v>83</v>
      </c>
      <c r="F124" s="5" t="s">
        <v>14</v>
      </c>
      <c r="G124">
        <v>25</v>
      </c>
    </row>
    <row r="125" spans="1:7" x14ac:dyDescent="0.35">
      <c r="A125">
        <v>191056</v>
      </c>
      <c r="B125">
        <v>1</v>
      </c>
      <c r="C125" s="5" t="s">
        <v>21</v>
      </c>
      <c r="D125">
        <v>801</v>
      </c>
      <c r="E125" s="5" t="s">
        <v>85</v>
      </c>
      <c r="F125" s="5" t="s">
        <v>14</v>
      </c>
      <c r="G125">
        <v>47</v>
      </c>
    </row>
    <row r="126" spans="1:7" x14ac:dyDescent="0.35">
      <c r="A126">
        <v>151891</v>
      </c>
      <c r="B126">
        <v>0</v>
      </c>
      <c r="C126" s="5" t="s">
        <v>21</v>
      </c>
      <c r="D126">
        <v>0</v>
      </c>
      <c r="E126" s="5" t="s">
        <v>80</v>
      </c>
      <c r="F126" s="5" t="s">
        <v>17</v>
      </c>
      <c r="G126">
        <v>15</v>
      </c>
    </row>
    <row r="127" spans="1:7" x14ac:dyDescent="0.35">
      <c r="A127">
        <v>5822</v>
      </c>
      <c r="B127">
        <v>2</v>
      </c>
      <c r="C127" s="5" t="s">
        <v>25</v>
      </c>
      <c r="D127">
        <v>2901</v>
      </c>
      <c r="E127" s="5" t="s">
        <v>80</v>
      </c>
      <c r="F127" s="5" t="s">
        <v>17</v>
      </c>
      <c r="G127">
        <v>11</v>
      </c>
    </row>
    <row r="128" spans="1:7" x14ac:dyDescent="0.35">
      <c r="A128">
        <v>164969</v>
      </c>
      <c r="B128">
        <v>0</v>
      </c>
      <c r="C128" s="5" t="s">
        <v>21</v>
      </c>
      <c r="D128">
        <v>6001</v>
      </c>
      <c r="E128" s="5" t="s">
        <v>83</v>
      </c>
      <c r="F128" s="5" t="s">
        <v>17</v>
      </c>
      <c r="G128">
        <v>7</v>
      </c>
    </row>
    <row r="129" spans="1:7" x14ac:dyDescent="0.35">
      <c r="A129">
        <v>172846</v>
      </c>
      <c r="B129">
        <v>0</v>
      </c>
      <c r="C129" s="5" t="s">
        <v>21</v>
      </c>
      <c r="D129">
        <v>4201</v>
      </c>
      <c r="E129" s="5" t="s">
        <v>78</v>
      </c>
      <c r="F129" s="5" t="s">
        <v>14</v>
      </c>
      <c r="G129">
        <v>10</v>
      </c>
    </row>
    <row r="130" spans="1:7" x14ac:dyDescent="0.35">
      <c r="A130">
        <v>95951</v>
      </c>
      <c r="B130">
        <v>0</v>
      </c>
      <c r="C130" s="5" t="s">
        <v>16</v>
      </c>
      <c r="D130">
        <v>4804</v>
      </c>
      <c r="E130" s="5" t="s">
        <v>87</v>
      </c>
      <c r="F130" s="5" t="s">
        <v>17</v>
      </c>
      <c r="G130">
        <v>20</v>
      </c>
    </row>
    <row r="131" spans="1:7" x14ac:dyDescent="0.35">
      <c r="A131">
        <v>18089</v>
      </c>
      <c r="B131">
        <v>2</v>
      </c>
      <c r="C131" s="5" t="s">
        <v>18</v>
      </c>
      <c r="D131">
        <v>5001</v>
      </c>
      <c r="E131" s="5" t="s">
        <v>82</v>
      </c>
      <c r="F131" s="5" t="s">
        <v>14</v>
      </c>
      <c r="G131">
        <v>25</v>
      </c>
    </row>
    <row r="132" spans="1:7" x14ac:dyDescent="0.35">
      <c r="A132">
        <v>35276</v>
      </c>
      <c r="B132">
        <v>2</v>
      </c>
      <c r="C132" s="5" t="s">
        <v>13</v>
      </c>
      <c r="D132">
        <v>1701</v>
      </c>
      <c r="E132" s="5" t="s">
        <v>82</v>
      </c>
      <c r="F132" s="5" t="s">
        <v>86</v>
      </c>
      <c r="G132">
        <v>10</v>
      </c>
    </row>
    <row r="133" spans="1:7" x14ac:dyDescent="0.35">
      <c r="A133">
        <v>18607</v>
      </c>
      <c r="B133">
        <v>1</v>
      </c>
      <c r="C133" s="5" t="s">
        <v>18</v>
      </c>
      <c r="D133">
        <v>6001</v>
      </c>
      <c r="E133" s="5" t="s">
        <v>79</v>
      </c>
      <c r="F133" s="5" t="s">
        <v>14</v>
      </c>
      <c r="G133">
        <v>23</v>
      </c>
    </row>
    <row r="134" spans="1:7" x14ac:dyDescent="0.35">
      <c r="A134">
        <v>61275</v>
      </c>
      <c r="B134">
        <v>1</v>
      </c>
      <c r="C134" s="5" t="s">
        <v>30</v>
      </c>
      <c r="D134">
        <v>4801</v>
      </c>
      <c r="E134" s="5" t="s">
        <v>79</v>
      </c>
      <c r="F134" s="5" t="s">
        <v>14</v>
      </c>
      <c r="G134">
        <v>12</v>
      </c>
    </row>
    <row r="135" spans="1:7" x14ac:dyDescent="0.35">
      <c r="A135">
        <v>36141</v>
      </c>
      <c r="B135">
        <v>28</v>
      </c>
      <c r="C135" s="5" t="s">
        <v>13</v>
      </c>
      <c r="D135">
        <v>2805</v>
      </c>
      <c r="E135" s="5" t="s">
        <v>82</v>
      </c>
      <c r="F135" s="5" t="s">
        <v>17</v>
      </c>
      <c r="G135">
        <v>10</v>
      </c>
    </row>
    <row r="136" spans="1:7" x14ac:dyDescent="0.35">
      <c r="A136">
        <v>85716</v>
      </c>
      <c r="B136">
        <v>0</v>
      </c>
      <c r="C136" s="5" t="s">
        <v>52</v>
      </c>
      <c r="D136">
        <v>2401</v>
      </c>
      <c r="E136" s="5" t="s">
        <v>89</v>
      </c>
      <c r="F136" s="5" t="s">
        <v>17</v>
      </c>
      <c r="G136">
        <v>25</v>
      </c>
    </row>
    <row r="137" spans="1:7" x14ac:dyDescent="0.35">
      <c r="A137">
        <v>154195</v>
      </c>
      <c r="B137">
        <v>0</v>
      </c>
      <c r="C137" s="5" t="s">
        <v>21</v>
      </c>
      <c r="D137">
        <v>0</v>
      </c>
      <c r="E137" s="5" t="s">
        <v>79</v>
      </c>
      <c r="F137" s="5" t="s">
        <v>17</v>
      </c>
      <c r="G137">
        <v>20</v>
      </c>
    </row>
    <row r="138" spans="1:7" x14ac:dyDescent="0.35">
      <c r="A138">
        <v>46755</v>
      </c>
      <c r="B138">
        <v>0</v>
      </c>
      <c r="C138" s="5" t="s">
        <v>40</v>
      </c>
      <c r="D138">
        <v>0</v>
      </c>
      <c r="E138" s="5" t="s">
        <v>81</v>
      </c>
      <c r="F138" s="5" t="s">
        <v>17</v>
      </c>
      <c r="G138">
        <v>5</v>
      </c>
    </row>
    <row r="139" spans="1:7" x14ac:dyDescent="0.35">
      <c r="A139">
        <v>13239</v>
      </c>
      <c r="B139">
        <v>1</v>
      </c>
      <c r="C139" s="5" t="s">
        <v>13</v>
      </c>
      <c r="D139">
        <v>2901</v>
      </c>
      <c r="E139" s="5" t="s">
        <v>82</v>
      </c>
      <c r="F139" s="5" t="s">
        <v>14</v>
      </c>
      <c r="G139">
        <v>3</v>
      </c>
    </row>
    <row r="140" spans="1:7" x14ac:dyDescent="0.35">
      <c r="A140">
        <v>86068</v>
      </c>
      <c r="B140">
        <v>0</v>
      </c>
      <c r="C140" s="5" t="s">
        <v>48</v>
      </c>
      <c r="D140">
        <v>0</v>
      </c>
      <c r="E140" s="5" t="s">
        <v>81</v>
      </c>
      <c r="F140" s="5" t="s">
        <v>17</v>
      </c>
      <c r="G140">
        <v>5</v>
      </c>
    </row>
    <row r="141" spans="1:7" x14ac:dyDescent="0.35">
      <c r="A141">
        <v>67900</v>
      </c>
      <c r="B141">
        <v>1</v>
      </c>
      <c r="C141" s="5" t="s">
        <v>26</v>
      </c>
      <c r="D141">
        <v>4801</v>
      </c>
      <c r="E141" s="5" t="s">
        <v>92</v>
      </c>
      <c r="F141" s="5" t="s">
        <v>14</v>
      </c>
      <c r="G141">
        <v>20</v>
      </c>
    </row>
    <row r="142" spans="1:7" x14ac:dyDescent="0.35">
      <c r="A142">
        <v>59610</v>
      </c>
      <c r="B142">
        <v>28</v>
      </c>
      <c r="C142" s="5" t="s">
        <v>30</v>
      </c>
      <c r="D142">
        <v>2301</v>
      </c>
      <c r="E142" s="5" t="s">
        <v>84</v>
      </c>
      <c r="F142" s="5" t="s">
        <v>17</v>
      </c>
      <c r="G142">
        <v>15</v>
      </c>
    </row>
    <row r="143" spans="1:7" x14ac:dyDescent="0.35">
      <c r="A143">
        <v>13378</v>
      </c>
      <c r="B143">
        <v>0</v>
      </c>
      <c r="C143" s="5" t="s">
        <v>21</v>
      </c>
      <c r="D143">
        <v>2401</v>
      </c>
      <c r="E143" s="5" t="s">
        <v>79</v>
      </c>
      <c r="F143" s="5" t="s">
        <v>17</v>
      </c>
      <c r="G143">
        <v>7</v>
      </c>
    </row>
    <row r="144" spans="1:7" x14ac:dyDescent="0.35">
      <c r="A144">
        <v>20752</v>
      </c>
      <c r="B144">
        <v>2</v>
      </c>
      <c r="C144" s="5" t="s">
        <v>18</v>
      </c>
      <c r="D144">
        <v>2001</v>
      </c>
      <c r="E144" s="5" t="s">
        <v>78</v>
      </c>
      <c r="F144" s="5" t="s">
        <v>14</v>
      </c>
      <c r="G144">
        <v>13</v>
      </c>
    </row>
    <row r="145" spans="1:7" x14ac:dyDescent="0.35">
      <c r="A145">
        <v>30934</v>
      </c>
      <c r="B145">
        <v>0</v>
      </c>
      <c r="C145" s="5" t="s">
        <v>36</v>
      </c>
      <c r="D145">
        <v>905</v>
      </c>
      <c r="E145" s="5" t="s">
        <v>81</v>
      </c>
      <c r="F145" s="5" t="s">
        <v>14</v>
      </c>
      <c r="G145">
        <v>15</v>
      </c>
    </row>
    <row r="146" spans="1:7" x14ac:dyDescent="0.35">
      <c r="A146">
        <v>102163</v>
      </c>
      <c r="B146">
        <v>0</v>
      </c>
      <c r="C146" s="5" t="s">
        <v>33</v>
      </c>
      <c r="D146">
        <v>4301</v>
      </c>
      <c r="E146" s="5" t="s">
        <v>82</v>
      </c>
      <c r="F146" s="5" t="s">
        <v>17</v>
      </c>
      <c r="G146">
        <v>30</v>
      </c>
    </row>
    <row r="147" spans="1:7" x14ac:dyDescent="0.35">
      <c r="A147">
        <v>128976</v>
      </c>
      <c r="B147">
        <v>0</v>
      </c>
      <c r="C147" s="5" t="s">
        <v>20</v>
      </c>
      <c r="D147">
        <v>7001</v>
      </c>
      <c r="E147" s="5" t="s">
        <v>80</v>
      </c>
      <c r="F147" s="5" t="s">
        <v>17</v>
      </c>
      <c r="G147">
        <v>10</v>
      </c>
    </row>
    <row r="148" spans="1:7" x14ac:dyDescent="0.35">
      <c r="A148">
        <v>44088</v>
      </c>
      <c r="B148">
        <v>1</v>
      </c>
      <c r="C148" s="5" t="s">
        <v>30</v>
      </c>
      <c r="D148">
        <v>3602</v>
      </c>
      <c r="E148" s="5" t="s">
        <v>82</v>
      </c>
      <c r="F148" s="5" t="s">
        <v>14</v>
      </c>
      <c r="G148">
        <v>10</v>
      </c>
    </row>
    <row r="149" spans="1:7" x14ac:dyDescent="0.35">
      <c r="A149">
        <v>154931</v>
      </c>
      <c r="B149">
        <v>28</v>
      </c>
      <c r="C149" s="5" t="s">
        <v>21</v>
      </c>
      <c r="D149">
        <v>0</v>
      </c>
      <c r="E149" s="5" t="s">
        <v>78</v>
      </c>
      <c r="F149" s="5" t="s">
        <v>17</v>
      </c>
      <c r="G149">
        <v>10</v>
      </c>
    </row>
    <row r="150" spans="1:7" x14ac:dyDescent="0.35">
      <c r="A150">
        <v>87939</v>
      </c>
      <c r="B150">
        <v>2</v>
      </c>
      <c r="C150" s="5" t="s">
        <v>16</v>
      </c>
      <c r="D150">
        <v>901</v>
      </c>
      <c r="E150" s="5" t="s">
        <v>83</v>
      </c>
      <c r="F150" s="5" t="s">
        <v>14</v>
      </c>
      <c r="G150">
        <v>30</v>
      </c>
    </row>
    <row r="151" spans="1:7" x14ac:dyDescent="0.35">
      <c r="A151">
        <v>140779</v>
      </c>
      <c r="B151">
        <v>0</v>
      </c>
      <c r="C151" s="5" t="s">
        <v>23</v>
      </c>
      <c r="D151">
        <v>4601</v>
      </c>
      <c r="E151" s="5" t="s">
        <v>83</v>
      </c>
      <c r="F151" s="5" t="s">
        <v>17</v>
      </c>
      <c r="G151">
        <v>6</v>
      </c>
    </row>
    <row r="152" spans="1:7" x14ac:dyDescent="0.35">
      <c r="A152">
        <v>113838</v>
      </c>
      <c r="B152">
        <v>2</v>
      </c>
      <c r="C152" s="5" t="s">
        <v>28</v>
      </c>
      <c r="D152">
        <v>0</v>
      </c>
      <c r="E152" s="5" t="s">
        <v>89</v>
      </c>
      <c r="F152" s="5" t="s">
        <v>17</v>
      </c>
      <c r="G152">
        <v>8</v>
      </c>
    </row>
    <row r="153" spans="1:7" x14ac:dyDescent="0.35">
      <c r="A153">
        <v>156568</v>
      </c>
      <c r="B153">
        <v>0</v>
      </c>
      <c r="C153" s="5" t="s">
        <v>21</v>
      </c>
      <c r="D153">
        <v>4812</v>
      </c>
      <c r="E153" s="5" t="s">
        <v>83</v>
      </c>
      <c r="F153" s="5" t="s">
        <v>86</v>
      </c>
      <c r="G153">
        <v>75</v>
      </c>
    </row>
    <row r="154" spans="1:7" x14ac:dyDescent="0.35">
      <c r="A154">
        <v>130485</v>
      </c>
      <c r="B154">
        <v>0</v>
      </c>
      <c r="C154" s="5" t="s">
        <v>45</v>
      </c>
      <c r="D154">
        <v>3001</v>
      </c>
      <c r="E154" s="5" t="s">
        <v>93</v>
      </c>
      <c r="F154" s="5" t="s">
        <v>17</v>
      </c>
      <c r="G154">
        <v>16</v>
      </c>
    </row>
    <row r="155" spans="1:7" x14ac:dyDescent="0.35">
      <c r="A155">
        <v>101803</v>
      </c>
      <c r="B155">
        <v>0</v>
      </c>
      <c r="C155" s="5" t="s">
        <v>33</v>
      </c>
      <c r="D155">
        <v>4701</v>
      </c>
      <c r="E155" s="5" t="s">
        <v>87</v>
      </c>
      <c r="F155" s="5" t="s">
        <v>17</v>
      </c>
      <c r="G155">
        <v>25</v>
      </c>
    </row>
    <row r="156" spans="1:7" x14ac:dyDescent="0.35">
      <c r="A156">
        <v>41899</v>
      </c>
      <c r="B156">
        <v>1002</v>
      </c>
      <c r="C156" s="5" t="s">
        <v>13</v>
      </c>
      <c r="D156">
        <v>0</v>
      </c>
      <c r="E156" s="5" t="s">
        <v>91</v>
      </c>
      <c r="F156" s="5" t="s">
        <v>14</v>
      </c>
      <c r="G156">
        <v>10</v>
      </c>
    </row>
    <row r="157" spans="1:7" x14ac:dyDescent="0.35">
      <c r="A157">
        <v>30795</v>
      </c>
      <c r="B157">
        <v>2</v>
      </c>
      <c r="C157" s="5" t="s">
        <v>36</v>
      </c>
      <c r="D157">
        <v>0</v>
      </c>
      <c r="E157" s="5" t="s">
        <v>94</v>
      </c>
      <c r="F157" s="5" t="s">
        <v>14</v>
      </c>
      <c r="G157">
        <v>10</v>
      </c>
    </row>
    <row r="158" spans="1:7" x14ac:dyDescent="0.35">
      <c r="A158">
        <v>133256</v>
      </c>
      <c r="B158">
        <v>2</v>
      </c>
      <c r="C158" s="5" t="s">
        <v>38</v>
      </c>
      <c r="D158">
        <v>2002</v>
      </c>
      <c r="E158" s="5" t="s">
        <v>82</v>
      </c>
      <c r="F158" s="5" t="s">
        <v>14</v>
      </c>
      <c r="G158">
        <v>10</v>
      </c>
    </row>
    <row r="159" spans="1:7" x14ac:dyDescent="0.35">
      <c r="A159">
        <v>151203</v>
      </c>
      <c r="B159">
        <v>0</v>
      </c>
      <c r="C159" s="5" t="s">
        <v>21</v>
      </c>
      <c r="D159">
        <v>0</v>
      </c>
      <c r="E159" s="5" t="s">
        <v>86</v>
      </c>
      <c r="F159" s="5" t="s">
        <v>27</v>
      </c>
      <c r="G159">
        <v>5</v>
      </c>
    </row>
    <row r="160" spans="1:7" x14ac:dyDescent="0.35">
      <c r="A160">
        <v>31425</v>
      </c>
      <c r="B160">
        <v>0</v>
      </c>
      <c r="C160" s="5" t="s">
        <v>36</v>
      </c>
      <c r="D160">
        <v>3901</v>
      </c>
      <c r="E160" s="5" t="s">
        <v>94</v>
      </c>
      <c r="F160" s="5" t="s">
        <v>14</v>
      </c>
      <c r="G160">
        <v>16</v>
      </c>
    </row>
    <row r="161" spans="1:7" x14ac:dyDescent="0.35">
      <c r="A161">
        <v>70524</v>
      </c>
      <c r="B161">
        <v>0</v>
      </c>
      <c r="C161" s="5" t="s">
        <v>26</v>
      </c>
      <c r="D161">
        <v>3204</v>
      </c>
      <c r="E161" s="5" t="s">
        <v>81</v>
      </c>
      <c r="F161" s="5" t="s">
        <v>17</v>
      </c>
      <c r="G161">
        <v>23</v>
      </c>
    </row>
    <row r="162" spans="1:7" x14ac:dyDescent="0.35">
      <c r="A162">
        <v>161229</v>
      </c>
      <c r="B162">
        <v>0</v>
      </c>
      <c r="C162" s="5" t="s">
        <v>21</v>
      </c>
      <c r="D162">
        <v>4201</v>
      </c>
      <c r="E162" s="5" t="s">
        <v>81</v>
      </c>
      <c r="F162" s="5" t="s">
        <v>17</v>
      </c>
      <c r="G162">
        <v>21</v>
      </c>
    </row>
    <row r="163" spans="1:7" x14ac:dyDescent="0.35">
      <c r="A163">
        <v>83181</v>
      </c>
      <c r="B163">
        <v>0</v>
      </c>
      <c r="C163" s="5" t="s">
        <v>52</v>
      </c>
      <c r="D163">
        <v>0</v>
      </c>
      <c r="E163" s="5" t="s">
        <v>81</v>
      </c>
      <c r="F163" s="5" t="s">
        <v>17</v>
      </c>
      <c r="G163">
        <v>15</v>
      </c>
    </row>
    <row r="164" spans="1:7" x14ac:dyDescent="0.35">
      <c r="A164">
        <v>143528</v>
      </c>
      <c r="B164">
        <v>0</v>
      </c>
      <c r="C164" s="5" t="s">
        <v>21</v>
      </c>
      <c r="D164">
        <v>4905</v>
      </c>
      <c r="E164" s="5" t="s">
        <v>85</v>
      </c>
      <c r="F164" s="5" t="s">
        <v>17</v>
      </c>
      <c r="G164">
        <v>10</v>
      </c>
    </row>
    <row r="165" spans="1:7" x14ac:dyDescent="0.35">
      <c r="A165">
        <v>42970</v>
      </c>
      <c r="B165">
        <v>1</v>
      </c>
      <c r="C165" s="5" t="s">
        <v>13</v>
      </c>
      <c r="D165">
        <v>0</v>
      </c>
      <c r="E165" s="5" t="s">
        <v>79</v>
      </c>
      <c r="F165" s="5" t="s">
        <v>14</v>
      </c>
      <c r="G165">
        <v>3</v>
      </c>
    </row>
    <row r="166" spans="1:7" x14ac:dyDescent="0.35">
      <c r="A166">
        <v>83708</v>
      </c>
      <c r="B166">
        <v>28</v>
      </c>
      <c r="C166" s="5" t="s">
        <v>52</v>
      </c>
      <c r="D166">
        <v>5609</v>
      </c>
      <c r="E166" s="5" t="s">
        <v>83</v>
      </c>
      <c r="F166" s="5" t="s">
        <v>17</v>
      </c>
      <c r="G166">
        <v>10</v>
      </c>
    </row>
    <row r="167" spans="1:7" x14ac:dyDescent="0.35">
      <c r="A167">
        <v>101390</v>
      </c>
      <c r="B167">
        <v>2</v>
      </c>
      <c r="C167" s="5" t="s">
        <v>33</v>
      </c>
      <c r="D167">
        <v>5701</v>
      </c>
      <c r="E167" s="5" t="s">
        <v>78</v>
      </c>
      <c r="F167" s="5" t="s">
        <v>17</v>
      </c>
      <c r="G167">
        <v>2</v>
      </c>
    </row>
    <row r="168" spans="1:7" x14ac:dyDescent="0.35">
      <c r="A168">
        <v>77898</v>
      </c>
      <c r="B168">
        <v>1</v>
      </c>
      <c r="C168" s="5" t="s">
        <v>32</v>
      </c>
      <c r="D168">
        <v>2808</v>
      </c>
      <c r="E168" s="5" t="s">
        <v>80</v>
      </c>
      <c r="F168" s="5" t="s">
        <v>14</v>
      </c>
      <c r="G168">
        <v>10</v>
      </c>
    </row>
    <row r="169" spans="1:7" x14ac:dyDescent="0.35">
      <c r="A169">
        <v>77345</v>
      </c>
      <c r="B169">
        <v>1</v>
      </c>
      <c r="C169" s="5" t="s">
        <v>32</v>
      </c>
      <c r="D169">
        <v>0</v>
      </c>
      <c r="E169" s="5" t="s">
        <v>83</v>
      </c>
      <c r="F169" s="5" t="s">
        <v>14</v>
      </c>
      <c r="G169">
        <v>16</v>
      </c>
    </row>
    <row r="170" spans="1:7" x14ac:dyDescent="0.35">
      <c r="A170">
        <v>142579</v>
      </c>
      <c r="B170">
        <v>0</v>
      </c>
      <c r="C170" s="5" t="s">
        <v>21</v>
      </c>
      <c r="D170">
        <v>201</v>
      </c>
      <c r="E170" s="5" t="s">
        <v>85</v>
      </c>
      <c r="F170" s="5" t="s">
        <v>17</v>
      </c>
      <c r="G170">
        <v>20</v>
      </c>
    </row>
    <row r="171" spans="1:7" x14ac:dyDescent="0.35">
      <c r="A171">
        <v>162209</v>
      </c>
      <c r="B171">
        <v>0</v>
      </c>
      <c r="C171" s="5" t="s">
        <v>21</v>
      </c>
      <c r="D171">
        <v>2005</v>
      </c>
      <c r="E171" s="5" t="s">
        <v>83</v>
      </c>
      <c r="F171" s="5" t="s">
        <v>17</v>
      </c>
      <c r="G171">
        <v>10</v>
      </c>
    </row>
    <row r="172" spans="1:7" x14ac:dyDescent="0.35">
      <c r="A172">
        <v>171396</v>
      </c>
      <c r="B172">
        <v>0</v>
      </c>
      <c r="C172" s="5" t="s">
        <v>21</v>
      </c>
      <c r="D172">
        <v>0</v>
      </c>
      <c r="E172" s="5" t="s">
        <v>78</v>
      </c>
      <c r="F172" s="5" t="s">
        <v>14</v>
      </c>
      <c r="G172">
        <v>6</v>
      </c>
    </row>
    <row r="173" spans="1:7" x14ac:dyDescent="0.35">
      <c r="A173">
        <v>129530</v>
      </c>
      <c r="B173">
        <v>1</v>
      </c>
      <c r="C173" s="5" t="s">
        <v>45</v>
      </c>
      <c r="D173">
        <v>5401</v>
      </c>
      <c r="E173" s="5" t="s">
        <v>80</v>
      </c>
      <c r="F173" s="5" t="s">
        <v>14</v>
      </c>
      <c r="G173">
        <v>10</v>
      </c>
    </row>
    <row r="174" spans="1:7" x14ac:dyDescent="0.35">
      <c r="A174">
        <v>33773</v>
      </c>
      <c r="B174">
        <v>0</v>
      </c>
      <c r="C174" s="5" t="s">
        <v>13</v>
      </c>
      <c r="D174">
        <v>0</v>
      </c>
      <c r="E174" s="5" t="s">
        <v>90</v>
      </c>
      <c r="F174" s="5" t="s">
        <v>17</v>
      </c>
      <c r="G174">
        <v>20</v>
      </c>
    </row>
    <row r="175" spans="1:7" x14ac:dyDescent="0.35">
      <c r="A175">
        <v>10031</v>
      </c>
      <c r="B175">
        <v>0</v>
      </c>
      <c r="C175" s="5" t="s">
        <v>55</v>
      </c>
      <c r="D175">
        <v>3001</v>
      </c>
      <c r="E175" s="5" t="s">
        <v>79</v>
      </c>
      <c r="F175" s="5" t="s">
        <v>17</v>
      </c>
      <c r="G175">
        <v>10</v>
      </c>
    </row>
    <row r="176" spans="1:7" x14ac:dyDescent="0.35">
      <c r="A176">
        <v>62056</v>
      </c>
      <c r="B176">
        <v>0</v>
      </c>
      <c r="C176" s="5" t="s">
        <v>30</v>
      </c>
      <c r="D176">
        <v>4601</v>
      </c>
      <c r="E176" s="5" t="s">
        <v>81</v>
      </c>
      <c r="F176" s="5" t="s">
        <v>14</v>
      </c>
      <c r="G176">
        <v>7</v>
      </c>
    </row>
    <row r="177" spans="1:7" x14ac:dyDescent="0.35">
      <c r="A177">
        <v>11494</v>
      </c>
      <c r="B177">
        <v>2</v>
      </c>
      <c r="C177" s="5" t="s">
        <v>13</v>
      </c>
      <c r="D177">
        <v>6501</v>
      </c>
      <c r="E177" s="5" t="s">
        <v>84</v>
      </c>
      <c r="F177" s="5" t="s">
        <v>14</v>
      </c>
      <c r="G177">
        <v>5</v>
      </c>
    </row>
    <row r="178" spans="1:7" x14ac:dyDescent="0.35">
      <c r="A178">
        <v>44847</v>
      </c>
      <c r="B178">
        <v>0</v>
      </c>
      <c r="C178" s="5" t="s">
        <v>13</v>
      </c>
      <c r="D178">
        <v>5201</v>
      </c>
      <c r="E178" s="5" t="s">
        <v>79</v>
      </c>
      <c r="F178" s="5" t="s">
        <v>14</v>
      </c>
      <c r="G178">
        <v>10</v>
      </c>
    </row>
    <row r="179" spans="1:7" x14ac:dyDescent="0.35">
      <c r="A179">
        <v>94851</v>
      </c>
      <c r="B179">
        <v>2</v>
      </c>
      <c r="C179" s="5" t="s">
        <v>16</v>
      </c>
      <c r="D179">
        <v>1601</v>
      </c>
      <c r="E179" s="5" t="s">
        <v>85</v>
      </c>
      <c r="F179" s="5" t="s">
        <v>17</v>
      </c>
      <c r="G179">
        <v>10</v>
      </c>
    </row>
    <row r="180" spans="1:7" x14ac:dyDescent="0.35">
      <c r="A180">
        <v>15668</v>
      </c>
      <c r="B180">
        <v>0</v>
      </c>
      <c r="C180" s="5" t="s">
        <v>18</v>
      </c>
      <c r="D180">
        <v>4101</v>
      </c>
      <c r="E180" s="5" t="s">
        <v>81</v>
      </c>
      <c r="F180" s="5" t="s">
        <v>14</v>
      </c>
      <c r="G180">
        <v>45</v>
      </c>
    </row>
    <row r="181" spans="1:7" x14ac:dyDescent="0.35">
      <c r="A181">
        <v>175579</v>
      </c>
      <c r="B181">
        <v>0</v>
      </c>
      <c r="C181" s="5" t="s">
        <v>47</v>
      </c>
      <c r="D181">
        <v>4806</v>
      </c>
      <c r="E181" s="5" t="s">
        <v>92</v>
      </c>
      <c r="F181" s="5" t="s">
        <v>17</v>
      </c>
      <c r="G181">
        <v>20</v>
      </c>
    </row>
    <row r="182" spans="1:7" x14ac:dyDescent="0.35">
      <c r="A182">
        <v>150534</v>
      </c>
      <c r="B182">
        <v>980</v>
      </c>
      <c r="C182" s="5" t="s">
        <v>21</v>
      </c>
      <c r="D182">
        <v>0</v>
      </c>
      <c r="E182" s="5" t="s">
        <v>91</v>
      </c>
      <c r="F182" s="5" t="s">
        <v>27</v>
      </c>
      <c r="G182">
        <v>4</v>
      </c>
    </row>
    <row r="183" spans="1:7" x14ac:dyDescent="0.35">
      <c r="A183">
        <v>68441</v>
      </c>
      <c r="B183">
        <v>0</v>
      </c>
      <c r="C183" s="5" t="s">
        <v>26</v>
      </c>
      <c r="D183">
        <v>4201</v>
      </c>
      <c r="E183" s="5" t="s">
        <v>92</v>
      </c>
      <c r="F183" s="5" t="s">
        <v>17</v>
      </c>
      <c r="G183">
        <v>30</v>
      </c>
    </row>
    <row r="184" spans="1:7" x14ac:dyDescent="0.35">
      <c r="A184">
        <v>157185</v>
      </c>
      <c r="B184">
        <v>0</v>
      </c>
      <c r="C184" s="5" t="s">
        <v>21</v>
      </c>
      <c r="D184">
        <v>0</v>
      </c>
      <c r="E184" s="5" t="s">
        <v>82</v>
      </c>
      <c r="F184" s="5" t="s">
        <v>17</v>
      </c>
      <c r="G184">
        <v>5</v>
      </c>
    </row>
    <row r="185" spans="1:7" x14ac:dyDescent="0.35">
      <c r="A185">
        <v>90816</v>
      </c>
      <c r="B185">
        <v>0</v>
      </c>
      <c r="C185" s="5" t="s">
        <v>16</v>
      </c>
      <c r="D185">
        <v>5309</v>
      </c>
      <c r="E185" s="5" t="s">
        <v>80</v>
      </c>
      <c r="F185" s="5" t="s">
        <v>17</v>
      </c>
      <c r="G185">
        <v>20</v>
      </c>
    </row>
    <row r="186" spans="1:7" x14ac:dyDescent="0.35">
      <c r="A186">
        <v>94915</v>
      </c>
      <c r="B186">
        <v>0</v>
      </c>
      <c r="C186" s="5" t="s">
        <v>16</v>
      </c>
      <c r="D186">
        <v>4309</v>
      </c>
      <c r="E186" s="5" t="s">
        <v>85</v>
      </c>
      <c r="F186" s="5" t="s">
        <v>17</v>
      </c>
      <c r="G186">
        <v>15</v>
      </c>
    </row>
    <row r="187" spans="1:7" x14ac:dyDescent="0.35">
      <c r="A187">
        <v>118392</v>
      </c>
      <c r="B187">
        <v>2</v>
      </c>
      <c r="C187" s="5" t="s">
        <v>20</v>
      </c>
      <c r="D187">
        <v>1701</v>
      </c>
      <c r="E187" s="5" t="s">
        <v>89</v>
      </c>
      <c r="F187" s="5" t="s">
        <v>14</v>
      </c>
      <c r="G187">
        <v>12</v>
      </c>
    </row>
    <row r="188" spans="1:7" x14ac:dyDescent="0.35">
      <c r="A188">
        <v>187571</v>
      </c>
      <c r="B188">
        <v>0</v>
      </c>
      <c r="C188" s="5" t="s">
        <v>30</v>
      </c>
      <c r="D188">
        <v>0</v>
      </c>
      <c r="E188" s="5" t="s">
        <v>81</v>
      </c>
      <c r="F188" s="5" t="s">
        <v>86</v>
      </c>
      <c r="G188">
        <v>26</v>
      </c>
    </row>
    <row r="189" spans="1:7" x14ac:dyDescent="0.35">
      <c r="A189">
        <v>21659</v>
      </c>
      <c r="B189">
        <v>1002</v>
      </c>
      <c r="C189" s="5" t="s">
        <v>18</v>
      </c>
      <c r="D189">
        <v>5401</v>
      </c>
      <c r="E189" s="5" t="s">
        <v>81</v>
      </c>
      <c r="F189" s="5" t="s">
        <v>14</v>
      </c>
      <c r="G189">
        <v>10</v>
      </c>
    </row>
    <row r="190" spans="1:7" x14ac:dyDescent="0.35">
      <c r="A190">
        <v>157672</v>
      </c>
      <c r="B190">
        <v>2</v>
      </c>
      <c r="C190" s="5" t="s">
        <v>21</v>
      </c>
      <c r="D190">
        <v>3101</v>
      </c>
      <c r="E190" s="5" t="s">
        <v>82</v>
      </c>
      <c r="F190" s="5" t="s">
        <v>14</v>
      </c>
      <c r="G190">
        <v>10</v>
      </c>
    </row>
    <row r="191" spans="1:7" x14ac:dyDescent="0.35">
      <c r="A191">
        <v>64166</v>
      </c>
      <c r="B191">
        <v>1</v>
      </c>
      <c r="C191" s="5" t="s">
        <v>30</v>
      </c>
      <c r="D191">
        <v>1701</v>
      </c>
      <c r="E191" s="5" t="s">
        <v>79</v>
      </c>
      <c r="F191" s="5" t="s">
        <v>14</v>
      </c>
      <c r="G191">
        <v>23</v>
      </c>
    </row>
    <row r="192" spans="1:7" x14ac:dyDescent="0.35">
      <c r="A192">
        <v>185304</v>
      </c>
      <c r="B192">
        <v>1</v>
      </c>
      <c r="C192" s="5" t="s">
        <v>45</v>
      </c>
      <c r="D192">
        <v>2505</v>
      </c>
      <c r="E192" s="5" t="s">
        <v>84</v>
      </c>
      <c r="F192" s="5" t="s">
        <v>14</v>
      </c>
      <c r="G192">
        <v>21</v>
      </c>
    </row>
    <row r="193" spans="1:7" x14ac:dyDescent="0.35">
      <c r="A193">
        <v>57963</v>
      </c>
      <c r="B193">
        <v>28</v>
      </c>
      <c r="C193" s="5" t="s">
        <v>53</v>
      </c>
      <c r="D193">
        <v>2709</v>
      </c>
      <c r="E193" s="5" t="s">
        <v>78</v>
      </c>
      <c r="F193" s="5" t="s">
        <v>17</v>
      </c>
      <c r="G193">
        <v>10</v>
      </c>
    </row>
    <row r="194" spans="1:7" x14ac:dyDescent="0.35">
      <c r="A194">
        <v>98249</v>
      </c>
      <c r="B194">
        <v>0</v>
      </c>
      <c r="C194" s="5" t="s">
        <v>16</v>
      </c>
      <c r="D194">
        <v>0</v>
      </c>
      <c r="E194" s="5" t="s">
        <v>81</v>
      </c>
      <c r="F194" s="5" t="s">
        <v>17</v>
      </c>
      <c r="G194">
        <v>10</v>
      </c>
    </row>
    <row r="195" spans="1:7" x14ac:dyDescent="0.35">
      <c r="A195">
        <v>153689</v>
      </c>
      <c r="B195">
        <v>0</v>
      </c>
      <c r="C195" s="5" t="s">
        <v>21</v>
      </c>
      <c r="D195">
        <v>3001</v>
      </c>
      <c r="E195" s="5" t="s">
        <v>83</v>
      </c>
      <c r="F195" s="5" t="s">
        <v>17</v>
      </c>
      <c r="G195">
        <v>20</v>
      </c>
    </row>
    <row r="196" spans="1:7" x14ac:dyDescent="0.35">
      <c r="A196">
        <v>157807</v>
      </c>
      <c r="B196">
        <v>1</v>
      </c>
      <c r="C196" s="5" t="s">
        <v>21</v>
      </c>
      <c r="D196">
        <v>2401</v>
      </c>
      <c r="E196" s="5" t="s">
        <v>83</v>
      </c>
      <c r="F196" s="5" t="s">
        <v>14</v>
      </c>
      <c r="G196">
        <v>16</v>
      </c>
    </row>
    <row r="197" spans="1:7" x14ac:dyDescent="0.35">
      <c r="A197">
        <v>41715</v>
      </c>
      <c r="B197">
        <v>0</v>
      </c>
      <c r="C197" s="5" t="s">
        <v>13</v>
      </c>
      <c r="D197">
        <v>0</v>
      </c>
      <c r="E197" s="5" t="s">
        <v>91</v>
      </c>
      <c r="F197" s="5" t="s">
        <v>86</v>
      </c>
      <c r="G197">
        <v>3</v>
      </c>
    </row>
    <row r="198" spans="1:7" x14ac:dyDescent="0.35">
      <c r="A198">
        <v>45356</v>
      </c>
      <c r="B198">
        <v>1</v>
      </c>
      <c r="C198" s="5" t="s">
        <v>13</v>
      </c>
      <c r="D198">
        <v>2006</v>
      </c>
      <c r="E198" s="5" t="s">
        <v>93</v>
      </c>
      <c r="F198" s="5" t="s">
        <v>14</v>
      </c>
      <c r="G198">
        <v>8</v>
      </c>
    </row>
    <row r="199" spans="1:7" x14ac:dyDescent="0.35">
      <c r="A199">
        <v>163506</v>
      </c>
      <c r="B199">
        <v>0</v>
      </c>
      <c r="C199" s="5" t="s">
        <v>21</v>
      </c>
      <c r="D199">
        <v>0</v>
      </c>
      <c r="E199" s="5" t="s">
        <v>85</v>
      </c>
      <c r="F199" s="5" t="s">
        <v>17</v>
      </c>
      <c r="G199">
        <v>15</v>
      </c>
    </row>
    <row r="200" spans="1:7" x14ac:dyDescent="0.35">
      <c r="A200">
        <v>107727</v>
      </c>
      <c r="B200">
        <v>0</v>
      </c>
      <c r="C200" s="5" t="s">
        <v>55</v>
      </c>
      <c r="D200">
        <v>4007</v>
      </c>
      <c r="E200" s="5" t="s">
        <v>79</v>
      </c>
      <c r="F200" s="5" t="s">
        <v>17</v>
      </c>
      <c r="G200">
        <v>7</v>
      </c>
    </row>
    <row r="201" spans="1:7" x14ac:dyDescent="0.35">
      <c r="A201">
        <v>64212</v>
      </c>
      <c r="B201">
        <v>0</v>
      </c>
      <c r="C201" s="5" t="s">
        <v>30</v>
      </c>
      <c r="D201">
        <v>2601</v>
      </c>
      <c r="E201" s="5" t="s">
        <v>78</v>
      </c>
      <c r="F201" s="5" t="s">
        <v>17</v>
      </c>
      <c r="G201">
        <v>20</v>
      </c>
    </row>
    <row r="202" spans="1:7" x14ac:dyDescent="0.35">
      <c r="A202">
        <v>60252</v>
      </c>
      <c r="B202">
        <v>1</v>
      </c>
      <c r="C202" s="5" t="s">
        <v>30</v>
      </c>
      <c r="D202">
        <v>0</v>
      </c>
      <c r="E202" s="5" t="s">
        <v>80</v>
      </c>
      <c r="F202" s="5" t="s">
        <v>14</v>
      </c>
      <c r="G202">
        <v>15</v>
      </c>
    </row>
    <row r="203" spans="1:7" x14ac:dyDescent="0.35">
      <c r="A203">
        <v>45101</v>
      </c>
      <c r="B203">
        <v>2</v>
      </c>
      <c r="C203" s="5" t="s">
        <v>13</v>
      </c>
      <c r="D203">
        <v>0</v>
      </c>
      <c r="E203" s="5" t="s">
        <v>82</v>
      </c>
      <c r="F203" s="5" t="s">
        <v>17</v>
      </c>
      <c r="G203">
        <v>3</v>
      </c>
    </row>
    <row r="204" spans="1:7" x14ac:dyDescent="0.35">
      <c r="A204">
        <v>36528</v>
      </c>
      <c r="B204">
        <v>0</v>
      </c>
      <c r="C204" s="5" t="s">
        <v>13</v>
      </c>
      <c r="D204">
        <v>2303</v>
      </c>
      <c r="E204" s="5" t="s">
        <v>80</v>
      </c>
      <c r="F204" s="5" t="s">
        <v>17</v>
      </c>
      <c r="G204">
        <v>25</v>
      </c>
    </row>
    <row r="205" spans="1:7" x14ac:dyDescent="0.35">
      <c r="A205">
        <v>38820</v>
      </c>
      <c r="B205">
        <v>2</v>
      </c>
      <c r="C205" s="5" t="s">
        <v>13</v>
      </c>
      <c r="D205">
        <v>1306</v>
      </c>
      <c r="E205" s="5" t="s">
        <v>82</v>
      </c>
      <c r="F205" s="5" t="s">
        <v>14</v>
      </c>
      <c r="G205">
        <v>20</v>
      </c>
    </row>
    <row r="206" spans="1:7" x14ac:dyDescent="0.35">
      <c r="A206">
        <v>133906</v>
      </c>
      <c r="B206">
        <v>0</v>
      </c>
      <c r="C206" s="5" t="s">
        <v>38</v>
      </c>
      <c r="D206">
        <v>0</v>
      </c>
      <c r="E206" s="5" t="s">
        <v>81</v>
      </c>
      <c r="F206" s="5" t="s">
        <v>17</v>
      </c>
      <c r="G206">
        <v>10</v>
      </c>
    </row>
    <row r="207" spans="1:7" x14ac:dyDescent="0.35">
      <c r="A207">
        <v>12226</v>
      </c>
      <c r="B207">
        <v>0</v>
      </c>
      <c r="C207" s="5" t="s">
        <v>45</v>
      </c>
      <c r="D207">
        <v>1301</v>
      </c>
      <c r="E207" s="5" t="s">
        <v>78</v>
      </c>
      <c r="F207" s="5" t="s">
        <v>17</v>
      </c>
      <c r="G207">
        <v>8</v>
      </c>
    </row>
    <row r="208" spans="1:7" x14ac:dyDescent="0.35">
      <c r="A208">
        <v>8696</v>
      </c>
      <c r="B208">
        <v>2</v>
      </c>
      <c r="C208" s="5" t="s">
        <v>28</v>
      </c>
      <c r="D208">
        <v>0</v>
      </c>
      <c r="E208" s="5" t="s">
        <v>79</v>
      </c>
      <c r="F208" s="5" t="s">
        <v>17</v>
      </c>
      <c r="G208">
        <v>11</v>
      </c>
    </row>
    <row r="209" spans="1:7" x14ac:dyDescent="0.35">
      <c r="A209">
        <v>119368</v>
      </c>
      <c r="B209">
        <v>28</v>
      </c>
      <c r="C209" s="5" t="s">
        <v>20</v>
      </c>
      <c r="D209">
        <v>4008</v>
      </c>
      <c r="E209" s="5" t="s">
        <v>82</v>
      </c>
      <c r="F209" s="5" t="s">
        <v>17</v>
      </c>
      <c r="G209">
        <v>25</v>
      </c>
    </row>
    <row r="210" spans="1:7" x14ac:dyDescent="0.35">
      <c r="A210">
        <v>14319</v>
      </c>
      <c r="B210">
        <v>1</v>
      </c>
      <c r="C210" s="5" t="s">
        <v>13</v>
      </c>
      <c r="D210">
        <v>2601</v>
      </c>
      <c r="E210" s="5" t="s">
        <v>88</v>
      </c>
      <c r="F210" s="5" t="s">
        <v>14</v>
      </c>
      <c r="G210">
        <v>19</v>
      </c>
    </row>
    <row r="211" spans="1:7" x14ac:dyDescent="0.35">
      <c r="A211">
        <v>118408</v>
      </c>
      <c r="B211">
        <v>1</v>
      </c>
      <c r="C211" s="5" t="s">
        <v>20</v>
      </c>
      <c r="D211">
        <v>2109</v>
      </c>
      <c r="E211" s="5" t="s">
        <v>81</v>
      </c>
      <c r="F211" s="5" t="s">
        <v>14</v>
      </c>
      <c r="G211">
        <v>15</v>
      </c>
    </row>
    <row r="212" spans="1:7" x14ac:dyDescent="0.35">
      <c r="A212">
        <v>146585</v>
      </c>
      <c r="B212">
        <v>0</v>
      </c>
      <c r="C212" s="5" t="s">
        <v>21</v>
      </c>
      <c r="D212">
        <v>0</v>
      </c>
      <c r="E212" s="5" t="s">
        <v>91</v>
      </c>
      <c r="F212" s="5" t="s">
        <v>17</v>
      </c>
      <c r="G212">
        <v>8</v>
      </c>
    </row>
    <row r="213" spans="1:7" x14ac:dyDescent="0.35">
      <c r="A213">
        <v>120115</v>
      </c>
      <c r="B213">
        <v>1</v>
      </c>
      <c r="C213" s="5" t="s">
        <v>20</v>
      </c>
      <c r="D213">
        <v>701</v>
      </c>
      <c r="E213" s="5" t="s">
        <v>89</v>
      </c>
      <c r="F213" s="5" t="s">
        <v>14</v>
      </c>
      <c r="G213">
        <v>200</v>
      </c>
    </row>
    <row r="214" spans="1:7" x14ac:dyDescent="0.35">
      <c r="A214">
        <v>57463</v>
      </c>
      <c r="B214">
        <v>0</v>
      </c>
      <c r="C214" s="5" t="s">
        <v>53</v>
      </c>
      <c r="D214">
        <v>2512</v>
      </c>
      <c r="E214" s="5" t="s">
        <v>80</v>
      </c>
      <c r="F214" s="5" t="s">
        <v>17</v>
      </c>
      <c r="G214">
        <v>10</v>
      </c>
    </row>
    <row r="215" spans="1:7" x14ac:dyDescent="0.35">
      <c r="A215">
        <v>94394</v>
      </c>
      <c r="B215">
        <v>2</v>
      </c>
      <c r="C215" s="5" t="s">
        <v>16</v>
      </c>
      <c r="D215">
        <v>3308</v>
      </c>
      <c r="E215" s="5" t="s">
        <v>91</v>
      </c>
      <c r="F215" s="5" t="s">
        <v>17</v>
      </c>
      <c r="G215">
        <v>10</v>
      </c>
    </row>
    <row r="216" spans="1:7" x14ac:dyDescent="0.35">
      <c r="A216">
        <v>155135</v>
      </c>
      <c r="B216">
        <v>1</v>
      </c>
      <c r="C216" s="5" t="s">
        <v>21</v>
      </c>
      <c r="D216">
        <v>3001</v>
      </c>
      <c r="E216" s="5" t="s">
        <v>88</v>
      </c>
      <c r="F216" s="5" t="s">
        <v>14</v>
      </c>
      <c r="G216">
        <v>7</v>
      </c>
    </row>
    <row r="217" spans="1:7" x14ac:dyDescent="0.35">
      <c r="A217">
        <v>149595</v>
      </c>
      <c r="B217">
        <v>1</v>
      </c>
      <c r="C217" s="5" t="s">
        <v>21</v>
      </c>
      <c r="D217">
        <v>6008</v>
      </c>
      <c r="E217" s="5" t="s">
        <v>80</v>
      </c>
      <c r="F217" s="5" t="s">
        <v>14</v>
      </c>
      <c r="G217">
        <v>17</v>
      </c>
    </row>
    <row r="218" spans="1:7" x14ac:dyDescent="0.35">
      <c r="A218">
        <v>166606</v>
      </c>
      <c r="B218">
        <v>0</v>
      </c>
      <c r="C218" s="5" t="s">
        <v>21</v>
      </c>
      <c r="D218">
        <v>3401</v>
      </c>
      <c r="E218" s="5" t="s">
        <v>85</v>
      </c>
      <c r="F218" s="5" t="s">
        <v>17</v>
      </c>
      <c r="G218">
        <v>50</v>
      </c>
    </row>
    <row r="219" spans="1:7" x14ac:dyDescent="0.35">
      <c r="A219">
        <v>8240</v>
      </c>
      <c r="B219">
        <v>1</v>
      </c>
      <c r="C219" s="5" t="s">
        <v>21</v>
      </c>
      <c r="D219">
        <v>0</v>
      </c>
      <c r="E219" s="5" t="s">
        <v>86</v>
      </c>
      <c r="F219" s="5" t="s">
        <v>86</v>
      </c>
      <c r="G219">
        <v>10</v>
      </c>
    </row>
    <row r="220" spans="1:7" x14ac:dyDescent="0.35">
      <c r="A220">
        <v>185904</v>
      </c>
      <c r="B220">
        <v>0</v>
      </c>
      <c r="C220" s="5" t="s">
        <v>20</v>
      </c>
      <c r="D220">
        <v>5801</v>
      </c>
      <c r="E220" s="5" t="s">
        <v>83</v>
      </c>
      <c r="F220" s="5" t="s">
        <v>17</v>
      </c>
      <c r="G220">
        <v>13</v>
      </c>
    </row>
    <row r="221" spans="1:7" x14ac:dyDescent="0.35">
      <c r="A221">
        <v>49351</v>
      </c>
      <c r="B221">
        <v>1</v>
      </c>
      <c r="C221" s="5" t="s">
        <v>40</v>
      </c>
      <c r="D221">
        <v>3401</v>
      </c>
      <c r="E221" s="5" t="s">
        <v>79</v>
      </c>
      <c r="F221" s="5" t="s">
        <v>14</v>
      </c>
      <c r="G221">
        <v>15</v>
      </c>
    </row>
    <row r="222" spans="1:7" x14ac:dyDescent="0.35">
      <c r="A222">
        <v>191779</v>
      </c>
      <c r="B222">
        <v>1</v>
      </c>
      <c r="C222" s="5" t="s">
        <v>13</v>
      </c>
      <c r="D222">
        <v>2701</v>
      </c>
      <c r="E222" s="5" t="s">
        <v>86</v>
      </c>
      <c r="F222" s="5" t="s">
        <v>14</v>
      </c>
      <c r="G222">
        <v>150</v>
      </c>
    </row>
    <row r="223" spans="1:7" x14ac:dyDescent="0.35">
      <c r="A223">
        <v>169881</v>
      </c>
      <c r="B223">
        <v>0</v>
      </c>
      <c r="C223" s="5" t="s">
        <v>21</v>
      </c>
      <c r="D223">
        <v>0</v>
      </c>
      <c r="E223" s="5" t="s">
        <v>82</v>
      </c>
      <c r="F223" s="5" t="s">
        <v>17</v>
      </c>
      <c r="G223">
        <v>15</v>
      </c>
    </row>
    <row r="224" spans="1:7" x14ac:dyDescent="0.35">
      <c r="A224">
        <v>144356</v>
      </c>
      <c r="B224">
        <v>3</v>
      </c>
      <c r="C224" s="5" t="s">
        <v>21</v>
      </c>
      <c r="D224">
        <v>0</v>
      </c>
      <c r="E224" s="5" t="s">
        <v>93</v>
      </c>
      <c r="F224" s="5" t="s">
        <v>17</v>
      </c>
      <c r="G224">
        <v>20</v>
      </c>
    </row>
    <row r="225" spans="1:7" x14ac:dyDescent="0.35">
      <c r="A225">
        <v>186528</v>
      </c>
      <c r="B225">
        <v>2</v>
      </c>
      <c r="C225" s="5" t="s">
        <v>20</v>
      </c>
      <c r="D225">
        <v>2212</v>
      </c>
      <c r="E225" s="5" t="s">
        <v>78</v>
      </c>
      <c r="F225" s="5" t="s">
        <v>17</v>
      </c>
      <c r="G225">
        <v>15</v>
      </c>
    </row>
    <row r="226" spans="1:7" x14ac:dyDescent="0.35">
      <c r="A226">
        <v>14161</v>
      </c>
      <c r="B226">
        <v>0</v>
      </c>
      <c r="C226" s="5" t="s">
        <v>37</v>
      </c>
      <c r="D226">
        <v>2805</v>
      </c>
      <c r="E226" s="5" t="s">
        <v>94</v>
      </c>
      <c r="F226" s="5" t="s">
        <v>14</v>
      </c>
      <c r="G226">
        <v>10</v>
      </c>
    </row>
    <row r="227" spans="1:7" x14ac:dyDescent="0.35">
      <c r="A227">
        <v>190839</v>
      </c>
      <c r="B227">
        <v>1</v>
      </c>
      <c r="C227" s="5" t="s">
        <v>16</v>
      </c>
      <c r="D227">
        <v>5601</v>
      </c>
      <c r="E227" s="5" t="s">
        <v>91</v>
      </c>
      <c r="F227" s="5" t="s">
        <v>14</v>
      </c>
      <c r="G227">
        <v>15</v>
      </c>
    </row>
    <row r="228" spans="1:7" x14ac:dyDescent="0.35">
      <c r="A228">
        <v>146269</v>
      </c>
      <c r="B228">
        <v>2</v>
      </c>
      <c r="C228" s="5" t="s">
        <v>21</v>
      </c>
      <c r="D228">
        <v>4601</v>
      </c>
      <c r="E228" s="5" t="s">
        <v>85</v>
      </c>
      <c r="F228" s="5" t="s">
        <v>17</v>
      </c>
      <c r="G228">
        <v>10</v>
      </c>
    </row>
    <row r="229" spans="1:7" x14ac:dyDescent="0.35">
      <c r="A229">
        <v>188507</v>
      </c>
      <c r="B229">
        <v>2</v>
      </c>
      <c r="C229" s="5" t="s">
        <v>21</v>
      </c>
      <c r="D229">
        <v>2601</v>
      </c>
      <c r="E229" s="5" t="s">
        <v>84</v>
      </c>
      <c r="F229" s="5" t="s">
        <v>17</v>
      </c>
      <c r="G229">
        <v>10</v>
      </c>
    </row>
    <row r="230" spans="1:7" x14ac:dyDescent="0.35">
      <c r="A230">
        <v>116251</v>
      </c>
      <c r="B230">
        <v>0</v>
      </c>
      <c r="C230" s="5" t="s">
        <v>20</v>
      </c>
      <c r="D230">
        <v>505</v>
      </c>
      <c r="E230" s="5" t="s">
        <v>83</v>
      </c>
      <c r="F230" s="5" t="s">
        <v>17</v>
      </c>
      <c r="G230">
        <v>10</v>
      </c>
    </row>
    <row r="231" spans="1:7" x14ac:dyDescent="0.35">
      <c r="A231">
        <v>81945</v>
      </c>
      <c r="B231">
        <v>1</v>
      </c>
      <c r="C231" s="5" t="s">
        <v>32</v>
      </c>
      <c r="D231">
        <v>6401</v>
      </c>
      <c r="E231" s="5" t="s">
        <v>83</v>
      </c>
      <c r="F231" s="5" t="s">
        <v>14</v>
      </c>
      <c r="G231">
        <v>20</v>
      </c>
    </row>
    <row r="232" spans="1:7" x14ac:dyDescent="0.35">
      <c r="A232">
        <v>8989</v>
      </c>
      <c r="B232">
        <v>2</v>
      </c>
      <c r="C232" s="5" t="s">
        <v>37</v>
      </c>
      <c r="D232">
        <v>1401</v>
      </c>
      <c r="E232" s="5" t="s">
        <v>79</v>
      </c>
      <c r="F232" s="5" t="s">
        <v>17</v>
      </c>
      <c r="G232">
        <v>32</v>
      </c>
    </row>
    <row r="233" spans="1:7" x14ac:dyDescent="0.35">
      <c r="A233">
        <v>47282</v>
      </c>
      <c r="B233">
        <v>0</v>
      </c>
      <c r="C233" s="5" t="s">
        <v>40</v>
      </c>
      <c r="D233">
        <v>5701</v>
      </c>
      <c r="E233" s="5" t="s">
        <v>80</v>
      </c>
      <c r="F233" s="5" t="s">
        <v>17</v>
      </c>
      <c r="G233">
        <v>15</v>
      </c>
    </row>
    <row r="234" spans="1:7" x14ac:dyDescent="0.35">
      <c r="A234">
        <v>2950</v>
      </c>
      <c r="B234">
        <v>0</v>
      </c>
      <c r="C234" s="5" t="s">
        <v>31</v>
      </c>
      <c r="D234">
        <v>0</v>
      </c>
      <c r="E234" s="5" t="s">
        <v>90</v>
      </c>
      <c r="F234" s="5" t="s">
        <v>14</v>
      </c>
      <c r="G234">
        <v>2</v>
      </c>
    </row>
    <row r="235" spans="1:7" x14ac:dyDescent="0.35">
      <c r="A235">
        <v>87771</v>
      </c>
      <c r="B235">
        <v>0</v>
      </c>
      <c r="C235" s="5" t="s">
        <v>16</v>
      </c>
      <c r="D235">
        <v>6401</v>
      </c>
      <c r="E235" s="5" t="s">
        <v>85</v>
      </c>
      <c r="F235" s="5" t="s">
        <v>17</v>
      </c>
      <c r="G235">
        <v>20</v>
      </c>
    </row>
    <row r="236" spans="1:7" x14ac:dyDescent="0.35">
      <c r="A236">
        <v>167934</v>
      </c>
      <c r="B236">
        <v>28</v>
      </c>
      <c r="C236" s="5" t="s">
        <v>37</v>
      </c>
      <c r="D236">
        <v>3201</v>
      </c>
      <c r="E236" s="5" t="s">
        <v>80</v>
      </c>
      <c r="F236" s="5" t="s">
        <v>17</v>
      </c>
      <c r="G236">
        <v>21</v>
      </c>
    </row>
    <row r="237" spans="1:7" x14ac:dyDescent="0.35">
      <c r="A237">
        <v>26045</v>
      </c>
      <c r="B237">
        <v>28</v>
      </c>
      <c r="C237" s="5" t="s">
        <v>36</v>
      </c>
      <c r="D237">
        <v>4801</v>
      </c>
      <c r="E237" s="5" t="s">
        <v>82</v>
      </c>
      <c r="F237" s="5" t="s">
        <v>17</v>
      </c>
      <c r="G237">
        <v>14</v>
      </c>
    </row>
    <row r="238" spans="1:7" x14ac:dyDescent="0.35">
      <c r="A238">
        <v>661</v>
      </c>
      <c r="B238">
        <v>0</v>
      </c>
      <c r="C238" s="5" t="s">
        <v>21</v>
      </c>
      <c r="D238">
        <v>6509</v>
      </c>
      <c r="E238" s="5" t="s">
        <v>93</v>
      </c>
      <c r="F238" s="5" t="s">
        <v>14</v>
      </c>
      <c r="G238">
        <v>20</v>
      </c>
    </row>
    <row r="239" spans="1:7" x14ac:dyDescent="0.35">
      <c r="A239">
        <v>47569</v>
      </c>
      <c r="B239">
        <v>0</v>
      </c>
      <c r="C239" s="5" t="s">
        <v>40</v>
      </c>
      <c r="D239">
        <v>0</v>
      </c>
      <c r="E239" s="5" t="s">
        <v>78</v>
      </c>
      <c r="F239" s="5" t="s">
        <v>17</v>
      </c>
      <c r="G239">
        <v>10</v>
      </c>
    </row>
    <row r="240" spans="1:7" x14ac:dyDescent="0.35">
      <c r="A240">
        <v>176743</v>
      </c>
      <c r="B240">
        <v>1</v>
      </c>
      <c r="C240" s="5" t="s">
        <v>47</v>
      </c>
      <c r="D240">
        <v>201</v>
      </c>
      <c r="E240" s="5" t="s">
        <v>87</v>
      </c>
      <c r="F240" s="5" t="s">
        <v>14</v>
      </c>
      <c r="G240">
        <v>7</v>
      </c>
    </row>
    <row r="241" spans="1:7" x14ac:dyDescent="0.35">
      <c r="A241">
        <v>188164</v>
      </c>
      <c r="B241">
        <v>0</v>
      </c>
      <c r="C241" s="5" t="s">
        <v>20</v>
      </c>
      <c r="D241">
        <v>0</v>
      </c>
      <c r="E241" s="5" t="s">
        <v>83</v>
      </c>
      <c r="F241" s="5" t="s">
        <v>86</v>
      </c>
      <c r="G241">
        <v>10</v>
      </c>
    </row>
    <row r="242" spans="1:7" x14ac:dyDescent="0.35">
      <c r="A242">
        <v>134364</v>
      </c>
      <c r="B242">
        <v>0</v>
      </c>
      <c r="C242" s="5" t="s">
        <v>35</v>
      </c>
      <c r="D242">
        <v>0</v>
      </c>
      <c r="E242" s="5" t="s">
        <v>93</v>
      </c>
      <c r="F242" s="5" t="s">
        <v>17</v>
      </c>
      <c r="G242">
        <v>20</v>
      </c>
    </row>
    <row r="243" spans="1:7" x14ac:dyDescent="0.35">
      <c r="A243">
        <v>93742</v>
      </c>
      <c r="B243">
        <v>2</v>
      </c>
      <c r="C243" s="5" t="s">
        <v>16</v>
      </c>
      <c r="D243">
        <v>3504</v>
      </c>
      <c r="E243" s="5" t="s">
        <v>91</v>
      </c>
      <c r="F243" s="5" t="s">
        <v>17</v>
      </c>
      <c r="G243">
        <v>30</v>
      </c>
    </row>
    <row r="244" spans="1:7" x14ac:dyDescent="0.35">
      <c r="A244">
        <v>39479</v>
      </c>
      <c r="B244">
        <v>2</v>
      </c>
      <c r="C244" s="5" t="s">
        <v>13</v>
      </c>
      <c r="D244">
        <v>3306</v>
      </c>
      <c r="E244" s="5" t="s">
        <v>78</v>
      </c>
      <c r="F244" s="5" t="s">
        <v>14</v>
      </c>
      <c r="G244">
        <v>4</v>
      </c>
    </row>
    <row r="245" spans="1:7" x14ac:dyDescent="0.35">
      <c r="A245">
        <v>54142</v>
      </c>
      <c r="B245">
        <v>2</v>
      </c>
      <c r="C245" s="5" t="s">
        <v>49</v>
      </c>
      <c r="D245">
        <v>4601</v>
      </c>
      <c r="E245" s="5" t="s">
        <v>81</v>
      </c>
      <c r="F245" s="5" t="s">
        <v>17</v>
      </c>
      <c r="G245">
        <v>21</v>
      </c>
    </row>
    <row r="246" spans="1:7" x14ac:dyDescent="0.35">
      <c r="A246">
        <v>168038</v>
      </c>
      <c r="B246">
        <v>0</v>
      </c>
      <c r="C246" s="5" t="s">
        <v>21</v>
      </c>
      <c r="D246">
        <v>4703</v>
      </c>
      <c r="E246" s="5" t="s">
        <v>83</v>
      </c>
      <c r="F246" s="5" t="s">
        <v>14</v>
      </c>
      <c r="G246">
        <v>36</v>
      </c>
    </row>
    <row r="247" spans="1:7" x14ac:dyDescent="0.35">
      <c r="A247">
        <v>48675</v>
      </c>
      <c r="B247">
        <v>0</v>
      </c>
      <c r="C247" s="5" t="s">
        <v>40</v>
      </c>
      <c r="D247">
        <v>2601</v>
      </c>
      <c r="E247" s="5" t="s">
        <v>82</v>
      </c>
      <c r="F247" s="5" t="s">
        <v>17</v>
      </c>
      <c r="G247">
        <v>5</v>
      </c>
    </row>
    <row r="248" spans="1:7" x14ac:dyDescent="0.35">
      <c r="A248">
        <v>158980</v>
      </c>
      <c r="B248">
        <v>0</v>
      </c>
      <c r="C248" s="5" t="s">
        <v>21</v>
      </c>
      <c r="D248">
        <v>6201</v>
      </c>
      <c r="E248" s="5" t="s">
        <v>80</v>
      </c>
      <c r="F248" s="5" t="s">
        <v>14</v>
      </c>
      <c r="G248">
        <v>20</v>
      </c>
    </row>
    <row r="249" spans="1:7" x14ac:dyDescent="0.35">
      <c r="A249">
        <v>153888</v>
      </c>
      <c r="B249">
        <v>0</v>
      </c>
      <c r="C249" s="5" t="s">
        <v>21</v>
      </c>
      <c r="D249">
        <v>3801</v>
      </c>
      <c r="E249" s="5" t="s">
        <v>83</v>
      </c>
      <c r="F249" s="5" t="s">
        <v>17</v>
      </c>
      <c r="G249">
        <v>10</v>
      </c>
    </row>
    <row r="250" spans="1:7" x14ac:dyDescent="0.35">
      <c r="A250">
        <v>162300</v>
      </c>
      <c r="B250">
        <v>1002</v>
      </c>
      <c r="C250" s="5" t="s">
        <v>21</v>
      </c>
      <c r="D250">
        <v>2001</v>
      </c>
      <c r="E250" s="5" t="s">
        <v>83</v>
      </c>
      <c r="F250" s="5" t="s">
        <v>14</v>
      </c>
      <c r="G250">
        <v>20</v>
      </c>
    </row>
    <row r="251" spans="1:7" x14ac:dyDescent="0.35">
      <c r="A251">
        <v>163081</v>
      </c>
      <c r="B251">
        <v>1</v>
      </c>
      <c r="C251" s="5" t="s">
        <v>21</v>
      </c>
      <c r="D251">
        <v>0</v>
      </c>
      <c r="E251" s="5" t="s">
        <v>85</v>
      </c>
      <c r="F251" s="5" t="s">
        <v>14</v>
      </c>
      <c r="G251">
        <v>7</v>
      </c>
    </row>
    <row r="252" spans="1:7" x14ac:dyDescent="0.35">
      <c r="A252">
        <v>14000</v>
      </c>
      <c r="B252">
        <v>0</v>
      </c>
      <c r="C252" s="5" t="s">
        <v>28</v>
      </c>
      <c r="D252">
        <v>2101</v>
      </c>
      <c r="E252" s="5" t="s">
        <v>83</v>
      </c>
      <c r="F252" s="5" t="s">
        <v>17</v>
      </c>
      <c r="G252">
        <v>12</v>
      </c>
    </row>
    <row r="253" spans="1:7" x14ac:dyDescent="0.35">
      <c r="A253">
        <v>6599</v>
      </c>
      <c r="B253">
        <v>0</v>
      </c>
      <c r="C253" s="5" t="s">
        <v>37</v>
      </c>
      <c r="D253">
        <v>3601</v>
      </c>
      <c r="E253" s="5" t="s">
        <v>80</v>
      </c>
      <c r="F253" s="5" t="s">
        <v>17</v>
      </c>
      <c r="G253">
        <v>11</v>
      </c>
    </row>
    <row r="254" spans="1:7" x14ac:dyDescent="0.35">
      <c r="A254">
        <v>135454</v>
      </c>
      <c r="B254">
        <v>0</v>
      </c>
      <c r="C254" s="5" t="s">
        <v>51</v>
      </c>
      <c r="D254">
        <v>0</v>
      </c>
      <c r="E254" s="5" t="s">
        <v>84</v>
      </c>
      <c r="F254" s="5" t="s">
        <v>14</v>
      </c>
      <c r="G254">
        <v>15</v>
      </c>
    </row>
    <row r="255" spans="1:7" x14ac:dyDescent="0.35">
      <c r="A255">
        <v>128643</v>
      </c>
      <c r="B255">
        <v>1</v>
      </c>
      <c r="C255" s="5" t="s">
        <v>20</v>
      </c>
      <c r="D255">
        <v>2809</v>
      </c>
      <c r="E255" s="5" t="s">
        <v>87</v>
      </c>
      <c r="F255" s="5" t="s">
        <v>14</v>
      </c>
      <c r="G255">
        <v>4</v>
      </c>
    </row>
    <row r="256" spans="1:7" x14ac:dyDescent="0.35">
      <c r="A256">
        <v>116420</v>
      </c>
      <c r="B256">
        <v>0</v>
      </c>
      <c r="C256" s="5" t="s">
        <v>20</v>
      </c>
      <c r="D256">
        <v>0</v>
      </c>
      <c r="E256" s="5" t="s">
        <v>83</v>
      </c>
      <c r="F256" s="5" t="s">
        <v>14</v>
      </c>
      <c r="G256">
        <v>20</v>
      </c>
    </row>
    <row r="257" spans="1:7" x14ac:dyDescent="0.35">
      <c r="A257">
        <v>35101</v>
      </c>
      <c r="B257">
        <v>1</v>
      </c>
      <c r="C257" s="5" t="s">
        <v>13</v>
      </c>
      <c r="D257">
        <v>1911</v>
      </c>
      <c r="E257" s="5" t="s">
        <v>83</v>
      </c>
      <c r="F257" s="5" t="s">
        <v>14</v>
      </c>
      <c r="G257">
        <v>20</v>
      </c>
    </row>
    <row r="258" spans="1:7" x14ac:dyDescent="0.35">
      <c r="A258">
        <v>75474</v>
      </c>
      <c r="B258">
        <v>0</v>
      </c>
      <c r="C258" s="5" t="s">
        <v>44</v>
      </c>
      <c r="D258">
        <v>0</v>
      </c>
      <c r="E258" s="5" t="s">
        <v>89</v>
      </c>
      <c r="F258" s="5" t="s">
        <v>14</v>
      </c>
      <c r="G258">
        <v>15</v>
      </c>
    </row>
    <row r="259" spans="1:7" x14ac:dyDescent="0.35">
      <c r="A259">
        <v>785</v>
      </c>
      <c r="B259">
        <v>0</v>
      </c>
      <c r="C259" s="5" t="s">
        <v>26</v>
      </c>
      <c r="D259">
        <v>4507</v>
      </c>
      <c r="E259" s="5" t="s">
        <v>82</v>
      </c>
      <c r="F259" s="5" t="s">
        <v>14</v>
      </c>
      <c r="G259">
        <v>18</v>
      </c>
    </row>
    <row r="260" spans="1:7" x14ac:dyDescent="0.35">
      <c r="A260">
        <v>27624</v>
      </c>
      <c r="B260">
        <v>2</v>
      </c>
      <c r="C260" s="5" t="s">
        <v>36</v>
      </c>
      <c r="D260">
        <v>3701</v>
      </c>
      <c r="E260" s="5" t="s">
        <v>84</v>
      </c>
      <c r="F260" s="5" t="s">
        <v>17</v>
      </c>
      <c r="G260">
        <v>8</v>
      </c>
    </row>
    <row r="261" spans="1:7" x14ac:dyDescent="0.35">
      <c r="A261">
        <v>73754</v>
      </c>
      <c r="B261">
        <v>0</v>
      </c>
      <c r="C261" s="5" t="s">
        <v>26</v>
      </c>
      <c r="D261">
        <v>1801</v>
      </c>
      <c r="E261" s="5" t="s">
        <v>83</v>
      </c>
      <c r="F261" s="5" t="s">
        <v>17</v>
      </c>
      <c r="G261">
        <v>25</v>
      </c>
    </row>
    <row r="262" spans="1:7" x14ac:dyDescent="0.35">
      <c r="A262">
        <v>141189</v>
      </c>
      <c r="B262">
        <v>0</v>
      </c>
      <c r="C262" s="5" t="s">
        <v>23</v>
      </c>
      <c r="D262">
        <v>0</v>
      </c>
      <c r="E262" s="5" t="s">
        <v>80</v>
      </c>
      <c r="F262" s="5" t="s">
        <v>17</v>
      </c>
      <c r="G262">
        <v>25</v>
      </c>
    </row>
    <row r="263" spans="1:7" x14ac:dyDescent="0.35">
      <c r="A263">
        <v>1544</v>
      </c>
      <c r="B263">
        <v>28</v>
      </c>
      <c r="C263" s="5" t="s">
        <v>34</v>
      </c>
      <c r="D263">
        <v>5201</v>
      </c>
      <c r="E263" s="5" t="s">
        <v>83</v>
      </c>
      <c r="F263" s="5" t="s">
        <v>17</v>
      </c>
      <c r="G263">
        <v>10</v>
      </c>
    </row>
    <row r="264" spans="1:7" x14ac:dyDescent="0.35">
      <c r="A264">
        <v>124149</v>
      </c>
      <c r="B264">
        <v>0</v>
      </c>
      <c r="C264" s="5" t="s">
        <v>20</v>
      </c>
      <c r="D264">
        <v>1801</v>
      </c>
      <c r="E264" s="5" t="s">
        <v>79</v>
      </c>
      <c r="F264" s="5" t="s">
        <v>14</v>
      </c>
      <c r="G264">
        <v>14</v>
      </c>
    </row>
    <row r="265" spans="1:7" x14ac:dyDescent="0.35">
      <c r="A265">
        <v>85890</v>
      </c>
      <c r="B265">
        <v>2</v>
      </c>
      <c r="C265" s="5" t="s">
        <v>48</v>
      </c>
      <c r="D265">
        <v>0</v>
      </c>
      <c r="E265" s="5" t="s">
        <v>89</v>
      </c>
      <c r="F265" s="5" t="s">
        <v>17</v>
      </c>
      <c r="G265">
        <v>20</v>
      </c>
    </row>
    <row r="266" spans="1:7" x14ac:dyDescent="0.35">
      <c r="A266">
        <v>37005</v>
      </c>
      <c r="B266">
        <v>0</v>
      </c>
      <c r="C266" s="5" t="s">
        <v>13</v>
      </c>
      <c r="D266">
        <v>0</v>
      </c>
      <c r="E266" s="5" t="s">
        <v>79</v>
      </c>
      <c r="F266" s="5" t="s">
        <v>17</v>
      </c>
      <c r="G266">
        <v>11</v>
      </c>
    </row>
    <row r="267" spans="1:7" x14ac:dyDescent="0.35">
      <c r="A267">
        <v>166324</v>
      </c>
      <c r="B267">
        <v>0</v>
      </c>
      <c r="C267" s="5" t="s">
        <v>21</v>
      </c>
      <c r="D267">
        <v>0</v>
      </c>
      <c r="E267" s="5" t="s">
        <v>85</v>
      </c>
      <c r="F267" s="5" t="s">
        <v>27</v>
      </c>
      <c r="G267">
        <v>19</v>
      </c>
    </row>
    <row r="268" spans="1:7" x14ac:dyDescent="0.35">
      <c r="A268">
        <v>13448</v>
      </c>
      <c r="B268">
        <v>28</v>
      </c>
      <c r="C268" s="5" t="s">
        <v>21</v>
      </c>
      <c r="D268">
        <v>3001</v>
      </c>
      <c r="E268" s="5" t="s">
        <v>92</v>
      </c>
      <c r="F268" s="5" t="s">
        <v>17</v>
      </c>
      <c r="G268">
        <v>5</v>
      </c>
    </row>
    <row r="269" spans="1:7" x14ac:dyDescent="0.35">
      <c r="A269">
        <v>180428</v>
      </c>
      <c r="B269">
        <v>1</v>
      </c>
      <c r="C269" s="5" t="s">
        <v>37</v>
      </c>
      <c r="D269">
        <v>4811</v>
      </c>
      <c r="E269" s="5" t="s">
        <v>79</v>
      </c>
      <c r="F269" s="5" t="s">
        <v>14</v>
      </c>
      <c r="G269">
        <v>20</v>
      </c>
    </row>
    <row r="270" spans="1:7" x14ac:dyDescent="0.35">
      <c r="A270">
        <v>12517</v>
      </c>
      <c r="B270">
        <v>1</v>
      </c>
      <c r="C270" s="5" t="s">
        <v>33</v>
      </c>
      <c r="D270">
        <v>3201</v>
      </c>
      <c r="E270" s="5" t="s">
        <v>83</v>
      </c>
      <c r="F270" s="5" t="s">
        <v>14</v>
      </c>
      <c r="G270">
        <v>1</v>
      </c>
    </row>
    <row r="271" spans="1:7" x14ac:dyDescent="0.35">
      <c r="A271">
        <v>99246</v>
      </c>
      <c r="B271">
        <v>0</v>
      </c>
      <c r="C271" s="5" t="s">
        <v>16</v>
      </c>
      <c r="D271">
        <v>2201</v>
      </c>
      <c r="E271" s="5" t="s">
        <v>89</v>
      </c>
      <c r="F271" s="5" t="s">
        <v>17</v>
      </c>
      <c r="G271">
        <v>20</v>
      </c>
    </row>
    <row r="272" spans="1:7" x14ac:dyDescent="0.35">
      <c r="A272">
        <v>174760</v>
      </c>
      <c r="B272">
        <v>2</v>
      </c>
      <c r="C272" s="5" t="s">
        <v>47</v>
      </c>
      <c r="D272">
        <v>2501</v>
      </c>
      <c r="E272" s="5" t="s">
        <v>79</v>
      </c>
      <c r="F272" s="5" t="s">
        <v>17</v>
      </c>
      <c r="G272">
        <v>5</v>
      </c>
    </row>
    <row r="273" spans="1:7" x14ac:dyDescent="0.35">
      <c r="A273">
        <v>124379</v>
      </c>
      <c r="B273">
        <v>1</v>
      </c>
      <c r="C273" s="5" t="s">
        <v>20</v>
      </c>
      <c r="D273">
        <v>4401</v>
      </c>
      <c r="E273" s="5" t="s">
        <v>86</v>
      </c>
      <c r="F273" s="5" t="s">
        <v>14</v>
      </c>
      <c r="G273">
        <v>5</v>
      </c>
    </row>
    <row r="274" spans="1:7" x14ac:dyDescent="0.35">
      <c r="A274">
        <v>176862</v>
      </c>
      <c r="B274">
        <v>2</v>
      </c>
      <c r="C274" s="5" t="s">
        <v>47</v>
      </c>
      <c r="D274">
        <v>0</v>
      </c>
      <c r="E274" s="5" t="s">
        <v>79</v>
      </c>
      <c r="F274" s="5" t="s">
        <v>17</v>
      </c>
      <c r="G274">
        <v>20</v>
      </c>
    </row>
    <row r="275" spans="1:7" x14ac:dyDescent="0.35">
      <c r="A275">
        <v>188986</v>
      </c>
      <c r="B275">
        <v>1</v>
      </c>
      <c r="C275" s="5" t="s">
        <v>51</v>
      </c>
      <c r="D275">
        <v>2101</v>
      </c>
      <c r="E275" s="5" t="s">
        <v>78</v>
      </c>
      <c r="F275" s="5" t="s">
        <v>14</v>
      </c>
      <c r="G275">
        <v>9</v>
      </c>
    </row>
    <row r="276" spans="1:7" x14ac:dyDescent="0.35">
      <c r="A276">
        <v>148906</v>
      </c>
      <c r="B276">
        <v>0</v>
      </c>
      <c r="C276" s="5" t="s">
        <v>21</v>
      </c>
      <c r="D276">
        <v>6201</v>
      </c>
      <c r="E276" s="5" t="s">
        <v>78</v>
      </c>
      <c r="F276" s="5" t="s">
        <v>17</v>
      </c>
      <c r="G276">
        <v>6</v>
      </c>
    </row>
    <row r="277" spans="1:7" x14ac:dyDescent="0.35">
      <c r="A277">
        <v>109646</v>
      </c>
      <c r="B277">
        <v>1</v>
      </c>
      <c r="C277" s="5" t="s">
        <v>46</v>
      </c>
      <c r="D277">
        <v>5201</v>
      </c>
      <c r="E277" s="5" t="s">
        <v>94</v>
      </c>
      <c r="F277" s="5" t="s">
        <v>14</v>
      </c>
      <c r="G277">
        <v>10</v>
      </c>
    </row>
    <row r="278" spans="1:7" x14ac:dyDescent="0.35">
      <c r="A278">
        <v>62295</v>
      </c>
      <c r="B278">
        <v>0</v>
      </c>
      <c r="C278" s="5" t="s">
        <v>30</v>
      </c>
      <c r="D278">
        <v>5601</v>
      </c>
      <c r="E278" s="5" t="s">
        <v>78</v>
      </c>
      <c r="F278" s="5" t="s">
        <v>17</v>
      </c>
      <c r="G278">
        <v>20</v>
      </c>
    </row>
    <row r="279" spans="1:7" x14ac:dyDescent="0.35">
      <c r="A279">
        <v>162650</v>
      </c>
      <c r="B279">
        <v>1</v>
      </c>
      <c r="C279" s="5" t="s">
        <v>21</v>
      </c>
      <c r="D279">
        <v>0</v>
      </c>
      <c r="E279" s="5" t="s">
        <v>83</v>
      </c>
      <c r="F279" s="5" t="s">
        <v>14</v>
      </c>
      <c r="G279">
        <v>5</v>
      </c>
    </row>
    <row r="280" spans="1:7" x14ac:dyDescent="0.35">
      <c r="A280">
        <v>99836</v>
      </c>
      <c r="B280">
        <v>1</v>
      </c>
      <c r="C280" s="5" t="s">
        <v>33</v>
      </c>
      <c r="D280">
        <v>3101</v>
      </c>
      <c r="E280" s="5" t="s">
        <v>88</v>
      </c>
      <c r="F280" s="5" t="s">
        <v>14</v>
      </c>
      <c r="G280">
        <v>21</v>
      </c>
    </row>
    <row r="281" spans="1:7" x14ac:dyDescent="0.35">
      <c r="A281">
        <v>33994</v>
      </c>
      <c r="B281">
        <v>1</v>
      </c>
      <c r="C281" s="5" t="s">
        <v>13</v>
      </c>
      <c r="D281">
        <v>5304</v>
      </c>
      <c r="E281" s="5" t="s">
        <v>79</v>
      </c>
      <c r="F281" s="5" t="s">
        <v>14</v>
      </c>
      <c r="G281">
        <v>6</v>
      </c>
    </row>
    <row r="282" spans="1:7" x14ac:dyDescent="0.35">
      <c r="A282">
        <v>93432</v>
      </c>
      <c r="B282">
        <v>28</v>
      </c>
      <c r="C282" s="5" t="s">
        <v>16</v>
      </c>
      <c r="D282">
        <v>0</v>
      </c>
      <c r="E282" s="5" t="s">
        <v>91</v>
      </c>
      <c r="F282" s="5" t="s">
        <v>17</v>
      </c>
      <c r="G282">
        <v>11</v>
      </c>
    </row>
    <row r="283" spans="1:7" x14ac:dyDescent="0.35">
      <c r="A283">
        <v>62786</v>
      </c>
      <c r="B283">
        <v>2</v>
      </c>
      <c r="C283" s="5" t="s">
        <v>30</v>
      </c>
      <c r="D283">
        <v>3501</v>
      </c>
      <c r="E283" s="5" t="s">
        <v>81</v>
      </c>
      <c r="F283" s="5" t="s">
        <v>17</v>
      </c>
      <c r="G283">
        <v>11</v>
      </c>
    </row>
    <row r="284" spans="1:7" x14ac:dyDescent="0.35">
      <c r="A284">
        <v>44634</v>
      </c>
      <c r="B284">
        <v>1</v>
      </c>
      <c r="C284" s="5" t="s">
        <v>13</v>
      </c>
      <c r="D284">
        <v>3701</v>
      </c>
      <c r="E284" s="5" t="s">
        <v>78</v>
      </c>
      <c r="F284" s="5" t="s">
        <v>14</v>
      </c>
      <c r="G284">
        <v>10</v>
      </c>
    </row>
    <row r="285" spans="1:7" x14ac:dyDescent="0.35">
      <c r="A285">
        <v>146914</v>
      </c>
      <c r="B285">
        <v>0</v>
      </c>
      <c r="C285" s="5" t="s">
        <v>21</v>
      </c>
      <c r="D285">
        <v>5401</v>
      </c>
      <c r="E285" s="5" t="s">
        <v>85</v>
      </c>
      <c r="F285" s="5" t="s">
        <v>17</v>
      </c>
      <c r="G285">
        <v>10</v>
      </c>
    </row>
    <row r="286" spans="1:7" x14ac:dyDescent="0.35">
      <c r="A286">
        <v>70079</v>
      </c>
      <c r="B286">
        <v>2</v>
      </c>
      <c r="C286" s="5" t="s">
        <v>26</v>
      </c>
      <c r="D286">
        <v>4701</v>
      </c>
      <c r="E286" s="5" t="s">
        <v>87</v>
      </c>
      <c r="F286" s="5" t="s">
        <v>17</v>
      </c>
      <c r="G286">
        <v>15</v>
      </c>
    </row>
    <row r="287" spans="1:7" x14ac:dyDescent="0.35">
      <c r="A287">
        <v>24871</v>
      </c>
      <c r="B287">
        <v>2</v>
      </c>
      <c r="C287" s="5" t="s">
        <v>43</v>
      </c>
      <c r="D287">
        <v>4401</v>
      </c>
      <c r="E287" s="5" t="s">
        <v>79</v>
      </c>
      <c r="F287" s="5" t="s">
        <v>17</v>
      </c>
      <c r="G287">
        <v>16</v>
      </c>
    </row>
    <row r="288" spans="1:7" x14ac:dyDescent="0.35">
      <c r="A288">
        <v>150660</v>
      </c>
      <c r="B288">
        <v>0</v>
      </c>
      <c r="C288" s="5" t="s">
        <v>35</v>
      </c>
      <c r="D288">
        <v>4601</v>
      </c>
      <c r="E288" s="5" t="s">
        <v>85</v>
      </c>
      <c r="F288" s="5" t="s">
        <v>17</v>
      </c>
      <c r="G288">
        <v>12</v>
      </c>
    </row>
    <row r="289" spans="1:7" x14ac:dyDescent="0.35">
      <c r="A289">
        <v>169700</v>
      </c>
      <c r="B289">
        <v>1</v>
      </c>
      <c r="C289" s="5" t="s">
        <v>21</v>
      </c>
      <c r="D289">
        <v>0</v>
      </c>
      <c r="E289" s="5" t="s">
        <v>78</v>
      </c>
      <c r="F289" s="5" t="s">
        <v>14</v>
      </c>
      <c r="G289">
        <v>25</v>
      </c>
    </row>
    <row r="290" spans="1:7" x14ac:dyDescent="0.35">
      <c r="A290">
        <v>63542</v>
      </c>
      <c r="B290">
        <v>0</v>
      </c>
      <c r="C290" s="5" t="s">
        <v>30</v>
      </c>
      <c r="D290">
        <v>4801</v>
      </c>
      <c r="E290" s="5" t="s">
        <v>79</v>
      </c>
      <c r="F290" s="5" t="s">
        <v>17</v>
      </c>
      <c r="G290">
        <v>26</v>
      </c>
    </row>
    <row r="291" spans="1:7" x14ac:dyDescent="0.35">
      <c r="A291">
        <v>125164</v>
      </c>
      <c r="B291">
        <v>2</v>
      </c>
      <c r="C291" s="5" t="s">
        <v>20</v>
      </c>
      <c r="D291">
        <v>1601</v>
      </c>
      <c r="E291" s="5" t="s">
        <v>80</v>
      </c>
      <c r="F291" s="5" t="s">
        <v>17</v>
      </c>
      <c r="G291">
        <v>50</v>
      </c>
    </row>
    <row r="292" spans="1:7" x14ac:dyDescent="0.35">
      <c r="A292">
        <v>65634</v>
      </c>
      <c r="B292">
        <v>0</v>
      </c>
      <c r="C292" s="5" t="s">
        <v>26</v>
      </c>
      <c r="D292">
        <v>801</v>
      </c>
      <c r="E292" s="5" t="s">
        <v>87</v>
      </c>
      <c r="F292" s="5" t="s">
        <v>17</v>
      </c>
      <c r="G292">
        <v>12</v>
      </c>
    </row>
    <row r="293" spans="1:7" x14ac:dyDescent="0.35">
      <c r="A293">
        <v>59285</v>
      </c>
      <c r="B293">
        <v>2</v>
      </c>
      <c r="C293" s="5" t="s">
        <v>30</v>
      </c>
      <c r="D293">
        <v>5101</v>
      </c>
      <c r="E293" s="5" t="s">
        <v>94</v>
      </c>
      <c r="F293" s="5" t="s">
        <v>17</v>
      </c>
      <c r="G293">
        <v>10</v>
      </c>
    </row>
    <row r="294" spans="1:7" x14ac:dyDescent="0.35">
      <c r="A294">
        <v>78802</v>
      </c>
      <c r="B294">
        <v>1002</v>
      </c>
      <c r="C294" s="5" t="s">
        <v>32</v>
      </c>
      <c r="D294">
        <v>1301</v>
      </c>
      <c r="E294" s="5" t="s">
        <v>80</v>
      </c>
      <c r="F294" s="5" t="s">
        <v>41</v>
      </c>
      <c r="G294">
        <v>15</v>
      </c>
    </row>
    <row r="295" spans="1:7" x14ac:dyDescent="0.35">
      <c r="A295">
        <v>186460</v>
      </c>
      <c r="B295">
        <v>2</v>
      </c>
      <c r="C295" s="5" t="s">
        <v>32</v>
      </c>
      <c r="D295">
        <v>0</v>
      </c>
      <c r="E295" s="5" t="s">
        <v>89</v>
      </c>
      <c r="F295" s="5" t="s">
        <v>17</v>
      </c>
      <c r="G295">
        <v>20</v>
      </c>
    </row>
    <row r="296" spans="1:7" x14ac:dyDescent="0.35">
      <c r="A296">
        <v>114579</v>
      </c>
      <c r="B296">
        <v>1</v>
      </c>
      <c r="C296" s="5" t="s">
        <v>28</v>
      </c>
      <c r="D296">
        <v>2112</v>
      </c>
      <c r="E296" s="5" t="s">
        <v>82</v>
      </c>
      <c r="F296" s="5" t="s">
        <v>14</v>
      </c>
      <c r="G296">
        <v>10</v>
      </c>
    </row>
    <row r="297" spans="1:7" x14ac:dyDescent="0.35">
      <c r="A297">
        <v>23184</v>
      </c>
      <c r="B297">
        <v>0</v>
      </c>
      <c r="C297" s="5" t="s">
        <v>43</v>
      </c>
      <c r="D297">
        <v>0</v>
      </c>
      <c r="E297" s="5" t="s">
        <v>87</v>
      </c>
      <c r="F297" s="5" t="s">
        <v>17</v>
      </c>
      <c r="G297">
        <v>10</v>
      </c>
    </row>
    <row r="298" spans="1:7" x14ac:dyDescent="0.35">
      <c r="A298">
        <v>125289</v>
      </c>
      <c r="B298">
        <v>0</v>
      </c>
      <c r="C298" s="5" t="s">
        <v>20</v>
      </c>
      <c r="D298">
        <v>1802</v>
      </c>
      <c r="E298" s="5" t="s">
        <v>80</v>
      </c>
      <c r="F298" s="5" t="s">
        <v>17</v>
      </c>
      <c r="G298">
        <v>7</v>
      </c>
    </row>
    <row r="299" spans="1:7" x14ac:dyDescent="0.35">
      <c r="A299">
        <v>10502</v>
      </c>
      <c r="B299">
        <v>0</v>
      </c>
      <c r="C299" s="5" t="s">
        <v>26</v>
      </c>
      <c r="D299">
        <v>0</v>
      </c>
      <c r="E299" s="5" t="s">
        <v>79</v>
      </c>
      <c r="F299" s="5" t="s">
        <v>14</v>
      </c>
      <c r="G299">
        <v>15</v>
      </c>
    </row>
    <row r="300" spans="1:7" x14ac:dyDescent="0.35">
      <c r="A300">
        <v>46844</v>
      </c>
      <c r="B300">
        <v>0</v>
      </c>
      <c r="C300" s="5" t="s">
        <v>40</v>
      </c>
      <c r="D300">
        <v>0</v>
      </c>
      <c r="E300" s="5" t="s">
        <v>89</v>
      </c>
      <c r="F300" s="5" t="s">
        <v>14</v>
      </c>
      <c r="G300">
        <v>10</v>
      </c>
    </row>
    <row r="301" spans="1:7" x14ac:dyDescent="0.35">
      <c r="A301">
        <v>162814</v>
      </c>
      <c r="B301">
        <v>1</v>
      </c>
      <c r="C301" s="5" t="s">
        <v>21</v>
      </c>
      <c r="D301">
        <v>3701</v>
      </c>
      <c r="E301" s="5" t="s">
        <v>85</v>
      </c>
      <c r="F301" s="5" t="s">
        <v>14</v>
      </c>
      <c r="G301">
        <v>10</v>
      </c>
    </row>
    <row r="302" spans="1:7" x14ac:dyDescent="0.35">
      <c r="A302">
        <v>89653</v>
      </c>
      <c r="B302">
        <v>0</v>
      </c>
      <c r="C302" s="5" t="s">
        <v>16</v>
      </c>
      <c r="D302">
        <v>1708</v>
      </c>
      <c r="E302" s="5" t="s">
        <v>78</v>
      </c>
      <c r="F302" s="5" t="s">
        <v>14</v>
      </c>
      <c r="G302">
        <v>3</v>
      </c>
    </row>
    <row r="303" spans="1:7" x14ac:dyDescent="0.35">
      <c r="A303">
        <v>170818</v>
      </c>
      <c r="B303">
        <v>2</v>
      </c>
      <c r="C303" s="5" t="s">
        <v>21</v>
      </c>
      <c r="D303">
        <v>6209</v>
      </c>
      <c r="E303" s="5" t="s">
        <v>83</v>
      </c>
      <c r="F303" s="5" t="s">
        <v>17</v>
      </c>
      <c r="G303">
        <v>10</v>
      </c>
    </row>
    <row r="304" spans="1:7" x14ac:dyDescent="0.35">
      <c r="A304">
        <v>6147</v>
      </c>
      <c r="B304">
        <v>1</v>
      </c>
      <c r="C304" s="5" t="s">
        <v>43</v>
      </c>
      <c r="D304">
        <v>2101</v>
      </c>
      <c r="E304" s="5" t="s">
        <v>79</v>
      </c>
      <c r="F304" s="5" t="s">
        <v>14</v>
      </c>
      <c r="G304">
        <v>24</v>
      </c>
    </row>
    <row r="305" spans="1:7" x14ac:dyDescent="0.35">
      <c r="A305">
        <v>14276</v>
      </c>
      <c r="B305">
        <v>0</v>
      </c>
      <c r="C305" s="5" t="s">
        <v>21</v>
      </c>
      <c r="D305">
        <v>2801</v>
      </c>
      <c r="E305" s="5" t="s">
        <v>93</v>
      </c>
      <c r="F305" s="5" t="s">
        <v>17</v>
      </c>
      <c r="G305">
        <v>15</v>
      </c>
    </row>
    <row r="306" spans="1:7" x14ac:dyDescent="0.35">
      <c r="A306">
        <v>120166</v>
      </c>
      <c r="B306">
        <v>28</v>
      </c>
      <c r="C306" s="5" t="s">
        <v>20</v>
      </c>
      <c r="D306">
        <v>2608</v>
      </c>
      <c r="E306" s="5" t="s">
        <v>89</v>
      </c>
      <c r="F306" s="5" t="s">
        <v>17</v>
      </c>
      <c r="G306">
        <v>12</v>
      </c>
    </row>
    <row r="307" spans="1:7" x14ac:dyDescent="0.35">
      <c r="A307">
        <v>156817</v>
      </c>
      <c r="B307">
        <v>0</v>
      </c>
      <c r="C307" s="5" t="s">
        <v>21</v>
      </c>
      <c r="D307">
        <v>0</v>
      </c>
      <c r="E307" s="5" t="s">
        <v>93</v>
      </c>
      <c r="F307" s="5" t="s">
        <v>17</v>
      </c>
      <c r="G307">
        <v>20</v>
      </c>
    </row>
    <row r="308" spans="1:7" x14ac:dyDescent="0.35">
      <c r="A308">
        <v>35476</v>
      </c>
      <c r="B308">
        <v>1</v>
      </c>
      <c r="C308" s="5" t="s">
        <v>13</v>
      </c>
      <c r="D308">
        <v>3609</v>
      </c>
      <c r="E308" s="5" t="s">
        <v>87</v>
      </c>
      <c r="F308" s="5" t="s">
        <v>14</v>
      </c>
      <c r="G308">
        <v>25</v>
      </c>
    </row>
    <row r="309" spans="1:7" x14ac:dyDescent="0.35">
      <c r="A309">
        <v>155382</v>
      </c>
      <c r="B309">
        <v>0</v>
      </c>
      <c r="C309" s="5" t="s">
        <v>21</v>
      </c>
      <c r="D309">
        <v>3301</v>
      </c>
      <c r="E309" s="5" t="s">
        <v>93</v>
      </c>
      <c r="F309" s="5" t="s">
        <v>17</v>
      </c>
      <c r="G309">
        <v>30</v>
      </c>
    </row>
    <row r="310" spans="1:7" x14ac:dyDescent="0.35">
      <c r="A310">
        <v>104049</v>
      </c>
      <c r="B310">
        <v>0</v>
      </c>
      <c r="C310" s="5" t="s">
        <v>33</v>
      </c>
      <c r="D310">
        <v>0</v>
      </c>
      <c r="E310" s="5" t="s">
        <v>89</v>
      </c>
      <c r="F310" s="5" t="s">
        <v>14</v>
      </c>
      <c r="G310">
        <v>3</v>
      </c>
    </row>
    <row r="311" spans="1:7" x14ac:dyDescent="0.35">
      <c r="A311">
        <v>112461</v>
      </c>
      <c r="B311">
        <v>1</v>
      </c>
      <c r="C311" s="5" t="s">
        <v>29</v>
      </c>
      <c r="D311">
        <v>2401</v>
      </c>
      <c r="E311" s="5" t="s">
        <v>89</v>
      </c>
      <c r="F311" s="5" t="s">
        <v>14</v>
      </c>
      <c r="G311">
        <v>10</v>
      </c>
    </row>
    <row r="312" spans="1:7" x14ac:dyDescent="0.35">
      <c r="A312">
        <v>79580</v>
      </c>
      <c r="B312">
        <v>2</v>
      </c>
      <c r="C312" s="5" t="s">
        <v>32</v>
      </c>
      <c r="D312">
        <v>201</v>
      </c>
      <c r="E312" s="5" t="s">
        <v>85</v>
      </c>
      <c r="F312" s="5" t="s">
        <v>17</v>
      </c>
      <c r="G312">
        <v>21</v>
      </c>
    </row>
    <row r="313" spans="1:7" x14ac:dyDescent="0.35">
      <c r="A313">
        <v>86528</v>
      </c>
      <c r="B313">
        <v>2</v>
      </c>
      <c r="C313" s="5" t="s">
        <v>42</v>
      </c>
      <c r="D313">
        <v>0</v>
      </c>
      <c r="E313" s="5" t="s">
        <v>79</v>
      </c>
      <c r="F313" s="5" t="s">
        <v>17</v>
      </c>
      <c r="G313">
        <v>3</v>
      </c>
    </row>
    <row r="314" spans="1:7" x14ac:dyDescent="0.35">
      <c r="A314">
        <v>107658</v>
      </c>
      <c r="B314">
        <v>28</v>
      </c>
      <c r="C314" s="5" t="s">
        <v>55</v>
      </c>
      <c r="D314">
        <v>0</v>
      </c>
      <c r="E314" s="5" t="s">
        <v>81</v>
      </c>
      <c r="F314" s="5" t="s">
        <v>17</v>
      </c>
      <c r="G314">
        <v>10</v>
      </c>
    </row>
    <row r="315" spans="1:7" x14ac:dyDescent="0.35">
      <c r="A315">
        <v>69537</v>
      </c>
      <c r="B315">
        <v>0</v>
      </c>
      <c r="C315" s="5" t="s">
        <v>26</v>
      </c>
      <c r="D315">
        <v>2801</v>
      </c>
      <c r="E315" s="5" t="s">
        <v>81</v>
      </c>
      <c r="F315" s="5" t="s">
        <v>17</v>
      </c>
      <c r="G315">
        <v>15</v>
      </c>
    </row>
    <row r="316" spans="1:7" x14ac:dyDescent="0.35">
      <c r="A316">
        <v>81284</v>
      </c>
      <c r="B316">
        <v>2</v>
      </c>
      <c r="C316" s="5" t="s">
        <v>32</v>
      </c>
      <c r="D316">
        <v>4308</v>
      </c>
      <c r="E316" s="5" t="s">
        <v>78</v>
      </c>
      <c r="F316" s="5" t="s">
        <v>17</v>
      </c>
      <c r="G316">
        <v>25</v>
      </c>
    </row>
    <row r="317" spans="1:7" x14ac:dyDescent="0.35">
      <c r="A317">
        <v>32475</v>
      </c>
      <c r="B317">
        <v>1</v>
      </c>
      <c r="C317" s="5" t="s">
        <v>13</v>
      </c>
      <c r="D317">
        <v>0</v>
      </c>
      <c r="E317" s="5" t="s">
        <v>79</v>
      </c>
      <c r="F317" s="5" t="s">
        <v>14</v>
      </c>
      <c r="G317">
        <v>20</v>
      </c>
    </row>
    <row r="318" spans="1:7" x14ac:dyDescent="0.35">
      <c r="A318">
        <v>104505</v>
      </c>
      <c r="B318">
        <v>2</v>
      </c>
      <c r="C318" s="5" t="s">
        <v>25</v>
      </c>
      <c r="D318">
        <v>3801</v>
      </c>
      <c r="E318" s="5" t="s">
        <v>81</v>
      </c>
      <c r="F318" s="5" t="s">
        <v>17</v>
      </c>
      <c r="G318">
        <v>25</v>
      </c>
    </row>
    <row r="319" spans="1:7" x14ac:dyDescent="0.35">
      <c r="A319">
        <v>13483</v>
      </c>
      <c r="B319">
        <v>0</v>
      </c>
      <c r="C319" s="5" t="s">
        <v>32</v>
      </c>
      <c r="D319">
        <v>0</v>
      </c>
      <c r="E319" s="5" t="s">
        <v>89</v>
      </c>
      <c r="F319" s="5" t="s">
        <v>17</v>
      </c>
      <c r="G319">
        <v>17</v>
      </c>
    </row>
    <row r="320" spans="1:7" x14ac:dyDescent="0.35">
      <c r="A320">
        <v>1042</v>
      </c>
      <c r="B320">
        <v>1</v>
      </c>
      <c r="C320" s="5" t="s">
        <v>47</v>
      </c>
      <c r="D320">
        <v>810</v>
      </c>
      <c r="E320" s="5" t="s">
        <v>84</v>
      </c>
      <c r="F320" s="5" t="s">
        <v>14</v>
      </c>
      <c r="G320">
        <v>8</v>
      </c>
    </row>
    <row r="321" spans="1:7" x14ac:dyDescent="0.35">
      <c r="A321">
        <v>28337</v>
      </c>
      <c r="B321">
        <v>1</v>
      </c>
      <c r="C321" s="5" t="s">
        <v>36</v>
      </c>
      <c r="D321">
        <v>2801</v>
      </c>
      <c r="E321" s="5" t="s">
        <v>80</v>
      </c>
      <c r="F321" s="5" t="s">
        <v>14</v>
      </c>
      <c r="G321">
        <v>20</v>
      </c>
    </row>
    <row r="322" spans="1:7" x14ac:dyDescent="0.35">
      <c r="A322">
        <v>67808</v>
      </c>
      <c r="B322">
        <v>0</v>
      </c>
      <c r="C322" s="5" t="s">
        <v>26</v>
      </c>
      <c r="D322">
        <v>2207</v>
      </c>
      <c r="E322" s="5" t="s">
        <v>92</v>
      </c>
      <c r="F322" s="5" t="s">
        <v>17</v>
      </c>
      <c r="G322">
        <v>10</v>
      </c>
    </row>
    <row r="323" spans="1:7" x14ac:dyDescent="0.35">
      <c r="A323">
        <v>35017</v>
      </c>
      <c r="B323">
        <v>2</v>
      </c>
      <c r="C323" s="5" t="s">
        <v>13</v>
      </c>
      <c r="D323">
        <v>2101</v>
      </c>
      <c r="E323" s="5" t="s">
        <v>79</v>
      </c>
      <c r="F323" s="5" t="s">
        <v>14</v>
      </c>
      <c r="G323">
        <v>10</v>
      </c>
    </row>
    <row r="324" spans="1:7" x14ac:dyDescent="0.35">
      <c r="A324">
        <v>10973</v>
      </c>
      <c r="B324">
        <v>1</v>
      </c>
      <c r="C324" s="5" t="s">
        <v>21</v>
      </c>
      <c r="D324">
        <v>2305</v>
      </c>
      <c r="E324" s="5" t="s">
        <v>84</v>
      </c>
      <c r="F324" s="5" t="s">
        <v>14</v>
      </c>
      <c r="G324">
        <v>12</v>
      </c>
    </row>
    <row r="325" spans="1:7" x14ac:dyDescent="0.35">
      <c r="A325">
        <v>67030</v>
      </c>
      <c r="B325">
        <v>1</v>
      </c>
      <c r="C325" s="5" t="s">
        <v>26</v>
      </c>
      <c r="D325">
        <v>0</v>
      </c>
      <c r="E325" s="5" t="s">
        <v>88</v>
      </c>
      <c r="F325" s="5" t="s">
        <v>14</v>
      </c>
      <c r="G325">
        <v>50</v>
      </c>
    </row>
    <row r="326" spans="1:7" x14ac:dyDescent="0.35">
      <c r="A326">
        <v>122279</v>
      </c>
      <c r="B326">
        <v>2</v>
      </c>
      <c r="C326" s="5" t="s">
        <v>20</v>
      </c>
      <c r="D326">
        <v>4903</v>
      </c>
      <c r="E326" s="5" t="s">
        <v>92</v>
      </c>
      <c r="F326" s="5" t="s">
        <v>17</v>
      </c>
      <c r="G326">
        <v>5</v>
      </c>
    </row>
    <row r="327" spans="1:7" x14ac:dyDescent="0.35">
      <c r="A327">
        <v>18802</v>
      </c>
      <c r="B327">
        <v>1</v>
      </c>
      <c r="C327" s="5" t="s">
        <v>18</v>
      </c>
      <c r="D327">
        <v>5101</v>
      </c>
      <c r="E327" s="5" t="s">
        <v>79</v>
      </c>
      <c r="F327" s="5" t="s">
        <v>14</v>
      </c>
      <c r="G327">
        <v>20</v>
      </c>
    </row>
    <row r="328" spans="1:7" x14ac:dyDescent="0.35">
      <c r="A328">
        <v>90092</v>
      </c>
      <c r="B328">
        <v>2</v>
      </c>
      <c r="C328" s="5" t="s">
        <v>16</v>
      </c>
      <c r="D328">
        <v>3905</v>
      </c>
      <c r="E328" s="5" t="s">
        <v>80</v>
      </c>
      <c r="F328" s="5" t="s">
        <v>17</v>
      </c>
      <c r="G328">
        <v>10</v>
      </c>
    </row>
    <row r="329" spans="1:7" x14ac:dyDescent="0.35">
      <c r="A329">
        <v>98821</v>
      </c>
      <c r="B329">
        <v>0</v>
      </c>
      <c r="C329" s="5" t="s">
        <v>16</v>
      </c>
      <c r="D329">
        <v>2601</v>
      </c>
      <c r="E329" s="5" t="s">
        <v>79</v>
      </c>
      <c r="F329" s="5" t="s">
        <v>17</v>
      </c>
      <c r="G329">
        <v>10</v>
      </c>
    </row>
    <row r="330" spans="1:7" x14ac:dyDescent="0.35">
      <c r="A330">
        <v>116186</v>
      </c>
      <c r="B330">
        <v>1</v>
      </c>
      <c r="C330" s="5" t="s">
        <v>20</v>
      </c>
      <c r="D330">
        <v>4212</v>
      </c>
      <c r="E330" s="5" t="s">
        <v>81</v>
      </c>
      <c r="F330" s="5" t="s">
        <v>14</v>
      </c>
      <c r="G330">
        <v>10</v>
      </c>
    </row>
    <row r="331" spans="1:7" x14ac:dyDescent="0.35">
      <c r="A331">
        <v>18359</v>
      </c>
      <c r="B331">
        <v>28</v>
      </c>
      <c r="C331" s="5" t="s">
        <v>18</v>
      </c>
      <c r="D331">
        <v>0</v>
      </c>
      <c r="E331" s="5" t="s">
        <v>89</v>
      </c>
      <c r="F331" s="5" t="s">
        <v>17</v>
      </c>
      <c r="G331">
        <v>10</v>
      </c>
    </row>
    <row r="332" spans="1:7" x14ac:dyDescent="0.35">
      <c r="A332">
        <v>128970</v>
      </c>
      <c r="B332">
        <v>28</v>
      </c>
      <c r="C332" s="5" t="s">
        <v>20</v>
      </c>
      <c r="D332">
        <v>0</v>
      </c>
      <c r="E332" s="5" t="s">
        <v>83</v>
      </c>
      <c r="F332" s="5" t="s">
        <v>17</v>
      </c>
      <c r="G332">
        <v>14</v>
      </c>
    </row>
    <row r="333" spans="1:7" x14ac:dyDescent="0.35">
      <c r="A333">
        <v>172635</v>
      </c>
      <c r="B333">
        <v>0</v>
      </c>
      <c r="C333" s="5" t="s">
        <v>21</v>
      </c>
      <c r="D333">
        <v>0</v>
      </c>
      <c r="E333" s="5" t="s">
        <v>94</v>
      </c>
      <c r="F333" s="5" t="s">
        <v>14</v>
      </c>
      <c r="G333">
        <v>16</v>
      </c>
    </row>
    <row r="334" spans="1:7" x14ac:dyDescent="0.35">
      <c r="A334">
        <v>106508</v>
      </c>
      <c r="B334">
        <v>2</v>
      </c>
      <c r="C334" s="5" t="s">
        <v>25</v>
      </c>
      <c r="D334">
        <v>1401</v>
      </c>
      <c r="E334" s="5" t="s">
        <v>84</v>
      </c>
      <c r="F334" s="5" t="s">
        <v>17</v>
      </c>
      <c r="G334">
        <v>20</v>
      </c>
    </row>
    <row r="335" spans="1:7" x14ac:dyDescent="0.35">
      <c r="A335">
        <v>81067</v>
      </c>
      <c r="B335">
        <v>0</v>
      </c>
      <c r="C335" s="5" t="s">
        <v>32</v>
      </c>
      <c r="D335">
        <v>0</v>
      </c>
      <c r="E335" s="5" t="s">
        <v>87</v>
      </c>
      <c r="F335" s="5" t="s">
        <v>17</v>
      </c>
      <c r="G335">
        <v>15</v>
      </c>
    </row>
    <row r="336" spans="1:7" x14ac:dyDescent="0.35">
      <c r="A336">
        <v>169106</v>
      </c>
      <c r="B336">
        <v>2</v>
      </c>
      <c r="C336" s="5" t="s">
        <v>21</v>
      </c>
      <c r="D336">
        <v>4501</v>
      </c>
      <c r="E336" s="5" t="s">
        <v>79</v>
      </c>
      <c r="F336" s="5" t="s">
        <v>17</v>
      </c>
      <c r="G336">
        <v>5</v>
      </c>
    </row>
    <row r="337" spans="1:7" x14ac:dyDescent="0.35">
      <c r="A337">
        <v>106898</v>
      </c>
      <c r="B337">
        <v>0</v>
      </c>
      <c r="C337" s="5" t="s">
        <v>55</v>
      </c>
      <c r="D337">
        <v>3801</v>
      </c>
      <c r="E337" s="5" t="s">
        <v>80</v>
      </c>
      <c r="F337" s="5" t="s">
        <v>17</v>
      </c>
      <c r="G337">
        <v>5</v>
      </c>
    </row>
    <row r="338" spans="1:7" x14ac:dyDescent="0.35">
      <c r="A338">
        <v>24747</v>
      </c>
      <c r="B338">
        <v>0</v>
      </c>
      <c r="C338" s="5" t="s">
        <v>43</v>
      </c>
      <c r="D338">
        <v>4405</v>
      </c>
      <c r="E338" s="5" t="s">
        <v>83</v>
      </c>
      <c r="F338" s="5" t="s">
        <v>17</v>
      </c>
      <c r="G338">
        <v>15</v>
      </c>
    </row>
    <row r="339" spans="1:7" x14ac:dyDescent="0.35">
      <c r="A339">
        <v>144906</v>
      </c>
      <c r="B339">
        <v>1</v>
      </c>
      <c r="C339" s="5" t="s">
        <v>21</v>
      </c>
      <c r="D339">
        <v>2501</v>
      </c>
      <c r="E339" s="5" t="s">
        <v>85</v>
      </c>
      <c r="F339" s="5" t="s">
        <v>27</v>
      </c>
      <c r="G339">
        <v>20</v>
      </c>
    </row>
    <row r="340" spans="1:7" x14ac:dyDescent="0.35">
      <c r="A340">
        <v>40516</v>
      </c>
      <c r="B340">
        <v>0</v>
      </c>
      <c r="C340" s="5" t="s">
        <v>13</v>
      </c>
      <c r="D340">
        <v>1509</v>
      </c>
      <c r="E340" s="5" t="s">
        <v>82</v>
      </c>
      <c r="F340" s="5" t="s">
        <v>17</v>
      </c>
      <c r="G340">
        <v>21</v>
      </c>
    </row>
    <row r="341" spans="1:7" x14ac:dyDescent="0.35">
      <c r="A341">
        <v>172530</v>
      </c>
      <c r="B341">
        <v>0</v>
      </c>
      <c r="C341" s="5" t="s">
        <v>21</v>
      </c>
      <c r="D341">
        <v>3601</v>
      </c>
      <c r="E341" s="5" t="s">
        <v>84</v>
      </c>
      <c r="F341" s="5" t="s">
        <v>17</v>
      </c>
      <c r="G341">
        <v>7</v>
      </c>
    </row>
    <row r="342" spans="1:7" x14ac:dyDescent="0.35">
      <c r="A342">
        <v>72438</v>
      </c>
      <c r="B342">
        <v>1</v>
      </c>
      <c r="C342" s="5" t="s">
        <v>26</v>
      </c>
      <c r="D342">
        <v>1701</v>
      </c>
      <c r="E342" s="5" t="s">
        <v>79</v>
      </c>
      <c r="F342" s="5" t="s">
        <v>14</v>
      </c>
      <c r="G342">
        <v>10</v>
      </c>
    </row>
    <row r="343" spans="1:7" x14ac:dyDescent="0.35">
      <c r="A343">
        <v>144076</v>
      </c>
      <c r="B343">
        <v>1</v>
      </c>
      <c r="C343" s="5" t="s">
        <v>21</v>
      </c>
      <c r="D343">
        <v>1201</v>
      </c>
      <c r="E343" s="5" t="s">
        <v>83</v>
      </c>
      <c r="F343" s="5" t="s">
        <v>14</v>
      </c>
      <c r="G343">
        <v>50</v>
      </c>
    </row>
    <row r="344" spans="1:7" x14ac:dyDescent="0.35">
      <c r="A344">
        <v>130609</v>
      </c>
      <c r="B344">
        <v>1</v>
      </c>
      <c r="C344" s="5" t="s">
        <v>45</v>
      </c>
      <c r="D344">
        <v>1404</v>
      </c>
      <c r="E344" s="5" t="s">
        <v>83</v>
      </c>
      <c r="F344" s="5" t="s">
        <v>14</v>
      </c>
      <c r="G344">
        <v>16</v>
      </c>
    </row>
    <row r="345" spans="1:7" x14ac:dyDescent="0.35">
      <c r="A345">
        <v>43974</v>
      </c>
      <c r="B345">
        <v>2</v>
      </c>
      <c r="C345" s="5" t="s">
        <v>13</v>
      </c>
      <c r="D345">
        <v>4601</v>
      </c>
      <c r="E345" s="5" t="s">
        <v>80</v>
      </c>
      <c r="F345" s="5" t="s">
        <v>14</v>
      </c>
      <c r="G345">
        <v>5</v>
      </c>
    </row>
    <row r="346" spans="1:7" x14ac:dyDescent="0.35">
      <c r="A346">
        <v>32709</v>
      </c>
      <c r="B346">
        <v>0</v>
      </c>
      <c r="C346" s="5" t="s">
        <v>13</v>
      </c>
      <c r="D346">
        <v>5601</v>
      </c>
      <c r="E346" s="5" t="s">
        <v>78</v>
      </c>
      <c r="F346" s="5" t="s">
        <v>17</v>
      </c>
      <c r="G346">
        <v>15</v>
      </c>
    </row>
    <row r="347" spans="1:7" x14ac:dyDescent="0.35">
      <c r="A347">
        <v>187298</v>
      </c>
      <c r="B347">
        <v>0</v>
      </c>
      <c r="C347" s="5" t="s">
        <v>43</v>
      </c>
      <c r="D347">
        <v>0</v>
      </c>
      <c r="E347" s="5" t="s">
        <v>83</v>
      </c>
      <c r="F347" s="5" t="s">
        <v>86</v>
      </c>
      <c r="G347">
        <v>10</v>
      </c>
    </row>
    <row r="348" spans="1:7" x14ac:dyDescent="0.35">
      <c r="A348">
        <v>50905</v>
      </c>
      <c r="B348">
        <v>28</v>
      </c>
      <c r="C348" s="5" t="s">
        <v>49</v>
      </c>
      <c r="D348">
        <v>2301</v>
      </c>
      <c r="E348" s="5" t="s">
        <v>80</v>
      </c>
      <c r="F348" s="5" t="s">
        <v>17</v>
      </c>
      <c r="G348">
        <v>16</v>
      </c>
    </row>
    <row r="349" spans="1:7" x14ac:dyDescent="0.35">
      <c r="A349">
        <v>55552</v>
      </c>
      <c r="B349">
        <v>2</v>
      </c>
      <c r="C349" s="5" t="s">
        <v>56</v>
      </c>
      <c r="D349">
        <v>3203</v>
      </c>
      <c r="E349" s="5" t="s">
        <v>89</v>
      </c>
      <c r="F349" s="5" t="s">
        <v>14</v>
      </c>
      <c r="G349">
        <v>20</v>
      </c>
    </row>
    <row r="350" spans="1:7" x14ac:dyDescent="0.35">
      <c r="A350">
        <v>28550</v>
      </c>
      <c r="B350">
        <v>28</v>
      </c>
      <c r="C350" s="5" t="s">
        <v>36</v>
      </c>
      <c r="D350">
        <v>5204</v>
      </c>
      <c r="E350" s="5" t="s">
        <v>80</v>
      </c>
      <c r="F350" s="5" t="s">
        <v>17</v>
      </c>
      <c r="G350">
        <v>15</v>
      </c>
    </row>
    <row r="351" spans="1:7" x14ac:dyDescent="0.35">
      <c r="A351">
        <v>158460</v>
      </c>
      <c r="B351">
        <v>0</v>
      </c>
      <c r="C351" s="5" t="s">
        <v>21</v>
      </c>
      <c r="D351">
        <v>2910</v>
      </c>
      <c r="E351" s="5" t="s">
        <v>91</v>
      </c>
      <c r="F351" s="5" t="s">
        <v>17</v>
      </c>
      <c r="G351">
        <v>15</v>
      </c>
    </row>
    <row r="352" spans="1:7" x14ac:dyDescent="0.35">
      <c r="A352">
        <v>56449</v>
      </c>
      <c r="B352">
        <v>0</v>
      </c>
      <c r="C352" s="5" t="s">
        <v>53</v>
      </c>
      <c r="D352">
        <v>0</v>
      </c>
      <c r="E352" s="5" t="s">
        <v>81</v>
      </c>
      <c r="F352" s="5" t="s">
        <v>17</v>
      </c>
      <c r="G352">
        <v>5</v>
      </c>
    </row>
    <row r="353" spans="1:7" x14ac:dyDescent="0.35">
      <c r="A353">
        <v>133315</v>
      </c>
      <c r="B353">
        <v>0</v>
      </c>
      <c r="C353" s="5" t="s">
        <v>37</v>
      </c>
      <c r="D353">
        <v>3603</v>
      </c>
      <c r="E353" s="5" t="s">
        <v>79</v>
      </c>
      <c r="F353" s="5" t="s">
        <v>17</v>
      </c>
      <c r="G353">
        <v>10</v>
      </c>
    </row>
    <row r="354" spans="1:7" x14ac:dyDescent="0.35">
      <c r="A354">
        <v>164251</v>
      </c>
      <c r="B354">
        <v>0</v>
      </c>
      <c r="C354" s="5" t="s">
        <v>21</v>
      </c>
      <c r="D354">
        <v>4001</v>
      </c>
      <c r="E354" s="5" t="s">
        <v>80</v>
      </c>
      <c r="F354" s="5" t="s">
        <v>17</v>
      </c>
      <c r="G354">
        <v>5</v>
      </c>
    </row>
    <row r="355" spans="1:7" x14ac:dyDescent="0.35">
      <c r="A355">
        <v>149626</v>
      </c>
      <c r="B355">
        <v>0</v>
      </c>
      <c r="C355" s="5" t="s">
        <v>23</v>
      </c>
      <c r="D355">
        <v>0</v>
      </c>
      <c r="E355" s="5" t="s">
        <v>83</v>
      </c>
      <c r="F355" s="5" t="s">
        <v>86</v>
      </c>
      <c r="G355">
        <v>10</v>
      </c>
    </row>
    <row r="356" spans="1:7" x14ac:dyDescent="0.35">
      <c r="A356">
        <v>123805</v>
      </c>
      <c r="B356">
        <v>2</v>
      </c>
      <c r="C356" s="5" t="s">
        <v>20</v>
      </c>
      <c r="D356">
        <v>2801</v>
      </c>
      <c r="E356" s="5" t="s">
        <v>81</v>
      </c>
      <c r="F356" s="5" t="s">
        <v>17</v>
      </c>
      <c r="G356">
        <v>7</v>
      </c>
    </row>
    <row r="357" spans="1:7" x14ac:dyDescent="0.35">
      <c r="A357">
        <v>156077</v>
      </c>
      <c r="B357">
        <v>0</v>
      </c>
      <c r="C357" s="5" t="s">
        <v>21</v>
      </c>
      <c r="D357">
        <v>5601</v>
      </c>
      <c r="E357" s="5" t="s">
        <v>79</v>
      </c>
      <c r="F357" s="5" t="s">
        <v>17</v>
      </c>
      <c r="G357">
        <v>15</v>
      </c>
    </row>
    <row r="358" spans="1:7" x14ac:dyDescent="0.35">
      <c r="A358">
        <v>183858</v>
      </c>
      <c r="B358">
        <v>1</v>
      </c>
      <c r="C358" s="5" t="s">
        <v>37</v>
      </c>
      <c r="D358">
        <v>4801</v>
      </c>
      <c r="E358" s="5" t="s">
        <v>81</v>
      </c>
      <c r="F358" s="5" t="s">
        <v>14</v>
      </c>
      <c r="G358">
        <v>25</v>
      </c>
    </row>
    <row r="359" spans="1:7" x14ac:dyDescent="0.35">
      <c r="A359">
        <v>164217</v>
      </c>
      <c r="B359">
        <v>0</v>
      </c>
      <c r="C359" s="5" t="s">
        <v>21</v>
      </c>
      <c r="D359">
        <v>4011</v>
      </c>
      <c r="E359" s="5" t="s">
        <v>84</v>
      </c>
      <c r="F359" s="5" t="s">
        <v>14</v>
      </c>
      <c r="G359">
        <v>25</v>
      </c>
    </row>
    <row r="360" spans="1:7" x14ac:dyDescent="0.35">
      <c r="A360">
        <v>169973</v>
      </c>
      <c r="B360">
        <v>2</v>
      </c>
      <c r="C360" s="5" t="s">
        <v>21</v>
      </c>
      <c r="D360">
        <v>4001</v>
      </c>
      <c r="E360" s="5" t="s">
        <v>90</v>
      </c>
      <c r="F360" s="5" t="s">
        <v>17</v>
      </c>
      <c r="G360">
        <v>15</v>
      </c>
    </row>
    <row r="361" spans="1:7" x14ac:dyDescent="0.35">
      <c r="A361">
        <v>15066</v>
      </c>
      <c r="B361">
        <v>2</v>
      </c>
      <c r="C361" s="5" t="s">
        <v>18</v>
      </c>
      <c r="D361">
        <v>4601</v>
      </c>
      <c r="E361" s="5" t="s">
        <v>89</v>
      </c>
      <c r="F361" s="5" t="s">
        <v>17</v>
      </c>
      <c r="G361">
        <v>10</v>
      </c>
    </row>
    <row r="362" spans="1:7" x14ac:dyDescent="0.35">
      <c r="A362">
        <v>64467</v>
      </c>
      <c r="B362">
        <v>0</v>
      </c>
      <c r="C362" s="5" t="s">
        <v>30</v>
      </c>
      <c r="D362">
        <v>4801</v>
      </c>
      <c r="E362" s="5" t="s">
        <v>81</v>
      </c>
      <c r="F362" s="5" t="s">
        <v>17</v>
      </c>
      <c r="G362">
        <v>12</v>
      </c>
    </row>
    <row r="363" spans="1:7" x14ac:dyDescent="0.35">
      <c r="A363">
        <v>133814</v>
      </c>
      <c r="B363">
        <v>2</v>
      </c>
      <c r="C363" s="5" t="s">
        <v>38</v>
      </c>
      <c r="D363">
        <v>2412</v>
      </c>
      <c r="E363" s="5" t="s">
        <v>79</v>
      </c>
      <c r="F363" s="5" t="s">
        <v>14</v>
      </c>
      <c r="G363">
        <v>25</v>
      </c>
    </row>
    <row r="364" spans="1:7" x14ac:dyDescent="0.35">
      <c r="A364">
        <v>31852</v>
      </c>
      <c r="B364">
        <v>0</v>
      </c>
      <c r="C364" s="5" t="s">
        <v>13</v>
      </c>
      <c r="D364">
        <v>4802</v>
      </c>
      <c r="E364" s="5" t="s">
        <v>83</v>
      </c>
      <c r="F364" s="5" t="s">
        <v>17</v>
      </c>
      <c r="G364">
        <v>26</v>
      </c>
    </row>
    <row r="365" spans="1:7" x14ac:dyDescent="0.35">
      <c r="A365">
        <v>82610</v>
      </c>
      <c r="B365">
        <v>0</v>
      </c>
      <c r="C365" s="5" t="s">
        <v>52</v>
      </c>
      <c r="D365">
        <v>2308</v>
      </c>
      <c r="E365" s="5" t="s">
        <v>80</v>
      </c>
      <c r="F365" s="5" t="s">
        <v>41</v>
      </c>
      <c r="G365">
        <v>5</v>
      </c>
    </row>
    <row r="366" spans="1:7" x14ac:dyDescent="0.35">
      <c r="A366">
        <v>34319</v>
      </c>
      <c r="B366">
        <v>0</v>
      </c>
      <c r="C366" s="5" t="s">
        <v>13</v>
      </c>
      <c r="D366">
        <v>3001</v>
      </c>
      <c r="E366" s="5" t="s">
        <v>82</v>
      </c>
      <c r="F366" s="5" t="s">
        <v>14</v>
      </c>
      <c r="G366">
        <v>25</v>
      </c>
    </row>
    <row r="367" spans="1:7" x14ac:dyDescent="0.35">
      <c r="A367">
        <v>152527</v>
      </c>
      <c r="B367">
        <v>28</v>
      </c>
      <c r="C367" s="5" t="s">
        <v>21</v>
      </c>
      <c r="D367">
        <v>4501</v>
      </c>
      <c r="E367" s="5" t="s">
        <v>78</v>
      </c>
      <c r="F367" s="5" t="s">
        <v>17</v>
      </c>
      <c r="G367">
        <v>23</v>
      </c>
    </row>
    <row r="368" spans="1:7" x14ac:dyDescent="0.35">
      <c r="A368">
        <v>178290</v>
      </c>
      <c r="B368">
        <v>1</v>
      </c>
      <c r="C368" s="5" t="s">
        <v>37</v>
      </c>
      <c r="D368">
        <v>0</v>
      </c>
      <c r="E368" s="5" t="s">
        <v>83</v>
      </c>
      <c r="F368" s="5" t="s">
        <v>14</v>
      </c>
      <c r="G368">
        <v>6</v>
      </c>
    </row>
    <row r="369" spans="1:7" x14ac:dyDescent="0.35">
      <c r="A369">
        <v>153818</v>
      </c>
      <c r="B369">
        <v>0</v>
      </c>
      <c r="C369" s="5" t="s">
        <v>21</v>
      </c>
      <c r="D369">
        <v>0</v>
      </c>
      <c r="E369" s="5" t="s">
        <v>83</v>
      </c>
      <c r="F369" s="5" t="s">
        <v>17</v>
      </c>
      <c r="G369">
        <v>10</v>
      </c>
    </row>
    <row r="370" spans="1:7" x14ac:dyDescent="0.35">
      <c r="A370">
        <v>152641</v>
      </c>
      <c r="B370">
        <v>0</v>
      </c>
      <c r="C370" s="5" t="s">
        <v>21</v>
      </c>
      <c r="D370">
        <v>0</v>
      </c>
      <c r="E370" s="5" t="s">
        <v>88</v>
      </c>
      <c r="F370" s="5" t="s">
        <v>17</v>
      </c>
      <c r="G370">
        <v>50</v>
      </c>
    </row>
    <row r="371" spans="1:7" x14ac:dyDescent="0.35">
      <c r="A371">
        <v>161691</v>
      </c>
      <c r="B371">
        <v>0</v>
      </c>
      <c r="C371" s="5" t="s">
        <v>21</v>
      </c>
      <c r="D371">
        <v>3401</v>
      </c>
      <c r="E371" s="5" t="s">
        <v>78</v>
      </c>
      <c r="F371" s="5" t="s">
        <v>17</v>
      </c>
      <c r="G371">
        <v>25</v>
      </c>
    </row>
    <row r="372" spans="1:7" x14ac:dyDescent="0.35">
      <c r="A372">
        <v>8404</v>
      </c>
      <c r="B372">
        <v>0</v>
      </c>
      <c r="C372" s="5" t="s">
        <v>20</v>
      </c>
      <c r="D372">
        <v>1501</v>
      </c>
      <c r="E372" s="5" t="s">
        <v>81</v>
      </c>
      <c r="F372" s="5" t="s">
        <v>27</v>
      </c>
      <c r="G372">
        <v>10</v>
      </c>
    </row>
    <row r="373" spans="1:7" x14ac:dyDescent="0.35">
      <c r="A373">
        <v>88119</v>
      </c>
      <c r="B373">
        <v>28</v>
      </c>
      <c r="C373" s="5" t="s">
        <v>16</v>
      </c>
      <c r="D373">
        <v>3001</v>
      </c>
      <c r="E373" s="5" t="s">
        <v>83</v>
      </c>
      <c r="F373" s="5" t="s">
        <v>17</v>
      </c>
      <c r="G373">
        <v>10</v>
      </c>
    </row>
    <row r="374" spans="1:7" x14ac:dyDescent="0.35">
      <c r="A374">
        <v>122167</v>
      </c>
      <c r="B374">
        <v>0</v>
      </c>
      <c r="C374" s="5" t="s">
        <v>20</v>
      </c>
      <c r="D374">
        <v>0</v>
      </c>
      <c r="E374" s="5" t="s">
        <v>78</v>
      </c>
      <c r="F374" s="5" t="s">
        <v>17</v>
      </c>
      <c r="G374">
        <v>10</v>
      </c>
    </row>
    <row r="375" spans="1:7" x14ac:dyDescent="0.35">
      <c r="A375">
        <v>106639</v>
      </c>
      <c r="B375">
        <v>0</v>
      </c>
      <c r="C375" s="5" t="s">
        <v>55</v>
      </c>
      <c r="D375">
        <v>2001</v>
      </c>
      <c r="E375" s="5" t="s">
        <v>83</v>
      </c>
      <c r="F375" s="5" t="s">
        <v>17</v>
      </c>
      <c r="G375">
        <v>15</v>
      </c>
    </row>
    <row r="376" spans="1:7" x14ac:dyDescent="0.35">
      <c r="A376">
        <v>153450</v>
      </c>
      <c r="B376">
        <v>0</v>
      </c>
      <c r="C376" s="5" t="s">
        <v>21</v>
      </c>
      <c r="D376">
        <v>0</v>
      </c>
      <c r="E376" s="5" t="s">
        <v>91</v>
      </c>
      <c r="F376" s="5" t="s">
        <v>86</v>
      </c>
      <c r="G376">
        <v>47</v>
      </c>
    </row>
    <row r="377" spans="1:7" x14ac:dyDescent="0.35">
      <c r="A377">
        <v>120107</v>
      </c>
      <c r="B377">
        <v>1</v>
      </c>
      <c r="C377" s="5" t="s">
        <v>20</v>
      </c>
      <c r="D377">
        <v>1803</v>
      </c>
      <c r="E377" s="5" t="s">
        <v>89</v>
      </c>
      <c r="F377" s="5" t="s">
        <v>14</v>
      </c>
      <c r="G377">
        <v>26</v>
      </c>
    </row>
    <row r="378" spans="1:7" x14ac:dyDescent="0.35">
      <c r="A378">
        <v>72617</v>
      </c>
      <c r="B378">
        <v>2</v>
      </c>
      <c r="C378" s="5" t="s">
        <v>26</v>
      </c>
      <c r="D378">
        <v>0</v>
      </c>
      <c r="E378" s="5" t="s">
        <v>89</v>
      </c>
      <c r="F378" s="5" t="s">
        <v>14</v>
      </c>
      <c r="G378">
        <v>9</v>
      </c>
    </row>
    <row r="379" spans="1:7" x14ac:dyDescent="0.35">
      <c r="A379">
        <v>155541</v>
      </c>
      <c r="B379">
        <v>0</v>
      </c>
      <c r="C379" s="5" t="s">
        <v>21</v>
      </c>
      <c r="D379">
        <v>3410</v>
      </c>
      <c r="E379" s="5" t="s">
        <v>84</v>
      </c>
      <c r="F379" s="5" t="s">
        <v>14</v>
      </c>
      <c r="G379">
        <v>10</v>
      </c>
    </row>
    <row r="380" spans="1:7" x14ac:dyDescent="0.35">
      <c r="A380">
        <v>77107</v>
      </c>
      <c r="B380">
        <v>0</v>
      </c>
      <c r="C380" s="5" t="s">
        <v>32</v>
      </c>
      <c r="D380">
        <v>4306</v>
      </c>
      <c r="E380" s="5" t="s">
        <v>83</v>
      </c>
      <c r="F380" s="5" t="s">
        <v>14</v>
      </c>
      <c r="G380">
        <v>14</v>
      </c>
    </row>
    <row r="381" spans="1:7" x14ac:dyDescent="0.35">
      <c r="A381">
        <v>186016</v>
      </c>
      <c r="B381">
        <v>1</v>
      </c>
      <c r="C381" s="5" t="s">
        <v>49</v>
      </c>
      <c r="D381">
        <v>0</v>
      </c>
      <c r="E381" s="5" t="s">
        <v>81</v>
      </c>
      <c r="F381" s="5" t="s">
        <v>14</v>
      </c>
      <c r="G381">
        <v>10</v>
      </c>
    </row>
    <row r="382" spans="1:7" x14ac:dyDescent="0.35">
      <c r="A382">
        <v>152053</v>
      </c>
      <c r="B382">
        <v>2</v>
      </c>
      <c r="C382" s="5" t="s">
        <v>21</v>
      </c>
      <c r="D382">
        <v>5305</v>
      </c>
      <c r="E382" s="5" t="s">
        <v>83</v>
      </c>
      <c r="F382" s="5" t="s">
        <v>17</v>
      </c>
      <c r="G382">
        <v>25</v>
      </c>
    </row>
    <row r="383" spans="1:7" x14ac:dyDescent="0.35">
      <c r="A383">
        <v>12880</v>
      </c>
      <c r="B383">
        <v>1</v>
      </c>
      <c r="C383" s="5" t="s">
        <v>13</v>
      </c>
      <c r="D383">
        <v>1401</v>
      </c>
      <c r="E383" s="5" t="s">
        <v>82</v>
      </c>
      <c r="F383" s="5" t="s">
        <v>14</v>
      </c>
      <c r="G383">
        <v>10</v>
      </c>
    </row>
    <row r="384" spans="1:7" x14ac:dyDescent="0.35">
      <c r="A384">
        <v>16099</v>
      </c>
      <c r="B384">
        <v>0</v>
      </c>
      <c r="C384" s="5" t="s">
        <v>18</v>
      </c>
      <c r="D384">
        <v>2701</v>
      </c>
      <c r="E384" s="5" t="s">
        <v>81</v>
      </c>
      <c r="F384" s="5" t="s">
        <v>17</v>
      </c>
      <c r="G384">
        <v>12</v>
      </c>
    </row>
    <row r="385" spans="1:7" x14ac:dyDescent="0.35">
      <c r="A385">
        <v>166337</v>
      </c>
      <c r="B385">
        <v>1002</v>
      </c>
      <c r="C385" s="5" t="s">
        <v>21</v>
      </c>
      <c r="D385">
        <v>5401</v>
      </c>
      <c r="E385" s="5" t="s">
        <v>83</v>
      </c>
      <c r="F385" s="5" t="s">
        <v>14</v>
      </c>
      <c r="G385">
        <v>15</v>
      </c>
    </row>
    <row r="386" spans="1:7" x14ac:dyDescent="0.35">
      <c r="A386">
        <v>142495</v>
      </c>
      <c r="B386">
        <v>28</v>
      </c>
      <c r="C386" s="5" t="s">
        <v>21</v>
      </c>
      <c r="D386">
        <v>0</v>
      </c>
      <c r="E386" s="5" t="s">
        <v>85</v>
      </c>
      <c r="F386" s="5" t="s">
        <v>17</v>
      </c>
      <c r="G386">
        <v>21</v>
      </c>
    </row>
    <row r="387" spans="1:7" x14ac:dyDescent="0.35">
      <c r="A387">
        <v>66891</v>
      </c>
      <c r="B387">
        <v>0</v>
      </c>
      <c r="C387" s="5" t="s">
        <v>26</v>
      </c>
      <c r="D387">
        <v>0</v>
      </c>
      <c r="E387" s="5" t="s">
        <v>83</v>
      </c>
      <c r="F387" s="5" t="s">
        <v>27</v>
      </c>
      <c r="G387">
        <v>5</v>
      </c>
    </row>
    <row r="388" spans="1:7" x14ac:dyDescent="0.35">
      <c r="A388">
        <v>118673</v>
      </c>
      <c r="B388">
        <v>0</v>
      </c>
      <c r="C388" s="5" t="s">
        <v>20</v>
      </c>
      <c r="D388">
        <v>0</v>
      </c>
      <c r="E388" s="5" t="s">
        <v>81</v>
      </c>
      <c r="F388" s="5" t="s">
        <v>17</v>
      </c>
      <c r="G388">
        <v>10</v>
      </c>
    </row>
    <row r="389" spans="1:7" x14ac:dyDescent="0.35">
      <c r="A389">
        <v>168389</v>
      </c>
      <c r="B389">
        <v>28</v>
      </c>
      <c r="C389" s="5" t="s">
        <v>21</v>
      </c>
      <c r="D389">
        <v>0</v>
      </c>
      <c r="E389" s="5" t="s">
        <v>85</v>
      </c>
      <c r="F389" s="5" t="s">
        <v>17</v>
      </c>
      <c r="G389">
        <v>20</v>
      </c>
    </row>
    <row r="390" spans="1:7" x14ac:dyDescent="0.35">
      <c r="A390">
        <v>14982</v>
      </c>
      <c r="B390">
        <v>0</v>
      </c>
      <c r="C390" s="5" t="s">
        <v>21</v>
      </c>
      <c r="D390">
        <v>0</v>
      </c>
      <c r="E390" s="5" t="s">
        <v>85</v>
      </c>
      <c r="F390" s="5" t="s">
        <v>17</v>
      </c>
      <c r="G390">
        <v>15</v>
      </c>
    </row>
    <row r="391" spans="1:7" x14ac:dyDescent="0.35">
      <c r="A391">
        <v>185925</v>
      </c>
      <c r="B391">
        <v>1</v>
      </c>
      <c r="C391" s="5" t="s">
        <v>52</v>
      </c>
      <c r="D391">
        <v>4701</v>
      </c>
      <c r="E391" s="5" t="s">
        <v>82</v>
      </c>
      <c r="F391" s="5" t="s">
        <v>14</v>
      </c>
      <c r="G391">
        <v>10</v>
      </c>
    </row>
    <row r="392" spans="1:7" x14ac:dyDescent="0.35">
      <c r="A392">
        <v>144393</v>
      </c>
      <c r="B392">
        <v>0</v>
      </c>
      <c r="C392" s="5" t="s">
        <v>21</v>
      </c>
      <c r="D392">
        <v>1909</v>
      </c>
      <c r="E392" s="5" t="s">
        <v>93</v>
      </c>
      <c r="F392" s="5" t="s">
        <v>17</v>
      </c>
      <c r="G392">
        <v>15</v>
      </c>
    </row>
    <row r="393" spans="1:7" x14ac:dyDescent="0.35">
      <c r="A393">
        <v>4907</v>
      </c>
      <c r="B393">
        <v>2</v>
      </c>
      <c r="C393" s="5" t="s">
        <v>31</v>
      </c>
      <c r="D393">
        <v>0</v>
      </c>
      <c r="E393" s="5" t="s">
        <v>78</v>
      </c>
      <c r="F393" s="5" t="s">
        <v>17</v>
      </c>
      <c r="G393">
        <v>22</v>
      </c>
    </row>
    <row r="394" spans="1:7" x14ac:dyDescent="0.35">
      <c r="A394">
        <v>99298</v>
      </c>
      <c r="B394">
        <v>1</v>
      </c>
      <c r="C394" s="5" t="s">
        <v>33</v>
      </c>
      <c r="D394">
        <v>4001</v>
      </c>
      <c r="E394" s="5" t="s">
        <v>80</v>
      </c>
      <c r="F394" s="5" t="s">
        <v>14</v>
      </c>
      <c r="G394">
        <v>32</v>
      </c>
    </row>
    <row r="395" spans="1:7" x14ac:dyDescent="0.35">
      <c r="A395">
        <v>187532</v>
      </c>
      <c r="B395">
        <v>1</v>
      </c>
      <c r="C395" s="5" t="s">
        <v>13</v>
      </c>
      <c r="D395">
        <v>0</v>
      </c>
      <c r="E395" s="5" t="s">
        <v>84</v>
      </c>
      <c r="F395" s="5" t="s">
        <v>14</v>
      </c>
      <c r="G395">
        <v>15</v>
      </c>
    </row>
    <row r="396" spans="1:7" x14ac:dyDescent="0.35">
      <c r="A396">
        <v>119496</v>
      </c>
      <c r="B396">
        <v>0</v>
      </c>
      <c r="C396" s="5" t="s">
        <v>20</v>
      </c>
      <c r="D396">
        <v>0</v>
      </c>
      <c r="E396" s="5" t="s">
        <v>83</v>
      </c>
      <c r="F396" s="5" t="s">
        <v>17</v>
      </c>
      <c r="G396">
        <v>5</v>
      </c>
    </row>
    <row r="397" spans="1:7" x14ac:dyDescent="0.35">
      <c r="A397">
        <v>169919</v>
      </c>
      <c r="B397">
        <v>0</v>
      </c>
      <c r="C397" s="5" t="s">
        <v>21</v>
      </c>
      <c r="D397">
        <v>4801</v>
      </c>
      <c r="E397" s="5" t="s">
        <v>79</v>
      </c>
      <c r="F397" s="5" t="s">
        <v>17</v>
      </c>
      <c r="G397">
        <v>20</v>
      </c>
    </row>
    <row r="398" spans="1:7" x14ac:dyDescent="0.35">
      <c r="A398">
        <v>106963</v>
      </c>
      <c r="B398">
        <v>1</v>
      </c>
      <c r="C398" s="5" t="s">
        <v>55</v>
      </c>
      <c r="D398">
        <v>6102</v>
      </c>
      <c r="E398" s="5" t="s">
        <v>80</v>
      </c>
      <c r="F398" s="5" t="s">
        <v>14</v>
      </c>
      <c r="G398">
        <v>15</v>
      </c>
    </row>
    <row r="399" spans="1:7" x14ac:dyDescent="0.35">
      <c r="A399">
        <v>145838</v>
      </c>
      <c r="B399">
        <v>0</v>
      </c>
      <c r="C399" s="5" t="s">
        <v>21</v>
      </c>
      <c r="D399">
        <v>0</v>
      </c>
      <c r="E399" s="5" t="s">
        <v>83</v>
      </c>
      <c r="F399" s="5" t="s">
        <v>27</v>
      </c>
      <c r="G399">
        <v>8</v>
      </c>
    </row>
    <row r="400" spans="1:7" x14ac:dyDescent="0.35">
      <c r="A400">
        <v>150624</v>
      </c>
      <c r="B400">
        <v>1</v>
      </c>
      <c r="C400" s="5" t="s">
        <v>21</v>
      </c>
      <c r="D400">
        <v>0</v>
      </c>
      <c r="E400" s="5" t="s">
        <v>80</v>
      </c>
      <c r="F400" s="5" t="s">
        <v>14</v>
      </c>
      <c r="G400">
        <v>8</v>
      </c>
    </row>
    <row r="401" spans="1:7" x14ac:dyDescent="0.35">
      <c r="A401">
        <v>182144</v>
      </c>
      <c r="B401">
        <v>0</v>
      </c>
      <c r="C401" s="5" t="s">
        <v>13</v>
      </c>
      <c r="D401">
        <v>5208</v>
      </c>
      <c r="E401" s="5" t="s">
        <v>80</v>
      </c>
      <c r="F401" s="5" t="s">
        <v>17</v>
      </c>
      <c r="G401">
        <v>7</v>
      </c>
    </row>
    <row r="402" spans="1:7" x14ac:dyDescent="0.35">
      <c r="A402">
        <v>135449</v>
      </c>
      <c r="B402">
        <v>1</v>
      </c>
      <c r="C402" s="5" t="s">
        <v>51</v>
      </c>
      <c r="D402">
        <v>4801</v>
      </c>
      <c r="E402" s="5" t="s">
        <v>80</v>
      </c>
      <c r="F402" s="5" t="s">
        <v>14</v>
      </c>
      <c r="G402">
        <v>10</v>
      </c>
    </row>
    <row r="403" spans="1:7" x14ac:dyDescent="0.35">
      <c r="A403">
        <v>49743</v>
      </c>
      <c r="B403">
        <v>1</v>
      </c>
      <c r="C403" s="5" t="s">
        <v>40</v>
      </c>
      <c r="D403">
        <v>1901</v>
      </c>
      <c r="E403" s="5" t="s">
        <v>79</v>
      </c>
      <c r="F403" s="5" t="s">
        <v>14</v>
      </c>
      <c r="G403">
        <v>22</v>
      </c>
    </row>
    <row r="404" spans="1:7" x14ac:dyDescent="0.35">
      <c r="A404">
        <v>65500</v>
      </c>
      <c r="B404">
        <v>1</v>
      </c>
      <c r="C404" s="5" t="s">
        <v>26</v>
      </c>
      <c r="D404">
        <v>7001</v>
      </c>
      <c r="E404" s="5" t="s">
        <v>83</v>
      </c>
      <c r="F404" s="5" t="s">
        <v>14</v>
      </c>
      <c r="G404">
        <v>15</v>
      </c>
    </row>
    <row r="405" spans="1:7" x14ac:dyDescent="0.35">
      <c r="A405">
        <v>172420</v>
      </c>
      <c r="B405">
        <v>0</v>
      </c>
      <c r="C405" s="5" t="s">
        <v>21</v>
      </c>
      <c r="D405">
        <v>6601</v>
      </c>
      <c r="E405" s="5" t="s">
        <v>78</v>
      </c>
      <c r="F405" s="5" t="s">
        <v>17</v>
      </c>
      <c r="G405">
        <v>6</v>
      </c>
    </row>
    <row r="406" spans="1:7" x14ac:dyDescent="0.35">
      <c r="A406">
        <v>7494</v>
      </c>
      <c r="B406">
        <v>0</v>
      </c>
      <c r="C406" s="5" t="s">
        <v>21</v>
      </c>
      <c r="D406">
        <v>2301</v>
      </c>
      <c r="E406" s="5" t="s">
        <v>78</v>
      </c>
      <c r="F406" s="5" t="s">
        <v>17</v>
      </c>
      <c r="G406">
        <v>6</v>
      </c>
    </row>
    <row r="407" spans="1:7" x14ac:dyDescent="0.35">
      <c r="A407">
        <v>149498</v>
      </c>
      <c r="B407">
        <v>4002</v>
      </c>
      <c r="C407" s="5" t="s">
        <v>21</v>
      </c>
      <c r="D407">
        <v>3803</v>
      </c>
      <c r="E407" s="5" t="s">
        <v>83</v>
      </c>
      <c r="F407" s="5" t="s">
        <v>41</v>
      </c>
      <c r="G407">
        <v>20</v>
      </c>
    </row>
    <row r="408" spans="1:7" x14ac:dyDescent="0.35">
      <c r="A408">
        <v>169780</v>
      </c>
      <c r="B408">
        <v>0</v>
      </c>
      <c r="C408" s="5" t="s">
        <v>21</v>
      </c>
      <c r="D408">
        <v>0</v>
      </c>
      <c r="E408" s="5" t="s">
        <v>78</v>
      </c>
      <c r="F408" s="5" t="s">
        <v>86</v>
      </c>
      <c r="G408">
        <v>10</v>
      </c>
    </row>
    <row r="409" spans="1:7" x14ac:dyDescent="0.35">
      <c r="A409">
        <v>70944</v>
      </c>
      <c r="B409">
        <v>0</v>
      </c>
      <c r="C409" s="5" t="s">
        <v>26</v>
      </c>
      <c r="D409">
        <v>7501</v>
      </c>
      <c r="E409" s="5" t="s">
        <v>79</v>
      </c>
      <c r="F409" s="5" t="s">
        <v>17</v>
      </c>
      <c r="G409">
        <v>20</v>
      </c>
    </row>
    <row r="410" spans="1:7" x14ac:dyDescent="0.35">
      <c r="A410">
        <v>117230</v>
      </c>
      <c r="B410">
        <v>1</v>
      </c>
      <c r="C410" s="5" t="s">
        <v>20</v>
      </c>
      <c r="D410">
        <v>801</v>
      </c>
      <c r="E410" s="5" t="s">
        <v>87</v>
      </c>
      <c r="F410" s="5" t="s">
        <v>14</v>
      </c>
      <c r="G410">
        <v>11</v>
      </c>
    </row>
    <row r="411" spans="1:7" x14ac:dyDescent="0.35">
      <c r="A411">
        <v>50427</v>
      </c>
      <c r="B411">
        <v>28</v>
      </c>
      <c r="C411" s="5" t="s">
        <v>49</v>
      </c>
      <c r="D411">
        <v>5406</v>
      </c>
      <c r="E411" s="5" t="s">
        <v>79</v>
      </c>
      <c r="F411" s="5" t="s">
        <v>17</v>
      </c>
      <c r="G411">
        <v>15</v>
      </c>
    </row>
    <row r="412" spans="1:7" x14ac:dyDescent="0.35">
      <c r="A412">
        <v>43998</v>
      </c>
      <c r="B412">
        <v>1</v>
      </c>
      <c r="C412" s="5" t="s">
        <v>13</v>
      </c>
      <c r="D412">
        <v>2108</v>
      </c>
      <c r="E412" s="5" t="s">
        <v>78</v>
      </c>
      <c r="F412" s="5" t="s">
        <v>14</v>
      </c>
      <c r="G412">
        <v>22</v>
      </c>
    </row>
    <row r="413" spans="1:7" x14ac:dyDescent="0.35">
      <c r="A413">
        <v>71255</v>
      </c>
      <c r="B413">
        <v>2</v>
      </c>
      <c r="C413" s="5" t="s">
        <v>26</v>
      </c>
      <c r="D413">
        <v>1511</v>
      </c>
      <c r="E413" s="5" t="s">
        <v>84</v>
      </c>
      <c r="F413" s="5" t="s">
        <v>14</v>
      </c>
      <c r="G413">
        <v>13</v>
      </c>
    </row>
    <row r="414" spans="1:7" x14ac:dyDescent="0.35">
      <c r="A414">
        <v>63308</v>
      </c>
      <c r="B414">
        <v>1</v>
      </c>
      <c r="C414" s="5" t="s">
        <v>30</v>
      </c>
      <c r="D414">
        <v>2301</v>
      </c>
      <c r="E414" s="5" t="s">
        <v>78</v>
      </c>
      <c r="F414" s="5" t="s">
        <v>14</v>
      </c>
      <c r="G414">
        <v>10</v>
      </c>
    </row>
    <row r="415" spans="1:7" x14ac:dyDescent="0.35">
      <c r="A415">
        <v>82196</v>
      </c>
      <c r="B415">
        <v>0</v>
      </c>
      <c r="C415" s="5" t="s">
        <v>52</v>
      </c>
      <c r="D415">
        <v>2001</v>
      </c>
      <c r="E415" s="5" t="s">
        <v>81</v>
      </c>
      <c r="F415" s="5" t="s">
        <v>17</v>
      </c>
      <c r="G415">
        <v>5</v>
      </c>
    </row>
    <row r="416" spans="1:7" x14ac:dyDescent="0.35">
      <c r="A416">
        <v>114820</v>
      </c>
      <c r="B416">
        <v>28</v>
      </c>
      <c r="C416" s="5" t="s">
        <v>33</v>
      </c>
      <c r="D416">
        <v>0</v>
      </c>
      <c r="E416" s="5" t="s">
        <v>79</v>
      </c>
      <c r="F416" s="5" t="s">
        <v>17</v>
      </c>
      <c r="G416">
        <v>10</v>
      </c>
    </row>
    <row r="417" spans="1:7" x14ac:dyDescent="0.35">
      <c r="A417">
        <v>176781</v>
      </c>
      <c r="B417">
        <v>0</v>
      </c>
      <c r="C417" s="5" t="s">
        <v>47</v>
      </c>
      <c r="D417">
        <v>3101</v>
      </c>
      <c r="E417" s="5" t="s">
        <v>82</v>
      </c>
      <c r="F417" s="5" t="s">
        <v>14</v>
      </c>
      <c r="G417">
        <v>10</v>
      </c>
    </row>
    <row r="418" spans="1:7" x14ac:dyDescent="0.35">
      <c r="A418">
        <v>20438</v>
      </c>
      <c r="B418">
        <v>1</v>
      </c>
      <c r="C418" s="5" t="s">
        <v>18</v>
      </c>
      <c r="D418">
        <v>2601</v>
      </c>
      <c r="E418" s="5" t="s">
        <v>79</v>
      </c>
      <c r="F418" s="5" t="s">
        <v>14</v>
      </c>
      <c r="G418">
        <v>10</v>
      </c>
    </row>
    <row r="419" spans="1:7" x14ac:dyDescent="0.35">
      <c r="A419">
        <v>91879</v>
      </c>
      <c r="B419">
        <v>0</v>
      </c>
      <c r="C419" s="5" t="s">
        <v>16</v>
      </c>
      <c r="D419">
        <v>0</v>
      </c>
      <c r="E419" s="5" t="s">
        <v>80</v>
      </c>
      <c r="F419" s="5" t="s">
        <v>17</v>
      </c>
      <c r="G419">
        <v>20</v>
      </c>
    </row>
    <row r="420" spans="1:7" x14ac:dyDescent="0.35">
      <c r="A420">
        <v>92443</v>
      </c>
      <c r="B420">
        <v>2</v>
      </c>
      <c r="C420" s="5" t="s">
        <v>16</v>
      </c>
      <c r="D420">
        <v>0</v>
      </c>
      <c r="E420" s="5" t="s">
        <v>80</v>
      </c>
      <c r="F420" s="5" t="s">
        <v>17</v>
      </c>
      <c r="G420">
        <v>10</v>
      </c>
    </row>
    <row r="421" spans="1:7" x14ac:dyDescent="0.35">
      <c r="A421">
        <v>168189</v>
      </c>
      <c r="B421">
        <v>1</v>
      </c>
      <c r="C421" s="5" t="s">
        <v>21</v>
      </c>
      <c r="D421">
        <v>5001</v>
      </c>
      <c r="E421" s="5" t="s">
        <v>85</v>
      </c>
      <c r="F421" s="5" t="s">
        <v>14</v>
      </c>
      <c r="G421">
        <v>15</v>
      </c>
    </row>
    <row r="422" spans="1:7" x14ac:dyDescent="0.35">
      <c r="A422">
        <v>148998</v>
      </c>
      <c r="B422">
        <v>1</v>
      </c>
      <c r="C422" s="5" t="s">
        <v>21</v>
      </c>
      <c r="D422">
        <v>4709</v>
      </c>
      <c r="E422" s="5" t="s">
        <v>82</v>
      </c>
      <c r="F422" s="5" t="s">
        <v>86</v>
      </c>
      <c r="G422">
        <v>25</v>
      </c>
    </row>
    <row r="423" spans="1:7" x14ac:dyDescent="0.35">
      <c r="A423">
        <v>186292</v>
      </c>
      <c r="B423">
        <v>1</v>
      </c>
      <c r="C423" s="5" t="s">
        <v>21</v>
      </c>
      <c r="D423">
        <v>509</v>
      </c>
      <c r="E423" s="5" t="s">
        <v>78</v>
      </c>
      <c r="F423" s="5" t="s">
        <v>14</v>
      </c>
      <c r="G423">
        <v>10</v>
      </c>
    </row>
    <row r="424" spans="1:7" x14ac:dyDescent="0.35">
      <c r="A424">
        <v>75180</v>
      </c>
      <c r="B424">
        <v>28</v>
      </c>
      <c r="C424" s="5" t="s">
        <v>44</v>
      </c>
      <c r="D424">
        <v>4409</v>
      </c>
      <c r="E424" s="5" t="s">
        <v>78</v>
      </c>
      <c r="F424" s="5" t="s">
        <v>17</v>
      </c>
      <c r="G424">
        <v>15</v>
      </c>
    </row>
    <row r="425" spans="1:7" x14ac:dyDescent="0.35">
      <c r="A425">
        <v>88596</v>
      </c>
      <c r="B425">
        <v>28</v>
      </c>
      <c r="C425" s="5" t="s">
        <v>16</v>
      </c>
      <c r="D425">
        <v>912</v>
      </c>
      <c r="E425" s="5" t="s">
        <v>85</v>
      </c>
      <c r="F425" s="5" t="s">
        <v>17</v>
      </c>
      <c r="G425">
        <v>14</v>
      </c>
    </row>
    <row r="426" spans="1:7" x14ac:dyDescent="0.35">
      <c r="A426">
        <v>155266</v>
      </c>
      <c r="B426">
        <v>0</v>
      </c>
      <c r="C426" s="5" t="s">
        <v>21</v>
      </c>
      <c r="D426">
        <v>0</v>
      </c>
      <c r="E426" s="5" t="s">
        <v>87</v>
      </c>
      <c r="F426" s="5" t="s">
        <v>17</v>
      </c>
      <c r="G426">
        <v>11</v>
      </c>
    </row>
    <row r="427" spans="1:7" x14ac:dyDescent="0.35">
      <c r="A427">
        <v>13622</v>
      </c>
      <c r="B427">
        <v>0</v>
      </c>
      <c r="C427" s="5" t="s">
        <v>13</v>
      </c>
      <c r="D427">
        <v>3201</v>
      </c>
      <c r="E427" s="5" t="s">
        <v>80</v>
      </c>
      <c r="F427" s="5" t="s">
        <v>14</v>
      </c>
      <c r="G427">
        <v>10</v>
      </c>
    </row>
    <row r="428" spans="1:7" x14ac:dyDescent="0.35">
      <c r="A428">
        <v>189853</v>
      </c>
      <c r="B428">
        <v>1002</v>
      </c>
      <c r="C428" s="5" t="s">
        <v>56</v>
      </c>
      <c r="D428">
        <v>4306</v>
      </c>
      <c r="E428" s="5" t="s">
        <v>86</v>
      </c>
      <c r="F428" s="5" t="s">
        <v>17</v>
      </c>
      <c r="G428">
        <v>8</v>
      </c>
    </row>
    <row r="429" spans="1:7" x14ac:dyDescent="0.35">
      <c r="A429">
        <v>175708</v>
      </c>
      <c r="B429">
        <v>1</v>
      </c>
      <c r="C429" s="5" t="s">
        <v>47</v>
      </c>
      <c r="D429">
        <v>4201</v>
      </c>
      <c r="E429" s="5" t="s">
        <v>80</v>
      </c>
      <c r="F429" s="5" t="s">
        <v>14</v>
      </c>
      <c r="G429">
        <v>30</v>
      </c>
    </row>
    <row r="430" spans="1:7" x14ac:dyDescent="0.35">
      <c r="A430">
        <v>182243</v>
      </c>
      <c r="B430">
        <v>0</v>
      </c>
      <c r="C430" s="5" t="s">
        <v>37</v>
      </c>
      <c r="D430">
        <v>3605</v>
      </c>
      <c r="E430" s="5" t="s">
        <v>80</v>
      </c>
      <c r="F430" s="5" t="s">
        <v>17</v>
      </c>
      <c r="G430">
        <v>10</v>
      </c>
    </row>
    <row r="431" spans="1:7" x14ac:dyDescent="0.35">
      <c r="A431">
        <v>171566</v>
      </c>
      <c r="B431">
        <v>1</v>
      </c>
      <c r="C431" s="5" t="s">
        <v>21</v>
      </c>
      <c r="D431">
        <v>2201</v>
      </c>
      <c r="E431" s="5" t="s">
        <v>79</v>
      </c>
      <c r="F431" s="5" t="s">
        <v>14</v>
      </c>
      <c r="G431">
        <v>15</v>
      </c>
    </row>
    <row r="432" spans="1:7" x14ac:dyDescent="0.35">
      <c r="A432">
        <v>156266</v>
      </c>
      <c r="B432">
        <v>0</v>
      </c>
      <c r="C432" s="5" t="s">
        <v>21</v>
      </c>
      <c r="D432">
        <v>3701</v>
      </c>
      <c r="E432" s="5" t="s">
        <v>90</v>
      </c>
      <c r="F432" s="5" t="s">
        <v>17</v>
      </c>
      <c r="G432">
        <v>20</v>
      </c>
    </row>
    <row r="433" spans="1:7" x14ac:dyDescent="0.35">
      <c r="A433">
        <v>41604</v>
      </c>
      <c r="B433">
        <v>0</v>
      </c>
      <c r="C433" s="5" t="s">
        <v>13</v>
      </c>
      <c r="D433">
        <v>2401</v>
      </c>
      <c r="E433" s="5" t="s">
        <v>83</v>
      </c>
      <c r="F433" s="5" t="s">
        <v>17</v>
      </c>
      <c r="G433">
        <v>10</v>
      </c>
    </row>
    <row r="434" spans="1:7" x14ac:dyDescent="0.35">
      <c r="A434">
        <v>187678</v>
      </c>
      <c r="B434">
        <v>0</v>
      </c>
      <c r="C434" s="5" t="s">
        <v>57</v>
      </c>
      <c r="D434">
        <v>0</v>
      </c>
      <c r="E434" s="5" t="s">
        <v>80</v>
      </c>
      <c r="F434" s="5" t="s">
        <v>17</v>
      </c>
      <c r="G434">
        <v>5</v>
      </c>
    </row>
    <row r="435" spans="1:7" x14ac:dyDescent="0.35">
      <c r="A435">
        <v>42165</v>
      </c>
      <c r="B435">
        <v>0</v>
      </c>
      <c r="C435" s="5" t="s">
        <v>13</v>
      </c>
      <c r="D435">
        <v>0</v>
      </c>
      <c r="E435" s="5" t="s">
        <v>79</v>
      </c>
      <c r="F435" s="5" t="s">
        <v>14</v>
      </c>
      <c r="G435">
        <v>10</v>
      </c>
    </row>
    <row r="436" spans="1:7" x14ac:dyDescent="0.35">
      <c r="A436">
        <v>24507</v>
      </c>
      <c r="B436">
        <v>1</v>
      </c>
      <c r="C436" s="5" t="s">
        <v>43</v>
      </c>
      <c r="D436">
        <v>3411</v>
      </c>
      <c r="E436" s="5" t="s">
        <v>81</v>
      </c>
      <c r="F436" s="5" t="s">
        <v>14</v>
      </c>
      <c r="G436">
        <v>25</v>
      </c>
    </row>
    <row r="437" spans="1:7" x14ac:dyDescent="0.35">
      <c r="A437">
        <v>44657</v>
      </c>
      <c r="B437">
        <v>1002</v>
      </c>
      <c r="C437" s="5" t="s">
        <v>13</v>
      </c>
      <c r="D437">
        <v>4201</v>
      </c>
      <c r="E437" s="5" t="s">
        <v>79</v>
      </c>
      <c r="F437" s="5" t="s">
        <v>14</v>
      </c>
      <c r="G437">
        <v>5</v>
      </c>
    </row>
    <row r="438" spans="1:7" x14ac:dyDescent="0.35">
      <c r="A438">
        <v>10554</v>
      </c>
      <c r="B438">
        <v>2</v>
      </c>
      <c r="C438" s="5" t="s">
        <v>16</v>
      </c>
      <c r="D438">
        <v>0</v>
      </c>
      <c r="E438" s="5" t="s">
        <v>89</v>
      </c>
      <c r="F438" s="5" t="s">
        <v>14</v>
      </c>
      <c r="G438">
        <v>20</v>
      </c>
    </row>
    <row r="439" spans="1:7" x14ac:dyDescent="0.35">
      <c r="A439">
        <v>33192</v>
      </c>
      <c r="B439">
        <v>0</v>
      </c>
      <c r="C439" s="5" t="s">
        <v>13</v>
      </c>
      <c r="D439">
        <v>3501</v>
      </c>
      <c r="E439" s="5" t="s">
        <v>78</v>
      </c>
      <c r="F439" s="5" t="s">
        <v>17</v>
      </c>
      <c r="G439">
        <v>10</v>
      </c>
    </row>
    <row r="440" spans="1:7" x14ac:dyDescent="0.35">
      <c r="A440">
        <v>76470</v>
      </c>
      <c r="B440">
        <v>1002</v>
      </c>
      <c r="C440" s="5" t="s">
        <v>44</v>
      </c>
      <c r="D440">
        <v>3307</v>
      </c>
      <c r="E440" s="5" t="s">
        <v>79</v>
      </c>
      <c r="F440" s="5" t="s">
        <v>14</v>
      </c>
      <c r="G440">
        <v>10</v>
      </c>
    </row>
    <row r="441" spans="1:7" x14ac:dyDescent="0.35">
      <c r="A441">
        <v>67075</v>
      </c>
      <c r="B441">
        <v>2</v>
      </c>
      <c r="C441" s="5" t="s">
        <v>26</v>
      </c>
      <c r="D441">
        <v>4601</v>
      </c>
      <c r="E441" s="5" t="s">
        <v>80</v>
      </c>
      <c r="F441" s="5" t="s">
        <v>17</v>
      </c>
      <c r="G441">
        <v>18</v>
      </c>
    </row>
    <row r="442" spans="1:7" x14ac:dyDescent="0.35">
      <c r="A442">
        <v>169827</v>
      </c>
      <c r="B442">
        <v>0</v>
      </c>
      <c r="C442" s="5" t="s">
        <v>21</v>
      </c>
      <c r="D442">
        <v>4801</v>
      </c>
      <c r="E442" s="5" t="s">
        <v>80</v>
      </c>
      <c r="F442" s="5" t="s">
        <v>17</v>
      </c>
      <c r="G442">
        <v>21</v>
      </c>
    </row>
    <row r="443" spans="1:7" x14ac:dyDescent="0.35">
      <c r="A443">
        <v>38734</v>
      </c>
      <c r="B443">
        <v>0</v>
      </c>
      <c r="C443" s="5" t="s">
        <v>13</v>
      </c>
      <c r="D443">
        <v>709</v>
      </c>
      <c r="E443" s="5" t="s">
        <v>82</v>
      </c>
      <c r="F443" s="5" t="s">
        <v>17</v>
      </c>
      <c r="G443">
        <v>26</v>
      </c>
    </row>
    <row r="444" spans="1:7" x14ac:dyDescent="0.35">
      <c r="A444">
        <v>65245</v>
      </c>
      <c r="B444">
        <v>2</v>
      </c>
      <c r="C444" s="5" t="s">
        <v>26</v>
      </c>
      <c r="D444">
        <v>3101</v>
      </c>
      <c r="E444" s="5" t="s">
        <v>91</v>
      </c>
      <c r="F444" s="5" t="s">
        <v>17</v>
      </c>
      <c r="G444">
        <v>10</v>
      </c>
    </row>
    <row r="445" spans="1:7" x14ac:dyDescent="0.35">
      <c r="A445">
        <v>186396</v>
      </c>
      <c r="B445">
        <v>0</v>
      </c>
      <c r="C445" s="5" t="s">
        <v>40</v>
      </c>
      <c r="D445">
        <v>4311</v>
      </c>
      <c r="E445" s="5" t="s">
        <v>79</v>
      </c>
      <c r="F445" s="5" t="s">
        <v>14</v>
      </c>
      <c r="G445">
        <v>20</v>
      </c>
    </row>
    <row r="446" spans="1:7" x14ac:dyDescent="0.35">
      <c r="A446">
        <v>54160</v>
      </c>
      <c r="B446">
        <v>0</v>
      </c>
      <c r="C446" s="5" t="s">
        <v>49</v>
      </c>
      <c r="D446">
        <v>2801</v>
      </c>
      <c r="E446" s="5" t="s">
        <v>89</v>
      </c>
      <c r="F446" s="5" t="s">
        <v>17</v>
      </c>
      <c r="G446">
        <v>10</v>
      </c>
    </row>
    <row r="447" spans="1:7" x14ac:dyDescent="0.35">
      <c r="A447">
        <v>178826</v>
      </c>
      <c r="B447">
        <v>0</v>
      </c>
      <c r="C447" s="5" t="s">
        <v>45</v>
      </c>
      <c r="D447">
        <v>5102</v>
      </c>
      <c r="E447" s="5" t="s">
        <v>83</v>
      </c>
      <c r="F447" s="5" t="s">
        <v>86</v>
      </c>
      <c r="G447">
        <v>20</v>
      </c>
    </row>
    <row r="448" spans="1:7" x14ac:dyDescent="0.35">
      <c r="A448">
        <v>7507</v>
      </c>
      <c r="B448">
        <v>1</v>
      </c>
      <c r="C448" s="5" t="s">
        <v>16</v>
      </c>
      <c r="D448">
        <v>2504</v>
      </c>
      <c r="E448" s="5" t="s">
        <v>80</v>
      </c>
      <c r="F448" s="5" t="s">
        <v>14</v>
      </c>
      <c r="G448">
        <v>10</v>
      </c>
    </row>
    <row r="449" spans="1:7" x14ac:dyDescent="0.35">
      <c r="A449">
        <v>4150</v>
      </c>
      <c r="B449">
        <v>0</v>
      </c>
      <c r="C449" s="5" t="s">
        <v>33</v>
      </c>
      <c r="D449">
        <v>4412</v>
      </c>
      <c r="E449" s="5" t="s">
        <v>78</v>
      </c>
      <c r="F449" s="5" t="s">
        <v>17</v>
      </c>
      <c r="G449">
        <v>14</v>
      </c>
    </row>
    <row r="450" spans="1:7" x14ac:dyDescent="0.35">
      <c r="A450">
        <v>120041</v>
      </c>
      <c r="B450">
        <v>2</v>
      </c>
      <c r="C450" s="5" t="s">
        <v>20</v>
      </c>
      <c r="D450">
        <v>5901</v>
      </c>
      <c r="E450" s="5" t="s">
        <v>79</v>
      </c>
      <c r="F450" s="5" t="s">
        <v>17</v>
      </c>
      <c r="G450">
        <v>8</v>
      </c>
    </row>
    <row r="451" spans="1:7" x14ac:dyDescent="0.35">
      <c r="A451">
        <v>51486</v>
      </c>
      <c r="B451">
        <v>2</v>
      </c>
      <c r="C451" s="5" t="s">
        <v>49</v>
      </c>
      <c r="D451">
        <v>2805</v>
      </c>
      <c r="E451" s="5" t="s">
        <v>87</v>
      </c>
      <c r="F451" s="5" t="s">
        <v>14</v>
      </c>
      <c r="G451">
        <v>6</v>
      </c>
    </row>
    <row r="452" spans="1:7" x14ac:dyDescent="0.35">
      <c r="A452">
        <v>173348</v>
      </c>
      <c r="B452">
        <v>28</v>
      </c>
      <c r="C452" s="5" t="s">
        <v>21</v>
      </c>
      <c r="D452">
        <v>2701</v>
      </c>
      <c r="E452" s="5" t="s">
        <v>79</v>
      </c>
      <c r="F452" s="5" t="s">
        <v>14</v>
      </c>
      <c r="G452">
        <v>8</v>
      </c>
    </row>
    <row r="453" spans="1:7" x14ac:dyDescent="0.35">
      <c r="A453">
        <v>74669</v>
      </c>
      <c r="B453">
        <v>0</v>
      </c>
      <c r="C453" s="5" t="s">
        <v>26</v>
      </c>
      <c r="D453">
        <v>0</v>
      </c>
      <c r="E453" s="5" t="s">
        <v>81</v>
      </c>
      <c r="F453" s="5" t="s">
        <v>17</v>
      </c>
      <c r="G453">
        <v>20</v>
      </c>
    </row>
    <row r="454" spans="1:7" x14ac:dyDescent="0.35">
      <c r="A454">
        <v>64430</v>
      </c>
      <c r="B454">
        <v>0</v>
      </c>
      <c r="C454" s="5" t="s">
        <v>30</v>
      </c>
      <c r="D454">
        <v>0</v>
      </c>
      <c r="E454" s="5" t="s">
        <v>81</v>
      </c>
      <c r="F454" s="5" t="s">
        <v>17</v>
      </c>
      <c r="G454">
        <v>13</v>
      </c>
    </row>
    <row r="455" spans="1:7" x14ac:dyDescent="0.35">
      <c r="A455">
        <v>156485</v>
      </c>
      <c r="B455">
        <v>0</v>
      </c>
      <c r="C455" s="5" t="s">
        <v>21</v>
      </c>
      <c r="D455">
        <v>4101</v>
      </c>
      <c r="E455" s="5" t="s">
        <v>85</v>
      </c>
      <c r="F455" s="5" t="s">
        <v>17</v>
      </c>
      <c r="G455">
        <v>10</v>
      </c>
    </row>
    <row r="456" spans="1:7" x14ac:dyDescent="0.35">
      <c r="A456">
        <v>39935</v>
      </c>
      <c r="B456">
        <v>0</v>
      </c>
      <c r="C456" s="5" t="s">
        <v>13</v>
      </c>
      <c r="D456">
        <v>6001</v>
      </c>
      <c r="E456" s="5" t="s">
        <v>87</v>
      </c>
      <c r="F456" s="5" t="s">
        <v>14</v>
      </c>
      <c r="G456">
        <v>4</v>
      </c>
    </row>
    <row r="457" spans="1:7" x14ac:dyDescent="0.35">
      <c r="A457">
        <v>50187</v>
      </c>
      <c r="B457">
        <v>0</v>
      </c>
      <c r="C457" s="5" t="s">
        <v>49</v>
      </c>
      <c r="D457">
        <v>0</v>
      </c>
      <c r="E457" s="5" t="s">
        <v>82</v>
      </c>
      <c r="F457" s="5" t="s">
        <v>27</v>
      </c>
      <c r="G457">
        <v>20</v>
      </c>
    </row>
    <row r="458" spans="1:7" x14ac:dyDescent="0.35">
      <c r="A458">
        <v>26254</v>
      </c>
      <c r="B458">
        <v>0</v>
      </c>
      <c r="C458" s="5" t="s">
        <v>36</v>
      </c>
      <c r="D458">
        <v>6801</v>
      </c>
      <c r="E458" s="5" t="s">
        <v>82</v>
      </c>
      <c r="F458" s="5" t="s">
        <v>17</v>
      </c>
      <c r="G458">
        <v>10</v>
      </c>
    </row>
    <row r="459" spans="1:7" x14ac:dyDescent="0.35">
      <c r="A459">
        <v>30433</v>
      </c>
      <c r="B459">
        <v>28</v>
      </c>
      <c r="C459" s="5" t="s">
        <v>36</v>
      </c>
      <c r="D459">
        <v>2201</v>
      </c>
      <c r="E459" s="5" t="s">
        <v>82</v>
      </c>
      <c r="F459" s="5" t="s">
        <v>17</v>
      </c>
      <c r="G459">
        <v>15</v>
      </c>
    </row>
    <row r="460" spans="1:7" x14ac:dyDescent="0.35">
      <c r="A460">
        <v>189373</v>
      </c>
      <c r="B460">
        <v>0</v>
      </c>
      <c r="C460" s="5" t="s">
        <v>21</v>
      </c>
      <c r="D460">
        <v>1804</v>
      </c>
      <c r="E460" s="5" t="s">
        <v>93</v>
      </c>
      <c r="F460" s="5" t="s">
        <v>17</v>
      </c>
      <c r="G460">
        <v>15</v>
      </c>
    </row>
    <row r="461" spans="1:7" x14ac:dyDescent="0.35">
      <c r="A461">
        <v>91756</v>
      </c>
      <c r="B461">
        <v>2</v>
      </c>
      <c r="C461" s="5" t="s">
        <v>16</v>
      </c>
      <c r="D461">
        <v>5810</v>
      </c>
      <c r="E461" s="5" t="s">
        <v>84</v>
      </c>
      <c r="F461" s="5" t="s">
        <v>14</v>
      </c>
      <c r="G461">
        <v>7</v>
      </c>
    </row>
    <row r="462" spans="1:7" x14ac:dyDescent="0.35">
      <c r="A462">
        <v>182279</v>
      </c>
      <c r="B462">
        <v>0</v>
      </c>
      <c r="C462" s="5" t="s">
        <v>37</v>
      </c>
      <c r="D462">
        <v>6201</v>
      </c>
      <c r="E462" s="5" t="s">
        <v>87</v>
      </c>
      <c r="F462" s="5" t="s">
        <v>17</v>
      </c>
      <c r="G462">
        <v>20</v>
      </c>
    </row>
    <row r="463" spans="1:7" x14ac:dyDescent="0.35">
      <c r="A463">
        <v>122465</v>
      </c>
      <c r="B463">
        <v>0</v>
      </c>
      <c r="C463" s="5" t="s">
        <v>20</v>
      </c>
      <c r="D463">
        <v>4501</v>
      </c>
      <c r="E463" s="5" t="s">
        <v>82</v>
      </c>
      <c r="F463" s="5" t="s">
        <v>17</v>
      </c>
      <c r="G463">
        <v>8</v>
      </c>
    </row>
    <row r="464" spans="1:7" x14ac:dyDescent="0.35">
      <c r="A464">
        <v>24666</v>
      </c>
      <c r="B464">
        <v>1</v>
      </c>
      <c r="C464" s="5" t="s">
        <v>43</v>
      </c>
      <c r="D464">
        <v>5201</v>
      </c>
      <c r="E464" s="5" t="s">
        <v>79</v>
      </c>
      <c r="F464" s="5" t="s">
        <v>14</v>
      </c>
      <c r="G464">
        <v>15</v>
      </c>
    </row>
    <row r="465" spans="1:7" x14ac:dyDescent="0.35">
      <c r="A465">
        <v>19664</v>
      </c>
      <c r="B465">
        <v>1</v>
      </c>
      <c r="C465" s="5" t="s">
        <v>18</v>
      </c>
      <c r="D465">
        <v>2301</v>
      </c>
      <c r="E465" s="5" t="s">
        <v>83</v>
      </c>
      <c r="F465" s="5" t="s">
        <v>14</v>
      </c>
      <c r="G465">
        <v>10</v>
      </c>
    </row>
    <row r="466" spans="1:7" x14ac:dyDescent="0.35">
      <c r="A466">
        <v>162228</v>
      </c>
      <c r="B466">
        <v>0</v>
      </c>
      <c r="C466" s="5" t="s">
        <v>21</v>
      </c>
      <c r="D466">
        <v>0</v>
      </c>
      <c r="E466" s="5" t="s">
        <v>85</v>
      </c>
      <c r="F466" s="5" t="s">
        <v>17</v>
      </c>
      <c r="G466">
        <v>25</v>
      </c>
    </row>
    <row r="467" spans="1:7" x14ac:dyDescent="0.35">
      <c r="A467">
        <v>76578</v>
      </c>
      <c r="B467">
        <v>1</v>
      </c>
      <c r="C467" s="5" t="s">
        <v>44</v>
      </c>
      <c r="D467">
        <v>5602</v>
      </c>
      <c r="E467" s="5" t="s">
        <v>78</v>
      </c>
      <c r="F467" s="5" t="s">
        <v>14</v>
      </c>
      <c r="G467">
        <v>9</v>
      </c>
    </row>
    <row r="468" spans="1:7" x14ac:dyDescent="0.35">
      <c r="A468">
        <v>52740</v>
      </c>
      <c r="B468">
        <v>0</v>
      </c>
      <c r="C468" s="5" t="s">
        <v>49</v>
      </c>
      <c r="D468">
        <v>1604</v>
      </c>
      <c r="E468" s="5" t="s">
        <v>87</v>
      </c>
      <c r="F468" s="5" t="s">
        <v>17</v>
      </c>
      <c r="G468">
        <v>8</v>
      </c>
    </row>
    <row r="469" spans="1:7" x14ac:dyDescent="0.35">
      <c r="A469">
        <v>159174</v>
      </c>
      <c r="B469">
        <v>0</v>
      </c>
      <c r="C469" s="5" t="s">
        <v>21</v>
      </c>
      <c r="D469">
        <v>1504</v>
      </c>
      <c r="E469" s="5" t="s">
        <v>78</v>
      </c>
      <c r="F469" s="5" t="s">
        <v>17</v>
      </c>
      <c r="G469">
        <v>10</v>
      </c>
    </row>
    <row r="470" spans="1:7" x14ac:dyDescent="0.35">
      <c r="A470">
        <v>156903</v>
      </c>
      <c r="B470">
        <v>1</v>
      </c>
      <c r="C470" s="5" t="s">
        <v>21</v>
      </c>
      <c r="D470">
        <v>3901</v>
      </c>
      <c r="E470" s="5" t="s">
        <v>93</v>
      </c>
      <c r="F470" s="5" t="s">
        <v>14</v>
      </c>
      <c r="G470">
        <v>3</v>
      </c>
    </row>
    <row r="471" spans="1:7" x14ac:dyDescent="0.35">
      <c r="A471">
        <v>177926</v>
      </c>
      <c r="B471">
        <v>1</v>
      </c>
      <c r="C471" s="5" t="s">
        <v>47</v>
      </c>
      <c r="D471">
        <v>2604</v>
      </c>
      <c r="E471" s="5" t="s">
        <v>81</v>
      </c>
      <c r="F471" s="5" t="s">
        <v>14</v>
      </c>
      <c r="G471">
        <v>15</v>
      </c>
    </row>
    <row r="472" spans="1:7" x14ac:dyDescent="0.35">
      <c r="A472">
        <v>142057</v>
      </c>
      <c r="B472">
        <v>0</v>
      </c>
      <c r="C472" s="5" t="s">
        <v>23</v>
      </c>
      <c r="D472">
        <v>904</v>
      </c>
      <c r="E472" s="5" t="s">
        <v>84</v>
      </c>
      <c r="F472" s="5" t="s">
        <v>86</v>
      </c>
      <c r="G472">
        <v>15</v>
      </c>
    </row>
    <row r="473" spans="1:7" x14ac:dyDescent="0.35">
      <c r="A473">
        <v>175637</v>
      </c>
      <c r="B473">
        <v>1</v>
      </c>
      <c r="C473" s="5" t="s">
        <v>47</v>
      </c>
      <c r="D473">
        <v>4501</v>
      </c>
      <c r="E473" s="5" t="s">
        <v>83</v>
      </c>
      <c r="F473" s="5" t="s">
        <v>14</v>
      </c>
      <c r="G473">
        <v>20</v>
      </c>
    </row>
    <row r="474" spans="1:7" x14ac:dyDescent="0.35">
      <c r="A474">
        <v>32096</v>
      </c>
      <c r="B474">
        <v>1</v>
      </c>
      <c r="C474" s="5" t="s">
        <v>13</v>
      </c>
      <c r="D474">
        <v>4501</v>
      </c>
      <c r="E474" s="5" t="s">
        <v>89</v>
      </c>
      <c r="F474" s="5" t="s">
        <v>14</v>
      </c>
      <c r="G474">
        <v>16</v>
      </c>
    </row>
    <row r="475" spans="1:7" x14ac:dyDescent="0.35">
      <c r="A475">
        <v>26946</v>
      </c>
      <c r="B475">
        <v>0</v>
      </c>
      <c r="C475" s="5" t="s">
        <v>36</v>
      </c>
      <c r="D475">
        <v>7001</v>
      </c>
      <c r="E475" s="5" t="s">
        <v>86</v>
      </c>
      <c r="F475" s="5" t="s">
        <v>17</v>
      </c>
      <c r="G475">
        <v>30</v>
      </c>
    </row>
    <row r="476" spans="1:7" x14ac:dyDescent="0.35">
      <c r="A476">
        <v>160863</v>
      </c>
      <c r="B476">
        <v>1002</v>
      </c>
      <c r="C476" s="5" t="s">
        <v>21</v>
      </c>
      <c r="D476">
        <v>0</v>
      </c>
      <c r="E476" s="5" t="s">
        <v>78</v>
      </c>
      <c r="F476" s="5" t="s">
        <v>41</v>
      </c>
      <c r="G476">
        <v>10</v>
      </c>
    </row>
    <row r="477" spans="1:7" x14ac:dyDescent="0.35">
      <c r="A477">
        <v>57162</v>
      </c>
      <c r="B477">
        <v>0</v>
      </c>
      <c r="C477" s="5" t="s">
        <v>53</v>
      </c>
      <c r="D477">
        <v>5501</v>
      </c>
      <c r="E477" s="5" t="s">
        <v>79</v>
      </c>
      <c r="F477" s="5" t="s">
        <v>17</v>
      </c>
      <c r="G477">
        <v>20</v>
      </c>
    </row>
    <row r="478" spans="1:7" x14ac:dyDescent="0.35">
      <c r="A478">
        <v>12220</v>
      </c>
      <c r="B478">
        <v>0</v>
      </c>
      <c r="C478" s="5" t="s">
        <v>49</v>
      </c>
      <c r="D478">
        <v>5301</v>
      </c>
      <c r="E478" s="5" t="s">
        <v>79</v>
      </c>
      <c r="F478" s="5" t="s">
        <v>14</v>
      </c>
      <c r="G478">
        <v>5</v>
      </c>
    </row>
    <row r="479" spans="1:7" x14ac:dyDescent="0.35">
      <c r="A479">
        <v>170563</v>
      </c>
      <c r="B479">
        <v>0</v>
      </c>
      <c r="C479" s="5" t="s">
        <v>21</v>
      </c>
      <c r="D479">
        <v>3201</v>
      </c>
      <c r="E479" s="5" t="s">
        <v>91</v>
      </c>
      <c r="F479" s="5" t="s">
        <v>17</v>
      </c>
      <c r="G479">
        <v>5</v>
      </c>
    </row>
    <row r="480" spans="1:7" x14ac:dyDescent="0.35">
      <c r="A480">
        <v>79389</v>
      </c>
      <c r="B480">
        <v>0</v>
      </c>
      <c r="C480" s="5" t="s">
        <v>32</v>
      </c>
      <c r="D480">
        <v>3101</v>
      </c>
      <c r="E480" s="5" t="s">
        <v>79</v>
      </c>
      <c r="F480" s="5" t="s">
        <v>14</v>
      </c>
      <c r="G480">
        <v>11</v>
      </c>
    </row>
    <row r="481" spans="1:7" x14ac:dyDescent="0.35">
      <c r="A481">
        <v>180752</v>
      </c>
      <c r="B481">
        <v>1</v>
      </c>
      <c r="C481" s="5" t="s">
        <v>37</v>
      </c>
      <c r="D481">
        <v>3901</v>
      </c>
      <c r="E481" s="5" t="s">
        <v>82</v>
      </c>
      <c r="F481" s="5" t="s">
        <v>14</v>
      </c>
      <c r="G481">
        <v>8</v>
      </c>
    </row>
    <row r="482" spans="1:7" x14ac:dyDescent="0.35">
      <c r="A482">
        <v>82701</v>
      </c>
      <c r="B482">
        <v>2</v>
      </c>
      <c r="C482" s="5" t="s">
        <v>52</v>
      </c>
      <c r="D482">
        <v>6001</v>
      </c>
      <c r="E482" s="5" t="s">
        <v>83</v>
      </c>
      <c r="F482" s="5" t="s">
        <v>17</v>
      </c>
      <c r="G482">
        <v>25</v>
      </c>
    </row>
    <row r="483" spans="1:7" x14ac:dyDescent="0.35">
      <c r="A483">
        <v>158506</v>
      </c>
      <c r="B483">
        <v>28</v>
      </c>
      <c r="C483" s="5" t="s">
        <v>21</v>
      </c>
      <c r="D483">
        <v>5201</v>
      </c>
      <c r="E483" s="5" t="s">
        <v>91</v>
      </c>
      <c r="F483" s="5" t="s">
        <v>17</v>
      </c>
      <c r="G483">
        <v>15</v>
      </c>
    </row>
    <row r="484" spans="1:7" x14ac:dyDescent="0.35">
      <c r="A484">
        <v>84708</v>
      </c>
      <c r="B484">
        <v>28</v>
      </c>
      <c r="C484" s="5" t="s">
        <v>52</v>
      </c>
      <c r="D484">
        <v>3801</v>
      </c>
      <c r="E484" s="5" t="s">
        <v>79</v>
      </c>
      <c r="F484" s="5" t="s">
        <v>17</v>
      </c>
      <c r="G484">
        <v>25</v>
      </c>
    </row>
    <row r="485" spans="1:7" x14ac:dyDescent="0.35">
      <c r="A485">
        <v>103543</v>
      </c>
      <c r="B485">
        <v>1</v>
      </c>
      <c r="C485" s="5" t="s">
        <v>33</v>
      </c>
      <c r="D485">
        <v>1908</v>
      </c>
      <c r="E485" s="5" t="s">
        <v>89</v>
      </c>
      <c r="F485" s="5" t="s">
        <v>14</v>
      </c>
      <c r="G485">
        <v>11</v>
      </c>
    </row>
    <row r="486" spans="1:7" x14ac:dyDescent="0.35">
      <c r="A486">
        <v>164175</v>
      </c>
      <c r="B486">
        <v>2</v>
      </c>
      <c r="C486" s="5" t="s">
        <v>21</v>
      </c>
      <c r="D486">
        <v>0</v>
      </c>
      <c r="E486" s="5" t="s">
        <v>81</v>
      </c>
      <c r="F486" s="5" t="s">
        <v>17</v>
      </c>
      <c r="G486">
        <v>15</v>
      </c>
    </row>
    <row r="487" spans="1:7" x14ac:dyDescent="0.35">
      <c r="A487">
        <v>145120</v>
      </c>
      <c r="B487">
        <v>28</v>
      </c>
      <c r="C487" s="5" t="s">
        <v>21</v>
      </c>
      <c r="D487">
        <v>3707</v>
      </c>
      <c r="E487" s="5" t="s">
        <v>85</v>
      </c>
      <c r="F487" s="5" t="s">
        <v>17</v>
      </c>
      <c r="G487">
        <v>10</v>
      </c>
    </row>
    <row r="488" spans="1:7" x14ac:dyDescent="0.35">
      <c r="A488">
        <v>55358</v>
      </c>
      <c r="B488">
        <v>0</v>
      </c>
      <c r="C488" s="5" t="s">
        <v>56</v>
      </c>
      <c r="D488">
        <v>4808</v>
      </c>
      <c r="E488" s="5" t="s">
        <v>87</v>
      </c>
      <c r="F488" s="5" t="s">
        <v>17</v>
      </c>
      <c r="G488">
        <v>30</v>
      </c>
    </row>
    <row r="489" spans="1:7" x14ac:dyDescent="0.35">
      <c r="A489">
        <v>26665</v>
      </c>
      <c r="B489">
        <v>1</v>
      </c>
      <c r="C489" s="5" t="s">
        <v>36</v>
      </c>
      <c r="D489">
        <v>0</v>
      </c>
      <c r="E489" s="5" t="s">
        <v>94</v>
      </c>
      <c r="F489" s="5" t="s">
        <v>14</v>
      </c>
      <c r="G489">
        <v>30</v>
      </c>
    </row>
    <row r="490" spans="1:7" x14ac:dyDescent="0.35">
      <c r="A490">
        <v>42279</v>
      </c>
      <c r="B490">
        <v>28</v>
      </c>
      <c r="C490" s="5" t="s">
        <v>13</v>
      </c>
      <c r="D490">
        <v>3301</v>
      </c>
      <c r="E490" s="5" t="s">
        <v>94</v>
      </c>
      <c r="F490" s="5" t="s">
        <v>17</v>
      </c>
      <c r="G490">
        <v>5</v>
      </c>
    </row>
    <row r="491" spans="1:7" x14ac:dyDescent="0.35">
      <c r="A491">
        <v>148354</v>
      </c>
      <c r="B491">
        <v>0</v>
      </c>
      <c r="C491" s="5" t="s">
        <v>21</v>
      </c>
      <c r="D491">
        <v>0</v>
      </c>
      <c r="E491" s="5" t="s">
        <v>83</v>
      </c>
      <c r="F491" s="5" t="s">
        <v>86</v>
      </c>
      <c r="G491">
        <v>8</v>
      </c>
    </row>
    <row r="492" spans="1:7" x14ac:dyDescent="0.35">
      <c r="A492">
        <v>123822</v>
      </c>
      <c r="B492">
        <v>0</v>
      </c>
      <c r="C492" s="5" t="s">
        <v>49</v>
      </c>
      <c r="D492">
        <v>0</v>
      </c>
      <c r="E492" s="5" t="s">
        <v>83</v>
      </c>
      <c r="F492" s="5" t="s">
        <v>17</v>
      </c>
      <c r="G492">
        <v>10</v>
      </c>
    </row>
    <row r="493" spans="1:7" x14ac:dyDescent="0.35">
      <c r="A493">
        <v>22038</v>
      </c>
      <c r="B493">
        <v>1</v>
      </c>
      <c r="C493" s="5" t="s">
        <v>18</v>
      </c>
      <c r="D493">
        <v>4401</v>
      </c>
      <c r="E493" s="5" t="s">
        <v>89</v>
      </c>
      <c r="F493" s="5" t="s">
        <v>14</v>
      </c>
      <c r="G493">
        <v>10</v>
      </c>
    </row>
    <row r="494" spans="1:7" x14ac:dyDescent="0.35">
      <c r="A494">
        <v>185024</v>
      </c>
      <c r="B494">
        <v>0</v>
      </c>
      <c r="C494" s="5" t="s">
        <v>52</v>
      </c>
      <c r="D494">
        <v>605</v>
      </c>
      <c r="E494" s="5" t="s">
        <v>81</v>
      </c>
      <c r="F494" s="5" t="s">
        <v>17</v>
      </c>
      <c r="G494">
        <v>8</v>
      </c>
    </row>
    <row r="495" spans="1:7" x14ac:dyDescent="0.35">
      <c r="A495">
        <v>129600</v>
      </c>
      <c r="B495">
        <v>0</v>
      </c>
      <c r="C495" s="5" t="s">
        <v>45</v>
      </c>
      <c r="D495">
        <v>3705</v>
      </c>
      <c r="E495" s="5" t="s">
        <v>92</v>
      </c>
      <c r="F495" s="5" t="s">
        <v>17</v>
      </c>
      <c r="G495">
        <v>20</v>
      </c>
    </row>
    <row r="496" spans="1:7" x14ac:dyDescent="0.35">
      <c r="A496">
        <v>107613</v>
      </c>
      <c r="B496">
        <v>0</v>
      </c>
      <c r="C496" s="5" t="s">
        <v>21</v>
      </c>
      <c r="D496">
        <v>0</v>
      </c>
      <c r="E496" s="5" t="s">
        <v>81</v>
      </c>
      <c r="F496" s="5" t="s">
        <v>14</v>
      </c>
      <c r="G496">
        <v>7</v>
      </c>
    </row>
    <row r="497" spans="1:7" x14ac:dyDescent="0.35">
      <c r="A497">
        <v>165302</v>
      </c>
      <c r="B497">
        <v>0</v>
      </c>
      <c r="C497" s="5" t="s">
        <v>21</v>
      </c>
      <c r="D497">
        <v>2207</v>
      </c>
      <c r="E497" s="5" t="s">
        <v>82</v>
      </c>
      <c r="F497" s="5" t="s">
        <v>86</v>
      </c>
      <c r="G497">
        <v>20</v>
      </c>
    </row>
    <row r="498" spans="1:7" x14ac:dyDescent="0.35">
      <c r="A498">
        <v>152990</v>
      </c>
      <c r="B498">
        <v>0</v>
      </c>
      <c r="C498" s="5" t="s">
        <v>21</v>
      </c>
      <c r="D498">
        <v>6101</v>
      </c>
      <c r="E498" s="5" t="s">
        <v>78</v>
      </c>
      <c r="F498" s="5" t="s">
        <v>17</v>
      </c>
      <c r="G498">
        <v>20</v>
      </c>
    </row>
    <row r="499" spans="1:7" x14ac:dyDescent="0.35">
      <c r="A499">
        <v>88766</v>
      </c>
      <c r="B499">
        <v>1</v>
      </c>
      <c r="C499" s="5" t="s">
        <v>16</v>
      </c>
      <c r="D499">
        <v>4709</v>
      </c>
      <c r="E499" s="5" t="s">
        <v>83</v>
      </c>
      <c r="F499" s="5" t="s">
        <v>14</v>
      </c>
      <c r="G499">
        <v>15</v>
      </c>
    </row>
    <row r="500" spans="1:7" x14ac:dyDescent="0.35">
      <c r="A500">
        <v>4522</v>
      </c>
      <c r="B500">
        <v>1</v>
      </c>
      <c r="C500" s="5" t="s">
        <v>21</v>
      </c>
      <c r="D500">
        <v>1402</v>
      </c>
      <c r="E500" s="5" t="s">
        <v>83</v>
      </c>
      <c r="F500" s="5" t="s">
        <v>14</v>
      </c>
      <c r="G500">
        <v>20</v>
      </c>
    </row>
    <row r="501" spans="1:7" x14ac:dyDescent="0.35">
      <c r="A501">
        <v>32350</v>
      </c>
      <c r="B501">
        <v>0</v>
      </c>
      <c r="C501" s="5" t="s">
        <v>13</v>
      </c>
      <c r="D501">
        <v>1809</v>
      </c>
      <c r="E501" s="5" t="s">
        <v>90</v>
      </c>
      <c r="F501" s="5" t="s">
        <v>14</v>
      </c>
      <c r="G501">
        <v>20</v>
      </c>
    </row>
    <row r="502" spans="1:7" x14ac:dyDescent="0.35">
      <c r="A502">
        <v>74774</v>
      </c>
      <c r="B502">
        <v>0</v>
      </c>
      <c r="C502" s="5" t="s">
        <v>29</v>
      </c>
      <c r="D502">
        <v>0</v>
      </c>
      <c r="E502" s="5" t="s">
        <v>82</v>
      </c>
      <c r="F502" s="5" t="s">
        <v>14</v>
      </c>
      <c r="G502">
        <v>21</v>
      </c>
    </row>
    <row r="503" spans="1:7" x14ac:dyDescent="0.35">
      <c r="A503">
        <v>67475</v>
      </c>
      <c r="B503">
        <v>28</v>
      </c>
      <c r="C503" s="5" t="s">
        <v>26</v>
      </c>
      <c r="D503">
        <v>6201</v>
      </c>
      <c r="E503" s="5" t="s">
        <v>87</v>
      </c>
      <c r="F503" s="5" t="s">
        <v>17</v>
      </c>
      <c r="G503">
        <v>5</v>
      </c>
    </row>
    <row r="504" spans="1:7" x14ac:dyDescent="0.35">
      <c r="A504">
        <v>104267</v>
      </c>
      <c r="B504">
        <v>0</v>
      </c>
      <c r="C504" s="5" t="s">
        <v>25</v>
      </c>
      <c r="D504">
        <v>0</v>
      </c>
      <c r="E504" s="5" t="s">
        <v>81</v>
      </c>
      <c r="F504" s="5" t="s">
        <v>14</v>
      </c>
      <c r="G504">
        <v>5</v>
      </c>
    </row>
    <row r="505" spans="1:7" x14ac:dyDescent="0.35">
      <c r="A505">
        <v>131031</v>
      </c>
      <c r="B505">
        <v>2</v>
      </c>
      <c r="C505" s="5" t="s">
        <v>45</v>
      </c>
      <c r="D505">
        <v>604</v>
      </c>
      <c r="E505" s="5" t="s">
        <v>78</v>
      </c>
      <c r="F505" s="5" t="s">
        <v>17</v>
      </c>
      <c r="G505">
        <v>18</v>
      </c>
    </row>
    <row r="506" spans="1:7" x14ac:dyDescent="0.35">
      <c r="A506">
        <v>158058</v>
      </c>
      <c r="B506">
        <v>0</v>
      </c>
      <c r="C506" s="5" t="s">
        <v>21</v>
      </c>
      <c r="D506">
        <v>4307</v>
      </c>
      <c r="E506" s="5" t="s">
        <v>91</v>
      </c>
      <c r="F506" s="5" t="s">
        <v>14</v>
      </c>
      <c r="G506">
        <v>5</v>
      </c>
    </row>
    <row r="507" spans="1:7" x14ac:dyDescent="0.35">
      <c r="A507">
        <v>181755</v>
      </c>
      <c r="B507">
        <v>2</v>
      </c>
      <c r="C507" s="5" t="s">
        <v>37</v>
      </c>
      <c r="D507">
        <v>0</v>
      </c>
      <c r="E507" s="5" t="s">
        <v>82</v>
      </c>
      <c r="F507" s="5" t="s">
        <v>17</v>
      </c>
      <c r="G507">
        <v>5</v>
      </c>
    </row>
    <row r="508" spans="1:7" x14ac:dyDescent="0.35">
      <c r="A508">
        <v>181412</v>
      </c>
      <c r="B508">
        <v>1</v>
      </c>
      <c r="C508" s="5" t="s">
        <v>37</v>
      </c>
      <c r="D508">
        <v>3301</v>
      </c>
      <c r="E508" s="5" t="s">
        <v>81</v>
      </c>
      <c r="F508" s="5" t="s">
        <v>14</v>
      </c>
      <c r="G508">
        <v>5</v>
      </c>
    </row>
    <row r="509" spans="1:7" x14ac:dyDescent="0.35">
      <c r="A509">
        <v>185602</v>
      </c>
      <c r="B509">
        <v>28</v>
      </c>
      <c r="C509" s="5" t="s">
        <v>32</v>
      </c>
      <c r="D509">
        <v>0</v>
      </c>
      <c r="E509" s="5" t="s">
        <v>81</v>
      </c>
      <c r="F509" s="5" t="s">
        <v>17</v>
      </c>
      <c r="G509">
        <v>10</v>
      </c>
    </row>
    <row r="510" spans="1:7" x14ac:dyDescent="0.35">
      <c r="A510">
        <v>23603</v>
      </c>
      <c r="B510">
        <v>1</v>
      </c>
      <c r="C510" s="5" t="s">
        <v>43</v>
      </c>
      <c r="D510">
        <v>5801</v>
      </c>
      <c r="E510" s="5" t="s">
        <v>80</v>
      </c>
      <c r="F510" s="5" t="s">
        <v>14</v>
      </c>
      <c r="G510">
        <v>25</v>
      </c>
    </row>
    <row r="511" spans="1:7" x14ac:dyDescent="0.35">
      <c r="A511">
        <v>112943</v>
      </c>
      <c r="B511">
        <v>2</v>
      </c>
      <c r="C511" s="5" t="s">
        <v>28</v>
      </c>
      <c r="D511">
        <v>3601</v>
      </c>
      <c r="E511" s="5" t="s">
        <v>84</v>
      </c>
      <c r="F511" s="5" t="s">
        <v>17</v>
      </c>
      <c r="G511">
        <v>12</v>
      </c>
    </row>
    <row r="512" spans="1:7" x14ac:dyDescent="0.35">
      <c r="A512">
        <v>44853</v>
      </c>
      <c r="B512">
        <v>1</v>
      </c>
      <c r="C512" s="5" t="s">
        <v>13</v>
      </c>
      <c r="D512">
        <v>2912</v>
      </c>
      <c r="E512" s="5" t="s">
        <v>87</v>
      </c>
      <c r="F512" s="5" t="s">
        <v>14</v>
      </c>
      <c r="G512">
        <v>12</v>
      </c>
    </row>
    <row r="513" spans="1:7" x14ac:dyDescent="0.35">
      <c r="A513">
        <v>83094</v>
      </c>
      <c r="B513">
        <v>0</v>
      </c>
      <c r="C513" s="5" t="s">
        <v>52</v>
      </c>
      <c r="D513">
        <v>1211</v>
      </c>
      <c r="E513" s="5" t="s">
        <v>79</v>
      </c>
      <c r="F513" s="5" t="s">
        <v>17</v>
      </c>
      <c r="G513">
        <v>20</v>
      </c>
    </row>
    <row r="514" spans="1:7" x14ac:dyDescent="0.35">
      <c r="A514">
        <v>148166</v>
      </c>
      <c r="B514">
        <v>0</v>
      </c>
      <c r="C514" s="5" t="s">
        <v>21</v>
      </c>
      <c r="D514">
        <v>0</v>
      </c>
      <c r="E514" s="5" t="s">
        <v>83</v>
      </c>
      <c r="F514" s="5" t="s">
        <v>17</v>
      </c>
      <c r="G514">
        <v>20</v>
      </c>
    </row>
    <row r="515" spans="1:7" x14ac:dyDescent="0.35">
      <c r="A515">
        <v>101113</v>
      </c>
      <c r="B515">
        <v>0</v>
      </c>
      <c r="C515" s="5" t="s">
        <v>33</v>
      </c>
      <c r="D515">
        <v>5801</v>
      </c>
      <c r="E515" s="5" t="s">
        <v>78</v>
      </c>
      <c r="F515" s="5" t="s">
        <v>17</v>
      </c>
      <c r="G515">
        <v>10</v>
      </c>
    </row>
    <row r="516" spans="1:7" x14ac:dyDescent="0.35">
      <c r="A516">
        <v>101889</v>
      </c>
      <c r="B516">
        <v>0</v>
      </c>
      <c r="C516" s="5" t="s">
        <v>33</v>
      </c>
      <c r="D516">
        <v>5111</v>
      </c>
      <c r="E516" s="5" t="s">
        <v>80</v>
      </c>
      <c r="F516" s="5" t="s">
        <v>17</v>
      </c>
      <c r="G516">
        <v>16</v>
      </c>
    </row>
    <row r="517" spans="1:7" x14ac:dyDescent="0.35">
      <c r="A517">
        <v>58808</v>
      </c>
      <c r="B517">
        <v>0</v>
      </c>
      <c r="C517" s="5" t="s">
        <v>53</v>
      </c>
      <c r="D517">
        <v>1401</v>
      </c>
      <c r="E517" s="5" t="s">
        <v>79</v>
      </c>
      <c r="F517" s="5" t="s">
        <v>17</v>
      </c>
      <c r="G517">
        <v>10</v>
      </c>
    </row>
    <row r="518" spans="1:7" x14ac:dyDescent="0.35">
      <c r="A518">
        <v>85498</v>
      </c>
      <c r="B518">
        <v>0</v>
      </c>
      <c r="C518" s="5" t="s">
        <v>52</v>
      </c>
      <c r="D518">
        <v>0</v>
      </c>
      <c r="E518" s="5" t="s">
        <v>89</v>
      </c>
      <c r="F518" s="5" t="s">
        <v>17</v>
      </c>
      <c r="G518">
        <v>10</v>
      </c>
    </row>
    <row r="519" spans="1:7" x14ac:dyDescent="0.35">
      <c r="A519">
        <v>153864</v>
      </c>
      <c r="B519">
        <v>0</v>
      </c>
      <c r="C519" s="5" t="s">
        <v>21</v>
      </c>
      <c r="D519">
        <v>5201</v>
      </c>
      <c r="E519" s="5" t="s">
        <v>83</v>
      </c>
      <c r="F519" s="5" t="s">
        <v>17</v>
      </c>
      <c r="G519">
        <v>20</v>
      </c>
    </row>
    <row r="520" spans="1:7" x14ac:dyDescent="0.35">
      <c r="A520">
        <v>145496</v>
      </c>
      <c r="B520">
        <v>1</v>
      </c>
      <c r="C520" s="5" t="s">
        <v>21</v>
      </c>
      <c r="D520">
        <v>5111</v>
      </c>
      <c r="E520" s="5" t="s">
        <v>85</v>
      </c>
      <c r="F520" s="5" t="s">
        <v>14</v>
      </c>
      <c r="G520">
        <v>22</v>
      </c>
    </row>
    <row r="521" spans="1:7" x14ac:dyDescent="0.35">
      <c r="A521">
        <v>27566</v>
      </c>
      <c r="B521">
        <v>0</v>
      </c>
      <c r="C521" s="5" t="s">
        <v>36</v>
      </c>
      <c r="D521">
        <v>0</v>
      </c>
      <c r="E521" s="5" t="s">
        <v>87</v>
      </c>
      <c r="F521" s="5" t="s">
        <v>14</v>
      </c>
      <c r="G521">
        <v>30</v>
      </c>
    </row>
    <row r="522" spans="1:7" x14ac:dyDescent="0.35">
      <c r="A522">
        <v>38031</v>
      </c>
      <c r="B522">
        <v>1</v>
      </c>
      <c r="C522" s="5" t="s">
        <v>13</v>
      </c>
      <c r="D522">
        <v>5801</v>
      </c>
      <c r="E522" s="5" t="s">
        <v>80</v>
      </c>
      <c r="F522" s="5" t="s">
        <v>14</v>
      </c>
      <c r="G522">
        <v>10</v>
      </c>
    </row>
    <row r="523" spans="1:7" x14ac:dyDescent="0.35">
      <c r="A523">
        <v>130756</v>
      </c>
      <c r="B523">
        <v>0</v>
      </c>
      <c r="C523" s="5" t="s">
        <v>45</v>
      </c>
      <c r="D523">
        <v>4701</v>
      </c>
      <c r="E523" s="5" t="s">
        <v>84</v>
      </c>
      <c r="F523" s="5" t="s">
        <v>86</v>
      </c>
      <c r="G523">
        <v>20</v>
      </c>
    </row>
    <row r="524" spans="1:7" x14ac:dyDescent="0.35">
      <c r="A524">
        <v>87281</v>
      </c>
      <c r="B524">
        <v>0</v>
      </c>
      <c r="C524" s="5" t="s">
        <v>31</v>
      </c>
      <c r="D524">
        <v>0</v>
      </c>
      <c r="E524" s="5" t="s">
        <v>81</v>
      </c>
      <c r="F524" s="5" t="s">
        <v>86</v>
      </c>
      <c r="G524">
        <v>8</v>
      </c>
    </row>
    <row r="525" spans="1:7" x14ac:dyDescent="0.35">
      <c r="A525">
        <v>16863</v>
      </c>
      <c r="B525">
        <v>2</v>
      </c>
      <c r="C525" s="5" t="s">
        <v>18</v>
      </c>
      <c r="D525">
        <v>3301</v>
      </c>
      <c r="E525" s="5" t="s">
        <v>82</v>
      </c>
      <c r="F525" s="5" t="s">
        <v>17</v>
      </c>
      <c r="G525">
        <v>50</v>
      </c>
    </row>
    <row r="526" spans="1:7" x14ac:dyDescent="0.35">
      <c r="A526">
        <v>20065</v>
      </c>
      <c r="B526">
        <v>28</v>
      </c>
      <c r="C526" s="5" t="s">
        <v>18</v>
      </c>
      <c r="D526">
        <v>5301</v>
      </c>
      <c r="E526" s="5" t="s">
        <v>79</v>
      </c>
      <c r="F526" s="5" t="s">
        <v>86</v>
      </c>
      <c r="G526">
        <v>40</v>
      </c>
    </row>
    <row r="527" spans="1:7" x14ac:dyDescent="0.35">
      <c r="A527">
        <v>142554</v>
      </c>
      <c r="B527">
        <v>0</v>
      </c>
      <c r="C527" s="5" t="s">
        <v>21</v>
      </c>
      <c r="D527">
        <v>1601</v>
      </c>
      <c r="E527" s="5" t="s">
        <v>93</v>
      </c>
      <c r="F527" s="5" t="s">
        <v>14</v>
      </c>
      <c r="G527">
        <v>15</v>
      </c>
    </row>
    <row r="528" spans="1:7" x14ac:dyDescent="0.35">
      <c r="A528">
        <v>10789</v>
      </c>
      <c r="B528">
        <v>2</v>
      </c>
      <c r="C528" s="5" t="s">
        <v>52</v>
      </c>
      <c r="D528">
        <v>2309</v>
      </c>
      <c r="E528" s="5" t="s">
        <v>81</v>
      </c>
      <c r="F528" s="5" t="s">
        <v>17</v>
      </c>
      <c r="G528">
        <v>3</v>
      </c>
    </row>
    <row r="529" spans="1:7" x14ac:dyDescent="0.35">
      <c r="A529">
        <v>64224</v>
      </c>
      <c r="B529">
        <v>0</v>
      </c>
      <c r="C529" s="5" t="s">
        <v>30</v>
      </c>
      <c r="D529">
        <v>3811</v>
      </c>
      <c r="E529" s="5" t="s">
        <v>84</v>
      </c>
      <c r="F529" s="5" t="s">
        <v>17</v>
      </c>
      <c r="G529">
        <v>20</v>
      </c>
    </row>
    <row r="530" spans="1:7" x14ac:dyDescent="0.35">
      <c r="A530">
        <v>6695</v>
      </c>
      <c r="B530">
        <v>0</v>
      </c>
      <c r="C530" s="5" t="s">
        <v>16</v>
      </c>
      <c r="D530">
        <v>6609</v>
      </c>
      <c r="E530" s="5" t="s">
        <v>78</v>
      </c>
      <c r="F530" s="5" t="s">
        <v>14</v>
      </c>
      <c r="G530">
        <v>6</v>
      </c>
    </row>
    <row r="531" spans="1:7" x14ac:dyDescent="0.35">
      <c r="A531">
        <v>139799</v>
      </c>
      <c r="B531">
        <v>0</v>
      </c>
      <c r="C531" s="5" t="s">
        <v>50</v>
      </c>
      <c r="D531">
        <v>5301</v>
      </c>
      <c r="E531" s="5" t="s">
        <v>84</v>
      </c>
      <c r="F531" s="5" t="s">
        <v>17</v>
      </c>
      <c r="G531">
        <v>25</v>
      </c>
    </row>
    <row r="532" spans="1:7" x14ac:dyDescent="0.35">
      <c r="A532">
        <v>1254</v>
      </c>
      <c r="B532">
        <v>1</v>
      </c>
      <c r="C532" s="5" t="s">
        <v>20</v>
      </c>
      <c r="D532">
        <v>4801</v>
      </c>
      <c r="E532" s="5" t="s">
        <v>83</v>
      </c>
      <c r="F532" s="5" t="s">
        <v>14</v>
      </c>
      <c r="G532">
        <v>30</v>
      </c>
    </row>
    <row r="533" spans="1:7" x14ac:dyDescent="0.35">
      <c r="A533">
        <v>1549</v>
      </c>
      <c r="B533">
        <v>0</v>
      </c>
      <c r="C533" s="5" t="s">
        <v>21</v>
      </c>
      <c r="D533">
        <v>1604</v>
      </c>
      <c r="E533" s="5" t="s">
        <v>83</v>
      </c>
      <c r="F533" s="5" t="s">
        <v>14</v>
      </c>
      <c r="G533">
        <v>50</v>
      </c>
    </row>
    <row r="534" spans="1:7" x14ac:dyDescent="0.35">
      <c r="A534">
        <v>2159</v>
      </c>
      <c r="B534">
        <v>2</v>
      </c>
      <c r="C534" s="5" t="s">
        <v>48</v>
      </c>
      <c r="D534">
        <v>1901</v>
      </c>
      <c r="E534" s="5" t="s">
        <v>81</v>
      </c>
      <c r="F534" s="5" t="s">
        <v>17</v>
      </c>
      <c r="G534">
        <v>9</v>
      </c>
    </row>
    <row r="535" spans="1:7" x14ac:dyDescent="0.35">
      <c r="A535">
        <v>80903</v>
      </c>
      <c r="B535">
        <v>1002</v>
      </c>
      <c r="C535" s="5" t="s">
        <v>32</v>
      </c>
      <c r="D535">
        <v>6206</v>
      </c>
      <c r="E535" s="5" t="s">
        <v>84</v>
      </c>
      <c r="F535" s="5" t="s">
        <v>14</v>
      </c>
      <c r="G535">
        <v>15</v>
      </c>
    </row>
    <row r="536" spans="1:7" x14ac:dyDescent="0.35">
      <c r="A536">
        <v>186731</v>
      </c>
      <c r="B536">
        <v>28</v>
      </c>
      <c r="C536" s="5" t="s">
        <v>13</v>
      </c>
      <c r="D536">
        <v>3407</v>
      </c>
      <c r="E536" s="5" t="s">
        <v>86</v>
      </c>
      <c r="F536" s="5" t="s">
        <v>17</v>
      </c>
      <c r="G536">
        <v>15</v>
      </c>
    </row>
    <row r="537" spans="1:7" x14ac:dyDescent="0.35">
      <c r="A537">
        <v>67342</v>
      </c>
      <c r="B537">
        <v>1</v>
      </c>
      <c r="C537" s="5" t="s">
        <v>26</v>
      </c>
      <c r="D537">
        <v>1312</v>
      </c>
      <c r="E537" s="5" t="s">
        <v>80</v>
      </c>
      <c r="F537" s="5" t="s">
        <v>14</v>
      </c>
      <c r="G537">
        <v>30</v>
      </c>
    </row>
    <row r="538" spans="1:7" x14ac:dyDescent="0.35">
      <c r="A538">
        <v>30366</v>
      </c>
      <c r="B538">
        <v>2</v>
      </c>
      <c r="C538" s="5" t="s">
        <v>28</v>
      </c>
      <c r="D538">
        <v>3601</v>
      </c>
      <c r="E538" s="5" t="s">
        <v>82</v>
      </c>
      <c r="F538" s="5" t="s">
        <v>14</v>
      </c>
      <c r="G538">
        <v>6</v>
      </c>
    </row>
    <row r="539" spans="1:7" x14ac:dyDescent="0.35">
      <c r="A539">
        <v>64441</v>
      </c>
      <c r="B539">
        <v>1</v>
      </c>
      <c r="C539" s="5" t="s">
        <v>30</v>
      </c>
      <c r="D539">
        <v>5401</v>
      </c>
      <c r="E539" s="5" t="s">
        <v>89</v>
      </c>
      <c r="F539" s="5" t="s">
        <v>14</v>
      </c>
      <c r="G539">
        <v>10</v>
      </c>
    </row>
    <row r="540" spans="1:7" x14ac:dyDescent="0.35">
      <c r="A540">
        <v>175155</v>
      </c>
      <c r="B540">
        <v>28</v>
      </c>
      <c r="C540" s="5" t="s">
        <v>47</v>
      </c>
      <c r="D540">
        <v>4801</v>
      </c>
      <c r="E540" s="5" t="s">
        <v>81</v>
      </c>
      <c r="F540" s="5" t="s">
        <v>17</v>
      </c>
      <c r="G540">
        <v>21</v>
      </c>
    </row>
    <row r="541" spans="1:7" x14ac:dyDescent="0.35">
      <c r="A541">
        <v>82015</v>
      </c>
      <c r="B541">
        <v>2</v>
      </c>
      <c r="C541" s="5" t="s">
        <v>32</v>
      </c>
      <c r="D541">
        <v>2812</v>
      </c>
      <c r="E541" s="5" t="s">
        <v>81</v>
      </c>
      <c r="F541" s="5" t="s">
        <v>17</v>
      </c>
      <c r="G541">
        <v>18</v>
      </c>
    </row>
    <row r="542" spans="1:7" x14ac:dyDescent="0.35">
      <c r="A542">
        <v>170912</v>
      </c>
      <c r="B542">
        <v>0</v>
      </c>
      <c r="C542" s="5" t="s">
        <v>21</v>
      </c>
      <c r="D542">
        <v>4401</v>
      </c>
      <c r="E542" s="5" t="s">
        <v>83</v>
      </c>
      <c r="F542" s="5" t="s">
        <v>14</v>
      </c>
      <c r="G542">
        <v>20</v>
      </c>
    </row>
    <row r="543" spans="1:7" x14ac:dyDescent="0.35">
      <c r="A543">
        <v>183055</v>
      </c>
      <c r="B543">
        <v>2</v>
      </c>
      <c r="C543" s="5" t="s">
        <v>37</v>
      </c>
      <c r="D543">
        <v>3704</v>
      </c>
      <c r="E543" s="5" t="s">
        <v>80</v>
      </c>
      <c r="F543" s="5" t="s">
        <v>17</v>
      </c>
      <c r="G543">
        <v>10</v>
      </c>
    </row>
    <row r="544" spans="1:7" x14ac:dyDescent="0.35">
      <c r="A544">
        <v>134032</v>
      </c>
      <c r="B544">
        <v>2</v>
      </c>
      <c r="C544" s="5" t="s">
        <v>35</v>
      </c>
      <c r="D544">
        <v>0</v>
      </c>
      <c r="E544" s="5" t="s">
        <v>81</v>
      </c>
      <c r="F544" s="5" t="s">
        <v>17</v>
      </c>
      <c r="G544">
        <v>10</v>
      </c>
    </row>
    <row r="545" spans="1:7" x14ac:dyDescent="0.35">
      <c r="A545">
        <v>186573</v>
      </c>
      <c r="B545">
        <v>0</v>
      </c>
      <c r="C545" s="5" t="s">
        <v>32</v>
      </c>
      <c r="D545">
        <v>0</v>
      </c>
      <c r="E545" s="5" t="s">
        <v>79</v>
      </c>
      <c r="F545" s="5" t="s">
        <v>17</v>
      </c>
      <c r="G545">
        <v>3</v>
      </c>
    </row>
    <row r="546" spans="1:7" x14ac:dyDescent="0.35">
      <c r="A546">
        <v>37299</v>
      </c>
      <c r="B546">
        <v>2</v>
      </c>
      <c r="C546" s="5" t="s">
        <v>13</v>
      </c>
      <c r="D546">
        <v>5502</v>
      </c>
      <c r="E546" s="5" t="s">
        <v>78</v>
      </c>
      <c r="F546" s="5" t="s">
        <v>17</v>
      </c>
      <c r="G546">
        <v>15</v>
      </c>
    </row>
    <row r="547" spans="1:7" x14ac:dyDescent="0.35">
      <c r="A547">
        <v>165746</v>
      </c>
      <c r="B547">
        <v>0</v>
      </c>
      <c r="C547" s="5" t="s">
        <v>21</v>
      </c>
      <c r="D547">
        <v>703</v>
      </c>
      <c r="E547" s="5" t="s">
        <v>78</v>
      </c>
      <c r="F547" s="5" t="s">
        <v>14</v>
      </c>
      <c r="G547">
        <v>10</v>
      </c>
    </row>
    <row r="548" spans="1:7" x14ac:dyDescent="0.35">
      <c r="A548">
        <v>189520</v>
      </c>
      <c r="B548">
        <v>1</v>
      </c>
      <c r="C548" s="5" t="s">
        <v>21</v>
      </c>
      <c r="D548">
        <v>1902</v>
      </c>
      <c r="E548" s="5" t="s">
        <v>83</v>
      </c>
      <c r="F548" s="5" t="s">
        <v>14</v>
      </c>
      <c r="G548">
        <v>20</v>
      </c>
    </row>
    <row r="549" spans="1:7" x14ac:dyDescent="0.35">
      <c r="A549">
        <v>26579</v>
      </c>
      <c r="B549">
        <v>0</v>
      </c>
      <c r="C549" s="5" t="s">
        <v>36</v>
      </c>
      <c r="D549">
        <v>4301</v>
      </c>
      <c r="E549" s="5" t="s">
        <v>79</v>
      </c>
      <c r="F549" s="5" t="s">
        <v>17</v>
      </c>
      <c r="G549">
        <v>10</v>
      </c>
    </row>
    <row r="550" spans="1:7" x14ac:dyDescent="0.35">
      <c r="A550">
        <v>109583</v>
      </c>
      <c r="B550">
        <v>0</v>
      </c>
      <c r="C550" s="5" t="s">
        <v>46</v>
      </c>
      <c r="D550">
        <v>4501</v>
      </c>
      <c r="E550" s="5" t="s">
        <v>79</v>
      </c>
      <c r="F550" s="5" t="s">
        <v>17</v>
      </c>
      <c r="G550">
        <v>5</v>
      </c>
    </row>
    <row r="551" spans="1:7" x14ac:dyDescent="0.35">
      <c r="A551">
        <v>40341</v>
      </c>
      <c r="B551">
        <v>2</v>
      </c>
      <c r="C551" s="5" t="s">
        <v>13</v>
      </c>
      <c r="D551">
        <v>2401</v>
      </c>
      <c r="E551" s="5" t="s">
        <v>80</v>
      </c>
      <c r="F551" s="5" t="s">
        <v>17</v>
      </c>
      <c r="G551">
        <v>15</v>
      </c>
    </row>
    <row r="552" spans="1:7" x14ac:dyDescent="0.35">
      <c r="A552">
        <v>111615</v>
      </c>
      <c r="B552">
        <v>0</v>
      </c>
      <c r="C552" s="5" t="s">
        <v>29</v>
      </c>
      <c r="D552">
        <v>5306</v>
      </c>
      <c r="E552" s="5" t="s">
        <v>87</v>
      </c>
      <c r="F552" s="5" t="s">
        <v>17</v>
      </c>
      <c r="G552">
        <v>25</v>
      </c>
    </row>
    <row r="553" spans="1:7" x14ac:dyDescent="0.35">
      <c r="A553">
        <v>93397</v>
      </c>
      <c r="B553">
        <v>0</v>
      </c>
      <c r="C553" s="5" t="s">
        <v>16</v>
      </c>
      <c r="D553">
        <v>0</v>
      </c>
      <c r="E553" s="5" t="s">
        <v>91</v>
      </c>
      <c r="F553" s="5" t="s">
        <v>17</v>
      </c>
      <c r="G553">
        <v>20</v>
      </c>
    </row>
    <row r="554" spans="1:7" x14ac:dyDescent="0.35">
      <c r="A554">
        <v>5881</v>
      </c>
      <c r="B554">
        <v>1</v>
      </c>
      <c r="C554" s="5" t="s">
        <v>21</v>
      </c>
      <c r="D554">
        <v>1701</v>
      </c>
      <c r="E554" s="5" t="s">
        <v>85</v>
      </c>
      <c r="F554" s="5" t="s">
        <v>14</v>
      </c>
      <c r="G554">
        <v>12</v>
      </c>
    </row>
    <row r="555" spans="1:7" x14ac:dyDescent="0.35">
      <c r="A555">
        <v>93184</v>
      </c>
      <c r="B555">
        <v>0</v>
      </c>
      <c r="C555" s="5" t="s">
        <v>16</v>
      </c>
      <c r="D555">
        <v>1708</v>
      </c>
      <c r="E555" s="5" t="s">
        <v>85</v>
      </c>
      <c r="F555" s="5" t="s">
        <v>17</v>
      </c>
      <c r="G555">
        <v>10</v>
      </c>
    </row>
    <row r="556" spans="1:7" x14ac:dyDescent="0.35">
      <c r="A556">
        <v>9946</v>
      </c>
      <c r="B556">
        <v>2</v>
      </c>
      <c r="C556" s="5" t="s">
        <v>16</v>
      </c>
      <c r="D556">
        <v>2605</v>
      </c>
      <c r="E556" s="5" t="s">
        <v>93</v>
      </c>
      <c r="F556" s="5" t="s">
        <v>17</v>
      </c>
      <c r="G556">
        <v>5</v>
      </c>
    </row>
    <row r="557" spans="1:7" x14ac:dyDescent="0.35">
      <c r="A557">
        <v>46671</v>
      </c>
      <c r="B557">
        <v>0</v>
      </c>
      <c r="C557" s="5" t="s">
        <v>40</v>
      </c>
      <c r="D557">
        <v>5701</v>
      </c>
      <c r="E557" s="5" t="s">
        <v>84</v>
      </c>
      <c r="F557" s="5" t="s">
        <v>14</v>
      </c>
      <c r="G557">
        <v>10</v>
      </c>
    </row>
    <row r="558" spans="1:7" x14ac:dyDescent="0.35">
      <c r="A558">
        <v>172750</v>
      </c>
      <c r="B558">
        <v>1</v>
      </c>
      <c r="C558" s="5" t="s">
        <v>21</v>
      </c>
      <c r="D558">
        <v>5401</v>
      </c>
      <c r="E558" s="5" t="s">
        <v>78</v>
      </c>
      <c r="F558" s="5" t="s">
        <v>14</v>
      </c>
      <c r="G558">
        <v>25</v>
      </c>
    </row>
    <row r="559" spans="1:7" x14ac:dyDescent="0.35">
      <c r="A559">
        <v>22264</v>
      </c>
      <c r="B559">
        <v>1</v>
      </c>
      <c r="C559" s="5" t="s">
        <v>18</v>
      </c>
      <c r="D559">
        <v>3001</v>
      </c>
      <c r="E559" s="5" t="s">
        <v>82</v>
      </c>
      <c r="F559" s="5" t="s">
        <v>14</v>
      </c>
      <c r="G559">
        <v>10</v>
      </c>
    </row>
    <row r="560" spans="1:7" x14ac:dyDescent="0.35">
      <c r="A560">
        <v>56479</v>
      </c>
      <c r="B560">
        <v>2</v>
      </c>
      <c r="C560" s="5" t="s">
        <v>53</v>
      </c>
      <c r="D560">
        <v>2601</v>
      </c>
      <c r="E560" s="5" t="s">
        <v>92</v>
      </c>
      <c r="F560" s="5" t="s">
        <v>17</v>
      </c>
      <c r="G560">
        <v>4</v>
      </c>
    </row>
    <row r="561" spans="1:7" x14ac:dyDescent="0.35">
      <c r="A561">
        <v>164372</v>
      </c>
      <c r="B561">
        <v>1</v>
      </c>
      <c r="C561" s="5" t="s">
        <v>21</v>
      </c>
      <c r="D561">
        <v>5501</v>
      </c>
      <c r="E561" s="5" t="s">
        <v>83</v>
      </c>
      <c r="F561" s="5" t="s">
        <v>14</v>
      </c>
      <c r="G561">
        <v>25</v>
      </c>
    </row>
    <row r="562" spans="1:7" x14ac:dyDescent="0.35">
      <c r="A562">
        <v>5140</v>
      </c>
      <c r="B562">
        <v>1</v>
      </c>
      <c r="C562" s="5" t="s">
        <v>21</v>
      </c>
      <c r="D562">
        <v>2201</v>
      </c>
      <c r="E562" s="5" t="s">
        <v>83</v>
      </c>
      <c r="F562" s="5" t="s">
        <v>14</v>
      </c>
      <c r="G562">
        <v>7</v>
      </c>
    </row>
    <row r="563" spans="1:7" x14ac:dyDescent="0.35">
      <c r="A563">
        <v>32198</v>
      </c>
      <c r="B563">
        <v>0</v>
      </c>
      <c r="C563" s="5" t="s">
        <v>13</v>
      </c>
      <c r="D563">
        <v>4401</v>
      </c>
      <c r="E563" s="5" t="s">
        <v>82</v>
      </c>
      <c r="F563" s="5" t="s">
        <v>17</v>
      </c>
      <c r="G563">
        <v>9</v>
      </c>
    </row>
    <row r="564" spans="1:7" x14ac:dyDescent="0.35">
      <c r="A564">
        <v>113607</v>
      </c>
      <c r="B564">
        <v>0</v>
      </c>
      <c r="C564" s="5" t="s">
        <v>28</v>
      </c>
      <c r="D564">
        <v>0</v>
      </c>
      <c r="E564" s="5" t="s">
        <v>79</v>
      </c>
      <c r="F564" s="5" t="s">
        <v>17</v>
      </c>
      <c r="G564">
        <v>15</v>
      </c>
    </row>
    <row r="565" spans="1:7" x14ac:dyDescent="0.35">
      <c r="A565">
        <v>19499</v>
      </c>
      <c r="B565">
        <v>0</v>
      </c>
      <c r="C565" s="5" t="s">
        <v>18</v>
      </c>
      <c r="D565">
        <v>0</v>
      </c>
      <c r="E565" s="5" t="s">
        <v>82</v>
      </c>
      <c r="F565" s="5" t="s">
        <v>17</v>
      </c>
      <c r="G565">
        <v>20</v>
      </c>
    </row>
    <row r="566" spans="1:7" x14ac:dyDescent="0.35">
      <c r="A566">
        <v>73028</v>
      </c>
      <c r="B566">
        <v>1</v>
      </c>
      <c r="C566" s="5" t="s">
        <v>26</v>
      </c>
      <c r="D566">
        <v>4704</v>
      </c>
      <c r="E566" s="5" t="s">
        <v>81</v>
      </c>
      <c r="F566" s="5" t="s">
        <v>14</v>
      </c>
      <c r="G566">
        <v>9</v>
      </c>
    </row>
    <row r="567" spans="1:7" x14ac:dyDescent="0.35">
      <c r="A567">
        <v>35553</v>
      </c>
      <c r="B567">
        <v>2</v>
      </c>
      <c r="C567" s="5" t="s">
        <v>13</v>
      </c>
      <c r="D567">
        <v>0</v>
      </c>
      <c r="E567" s="5" t="s">
        <v>80</v>
      </c>
      <c r="F567" s="5" t="s">
        <v>17</v>
      </c>
      <c r="G567">
        <v>20</v>
      </c>
    </row>
    <row r="568" spans="1:7" x14ac:dyDescent="0.35">
      <c r="A568">
        <v>35463</v>
      </c>
      <c r="B568">
        <v>0</v>
      </c>
      <c r="C568" s="5" t="s">
        <v>13</v>
      </c>
      <c r="D568">
        <v>3701</v>
      </c>
      <c r="E568" s="5" t="s">
        <v>82</v>
      </c>
      <c r="F568" s="5" t="s">
        <v>14</v>
      </c>
      <c r="G568">
        <v>30</v>
      </c>
    </row>
    <row r="569" spans="1:7" x14ac:dyDescent="0.35">
      <c r="A569">
        <v>91591</v>
      </c>
      <c r="B569">
        <v>1</v>
      </c>
      <c r="C569" s="5" t="s">
        <v>16</v>
      </c>
      <c r="D569">
        <v>0</v>
      </c>
      <c r="E569" s="5" t="s">
        <v>82</v>
      </c>
      <c r="F569" s="5" t="s">
        <v>14</v>
      </c>
      <c r="G569">
        <v>10</v>
      </c>
    </row>
    <row r="570" spans="1:7" x14ac:dyDescent="0.35">
      <c r="A570">
        <v>109099</v>
      </c>
      <c r="B570">
        <v>0</v>
      </c>
      <c r="C570" s="5" t="s">
        <v>46</v>
      </c>
      <c r="D570">
        <v>5701</v>
      </c>
      <c r="E570" s="5" t="s">
        <v>79</v>
      </c>
      <c r="F570" s="5" t="s">
        <v>17</v>
      </c>
      <c r="G570">
        <v>6</v>
      </c>
    </row>
    <row r="571" spans="1:7" x14ac:dyDescent="0.35">
      <c r="A571">
        <v>174182</v>
      </c>
      <c r="B571">
        <v>0</v>
      </c>
      <c r="C571" s="5" t="s">
        <v>34</v>
      </c>
      <c r="D571">
        <v>3201</v>
      </c>
      <c r="E571" s="5" t="s">
        <v>85</v>
      </c>
      <c r="F571" s="5" t="s">
        <v>17</v>
      </c>
      <c r="G571">
        <v>20</v>
      </c>
    </row>
    <row r="572" spans="1:7" x14ac:dyDescent="0.35">
      <c r="A572">
        <v>183722</v>
      </c>
      <c r="B572">
        <v>0</v>
      </c>
      <c r="C572" s="5" t="s">
        <v>37</v>
      </c>
      <c r="D572">
        <v>4808</v>
      </c>
      <c r="E572" s="5" t="s">
        <v>81</v>
      </c>
      <c r="F572" s="5" t="s">
        <v>17</v>
      </c>
      <c r="G572">
        <v>20</v>
      </c>
    </row>
    <row r="573" spans="1:7" x14ac:dyDescent="0.35">
      <c r="A573">
        <v>98374</v>
      </c>
      <c r="B573">
        <v>0</v>
      </c>
      <c r="C573" s="5" t="s">
        <v>16</v>
      </c>
      <c r="D573">
        <v>2008</v>
      </c>
      <c r="E573" s="5" t="s">
        <v>78</v>
      </c>
      <c r="F573" s="5" t="s">
        <v>17</v>
      </c>
      <c r="G573">
        <v>15</v>
      </c>
    </row>
    <row r="574" spans="1:7" x14ac:dyDescent="0.35">
      <c r="A574">
        <v>126681</v>
      </c>
      <c r="B574">
        <v>28</v>
      </c>
      <c r="C574" s="5" t="s">
        <v>20</v>
      </c>
      <c r="D574">
        <v>3911</v>
      </c>
      <c r="E574" s="5" t="s">
        <v>81</v>
      </c>
      <c r="F574" s="5" t="s">
        <v>17</v>
      </c>
      <c r="G574">
        <v>15</v>
      </c>
    </row>
    <row r="575" spans="1:7" x14ac:dyDescent="0.35">
      <c r="A575">
        <v>147936</v>
      </c>
      <c r="B575">
        <v>1</v>
      </c>
      <c r="C575" s="5" t="s">
        <v>21</v>
      </c>
      <c r="D575">
        <v>901</v>
      </c>
      <c r="E575" s="5" t="s">
        <v>85</v>
      </c>
      <c r="F575" s="5" t="s">
        <v>14</v>
      </c>
      <c r="G575">
        <v>5</v>
      </c>
    </row>
    <row r="576" spans="1:7" x14ac:dyDescent="0.35">
      <c r="A576">
        <v>152133</v>
      </c>
      <c r="B576">
        <v>28</v>
      </c>
      <c r="C576" s="5" t="s">
        <v>21</v>
      </c>
      <c r="D576">
        <v>0</v>
      </c>
      <c r="E576" s="5" t="s">
        <v>88</v>
      </c>
      <c r="F576" s="5" t="s">
        <v>17</v>
      </c>
      <c r="G576">
        <v>5</v>
      </c>
    </row>
    <row r="577" spans="1:7" x14ac:dyDescent="0.35">
      <c r="A577">
        <v>57929</v>
      </c>
      <c r="B577">
        <v>2</v>
      </c>
      <c r="C577" s="5" t="s">
        <v>53</v>
      </c>
      <c r="D577">
        <v>3503</v>
      </c>
      <c r="E577" s="5" t="s">
        <v>89</v>
      </c>
      <c r="F577" s="5" t="s">
        <v>17</v>
      </c>
      <c r="G577">
        <v>10</v>
      </c>
    </row>
    <row r="578" spans="1:7" x14ac:dyDescent="0.35">
      <c r="A578">
        <v>15697</v>
      </c>
      <c r="B578">
        <v>0</v>
      </c>
      <c r="C578" s="5" t="s">
        <v>18</v>
      </c>
      <c r="D578">
        <v>0</v>
      </c>
      <c r="E578" s="5" t="s">
        <v>81</v>
      </c>
      <c r="F578" s="5" t="s">
        <v>27</v>
      </c>
      <c r="G578">
        <v>20</v>
      </c>
    </row>
    <row r="579" spans="1:7" x14ac:dyDescent="0.35">
      <c r="A579">
        <v>92814</v>
      </c>
      <c r="B579">
        <v>0</v>
      </c>
      <c r="C579" s="5" t="s">
        <v>16</v>
      </c>
      <c r="D579">
        <v>6401</v>
      </c>
      <c r="E579" s="5" t="s">
        <v>85</v>
      </c>
      <c r="F579" s="5" t="s">
        <v>17</v>
      </c>
      <c r="G579">
        <v>25</v>
      </c>
    </row>
    <row r="580" spans="1:7" x14ac:dyDescent="0.35">
      <c r="A580">
        <v>98282</v>
      </c>
      <c r="B580">
        <v>0</v>
      </c>
      <c r="C580" s="5" t="s">
        <v>16</v>
      </c>
      <c r="D580">
        <v>3505</v>
      </c>
      <c r="E580" s="5" t="s">
        <v>81</v>
      </c>
      <c r="F580" s="5" t="s">
        <v>14</v>
      </c>
      <c r="G580">
        <v>15</v>
      </c>
    </row>
    <row r="581" spans="1:7" x14ac:dyDescent="0.35">
      <c r="A581">
        <v>27798</v>
      </c>
      <c r="B581">
        <v>0</v>
      </c>
      <c r="C581" s="5" t="s">
        <v>36</v>
      </c>
      <c r="D581">
        <v>4301</v>
      </c>
      <c r="E581" s="5" t="s">
        <v>79</v>
      </c>
      <c r="F581" s="5" t="s">
        <v>17</v>
      </c>
      <c r="G581">
        <v>10</v>
      </c>
    </row>
    <row r="582" spans="1:7" x14ac:dyDescent="0.35">
      <c r="A582">
        <v>45503</v>
      </c>
      <c r="B582">
        <v>1</v>
      </c>
      <c r="C582" s="5" t="s">
        <v>13</v>
      </c>
      <c r="D582">
        <v>3709</v>
      </c>
      <c r="E582" s="5" t="s">
        <v>87</v>
      </c>
      <c r="F582" s="5" t="s">
        <v>14</v>
      </c>
      <c r="G582">
        <v>5</v>
      </c>
    </row>
    <row r="583" spans="1:7" x14ac:dyDescent="0.35">
      <c r="A583">
        <v>6006</v>
      </c>
      <c r="B583">
        <v>0</v>
      </c>
      <c r="C583" s="5" t="s">
        <v>45</v>
      </c>
      <c r="D583">
        <v>1602</v>
      </c>
      <c r="E583" s="5" t="s">
        <v>82</v>
      </c>
      <c r="F583" s="5" t="s">
        <v>17</v>
      </c>
      <c r="G583">
        <v>100</v>
      </c>
    </row>
    <row r="584" spans="1:7" x14ac:dyDescent="0.35">
      <c r="A584">
        <v>138182</v>
      </c>
      <c r="B584">
        <v>28</v>
      </c>
      <c r="C584" s="5" t="s">
        <v>51</v>
      </c>
      <c r="D584">
        <v>2911</v>
      </c>
      <c r="E584" s="5" t="s">
        <v>78</v>
      </c>
      <c r="F584" s="5" t="s">
        <v>17</v>
      </c>
      <c r="G584">
        <v>5</v>
      </c>
    </row>
    <row r="585" spans="1:7" x14ac:dyDescent="0.35">
      <c r="A585">
        <v>144714</v>
      </c>
      <c r="B585">
        <v>0</v>
      </c>
      <c r="C585" s="5" t="s">
        <v>21</v>
      </c>
      <c r="D585">
        <v>0</v>
      </c>
      <c r="E585" s="5" t="s">
        <v>83</v>
      </c>
      <c r="F585" s="5" t="s">
        <v>17</v>
      </c>
      <c r="G585">
        <v>16</v>
      </c>
    </row>
    <row r="586" spans="1:7" x14ac:dyDescent="0.35">
      <c r="A586">
        <v>10001</v>
      </c>
      <c r="B586">
        <v>1</v>
      </c>
      <c r="C586" s="5" t="s">
        <v>16</v>
      </c>
      <c r="D586">
        <v>5508</v>
      </c>
      <c r="E586" s="5" t="s">
        <v>82</v>
      </c>
      <c r="F586" s="5" t="s">
        <v>14</v>
      </c>
      <c r="G586">
        <v>16</v>
      </c>
    </row>
    <row r="587" spans="1:7" x14ac:dyDescent="0.35">
      <c r="A587">
        <v>157860</v>
      </c>
      <c r="B587">
        <v>1002</v>
      </c>
      <c r="C587" s="5" t="s">
        <v>21</v>
      </c>
      <c r="D587">
        <v>5701</v>
      </c>
      <c r="E587" s="5" t="s">
        <v>83</v>
      </c>
      <c r="F587" s="5" t="s">
        <v>14</v>
      </c>
      <c r="G587">
        <v>4</v>
      </c>
    </row>
    <row r="588" spans="1:7" x14ac:dyDescent="0.35">
      <c r="A588">
        <v>58351</v>
      </c>
      <c r="B588">
        <v>1</v>
      </c>
      <c r="C588" s="5" t="s">
        <v>53</v>
      </c>
      <c r="D588">
        <v>2801</v>
      </c>
      <c r="E588" s="5" t="s">
        <v>89</v>
      </c>
      <c r="F588" s="5" t="s">
        <v>14</v>
      </c>
      <c r="G588">
        <v>9</v>
      </c>
    </row>
    <row r="589" spans="1:7" x14ac:dyDescent="0.35">
      <c r="A589">
        <v>97552</v>
      </c>
      <c r="B589">
        <v>0</v>
      </c>
      <c r="C589" s="5" t="s">
        <v>16</v>
      </c>
      <c r="D589">
        <v>2801</v>
      </c>
      <c r="E589" s="5" t="s">
        <v>87</v>
      </c>
      <c r="F589" s="5" t="s">
        <v>17</v>
      </c>
      <c r="G589">
        <v>50</v>
      </c>
    </row>
    <row r="590" spans="1:7" x14ac:dyDescent="0.35">
      <c r="A590">
        <v>85920</v>
      </c>
      <c r="B590">
        <v>1</v>
      </c>
      <c r="C590" s="5" t="s">
        <v>48</v>
      </c>
      <c r="D590">
        <v>0</v>
      </c>
      <c r="E590" s="5" t="s">
        <v>86</v>
      </c>
      <c r="F590" s="5" t="s">
        <v>14</v>
      </c>
      <c r="G590">
        <v>20</v>
      </c>
    </row>
    <row r="591" spans="1:7" x14ac:dyDescent="0.35">
      <c r="A591">
        <v>29401</v>
      </c>
      <c r="B591">
        <v>1</v>
      </c>
      <c r="C591" s="5" t="s">
        <v>36</v>
      </c>
      <c r="D591">
        <v>3410</v>
      </c>
      <c r="E591" s="5" t="s">
        <v>79</v>
      </c>
      <c r="F591" s="5" t="s">
        <v>14</v>
      </c>
      <c r="G591">
        <v>15</v>
      </c>
    </row>
    <row r="592" spans="1:7" x14ac:dyDescent="0.35">
      <c r="A592">
        <v>12715</v>
      </c>
      <c r="B592">
        <v>1</v>
      </c>
      <c r="C592" s="5" t="s">
        <v>40</v>
      </c>
      <c r="D592">
        <v>1201</v>
      </c>
      <c r="E592" s="5" t="s">
        <v>82</v>
      </c>
      <c r="F592" s="5" t="s">
        <v>14</v>
      </c>
      <c r="G592">
        <v>15</v>
      </c>
    </row>
    <row r="593" spans="1:7" x14ac:dyDescent="0.35">
      <c r="A593">
        <v>90031</v>
      </c>
      <c r="B593">
        <v>2</v>
      </c>
      <c r="C593" s="5" t="s">
        <v>16</v>
      </c>
      <c r="D593">
        <v>1601</v>
      </c>
      <c r="E593" s="5" t="s">
        <v>82</v>
      </c>
      <c r="F593" s="5" t="s">
        <v>17</v>
      </c>
      <c r="G593">
        <v>3</v>
      </c>
    </row>
    <row r="594" spans="1:7" x14ac:dyDescent="0.35">
      <c r="A594">
        <v>55442</v>
      </c>
      <c r="B594">
        <v>0</v>
      </c>
      <c r="C594" s="5" t="s">
        <v>56</v>
      </c>
      <c r="D594">
        <v>2504</v>
      </c>
      <c r="E594" s="5" t="s">
        <v>89</v>
      </c>
      <c r="F594" s="5" t="s">
        <v>14</v>
      </c>
      <c r="G594">
        <v>25</v>
      </c>
    </row>
    <row r="595" spans="1:7" x14ac:dyDescent="0.35">
      <c r="A595">
        <v>105984</v>
      </c>
      <c r="B595">
        <v>0</v>
      </c>
      <c r="C595" s="5" t="s">
        <v>25</v>
      </c>
      <c r="D595">
        <v>5711</v>
      </c>
      <c r="E595" s="5" t="s">
        <v>83</v>
      </c>
      <c r="F595" s="5" t="s">
        <v>17</v>
      </c>
      <c r="G595">
        <v>10</v>
      </c>
    </row>
    <row r="596" spans="1:7" x14ac:dyDescent="0.35">
      <c r="A596">
        <v>188035</v>
      </c>
      <c r="B596">
        <v>1</v>
      </c>
      <c r="C596" s="5" t="s">
        <v>51</v>
      </c>
      <c r="D596">
        <v>0</v>
      </c>
      <c r="E596" s="5" t="s">
        <v>83</v>
      </c>
      <c r="F596" s="5" t="s">
        <v>86</v>
      </c>
      <c r="G596">
        <v>23</v>
      </c>
    </row>
    <row r="597" spans="1:7" x14ac:dyDescent="0.35">
      <c r="A597">
        <v>101665</v>
      </c>
      <c r="B597">
        <v>0</v>
      </c>
      <c r="C597" s="5" t="s">
        <v>33</v>
      </c>
      <c r="D597">
        <v>7308</v>
      </c>
      <c r="E597" s="5" t="s">
        <v>79</v>
      </c>
      <c r="F597" s="5" t="s">
        <v>17</v>
      </c>
      <c r="G597">
        <v>5</v>
      </c>
    </row>
    <row r="598" spans="1:7" x14ac:dyDescent="0.35">
      <c r="A598">
        <v>70774</v>
      </c>
      <c r="B598">
        <v>2</v>
      </c>
      <c r="C598" s="5" t="s">
        <v>26</v>
      </c>
      <c r="D598">
        <v>5601</v>
      </c>
      <c r="E598" s="5" t="s">
        <v>81</v>
      </c>
      <c r="F598" s="5" t="s">
        <v>17</v>
      </c>
      <c r="G598">
        <v>4</v>
      </c>
    </row>
    <row r="599" spans="1:7" x14ac:dyDescent="0.35">
      <c r="A599">
        <v>23263</v>
      </c>
      <c r="B599">
        <v>0</v>
      </c>
      <c r="C599" s="5" t="s">
        <v>43</v>
      </c>
      <c r="D599">
        <v>3304</v>
      </c>
      <c r="E599" s="5" t="s">
        <v>81</v>
      </c>
      <c r="F599" s="5" t="s">
        <v>17</v>
      </c>
      <c r="G599">
        <v>30</v>
      </c>
    </row>
    <row r="600" spans="1:7" x14ac:dyDescent="0.35">
      <c r="A600">
        <v>166475</v>
      </c>
      <c r="B600">
        <v>0</v>
      </c>
      <c r="C600" s="5" t="s">
        <v>21</v>
      </c>
      <c r="D600">
        <v>4201</v>
      </c>
      <c r="E600" s="5" t="s">
        <v>82</v>
      </c>
      <c r="F600" s="5" t="s">
        <v>27</v>
      </c>
      <c r="G600">
        <v>10</v>
      </c>
    </row>
    <row r="601" spans="1:7" x14ac:dyDescent="0.35">
      <c r="A601">
        <v>83042</v>
      </c>
      <c r="B601">
        <v>1</v>
      </c>
      <c r="C601" s="5" t="s">
        <v>52</v>
      </c>
      <c r="D601">
        <v>4005</v>
      </c>
      <c r="E601" s="5" t="s">
        <v>79</v>
      </c>
      <c r="F601" s="5" t="s">
        <v>14</v>
      </c>
      <c r="G601">
        <v>10</v>
      </c>
    </row>
    <row r="602" spans="1:7" x14ac:dyDescent="0.35">
      <c r="A602">
        <v>149970</v>
      </c>
      <c r="B602">
        <v>0</v>
      </c>
      <c r="C602" s="5" t="s">
        <v>21</v>
      </c>
      <c r="D602">
        <v>0</v>
      </c>
      <c r="E602" s="5" t="s">
        <v>80</v>
      </c>
      <c r="F602" s="5" t="s">
        <v>17</v>
      </c>
      <c r="G602">
        <v>15</v>
      </c>
    </row>
    <row r="603" spans="1:7" x14ac:dyDescent="0.35">
      <c r="A603">
        <v>13863</v>
      </c>
      <c r="B603">
        <v>0</v>
      </c>
      <c r="C603" s="5" t="s">
        <v>20</v>
      </c>
      <c r="D603">
        <v>3001</v>
      </c>
      <c r="E603" s="5" t="s">
        <v>81</v>
      </c>
      <c r="F603" s="5" t="s">
        <v>17</v>
      </c>
      <c r="G603">
        <v>6</v>
      </c>
    </row>
    <row r="604" spans="1:7" x14ac:dyDescent="0.35">
      <c r="A604">
        <v>64074</v>
      </c>
      <c r="B604">
        <v>0</v>
      </c>
      <c r="C604" s="5" t="s">
        <v>30</v>
      </c>
      <c r="D604">
        <v>0</v>
      </c>
      <c r="E604" s="5" t="s">
        <v>87</v>
      </c>
      <c r="F604" s="5" t="s">
        <v>17</v>
      </c>
      <c r="G604">
        <v>10</v>
      </c>
    </row>
    <row r="605" spans="1:7" x14ac:dyDescent="0.35">
      <c r="A605">
        <v>42096</v>
      </c>
      <c r="B605">
        <v>0</v>
      </c>
      <c r="C605" s="5" t="s">
        <v>13</v>
      </c>
      <c r="D605">
        <v>0</v>
      </c>
      <c r="E605" s="5" t="s">
        <v>87</v>
      </c>
      <c r="F605" s="5" t="s">
        <v>17</v>
      </c>
      <c r="G605">
        <v>20</v>
      </c>
    </row>
    <row r="606" spans="1:7" x14ac:dyDescent="0.35">
      <c r="A606">
        <v>169188</v>
      </c>
      <c r="B606">
        <v>2</v>
      </c>
      <c r="C606" s="5" t="s">
        <v>21</v>
      </c>
      <c r="D606">
        <v>0</v>
      </c>
      <c r="E606" s="5" t="s">
        <v>81</v>
      </c>
      <c r="F606" s="5" t="s">
        <v>17</v>
      </c>
      <c r="G606">
        <v>10</v>
      </c>
    </row>
    <row r="607" spans="1:7" x14ac:dyDescent="0.35">
      <c r="A607">
        <v>18609</v>
      </c>
      <c r="B607">
        <v>0</v>
      </c>
      <c r="C607" s="5" t="s">
        <v>18</v>
      </c>
      <c r="D607">
        <v>4901</v>
      </c>
      <c r="E607" s="5" t="s">
        <v>84</v>
      </c>
      <c r="F607" s="5" t="s">
        <v>17</v>
      </c>
      <c r="G607">
        <v>10</v>
      </c>
    </row>
    <row r="608" spans="1:7" x14ac:dyDescent="0.35">
      <c r="A608">
        <v>109536</v>
      </c>
      <c r="B608">
        <v>1</v>
      </c>
      <c r="C608" s="5" t="s">
        <v>46</v>
      </c>
      <c r="D608">
        <v>3401</v>
      </c>
      <c r="E608" s="5" t="s">
        <v>79</v>
      </c>
      <c r="F608" s="5" t="s">
        <v>14</v>
      </c>
      <c r="G608">
        <v>7</v>
      </c>
    </row>
    <row r="609" spans="1:7" x14ac:dyDescent="0.35">
      <c r="A609">
        <v>9348</v>
      </c>
      <c r="B609">
        <v>0</v>
      </c>
      <c r="C609" s="5" t="s">
        <v>28</v>
      </c>
      <c r="D609">
        <v>1401</v>
      </c>
      <c r="E609" s="5" t="s">
        <v>84</v>
      </c>
      <c r="F609" s="5" t="s">
        <v>14</v>
      </c>
      <c r="G609">
        <v>10</v>
      </c>
    </row>
    <row r="610" spans="1:7" x14ac:dyDescent="0.35">
      <c r="A610">
        <v>136790</v>
      </c>
      <c r="B610">
        <v>0</v>
      </c>
      <c r="C610" s="5" t="s">
        <v>51</v>
      </c>
      <c r="D610">
        <v>2001</v>
      </c>
      <c r="E610" s="5" t="s">
        <v>83</v>
      </c>
      <c r="F610" s="5" t="s">
        <v>14</v>
      </c>
      <c r="G610">
        <v>5</v>
      </c>
    </row>
    <row r="611" spans="1:7" x14ac:dyDescent="0.35">
      <c r="A611">
        <v>71332</v>
      </c>
      <c r="B611">
        <v>2</v>
      </c>
      <c r="C611" s="5" t="s">
        <v>26</v>
      </c>
      <c r="D611">
        <v>3601</v>
      </c>
      <c r="E611" s="5" t="s">
        <v>81</v>
      </c>
      <c r="F611" s="5" t="s">
        <v>14</v>
      </c>
      <c r="G611">
        <v>7</v>
      </c>
    </row>
    <row r="612" spans="1:7" x14ac:dyDescent="0.35">
      <c r="A612">
        <v>135430</v>
      </c>
      <c r="B612">
        <v>2</v>
      </c>
      <c r="C612" s="5" t="s">
        <v>51</v>
      </c>
      <c r="D612">
        <v>3408</v>
      </c>
      <c r="E612" s="5" t="s">
        <v>83</v>
      </c>
      <c r="F612" s="5" t="s">
        <v>17</v>
      </c>
      <c r="G612">
        <v>25</v>
      </c>
    </row>
    <row r="613" spans="1:7" x14ac:dyDescent="0.35">
      <c r="A613">
        <v>124484</v>
      </c>
      <c r="B613">
        <v>0</v>
      </c>
      <c r="C613" s="5" t="s">
        <v>20</v>
      </c>
      <c r="D613">
        <v>0</v>
      </c>
      <c r="E613" s="5" t="s">
        <v>84</v>
      </c>
      <c r="F613" s="5" t="s">
        <v>17</v>
      </c>
      <c r="G613">
        <v>8</v>
      </c>
    </row>
    <row r="614" spans="1:7" x14ac:dyDescent="0.35">
      <c r="A614">
        <v>184098</v>
      </c>
      <c r="B614">
        <v>0</v>
      </c>
      <c r="C614" s="5" t="s">
        <v>37</v>
      </c>
      <c r="D614">
        <v>0</v>
      </c>
      <c r="E614" s="5" t="s">
        <v>87</v>
      </c>
      <c r="F614" s="5" t="s">
        <v>17</v>
      </c>
      <c r="G614">
        <v>9</v>
      </c>
    </row>
    <row r="615" spans="1:7" x14ac:dyDescent="0.35">
      <c r="A615">
        <v>144850</v>
      </c>
      <c r="B615">
        <v>0</v>
      </c>
      <c r="C615" s="5" t="s">
        <v>21</v>
      </c>
      <c r="D615">
        <v>4301</v>
      </c>
      <c r="E615" s="5" t="s">
        <v>86</v>
      </c>
      <c r="F615" s="5" t="s">
        <v>17</v>
      </c>
      <c r="G615">
        <v>5</v>
      </c>
    </row>
    <row r="616" spans="1:7" x14ac:dyDescent="0.35">
      <c r="A616">
        <v>188519</v>
      </c>
      <c r="B616">
        <v>28</v>
      </c>
      <c r="C616" s="5" t="s">
        <v>30</v>
      </c>
      <c r="D616">
        <v>2401</v>
      </c>
      <c r="E616" s="5" t="s">
        <v>83</v>
      </c>
      <c r="F616" s="5" t="s">
        <v>17</v>
      </c>
      <c r="G616">
        <v>5</v>
      </c>
    </row>
    <row r="617" spans="1:7" x14ac:dyDescent="0.35">
      <c r="A617">
        <v>164367</v>
      </c>
      <c r="B617">
        <v>28</v>
      </c>
      <c r="C617" s="5" t="s">
        <v>21</v>
      </c>
      <c r="D617">
        <v>0</v>
      </c>
      <c r="E617" s="5" t="s">
        <v>83</v>
      </c>
      <c r="F617" s="5" t="s">
        <v>17</v>
      </c>
      <c r="G617">
        <v>20</v>
      </c>
    </row>
    <row r="618" spans="1:7" x14ac:dyDescent="0.35">
      <c r="A618">
        <v>75992</v>
      </c>
      <c r="B618">
        <v>28</v>
      </c>
      <c r="C618" s="5" t="s">
        <v>44</v>
      </c>
      <c r="D618">
        <v>5601</v>
      </c>
      <c r="E618" s="5" t="s">
        <v>88</v>
      </c>
      <c r="F618" s="5" t="s">
        <v>17</v>
      </c>
      <c r="G618">
        <v>8</v>
      </c>
    </row>
    <row r="619" spans="1:7" x14ac:dyDescent="0.35">
      <c r="A619">
        <v>34957</v>
      </c>
      <c r="B619">
        <v>28</v>
      </c>
      <c r="C619" s="5" t="s">
        <v>13</v>
      </c>
      <c r="D619">
        <v>2401</v>
      </c>
      <c r="E619" s="5" t="s">
        <v>82</v>
      </c>
      <c r="F619" s="5" t="s">
        <v>17</v>
      </c>
      <c r="G619">
        <v>10</v>
      </c>
    </row>
    <row r="620" spans="1:7" x14ac:dyDescent="0.35">
      <c r="A620">
        <v>110094</v>
      </c>
      <c r="B620">
        <v>2</v>
      </c>
      <c r="C620" s="5" t="s">
        <v>46</v>
      </c>
      <c r="D620">
        <v>5305</v>
      </c>
      <c r="E620" s="5" t="s">
        <v>87</v>
      </c>
      <c r="F620" s="5" t="s">
        <v>17</v>
      </c>
      <c r="G620">
        <v>18</v>
      </c>
    </row>
    <row r="621" spans="1:7" x14ac:dyDescent="0.35">
      <c r="A621">
        <v>121590</v>
      </c>
      <c r="B621">
        <v>0</v>
      </c>
      <c r="C621" s="5" t="s">
        <v>20</v>
      </c>
      <c r="D621">
        <v>6410</v>
      </c>
      <c r="E621" s="5" t="s">
        <v>85</v>
      </c>
      <c r="F621" s="5" t="s">
        <v>17</v>
      </c>
      <c r="G621">
        <v>10</v>
      </c>
    </row>
    <row r="622" spans="1:7" x14ac:dyDescent="0.35">
      <c r="A622">
        <v>140652</v>
      </c>
      <c r="B622">
        <v>0</v>
      </c>
      <c r="C622" s="5" t="s">
        <v>50</v>
      </c>
      <c r="D622">
        <v>3101</v>
      </c>
      <c r="E622" s="5" t="s">
        <v>81</v>
      </c>
      <c r="F622" s="5" t="s">
        <v>17</v>
      </c>
      <c r="G622">
        <v>20</v>
      </c>
    </row>
    <row r="623" spans="1:7" x14ac:dyDescent="0.35">
      <c r="A623">
        <v>134319</v>
      </c>
      <c r="B623">
        <v>0</v>
      </c>
      <c r="C623" s="5" t="s">
        <v>35</v>
      </c>
      <c r="D623">
        <v>0</v>
      </c>
      <c r="E623" s="5" t="s">
        <v>83</v>
      </c>
      <c r="F623" s="5" t="s">
        <v>17</v>
      </c>
      <c r="G623">
        <v>13</v>
      </c>
    </row>
    <row r="624" spans="1:7" x14ac:dyDescent="0.35">
      <c r="A624">
        <v>27921</v>
      </c>
      <c r="B624">
        <v>0</v>
      </c>
      <c r="C624" s="5" t="s">
        <v>36</v>
      </c>
      <c r="D624">
        <v>0</v>
      </c>
      <c r="E624" s="5" t="s">
        <v>84</v>
      </c>
      <c r="F624" s="5" t="s">
        <v>17</v>
      </c>
      <c r="G624">
        <v>14</v>
      </c>
    </row>
    <row r="625" spans="1:7" x14ac:dyDescent="0.35">
      <c r="A625">
        <v>29373</v>
      </c>
      <c r="B625">
        <v>0</v>
      </c>
      <c r="C625" s="5" t="s">
        <v>36</v>
      </c>
      <c r="D625">
        <v>5401</v>
      </c>
      <c r="E625" s="5" t="s">
        <v>84</v>
      </c>
      <c r="F625" s="5" t="s">
        <v>17</v>
      </c>
      <c r="G625">
        <v>20</v>
      </c>
    </row>
    <row r="626" spans="1:7" x14ac:dyDescent="0.35">
      <c r="A626">
        <v>130684</v>
      </c>
      <c r="B626">
        <v>980</v>
      </c>
      <c r="C626" s="5" t="s">
        <v>40</v>
      </c>
      <c r="D626">
        <v>0</v>
      </c>
      <c r="E626" s="5" t="s">
        <v>84</v>
      </c>
      <c r="F626" s="5" t="s">
        <v>86</v>
      </c>
      <c r="G626">
        <v>6</v>
      </c>
    </row>
    <row r="627" spans="1:7" x14ac:dyDescent="0.35">
      <c r="A627">
        <v>190920</v>
      </c>
      <c r="B627">
        <v>1</v>
      </c>
      <c r="C627" s="5" t="s">
        <v>21</v>
      </c>
      <c r="D627">
        <v>0</v>
      </c>
      <c r="E627" s="5" t="s">
        <v>80</v>
      </c>
      <c r="F627" s="5" t="s">
        <v>14</v>
      </c>
      <c r="G627">
        <v>20</v>
      </c>
    </row>
    <row r="628" spans="1:7" x14ac:dyDescent="0.35">
      <c r="A628">
        <v>187259</v>
      </c>
      <c r="B628">
        <v>0</v>
      </c>
      <c r="C628" s="5" t="s">
        <v>21</v>
      </c>
      <c r="D628">
        <v>0</v>
      </c>
      <c r="E628" s="5" t="s">
        <v>83</v>
      </c>
      <c r="F628" s="5" t="s">
        <v>17</v>
      </c>
      <c r="G628">
        <v>15</v>
      </c>
    </row>
    <row r="629" spans="1:7" x14ac:dyDescent="0.35">
      <c r="A629">
        <v>45666</v>
      </c>
      <c r="B629">
        <v>28</v>
      </c>
      <c r="C629" s="5" t="s">
        <v>13</v>
      </c>
      <c r="D629">
        <v>4001</v>
      </c>
      <c r="E629" s="5" t="s">
        <v>87</v>
      </c>
      <c r="F629" s="5" t="s">
        <v>17</v>
      </c>
      <c r="G629">
        <v>5</v>
      </c>
    </row>
    <row r="630" spans="1:7" x14ac:dyDescent="0.35">
      <c r="A630">
        <v>21335</v>
      </c>
      <c r="B630">
        <v>2</v>
      </c>
      <c r="C630" s="5" t="s">
        <v>18</v>
      </c>
      <c r="D630">
        <v>0</v>
      </c>
      <c r="E630" s="5" t="s">
        <v>79</v>
      </c>
      <c r="F630" s="5" t="s">
        <v>14</v>
      </c>
      <c r="G630">
        <v>10</v>
      </c>
    </row>
    <row r="631" spans="1:7" x14ac:dyDescent="0.35">
      <c r="A631">
        <v>160424</v>
      </c>
      <c r="B631">
        <v>1</v>
      </c>
      <c r="C631" s="5" t="s">
        <v>21</v>
      </c>
      <c r="D631">
        <v>3201</v>
      </c>
      <c r="E631" s="5" t="s">
        <v>79</v>
      </c>
      <c r="F631" s="5" t="s">
        <v>14</v>
      </c>
      <c r="G631">
        <v>20</v>
      </c>
    </row>
    <row r="632" spans="1:7" x14ac:dyDescent="0.35">
      <c r="A632">
        <v>2194</v>
      </c>
      <c r="B632">
        <v>0</v>
      </c>
      <c r="C632" s="5" t="s">
        <v>13</v>
      </c>
      <c r="D632">
        <v>6008</v>
      </c>
      <c r="E632" s="5" t="s">
        <v>86</v>
      </c>
      <c r="F632" s="5" t="s">
        <v>14</v>
      </c>
      <c r="G632">
        <v>4</v>
      </c>
    </row>
    <row r="633" spans="1:7" x14ac:dyDescent="0.35">
      <c r="A633">
        <v>53151</v>
      </c>
      <c r="B633">
        <v>0</v>
      </c>
      <c r="C633" s="5" t="s">
        <v>49</v>
      </c>
      <c r="D633">
        <v>0</v>
      </c>
      <c r="E633" s="5" t="s">
        <v>89</v>
      </c>
      <c r="F633" s="5" t="s">
        <v>14</v>
      </c>
      <c r="G633">
        <v>40</v>
      </c>
    </row>
    <row r="634" spans="1:7" x14ac:dyDescent="0.35">
      <c r="A634">
        <v>126069</v>
      </c>
      <c r="B634">
        <v>2</v>
      </c>
      <c r="C634" s="5" t="s">
        <v>20</v>
      </c>
      <c r="D634">
        <v>903</v>
      </c>
      <c r="E634" s="5" t="s">
        <v>81</v>
      </c>
      <c r="F634" s="5" t="s">
        <v>17</v>
      </c>
      <c r="G634">
        <v>5</v>
      </c>
    </row>
    <row r="635" spans="1:7" x14ac:dyDescent="0.35">
      <c r="A635">
        <v>176292</v>
      </c>
      <c r="B635">
        <v>1</v>
      </c>
      <c r="C635" s="5" t="s">
        <v>47</v>
      </c>
      <c r="D635">
        <v>0</v>
      </c>
      <c r="E635" s="5" t="s">
        <v>87</v>
      </c>
      <c r="F635" s="5" t="s">
        <v>14</v>
      </c>
      <c r="G635">
        <v>25</v>
      </c>
    </row>
    <row r="636" spans="1:7" x14ac:dyDescent="0.35">
      <c r="A636">
        <v>151518</v>
      </c>
      <c r="B636">
        <v>0</v>
      </c>
      <c r="C636" s="5" t="s">
        <v>21</v>
      </c>
      <c r="D636">
        <v>4401</v>
      </c>
      <c r="E636" s="5" t="s">
        <v>79</v>
      </c>
      <c r="F636" s="5" t="s">
        <v>17</v>
      </c>
      <c r="G636">
        <v>15</v>
      </c>
    </row>
    <row r="637" spans="1:7" x14ac:dyDescent="0.35">
      <c r="A637">
        <v>173872</v>
      </c>
      <c r="B637">
        <v>28</v>
      </c>
      <c r="C637" s="5" t="s">
        <v>34</v>
      </c>
      <c r="D637">
        <v>0</v>
      </c>
      <c r="E637" s="5" t="s">
        <v>83</v>
      </c>
      <c r="F637" s="5" t="s">
        <v>17</v>
      </c>
      <c r="G637">
        <v>15</v>
      </c>
    </row>
    <row r="638" spans="1:7" x14ac:dyDescent="0.35">
      <c r="A638">
        <v>117726</v>
      </c>
      <c r="B638">
        <v>0</v>
      </c>
      <c r="C638" s="5" t="s">
        <v>20</v>
      </c>
      <c r="D638">
        <v>0</v>
      </c>
      <c r="E638" s="5" t="s">
        <v>89</v>
      </c>
      <c r="F638" s="5" t="s">
        <v>17</v>
      </c>
      <c r="G638">
        <v>10</v>
      </c>
    </row>
    <row r="639" spans="1:7" x14ac:dyDescent="0.35">
      <c r="A639">
        <v>18948</v>
      </c>
      <c r="B639">
        <v>0</v>
      </c>
      <c r="C639" s="5" t="s">
        <v>18</v>
      </c>
      <c r="D639">
        <v>5601</v>
      </c>
      <c r="E639" s="5" t="s">
        <v>83</v>
      </c>
      <c r="F639" s="5" t="s">
        <v>41</v>
      </c>
      <c r="G639">
        <v>17</v>
      </c>
    </row>
    <row r="640" spans="1:7" x14ac:dyDescent="0.35">
      <c r="A640">
        <v>7330</v>
      </c>
      <c r="B640">
        <v>2</v>
      </c>
      <c r="C640" s="5" t="s">
        <v>16</v>
      </c>
      <c r="D640">
        <v>2007</v>
      </c>
      <c r="E640" s="5" t="s">
        <v>79</v>
      </c>
      <c r="F640" s="5" t="s">
        <v>17</v>
      </c>
      <c r="G640">
        <v>6</v>
      </c>
    </row>
    <row r="641" spans="1:7" x14ac:dyDescent="0.35">
      <c r="A641">
        <v>160576</v>
      </c>
      <c r="B641">
        <v>1002</v>
      </c>
      <c r="C641" s="5" t="s">
        <v>21</v>
      </c>
      <c r="D641">
        <v>4012</v>
      </c>
      <c r="E641" s="5" t="s">
        <v>84</v>
      </c>
      <c r="F641" s="5" t="s">
        <v>14</v>
      </c>
      <c r="G641">
        <v>15</v>
      </c>
    </row>
    <row r="642" spans="1:7" x14ac:dyDescent="0.35">
      <c r="A642">
        <v>72190</v>
      </c>
      <c r="B642">
        <v>2</v>
      </c>
      <c r="C642" s="5" t="s">
        <v>26</v>
      </c>
      <c r="D642">
        <v>1312</v>
      </c>
      <c r="E642" s="5" t="s">
        <v>84</v>
      </c>
      <c r="F642" s="5" t="s">
        <v>14</v>
      </c>
      <c r="G642">
        <v>13</v>
      </c>
    </row>
    <row r="643" spans="1:7" x14ac:dyDescent="0.35">
      <c r="A643">
        <v>13292</v>
      </c>
      <c r="B643">
        <v>0</v>
      </c>
      <c r="C643" s="5" t="s">
        <v>53</v>
      </c>
      <c r="D643">
        <v>0</v>
      </c>
      <c r="E643" s="5" t="s">
        <v>79</v>
      </c>
      <c r="F643" s="5" t="s">
        <v>17</v>
      </c>
      <c r="G643">
        <v>10</v>
      </c>
    </row>
    <row r="644" spans="1:7" x14ac:dyDescent="0.35">
      <c r="A644">
        <v>13551</v>
      </c>
      <c r="B644">
        <v>0</v>
      </c>
      <c r="C644" s="5" t="s">
        <v>21</v>
      </c>
      <c r="D644">
        <v>6201</v>
      </c>
      <c r="E644" s="5" t="s">
        <v>86</v>
      </c>
      <c r="F644" s="5" t="s">
        <v>17</v>
      </c>
      <c r="G644">
        <v>10</v>
      </c>
    </row>
    <row r="645" spans="1:7" x14ac:dyDescent="0.35">
      <c r="A645">
        <v>170935</v>
      </c>
      <c r="B645">
        <v>0</v>
      </c>
      <c r="C645" s="5" t="s">
        <v>21</v>
      </c>
      <c r="D645">
        <v>0</v>
      </c>
      <c r="E645" s="5" t="s">
        <v>81</v>
      </c>
      <c r="F645" s="5" t="s">
        <v>17</v>
      </c>
      <c r="G645">
        <v>10</v>
      </c>
    </row>
    <row r="646" spans="1:7" x14ac:dyDescent="0.35">
      <c r="A646">
        <v>126888</v>
      </c>
      <c r="B646">
        <v>1</v>
      </c>
      <c r="C646" s="5" t="s">
        <v>20</v>
      </c>
      <c r="D646">
        <v>5601</v>
      </c>
      <c r="E646" s="5" t="s">
        <v>79</v>
      </c>
      <c r="F646" s="5" t="s">
        <v>14</v>
      </c>
      <c r="G646">
        <v>20</v>
      </c>
    </row>
    <row r="647" spans="1:7" x14ac:dyDescent="0.35">
      <c r="A647">
        <v>170215</v>
      </c>
      <c r="B647">
        <v>0</v>
      </c>
      <c r="C647" s="5" t="s">
        <v>21</v>
      </c>
      <c r="D647">
        <v>2001</v>
      </c>
      <c r="E647" s="5" t="s">
        <v>79</v>
      </c>
      <c r="F647" s="5" t="s">
        <v>17</v>
      </c>
      <c r="G647">
        <v>8</v>
      </c>
    </row>
    <row r="648" spans="1:7" x14ac:dyDescent="0.35">
      <c r="A648">
        <v>168574</v>
      </c>
      <c r="B648">
        <v>1</v>
      </c>
      <c r="C648" s="5" t="s">
        <v>21</v>
      </c>
      <c r="D648">
        <v>0</v>
      </c>
      <c r="E648" s="5" t="s">
        <v>91</v>
      </c>
      <c r="F648" s="5" t="s">
        <v>14</v>
      </c>
      <c r="G648">
        <v>100</v>
      </c>
    </row>
    <row r="649" spans="1:7" x14ac:dyDescent="0.35">
      <c r="A649">
        <v>90482</v>
      </c>
      <c r="B649">
        <v>1</v>
      </c>
      <c r="C649" s="5" t="s">
        <v>16</v>
      </c>
      <c r="D649">
        <v>5003</v>
      </c>
      <c r="E649" s="5" t="s">
        <v>82</v>
      </c>
      <c r="F649" s="5" t="s">
        <v>14</v>
      </c>
      <c r="G649">
        <v>20</v>
      </c>
    </row>
    <row r="650" spans="1:7" x14ac:dyDescent="0.35">
      <c r="A650">
        <v>18896</v>
      </c>
      <c r="B650">
        <v>1002</v>
      </c>
      <c r="C650" s="5" t="s">
        <v>18</v>
      </c>
      <c r="D650">
        <v>3501</v>
      </c>
      <c r="E650" s="5" t="s">
        <v>79</v>
      </c>
      <c r="F650" s="5" t="s">
        <v>14</v>
      </c>
      <c r="G650">
        <v>20</v>
      </c>
    </row>
    <row r="651" spans="1:7" x14ac:dyDescent="0.35">
      <c r="A651">
        <v>161335</v>
      </c>
      <c r="B651">
        <v>0</v>
      </c>
      <c r="C651" s="5" t="s">
        <v>21</v>
      </c>
      <c r="D651">
        <v>2601</v>
      </c>
      <c r="E651" s="5" t="s">
        <v>81</v>
      </c>
      <c r="F651" s="5" t="s">
        <v>17</v>
      </c>
      <c r="G651">
        <v>1392</v>
      </c>
    </row>
    <row r="652" spans="1:7" x14ac:dyDescent="0.35">
      <c r="A652">
        <v>82141</v>
      </c>
      <c r="B652">
        <v>2</v>
      </c>
      <c r="C652" s="5" t="s">
        <v>52</v>
      </c>
      <c r="D652">
        <v>3801</v>
      </c>
      <c r="E652" s="5" t="s">
        <v>80</v>
      </c>
      <c r="F652" s="5" t="s">
        <v>17</v>
      </c>
      <c r="G652">
        <v>10</v>
      </c>
    </row>
    <row r="653" spans="1:7" x14ac:dyDescent="0.35">
      <c r="A653">
        <v>187659</v>
      </c>
      <c r="B653">
        <v>0</v>
      </c>
      <c r="C653" s="5" t="s">
        <v>49</v>
      </c>
      <c r="D653">
        <v>0</v>
      </c>
      <c r="E653" s="5" t="s">
        <v>79</v>
      </c>
      <c r="F653" s="5" t="s">
        <v>17</v>
      </c>
      <c r="G653">
        <v>15</v>
      </c>
    </row>
    <row r="654" spans="1:7" x14ac:dyDescent="0.35">
      <c r="A654">
        <v>143523</v>
      </c>
      <c r="B654">
        <v>0</v>
      </c>
      <c r="C654" s="5" t="s">
        <v>21</v>
      </c>
      <c r="D654">
        <v>1901</v>
      </c>
      <c r="E654" s="5" t="s">
        <v>93</v>
      </c>
      <c r="F654" s="5" t="s">
        <v>17</v>
      </c>
      <c r="G654">
        <v>3</v>
      </c>
    </row>
    <row r="655" spans="1:7" x14ac:dyDescent="0.35">
      <c r="A655">
        <v>64442</v>
      </c>
      <c r="B655">
        <v>1</v>
      </c>
      <c r="C655" s="5" t="s">
        <v>30</v>
      </c>
      <c r="D655">
        <v>5201</v>
      </c>
      <c r="E655" s="5" t="s">
        <v>81</v>
      </c>
      <c r="F655" s="5" t="s">
        <v>14</v>
      </c>
      <c r="G655">
        <v>8</v>
      </c>
    </row>
    <row r="656" spans="1:7" x14ac:dyDescent="0.35">
      <c r="A656">
        <v>151902</v>
      </c>
      <c r="B656">
        <v>1</v>
      </c>
      <c r="C656" s="5" t="s">
        <v>21</v>
      </c>
      <c r="D656">
        <v>5001</v>
      </c>
      <c r="E656" s="5" t="s">
        <v>78</v>
      </c>
      <c r="F656" s="5" t="s">
        <v>14</v>
      </c>
      <c r="G656">
        <v>10</v>
      </c>
    </row>
    <row r="657" spans="1:7" x14ac:dyDescent="0.35">
      <c r="A657">
        <v>140027</v>
      </c>
      <c r="B657">
        <v>0</v>
      </c>
      <c r="C657" s="5" t="s">
        <v>50</v>
      </c>
      <c r="D657">
        <v>0</v>
      </c>
      <c r="E657" s="5" t="s">
        <v>79</v>
      </c>
      <c r="F657" s="5" t="s">
        <v>17</v>
      </c>
      <c r="G657">
        <v>25</v>
      </c>
    </row>
    <row r="658" spans="1:7" x14ac:dyDescent="0.35">
      <c r="A658">
        <v>147636</v>
      </c>
      <c r="B658">
        <v>1</v>
      </c>
      <c r="C658" s="5" t="s">
        <v>21</v>
      </c>
      <c r="D658">
        <v>1601</v>
      </c>
      <c r="E658" s="5" t="s">
        <v>80</v>
      </c>
      <c r="F658" s="5" t="s">
        <v>14</v>
      </c>
      <c r="G658">
        <v>11</v>
      </c>
    </row>
    <row r="659" spans="1:7" x14ac:dyDescent="0.35">
      <c r="A659">
        <v>85010</v>
      </c>
      <c r="B659">
        <v>1</v>
      </c>
      <c r="C659" s="5" t="s">
        <v>52</v>
      </c>
      <c r="D659">
        <v>4406</v>
      </c>
      <c r="E659" s="5" t="s">
        <v>79</v>
      </c>
      <c r="F659" s="5" t="s">
        <v>14</v>
      </c>
      <c r="G659">
        <v>9</v>
      </c>
    </row>
    <row r="660" spans="1:7" x14ac:dyDescent="0.35">
      <c r="A660">
        <v>12454</v>
      </c>
      <c r="B660">
        <v>1</v>
      </c>
      <c r="C660" s="5" t="s">
        <v>16</v>
      </c>
      <c r="D660">
        <v>0</v>
      </c>
      <c r="E660" s="5" t="s">
        <v>83</v>
      </c>
      <c r="F660" s="5" t="s">
        <v>14</v>
      </c>
      <c r="G660">
        <v>15</v>
      </c>
    </row>
    <row r="661" spans="1:7" x14ac:dyDescent="0.35">
      <c r="A661">
        <v>118166</v>
      </c>
      <c r="B661">
        <v>0</v>
      </c>
      <c r="C661" s="5" t="s">
        <v>20</v>
      </c>
      <c r="D661">
        <v>0</v>
      </c>
      <c r="E661" s="5" t="s">
        <v>81</v>
      </c>
      <c r="F661" s="5" t="s">
        <v>17</v>
      </c>
      <c r="G661">
        <v>10</v>
      </c>
    </row>
    <row r="662" spans="1:7" x14ac:dyDescent="0.35">
      <c r="A662">
        <v>64165</v>
      </c>
      <c r="B662">
        <v>0</v>
      </c>
      <c r="C662" s="5" t="s">
        <v>51</v>
      </c>
      <c r="D662">
        <v>6401</v>
      </c>
      <c r="E662" s="5" t="s">
        <v>79</v>
      </c>
      <c r="F662" s="5" t="s">
        <v>17</v>
      </c>
      <c r="G662">
        <v>20</v>
      </c>
    </row>
    <row r="663" spans="1:7" x14ac:dyDescent="0.35">
      <c r="A663">
        <v>191663</v>
      </c>
      <c r="B663">
        <v>2</v>
      </c>
      <c r="C663" s="5" t="s">
        <v>47</v>
      </c>
      <c r="D663">
        <v>2708</v>
      </c>
      <c r="E663" s="5" t="s">
        <v>83</v>
      </c>
      <c r="F663" s="5" t="s">
        <v>14</v>
      </c>
      <c r="G663">
        <v>10</v>
      </c>
    </row>
    <row r="664" spans="1:7" x14ac:dyDescent="0.35">
      <c r="A664">
        <v>111021</v>
      </c>
      <c r="B664">
        <v>0</v>
      </c>
      <c r="C664" s="5" t="s">
        <v>29</v>
      </c>
      <c r="D664">
        <v>0</v>
      </c>
      <c r="E664" s="5" t="s">
        <v>89</v>
      </c>
      <c r="F664" s="5" t="s">
        <v>17</v>
      </c>
      <c r="G664">
        <v>10</v>
      </c>
    </row>
    <row r="665" spans="1:7" x14ac:dyDescent="0.35">
      <c r="A665">
        <v>169280</v>
      </c>
      <c r="B665">
        <v>0</v>
      </c>
      <c r="C665" s="5" t="s">
        <v>21</v>
      </c>
      <c r="D665">
        <v>7001</v>
      </c>
      <c r="E665" s="5" t="s">
        <v>80</v>
      </c>
      <c r="F665" s="5" t="s">
        <v>17</v>
      </c>
      <c r="G665">
        <v>10</v>
      </c>
    </row>
    <row r="666" spans="1:7" x14ac:dyDescent="0.35">
      <c r="A666">
        <v>138590</v>
      </c>
      <c r="B666">
        <v>0</v>
      </c>
      <c r="C666" s="5" t="s">
        <v>51</v>
      </c>
      <c r="D666">
        <v>5307</v>
      </c>
      <c r="E666" s="5" t="s">
        <v>83</v>
      </c>
      <c r="F666" s="5" t="s">
        <v>17</v>
      </c>
      <c r="G666">
        <v>30</v>
      </c>
    </row>
    <row r="667" spans="1:7" x14ac:dyDescent="0.35">
      <c r="A667">
        <v>123386</v>
      </c>
      <c r="B667">
        <v>1</v>
      </c>
      <c r="C667" s="5" t="s">
        <v>20</v>
      </c>
      <c r="D667">
        <v>4201</v>
      </c>
      <c r="E667" s="5" t="s">
        <v>81</v>
      </c>
      <c r="F667" s="5" t="s">
        <v>14</v>
      </c>
      <c r="G667">
        <v>22</v>
      </c>
    </row>
    <row r="668" spans="1:7" x14ac:dyDescent="0.35">
      <c r="A668">
        <v>121759</v>
      </c>
      <c r="B668">
        <v>1</v>
      </c>
      <c r="C668" s="5" t="s">
        <v>20</v>
      </c>
      <c r="D668">
        <v>5601</v>
      </c>
      <c r="E668" s="5" t="s">
        <v>82</v>
      </c>
      <c r="F668" s="5" t="s">
        <v>14</v>
      </c>
      <c r="G668">
        <v>20</v>
      </c>
    </row>
    <row r="669" spans="1:7" x14ac:dyDescent="0.35">
      <c r="A669">
        <v>73534</v>
      </c>
      <c r="B669">
        <v>1</v>
      </c>
      <c r="C669" s="5" t="s">
        <v>26</v>
      </c>
      <c r="D669">
        <v>3301</v>
      </c>
      <c r="E669" s="5" t="s">
        <v>89</v>
      </c>
      <c r="F669" s="5" t="s">
        <v>14</v>
      </c>
      <c r="G669">
        <v>6</v>
      </c>
    </row>
    <row r="670" spans="1:7" x14ac:dyDescent="0.35">
      <c r="A670">
        <v>168423</v>
      </c>
      <c r="B670">
        <v>0</v>
      </c>
      <c r="C670" s="5" t="s">
        <v>21</v>
      </c>
      <c r="D670">
        <v>0</v>
      </c>
      <c r="E670" s="5" t="s">
        <v>85</v>
      </c>
      <c r="F670" s="5" t="s">
        <v>17</v>
      </c>
      <c r="G670">
        <v>25</v>
      </c>
    </row>
    <row r="671" spans="1:7" x14ac:dyDescent="0.35">
      <c r="A671">
        <v>169605</v>
      </c>
      <c r="B671">
        <v>0</v>
      </c>
      <c r="C671" s="5" t="s">
        <v>21</v>
      </c>
      <c r="D671">
        <v>0</v>
      </c>
      <c r="E671" s="5" t="s">
        <v>87</v>
      </c>
      <c r="F671" s="5" t="s">
        <v>86</v>
      </c>
      <c r="G671">
        <v>7</v>
      </c>
    </row>
    <row r="672" spans="1:7" x14ac:dyDescent="0.35">
      <c r="A672">
        <v>157573</v>
      </c>
      <c r="B672">
        <v>0</v>
      </c>
      <c r="C672" s="5" t="s">
        <v>21</v>
      </c>
      <c r="D672">
        <v>0</v>
      </c>
      <c r="E672" s="5" t="s">
        <v>83</v>
      </c>
      <c r="F672" s="5" t="s">
        <v>86</v>
      </c>
      <c r="G672">
        <v>47</v>
      </c>
    </row>
    <row r="673" spans="1:7" x14ac:dyDescent="0.35">
      <c r="A673">
        <v>23706</v>
      </c>
      <c r="B673">
        <v>0</v>
      </c>
      <c r="C673" s="5" t="s">
        <v>43</v>
      </c>
      <c r="D673">
        <v>0</v>
      </c>
      <c r="E673" s="5" t="s">
        <v>81</v>
      </c>
      <c r="F673" s="5" t="s">
        <v>14</v>
      </c>
      <c r="G673">
        <v>15</v>
      </c>
    </row>
    <row r="674" spans="1:7" x14ac:dyDescent="0.35">
      <c r="A674">
        <v>21855</v>
      </c>
      <c r="B674">
        <v>0</v>
      </c>
      <c r="C674" s="5" t="s">
        <v>18</v>
      </c>
      <c r="D674">
        <v>0</v>
      </c>
      <c r="E674" s="5" t="s">
        <v>81</v>
      </c>
      <c r="F674" s="5" t="s">
        <v>17</v>
      </c>
      <c r="G674">
        <v>20</v>
      </c>
    </row>
    <row r="675" spans="1:7" x14ac:dyDescent="0.35">
      <c r="A675">
        <v>148511</v>
      </c>
      <c r="B675">
        <v>0</v>
      </c>
      <c r="C675" s="5" t="s">
        <v>21</v>
      </c>
      <c r="D675">
        <v>0</v>
      </c>
      <c r="E675" s="5" t="s">
        <v>83</v>
      </c>
      <c r="F675" s="5" t="s">
        <v>17</v>
      </c>
      <c r="G675">
        <v>20</v>
      </c>
    </row>
    <row r="676" spans="1:7" x14ac:dyDescent="0.35">
      <c r="A676">
        <v>3579</v>
      </c>
      <c r="B676">
        <v>9</v>
      </c>
      <c r="C676" s="5" t="s">
        <v>21</v>
      </c>
      <c r="D676">
        <v>6001</v>
      </c>
      <c r="E676" s="5" t="s">
        <v>84</v>
      </c>
      <c r="F676" s="5" t="s">
        <v>14</v>
      </c>
      <c r="G676">
        <v>18</v>
      </c>
    </row>
    <row r="677" spans="1:7" x14ac:dyDescent="0.35">
      <c r="A677">
        <v>542</v>
      </c>
      <c r="B677">
        <v>0</v>
      </c>
      <c r="C677" s="5" t="s">
        <v>32</v>
      </c>
      <c r="D677">
        <v>0</v>
      </c>
      <c r="E677" s="5" t="s">
        <v>79</v>
      </c>
      <c r="F677" s="5" t="s">
        <v>14</v>
      </c>
      <c r="G677">
        <v>10</v>
      </c>
    </row>
    <row r="678" spans="1:7" x14ac:dyDescent="0.35">
      <c r="A678">
        <v>92079</v>
      </c>
      <c r="B678">
        <v>2</v>
      </c>
      <c r="C678" s="5" t="s">
        <v>16</v>
      </c>
      <c r="D678">
        <v>1503</v>
      </c>
      <c r="E678" s="5" t="s">
        <v>83</v>
      </c>
      <c r="F678" s="5" t="s">
        <v>14</v>
      </c>
      <c r="G678">
        <v>15</v>
      </c>
    </row>
    <row r="679" spans="1:7" x14ac:dyDescent="0.35">
      <c r="A679">
        <v>50967</v>
      </c>
      <c r="B679">
        <v>28</v>
      </c>
      <c r="C679" s="5" t="s">
        <v>49</v>
      </c>
      <c r="D679">
        <v>2401</v>
      </c>
      <c r="E679" s="5" t="s">
        <v>83</v>
      </c>
      <c r="F679" s="5" t="s">
        <v>17</v>
      </c>
      <c r="G679">
        <v>15</v>
      </c>
    </row>
    <row r="680" spans="1:7" x14ac:dyDescent="0.35">
      <c r="A680">
        <v>160997</v>
      </c>
      <c r="B680">
        <v>1</v>
      </c>
      <c r="C680" s="5" t="s">
        <v>21</v>
      </c>
      <c r="D680">
        <v>0</v>
      </c>
      <c r="E680" s="5" t="s">
        <v>81</v>
      </c>
      <c r="F680" s="5" t="s">
        <v>14</v>
      </c>
      <c r="G680">
        <v>10</v>
      </c>
    </row>
    <row r="681" spans="1:7" x14ac:dyDescent="0.35">
      <c r="A681">
        <v>121718</v>
      </c>
      <c r="B681">
        <v>1</v>
      </c>
      <c r="C681" s="5" t="s">
        <v>20</v>
      </c>
      <c r="D681">
        <v>2101</v>
      </c>
      <c r="E681" s="5" t="s">
        <v>82</v>
      </c>
      <c r="F681" s="5" t="s">
        <v>14</v>
      </c>
      <c r="G681">
        <v>30</v>
      </c>
    </row>
    <row r="682" spans="1:7" x14ac:dyDescent="0.35">
      <c r="A682">
        <v>68807</v>
      </c>
      <c r="B682">
        <v>28</v>
      </c>
      <c r="C682" s="5" t="s">
        <v>20</v>
      </c>
      <c r="D682">
        <v>0</v>
      </c>
      <c r="E682" s="5" t="s">
        <v>83</v>
      </c>
      <c r="F682" s="5" t="s">
        <v>17</v>
      </c>
      <c r="G682">
        <v>15</v>
      </c>
    </row>
    <row r="683" spans="1:7" x14ac:dyDescent="0.35">
      <c r="A683">
        <v>155045</v>
      </c>
      <c r="B683">
        <v>1</v>
      </c>
      <c r="C683" s="5" t="s">
        <v>20</v>
      </c>
      <c r="D683">
        <v>0</v>
      </c>
      <c r="E683" s="5" t="s">
        <v>89</v>
      </c>
      <c r="F683" s="5" t="s">
        <v>14</v>
      </c>
      <c r="G683">
        <v>10</v>
      </c>
    </row>
    <row r="684" spans="1:7" x14ac:dyDescent="0.35">
      <c r="A684">
        <v>146703</v>
      </c>
      <c r="B684">
        <v>1</v>
      </c>
      <c r="C684" s="5" t="s">
        <v>21</v>
      </c>
      <c r="D684">
        <v>0</v>
      </c>
      <c r="E684" s="5" t="s">
        <v>87</v>
      </c>
      <c r="F684" s="5" t="s">
        <v>86</v>
      </c>
      <c r="G684">
        <v>15</v>
      </c>
    </row>
    <row r="685" spans="1:7" x14ac:dyDescent="0.35">
      <c r="A685">
        <v>81298</v>
      </c>
      <c r="B685">
        <v>1002</v>
      </c>
      <c r="C685" s="5" t="s">
        <v>32</v>
      </c>
      <c r="D685">
        <v>4612</v>
      </c>
      <c r="E685" s="5" t="s">
        <v>78</v>
      </c>
      <c r="F685" s="5" t="s">
        <v>41</v>
      </c>
      <c r="G685">
        <v>10</v>
      </c>
    </row>
    <row r="686" spans="1:7" x14ac:dyDescent="0.35">
      <c r="A686">
        <v>172301</v>
      </c>
      <c r="B686">
        <v>2</v>
      </c>
      <c r="C686" s="5" t="s">
        <v>21</v>
      </c>
      <c r="D686">
        <v>2301</v>
      </c>
      <c r="E686" s="5" t="s">
        <v>85</v>
      </c>
      <c r="F686" s="5" t="s">
        <v>14</v>
      </c>
      <c r="G686">
        <v>23</v>
      </c>
    </row>
    <row r="687" spans="1:7" x14ac:dyDescent="0.35">
      <c r="A687">
        <v>92241</v>
      </c>
      <c r="B687">
        <v>0</v>
      </c>
      <c r="C687" s="5" t="s">
        <v>16</v>
      </c>
      <c r="D687">
        <v>3312</v>
      </c>
      <c r="E687" s="5" t="s">
        <v>82</v>
      </c>
      <c r="F687" s="5" t="s">
        <v>14</v>
      </c>
      <c r="G687">
        <v>20</v>
      </c>
    </row>
    <row r="688" spans="1:7" x14ac:dyDescent="0.35">
      <c r="A688">
        <v>116930</v>
      </c>
      <c r="B688">
        <v>0</v>
      </c>
      <c r="C688" s="5" t="s">
        <v>20</v>
      </c>
      <c r="D688">
        <v>2207</v>
      </c>
      <c r="E688" s="5" t="s">
        <v>85</v>
      </c>
      <c r="F688" s="5" t="s">
        <v>17</v>
      </c>
      <c r="G688">
        <v>20</v>
      </c>
    </row>
    <row r="689" spans="1:7" x14ac:dyDescent="0.35">
      <c r="A689">
        <v>20338</v>
      </c>
      <c r="B689">
        <v>0</v>
      </c>
      <c r="C689" s="5" t="s">
        <v>18</v>
      </c>
      <c r="D689">
        <v>2301</v>
      </c>
      <c r="E689" s="5" t="s">
        <v>82</v>
      </c>
      <c r="F689" s="5" t="s">
        <v>14</v>
      </c>
      <c r="G689">
        <v>125</v>
      </c>
    </row>
    <row r="690" spans="1:7" x14ac:dyDescent="0.35">
      <c r="A690">
        <v>177113</v>
      </c>
      <c r="B690">
        <v>2</v>
      </c>
      <c r="C690" s="5" t="s">
        <v>47</v>
      </c>
      <c r="D690">
        <v>0</v>
      </c>
      <c r="E690" s="5" t="s">
        <v>89</v>
      </c>
      <c r="F690" s="5" t="s">
        <v>17</v>
      </c>
      <c r="G690">
        <v>14</v>
      </c>
    </row>
    <row r="691" spans="1:7" x14ac:dyDescent="0.35">
      <c r="A691">
        <v>46687</v>
      </c>
      <c r="B691">
        <v>0</v>
      </c>
      <c r="C691" s="5" t="s">
        <v>40</v>
      </c>
      <c r="D691">
        <v>0</v>
      </c>
      <c r="E691" s="5" t="s">
        <v>79</v>
      </c>
      <c r="F691" s="5" t="s">
        <v>17</v>
      </c>
      <c r="G691">
        <v>10</v>
      </c>
    </row>
    <row r="692" spans="1:7" x14ac:dyDescent="0.35">
      <c r="A692">
        <v>171137</v>
      </c>
      <c r="B692">
        <v>1</v>
      </c>
      <c r="C692" s="5" t="s">
        <v>21</v>
      </c>
      <c r="D692">
        <v>2607</v>
      </c>
      <c r="E692" s="5" t="s">
        <v>84</v>
      </c>
      <c r="F692" s="5" t="s">
        <v>14</v>
      </c>
      <c r="G692">
        <v>14</v>
      </c>
    </row>
    <row r="693" spans="1:7" x14ac:dyDescent="0.35">
      <c r="A693">
        <v>2499</v>
      </c>
      <c r="B693">
        <v>0</v>
      </c>
      <c r="C693" s="5" t="s">
        <v>30</v>
      </c>
      <c r="D693">
        <v>0</v>
      </c>
      <c r="E693" s="5" t="s">
        <v>79</v>
      </c>
      <c r="F693" s="5" t="s">
        <v>17</v>
      </c>
      <c r="G693">
        <v>5</v>
      </c>
    </row>
    <row r="694" spans="1:7" x14ac:dyDescent="0.35">
      <c r="A694">
        <v>149644</v>
      </c>
      <c r="B694">
        <v>0</v>
      </c>
      <c r="C694" s="5" t="s">
        <v>21</v>
      </c>
      <c r="D694">
        <v>0</v>
      </c>
      <c r="E694" s="5" t="s">
        <v>85</v>
      </c>
      <c r="F694" s="5" t="s">
        <v>17</v>
      </c>
      <c r="G694">
        <v>20</v>
      </c>
    </row>
    <row r="695" spans="1:7" x14ac:dyDescent="0.35">
      <c r="A695">
        <v>18584</v>
      </c>
      <c r="B695">
        <v>0</v>
      </c>
      <c r="C695" s="5" t="s">
        <v>18</v>
      </c>
      <c r="D695">
        <v>2211</v>
      </c>
      <c r="E695" s="5" t="s">
        <v>78</v>
      </c>
      <c r="F695" s="5" t="s">
        <v>17</v>
      </c>
      <c r="G695">
        <v>12</v>
      </c>
    </row>
    <row r="696" spans="1:7" x14ac:dyDescent="0.35">
      <c r="A696">
        <v>186486</v>
      </c>
      <c r="B696">
        <v>0</v>
      </c>
      <c r="C696" s="5" t="s">
        <v>21</v>
      </c>
      <c r="D696">
        <v>0</v>
      </c>
      <c r="E696" s="5" t="s">
        <v>85</v>
      </c>
      <c r="F696" s="5" t="s">
        <v>17</v>
      </c>
      <c r="G696">
        <v>3</v>
      </c>
    </row>
    <row r="697" spans="1:7" x14ac:dyDescent="0.35">
      <c r="A697">
        <v>148544</v>
      </c>
      <c r="B697">
        <v>2</v>
      </c>
      <c r="C697" s="5" t="s">
        <v>21</v>
      </c>
      <c r="D697">
        <v>3908</v>
      </c>
      <c r="E697" s="5" t="s">
        <v>83</v>
      </c>
      <c r="F697" s="5" t="s">
        <v>17</v>
      </c>
      <c r="G697">
        <v>10</v>
      </c>
    </row>
    <row r="698" spans="1:7" x14ac:dyDescent="0.35">
      <c r="A698">
        <v>17217</v>
      </c>
      <c r="B698">
        <v>0</v>
      </c>
      <c r="C698" s="5" t="s">
        <v>18</v>
      </c>
      <c r="D698">
        <v>3001</v>
      </c>
      <c r="E698" s="5" t="s">
        <v>81</v>
      </c>
      <c r="F698" s="5" t="s">
        <v>14</v>
      </c>
      <c r="G698">
        <v>10</v>
      </c>
    </row>
    <row r="699" spans="1:7" x14ac:dyDescent="0.35">
      <c r="A699">
        <v>111833</v>
      </c>
      <c r="B699">
        <v>2</v>
      </c>
      <c r="C699" s="5" t="s">
        <v>29</v>
      </c>
      <c r="D699">
        <v>0</v>
      </c>
      <c r="E699" s="5" t="s">
        <v>94</v>
      </c>
      <c r="F699" s="5" t="s">
        <v>17</v>
      </c>
      <c r="G699">
        <v>5</v>
      </c>
    </row>
    <row r="700" spans="1:7" x14ac:dyDescent="0.35">
      <c r="A700">
        <v>158245</v>
      </c>
      <c r="B700">
        <v>0</v>
      </c>
      <c r="C700" s="5" t="s">
        <v>21</v>
      </c>
      <c r="D700">
        <v>0</v>
      </c>
      <c r="E700" s="5" t="s">
        <v>88</v>
      </c>
      <c r="F700" s="5" t="s">
        <v>14</v>
      </c>
      <c r="G700">
        <v>5</v>
      </c>
    </row>
    <row r="701" spans="1:7" x14ac:dyDescent="0.35">
      <c r="A701">
        <v>179776</v>
      </c>
      <c r="B701">
        <v>2</v>
      </c>
      <c r="C701" s="5" t="s">
        <v>37</v>
      </c>
      <c r="D701">
        <v>3102</v>
      </c>
      <c r="E701" s="5" t="s">
        <v>83</v>
      </c>
      <c r="F701" s="5" t="s">
        <v>17</v>
      </c>
      <c r="G701">
        <v>10</v>
      </c>
    </row>
    <row r="702" spans="1:7" x14ac:dyDescent="0.35">
      <c r="A702">
        <v>165102</v>
      </c>
      <c r="B702">
        <v>1</v>
      </c>
      <c r="C702" s="5" t="s">
        <v>21</v>
      </c>
      <c r="D702">
        <v>2201</v>
      </c>
      <c r="E702" s="5" t="s">
        <v>83</v>
      </c>
      <c r="F702" s="5" t="s">
        <v>14</v>
      </c>
      <c r="G702">
        <v>25</v>
      </c>
    </row>
    <row r="703" spans="1:7" x14ac:dyDescent="0.35">
      <c r="A703">
        <v>95341</v>
      </c>
      <c r="B703">
        <v>28</v>
      </c>
      <c r="C703" s="5" t="s">
        <v>16</v>
      </c>
      <c r="D703">
        <v>0</v>
      </c>
      <c r="E703" s="5" t="s">
        <v>79</v>
      </c>
      <c r="F703" s="5" t="s">
        <v>17</v>
      </c>
      <c r="G703">
        <v>10</v>
      </c>
    </row>
    <row r="704" spans="1:7" x14ac:dyDescent="0.35">
      <c r="A704">
        <v>166375</v>
      </c>
      <c r="B704">
        <v>0</v>
      </c>
      <c r="C704" s="5" t="s">
        <v>21</v>
      </c>
      <c r="D704">
        <v>2901</v>
      </c>
      <c r="E704" s="5" t="s">
        <v>83</v>
      </c>
      <c r="F704" s="5" t="s">
        <v>17</v>
      </c>
      <c r="G704">
        <v>11</v>
      </c>
    </row>
    <row r="705" spans="1:7" x14ac:dyDescent="0.35">
      <c r="A705">
        <v>69577</v>
      </c>
      <c r="B705">
        <v>1</v>
      </c>
      <c r="C705" s="5" t="s">
        <v>26</v>
      </c>
      <c r="D705">
        <v>6001</v>
      </c>
      <c r="E705" s="5" t="s">
        <v>81</v>
      </c>
      <c r="F705" s="5" t="s">
        <v>14</v>
      </c>
      <c r="G705">
        <v>8</v>
      </c>
    </row>
    <row r="706" spans="1:7" x14ac:dyDescent="0.35">
      <c r="A706">
        <v>29785</v>
      </c>
      <c r="B706">
        <v>0</v>
      </c>
      <c r="C706" s="5" t="s">
        <v>36</v>
      </c>
      <c r="D706">
        <v>2501</v>
      </c>
      <c r="E706" s="5" t="s">
        <v>78</v>
      </c>
      <c r="F706" s="5" t="s">
        <v>17</v>
      </c>
      <c r="G706">
        <v>15</v>
      </c>
    </row>
    <row r="707" spans="1:7" x14ac:dyDescent="0.35">
      <c r="A707">
        <v>188279</v>
      </c>
      <c r="B707">
        <v>1</v>
      </c>
      <c r="C707" s="5" t="s">
        <v>26</v>
      </c>
      <c r="D707">
        <v>3501</v>
      </c>
      <c r="E707" s="5" t="s">
        <v>80</v>
      </c>
      <c r="F707" s="5" t="s">
        <v>14</v>
      </c>
      <c r="G707">
        <v>10</v>
      </c>
    </row>
    <row r="708" spans="1:7" x14ac:dyDescent="0.35">
      <c r="A708">
        <v>150970</v>
      </c>
      <c r="B708">
        <v>2</v>
      </c>
      <c r="C708" s="5" t="s">
        <v>21</v>
      </c>
      <c r="D708">
        <v>4601</v>
      </c>
      <c r="E708" s="5" t="s">
        <v>93</v>
      </c>
      <c r="F708" s="5" t="s">
        <v>17</v>
      </c>
      <c r="G708">
        <v>20</v>
      </c>
    </row>
    <row r="709" spans="1:7" x14ac:dyDescent="0.35">
      <c r="A709">
        <v>77799</v>
      </c>
      <c r="B709">
        <v>0</v>
      </c>
      <c r="C709" s="5" t="s">
        <v>32</v>
      </c>
      <c r="D709">
        <v>3703</v>
      </c>
      <c r="E709" s="5" t="s">
        <v>83</v>
      </c>
      <c r="F709" s="5" t="s">
        <v>14</v>
      </c>
      <c r="G709">
        <v>10</v>
      </c>
    </row>
    <row r="710" spans="1:7" x14ac:dyDescent="0.35">
      <c r="A710">
        <v>90694</v>
      </c>
      <c r="B710">
        <v>28</v>
      </c>
      <c r="C710" s="5" t="s">
        <v>16</v>
      </c>
      <c r="D710">
        <v>1501</v>
      </c>
      <c r="E710" s="5" t="s">
        <v>85</v>
      </c>
      <c r="F710" s="5" t="s">
        <v>17</v>
      </c>
      <c r="G710">
        <v>30</v>
      </c>
    </row>
    <row r="711" spans="1:7" x14ac:dyDescent="0.35">
      <c r="A711">
        <v>173508</v>
      </c>
      <c r="B711">
        <v>1</v>
      </c>
      <c r="C711" s="5" t="s">
        <v>34</v>
      </c>
      <c r="D711">
        <v>0</v>
      </c>
      <c r="E711" s="5" t="s">
        <v>83</v>
      </c>
      <c r="F711" s="5" t="s">
        <v>14</v>
      </c>
      <c r="G711">
        <v>25</v>
      </c>
    </row>
    <row r="712" spans="1:7" x14ac:dyDescent="0.35">
      <c r="A712">
        <v>102775</v>
      </c>
      <c r="B712">
        <v>0</v>
      </c>
      <c r="C712" s="5" t="s">
        <v>38</v>
      </c>
      <c r="D712">
        <v>0</v>
      </c>
      <c r="E712" s="5" t="s">
        <v>81</v>
      </c>
      <c r="F712" s="5" t="s">
        <v>17</v>
      </c>
      <c r="G712">
        <v>20</v>
      </c>
    </row>
    <row r="713" spans="1:7" x14ac:dyDescent="0.35">
      <c r="A713">
        <v>117255</v>
      </c>
      <c r="B713">
        <v>2</v>
      </c>
      <c r="C713" s="5" t="s">
        <v>20</v>
      </c>
      <c r="D713">
        <v>1701</v>
      </c>
      <c r="E713" s="5" t="s">
        <v>85</v>
      </c>
      <c r="F713" s="5" t="s">
        <v>17</v>
      </c>
      <c r="G713">
        <v>10</v>
      </c>
    </row>
    <row r="714" spans="1:7" x14ac:dyDescent="0.35">
      <c r="A714">
        <v>145392</v>
      </c>
      <c r="B714">
        <v>2</v>
      </c>
      <c r="C714" s="5" t="s">
        <v>21</v>
      </c>
      <c r="D714">
        <v>3102</v>
      </c>
      <c r="E714" s="5" t="s">
        <v>83</v>
      </c>
      <c r="F714" s="5" t="s">
        <v>27</v>
      </c>
      <c r="G714">
        <v>15</v>
      </c>
    </row>
    <row r="715" spans="1:7" x14ac:dyDescent="0.35">
      <c r="A715">
        <v>185052</v>
      </c>
      <c r="B715">
        <v>1</v>
      </c>
      <c r="C715" s="5" t="s">
        <v>20</v>
      </c>
      <c r="D715">
        <v>5001</v>
      </c>
      <c r="E715" s="5" t="s">
        <v>85</v>
      </c>
      <c r="F715" s="5" t="s">
        <v>14</v>
      </c>
      <c r="G715">
        <v>100</v>
      </c>
    </row>
    <row r="716" spans="1:7" x14ac:dyDescent="0.35">
      <c r="A716">
        <v>179423</v>
      </c>
      <c r="B716">
        <v>0</v>
      </c>
      <c r="C716" s="5" t="s">
        <v>37</v>
      </c>
      <c r="D716">
        <v>1501</v>
      </c>
      <c r="E716" s="5" t="s">
        <v>85</v>
      </c>
      <c r="F716" s="5" t="s">
        <v>17</v>
      </c>
      <c r="G716">
        <v>20</v>
      </c>
    </row>
    <row r="717" spans="1:7" x14ac:dyDescent="0.35">
      <c r="A717">
        <v>6304</v>
      </c>
      <c r="B717">
        <v>1</v>
      </c>
      <c r="C717" s="5" t="s">
        <v>25</v>
      </c>
      <c r="D717">
        <v>1202</v>
      </c>
      <c r="E717" s="5" t="s">
        <v>81</v>
      </c>
      <c r="F717" s="5" t="s">
        <v>14</v>
      </c>
      <c r="G717">
        <v>20</v>
      </c>
    </row>
    <row r="718" spans="1:7" x14ac:dyDescent="0.35">
      <c r="A718">
        <v>3631</v>
      </c>
      <c r="B718">
        <v>1</v>
      </c>
      <c r="C718" s="5" t="s">
        <v>47</v>
      </c>
      <c r="D718">
        <v>0</v>
      </c>
      <c r="E718" s="5" t="s">
        <v>80</v>
      </c>
      <c r="F718" s="5" t="s">
        <v>14</v>
      </c>
      <c r="G718">
        <v>13</v>
      </c>
    </row>
    <row r="719" spans="1:7" x14ac:dyDescent="0.35">
      <c r="A719">
        <v>78199</v>
      </c>
      <c r="B719">
        <v>1</v>
      </c>
      <c r="C719" s="5" t="s">
        <v>32</v>
      </c>
      <c r="D719">
        <v>4610</v>
      </c>
      <c r="E719" s="5" t="s">
        <v>82</v>
      </c>
      <c r="F719" s="5" t="s">
        <v>14</v>
      </c>
      <c r="G719">
        <v>15</v>
      </c>
    </row>
    <row r="720" spans="1:7" x14ac:dyDescent="0.35">
      <c r="A720">
        <v>128496</v>
      </c>
      <c r="B720">
        <v>2</v>
      </c>
      <c r="C720" s="5" t="s">
        <v>20</v>
      </c>
      <c r="D720">
        <v>0</v>
      </c>
      <c r="E720" s="5" t="s">
        <v>94</v>
      </c>
      <c r="F720" s="5" t="s">
        <v>14</v>
      </c>
      <c r="G720">
        <v>6</v>
      </c>
    </row>
    <row r="721" spans="1:7" x14ac:dyDescent="0.35">
      <c r="A721">
        <v>1292</v>
      </c>
      <c r="B721">
        <v>1</v>
      </c>
      <c r="C721" s="5" t="s">
        <v>13</v>
      </c>
      <c r="D721">
        <v>5001</v>
      </c>
      <c r="E721" s="5" t="s">
        <v>78</v>
      </c>
      <c r="F721" s="5" t="s">
        <v>14</v>
      </c>
      <c r="G721">
        <v>15</v>
      </c>
    </row>
    <row r="722" spans="1:7" x14ac:dyDescent="0.35">
      <c r="A722">
        <v>114676</v>
      </c>
      <c r="B722">
        <v>0</v>
      </c>
      <c r="C722" s="5" t="s">
        <v>28</v>
      </c>
      <c r="D722">
        <v>5201</v>
      </c>
      <c r="E722" s="5" t="s">
        <v>84</v>
      </c>
      <c r="F722" s="5" t="s">
        <v>86</v>
      </c>
      <c r="G722">
        <v>20</v>
      </c>
    </row>
    <row r="723" spans="1:7" x14ac:dyDescent="0.35">
      <c r="A723">
        <v>93065</v>
      </c>
      <c r="B723">
        <v>1</v>
      </c>
      <c r="C723" s="5" t="s">
        <v>16</v>
      </c>
      <c r="D723">
        <v>0</v>
      </c>
      <c r="E723" s="5" t="s">
        <v>85</v>
      </c>
      <c r="F723" s="5" t="s">
        <v>14</v>
      </c>
      <c r="G723">
        <v>10</v>
      </c>
    </row>
    <row r="724" spans="1:7" x14ac:dyDescent="0.35">
      <c r="A724">
        <v>125181</v>
      </c>
      <c r="B724">
        <v>1</v>
      </c>
      <c r="C724" s="5" t="s">
        <v>20</v>
      </c>
      <c r="D724">
        <v>1201</v>
      </c>
      <c r="E724" s="5" t="s">
        <v>83</v>
      </c>
      <c r="F724" s="5" t="s">
        <v>17</v>
      </c>
      <c r="G724">
        <v>8</v>
      </c>
    </row>
    <row r="725" spans="1:7" x14ac:dyDescent="0.35">
      <c r="A725">
        <v>157204</v>
      </c>
      <c r="B725">
        <v>0</v>
      </c>
      <c r="C725" s="5" t="s">
        <v>21</v>
      </c>
      <c r="D725">
        <v>4204</v>
      </c>
      <c r="E725" s="5" t="s">
        <v>85</v>
      </c>
      <c r="F725" s="5" t="s">
        <v>17</v>
      </c>
      <c r="G725">
        <v>20</v>
      </c>
    </row>
    <row r="726" spans="1:7" x14ac:dyDescent="0.35">
      <c r="A726">
        <v>69445</v>
      </c>
      <c r="B726">
        <v>1</v>
      </c>
      <c r="C726" s="5" t="s">
        <v>26</v>
      </c>
      <c r="D726">
        <v>5701</v>
      </c>
      <c r="E726" s="5" t="s">
        <v>84</v>
      </c>
      <c r="F726" s="5" t="s">
        <v>14</v>
      </c>
      <c r="G726">
        <v>10</v>
      </c>
    </row>
    <row r="727" spans="1:7" x14ac:dyDescent="0.35">
      <c r="A727">
        <v>14370</v>
      </c>
      <c r="B727">
        <v>2</v>
      </c>
      <c r="C727" s="5" t="s">
        <v>13</v>
      </c>
      <c r="D727">
        <v>4306</v>
      </c>
      <c r="E727" s="5" t="s">
        <v>80</v>
      </c>
      <c r="F727" s="5" t="s">
        <v>17</v>
      </c>
      <c r="G727">
        <v>5</v>
      </c>
    </row>
    <row r="728" spans="1:7" x14ac:dyDescent="0.35">
      <c r="A728">
        <v>10092</v>
      </c>
      <c r="B728">
        <v>1</v>
      </c>
      <c r="C728" s="5" t="s">
        <v>23</v>
      </c>
      <c r="D728">
        <v>3106</v>
      </c>
      <c r="E728" s="5" t="s">
        <v>79</v>
      </c>
      <c r="F728" s="5" t="s">
        <v>14</v>
      </c>
      <c r="G728">
        <v>10</v>
      </c>
    </row>
    <row r="729" spans="1:7" x14ac:dyDescent="0.35">
      <c r="A729">
        <v>58883</v>
      </c>
      <c r="B729">
        <v>0</v>
      </c>
      <c r="C729" s="5" t="s">
        <v>20</v>
      </c>
      <c r="D729">
        <v>0</v>
      </c>
      <c r="E729" s="5" t="s">
        <v>89</v>
      </c>
      <c r="F729" s="5" t="s">
        <v>17</v>
      </c>
      <c r="G729">
        <v>5</v>
      </c>
    </row>
    <row r="730" spans="1:7" x14ac:dyDescent="0.35">
      <c r="A730">
        <v>99136</v>
      </c>
      <c r="B730">
        <v>1</v>
      </c>
      <c r="C730" s="5" t="s">
        <v>16</v>
      </c>
      <c r="D730">
        <v>1701</v>
      </c>
      <c r="E730" s="5" t="s">
        <v>79</v>
      </c>
      <c r="F730" s="5" t="s">
        <v>14</v>
      </c>
      <c r="G730">
        <v>12</v>
      </c>
    </row>
    <row r="731" spans="1:7" x14ac:dyDescent="0.35">
      <c r="A731">
        <v>187142</v>
      </c>
      <c r="B731">
        <v>1</v>
      </c>
      <c r="C731" s="5" t="s">
        <v>21</v>
      </c>
      <c r="D731">
        <v>1307</v>
      </c>
      <c r="E731" s="5" t="s">
        <v>87</v>
      </c>
      <c r="F731" s="5" t="s">
        <v>14</v>
      </c>
      <c r="G731">
        <v>24</v>
      </c>
    </row>
    <row r="732" spans="1:7" x14ac:dyDescent="0.35">
      <c r="A732">
        <v>53893</v>
      </c>
      <c r="B732">
        <v>1</v>
      </c>
      <c r="C732" s="5" t="s">
        <v>49</v>
      </c>
      <c r="D732">
        <v>3201</v>
      </c>
      <c r="E732" s="5" t="s">
        <v>79</v>
      </c>
      <c r="F732" s="5" t="s">
        <v>14</v>
      </c>
      <c r="G732">
        <v>25</v>
      </c>
    </row>
    <row r="733" spans="1:7" x14ac:dyDescent="0.35">
      <c r="A733">
        <v>161980</v>
      </c>
      <c r="B733">
        <v>0</v>
      </c>
      <c r="C733" s="5" t="s">
        <v>21</v>
      </c>
      <c r="D733">
        <v>0</v>
      </c>
      <c r="E733" s="5" t="s">
        <v>83</v>
      </c>
      <c r="F733" s="5" t="s">
        <v>14</v>
      </c>
      <c r="G733">
        <v>4</v>
      </c>
    </row>
    <row r="734" spans="1:7" x14ac:dyDescent="0.35">
      <c r="A734">
        <v>23027</v>
      </c>
      <c r="B734">
        <v>1</v>
      </c>
      <c r="C734" s="5" t="s">
        <v>43</v>
      </c>
      <c r="D734">
        <v>3108</v>
      </c>
      <c r="E734" s="5" t="s">
        <v>83</v>
      </c>
      <c r="F734" s="5" t="s">
        <v>14</v>
      </c>
      <c r="G734">
        <v>15</v>
      </c>
    </row>
    <row r="735" spans="1:7" x14ac:dyDescent="0.35">
      <c r="A735">
        <v>128963</v>
      </c>
      <c r="B735">
        <v>1</v>
      </c>
      <c r="C735" s="5" t="s">
        <v>20</v>
      </c>
      <c r="D735">
        <v>2601</v>
      </c>
      <c r="E735" s="5" t="s">
        <v>87</v>
      </c>
      <c r="F735" s="5" t="s">
        <v>14</v>
      </c>
      <c r="G735">
        <v>10</v>
      </c>
    </row>
    <row r="736" spans="1:7" x14ac:dyDescent="0.35">
      <c r="A736">
        <v>7917</v>
      </c>
      <c r="B736">
        <v>1</v>
      </c>
      <c r="C736" s="5" t="s">
        <v>21</v>
      </c>
      <c r="D736">
        <v>6001</v>
      </c>
      <c r="E736" s="5" t="s">
        <v>85</v>
      </c>
      <c r="F736" s="5" t="s">
        <v>14</v>
      </c>
      <c r="G736">
        <v>3</v>
      </c>
    </row>
    <row r="737" spans="1:7" x14ac:dyDescent="0.35">
      <c r="A737">
        <v>190562</v>
      </c>
      <c r="B737">
        <v>0</v>
      </c>
      <c r="C737" s="5" t="s">
        <v>13</v>
      </c>
      <c r="D737">
        <v>1801</v>
      </c>
      <c r="E737" s="5" t="s">
        <v>86</v>
      </c>
      <c r="F737" s="5" t="s">
        <v>17</v>
      </c>
      <c r="G737">
        <v>10</v>
      </c>
    </row>
    <row r="738" spans="1:7" x14ac:dyDescent="0.35">
      <c r="A738">
        <v>168234</v>
      </c>
      <c r="B738">
        <v>0</v>
      </c>
      <c r="C738" s="5" t="s">
        <v>21</v>
      </c>
      <c r="D738">
        <v>0</v>
      </c>
      <c r="E738" s="5" t="s">
        <v>85</v>
      </c>
      <c r="F738" s="5" t="s">
        <v>17</v>
      </c>
      <c r="G738">
        <v>23</v>
      </c>
    </row>
    <row r="739" spans="1:7" x14ac:dyDescent="0.35">
      <c r="A739">
        <v>41089</v>
      </c>
      <c r="B739">
        <v>0</v>
      </c>
      <c r="C739" s="5" t="s">
        <v>13</v>
      </c>
      <c r="D739">
        <v>2112</v>
      </c>
      <c r="E739" s="5" t="s">
        <v>78</v>
      </c>
      <c r="F739" s="5" t="s">
        <v>17</v>
      </c>
      <c r="G739">
        <v>5</v>
      </c>
    </row>
    <row r="740" spans="1:7" x14ac:dyDescent="0.35">
      <c r="A740">
        <v>174803</v>
      </c>
      <c r="B740">
        <v>1</v>
      </c>
      <c r="C740" s="5" t="s">
        <v>47</v>
      </c>
      <c r="D740">
        <v>4307</v>
      </c>
      <c r="E740" s="5" t="s">
        <v>84</v>
      </c>
      <c r="F740" s="5" t="s">
        <v>14</v>
      </c>
      <c r="G740">
        <v>10</v>
      </c>
    </row>
    <row r="741" spans="1:7" x14ac:dyDescent="0.35">
      <c r="A741">
        <v>162208</v>
      </c>
      <c r="B741">
        <v>1</v>
      </c>
      <c r="C741" s="5" t="s">
        <v>21</v>
      </c>
      <c r="D741">
        <v>2001</v>
      </c>
      <c r="E741" s="5" t="s">
        <v>83</v>
      </c>
      <c r="F741" s="5" t="s">
        <v>14</v>
      </c>
      <c r="G741">
        <v>10</v>
      </c>
    </row>
    <row r="742" spans="1:7" x14ac:dyDescent="0.35">
      <c r="A742">
        <v>113045</v>
      </c>
      <c r="B742">
        <v>0</v>
      </c>
      <c r="C742" s="5" t="s">
        <v>28</v>
      </c>
      <c r="D742">
        <v>0</v>
      </c>
      <c r="E742" s="5" t="s">
        <v>79</v>
      </c>
      <c r="F742" s="5" t="s">
        <v>86</v>
      </c>
      <c r="G742">
        <v>25</v>
      </c>
    </row>
    <row r="743" spans="1:7" x14ac:dyDescent="0.35">
      <c r="A743">
        <v>182105</v>
      </c>
      <c r="B743">
        <v>2</v>
      </c>
      <c r="C743" s="5" t="s">
        <v>37</v>
      </c>
      <c r="D743">
        <v>3104</v>
      </c>
      <c r="E743" s="5" t="s">
        <v>80</v>
      </c>
      <c r="F743" s="5" t="s">
        <v>17</v>
      </c>
      <c r="G743">
        <v>10</v>
      </c>
    </row>
    <row r="744" spans="1:7" x14ac:dyDescent="0.35">
      <c r="A744">
        <v>19323</v>
      </c>
      <c r="B744">
        <v>0</v>
      </c>
      <c r="C744" s="5" t="s">
        <v>18</v>
      </c>
      <c r="D744">
        <v>2401</v>
      </c>
      <c r="E744" s="5" t="s">
        <v>90</v>
      </c>
      <c r="F744" s="5" t="s">
        <v>14</v>
      </c>
      <c r="G744">
        <v>1687</v>
      </c>
    </row>
    <row r="745" spans="1:7" x14ac:dyDescent="0.35">
      <c r="A745">
        <v>124683</v>
      </c>
      <c r="B745">
        <v>0</v>
      </c>
      <c r="C745" s="5" t="s">
        <v>20</v>
      </c>
      <c r="D745">
        <v>2401</v>
      </c>
      <c r="E745" s="5" t="s">
        <v>84</v>
      </c>
      <c r="F745" s="5" t="s">
        <v>14</v>
      </c>
      <c r="G745">
        <v>12</v>
      </c>
    </row>
    <row r="746" spans="1:7" x14ac:dyDescent="0.35">
      <c r="A746">
        <v>25641</v>
      </c>
      <c r="B746">
        <v>1</v>
      </c>
      <c r="C746" s="5" t="s">
        <v>36</v>
      </c>
      <c r="D746">
        <v>2410</v>
      </c>
      <c r="E746" s="5" t="s">
        <v>80</v>
      </c>
      <c r="F746" s="5" t="s">
        <v>14</v>
      </c>
      <c r="G746">
        <v>10</v>
      </c>
    </row>
    <row r="747" spans="1:7" x14ac:dyDescent="0.35">
      <c r="A747">
        <v>165440</v>
      </c>
      <c r="B747">
        <v>28</v>
      </c>
      <c r="C747" s="5" t="s">
        <v>21</v>
      </c>
      <c r="D747">
        <v>6209</v>
      </c>
      <c r="E747" s="5" t="s">
        <v>78</v>
      </c>
      <c r="F747" s="5" t="s">
        <v>17</v>
      </c>
      <c r="G747">
        <v>20</v>
      </c>
    </row>
    <row r="748" spans="1:7" x14ac:dyDescent="0.35">
      <c r="A748">
        <v>124395</v>
      </c>
      <c r="B748">
        <v>1</v>
      </c>
      <c r="C748" s="5" t="s">
        <v>20</v>
      </c>
      <c r="D748">
        <v>1907</v>
      </c>
      <c r="E748" s="5" t="s">
        <v>79</v>
      </c>
      <c r="F748" s="5" t="s">
        <v>14</v>
      </c>
      <c r="G748">
        <v>20</v>
      </c>
    </row>
    <row r="749" spans="1:7" x14ac:dyDescent="0.35">
      <c r="A749">
        <v>73504</v>
      </c>
      <c r="B749">
        <v>0</v>
      </c>
      <c r="C749" s="5" t="s">
        <v>26</v>
      </c>
      <c r="D749">
        <v>3902</v>
      </c>
      <c r="E749" s="5" t="s">
        <v>81</v>
      </c>
      <c r="F749" s="5" t="s">
        <v>17</v>
      </c>
      <c r="G749">
        <v>20</v>
      </c>
    </row>
    <row r="750" spans="1:7" x14ac:dyDescent="0.35">
      <c r="A750">
        <v>188439</v>
      </c>
      <c r="B750">
        <v>0</v>
      </c>
      <c r="C750" s="5" t="s">
        <v>21</v>
      </c>
      <c r="D750">
        <v>0</v>
      </c>
      <c r="E750" s="5" t="s">
        <v>86</v>
      </c>
      <c r="F750" s="5" t="s">
        <v>17</v>
      </c>
      <c r="G750">
        <v>14</v>
      </c>
    </row>
    <row r="751" spans="1:7" x14ac:dyDescent="0.35">
      <c r="A751">
        <v>187518</v>
      </c>
      <c r="B751">
        <v>2</v>
      </c>
      <c r="C751" s="5" t="s">
        <v>20</v>
      </c>
      <c r="D751">
        <v>0</v>
      </c>
      <c r="E751" s="5" t="s">
        <v>83</v>
      </c>
      <c r="F751" s="5" t="s">
        <v>17</v>
      </c>
      <c r="G751">
        <v>16</v>
      </c>
    </row>
    <row r="752" spans="1:7" x14ac:dyDescent="0.35">
      <c r="A752">
        <v>24212</v>
      </c>
      <c r="B752">
        <v>1</v>
      </c>
      <c r="C752" s="5" t="s">
        <v>43</v>
      </c>
      <c r="D752">
        <v>4401</v>
      </c>
      <c r="E752" s="5" t="s">
        <v>79</v>
      </c>
      <c r="F752" s="5" t="s">
        <v>14</v>
      </c>
      <c r="G752">
        <v>6</v>
      </c>
    </row>
    <row r="753" spans="1:7" x14ac:dyDescent="0.35">
      <c r="A753">
        <v>21386</v>
      </c>
      <c r="B753">
        <v>28</v>
      </c>
      <c r="C753" s="5" t="s">
        <v>18</v>
      </c>
      <c r="D753">
        <v>5701</v>
      </c>
      <c r="E753" s="5" t="s">
        <v>79</v>
      </c>
      <c r="F753" s="5" t="s">
        <v>17</v>
      </c>
      <c r="G753">
        <v>10</v>
      </c>
    </row>
    <row r="754" spans="1:7" x14ac:dyDescent="0.35">
      <c r="A754">
        <v>110291</v>
      </c>
      <c r="B754">
        <v>1</v>
      </c>
      <c r="C754" s="5" t="s">
        <v>46</v>
      </c>
      <c r="D754">
        <v>0</v>
      </c>
      <c r="E754" s="5" t="s">
        <v>87</v>
      </c>
      <c r="F754" s="5" t="s">
        <v>14</v>
      </c>
      <c r="G754">
        <v>12</v>
      </c>
    </row>
    <row r="755" spans="1:7" x14ac:dyDescent="0.35">
      <c r="A755">
        <v>44828</v>
      </c>
      <c r="B755">
        <v>1</v>
      </c>
      <c r="C755" s="5" t="s">
        <v>26</v>
      </c>
      <c r="D755">
        <v>2401</v>
      </c>
      <c r="E755" s="5" t="s">
        <v>89</v>
      </c>
      <c r="F755" s="5" t="s">
        <v>14</v>
      </c>
      <c r="G755">
        <v>6</v>
      </c>
    </row>
    <row r="756" spans="1:7" x14ac:dyDescent="0.35">
      <c r="A756">
        <v>45008</v>
      </c>
      <c r="B756">
        <v>0</v>
      </c>
      <c r="C756" s="5" t="s">
        <v>13</v>
      </c>
      <c r="D756">
        <v>4605</v>
      </c>
      <c r="E756" s="5" t="s">
        <v>91</v>
      </c>
      <c r="F756" s="5" t="s">
        <v>17</v>
      </c>
      <c r="G756">
        <v>10</v>
      </c>
    </row>
    <row r="757" spans="1:7" x14ac:dyDescent="0.35">
      <c r="A757">
        <v>55484</v>
      </c>
      <c r="B757">
        <v>0</v>
      </c>
      <c r="C757" s="5" t="s">
        <v>56</v>
      </c>
      <c r="D757">
        <v>0</v>
      </c>
      <c r="E757" s="5" t="s">
        <v>89</v>
      </c>
      <c r="F757" s="5" t="s">
        <v>14</v>
      </c>
      <c r="G757">
        <v>25</v>
      </c>
    </row>
    <row r="758" spans="1:7" x14ac:dyDescent="0.35">
      <c r="A758">
        <v>149429</v>
      </c>
      <c r="B758">
        <v>2</v>
      </c>
      <c r="C758" s="5" t="s">
        <v>21</v>
      </c>
      <c r="D758">
        <v>1212</v>
      </c>
      <c r="E758" s="5" t="s">
        <v>91</v>
      </c>
      <c r="F758" s="5" t="s">
        <v>17</v>
      </c>
      <c r="G758">
        <v>10</v>
      </c>
    </row>
    <row r="759" spans="1:7" x14ac:dyDescent="0.35">
      <c r="A759">
        <v>48455</v>
      </c>
      <c r="B759">
        <v>1002</v>
      </c>
      <c r="C759" s="5" t="s">
        <v>40</v>
      </c>
      <c r="D759">
        <v>0</v>
      </c>
      <c r="E759" s="5" t="s">
        <v>89</v>
      </c>
      <c r="F759" s="5" t="s">
        <v>14</v>
      </c>
      <c r="G759">
        <v>8</v>
      </c>
    </row>
    <row r="760" spans="1:7" x14ac:dyDescent="0.35">
      <c r="A760">
        <v>28621</v>
      </c>
      <c r="B760">
        <v>0</v>
      </c>
      <c r="C760" s="5" t="s">
        <v>36</v>
      </c>
      <c r="D760">
        <v>1401</v>
      </c>
      <c r="E760" s="5" t="s">
        <v>83</v>
      </c>
      <c r="F760" s="5" t="s">
        <v>17</v>
      </c>
      <c r="G760">
        <v>25</v>
      </c>
    </row>
    <row r="761" spans="1:7" x14ac:dyDescent="0.35">
      <c r="A761">
        <v>131467</v>
      </c>
      <c r="B761">
        <v>0</v>
      </c>
      <c r="C761" s="5" t="s">
        <v>45</v>
      </c>
      <c r="D761">
        <v>0</v>
      </c>
      <c r="E761" s="5" t="s">
        <v>78</v>
      </c>
      <c r="F761" s="5" t="s">
        <v>17</v>
      </c>
      <c r="G761">
        <v>2</v>
      </c>
    </row>
    <row r="762" spans="1:7" x14ac:dyDescent="0.35">
      <c r="A762">
        <v>160579</v>
      </c>
      <c r="B762">
        <v>2</v>
      </c>
      <c r="C762" s="5" t="s">
        <v>21</v>
      </c>
      <c r="D762">
        <v>0</v>
      </c>
      <c r="E762" s="5" t="s">
        <v>84</v>
      </c>
      <c r="F762" s="5" t="s">
        <v>17</v>
      </c>
      <c r="G762">
        <v>9</v>
      </c>
    </row>
    <row r="763" spans="1:7" x14ac:dyDescent="0.35">
      <c r="A763">
        <v>20533</v>
      </c>
      <c r="B763">
        <v>0</v>
      </c>
      <c r="C763" s="5" t="s">
        <v>18</v>
      </c>
      <c r="D763">
        <v>4801</v>
      </c>
      <c r="E763" s="5" t="s">
        <v>84</v>
      </c>
      <c r="F763" s="5" t="s">
        <v>14</v>
      </c>
      <c r="G763">
        <v>25</v>
      </c>
    </row>
    <row r="764" spans="1:7" x14ac:dyDescent="0.35">
      <c r="A764">
        <v>29103</v>
      </c>
      <c r="B764">
        <v>0</v>
      </c>
      <c r="C764" s="5" t="s">
        <v>36</v>
      </c>
      <c r="D764">
        <v>2801</v>
      </c>
      <c r="E764" s="5" t="s">
        <v>81</v>
      </c>
      <c r="F764" s="5" t="s">
        <v>17</v>
      </c>
      <c r="G764">
        <v>11</v>
      </c>
    </row>
    <row r="765" spans="1:7" x14ac:dyDescent="0.35">
      <c r="A765">
        <v>122350</v>
      </c>
      <c r="B765">
        <v>1</v>
      </c>
      <c r="C765" s="5" t="s">
        <v>20</v>
      </c>
      <c r="D765">
        <v>0</v>
      </c>
      <c r="E765" s="5" t="s">
        <v>86</v>
      </c>
      <c r="F765" s="5" t="s">
        <v>14</v>
      </c>
      <c r="G765">
        <v>25</v>
      </c>
    </row>
    <row r="766" spans="1:7" x14ac:dyDescent="0.35">
      <c r="A766">
        <v>191547</v>
      </c>
      <c r="B766">
        <v>28</v>
      </c>
      <c r="C766" s="5" t="s">
        <v>55</v>
      </c>
      <c r="D766">
        <v>1701</v>
      </c>
      <c r="E766" s="5" t="s">
        <v>86</v>
      </c>
      <c r="F766" s="5" t="s">
        <v>17</v>
      </c>
      <c r="G766">
        <v>15</v>
      </c>
    </row>
    <row r="767" spans="1:7" x14ac:dyDescent="0.35">
      <c r="A767">
        <v>4544</v>
      </c>
      <c r="B767">
        <v>1</v>
      </c>
      <c r="C767" s="5" t="s">
        <v>21</v>
      </c>
      <c r="D767">
        <v>0</v>
      </c>
      <c r="E767" s="5" t="s">
        <v>85</v>
      </c>
      <c r="F767" s="5" t="s">
        <v>14</v>
      </c>
      <c r="G767">
        <v>20</v>
      </c>
    </row>
    <row r="768" spans="1:7" x14ac:dyDescent="0.35">
      <c r="A768">
        <v>140808</v>
      </c>
      <c r="B768">
        <v>28</v>
      </c>
      <c r="C768" s="5" t="s">
        <v>23</v>
      </c>
      <c r="D768">
        <v>0</v>
      </c>
      <c r="E768" s="5" t="s">
        <v>83</v>
      </c>
      <c r="F768" s="5" t="s">
        <v>17</v>
      </c>
      <c r="G768">
        <v>25</v>
      </c>
    </row>
    <row r="769" spans="1:7" x14ac:dyDescent="0.35">
      <c r="A769">
        <v>76625</v>
      </c>
      <c r="B769">
        <v>0</v>
      </c>
      <c r="C769" s="5" t="s">
        <v>44</v>
      </c>
      <c r="D769">
        <v>1001</v>
      </c>
      <c r="E769" s="5" t="s">
        <v>87</v>
      </c>
      <c r="F769" s="5" t="s">
        <v>14</v>
      </c>
      <c r="G769">
        <v>6</v>
      </c>
    </row>
    <row r="770" spans="1:7" x14ac:dyDescent="0.35">
      <c r="A770">
        <v>57349</v>
      </c>
      <c r="B770">
        <v>28</v>
      </c>
      <c r="C770" s="5" t="s">
        <v>53</v>
      </c>
      <c r="D770">
        <v>6601</v>
      </c>
      <c r="E770" s="5" t="s">
        <v>78</v>
      </c>
      <c r="F770" s="5" t="s">
        <v>17</v>
      </c>
      <c r="G770">
        <v>7</v>
      </c>
    </row>
    <row r="771" spans="1:7" x14ac:dyDescent="0.35">
      <c r="A771">
        <v>27366</v>
      </c>
      <c r="B771">
        <v>2</v>
      </c>
      <c r="C771" s="5" t="s">
        <v>36</v>
      </c>
      <c r="D771">
        <v>1705</v>
      </c>
      <c r="E771" s="5" t="s">
        <v>81</v>
      </c>
      <c r="F771" s="5" t="s">
        <v>14</v>
      </c>
      <c r="G771">
        <v>16</v>
      </c>
    </row>
    <row r="772" spans="1:7" x14ac:dyDescent="0.35">
      <c r="A772">
        <v>100146</v>
      </c>
      <c r="B772">
        <v>1</v>
      </c>
      <c r="C772" s="5" t="s">
        <v>33</v>
      </c>
      <c r="D772">
        <v>2308</v>
      </c>
      <c r="E772" s="5" t="s">
        <v>88</v>
      </c>
      <c r="F772" s="5" t="s">
        <v>14</v>
      </c>
      <c r="G772">
        <v>25</v>
      </c>
    </row>
    <row r="773" spans="1:7" x14ac:dyDescent="0.35">
      <c r="A773">
        <v>11991</v>
      </c>
      <c r="B773">
        <v>1</v>
      </c>
      <c r="C773" s="5" t="s">
        <v>46</v>
      </c>
      <c r="D773">
        <v>0</v>
      </c>
      <c r="E773" s="5" t="s">
        <v>87</v>
      </c>
      <c r="F773" s="5" t="s">
        <v>14</v>
      </c>
      <c r="G773">
        <v>25</v>
      </c>
    </row>
    <row r="774" spans="1:7" x14ac:dyDescent="0.35">
      <c r="A774">
        <v>27736</v>
      </c>
      <c r="B774">
        <v>0</v>
      </c>
      <c r="C774" s="5" t="s">
        <v>36</v>
      </c>
      <c r="D774">
        <v>5101</v>
      </c>
      <c r="E774" s="5" t="s">
        <v>82</v>
      </c>
      <c r="F774" s="5" t="s">
        <v>17</v>
      </c>
      <c r="G774">
        <v>8</v>
      </c>
    </row>
    <row r="775" spans="1:7" x14ac:dyDescent="0.35">
      <c r="A775">
        <v>114873</v>
      </c>
      <c r="B775">
        <v>0</v>
      </c>
      <c r="C775" s="5" t="s">
        <v>28</v>
      </c>
      <c r="D775">
        <v>0</v>
      </c>
      <c r="E775" s="5" t="s">
        <v>81</v>
      </c>
      <c r="F775" s="5" t="s">
        <v>27</v>
      </c>
      <c r="G775">
        <v>10</v>
      </c>
    </row>
    <row r="776" spans="1:7" x14ac:dyDescent="0.35">
      <c r="A776">
        <v>156997</v>
      </c>
      <c r="B776">
        <v>28</v>
      </c>
      <c r="C776" s="5" t="s">
        <v>21</v>
      </c>
      <c r="D776">
        <v>0</v>
      </c>
      <c r="E776" s="5" t="s">
        <v>93</v>
      </c>
      <c r="F776" s="5" t="s">
        <v>17</v>
      </c>
      <c r="G776">
        <v>25</v>
      </c>
    </row>
    <row r="777" spans="1:7" x14ac:dyDescent="0.35">
      <c r="A777">
        <v>80646</v>
      </c>
      <c r="B777">
        <v>0</v>
      </c>
      <c r="C777" s="5" t="s">
        <v>32</v>
      </c>
      <c r="D777">
        <v>2410</v>
      </c>
      <c r="E777" s="5" t="s">
        <v>89</v>
      </c>
      <c r="F777" s="5" t="s">
        <v>14</v>
      </c>
      <c r="G777">
        <v>4</v>
      </c>
    </row>
    <row r="778" spans="1:7" x14ac:dyDescent="0.35">
      <c r="A778">
        <v>190837</v>
      </c>
      <c r="B778">
        <v>28</v>
      </c>
      <c r="C778" s="5" t="s">
        <v>32</v>
      </c>
      <c r="D778">
        <v>901</v>
      </c>
      <c r="E778" s="5" t="s">
        <v>87</v>
      </c>
      <c r="F778" s="5" t="s">
        <v>17</v>
      </c>
      <c r="G778">
        <v>11</v>
      </c>
    </row>
    <row r="779" spans="1:7" x14ac:dyDescent="0.35">
      <c r="A779">
        <v>18322</v>
      </c>
      <c r="B779">
        <v>1</v>
      </c>
      <c r="C779" s="5" t="s">
        <v>18</v>
      </c>
      <c r="D779">
        <v>2401</v>
      </c>
      <c r="E779" s="5" t="s">
        <v>90</v>
      </c>
      <c r="F779" s="5" t="s">
        <v>14</v>
      </c>
      <c r="G779">
        <v>10</v>
      </c>
    </row>
    <row r="780" spans="1:7" x14ac:dyDescent="0.35">
      <c r="A780">
        <v>118819</v>
      </c>
      <c r="B780">
        <v>0</v>
      </c>
      <c r="C780" s="5" t="s">
        <v>20</v>
      </c>
      <c r="D780">
        <v>0</v>
      </c>
      <c r="E780" s="5" t="s">
        <v>82</v>
      </c>
      <c r="F780" s="5" t="s">
        <v>17</v>
      </c>
      <c r="G780">
        <v>20</v>
      </c>
    </row>
    <row r="781" spans="1:7" x14ac:dyDescent="0.35">
      <c r="A781">
        <v>14233</v>
      </c>
      <c r="B781">
        <v>1</v>
      </c>
      <c r="C781" s="5" t="s">
        <v>58</v>
      </c>
      <c r="D781">
        <v>5301</v>
      </c>
      <c r="E781" s="5" t="s">
        <v>78</v>
      </c>
      <c r="F781" s="5" t="s">
        <v>14</v>
      </c>
      <c r="G781">
        <v>25</v>
      </c>
    </row>
    <row r="782" spans="1:7" x14ac:dyDescent="0.35">
      <c r="A782">
        <v>142163</v>
      </c>
      <c r="B782">
        <v>1</v>
      </c>
      <c r="C782" s="5" t="s">
        <v>23</v>
      </c>
      <c r="D782">
        <v>0</v>
      </c>
      <c r="E782" s="5" t="s">
        <v>79</v>
      </c>
      <c r="F782" s="5" t="s">
        <v>14</v>
      </c>
      <c r="G782">
        <v>12</v>
      </c>
    </row>
    <row r="783" spans="1:7" x14ac:dyDescent="0.35">
      <c r="A783">
        <v>149757</v>
      </c>
      <c r="B783">
        <v>0</v>
      </c>
      <c r="C783" s="5" t="s">
        <v>21</v>
      </c>
      <c r="D783">
        <v>0</v>
      </c>
      <c r="E783" s="5" t="s">
        <v>93</v>
      </c>
      <c r="F783" s="5" t="s">
        <v>17</v>
      </c>
      <c r="G783">
        <v>22</v>
      </c>
    </row>
    <row r="784" spans="1:7" x14ac:dyDescent="0.35">
      <c r="A784">
        <v>49650</v>
      </c>
      <c r="B784">
        <v>1</v>
      </c>
      <c r="C784" s="5" t="s">
        <v>40</v>
      </c>
      <c r="D784">
        <v>5201</v>
      </c>
      <c r="E784" s="5" t="s">
        <v>81</v>
      </c>
      <c r="F784" s="5" t="s">
        <v>14</v>
      </c>
      <c r="G784">
        <v>10</v>
      </c>
    </row>
    <row r="785" spans="1:7" x14ac:dyDescent="0.35">
      <c r="A785">
        <v>61191</v>
      </c>
      <c r="B785">
        <v>0</v>
      </c>
      <c r="C785" s="5" t="s">
        <v>30</v>
      </c>
      <c r="D785">
        <v>1901</v>
      </c>
      <c r="E785" s="5" t="s">
        <v>87</v>
      </c>
      <c r="F785" s="5" t="s">
        <v>17</v>
      </c>
      <c r="G785">
        <v>10</v>
      </c>
    </row>
    <row r="786" spans="1:7" x14ac:dyDescent="0.35">
      <c r="A786">
        <v>23491</v>
      </c>
      <c r="B786">
        <v>1</v>
      </c>
      <c r="C786" s="5" t="s">
        <v>43</v>
      </c>
      <c r="D786">
        <v>4001</v>
      </c>
      <c r="E786" s="5" t="s">
        <v>80</v>
      </c>
      <c r="F786" s="5" t="s">
        <v>14</v>
      </c>
      <c r="G786">
        <v>10</v>
      </c>
    </row>
    <row r="787" spans="1:7" x14ac:dyDescent="0.35">
      <c r="A787">
        <v>87127</v>
      </c>
      <c r="B787">
        <v>0</v>
      </c>
      <c r="C787" s="5" t="s">
        <v>31</v>
      </c>
      <c r="D787">
        <v>2101</v>
      </c>
      <c r="E787" s="5" t="s">
        <v>78</v>
      </c>
      <c r="F787" s="5" t="s">
        <v>17</v>
      </c>
      <c r="G787">
        <v>10</v>
      </c>
    </row>
    <row r="788" spans="1:7" x14ac:dyDescent="0.35">
      <c r="A788">
        <v>263</v>
      </c>
      <c r="B788">
        <v>2</v>
      </c>
      <c r="C788" s="5" t="s">
        <v>43</v>
      </c>
      <c r="D788">
        <v>2001</v>
      </c>
      <c r="E788" s="5" t="s">
        <v>84</v>
      </c>
      <c r="F788" s="5" t="s">
        <v>86</v>
      </c>
      <c r="G788">
        <v>10</v>
      </c>
    </row>
    <row r="789" spans="1:7" x14ac:dyDescent="0.35">
      <c r="A789">
        <v>137962</v>
      </c>
      <c r="B789">
        <v>1</v>
      </c>
      <c r="C789" s="5" t="s">
        <v>51</v>
      </c>
      <c r="D789">
        <v>3510</v>
      </c>
      <c r="E789" s="5" t="s">
        <v>83</v>
      </c>
      <c r="F789" s="5" t="s">
        <v>14</v>
      </c>
      <c r="G789">
        <v>10</v>
      </c>
    </row>
    <row r="790" spans="1:7" x14ac:dyDescent="0.35">
      <c r="A790">
        <v>21746</v>
      </c>
      <c r="B790">
        <v>2</v>
      </c>
      <c r="C790" s="5" t="s">
        <v>18</v>
      </c>
      <c r="D790">
        <v>4801</v>
      </c>
      <c r="E790" s="5" t="s">
        <v>89</v>
      </c>
      <c r="F790" s="5" t="s">
        <v>17</v>
      </c>
      <c r="G790">
        <v>10</v>
      </c>
    </row>
    <row r="791" spans="1:7" x14ac:dyDescent="0.35">
      <c r="A791">
        <v>140632</v>
      </c>
      <c r="B791">
        <v>28</v>
      </c>
      <c r="C791" s="5" t="s">
        <v>50</v>
      </c>
      <c r="D791">
        <v>2901</v>
      </c>
      <c r="E791" s="5" t="s">
        <v>79</v>
      </c>
      <c r="F791" s="5" t="s">
        <v>17</v>
      </c>
      <c r="G791">
        <v>20</v>
      </c>
    </row>
    <row r="792" spans="1:7" x14ac:dyDescent="0.35">
      <c r="A792">
        <v>20773</v>
      </c>
      <c r="B792">
        <v>0</v>
      </c>
      <c r="C792" s="5" t="s">
        <v>18</v>
      </c>
      <c r="D792">
        <v>0</v>
      </c>
      <c r="E792" s="5" t="s">
        <v>81</v>
      </c>
      <c r="F792" s="5" t="s">
        <v>14</v>
      </c>
      <c r="G792">
        <v>5</v>
      </c>
    </row>
    <row r="793" spans="1:7" x14ac:dyDescent="0.35">
      <c r="A793">
        <v>81006</v>
      </c>
      <c r="B793">
        <v>2</v>
      </c>
      <c r="C793" s="5" t="s">
        <v>32</v>
      </c>
      <c r="D793">
        <v>2307</v>
      </c>
      <c r="E793" s="5" t="s">
        <v>81</v>
      </c>
      <c r="F793" s="5" t="s">
        <v>17</v>
      </c>
      <c r="G793">
        <v>6</v>
      </c>
    </row>
    <row r="794" spans="1:7" x14ac:dyDescent="0.35">
      <c r="A794">
        <v>135060</v>
      </c>
      <c r="B794">
        <v>2</v>
      </c>
      <c r="C794" s="5" t="s">
        <v>51</v>
      </c>
      <c r="D794">
        <v>0</v>
      </c>
      <c r="E794" s="5" t="s">
        <v>85</v>
      </c>
      <c r="F794" s="5" t="s">
        <v>17</v>
      </c>
      <c r="G794">
        <v>20</v>
      </c>
    </row>
    <row r="795" spans="1:7" x14ac:dyDescent="0.35">
      <c r="A795">
        <v>86626</v>
      </c>
      <c r="B795">
        <v>1</v>
      </c>
      <c r="C795" s="5" t="s">
        <v>42</v>
      </c>
      <c r="D795">
        <v>4901</v>
      </c>
      <c r="E795" s="5" t="s">
        <v>82</v>
      </c>
      <c r="F795" s="5" t="s">
        <v>14</v>
      </c>
      <c r="G795">
        <v>6</v>
      </c>
    </row>
    <row r="796" spans="1:7" x14ac:dyDescent="0.35">
      <c r="A796">
        <v>173039</v>
      </c>
      <c r="B796">
        <v>0</v>
      </c>
      <c r="C796" s="5" t="s">
        <v>21</v>
      </c>
      <c r="D796">
        <v>0</v>
      </c>
      <c r="E796" s="5" t="s">
        <v>89</v>
      </c>
      <c r="F796" s="5" t="s">
        <v>17</v>
      </c>
      <c r="G796">
        <v>50</v>
      </c>
    </row>
    <row r="797" spans="1:7" x14ac:dyDescent="0.35">
      <c r="A797">
        <v>105660</v>
      </c>
      <c r="B797">
        <v>1</v>
      </c>
      <c r="C797" s="5" t="s">
        <v>25</v>
      </c>
      <c r="D797">
        <v>0</v>
      </c>
      <c r="E797" s="5" t="s">
        <v>81</v>
      </c>
      <c r="F797" s="5" t="s">
        <v>14</v>
      </c>
      <c r="G797">
        <v>5</v>
      </c>
    </row>
    <row r="798" spans="1:7" x14ac:dyDescent="0.35">
      <c r="A798">
        <v>35935</v>
      </c>
      <c r="B798">
        <v>1</v>
      </c>
      <c r="C798" s="5" t="s">
        <v>13</v>
      </c>
      <c r="D798">
        <v>1101</v>
      </c>
      <c r="E798" s="5" t="s">
        <v>80</v>
      </c>
      <c r="F798" s="5" t="s">
        <v>14</v>
      </c>
      <c r="G798">
        <v>21</v>
      </c>
    </row>
    <row r="799" spans="1:7" x14ac:dyDescent="0.35">
      <c r="A799">
        <v>31746</v>
      </c>
      <c r="B799">
        <v>1</v>
      </c>
      <c r="C799" s="5" t="s">
        <v>13</v>
      </c>
      <c r="D799">
        <v>2802</v>
      </c>
      <c r="E799" s="5" t="s">
        <v>79</v>
      </c>
      <c r="F799" s="5" t="s">
        <v>14</v>
      </c>
      <c r="G799">
        <v>6</v>
      </c>
    </row>
    <row r="800" spans="1:7" x14ac:dyDescent="0.35">
      <c r="A800">
        <v>71491</v>
      </c>
      <c r="B800">
        <v>0</v>
      </c>
      <c r="C800" s="5" t="s">
        <v>26</v>
      </c>
      <c r="D800">
        <v>0</v>
      </c>
      <c r="E800" s="5" t="s">
        <v>78</v>
      </c>
      <c r="F800" s="5" t="s">
        <v>17</v>
      </c>
      <c r="G800">
        <v>25</v>
      </c>
    </row>
    <row r="801" spans="1:7" x14ac:dyDescent="0.35">
      <c r="A801">
        <v>188666</v>
      </c>
      <c r="B801">
        <v>1</v>
      </c>
      <c r="C801" s="5" t="s">
        <v>13</v>
      </c>
      <c r="D801">
        <v>0</v>
      </c>
      <c r="E801" s="5" t="s">
        <v>83</v>
      </c>
      <c r="F801" s="5" t="s">
        <v>14</v>
      </c>
      <c r="G801">
        <v>25</v>
      </c>
    </row>
    <row r="802" spans="1:7" x14ac:dyDescent="0.35">
      <c r="A802">
        <v>135016</v>
      </c>
      <c r="B802">
        <v>0</v>
      </c>
      <c r="C802" s="5" t="s">
        <v>51</v>
      </c>
      <c r="D802">
        <v>5212</v>
      </c>
      <c r="E802" s="5" t="s">
        <v>87</v>
      </c>
      <c r="F802" s="5" t="s">
        <v>17</v>
      </c>
      <c r="G802">
        <v>14</v>
      </c>
    </row>
    <row r="803" spans="1:7" x14ac:dyDescent="0.35">
      <c r="A803">
        <v>175283</v>
      </c>
      <c r="B803">
        <v>0</v>
      </c>
      <c r="C803" s="5" t="s">
        <v>47</v>
      </c>
      <c r="D803">
        <v>4501</v>
      </c>
      <c r="E803" s="5" t="s">
        <v>83</v>
      </c>
      <c r="F803" s="5" t="s">
        <v>17</v>
      </c>
      <c r="G803">
        <v>50</v>
      </c>
    </row>
    <row r="804" spans="1:7" x14ac:dyDescent="0.35">
      <c r="A804">
        <v>69983</v>
      </c>
      <c r="B804">
        <v>1</v>
      </c>
      <c r="C804" s="5" t="s">
        <v>26</v>
      </c>
      <c r="D804">
        <v>1305</v>
      </c>
      <c r="E804" s="5" t="s">
        <v>81</v>
      </c>
      <c r="F804" s="5" t="s">
        <v>14</v>
      </c>
      <c r="G804">
        <v>11</v>
      </c>
    </row>
    <row r="805" spans="1:7" x14ac:dyDescent="0.35">
      <c r="A805">
        <v>42291</v>
      </c>
      <c r="B805">
        <v>0</v>
      </c>
      <c r="C805" s="5" t="s">
        <v>13</v>
      </c>
      <c r="D805">
        <v>0</v>
      </c>
      <c r="E805" s="5" t="s">
        <v>81</v>
      </c>
      <c r="F805" s="5" t="s">
        <v>14</v>
      </c>
      <c r="G805">
        <v>15</v>
      </c>
    </row>
    <row r="806" spans="1:7" x14ac:dyDescent="0.35">
      <c r="A806">
        <v>160869</v>
      </c>
      <c r="B806">
        <v>1</v>
      </c>
      <c r="C806" s="5" t="s">
        <v>21</v>
      </c>
      <c r="D806">
        <v>1502</v>
      </c>
      <c r="E806" s="5" t="s">
        <v>78</v>
      </c>
      <c r="F806" s="5" t="s">
        <v>14</v>
      </c>
      <c r="G806">
        <v>4</v>
      </c>
    </row>
    <row r="807" spans="1:7" x14ac:dyDescent="0.35">
      <c r="A807">
        <v>28003</v>
      </c>
      <c r="B807">
        <v>0</v>
      </c>
      <c r="C807" s="5" t="s">
        <v>16</v>
      </c>
      <c r="D807">
        <v>0</v>
      </c>
      <c r="E807" s="5" t="s">
        <v>82</v>
      </c>
      <c r="F807" s="5" t="s">
        <v>17</v>
      </c>
      <c r="G807">
        <v>15</v>
      </c>
    </row>
    <row r="808" spans="1:7" x14ac:dyDescent="0.35">
      <c r="A808">
        <v>104732</v>
      </c>
      <c r="B808">
        <v>0</v>
      </c>
      <c r="C808" s="5" t="s">
        <v>25</v>
      </c>
      <c r="D808">
        <v>1403</v>
      </c>
      <c r="E808" s="5" t="s">
        <v>80</v>
      </c>
      <c r="F808" s="5" t="s">
        <v>17</v>
      </c>
      <c r="G808">
        <v>10</v>
      </c>
    </row>
    <row r="809" spans="1:7" x14ac:dyDescent="0.35">
      <c r="A809">
        <v>126035</v>
      </c>
      <c r="B809">
        <v>0</v>
      </c>
      <c r="C809" s="5" t="s">
        <v>20</v>
      </c>
      <c r="D809">
        <v>1308</v>
      </c>
      <c r="E809" s="5" t="s">
        <v>89</v>
      </c>
      <c r="F809" s="5" t="s">
        <v>27</v>
      </c>
      <c r="G809">
        <v>21</v>
      </c>
    </row>
    <row r="810" spans="1:7" x14ac:dyDescent="0.35">
      <c r="A810">
        <v>29852</v>
      </c>
      <c r="B810">
        <v>1</v>
      </c>
      <c r="C810" s="5" t="s">
        <v>36</v>
      </c>
      <c r="D810">
        <v>5712</v>
      </c>
      <c r="E810" s="5" t="s">
        <v>79</v>
      </c>
      <c r="F810" s="5" t="s">
        <v>14</v>
      </c>
      <c r="G810">
        <v>17</v>
      </c>
    </row>
    <row r="811" spans="1:7" x14ac:dyDescent="0.35">
      <c r="A811">
        <v>118091</v>
      </c>
      <c r="B811">
        <v>1</v>
      </c>
      <c r="C811" s="5" t="s">
        <v>20</v>
      </c>
      <c r="D811">
        <v>4612</v>
      </c>
      <c r="E811" s="5" t="s">
        <v>79</v>
      </c>
      <c r="F811" s="5" t="s">
        <v>14</v>
      </c>
      <c r="G811">
        <v>20</v>
      </c>
    </row>
    <row r="812" spans="1:7" x14ac:dyDescent="0.35">
      <c r="A812">
        <v>8204</v>
      </c>
      <c r="B812">
        <v>0</v>
      </c>
      <c r="C812" s="5" t="s">
        <v>26</v>
      </c>
      <c r="D812">
        <v>1503</v>
      </c>
      <c r="E812" s="5" t="s">
        <v>89</v>
      </c>
      <c r="F812" s="5" t="s">
        <v>17</v>
      </c>
      <c r="G812">
        <v>10</v>
      </c>
    </row>
    <row r="813" spans="1:7" x14ac:dyDescent="0.35">
      <c r="A813">
        <v>90947</v>
      </c>
      <c r="B813">
        <v>28</v>
      </c>
      <c r="C813" s="5" t="s">
        <v>16</v>
      </c>
      <c r="D813">
        <v>5001</v>
      </c>
      <c r="E813" s="5" t="s">
        <v>88</v>
      </c>
      <c r="F813" s="5" t="s">
        <v>17</v>
      </c>
      <c r="G813">
        <v>25</v>
      </c>
    </row>
    <row r="814" spans="1:7" x14ac:dyDescent="0.35">
      <c r="A814">
        <v>144769</v>
      </c>
      <c r="B814">
        <v>1</v>
      </c>
      <c r="C814" s="5" t="s">
        <v>21</v>
      </c>
      <c r="D814">
        <v>0</v>
      </c>
      <c r="E814" s="5" t="s">
        <v>83</v>
      </c>
      <c r="F814" s="5" t="s">
        <v>27</v>
      </c>
      <c r="G814">
        <v>6</v>
      </c>
    </row>
    <row r="815" spans="1:7" x14ac:dyDescent="0.35">
      <c r="A815">
        <v>6912</v>
      </c>
      <c r="B815">
        <v>2</v>
      </c>
      <c r="C815" s="5" t="s">
        <v>23</v>
      </c>
      <c r="D815">
        <v>2609</v>
      </c>
      <c r="E815" s="5" t="s">
        <v>78</v>
      </c>
      <c r="F815" s="5" t="s">
        <v>17</v>
      </c>
      <c r="G815">
        <v>15</v>
      </c>
    </row>
    <row r="816" spans="1:7" x14ac:dyDescent="0.35">
      <c r="A816">
        <v>2464</v>
      </c>
      <c r="B816">
        <v>1</v>
      </c>
      <c r="C816" s="5" t="s">
        <v>20</v>
      </c>
      <c r="D816">
        <v>4104</v>
      </c>
      <c r="E816" s="5" t="s">
        <v>86</v>
      </c>
      <c r="F816" s="5" t="s">
        <v>14</v>
      </c>
      <c r="G816">
        <v>7</v>
      </c>
    </row>
    <row r="817" spans="1:7" x14ac:dyDescent="0.35">
      <c r="A817">
        <v>71400</v>
      </c>
      <c r="B817">
        <v>2</v>
      </c>
      <c r="C817" s="5" t="s">
        <v>26</v>
      </c>
      <c r="D817">
        <v>0</v>
      </c>
      <c r="E817" s="5" t="s">
        <v>81</v>
      </c>
      <c r="F817" s="5" t="s">
        <v>14</v>
      </c>
      <c r="G817">
        <v>15</v>
      </c>
    </row>
    <row r="818" spans="1:7" x14ac:dyDescent="0.35">
      <c r="A818">
        <v>250</v>
      </c>
      <c r="B818">
        <v>3</v>
      </c>
      <c r="C818" s="5" t="s">
        <v>16</v>
      </c>
      <c r="D818">
        <v>1001</v>
      </c>
      <c r="E818" s="5" t="s">
        <v>80</v>
      </c>
      <c r="F818" s="5" t="s">
        <v>17</v>
      </c>
      <c r="G818">
        <v>15</v>
      </c>
    </row>
    <row r="819" spans="1:7" x14ac:dyDescent="0.35">
      <c r="A819">
        <v>99325</v>
      </c>
      <c r="B819">
        <v>1</v>
      </c>
      <c r="C819" s="5" t="s">
        <v>33</v>
      </c>
      <c r="D819">
        <v>1701</v>
      </c>
      <c r="E819" s="5" t="s">
        <v>82</v>
      </c>
      <c r="F819" s="5" t="s">
        <v>14</v>
      </c>
      <c r="G819">
        <v>10</v>
      </c>
    </row>
    <row r="820" spans="1:7" x14ac:dyDescent="0.35">
      <c r="A820">
        <v>120461</v>
      </c>
      <c r="B820">
        <v>0</v>
      </c>
      <c r="C820" s="5" t="s">
        <v>20</v>
      </c>
      <c r="D820">
        <v>4401</v>
      </c>
      <c r="E820" s="5" t="s">
        <v>81</v>
      </c>
      <c r="F820" s="5" t="s">
        <v>17</v>
      </c>
      <c r="G820">
        <v>20</v>
      </c>
    </row>
    <row r="821" spans="1:7" x14ac:dyDescent="0.35">
      <c r="A821">
        <v>185760</v>
      </c>
      <c r="B821">
        <v>0</v>
      </c>
      <c r="C821" s="5" t="s">
        <v>36</v>
      </c>
      <c r="D821">
        <v>0</v>
      </c>
      <c r="E821" s="5" t="s">
        <v>78</v>
      </c>
      <c r="F821" s="5" t="s">
        <v>86</v>
      </c>
      <c r="G821">
        <v>10</v>
      </c>
    </row>
    <row r="822" spans="1:7" x14ac:dyDescent="0.35">
      <c r="A822">
        <v>133285</v>
      </c>
      <c r="B822">
        <v>0</v>
      </c>
      <c r="C822" s="5" t="s">
        <v>38</v>
      </c>
      <c r="D822">
        <v>0</v>
      </c>
      <c r="E822" s="5" t="s">
        <v>81</v>
      </c>
      <c r="F822" s="5" t="s">
        <v>17</v>
      </c>
      <c r="G822">
        <v>30</v>
      </c>
    </row>
    <row r="823" spans="1:7" x14ac:dyDescent="0.35">
      <c r="A823">
        <v>60526</v>
      </c>
      <c r="B823">
        <v>1</v>
      </c>
      <c r="C823" s="5" t="s">
        <v>30</v>
      </c>
      <c r="D823">
        <v>4510</v>
      </c>
      <c r="E823" s="5" t="s">
        <v>87</v>
      </c>
      <c r="F823" s="5" t="s">
        <v>14</v>
      </c>
      <c r="G823">
        <v>6</v>
      </c>
    </row>
    <row r="824" spans="1:7" x14ac:dyDescent="0.35">
      <c r="A824">
        <v>26858</v>
      </c>
      <c r="B824">
        <v>2</v>
      </c>
      <c r="C824" s="5" t="s">
        <v>36</v>
      </c>
      <c r="D824">
        <v>4212</v>
      </c>
      <c r="E824" s="5" t="s">
        <v>80</v>
      </c>
      <c r="F824" s="5" t="s">
        <v>14</v>
      </c>
      <c r="G824">
        <v>15</v>
      </c>
    </row>
    <row r="825" spans="1:7" x14ac:dyDescent="0.35">
      <c r="A825">
        <v>61488</v>
      </c>
      <c r="B825">
        <v>2</v>
      </c>
      <c r="C825" s="5" t="s">
        <v>30</v>
      </c>
      <c r="D825">
        <v>2101</v>
      </c>
      <c r="E825" s="5" t="s">
        <v>81</v>
      </c>
      <c r="F825" s="5" t="s">
        <v>14</v>
      </c>
      <c r="G825">
        <v>7</v>
      </c>
    </row>
    <row r="826" spans="1:7" x14ac:dyDescent="0.35">
      <c r="A826">
        <v>182156</v>
      </c>
      <c r="B826">
        <v>0</v>
      </c>
      <c r="C826" s="5" t="s">
        <v>37</v>
      </c>
      <c r="D826">
        <v>3001</v>
      </c>
      <c r="E826" s="5" t="s">
        <v>80</v>
      </c>
      <c r="F826" s="5" t="s">
        <v>17</v>
      </c>
      <c r="G826">
        <v>27</v>
      </c>
    </row>
    <row r="827" spans="1:7" x14ac:dyDescent="0.35">
      <c r="A827">
        <v>133925</v>
      </c>
      <c r="B827">
        <v>4</v>
      </c>
      <c r="C827" s="5" t="s">
        <v>38</v>
      </c>
      <c r="D827">
        <v>1906</v>
      </c>
      <c r="E827" s="5" t="s">
        <v>90</v>
      </c>
      <c r="F827" s="5" t="s">
        <v>14</v>
      </c>
      <c r="G827">
        <v>25</v>
      </c>
    </row>
    <row r="828" spans="1:7" x14ac:dyDescent="0.35">
      <c r="A828">
        <v>115431</v>
      </c>
      <c r="B828">
        <v>0</v>
      </c>
      <c r="C828" s="5" t="s">
        <v>28</v>
      </c>
      <c r="D828">
        <v>2801</v>
      </c>
      <c r="E828" s="5" t="s">
        <v>79</v>
      </c>
      <c r="F828" s="5" t="s">
        <v>14</v>
      </c>
      <c r="G828">
        <v>5</v>
      </c>
    </row>
    <row r="829" spans="1:7" x14ac:dyDescent="0.35">
      <c r="A829">
        <v>72366</v>
      </c>
      <c r="B829">
        <v>1</v>
      </c>
      <c r="C829" s="5" t="s">
        <v>26</v>
      </c>
      <c r="D829">
        <v>4701</v>
      </c>
      <c r="E829" s="5" t="s">
        <v>81</v>
      </c>
      <c r="F829" s="5" t="s">
        <v>14</v>
      </c>
      <c r="G829">
        <v>20</v>
      </c>
    </row>
    <row r="830" spans="1:7" x14ac:dyDescent="0.35">
      <c r="A830">
        <v>32527</v>
      </c>
      <c r="B830">
        <v>28</v>
      </c>
      <c r="C830" s="5" t="s">
        <v>13</v>
      </c>
      <c r="D830">
        <v>3801</v>
      </c>
      <c r="E830" s="5" t="s">
        <v>80</v>
      </c>
      <c r="F830" s="5" t="s">
        <v>17</v>
      </c>
      <c r="G830">
        <v>3</v>
      </c>
    </row>
    <row r="831" spans="1:7" x14ac:dyDescent="0.35">
      <c r="A831">
        <v>175974</v>
      </c>
      <c r="B831">
        <v>1</v>
      </c>
      <c r="C831" s="5" t="s">
        <v>47</v>
      </c>
      <c r="D831">
        <v>1701</v>
      </c>
      <c r="E831" s="5" t="s">
        <v>87</v>
      </c>
      <c r="F831" s="5" t="s">
        <v>14</v>
      </c>
      <c r="G831">
        <v>11</v>
      </c>
    </row>
    <row r="832" spans="1:7" x14ac:dyDescent="0.35">
      <c r="A832">
        <v>96008</v>
      </c>
      <c r="B832">
        <v>0</v>
      </c>
      <c r="C832" s="5" t="s">
        <v>16</v>
      </c>
      <c r="D832">
        <v>0</v>
      </c>
      <c r="E832" s="5" t="s">
        <v>94</v>
      </c>
      <c r="F832" s="5" t="s">
        <v>17</v>
      </c>
      <c r="G832">
        <v>5</v>
      </c>
    </row>
    <row r="833" spans="1:7" x14ac:dyDescent="0.35">
      <c r="A833">
        <v>106610</v>
      </c>
      <c r="B833">
        <v>1</v>
      </c>
      <c r="C833" s="5" t="s">
        <v>55</v>
      </c>
      <c r="D833">
        <v>2812</v>
      </c>
      <c r="E833" s="5" t="s">
        <v>79</v>
      </c>
      <c r="F833" s="5" t="s">
        <v>14</v>
      </c>
      <c r="G833">
        <v>15</v>
      </c>
    </row>
    <row r="834" spans="1:7" x14ac:dyDescent="0.35">
      <c r="A834">
        <v>80395</v>
      </c>
      <c r="B834">
        <v>0</v>
      </c>
      <c r="C834" s="5" t="s">
        <v>32</v>
      </c>
      <c r="D834">
        <v>0</v>
      </c>
      <c r="E834" s="5" t="s">
        <v>82</v>
      </c>
      <c r="F834" s="5" t="s">
        <v>17</v>
      </c>
      <c r="G834">
        <v>50</v>
      </c>
    </row>
    <row r="835" spans="1:7" x14ac:dyDescent="0.35">
      <c r="A835">
        <v>86225</v>
      </c>
      <c r="B835">
        <v>2</v>
      </c>
      <c r="C835" s="5" t="s">
        <v>48</v>
      </c>
      <c r="D835">
        <v>3611</v>
      </c>
      <c r="E835" s="5" t="s">
        <v>81</v>
      </c>
      <c r="F835" s="5" t="s">
        <v>14</v>
      </c>
      <c r="G835">
        <v>10</v>
      </c>
    </row>
    <row r="836" spans="1:7" x14ac:dyDescent="0.35">
      <c r="A836">
        <v>43595</v>
      </c>
      <c r="B836">
        <v>1</v>
      </c>
      <c r="C836" s="5" t="s">
        <v>26</v>
      </c>
      <c r="D836">
        <v>0</v>
      </c>
      <c r="E836" s="5" t="s">
        <v>79</v>
      </c>
      <c r="F836" s="5" t="s">
        <v>14</v>
      </c>
      <c r="G836">
        <v>6</v>
      </c>
    </row>
    <row r="837" spans="1:7" x14ac:dyDescent="0.35">
      <c r="A837">
        <v>144812</v>
      </c>
      <c r="B837">
        <v>1</v>
      </c>
      <c r="C837" s="5" t="s">
        <v>21</v>
      </c>
      <c r="D837">
        <v>2801</v>
      </c>
      <c r="E837" s="5" t="s">
        <v>83</v>
      </c>
      <c r="F837" s="5" t="s">
        <v>14</v>
      </c>
      <c r="G837">
        <v>50</v>
      </c>
    </row>
    <row r="838" spans="1:7" x14ac:dyDescent="0.35">
      <c r="A838">
        <v>182480</v>
      </c>
      <c r="B838">
        <v>0</v>
      </c>
      <c r="C838" s="5" t="s">
        <v>37</v>
      </c>
      <c r="D838">
        <v>0</v>
      </c>
      <c r="E838" s="5" t="s">
        <v>82</v>
      </c>
      <c r="F838" s="5" t="s">
        <v>17</v>
      </c>
      <c r="G838">
        <v>50</v>
      </c>
    </row>
    <row r="839" spans="1:7" x14ac:dyDescent="0.35">
      <c r="A839">
        <v>135265</v>
      </c>
      <c r="B839">
        <v>0</v>
      </c>
      <c r="C839" s="5" t="s">
        <v>51</v>
      </c>
      <c r="D839">
        <v>0</v>
      </c>
      <c r="E839" s="5" t="s">
        <v>80</v>
      </c>
      <c r="F839" s="5" t="s">
        <v>17</v>
      </c>
      <c r="G839">
        <v>14</v>
      </c>
    </row>
    <row r="840" spans="1:7" x14ac:dyDescent="0.35">
      <c r="A840">
        <v>84610</v>
      </c>
      <c r="B840">
        <v>0</v>
      </c>
      <c r="C840" s="5" t="s">
        <v>52</v>
      </c>
      <c r="D840">
        <v>1111</v>
      </c>
      <c r="E840" s="5" t="s">
        <v>82</v>
      </c>
      <c r="F840" s="5" t="s">
        <v>17</v>
      </c>
      <c r="G840">
        <v>4</v>
      </c>
    </row>
    <row r="841" spans="1:7" x14ac:dyDescent="0.35">
      <c r="A841">
        <v>116533</v>
      </c>
      <c r="B841">
        <v>0</v>
      </c>
      <c r="C841" s="5" t="s">
        <v>20</v>
      </c>
      <c r="D841">
        <v>0</v>
      </c>
      <c r="E841" s="5" t="s">
        <v>79</v>
      </c>
      <c r="F841" s="5" t="s">
        <v>17</v>
      </c>
      <c r="G841">
        <v>10</v>
      </c>
    </row>
    <row r="842" spans="1:7" x14ac:dyDescent="0.35">
      <c r="A842">
        <v>29501</v>
      </c>
      <c r="B842">
        <v>2</v>
      </c>
      <c r="C842" s="5" t="s">
        <v>36</v>
      </c>
      <c r="D842">
        <v>2710</v>
      </c>
      <c r="E842" s="5" t="s">
        <v>79</v>
      </c>
      <c r="F842" s="5" t="s">
        <v>27</v>
      </c>
      <c r="G842">
        <v>21</v>
      </c>
    </row>
    <row r="843" spans="1:7" x14ac:dyDescent="0.35">
      <c r="A843">
        <v>102351</v>
      </c>
      <c r="B843">
        <v>0</v>
      </c>
      <c r="C843" s="5" t="s">
        <v>33</v>
      </c>
      <c r="D843">
        <v>3301</v>
      </c>
      <c r="E843" s="5" t="s">
        <v>91</v>
      </c>
      <c r="F843" s="5" t="s">
        <v>17</v>
      </c>
      <c r="G843">
        <v>23</v>
      </c>
    </row>
    <row r="844" spans="1:7" x14ac:dyDescent="0.35">
      <c r="A844">
        <v>136935</v>
      </c>
      <c r="B844">
        <v>0</v>
      </c>
      <c r="C844" s="5" t="s">
        <v>28</v>
      </c>
      <c r="D844">
        <v>0</v>
      </c>
      <c r="E844" s="5" t="s">
        <v>79</v>
      </c>
      <c r="F844" s="5" t="s">
        <v>17</v>
      </c>
      <c r="G844">
        <v>15</v>
      </c>
    </row>
    <row r="845" spans="1:7" x14ac:dyDescent="0.35">
      <c r="A845">
        <v>137833</v>
      </c>
      <c r="B845">
        <v>1</v>
      </c>
      <c r="C845" s="5" t="s">
        <v>51</v>
      </c>
      <c r="D845">
        <v>0</v>
      </c>
      <c r="E845" s="5" t="s">
        <v>79</v>
      </c>
      <c r="F845" s="5" t="s">
        <v>14</v>
      </c>
      <c r="G845">
        <v>25</v>
      </c>
    </row>
    <row r="846" spans="1:7" x14ac:dyDescent="0.35">
      <c r="A846">
        <v>162392</v>
      </c>
      <c r="B846">
        <v>1</v>
      </c>
      <c r="C846" s="5" t="s">
        <v>21</v>
      </c>
      <c r="D846">
        <v>2301</v>
      </c>
      <c r="E846" s="5" t="s">
        <v>83</v>
      </c>
      <c r="F846" s="5" t="s">
        <v>14</v>
      </c>
      <c r="G846">
        <v>20</v>
      </c>
    </row>
    <row r="847" spans="1:7" x14ac:dyDescent="0.35">
      <c r="A847">
        <v>186713</v>
      </c>
      <c r="B847">
        <v>0</v>
      </c>
      <c r="C847" s="5" t="s">
        <v>21</v>
      </c>
      <c r="D847">
        <v>3408</v>
      </c>
      <c r="E847" s="5" t="s">
        <v>78</v>
      </c>
      <c r="F847" s="5" t="s">
        <v>17</v>
      </c>
      <c r="G847">
        <v>15</v>
      </c>
    </row>
    <row r="848" spans="1:7" x14ac:dyDescent="0.35">
      <c r="A848">
        <v>12573</v>
      </c>
      <c r="B848">
        <v>0</v>
      </c>
      <c r="C848" s="5" t="s">
        <v>37</v>
      </c>
      <c r="D848">
        <v>803</v>
      </c>
      <c r="E848" s="5" t="s">
        <v>86</v>
      </c>
      <c r="F848" s="5" t="s">
        <v>17</v>
      </c>
      <c r="G848">
        <v>102</v>
      </c>
    </row>
    <row r="849" spans="1:7" x14ac:dyDescent="0.35">
      <c r="A849">
        <v>112594</v>
      </c>
      <c r="B849">
        <v>1</v>
      </c>
      <c r="C849" s="5" t="s">
        <v>29</v>
      </c>
      <c r="D849">
        <v>0</v>
      </c>
      <c r="E849" s="5" t="s">
        <v>79</v>
      </c>
      <c r="F849" s="5" t="s">
        <v>14</v>
      </c>
      <c r="G849">
        <v>15</v>
      </c>
    </row>
    <row r="850" spans="1:7" x14ac:dyDescent="0.35">
      <c r="A850">
        <v>145123</v>
      </c>
      <c r="B850">
        <v>2</v>
      </c>
      <c r="C850" s="5" t="s">
        <v>21</v>
      </c>
      <c r="D850">
        <v>1801</v>
      </c>
      <c r="E850" s="5" t="s">
        <v>83</v>
      </c>
      <c r="F850" s="5" t="s">
        <v>17</v>
      </c>
      <c r="G850">
        <v>5</v>
      </c>
    </row>
    <row r="851" spans="1:7" x14ac:dyDescent="0.35">
      <c r="A851">
        <v>58374</v>
      </c>
      <c r="B851">
        <v>0</v>
      </c>
      <c r="C851" s="5" t="s">
        <v>53</v>
      </c>
      <c r="D851">
        <v>1712</v>
      </c>
      <c r="E851" s="5" t="s">
        <v>79</v>
      </c>
      <c r="F851" s="5" t="s">
        <v>17</v>
      </c>
      <c r="G851">
        <v>10</v>
      </c>
    </row>
    <row r="852" spans="1:7" x14ac:dyDescent="0.35">
      <c r="A852">
        <v>108316</v>
      </c>
      <c r="B852">
        <v>1</v>
      </c>
      <c r="C852" s="5" t="s">
        <v>46</v>
      </c>
      <c r="D852">
        <v>3909</v>
      </c>
      <c r="E852" s="5" t="s">
        <v>85</v>
      </c>
      <c r="F852" s="5" t="s">
        <v>14</v>
      </c>
      <c r="G852">
        <v>24</v>
      </c>
    </row>
    <row r="853" spans="1:7" x14ac:dyDescent="0.35">
      <c r="A853">
        <v>71312</v>
      </c>
      <c r="B853">
        <v>2</v>
      </c>
      <c r="C853" s="5" t="s">
        <v>26</v>
      </c>
      <c r="D853">
        <v>3811</v>
      </c>
      <c r="E853" s="5" t="s">
        <v>81</v>
      </c>
      <c r="F853" s="5" t="s">
        <v>17</v>
      </c>
      <c r="G853">
        <v>3</v>
      </c>
    </row>
    <row r="854" spans="1:7" x14ac:dyDescent="0.35">
      <c r="A854">
        <v>142241</v>
      </c>
      <c r="B854">
        <v>3</v>
      </c>
      <c r="C854" s="5" t="s">
        <v>23</v>
      </c>
      <c r="D854">
        <v>3505</v>
      </c>
      <c r="E854" s="5" t="s">
        <v>84</v>
      </c>
      <c r="F854" s="5" t="s">
        <v>17</v>
      </c>
      <c r="G854">
        <v>30</v>
      </c>
    </row>
    <row r="855" spans="1:7" x14ac:dyDescent="0.35">
      <c r="A855">
        <v>7238</v>
      </c>
      <c r="B855">
        <v>0</v>
      </c>
      <c r="C855" s="5" t="s">
        <v>44</v>
      </c>
      <c r="D855">
        <v>0</v>
      </c>
      <c r="E855" s="5" t="s">
        <v>79</v>
      </c>
      <c r="F855" s="5" t="s">
        <v>17</v>
      </c>
      <c r="G855">
        <v>12</v>
      </c>
    </row>
    <row r="856" spans="1:7" x14ac:dyDescent="0.35">
      <c r="A856">
        <v>132003</v>
      </c>
      <c r="B856">
        <v>28</v>
      </c>
      <c r="C856" s="5" t="s">
        <v>45</v>
      </c>
      <c r="D856">
        <v>0</v>
      </c>
      <c r="E856" s="5" t="s">
        <v>81</v>
      </c>
      <c r="F856" s="5" t="s">
        <v>17</v>
      </c>
      <c r="G856">
        <v>8</v>
      </c>
    </row>
    <row r="857" spans="1:7" x14ac:dyDescent="0.35">
      <c r="A857">
        <v>172220</v>
      </c>
      <c r="B857">
        <v>1</v>
      </c>
      <c r="C857" s="5" t="s">
        <v>21</v>
      </c>
      <c r="D857">
        <v>4011</v>
      </c>
      <c r="E857" s="5" t="s">
        <v>87</v>
      </c>
      <c r="F857" s="5" t="s">
        <v>14</v>
      </c>
      <c r="G857">
        <v>19</v>
      </c>
    </row>
    <row r="858" spans="1:7" x14ac:dyDescent="0.35">
      <c r="A858">
        <v>189916</v>
      </c>
      <c r="B858">
        <v>0</v>
      </c>
      <c r="C858" s="5" t="s">
        <v>26</v>
      </c>
      <c r="D858">
        <v>1004</v>
      </c>
      <c r="E858" s="5" t="s">
        <v>86</v>
      </c>
      <c r="F858" s="5" t="s">
        <v>14</v>
      </c>
      <c r="G858">
        <v>5</v>
      </c>
    </row>
    <row r="859" spans="1:7" x14ac:dyDescent="0.35">
      <c r="A859">
        <v>89358</v>
      </c>
      <c r="B859">
        <v>1</v>
      </c>
      <c r="C859" s="5" t="s">
        <v>16</v>
      </c>
      <c r="D859">
        <v>3801</v>
      </c>
      <c r="E859" s="5" t="s">
        <v>78</v>
      </c>
      <c r="F859" s="5" t="s">
        <v>14</v>
      </c>
      <c r="G859">
        <v>20</v>
      </c>
    </row>
    <row r="860" spans="1:7" x14ac:dyDescent="0.35">
      <c r="A860">
        <v>82843</v>
      </c>
      <c r="B860">
        <v>28</v>
      </c>
      <c r="C860" s="5" t="s">
        <v>52</v>
      </c>
      <c r="D860">
        <v>0</v>
      </c>
      <c r="E860" s="5" t="s">
        <v>80</v>
      </c>
      <c r="F860" s="5" t="s">
        <v>17</v>
      </c>
      <c r="G860">
        <v>5</v>
      </c>
    </row>
    <row r="861" spans="1:7" x14ac:dyDescent="0.35">
      <c r="A861">
        <v>56124</v>
      </c>
      <c r="B861">
        <v>0</v>
      </c>
      <c r="C861" s="5" t="s">
        <v>56</v>
      </c>
      <c r="D861">
        <v>5106</v>
      </c>
      <c r="E861" s="5" t="s">
        <v>86</v>
      </c>
      <c r="F861" s="5" t="s">
        <v>14</v>
      </c>
      <c r="G861">
        <v>20</v>
      </c>
    </row>
    <row r="862" spans="1:7" x14ac:dyDescent="0.35">
      <c r="A862">
        <v>75840</v>
      </c>
      <c r="B862">
        <v>0</v>
      </c>
      <c r="C862" s="5" t="s">
        <v>44</v>
      </c>
      <c r="D862">
        <v>1501</v>
      </c>
      <c r="E862" s="5" t="s">
        <v>82</v>
      </c>
      <c r="F862" s="5" t="s">
        <v>14</v>
      </c>
      <c r="G862">
        <v>20</v>
      </c>
    </row>
    <row r="863" spans="1:7" x14ac:dyDescent="0.35">
      <c r="A863">
        <v>163220</v>
      </c>
      <c r="B863">
        <v>28</v>
      </c>
      <c r="C863" s="5" t="s">
        <v>21</v>
      </c>
      <c r="D863">
        <v>4701</v>
      </c>
      <c r="E863" s="5" t="s">
        <v>85</v>
      </c>
      <c r="F863" s="5" t="s">
        <v>27</v>
      </c>
      <c r="G863">
        <v>26</v>
      </c>
    </row>
    <row r="864" spans="1:7" x14ac:dyDescent="0.35">
      <c r="A864">
        <v>74615</v>
      </c>
      <c r="B864">
        <v>0</v>
      </c>
      <c r="C864" s="5" t="s">
        <v>26</v>
      </c>
      <c r="D864">
        <v>1101</v>
      </c>
      <c r="E864" s="5" t="s">
        <v>78</v>
      </c>
      <c r="F864" s="5" t="s">
        <v>14</v>
      </c>
      <c r="G864">
        <v>9</v>
      </c>
    </row>
    <row r="865" spans="1:7" x14ac:dyDescent="0.35">
      <c r="A865">
        <v>45808</v>
      </c>
      <c r="B865">
        <v>0</v>
      </c>
      <c r="C865" s="5" t="s">
        <v>13</v>
      </c>
      <c r="D865">
        <v>1809</v>
      </c>
      <c r="E865" s="5" t="s">
        <v>80</v>
      </c>
      <c r="F865" s="5" t="s">
        <v>17</v>
      </c>
      <c r="G865">
        <v>10</v>
      </c>
    </row>
    <row r="866" spans="1:7" x14ac:dyDescent="0.35">
      <c r="A866">
        <v>162593</v>
      </c>
      <c r="B866">
        <v>1</v>
      </c>
      <c r="C866" s="5" t="s">
        <v>21</v>
      </c>
      <c r="D866">
        <v>5010</v>
      </c>
      <c r="E866" s="5" t="s">
        <v>83</v>
      </c>
      <c r="F866" s="5" t="s">
        <v>14</v>
      </c>
      <c r="G866">
        <v>14</v>
      </c>
    </row>
    <row r="867" spans="1:7" x14ac:dyDescent="0.35">
      <c r="A867">
        <v>20237</v>
      </c>
      <c r="B867">
        <v>2</v>
      </c>
      <c r="C867" s="5" t="s">
        <v>18</v>
      </c>
      <c r="D867">
        <v>5201</v>
      </c>
      <c r="E867" s="5" t="s">
        <v>79</v>
      </c>
      <c r="F867" s="5" t="s">
        <v>17</v>
      </c>
      <c r="G867">
        <v>13</v>
      </c>
    </row>
    <row r="868" spans="1:7" x14ac:dyDescent="0.35">
      <c r="A868">
        <v>54828</v>
      </c>
      <c r="B868">
        <v>2</v>
      </c>
      <c r="C868" s="5" t="s">
        <v>56</v>
      </c>
      <c r="D868">
        <v>2606</v>
      </c>
      <c r="E868" s="5" t="s">
        <v>89</v>
      </c>
      <c r="F868" s="5" t="s">
        <v>17</v>
      </c>
      <c r="G868">
        <v>5</v>
      </c>
    </row>
    <row r="869" spans="1:7" x14ac:dyDescent="0.35">
      <c r="A869">
        <v>168589</v>
      </c>
      <c r="B869">
        <v>0</v>
      </c>
      <c r="C869" s="5" t="s">
        <v>47</v>
      </c>
      <c r="D869">
        <v>0</v>
      </c>
      <c r="E869" s="5" t="s">
        <v>91</v>
      </c>
      <c r="F869" s="5" t="s">
        <v>17</v>
      </c>
      <c r="G869">
        <v>10</v>
      </c>
    </row>
    <row r="870" spans="1:7" x14ac:dyDescent="0.35">
      <c r="A870">
        <v>168275</v>
      </c>
      <c r="B870">
        <v>0</v>
      </c>
      <c r="C870" s="5" t="s">
        <v>21</v>
      </c>
      <c r="D870">
        <v>2001</v>
      </c>
      <c r="E870" s="5" t="s">
        <v>85</v>
      </c>
      <c r="F870" s="5" t="s">
        <v>27</v>
      </c>
      <c r="G870">
        <v>36</v>
      </c>
    </row>
    <row r="871" spans="1:7" x14ac:dyDescent="0.35">
      <c r="A871">
        <v>175438</v>
      </c>
      <c r="B871">
        <v>3</v>
      </c>
      <c r="C871" s="5" t="s">
        <v>47</v>
      </c>
      <c r="D871">
        <v>2001</v>
      </c>
      <c r="E871" s="5" t="s">
        <v>93</v>
      </c>
      <c r="F871" s="5" t="s">
        <v>86</v>
      </c>
      <c r="G871">
        <v>25</v>
      </c>
    </row>
    <row r="872" spans="1:7" x14ac:dyDescent="0.35">
      <c r="A872">
        <v>68427</v>
      </c>
      <c r="B872">
        <v>0</v>
      </c>
      <c r="C872" s="5" t="s">
        <v>26</v>
      </c>
      <c r="D872">
        <v>0</v>
      </c>
      <c r="E872" s="5" t="s">
        <v>93</v>
      </c>
      <c r="F872" s="5" t="s">
        <v>86</v>
      </c>
      <c r="G872">
        <v>25</v>
      </c>
    </row>
    <row r="873" spans="1:7" x14ac:dyDescent="0.35">
      <c r="A873">
        <v>89680</v>
      </c>
      <c r="B873">
        <v>2</v>
      </c>
      <c r="C873" s="5" t="s">
        <v>16</v>
      </c>
      <c r="D873">
        <v>4201</v>
      </c>
      <c r="E873" s="5" t="s">
        <v>83</v>
      </c>
      <c r="F873" s="5" t="s">
        <v>17</v>
      </c>
      <c r="G873">
        <v>15</v>
      </c>
    </row>
    <row r="874" spans="1:7" x14ac:dyDescent="0.35">
      <c r="A874">
        <v>132131</v>
      </c>
      <c r="B874">
        <v>0</v>
      </c>
      <c r="C874" s="5" t="s">
        <v>45</v>
      </c>
      <c r="D874">
        <v>5901</v>
      </c>
      <c r="E874" s="5" t="s">
        <v>90</v>
      </c>
      <c r="F874" s="5" t="s">
        <v>17</v>
      </c>
      <c r="G874">
        <v>25</v>
      </c>
    </row>
    <row r="875" spans="1:7" x14ac:dyDescent="0.35">
      <c r="A875">
        <v>180175</v>
      </c>
      <c r="B875">
        <v>0</v>
      </c>
      <c r="C875" s="5" t="s">
        <v>37</v>
      </c>
      <c r="D875">
        <v>2612</v>
      </c>
      <c r="E875" s="5" t="s">
        <v>80</v>
      </c>
      <c r="F875" s="5" t="s">
        <v>17</v>
      </c>
      <c r="G875">
        <v>20</v>
      </c>
    </row>
    <row r="876" spans="1:7" x14ac:dyDescent="0.35">
      <c r="A876">
        <v>85931</v>
      </c>
      <c r="B876">
        <v>0</v>
      </c>
      <c r="C876" s="5" t="s">
        <v>48</v>
      </c>
      <c r="D876">
        <v>0</v>
      </c>
      <c r="E876" s="5" t="s">
        <v>81</v>
      </c>
      <c r="F876" s="5" t="s">
        <v>27</v>
      </c>
      <c r="G876">
        <v>6</v>
      </c>
    </row>
    <row r="877" spans="1:7" x14ac:dyDescent="0.35">
      <c r="A877">
        <v>147305</v>
      </c>
      <c r="B877">
        <v>1</v>
      </c>
      <c r="C877" s="5" t="s">
        <v>21</v>
      </c>
      <c r="D877">
        <v>5201</v>
      </c>
      <c r="E877" s="5" t="s">
        <v>83</v>
      </c>
      <c r="F877" s="5" t="s">
        <v>14</v>
      </c>
      <c r="G877">
        <v>15</v>
      </c>
    </row>
    <row r="878" spans="1:7" x14ac:dyDescent="0.35">
      <c r="A878">
        <v>122404</v>
      </c>
      <c r="B878">
        <v>28</v>
      </c>
      <c r="C878" s="5" t="s">
        <v>20</v>
      </c>
      <c r="D878">
        <v>3401</v>
      </c>
      <c r="E878" s="5" t="s">
        <v>79</v>
      </c>
      <c r="F878" s="5" t="s">
        <v>17</v>
      </c>
      <c r="G878">
        <v>25</v>
      </c>
    </row>
    <row r="879" spans="1:7" x14ac:dyDescent="0.35">
      <c r="A879">
        <v>27670</v>
      </c>
      <c r="B879">
        <v>0</v>
      </c>
      <c r="C879" s="5" t="s">
        <v>36</v>
      </c>
      <c r="D879">
        <v>0</v>
      </c>
      <c r="E879" s="5" t="s">
        <v>83</v>
      </c>
      <c r="F879" s="5" t="s">
        <v>14</v>
      </c>
      <c r="G879">
        <v>25</v>
      </c>
    </row>
    <row r="880" spans="1:7" x14ac:dyDescent="0.35">
      <c r="A880">
        <v>17791</v>
      </c>
      <c r="B880">
        <v>3</v>
      </c>
      <c r="C880" s="5" t="s">
        <v>18</v>
      </c>
      <c r="D880">
        <v>3901</v>
      </c>
      <c r="E880" s="5" t="s">
        <v>82</v>
      </c>
      <c r="F880" s="5" t="s">
        <v>17</v>
      </c>
      <c r="G880">
        <v>25</v>
      </c>
    </row>
    <row r="881" spans="1:7" x14ac:dyDescent="0.35">
      <c r="A881">
        <v>113728</v>
      </c>
      <c r="B881">
        <v>1</v>
      </c>
      <c r="C881" s="5" t="s">
        <v>28</v>
      </c>
      <c r="D881">
        <v>1901</v>
      </c>
      <c r="E881" s="5" t="s">
        <v>78</v>
      </c>
      <c r="F881" s="5" t="s">
        <v>14</v>
      </c>
      <c r="G881">
        <v>15</v>
      </c>
    </row>
    <row r="882" spans="1:7" x14ac:dyDescent="0.35">
      <c r="A882">
        <v>51846</v>
      </c>
      <c r="B882">
        <v>0</v>
      </c>
      <c r="C882" s="5" t="s">
        <v>49</v>
      </c>
      <c r="D882">
        <v>5501</v>
      </c>
      <c r="E882" s="5" t="s">
        <v>89</v>
      </c>
      <c r="F882" s="5" t="s">
        <v>17</v>
      </c>
      <c r="G882">
        <v>25</v>
      </c>
    </row>
    <row r="883" spans="1:7" x14ac:dyDescent="0.35">
      <c r="A883">
        <v>51528</v>
      </c>
      <c r="B883">
        <v>0</v>
      </c>
      <c r="C883" s="5" t="s">
        <v>49</v>
      </c>
      <c r="D883">
        <v>3701</v>
      </c>
      <c r="E883" s="5" t="s">
        <v>78</v>
      </c>
      <c r="F883" s="5" t="s">
        <v>17</v>
      </c>
      <c r="G883">
        <v>5</v>
      </c>
    </row>
    <row r="884" spans="1:7" x14ac:dyDescent="0.35">
      <c r="A884">
        <v>155642</v>
      </c>
      <c r="B884">
        <v>2</v>
      </c>
      <c r="C884" s="5" t="s">
        <v>21</v>
      </c>
      <c r="D884">
        <v>0</v>
      </c>
      <c r="E884" s="5" t="s">
        <v>78</v>
      </c>
      <c r="F884" s="5" t="s">
        <v>27</v>
      </c>
      <c r="G884">
        <v>12</v>
      </c>
    </row>
    <row r="885" spans="1:7" x14ac:dyDescent="0.35">
      <c r="A885">
        <v>99497</v>
      </c>
      <c r="B885">
        <v>1</v>
      </c>
      <c r="C885" s="5" t="s">
        <v>33</v>
      </c>
      <c r="D885">
        <v>6201</v>
      </c>
      <c r="E885" s="5" t="s">
        <v>79</v>
      </c>
      <c r="F885" s="5" t="s">
        <v>14</v>
      </c>
      <c r="G885">
        <v>5</v>
      </c>
    </row>
    <row r="886" spans="1:7" x14ac:dyDescent="0.35">
      <c r="A886">
        <v>95240</v>
      </c>
      <c r="B886">
        <v>1</v>
      </c>
      <c r="C886" s="5" t="s">
        <v>16</v>
      </c>
      <c r="D886">
        <v>5209</v>
      </c>
      <c r="E886" s="5" t="s">
        <v>79</v>
      </c>
      <c r="F886" s="5" t="s">
        <v>14</v>
      </c>
      <c r="G886">
        <v>11</v>
      </c>
    </row>
    <row r="887" spans="1:7" x14ac:dyDescent="0.35">
      <c r="A887">
        <v>126639</v>
      </c>
      <c r="B887">
        <v>0</v>
      </c>
      <c r="C887" s="5" t="s">
        <v>20</v>
      </c>
      <c r="D887">
        <v>709</v>
      </c>
      <c r="E887" s="5" t="s">
        <v>81</v>
      </c>
      <c r="F887" s="5" t="s">
        <v>14</v>
      </c>
      <c r="G887">
        <v>8</v>
      </c>
    </row>
    <row r="888" spans="1:7" x14ac:dyDescent="0.35">
      <c r="A888">
        <v>15965</v>
      </c>
      <c r="B888">
        <v>1</v>
      </c>
      <c r="C888" s="5" t="s">
        <v>18</v>
      </c>
      <c r="D888">
        <v>2701</v>
      </c>
      <c r="E888" s="5" t="s">
        <v>94</v>
      </c>
      <c r="F888" s="5" t="s">
        <v>14</v>
      </c>
      <c r="G888">
        <v>5</v>
      </c>
    </row>
    <row r="889" spans="1:7" x14ac:dyDescent="0.35">
      <c r="A889">
        <v>114321</v>
      </c>
      <c r="B889">
        <v>1002</v>
      </c>
      <c r="C889" s="5" t="s">
        <v>28</v>
      </c>
      <c r="D889">
        <v>0</v>
      </c>
      <c r="E889" s="5" t="s">
        <v>79</v>
      </c>
      <c r="F889" s="5" t="s">
        <v>14</v>
      </c>
      <c r="G889">
        <v>25</v>
      </c>
    </row>
    <row r="890" spans="1:7" x14ac:dyDescent="0.35">
      <c r="A890">
        <v>132567</v>
      </c>
      <c r="B890">
        <v>0</v>
      </c>
      <c r="C890" s="5" t="s">
        <v>58</v>
      </c>
      <c r="D890">
        <v>3401</v>
      </c>
      <c r="E890" s="5" t="s">
        <v>90</v>
      </c>
      <c r="F890" s="5" t="s">
        <v>17</v>
      </c>
      <c r="G890">
        <v>20</v>
      </c>
    </row>
    <row r="891" spans="1:7" x14ac:dyDescent="0.35">
      <c r="A891">
        <v>78312</v>
      </c>
      <c r="B891">
        <v>1</v>
      </c>
      <c r="C891" s="5" t="s">
        <v>32</v>
      </c>
      <c r="D891">
        <v>3307</v>
      </c>
      <c r="E891" s="5" t="s">
        <v>80</v>
      </c>
      <c r="F891" s="5" t="s">
        <v>14</v>
      </c>
      <c r="G891">
        <v>15</v>
      </c>
    </row>
    <row r="892" spans="1:7" x14ac:dyDescent="0.35">
      <c r="A892">
        <v>188078</v>
      </c>
      <c r="B892">
        <v>0</v>
      </c>
      <c r="C892" s="5" t="s">
        <v>43</v>
      </c>
      <c r="D892">
        <v>0</v>
      </c>
      <c r="E892" s="5" t="s">
        <v>84</v>
      </c>
      <c r="F892" s="5" t="s">
        <v>14</v>
      </c>
      <c r="G892">
        <v>10</v>
      </c>
    </row>
    <row r="893" spans="1:7" x14ac:dyDescent="0.35">
      <c r="A893">
        <v>102398</v>
      </c>
      <c r="B893">
        <v>0</v>
      </c>
      <c r="C893" s="5" t="s">
        <v>33</v>
      </c>
      <c r="D893">
        <v>2810</v>
      </c>
      <c r="E893" s="5" t="s">
        <v>78</v>
      </c>
      <c r="F893" s="5" t="s">
        <v>17</v>
      </c>
      <c r="G893">
        <v>12</v>
      </c>
    </row>
    <row r="894" spans="1:7" x14ac:dyDescent="0.35">
      <c r="A894">
        <v>45116</v>
      </c>
      <c r="B894">
        <v>0</v>
      </c>
      <c r="C894" s="5" t="s">
        <v>13</v>
      </c>
      <c r="D894">
        <v>1308</v>
      </c>
      <c r="E894" s="5" t="s">
        <v>83</v>
      </c>
      <c r="F894" s="5" t="s">
        <v>14</v>
      </c>
      <c r="G894">
        <v>5</v>
      </c>
    </row>
    <row r="895" spans="1:7" x14ac:dyDescent="0.35">
      <c r="A895">
        <v>155921</v>
      </c>
      <c r="B895">
        <v>2</v>
      </c>
      <c r="C895" s="5" t="s">
        <v>21</v>
      </c>
      <c r="D895">
        <v>2001</v>
      </c>
      <c r="E895" s="5" t="s">
        <v>90</v>
      </c>
      <c r="F895" s="5" t="s">
        <v>14</v>
      </c>
      <c r="G895">
        <v>25</v>
      </c>
    </row>
    <row r="896" spans="1:7" x14ac:dyDescent="0.35">
      <c r="A896">
        <v>77196</v>
      </c>
      <c r="B896">
        <v>0</v>
      </c>
      <c r="C896" s="5" t="s">
        <v>32</v>
      </c>
      <c r="D896">
        <v>6501</v>
      </c>
      <c r="E896" s="5" t="s">
        <v>79</v>
      </c>
      <c r="F896" s="5" t="s">
        <v>17</v>
      </c>
      <c r="G896">
        <v>25</v>
      </c>
    </row>
    <row r="897" spans="1:7" x14ac:dyDescent="0.35">
      <c r="A897">
        <v>10893</v>
      </c>
      <c r="B897">
        <v>0</v>
      </c>
      <c r="C897" s="5" t="s">
        <v>21</v>
      </c>
      <c r="D897">
        <v>0</v>
      </c>
      <c r="E897" s="5" t="s">
        <v>90</v>
      </c>
      <c r="F897" s="5" t="s">
        <v>86</v>
      </c>
      <c r="G897">
        <v>20</v>
      </c>
    </row>
    <row r="898" spans="1:7" x14ac:dyDescent="0.35">
      <c r="A898">
        <v>19621</v>
      </c>
      <c r="B898">
        <v>0</v>
      </c>
      <c r="C898" s="5" t="s">
        <v>18</v>
      </c>
      <c r="D898">
        <v>2707</v>
      </c>
      <c r="E898" s="5" t="s">
        <v>87</v>
      </c>
      <c r="F898" s="5" t="s">
        <v>17</v>
      </c>
      <c r="G898">
        <v>21</v>
      </c>
    </row>
    <row r="899" spans="1:7" x14ac:dyDescent="0.35">
      <c r="A899">
        <v>149653</v>
      </c>
      <c r="B899">
        <v>0</v>
      </c>
      <c r="C899" s="5" t="s">
        <v>21</v>
      </c>
      <c r="D899">
        <v>4908</v>
      </c>
      <c r="E899" s="5" t="s">
        <v>93</v>
      </c>
      <c r="F899" s="5" t="s">
        <v>17</v>
      </c>
      <c r="G899">
        <v>10</v>
      </c>
    </row>
    <row r="900" spans="1:7" x14ac:dyDescent="0.35">
      <c r="A900">
        <v>159750</v>
      </c>
      <c r="B900">
        <v>0</v>
      </c>
      <c r="C900" s="5" t="s">
        <v>21</v>
      </c>
      <c r="D900">
        <v>1801</v>
      </c>
      <c r="E900" s="5" t="s">
        <v>78</v>
      </c>
      <c r="F900" s="5" t="s">
        <v>14</v>
      </c>
      <c r="G900">
        <v>9</v>
      </c>
    </row>
    <row r="901" spans="1:7" x14ac:dyDescent="0.35">
      <c r="A901">
        <v>136269</v>
      </c>
      <c r="B901">
        <v>0</v>
      </c>
      <c r="C901" s="5" t="s">
        <v>51</v>
      </c>
      <c r="D901">
        <v>3401</v>
      </c>
      <c r="E901" s="5" t="s">
        <v>83</v>
      </c>
      <c r="F901" s="5" t="s">
        <v>17</v>
      </c>
      <c r="G901">
        <v>15</v>
      </c>
    </row>
    <row r="902" spans="1:7" x14ac:dyDescent="0.35">
      <c r="A902">
        <v>108029</v>
      </c>
      <c r="B902">
        <v>0</v>
      </c>
      <c r="C902" s="5" t="s">
        <v>46</v>
      </c>
      <c r="D902">
        <v>4909</v>
      </c>
      <c r="E902" s="5" t="s">
        <v>80</v>
      </c>
      <c r="F902" s="5" t="s">
        <v>14</v>
      </c>
      <c r="G902">
        <v>5</v>
      </c>
    </row>
    <row r="903" spans="1:7" x14ac:dyDescent="0.35">
      <c r="A903">
        <v>10719</v>
      </c>
      <c r="B903">
        <v>2</v>
      </c>
      <c r="C903" s="5" t="s">
        <v>37</v>
      </c>
      <c r="D903">
        <v>1401</v>
      </c>
      <c r="E903" s="5" t="s">
        <v>86</v>
      </c>
      <c r="F903" s="5" t="s">
        <v>17</v>
      </c>
      <c r="G903">
        <v>19</v>
      </c>
    </row>
    <row r="904" spans="1:7" x14ac:dyDescent="0.35">
      <c r="A904">
        <v>156572</v>
      </c>
      <c r="B904">
        <v>0</v>
      </c>
      <c r="C904" s="5" t="s">
        <v>21</v>
      </c>
      <c r="D904">
        <v>0</v>
      </c>
      <c r="E904" s="5" t="s">
        <v>83</v>
      </c>
      <c r="F904" s="5" t="s">
        <v>14</v>
      </c>
      <c r="G904">
        <v>25</v>
      </c>
    </row>
    <row r="905" spans="1:7" x14ac:dyDescent="0.35">
      <c r="A905">
        <v>152737</v>
      </c>
      <c r="B905">
        <v>0</v>
      </c>
      <c r="C905" s="5" t="s">
        <v>21</v>
      </c>
      <c r="D905">
        <v>0</v>
      </c>
      <c r="E905" s="5" t="s">
        <v>83</v>
      </c>
      <c r="F905" s="5" t="s">
        <v>14</v>
      </c>
      <c r="G905">
        <v>7</v>
      </c>
    </row>
    <row r="906" spans="1:7" x14ac:dyDescent="0.35">
      <c r="A906">
        <v>94307</v>
      </c>
      <c r="B906">
        <v>0</v>
      </c>
      <c r="C906" s="5" t="s">
        <v>16</v>
      </c>
      <c r="D906">
        <v>2001</v>
      </c>
      <c r="E906" s="5" t="s">
        <v>93</v>
      </c>
      <c r="F906" s="5" t="s">
        <v>17</v>
      </c>
      <c r="G906">
        <v>15</v>
      </c>
    </row>
    <row r="907" spans="1:7" x14ac:dyDescent="0.35">
      <c r="A907">
        <v>129947</v>
      </c>
      <c r="B907">
        <v>28</v>
      </c>
      <c r="C907" s="5" t="s">
        <v>45</v>
      </c>
      <c r="D907">
        <v>4401</v>
      </c>
      <c r="E907" s="5" t="s">
        <v>87</v>
      </c>
      <c r="F907" s="5" t="s">
        <v>17</v>
      </c>
      <c r="G907">
        <v>20</v>
      </c>
    </row>
    <row r="908" spans="1:7" x14ac:dyDescent="0.35">
      <c r="A908">
        <v>108919</v>
      </c>
      <c r="B908">
        <v>28</v>
      </c>
      <c r="C908" s="5" t="s">
        <v>46</v>
      </c>
      <c r="D908">
        <v>0</v>
      </c>
      <c r="E908" s="5" t="s">
        <v>78</v>
      </c>
      <c r="F908" s="5" t="s">
        <v>17</v>
      </c>
      <c r="G908">
        <v>15</v>
      </c>
    </row>
    <row r="909" spans="1:7" x14ac:dyDescent="0.35">
      <c r="A909">
        <v>4055</v>
      </c>
      <c r="B909">
        <v>1</v>
      </c>
      <c r="C909" s="5" t="s">
        <v>20</v>
      </c>
      <c r="D909">
        <v>5101</v>
      </c>
      <c r="E909" s="5" t="s">
        <v>82</v>
      </c>
      <c r="F909" s="5" t="s">
        <v>14</v>
      </c>
      <c r="G909">
        <v>10</v>
      </c>
    </row>
    <row r="910" spans="1:7" x14ac:dyDescent="0.35">
      <c r="A910">
        <v>175907</v>
      </c>
      <c r="B910">
        <v>2</v>
      </c>
      <c r="C910" s="5" t="s">
        <v>47</v>
      </c>
      <c r="D910">
        <v>1508</v>
      </c>
      <c r="E910" s="5" t="s">
        <v>78</v>
      </c>
      <c r="F910" s="5" t="s">
        <v>17</v>
      </c>
      <c r="G910">
        <v>15</v>
      </c>
    </row>
    <row r="911" spans="1:7" x14ac:dyDescent="0.35">
      <c r="A911">
        <v>13188</v>
      </c>
      <c r="B911">
        <v>0</v>
      </c>
      <c r="C911" s="5" t="s">
        <v>30</v>
      </c>
      <c r="D911">
        <v>5001</v>
      </c>
      <c r="E911" s="5" t="s">
        <v>89</v>
      </c>
      <c r="F911" s="5" t="s">
        <v>17</v>
      </c>
      <c r="G911">
        <v>100</v>
      </c>
    </row>
    <row r="912" spans="1:7" x14ac:dyDescent="0.35">
      <c r="A912">
        <v>35181</v>
      </c>
      <c r="B912">
        <v>2</v>
      </c>
      <c r="C912" s="5" t="s">
        <v>13</v>
      </c>
      <c r="D912">
        <v>3208</v>
      </c>
      <c r="E912" s="5" t="s">
        <v>83</v>
      </c>
      <c r="F912" s="5" t="s">
        <v>14</v>
      </c>
      <c r="G912">
        <v>25</v>
      </c>
    </row>
    <row r="913" spans="1:7" x14ac:dyDescent="0.35">
      <c r="A913">
        <v>53127</v>
      </c>
      <c r="B913">
        <v>2</v>
      </c>
      <c r="C913" s="5" t="s">
        <v>49</v>
      </c>
      <c r="D913">
        <v>0</v>
      </c>
      <c r="E913" s="5" t="s">
        <v>79</v>
      </c>
      <c r="F913" s="5" t="s">
        <v>14</v>
      </c>
      <c r="G913">
        <v>30</v>
      </c>
    </row>
    <row r="914" spans="1:7" x14ac:dyDescent="0.35">
      <c r="A914">
        <v>88056</v>
      </c>
      <c r="B914">
        <v>0</v>
      </c>
      <c r="C914" s="5" t="s">
        <v>16</v>
      </c>
      <c r="D914">
        <v>2901</v>
      </c>
      <c r="E914" s="5" t="s">
        <v>83</v>
      </c>
      <c r="F914" s="5" t="s">
        <v>17</v>
      </c>
      <c r="G914">
        <v>5</v>
      </c>
    </row>
    <row r="915" spans="1:7" x14ac:dyDescent="0.35">
      <c r="A915">
        <v>145944</v>
      </c>
      <c r="B915">
        <v>0</v>
      </c>
      <c r="C915" s="5" t="s">
        <v>21</v>
      </c>
      <c r="D915">
        <v>2703</v>
      </c>
      <c r="E915" s="5" t="s">
        <v>83</v>
      </c>
      <c r="F915" s="5" t="s">
        <v>17</v>
      </c>
      <c r="G915">
        <v>13</v>
      </c>
    </row>
    <row r="916" spans="1:7" x14ac:dyDescent="0.35">
      <c r="A916">
        <v>86640</v>
      </c>
      <c r="B916">
        <v>0</v>
      </c>
      <c r="C916" s="5" t="s">
        <v>42</v>
      </c>
      <c r="D916">
        <v>0</v>
      </c>
      <c r="E916" s="5" t="s">
        <v>81</v>
      </c>
      <c r="F916" s="5" t="s">
        <v>17</v>
      </c>
      <c r="G916">
        <v>13</v>
      </c>
    </row>
    <row r="917" spans="1:7" x14ac:dyDescent="0.35">
      <c r="A917">
        <v>99673</v>
      </c>
      <c r="B917">
        <v>0</v>
      </c>
      <c r="C917" s="5" t="s">
        <v>33</v>
      </c>
      <c r="D917">
        <v>5807</v>
      </c>
      <c r="E917" s="5" t="s">
        <v>80</v>
      </c>
      <c r="F917" s="5" t="s">
        <v>17</v>
      </c>
      <c r="G917">
        <v>22</v>
      </c>
    </row>
    <row r="918" spans="1:7" x14ac:dyDescent="0.35">
      <c r="A918">
        <v>96000</v>
      </c>
      <c r="B918">
        <v>2</v>
      </c>
      <c r="C918" s="5" t="s">
        <v>16</v>
      </c>
      <c r="D918">
        <v>1401</v>
      </c>
      <c r="E918" s="5" t="s">
        <v>87</v>
      </c>
      <c r="F918" s="5" t="s">
        <v>14</v>
      </c>
      <c r="G918">
        <v>10</v>
      </c>
    </row>
    <row r="919" spans="1:7" x14ac:dyDescent="0.35">
      <c r="A919">
        <v>170256</v>
      </c>
      <c r="B919">
        <v>2</v>
      </c>
      <c r="C919" s="5" t="s">
        <v>21</v>
      </c>
      <c r="D919">
        <v>0</v>
      </c>
      <c r="E919" s="5" t="s">
        <v>90</v>
      </c>
      <c r="F919" s="5" t="s">
        <v>17</v>
      </c>
      <c r="G919">
        <v>10</v>
      </c>
    </row>
    <row r="920" spans="1:7" x14ac:dyDescent="0.35">
      <c r="A920">
        <v>20821</v>
      </c>
      <c r="B920">
        <v>1</v>
      </c>
      <c r="C920" s="5" t="s">
        <v>18</v>
      </c>
      <c r="D920">
        <v>5201</v>
      </c>
      <c r="E920" s="5" t="s">
        <v>79</v>
      </c>
      <c r="F920" s="5" t="s">
        <v>14</v>
      </c>
      <c r="G920">
        <v>10</v>
      </c>
    </row>
    <row r="921" spans="1:7" x14ac:dyDescent="0.35">
      <c r="A921">
        <v>189715</v>
      </c>
      <c r="B921">
        <v>28</v>
      </c>
      <c r="C921" s="5" t="s">
        <v>21</v>
      </c>
      <c r="D921">
        <v>0</v>
      </c>
      <c r="E921" s="5" t="s">
        <v>85</v>
      </c>
      <c r="F921" s="5" t="s">
        <v>17</v>
      </c>
      <c r="G921">
        <v>25</v>
      </c>
    </row>
    <row r="922" spans="1:7" x14ac:dyDescent="0.35">
      <c r="A922">
        <v>183898</v>
      </c>
      <c r="B922">
        <v>980</v>
      </c>
      <c r="C922" s="5" t="s">
        <v>37</v>
      </c>
      <c r="D922">
        <v>1008</v>
      </c>
      <c r="E922" s="5" t="s">
        <v>81</v>
      </c>
      <c r="F922" s="5" t="s">
        <v>41</v>
      </c>
      <c r="G922">
        <v>3</v>
      </c>
    </row>
    <row r="923" spans="1:7" x14ac:dyDescent="0.35">
      <c r="A923">
        <v>155157</v>
      </c>
      <c r="B923">
        <v>2</v>
      </c>
      <c r="C923" s="5" t="s">
        <v>21</v>
      </c>
      <c r="D923">
        <v>0</v>
      </c>
      <c r="E923" s="5" t="s">
        <v>91</v>
      </c>
      <c r="F923" s="5" t="s">
        <v>17</v>
      </c>
      <c r="G923">
        <v>12</v>
      </c>
    </row>
    <row r="924" spans="1:7" x14ac:dyDescent="0.35">
      <c r="A924">
        <v>137134</v>
      </c>
      <c r="B924">
        <v>0</v>
      </c>
      <c r="C924" s="5" t="s">
        <v>51</v>
      </c>
      <c r="D924">
        <v>2512</v>
      </c>
      <c r="E924" s="5" t="s">
        <v>78</v>
      </c>
      <c r="F924" s="5" t="s">
        <v>14</v>
      </c>
      <c r="G924">
        <v>10</v>
      </c>
    </row>
    <row r="925" spans="1:7" x14ac:dyDescent="0.35">
      <c r="A925">
        <v>129602</v>
      </c>
      <c r="B925">
        <v>2</v>
      </c>
      <c r="C925" s="5" t="s">
        <v>45</v>
      </c>
      <c r="D925">
        <v>2401</v>
      </c>
      <c r="E925" s="5" t="s">
        <v>78</v>
      </c>
      <c r="F925" s="5" t="s">
        <v>17</v>
      </c>
      <c r="G925">
        <v>13</v>
      </c>
    </row>
    <row r="926" spans="1:7" x14ac:dyDescent="0.35">
      <c r="A926">
        <v>182286</v>
      </c>
      <c r="B926">
        <v>28</v>
      </c>
      <c r="C926" s="5" t="s">
        <v>37</v>
      </c>
      <c r="D926">
        <v>4001</v>
      </c>
      <c r="E926" s="5" t="s">
        <v>78</v>
      </c>
      <c r="F926" s="5" t="s">
        <v>14</v>
      </c>
      <c r="G926">
        <v>20</v>
      </c>
    </row>
    <row r="927" spans="1:7" x14ac:dyDescent="0.35">
      <c r="A927">
        <v>138804</v>
      </c>
      <c r="B927">
        <v>0</v>
      </c>
      <c r="C927" s="5" t="s">
        <v>51</v>
      </c>
      <c r="D927">
        <v>0</v>
      </c>
      <c r="E927" s="5" t="s">
        <v>81</v>
      </c>
      <c r="F927" s="5" t="s">
        <v>17</v>
      </c>
      <c r="G927">
        <v>10</v>
      </c>
    </row>
    <row r="928" spans="1:7" x14ac:dyDescent="0.35">
      <c r="A928">
        <v>100569</v>
      </c>
      <c r="B928">
        <v>1</v>
      </c>
      <c r="C928" s="5" t="s">
        <v>33</v>
      </c>
      <c r="D928">
        <v>501</v>
      </c>
      <c r="E928" s="5" t="s">
        <v>85</v>
      </c>
      <c r="F928" s="5" t="s">
        <v>14</v>
      </c>
      <c r="G928">
        <v>15</v>
      </c>
    </row>
    <row r="929" spans="1:7" x14ac:dyDescent="0.35">
      <c r="A929">
        <v>9287</v>
      </c>
      <c r="B929">
        <v>0</v>
      </c>
      <c r="C929" s="5" t="s">
        <v>21</v>
      </c>
      <c r="D929">
        <v>3901</v>
      </c>
      <c r="E929" s="5" t="s">
        <v>80</v>
      </c>
      <c r="F929" s="5" t="s">
        <v>14</v>
      </c>
      <c r="G929">
        <v>8</v>
      </c>
    </row>
    <row r="930" spans="1:7" x14ac:dyDescent="0.35">
      <c r="A930">
        <v>104108</v>
      </c>
      <c r="B930">
        <v>2</v>
      </c>
      <c r="C930" s="5" t="s">
        <v>33</v>
      </c>
      <c r="D930">
        <v>2712</v>
      </c>
      <c r="E930" s="5" t="s">
        <v>82</v>
      </c>
      <c r="F930" s="5" t="s">
        <v>17</v>
      </c>
      <c r="G930">
        <v>11</v>
      </c>
    </row>
    <row r="931" spans="1:7" x14ac:dyDescent="0.35">
      <c r="A931">
        <v>1357</v>
      </c>
      <c r="B931">
        <v>0</v>
      </c>
      <c r="C931" s="5" t="s">
        <v>26</v>
      </c>
      <c r="D931">
        <v>5612</v>
      </c>
      <c r="E931" s="5" t="s">
        <v>80</v>
      </c>
      <c r="F931" s="5" t="s">
        <v>17</v>
      </c>
      <c r="G931">
        <v>15</v>
      </c>
    </row>
    <row r="932" spans="1:7" x14ac:dyDescent="0.35">
      <c r="A932">
        <v>10784</v>
      </c>
      <c r="B932">
        <v>0</v>
      </c>
      <c r="C932" s="5" t="s">
        <v>37</v>
      </c>
      <c r="D932">
        <v>0</v>
      </c>
      <c r="E932" s="5" t="s">
        <v>82</v>
      </c>
      <c r="F932" s="5" t="s">
        <v>14</v>
      </c>
      <c r="G932">
        <v>10</v>
      </c>
    </row>
    <row r="933" spans="1:7" x14ac:dyDescent="0.35">
      <c r="A933">
        <v>140049</v>
      </c>
      <c r="B933">
        <v>0</v>
      </c>
      <c r="C933" s="5" t="s">
        <v>50</v>
      </c>
      <c r="D933">
        <v>4501</v>
      </c>
      <c r="E933" s="5" t="s">
        <v>81</v>
      </c>
      <c r="F933" s="5" t="s">
        <v>17</v>
      </c>
      <c r="G933">
        <v>20</v>
      </c>
    </row>
    <row r="934" spans="1:7" x14ac:dyDescent="0.35">
      <c r="A934">
        <v>170489</v>
      </c>
      <c r="B934">
        <v>0</v>
      </c>
      <c r="C934" s="5" t="s">
        <v>21</v>
      </c>
      <c r="D934">
        <v>0</v>
      </c>
      <c r="E934" s="5" t="s">
        <v>84</v>
      </c>
      <c r="F934" s="5" t="s">
        <v>17</v>
      </c>
      <c r="G934">
        <v>20</v>
      </c>
    </row>
    <row r="935" spans="1:7" x14ac:dyDescent="0.35">
      <c r="A935">
        <v>184289</v>
      </c>
      <c r="B935">
        <v>2</v>
      </c>
      <c r="C935" s="5" t="s">
        <v>37</v>
      </c>
      <c r="D935">
        <v>4411</v>
      </c>
      <c r="E935" s="5" t="s">
        <v>81</v>
      </c>
      <c r="F935" s="5" t="s">
        <v>17</v>
      </c>
      <c r="G935">
        <v>10</v>
      </c>
    </row>
    <row r="936" spans="1:7" x14ac:dyDescent="0.35">
      <c r="A936">
        <v>36353</v>
      </c>
      <c r="B936">
        <v>0</v>
      </c>
      <c r="C936" s="5" t="s">
        <v>13</v>
      </c>
      <c r="D936">
        <v>2101</v>
      </c>
      <c r="E936" s="5" t="s">
        <v>78</v>
      </c>
      <c r="F936" s="5" t="s">
        <v>17</v>
      </c>
      <c r="G936">
        <v>17</v>
      </c>
    </row>
    <row r="937" spans="1:7" x14ac:dyDescent="0.35">
      <c r="A937">
        <v>97689</v>
      </c>
      <c r="B937">
        <v>1</v>
      </c>
      <c r="C937" s="5" t="s">
        <v>16</v>
      </c>
      <c r="D937">
        <v>3601</v>
      </c>
      <c r="E937" s="5" t="s">
        <v>79</v>
      </c>
      <c r="F937" s="5" t="s">
        <v>14</v>
      </c>
      <c r="G937">
        <v>10</v>
      </c>
    </row>
    <row r="938" spans="1:7" x14ac:dyDescent="0.35">
      <c r="A938">
        <v>133229</v>
      </c>
      <c r="B938">
        <v>1</v>
      </c>
      <c r="C938" s="5" t="s">
        <v>38</v>
      </c>
      <c r="D938">
        <v>5001</v>
      </c>
      <c r="E938" s="5" t="s">
        <v>84</v>
      </c>
      <c r="F938" s="5" t="s">
        <v>14</v>
      </c>
      <c r="G938">
        <v>25</v>
      </c>
    </row>
    <row r="939" spans="1:7" x14ac:dyDescent="0.35">
      <c r="A939">
        <v>51845</v>
      </c>
      <c r="B939">
        <v>2</v>
      </c>
      <c r="C939" s="5" t="s">
        <v>49</v>
      </c>
      <c r="D939">
        <v>0</v>
      </c>
      <c r="E939" s="5" t="s">
        <v>89</v>
      </c>
      <c r="F939" s="5" t="s">
        <v>17</v>
      </c>
      <c r="G939">
        <v>18</v>
      </c>
    </row>
    <row r="940" spans="1:7" x14ac:dyDescent="0.35">
      <c r="A940">
        <v>111485</v>
      </c>
      <c r="B940">
        <v>1</v>
      </c>
      <c r="C940" s="5" t="s">
        <v>29</v>
      </c>
      <c r="D940">
        <v>810</v>
      </c>
      <c r="E940" s="5" t="s">
        <v>78</v>
      </c>
      <c r="F940" s="5" t="s">
        <v>14</v>
      </c>
      <c r="G940">
        <v>30</v>
      </c>
    </row>
    <row r="941" spans="1:7" x14ac:dyDescent="0.35">
      <c r="A941">
        <v>75331</v>
      </c>
      <c r="B941">
        <v>0</v>
      </c>
      <c r="C941" s="5" t="s">
        <v>44</v>
      </c>
      <c r="D941">
        <v>4401</v>
      </c>
      <c r="E941" s="5" t="s">
        <v>79</v>
      </c>
      <c r="F941" s="5" t="s">
        <v>17</v>
      </c>
      <c r="G941">
        <v>25</v>
      </c>
    </row>
    <row r="942" spans="1:7" x14ac:dyDescent="0.35">
      <c r="A942">
        <v>96448</v>
      </c>
      <c r="B942">
        <v>0</v>
      </c>
      <c r="C942" s="5" t="s">
        <v>16</v>
      </c>
      <c r="D942">
        <v>2101</v>
      </c>
      <c r="E942" s="5" t="s">
        <v>84</v>
      </c>
      <c r="F942" s="5" t="s">
        <v>17</v>
      </c>
      <c r="G942">
        <v>8</v>
      </c>
    </row>
    <row r="943" spans="1:7" x14ac:dyDescent="0.35">
      <c r="A943">
        <v>88802</v>
      </c>
      <c r="B943">
        <v>1002</v>
      </c>
      <c r="C943" s="5" t="s">
        <v>16</v>
      </c>
      <c r="D943">
        <v>3101</v>
      </c>
      <c r="E943" s="5" t="s">
        <v>83</v>
      </c>
      <c r="F943" s="5" t="s">
        <v>14</v>
      </c>
      <c r="G943">
        <v>25</v>
      </c>
    </row>
    <row r="944" spans="1:7" x14ac:dyDescent="0.35">
      <c r="A944">
        <v>183702</v>
      </c>
      <c r="B944">
        <v>28</v>
      </c>
      <c r="C944" s="5" t="s">
        <v>37</v>
      </c>
      <c r="D944">
        <v>4801</v>
      </c>
      <c r="E944" s="5" t="s">
        <v>84</v>
      </c>
      <c r="F944" s="5" t="s">
        <v>17</v>
      </c>
      <c r="G944">
        <v>10</v>
      </c>
    </row>
    <row r="945" spans="1:7" x14ac:dyDescent="0.35">
      <c r="A945">
        <v>175535</v>
      </c>
      <c r="B945">
        <v>1</v>
      </c>
      <c r="C945" s="5" t="s">
        <v>47</v>
      </c>
      <c r="D945">
        <v>6101</v>
      </c>
      <c r="E945" s="5" t="s">
        <v>85</v>
      </c>
      <c r="F945" s="5" t="s">
        <v>14</v>
      </c>
      <c r="G945">
        <v>20</v>
      </c>
    </row>
    <row r="946" spans="1:7" x14ac:dyDescent="0.35">
      <c r="A946">
        <v>35325</v>
      </c>
      <c r="B946">
        <v>0</v>
      </c>
      <c r="C946" s="5" t="s">
        <v>13</v>
      </c>
      <c r="D946">
        <v>1801</v>
      </c>
      <c r="E946" s="5" t="s">
        <v>78</v>
      </c>
      <c r="F946" s="5" t="s">
        <v>14</v>
      </c>
      <c r="G946">
        <v>30</v>
      </c>
    </row>
    <row r="947" spans="1:7" x14ac:dyDescent="0.35">
      <c r="A947">
        <v>181655</v>
      </c>
      <c r="B947">
        <v>2</v>
      </c>
      <c r="C947" s="5" t="s">
        <v>37</v>
      </c>
      <c r="D947">
        <v>4212</v>
      </c>
      <c r="E947" s="5" t="s">
        <v>78</v>
      </c>
      <c r="F947" s="5" t="s">
        <v>14</v>
      </c>
      <c r="G947">
        <v>50</v>
      </c>
    </row>
    <row r="948" spans="1:7" x14ac:dyDescent="0.35">
      <c r="A948">
        <v>95582</v>
      </c>
      <c r="B948">
        <v>0</v>
      </c>
      <c r="C948" s="5" t="s">
        <v>16</v>
      </c>
      <c r="D948">
        <v>0</v>
      </c>
      <c r="E948" s="5" t="s">
        <v>78</v>
      </c>
      <c r="F948" s="5" t="s">
        <v>17</v>
      </c>
      <c r="G948">
        <v>21</v>
      </c>
    </row>
    <row r="949" spans="1:7" x14ac:dyDescent="0.35">
      <c r="A949">
        <v>14394</v>
      </c>
      <c r="B949">
        <v>1</v>
      </c>
      <c r="C949" s="5" t="s">
        <v>20</v>
      </c>
      <c r="D949">
        <v>6901</v>
      </c>
      <c r="E949" s="5" t="s">
        <v>79</v>
      </c>
      <c r="F949" s="5" t="s">
        <v>14</v>
      </c>
      <c r="G949">
        <v>10</v>
      </c>
    </row>
    <row r="950" spans="1:7" x14ac:dyDescent="0.35">
      <c r="A950">
        <v>81823</v>
      </c>
      <c r="B950">
        <v>1</v>
      </c>
      <c r="C950" s="5" t="s">
        <v>32</v>
      </c>
      <c r="D950">
        <v>4001</v>
      </c>
      <c r="E950" s="5" t="s">
        <v>81</v>
      </c>
      <c r="F950" s="5" t="s">
        <v>14</v>
      </c>
      <c r="G950">
        <v>45</v>
      </c>
    </row>
    <row r="951" spans="1:7" x14ac:dyDescent="0.35">
      <c r="A951">
        <v>143470</v>
      </c>
      <c r="B951">
        <v>1</v>
      </c>
      <c r="C951" s="5" t="s">
        <v>21</v>
      </c>
      <c r="D951">
        <v>5201</v>
      </c>
      <c r="E951" s="5" t="s">
        <v>85</v>
      </c>
      <c r="F951" s="5" t="s">
        <v>14</v>
      </c>
      <c r="G951">
        <v>17</v>
      </c>
    </row>
    <row r="952" spans="1:7" x14ac:dyDescent="0.35">
      <c r="A952">
        <v>77048</v>
      </c>
      <c r="B952">
        <v>0</v>
      </c>
      <c r="C952" s="5" t="s">
        <v>44</v>
      </c>
      <c r="D952">
        <v>3601</v>
      </c>
      <c r="E952" s="5" t="s">
        <v>87</v>
      </c>
      <c r="F952" s="5" t="s">
        <v>17</v>
      </c>
      <c r="G952">
        <v>7</v>
      </c>
    </row>
    <row r="953" spans="1:7" x14ac:dyDescent="0.35">
      <c r="A953">
        <v>20962</v>
      </c>
      <c r="B953">
        <v>1</v>
      </c>
      <c r="C953" s="5" t="s">
        <v>18</v>
      </c>
      <c r="D953">
        <v>3801</v>
      </c>
      <c r="E953" s="5" t="s">
        <v>79</v>
      </c>
      <c r="F953" s="5" t="s">
        <v>14</v>
      </c>
      <c r="G953">
        <v>15</v>
      </c>
    </row>
    <row r="954" spans="1:7" x14ac:dyDescent="0.35">
      <c r="A954">
        <v>58725</v>
      </c>
      <c r="B954">
        <v>1</v>
      </c>
      <c r="C954" s="5" t="s">
        <v>53</v>
      </c>
      <c r="D954">
        <v>1811</v>
      </c>
      <c r="E954" s="5" t="s">
        <v>81</v>
      </c>
      <c r="F954" s="5" t="s">
        <v>14</v>
      </c>
      <c r="G954">
        <v>15</v>
      </c>
    </row>
    <row r="955" spans="1:7" x14ac:dyDescent="0.35">
      <c r="A955">
        <v>124104</v>
      </c>
      <c r="B955">
        <v>1</v>
      </c>
      <c r="C955" s="5" t="s">
        <v>20</v>
      </c>
      <c r="D955">
        <v>5002</v>
      </c>
      <c r="E955" s="5" t="s">
        <v>78</v>
      </c>
      <c r="F955" s="5" t="s">
        <v>14</v>
      </c>
      <c r="G955">
        <v>23</v>
      </c>
    </row>
    <row r="956" spans="1:7" x14ac:dyDescent="0.35">
      <c r="A956">
        <v>65136</v>
      </c>
      <c r="B956">
        <v>0</v>
      </c>
      <c r="C956" s="5" t="s">
        <v>26</v>
      </c>
      <c r="D956">
        <v>3501</v>
      </c>
      <c r="E956" s="5" t="s">
        <v>84</v>
      </c>
      <c r="F956" s="5" t="s">
        <v>17</v>
      </c>
      <c r="G956">
        <v>20</v>
      </c>
    </row>
    <row r="957" spans="1:7" x14ac:dyDescent="0.35">
      <c r="A957">
        <v>132558</v>
      </c>
      <c r="B957">
        <v>1</v>
      </c>
      <c r="C957" s="5" t="s">
        <v>58</v>
      </c>
      <c r="D957">
        <v>4201</v>
      </c>
      <c r="E957" s="5" t="s">
        <v>84</v>
      </c>
      <c r="F957" s="5" t="s">
        <v>14</v>
      </c>
      <c r="G957">
        <v>15</v>
      </c>
    </row>
    <row r="958" spans="1:7" x14ac:dyDescent="0.35">
      <c r="A958">
        <v>82248</v>
      </c>
      <c r="B958">
        <v>0</v>
      </c>
      <c r="C958" s="5" t="s">
        <v>52</v>
      </c>
      <c r="D958">
        <v>2205</v>
      </c>
      <c r="E958" s="5" t="s">
        <v>81</v>
      </c>
      <c r="F958" s="5" t="s">
        <v>14</v>
      </c>
      <c r="G958">
        <v>8</v>
      </c>
    </row>
    <row r="959" spans="1:7" x14ac:dyDescent="0.35">
      <c r="A959">
        <v>38944</v>
      </c>
      <c r="B959">
        <v>2</v>
      </c>
      <c r="C959" s="5" t="s">
        <v>13</v>
      </c>
      <c r="D959">
        <v>5701</v>
      </c>
      <c r="E959" s="5" t="s">
        <v>91</v>
      </c>
      <c r="F959" s="5" t="s">
        <v>14</v>
      </c>
      <c r="G959">
        <v>25</v>
      </c>
    </row>
    <row r="960" spans="1:7" x14ac:dyDescent="0.35">
      <c r="A960">
        <v>47111</v>
      </c>
      <c r="B960">
        <v>0</v>
      </c>
      <c r="C960" s="5" t="s">
        <v>40</v>
      </c>
      <c r="D960">
        <v>2401</v>
      </c>
      <c r="E960" s="5" t="s">
        <v>89</v>
      </c>
      <c r="F960" s="5" t="s">
        <v>14</v>
      </c>
      <c r="G960">
        <v>5</v>
      </c>
    </row>
    <row r="961" spans="1:7" x14ac:dyDescent="0.35">
      <c r="A961">
        <v>165620</v>
      </c>
      <c r="B961">
        <v>0</v>
      </c>
      <c r="C961" s="5" t="s">
        <v>21</v>
      </c>
      <c r="D961">
        <v>2801</v>
      </c>
      <c r="E961" s="5" t="s">
        <v>91</v>
      </c>
      <c r="F961" s="5" t="s">
        <v>27</v>
      </c>
      <c r="G961">
        <v>4</v>
      </c>
    </row>
    <row r="962" spans="1:7" x14ac:dyDescent="0.35">
      <c r="A962">
        <v>59561</v>
      </c>
      <c r="B962">
        <v>0</v>
      </c>
      <c r="C962" s="5" t="s">
        <v>30</v>
      </c>
      <c r="D962">
        <v>6101</v>
      </c>
      <c r="E962" s="5" t="s">
        <v>89</v>
      </c>
      <c r="F962" s="5" t="s">
        <v>14</v>
      </c>
      <c r="G962">
        <v>9</v>
      </c>
    </row>
    <row r="963" spans="1:7" x14ac:dyDescent="0.35">
      <c r="A963">
        <v>27423</v>
      </c>
      <c r="B963">
        <v>2</v>
      </c>
      <c r="C963" s="5" t="s">
        <v>36</v>
      </c>
      <c r="D963">
        <v>0</v>
      </c>
      <c r="E963" s="5" t="s">
        <v>89</v>
      </c>
      <c r="F963" s="5" t="s">
        <v>17</v>
      </c>
      <c r="G963">
        <v>5</v>
      </c>
    </row>
    <row r="964" spans="1:7" x14ac:dyDescent="0.35">
      <c r="A964">
        <v>13484</v>
      </c>
      <c r="B964">
        <v>1</v>
      </c>
      <c r="C964" s="5" t="s">
        <v>13</v>
      </c>
      <c r="D964">
        <v>0</v>
      </c>
      <c r="E964" s="5" t="s">
        <v>82</v>
      </c>
      <c r="F964" s="5" t="s">
        <v>14</v>
      </c>
      <c r="G964">
        <v>11</v>
      </c>
    </row>
    <row r="965" spans="1:7" x14ac:dyDescent="0.35">
      <c r="A965">
        <v>133491</v>
      </c>
      <c r="B965">
        <v>1002</v>
      </c>
      <c r="C965" s="5" t="s">
        <v>38</v>
      </c>
      <c r="D965">
        <v>0</v>
      </c>
      <c r="E965" s="5" t="s">
        <v>79</v>
      </c>
      <c r="F965" s="5" t="s">
        <v>14</v>
      </c>
      <c r="G965">
        <v>100</v>
      </c>
    </row>
    <row r="966" spans="1:7" x14ac:dyDescent="0.35">
      <c r="A966">
        <v>63000</v>
      </c>
      <c r="B966">
        <v>0</v>
      </c>
      <c r="C966" s="5" t="s">
        <v>30</v>
      </c>
      <c r="D966">
        <v>0</v>
      </c>
      <c r="E966" s="5" t="s">
        <v>94</v>
      </c>
      <c r="F966" s="5" t="s">
        <v>86</v>
      </c>
      <c r="G966">
        <v>25</v>
      </c>
    </row>
    <row r="967" spans="1:7" x14ac:dyDescent="0.35">
      <c r="A967">
        <v>187284</v>
      </c>
      <c r="B967">
        <v>0</v>
      </c>
      <c r="C967" s="5" t="s">
        <v>44</v>
      </c>
      <c r="D967">
        <v>0</v>
      </c>
      <c r="E967" s="5" t="s">
        <v>78</v>
      </c>
      <c r="F967" s="5" t="s">
        <v>17</v>
      </c>
      <c r="G967">
        <v>10</v>
      </c>
    </row>
    <row r="968" spans="1:7" x14ac:dyDescent="0.35">
      <c r="A968">
        <v>131423</v>
      </c>
      <c r="B968">
        <v>1</v>
      </c>
      <c r="C968" s="5" t="s">
        <v>45</v>
      </c>
      <c r="D968">
        <v>4812</v>
      </c>
      <c r="E968" s="5" t="s">
        <v>81</v>
      </c>
      <c r="F968" s="5" t="s">
        <v>14</v>
      </c>
      <c r="G968">
        <v>25</v>
      </c>
    </row>
    <row r="969" spans="1:7" x14ac:dyDescent="0.35">
      <c r="A969">
        <v>22942</v>
      </c>
      <c r="B969">
        <v>0</v>
      </c>
      <c r="C969" s="5" t="s">
        <v>43</v>
      </c>
      <c r="D969">
        <v>2901</v>
      </c>
      <c r="E969" s="5" t="s">
        <v>78</v>
      </c>
      <c r="F969" s="5" t="s">
        <v>17</v>
      </c>
      <c r="G969">
        <v>9</v>
      </c>
    </row>
    <row r="970" spans="1:7" x14ac:dyDescent="0.35">
      <c r="A970">
        <v>85579</v>
      </c>
      <c r="B970">
        <v>0</v>
      </c>
      <c r="C970" s="5" t="s">
        <v>52</v>
      </c>
      <c r="D970">
        <v>2001</v>
      </c>
      <c r="E970" s="5" t="s">
        <v>79</v>
      </c>
      <c r="F970" s="5" t="s">
        <v>17</v>
      </c>
      <c r="G970">
        <v>20</v>
      </c>
    </row>
    <row r="971" spans="1:7" x14ac:dyDescent="0.35">
      <c r="A971">
        <v>3009</v>
      </c>
      <c r="B971">
        <v>2</v>
      </c>
      <c r="C971" s="5" t="s">
        <v>21</v>
      </c>
      <c r="D971">
        <v>4801</v>
      </c>
      <c r="E971" s="5" t="s">
        <v>91</v>
      </c>
      <c r="F971" s="5" t="s">
        <v>17</v>
      </c>
      <c r="G971">
        <v>20</v>
      </c>
    </row>
    <row r="972" spans="1:7" x14ac:dyDescent="0.35">
      <c r="A972">
        <v>105923</v>
      </c>
      <c r="B972">
        <v>0</v>
      </c>
      <c r="C972" s="5" t="s">
        <v>25</v>
      </c>
      <c r="D972">
        <v>1501</v>
      </c>
      <c r="E972" s="5" t="s">
        <v>80</v>
      </c>
      <c r="F972" s="5" t="s">
        <v>17</v>
      </c>
      <c r="G972">
        <v>7</v>
      </c>
    </row>
    <row r="973" spans="1:7" x14ac:dyDescent="0.35">
      <c r="A973">
        <v>187722</v>
      </c>
      <c r="B973">
        <v>1002</v>
      </c>
      <c r="C973" s="5" t="s">
        <v>26</v>
      </c>
      <c r="D973">
        <v>0</v>
      </c>
      <c r="E973" s="5" t="s">
        <v>84</v>
      </c>
      <c r="F973" s="5" t="s">
        <v>14</v>
      </c>
      <c r="G973">
        <v>7</v>
      </c>
    </row>
    <row r="974" spans="1:7" x14ac:dyDescent="0.35">
      <c r="A974">
        <v>15566</v>
      </c>
      <c r="B974">
        <v>2</v>
      </c>
      <c r="C974" s="5" t="s">
        <v>18</v>
      </c>
      <c r="D974">
        <v>0</v>
      </c>
      <c r="E974" s="5" t="s">
        <v>81</v>
      </c>
      <c r="F974" s="5" t="s">
        <v>17</v>
      </c>
      <c r="G974">
        <v>10</v>
      </c>
    </row>
    <row r="975" spans="1:7" x14ac:dyDescent="0.35">
      <c r="A975">
        <v>84745</v>
      </c>
      <c r="B975">
        <v>0</v>
      </c>
      <c r="C975" s="5" t="s">
        <v>52</v>
      </c>
      <c r="D975">
        <v>1601</v>
      </c>
      <c r="E975" s="5" t="s">
        <v>81</v>
      </c>
      <c r="F975" s="5" t="s">
        <v>17</v>
      </c>
      <c r="G975">
        <v>7</v>
      </c>
    </row>
    <row r="976" spans="1:7" x14ac:dyDescent="0.35">
      <c r="A976">
        <v>78172</v>
      </c>
      <c r="B976">
        <v>2</v>
      </c>
      <c r="C976" s="5" t="s">
        <v>32</v>
      </c>
      <c r="D976">
        <v>4401</v>
      </c>
      <c r="E976" s="5" t="s">
        <v>82</v>
      </c>
      <c r="F976" s="5" t="s">
        <v>17</v>
      </c>
      <c r="G976">
        <v>25</v>
      </c>
    </row>
    <row r="977" spans="1:7" x14ac:dyDescent="0.35">
      <c r="A977">
        <v>186334</v>
      </c>
      <c r="B977">
        <v>1</v>
      </c>
      <c r="C977" s="5" t="s">
        <v>30</v>
      </c>
      <c r="D977">
        <v>1908</v>
      </c>
      <c r="E977" s="5" t="s">
        <v>87</v>
      </c>
      <c r="F977" s="5" t="s">
        <v>14</v>
      </c>
      <c r="G977">
        <v>10</v>
      </c>
    </row>
    <row r="978" spans="1:7" x14ac:dyDescent="0.35">
      <c r="A978">
        <v>170767</v>
      </c>
      <c r="B978">
        <v>0</v>
      </c>
      <c r="C978" s="5" t="s">
        <v>21</v>
      </c>
      <c r="D978">
        <v>2001</v>
      </c>
      <c r="E978" s="5" t="s">
        <v>82</v>
      </c>
      <c r="F978" s="5" t="s">
        <v>17</v>
      </c>
      <c r="G978">
        <v>15</v>
      </c>
    </row>
    <row r="979" spans="1:7" x14ac:dyDescent="0.35">
      <c r="A979">
        <v>149152</v>
      </c>
      <c r="B979">
        <v>1</v>
      </c>
      <c r="C979" s="5" t="s">
        <v>21</v>
      </c>
      <c r="D979">
        <v>4401</v>
      </c>
      <c r="E979" s="5" t="s">
        <v>83</v>
      </c>
      <c r="F979" s="5" t="s">
        <v>14</v>
      </c>
      <c r="G979">
        <v>20</v>
      </c>
    </row>
    <row r="980" spans="1:7" x14ac:dyDescent="0.35">
      <c r="A980">
        <v>959</v>
      </c>
      <c r="B980">
        <v>0</v>
      </c>
      <c r="C980" s="5" t="s">
        <v>44</v>
      </c>
      <c r="D980">
        <v>4404</v>
      </c>
      <c r="E980" s="5" t="s">
        <v>78</v>
      </c>
      <c r="F980" s="5" t="s">
        <v>17</v>
      </c>
      <c r="G980">
        <v>10</v>
      </c>
    </row>
    <row r="981" spans="1:7" x14ac:dyDescent="0.35">
      <c r="A981">
        <v>179563</v>
      </c>
      <c r="B981">
        <v>1</v>
      </c>
      <c r="C981" s="5" t="s">
        <v>37</v>
      </c>
      <c r="D981">
        <v>5001</v>
      </c>
      <c r="E981" s="5" t="s">
        <v>80</v>
      </c>
      <c r="F981" s="5" t="s">
        <v>14</v>
      </c>
      <c r="G981">
        <v>23</v>
      </c>
    </row>
    <row r="982" spans="1:7" x14ac:dyDescent="0.35">
      <c r="A982">
        <v>41243</v>
      </c>
      <c r="B982">
        <v>2</v>
      </c>
      <c r="C982" s="5" t="s">
        <v>13</v>
      </c>
      <c r="D982">
        <v>2201</v>
      </c>
      <c r="E982" s="5" t="s">
        <v>80</v>
      </c>
      <c r="F982" s="5" t="s">
        <v>17</v>
      </c>
      <c r="G982">
        <v>12</v>
      </c>
    </row>
    <row r="983" spans="1:7" x14ac:dyDescent="0.35">
      <c r="A983">
        <v>160500</v>
      </c>
      <c r="B983">
        <v>0</v>
      </c>
      <c r="C983" s="5" t="s">
        <v>21</v>
      </c>
      <c r="D983">
        <v>1406</v>
      </c>
      <c r="E983" s="5" t="s">
        <v>78</v>
      </c>
      <c r="F983" s="5" t="s">
        <v>14</v>
      </c>
      <c r="G983">
        <v>5</v>
      </c>
    </row>
    <row r="984" spans="1:7" x14ac:dyDescent="0.35">
      <c r="A984">
        <v>77605</v>
      </c>
      <c r="B984">
        <v>1</v>
      </c>
      <c r="C984" s="5" t="s">
        <v>32</v>
      </c>
      <c r="D984">
        <v>5001</v>
      </c>
      <c r="E984" s="5" t="s">
        <v>86</v>
      </c>
      <c r="F984" s="5" t="s">
        <v>14</v>
      </c>
      <c r="G984">
        <v>15</v>
      </c>
    </row>
    <row r="985" spans="1:7" x14ac:dyDescent="0.35">
      <c r="A985">
        <v>190064</v>
      </c>
      <c r="B985">
        <v>0</v>
      </c>
      <c r="C985" s="5" t="s">
        <v>49</v>
      </c>
      <c r="D985">
        <v>0</v>
      </c>
      <c r="E985" s="5" t="s">
        <v>92</v>
      </c>
      <c r="F985" s="5" t="s">
        <v>17</v>
      </c>
      <c r="G985">
        <v>20</v>
      </c>
    </row>
    <row r="986" spans="1:7" x14ac:dyDescent="0.35">
      <c r="A986">
        <v>138758</v>
      </c>
      <c r="B986">
        <v>0</v>
      </c>
      <c r="C986" s="5" t="s">
        <v>51</v>
      </c>
      <c r="D986">
        <v>0</v>
      </c>
      <c r="E986" s="5" t="s">
        <v>79</v>
      </c>
      <c r="F986" s="5" t="s">
        <v>17</v>
      </c>
      <c r="G986">
        <v>20</v>
      </c>
    </row>
    <row r="987" spans="1:7" x14ac:dyDescent="0.35">
      <c r="A987">
        <v>8531</v>
      </c>
      <c r="B987">
        <v>1</v>
      </c>
      <c r="C987" s="5" t="s">
        <v>26</v>
      </c>
      <c r="D987">
        <v>6001</v>
      </c>
      <c r="E987" s="5" t="s">
        <v>81</v>
      </c>
      <c r="F987" s="5" t="s">
        <v>14</v>
      </c>
      <c r="G987">
        <v>10</v>
      </c>
    </row>
    <row r="988" spans="1:7" x14ac:dyDescent="0.35">
      <c r="A988">
        <v>27846</v>
      </c>
      <c r="B988">
        <v>0</v>
      </c>
      <c r="C988" s="5" t="s">
        <v>36</v>
      </c>
      <c r="D988">
        <v>0</v>
      </c>
      <c r="E988" s="5" t="s">
        <v>78</v>
      </c>
      <c r="F988" s="5" t="s">
        <v>86</v>
      </c>
      <c r="G988">
        <v>200</v>
      </c>
    </row>
    <row r="989" spans="1:7" x14ac:dyDescent="0.35">
      <c r="A989">
        <v>22782</v>
      </c>
      <c r="B989">
        <v>1</v>
      </c>
      <c r="C989" s="5" t="s">
        <v>43</v>
      </c>
      <c r="D989">
        <v>0</v>
      </c>
      <c r="E989" s="5" t="s">
        <v>94</v>
      </c>
      <c r="F989" s="5" t="s">
        <v>14</v>
      </c>
      <c r="G989">
        <v>10</v>
      </c>
    </row>
    <row r="990" spans="1:7" x14ac:dyDescent="0.35">
      <c r="A990">
        <v>66223</v>
      </c>
      <c r="B990">
        <v>0</v>
      </c>
      <c r="C990" s="5" t="s">
        <v>26</v>
      </c>
      <c r="D990">
        <v>5801</v>
      </c>
      <c r="E990" s="5" t="s">
        <v>80</v>
      </c>
      <c r="F990" s="5" t="s">
        <v>14</v>
      </c>
      <c r="G990">
        <v>10</v>
      </c>
    </row>
    <row r="991" spans="1:7" x14ac:dyDescent="0.35">
      <c r="A991">
        <v>189616</v>
      </c>
      <c r="B991">
        <v>1</v>
      </c>
      <c r="C991" s="5" t="s">
        <v>21</v>
      </c>
      <c r="D991">
        <v>0</v>
      </c>
      <c r="E991" s="5" t="s">
        <v>86</v>
      </c>
      <c r="F991" s="5" t="s">
        <v>14</v>
      </c>
      <c r="G991">
        <v>35</v>
      </c>
    </row>
    <row r="992" spans="1:7" x14ac:dyDescent="0.35">
      <c r="A992">
        <v>79649</v>
      </c>
      <c r="B992">
        <v>0</v>
      </c>
      <c r="C992" s="5" t="s">
        <v>32</v>
      </c>
      <c r="D992">
        <v>0</v>
      </c>
      <c r="E992" s="5" t="s">
        <v>80</v>
      </c>
      <c r="F992" s="5" t="s">
        <v>17</v>
      </c>
      <c r="G992">
        <v>15</v>
      </c>
    </row>
    <row r="993" spans="1:7" x14ac:dyDescent="0.35">
      <c r="A993">
        <v>138999</v>
      </c>
      <c r="B993">
        <v>28</v>
      </c>
      <c r="C993" s="5" t="s">
        <v>51</v>
      </c>
      <c r="D993">
        <v>1603</v>
      </c>
      <c r="E993" s="5" t="s">
        <v>94</v>
      </c>
      <c r="F993" s="5" t="s">
        <v>17</v>
      </c>
      <c r="G993">
        <v>10</v>
      </c>
    </row>
    <row r="994" spans="1:7" x14ac:dyDescent="0.35">
      <c r="A994">
        <v>8232</v>
      </c>
      <c r="B994">
        <v>0</v>
      </c>
      <c r="C994" s="5" t="s">
        <v>33</v>
      </c>
      <c r="D994">
        <v>3702</v>
      </c>
      <c r="E994" s="5" t="s">
        <v>81</v>
      </c>
      <c r="F994" s="5" t="s">
        <v>17</v>
      </c>
      <c r="G994">
        <v>10</v>
      </c>
    </row>
    <row r="995" spans="1:7" x14ac:dyDescent="0.35">
      <c r="A995">
        <v>43020</v>
      </c>
      <c r="B995">
        <v>2</v>
      </c>
      <c r="C995" s="5" t="s">
        <v>13</v>
      </c>
      <c r="D995">
        <v>0</v>
      </c>
      <c r="E995" s="5" t="s">
        <v>78</v>
      </c>
      <c r="F995" s="5" t="s">
        <v>17</v>
      </c>
      <c r="G995">
        <v>15</v>
      </c>
    </row>
    <row r="996" spans="1:7" x14ac:dyDescent="0.35">
      <c r="A996">
        <v>118862</v>
      </c>
      <c r="B996">
        <v>1</v>
      </c>
      <c r="C996" s="5" t="s">
        <v>20</v>
      </c>
      <c r="D996">
        <v>4208</v>
      </c>
      <c r="E996" s="5" t="s">
        <v>83</v>
      </c>
      <c r="F996" s="5" t="s">
        <v>14</v>
      </c>
      <c r="G996">
        <v>12</v>
      </c>
    </row>
    <row r="997" spans="1:7" x14ac:dyDescent="0.35">
      <c r="A997">
        <v>30104</v>
      </c>
      <c r="B997">
        <v>1</v>
      </c>
      <c r="C997" s="5" t="s">
        <v>36</v>
      </c>
      <c r="D997">
        <v>5201</v>
      </c>
      <c r="E997" s="5" t="s">
        <v>81</v>
      </c>
      <c r="F997" s="5" t="s">
        <v>14</v>
      </c>
      <c r="G997">
        <v>15</v>
      </c>
    </row>
    <row r="998" spans="1:7" x14ac:dyDescent="0.35">
      <c r="A998">
        <v>154614</v>
      </c>
      <c r="B998">
        <v>0</v>
      </c>
      <c r="C998" s="5" t="s">
        <v>21</v>
      </c>
      <c r="D998">
        <v>0</v>
      </c>
      <c r="E998" s="5" t="s">
        <v>84</v>
      </c>
      <c r="F998" s="5" t="s">
        <v>17</v>
      </c>
      <c r="G998">
        <v>20</v>
      </c>
    </row>
    <row r="999" spans="1:7" x14ac:dyDescent="0.35">
      <c r="A999">
        <v>57151</v>
      </c>
      <c r="B999">
        <v>0</v>
      </c>
      <c r="C999" s="5" t="s">
        <v>53</v>
      </c>
      <c r="D999">
        <v>3601</v>
      </c>
      <c r="E999" s="5" t="s">
        <v>90</v>
      </c>
      <c r="F999" s="5" t="s">
        <v>17</v>
      </c>
      <c r="G999">
        <v>26</v>
      </c>
    </row>
    <row r="1000" spans="1:7" x14ac:dyDescent="0.35">
      <c r="A1000">
        <v>71425</v>
      </c>
      <c r="B1000">
        <v>1</v>
      </c>
      <c r="C1000" s="5" t="s">
        <v>26</v>
      </c>
      <c r="D1000">
        <v>4401</v>
      </c>
      <c r="E1000" s="5" t="s">
        <v>79</v>
      </c>
      <c r="F1000" s="5" t="s">
        <v>14</v>
      </c>
      <c r="G1000">
        <v>7</v>
      </c>
    </row>
    <row r="1001" spans="1:7" x14ac:dyDescent="0.35">
      <c r="A1001">
        <v>190579</v>
      </c>
      <c r="B1001">
        <v>1</v>
      </c>
      <c r="C1001" s="5" t="s">
        <v>21</v>
      </c>
      <c r="D1001">
        <v>0</v>
      </c>
      <c r="E1001" s="5" t="s">
        <v>85</v>
      </c>
      <c r="F1001" s="5" t="s">
        <v>14</v>
      </c>
      <c r="G1001">
        <v>4</v>
      </c>
    </row>
    <row r="1002" spans="1:7" x14ac:dyDescent="0.35">
      <c r="A1002">
        <v>42997</v>
      </c>
      <c r="B1002">
        <v>2</v>
      </c>
      <c r="C1002" s="5" t="s">
        <v>13</v>
      </c>
      <c r="D1002">
        <v>1808</v>
      </c>
      <c r="E1002" s="5" t="s">
        <v>82</v>
      </c>
      <c r="F1002" s="5" t="s">
        <v>17</v>
      </c>
      <c r="G1002">
        <v>7</v>
      </c>
    </row>
    <row r="1003" spans="1:7" x14ac:dyDescent="0.35">
      <c r="A1003">
        <v>132896</v>
      </c>
      <c r="B1003">
        <v>2</v>
      </c>
      <c r="C1003" s="5" t="s">
        <v>47</v>
      </c>
      <c r="D1003">
        <v>4410</v>
      </c>
      <c r="E1003" s="5" t="s">
        <v>84</v>
      </c>
      <c r="F1003" s="5" t="s">
        <v>17</v>
      </c>
      <c r="G1003">
        <v>25</v>
      </c>
    </row>
    <row r="1004" spans="1:7" x14ac:dyDescent="0.35">
      <c r="A1004">
        <v>120189</v>
      </c>
      <c r="B1004">
        <v>0</v>
      </c>
      <c r="C1004" s="5" t="s">
        <v>20</v>
      </c>
      <c r="D1004">
        <v>0</v>
      </c>
      <c r="E1004" s="5" t="s">
        <v>79</v>
      </c>
      <c r="F1004" s="5" t="s">
        <v>14</v>
      </c>
      <c r="G1004">
        <v>25</v>
      </c>
    </row>
    <row r="1005" spans="1:7" x14ac:dyDescent="0.35">
      <c r="A1005">
        <v>138829</v>
      </c>
      <c r="B1005">
        <v>28</v>
      </c>
      <c r="C1005" s="5" t="s">
        <v>51</v>
      </c>
      <c r="D1005">
        <v>3601</v>
      </c>
      <c r="E1005" s="5" t="s">
        <v>79</v>
      </c>
      <c r="F1005" s="5" t="s">
        <v>17</v>
      </c>
      <c r="G1005">
        <v>25</v>
      </c>
    </row>
    <row r="1006" spans="1:7" x14ac:dyDescent="0.35">
      <c r="A1006">
        <v>167462</v>
      </c>
      <c r="B1006">
        <v>0</v>
      </c>
      <c r="C1006" s="5" t="s">
        <v>21</v>
      </c>
      <c r="D1006">
        <v>3601</v>
      </c>
      <c r="E1006" s="5" t="s">
        <v>83</v>
      </c>
      <c r="F1006" s="5" t="s">
        <v>14</v>
      </c>
      <c r="G1006">
        <v>15</v>
      </c>
    </row>
    <row r="1007" spans="1:7" x14ac:dyDescent="0.35">
      <c r="A1007">
        <v>160401</v>
      </c>
      <c r="B1007">
        <v>28</v>
      </c>
      <c r="C1007" s="5" t="s">
        <v>21</v>
      </c>
      <c r="D1007">
        <v>3101</v>
      </c>
      <c r="E1007" s="5" t="s">
        <v>79</v>
      </c>
      <c r="F1007" s="5" t="s">
        <v>17</v>
      </c>
      <c r="G1007">
        <v>13</v>
      </c>
    </row>
    <row r="1008" spans="1:7" x14ac:dyDescent="0.35">
      <c r="A1008">
        <v>174934</v>
      </c>
      <c r="B1008">
        <v>28</v>
      </c>
      <c r="C1008" s="5" t="s">
        <v>47</v>
      </c>
      <c r="D1008">
        <v>0</v>
      </c>
      <c r="E1008" s="5" t="s">
        <v>80</v>
      </c>
      <c r="F1008" s="5" t="s">
        <v>17</v>
      </c>
      <c r="G1008">
        <v>5</v>
      </c>
    </row>
    <row r="1009" spans="1:7" x14ac:dyDescent="0.35">
      <c r="A1009">
        <v>2020</v>
      </c>
      <c r="B1009">
        <v>2</v>
      </c>
      <c r="C1009" s="5" t="s">
        <v>21</v>
      </c>
      <c r="D1009">
        <v>2401</v>
      </c>
      <c r="E1009" s="5" t="s">
        <v>83</v>
      </c>
      <c r="F1009" s="5" t="s">
        <v>17</v>
      </c>
      <c r="G1009">
        <v>7</v>
      </c>
    </row>
    <row r="1010" spans="1:7" x14ac:dyDescent="0.35">
      <c r="A1010">
        <v>74235</v>
      </c>
      <c r="B1010">
        <v>4</v>
      </c>
      <c r="C1010" s="5" t="s">
        <v>26</v>
      </c>
      <c r="D1010">
        <v>4912</v>
      </c>
      <c r="E1010" s="5" t="s">
        <v>79</v>
      </c>
      <c r="F1010" s="5" t="s">
        <v>14</v>
      </c>
      <c r="G1010">
        <v>26</v>
      </c>
    </row>
    <row r="1011" spans="1:7" x14ac:dyDescent="0.35">
      <c r="A1011">
        <v>167039</v>
      </c>
      <c r="B1011">
        <v>0</v>
      </c>
      <c r="C1011" s="5" t="s">
        <v>21</v>
      </c>
      <c r="D1011">
        <v>0</v>
      </c>
      <c r="E1011" s="5" t="s">
        <v>83</v>
      </c>
      <c r="F1011" s="5" t="s">
        <v>86</v>
      </c>
      <c r="G1011">
        <v>5</v>
      </c>
    </row>
    <row r="1012" spans="1:7" x14ac:dyDescent="0.35">
      <c r="A1012">
        <v>165509</v>
      </c>
      <c r="B1012">
        <v>0</v>
      </c>
      <c r="C1012" s="5" t="s">
        <v>21</v>
      </c>
      <c r="D1012">
        <v>0</v>
      </c>
      <c r="E1012" s="5" t="s">
        <v>82</v>
      </c>
      <c r="F1012" s="5" t="s">
        <v>14</v>
      </c>
      <c r="G1012">
        <v>10</v>
      </c>
    </row>
    <row r="1013" spans="1:7" x14ac:dyDescent="0.35">
      <c r="A1013">
        <v>151653</v>
      </c>
      <c r="B1013">
        <v>0</v>
      </c>
      <c r="C1013" s="5" t="s">
        <v>21</v>
      </c>
      <c r="D1013">
        <v>2401</v>
      </c>
      <c r="E1013" s="5" t="s">
        <v>91</v>
      </c>
      <c r="F1013" s="5" t="s">
        <v>86</v>
      </c>
      <c r="G1013">
        <v>10</v>
      </c>
    </row>
    <row r="1014" spans="1:7" x14ac:dyDescent="0.35">
      <c r="A1014">
        <v>100132</v>
      </c>
      <c r="B1014">
        <v>0</v>
      </c>
      <c r="C1014" s="5" t="s">
        <v>33</v>
      </c>
      <c r="D1014">
        <v>2401</v>
      </c>
      <c r="E1014" s="5" t="s">
        <v>80</v>
      </c>
      <c r="F1014" s="5" t="s">
        <v>17</v>
      </c>
      <c r="G1014">
        <v>15</v>
      </c>
    </row>
    <row r="1015" spans="1:7" x14ac:dyDescent="0.35">
      <c r="A1015">
        <v>161726</v>
      </c>
      <c r="B1015">
        <v>0</v>
      </c>
      <c r="C1015" s="5" t="s">
        <v>21</v>
      </c>
      <c r="D1015">
        <v>4601</v>
      </c>
      <c r="E1015" s="5" t="s">
        <v>84</v>
      </c>
      <c r="F1015" s="5" t="s">
        <v>17</v>
      </c>
      <c r="G1015">
        <v>7</v>
      </c>
    </row>
    <row r="1016" spans="1:7" x14ac:dyDescent="0.35">
      <c r="A1016">
        <v>125986</v>
      </c>
      <c r="B1016">
        <v>0</v>
      </c>
      <c r="C1016" s="5" t="s">
        <v>20</v>
      </c>
      <c r="D1016">
        <v>4610</v>
      </c>
      <c r="E1016" s="5" t="s">
        <v>79</v>
      </c>
      <c r="F1016" s="5" t="s">
        <v>14</v>
      </c>
      <c r="G1016">
        <v>17</v>
      </c>
    </row>
    <row r="1017" spans="1:7" x14ac:dyDescent="0.35">
      <c r="A1017">
        <v>185394</v>
      </c>
      <c r="B1017">
        <v>2</v>
      </c>
      <c r="C1017" s="5" t="s">
        <v>26</v>
      </c>
      <c r="D1017">
        <v>2702</v>
      </c>
      <c r="E1017" s="5" t="s">
        <v>80</v>
      </c>
      <c r="F1017" s="5" t="s">
        <v>17</v>
      </c>
      <c r="G1017">
        <v>5</v>
      </c>
    </row>
    <row r="1018" spans="1:7" x14ac:dyDescent="0.35">
      <c r="A1018">
        <v>43799</v>
      </c>
      <c r="B1018">
        <v>2</v>
      </c>
      <c r="C1018" s="5" t="s">
        <v>13</v>
      </c>
      <c r="D1018">
        <v>5801</v>
      </c>
      <c r="E1018" s="5" t="s">
        <v>79</v>
      </c>
      <c r="F1018" s="5" t="s">
        <v>17</v>
      </c>
      <c r="G1018">
        <v>20</v>
      </c>
    </row>
    <row r="1019" spans="1:7" x14ac:dyDescent="0.35">
      <c r="A1019">
        <v>185464</v>
      </c>
      <c r="B1019">
        <v>1</v>
      </c>
      <c r="C1019" s="5" t="s">
        <v>53</v>
      </c>
      <c r="D1019">
        <v>3910</v>
      </c>
      <c r="E1019" s="5" t="s">
        <v>79</v>
      </c>
      <c r="F1019" s="5" t="s">
        <v>14</v>
      </c>
      <c r="G1019">
        <v>15</v>
      </c>
    </row>
    <row r="1020" spans="1:7" x14ac:dyDescent="0.35">
      <c r="A1020">
        <v>125325</v>
      </c>
      <c r="B1020">
        <v>13</v>
      </c>
      <c r="C1020" s="5" t="s">
        <v>20</v>
      </c>
      <c r="D1020">
        <v>1709</v>
      </c>
      <c r="E1020" s="5" t="s">
        <v>83</v>
      </c>
      <c r="F1020" s="5" t="s">
        <v>14</v>
      </c>
      <c r="G1020">
        <v>20</v>
      </c>
    </row>
    <row r="1021" spans="1:7" x14ac:dyDescent="0.35">
      <c r="A1021">
        <v>112679</v>
      </c>
      <c r="B1021">
        <v>1</v>
      </c>
      <c r="C1021" s="5" t="s">
        <v>28</v>
      </c>
      <c r="D1021">
        <v>4801</v>
      </c>
      <c r="E1021" s="5" t="s">
        <v>83</v>
      </c>
      <c r="F1021" s="5" t="s">
        <v>14</v>
      </c>
      <c r="G1021">
        <v>20</v>
      </c>
    </row>
    <row r="1022" spans="1:7" x14ac:dyDescent="0.35">
      <c r="A1022">
        <v>2415</v>
      </c>
      <c r="B1022">
        <v>28</v>
      </c>
      <c r="C1022" s="5" t="s">
        <v>21</v>
      </c>
      <c r="D1022">
        <v>5501</v>
      </c>
      <c r="E1022" s="5" t="s">
        <v>83</v>
      </c>
      <c r="F1022" s="5" t="s">
        <v>17</v>
      </c>
      <c r="G1022">
        <v>25</v>
      </c>
    </row>
    <row r="1023" spans="1:7" x14ac:dyDescent="0.35">
      <c r="A1023">
        <v>166866</v>
      </c>
      <c r="B1023">
        <v>0</v>
      </c>
      <c r="C1023" s="5" t="s">
        <v>21</v>
      </c>
      <c r="D1023">
        <v>0</v>
      </c>
      <c r="E1023" s="5" t="s">
        <v>83</v>
      </c>
      <c r="F1023" s="5" t="s">
        <v>17</v>
      </c>
      <c r="G1023">
        <v>125</v>
      </c>
    </row>
    <row r="1024" spans="1:7" x14ac:dyDescent="0.35">
      <c r="A1024">
        <v>4211</v>
      </c>
      <c r="B1024">
        <v>2</v>
      </c>
      <c r="C1024" s="5" t="s">
        <v>20</v>
      </c>
      <c r="D1024">
        <v>402</v>
      </c>
      <c r="E1024" s="5" t="s">
        <v>82</v>
      </c>
      <c r="F1024" s="5" t="s">
        <v>17</v>
      </c>
      <c r="G1024">
        <v>25</v>
      </c>
    </row>
    <row r="1025" spans="1:7" x14ac:dyDescent="0.35">
      <c r="A1025">
        <v>182395</v>
      </c>
      <c r="B1025">
        <v>28</v>
      </c>
      <c r="C1025" s="5" t="s">
        <v>37</v>
      </c>
      <c r="D1025">
        <v>2601</v>
      </c>
      <c r="E1025" s="5" t="s">
        <v>78</v>
      </c>
      <c r="F1025" s="5" t="s">
        <v>17</v>
      </c>
      <c r="G1025">
        <v>10</v>
      </c>
    </row>
    <row r="1026" spans="1:7" x14ac:dyDescent="0.35">
      <c r="A1026">
        <v>188178</v>
      </c>
      <c r="B1026">
        <v>28</v>
      </c>
      <c r="C1026" s="5" t="s">
        <v>23</v>
      </c>
      <c r="D1026">
        <v>0</v>
      </c>
      <c r="E1026" s="5" t="s">
        <v>80</v>
      </c>
      <c r="F1026" s="5" t="s">
        <v>17</v>
      </c>
      <c r="G1026">
        <v>8</v>
      </c>
    </row>
    <row r="1027" spans="1:7" x14ac:dyDescent="0.35">
      <c r="A1027">
        <v>147835</v>
      </c>
      <c r="B1027">
        <v>0</v>
      </c>
      <c r="C1027" s="5" t="s">
        <v>21</v>
      </c>
      <c r="D1027">
        <v>0</v>
      </c>
      <c r="E1027" s="5" t="s">
        <v>82</v>
      </c>
      <c r="F1027" s="5" t="s">
        <v>17</v>
      </c>
      <c r="G1027">
        <v>20</v>
      </c>
    </row>
    <row r="1028" spans="1:7" x14ac:dyDescent="0.35">
      <c r="A1028">
        <v>5532</v>
      </c>
      <c r="B1028">
        <v>0</v>
      </c>
      <c r="C1028" s="5" t="s">
        <v>59</v>
      </c>
      <c r="D1028">
        <v>2104</v>
      </c>
      <c r="E1028" s="5" t="s">
        <v>79</v>
      </c>
      <c r="F1028" s="5" t="s">
        <v>14</v>
      </c>
      <c r="G1028">
        <v>15</v>
      </c>
    </row>
    <row r="1029" spans="1:7" x14ac:dyDescent="0.35">
      <c r="A1029">
        <v>128857</v>
      </c>
      <c r="B1029">
        <v>1</v>
      </c>
      <c r="C1029" s="5" t="s">
        <v>20</v>
      </c>
      <c r="D1029">
        <v>4801</v>
      </c>
      <c r="E1029" s="5" t="s">
        <v>87</v>
      </c>
      <c r="F1029" s="5" t="s">
        <v>14</v>
      </c>
      <c r="G1029">
        <v>15</v>
      </c>
    </row>
    <row r="1030" spans="1:7" x14ac:dyDescent="0.35">
      <c r="A1030">
        <v>40058</v>
      </c>
      <c r="B1030">
        <v>2</v>
      </c>
      <c r="C1030" s="5" t="s">
        <v>13</v>
      </c>
      <c r="D1030">
        <v>1007</v>
      </c>
      <c r="E1030" s="5" t="s">
        <v>78</v>
      </c>
      <c r="F1030" s="5" t="s">
        <v>17</v>
      </c>
      <c r="G1030">
        <v>25</v>
      </c>
    </row>
    <row r="1031" spans="1:7" x14ac:dyDescent="0.35">
      <c r="A1031">
        <v>179377</v>
      </c>
      <c r="B1031">
        <v>0</v>
      </c>
      <c r="C1031" s="5" t="s">
        <v>37</v>
      </c>
      <c r="D1031">
        <v>0</v>
      </c>
      <c r="E1031" s="5" t="s">
        <v>86</v>
      </c>
      <c r="F1031" s="5" t="s">
        <v>86</v>
      </c>
      <c r="G1031">
        <v>10</v>
      </c>
    </row>
    <row r="1032" spans="1:7" x14ac:dyDescent="0.35">
      <c r="A1032">
        <v>166207</v>
      </c>
      <c r="B1032">
        <v>1</v>
      </c>
      <c r="C1032" s="5" t="s">
        <v>21</v>
      </c>
      <c r="D1032">
        <v>0</v>
      </c>
      <c r="E1032" s="5" t="s">
        <v>93</v>
      </c>
      <c r="F1032" s="5" t="s">
        <v>14</v>
      </c>
      <c r="G1032">
        <v>9</v>
      </c>
    </row>
    <row r="1033" spans="1:7" x14ac:dyDescent="0.35">
      <c r="A1033">
        <v>124227</v>
      </c>
      <c r="B1033">
        <v>0</v>
      </c>
      <c r="C1033" s="5" t="s">
        <v>20</v>
      </c>
      <c r="D1033">
        <v>0</v>
      </c>
      <c r="E1033" s="5" t="s">
        <v>87</v>
      </c>
      <c r="F1033" s="5" t="s">
        <v>27</v>
      </c>
      <c r="G1033">
        <v>25</v>
      </c>
    </row>
    <row r="1034" spans="1:7" x14ac:dyDescent="0.35">
      <c r="A1034">
        <v>7173</v>
      </c>
      <c r="B1034">
        <v>2</v>
      </c>
      <c r="C1034" s="5" t="s">
        <v>49</v>
      </c>
      <c r="D1034">
        <v>3008</v>
      </c>
      <c r="E1034" s="5" t="s">
        <v>83</v>
      </c>
      <c r="F1034" s="5" t="s">
        <v>17</v>
      </c>
      <c r="G1034">
        <v>32</v>
      </c>
    </row>
    <row r="1035" spans="1:7" x14ac:dyDescent="0.35">
      <c r="A1035">
        <v>85152</v>
      </c>
      <c r="B1035">
        <v>2</v>
      </c>
      <c r="C1035" s="5" t="s">
        <v>52</v>
      </c>
      <c r="D1035">
        <v>0</v>
      </c>
      <c r="E1035" s="5" t="s">
        <v>89</v>
      </c>
      <c r="F1035" s="5" t="s">
        <v>14</v>
      </c>
      <c r="G1035">
        <v>10</v>
      </c>
    </row>
    <row r="1036" spans="1:7" x14ac:dyDescent="0.35">
      <c r="A1036">
        <v>32807</v>
      </c>
      <c r="B1036">
        <v>1002</v>
      </c>
      <c r="C1036" s="5" t="s">
        <v>13</v>
      </c>
      <c r="D1036">
        <v>3301</v>
      </c>
      <c r="E1036" s="5" t="s">
        <v>80</v>
      </c>
      <c r="F1036" s="5" t="s">
        <v>14</v>
      </c>
      <c r="G1036">
        <v>5</v>
      </c>
    </row>
    <row r="1037" spans="1:7" x14ac:dyDescent="0.35">
      <c r="A1037">
        <v>268</v>
      </c>
      <c r="B1037">
        <v>0</v>
      </c>
      <c r="C1037" s="5" t="s">
        <v>13</v>
      </c>
      <c r="D1037">
        <v>607</v>
      </c>
      <c r="E1037" s="5" t="s">
        <v>82</v>
      </c>
      <c r="F1037" s="5" t="s">
        <v>17</v>
      </c>
      <c r="G1037">
        <v>33</v>
      </c>
    </row>
    <row r="1038" spans="1:7" x14ac:dyDescent="0.35">
      <c r="A1038">
        <v>109514</v>
      </c>
      <c r="B1038">
        <v>0</v>
      </c>
      <c r="C1038" s="5" t="s">
        <v>46</v>
      </c>
      <c r="D1038">
        <v>3601</v>
      </c>
      <c r="E1038" s="5" t="s">
        <v>79</v>
      </c>
      <c r="F1038" s="5" t="s">
        <v>14</v>
      </c>
      <c r="G1038">
        <v>6</v>
      </c>
    </row>
    <row r="1039" spans="1:7" x14ac:dyDescent="0.35">
      <c r="A1039">
        <v>181644</v>
      </c>
      <c r="B1039">
        <v>0</v>
      </c>
      <c r="C1039" s="5" t="s">
        <v>37</v>
      </c>
      <c r="D1039">
        <v>5707</v>
      </c>
      <c r="E1039" s="5" t="s">
        <v>87</v>
      </c>
      <c r="F1039" s="5" t="s">
        <v>17</v>
      </c>
      <c r="G1039">
        <v>12</v>
      </c>
    </row>
    <row r="1040" spans="1:7" x14ac:dyDescent="0.35">
      <c r="A1040">
        <v>62585</v>
      </c>
      <c r="B1040">
        <v>0</v>
      </c>
      <c r="C1040" s="5" t="s">
        <v>18</v>
      </c>
      <c r="D1040">
        <v>5001</v>
      </c>
      <c r="E1040" s="5" t="s">
        <v>87</v>
      </c>
      <c r="F1040" s="5" t="s">
        <v>17</v>
      </c>
      <c r="G1040">
        <v>25</v>
      </c>
    </row>
    <row r="1041" spans="1:7" x14ac:dyDescent="0.35">
      <c r="A1041">
        <v>163354</v>
      </c>
      <c r="B1041">
        <v>0</v>
      </c>
      <c r="C1041" s="5" t="s">
        <v>21</v>
      </c>
      <c r="D1041">
        <v>604</v>
      </c>
      <c r="E1041" s="5" t="s">
        <v>85</v>
      </c>
      <c r="F1041" s="5" t="s">
        <v>17</v>
      </c>
      <c r="G1041">
        <v>10</v>
      </c>
    </row>
    <row r="1042" spans="1:7" x14ac:dyDescent="0.35">
      <c r="A1042">
        <v>98672</v>
      </c>
      <c r="B1042">
        <v>0</v>
      </c>
      <c r="C1042" s="5" t="s">
        <v>16</v>
      </c>
      <c r="D1042">
        <v>6506</v>
      </c>
      <c r="E1042" s="5" t="s">
        <v>87</v>
      </c>
      <c r="F1042" s="5" t="s">
        <v>14</v>
      </c>
      <c r="G1042">
        <v>5</v>
      </c>
    </row>
    <row r="1043" spans="1:7" x14ac:dyDescent="0.35">
      <c r="A1043">
        <v>190614</v>
      </c>
      <c r="B1043">
        <v>0</v>
      </c>
      <c r="C1043" s="5" t="s">
        <v>45</v>
      </c>
      <c r="D1043">
        <v>0</v>
      </c>
      <c r="E1043" s="5" t="s">
        <v>83</v>
      </c>
      <c r="F1043" s="5" t="s">
        <v>17</v>
      </c>
      <c r="G1043">
        <v>3</v>
      </c>
    </row>
    <row r="1044" spans="1:7" x14ac:dyDescent="0.35">
      <c r="A1044">
        <v>155607</v>
      </c>
      <c r="B1044">
        <v>0</v>
      </c>
      <c r="C1044" s="5" t="s">
        <v>21</v>
      </c>
      <c r="D1044">
        <v>5401</v>
      </c>
      <c r="E1044" s="5" t="s">
        <v>83</v>
      </c>
      <c r="F1044" s="5" t="s">
        <v>17</v>
      </c>
      <c r="G1044">
        <v>38</v>
      </c>
    </row>
    <row r="1045" spans="1:7" x14ac:dyDescent="0.35">
      <c r="A1045">
        <v>161804</v>
      </c>
      <c r="B1045">
        <v>1</v>
      </c>
      <c r="C1045" s="5" t="s">
        <v>21</v>
      </c>
      <c r="D1045">
        <v>3906</v>
      </c>
      <c r="E1045" s="5" t="s">
        <v>81</v>
      </c>
      <c r="F1045" s="5" t="s">
        <v>14</v>
      </c>
      <c r="G1045">
        <v>5</v>
      </c>
    </row>
    <row r="1046" spans="1:7" x14ac:dyDescent="0.35">
      <c r="A1046">
        <v>11348</v>
      </c>
      <c r="B1046">
        <v>0</v>
      </c>
      <c r="C1046" s="5" t="s">
        <v>13</v>
      </c>
      <c r="D1046">
        <v>0</v>
      </c>
      <c r="E1046" s="5" t="s">
        <v>78</v>
      </c>
      <c r="F1046" s="5" t="s">
        <v>14</v>
      </c>
      <c r="G1046">
        <v>5</v>
      </c>
    </row>
    <row r="1047" spans="1:7" x14ac:dyDescent="0.35">
      <c r="A1047">
        <v>111380</v>
      </c>
      <c r="B1047">
        <v>1</v>
      </c>
      <c r="C1047" s="5" t="s">
        <v>29</v>
      </c>
      <c r="D1047">
        <v>2801</v>
      </c>
      <c r="E1047" s="5" t="s">
        <v>89</v>
      </c>
      <c r="F1047" s="5" t="s">
        <v>14</v>
      </c>
      <c r="G1047">
        <v>10</v>
      </c>
    </row>
    <row r="1048" spans="1:7" x14ac:dyDescent="0.35">
      <c r="A1048">
        <v>86578</v>
      </c>
      <c r="B1048">
        <v>2</v>
      </c>
      <c r="C1048" s="5" t="s">
        <v>42</v>
      </c>
      <c r="D1048">
        <v>1201</v>
      </c>
      <c r="E1048" s="5" t="s">
        <v>89</v>
      </c>
      <c r="F1048" s="5" t="s">
        <v>14</v>
      </c>
      <c r="G1048">
        <v>15</v>
      </c>
    </row>
    <row r="1049" spans="1:7" x14ac:dyDescent="0.35">
      <c r="A1049">
        <v>157904</v>
      </c>
      <c r="B1049">
        <v>0</v>
      </c>
      <c r="C1049" s="5" t="s">
        <v>21</v>
      </c>
      <c r="D1049">
        <v>4401</v>
      </c>
      <c r="E1049" s="5" t="s">
        <v>83</v>
      </c>
      <c r="F1049" s="5" t="s">
        <v>17</v>
      </c>
      <c r="G1049">
        <v>6</v>
      </c>
    </row>
    <row r="1050" spans="1:7" x14ac:dyDescent="0.35">
      <c r="A1050">
        <v>140924</v>
      </c>
      <c r="B1050">
        <v>1002</v>
      </c>
      <c r="C1050" s="5" t="s">
        <v>23</v>
      </c>
      <c r="D1050">
        <v>0</v>
      </c>
      <c r="E1050" s="5" t="s">
        <v>80</v>
      </c>
      <c r="F1050" s="5" t="s">
        <v>14</v>
      </c>
      <c r="G1050">
        <v>7</v>
      </c>
    </row>
    <row r="1051" spans="1:7" x14ac:dyDescent="0.35">
      <c r="A1051">
        <v>32972</v>
      </c>
      <c r="B1051">
        <v>0</v>
      </c>
      <c r="C1051" s="5" t="s">
        <v>13</v>
      </c>
      <c r="D1051">
        <v>5511</v>
      </c>
      <c r="E1051" s="5" t="s">
        <v>80</v>
      </c>
      <c r="F1051" s="5" t="s">
        <v>17</v>
      </c>
      <c r="G1051">
        <v>12</v>
      </c>
    </row>
    <row r="1052" spans="1:7" x14ac:dyDescent="0.35">
      <c r="A1052">
        <v>149541</v>
      </c>
      <c r="B1052">
        <v>2</v>
      </c>
      <c r="C1052" s="5" t="s">
        <v>21</v>
      </c>
      <c r="D1052">
        <v>3601</v>
      </c>
      <c r="E1052" s="5" t="s">
        <v>80</v>
      </c>
      <c r="F1052" s="5" t="s">
        <v>17</v>
      </c>
      <c r="G1052">
        <v>10</v>
      </c>
    </row>
    <row r="1053" spans="1:7" x14ac:dyDescent="0.35">
      <c r="A1053">
        <v>182604</v>
      </c>
      <c r="B1053">
        <v>0</v>
      </c>
      <c r="C1053" s="5" t="s">
        <v>37</v>
      </c>
      <c r="D1053">
        <v>2801</v>
      </c>
      <c r="E1053" s="5" t="s">
        <v>79</v>
      </c>
      <c r="F1053" s="5" t="s">
        <v>17</v>
      </c>
      <c r="G1053">
        <v>15</v>
      </c>
    </row>
    <row r="1054" spans="1:7" x14ac:dyDescent="0.35">
      <c r="A1054">
        <v>103876</v>
      </c>
      <c r="B1054">
        <v>28</v>
      </c>
      <c r="C1054" s="5" t="s">
        <v>33</v>
      </c>
      <c r="D1054">
        <v>3001</v>
      </c>
      <c r="E1054" s="5" t="s">
        <v>78</v>
      </c>
      <c r="F1054" s="5" t="s">
        <v>17</v>
      </c>
      <c r="G1054">
        <v>20</v>
      </c>
    </row>
    <row r="1055" spans="1:7" x14ac:dyDescent="0.35">
      <c r="A1055">
        <v>65999</v>
      </c>
      <c r="B1055">
        <v>2</v>
      </c>
      <c r="C1055" s="5" t="s">
        <v>26</v>
      </c>
      <c r="D1055">
        <v>1909</v>
      </c>
      <c r="E1055" s="5" t="s">
        <v>82</v>
      </c>
      <c r="F1055" s="5" t="s">
        <v>14</v>
      </c>
      <c r="G1055">
        <v>25</v>
      </c>
    </row>
    <row r="1056" spans="1:7" x14ac:dyDescent="0.35">
      <c r="A1056">
        <v>104394</v>
      </c>
      <c r="B1056">
        <v>28</v>
      </c>
      <c r="C1056" s="5" t="s">
        <v>25</v>
      </c>
      <c r="D1056">
        <v>3501</v>
      </c>
      <c r="E1056" s="5" t="s">
        <v>82</v>
      </c>
      <c r="F1056" s="5" t="s">
        <v>17</v>
      </c>
      <c r="G1056">
        <v>10</v>
      </c>
    </row>
    <row r="1057" spans="1:7" x14ac:dyDescent="0.35">
      <c r="A1057">
        <v>117524</v>
      </c>
      <c r="B1057">
        <v>28</v>
      </c>
      <c r="C1057" s="5" t="s">
        <v>49</v>
      </c>
      <c r="D1057">
        <v>4402</v>
      </c>
      <c r="E1057" s="5" t="s">
        <v>83</v>
      </c>
      <c r="F1057" s="5" t="s">
        <v>17</v>
      </c>
      <c r="G1057">
        <v>25</v>
      </c>
    </row>
    <row r="1058" spans="1:7" x14ac:dyDescent="0.35">
      <c r="A1058">
        <v>147904</v>
      </c>
      <c r="B1058">
        <v>0</v>
      </c>
      <c r="C1058" s="5" t="s">
        <v>21</v>
      </c>
      <c r="D1058">
        <v>1501</v>
      </c>
      <c r="E1058" s="5" t="s">
        <v>83</v>
      </c>
      <c r="F1058" s="5" t="s">
        <v>17</v>
      </c>
      <c r="G1058">
        <v>50</v>
      </c>
    </row>
    <row r="1059" spans="1:7" x14ac:dyDescent="0.35">
      <c r="A1059">
        <v>105815</v>
      </c>
      <c r="B1059">
        <v>1002</v>
      </c>
      <c r="C1059" s="5" t="s">
        <v>25</v>
      </c>
      <c r="D1059">
        <v>5001</v>
      </c>
      <c r="E1059" s="5" t="s">
        <v>87</v>
      </c>
      <c r="F1059" s="5" t="s">
        <v>14</v>
      </c>
      <c r="G1059">
        <v>20</v>
      </c>
    </row>
    <row r="1060" spans="1:7" x14ac:dyDescent="0.35">
      <c r="A1060">
        <v>31778</v>
      </c>
      <c r="B1060">
        <v>1</v>
      </c>
      <c r="C1060" s="5" t="s">
        <v>13</v>
      </c>
      <c r="D1060">
        <v>4308</v>
      </c>
      <c r="E1060" s="5" t="s">
        <v>84</v>
      </c>
      <c r="F1060" s="5" t="s">
        <v>14</v>
      </c>
      <c r="G1060">
        <v>25</v>
      </c>
    </row>
    <row r="1061" spans="1:7" x14ac:dyDescent="0.35">
      <c r="A1061">
        <v>112084</v>
      </c>
      <c r="B1061">
        <v>1</v>
      </c>
      <c r="C1061" s="5" t="s">
        <v>29</v>
      </c>
      <c r="D1061">
        <v>2410</v>
      </c>
      <c r="E1061" s="5" t="s">
        <v>81</v>
      </c>
      <c r="F1061" s="5" t="s">
        <v>14</v>
      </c>
      <c r="G1061">
        <v>14</v>
      </c>
    </row>
    <row r="1062" spans="1:7" x14ac:dyDescent="0.35">
      <c r="A1062">
        <v>58850</v>
      </c>
      <c r="B1062">
        <v>1</v>
      </c>
      <c r="C1062" s="5" t="s">
        <v>53</v>
      </c>
      <c r="D1062">
        <v>2201</v>
      </c>
      <c r="E1062" s="5" t="s">
        <v>79</v>
      </c>
      <c r="F1062" s="5" t="s">
        <v>14</v>
      </c>
      <c r="G1062">
        <v>6</v>
      </c>
    </row>
    <row r="1063" spans="1:7" x14ac:dyDescent="0.35">
      <c r="A1063">
        <v>185901</v>
      </c>
      <c r="B1063">
        <v>2</v>
      </c>
      <c r="C1063" s="5" t="s">
        <v>20</v>
      </c>
      <c r="D1063">
        <v>801</v>
      </c>
      <c r="E1063" s="5" t="s">
        <v>86</v>
      </c>
      <c r="F1063" s="5" t="s">
        <v>14</v>
      </c>
      <c r="G1063">
        <v>10</v>
      </c>
    </row>
    <row r="1064" spans="1:7" x14ac:dyDescent="0.35">
      <c r="A1064">
        <v>134566</v>
      </c>
      <c r="B1064">
        <v>0</v>
      </c>
      <c r="C1064" s="5" t="s">
        <v>35</v>
      </c>
      <c r="D1064">
        <v>0</v>
      </c>
      <c r="E1064" s="5" t="s">
        <v>80</v>
      </c>
      <c r="F1064" s="5" t="s">
        <v>17</v>
      </c>
      <c r="G1064">
        <v>10</v>
      </c>
    </row>
    <row r="1065" spans="1:7" x14ac:dyDescent="0.35">
      <c r="A1065">
        <v>185819</v>
      </c>
      <c r="B1065">
        <v>2</v>
      </c>
      <c r="C1065" s="5" t="s">
        <v>21</v>
      </c>
      <c r="D1065">
        <v>1601</v>
      </c>
      <c r="E1065" s="5" t="s">
        <v>83</v>
      </c>
      <c r="F1065" s="5" t="s">
        <v>14</v>
      </c>
      <c r="G1065">
        <v>13</v>
      </c>
    </row>
    <row r="1066" spans="1:7" x14ac:dyDescent="0.35">
      <c r="A1066">
        <v>3985</v>
      </c>
      <c r="B1066">
        <v>0</v>
      </c>
      <c r="C1066" s="5" t="s">
        <v>20</v>
      </c>
      <c r="D1066">
        <v>2612</v>
      </c>
      <c r="E1066" s="5" t="s">
        <v>89</v>
      </c>
      <c r="F1066" s="5" t="s">
        <v>17</v>
      </c>
      <c r="G1066">
        <v>12</v>
      </c>
    </row>
    <row r="1067" spans="1:7" x14ac:dyDescent="0.35">
      <c r="A1067">
        <v>23321</v>
      </c>
      <c r="B1067">
        <v>0</v>
      </c>
      <c r="C1067" s="5" t="s">
        <v>43</v>
      </c>
      <c r="D1067">
        <v>3011</v>
      </c>
      <c r="E1067" s="5" t="s">
        <v>84</v>
      </c>
      <c r="F1067" s="5" t="s">
        <v>17</v>
      </c>
      <c r="G1067">
        <v>10</v>
      </c>
    </row>
    <row r="1068" spans="1:7" x14ac:dyDescent="0.35">
      <c r="A1068">
        <v>158978</v>
      </c>
      <c r="B1068">
        <v>0</v>
      </c>
      <c r="C1068" s="5" t="s">
        <v>21</v>
      </c>
      <c r="D1068">
        <v>5009</v>
      </c>
      <c r="E1068" s="5" t="s">
        <v>80</v>
      </c>
      <c r="F1068" s="5" t="s">
        <v>14</v>
      </c>
      <c r="G1068">
        <v>15</v>
      </c>
    </row>
    <row r="1069" spans="1:7" x14ac:dyDescent="0.35">
      <c r="A1069">
        <v>14388</v>
      </c>
      <c r="B1069">
        <v>1002</v>
      </c>
      <c r="C1069" s="5" t="s">
        <v>13</v>
      </c>
      <c r="D1069">
        <v>6206</v>
      </c>
      <c r="E1069" s="5" t="s">
        <v>80</v>
      </c>
      <c r="F1069" s="5" t="s">
        <v>14</v>
      </c>
      <c r="G1069">
        <v>10</v>
      </c>
    </row>
    <row r="1070" spans="1:7" x14ac:dyDescent="0.35">
      <c r="A1070">
        <v>12779</v>
      </c>
      <c r="B1070">
        <v>1</v>
      </c>
      <c r="C1070" s="5" t="s">
        <v>21</v>
      </c>
      <c r="D1070">
        <v>1407</v>
      </c>
      <c r="E1070" s="5" t="s">
        <v>89</v>
      </c>
      <c r="F1070" s="5" t="s">
        <v>14</v>
      </c>
      <c r="G1070">
        <v>10</v>
      </c>
    </row>
    <row r="1071" spans="1:7" x14ac:dyDescent="0.35">
      <c r="A1071">
        <v>39667</v>
      </c>
      <c r="B1071">
        <v>0</v>
      </c>
      <c r="C1071" s="5" t="s">
        <v>13</v>
      </c>
      <c r="D1071">
        <v>2209</v>
      </c>
      <c r="E1071" s="5" t="s">
        <v>80</v>
      </c>
      <c r="F1071" s="5" t="s">
        <v>14</v>
      </c>
      <c r="G1071">
        <v>15</v>
      </c>
    </row>
    <row r="1072" spans="1:7" x14ac:dyDescent="0.35">
      <c r="A1072">
        <v>163731</v>
      </c>
      <c r="B1072">
        <v>1</v>
      </c>
      <c r="C1072" s="5" t="s">
        <v>21</v>
      </c>
      <c r="D1072">
        <v>5401</v>
      </c>
      <c r="E1072" s="5" t="s">
        <v>83</v>
      </c>
      <c r="F1072" s="5" t="s">
        <v>14</v>
      </c>
      <c r="G1072">
        <v>11</v>
      </c>
    </row>
    <row r="1073" spans="1:7" x14ac:dyDescent="0.35">
      <c r="A1073">
        <v>156457</v>
      </c>
      <c r="B1073">
        <v>0</v>
      </c>
      <c r="C1073" s="5" t="s">
        <v>21</v>
      </c>
      <c r="D1073">
        <v>5308</v>
      </c>
      <c r="E1073" s="5" t="s">
        <v>93</v>
      </c>
      <c r="F1073" s="5" t="s">
        <v>17</v>
      </c>
      <c r="G1073">
        <v>25</v>
      </c>
    </row>
    <row r="1074" spans="1:7" x14ac:dyDescent="0.35">
      <c r="A1074">
        <v>100369</v>
      </c>
      <c r="B1074">
        <v>2</v>
      </c>
      <c r="C1074" s="5" t="s">
        <v>33</v>
      </c>
      <c r="D1074">
        <v>7201</v>
      </c>
      <c r="E1074" s="5" t="s">
        <v>80</v>
      </c>
      <c r="F1074" s="5" t="s">
        <v>17</v>
      </c>
      <c r="G1074">
        <v>28</v>
      </c>
    </row>
    <row r="1075" spans="1:7" x14ac:dyDescent="0.35">
      <c r="A1075">
        <v>46201</v>
      </c>
      <c r="B1075">
        <v>1</v>
      </c>
      <c r="C1075" s="5" t="s">
        <v>13</v>
      </c>
      <c r="D1075">
        <v>3001</v>
      </c>
      <c r="E1075" s="5" t="s">
        <v>83</v>
      </c>
      <c r="F1075" s="5" t="s">
        <v>14</v>
      </c>
      <c r="G1075">
        <v>15</v>
      </c>
    </row>
    <row r="1076" spans="1:7" x14ac:dyDescent="0.35">
      <c r="A1076">
        <v>118182</v>
      </c>
      <c r="B1076">
        <v>0</v>
      </c>
      <c r="C1076" s="5" t="s">
        <v>20</v>
      </c>
      <c r="D1076">
        <v>2301</v>
      </c>
      <c r="E1076" s="5" t="s">
        <v>81</v>
      </c>
      <c r="F1076" s="5" t="s">
        <v>14</v>
      </c>
      <c r="G1076">
        <v>5</v>
      </c>
    </row>
    <row r="1077" spans="1:7" x14ac:dyDescent="0.35">
      <c r="A1077">
        <v>67</v>
      </c>
      <c r="B1077">
        <v>0</v>
      </c>
      <c r="C1077" s="5" t="s">
        <v>50</v>
      </c>
      <c r="D1077">
        <v>1801</v>
      </c>
      <c r="E1077" s="5" t="s">
        <v>78</v>
      </c>
      <c r="F1077" s="5" t="s">
        <v>17</v>
      </c>
      <c r="G1077">
        <v>5</v>
      </c>
    </row>
    <row r="1078" spans="1:7" x14ac:dyDescent="0.35">
      <c r="A1078">
        <v>116951</v>
      </c>
      <c r="B1078">
        <v>0</v>
      </c>
      <c r="C1078" s="5" t="s">
        <v>20</v>
      </c>
      <c r="D1078">
        <v>1404</v>
      </c>
      <c r="E1078" s="5" t="s">
        <v>91</v>
      </c>
      <c r="F1078" s="5" t="s">
        <v>17</v>
      </c>
      <c r="G1078">
        <v>6</v>
      </c>
    </row>
    <row r="1079" spans="1:7" x14ac:dyDescent="0.35">
      <c r="A1079">
        <v>160032</v>
      </c>
      <c r="B1079">
        <v>0</v>
      </c>
      <c r="C1079" s="5" t="s">
        <v>21</v>
      </c>
      <c r="D1079">
        <v>0</v>
      </c>
      <c r="E1079" s="5" t="s">
        <v>78</v>
      </c>
      <c r="F1079" s="5" t="s">
        <v>17</v>
      </c>
      <c r="G1079">
        <v>25</v>
      </c>
    </row>
    <row r="1080" spans="1:7" x14ac:dyDescent="0.35">
      <c r="A1080">
        <v>60694</v>
      </c>
      <c r="B1080">
        <v>0</v>
      </c>
      <c r="C1080" s="5" t="s">
        <v>30</v>
      </c>
      <c r="D1080">
        <v>0</v>
      </c>
      <c r="E1080" s="5" t="s">
        <v>90</v>
      </c>
      <c r="F1080" s="5" t="s">
        <v>17</v>
      </c>
      <c r="G1080">
        <v>25</v>
      </c>
    </row>
    <row r="1081" spans="1:7" x14ac:dyDescent="0.35">
      <c r="A1081">
        <v>80387</v>
      </c>
      <c r="B1081">
        <v>0</v>
      </c>
      <c r="C1081" s="5" t="s">
        <v>32</v>
      </c>
      <c r="D1081">
        <v>1401</v>
      </c>
      <c r="E1081" s="5" t="s">
        <v>94</v>
      </c>
      <c r="F1081" s="5" t="s">
        <v>17</v>
      </c>
      <c r="G1081">
        <v>5</v>
      </c>
    </row>
    <row r="1082" spans="1:7" x14ac:dyDescent="0.35">
      <c r="A1082">
        <v>158143</v>
      </c>
      <c r="B1082">
        <v>1</v>
      </c>
      <c r="C1082" s="5" t="s">
        <v>21</v>
      </c>
      <c r="D1082">
        <v>4007</v>
      </c>
      <c r="E1082" s="5" t="s">
        <v>83</v>
      </c>
      <c r="F1082" s="5" t="s">
        <v>14</v>
      </c>
      <c r="G1082">
        <v>16</v>
      </c>
    </row>
    <row r="1083" spans="1:7" x14ac:dyDescent="0.35">
      <c r="A1083">
        <v>25277</v>
      </c>
      <c r="B1083">
        <v>1</v>
      </c>
      <c r="C1083" s="5" t="s">
        <v>43</v>
      </c>
      <c r="D1083">
        <v>2101</v>
      </c>
      <c r="E1083" s="5" t="s">
        <v>84</v>
      </c>
      <c r="F1083" s="5" t="s">
        <v>14</v>
      </c>
      <c r="G1083">
        <v>17</v>
      </c>
    </row>
    <row r="1084" spans="1:7" x14ac:dyDescent="0.35">
      <c r="A1084">
        <v>179454</v>
      </c>
      <c r="B1084">
        <v>28</v>
      </c>
      <c r="C1084" s="5" t="s">
        <v>37</v>
      </c>
      <c r="D1084">
        <v>2501</v>
      </c>
      <c r="E1084" s="5" t="s">
        <v>91</v>
      </c>
      <c r="F1084" s="5" t="s">
        <v>17</v>
      </c>
      <c r="G1084">
        <v>20</v>
      </c>
    </row>
    <row r="1085" spans="1:7" x14ac:dyDescent="0.35">
      <c r="A1085">
        <v>145899</v>
      </c>
      <c r="B1085">
        <v>0</v>
      </c>
      <c r="C1085" s="5" t="s">
        <v>18</v>
      </c>
      <c r="D1085">
        <v>0</v>
      </c>
      <c r="E1085" s="5" t="s">
        <v>80</v>
      </c>
      <c r="F1085" s="5" t="s">
        <v>17</v>
      </c>
      <c r="G1085">
        <v>20</v>
      </c>
    </row>
    <row r="1086" spans="1:7" x14ac:dyDescent="0.35">
      <c r="A1086">
        <v>183790</v>
      </c>
      <c r="B1086">
        <v>0</v>
      </c>
      <c r="C1086" s="5" t="s">
        <v>37</v>
      </c>
      <c r="D1086">
        <v>0</v>
      </c>
      <c r="E1086" s="5" t="s">
        <v>81</v>
      </c>
      <c r="F1086" s="5" t="s">
        <v>17</v>
      </c>
      <c r="G1086">
        <v>14</v>
      </c>
    </row>
    <row r="1087" spans="1:7" x14ac:dyDescent="0.35">
      <c r="A1087">
        <v>119538</v>
      </c>
      <c r="B1087">
        <v>0</v>
      </c>
      <c r="C1087" s="5" t="s">
        <v>20</v>
      </c>
      <c r="D1087">
        <v>3602</v>
      </c>
      <c r="E1087" s="5" t="s">
        <v>87</v>
      </c>
      <c r="F1087" s="5" t="s">
        <v>17</v>
      </c>
      <c r="G1087">
        <v>16</v>
      </c>
    </row>
    <row r="1088" spans="1:7" x14ac:dyDescent="0.35">
      <c r="A1088">
        <v>24991</v>
      </c>
      <c r="B1088">
        <v>1</v>
      </c>
      <c r="C1088" s="5" t="s">
        <v>43</v>
      </c>
      <c r="D1088">
        <v>5201</v>
      </c>
      <c r="E1088" s="5" t="s">
        <v>79</v>
      </c>
      <c r="F1088" s="5" t="s">
        <v>14</v>
      </c>
      <c r="G1088">
        <v>11</v>
      </c>
    </row>
    <row r="1089" spans="1:7" x14ac:dyDescent="0.35">
      <c r="A1089">
        <v>113501</v>
      </c>
      <c r="B1089">
        <v>0</v>
      </c>
      <c r="C1089" s="5" t="s">
        <v>28</v>
      </c>
      <c r="D1089">
        <v>6201</v>
      </c>
      <c r="E1089" s="5" t="s">
        <v>78</v>
      </c>
      <c r="F1089" s="5" t="s">
        <v>17</v>
      </c>
      <c r="G1089">
        <v>5</v>
      </c>
    </row>
    <row r="1090" spans="1:7" x14ac:dyDescent="0.35">
      <c r="A1090">
        <v>185353</v>
      </c>
      <c r="B1090">
        <v>28</v>
      </c>
      <c r="C1090" s="5" t="s">
        <v>21</v>
      </c>
      <c r="D1090">
        <v>1801</v>
      </c>
      <c r="E1090" s="5" t="s">
        <v>92</v>
      </c>
      <c r="F1090" s="5" t="s">
        <v>17</v>
      </c>
      <c r="G1090">
        <v>3</v>
      </c>
    </row>
    <row r="1091" spans="1:7" x14ac:dyDescent="0.35">
      <c r="A1091">
        <v>72308</v>
      </c>
      <c r="B1091">
        <v>0</v>
      </c>
      <c r="C1091" s="5" t="s">
        <v>26</v>
      </c>
      <c r="D1091">
        <v>2002</v>
      </c>
      <c r="E1091" s="5" t="s">
        <v>79</v>
      </c>
      <c r="F1091" s="5" t="s">
        <v>17</v>
      </c>
      <c r="G1091">
        <v>46</v>
      </c>
    </row>
    <row r="1092" spans="1:7" x14ac:dyDescent="0.35">
      <c r="A1092">
        <v>110519</v>
      </c>
      <c r="B1092">
        <v>2</v>
      </c>
      <c r="C1092" s="5" t="s">
        <v>46</v>
      </c>
      <c r="D1092">
        <v>3801</v>
      </c>
      <c r="E1092" s="5" t="s">
        <v>90</v>
      </c>
      <c r="F1092" s="5" t="s">
        <v>14</v>
      </c>
      <c r="G1092">
        <v>17</v>
      </c>
    </row>
    <row r="1093" spans="1:7" x14ac:dyDescent="0.35">
      <c r="A1093">
        <v>124193</v>
      </c>
      <c r="B1093">
        <v>0</v>
      </c>
      <c r="C1093" s="5" t="s">
        <v>20</v>
      </c>
      <c r="D1093">
        <v>0</v>
      </c>
      <c r="E1093" s="5" t="s">
        <v>81</v>
      </c>
      <c r="F1093" s="5" t="s">
        <v>27</v>
      </c>
      <c r="G1093">
        <v>6</v>
      </c>
    </row>
    <row r="1094" spans="1:7" x14ac:dyDescent="0.35">
      <c r="A1094">
        <v>181526</v>
      </c>
      <c r="B1094">
        <v>0</v>
      </c>
      <c r="C1094" s="5" t="s">
        <v>37</v>
      </c>
      <c r="D1094">
        <v>0</v>
      </c>
      <c r="E1094" s="5" t="s">
        <v>79</v>
      </c>
      <c r="F1094" s="5" t="s">
        <v>17</v>
      </c>
      <c r="G1094">
        <v>13</v>
      </c>
    </row>
    <row r="1095" spans="1:7" x14ac:dyDescent="0.35">
      <c r="A1095">
        <v>2796</v>
      </c>
      <c r="B1095">
        <v>0</v>
      </c>
      <c r="C1095" s="5" t="s">
        <v>60</v>
      </c>
      <c r="D1095">
        <v>0</v>
      </c>
      <c r="E1095" s="5" t="s">
        <v>81</v>
      </c>
      <c r="F1095" s="5" t="s">
        <v>14</v>
      </c>
      <c r="G1095">
        <v>25</v>
      </c>
    </row>
    <row r="1096" spans="1:7" x14ac:dyDescent="0.35">
      <c r="A1096">
        <v>67954</v>
      </c>
      <c r="B1096">
        <v>0</v>
      </c>
      <c r="C1096" s="5" t="s">
        <v>26</v>
      </c>
      <c r="D1096">
        <v>3101</v>
      </c>
      <c r="E1096" s="5" t="s">
        <v>92</v>
      </c>
      <c r="F1096" s="5" t="s">
        <v>17</v>
      </c>
      <c r="G1096">
        <v>35</v>
      </c>
    </row>
    <row r="1097" spans="1:7" x14ac:dyDescent="0.35">
      <c r="A1097">
        <v>93809</v>
      </c>
      <c r="B1097">
        <v>1</v>
      </c>
      <c r="C1097" s="5" t="s">
        <v>16</v>
      </c>
      <c r="D1097">
        <v>2003</v>
      </c>
      <c r="E1097" s="5" t="s">
        <v>93</v>
      </c>
      <c r="F1097" s="5" t="s">
        <v>14</v>
      </c>
      <c r="G1097">
        <v>10</v>
      </c>
    </row>
    <row r="1098" spans="1:7" x14ac:dyDescent="0.35">
      <c r="A1098">
        <v>109520</v>
      </c>
      <c r="B1098">
        <v>1</v>
      </c>
      <c r="C1098" s="5" t="s">
        <v>46</v>
      </c>
      <c r="D1098">
        <v>4501</v>
      </c>
      <c r="E1098" s="5" t="s">
        <v>79</v>
      </c>
      <c r="F1098" s="5" t="s">
        <v>14</v>
      </c>
      <c r="G1098">
        <v>15</v>
      </c>
    </row>
    <row r="1099" spans="1:7" x14ac:dyDescent="0.35">
      <c r="A1099">
        <v>76051</v>
      </c>
      <c r="B1099">
        <v>1</v>
      </c>
      <c r="C1099" s="5" t="s">
        <v>44</v>
      </c>
      <c r="D1099">
        <v>4207</v>
      </c>
      <c r="E1099" s="5" t="s">
        <v>88</v>
      </c>
      <c r="F1099" s="5" t="s">
        <v>14</v>
      </c>
      <c r="G1099">
        <v>20</v>
      </c>
    </row>
    <row r="1100" spans="1:7" x14ac:dyDescent="0.35">
      <c r="A1100">
        <v>145521</v>
      </c>
      <c r="B1100">
        <v>0</v>
      </c>
      <c r="C1100" s="5" t="s">
        <v>21</v>
      </c>
      <c r="D1100">
        <v>0</v>
      </c>
      <c r="E1100" s="5" t="s">
        <v>85</v>
      </c>
      <c r="F1100" s="5" t="s">
        <v>17</v>
      </c>
      <c r="G1100">
        <v>16</v>
      </c>
    </row>
    <row r="1101" spans="1:7" x14ac:dyDescent="0.35">
      <c r="A1101">
        <v>87533</v>
      </c>
      <c r="B1101">
        <v>0</v>
      </c>
      <c r="C1101" s="5" t="s">
        <v>31</v>
      </c>
      <c r="D1101">
        <v>2401</v>
      </c>
      <c r="E1101" s="5" t="s">
        <v>90</v>
      </c>
      <c r="F1101" s="5" t="s">
        <v>17</v>
      </c>
      <c r="G1101">
        <v>5</v>
      </c>
    </row>
    <row r="1102" spans="1:7" x14ac:dyDescent="0.35">
      <c r="A1102">
        <v>82026</v>
      </c>
      <c r="B1102">
        <v>0</v>
      </c>
      <c r="C1102" s="5" t="s">
        <v>32</v>
      </c>
      <c r="D1102">
        <v>2201</v>
      </c>
      <c r="E1102" s="5" t="s">
        <v>79</v>
      </c>
      <c r="F1102" s="5" t="s">
        <v>17</v>
      </c>
      <c r="G1102">
        <v>12</v>
      </c>
    </row>
    <row r="1103" spans="1:7" x14ac:dyDescent="0.35">
      <c r="A1103">
        <v>97055</v>
      </c>
      <c r="B1103">
        <v>0</v>
      </c>
      <c r="C1103" s="5" t="s">
        <v>16</v>
      </c>
      <c r="D1103">
        <v>3001</v>
      </c>
      <c r="E1103" s="5" t="s">
        <v>81</v>
      </c>
      <c r="F1103" s="5" t="s">
        <v>17</v>
      </c>
      <c r="G1103">
        <v>22</v>
      </c>
    </row>
    <row r="1104" spans="1:7" x14ac:dyDescent="0.35">
      <c r="A1104">
        <v>74701</v>
      </c>
      <c r="B1104">
        <v>1</v>
      </c>
      <c r="C1104" s="5" t="s">
        <v>26</v>
      </c>
      <c r="D1104">
        <v>1901</v>
      </c>
      <c r="E1104" s="5" t="s">
        <v>89</v>
      </c>
      <c r="F1104" s="5" t="s">
        <v>86</v>
      </c>
      <c r="G1104">
        <v>20</v>
      </c>
    </row>
    <row r="1105" spans="1:7" x14ac:dyDescent="0.35">
      <c r="A1105">
        <v>183374</v>
      </c>
      <c r="B1105">
        <v>1</v>
      </c>
      <c r="C1105" s="5" t="s">
        <v>37</v>
      </c>
      <c r="D1105">
        <v>0</v>
      </c>
      <c r="E1105" s="5" t="s">
        <v>89</v>
      </c>
      <c r="F1105" s="5" t="s">
        <v>14</v>
      </c>
      <c r="G1105">
        <v>10</v>
      </c>
    </row>
    <row r="1106" spans="1:7" x14ac:dyDescent="0.35">
      <c r="A1106">
        <v>28565</v>
      </c>
      <c r="B1106">
        <v>2</v>
      </c>
      <c r="C1106" s="5" t="s">
        <v>36</v>
      </c>
      <c r="D1106">
        <v>0</v>
      </c>
      <c r="E1106" s="5" t="s">
        <v>87</v>
      </c>
      <c r="F1106" s="5" t="s">
        <v>17</v>
      </c>
      <c r="G1106">
        <v>7</v>
      </c>
    </row>
    <row r="1107" spans="1:7" x14ac:dyDescent="0.35">
      <c r="A1107">
        <v>139628</v>
      </c>
      <c r="B1107">
        <v>2</v>
      </c>
      <c r="C1107" s="5" t="s">
        <v>50</v>
      </c>
      <c r="D1107">
        <v>3801</v>
      </c>
      <c r="E1107" s="5" t="s">
        <v>93</v>
      </c>
      <c r="F1107" s="5" t="s">
        <v>14</v>
      </c>
      <c r="G1107">
        <v>20</v>
      </c>
    </row>
    <row r="1108" spans="1:7" x14ac:dyDescent="0.35">
      <c r="A1108">
        <v>113686</v>
      </c>
      <c r="B1108">
        <v>1002</v>
      </c>
      <c r="C1108" s="5" t="s">
        <v>28</v>
      </c>
      <c r="D1108">
        <v>5701</v>
      </c>
      <c r="E1108" s="5" t="s">
        <v>78</v>
      </c>
      <c r="F1108" s="5" t="s">
        <v>41</v>
      </c>
      <c r="G1108">
        <v>15</v>
      </c>
    </row>
    <row r="1109" spans="1:7" x14ac:dyDescent="0.35">
      <c r="A1109">
        <v>123862</v>
      </c>
      <c r="B1109">
        <v>0</v>
      </c>
      <c r="C1109" s="5" t="s">
        <v>20</v>
      </c>
      <c r="D1109">
        <v>7001</v>
      </c>
      <c r="E1109" s="5" t="s">
        <v>82</v>
      </c>
      <c r="F1109" s="5" t="s">
        <v>17</v>
      </c>
      <c r="G1109">
        <v>3</v>
      </c>
    </row>
    <row r="1110" spans="1:7" x14ac:dyDescent="0.35">
      <c r="A1110">
        <v>151629</v>
      </c>
      <c r="B1110">
        <v>0</v>
      </c>
      <c r="C1110" s="5" t="s">
        <v>21</v>
      </c>
      <c r="D1110">
        <v>3601</v>
      </c>
      <c r="E1110" s="5" t="s">
        <v>91</v>
      </c>
      <c r="F1110" s="5" t="s">
        <v>17</v>
      </c>
      <c r="G1110">
        <v>15</v>
      </c>
    </row>
    <row r="1111" spans="1:7" x14ac:dyDescent="0.35">
      <c r="A1111">
        <v>5404</v>
      </c>
      <c r="B1111">
        <v>0</v>
      </c>
      <c r="C1111" s="5" t="s">
        <v>46</v>
      </c>
      <c r="D1111">
        <v>3611</v>
      </c>
      <c r="E1111" s="5" t="s">
        <v>79</v>
      </c>
      <c r="F1111" s="5" t="s">
        <v>27</v>
      </c>
      <c r="G1111">
        <v>10</v>
      </c>
    </row>
    <row r="1112" spans="1:7" x14ac:dyDescent="0.35">
      <c r="A1112">
        <v>150516</v>
      </c>
      <c r="B1112">
        <v>28</v>
      </c>
      <c r="C1112" s="5" t="s">
        <v>21</v>
      </c>
      <c r="D1112">
        <v>1501</v>
      </c>
      <c r="E1112" s="5" t="s">
        <v>83</v>
      </c>
      <c r="F1112" s="5" t="s">
        <v>17</v>
      </c>
      <c r="G1112">
        <v>25</v>
      </c>
    </row>
    <row r="1113" spans="1:7" x14ac:dyDescent="0.35">
      <c r="A1113">
        <v>31911</v>
      </c>
      <c r="B1113">
        <v>0</v>
      </c>
      <c r="C1113" s="5" t="s">
        <v>61</v>
      </c>
      <c r="D1113">
        <v>0</v>
      </c>
      <c r="E1113" s="5" t="s">
        <v>83</v>
      </c>
      <c r="F1113" s="5" t="s">
        <v>17</v>
      </c>
      <c r="G1113">
        <v>5</v>
      </c>
    </row>
    <row r="1114" spans="1:7" x14ac:dyDescent="0.35">
      <c r="A1114">
        <v>2379</v>
      </c>
      <c r="B1114">
        <v>1</v>
      </c>
      <c r="C1114" s="5" t="s">
        <v>26</v>
      </c>
      <c r="D1114">
        <v>4809</v>
      </c>
      <c r="E1114" s="5" t="s">
        <v>84</v>
      </c>
      <c r="F1114" s="5" t="s">
        <v>14</v>
      </c>
      <c r="G1114">
        <v>10</v>
      </c>
    </row>
    <row r="1115" spans="1:7" x14ac:dyDescent="0.35">
      <c r="A1115">
        <v>151455</v>
      </c>
      <c r="B1115">
        <v>0</v>
      </c>
      <c r="C1115" s="5" t="s">
        <v>21</v>
      </c>
      <c r="D1115">
        <v>0</v>
      </c>
      <c r="E1115" s="5" t="s">
        <v>92</v>
      </c>
      <c r="F1115" s="5" t="s">
        <v>86</v>
      </c>
      <c r="G1115">
        <v>20</v>
      </c>
    </row>
    <row r="1116" spans="1:7" x14ac:dyDescent="0.35">
      <c r="A1116">
        <v>90499</v>
      </c>
      <c r="B1116">
        <v>0</v>
      </c>
      <c r="C1116" s="5" t="s">
        <v>16</v>
      </c>
      <c r="D1116">
        <v>5208</v>
      </c>
      <c r="E1116" s="5" t="s">
        <v>82</v>
      </c>
      <c r="F1116" s="5" t="s">
        <v>17</v>
      </c>
      <c r="G1116">
        <v>10</v>
      </c>
    </row>
    <row r="1117" spans="1:7" x14ac:dyDescent="0.35">
      <c r="A1117">
        <v>177307</v>
      </c>
      <c r="B1117">
        <v>28</v>
      </c>
      <c r="C1117" s="5" t="s">
        <v>47</v>
      </c>
      <c r="D1117">
        <v>0</v>
      </c>
      <c r="E1117" s="5" t="s">
        <v>87</v>
      </c>
      <c r="F1117" s="5" t="s">
        <v>17</v>
      </c>
      <c r="G1117">
        <v>10</v>
      </c>
    </row>
    <row r="1118" spans="1:7" x14ac:dyDescent="0.35">
      <c r="A1118">
        <v>65423</v>
      </c>
      <c r="B1118">
        <v>3</v>
      </c>
      <c r="C1118" s="5" t="s">
        <v>26</v>
      </c>
      <c r="D1118">
        <v>3401</v>
      </c>
      <c r="E1118" s="5" t="s">
        <v>83</v>
      </c>
      <c r="F1118" s="5" t="s">
        <v>17</v>
      </c>
      <c r="G1118">
        <v>10</v>
      </c>
    </row>
    <row r="1119" spans="1:7" x14ac:dyDescent="0.35">
      <c r="A1119">
        <v>95800</v>
      </c>
      <c r="B1119">
        <v>1</v>
      </c>
      <c r="C1119" s="5" t="s">
        <v>16</v>
      </c>
      <c r="D1119">
        <v>1004</v>
      </c>
      <c r="E1119" s="5" t="s">
        <v>88</v>
      </c>
      <c r="F1119" s="5" t="s">
        <v>14</v>
      </c>
      <c r="G1119">
        <v>20</v>
      </c>
    </row>
    <row r="1120" spans="1:7" x14ac:dyDescent="0.35">
      <c r="A1120">
        <v>91965</v>
      </c>
      <c r="B1120">
        <v>2</v>
      </c>
      <c r="C1120" s="5" t="s">
        <v>16</v>
      </c>
      <c r="D1120">
        <v>4505</v>
      </c>
      <c r="E1120" s="5" t="s">
        <v>80</v>
      </c>
      <c r="F1120" s="5" t="s">
        <v>86</v>
      </c>
      <c r="G1120">
        <v>16</v>
      </c>
    </row>
    <row r="1121" spans="1:7" x14ac:dyDescent="0.35">
      <c r="A1121">
        <v>104721</v>
      </c>
      <c r="B1121">
        <v>0</v>
      </c>
      <c r="C1121" s="5" t="s">
        <v>25</v>
      </c>
      <c r="D1121">
        <v>6701</v>
      </c>
      <c r="E1121" s="5" t="s">
        <v>80</v>
      </c>
      <c r="F1121" s="5" t="s">
        <v>17</v>
      </c>
      <c r="G1121">
        <v>10</v>
      </c>
    </row>
    <row r="1122" spans="1:7" x14ac:dyDescent="0.35">
      <c r="A1122">
        <v>165177</v>
      </c>
      <c r="B1122">
        <v>0</v>
      </c>
      <c r="C1122" s="5" t="s">
        <v>21</v>
      </c>
      <c r="D1122">
        <v>0</v>
      </c>
      <c r="E1122" s="5" t="s">
        <v>85</v>
      </c>
      <c r="F1122" s="5" t="s">
        <v>17</v>
      </c>
      <c r="G1122">
        <v>5</v>
      </c>
    </row>
    <row r="1123" spans="1:7" x14ac:dyDescent="0.35">
      <c r="A1123">
        <v>156929</v>
      </c>
      <c r="B1123">
        <v>0</v>
      </c>
      <c r="C1123" s="5" t="s">
        <v>21</v>
      </c>
      <c r="D1123">
        <v>0</v>
      </c>
      <c r="E1123" s="5" t="s">
        <v>93</v>
      </c>
      <c r="F1123" s="5" t="s">
        <v>27</v>
      </c>
      <c r="G1123">
        <v>15</v>
      </c>
    </row>
    <row r="1124" spans="1:7" x14ac:dyDescent="0.35">
      <c r="A1124">
        <v>52549</v>
      </c>
      <c r="B1124">
        <v>1</v>
      </c>
      <c r="C1124" s="5" t="s">
        <v>49</v>
      </c>
      <c r="D1124">
        <v>5501</v>
      </c>
      <c r="E1124" s="5" t="s">
        <v>81</v>
      </c>
      <c r="F1124" s="5" t="s">
        <v>14</v>
      </c>
      <c r="G1124">
        <v>30</v>
      </c>
    </row>
    <row r="1125" spans="1:7" x14ac:dyDescent="0.35">
      <c r="A1125">
        <v>51706</v>
      </c>
      <c r="B1125">
        <v>0</v>
      </c>
      <c r="C1125" s="5" t="s">
        <v>49</v>
      </c>
      <c r="D1125">
        <v>4808</v>
      </c>
      <c r="E1125" s="5" t="s">
        <v>79</v>
      </c>
      <c r="F1125" s="5" t="s">
        <v>14</v>
      </c>
      <c r="G1125">
        <v>15</v>
      </c>
    </row>
    <row r="1126" spans="1:7" x14ac:dyDescent="0.35">
      <c r="A1126">
        <v>117969</v>
      </c>
      <c r="B1126">
        <v>28</v>
      </c>
      <c r="C1126" s="5" t="s">
        <v>20</v>
      </c>
      <c r="D1126">
        <v>3001</v>
      </c>
      <c r="E1126" s="5" t="s">
        <v>82</v>
      </c>
      <c r="F1126" s="5" t="s">
        <v>17</v>
      </c>
      <c r="G1126">
        <v>9</v>
      </c>
    </row>
    <row r="1127" spans="1:7" x14ac:dyDescent="0.35">
      <c r="A1127">
        <v>2235</v>
      </c>
      <c r="B1127">
        <v>1</v>
      </c>
      <c r="C1127" s="5" t="s">
        <v>13</v>
      </c>
      <c r="D1127">
        <v>3204</v>
      </c>
      <c r="E1127" s="5" t="s">
        <v>78</v>
      </c>
      <c r="F1127" s="5" t="s">
        <v>14</v>
      </c>
      <c r="G1127">
        <v>12</v>
      </c>
    </row>
    <row r="1128" spans="1:7" x14ac:dyDescent="0.35">
      <c r="A1128">
        <v>161023</v>
      </c>
      <c r="B1128">
        <v>2</v>
      </c>
      <c r="C1128" s="5" t="s">
        <v>21</v>
      </c>
      <c r="D1128">
        <v>2801</v>
      </c>
      <c r="E1128" s="5" t="s">
        <v>90</v>
      </c>
      <c r="F1128" s="5" t="s">
        <v>14</v>
      </c>
      <c r="G1128">
        <v>20</v>
      </c>
    </row>
    <row r="1129" spans="1:7" x14ac:dyDescent="0.35">
      <c r="A1129">
        <v>139887</v>
      </c>
      <c r="B1129">
        <v>28</v>
      </c>
      <c r="C1129" s="5" t="s">
        <v>50</v>
      </c>
      <c r="D1129">
        <v>0</v>
      </c>
      <c r="E1129" s="5" t="s">
        <v>81</v>
      </c>
      <c r="F1129" s="5" t="s">
        <v>17</v>
      </c>
      <c r="G1129">
        <v>20</v>
      </c>
    </row>
    <row r="1130" spans="1:7" x14ac:dyDescent="0.35">
      <c r="A1130">
        <v>186212</v>
      </c>
      <c r="B1130">
        <v>1002</v>
      </c>
      <c r="C1130" s="5" t="s">
        <v>50</v>
      </c>
      <c r="D1130">
        <v>1008</v>
      </c>
      <c r="E1130" s="5" t="s">
        <v>82</v>
      </c>
      <c r="F1130" s="5" t="s">
        <v>14</v>
      </c>
      <c r="G1130">
        <v>7</v>
      </c>
    </row>
    <row r="1131" spans="1:7" x14ac:dyDescent="0.35">
      <c r="A1131">
        <v>162759</v>
      </c>
      <c r="B1131">
        <v>0</v>
      </c>
      <c r="C1131" s="5" t="s">
        <v>21</v>
      </c>
      <c r="D1131">
        <v>4001</v>
      </c>
      <c r="E1131" s="5" t="s">
        <v>83</v>
      </c>
      <c r="F1131" s="5" t="s">
        <v>17</v>
      </c>
      <c r="G1131">
        <v>18</v>
      </c>
    </row>
    <row r="1132" spans="1:7" x14ac:dyDescent="0.35">
      <c r="A1132">
        <v>95654</v>
      </c>
      <c r="B1132">
        <v>1</v>
      </c>
      <c r="C1132" s="5" t="s">
        <v>16</v>
      </c>
      <c r="D1132">
        <v>3308</v>
      </c>
      <c r="E1132" s="5" t="s">
        <v>80</v>
      </c>
      <c r="F1132" s="5" t="s">
        <v>14</v>
      </c>
      <c r="G1132">
        <v>20</v>
      </c>
    </row>
    <row r="1133" spans="1:7" x14ac:dyDescent="0.35">
      <c r="A1133">
        <v>101774</v>
      </c>
      <c r="B1133">
        <v>0</v>
      </c>
      <c r="C1133" s="5" t="s">
        <v>33</v>
      </c>
      <c r="D1133">
        <v>6201</v>
      </c>
      <c r="E1133" s="5" t="s">
        <v>87</v>
      </c>
      <c r="F1133" s="5" t="s">
        <v>17</v>
      </c>
      <c r="G1133">
        <v>8</v>
      </c>
    </row>
    <row r="1134" spans="1:7" x14ac:dyDescent="0.35">
      <c r="A1134">
        <v>21710</v>
      </c>
      <c r="B1134">
        <v>2</v>
      </c>
      <c r="C1134" s="5" t="s">
        <v>18</v>
      </c>
      <c r="D1134">
        <v>0</v>
      </c>
      <c r="E1134" s="5" t="s">
        <v>79</v>
      </c>
      <c r="F1134" s="5" t="s">
        <v>14</v>
      </c>
      <c r="G1134">
        <v>10</v>
      </c>
    </row>
    <row r="1135" spans="1:7" x14ac:dyDescent="0.35">
      <c r="A1135">
        <v>65565</v>
      </c>
      <c r="B1135">
        <v>2</v>
      </c>
      <c r="C1135" s="5" t="s">
        <v>26</v>
      </c>
      <c r="D1135">
        <v>701</v>
      </c>
      <c r="E1135" s="5" t="s">
        <v>93</v>
      </c>
      <c r="F1135" s="5" t="s">
        <v>17</v>
      </c>
      <c r="G1135">
        <v>10</v>
      </c>
    </row>
    <row r="1136" spans="1:7" x14ac:dyDescent="0.35">
      <c r="A1136">
        <v>171631</v>
      </c>
      <c r="B1136">
        <v>4</v>
      </c>
      <c r="C1136" s="5" t="s">
        <v>21</v>
      </c>
      <c r="D1136">
        <v>5302</v>
      </c>
      <c r="E1136" s="5" t="s">
        <v>83</v>
      </c>
      <c r="F1136" s="5" t="s">
        <v>17</v>
      </c>
      <c r="G1136">
        <v>10</v>
      </c>
    </row>
    <row r="1137" spans="1:7" x14ac:dyDescent="0.35">
      <c r="A1137">
        <v>24869</v>
      </c>
      <c r="B1137">
        <v>0</v>
      </c>
      <c r="C1137" s="5" t="s">
        <v>43</v>
      </c>
      <c r="D1137">
        <v>6001</v>
      </c>
      <c r="E1137" s="5" t="s">
        <v>79</v>
      </c>
      <c r="F1137" s="5" t="s">
        <v>17</v>
      </c>
      <c r="G1137">
        <v>8</v>
      </c>
    </row>
    <row r="1138" spans="1:7" x14ac:dyDescent="0.35">
      <c r="A1138">
        <v>129846</v>
      </c>
      <c r="B1138">
        <v>1</v>
      </c>
      <c r="C1138" s="5" t="s">
        <v>48</v>
      </c>
      <c r="D1138">
        <v>4201</v>
      </c>
      <c r="E1138" s="5" t="s">
        <v>84</v>
      </c>
      <c r="F1138" s="5" t="s">
        <v>14</v>
      </c>
      <c r="G1138">
        <v>11</v>
      </c>
    </row>
    <row r="1139" spans="1:7" x14ac:dyDescent="0.35">
      <c r="A1139">
        <v>150379</v>
      </c>
      <c r="B1139">
        <v>0</v>
      </c>
      <c r="C1139" s="5" t="s">
        <v>21</v>
      </c>
      <c r="D1139">
        <v>0</v>
      </c>
      <c r="E1139" s="5" t="s">
        <v>80</v>
      </c>
      <c r="F1139" s="5" t="s">
        <v>17</v>
      </c>
      <c r="G1139">
        <v>20</v>
      </c>
    </row>
    <row r="1140" spans="1:7" x14ac:dyDescent="0.35">
      <c r="A1140">
        <v>36590</v>
      </c>
      <c r="B1140">
        <v>1</v>
      </c>
      <c r="C1140" s="5" t="s">
        <v>13</v>
      </c>
      <c r="D1140">
        <v>4801</v>
      </c>
      <c r="E1140" s="5" t="s">
        <v>83</v>
      </c>
      <c r="F1140" s="5" t="s">
        <v>14</v>
      </c>
      <c r="G1140">
        <v>10</v>
      </c>
    </row>
    <row r="1141" spans="1:7" x14ac:dyDescent="0.35">
      <c r="A1141">
        <v>59744</v>
      </c>
      <c r="B1141">
        <v>28</v>
      </c>
      <c r="C1141" s="5" t="s">
        <v>30</v>
      </c>
      <c r="D1141">
        <v>5408</v>
      </c>
      <c r="E1141" s="5" t="s">
        <v>79</v>
      </c>
      <c r="F1141" s="5" t="s">
        <v>17</v>
      </c>
      <c r="G1141">
        <v>16</v>
      </c>
    </row>
    <row r="1142" spans="1:7" x14ac:dyDescent="0.35">
      <c r="A1142">
        <v>31893</v>
      </c>
      <c r="B1142">
        <v>0</v>
      </c>
      <c r="C1142" s="5" t="s">
        <v>16</v>
      </c>
      <c r="D1142">
        <v>0</v>
      </c>
      <c r="E1142" s="5" t="s">
        <v>79</v>
      </c>
      <c r="F1142" s="5" t="s">
        <v>17</v>
      </c>
      <c r="G1142">
        <v>20</v>
      </c>
    </row>
    <row r="1143" spans="1:7" x14ac:dyDescent="0.35">
      <c r="A1143">
        <v>46884</v>
      </c>
      <c r="B1143">
        <v>0</v>
      </c>
      <c r="C1143" s="5" t="s">
        <v>40</v>
      </c>
      <c r="D1143">
        <v>0</v>
      </c>
      <c r="E1143" s="5" t="s">
        <v>89</v>
      </c>
      <c r="F1143" s="5" t="s">
        <v>17</v>
      </c>
      <c r="G1143">
        <v>15</v>
      </c>
    </row>
    <row r="1144" spans="1:7" x14ac:dyDescent="0.35">
      <c r="A1144">
        <v>66745</v>
      </c>
      <c r="B1144">
        <v>28</v>
      </c>
      <c r="C1144" s="5" t="s">
        <v>26</v>
      </c>
      <c r="D1144">
        <v>7201</v>
      </c>
      <c r="E1144" s="5" t="s">
        <v>86</v>
      </c>
      <c r="F1144" s="5" t="s">
        <v>17</v>
      </c>
      <c r="G1144">
        <v>5</v>
      </c>
    </row>
    <row r="1145" spans="1:7" x14ac:dyDescent="0.35">
      <c r="A1145">
        <v>10709</v>
      </c>
      <c r="B1145">
        <v>0</v>
      </c>
      <c r="C1145" s="5" t="s">
        <v>37</v>
      </c>
      <c r="D1145">
        <v>0</v>
      </c>
      <c r="E1145" s="5" t="s">
        <v>86</v>
      </c>
      <c r="F1145" s="5" t="s">
        <v>86</v>
      </c>
      <c r="G1145">
        <v>23</v>
      </c>
    </row>
    <row r="1146" spans="1:7" x14ac:dyDescent="0.35">
      <c r="A1146">
        <v>73984</v>
      </c>
      <c r="B1146">
        <v>0</v>
      </c>
      <c r="C1146" s="5" t="s">
        <v>26</v>
      </c>
      <c r="D1146">
        <v>3305</v>
      </c>
      <c r="E1146" s="5" t="s">
        <v>89</v>
      </c>
      <c r="F1146" s="5" t="s">
        <v>14</v>
      </c>
      <c r="G1146">
        <v>10</v>
      </c>
    </row>
    <row r="1147" spans="1:7" x14ac:dyDescent="0.35">
      <c r="A1147">
        <v>27597</v>
      </c>
      <c r="B1147">
        <v>1</v>
      </c>
      <c r="C1147" s="5" t="s">
        <v>36</v>
      </c>
      <c r="D1147">
        <v>5801</v>
      </c>
      <c r="E1147" s="5" t="s">
        <v>84</v>
      </c>
      <c r="F1147" s="5" t="s">
        <v>14</v>
      </c>
      <c r="G1147">
        <v>9</v>
      </c>
    </row>
    <row r="1148" spans="1:7" x14ac:dyDescent="0.35">
      <c r="A1148">
        <v>150587</v>
      </c>
      <c r="B1148">
        <v>0</v>
      </c>
      <c r="C1148" s="5" t="s">
        <v>21</v>
      </c>
      <c r="D1148">
        <v>0</v>
      </c>
      <c r="E1148" s="5" t="s">
        <v>80</v>
      </c>
      <c r="F1148" s="5" t="s">
        <v>27</v>
      </c>
      <c r="G1148">
        <v>20</v>
      </c>
    </row>
    <row r="1149" spans="1:7" x14ac:dyDescent="0.35">
      <c r="A1149">
        <v>187191</v>
      </c>
      <c r="B1149">
        <v>0</v>
      </c>
      <c r="C1149" s="5" t="s">
        <v>36</v>
      </c>
      <c r="D1149">
        <v>0</v>
      </c>
      <c r="E1149" s="5" t="s">
        <v>82</v>
      </c>
      <c r="F1149" s="5" t="s">
        <v>86</v>
      </c>
      <c r="G1149">
        <v>25</v>
      </c>
    </row>
    <row r="1150" spans="1:7" x14ac:dyDescent="0.35">
      <c r="A1150">
        <v>85357</v>
      </c>
      <c r="B1150">
        <v>2</v>
      </c>
      <c r="C1150" s="5" t="s">
        <v>52</v>
      </c>
      <c r="D1150">
        <v>2908</v>
      </c>
      <c r="E1150" s="5" t="s">
        <v>81</v>
      </c>
      <c r="F1150" s="5" t="s">
        <v>17</v>
      </c>
      <c r="G1150">
        <v>15</v>
      </c>
    </row>
    <row r="1151" spans="1:7" x14ac:dyDescent="0.35">
      <c r="A1151">
        <v>156866</v>
      </c>
      <c r="B1151">
        <v>14</v>
      </c>
      <c r="C1151" s="5" t="s">
        <v>21</v>
      </c>
      <c r="D1151">
        <v>2201</v>
      </c>
      <c r="E1151" s="5" t="s">
        <v>85</v>
      </c>
      <c r="F1151" s="5" t="s">
        <v>14</v>
      </c>
      <c r="G1151">
        <v>25</v>
      </c>
    </row>
    <row r="1152" spans="1:7" x14ac:dyDescent="0.35">
      <c r="A1152">
        <v>164513</v>
      </c>
      <c r="B1152">
        <v>0</v>
      </c>
      <c r="C1152" s="5" t="s">
        <v>62</v>
      </c>
      <c r="D1152">
        <v>4701</v>
      </c>
      <c r="E1152" s="5" t="s">
        <v>82</v>
      </c>
      <c r="F1152" s="5" t="s">
        <v>17</v>
      </c>
      <c r="G1152">
        <v>50</v>
      </c>
    </row>
    <row r="1153" spans="1:7" x14ac:dyDescent="0.35">
      <c r="A1153">
        <v>163369</v>
      </c>
      <c r="B1153">
        <v>0</v>
      </c>
      <c r="C1153" s="5" t="s">
        <v>21</v>
      </c>
      <c r="D1153">
        <v>0</v>
      </c>
      <c r="E1153" s="5" t="s">
        <v>93</v>
      </c>
      <c r="F1153" s="5" t="s">
        <v>86</v>
      </c>
      <c r="G1153">
        <v>6</v>
      </c>
    </row>
    <row r="1154" spans="1:7" x14ac:dyDescent="0.35">
      <c r="A1154">
        <v>551</v>
      </c>
      <c r="B1154">
        <v>2</v>
      </c>
      <c r="C1154" s="5" t="s">
        <v>20</v>
      </c>
      <c r="D1154">
        <v>1201</v>
      </c>
      <c r="E1154" s="5" t="s">
        <v>79</v>
      </c>
      <c r="F1154" s="5" t="s">
        <v>17</v>
      </c>
      <c r="G1154">
        <v>20</v>
      </c>
    </row>
    <row r="1155" spans="1:7" x14ac:dyDescent="0.35">
      <c r="A1155">
        <v>18750</v>
      </c>
      <c r="B1155">
        <v>0</v>
      </c>
      <c r="C1155" s="5" t="s">
        <v>18</v>
      </c>
      <c r="D1155">
        <v>5201</v>
      </c>
      <c r="E1155" s="5" t="s">
        <v>79</v>
      </c>
      <c r="F1155" s="5" t="s">
        <v>17</v>
      </c>
      <c r="G1155">
        <v>20</v>
      </c>
    </row>
    <row r="1156" spans="1:7" x14ac:dyDescent="0.35">
      <c r="A1156">
        <v>81277</v>
      </c>
      <c r="B1156">
        <v>2</v>
      </c>
      <c r="C1156" s="5" t="s">
        <v>32</v>
      </c>
      <c r="D1156">
        <v>4401</v>
      </c>
      <c r="E1156" s="5" t="s">
        <v>90</v>
      </c>
      <c r="F1156" s="5" t="s">
        <v>17</v>
      </c>
      <c r="G1156">
        <v>25</v>
      </c>
    </row>
    <row r="1157" spans="1:7" x14ac:dyDescent="0.35">
      <c r="A1157">
        <v>128121</v>
      </c>
      <c r="B1157">
        <v>0</v>
      </c>
      <c r="C1157" s="5" t="s">
        <v>20</v>
      </c>
      <c r="D1157">
        <v>0</v>
      </c>
      <c r="E1157" s="5" t="s">
        <v>83</v>
      </c>
      <c r="F1157" s="5" t="s">
        <v>17</v>
      </c>
      <c r="G1157">
        <v>10</v>
      </c>
    </row>
    <row r="1158" spans="1:7" x14ac:dyDescent="0.35">
      <c r="A1158">
        <v>84199</v>
      </c>
      <c r="B1158">
        <v>0</v>
      </c>
      <c r="C1158" s="5" t="s">
        <v>52</v>
      </c>
      <c r="D1158">
        <v>2501</v>
      </c>
      <c r="E1158" s="5" t="s">
        <v>80</v>
      </c>
      <c r="F1158" s="5" t="s">
        <v>17</v>
      </c>
      <c r="G1158">
        <v>5</v>
      </c>
    </row>
    <row r="1159" spans="1:7" x14ac:dyDescent="0.35">
      <c r="A1159">
        <v>183476</v>
      </c>
      <c r="B1159">
        <v>2</v>
      </c>
      <c r="C1159" s="5" t="s">
        <v>37</v>
      </c>
      <c r="D1159">
        <v>5008</v>
      </c>
      <c r="E1159" s="5" t="s">
        <v>79</v>
      </c>
      <c r="F1159" s="5" t="s">
        <v>17</v>
      </c>
      <c r="G1159">
        <v>25</v>
      </c>
    </row>
    <row r="1160" spans="1:7" x14ac:dyDescent="0.35">
      <c r="A1160">
        <v>162994</v>
      </c>
      <c r="B1160">
        <v>1</v>
      </c>
      <c r="C1160" s="5" t="s">
        <v>21</v>
      </c>
      <c r="D1160">
        <v>0</v>
      </c>
      <c r="E1160" s="5" t="s">
        <v>85</v>
      </c>
      <c r="F1160" s="5" t="s">
        <v>14</v>
      </c>
      <c r="G1160">
        <v>10</v>
      </c>
    </row>
    <row r="1161" spans="1:7" x14ac:dyDescent="0.35">
      <c r="A1161">
        <v>32040</v>
      </c>
      <c r="B1161">
        <v>4</v>
      </c>
      <c r="C1161" s="5" t="s">
        <v>36</v>
      </c>
      <c r="D1161">
        <v>2801</v>
      </c>
      <c r="E1161" s="5" t="s">
        <v>82</v>
      </c>
      <c r="F1161" s="5" t="s">
        <v>14</v>
      </c>
      <c r="G1161">
        <v>20</v>
      </c>
    </row>
    <row r="1162" spans="1:7" x14ac:dyDescent="0.35">
      <c r="A1162">
        <v>65968</v>
      </c>
      <c r="B1162">
        <v>1</v>
      </c>
      <c r="C1162" s="5" t="s">
        <v>26</v>
      </c>
      <c r="D1162">
        <v>6105</v>
      </c>
      <c r="E1162" s="5" t="s">
        <v>82</v>
      </c>
      <c r="F1162" s="5" t="s">
        <v>14</v>
      </c>
      <c r="G1162">
        <v>9</v>
      </c>
    </row>
    <row r="1163" spans="1:7" x14ac:dyDescent="0.35">
      <c r="A1163">
        <v>135896</v>
      </c>
      <c r="B1163">
        <v>0</v>
      </c>
      <c r="C1163" s="5" t="s">
        <v>51</v>
      </c>
      <c r="D1163">
        <v>2501</v>
      </c>
      <c r="E1163" s="5" t="s">
        <v>87</v>
      </c>
      <c r="F1163" s="5" t="s">
        <v>14</v>
      </c>
      <c r="G1163">
        <v>2</v>
      </c>
    </row>
    <row r="1164" spans="1:7" x14ac:dyDescent="0.35">
      <c r="A1164">
        <v>46461</v>
      </c>
      <c r="B1164">
        <v>1</v>
      </c>
      <c r="C1164" s="5" t="s">
        <v>13</v>
      </c>
      <c r="D1164">
        <v>1801</v>
      </c>
      <c r="E1164" s="5" t="s">
        <v>78</v>
      </c>
      <c r="F1164" s="5" t="s">
        <v>14</v>
      </c>
      <c r="G1164">
        <v>12</v>
      </c>
    </row>
    <row r="1165" spans="1:7" x14ac:dyDescent="0.35">
      <c r="A1165">
        <v>2396</v>
      </c>
      <c r="B1165">
        <v>0</v>
      </c>
      <c r="C1165" s="5" t="s">
        <v>13</v>
      </c>
      <c r="D1165">
        <v>0</v>
      </c>
      <c r="E1165" s="5" t="s">
        <v>79</v>
      </c>
      <c r="F1165" s="5" t="s">
        <v>86</v>
      </c>
      <c r="G1165">
        <v>5</v>
      </c>
    </row>
    <row r="1166" spans="1:7" x14ac:dyDescent="0.35">
      <c r="A1166">
        <v>93500</v>
      </c>
      <c r="B1166">
        <v>0</v>
      </c>
      <c r="C1166" s="5" t="s">
        <v>16</v>
      </c>
      <c r="D1166">
        <v>3705</v>
      </c>
      <c r="E1166" s="5" t="s">
        <v>92</v>
      </c>
      <c r="F1166" s="5" t="s">
        <v>17</v>
      </c>
      <c r="G1166">
        <v>10</v>
      </c>
    </row>
    <row r="1167" spans="1:7" x14ac:dyDescent="0.35">
      <c r="A1167">
        <v>90899</v>
      </c>
      <c r="B1167">
        <v>28</v>
      </c>
      <c r="C1167" s="5" t="s">
        <v>16</v>
      </c>
      <c r="D1167">
        <v>3912</v>
      </c>
      <c r="E1167" s="5" t="s">
        <v>88</v>
      </c>
      <c r="F1167" s="5" t="s">
        <v>17</v>
      </c>
      <c r="G1167">
        <v>17</v>
      </c>
    </row>
    <row r="1168" spans="1:7" x14ac:dyDescent="0.35">
      <c r="A1168">
        <v>116542</v>
      </c>
      <c r="B1168">
        <v>0</v>
      </c>
      <c r="C1168" s="5" t="s">
        <v>20</v>
      </c>
      <c r="D1168">
        <v>0</v>
      </c>
      <c r="E1168" s="5" t="s">
        <v>89</v>
      </c>
      <c r="F1168" s="5" t="s">
        <v>27</v>
      </c>
      <c r="G1168">
        <v>20</v>
      </c>
    </row>
    <row r="1169" spans="1:7" x14ac:dyDescent="0.35">
      <c r="A1169">
        <v>29868</v>
      </c>
      <c r="B1169">
        <v>0</v>
      </c>
      <c r="C1169" s="5" t="s">
        <v>36</v>
      </c>
      <c r="D1169">
        <v>5901</v>
      </c>
      <c r="E1169" s="5" t="s">
        <v>79</v>
      </c>
      <c r="F1169" s="5" t="s">
        <v>17</v>
      </c>
      <c r="G1169">
        <v>25</v>
      </c>
    </row>
    <row r="1170" spans="1:7" x14ac:dyDescent="0.35">
      <c r="A1170">
        <v>171521</v>
      </c>
      <c r="B1170">
        <v>0</v>
      </c>
      <c r="C1170" s="5" t="s">
        <v>21</v>
      </c>
      <c r="D1170">
        <v>0</v>
      </c>
      <c r="E1170" s="5" t="s">
        <v>81</v>
      </c>
      <c r="F1170" s="5" t="s">
        <v>17</v>
      </c>
      <c r="G1170">
        <v>6</v>
      </c>
    </row>
    <row r="1171" spans="1:7" x14ac:dyDescent="0.35">
      <c r="A1171">
        <v>18953</v>
      </c>
      <c r="B1171">
        <v>0</v>
      </c>
      <c r="C1171" s="5" t="s">
        <v>18</v>
      </c>
      <c r="D1171">
        <v>4303</v>
      </c>
      <c r="E1171" s="5" t="s">
        <v>83</v>
      </c>
      <c r="F1171" s="5" t="s">
        <v>17</v>
      </c>
      <c r="G1171">
        <v>11</v>
      </c>
    </row>
    <row r="1172" spans="1:7" x14ac:dyDescent="0.35">
      <c r="A1172">
        <v>102780</v>
      </c>
      <c r="B1172">
        <v>0</v>
      </c>
      <c r="C1172" s="5" t="s">
        <v>33</v>
      </c>
      <c r="D1172">
        <v>1208</v>
      </c>
      <c r="E1172" s="5" t="s">
        <v>81</v>
      </c>
      <c r="F1172" s="5" t="s">
        <v>17</v>
      </c>
      <c r="G1172">
        <v>16</v>
      </c>
    </row>
    <row r="1173" spans="1:7" x14ac:dyDescent="0.35">
      <c r="A1173">
        <v>136372</v>
      </c>
      <c r="B1173">
        <v>1</v>
      </c>
      <c r="C1173" s="5" t="s">
        <v>51</v>
      </c>
      <c r="D1173">
        <v>1901</v>
      </c>
      <c r="E1173" s="5" t="s">
        <v>82</v>
      </c>
      <c r="F1173" s="5" t="s">
        <v>14</v>
      </c>
      <c r="G1173">
        <v>10</v>
      </c>
    </row>
    <row r="1174" spans="1:7" x14ac:dyDescent="0.35">
      <c r="A1174">
        <v>19581</v>
      </c>
      <c r="B1174">
        <v>2</v>
      </c>
      <c r="C1174" s="5" t="s">
        <v>18</v>
      </c>
      <c r="D1174">
        <v>3703</v>
      </c>
      <c r="E1174" s="5" t="s">
        <v>80</v>
      </c>
      <c r="F1174" s="5" t="s">
        <v>17</v>
      </c>
      <c r="G1174">
        <v>25</v>
      </c>
    </row>
    <row r="1175" spans="1:7" x14ac:dyDescent="0.35">
      <c r="A1175">
        <v>121410</v>
      </c>
      <c r="B1175">
        <v>1</v>
      </c>
      <c r="C1175" s="5" t="s">
        <v>20</v>
      </c>
      <c r="D1175">
        <v>3101</v>
      </c>
      <c r="E1175" s="5" t="s">
        <v>85</v>
      </c>
      <c r="F1175" s="5" t="s">
        <v>14</v>
      </c>
      <c r="G1175">
        <v>15</v>
      </c>
    </row>
    <row r="1176" spans="1:7" x14ac:dyDescent="0.35">
      <c r="A1176">
        <v>99736</v>
      </c>
      <c r="B1176">
        <v>0</v>
      </c>
      <c r="C1176" s="5" t="s">
        <v>33</v>
      </c>
      <c r="D1176">
        <v>5101</v>
      </c>
      <c r="E1176" s="5" t="s">
        <v>79</v>
      </c>
      <c r="F1176" s="5" t="s">
        <v>17</v>
      </c>
      <c r="G1176">
        <v>20</v>
      </c>
    </row>
    <row r="1177" spans="1:7" x14ac:dyDescent="0.35">
      <c r="A1177">
        <v>54441</v>
      </c>
      <c r="B1177">
        <v>2</v>
      </c>
      <c r="C1177" s="5" t="s">
        <v>56</v>
      </c>
      <c r="D1177">
        <v>4107</v>
      </c>
      <c r="E1177" s="5" t="s">
        <v>89</v>
      </c>
      <c r="F1177" s="5" t="s">
        <v>17</v>
      </c>
      <c r="G1177">
        <v>30</v>
      </c>
    </row>
    <row r="1178" spans="1:7" x14ac:dyDescent="0.35">
      <c r="A1178">
        <v>144735</v>
      </c>
      <c r="B1178">
        <v>0</v>
      </c>
      <c r="C1178" s="5" t="s">
        <v>21</v>
      </c>
      <c r="D1178">
        <v>2709</v>
      </c>
      <c r="E1178" s="5" t="s">
        <v>85</v>
      </c>
      <c r="F1178" s="5" t="s">
        <v>17</v>
      </c>
      <c r="G1178">
        <v>10</v>
      </c>
    </row>
    <row r="1179" spans="1:7" x14ac:dyDescent="0.35">
      <c r="A1179">
        <v>39257</v>
      </c>
      <c r="B1179">
        <v>1002</v>
      </c>
      <c r="C1179" s="5" t="s">
        <v>13</v>
      </c>
      <c r="D1179">
        <v>7001</v>
      </c>
      <c r="E1179" s="5" t="s">
        <v>80</v>
      </c>
      <c r="F1179" s="5" t="s">
        <v>41</v>
      </c>
      <c r="G1179">
        <v>25</v>
      </c>
    </row>
    <row r="1180" spans="1:7" x14ac:dyDescent="0.35">
      <c r="A1180">
        <v>136716</v>
      </c>
      <c r="B1180">
        <v>1</v>
      </c>
      <c r="C1180" s="5" t="s">
        <v>51</v>
      </c>
      <c r="D1180">
        <v>0</v>
      </c>
      <c r="E1180" s="5" t="s">
        <v>82</v>
      </c>
      <c r="F1180" s="5" t="s">
        <v>14</v>
      </c>
      <c r="G1180">
        <v>25</v>
      </c>
    </row>
    <row r="1181" spans="1:7" x14ac:dyDescent="0.35">
      <c r="A1181">
        <v>145310</v>
      </c>
      <c r="B1181">
        <v>0</v>
      </c>
      <c r="C1181" s="5" t="s">
        <v>21</v>
      </c>
      <c r="D1181">
        <v>4911</v>
      </c>
      <c r="E1181" s="5" t="s">
        <v>85</v>
      </c>
      <c r="F1181" s="5" t="s">
        <v>17</v>
      </c>
      <c r="G1181">
        <v>20</v>
      </c>
    </row>
    <row r="1182" spans="1:7" x14ac:dyDescent="0.35">
      <c r="A1182">
        <v>40351</v>
      </c>
      <c r="B1182">
        <v>0</v>
      </c>
      <c r="C1182" s="5" t="s">
        <v>13</v>
      </c>
      <c r="D1182">
        <v>0</v>
      </c>
      <c r="E1182" s="5" t="s">
        <v>80</v>
      </c>
      <c r="F1182" s="5" t="s">
        <v>86</v>
      </c>
      <c r="G1182">
        <v>30</v>
      </c>
    </row>
    <row r="1183" spans="1:7" x14ac:dyDescent="0.35">
      <c r="A1183">
        <v>43321</v>
      </c>
      <c r="B1183">
        <v>0</v>
      </c>
      <c r="C1183" s="5" t="s">
        <v>13</v>
      </c>
      <c r="D1183">
        <v>2301</v>
      </c>
      <c r="E1183" s="5" t="s">
        <v>82</v>
      </c>
      <c r="F1183" s="5" t="s">
        <v>86</v>
      </c>
      <c r="G1183">
        <v>25</v>
      </c>
    </row>
    <row r="1184" spans="1:7" x14ac:dyDescent="0.35">
      <c r="A1184">
        <v>14009</v>
      </c>
      <c r="B1184">
        <v>0</v>
      </c>
      <c r="C1184" s="5" t="s">
        <v>26</v>
      </c>
      <c r="D1184">
        <v>3401</v>
      </c>
      <c r="E1184" s="5" t="s">
        <v>86</v>
      </c>
      <c r="F1184" s="5" t="s">
        <v>17</v>
      </c>
      <c r="G1184">
        <v>3</v>
      </c>
    </row>
    <row r="1185" spans="1:7" x14ac:dyDescent="0.35">
      <c r="A1185">
        <v>187517</v>
      </c>
      <c r="B1185">
        <v>1</v>
      </c>
      <c r="C1185" s="5" t="s">
        <v>20</v>
      </c>
      <c r="D1185">
        <v>0</v>
      </c>
      <c r="E1185" s="5" t="s">
        <v>81</v>
      </c>
      <c r="F1185" s="5" t="s">
        <v>14</v>
      </c>
      <c r="G1185">
        <v>25</v>
      </c>
    </row>
    <row r="1186" spans="1:7" x14ac:dyDescent="0.35">
      <c r="A1186">
        <v>22924</v>
      </c>
      <c r="B1186">
        <v>2</v>
      </c>
      <c r="C1186" s="5" t="s">
        <v>43</v>
      </c>
      <c r="D1186">
        <v>2101</v>
      </c>
      <c r="E1186" s="5" t="s">
        <v>87</v>
      </c>
      <c r="F1186" s="5" t="s">
        <v>17</v>
      </c>
      <c r="G1186">
        <v>10</v>
      </c>
    </row>
    <row r="1187" spans="1:7" x14ac:dyDescent="0.35">
      <c r="A1187">
        <v>65124</v>
      </c>
      <c r="B1187">
        <v>0</v>
      </c>
      <c r="C1187" s="5" t="s">
        <v>26</v>
      </c>
      <c r="D1187">
        <v>0</v>
      </c>
      <c r="E1187" s="5" t="s">
        <v>79</v>
      </c>
      <c r="F1187" s="5" t="s">
        <v>17</v>
      </c>
      <c r="G1187">
        <v>5</v>
      </c>
    </row>
    <row r="1188" spans="1:7" x14ac:dyDescent="0.35">
      <c r="A1188">
        <v>98437</v>
      </c>
      <c r="B1188">
        <v>0</v>
      </c>
      <c r="C1188" s="5" t="s">
        <v>16</v>
      </c>
      <c r="D1188">
        <v>201</v>
      </c>
      <c r="E1188" s="5" t="s">
        <v>81</v>
      </c>
      <c r="F1188" s="5" t="s">
        <v>17</v>
      </c>
      <c r="G1188">
        <v>10</v>
      </c>
    </row>
    <row r="1189" spans="1:7" x14ac:dyDescent="0.35">
      <c r="A1189">
        <v>54369</v>
      </c>
      <c r="B1189">
        <v>1</v>
      </c>
      <c r="C1189" s="5" t="s">
        <v>56</v>
      </c>
      <c r="D1189">
        <v>0</v>
      </c>
      <c r="E1189" s="5" t="s">
        <v>81</v>
      </c>
      <c r="F1189" s="5" t="s">
        <v>14</v>
      </c>
      <c r="G1189">
        <v>6</v>
      </c>
    </row>
    <row r="1190" spans="1:7" x14ac:dyDescent="0.35">
      <c r="A1190">
        <v>155856</v>
      </c>
      <c r="B1190">
        <v>0</v>
      </c>
      <c r="C1190" s="5" t="s">
        <v>21</v>
      </c>
      <c r="D1190">
        <v>1501</v>
      </c>
      <c r="E1190" s="5" t="s">
        <v>78</v>
      </c>
      <c r="F1190" s="5" t="s">
        <v>17</v>
      </c>
      <c r="G1190">
        <v>10</v>
      </c>
    </row>
    <row r="1191" spans="1:7" x14ac:dyDescent="0.35">
      <c r="A1191">
        <v>107321</v>
      </c>
      <c r="B1191">
        <v>1</v>
      </c>
      <c r="C1191" s="5" t="s">
        <v>55</v>
      </c>
      <c r="D1191">
        <v>5201</v>
      </c>
      <c r="E1191" s="5" t="s">
        <v>79</v>
      </c>
      <c r="F1191" s="5" t="s">
        <v>14</v>
      </c>
      <c r="G1191">
        <v>20</v>
      </c>
    </row>
    <row r="1192" spans="1:7" x14ac:dyDescent="0.35">
      <c r="A1192">
        <v>139500</v>
      </c>
      <c r="B1192">
        <v>0</v>
      </c>
      <c r="C1192" s="5" t="s">
        <v>50</v>
      </c>
      <c r="D1192">
        <v>1610</v>
      </c>
      <c r="E1192" s="5" t="s">
        <v>93</v>
      </c>
      <c r="F1192" s="5" t="s">
        <v>17</v>
      </c>
      <c r="G1192">
        <v>20</v>
      </c>
    </row>
    <row r="1193" spans="1:7" x14ac:dyDescent="0.35">
      <c r="A1193">
        <v>108381</v>
      </c>
      <c r="B1193">
        <v>1</v>
      </c>
      <c r="C1193" s="5" t="s">
        <v>46</v>
      </c>
      <c r="D1193">
        <v>0</v>
      </c>
      <c r="E1193" s="5" t="s">
        <v>93</v>
      </c>
      <c r="F1193" s="5" t="s">
        <v>14</v>
      </c>
      <c r="G1193">
        <v>20</v>
      </c>
    </row>
    <row r="1194" spans="1:7" x14ac:dyDescent="0.35">
      <c r="A1194">
        <v>129653</v>
      </c>
      <c r="B1194">
        <v>1</v>
      </c>
      <c r="C1194" s="5" t="s">
        <v>45</v>
      </c>
      <c r="D1194">
        <v>5201</v>
      </c>
      <c r="E1194" s="5" t="s">
        <v>83</v>
      </c>
      <c r="F1194" s="5" t="s">
        <v>14</v>
      </c>
      <c r="G1194">
        <v>15</v>
      </c>
    </row>
    <row r="1195" spans="1:7" x14ac:dyDescent="0.35">
      <c r="A1195">
        <v>102795</v>
      </c>
      <c r="B1195">
        <v>1</v>
      </c>
      <c r="C1195" s="5" t="s">
        <v>33</v>
      </c>
      <c r="D1195">
        <v>2001</v>
      </c>
      <c r="E1195" s="5" t="s">
        <v>89</v>
      </c>
      <c r="F1195" s="5" t="s">
        <v>14</v>
      </c>
      <c r="G1195">
        <v>10</v>
      </c>
    </row>
    <row r="1196" spans="1:7" x14ac:dyDescent="0.35">
      <c r="A1196">
        <v>178085</v>
      </c>
      <c r="B1196">
        <v>2</v>
      </c>
      <c r="C1196" s="5" t="s">
        <v>47</v>
      </c>
      <c r="D1196">
        <v>4403</v>
      </c>
      <c r="E1196" s="5" t="s">
        <v>79</v>
      </c>
      <c r="F1196" s="5" t="s">
        <v>14</v>
      </c>
      <c r="G1196">
        <v>20</v>
      </c>
    </row>
    <row r="1197" spans="1:7" x14ac:dyDescent="0.35">
      <c r="A1197">
        <v>12819</v>
      </c>
      <c r="B1197">
        <v>3</v>
      </c>
      <c r="C1197" s="5" t="s">
        <v>33</v>
      </c>
      <c r="D1197">
        <v>1101</v>
      </c>
      <c r="E1197" s="5" t="s">
        <v>83</v>
      </c>
      <c r="F1197" s="5" t="s">
        <v>17</v>
      </c>
      <c r="G1197">
        <v>20</v>
      </c>
    </row>
    <row r="1198" spans="1:7" x14ac:dyDescent="0.35">
      <c r="A1198">
        <v>99543</v>
      </c>
      <c r="B1198">
        <v>0</v>
      </c>
      <c r="C1198" s="5" t="s">
        <v>33</v>
      </c>
      <c r="D1198">
        <v>2301</v>
      </c>
      <c r="E1198" s="5" t="s">
        <v>81</v>
      </c>
      <c r="F1198" s="5" t="s">
        <v>14</v>
      </c>
      <c r="G1198">
        <v>15</v>
      </c>
    </row>
    <row r="1199" spans="1:7" x14ac:dyDescent="0.35">
      <c r="A1199">
        <v>65804</v>
      </c>
      <c r="B1199">
        <v>0</v>
      </c>
      <c r="C1199" s="5" t="s">
        <v>26</v>
      </c>
      <c r="D1199">
        <v>0</v>
      </c>
      <c r="E1199" s="5" t="s">
        <v>80</v>
      </c>
      <c r="F1199" s="5" t="s">
        <v>17</v>
      </c>
      <c r="G1199">
        <v>10</v>
      </c>
    </row>
    <row r="1200" spans="1:7" x14ac:dyDescent="0.35">
      <c r="A1200">
        <v>35947</v>
      </c>
      <c r="B1200">
        <v>2</v>
      </c>
      <c r="C1200" s="5" t="s">
        <v>13</v>
      </c>
      <c r="D1200">
        <v>2505</v>
      </c>
      <c r="E1200" s="5" t="s">
        <v>80</v>
      </c>
      <c r="F1200" s="5" t="s">
        <v>17</v>
      </c>
      <c r="G1200">
        <v>14</v>
      </c>
    </row>
    <row r="1201" spans="1:7" x14ac:dyDescent="0.35">
      <c r="A1201">
        <v>152961</v>
      </c>
      <c r="B1201">
        <v>0</v>
      </c>
      <c r="C1201" s="5" t="s">
        <v>21</v>
      </c>
      <c r="D1201">
        <v>3401</v>
      </c>
      <c r="E1201" s="5" t="s">
        <v>82</v>
      </c>
      <c r="F1201" s="5" t="s">
        <v>17</v>
      </c>
      <c r="G1201">
        <v>8</v>
      </c>
    </row>
    <row r="1202" spans="1:7" x14ac:dyDescent="0.35">
      <c r="A1202">
        <v>161129</v>
      </c>
      <c r="B1202">
        <v>2</v>
      </c>
      <c r="C1202" s="5" t="s">
        <v>21</v>
      </c>
      <c r="D1202">
        <v>2201</v>
      </c>
      <c r="E1202" s="5" t="s">
        <v>81</v>
      </c>
      <c r="F1202" s="5" t="s">
        <v>17</v>
      </c>
      <c r="G1202">
        <v>20</v>
      </c>
    </row>
    <row r="1203" spans="1:7" x14ac:dyDescent="0.35">
      <c r="A1203">
        <v>177315</v>
      </c>
      <c r="B1203">
        <v>0</v>
      </c>
      <c r="C1203" s="5" t="s">
        <v>47</v>
      </c>
      <c r="D1203">
        <v>3805</v>
      </c>
      <c r="E1203" s="5" t="s">
        <v>79</v>
      </c>
      <c r="F1203" s="5" t="s">
        <v>14</v>
      </c>
      <c r="G1203">
        <v>15</v>
      </c>
    </row>
    <row r="1204" spans="1:7" x14ac:dyDescent="0.35">
      <c r="A1204">
        <v>104755</v>
      </c>
      <c r="B1204">
        <v>2</v>
      </c>
      <c r="C1204" s="5" t="s">
        <v>25</v>
      </c>
      <c r="D1204">
        <v>2001</v>
      </c>
      <c r="E1204" s="5" t="s">
        <v>83</v>
      </c>
      <c r="F1204" s="5" t="s">
        <v>14</v>
      </c>
      <c r="G1204">
        <v>16</v>
      </c>
    </row>
    <row r="1205" spans="1:7" x14ac:dyDescent="0.35">
      <c r="A1205">
        <v>147838</v>
      </c>
      <c r="B1205">
        <v>0</v>
      </c>
      <c r="C1205" s="5" t="s">
        <v>21</v>
      </c>
      <c r="D1205">
        <v>3001</v>
      </c>
      <c r="E1205" s="5" t="s">
        <v>83</v>
      </c>
      <c r="F1205" s="5" t="s">
        <v>17</v>
      </c>
      <c r="G1205">
        <v>20</v>
      </c>
    </row>
    <row r="1206" spans="1:7" x14ac:dyDescent="0.35">
      <c r="A1206">
        <v>182748</v>
      </c>
      <c r="B1206">
        <v>2</v>
      </c>
      <c r="C1206" s="5" t="s">
        <v>37</v>
      </c>
      <c r="D1206">
        <v>2501</v>
      </c>
      <c r="E1206" s="5" t="s">
        <v>78</v>
      </c>
      <c r="F1206" s="5" t="s">
        <v>14</v>
      </c>
      <c r="G1206">
        <v>12</v>
      </c>
    </row>
    <row r="1207" spans="1:7" x14ac:dyDescent="0.35">
      <c r="A1207">
        <v>177238</v>
      </c>
      <c r="B1207">
        <v>0</v>
      </c>
      <c r="C1207" s="5" t="s">
        <v>47</v>
      </c>
      <c r="D1207">
        <v>3207</v>
      </c>
      <c r="E1207" s="5" t="s">
        <v>79</v>
      </c>
      <c r="F1207" s="5" t="s">
        <v>17</v>
      </c>
      <c r="G1207">
        <v>12</v>
      </c>
    </row>
    <row r="1208" spans="1:7" x14ac:dyDescent="0.35">
      <c r="A1208">
        <v>191138</v>
      </c>
      <c r="B1208">
        <v>0</v>
      </c>
      <c r="C1208" s="5" t="s">
        <v>20</v>
      </c>
      <c r="D1208">
        <v>4201</v>
      </c>
      <c r="E1208" s="5" t="s">
        <v>79</v>
      </c>
      <c r="F1208" s="5" t="s">
        <v>17</v>
      </c>
      <c r="G1208">
        <v>15</v>
      </c>
    </row>
    <row r="1209" spans="1:7" x14ac:dyDescent="0.35">
      <c r="A1209">
        <v>133932</v>
      </c>
      <c r="B1209">
        <v>0</v>
      </c>
      <c r="C1209" s="5" t="s">
        <v>37</v>
      </c>
      <c r="D1209">
        <v>0</v>
      </c>
      <c r="E1209" s="5" t="s">
        <v>89</v>
      </c>
      <c r="F1209" s="5" t="s">
        <v>14</v>
      </c>
      <c r="G1209">
        <v>5</v>
      </c>
    </row>
    <row r="1210" spans="1:7" x14ac:dyDescent="0.35">
      <c r="A1210">
        <v>120608</v>
      </c>
      <c r="B1210">
        <v>0</v>
      </c>
      <c r="C1210" s="5" t="s">
        <v>20</v>
      </c>
      <c r="D1210">
        <v>0</v>
      </c>
      <c r="E1210" s="5" t="s">
        <v>87</v>
      </c>
      <c r="F1210" s="5" t="s">
        <v>86</v>
      </c>
      <c r="G1210">
        <v>15</v>
      </c>
    </row>
    <row r="1211" spans="1:7" x14ac:dyDescent="0.35">
      <c r="A1211">
        <v>11562</v>
      </c>
      <c r="B1211">
        <v>0</v>
      </c>
      <c r="C1211" s="5" t="s">
        <v>21</v>
      </c>
      <c r="D1211">
        <v>2501</v>
      </c>
      <c r="E1211" s="5" t="s">
        <v>83</v>
      </c>
      <c r="F1211" s="5" t="s">
        <v>17</v>
      </c>
      <c r="G1211">
        <v>50</v>
      </c>
    </row>
    <row r="1212" spans="1:7" x14ac:dyDescent="0.35">
      <c r="A1212">
        <v>87541</v>
      </c>
      <c r="B1212">
        <v>0</v>
      </c>
      <c r="C1212" s="5" t="s">
        <v>37</v>
      </c>
      <c r="D1212">
        <v>4501</v>
      </c>
      <c r="E1212" s="5" t="s">
        <v>81</v>
      </c>
      <c r="F1212" s="5" t="s">
        <v>17</v>
      </c>
      <c r="G1212">
        <v>5</v>
      </c>
    </row>
    <row r="1213" spans="1:7" x14ac:dyDescent="0.35">
      <c r="A1213">
        <v>1722</v>
      </c>
      <c r="B1213">
        <v>1002</v>
      </c>
      <c r="C1213" s="5" t="s">
        <v>21</v>
      </c>
      <c r="D1213">
        <v>5207</v>
      </c>
      <c r="E1213" s="5" t="s">
        <v>82</v>
      </c>
      <c r="F1213" s="5" t="s">
        <v>14</v>
      </c>
      <c r="G1213">
        <v>10</v>
      </c>
    </row>
    <row r="1214" spans="1:7" x14ac:dyDescent="0.35">
      <c r="A1214">
        <v>32843</v>
      </c>
      <c r="B1214">
        <v>1</v>
      </c>
      <c r="C1214" s="5" t="s">
        <v>13</v>
      </c>
      <c r="D1214">
        <v>5901</v>
      </c>
      <c r="E1214" s="5" t="s">
        <v>87</v>
      </c>
      <c r="F1214" s="5" t="s">
        <v>14</v>
      </c>
      <c r="G1214">
        <v>15</v>
      </c>
    </row>
    <row r="1215" spans="1:7" x14ac:dyDescent="0.35">
      <c r="A1215">
        <v>77439</v>
      </c>
      <c r="B1215">
        <v>2</v>
      </c>
      <c r="C1215" s="5" t="s">
        <v>32</v>
      </c>
      <c r="D1215">
        <v>3101</v>
      </c>
      <c r="E1215" s="5" t="s">
        <v>81</v>
      </c>
      <c r="F1215" s="5" t="s">
        <v>14</v>
      </c>
      <c r="G1215">
        <v>17</v>
      </c>
    </row>
    <row r="1216" spans="1:7" x14ac:dyDescent="0.35">
      <c r="A1216">
        <v>140457</v>
      </c>
      <c r="B1216">
        <v>1</v>
      </c>
      <c r="C1216" s="5" t="s">
        <v>50</v>
      </c>
      <c r="D1216">
        <v>2401</v>
      </c>
      <c r="E1216" s="5" t="s">
        <v>79</v>
      </c>
      <c r="F1216" s="5" t="s">
        <v>14</v>
      </c>
      <c r="G1216">
        <v>10</v>
      </c>
    </row>
    <row r="1217" spans="1:7" x14ac:dyDescent="0.35">
      <c r="A1217">
        <v>70144</v>
      </c>
      <c r="B1217">
        <v>0</v>
      </c>
      <c r="C1217" s="5" t="s">
        <v>13</v>
      </c>
      <c r="D1217">
        <v>1711</v>
      </c>
      <c r="E1217" s="5" t="s">
        <v>88</v>
      </c>
      <c r="F1217" s="5" t="s">
        <v>17</v>
      </c>
      <c r="G1217">
        <v>15</v>
      </c>
    </row>
    <row r="1218" spans="1:7" x14ac:dyDescent="0.35">
      <c r="A1218">
        <v>157947</v>
      </c>
      <c r="B1218">
        <v>0</v>
      </c>
      <c r="C1218" s="5" t="s">
        <v>21</v>
      </c>
      <c r="D1218">
        <v>0</v>
      </c>
      <c r="E1218" s="5" t="s">
        <v>85</v>
      </c>
      <c r="F1218" s="5" t="s">
        <v>17</v>
      </c>
      <c r="G1218">
        <v>5</v>
      </c>
    </row>
    <row r="1219" spans="1:7" x14ac:dyDescent="0.35">
      <c r="A1219">
        <v>137680</v>
      </c>
      <c r="B1219">
        <v>0</v>
      </c>
      <c r="C1219" s="5" t="s">
        <v>51</v>
      </c>
      <c r="D1219">
        <v>2308</v>
      </c>
      <c r="E1219" s="5" t="s">
        <v>81</v>
      </c>
      <c r="F1219" s="5" t="s">
        <v>17</v>
      </c>
      <c r="G1219">
        <v>5</v>
      </c>
    </row>
    <row r="1220" spans="1:7" x14ac:dyDescent="0.35">
      <c r="A1220">
        <v>153708</v>
      </c>
      <c r="B1220">
        <v>28</v>
      </c>
      <c r="C1220" s="5" t="s">
        <v>21</v>
      </c>
      <c r="D1220">
        <v>0</v>
      </c>
      <c r="E1220" s="5" t="s">
        <v>93</v>
      </c>
      <c r="F1220" s="5" t="s">
        <v>17</v>
      </c>
      <c r="G1220">
        <v>21</v>
      </c>
    </row>
    <row r="1221" spans="1:7" x14ac:dyDescent="0.35">
      <c r="A1221">
        <v>27217</v>
      </c>
      <c r="B1221">
        <v>0</v>
      </c>
      <c r="C1221" s="5" t="s">
        <v>36</v>
      </c>
      <c r="D1221">
        <v>0</v>
      </c>
      <c r="E1221" s="5" t="s">
        <v>81</v>
      </c>
      <c r="F1221" s="5" t="s">
        <v>17</v>
      </c>
      <c r="G1221">
        <v>15</v>
      </c>
    </row>
    <row r="1222" spans="1:7" x14ac:dyDescent="0.35">
      <c r="A1222">
        <v>1442</v>
      </c>
      <c r="B1222">
        <v>0</v>
      </c>
      <c r="C1222" s="5" t="s">
        <v>33</v>
      </c>
      <c r="D1222">
        <v>5901</v>
      </c>
      <c r="E1222" s="5" t="s">
        <v>82</v>
      </c>
      <c r="F1222" s="5" t="s">
        <v>17</v>
      </c>
      <c r="G1222">
        <v>24</v>
      </c>
    </row>
    <row r="1223" spans="1:7" x14ac:dyDescent="0.35">
      <c r="A1223">
        <v>38327</v>
      </c>
      <c r="B1223">
        <v>1</v>
      </c>
      <c r="C1223" s="5" t="s">
        <v>13</v>
      </c>
      <c r="D1223">
        <v>1103</v>
      </c>
      <c r="E1223" s="5" t="s">
        <v>80</v>
      </c>
      <c r="F1223" s="5" t="s">
        <v>14</v>
      </c>
      <c r="G1223">
        <v>11</v>
      </c>
    </row>
    <row r="1224" spans="1:7" x14ac:dyDescent="0.35">
      <c r="A1224">
        <v>109287</v>
      </c>
      <c r="B1224">
        <v>0</v>
      </c>
      <c r="C1224" s="5" t="s">
        <v>46</v>
      </c>
      <c r="D1224">
        <v>0</v>
      </c>
      <c r="E1224" s="5" t="s">
        <v>87</v>
      </c>
      <c r="F1224" s="5" t="s">
        <v>17</v>
      </c>
      <c r="G1224">
        <v>5</v>
      </c>
    </row>
    <row r="1225" spans="1:7" x14ac:dyDescent="0.35">
      <c r="A1225">
        <v>77784</v>
      </c>
      <c r="B1225">
        <v>0</v>
      </c>
      <c r="C1225" s="5" t="s">
        <v>32</v>
      </c>
      <c r="D1225">
        <v>7102</v>
      </c>
      <c r="E1225" s="5" t="s">
        <v>83</v>
      </c>
      <c r="F1225" s="5" t="s">
        <v>17</v>
      </c>
      <c r="G1225">
        <v>16</v>
      </c>
    </row>
    <row r="1226" spans="1:7" x14ac:dyDescent="0.35">
      <c r="A1226">
        <v>22098</v>
      </c>
      <c r="B1226">
        <v>2</v>
      </c>
      <c r="C1226" s="5" t="s">
        <v>18</v>
      </c>
      <c r="D1226">
        <v>2801</v>
      </c>
      <c r="E1226" s="5" t="s">
        <v>79</v>
      </c>
      <c r="F1226" s="5" t="s">
        <v>17</v>
      </c>
      <c r="G1226">
        <v>2</v>
      </c>
    </row>
    <row r="1227" spans="1:7" x14ac:dyDescent="0.35">
      <c r="A1227">
        <v>156224</v>
      </c>
      <c r="B1227">
        <v>0</v>
      </c>
      <c r="C1227" s="5" t="s">
        <v>21</v>
      </c>
      <c r="D1227">
        <v>4701</v>
      </c>
      <c r="E1227" s="5" t="s">
        <v>84</v>
      </c>
      <c r="F1227" s="5" t="s">
        <v>14</v>
      </c>
      <c r="G1227">
        <v>30</v>
      </c>
    </row>
    <row r="1228" spans="1:7" x14ac:dyDescent="0.35">
      <c r="A1228">
        <v>169224</v>
      </c>
      <c r="B1228">
        <v>0</v>
      </c>
      <c r="C1228" s="5" t="s">
        <v>21</v>
      </c>
      <c r="D1228">
        <v>2201</v>
      </c>
      <c r="E1228" s="5" t="s">
        <v>82</v>
      </c>
      <c r="F1228" s="5" t="s">
        <v>17</v>
      </c>
      <c r="G1228">
        <v>36</v>
      </c>
    </row>
    <row r="1229" spans="1:7" x14ac:dyDescent="0.35">
      <c r="A1229">
        <v>146341</v>
      </c>
      <c r="B1229">
        <v>1</v>
      </c>
      <c r="C1229" s="5" t="s">
        <v>21</v>
      </c>
      <c r="D1229">
        <v>1701</v>
      </c>
      <c r="E1229" s="5" t="s">
        <v>93</v>
      </c>
      <c r="F1229" s="5" t="s">
        <v>14</v>
      </c>
      <c r="G1229">
        <v>20</v>
      </c>
    </row>
    <row r="1230" spans="1:7" x14ac:dyDescent="0.35">
      <c r="A1230">
        <v>102630</v>
      </c>
      <c r="B1230">
        <v>2</v>
      </c>
      <c r="C1230" s="5" t="s">
        <v>33</v>
      </c>
      <c r="D1230">
        <v>0</v>
      </c>
      <c r="E1230" s="5" t="s">
        <v>81</v>
      </c>
      <c r="F1230" s="5" t="s">
        <v>14</v>
      </c>
      <c r="G1230">
        <v>5</v>
      </c>
    </row>
    <row r="1231" spans="1:7" x14ac:dyDescent="0.35">
      <c r="A1231">
        <v>119362</v>
      </c>
      <c r="B1231">
        <v>28</v>
      </c>
      <c r="C1231" s="5" t="s">
        <v>20</v>
      </c>
      <c r="D1231">
        <v>2001</v>
      </c>
      <c r="E1231" s="5" t="s">
        <v>82</v>
      </c>
      <c r="F1231" s="5" t="s">
        <v>17</v>
      </c>
      <c r="G1231">
        <v>45</v>
      </c>
    </row>
    <row r="1232" spans="1:7" x14ac:dyDescent="0.35">
      <c r="A1232">
        <v>92962</v>
      </c>
      <c r="B1232">
        <v>1</v>
      </c>
      <c r="C1232" s="5" t="s">
        <v>21</v>
      </c>
      <c r="D1232">
        <v>0</v>
      </c>
      <c r="E1232" s="5" t="s">
        <v>85</v>
      </c>
      <c r="F1232" s="5" t="s">
        <v>14</v>
      </c>
      <c r="G1232">
        <v>20</v>
      </c>
    </row>
    <row r="1233" spans="1:7" x14ac:dyDescent="0.35">
      <c r="A1233">
        <v>14420</v>
      </c>
      <c r="B1233">
        <v>0</v>
      </c>
      <c r="C1233" s="5" t="s">
        <v>43</v>
      </c>
      <c r="D1233">
        <v>403</v>
      </c>
      <c r="E1233" s="5" t="s">
        <v>79</v>
      </c>
      <c r="F1233" s="5" t="s">
        <v>17</v>
      </c>
      <c r="G1233">
        <v>10</v>
      </c>
    </row>
    <row r="1234" spans="1:7" x14ac:dyDescent="0.35">
      <c r="A1234">
        <v>157687</v>
      </c>
      <c r="B1234">
        <v>0</v>
      </c>
      <c r="C1234" s="5" t="s">
        <v>21</v>
      </c>
      <c r="D1234">
        <v>3801</v>
      </c>
      <c r="E1234" s="5" t="s">
        <v>84</v>
      </c>
      <c r="F1234" s="5" t="s">
        <v>17</v>
      </c>
      <c r="G1234">
        <v>15</v>
      </c>
    </row>
    <row r="1235" spans="1:7" x14ac:dyDescent="0.35">
      <c r="A1235">
        <v>145436</v>
      </c>
      <c r="B1235">
        <v>1</v>
      </c>
      <c r="C1235" s="5" t="s">
        <v>20</v>
      </c>
      <c r="D1235">
        <v>0</v>
      </c>
      <c r="E1235" s="5" t="s">
        <v>85</v>
      </c>
      <c r="F1235" s="5" t="s">
        <v>14</v>
      </c>
      <c r="G1235">
        <v>10</v>
      </c>
    </row>
    <row r="1236" spans="1:7" x14ac:dyDescent="0.35">
      <c r="A1236">
        <v>62795</v>
      </c>
      <c r="B1236">
        <v>0</v>
      </c>
      <c r="C1236" s="5" t="s">
        <v>30</v>
      </c>
      <c r="D1236">
        <v>0</v>
      </c>
      <c r="E1236" s="5" t="s">
        <v>81</v>
      </c>
      <c r="F1236" s="5" t="s">
        <v>17</v>
      </c>
      <c r="G1236">
        <v>20</v>
      </c>
    </row>
    <row r="1237" spans="1:7" x14ac:dyDescent="0.35">
      <c r="A1237">
        <v>80153</v>
      </c>
      <c r="B1237">
        <v>0</v>
      </c>
      <c r="C1237" s="5" t="s">
        <v>32</v>
      </c>
      <c r="D1237">
        <v>2301</v>
      </c>
      <c r="E1237" s="5" t="s">
        <v>87</v>
      </c>
      <c r="F1237" s="5" t="s">
        <v>14</v>
      </c>
      <c r="G1237">
        <v>5</v>
      </c>
    </row>
    <row r="1238" spans="1:7" x14ac:dyDescent="0.35">
      <c r="A1238">
        <v>21107</v>
      </c>
      <c r="B1238">
        <v>1</v>
      </c>
      <c r="C1238" s="5" t="s">
        <v>18</v>
      </c>
      <c r="D1238">
        <v>1907</v>
      </c>
      <c r="E1238" s="5" t="s">
        <v>79</v>
      </c>
      <c r="F1238" s="5" t="s">
        <v>86</v>
      </c>
      <c r="G1238">
        <v>7</v>
      </c>
    </row>
    <row r="1239" spans="1:7" x14ac:dyDescent="0.35">
      <c r="A1239">
        <v>164551</v>
      </c>
      <c r="B1239">
        <v>0</v>
      </c>
      <c r="C1239" s="5" t="s">
        <v>21</v>
      </c>
      <c r="D1239">
        <v>0</v>
      </c>
      <c r="E1239" s="5" t="s">
        <v>78</v>
      </c>
      <c r="F1239" s="5" t="s">
        <v>17</v>
      </c>
      <c r="G1239">
        <v>3</v>
      </c>
    </row>
    <row r="1240" spans="1:7" x14ac:dyDescent="0.35">
      <c r="A1240">
        <v>53485</v>
      </c>
      <c r="B1240">
        <v>28</v>
      </c>
      <c r="C1240" s="5" t="s">
        <v>49</v>
      </c>
      <c r="D1240">
        <v>0</v>
      </c>
      <c r="E1240" s="5" t="s">
        <v>80</v>
      </c>
      <c r="F1240" s="5" t="s">
        <v>17</v>
      </c>
      <c r="G1240">
        <v>7</v>
      </c>
    </row>
    <row r="1241" spans="1:7" x14ac:dyDescent="0.35">
      <c r="A1241">
        <v>25331</v>
      </c>
      <c r="B1241">
        <v>0</v>
      </c>
      <c r="C1241" s="5" t="s">
        <v>43</v>
      </c>
      <c r="D1241">
        <v>0</v>
      </c>
      <c r="E1241" s="5" t="s">
        <v>81</v>
      </c>
      <c r="F1241" s="5" t="s">
        <v>17</v>
      </c>
      <c r="G1241">
        <v>22</v>
      </c>
    </row>
    <row r="1242" spans="1:7" x14ac:dyDescent="0.35">
      <c r="A1242">
        <v>189130</v>
      </c>
      <c r="B1242">
        <v>1</v>
      </c>
      <c r="C1242" s="5" t="s">
        <v>16</v>
      </c>
      <c r="D1242">
        <v>2810</v>
      </c>
      <c r="E1242" s="5" t="s">
        <v>93</v>
      </c>
      <c r="F1242" s="5" t="s">
        <v>14</v>
      </c>
      <c r="G1242">
        <v>51</v>
      </c>
    </row>
    <row r="1243" spans="1:7" x14ac:dyDescent="0.35">
      <c r="A1243">
        <v>190840</v>
      </c>
      <c r="B1243">
        <v>1</v>
      </c>
      <c r="C1243" s="5" t="s">
        <v>16</v>
      </c>
      <c r="D1243">
        <v>4912</v>
      </c>
      <c r="E1243" s="5" t="s">
        <v>87</v>
      </c>
      <c r="F1243" s="5" t="s">
        <v>14</v>
      </c>
      <c r="G1243">
        <v>25</v>
      </c>
    </row>
    <row r="1244" spans="1:7" x14ac:dyDescent="0.35">
      <c r="A1244">
        <v>341</v>
      </c>
      <c r="B1244">
        <v>0</v>
      </c>
      <c r="C1244" s="5" t="s">
        <v>36</v>
      </c>
      <c r="D1244">
        <v>3011</v>
      </c>
      <c r="E1244" s="5" t="s">
        <v>81</v>
      </c>
      <c r="F1244" s="5" t="s">
        <v>17</v>
      </c>
      <c r="G1244">
        <v>25</v>
      </c>
    </row>
    <row r="1245" spans="1:7" x14ac:dyDescent="0.35">
      <c r="A1245">
        <v>109240</v>
      </c>
      <c r="B1245">
        <v>0</v>
      </c>
      <c r="C1245" s="5" t="s">
        <v>46</v>
      </c>
      <c r="D1245">
        <v>3711</v>
      </c>
      <c r="E1245" s="5" t="s">
        <v>94</v>
      </c>
      <c r="F1245" s="5" t="s">
        <v>14</v>
      </c>
      <c r="G1245">
        <v>7</v>
      </c>
    </row>
    <row r="1246" spans="1:7" x14ac:dyDescent="0.35">
      <c r="A1246">
        <v>6028</v>
      </c>
      <c r="B1246">
        <v>4</v>
      </c>
      <c r="C1246" s="5" t="s">
        <v>55</v>
      </c>
      <c r="D1246">
        <v>4912</v>
      </c>
      <c r="E1246" s="5" t="s">
        <v>83</v>
      </c>
      <c r="F1246" s="5" t="s">
        <v>14</v>
      </c>
      <c r="G1246">
        <v>15</v>
      </c>
    </row>
    <row r="1247" spans="1:7" x14ac:dyDescent="0.35">
      <c r="A1247">
        <v>169722</v>
      </c>
      <c r="B1247">
        <v>0</v>
      </c>
      <c r="C1247" s="5" t="s">
        <v>21</v>
      </c>
      <c r="D1247">
        <v>4701</v>
      </c>
      <c r="E1247" s="5" t="s">
        <v>78</v>
      </c>
      <c r="F1247" s="5" t="s">
        <v>17</v>
      </c>
      <c r="G1247">
        <v>20</v>
      </c>
    </row>
    <row r="1248" spans="1:7" x14ac:dyDescent="0.35">
      <c r="A1248">
        <v>91467</v>
      </c>
      <c r="B1248">
        <v>28</v>
      </c>
      <c r="C1248" s="5" t="s">
        <v>16</v>
      </c>
      <c r="D1248">
        <v>4106</v>
      </c>
      <c r="E1248" s="5" t="s">
        <v>79</v>
      </c>
      <c r="F1248" s="5" t="s">
        <v>17</v>
      </c>
      <c r="G1248">
        <v>8</v>
      </c>
    </row>
    <row r="1249" spans="1:7" x14ac:dyDescent="0.35">
      <c r="A1249">
        <v>88537</v>
      </c>
      <c r="B1249">
        <v>1</v>
      </c>
      <c r="C1249" s="5" t="s">
        <v>16</v>
      </c>
      <c r="D1249">
        <v>2106</v>
      </c>
      <c r="E1249" s="5" t="s">
        <v>79</v>
      </c>
      <c r="F1249" s="5" t="s">
        <v>14</v>
      </c>
      <c r="G1249">
        <v>5</v>
      </c>
    </row>
    <row r="1250" spans="1:7" x14ac:dyDescent="0.35">
      <c r="A1250">
        <v>162740</v>
      </c>
      <c r="B1250">
        <v>0</v>
      </c>
      <c r="C1250" s="5" t="s">
        <v>21</v>
      </c>
      <c r="D1250">
        <v>2201</v>
      </c>
      <c r="E1250" s="5" t="s">
        <v>80</v>
      </c>
      <c r="F1250" s="5" t="s">
        <v>17</v>
      </c>
      <c r="G1250">
        <v>14</v>
      </c>
    </row>
    <row r="1251" spans="1:7" x14ac:dyDescent="0.35">
      <c r="A1251">
        <v>123622</v>
      </c>
      <c r="B1251">
        <v>1</v>
      </c>
      <c r="C1251" s="5" t="s">
        <v>20</v>
      </c>
      <c r="D1251">
        <v>5401</v>
      </c>
      <c r="E1251" s="5" t="s">
        <v>88</v>
      </c>
      <c r="F1251" s="5" t="s">
        <v>14</v>
      </c>
      <c r="G1251">
        <v>25</v>
      </c>
    </row>
    <row r="1252" spans="1:7" x14ac:dyDescent="0.35">
      <c r="A1252">
        <v>12370</v>
      </c>
      <c r="B1252">
        <v>0</v>
      </c>
      <c r="C1252" s="5" t="s">
        <v>21</v>
      </c>
      <c r="D1252">
        <v>0</v>
      </c>
      <c r="E1252" s="5" t="s">
        <v>82</v>
      </c>
      <c r="F1252" s="5" t="s">
        <v>17</v>
      </c>
      <c r="G1252">
        <v>20</v>
      </c>
    </row>
    <row r="1253" spans="1:7" x14ac:dyDescent="0.35">
      <c r="A1253">
        <v>91453</v>
      </c>
      <c r="B1253">
        <v>0</v>
      </c>
      <c r="C1253" s="5" t="s">
        <v>16</v>
      </c>
      <c r="D1253">
        <v>0</v>
      </c>
      <c r="E1253" s="5" t="s">
        <v>79</v>
      </c>
      <c r="F1253" s="5" t="s">
        <v>17</v>
      </c>
      <c r="G1253">
        <v>21</v>
      </c>
    </row>
    <row r="1254" spans="1:7" x14ac:dyDescent="0.35">
      <c r="A1254">
        <v>42543</v>
      </c>
      <c r="B1254">
        <v>0</v>
      </c>
      <c r="C1254" s="5" t="s">
        <v>13</v>
      </c>
      <c r="D1254">
        <v>0</v>
      </c>
      <c r="E1254" s="5" t="s">
        <v>81</v>
      </c>
      <c r="F1254" s="5" t="s">
        <v>14</v>
      </c>
      <c r="G1254">
        <v>20</v>
      </c>
    </row>
    <row r="1255" spans="1:7" x14ac:dyDescent="0.35">
      <c r="A1255">
        <v>89768</v>
      </c>
      <c r="B1255">
        <v>2</v>
      </c>
      <c r="C1255" s="5" t="s">
        <v>16</v>
      </c>
      <c r="D1255">
        <v>0</v>
      </c>
      <c r="E1255" s="5" t="s">
        <v>80</v>
      </c>
      <c r="F1255" s="5" t="s">
        <v>14</v>
      </c>
      <c r="G1255">
        <v>11</v>
      </c>
    </row>
    <row r="1256" spans="1:7" x14ac:dyDescent="0.35">
      <c r="A1256">
        <v>139175</v>
      </c>
      <c r="B1256">
        <v>0</v>
      </c>
      <c r="C1256" s="5" t="s">
        <v>50</v>
      </c>
      <c r="D1256">
        <v>0</v>
      </c>
      <c r="E1256" s="5" t="s">
        <v>81</v>
      </c>
      <c r="F1256" s="5" t="s">
        <v>17</v>
      </c>
      <c r="G1256">
        <v>10</v>
      </c>
    </row>
    <row r="1257" spans="1:7" x14ac:dyDescent="0.35">
      <c r="A1257">
        <v>83559</v>
      </c>
      <c r="B1257">
        <v>1</v>
      </c>
      <c r="C1257" s="5" t="s">
        <v>28</v>
      </c>
      <c r="D1257">
        <v>5902</v>
      </c>
      <c r="E1257" s="5" t="s">
        <v>93</v>
      </c>
      <c r="F1257" s="5" t="s">
        <v>14</v>
      </c>
      <c r="G1257">
        <v>10</v>
      </c>
    </row>
    <row r="1258" spans="1:7" x14ac:dyDescent="0.35">
      <c r="A1258">
        <v>113312</v>
      </c>
      <c r="B1258">
        <v>2</v>
      </c>
      <c r="C1258" s="5" t="s">
        <v>28</v>
      </c>
      <c r="D1258">
        <v>2301</v>
      </c>
      <c r="E1258" s="5" t="s">
        <v>82</v>
      </c>
      <c r="F1258" s="5" t="s">
        <v>17</v>
      </c>
      <c r="G1258">
        <v>5</v>
      </c>
    </row>
    <row r="1259" spans="1:7" x14ac:dyDescent="0.35">
      <c r="A1259">
        <v>117329</v>
      </c>
      <c r="B1259">
        <v>28</v>
      </c>
      <c r="C1259" s="5" t="s">
        <v>20</v>
      </c>
      <c r="D1259">
        <v>2712</v>
      </c>
      <c r="E1259" s="5" t="s">
        <v>83</v>
      </c>
      <c r="F1259" s="5" t="s">
        <v>17</v>
      </c>
      <c r="G1259">
        <v>15</v>
      </c>
    </row>
    <row r="1260" spans="1:7" x14ac:dyDescent="0.35">
      <c r="A1260">
        <v>56674</v>
      </c>
      <c r="B1260">
        <v>1</v>
      </c>
      <c r="C1260" s="5" t="s">
        <v>53</v>
      </c>
      <c r="D1260">
        <v>2101</v>
      </c>
      <c r="E1260" s="5" t="s">
        <v>92</v>
      </c>
      <c r="F1260" s="5" t="s">
        <v>14</v>
      </c>
      <c r="G1260">
        <v>15</v>
      </c>
    </row>
    <row r="1261" spans="1:7" x14ac:dyDescent="0.35">
      <c r="A1261">
        <v>40105</v>
      </c>
      <c r="B1261">
        <v>0</v>
      </c>
      <c r="C1261" s="5" t="s">
        <v>13</v>
      </c>
      <c r="D1261">
        <v>4608</v>
      </c>
      <c r="E1261" s="5" t="s">
        <v>88</v>
      </c>
      <c r="F1261" s="5" t="s">
        <v>17</v>
      </c>
      <c r="G1261">
        <v>23</v>
      </c>
    </row>
    <row r="1262" spans="1:7" x14ac:dyDescent="0.35">
      <c r="A1262">
        <v>76914</v>
      </c>
      <c r="B1262">
        <v>0</v>
      </c>
      <c r="C1262" s="5" t="s">
        <v>44</v>
      </c>
      <c r="D1262">
        <v>0</v>
      </c>
      <c r="E1262" s="5" t="s">
        <v>81</v>
      </c>
      <c r="F1262" s="5" t="s">
        <v>14</v>
      </c>
      <c r="G1262">
        <v>15</v>
      </c>
    </row>
    <row r="1263" spans="1:7" x14ac:dyDescent="0.35">
      <c r="A1263">
        <v>7947</v>
      </c>
      <c r="B1263">
        <v>1</v>
      </c>
      <c r="C1263" s="5" t="s">
        <v>26</v>
      </c>
      <c r="D1263">
        <v>1612</v>
      </c>
      <c r="E1263" s="5" t="s">
        <v>81</v>
      </c>
      <c r="F1263" s="5" t="s">
        <v>14</v>
      </c>
      <c r="G1263">
        <v>11</v>
      </c>
    </row>
    <row r="1264" spans="1:7" x14ac:dyDescent="0.35">
      <c r="A1264">
        <v>166350</v>
      </c>
      <c r="B1264">
        <v>0</v>
      </c>
      <c r="C1264" s="5" t="s">
        <v>21</v>
      </c>
      <c r="D1264">
        <v>5201</v>
      </c>
      <c r="E1264" s="5" t="s">
        <v>83</v>
      </c>
      <c r="F1264" s="5" t="s">
        <v>17</v>
      </c>
      <c r="G1264">
        <v>25</v>
      </c>
    </row>
    <row r="1265" spans="1:7" x14ac:dyDescent="0.35">
      <c r="A1265">
        <v>2151</v>
      </c>
      <c r="B1265">
        <v>1</v>
      </c>
      <c r="C1265" s="5" t="s">
        <v>21</v>
      </c>
      <c r="D1265">
        <v>5001</v>
      </c>
      <c r="E1265" s="5" t="s">
        <v>87</v>
      </c>
      <c r="F1265" s="5" t="s">
        <v>14</v>
      </c>
      <c r="G1265">
        <v>25</v>
      </c>
    </row>
    <row r="1266" spans="1:7" x14ac:dyDescent="0.35">
      <c r="A1266">
        <v>107298</v>
      </c>
      <c r="B1266">
        <v>0</v>
      </c>
      <c r="C1266" s="5" t="s">
        <v>55</v>
      </c>
      <c r="D1266">
        <v>4401</v>
      </c>
      <c r="E1266" s="5" t="s">
        <v>80</v>
      </c>
      <c r="F1266" s="5" t="s">
        <v>17</v>
      </c>
      <c r="G1266">
        <v>43</v>
      </c>
    </row>
    <row r="1267" spans="1:7" x14ac:dyDescent="0.35">
      <c r="A1267">
        <v>37762</v>
      </c>
      <c r="B1267">
        <v>1</v>
      </c>
      <c r="C1267" s="5" t="s">
        <v>13</v>
      </c>
      <c r="D1267">
        <v>3401</v>
      </c>
      <c r="E1267" s="5" t="s">
        <v>82</v>
      </c>
      <c r="F1267" s="5" t="s">
        <v>14</v>
      </c>
      <c r="G1267">
        <v>30</v>
      </c>
    </row>
    <row r="1268" spans="1:7" x14ac:dyDescent="0.35">
      <c r="A1268">
        <v>117383</v>
      </c>
      <c r="B1268">
        <v>2</v>
      </c>
      <c r="C1268" s="5" t="s">
        <v>20</v>
      </c>
      <c r="D1268">
        <v>4801</v>
      </c>
      <c r="E1268" s="5" t="s">
        <v>80</v>
      </c>
      <c r="F1268" s="5" t="s">
        <v>17</v>
      </c>
      <c r="G1268">
        <v>21</v>
      </c>
    </row>
    <row r="1269" spans="1:7" x14ac:dyDescent="0.35">
      <c r="A1269">
        <v>174375</v>
      </c>
      <c r="B1269">
        <v>28</v>
      </c>
      <c r="C1269" s="5" t="s">
        <v>47</v>
      </c>
      <c r="D1269">
        <v>5801</v>
      </c>
      <c r="E1269" s="5" t="s">
        <v>80</v>
      </c>
      <c r="F1269" s="5" t="s">
        <v>17</v>
      </c>
      <c r="G1269">
        <v>25</v>
      </c>
    </row>
    <row r="1270" spans="1:7" x14ac:dyDescent="0.35">
      <c r="A1270">
        <v>102742</v>
      </c>
      <c r="B1270">
        <v>1</v>
      </c>
      <c r="C1270" s="5" t="s">
        <v>33</v>
      </c>
      <c r="D1270">
        <v>4401</v>
      </c>
      <c r="E1270" s="5" t="s">
        <v>81</v>
      </c>
      <c r="F1270" s="5" t="s">
        <v>14</v>
      </c>
      <c r="G1270">
        <v>9</v>
      </c>
    </row>
    <row r="1271" spans="1:7" x14ac:dyDescent="0.35">
      <c r="A1271">
        <v>53793</v>
      </c>
      <c r="B1271">
        <v>28</v>
      </c>
      <c r="C1271" s="5" t="s">
        <v>49</v>
      </c>
      <c r="D1271">
        <v>4901</v>
      </c>
      <c r="E1271" s="5" t="s">
        <v>83</v>
      </c>
      <c r="F1271" s="5" t="s">
        <v>17</v>
      </c>
      <c r="G1271">
        <v>5</v>
      </c>
    </row>
    <row r="1272" spans="1:7" x14ac:dyDescent="0.35">
      <c r="A1272">
        <v>59070</v>
      </c>
      <c r="B1272">
        <v>1</v>
      </c>
      <c r="C1272" s="5" t="s">
        <v>53</v>
      </c>
      <c r="D1272">
        <v>5003</v>
      </c>
      <c r="E1272" s="5" t="s">
        <v>89</v>
      </c>
      <c r="F1272" s="5" t="s">
        <v>14</v>
      </c>
      <c r="G1272">
        <v>10</v>
      </c>
    </row>
    <row r="1273" spans="1:7" x14ac:dyDescent="0.35">
      <c r="A1273">
        <v>107279</v>
      </c>
      <c r="B1273">
        <v>0</v>
      </c>
      <c r="C1273" s="5" t="s">
        <v>55</v>
      </c>
      <c r="D1273">
        <v>4701</v>
      </c>
      <c r="E1273" s="5" t="s">
        <v>83</v>
      </c>
      <c r="F1273" s="5" t="s">
        <v>17</v>
      </c>
      <c r="G1273">
        <v>4</v>
      </c>
    </row>
    <row r="1274" spans="1:7" x14ac:dyDescent="0.35">
      <c r="A1274">
        <v>88886</v>
      </c>
      <c r="B1274">
        <v>1</v>
      </c>
      <c r="C1274" s="5" t="s">
        <v>16</v>
      </c>
      <c r="D1274">
        <v>5411</v>
      </c>
      <c r="E1274" s="5" t="s">
        <v>81</v>
      </c>
      <c r="F1274" s="5" t="s">
        <v>14</v>
      </c>
      <c r="G1274">
        <v>40</v>
      </c>
    </row>
    <row r="1275" spans="1:7" x14ac:dyDescent="0.35">
      <c r="A1275">
        <v>190552</v>
      </c>
      <c r="B1275">
        <v>1</v>
      </c>
      <c r="C1275" s="5" t="s">
        <v>50</v>
      </c>
      <c r="D1275">
        <v>3501</v>
      </c>
      <c r="E1275" s="5" t="s">
        <v>86</v>
      </c>
      <c r="F1275" s="5" t="s">
        <v>14</v>
      </c>
      <c r="G1275">
        <v>7</v>
      </c>
    </row>
    <row r="1276" spans="1:7" x14ac:dyDescent="0.35">
      <c r="A1276">
        <v>148869</v>
      </c>
      <c r="B1276">
        <v>1</v>
      </c>
      <c r="C1276" s="5" t="s">
        <v>21</v>
      </c>
      <c r="D1276">
        <v>6401</v>
      </c>
      <c r="E1276" s="5" t="s">
        <v>82</v>
      </c>
      <c r="F1276" s="5" t="s">
        <v>14</v>
      </c>
      <c r="G1276">
        <v>15</v>
      </c>
    </row>
    <row r="1277" spans="1:7" x14ac:dyDescent="0.35">
      <c r="A1277">
        <v>146463</v>
      </c>
      <c r="B1277">
        <v>0</v>
      </c>
      <c r="C1277" s="5" t="s">
        <v>21</v>
      </c>
      <c r="D1277">
        <v>2601</v>
      </c>
      <c r="E1277" s="5" t="s">
        <v>93</v>
      </c>
      <c r="F1277" s="5" t="s">
        <v>27</v>
      </c>
      <c r="G1277">
        <v>5</v>
      </c>
    </row>
    <row r="1278" spans="1:7" x14ac:dyDescent="0.35">
      <c r="A1278">
        <v>85204</v>
      </c>
      <c r="B1278">
        <v>1</v>
      </c>
      <c r="C1278" s="5" t="s">
        <v>52</v>
      </c>
      <c r="D1278">
        <v>2210</v>
      </c>
      <c r="E1278" s="5" t="s">
        <v>81</v>
      </c>
      <c r="F1278" s="5" t="s">
        <v>14</v>
      </c>
      <c r="G1278">
        <v>20</v>
      </c>
    </row>
    <row r="1279" spans="1:7" x14ac:dyDescent="0.35">
      <c r="A1279">
        <v>143782</v>
      </c>
      <c r="B1279">
        <v>1</v>
      </c>
      <c r="C1279" s="5" t="s">
        <v>21</v>
      </c>
      <c r="D1279">
        <v>4801</v>
      </c>
      <c r="E1279" s="5" t="s">
        <v>83</v>
      </c>
      <c r="F1279" s="5" t="s">
        <v>14</v>
      </c>
      <c r="G1279">
        <v>25</v>
      </c>
    </row>
    <row r="1280" spans="1:7" x14ac:dyDescent="0.35">
      <c r="A1280">
        <v>17102</v>
      </c>
      <c r="B1280">
        <v>2</v>
      </c>
      <c r="C1280" s="5" t="s">
        <v>18</v>
      </c>
      <c r="D1280">
        <v>0</v>
      </c>
      <c r="E1280" s="5" t="s">
        <v>79</v>
      </c>
      <c r="F1280" s="5" t="s">
        <v>17</v>
      </c>
      <c r="G1280">
        <v>7</v>
      </c>
    </row>
    <row r="1281" spans="1:7" x14ac:dyDescent="0.35">
      <c r="A1281">
        <v>190157</v>
      </c>
      <c r="B1281">
        <v>0</v>
      </c>
      <c r="C1281" s="5" t="s">
        <v>18</v>
      </c>
      <c r="D1281">
        <v>0</v>
      </c>
      <c r="E1281" s="5" t="s">
        <v>79</v>
      </c>
      <c r="F1281" s="5" t="s">
        <v>17</v>
      </c>
      <c r="G1281">
        <v>15</v>
      </c>
    </row>
    <row r="1282" spans="1:7" x14ac:dyDescent="0.35">
      <c r="A1282">
        <v>93681</v>
      </c>
      <c r="B1282">
        <v>1</v>
      </c>
      <c r="C1282" s="5" t="s">
        <v>16</v>
      </c>
      <c r="D1282">
        <v>2309</v>
      </c>
      <c r="E1282" s="5" t="s">
        <v>91</v>
      </c>
      <c r="F1282" s="5" t="s">
        <v>14</v>
      </c>
      <c r="G1282">
        <v>16</v>
      </c>
    </row>
    <row r="1283" spans="1:7" x14ac:dyDescent="0.35">
      <c r="A1283">
        <v>105741</v>
      </c>
      <c r="B1283">
        <v>2</v>
      </c>
      <c r="C1283" s="5" t="s">
        <v>25</v>
      </c>
      <c r="D1283">
        <v>4401</v>
      </c>
      <c r="E1283" s="5" t="s">
        <v>80</v>
      </c>
      <c r="F1283" s="5" t="s">
        <v>14</v>
      </c>
      <c r="G1283">
        <v>20</v>
      </c>
    </row>
    <row r="1284" spans="1:7" x14ac:dyDescent="0.35">
      <c r="A1284">
        <v>98962</v>
      </c>
      <c r="B1284">
        <v>0</v>
      </c>
      <c r="C1284" s="5" t="s">
        <v>16</v>
      </c>
      <c r="D1284">
        <v>2308</v>
      </c>
      <c r="E1284" s="5" t="s">
        <v>81</v>
      </c>
      <c r="F1284" s="5" t="s">
        <v>17</v>
      </c>
      <c r="G1284">
        <v>25</v>
      </c>
    </row>
    <row r="1285" spans="1:7" x14ac:dyDescent="0.35">
      <c r="A1285">
        <v>32552</v>
      </c>
      <c r="B1285">
        <v>0</v>
      </c>
      <c r="C1285" s="5" t="s">
        <v>13</v>
      </c>
      <c r="D1285">
        <v>3802</v>
      </c>
      <c r="E1285" s="5" t="s">
        <v>84</v>
      </c>
      <c r="F1285" s="5" t="s">
        <v>17</v>
      </c>
      <c r="G1285">
        <v>20</v>
      </c>
    </row>
    <row r="1286" spans="1:7" x14ac:dyDescent="0.35">
      <c r="A1286">
        <v>23465</v>
      </c>
      <c r="B1286">
        <v>1</v>
      </c>
      <c r="C1286" s="5" t="s">
        <v>43</v>
      </c>
      <c r="D1286">
        <v>2701</v>
      </c>
      <c r="E1286" s="5" t="s">
        <v>80</v>
      </c>
      <c r="F1286" s="5" t="s">
        <v>17</v>
      </c>
      <c r="G1286">
        <v>15</v>
      </c>
    </row>
    <row r="1287" spans="1:7" x14ac:dyDescent="0.35">
      <c r="A1287">
        <v>155130</v>
      </c>
      <c r="B1287">
        <v>1</v>
      </c>
      <c r="C1287" s="5" t="s">
        <v>21</v>
      </c>
      <c r="D1287">
        <v>4901</v>
      </c>
      <c r="E1287" s="5" t="s">
        <v>83</v>
      </c>
      <c r="F1287" s="5" t="s">
        <v>14</v>
      </c>
      <c r="G1287">
        <v>45</v>
      </c>
    </row>
    <row r="1288" spans="1:7" x14ac:dyDescent="0.35">
      <c r="A1288">
        <v>15017</v>
      </c>
      <c r="B1288">
        <v>0</v>
      </c>
      <c r="C1288" s="5" t="s">
        <v>13</v>
      </c>
      <c r="D1288">
        <v>0</v>
      </c>
      <c r="E1288" s="5" t="s">
        <v>86</v>
      </c>
      <c r="F1288" s="5" t="s">
        <v>17</v>
      </c>
      <c r="G1288">
        <v>18</v>
      </c>
    </row>
    <row r="1289" spans="1:7" x14ac:dyDescent="0.35">
      <c r="A1289">
        <v>123438</v>
      </c>
      <c r="B1289">
        <v>0</v>
      </c>
      <c r="C1289" s="5" t="s">
        <v>20</v>
      </c>
      <c r="D1289">
        <v>6601</v>
      </c>
      <c r="E1289" s="5" t="s">
        <v>79</v>
      </c>
      <c r="F1289" s="5" t="s">
        <v>17</v>
      </c>
      <c r="G1289">
        <v>3</v>
      </c>
    </row>
    <row r="1290" spans="1:7" x14ac:dyDescent="0.35">
      <c r="A1290">
        <v>178796</v>
      </c>
      <c r="B1290">
        <v>28</v>
      </c>
      <c r="C1290" s="5" t="s">
        <v>37</v>
      </c>
      <c r="D1290">
        <v>3503</v>
      </c>
      <c r="E1290" s="5" t="s">
        <v>83</v>
      </c>
      <c r="F1290" s="5" t="s">
        <v>17</v>
      </c>
      <c r="G1290">
        <v>9</v>
      </c>
    </row>
    <row r="1291" spans="1:7" x14ac:dyDescent="0.35">
      <c r="A1291">
        <v>143790</v>
      </c>
      <c r="B1291">
        <v>2</v>
      </c>
      <c r="C1291" s="5" t="s">
        <v>21</v>
      </c>
      <c r="D1291">
        <v>4101</v>
      </c>
      <c r="E1291" s="5" t="s">
        <v>83</v>
      </c>
      <c r="F1291" s="5" t="s">
        <v>17</v>
      </c>
      <c r="G1291">
        <v>15</v>
      </c>
    </row>
    <row r="1292" spans="1:7" x14ac:dyDescent="0.35">
      <c r="A1292">
        <v>173737</v>
      </c>
      <c r="B1292">
        <v>1</v>
      </c>
      <c r="C1292" s="5" t="s">
        <v>34</v>
      </c>
      <c r="D1292">
        <v>1801</v>
      </c>
      <c r="E1292" s="5" t="s">
        <v>79</v>
      </c>
      <c r="F1292" s="5" t="s">
        <v>14</v>
      </c>
      <c r="G1292">
        <v>20</v>
      </c>
    </row>
    <row r="1293" spans="1:7" x14ac:dyDescent="0.35">
      <c r="A1293">
        <v>57017</v>
      </c>
      <c r="B1293">
        <v>0</v>
      </c>
      <c r="C1293" s="5" t="s">
        <v>13</v>
      </c>
      <c r="D1293">
        <v>0</v>
      </c>
      <c r="E1293" s="5" t="s">
        <v>79</v>
      </c>
      <c r="F1293" s="5" t="s">
        <v>17</v>
      </c>
      <c r="G1293">
        <v>20</v>
      </c>
    </row>
    <row r="1294" spans="1:7" x14ac:dyDescent="0.35">
      <c r="A1294">
        <v>131551</v>
      </c>
      <c r="B1294">
        <v>1</v>
      </c>
      <c r="C1294" s="5" t="s">
        <v>45</v>
      </c>
      <c r="D1294">
        <v>1710</v>
      </c>
      <c r="E1294" s="5" t="s">
        <v>78</v>
      </c>
      <c r="F1294" s="5" t="s">
        <v>14</v>
      </c>
      <c r="G1294">
        <v>10</v>
      </c>
    </row>
    <row r="1295" spans="1:7" x14ac:dyDescent="0.35">
      <c r="A1295">
        <v>72796</v>
      </c>
      <c r="B1295">
        <v>0</v>
      </c>
      <c r="C1295" s="5" t="s">
        <v>26</v>
      </c>
      <c r="D1295">
        <v>4905</v>
      </c>
      <c r="E1295" s="5" t="s">
        <v>81</v>
      </c>
      <c r="F1295" s="5" t="s">
        <v>14</v>
      </c>
      <c r="G1295">
        <v>15</v>
      </c>
    </row>
    <row r="1296" spans="1:7" x14ac:dyDescent="0.35">
      <c r="A1296">
        <v>178498</v>
      </c>
      <c r="B1296">
        <v>0</v>
      </c>
      <c r="C1296" s="5" t="s">
        <v>37</v>
      </c>
      <c r="D1296">
        <v>2802</v>
      </c>
      <c r="E1296" s="5" t="s">
        <v>80</v>
      </c>
      <c r="F1296" s="5" t="s">
        <v>14</v>
      </c>
      <c r="G1296">
        <v>15</v>
      </c>
    </row>
    <row r="1297" spans="1:7" x14ac:dyDescent="0.35">
      <c r="A1297">
        <v>77742</v>
      </c>
      <c r="B1297">
        <v>0</v>
      </c>
      <c r="C1297" s="5" t="s">
        <v>20</v>
      </c>
      <c r="D1297">
        <v>0</v>
      </c>
      <c r="E1297" s="5" t="s">
        <v>81</v>
      </c>
      <c r="F1297" s="5" t="s">
        <v>86</v>
      </c>
      <c r="G1297">
        <v>5</v>
      </c>
    </row>
    <row r="1298" spans="1:7" x14ac:dyDescent="0.35">
      <c r="A1298">
        <v>21204</v>
      </c>
      <c r="B1298">
        <v>2</v>
      </c>
      <c r="C1298" s="5" t="s">
        <v>18</v>
      </c>
      <c r="D1298">
        <v>4001</v>
      </c>
      <c r="E1298" s="5" t="s">
        <v>78</v>
      </c>
      <c r="F1298" s="5" t="s">
        <v>17</v>
      </c>
      <c r="G1298">
        <v>8</v>
      </c>
    </row>
    <row r="1299" spans="1:7" x14ac:dyDescent="0.35">
      <c r="A1299">
        <v>71146</v>
      </c>
      <c r="B1299">
        <v>0</v>
      </c>
      <c r="C1299" s="5" t="s">
        <v>26</v>
      </c>
      <c r="D1299">
        <v>7401</v>
      </c>
      <c r="E1299" s="5" t="s">
        <v>79</v>
      </c>
      <c r="F1299" s="5" t="s">
        <v>17</v>
      </c>
      <c r="G1299">
        <v>10</v>
      </c>
    </row>
    <row r="1300" spans="1:7" x14ac:dyDescent="0.35">
      <c r="A1300">
        <v>161230</v>
      </c>
      <c r="B1300">
        <v>0</v>
      </c>
      <c r="C1300" s="5" t="s">
        <v>21</v>
      </c>
      <c r="D1300">
        <v>5207</v>
      </c>
      <c r="E1300" s="5" t="s">
        <v>79</v>
      </c>
      <c r="F1300" s="5" t="s">
        <v>17</v>
      </c>
      <c r="G1300">
        <v>20</v>
      </c>
    </row>
    <row r="1301" spans="1:7" x14ac:dyDescent="0.35">
      <c r="A1301">
        <v>67712</v>
      </c>
      <c r="B1301">
        <v>0</v>
      </c>
      <c r="C1301" s="5" t="s">
        <v>26</v>
      </c>
      <c r="D1301">
        <v>801</v>
      </c>
      <c r="E1301" s="5" t="s">
        <v>93</v>
      </c>
      <c r="F1301" s="5" t="s">
        <v>17</v>
      </c>
      <c r="G1301">
        <v>100</v>
      </c>
    </row>
    <row r="1302" spans="1:7" x14ac:dyDescent="0.35">
      <c r="A1302">
        <v>178540</v>
      </c>
      <c r="B1302">
        <v>0</v>
      </c>
      <c r="C1302" s="5" t="s">
        <v>37</v>
      </c>
      <c r="D1302">
        <v>1501</v>
      </c>
      <c r="E1302" s="5" t="s">
        <v>79</v>
      </c>
      <c r="F1302" s="5" t="s">
        <v>17</v>
      </c>
      <c r="G1302">
        <v>15</v>
      </c>
    </row>
    <row r="1303" spans="1:7" x14ac:dyDescent="0.35">
      <c r="A1303">
        <v>35306</v>
      </c>
      <c r="B1303">
        <v>0</v>
      </c>
      <c r="C1303" s="5" t="s">
        <v>13</v>
      </c>
      <c r="D1303">
        <v>5610</v>
      </c>
      <c r="E1303" s="5" t="s">
        <v>78</v>
      </c>
      <c r="F1303" s="5" t="s">
        <v>17</v>
      </c>
      <c r="G1303">
        <v>25</v>
      </c>
    </row>
    <row r="1304" spans="1:7" x14ac:dyDescent="0.35">
      <c r="A1304">
        <v>14984</v>
      </c>
      <c r="B1304">
        <v>1</v>
      </c>
      <c r="C1304" s="5" t="s">
        <v>52</v>
      </c>
      <c r="D1304">
        <v>5401</v>
      </c>
      <c r="E1304" s="5" t="s">
        <v>86</v>
      </c>
      <c r="F1304" s="5" t="s">
        <v>14</v>
      </c>
      <c r="G1304">
        <v>15</v>
      </c>
    </row>
    <row r="1305" spans="1:7" x14ac:dyDescent="0.35">
      <c r="A1305">
        <v>53295</v>
      </c>
      <c r="B1305">
        <v>0</v>
      </c>
      <c r="C1305" s="5" t="s">
        <v>49</v>
      </c>
      <c r="D1305">
        <v>5401</v>
      </c>
      <c r="E1305" s="5" t="s">
        <v>91</v>
      </c>
      <c r="F1305" s="5" t="s">
        <v>17</v>
      </c>
      <c r="G1305">
        <v>15</v>
      </c>
    </row>
    <row r="1306" spans="1:7" x14ac:dyDescent="0.35">
      <c r="A1306">
        <v>115398</v>
      </c>
      <c r="B1306">
        <v>0</v>
      </c>
      <c r="C1306" s="5" t="s">
        <v>28</v>
      </c>
      <c r="D1306">
        <v>2901</v>
      </c>
      <c r="E1306" s="5" t="s">
        <v>81</v>
      </c>
      <c r="F1306" s="5" t="s">
        <v>17</v>
      </c>
      <c r="G1306">
        <v>5</v>
      </c>
    </row>
    <row r="1307" spans="1:7" x14ac:dyDescent="0.35">
      <c r="A1307">
        <v>24610</v>
      </c>
      <c r="B1307">
        <v>0</v>
      </c>
      <c r="C1307" s="5" t="s">
        <v>43</v>
      </c>
      <c r="D1307">
        <v>1701</v>
      </c>
      <c r="E1307" s="5" t="s">
        <v>89</v>
      </c>
      <c r="F1307" s="5" t="s">
        <v>14</v>
      </c>
      <c r="G1307">
        <v>4</v>
      </c>
    </row>
    <row r="1308" spans="1:7" x14ac:dyDescent="0.35">
      <c r="A1308">
        <v>116993</v>
      </c>
      <c r="B1308">
        <v>1</v>
      </c>
      <c r="C1308" s="5" t="s">
        <v>20</v>
      </c>
      <c r="D1308">
        <v>1</v>
      </c>
      <c r="E1308" s="5" t="s">
        <v>85</v>
      </c>
      <c r="F1308" s="5" t="s">
        <v>14</v>
      </c>
      <c r="G1308">
        <v>10</v>
      </c>
    </row>
    <row r="1309" spans="1:7" x14ac:dyDescent="0.35">
      <c r="A1309">
        <v>80800</v>
      </c>
      <c r="B1309">
        <v>2</v>
      </c>
      <c r="C1309" s="5" t="s">
        <v>32</v>
      </c>
      <c r="D1309">
        <v>3001</v>
      </c>
      <c r="E1309" s="5" t="s">
        <v>81</v>
      </c>
      <c r="F1309" s="5" t="s">
        <v>17</v>
      </c>
      <c r="G1309">
        <v>8</v>
      </c>
    </row>
    <row r="1310" spans="1:7" x14ac:dyDescent="0.35">
      <c r="A1310">
        <v>72757</v>
      </c>
      <c r="B1310">
        <v>2</v>
      </c>
      <c r="C1310" s="5" t="s">
        <v>26</v>
      </c>
      <c r="D1310">
        <v>1105</v>
      </c>
      <c r="E1310" s="5" t="s">
        <v>81</v>
      </c>
      <c r="F1310" s="5" t="s">
        <v>17</v>
      </c>
      <c r="G1310">
        <v>21</v>
      </c>
    </row>
    <row r="1311" spans="1:7" x14ac:dyDescent="0.35">
      <c r="A1311">
        <v>38642</v>
      </c>
      <c r="B1311">
        <v>0</v>
      </c>
      <c r="C1311" s="5" t="s">
        <v>13</v>
      </c>
      <c r="D1311">
        <v>7401</v>
      </c>
      <c r="E1311" s="5" t="s">
        <v>80</v>
      </c>
      <c r="F1311" s="5" t="s">
        <v>14</v>
      </c>
      <c r="G1311">
        <v>10</v>
      </c>
    </row>
    <row r="1312" spans="1:7" x14ac:dyDescent="0.35">
      <c r="A1312">
        <v>179293</v>
      </c>
      <c r="B1312">
        <v>2</v>
      </c>
      <c r="C1312" s="5" t="s">
        <v>37</v>
      </c>
      <c r="D1312">
        <v>0</v>
      </c>
      <c r="E1312" s="5" t="s">
        <v>80</v>
      </c>
      <c r="F1312" s="5" t="s">
        <v>14</v>
      </c>
      <c r="G1312">
        <v>10</v>
      </c>
    </row>
    <row r="1313" spans="1:7" x14ac:dyDescent="0.35">
      <c r="A1313">
        <v>79427</v>
      </c>
      <c r="B1313">
        <v>2</v>
      </c>
      <c r="C1313" s="5" t="s">
        <v>32</v>
      </c>
      <c r="D1313">
        <v>3508</v>
      </c>
      <c r="E1313" s="5" t="s">
        <v>79</v>
      </c>
      <c r="F1313" s="5" t="s">
        <v>17</v>
      </c>
      <c r="G1313">
        <v>10</v>
      </c>
    </row>
    <row r="1314" spans="1:7" x14ac:dyDescent="0.35">
      <c r="A1314">
        <v>99813</v>
      </c>
      <c r="B1314">
        <v>1</v>
      </c>
      <c r="C1314" s="5" t="s">
        <v>33</v>
      </c>
      <c r="D1314">
        <v>4701</v>
      </c>
      <c r="E1314" s="5" t="s">
        <v>89</v>
      </c>
      <c r="F1314" s="5" t="s">
        <v>14</v>
      </c>
      <c r="G1314">
        <v>20</v>
      </c>
    </row>
    <row r="1315" spans="1:7" x14ac:dyDescent="0.35">
      <c r="A1315">
        <v>368</v>
      </c>
      <c r="B1315">
        <v>1</v>
      </c>
      <c r="C1315" s="5" t="s">
        <v>21</v>
      </c>
      <c r="D1315">
        <v>2205</v>
      </c>
      <c r="E1315" s="5" t="s">
        <v>85</v>
      </c>
      <c r="F1315" s="5" t="s">
        <v>14</v>
      </c>
      <c r="G1315">
        <v>10</v>
      </c>
    </row>
    <row r="1316" spans="1:7" x14ac:dyDescent="0.35">
      <c r="A1316">
        <v>129200</v>
      </c>
      <c r="B1316">
        <v>2</v>
      </c>
      <c r="C1316" s="5" t="s">
        <v>45</v>
      </c>
      <c r="D1316">
        <v>4801</v>
      </c>
      <c r="E1316" s="5" t="s">
        <v>80</v>
      </c>
      <c r="F1316" s="5" t="s">
        <v>17</v>
      </c>
      <c r="G1316">
        <v>14</v>
      </c>
    </row>
    <row r="1317" spans="1:7" x14ac:dyDescent="0.35">
      <c r="A1317">
        <v>171215</v>
      </c>
      <c r="B1317">
        <v>1</v>
      </c>
      <c r="C1317" s="5" t="s">
        <v>21</v>
      </c>
      <c r="D1317">
        <v>4701</v>
      </c>
      <c r="E1317" s="5" t="s">
        <v>83</v>
      </c>
      <c r="F1317" s="5" t="s">
        <v>14</v>
      </c>
      <c r="G1317">
        <v>17</v>
      </c>
    </row>
    <row r="1318" spans="1:7" x14ac:dyDescent="0.35">
      <c r="A1318">
        <v>41222</v>
      </c>
      <c r="B1318">
        <v>1</v>
      </c>
      <c r="C1318" s="5" t="s">
        <v>13</v>
      </c>
      <c r="D1318">
        <v>6509</v>
      </c>
      <c r="E1318" s="5" t="s">
        <v>88</v>
      </c>
      <c r="F1318" s="5" t="s">
        <v>14</v>
      </c>
      <c r="G1318">
        <v>20</v>
      </c>
    </row>
    <row r="1319" spans="1:7" x14ac:dyDescent="0.35">
      <c r="A1319">
        <v>44410</v>
      </c>
      <c r="B1319">
        <v>1</v>
      </c>
      <c r="C1319" s="5" t="s">
        <v>13</v>
      </c>
      <c r="D1319">
        <v>2506</v>
      </c>
      <c r="E1319" s="5" t="s">
        <v>79</v>
      </c>
      <c r="F1319" s="5" t="s">
        <v>14</v>
      </c>
      <c r="G1319">
        <v>8</v>
      </c>
    </row>
    <row r="1320" spans="1:7" x14ac:dyDescent="0.35">
      <c r="A1320">
        <v>175057</v>
      </c>
      <c r="B1320">
        <v>1002</v>
      </c>
      <c r="C1320" s="5" t="s">
        <v>47</v>
      </c>
      <c r="D1320">
        <v>5109</v>
      </c>
      <c r="E1320" s="5" t="s">
        <v>79</v>
      </c>
      <c r="F1320" s="5" t="s">
        <v>14</v>
      </c>
      <c r="G1320">
        <v>19</v>
      </c>
    </row>
    <row r="1321" spans="1:7" x14ac:dyDescent="0.35">
      <c r="A1321">
        <v>83959</v>
      </c>
      <c r="B1321">
        <v>2</v>
      </c>
      <c r="C1321" s="5" t="s">
        <v>52</v>
      </c>
      <c r="D1321">
        <v>3805</v>
      </c>
      <c r="E1321" s="5" t="s">
        <v>83</v>
      </c>
      <c r="F1321" s="5" t="s">
        <v>17</v>
      </c>
      <c r="G1321">
        <v>16</v>
      </c>
    </row>
    <row r="1322" spans="1:7" x14ac:dyDescent="0.35">
      <c r="A1322">
        <v>35877</v>
      </c>
      <c r="B1322">
        <v>28</v>
      </c>
      <c r="C1322" s="5" t="s">
        <v>13</v>
      </c>
      <c r="D1322">
        <v>2401</v>
      </c>
      <c r="E1322" s="5" t="s">
        <v>88</v>
      </c>
      <c r="F1322" s="5" t="s">
        <v>17</v>
      </c>
      <c r="G1322">
        <v>5</v>
      </c>
    </row>
    <row r="1323" spans="1:7" x14ac:dyDescent="0.35">
      <c r="A1323">
        <v>96763</v>
      </c>
      <c r="B1323">
        <v>2</v>
      </c>
      <c r="C1323" s="5" t="s">
        <v>16</v>
      </c>
      <c r="D1323">
        <v>1805</v>
      </c>
      <c r="E1323" s="5" t="s">
        <v>78</v>
      </c>
      <c r="F1323" s="5" t="s">
        <v>17</v>
      </c>
      <c r="G1323">
        <v>20</v>
      </c>
    </row>
    <row r="1324" spans="1:7" x14ac:dyDescent="0.35">
      <c r="A1324">
        <v>144691</v>
      </c>
      <c r="B1324">
        <v>1</v>
      </c>
      <c r="C1324" s="5" t="s">
        <v>21</v>
      </c>
      <c r="D1324">
        <v>4701</v>
      </c>
      <c r="E1324" s="5" t="s">
        <v>84</v>
      </c>
      <c r="F1324" s="5" t="s">
        <v>14</v>
      </c>
      <c r="G1324">
        <v>20</v>
      </c>
    </row>
    <row r="1325" spans="1:7" x14ac:dyDescent="0.35">
      <c r="A1325">
        <v>180805</v>
      </c>
      <c r="B1325">
        <v>2</v>
      </c>
      <c r="C1325" s="5" t="s">
        <v>37</v>
      </c>
      <c r="D1325">
        <v>2401</v>
      </c>
      <c r="E1325" s="5" t="s">
        <v>81</v>
      </c>
      <c r="F1325" s="5" t="s">
        <v>17</v>
      </c>
      <c r="G1325">
        <v>20</v>
      </c>
    </row>
    <row r="1326" spans="1:7" x14ac:dyDescent="0.35">
      <c r="A1326">
        <v>180050</v>
      </c>
      <c r="B1326">
        <v>0</v>
      </c>
      <c r="C1326" s="5" t="s">
        <v>37</v>
      </c>
      <c r="D1326">
        <v>0</v>
      </c>
      <c r="E1326" s="5" t="s">
        <v>80</v>
      </c>
      <c r="F1326" s="5" t="s">
        <v>17</v>
      </c>
      <c r="G1326">
        <v>25</v>
      </c>
    </row>
    <row r="1327" spans="1:7" x14ac:dyDescent="0.35">
      <c r="A1327">
        <v>111592</v>
      </c>
      <c r="B1327">
        <v>1</v>
      </c>
      <c r="C1327" s="5" t="s">
        <v>29</v>
      </c>
      <c r="D1327">
        <v>2109</v>
      </c>
      <c r="E1327" s="5" t="s">
        <v>87</v>
      </c>
      <c r="F1327" s="5" t="s">
        <v>14</v>
      </c>
      <c r="G1327">
        <v>16</v>
      </c>
    </row>
    <row r="1328" spans="1:7" x14ac:dyDescent="0.35">
      <c r="A1328">
        <v>66087</v>
      </c>
      <c r="B1328">
        <v>0</v>
      </c>
      <c r="C1328" s="5" t="s">
        <v>26</v>
      </c>
      <c r="D1328">
        <v>4912</v>
      </c>
      <c r="E1328" s="5" t="s">
        <v>79</v>
      </c>
      <c r="F1328" s="5" t="s">
        <v>17</v>
      </c>
      <c r="G1328">
        <v>20</v>
      </c>
    </row>
    <row r="1329" spans="1:7" x14ac:dyDescent="0.35">
      <c r="A1329">
        <v>121554</v>
      </c>
      <c r="B1329">
        <v>28</v>
      </c>
      <c r="C1329" s="5" t="s">
        <v>20</v>
      </c>
      <c r="D1329">
        <v>6301</v>
      </c>
      <c r="E1329" s="5" t="s">
        <v>85</v>
      </c>
      <c r="F1329" s="5" t="s">
        <v>17</v>
      </c>
      <c r="G1329">
        <v>6</v>
      </c>
    </row>
    <row r="1330" spans="1:7" x14ac:dyDescent="0.35">
      <c r="A1330">
        <v>137429</v>
      </c>
      <c r="B1330">
        <v>1</v>
      </c>
      <c r="C1330" s="5" t="s">
        <v>51</v>
      </c>
      <c r="D1330">
        <v>1301</v>
      </c>
      <c r="E1330" s="5" t="s">
        <v>78</v>
      </c>
      <c r="F1330" s="5" t="s">
        <v>14</v>
      </c>
      <c r="G1330">
        <v>25</v>
      </c>
    </row>
    <row r="1331" spans="1:7" x14ac:dyDescent="0.35">
      <c r="A1331">
        <v>127171</v>
      </c>
      <c r="B1331">
        <v>0</v>
      </c>
      <c r="C1331" s="5" t="s">
        <v>20</v>
      </c>
      <c r="D1331">
        <v>1601</v>
      </c>
      <c r="E1331" s="5" t="s">
        <v>90</v>
      </c>
      <c r="F1331" s="5" t="s">
        <v>17</v>
      </c>
      <c r="G1331">
        <v>15</v>
      </c>
    </row>
    <row r="1332" spans="1:7" x14ac:dyDescent="0.35">
      <c r="A1332">
        <v>167517</v>
      </c>
      <c r="B1332">
        <v>0</v>
      </c>
      <c r="C1332" s="5" t="s">
        <v>21</v>
      </c>
      <c r="D1332">
        <v>0</v>
      </c>
      <c r="E1332" s="5" t="s">
        <v>90</v>
      </c>
      <c r="F1332" s="5" t="s">
        <v>17</v>
      </c>
      <c r="G1332">
        <v>25</v>
      </c>
    </row>
    <row r="1333" spans="1:7" x14ac:dyDescent="0.35">
      <c r="A1333">
        <v>14386</v>
      </c>
      <c r="B1333">
        <v>2</v>
      </c>
      <c r="C1333" s="5" t="s">
        <v>33</v>
      </c>
      <c r="D1333">
        <v>1101</v>
      </c>
      <c r="E1333" s="5" t="s">
        <v>83</v>
      </c>
      <c r="F1333" s="5" t="s">
        <v>17</v>
      </c>
      <c r="G1333">
        <v>10</v>
      </c>
    </row>
    <row r="1334" spans="1:7" x14ac:dyDescent="0.35">
      <c r="A1334">
        <v>184011</v>
      </c>
      <c r="B1334">
        <v>28</v>
      </c>
      <c r="C1334" s="5" t="s">
        <v>37</v>
      </c>
      <c r="D1334">
        <v>1502</v>
      </c>
      <c r="E1334" s="5" t="s">
        <v>82</v>
      </c>
      <c r="F1334" s="5" t="s">
        <v>17</v>
      </c>
      <c r="G1334">
        <v>25</v>
      </c>
    </row>
    <row r="1335" spans="1:7" x14ac:dyDescent="0.35">
      <c r="A1335">
        <v>121967</v>
      </c>
      <c r="B1335">
        <v>1</v>
      </c>
      <c r="C1335" s="5" t="s">
        <v>20</v>
      </c>
      <c r="D1335">
        <v>3801</v>
      </c>
      <c r="E1335" s="5" t="s">
        <v>80</v>
      </c>
      <c r="F1335" s="5" t="s">
        <v>14</v>
      </c>
      <c r="G1335">
        <v>15</v>
      </c>
    </row>
    <row r="1336" spans="1:7" x14ac:dyDescent="0.35">
      <c r="A1336">
        <v>20194</v>
      </c>
      <c r="B1336">
        <v>28</v>
      </c>
      <c r="C1336" s="5" t="s">
        <v>18</v>
      </c>
      <c r="D1336">
        <v>3601</v>
      </c>
      <c r="E1336" s="5" t="s">
        <v>94</v>
      </c>
      <c r="F1336" s="5" t="s">
        <v>17</v>
      </c>
      <c r="G1336">
        <v>10</v>
      </c>
    </row>
    <row r="1337" spans="1:7" x14ac:dyDescent="0.35">
      <c r="A1337">
        <v>84967</v>
      </c>
      <c r="B1337">
        <v>0</v>
      </c>
      <c r="C1337" s="5" t="s">
        <v>52</v>
      </c>
      <c r="D1337">
        <v>4805</v>
      </c>
      <c r="E1337" s="5" t="s">
        <v>79</v>
      </c>
      <c r="F1337" s="5" t="s">
        <v>14</v>
      </c>
      <c r="G1337">
        <v>15</v>
      </c>
    </row>
    <row r="1338" spans="1:7" x14ac:dyDescent="0.35">
      <c r="A1338">
        <v>93684</v>
      </c>
      <c r="B1338">
        <v>1</v>
      </c>
      <c r="C1338" s="5" t="s">
        <v>16</v>
      </c>
      <c r="D1338">
        <v>4202</v>
      </c>
      <c r="E1338" s="5" t="s">
        <v>93</v>
      </c>
      <c r="F1338" s="5" t="s">
        <v>14</v>
      </c>
      <c r="G1338">
        <v>11</v>
      </c>
    </row>
    <row r="1339" spans="1:7" x14ac:dyDescent="0.35">
      <c r="A1339">
        <v>92802</v>
      </c>
      <c r="B1339">
        <v>1</v>
      </c>
      <c r="C1339" s="5" t="s">
        <v>16</v>
      </c>
      <c r="D1339">
        <v>4210</v>
      </c>
      <c r="E1339" s="5" t="s">
        <v>85</v>
      </c>
      <c r="F1339" s="5" t="s">
        <v>14</v>
      </c>
      <c r="G1339">
        <v>10</v>
      </c>
    </row>
    <row r="1340" spans="1:7" x14ac:dyDescent="0.35">
      <c r="A1340">
        <v>24900</v>
      </c>
      <c r="B1340">
        <v>0</v>
      </c>
      <c r="C1340" s="5" t="s">
        <v>43</v>
      </c>
      <c r="D1340">
        <v>5201</v>
      </c>
      <c r="E1340" s="5" t="s">
        <v>79</v>
      </c>
      <c r="F1340" s="5" t="s">
        <v>17</v>
      </c>
      <c r="G1340">
        <v>25</v>
      </c>
    </row>
    <row r="1341" spans="1:7" x14ac:dyDescent="0.35">
      <c r="A1341">
        <v>121926</v>
      </c>
      <c r="B1341">
        <v>28</v>
      </c>
      <c r="C1341" s="5" t="s">
        <v>20</v>
      </c>
      <c r="D1341">
        <v>0</v>
      </c>
      <c r="E1341" s="5" t="s">
        <v>83</v>
      </c>
      <c r="F1341" s="5" t="s">
        <v>17</v>
      </c>
      <c r="G1341">
        <v>20</v>
      </c>
    </row>
    <row r="1342" spans="1:7" x14ac:dyDescent="0.35">
      <c r="A1342">
        <v>12003</v>
      </c>
      <c r="B1342">
        <v>28</v>
      </c>
      <c r="C1342" s="5" t="s">
        <v>21</v>
      </c>
      <c r="D1342">
        <v>2901</v>
      </c>
      <c r="E1342" s="5" t="s">
        <v>93</v>
      </c>
      <c r="F1342" s="5" t="s">
        <v>17</v>
      </c>
      <c r="G1342">
        <v>20</v>
      </c>
    </row>
    <row r="1343" spans="1:7" x14ac:dyDescent="0.35">
      <c r="A1343">
        <v>7852</v>
      </c>
      <c r="B1343">
        <v>2</v>
      </c>
      <c r="C1343" s="5" t="s">
        <v>55</v>
      </c>
      <c r="D1343">
        <v>0</v>
      </c>
      <c r="E1343" s="5" t="s">
        <v>79</v>
      </c>
      <c r="F1343" s="5" t="s">
        <v>17</v>
      </c>
      <c r="G1343">
        <v>10</v>
      </c>
    </row>
    <row r="1344" spans="1:7" x14ac:dyDescent="0.35">
      <c r="A1344">
        <v>111137</v>
      </c>
      <c r="B1344">
        <v>0</v>
      </c>
      <c r="C1344" s="5" t="s">
        <v>29</v>
      </c>
      <c r="D1344">
        <v>0</v>
      </c>
      <c r="E1344" s="5" t="s">
        <v>78</v>
      </c>
      <c r="F1344" s="5" t="s">
        <v>17</v>
      </c>
      <c r="G1344">
        <v>21</v>
      </c>
    </row>
    <row r="1345" spans="1:7" x14ac:dyDescent="0.35">
      <c r="A1345">
        <v>47688</v>
      </c>
      <c r="B1345">
        <v>0</v>
      </c>
      <c r="C1345" s="5" t="s">
        <v>40</v>
      </c>
      <c r="D1345">
        <v>0</v>
      </c>
      <c r="E1345" s="5" t="s">
        <v>81</v>
      </c>
      <c r="F1345" s="5" t="s">
        <v>17</v>
      </c>
      <c r="G1345">
        <v>10</v>
      </c>
    </row>
    <row r="1346" spans="1:7" x14ac:dyDescent="0.35">
      <c r="A1346">
        <v>25576</v>
      </c>
      <c r="B1346">
        <v>0</v>
      </c>
      <c r="C1346" s="5" t="s">
        <v>36</v>
      </c>
      <c r="D1346">
        <v>1401</v>
      </c>
      <c r="E1346" s="5" t="s">
        <v>83</v>
      </c>
      <c r="F1346" s="5" t="s">
        <v>14</v>
      </c>
      <c r="G1346">
        <v>21</v>
      </c>
    </row>
    <row r="1347" spans="1:7" x14ac:dyDescent="0.35">
      <c r="A1347">
        <v>127392</v>
      </c>
      <c r="B1347">
        <v>1</v>
      </c>
      <c r="C1347" s="5" t="s">
        <v>20</v>
      </c>
      <c r="D1347">
        <v>4108</v>
      </c>
      <c r="E1347" s="5" t="s">
        <v>82</v>
      </c>
      <c r="F1347" s="5" t="s">
        <v>14</v>
      </c>
      <c r="G1347">
        <v>23</v>
      </c>
    </row>
    <row r="1348" spans="1:7" x14ac:dyDescent="0.35">
      <c r="A1348">
        <v>77495</v>
      </c>
      <c r="B1348">
        <v>0</v>
      </c>
      <c r="C1348" s="5" t="s">
        <v>32</v>
      </c>
      <c r="D1348">
        <v>0</v>
      </c>
      <c r="E1348" s="5" t="s">
        <v>79</v>
      </c>
      <c r="F1348" s="5" t="s">
        <v>17</v>
      </c>
      <c r="G1348">
        <v>10</v>
      </c>
    </row>
    <row r="1349" spans="1:7" x14ac:dyDescent="0.35">
      <c r="A1349">
        <v>87210</v>
      </c>
      <c r="B1349">
        <v>0</v>
      </c>
      <c r="C1349" s="5" t="s">
        <v>31</v>
      </c>
      <c r="D1349">
        <v>0</v>
      </c>
      <c r="E1349" s="5" t="s">
        <v>81</v>
      </c>
      <c r="F1349" s="5" t="s">
        <v>17</v>
      </c>
      <c r="G1349">
        <v>20</v>
      </c>
    </row>
    <row r="1350" spans="1:7" x14ac:dyDescent="0.35">
      <c r="A1350">
        <v>93218</v>
      </c>
      <c r="B1350">
        <v>72</v>
      </c>
      <c r="C1350" s="5" t="s">
        <v>16</v>
      </c>
      <c r="D1350">
        <v>0</v>
      </c>
      <c r="E1350" s="5" t="s">
        <v>92</v>
      </c>
      <c r="F1350" s="5" t="s">
        <v>14</v>
      </c>
      <c r="G1350">
        <v>10</v>
      </c>
    </row>
    <row r="1351" spans="1:7" x14ac:dyDescent="0.35">
      <c r="A1351">
        <v>184974</v>
      </c>
      <c r="B1351">
        <v>0</v>
      </c>
      <c r="C1351" s="5" t="s">
        <v>60</v>
      </c>
      <c r="D1351">
        <v>2601</v>
      </c>
      <c r="E1351" s="5" t="s">
        <v>79</v>
      </c>
      <c r="F1351" s="5" t="s">
        <v>17</v>
      </c>
      <c r="G1351">
        <v>10</v>
      </c>
    </row>
    <row r="1352" spans="1:7" x14ac:dyDescent="0.35">
      <c r="A1352">
        <v>136768</v>
      </c>
      <c r="B1352">
        <v>0</v>
      </c>
      <c r="C1352" s="5" t="s">
        <v>21</v>
      </c>
      <c r="D1352">
        <v>5301</v>
      </c>
      <c r="E1352" s="5" t="s">
        <v>83</v>
      </c>
      <c r="F1352" s="5" t="s">
        <v>17</v>
      </c>
      <c r="G1352">
        <v>2</v>
      </c>
    </row>
    <row r="1353" spans="1:7" x14ac:dyDescent="0.35">
      <c r="A1353">
        <v>42724</v>
      </c>
      <c r="B1353">
        <v>1</v>
      </c>
      <c r="C1353" s="5" t="s">
        <v>13</v>
      </c>
      <c r="D1353">
        <v>3601</v>
      </c>
      <c r="E1353" s="5" t="s">
        <v>87</v>
      </c>
      <c r="F1353" s="5" t="s">
        <v>14</v>
      </c>
      <c r="G1353">
        <v>25</v>
      </c>
    </row>
    <row r="1354" spans="1:7" x14ac:dyDescent="0.35">
      <c r="A1354">
        <v>82313</v>
      </c>
      <c r="B1354">
        <v>0</v>
      </c>
      <c r="C1354" s="5" t="s">
        <v>52</v>
      </c>
      <c r="D1354">
        <v>2705</v>
      </c>
      <c r="E1354" s="5" t="s">
        <v>79</v>
      </c>
      <c r="F1354" s="5" t="s">
        <v>17</v>
      </c>
      <c r="G1354">
        <v>15</v>
      </c>
    </row>
    <row r="1355" spans="1:7" x14ac:dyDescent="0.35">
      <c r="A1355">
        <v>132820</v>
      </c>
      <c r="B1355">
        <v>0</v>
      </c>
      <c r="C1355" s="5" t="s">
        <v>58</v>
      </c>
      <c r="D1355">
        <v>5201</v>
      </c>
      <c r="E1355" s="5" t="s">
        <v>90</v>
      </c>
      <c r="F1355" s="5" t="s">
        <v>17</v>
      </c>
      <c r="G1355">
        <v>15</v>
      </c>
    </row>
    <row r="1356" spans="1:7" x14ac:dyDescent="0.35">
      <c r="A1356">
        <v>51683</v>
      </c>
      <c r="B1356">
        <v>1002</v>
      </c>
      <c r="C1356" s="5" t="s">
        <v>49</v>
      </c>
      <c r="D1356">
        <v>0</v>
      </c>
      <c r="E1356" s="5" t="s">
        <v>78</v>
      </c>
      <c r="F1356" s="5" t="s">
        <v>14</v>
      </c>
      <c r="G1356">
        <v>5</v>
      </c>
    </row>
    <row r="1357" spans="1:7" x14ac:dyDescent="0.35">
      <c r="A1357">
        <v>93538</v>
      </c>
      <c r="B1357">
        <v>0</v>
      </c>
      <c r="C1357" s="5" t="s">
        <v>16</v>
      </c>
      <c r="D1357">
        <v>2503</v>
      </c>
      <c r="E1357" s="5" t="s">
        <v>92</v>
      </c>
      <c r="F1357" s="5" t="s">
        <v>17</v>
      </c>
      <c r="G1357">
        <v>36</v>
      </c>
    </row>
    <row r="1358" spans="1:7" x14ac:dyDescent="0.35">
      <c r="A1358">
        <v>145407</v>
      </c>
      <c r="B1358">
        <v>0</v>
      </c>
      <c r="C1358" s="5" t="s">
        <v>21</v>
      </c>
      <c r="D1358">
        <v>0</v>
      </c>
      <c r="E1358" s="5" t="s">
        <v>80</v>
      </c>
      <c r="F1358" s="5" t="s">
        <v>17</v>
      </c>
      <c r="G1358">
        <v>10</v>
      </c>
    </row>
    <row r="1359" spans="1:7" x14ac:dyDescent="0.35">
      <c r="A1359">
        <v>55553</v>
      </c>
      <c r="B1359">
        <v>1</v>
      </c>
      <c r="C1359" s="5" t="s">
        <v>56</v>
      </c>
      <c r="D1359">
        <v>0</v>
      </c>
      <c r="E1359" s="5" t="s">
        <v>81</v>
      </c>
      <c r="F1359" s="5" t="s">
        <v>14</v>
      </c>
      <c r="G1359">
        <v>20</v>
      </c>
    </row>
    <row r="1360" spans="1:7" x14ac:dyDescent="0.35">
      <c r="A1360">
        <v>58447</v>
      </c>
      <c r="B1360">
        <v>0</v>
      </c>
      <c r="C1360" s="5" t="s">
        <v>53</v>
      </c>
      <c r="D1360">
        <v>3001</v>
      </c>
      <c r="E1360" s="5" t="s">
        <v>79</v>
      </c>
      <c r="F1360" s="5" t="s">
        <v>17</v>
      </c>
      <c r="G1360">
        <v>10</v>
      </c>
    </row>
    <row r="1361" spans="1:7" x14ac:dyDescent="0.35">
      <c r="A1361">
        <v>159424</v>
      </c>
      <c r="B1361">
        <v>1</v>
      </c>
      <c r="C1361" s="5" t="s">
        <v>21</v>
      </c>
      <c r="D1361">
        <v>2401</v>
      </c>
      <c r="E1361" s="5" t="s">
        <v>83</v>
      </c>
      <c r="F1361" s="5" t="s">
        <v>14</v>
      </c>
      <c r="G1361">
        <v>75</v>
      </c>
    </row>
    <row r="1362" spans="1:7" x14ac:dyDescent="0.35">
      <c r="A1362">
        <v>34649</v>
      </c>
      <c r="B1362">
        <v>0</v>
      </c>
      <c r="C1362" s="5" t="s">
        <v>13</v>
      </c>
      <c r="D1362">
        <v>2901</v>
      </c>
      <c r="E1362" s="5" t="s">
        <v>83</v>
      </c>
      <c r="F1362" s="5" t="s">
        <v>17</v>
      </c>
      <c r="G1362">
        <v>7</v>
      </c>
    </row>
    <row r="1363" spans="1:7" x14ac:dyDescent="0.35">
      <c r="A1363">
        <v>50154</v>
      </c>
      <c r="B1363">
        <v>1002</v>
      </c>
      <c r="C1363" s="5" t="s">
        <v>49</v>
      </c>
      <c r="D1363">
        <v>6801</v>
      </c>
      <c r="E1363" s="5" t="s">
        <v>84</v>
      </c>
      <c r="F1363" s="5" t="s">
        <v>14</v>
      </c>
      <c r="G1363">
        <v>15</v>
      </c>
    </row>
    <row r="1364" spans="1:7" x14ac:dyDescent="0.35">
      <c r="A1364">
        <v>77432</v>
      </c>
      <c r="B1364">
        <v>2</v>
      </c>
      <c r="C1364" s="5" t="s">
        <v>32</v>
      </c>
      <c r="D1364">
        <v>5401</v>
      </c>
      <c r="E1364" s="5" t="s">
        <v>79</v>
      </c>
      <c r="F1364" s="5" t="s">
        <v>14</v>
      </c>
      <c r="G1364">
        <v>15</v>
      </c>
    </row>
    <row r="1365" spans="1:7" x14ac:dyDescent="0.35">
      <c r="A1365">
        <v>152821</v>
      </c>
      <c r="B1365">
        <v>0</v>
      </c>
      <c r="C1365" s="5" t="s">
        <v>21</v>
      </c>
      <c r="D1365">
        <v>5401</v>
      </c>
      <c r="E1365" s="5" t="s">
        <v>80</v>
      </c>
      <c r="F1365" s="5" t="s">
        <v>17</v>
      </c>
      <c r="G1365">
        <v>11</v>
      </c>
    </row>
    <row r="1366" spans="1:7" x14ac:dyDescent="0.35">
      <c r="A1366">
        <v>57964</v>
      </c>
      <c r="B1366">
        <v>1</v>
      </c>
      <c r="C1366" s="5" t="s">
        <v>53</v>
      </c>
      <c r="D1366">
        <v>2601</v>
      </c>
      <c r="E1366" s="5" t="s">
        <v>87</v>
      </c>
      <c r="F1366" s="5" t="s">
        <v>14</v>
      </c>
      <c r="G1366">
        <v>12</v>
      </c>
    </row>
    <row r="1367" spans="1:7" x14ac:dyDescent="0.35">
      <c r="A1367">
        <v>188385</v>
      </c>
      <c r="B1367">
        <v>2</v>
      </c>
      <c r="C1367" s="5" t="s">
        <v>20</v>
      </c>
      <c r="D1367">
        <v>1601</v>
      </c>
      <c r="E1367" s="5" t="s">
        <v>94</v>
      </c>
      <c r="F1367" s="5" t="s">
        <v>17</v>
      </c>
      <c r="G1367">
        <v>5</v>
      </c>
    </row>
    <row r="1368" spans="1:7" x14ac:dyDescent="0.35">
      <c r="A1368">
        <v>65899</v>
      </c>
      <c r="B1368">
        <v>28</v>
      </c>
      <c r="C1368" s="5" t="s">
        <v>26</v>
      </c>
      <c r="D1368">
        <v>4301</v>
      </c>
      <c r="E1368" s="5" t="s">
        <v>80</v>
      </c>
      <c r="F1368" s="5" t="s">
        <v>17</v>
      </c>
      <c r="G1368">
        <v>10</v>
      </c>
    </row>
    <row r="1369" spans="1:7" x14ac:dyDescent="0.35">
      <c r="A1369">
        <v>171302</v>
      </c>
      <c r="B1369">
        <v>0</v>
      </c>
      <c r="C1369" s="5" t="s">
        <v>21</v>
      </c>
      <c r="D1369">
        <v>4701</v>
      </c>
      <c r="E1369" s="5" t="s">
        <v>83</v>
      </c>
      <c r="F1369" s="5" t="s">
        <v>17</v>
      </c>
      <c r="G1369">
        <v>15</v>
      </c>
    </row>
    <row r="1370" spans="1:7" x14ac:dyDescent="0.35">
      <c r="A1370">
        <v>38106</v>
      </c>
      <c r="B1370">
        <v>0</v>
      </c>
      <c r="C1370" s="5" t="s">
        <v>13</v>
      </c>
      <c r="D1370">
        <v>804</v>
      </c>
      <c r="E1370" s="5" t="s">
        <v>93</v>
      </c>
      <c r="F1370" s="5" t="s">
        <v>17</v>
      </c>
      <c r="G1370">
        <v>3</v>
      </c>
    </row>
    <row r="1371" spans="1:7" x14ac:dyDescent="0.35">
      <c r="A1371">
        <v>35906</v>
      </c>
      <c r="B1371">
        <v>0</v>
      </c>
      <c r="C1371" s="5" t="s">
        <v>13</v>
      </c>
      <c r="D1371">
        <v>5701</v>
      </c>
      <c r="E1371" s="5" t="s">
        <v>79</v>
      </c>
      <c r="F1371" s="5" t="s">
        <v>17</v>
      </c>
      <c r="G1371">
        <v>15</v>
      </c>
    </row>
    <row r="1372" spans="1:7" x14ac:dyDescent="0.35">
      <c r="A1372">
        <v>4513</v>
      </c>
      <c r="B1372">
        <v>1</v>
      </c>
      <c r="C1372" s="5" t="s">
        <v>26</v>
      </c>
      <c r="D1372">
        <v>2804</v>
      </c>
      <c r="E1372" s="5" t="s">
        <v>78</v>
      </c>
      <c r="F1372" s="5" t="s">
        <v>14</v>
      </c>
      <c r="G1372">
        <v>20</v>
      </c>
    </row>
    <row r="1373" spans="1:7" x14ac:dyDescent="0.35">
      <c r="A1373">
        <v>14272</v>
      </c>
      <c r="B1373">
        <v>0</v>
      </c>
      <c r="C1373" s="5" t="s">
        <v>29</v>
      </c>
      <c r="D1373">
        <v>4001</v>
      </c>
      <c r="E1373" s="5" t="s">
        <v>81</v>
      </c>
      <c r="F1373" s="5" t="s">
        <v>17</v>
      </c>
      <c r="G1373">
        <v>20</v>
      </c>
    </row>
    <row r="1374" spans="1:7" x14ac:dyDescent="0.35">
      <c r="A1374">
        <v>1779</v>
      </c>
      <c r="B1374">
        <v>0</v>
      </c>
      <c r="C1374" s="5" t="s">
        <v>29</v>
      </c>
      <c r="D1374">
        <v>0</v>
      </c>
      <c r="E1374" s="5" t="s">
        <v>94</v>
      </c>
      <c r="F1374" s="5" t="s">
        <v>14</v>
      </c>
      <c r="G1374">
        <v>125</v>
      </c>
    </row>
    <row r="1375" spans="1:7" x14ac:dyDescent="0.35">
      <c r="A1375">
        <v>180512</v>
      </c>
      <c r="B1375">
        <v>2</v>
      </c>
      <c r="C1375" s="5" t="s">
        <v>37</v>
      </c>
      <c r="D1375">
        <v>1312</v>
      </c>
      <c r="E1375" s="5" t="s">
        <v>79</v>
      </c>
      <c r="F1375" s="5" t="s">
        <v>14</v>
      </c>
      <c r="G1375">
        <v>10</v>
      </c>
    </row>
    <row r="1376" spans="1:7" x14ac:dyDescent="0.35">
      <c r="A1376">
        <v>41065</v>
      </c>
      <c r="B1376">
        <v>0</v>
      </c>
      <c r="C1376" s="5" t="s">
        <v>23</v>
      </c>
      <c r="D1376">
        <v>3401</v>
      </c>
      <c r="E1376" s="5" t="s">
        <v>87</v>
      </c>
      <c r="F1376" s="5" t="s">
        <v>17</v>
      </c>
      <c r="G1376">
        <v>15</v>
      </c>
    </row>
    <row r="1377" spans="1:7" x14ac:dyDescent="0.35">
      <c r="A1377">
        <v>111949</v>
      </c>
      <c r="B1377">
        <v>0</v>
      </c>
      <c r="C1377" s="5" t="s">
        <v>29</v>
      </c>
      <c r="D1377">
        <v>0</v>
      </c>
      <c r="E1377" s="5" t="s">
        <v>89</v>
      </c>
      <c r="F1377" s="5" t="s">
        <v>17</v>
      </c>
      <c r="G1377">
        <v>5</v>
      </c>
    </row>
    <row r="1378" spans="1:7" x14ac:dyDescent="0.35">
      <c r="A1378">
        <v>35043</v>
      </c>
      <c r="B1378">
        <v>1</v>
      </c>
      <c r="C1378" s="5" t="s">
        <v>13</v>
      </c>
      <c r="D1378">
        <v>4304</v>
      </c>
      <c r="E1378" s="5" t="s">
        <v>82</v>
      </c>
      <c r="F1378" s="5" t="s">
        <v>14</v>
      </c>
      <c r="G1378">
        <v>16</v>
      </c>
    </row>
    <row r="1379" spans="1:7" x14ac:dyDescent="0.35">
      <c r="A1379">
        <v>86311</v>
      </c>
      <c r="B1379">
        <v>0</v>
      </c>
      <c r="C1379" s="5" t="s">
        <v>48</v>
      </c>
      <c r="D1379">
        <v>0</v>
      </c>
      <c r="E1379" s="5" t="s">
        <v>81</v>
      </c>
      <c r="F1379" s="5" t="s">
        <v>27</v>
      </c>
      <c r="G1379">
        <v>6</v>
      </c>
    </row>
    <row r="1380" spans="1:7" x14ac:dyDescent="0.35">
      <c r="A1380">
        <v>182293</v>
      </c>
      <c r="B1380">
        <v>1</v>
      </c>
      <c r="C1380" s="5" t="s">
        <v>37</v>
      </c>
      <c r="D1380">
        <v>0</v>
      </c>
      <c r="E1380" s="5" t="s">
        <v>78</v>
      </c>
      <c r="F1380" s="5" t="s">
        <v>14</v>
      </c>
      <c r="G1380">
        <v>19</v>
      </c>
    </row>
    <row r="1381" spans="1:7" x14ac:dyDescent="0.35">
      <c r="A1381">
        <v>179023</v>
      </c>
      <c r="B1381">
        <v>1</v>
      </c>
      <c r="C1381" s="5" t="s">
        <v>37</v>
      </c>
      <c r="D1381">
        <v>0</v>
      </c>
      <c r="E1381" s="5" t="s">
        <v>80</v>
      </c>
      <c r="F1381" s="5" t="s">
        <v>14</v>
      </c>
      <c r="G1381">
        <v>35</v>
      </c>
    </row>
    <row r="1382" spans="1:7" x14ac:dyDescent="0.35">
      <c r="A1382">
        <v>65481</v>
      </c>
      <c r="B1382">
        <v>1</v>
      </c>
      <c r="C1382" s="5" t="s">
        <v>26</v>
      </c>
      <c r="D1382">
        <v>4401</v>
      </c>
      <c r="E1382" s="5" t="s">
        <v>93</v>
      </c>
      <c r="F1382" s="5" t="s">
        <v>14</v>
      </c>
      <c r="G1382">
        <v>20</v>
      </c>
    </row>
    <row r="1383" spans="1:7" x14ac:dyDescent="0.35">
      <c r="A1383">
        <v>21144</v>
      </c>
      <c r="B1383">
        <v>2</v>
      </c>
      <c r="C1383" s="5" t="s">
        <v>18</v>
      </c>
      <c r="D1383">
        <v>0</v>
      </c>
      <c r="E1383" s="5" t="s">
        <v>81</v>
      </c>
      <c r="F1383" s="5" t="s">
        <v>14</v>
      </c>
      <c r="G1383">
        <v>6</v>
      </c>
    </row>
    <row r="1384" spans="1:7" x14ac:dyDescent="0.35">
      <c r="A1384">
        <v>9390</v>
      </c>
      <c r="B1384">
        <v>3</v>
      </c>
      <c r="C1384" s="5" t="s">
        <v>26</v>
      </c>
      <c r="D1384">
        <v>4009</v>
      </c>
      <c r="E1384" s="5" t="s">
        <v>92</v>
      </c>
      <c r="F1384" s="5" t="s">
        <v>17</v>
      </c>
      <c r="G1384">
        <v>5</v>
      </c>
    </row>
    <row r="1385" spans="1:7" x14ac:dyDescent="0.35">
      <c r="A1385">
        <v>157973</v>
      </c>
      <c r="B1385">
        <v>1</v>
      </c>
      <c r="C1385" s="5" t="s">
        <v>21</v>
      </c>
      <c r="D1385">
        <v>2001</v>
      </c>
      <c r="E1385" s="5" t="s">
        <v>82</v>
      </c>
      <c r="F1385" s="5" t="s">
        <v>14</v>
      </c>
      <c r="G1385">
        <v>12</v>
      </c>
    </row>
    <row r="1386" spans="1:7" x14ac:dyDescent="0.35">
      <c r="A1386">
        <v>176890</v>
      </c>
      <c r="B1386">
        <v>0</v>
      </c>
      <c r="C1386" s="5" t="s">
        <v>47</v>
      </c>
      <c r="D1386">
        <v>3001</v>
      </c>
      <c r="E1386" s="5" t="s">
        <v>79</v>
      </c>
      <c r="F1386" s="5" t="s">
        <v>17</v>
      </c>
      <c r="G1386">
        <v>8</v>
      </c>
    </row>
    <row r="1387" spans="1:7" x14ac:dyDescent="0.35">
      <c r="A1387">
        <v>65181</v>
      </c>
      <c r="B1387">
        <v>2</v>
      </c>
      <c r="C1387" s="5" t="s">
        <v>26</v>
      </c>
      <c r="D1387">
        <v>3603</v>
      </c>
      <c r="E1387" s="5" t="s">
        <v>78</v>
      </c>
      <c r="F1387" s="5" t="s">
        <v>14</v>
      </c>
      <c r="G1387">
        <v>11</v>
      </c>
    </row>
    <row r="1388" spans="1:7" x14ac:dyDescent="0.35">
      <c r="A1388">
        <v>181083</v>
      </c>
      <c r="B1388">
        <v>1</v>
      </c>
      <c r="C1388" s="5" t="s">
        <v>37</v>
      </c>
      <c r="D1388">
        <v>5001</v>
      </c>
      <c r="E1388" s="5" t="s">
        <v>79</v>
      </c>
      <c r="F1388" s="5" t="s">
        <v>14</v>
      </c>
      <c r="G1388">
        <v>5</v>
      </c>
    </row>
    <row r="1389" spans="1:7" x14ac:dyDescent="0.35">
      <c r="A1389">
        <v>175951</v>
      </c>
      <c r="B1389">
        <v>2</v>
      </c>
      <c r="C1389" s="5" t="s">
        <v>47</v>
      </c>
      <c r="D1389">
        <v>4501</v>
      </c>
      <c r="E1389" s="5" t="s">
        <v>80</v>
      </c>
      <c r="F1389" s="5" t="s">
        <v>17</v>
      </c>
      <c r="G1389">
        <v>15</v>
      </c>
    </row>
    <row r="1390" spans="1:7" x14ac:dyDescent="0.35">
      <c r="A1390">
        <v>20966</v>
      </c>
      <c r="B1390">
        <v>28</v>
      </c>
      <c r="C1390" s="5" t="s">
        <v>18</v>
      </c>
      <c r="D1390">
        <v>4801</v>
      </c>
      <c r="E1390" s="5" t="s">
        <v>79</v>
      </c>
      <c r="F1390" s="5" t="s">
        <v>17</v>
      </c>
      <c r="G1390">
        <v>20</v>
      </c>
    </row>
    <row r="1391" spans="1:7" x14ac:dyDescent="0.35">
      <c r="A1391">
        <v>91779</v>
      </c>
      <c r="B1391">
        <v>0</v>
      </c>
      <c r="C1391" s="5" t="s">
        <v>16</v>
      </c>
      <c r="D1391">
        <v>6001</v>
      </c>
      <c r="E1391" s="5" t="s">
        <v>78</v>
      </c>
      <c r="F1391" s="5" t="s">
        <v>17</v>
      </c>
      <c r="G1391">
        <v>20</v>
      </c>
    </row>
    <row r="1392" spans="1:7" x14ac:dyDescent="0.35">
      <c r="A1392">
        <v>98099</v>
      </c>
      <c r="B1392">
        <v>0</v>
      </c>
      <c r="C1392" s="5" t="s">
        <v>16</v>
      </c>
      <c r="D1392">
        <v>6601</v>
      </c>
      <c r="E1392" s="5" t="s">
        <v>81</v>
      </c>
      <c r="F1392" s="5" t="s">
        <v>17</v>
      </c>
      <c r="G1392">
        <v>21</v>
      </c>
    </row>
    <row r="1393" spans="1:7" x14ac:dyDescent="0.35">
      <c r="A1393">
        <v>32485</v>
      </c>
      <c r="B1393">
        <v>0</v>
      </c>
      <c r="C1393" s="5" t="s">
        <v>13</v>
      </c>
      <c r="D1393">
        <v>3601</v>
      </c>
      <c r="E1393" s="5" t="s">
        <v>79</v>
      </c>
      <c r="F1393" s="5" t="s">
        <v>17</v>
      </c>
      <c r="G1393">
        <v>37</v>
      </c>
    </row>
    <row r="1394" spans="1:7" x14ac:dyDescent="0.35">
      <c r="A1394">
        <v>111284</v>
      </c>
      <c r="B1394">
        <v>2</v>
      </c>
      <c r="C1394" s="5" t="s">
        <v>29</v>
      </c>
      <c r="D1394">
        <v>3801</v>
      </c>
      <c r="E1394" s="5" t="s">
        <v>79</v>
      </c>
      <c r="F1394" s="5" t="s">
        <v>17</v>
      </c>
      <c r="G1394">
        <v>5</v>
      </c>
    </row>
    <row r="1395" spans="1:7" x14ac:dyDescent="0.35">
      <c r="A1395">
        <v>15651</v>
      </c>
      <c r="B1395">
        <v>0</v>
      </c>
      <c r="C1395" s="5" t="s">
        <v>18</v>
      </c>
      <c r="D1395">
        <v>5501</v>
      </c>
      <c r="E1395" s="5" t="s">
        <v>82</v>
      </c>
      <c r="F1395" s="5" t="s">
        <v>17</v>
      </c>
      <c r="G1395">
        <v>10</v>
      </c>
    </row>
    <row r="1396" spans="1:7" x14ac:dyDescent="0.35">
      <c r="A1396">
        <v>96220</v>
      </c>
      <c r="B1396">
        <v>0</v>
      </c>
      <c r="C1396" s="5" t="s">
        <v>16</v>
      </c>
      <c r="D1396">
        <v>3503</v>
      </c>
      <c r="E1396" s="5" t="s">
        <v>81</v>
      </c>
      <c r="F1396" s="5" t="s">
        <v>17</v>
      </c>
      <c r="G1396">
        <v>14</v>
      </c>
    </row>
    <row r="1397" spans="1:7" x14ac:dyDescent="0.35">
      <c r="A1397">
        <v>73221</v>
      </c>
      <c r="B1397">
        <v>2</v>
      </c>
      <c r="C1397" s="5" t="s">
        <v>26</v>
      </c>
      <c r="D1397">
        <v>0</v>
      </c>
      <c r="E1397" s="5" t="s">
        <v>78</v>
      </c>
      <c r="F1397" s="5" t="s">
        <v>14</v>
      </c>
      <c r="G1397">
        <v>10</v>
      </c>
    </row>
    <row r="1398" spans="1:7" x14ac:dyDescent="0.35">
      <c r="A1398">
        <v>170143</v>
      </c>
      <c r="B1398">
        <v>2</v>
      </c>
      <c r="C1398" s="5" t="s">
        <v>21</v>
      </c>
      <c r="D1398">
        <v>905</v>
      </c>
      <c r="E1398" s="5" t="s">
        <v>79</v>
      </c>
      <c r="F1398" s="5" t="s">
        <v>17</v>
      </c>
      <c r="G1398">
        <v>5</v>
      </c>
    </row>
    <row r="1399" spans="1:7" x14ac:dyDescent="0.35">
      <c r="A1399">
        <v>43884</v>
      </c>
      <c r="B1399">
        <v>1</v>
      </c>
      <c r="C1399" s="5" t="s">
        <v>13</v>
      </c>
      <c r="D1399">
        <v>3202</v>
      </c>
      <c r="E1399" s="5" t="s">
        <v>87</v>
      </c>
      <c r="F1399" s="5" t="s">
        <v>14</v>
      </c>
      <c r="G1399">
        <v>5</v>
      </c>
    </row>
    <row r="1400" spans="1:7" x14ac:dyDescent="0.35">
      <c r="A1400">
        <v>61338</v>
      </c>
      <c r="B1400">
        <v>1</v>
      </c>
      <c r="C1400" s="5" t="s">
        <v>30</v>
      </c>
      <c r="D1400">
        <v>5701</v>
      </c>
      <c r="E1400" s="5" t="s">
        <v>80</v>
      </c>
      <c r="F1400" s="5" t="s">
        <v>14</v>
      </c>
      <c r="G1400">
        <v>5</v>
      </c>
    </row>
    <row r="1401" spans="1:7" x14ac:dyDescent="0.35">
      <c r="A1401">
        <v>82636</v>
      </c>
      <c r="B1401">
        <v>0</v>
      </c>
      <c r="C1401" s="5" t="s">
        <v>52</v>
      </c>
      <c r="D1401">
        <v>4101</v>
      </c>
      <c r="E1401" s="5" t="s">
        <v>82</v>
      </c>
      <c r="F1401" s="5" t="s">
        <v>17</v>
      </c>
      <c r="G1401">
        <v>15</v>
      </c>
    </row>
    <row r="1402" spans="1:7" x14ac:dyDescent="0.35">
      <c r="A1402">
        <v>190730</v>
      </c>
      <c r="B1402">
        <v>2</v>
      </c>
      <c r="C1402" s="5" t="s">
        <v>23</v>
      </c>
      <c r="D1402">
        <v>1407</v>
      </c>
      <c r="E1402" s="5" t="s">
        <v>86</v>
      </c>
      <c r="F1402" s="5" t="s">
        <v>14</v>
      </c>
      <c r="G1402">
        <v>14</v>
      </c>
    </row>
    <row r="1403" spans="1:7" x14ac:dyDescent="0.35">
      <c r="A1403">
        <v>121071</v>
      </c>
      <c r="B1403">
        <v>28</v>
      </c>
      <c r="C1403" s="5" t="s">
        <v>20</v>
      </c>
      <c r="D1403">
        <v>4912</v>
      </c>
      <c r="E1403" s="5" t="s">
        <v>85</v>
      </c>
      <c r="F1403" s="5" t="s">
        <v>17</v>
      </c>
      <c r="G1403">
        <v>15</v>
      </c>
    </row>
    <row r="1404" spans="1:7" x14ac:dyDescent="0.35">
      <c r="A1404">
        <v>94386</v>
      </c>
      <c r="B1404">
        <v>1</v>
      </c>
      <c r="C1404" s="5" t="s">
        <v>16</v>
      </c>
      <c r="D1404">
        <v>3301</v>
      </c>
      <c r="E1404" s="5" t="s">
        <v>85</v>
      </c>
      <c r="F1404" s="5" t="s">
        <v>14</v>
      </c>
      <c r="G1404">
        <v>6</v>
      </c>
    </row>
    <row r="1405" spans="1:7" x14ac:dyDescent="0.35">
      <c r="A1405">
        <v>31094</v>
      </c>
      <c r="B1405">
        <v>0</v>
      </c>
      <c r="C1405" s="5" t="s">
        <v>36</v>
      </c>
      <c r="D1405">
        <v>2801</v>
      </c>
      <c r="E1405" s="5" t="s">
        <v>89</v>
      </c>
      <c r="F1405" s="5" t="s">
        <v>17</v>
      </c>
      <c r="G1405">
        <v>5</v>
      </c>
    </row>
    <row r="1406" spans="1:7" x14ac:dyDescent="0.35">
      <c r="A1406">
        <v>58463</v>
      </c>
      <c r="B1406">
        <v>2</v>
      </c>
      <c r="C1406" s="5" t="s">
        <v>53</v>
      </c>
      <c r="D1406">
        <v>1605</v>
      </c>
      <c r="E1406" s="5" t="s">
        <v>89</v>
      </c>
      <c r="F1406" s="5" t="s">
        <v>14</v>
      </c>
      <c r="G1406">
        <v>10</v>
      </c>
    </row>
    <row r="1407" spans="1:7" x14ac:dyDescent="0.35">
      <c r="A1407">
        <v>160716</v>
      </c>
      <c r="B1407">
        <v>28</v>
      </c>
      <c r="C1407" s="5" t="s">
        <v>25</v>
      </c>
      <c r="D1407">
        <v>0</v>
      </c>
      <c r="E1407" s="5" t="s">
        <v>78</v>
      </c>
      <c r="F1407" s="5" t="s">
        <v>17</v>
      </c>
      <c r="G1407">
        <v>7</v>
      </c>
    </row>
    <row r="1408" spans="1:7" x14ac:dyDescent="0.35">
      <c r="A1408">
        <v>156414</v>
      </c>
      <c r="B1408">
        <v>0</v>
      </c>
      <c r="C1408" s="5" t="s">
        <v>21</v>
      </c>
      <c r="D1408">
        <v>1601</v>
      </c>
      <c r="E1408" s="5" t="s">
        <v>85</v>
      </c>
      <c r="F1408" s="5" t="s">
        <v>17</v>
      </c>
      <c r="G1408">
        <v>20</v>
      </c>
    </row>
    <row r="1409" spans="1:7" x14ac:dyDescent="0.35">
      <c r="A1409">
        <v>137592</v>
      </c>
      <c r="B1409">
        <v>1</v>
      </c>
      <c r="C1409" s="5" t="s">
        <v>51</v>
      </c>
      <c r="D1409">
        <v>1201</v>
      </c>
      <c r="E1409" s="5" t="s">
        <v>87</v>
      </c>
      <c r="F1409" s="5" t="s">
        <v>14</v>
      </c>
      <c r="G1409">
        <v>25</v>
      </c>
    </row>
    <row r="1410" spans="1:7" x14ac:dyDescent="0.35">
      <c r="A1410">
        <v>130840</v>
      </c>
      <c r="B1410">
        <v>0</v>
      </c>
      <c r="C1410" s="5" t="s">
        <v>45</v>
      </c>
      <c r="D1410">
        <v>1805</v>
      </c>
      <c r="E1410" s="5" t="s">
        <v>84</v>
      </c>
      <c r="F1410" s="5" t="s">
        <v>14</v>
      </c>
      <c r="G1410">
        <v>20</v>
      </c>
    </row>
    <row r="1411" spans="1:7" x14ac:dyDescent="0.35">
      <c r="A1411">
        <v>133176</v>
      </c>
      <c r="B1411">
        <v>2</v>
      </c>
      <c r="C1411" s="5" t="s">
        <v>38</v>
      </c>
      <c r="D1411">
        <v>3601</v>
      </c>
      <c r="E1411" s="5" t="s">
        <v>90</v>
      </c>
      <c r="F1411" s="5" t="s">
        <v>86</v>
      </c>
      <c r="G1411">
        <v>50</v>
      </c>
    </row>
    <row r="1412" spans="1:7" x14ac:dyDescent="0.35">
      <c r="A1412">
        <v>164044</v>
      </c>
      <c r="B1412">
        <v>0</v>
      </c>
      <c r="C1412" s="5" t="s">
        <v>21</v>
      </c>
      <c r="D1412">
        <v>4201</v>
      </c>
      <c r="E1412" s="5" t="s">
        <v>84</v>
      </c>
      <c r="F1412" s="5" t="s">
        <v>14</v>
      </c>
      <c r="G1412">
        <v>15</v>
      </c>
    </row>
    <row r="1413" spans="1:7" x14ac:dyDescent="0.35">
      <c r="A1413">
        <v>190746</v>
      </c>
      <c r="B1413">
        <v>1</v>
      </c>
      <c r="C1413" s="5" t="s">
        <v>40</v>
      </c>
      <c r="D1413">
        <v>3701</v>
      </c>
      <c r="E1413" s="5" t="s">
        <v>84</v>
      </c>
      <c r="F1413" s="5" t="s">
        <v>14</v>
      </c>
      <c r="G1413">
        <v>11</v>
      </c>
    </row>
    <row r="1414" spans="1:7" x14ac:dyDescent="0.35">
      <c r="A1414">
        <v>52116</v>
      </c>
      <c r="B1414">
        <v>0</v>
      </c>
      <c r="C1414" s="5" t="s">
        <v>18</v>
      </c>
      <c r="D1414">
        <v>1703</v>
      </c>
      <c r="E1414" s="5" t="s">
        <v>79</v>
      </c>
      <c r="F1414" s="5" t="s">
        <v>17</v>
      </c>
      <c r="G1414">
        <v>10</v>
      </c>
    </row>
    <row r="1415" spans="1:7" x14ac:dyDescent="0.35">
      <c r="A1415">
        <v>42913</v>
      </c>
      <c r="B1415">
        <v>0</v>
      </c>
      <c r="C1415" s="5" t="s">
        <v>13</v>
      </c>
      <c r="D1415">
        <v>4601</v>
      </c>
      <c r="E1415" s="5" t="s">
        <v>78</v>
      </c>
      <c r="F1415" s="5" t="s">
        <v>14</v>
      </c>
      <c r="G1415">
        <v>5</v>
      </c>
    </row>
    <row r="1416" spans="1:7" x14ac:dyDescent="0.35">
      <c r="A1416">
        <v>124143</v>
      </c>
      <c r="B1416">
        <v>72</v>
      </c>
      <c r="C1416" s="5" t="s">
        <v>20</v>
      </c>
      <c r="D1416">
        <v>3803</v>
      </c>
      <c r="E1416" s="5" t="s">
        <v>82</v>
      </c>
      <c r="F1416" s="5" t="s">
        <v>14</v>
      </c>
      <c r="G1416">
        <v>6</v>
      </c>
    </row>
    <row r="1417" spans="1:7" x14ac:dyDescent="0.35">
      <c r="A1417">
        <v>47385</v>
      </c>
      <c r="B1417">
        <v>1</v>
      </c>
      <c r="C1417" s="5" t="s">
        <v>40</v>
      </c>
      <c r="D1417">
        <v>6001</v>
      </c>
      <c r="E1417" s="5" t="s">
        <v>83</v>
      </c>
      <c r="F1417" s="5" t="s">
        <v>14</v>
      </c>
      <c r="G1417">
        <v>15</v>
      </c>
    </row>
    <row r="1418" spans="1:7" x14ac:dyDescent="0.35">
      <c r="A1418">
        <v>92312</v>
      </c>
      <c r="B1418">
        <v>28</v>
      </c>
      <c r="C1418" s="5" t="s">
        <v>16</v>
      </c>
      <c r="D1418">
        <v>3202</v>
      </c>
      <c r="E1418" s="5" t="s">
        <v>83</v>
      </c>
      <c r="F1418" s="5" t="s">
        <v>17</v>
      </c>
      <c r="G1418">
        <v>24</v>
      </c>
    </row>
    <row r="1419" spans="1:7" x14ac:dyDescent="0.35">
      <c r="A1419">
        <v>114208</v>
      </c>
      <c r="B1419">
        <v>0</v>
      </c>
      <c r="C1419" s="5" t="s">
        <v>28</v>
      </c>
      <c r="D1419">
        <v>3401</v>
      </c>
      <c r="E1419" s="5" t="s">
        <v>94</v>
      </c>
      <c r="F1419" s="5" t="s">
        <v>14</v>
      </c>
      <c r="G1419">
        <v>50</v>
      </c>
    </row>
    <row r="1420" spans="1:7" x14ac:dyDescent="0.35">
      <c r="A1420">
        <v>127744</v>
      </c>
      <c r="B1420">
        <v>0</v>
      </c>
      <c r="C1420" s="5" t="s">
        <v>20</v>
      </c>
      <c r="D1420">
        <v>2104</v>
      </c>
      <c r="E1420" s="5" t="s">
        <v>84</v>
      </c>
      <c r="F1420" s="5" t="s">
        <v>14</v>
      </c>
      <c r="G1420">
        <v>15</v>
      </c>
    </row>
    <row r="1421" spans="1:7" x14ac:dyDescent="0.35">
      <c r="A1421">
        <v>86696</v>
      </c>
      <c r="B1421">
        <v>0</v>
      </c>
      <c r="C1421" s="5" t="s">
        <v>42</v>
      </c>
      <c r="D1421">
        <v>2307</v>
      </c>
      <c r="E1421" s="5" t="s">
        <v>84</v>
      </c>
      <c r="F1421" s="5" t="s">
        <v>17</v>
      </c>
      <c r="G1421">
        <v>25</v>
      </c>
    </row>
    <row r="1422" spans="1:7" x14ac:dyDescent="0.35">
      <c r="A1422">
        <v>177131</v>
      </c>
      <c r="B1422">
        <v>28</v>
      </c>
      <c r="C1422" s="5" t="s">
        <v>47</v>
      </c>
      <c r="D1422">
        <v>2101</v>
      </c>
      <c r="E1422" s="5" t="s">
        <v>78</v>
      </c>
      <c r="F1422" s="5" t="s">
        <v>17</v>
      </c>
      <c r="G1422">
        <v>10</v>
      </c>
    </row>
    <row r="1423" spans="1:7" x14ac:dyDescent="0.35">
      <c r="A1423">
        <v>42689</v>
      </c>
      <c r="B1423">
        <v>2</v>
      </c>
      <c r="C1423" s="5" t="s">
        <v>13</v>
      </c>
      <c r="D1423">
        <v>0</v>
      </c>
      <c r="E1423" s="5" t="s">
        <v>78</v>
      </c>
      <c r="F1423" s="5" t="s">
        <v>17</v>
      </c>
      <c r="G1423">
        <v>4</v>
      </c>
    </row>
    <row r="1424" spans="1:7" x14ac:dyDescent="0.35">
      <c r="A1424">
        <v>7879</v>
      </c>
      <c r="B1424">
        <v>2</v>
      </c>
      <c r="C1424" s="5" t="s">
        <v>21</v>
      </c>
      <c r="D1424">
        <v>3011</v>
      </c>
      <c r="E1424" s="5" t="s">
        <v>78</v>
      </c>
      <c r="F1424" s="5" t="s">
        <v>17</v>
      </c>
      <c r="G1424">
        <v>25</v>
      </c>
    </row>
    <row r="1425" spans="1:7" x14ac:dyDescent="0.35">
      <c r="A1425">
        <v>13089</v>
      </c>
      <c r="B1425">
        <v>0</v>
      </c>
      <c r="C1425" s="5" t="s">
        <v>26</v>
      </c>
      <c r="D1425">
        <v>6112</v>
      </c>
      <c r="E1425" s="5" t="s">
        <v>79</v>
      </c>
      <c r="F1425" s="5" t="s">
        <v>17</v>
      </c>
      <c r="G1425">
        <v>34</v>
      </c>
    </row>
    <row r="1426" spans="1:7" x14ac:dyDescent="0.35">
      <c r="A1426">
        <v>98085</v>
      </c>
      <c r="B1426">
        <v>1</v>
      </c>
      <c r="C1426" s="5" t="s">
        <v>16</v>
      </c>
      <c r="D1426">
        <v>0</v>
      </c>
      <c r="E1426" s="5" t="s">
        <v>81</v>
      </c>
      <c r="F1426" s="5" t="s">
        <v>14</v>
      </c>
      <c r="G1426">
        <v>10</v>
      </c>
    </row>
    <row r="1427" spans="1:7" x14ac:dyDescent="0.35">
      <c r="A1427">
        <v>5614</v>
      </c>
      <c r="B1427">
        <v>1</v>
      </c>
      <c r="C1427" s="5" t="s">
        <v>21</v>
      </c>
      <c r="D1427">
        <v>1908</v>
      </c>
      <c r="E1427" s="5" t="s">
        <v>78</v>
      </c>
      <c r="F1427" s="5" t="s">
        <v>14</v>
      </c>
      <c r="G1427">
        <v>19</v>
      </c>
    </row>
    <row r="1428" spans="1:7" x14ac:dyDescent="0.35">
      <c r="A1428">
        <v>122198</v>
      </c>
      <c r="B1428">
        <v>2</v>
      </c>
      <c r="C1428" s="5" t="s">
        <v>20</v>
      </c>
      <c r="D1428">
        <v>5601</v>
      </c>
      <c r="E1428" s="5" t="s">
        <v>82</v>
      </c>
      <c r="F1428" s="5" t="s">
        <v>17</v>
      </c>
      <c r="G1428">
        <v>6</v>
      </c>
    </row>
    <row r="1429" spans="1:7" x14ac:dyDescent="0.35">
      <c r="A1429">
        <v>131537</v>
      </c>
      <c r="B1429">
        <v>0</v>
      </c>
      <c r="C1429" s="5" t="s">
        <v>40</v>
      </c>
      <c r="D1429">
        <v>0</v>
      </c>
      <c r="E1429" s="5" t="s">
        <v>78</v>
      </c>
      <c r="F1429" s="5" t="s">
        <v>17</v>
      </c>
      <c r="G1429">
        <v>7</v>
      </c>
    </row>
    <row r="1430" spans="1:7" x14ac:dyDescent="0.35">
      <c r="A1430">
        <v>171609</v>
      </c>
      <c r="B1430">
        <v>0</v>
      </c>
      <c r="C1430" s="5" t="s">
        <v>21</v>
      </c>
      <c r="D1430">
        <v>4201</v>
      </c>
      <c r="E1430" s="5" t="s">
        <v>83</v>
      </c>
      <c r="F1430" s="5" t="s">
        <v>17</v>
      </c>
      <c r="G1430">
        <v>20</v>
      </c>
    </row>
    <row r="1431" spans="1:7" x14ac:dyDescent="0.35">
      <c r="A1431">
        <v>47914</v>
      </c>
      <c r="B1431">
        <v>30</v>
      </c>
      <c r="C1431" s="5" t="s">
        <v>40</v>
      </c>
      <c r="D1431">
        <v>1901</v>
      </c>
      <c r="E1431" s="5" t="s">
        <v>79</v>
      </c>
      <c r="F1431" s="5" t="s">
        <v>17</v>
      </c>
      <c r="G1431">
        <v>5</v>
      </c>
    </row>
    <row r="1432" spans="1:7" x14ac:dyDescent="0.35">
      <c r="A1432">
        <v>25226</v>
      </c>
      <c r="B1432">
        <v>1</v>
      </c>
      <c r="C1432" s="5" t="s">
        <v>43</v>
      </c>
      <c r="D1432">
        <v>2703</v>
      </c>
      <c r="E1432" s="5" t="s">
        <v>79</v>
      </c>
      <c r="F1432" s="5" t="s">
        <v>14</v>
      </c>
      <c r="G1432">
        <v>125</v>
      </c>
    </row>
    <row r="1433" spans="1:7" x14ac:dyDescent="0.35">
      <c r="A1433">
        <v>158567</v>
      </c>
      <c r="B1433">
        <v>0</v>
      </c>
      <c r="C1433" s="5" t="s">
        <v>21</v>
      </c>
      <c r="D1433">
        <v>1110</v>
      </c>
      <c r="E1433" s="5" t="s">
        <v>83</v>
      </c>
      <c r="F1433" s="5" t="s">
        <v>86</v>
      </c>
      <c r="G1433">
        <v>6</v>
      </c>
    </row>
    <row r="1434" spans="1:7" x14ac:dyDescent="0.35">
      <c r="A1434">
        <v>103535</v>
      </c>
      <c r="B1434">
        <v>2</v>
      </c>
      <c r="C1434" s="5" t="s">
        <v>33</v>
      </c>
      <c r="D1434">
        <v>3801</v>
      </c>
      <c r="E1434" s="5" t="s">
        <v>89</v>
      </c>
      <c r="F1434" s="5" t="s">
        <v>17</v>
      </c>
      <c r="G1434">
        <v>15</v>
      </c>
    </row>
    <row r="1435" spans="1:7" x14ac:dyDescent="0.35">
      <c r="A1435">
        <v>13394</v>
      </c>
      <c r="B1435">
        <v>0</v>
      </c>
      <c r="C1435" s="5" t="s">
        <v>16</v>
      </c>
      <c r="D1435">
        <v>3001</v>
      </c>
      <c r="E1435" s="5" t="s">
        <v>83</v>
      </c>
      <c r="F1435" s="5" t="s">
        <v>17</v>
      </c>
      <c r="G1435">
        <v>15</v>
      </c>
    </row>
    <row r="1436" spans="1:7" x14ac:dyDescent="0.35">
      <c r="A1436">
        <v>45870</v>
      </c>
      <c r="B1436">
        <v>1</v>
      </c>
      <c r="C1436" s="5" t="s">
        <v>13</v>
      </c>
      <c r="D1436">
        <v>3001</v>
      </c>
      <c r="E1436" s="5" t="s">
        <v>87</v>
      </c>
      <c r="F1436" s="5" t="s">
        <v>14</v>
      </c>
      <c r="G1436">
        <v>20</v>
      </c>
    </row>
    <row r="1437" spans="1:7" x14ac:dyDescent="0.35">
      <c r="A1437">
        <v>169703</v>
      </c>
      <c r="B1437">
        <v>0</v>
      </c>
      <c r="C1437" s="5" t="s">
        <v>21</v>
      </c>
      <c r="D1437">
        <v>1501</v>
      </c>
      <c r="E1437" s="5" t="s">
        <v>78</v>
      </c>
      <c r="F1437" s="5" t="s">
        <v>17</v>
      </c>
      <c r="G1437">
        <v>25</v>
      </c>
    </row>
    <row r="1438" spans="1:7" x14ac:dyDescent="0.35">
      <c r="A1438">
        <v>147484</v>
      </c>
      <c r="B1438">
        <v>0</v>
      </c>
      <c r="C1438" s="5" t="s">
        <v>21</v>
      </c>
      <c r="D1438">
        <v>1601</v>
      </c>
      <c r="E1438" s="5" t="s">
        <v>83</v>
      </c>
      <c r="F1438" s="5" t="s">
        <v>14</v>
      </c>
      <c r="G1438">
        <v>12</v>
      </c>
    </row>
    <row r="1439" spans="1:7" x14ac:dyDescent="0.35">
      <c r="A1439">
        <v>151907</v>
      </c>
      <c r="B1439">
        <v>0</v>
      </c>
      <c r="C1439" s="5" t="s">
        <v>21</v>
      </c>
      <c r="D1439">
        <v>5901</v>
      </c>
      <c r="E1439" s="5" t="s">
        <v>82</v>
      </c>
      <c r="F1439" s="5" t="s">
        <v>17</v>
      </c>
      <c r="G1439">
        <v>6</v>
      </c>
    </row>
    <row r="1440" spans="1:7" x14ac:dyDescent="0.35">
      <c r="A1440">
        <v>152283</v>
      </c>
      <c r="B1440">
        <v>0</v>
      </c>
      <c r="C1440" s="5" t="s">
        <v>21</v>
      </c>
      <c r="D1440">
        <v>3604</v>
      </c>
      <c r="E1440" s="5" t="s">
        <v>78</v>
      </c>
      <c r="F1440" s="5" t="s">
        <v>17</v>
      </c>
      <c r="G1440">
        <v>10</v>
      </c>
    </row>
    <row r="1441" spans="1:7" x14ac:dyDescent="0.35">
      <c r="A1441">
        <v>146742</v>
      </c>
      <c r="B1441">
        <v>1</v>
      </c>
      <c r="C1441" s="5" t="s">
        <v>21</v>
      </c>
      <c r="D1441">
        <v>3001</v>
      </c>
      <c r="E1441" s="5" t="s">
        <v>83</v>
      </c>
      <c r="F1441" s="5" t="s">
        <v>14</v>
      </c>
      <c r="G1441">
        <v>15</v>
      </c>
    </row>
    <row r="1442" spans="1:7" x14ac:dyDescent="0.35">
      <c r="A1442">
        <v>68240</v>
      </c>
      <c r="B1442">
        <v>0</v>
      </c>
      <c r="C1442" s="5" t="s">
        <v>26</v>
      </c>
      <c r="D1442">
        <v>3001</v>
      </c>
      <c r="E1442" s="5" t="s">
        <v>92</v>
      </c>
      <c r="F1442" s="5" t="s">
        <v>14</v>
      </c>
      <c r="G1442">
        <v>25</v>
      </c>
    </row>
    <row r="1443" spans="1:7" x14ac:dyDescent="0.35">
      <c r="A1443">
        <v>24975</v>
      </c>
      <c r="B1443">
        <v>0</v>
      </c>
      <c r="C1443" s="5" t="s">
        <v>43</v>
      </c>
      <c r="D1443">
        <v>4401</v>
      </c>
      <c r="E1443" s="5" t="s">
        <v>81</v>
      </c>
      <c r="F1443" s="5" t="s">
        <v>17</v>
      </c>
      <c r="G1443">
        <v>20</v>
      </c>
    </row>
    <row r="1444" spans="1:7" x14ac:dyDescent="0.35">
      <c r="A1444">
        <v>25027</v>
      </c>
      <c r="B1444">
        <v>0</v>
      </c>
      <c r="C1444" s="5" t="s">
        <v>43</v>
      </c>
      <c r="D1444">
        <v>5502</v>
      </c>
      <c r="E1444" s="5" t="s">
        <v>81</v>
      </c>
      <c r="F1444" s="5" t="s">
        <v>14</v>
      </c>
      <c r="G1444">
        <v>5</v>
      </c>
    </row>
    <row r="1445" spans="1:7" x14ac:dyDescent="0.35">
      <c r="A1445">
        <v>184269</v>
      </c>
      <c r="B1445">
        <v>0</v>
      </c>
      <c r="C1445" s="5" t="s">
        <v>37</v>
      </c>
      <c r="D1445">
        <v>1406</v>
      </c>
      <c r="E1445" s="5" t="s">
        <v>78</v>
      </c>
      <c r="F1445" s="5" t="s">
        <v>86</v>
      </c>
      <c r="G1445">
        <v>10</v>
      </c>
    </row>
    <row r="1446" spans="1:7" x14ac:dyDescent="0.35">
      <c r="A1446">
        <v>187915</v>
      </c>
      <c r="B1446">
        <v>0</v>
      </c>
      <c r="C1446" s="5" t="s">
        <v>54</v>
      </c>
      <c r="D1446">
        <v>0</v>
      </c>
      <c r="E1446" s="5" t="s">
        <v>79</v>
      </c>
      <c r="F1446" s="5" t="s">
        <v>17</v>
      </c>
      <c r="G1446">
        <v>20</v>
      </c>
    </row>
    <row r="1447" spans="1:7" x14ac:dyDescent="0.35">
      <c r="A1447">
        <v>16972</v>
      </c>
      <c r="B1447">
        <v>1</v>
      </c>
      <c r="C1447" s="5" t="s">
        <v>18</v>
      </c>
      <c r="D1447">
        <v>5801</v>
      </c>
      <c r="E1447" s="5" t="s">
        <v>81</v>
      </c>
      <c r="F1447" s="5" t="s">
        <v>14</v>
      </c>
      <c r="G1447">
        <v>12</v>
      </c>
    </row>
    <row r="1448" spans="1:7" x14ac:dyDescent="0.35">
      <c r="A1448">
        <v>126469</v>
      </c>
      <c r="B1448">
        <v>0</v>
      </c>
      <c r="C1448" s="5" t="s">
        <v>20</v>
      </c>
      <c r="D1448">
        <v>1808</v>
      </c>
      <c r="E1448" s="5" t="s">
        <v>82</v>
      </c>
      <c r="F1448" s="5" t="s">
        <v>14</v>
      </c>
      <c r="G1448">
        <v>15</v>
      </c>
    </row>
    <row r="1449" spans="1:7" x14ac:dyDescent="0.35">
      <c r="A1449">
        <v>42548</v>
      </c>
      <c r="B1449">
        <v>0</v>
      </c>
      <c r="C1449" s="5" t="s">
        <v>13</v>
      </c>
      <c r="D1449">
        <v>2401</v>
      </c>
      <c r="E1449" s="5" t="s">
        <v>94</v>
      </c>
      <c r="F1449" s="5" t="s">
        <v>17</v>
      </c>
      <c r="G1449">
        <v>11</v>
      </c>
    </row>
    <row r="1450" spans="1:7" x14ac:dyDescent="0.35">
      <c r="A1450">
        <v>72416</v>
      </c>
      <c r="B1450">
        <v>1002</v>
      </c>
      <c r="C1450" s="5" t="s">
        <v>26</v>
      </c>
      <c r="D1450">
        <v>1606</v>
      </c>
      <c r="E1450" s="5" t="s">
        <v>81</v>
      </c>
      <c r="F1450" s="5" t="s">
        <v>14</v>
      </c>
      <c r="G1450">
        <v>5</v>
      </c>
    </row>
    <row r="1451" spans="1:7" x14ac:dyDescent="0.35">
      <c r="A1451">
        <v>118163</v>
      </c>
      <c r="B1451">
        <v>2</v>
      </c>
      <c r="C1451" s="5" t="s">
        <v>20</v>
      </c>
      <c r="D1451">
        <v>0</v>
      </c>
      <c r="E1451" s="5" t="s">
        <v>81</v>
      </c>
      <c r="F1451" s="5" t="s">
        <v>14</v>
      </c>
      <c r="G1451">
        <v>5</v>
      </c>
    </row>
    <row r="1452" spans="1:7" x14ac:dyDescent="0.35">
      <c r="A1452">
        <v>174833</v>
      </c>
      <c r="B1452">
        <v>2</v>
      </c>
      <c r="C1452" s="5" t="s">
        <v>47</v>
      </c>
      <c r="D1452">
        <v>2002</v>
      </c>
      <c r="E1452" s="5" t="s">
        <v>80</v>
      </c>
      <c r="F1452" s="5" t="s">
        <v>17</v>
      </c>
      <c r="G1452">
        <v>20</v>
      </c>
    </row>
    <row r="1453" spans="1:7" x14ac:dyDescent="0.35">
      <c r="A1453">
        <v>19623</v>
      </c>
      <c r="B1453">
        <v>0</v>
      </c>
      <c r="C1453" s="5" t="s">
        <v>18</v>
      </c>
      <c r="D1453">
        <v>6201</v>
      </c>
      <c r="E1453" s="5" t="s">
        <v>84</v>
      </c>
      <c r="F1453" s="5" t="s">
        <v>17</v>
      </c>
      <c r="G1453">
        <v>14</v>
      </c>
    </row>
    <row r="1454" spans="1:7" x14ac:dyDescent="0.35">
      <c r="A1454">
        <v>159506</v>
      </c>
      <c r="B1454">
        <v>1</v>
      </c>
      <c r="C1454" s="5" t="s">
        <v>21</v>
      </c>
      <c r="D1454">
        <v>0</v>
      </c>
      <c r="E1454" s="5" t="s">
        <v>81</v>
      </c>
      <c r="F1454" s="5" t="s">
        <v>14</v>
      </c>
      <c r="G1454">
        <v>10</v>
      </c>
    </row>
    <row r="1455" spans="1:7" x14ac:dyDescent="0.35">
      <c r="A1455">
        <v>153743</v>
      </c>
      <c r="B1455">
        <v>0</v>
      </c>
      <c r="C1455" s="5" t="s">
        <v>21</v>
      </c>
      <c r="D1455">
        <v>5901</v>
      </c>
      <c r="E1455" s="5" t="s">
        <v>83</v>
      </c>
      <c r="F1455" s="5" t="s">
        <v>14</v>
      </c>
      <c r="G1455">
        <v>26</v>
      </c>
    </row>
    <row r="1456" spans="1:7" x14ac:dyDescent="0.35">
      <c r="A1456">
        <v>100447</v>
      </c>
      <c r="B1456">
        <v>0</v>
      </c>
      <c r="C1456" s="5" t="s">
        <v>33</v>
      </c>
      <c r="D1456">
        <v>5401</v>
      </c>
      <c r="E1456" s="5" t="s">
        <v>80</v>
      </c>
      <c r="F1456" s="5" t="s">
        <v>17</v>
      </c>
      <c r="G1456">
        <v>3</v>
      </c>
    </row>
    <row r="1457" spans="1:7" x14ac:dyDescent="0.35">
      <c r="A1457">
        <v>126403</v>
      </c>
      <c r="B1457">
        <v>2</v>
      </c>
      <c r="C1457" s="5" t="s">
        <v>20</v>
      </c>
      <c r="D1457">
        <v>2403</v>
      </c>
      <c r="E1457" s="5" t="s">
        <v>87</v>
      </c>
      <c r="F1457" s="5" t="s">
        <v>17</v>
      </c>
      <c r="G1457">
        <v>10</v>
      </c>
    </row>
    <row r="1458" spans="1:7" x14ac:dyDescent="0.35">
      <c r="A1458">
        <v>77695</v>
      </c>
      <c r="B1458">
        <v>1</v>
      </c>
      <c r="C1458" s="5" t="s">
        <v>32</v>
      </c>
      <c r="D1458">
        <v>5801</v>
      </c>
      <c r="E1458" s="5" t="s">
        <v>84</v>
      </c>
      <c r="F1458" s="5" t="s">
        <v>14</v>
      </c>
      <c r="G1458">
        <v>20</v>
      </c>
    </row>
    <row r="1459" spans="1:7" x14ac:dyDescent="0.35">
      <c r="A1459">
        <v>18266</v>
      </c>
      <c r="B1459">
        <v>0</v>
      </c>
      <c r="C1459" s="5" t="s">
        <v>18</v>
      </c>
      <c r="D1459">
        <v>2505</v>
      </c>
      <c r="E1459" s="5" t="s">
        <v>87</v>
      </c>
      <c r="F1459" s="5" t="s">
        <v>14</v>
      </c>
      <c r="G1459">
        <v>5</v>
      </c>
    </row>
    <row r="1460" spans="1:7" x14ac:dyDescent="0.35">
      <c r="A1460">
        <v>80893</v>
      </c>
      <c r="B1460">
        <v>1</v>
      </c>
      <c r="C1460" s="5" t="s">
        <v>32</v>
      </c>
      <c r="D1460">
        <v>1507</v>
      </c>
      <c r="E1460" s="5" t="s">
        <v>79</v>
      </c>
      <c r="F1460" s="5" t="s">
        <v>14</v>
      </c>
      <c r="G1460">
        <v>25</v>
      </c>
    </row>
    <row r="1461" spans="1:7" x14ac:dyDescent="0.35">
      <c r="A1461">
        <v>169553</v>
      </c>
      <c r="B1461">
        <v>28</v>
      </c>
      <c r="C1461" s="5" t="s">
        <v>21</v>
      </c>
      <c r="D1461">
        <v>5901</v>
      </c>
      <c r="E1461" s="5" t="s">
        <v>81</v>
      </c>
      <c r="F1461" s="5" t="s">
        <v>17</v>
      </c>
      <c r="G1461">
        <v>10</v>
      </c>
    </row>
    <row r="1462" spans="1:7" x14ac:dyDescent="0.35">
      <c r="A1462">
        <v>30450</v>
      </c>
      <c r="B1462">
        <v>2</v>
      </c>
      <c r="C1462" s="5" t="s">
        <v>36</v>
      </c>
      <c r="D1462">
        <v>2407</v>
      </c>
      <c r="E1462" s="5" t="s">
        <v>78</v>
      </c>
      <c r="F1462" s="5" t="s">
        <v>17</v>
      </c>
      <c r="G1462">
        <v>50</v>
      </c>
    </row>
    <row r="1463" spans="1:7" x14ac:dyDescent="0.35">
      <c r="A1463">
        <v>98220</v>
      </c>
      <c r="B1463">
        <v>0</v>
      </c>
      <c r="C1463" s="5" t="s">
        <v>16</v>
      </c>
      <c r="D1463">
        <v>3601</v>
      </c>
      <c r="E1463" s="5" t="s">
        <v>89</v>
      </c>
      <c r="F1463" s="5" t="s">
        <v>14</v>
      </c>
      <c r="G1463">
        <v>10</v>
      </c>
    </row>
    <row r="1464" spans="1:7" x14ac:dyDescent="0.35">
      <c r="A1464">
        <v>134833</v>
      </c>
      <c r="B1464">
        <v>1</v>
      </c>
      <c r="C1464" s="5" t="s">
        <v>35</v>
      </c>
      <c r="D1464">
        <v>3901</v>
      </c>
      <c r="E1464" s="5" t="s">
        <v>81</v>
      </c>
      <c r="F1464" s="5" t="s">
        <v>14</v>
      </c>
      <c r="G1464">
        <v>6</v>
      </c>
    </row>
    <row r="1465" spans="1:7" x14ac:dyDescent="0.35">
      <c r="A1465">
        <v>179014</v>
      </c>
      <c r="B1465">
        <v>2</v>
      </c>
      <c r="C1465" s="5" t="s">
        <v>37</v>
      </c>
      <c r="D1465">
        <v>1001</v>
      </c>
      <c r="E1465" s="5" t="s">
        <v>84</v>
      </c>
      <c r="F1465" s="5" t="s">
        <v>17</v>
      </c>
      <c r="G1465">
        <v>23</v>
      </c>
    </row>
    <row r="1466" spans="1:7" x14ac:dyDescent="0.35">
      <c r="A1466">
        <v>77023</v>
      </c>
      <c r="B1466">
        <v>1</v>
      </c>
      <c r="C1466" s="5" t="s">
        <v>44</v>
      </c>
      <c r="D1466">
        <v>4301</v>
      </c>
      <c r="E1466" s="5" t="s">
        <v>87</v>
      </c>
      <c r="F1466" s="5" t="s">
        <v>14</v>
      </c>
      <c r="G1466">
        <v>15</v>
      </c>
    </row>
    <row r="1467" spans="1:7" x14ac:dyDescent="0.35">
      <c r="A1467">
        <v>10028</v>
      </c>
      <c r="B1467">
        <v>1</v>
      </c>
      <c r="C1467" s="5" t="s">
        <v>21</v>
      </c>
      <c r="D1467">
        <v>0</v>
      </c>
      <c r="E1467" s="5" t="s">
        <v>78</v>
      </c>
      <c r="F1467" s="5" t="s">
        <v>14</v>
      </c>
      <c r="G1467">
        <v>20</v>
      </c>
    </row>
    <row r="1468" spans="1:7" x14ac:dyDescent="0.35">
      <c r="A1468">
        <v>20522</v>
      </c>
      <c r="B1468">
        <v>1</v>
      </c>
      <c r="C1468" s="5" t="s">
        <v>18</v>
      </c>
      <c r="D1468">
        <v>5001</v>
      </c>
      <c r="E1468" s="5" t="s">
        <v>84</v>
      </c>
      <c r="F1468" s="5" t="s">
        <v>14</v>
      </c>
      <c r="G1468">
        <v>15</v>
      </c>
    </row>
    <row r="1469" spans="1:7" x14ac:dyDescent="0.35">
      <c r="A1469">
        <v>82065</v>
      </c>
      <c r="B1469">
        <v>0</v>
      </c>
      <c r="C1469" s="5" t="s">
        <v>52</v>
      </c>
      <c r="D1469">
        <v>3601</v>
      </c>
      <c r="E1469" s="5" t="s">
        <v>79</v>
      </c>
      <c r="F1469" s="5" t="s">
        <v>14</v>
      </c>
      <c r="G1469">
        <v>10</v>
      </c>
    </row>
    <row r="1470" spans="1:7" x14ac:dyDescent="0.35">
      <c r="A1470">
        <v>20769</v>
      </c>
      <c r="B1470">
        <v>2</v>
      </c>
      <c r="C1470" s="5" t="s">
        <v>18</v>
      </c>
      <c r="D1470">
        <v>4601</v>
      </c>
      <c r="E1470" s="5" t="s">
        <v>79</v>
      </c>
      <c r="F1470" s="5" t="s">
        <v>14</v>
      </c>
      <c r="G1470">
        <v>5</v>
      </c>
    </row>
    <row r="1471" spans="1:7" x14ac:dyDescent="0.35">
      <c r="A1471">
        <v>160970</v>
      </c>
      <c r="B1471">
        <v>1</v>
      </c>
      <c r="C1471" s="5" t="s">
        <v>21</v>
      </c>
      <c r="D1471">
        <v>2111</v>
      </c>
      <c r="E1471" s="5" t="s">
        <v>84</v>
      </c>
      <c r="F1471" s="5" t="s">
        <v>14</v>
      </c>
      <c r="G1471">
        <v>5</v>
      </c>
    </row>
    <row r="1472" spans="1:7" x14ac:dyDescent="0.35">
      <c r="A1472">
        <v>174609</v>
      </c>
      <c r="B1472">
        <v>0</v>
      </c>
      <c r="C1472" s="5" t="s">
        <v>47</v>
      </c>
      <c r="D1472">
        <v>0</v>
      </c>
      <c r="E1472" s="5" t="s">
        <v>79</v>
      </c>
      <c r="F1472" s="5" t="s">
        <v>17</v>
      </c>
      <c r="G1472">
        <v>10</v>
      </c>
    </row>
    <row r="1473" spans="1:7" x14ac:dyDescent="0.35">
      <c r="A1473">
        <v>127166</v>
      </c>
      <c r="B1473">
        <v>1002</v>
      </c>
      <c r="C1473" s="5" t="s">
        <v>20</v>
      </c>
      <c r="D1473">
        <v>2512</v>
      </c>
      <c r="E1473" s="5" t="s">
        <v>83</v>
      </c>
      <c r="F1473" s="5" t="s">
        <v>41</v>
      </c>
      <c r="G1473">
        <v>30</v>
      </c>
    </row>
    <row r="1474" spans="1:7" x14ac:dyDescent="0.35">
      <c r="A1474">
        <v>155967</v>
      </c>
      <c r="B1474">
        <v>0</v>
      </c>
      <c r="C1474" s="5" t="s">
        <v>21</v>
      </c>
      <c r="D1474">
        <v>2001</v>
      </c>
      <c r="E1474" s="5" t="s">
        <v>78</v>
      </c>
      <c r="F1474" s="5" t="s">
        <v>17</v>
      </c>
      <c r="G1474">
        <v>5</v>
      </c>
    </row>
    <row r="1475" spans="1:7" x14ac:dyDescent="0.35">
      <c r="A1475">
        <v>14790</v>
      </c>
      <c r="B1475">
        <v>1</v>
      </c>
      <c r="C1475" s="5" t="s">
        <v>21</v>
      </c>
      <c r="D1475">
        <v>2104</v>
      </c>
      <c r="E1475" s="5" t="s">
        <v>85</v>
      </c>
      <c r="F1475" s="5" t="s">
        <v>14</v>
      </c>
      <c r="G1475">
        <v>15</v>
      </c>
    </row>
    <row r="1476" spans="1:7" x14ac:dyDescent="0.35">
      <c r="A1476">
        <v>20583</v>
      </c>
      <c r="B1476">
        <v>28</v>
      </c>
      <c r="C1476" s="5" t="s">
        <v>18</v>
      </c>
      <c r="D1476">
        <v>2801</v>
      </c>
      <c r="E1476" s="5" t="s">
        <v>82</v>
      </c>
      <c r="F1476" s="5" t="s">
        <v>17</v>
      </c>
      <c r="G1476">
        <v>14</v>
      </c>
    </row>
    <row r="1477" spans="1:7" x14ac:dyDescent="0.35">
      <c r="A1477">
        <v>185934</v>
      </c>
      <c r="B1477">
        <v>2</v>
      </c>
      <c r="C1477" s="5" t="s">
        <v>21</v>
      </c>
      <c r="D1477">
        <v>0</v>
      </c>
      <c r="E1477" s="5" t="s">
        <v>92</v>
      </c>
      <c r="F1477" s="5" t="s">
        <v>17</v>
      </c>
      <c r="G1477">
        <v>25</v>
      </c>
    </row>
    <row r="1478" spans="1:7" x14ac:dyDescent="0.35">
      <c r="A1478">
        <v>109449</v>
      </c>
      <c r="B1478">
        <v>2</v>
      </c>
      <c r="C1478" s="5" t="s">
        <v>46</v>
      </c>
      <c r="D1478">
        <v>2211</v>
      </c>
      <c r="E1478" s="5" t="s">
        <v>79</v>
      </c>
      <c r="F1478" s="5" t="s">
        <v>17</v>
      </c>
      <c r="G1478">
        <v>12</v>
      </c>
    </row>
    <row r="1479" spans="1:7" x14ac:dyDescent="0.35">
      <c r="A1479">
        <v>64115</v>
      </c>
      <c r="B1479">
        <v>1</v>
      </c>
      <c r="C1479" s="5" t="s">
        <v>30</v>
      </c>
      <c r="D1479">
        <v>2506</v>
      </c>
      <c r="E1479" s="5" t="s">
        <v>78</v>
      </c>
      <c r="F1479" s="5" t="s">
        <v>14</v>
      </c>
      <c r="G1479">
        <v>15</v>
      </c>
    </row>
    <row r="1480" spans="1:7" x14ac:dyDescent="0.35">
      <c r="A1480">
        <v>154202</v>
      </c>
      <c r="B1480">
        <v>0</v>
      </c>
      <c r="C1480" s="5" t="s">
        <v>21</v>
      </c>
      <c r="D1480">
        <v>0</v>
      </c>
      <c r="E1480" s="5" t="s">
        <v>79</v>
      </c>
      <c r="F1480" s="5" t="s">
        <v>17</v>
      </c>
      <c r="G1480">
        <v>50</v>
      </c>
    </row>
    <row r="1481" spans="1:7" x14ac:dyDescent="0.35">
      <c r="A1481">
        <v>153001</v>
      </c>
      <c r="B1481">
        <v>1</v>
      </c>
      <c r="C1481" s="5" t="s">
        <v>21</v>
      </c>
      <c r="D1481">
        <v>5203</v>
      </c>
      <c r="E1481" s="5" t="s">
        <v>80</v>
      </c>
      <c r="F1481" s="5" t="s">
        <v>14</v>
      </c>
      <c r="G1481">
        <v>5</v>
      </c>
    </row>
    <row r="1482" spans="1:7" x14ac:dyDescent="0.35">
      <c r="A1482">
        <v>154216</v>
      </c>
      <c r="B1482">
        <v>2</v>
      </c>
      <c r="C1482" s="5" t="s">
        <v>21</v>
      </c>
      <c r="D1482">
        <v>1301</v>
      </c>
      <c r="E1482" s="5" t="s">
        <v>79</v>
      </c>
      <c r="F1482" s="5" t="s">
        <v>17</v>
      </c>
      <c r="G1482">
        <v>13</v>
      </c>
    </row>
    <row r="1483" spans="1:7" x14ac:dyDescent="0.35">
      <c r="A1483">
        <v>174976</v>
      </c>
      <c r="B1483">
        <v>0</v>
      </c>
      <c r="C1483" s="5" t="s">
        <v>47</v>
      </c>
      <c r="D1483">
        <v>5901</v>
      </c>
      <c r="E1483" s="5" t="s">
        <v>81</v>
      </c>
      <c r="F1483" s="5" t="s">
        <v>17</v>
      </c>
      <c r="G1483">
        <v>15</v>
      </c>
    </row>
    <row r="1484" spans="1:7" x14ac:dyDescent="0.35">
      <c r="A1484">
        <v>140547</v>
      </c>
      <c r="B1484">
        <v>0</v>
      </c>
      <c r="C1484" s="5" t="s">
        <v>50</v>
      </c>
      <c r="D1484">
        <v>0</v>
      </c>
      <c r="E1484" s="5" t="s">
        <v>81</v>
      </c>
      <c r="F1484" s="5" t="s">
        <v>14</v>
      </c>
      <c r="G1484">
        <v>20</v>
      </c>
    </row>
    <row r="1485" spans="1:7" x14ac:dyDescent="0.35">
      <c r="A1485">
        <v>169371</v>
      </c>
      <c r="B1485">
        <v>0</v>
      </c>
      <c r="C1485" s="5" t="s">
        <v>21</v>
      </c>
      <c r="D1485">
        <v>1601</v>
      </c>
      <c r="E1485" s="5" t="s">
        <v>79</v>
      </c>
      <c r="F1485" s="5" t="s">
        <v>17</v>
      </c>
      <c r="G1485">
        <v>20</v>
      </c>
    </row>
    <row r="1486" spans="1:7" x14ac:dyDescent="0.35">
      <c r="A1486">
        <v>167100</v>
      </c>
      <c r="B1486">
        <v>0</v>
      </c>
      <c r="C1486" s="5" t="s">
        <v>21</v>
      </c>
      <c r="D1486">
        <v>1704</v>
      </c>
      <c r="E1486" s="5" t="s">
        <v>83</v>
      </c>
      <c r="F1486" s="5" t="s">
        <v>14</v>
      </c>
      <c r="G1486">
        <v>10</v>
      </c>
    </row>
    <row r="1487" spans="1:7" x14ac:dyDescent="0.35">
      <c r="A1487">
        <v>157295</v>
      </c>
      <c r="B1487">
        <v>2</v>
      </c>
      <c r="C1487" s="5" t="s">
        <v>21</v>
      </c>
      <c r="D1487">
        <v>1501</v>
      </c>
      <c r="E1487" s="5" t="s">
        <v>83</v>
      </c>
      <c r="F1487" s="5" t="s">
        <v>27</v>
      </c>
      <c r="G1487">
        <v>35</v>
      </c>
    </row>
    <row r="1488" spans="1:7" x14ac:dyDescent="0.35">
      <c r="A1488">
        <v>19020</v>
      </c>
      <c r="B1488">
        <v>2</v>
      </c>
      <c r="C1488" s="5" t="s">
        <v>18</v>
      </c>
      <c r="D1488">
        <v>2801</v>
      </c>
      <c r="E1488" s="5" t="s">
        <v>84</v>
      </c>
      <c r="F1488" s="5" t="s">
        <v>17</v>
      </c>
      <c r="G1488">
        <v>19</v>
      </c>
    </row>
    <row r="1489" spans="1:7" x14ac:dyDescent="0.35">
      <c r="A1489">
        <v>105325</v>
      </c>
      <c r="B1489">
        <v>28</v>
      </c>
      <c r="C1489" s="5" t="s">
        <v>25</v>
      </c>
      <c r="D1489">
        <v>0</v>
      </c>
      <c r="E1489" s="5" t="s">
        <v>79</v>
      </c>
      <c r="F1489" s="5" t="s">
        <v>17</v>
      </c>
      <c r="G1489">
        <v>6</v>
      </c>
    </row>
    <row r="1490" spans="1:7" x14ac:dyDescent="0.35">
      <c r="A1490">
        <v>30117</v>
      </c>
      <c r="B1490">
        <v>1</v>
      </c>
      <c r="C1490" s="5" t="s">
        <v>36</v>
      </c>
      <c r="D1490">
        <v>7101</v>
      </c>
      <c r="E1490" s="5" t="s">
        <v>79</v>
      </c>
      <c r="F1490" s="5" t="s">
        <v>14</v>
      </c>
      <c r="G1490">
        <v>16</v>
      </c>
    </row>
    <row r="1491" spans="1:7" x14ac:dyDescent="0.35">
      <c r="A1491">
        <v>121798</v>
      </c>
      <c r="B1491">
        <v>1</v>
      </c>
      <c r="C1491" s="5" t="s">
        <v>20</v>
      </c>
      <c r="D1491">
        <v>3601</v>
      </c>
      <c r="E1491" s="5" t="s">
        <v>85</v>
      </c>
      <c r="F1491" s="5" t="s">
        <v>14</v>
      </c>
      <c r="G1491">
        <v>15</v>
      </c>
    </row>
    <row r="1492" spans="1:7" x14ac:dyDescent="0.35">
      <c r="A1492">
        <v>86322</v>
      </c>
      <c r="B1492">
        <v>0</v>
      </c>
      <c r="C1492" s="5" t="s">
        <v>48</v>
      </c>
      <c r="D1492">
        <v>6701</v>
      </c>
      <c r="E1492" s="5" t="s">
        <v>79</v>
      </c>
      <c r="F1492" s="5" t="s">
        <v>17</v>
      </c>
      <c r="G1492">
        <v>5</v>
      </c>
    </row>
    <row r="1493" spans="1:7" x14ac:dyDescent="0.35">
      <c r="A1493">
        <v>56886</v>
      </c>
      <c r="B1493">
        <v>1</v>
      </c>
      <c r="C1493" s="5" t="s">
        <v>53</v>
      </c>
      <c r="D1493">
        <v>2601</v>
      </c>
      <c r="E1493" s="5" t="s">
        <v>83</v>
      </c>
      <c r="F1493" s="5" t="s">
        <v>14</v>
      </c>
      <c r="G1493">
        <v>12</v>
      </c>
    </row>
    <row r="1494" spans="1:7" x14ac:dyDescent="0.35">
      <c r="A1494">
        <v>177613</v>
      </c>
      <c r="B1494">
        <v>0</v>
      </c>
      <c r="C1494" s="5" t="s">
        <v>47</v>
      </c>
      <c r="D1494">
        <v>0</v>
      </c>
      <c r="E1494" s="5" t="s">
        <v>81</v>
      </c>
      <c r="F1494" s="5" t="s">
        <v>14</v>
      </c>
      <c r="G1494">
        <v>20</v>
      </c>
    </row>
    <row r="1495" spans="1:7" x14ac:dyDescent="0.35">
      <c r="A1495">
        <v>43492</v>
      </c>
      <c r="B1495">
        <v>0</v>
      </c>
      <c r="C1495" s="5" t="s">
        <v>13</v>
      </c>
      <c r="D1495">
        <v>0</v>
      </c>
      <c r="E1495" s="5" t="s">
        <v>80</v>
      </c>
      <c r="F1495" s="5" t="s">
        <v>17</v>
      </c>
      <c r="G1495">
        <v>12</v>
      </c>
    </row>
    <row r="1496" spans="1:7" x14ac:dyDescent="0.35">
      <c r="A1496">
        <v>931</v>
      </c>
      <c r="B1496">
        <v>1002</v>
      </c>
      <c r="C1496" s="5" t="s">
        <v>47</v>
      </c>
      <c r="D1496">
        <v>4711</v>
      </c>
      <c r="E1496" s="5" t="s">
        <v>81</v>
      </c>
      <c r="F1496" s="5" t="s">
        <v>14</v>
      </c>
      <c r="G1496">
        <v>12</v>
      </c>
    </row>
    <row r="1497" spans="1:7" x14ac:dyDescent="0.35">
      <c r="A1497">
        <v>19510</v>
      </c>
      <c r="B1497">
        <v>0</v>
      </c>
      <c r="C1497" s="5" t="s">
        <v>18</v>
      </c>
      <c r="D1497">
        <v>2001</v>
      </c>
      <c r="E1497" s="5" t="s">
        <v>82</v>
      </c>
      <c r="F1497" s="5" t="s">
        <v>14</v>
      </c>
      <c r="G1497">
        <v>125</v>
      </c>
    </row>
    <row r="1498" spans="1:7" x14ac:dyDescent="0.35">
      <c r="A1498">
        <v>38165</v>
      </c>
      <c r="B1498">
        <v>1002</v>
      </c>
      <c r="C1498" s="5" t="s">
        <v>21</v>
      </c>
      <c r="D1498">
        <v>4607</v>
      </c>
      <c r="E1498" s="5" t="s">
        <v>93</v>
      </c>
      <c r="F1498" s="5" t="s">
        <v>17</v>
      </c>
      <c r="G1498">
        <v>14</v>
      </c>
    </row>
    <row r="1499" spans="1:7" x14ac:dyDescent="0.35">
      <c r="A1499">
        <v>171879</v>
      </c>
      <c r="B1499">
        <v>0</v>
      </c>
      <c r="C1499" s="5" t="s">
        <v>21</v>
      </c>
      <c r="D1499">
        <v>0</v>
      </c>
      <c r="E1499" s="5" t="s">
        <v>91</v>
      </c>
      <c r="F1499" s="5" t="s">
        <v>17</v>
      </c>
      <c r="G1499">
        <v>20</v>
      </c>
    </row>
    <row r="1500" spans="1:7" x14ac:dyDescent="0.35">
      <c r="A1500">
        <v>135248</v>
      </c>
      <c r="B1500">
        <v>1</v>
      </c>
      <c r="C1500" s="5" t="s">
        <v>51</v>
      </c>
      <c r="D1500">
        <v>1612</v>
      </c>
      <c r="E1500" s="5" t="s">
        <v>93</v>
      </c>
      <c r="F1500" s="5" t="s">
        <v>14</v>
      </c>
      <c r="G1500">
        <v>20</v>
      </c>
    </row>
    <row r="1501" spans="1:7" x14ac:dyDescent="0.35">
      <c r="A1501">
        <v>187171</v>
      </c>
      <c r="B1501">
        <v>1</v>
      </c>
      <c r="C1501" s="5" t="s">
        <v>51</v>
      </c>
      <c r="D1501">
        <v>0</v>
      </c>
      <c r="E1501" s="5" t="s">
        <v>78</v>
      </c>
      <c r="F1501" s="5" t="s">
        <v>14</v>
      </c>
      <c r="G1501">
        <v>15</v>
      </c>
    </row>
    <row r="1502" spans="1:7" x14ac:dyDescent="0.35">
      <c r="A1502">
        <v>77915</v>
      </c>
      <c r="B1502">
        <v>0</v>
      </c>
      <c r="C1502" s="5" t="s">
        <v>32</v>
      </c>
      <c r="D1502">
        <v>2212</v>
      </c>
      <c r="E1502" s="5" t="s">
        <v>88</v>
      </c>
      <c r="F1502" s="5" t="s">
        <v>14</v>
      </c>
      <c r="G1502">
        <v>15</v>
      </c>
    </row>
    <row r="1503" spans="1:7" x14ac:dyDescent="0.35">
      <c r="A1503">
        <v>64419</v>
      </c>
      <c r="B1503">
        <v>1</v>
      </c>
      <c r="C1503" s="5" t="s">
        <v>30</v>
      </c>
      <c r="D1503">
        <v>0</v>
      </c>
      <c r="E1503" s="5" t="s">
        <v>81</v>
      </c>
      <c r="F1503" s="5" t="s">
        <v>14</v>
      </c>
      <c r="G1503">
        <v>14</v>
      </c>
    </row>
    <row r="1504" spans="1:7" x14ac:dyDescent="0.35">
      <c r="A1504">
        <v>51185</v>
      </c>
      <c r="B1504">
        <v>1</v>
      </c>
      <c r="C1504" s="5" t="s">
        <v>49</v>
      </c>
      <c r="D1504">
        <v>0</v>
      </c>
      <c r="E1504" s="5" t="s">
        <v>81</v>
      </c>
      <c r="F1504" s="5" t="s">
        <v>14</v>
      </c>
      <c r="G1504">
        <v>10</v>
      </c>
    </row>
    <row r="1505" spans="1:7" x14ac:dyDescent="0.35">
      <c r="A1505">
        <v>79116</v>
      </c>
      <c r="B1505">
        <v>0</v>
      </c>
      <c r="C1505" s="5" t="s">
        <v>32</v>
      </c>
      <c r="D1505">
        <v>3601</v>
      </c>
      <c r="E1505" s="5" t="s">
        <v>78</v>
      </c>
      <c r="F1505" s="5" t="s">
        <v>17</v>
      </c>
      <c r="G1505">
        <v>10</v>
      </c>
    </row>
    <row r="1506" spans="1:7" x14ac:dyDescent="0.35">
      <c r="A1506">
        <v>68951</v>
      </c>
      <c r="B1506">
        <v>1</v>
      </c>
      <c r="C1506" s="5" t="s">
        <v>26</v>
      </c>
      <c r="D1506">
        <v>7107</v>
      </c>
      <c r="E1506" s="5" t="s">
        <v>83</v>
      </c>
      <c r="F1506" s="5" t="s">
        <v>14</v>
      </c>
      <c r="G1506">
        <v>25</v>
      </c>
    </row>
    <row r="1507" spans="1:7" x14ac:dyDescent="0.35">
      <c r="A1507">
        <v>50570</v>
      </c>
      <c r="B1507">
        <v>1</v>
      </c>
      <c r="C1507" s="5" t="s">
        <v>49</v>
      </c>
      <c r="D1507">
        <v>0</v>
      </c>
      <c r="E1507" s="5" t="s">
        <v>89</v>
      </c>
      <c r="F1507" s="5" t="s">
        <v>14</v>
      </c>
      <c r="G1507">
        <v>10</v>
      </c>
    </row>
    <row r="1508" spans="1:7" x14ac:dyDescent="0.35">
      <c r="A1508">
        <v>90775</v>
      </c>
      <c r="B1508">
        <v>1</v>
      </c>
      <c r="C1508" s="5" t="s">
        <v>16</v>
      </c>
      <c r="D1508">
        <v>5103</v>
      </c>
      <c r="E1508" s="5" t="s">
        <v>80</v>
      </c>
      <c r="F1508" s="5" t="s">
        <v>14</v>
      </c>
      <c r="G1508">
        <v>17</v>
      </c>
    </row>
    <row r="1509" spans="1:7" x14ac:dyDescent="0.35">
      <c r="A1509">
        <v>186375</v>
      </c>
      <c r="B1509">
        <v>0</v>
      </c>
      <c r="C1509" s="5" t="s">
        <v>47</v>
      </c>
      <c r="D1509">
        <v>0</v>
      </c>
      <c r="E1509" s="5" t="s">
        <v>82</v>
      </c>
      <c r="F1509" s="5" t="s">
        <v>14</v>
      </c>
      <c r="G1509">
        <v>10</v>
      </c>
    </row>
    <row r="1510" spans="1:7" x14ac:dyDescent="0.35">
      <c r="A1510">
        <v>90765</v>
      </c>
      <c r="B1510">
        <v>3</v>
      </c>
      <c r="C1510" s="5" t="s">
        <v>16</v>
      </c>
      <c r="D1510">
        <v>0</v>
      </c>
      <c r="E1510" s="5" t="s">
        <v>93</v>
      </c>
      <c r="F1510" s="5" t="s">
        <v>17</v>
      </c>
      <c r="G1510">
        <v>20</v>
      </c>
    </row>
    <row r="1511" spans="1:7" x14ac:dyDescent="0.35">
      <c r="A1511">
        <v>76128</v>
      </c>
      <c r="B1511">
        <v>0</v>
      </c>
      <c r="C1511" s="5" t="s">
        <v>44</v>
      </c>
      <c r="D1511">
        <v>3201</v>
      </c>
      <c r="E1511" s="5" t="s">
        <v>81</v>
      </c>
      <c r="F1511" s="5" t="s">
        <v>14</v>
      </c>
      <c r="G1511">
        <v>5</v>
      </c>
    </row>
    <row r="1512" spans="1:7" x14ac:dyDescent="0.35">
      <c r="A1512">
        <v>28082</v>
      </c>
      <c r="B1512">
        <v>0</v>
      </c>
      <c r="C1512" s="5" t="s">
        <v>36</v>
      </c>
      <c r="D1512">
        <v>0</v>
      </c>
      <c r="E1512" s="5" t="s">
        <v>79</v>
      </c>
      <c r="F1512" s="5" t="s">
        <v>86</v>
      </c>
      <c r="G1512">
        <v>20</v>
      </c>
    </row>
    <row r="1513" spans="1:7" x14ac:dyDescent="0.35">
      <c r="A1513">
        <v>47869</v>
      </c>
      <c r="B1513">
        <v>2</v>
      </c>
      <c r="C1513" s="5" t="s">
        <v>40</v>
      </c>
      <c r="D1513">
        <v>2401</v>
      </c>
      <c r="E1513" s="5" t="s">
        <v>87</v>
      </c>
      <c r="F1513" s="5" t="s">
        <v>17</v>
      </c>
      <c r="G1513">
        <v>20</v>
      </c>
    </row>
    <row r="1514" spans="1:7" x14ac:dyDescent="0.35">
      <c r="A1514">
        <v>176740</v>
      </c>
      <c r="B1514">
        <v>1</v>
      </c>
      <c r="C1514" s="5" t="s">
        <v>47</v>
      </c>
      <c r="D1514">
        <v>0</v>
      </c>
      <c r="E1514" s="5" t="s">
        <v>82</v>
      </c>
      <c r="F1514" s="5" t="s">
        <v>14</v>
      </c>
      <c r="G1514">
        <v>30</v>
      </c>
    </row>
    <row r="1515" spans="1:7" x14ac:dyDescent="0.35">
      <c r="A1515">
        <v>48487</v>
      </c>
      <c r="B1515">
        <v>0</v>
      </c>
      <c r="C1515" s="5" t="s">
        <v>40</v>
      </c>
      <c r="D1515">
        <v>4601</v>
      </c>
      <c r="E1515" s="5" t="s">
        <v>89</v>
      </c>
      <c r="F1515" s="5" t="s">
        <v>17</v>
      </c>
      <c r="G1515">
        <v>25</v>
      </c>
    </row>
    <row r="1516" spans="1:7" x14ac:dyDescent="0.35">
      <c r="A1516">
        <v>2490</v>
      </c>
      <c r="B1516">
        <v>0</v>
      </c>
      <c r="C1516" s="5" t="s">
        <v>43</v>
      </c>
      <c r="D1516">
        <v>2901</v>
      </c>
      <c r="E1516" s="5" t="s">
        <v>79</v>
      </c>
      <c r="F1516" s="5" t="s">
        <v>14</v>
      </c>
      <c r="G1516">
        <v>3</v>
      </c>
    </row>
    <row r="1517" spans="1:7" x14ac:dyDescent="0.35">
      <c r="A1517">
        <v>41312</v>
      </c>
      <c r="B1517">
        <v>2</v>
      </c>
      <c r="C1517" s="5" t="s">
        <v>13</v>
      </c>
      <c r="D1517">
        <v>2912</v>
      </c>
      <c r="E1517" s="5" t="s">
        <v>91</v>
      </c>
      <c r="F1517" s="5" t="s">
        <v>17</v>
      </c>
      <c r="G1517">
        <v>23</v>
      </c>
    </row>
    <row r="1518" spans="1:7" x14ac:dyDescent="0.35">
      <c r="A1518">
        <v>17094</v>
      </c>
      <c r="B1518">
        <v>0</v>
      </c>
      <c r="C1518" s="5" t="s">
        <v>18</v>
      </c>
      <c r="D1518">
        <v>4001</v>
      </c>
      <c r="E1518" s="5" t="s">
        <v>84</v>
      </c>
      <c r="F1518" s="5" t="s">
        <v>17</v>
      </c>
      <c r="G1518">
        <v>15</v>
      </c>
    </row>
    <row r="1519" spans="1:7" x14ac:dyDescent="0.35">
      <c r="A1519">
        <v>56787</v>
      </c>
      <c r="B1519">
        <v>1</v>
      </c>
      <c r="C1519" s="5" t="s">
        <v>53</v>
      </c>
      <c r="D1519">
        <v>6508</v>
      </c>
      <c r="E1519" s="5" t="s">
        <v>80</v>
      </c>
      <c r="F1519" s="5" t="s">
        <v>14</v>
      </c>
      <c r="G1519">
        <v>13</v>
      </c>
    </row>
    <row r="1520" spans="1:7" x14ac:dyDescent="0.35">
      <c r="A1520">
        <v>164167</v>
      </c>
      <c r="B1520">
        <v>0</v>
      </c>
      <c r="C1520" s="5" t="s">
        <v>21</v>
      </c>
      <c r="D1520">
        <v>5301</v>
      </c>
      <c r="E1520" s="5" t="s">
        <v>83</v>
      </c>
      <c r="F1520" s="5" t="s">
        <v>17</v>
      </c>
      <c r="G1520">
        <v>13</v>
      </c>
    </row>
    <row r="1521" spans="1:7" x14ac:dyDescent="0.35">
      <c r="A1521">
        <v>41785</v>
      </c>
      <c r="B1521">
        <v>0</v>
      </c>
      <c r="C1521" s="5" t="s">
        <v>13</v>
      </c>
      <c r="D1521">
        <v>2811</v>
      </c>
      <c r="E1521" s="5" t="s">
        <v>82</v>
      </c>
      <c r="F1521" s="5" t="s">
        <v>17</v>
      </c>
      <c r="G1521">
        <v>17</v>
      </c>
    </row>
    <row r="1522" spans="1:7" x14ac:dyDescent="0.35">
      <c r="A1522">
        <v>126959</v>
      </c>
      <c r="B1522">
        <v>1</v>
      </c>
      <c r="C1522" s="5" t="s">
        <v>20</v>
      </c>
      <c r="D1522">
        <v>5601</v>
      </c>
      <c r="E1522" s="5" t="s">
        <v>90</v>
      </c>
      <c r="F1522" s="5" t="s">
        <v>14</v>
      </c>
      <c r="G1522">
        <v>15</v>
      </c>
    </row>
    <row r="1523" spans="1:7" x14ac:dyDescent="0.35">
      <c r="A1523">
        <v>29526</v>
      </c>
      <c r="B1523">
        <v>28</v>
      </c>
      <c r="C1523" s="5" t="s">
        <v>36</v>
      </c>
      <c r="D1523">
        <v>4001</v>
      </c>
      <c r="E1523" s="5" t="s">
        <v>89</v>
      </c>
      <c r="F1523" s="5" t="s">
        <v>17</v>
      </c>
      <c r="G1523">
        <v>10</v>
      </c>
    </row>
    <row r="1524" spans="1:7" x14ac:dyDescent="0.35">
      <c r="A1524">
        <v>142901</v>
      </c>
      <c r="B1524">
        <v>2</v>
      </c>
      <c r="C1524" s="5" t="s">
        <v>21</v>
      </c>
      <c r="D1524">
        <v>2101</v>
      </c>
      <c r="E1524" s="5" t="s">
        <v>85</v>
      </c>
      <c r="F1524" s="5" t="s">
        <v>17</v>
      </c>
      <c r="G1524">
        <v>10</v>
      </c>
    </row>
    <row r="1525" spans="1:7" x14ac:dyDescent="0.35">
      <c r="A1525">
        <v>105827</v>
      </c>
      <c r="B1525">
        <v>0</v>
      </c>
      <c r="C1525" s="5" t="s">
        <v>25</v>
      </c>
      <c r="D1525">
        <v>5001</v>
      </c>
      <c r="E1525" s="5" t="s">
        <v>87</v>
      </c>
      <c r="F1525" s="5" t="s">
        <v>17</v>
      </c>
      <c r="G1525">
        <v>20</v>
      </c>
    </row>
    <row r="1526" spans="1:7" x14ac:dyDescent="0.35">
      <c r="A1526">
        <v>159439</v>
      </c>
      <c r="B1526">
        <v>1</v>
      </c>
      <c r="C1526" s="5" t="s">
        <v>21</v>
      </c>
      <c r="D1526">
        <v>0</v>
      </c>
      <c r="E1526" s="5" t="s">
        <v>89</v>
      </c>
      <c r="F1526" s="5" t="s">
        <v>14</v>
      </c>
      <c r="G1526">
        <v>5</v>
      </c>
    </row>
    <row r="1527" spans="1:7" x14ac:dyDescent="0.35">
      <c r="A1527">
        <v>11459</v>
      </c>
      <c r="B1527">
        <v>1</v>
      </c>
      <c r="C1527" s="5" t="s">
        <v>21</v>
      </c>
      <c r="D1527">
        <v>0</v>
      </c>
      <c r="E1527" s="5" t="s">
        <v>79</v>
      </c>
      <c r="F1527" s="5" t="s">
        <v>14</v>
      </c>
      <c r="G1527">
        <v>7</v>
      </c>
    </row>
    <row r="1528" spans="1:7" x14ac:dyDescent="0.35">
      <c r="A1528">
        <v>129268</v>
      </c>
      <c r="B1528">
        <v>2</v>
      </c>
      <c r="C1528" s="5" t="s">
        <v>45</v>
      </c>
      <c r="D1528">
        <v>3109</v>
      </c>
      <c r="E1528" s="5" t="s">
        <v>83</v>
      </c>
      <c r="F1528" s="5" t="s">
        <v>17</v>
      </c>
      <c r="G1528">
        <v>10</v>
      </c>
    </row>
    <row r="1529" spans="1:7" x14ac:dyDescent="0.35">
      <c r="A1529">
        <v>122256</v>
      </c>
      <c r="B1529">
        <v>0</v>
      </c>
      <c r="C1529" s="5" t="s">
        <v>20</v>
      </c>
      <c r="D1529">
        <v>5401</v>
      </c>
      <c r="E1529" s="5" t="s">
        <v>85</v>
      </c>
      <c r="F1529" s="5" t="s">
        <v>17</v>
      </c>
      <c r="G1529">
        <v>20</v>
      </c>
    </row>
    <row r="1530" spans="1:7" x14ac:dyDescent="0.35">
      <c r="A1530">
        <v>92355</v>
      </c>
      <c r="B1530">
        <v>1</v>
      </c>
      <c r="C1530" s="5" t="s">
        <v>16</v>
      </c>
      <c r="D1530">
        <v>2601</v>
      </c>
      <c r="E1530" s="5" t="s">
        <v>82</v>
      </c>
      <c r="F1530" s="5" t="s">
        <v>14</v>
      </c>
      <c r="G1530">
        <v>25</v>
      </c>
    </row>
    <row r="1531" spans="1:7" x14ac:dyDescent="0.35">
      <c r="A1531">
        <v>59811</v>
      </c>
      <c r="B1531">
        <v>0</v>
      </c>
      <c r="C1531" s="5" t="s">
        <v>30</v>
      </c>
      <c r="D1531">
        <v>0</v>
      </c>
      <c r="E1531" s="5" t="s">
        <v>94</v>
      </c>
      <c r="F1531" s="5" t="s">
        <v>17</v>
      </c>
      <c r="G1531">
        <v>5</v>
      </c>
    </row>
    <row r="1532" spans="1:7" x14ac:dyDescent="0.35">
      <c r="A1532">
        <v>173497</v>
      </c>
      <c r="B1532">
        <v>2</v>
      </c>
      <c r="C1532" s="5" t="s">
        <v>34</v>
      </c>
      <c r="D1532">
        <v>2801</v>
      </c>
      <c r="E1532" s="5" t="s">
        <v>83</v>
      </c>
      <c r="F1532" s="5" t="s">
        <v>17</v>
      </c>
      <c r="G1532">
        <v>5</v>
      </c>
    </row>
    <row r="1533" spans="1:7" x14ac:dyDescent="0.35">
      <c r="A1533">
        <v>177017</v>
      </c>
      <c r="B1533">
        <v>1</v>
      </c>
      <c r="C1533" s="5" t="s">
        <v>47</v>
      </c>
      <c r="D1533">
        <v>0</v>
      </c>
      <c r="E1533" s="5" t="s">
        <v>81</v>
      </c>
      <c r="F1533" s="5" t="s">
        <v>14</v>
      </c>
      <c r="G1533">
        <v>15</v>
      </c>
    </row>
    <row r="1534" spans="1:7" x14ac:dyDescent="0.35">
      <c r="A1534">
        <v>15350</v>
      </c>
      <c r="B1534">
        <v>28</v>
      </c>
      <c r="C1534" s="5" t="s">
        <v>18</v>
      </c>
      <c r="D1534">
        <v>2701</v>
      </c>
      <c r="E1534" s="5" t="s">
        <v>82</v>
      </c>
      <c r="F1534" s="5" t="s">
        <v>17</v>
      </c>
      <c r="G1534">
        <v>15</v>
      </c>
    </row>
    <row r="1535" spans="1:7" x14ac:dyDescent="0.35">
      <c r="A1535">
        <v>4629</v>
      </c>
      <c r="B1535">
        <v>1</v>
      </c>
      <c r="C1535" s="5" t="s">
        <v>45</v>
      </c>
      <c r="D1535">
        <v>2302</v>
      </c>
      <c r="E1535" s="5" t="s">
        <v>82</v>
      </c>
      <c r="F1535" s="5" t="s">
        <v>14</v>
      </c>
      <c r="G1535">
        <v>15</v>
      </c>
    </row>
    <row r="1536" spans="1:7" x14ac:dyDescent="0.35">
      <c r="A1536">
        <v>162598</v>
      </c>
      <c r="B1536">
        <v>2</v>
      </c>
      <c r="C1536" s="5" t="s">
        <v>21</v>
      </c>
      <c r="D1536">
        <v>2001</v>
      </c>
      <c r="E1536" s="5" t="s">
        <v>83</v>
      </c>
      <c r="F1536" s="5" t="s">
        <v>17</v>
      </c>
      <c r="G1536">
        <v>20</v>
      </c>
    </row>
    <row r="1537" spans="1:7" x14ac:dyDescent="0.35">
      <c r="A1537">
        <v>178949</v>
      </c>
      <c r="B1537">
        <v>1</v>
      </c>
      <c r="C1537" s="5" t="s">
        <v>37</v>
      </c>
      <c r="D1537">
        <v>3901</v>
      </c>
      <c r="E1537" s="5" t="s">
        <v>83</v>
      </c>
      <c r="F1537" s="5" t="s">
        <v>14</v>
      </c>
      <c r="G1537">
        <v>15</v>
      </c>
    </row>
    <row r="1538" spans="1:7" x14ac:dyDescent="0.35">
      <c r="A1538">
        <v>189880</v>
      </c>
      <c r="B1538">
        <v>2</v>
      </c>
      <c r="C1538" s="5" t="s">
        <v>52</v>
      </c>
      <c r="D1538">
        <v>1801</v>
      </c>
      <c r="E1538" s="5" t="s">
        <v>79</v>
      </c>
      <c r="F1538" s="5" t="s">
        <v>17</v>
      </c>
      <c r="G1538">
        <v>10</v>
      </c>
    </row>
    <row r="1539" spans="1:7" x14ac:dyDescent="0.35">
      <c r="A1539">
        <v>132031</v>
      </c>
      <c r="B1539">
        <v>1</v>
      </c>
      <c r="C1539" s="5" t="s">
        <v>50</v>
      </c>
      <c r="D1539">
        <v>2301</v>
      </c>
      <c r="E1539" s="5" t="s">
        <v>81</v>
      </c>
      <c r="F1539" s="5" t="s">
        <v>14</v>
      </c>
      <c r="G1539">
        <v>23</v>
      </c>
    </row>
    <row r="1540" spans="1:7" x14ac:dyDescent="0.35">
      <c r="A1540">
        <v>38111</v>
      </c>
      <c r="B1540">
        <v>1</v>
      </c>
      <c r="C1540" s="5" t="s">
        <v>13</v>
      </c>
      <c r="D1540">
        <v>1311</v>
      </c>
      <c r="E1540" s="5" t="s">
        <v>82</v>
      </c>
      <c r="F1540" s="5" t="s">
        <v>14</v>
      </c>
      <c r="G1540">
        <v>7</v>
      </c>
    </row>
    <row r="1541" spans="1:7" x14ac:dyDescent="0.35">
      <c r="A1541">
        <v>21375</v>
      </c>
      <c r="B1541">
        <v>0</v>
      </c>
      <c r="C1541" s="5" t="s">
        <v>18</v>
      </c>
      <c r="D1541">
        <v>5401</v>
      </c>
      <c r="E1541" s="5" t="s">
        <v>79</v>
      </c>
      <c r="F1541" s="5" t="s">
        <v>17</v>
      </c>
      <c r="G1541">
        <v>25</v>
      </c>
    </row>
    <row r="1542" spans="1:7" x14ac:dyDescent="0.35">
      <c r="A1542">
        <v>31735</v>
      </c>
      <c r="B1542">
        <v>28</v>
      </c>
      <c r="C1542" s="5" t="s">
        <v>13</v>
      </c>
      <c r="D1542">
        <v>0</v>
      </c>
      <c r="E1542" s="5" t="s">
        <v>84</v>
      </c>
      <c r="F1542" s="5" t="s">
        <v>17</v>
      </c>
      <c r="G1542">
        <v>19</v>
      </c>
    </row>
    <row r="1543" spans="1:7" x14ac:dyDescent="0.35">
      <c r="A1543">
        <v>132456</v>
      </c>
      <c r="B1543">
        <v>2</v>
      </c>
      <c r="C1543" s="5" t="s">
        <v>45</v>
      </c>
      <c r="D1543">
        <v>2201</v>
      </c>
      <c r="E1543" s="5" t="s">
        <v>90</v>
      </c>
      <c r="F1543" s="5" t="s">
        <v>17</v>
      </c>
      <c r="G1543">
        <v>7</v>
      </c>
    </row>
    <row r="1544" spans="1:7" x14ac:dyDescent="0.35">
      <c r="A1544">
        <v>121165</v>
      </c>
      <c r="B1544">
        <v>1</v>
      </c>
      <c r="C1544" s="5" t="s">
        <v>20</v>
      </c>
      <c r="D1544">
        <v>6601</v>
      </c>
      <c r="E1544" s="5" t="s">
        <v>85</v>
      </c>
      <c r="F1544" s="5" t="s">
        <v>14</v>
      </c>
      <c r="G1544">
        <v>10</v>
      </c>
    </row>
    <row r="1545" spans="1:7" x14ac:dyDescent="0.35">
      <c r="A1545">
        <v>175226</v>
      </c>
      <c r="B1545">
        <v>1</v>
      </c>
      <c r="C1545" s="5" t="s">
        <v>47</v>
      </c>
      <c r="D1545">
        <v>1809</v>
      </c>
      <c r="E1545" s="5" t="s">
        <v>81</v>
      </c>
      <c r="F1545" s="5" t="s">
        <v>14</v>
      </c>
      <c r="G1545">
        <v>11</v>
      </c>
    </row>
    <row r="1546" spans="1:7" x14ac:dyDescent="0.35">
      <c r="A1546">
        <v>190534</v>
      </c>
      <c r="B1546">
        <v>0</v>
      </c>
      <c r="C1546" s="5" t="s">
        <v>21</v>
      </c>
      <c r="D1546">
        <v>501</v>
      </c>
      <c r="E1546" s="5" t="s">
        <v>91</v>
      </c>
      <c r="F1546" s="5" t="s">
        <v>17</v>
      </c>
      <c r="G1546">
        <v>6</v>
      </c>
    </row>
    <row r="1547" spans="1:7" x14ac:dyDescent="0.35">
      <c r="A1547">
        <v>33383</v>
      </c>
      <c r="B1547">
        <v>28</v>
      </c>
      <c r="C1547" s="5" t="s">
        <v>13</v>
      </c>
      <c r="D1547">
        <v>0</v>
      </c>
      <c r="E1547" s="5" t="s">
        <v>84</v>
      </c>
      <c r="F1547" s="5" t="s">
        <v>17</v>
      </c>
      <c r="G1547">
        <v>11</v>
      </c>
    </row>
    <row r="1548" spans="1:7" x14ac:dyDescent="0.35">
      <c r="A1548">
        <v>64261</v>
      </c>
      <c r="B1548">
        <v>2</v>
      </c>
      <c r="C1548" s="5" t="s">
        <v>30</v>
      </c>
      <c r="D1548">
        <v>0</v>
      </c>
      <c r="E1548" s="5" t="s">
        <v>79</v>
      </c>
      <c r="F1548" s="5" t="s">
        <v>17</v>
      </c>
      <c r="G1548">
        <v>10</v>
      </c>
    </row>
    <row r="1549" spans="1:7" x14ac:dyDescent="0.35">
      <c r="A1549">
        <v>106854</v>
      </c>
      <c r="B1549">
        <v>2</v>
      </c>
      <c r="C1549" s="5" t="s">
        <v>45</v>
      </c>
      <c r="D1549">
        <v>0</v>
      </c>
      <c r="E1549" s="5" t="s">
        <v>84</v>
      </c>
      <c r="F1549" s="5" t="s">
        <v>17</v>
      </c>
      <c r="G1549">
        <v>8</v>
      </c>
    </row>
    <row r="1550" spans="1:7" x14ac:dyDescent="0.35">
      <c r="A1550">
        <v>115676</v>
      </c>
      <c r="B1550">
        <v>4</v>
      </c>
      <c r="C1550" s="5" t="s">
        <v>20</v>
      </c>
      <c r="D1550">
        <v>0</v>
      </c>
      <c r="E1550" s="5" t="s">
        <v>79</v>
      </c>
      <c r="F1550" s="5" t="s">
        <v>86</v>
      </c>
      <c r="G1550">
        <v>20</v>
      </c>
    </row>
    <row r="1551" spans="1:7" x14ac:dyDescent="0.35">
      <c r="A1551">
        <v>60195</v>
      </c>
      <c r="B1551">
        <v>0</v>
      </c>
      <c r="C1551" s="5" t="s">
        <v>30</v>
      </c>
      <c r="D1551">
        <v>5501</v>
      </c>
      <c r="E1551" s="5" t="s">
        <v>83</v>
      </c>
      <c r="F1551" s="5" t="s">
        <v>17</v>
      </c>
      <c r="G1551">
        <v>25</v>
      </c>
    </row>
    <row r="1552" spans="1:7" x14ac:dyDescent="0.35">
      <c r="A1552">
        <v>6308</v>
      </c>
      <c r="B1552">
        <v>0</v>
      </c>
      <c r="C1552" s="5" t="s">
        <v>43</v>
      </c>
      <c r="D1552">
        <v>1803</v>
      </c>
      <c r="E1552" s="5" t="s">
        <v>81</v>
      </c>
      <c r="F1552" s="5" t="s">
        <v>14</v>
      </c>
      <c r="G1552">
        <v>12</v>
      </c>
    </row>
    <row r="1553" spans="1:7" x14ac:dyDescent="0.35">
      <c r="A1553">
        <v>93883</v>
      </c>
      <c r="B1553">
        <v>0</v>
      </c>
      <c r="C1553" s="5" t="s">
        <v>16</v>
      </c>
      <c r="D1553">
        <v>4601</v>
      </c>
      <c r="E1553" s="5" t="s">
        <v>91</v>
      </c>
      <c r="F1553" s="5" t="s">
        <v>14</v>
      </c>
      <c r="G1553">
        <v>4</v>
      </c>
    </row>
    <row r="1554" spans="1:7" x14ac:dyDescent="0.35">
      <c r="A1554">
        <v>38812</v>
      </c>
      <c r="B1554">
        <v>2</v>
      </c>
      <c r="C1554" s="5" t="s">
        <v>13</v>
      </c>
      <c r="D1554">
        <v>2310</v>
      </c>
      <c r="E1554" s="5" t="s">
        <v>85</v>
      </c>
      <c r="F1554" s="5" t="s">
        <v>17</v>
      </c>
      <c r="G1554">
        <v>17</v>
      </c>
    </row>
    <row r="1555" spans="1:7" x14ac:dyDescent="0.35">
      <c r="A1555">
        <v>15219</v>
      </c>
      <c r="B1555">
        <v>0</v>
      </c>
      <c r="C1555" s="5" t="s">
        <v>18</v>
      </c>
      <c r="D1555">
        <v>0</v>
      </c>
      <c r="E1555" s="5" t="s">
        <v>79</v>
      </c>
      <c r="F1555" s="5" t="s">
        <v>17</v>
      </c>
      <c r="G1555">
        <v>25</v>
      </c>
    </row>
    <row r="1556" spans="1:7" x14ac:dyDescent="0.35">
      <c r="A1556">
        <v>76442</v>
      </c>
      <c r="B1556">
        <v>1</v>
      </c>
      <c r="C1556" s="5" t="s">
        <v>44</v>
      </c>
      <c r="D1556">
        <v>3801</v>
      </c>
      <c r="E1556" s="5" t="s">
        <v>81</v>
      </c>
      <c r="F1556" s="5" t="s">
        <v>14</v>
      </c>
      <c r="G1556">
        <v>5</v>
      </c>
    </row>
    <row r="1557" spans="1:7" x14ac:dyDescent="0.35">
      <c r="A1557">
        <v>175659</v>
      </c>
      <c r="B1557">
        <v>2</v>
      </c>
      <c r="C1557" s="5" t="s">
        <v>47</v>
      </c>
      <c r="D1557">
        <v>1504</v>
      </c>
      <c r="E1557" s="5" t="s">
        <v>83</v>
      </c>
      <c r="F1557" s="5" t="s">
        <v>17</v>
      </c>
      <c r="G1557">
        <v>10</v>
      </c>
    </row>
    <row r="1558" spans="1:7" x14ac:dyDescent="0.35">
      <c r="A1558">
        <v>21859</v>
      </c>
      <c r="B1558">
        <v>0</v>
      </c>
      <c r="C1558" s="5" t="s">
        <v>18</v>
      </c>
      <c r="D1558">
        <v>3901</v>
      </c>
      <c r="E1558" s="5" t="s">
        <v>81</v>
      </c>
      <c r="F1558" s="5" t="s">
        <v>17</v>
      </c>
      <c r="G1558">
        <v>10</v>
      </c>
    </row>
    <row r="1559" spans="1:7" x14ac:dyDescent="0.35">
      <c r="A1559">
        <v>32892</v>
      </c>
      <c r="B1559">
        <v>0</v>
      </c>
      <c r="C1559" s="5" t="s">
        <v>13</v>
      </c>
      <c r="D1559">
        <v>5010</v>
      </c>
      <c r="E1559" s="5" t="s">
        <v>83</v>
      </c>
      <c r="F1559" s="5" t="s">
        <v>14</v>
      </c>
      <c r="G1559">
        <v>10</v>
      </c>
    </row>
    <row r="1560" spans="1:7" x14ac:dyDescent="0.35">
      <c r="A1560">
        <v>65740</v>
      </c>
      <c r="B1560">
        <v>0</v>
      </c>
      <c r="C1560" s="5" t="s">
        <v>26</v>
      </c>
      <c r="D1560">
        <v>6901</v>
      </c>
      <c r="E1560" s="5" t="s">
        <v>80</v>
      </c>
      <c r="F1560" s="5" t="s">
        <v>17</v>
      </c>
      <c r="G1560">
        <v>12</v>
      </c>
    </row>
    <row r="1561" spans="1:7" x14ac:dyDescent="0.35">
      <c r="A1561">
        <v>117264</v>
      </c>
      <c r="B1561">
        <v>2</v>
      </c>
      <c r="C1561" s="5" t="s">
        <v>20</v>
      </c>
      <c r="D1561">
        <v>5208</v>
      </c>
      <c r="E1561" s="5" t="s">
        <v>91</v>
      </c>
      <c r="F1561" s="5" t="s">
        <v>17</v>
      </c>
      <c r="G1561">
        <v>17</v>
      </c>
    </row>
    <row r="1562" spans="1:7" x14ac:dyDescent="0.35">
      <c r="A1562">
        <v>156344</v>
      </c>
      <c r="B1562">
        <v>1</v>
      </c>
      <c r="C1562" s="5" t="s">
        <v>21</v>
      </c>
      <c r="D1562">
        <v>0</v>
      </c>
      <c r="E1562" s="5" t="s">
        <v>83</v>
      </c>
      <c r="F1562" s="5" t="s">
        <v>14</v>
      </c>
      <c r="G1562">
        <v>10</v>
      </c>
    </row>
    <row r="1563" spans="1:7" x14ac:dyDescent="0.35">
      <c r="A1563">
        <v>152816</v>
      </c>
      <c r="B1563">
        <v>2</v>
      </c>
      <c r="C1563" s="5" t="s">
        <v>21</v>
      </c>
      <c r="D1563">
        <v>3201</v>
      </c>
      <c r="E1563" s="5" t="s">
        <v>80</v>
      </c>
      <c r="F1563" s="5" t="s">
        <v>17</v>
      </c>
      <c r="G1563">
        <v>35</v>
      </c>
    </row>
    <row r="1564" spans="1:7" x14ac:dyDescent="0.35">
      <c r="A1564">
        <v>133042</v>
      </c>
      <c r="B1564">
        <v>1</v>
      </c>
      <c r="C1564" s="5" t="s">
        <v>38</v>
      </c>
      <c r="D1564">
        <v>1301</v>
      </c>
      <c r="E1564" s="5" t="s">
        <v>89</v>
      </c>
      <c r="F1564" s="5" t="s">
        <v>14</v>
      </c>
      <c r="G1564">
        <v>40</v>
      </c>
    </row>
    <row r="1565" spans="1:7" x14ac:dyDescent="0.35">
      <c r="A1565">
        <v>9063</v>
      </c>
      <c r="B1565">
        <v>1</v>
      </c>
      <c r="C1565" s="5" t="s">
        <v>51</v>
      </c>
      <c r="D1565">
        <v>1601</v>
      </c>
      <c r="E1565" s="5" t="s">
        <v>86</v>
      </c>
      <c r="F1565" s="5" t="s">
        <v>14</v>
      </c>
      <c r="G1565">
        <v>10</v>
      </c>
    </row>
    <row r="1566" spans="1:7" x14ac:dyDescent="0.35">
      <c r="A1566">
        <v>127527</v>
      </c>
      <c r="B1566">
        <v>1002</v>
      </c>
      <c r="C1566" s="5" t="s">
        <v>20</v>
      </c>
      <c r="D1566">
        <v>6002</v>
      </c>
      <c r="E1566" s="5" t="s">
        <v>90</v>
      </c>
      <c r="F1566" s="5" t="s">
        <v>14</v>
      </c>
      <c r="G1566">
        <v>12</v>
      </c>
    </row>
    <row r="1567" spans="1:7" x14ac:dyDescent="0.35">
      <c r="A1567">
        <v>24940</v>
      </c>
      <c r="B1567">
        <v>0</v>
      </c>
      <c r="C1567" s="5" t="s">
        <v>43</v>
      </c>
      <c r="D1567">
        <v>0</v>
      </c>
      <c r="E1567" s="5" t="s">
        <v>84</v>
      </c>
      <c r="F1567" s="5" t="s">
        <v>17</v>
      </c>
      <c r="G1567">
        <v>15</v>
      </c>
    </row>
    <row r="1568" spans="1:7" x14ac:dyDescent="0.35">
      <c r="A1568">
        <v>40520</v>
      </c>
      <c r="B1568">
        <v>0</v>
      </c>
      <c r="C1568" s="5" t="s">
        <v>13</v>
      </c>
      <c r="D1568">
        <v>1012</v>
      </c>
      <c r="E1568" s="5" t="s">
        <v>83</v>
      </c>
      <c r="F1568" s="5" t="s">
        <v>17</v>
      </c>
      <c r="G1568">
        <v>10</v>
      </c>
    </row>
    <row r="1569" spans="1:7" x14ac:dyDescent="0.35">
      <c r="A1569">
        <v>101263</v>
      </c>
      <c r="B1569">
        <v>28</v>
      </c>
      <c r="C1569" s="5" t="s">
        <v>33</v>
      </c>
      <c r="D1569">
        <v>1601</v>
      </c>
      <c r="E1569" s="5" t="s">
        <v>89</v>
      </c>
      <c r="F1569" s="5" t="s">
        <v>17</v>
      </c>
      <c r="G1569">
        <v>10</v>
      </c>
    </row>
    <row r="1570" spans="1:7" x14ac:dyDescent="0.35">
      <c r="A1570">
        <v>130185</v>
      </c>
      <c r="B1570">
        <v>2</v>
      </c>
      <c r="C1570" s="5" t="s">
        <v>45</v>
      </c>
      <c r="D1570">
        <v>1601</v>
      </c>
      <c r="E1570" s="5" t="s">
        <v>91</v>
      </c>
      <c r="F1570" s="5" t="s">
        <v>17</v>
      </c>
      <c r="G1570">
        <v>3</v>
      </c>
    </row>
    <row r="1571" spans="1:7" x14ac:dyDescent="0.35">
      <c r="A1571">
        <v>84599</v>
      </c>
      <c r="B1571">
        <v>28</v>
      </c>
      <c r="C1571" s="5" t="s">
        <v>52</v>
      </c>
      <c r="D1571">
        <v>5801</v>
      </c>
      <c r="E1571" s="5" t="s">
        <v>78</v>
      </c>
      <c r="F1571" s="5" t="s">
        <v>17</v>
      </c>
      <c r="G1571">
        <v>11</v>
      </c>
    </row>
    <row r="1572" spans="1:7" x14ac:dyDescent="0.35">
      <c r="A1572">
        <v>95208</v>
      </c>
      <c r="B1572">
        <v>0</v>
      </c>
      <c r="C1572" s="5" t="s">
        <v>16</v>
      </c>
      <c r="D1572">
        <v>2312</v>
      </c>
      <c r="E1572" s="5" t="s">
        <v>81</v>
      </c>
      <c r="F1572" s="5" t="s">
        <v>17</v>
      </c>
      <c r="G1572">
        <v>10</v>
      </c>
    </row>
    <row r="1573" spans="1:7" x14ac:dyDescent="0.35">
      <c r="A1573">
        <v>129822</v>
      </c>
      <c r="B1573">
        <v>28</v>
      </c>
      <c r="C1573" s="5" t="s">
        <v>45</v>
      </c>
      <c r="D1573">
        <v>4701</v>
      </c>
      <c r="E1573" s="5" t="s">
        <v>83</v>
      </c>
      <c r="F1573" s="5" t="s">
        <v>17</v>
      </c>
      <c r="G1573">
        <v>20</v>
      </c>
    </row>
    <row r="1574" spans="1:7" x14ac:dyDescent="0.35">
      <c r="A1574">
        <v>97026</v>
      </c>
      <c r="B1574">
        <v>0</v>
      </c>
      <c r="C1574" s="5" t="s">
        <v>16</v>
      </c>
      <c r="D1574">
        <v>4701</v>
      </c>
      <c r="E1574" s="5" t="s">
        <v>82</v>
      </c>
      <c r="F1574" s="5" t="s">
        <v>17</v>
      </c>
      <c r="G1574">
        <v>10</v>
      </c>
    </row>
    <row r="1575" spans="1:7" x14ac:dyDescent="0.35">
      <c r="A1575">
        <v>165378</v>
      </c>
      <c r="B1575">
        <v>0</v>
      </c>
      <c r="C1575" s="5" t="s">
        <v>21</v>
      </c>
      <c r="D1575">
        <v>6006</v>
      </c>
      <c r="E1575" s="5" t="s">
        <v>83</v>
      </c>
      <c r="F1575" s="5" t="s">
        <v>17</v>
      </c>
      <c r="G1575">
        <v>23</v>
      </c>
    </row>
    <row r="1576" spans="1:7" x14ac:dyDescent="0.35">
      <c r="A1576">
        <v>160196</v>
      </c>
      <c r="B1576">
        <v>0</v>
      </c>
      <c r="C1576" s="5" t="s">
        <v>21</v>
      </c>
      <c r="D1576">
        <v>5101</v>
      </c>
      <c r="E1576" s="5" t="s">
        <v>84</v>
      </c>
      <c r="F1576" s="5" t="s">
        <v>17</v>
      </c>
      <c r="G1576">
        <v>10</v>
      </c>
    </row>
    <row r="1577" spans="1:7" x14ac:dyDescent="0.35">
      <c r="A1577">
        <v>57052</v>
      </c>
      <c r="B1577">
        <v>0</v>
      </c>
      <c r="C1577" s="5" t="s">
        <v>53</v>
      </c>
      <c r="D1577">
        <v>4701</v>
      </c>
      <c r="E1577" s="5" t="s">
        <v>81</v>
      </c>
      <c r="F1577" s="5" t="s">
        <v>27</v>
      </c>
      <c r="G1577">
        <v>29</v>
      </c>
    </row>
    <row r="1578" spans="1:7" x14ac:dyDescent="0.35">
      <c r="A1578">
        <v>144577</v>
      </c>
      <c r="B1578">
        <v>1</v>
      </c>
      <c r="C1578" s="5" t="s">
        <v>21</v>
      </c>
      <c r="D1578">
        <v>1603</v>
      </c>
      <c r="E1578" s="5" t="s">
        <v>85</v>
      </c>
      <c r="F1578" s="5" t="s">
        <v>14</v>
      </c>
      <c r="G1578">
        <v>15</v>
      </c>
    </row>
    <row r="1579" spans="1:7" x14ac:dyDescent="0.35">
      <c r="A1579">
        <v>103591</v>
      </c>
      <c r="B1579">
        <v>39002</v>
      </c>
      <c r="C1579" s="5" t="s">
        <v>33</v>
      </c>
      <c r="D1579">
        <v>0</v>
      </c>
      <c r="E1579" s="5" t="s">
        <v>81</v>
      </c>
      <c r="F1579" s="5" t="s">
        <v>14</v>
      </c>
      <c r="G1579">
        <v>3</v>
      </c>
    </row>
    <row r="1580" spans="1:7" x14ac:dyDescent="0.35">
      <c r="A1580">
        <v>111708</v>
      </c>
      <c r="B1580">
        <v>0</v>
      </c>
      <c r="C1580" s="5" t="s">
        <v>29</v>
      </c>
      <c r="D1580">
        <v>0</v>
      </c>
      <c r="E1580" s="5" t="s">
        <v>83</v>
      </c>
      <c r="F1580" s="5" t="s">
        <v>17</v>
      </c>
      <c r="G1580">
        <v>15</v>
      </c>
    </row>
    <row r="1581" spans="1:7" x14ac:dyDescent="0.35">
      <c r="A1581">
        <v>89030</v>
      </c>
      <c r="B1581">
        <v>0</v>
      </c>
      <c r="C1581" s="5" t="s">
        <v>16</v>
      </c>
      <c r="D1581">
        <v>2501</v>
      </c>
      <c r="E1581" s="5" t="s">
        <v>91</v>
      </c>
      <c r="F1581" s="5" t="s">
        <v>17</v>
      </c>
      <c r="G1581">
        <v>11</v>
      </c>
    </row>
    <row r="1582" spans="1:7" x14ac:dyDescent="0.35">
      <c r="A1582">
        <v>169678</v>
      </c>
      <c r="B1582">
        <v>0</v>
      </c>
      <c r="C1582" s="5" t="s">
        <v>21</v>
      </c>
      <c r="D1582">
        <v>2401</v>
      </c>
      <c r="E1582" s="5" t="s">
        <v>83</v>
      </c>
      <c r="F1582" s="5" t="s">
        <v>17</v>
      </c>
      <c r="G1582">
        <v>20</v>
      </c>
    </row>
    <row r="1583" spans="1:7" x14ac:dyDescent="0.35">
      <c r="A1583">
        <v>95831</v>
      </c>
      <c r="B1583">
        <v>1</v>
      </c>
      <c r="C1583" s="5" t="s">
        <v>16</v>
      </c>
      <c r="D1583">
        <v>2701</v>
      </c>
      <c r="E1583" s="5" t="s">
        <v>81</v>
      </c>
      <c r="F1583" s="5" t="s">
        <v>14</v>
      </c>
      <c r="G1583">
        <v>10</v>
      </c>
    </row>
    <row r="1584" spans="1:7" x14ac:dyDescent="0.35">
      <c r="A1584">
        <v>48047</v>
      </c>
      <c r="B1584">
        <v>0</v>
      </c>
      <c r="C1584" s="5" t="s">
        <v>40</v>
      </c>
      <c r="D1584">
        <v>0</v>
      </c>
      <c r="E1584" s="5" t="s">
        <v>84</v>
      </c>
      <c r="F1584" s="5" t="s">
        <v>17</v>
      </c>
      <c r="G1584">
        <v>6</v>
      </c>
    </row>
    <row r="1585" spans="1:7" x14ac:dyDescent="0.35">
      <c r="A1585">
        <v>156378</v>
      </c>
      <c r="B1585">
        <v>0</v>
      </c>
      <c r="C1585" s="5" t="s">
        <v>21</v>
      </c>
      <c r="D1585">
        <v>2807</v>
      </c>
      <c r="E1585" s="5" t="s">
        <v>83</v>
      </c>
      <c r="F1585" s="5" t="s">
        <v>17</v>
      </c>
      <c r="G1585">
        <v>13</v>
      </c>
    </row>
    <row r="1586" spans="1:7" x14ac:dyDescent="0.35">
      <c r="A1586">
        <v>58130</v>
      </c>
      <c r="B1586">
        <v>0</v>
      </c>
      <c r="C1586" s="5" t="s">
        <v>53</v>
      </c>
      <c r="D1586">
        <v>0</v>
      </c>
      <c r="E1586" s="5" t="s">
        <v>89</v>
      </c>
      <c r="F1586" s="5" t="s">
        <v>17</v>
      </c>
      <c r="G1586">
        <v>7</v>
      </c>
    </row>
    <row r="1587" spans="1:7" x14ac:dyDescent="0.35">
      <c r="A1587">
        <v>111459</v>
      </c>
      <c r="B1587">
        <v>28</v>
      </c>
      <c r="C1587" s="5" t="s">
        <v>29</v>
      </c>
      <c r="D1587">
        <v>5801</v>
      </c>
      <c r="E1587" s="5" t="s">
        <v>82</v>
      </c>
      <c r="F1587" s="5" t="s">
        <v>17</v>
      </c>
      <c r="G1587">
        <v>20</v>
      </c>
    </row>
    <row r="1588" spans="1:7" x14ac:dyDescent="0.35">
      <c r="A1588">
        <v>77574</v>
      </c>
      <c r="B1588">
        <v>2</v>
      </c>
      <c r="C1588" s="5" t="s">
        <v>32</v>
      </c>
      <c r="D1588">
        <v>2301</v>
      </c>
      <c r="E1588" s="5" t="s">
        <v>78</v>
      </c>
      <c r="F1588" s="5" t="s">
        <v>17</v>
      </c>
      <c r="G1588">
        <v>5</v>
      </c>
    </row>
    <row r="1589" spans="1:7" x14ac:dyDescent="0.35">
      <c r="A1589">
        <v>157536</v>
      </c>
      <c r="B1589">
        <v>2</v>
      </c>
      <c r="C1589" s="5" t="s">
        <v>21</v>
      </c>
      <c r="D1589">
        <v>1901</v>
      </c>
      <c r="E1589" s="5" t="s">
        <v>78</v>
      </c>
      <c r="F1589" s="5" t="s">
        <v>17</v>
      </c>
      <c r="G1589">
        <v>17</v>
      </c>
    </row>
    <row r="1590" spans="1:7" x14ac:dyDescent="0.35">
      <c r="A1590">
        <v>86270</v>
      </c>
      <c r="B1590">
        <v>2</v>
      </c>
      <c r="C1590" s="5" t="s">
        <v>48</v>
      </c>
      <c r="D1590">
        <v>5501</v>
      </c>
      <c r="E1590" s="5" t="s">
        <v>78</v>
      </c>
      <c r="F1590" s="5" t="s">
        <v>14</v>
      </c>
      <c r="G1590">
        <v>16</v>
      </c>
    </row>
    <row r="1591" spans="1:7" x14ac:dyDescent="0.35">
      <c r="A1591">
        <v>71882</v>
      </c>
      <c r="B1591">
        <v>0</v>
      </c>
      <c r="C1591" s="5" t="s">
        <v>26</v>
      </c>
      <c r="D1591">
        <v>0</v>
      </c>
      <c r="E1591" s="5" t="s">
        <v>78</v>
      </c>
      <c r="F1591" s="5" t="s">
        <v>17</v>
      </c>
      <c r="G1591">
        <v>14</v>
      </c>
    </row>
    <row r="1592" spans="1:7" x14ac:dyDescent="0.35">
      <c r="A1592">
        <v>53213</v>
      </c>
      <c r="B1592">
        <v>0</v>
      </c>
      <c r="C1592" s="5" t="s">
        <v>49</v>
      </c>
      <c r="D1592">
        <v>4401</v>
      </c>
      <c r="E1592" s="5" t="s">
        <v>89</v>
      </c>
      <c r="F1592" s="5" t="s">
        <v>17</v>
      </c>
      <c r="G1592">
        <v>15</v>
      </c>
    </row>
    <row r="1593" spans="1:7" x14ac:dyDescent="0.35">
      <c r="A1593">
        <v>121292</v>
      </c>
      <c r="B1593">
        <v>3</v>
      </c>
      <c r="C1593" s="5" t="s">
        <v>20</v>
      </c>
      <c r="D1593">
        <v>0</v>
      </c>
      <c r="E1593" s="5" t="s">
        <v>91</v>
      </c>
      <c r="F1593" s="5" t="s">
        <v>17</v>
      </c>
      <c r="G1593">
        <v>16</v>
      </c>
    </row>
    <row r="1594" spans="1:7" x14ac:dyDescent="0.35">
      <c r="A1594">
        <v>101614</v>
      </c>
      <c r="B1594">
        <v>0</v>
      </c>
      <c r="C1594" s="5" t="s">
        <v>33</v>
      </c>
      <c r="D1594">
        <v>4401</v>
      </c>
      <c r="E1594" s="5" t="s">
        <v>81</v>
      </c>
      <c r="F1594" s="5" t="s">
        <v>17</v>
      </c>
      <c r="G1594">
        <v>21</v>
      </c>
    </row>
    <row r="1595" spans="1:7" x14ac:dyDescent="0.35">
      <c r="A1595">
        <v>161479</v>
      </c>
      <c r="B1595">
        <v>2</v>
      </c>
      <c r="C1595" s="5" t="s">
        <v>47</v>
      </c>
      <c r="D1595">
        <v>2101</v>
      </c>
      <c r="E1595" s="5" t="s">
        <v>80</v>
      </c>
      <c r="F1595" s="5" t="s">
        <v>17</v>
      </c>
      <c r="G1595">
        <v>11</v>
      </c>
    </row>
    <row r="1596" spans="1:7" x14ac:dyDescent="0.35">
      <c r="A1596">
        <v>74183</v>
      </c>
      <c r="B1596">
        <v>2</v>
      </c>
      <c r="C1596" s="5" t="s">
        <v>26</v>
      </c>
      <c r="D1596">
        <v>0</v>
      </c>
      <c r="E1596" s="5" t="s">
        <v>86</v>
      </c>
      <c r="F1596" s="5" t="s">
        <v>17</v>
      </c>
      <c r="G1596">
        <v>5</v>
      </c>
    </row>
    <row r="1597" spans="1:7" x14ac:dyDescent="0.35">
      <c r="A1597">
        <v>53611</v>
      </c>
      <c r="B1597">
        <v>28</v>
      </c>
      <c r="C1597" s="5" t="s">
        <v>49</v>
      </c>
      <c r="D1597">
        <v>5401</v>
      </c>
      <c r="E1597" s="5" t="s">
        <v>88</v>
      </c>
      <c r="F1597" s="5" t="s">
        <v>17</v>
      </c>
      <c r="G1597">
        <v>1825</v>
      </c>
    </row>
    <row r="1598" spans="1:7" x14ac:dyDescent="0.35">
      <c r="A1598">
        <v>143610</v>
      </c>
      <c r="B1598">
        <v>0</v>
      </c>
      <c r="C1598" s="5" t="s">
        <v>21</v>
      </c>
      <c r="D1598">
        <v>0</v>
      </c>
      <c r="E1598" s="5" t="s">
        <v>85</v>
      </c>
      <c r="F1598" s="5" t="s">
        <v>17</v>
      </c>
      <c r="G1598">
        <v>525</v>
      </c>
    </row>
    <row r="1599" spans="1:7" x14ac:dyDescent="0.35">
      <c r="A1599">
        <v>158534</v>
      </c>
      <c r="B1599">
        <v>0</v>
      </c>
      <c r="C1599" s="5" t="s">
        <v>21</v>
      </c>
      <c r="D1599">
        <v>4801</v>
      </c>
      <c r="E1599" s="5" t="s">
        <v>83</v>
      </c>
      <c r="F1599" s="5" t="s">
        <v>17</v>
      </c>
      <c r="G1599">
        <v>25</v>
      </c>
    </row>
    <row r="1600" spans="1:7" x14ac:dyDescent="0.35">
      <c r="A1600">
        <v>66265</v>
      </c>
      <c r="B1600">
        <v>1</v>
      </c>
      <c r="C1600" s="5" t="s">
        <v>26</v>
      </c>
      <c r="D1600">
        <v>4511</v>
      </c>
      <c r="E1600" s="5" t="s">
        <v>88</v>
      </c>
      <c r="F1600" s="5" t="s">
        <v>14</v>
      </c>
      <c r="G1600">
        <v>40</v>
      </c>
    </row>
    <row r="1601" spans="1:7" x14ac:dyDescent="0.35">
      <c r="A1601">
        <v>141468</v>
      </c>
      <c r="B1601">
        <v>0</v>
      </c>
      <c r="C1601" s="5" t="s">
        <v>23</v>
      </c>
      <c r="D1601">
        <v>1801</v>
      </c>
      <c r="E1601" s="5" t="s">
        <v>80</v>
      </c>
      <c r="F1601" s="5" t="s">
        <v>14</v>
      </c>
      <c r="G1601">
        <v>25</v>
      </c>
    </row>
    <row r="1602" spans="1:7" x14ac:dyDescent="0.35">
      <c r="A1602">
        <v>121683</v>
      </c>
      <c r="B1602">
        <v>1</v>
      </c>
      <c r="C1602" s="5" t="s">
        <v>20</v>
      </c>
      <c r="D1602">
        <v>5101</v>
      </c>
      <c r="E1602" s="5" t="s">
        <v>83</v>
      </c>
      <c r="F1602" s="5" t="s">
        <v>14</v>
      </c>
      <c r="G1602">
        <v>10</v>
      </c>
    </row>
    <row r="1603" spans="1:7" x14ac:dyDescent="0.35">
      <c r="A1603">
        <v>130239</v>
      </c>
      <c r="B1603">
        <v>0</v>
      </c>
      <c r="C1603" s="5" t="s">
        <v>45</v>
      </c>
      <c r="D1603">
        <v>5601</v>
      </c>
      <c r="E1603" s="5" t="s">
        <v>80</v>
      </c>
      <c r="F1603" s="5" t="s">
        <v>14</v>
      </c>
      <c r="G1603">
        <v>20</v>
      </c>
    </row>
    <row r="1604" spans="1:7" x14ac:dyDescent="0.35">
      <c r="A1604">
        <v>987</v>
      </c>
      <c r="B1604">
        <v>0</v>
      </c>
      <c r="C1604" s="5" t="s">
        <v>36</v>
      </c>
      <c r="D1604">
        <v>4301</v>
      </c>
      <c r="E1604" s="5" t="s">
        <v>83</v>
      </c>
      <c r="F1604" s="5" t="s">
        <v>17</v>
      </c>
      <c r="G1604">
        <v>3</v>
      </c>
    </row>
    <row r="1605" spans="1:7" x14ac:dyDescent="0.35">
      <c r="A1605">
        <v>76585</v>
      </c>
      <c r="B1605">
        <v>0</v>
      </c>
      <c r="C1605" s="5" t="s">
        <v>44</v>
      </c>
      <c r="D1605">
        <v>3110</v>
      </c>
      <c r="E1605" s="5" t="s">
        <v>82</v>
      </c>
      <c r="F1605" s="5" t="s">
        <v>17</v>
      </c>
      <c r="G1605">
        <v>5</v>
      </c>
    </row>
    <row r="1606" spans="1:7" x14ac:dyDescent="0.35">
      <c r="A1606">
        <v>155240</v>
      </c>
      <c r="B1606">
        <v>28</v>
      </c>
      <c r="C1606" s="5" t="s">
        <v>21</v>
      </c>
      <c r="D1606">
        <v>2201</v>
      </c>
      <c r="E1606" s="5" t="s">
        <v>78</v>
      </c>
      <c r="F1606" s="5" t="s">
        <v>17</v>
      </c>
      <c r="G1606">
        <v>15</v>
      </c>
    </row>
    <row r="1607" spans="1:7" x14ac:dyDescent="0.35">
      <c r="A1607">
        <v>147841</v>
      </c>
      <c r="B1607">
        <v>0</v>
      </c>
      <c r="C1607" s="5" t="s">
        <v>21</v>
      </c>
      <c r="D1607">
        <v>1706</v>
      </c>
      <c r="E1607" s="5" t="s">
        <v>83</v>
      </c>
      <c r="F1607" s="5" t="s">
        <v>17</v>
      </c>
      <c r="G1607">
        <v>100</v>
      </c>
    </row>
    <row r="1608" spans="1:7" x14ac:dyDescent="0.35">
      <c r="A1608">
        <v>140481</v>
      </c>
      <c r="B1608">
        <v>2</v>
      </c>
      <c r="C1608" s="5" t="s">
        <v>50</v>
      </c>
      <c r="D1608">
        <v>5201</v>
      </c>
      <c r="E1608" s="5" t="s">
        <v>94</v>
      </c>
      <c r="F1608" s="5" t="s">
        <v>17</v>
      </c>
      <c r="G1608">
        <v>20</v>
      </c>
    </row>
    <row r="1609" spans="1:7" x14ac:dyDescent="0.35">
      <c r="A1609">
        <v>159034</v>
      </c>
      <c r="B1609">
        <v>1</v>
      </c>
      <c r="C1609" s="5" t="s">
        <v>21</v>
      </c>
      <c r="D1609">
        <v>1601</v>
      </c>
      <c r="E1609" s="5" t="s">
        <v>93</v>
      </c>
      <c r="F1609" s="5" t="s">
        <v>14</v>
      </c>
      <c r="G1609">
        <v>21</v>
      </c>
    </row>
    <row r="1610" spans="1:7" x14ac:dyDescent="0.35">
      <c r="A1610">
        <v>3933</v>
      </c>
      <c r="B1610">
        <v>1</v>
      </c>
      <c r="C1610" s="5" t="s">
        <v>16</v>
      </c>
      <c r="D1610">
        <v>6606</v>
      </c>
      <c r="E1610" s="5" t="s">
        <v>93</v>
      </c>
      <c r="F1610" s="5" t="s">
        <v>14</v>
      </c>
      <c r="G1610">
        <v>20</v>
      </c>
    </row>
    <row r="1611" spans="1:7" x14ac:dyDescent="0.35">
      <c r="A1611">
        <v>167138</v>
      </c>
      <c r="B1611">
        <v>0</v>
      </c>
      <c r="C1611" s="5" t="s">
        <v>21</v>
      </c>
      <c r="D1611">
        <v>5301</v>
      </c>
      <c r="E1611" s="5" t="s">
        <v>85</v>
      </c>
      <c r="F1611" s="5" t="s">
        <v>17</v>
      </c>
      <c r="G1611">
        <v>30</v>
      </c>
    </row>
    <row r="1612" spans="1:7" x14ac:dyDescent="0.35">
      <c r="A1612">
        <v>100900</v>
      </c>
      <c r="B1612">
        <v>2</v>
      </c>
      <c r="C1612" s="5" t="s">
        <v>33</v>
      </c>
      <c r="D1612">
        <v>0</v>
      </c>
      <c r="E1612" s="5" t="s">
        <v>82</v>
      </c>
      <c r="F1612" s="5" t="s">
        <v>17</v>
      </c>
      <c r="G1612">
        <v>5</v>
      </c>
    </row>
    <row r="1613" spans="1:7" x14ac:dyDescent="0.35">
      <c r="A1613">
        <v>161634</v>
      </c>
      <c r="B1613">
        <v>28</v>
      </c>
      <c r="C1613" s="5" t="s">
        <v>21</v>
      </c>
      <c r="D1613">
        <v>6302</v>
      </c>
      <c r="E1613" s="5" t="s">
        <v>78</v>
      </c>
      <c r="F1613" s="5" t="s">
        <v>17</v>
      </c>
      <c r="G1613">
        <v>15</v>
      </c>
    </row>
    <row r="1614" spans="1:7" x14ac:dyDescent="0.35">
      <c r="A1614">
        <v>162945</v>
      </c>
      <c r="B1614">
        <v>0</v>
      </c>
      <c r="C1614" s="5" t="s">
        <v>21</v>
      </c>
      <c r="D1614">
        <v>1201</v>
      </c>
      <c r="E1614" s="5" t="s">
        <v>92</v>
      </c>
      <c r="F1614" s="5" t="s">
        <v>17</v>
      </c>
      <c r="G1614">
        <v>5</v>
      </c>
    </row>
    <row r="1615" spans="1:7" x14ac:dyDescent="0.35">
      <c r="A1615">
        <v>12626</v>
      </c>
      <c r="B1615">
        <v>2</v>
      </c>
      <c r="C1615" s="5" t="s">
        <v>36</v>
      </c>
      <c r="D1615">
        <v>0</v>
      </c>
      <c r="E1615" s="5" t="s">
        <v>81</v>
      </c>
      <c r="F1615" s="5" t="s">
        <v>17</v>
      </c>
      <c r="G1615">
        <v>9</v>
      </c>
    </row>
    <row r="1616" spans="1:7" x14ac:dyDescent="0.35">
      <c r="A1616">
        <v>134005</v>
      </c>
      <c r="B1616">
        <v>13</v>
      </c>
      <c r="C1616" s="5" t="s">
        <v>35</v>
      </c>
      <c r="D1616">
        <v>1409</v>
      </c>
      <c r="E1616" s="5" t="s">
        <v>78</v>
      </c>
      <c r="F1616" s="5" t="s">
        <v>14</v>
      </c>
      <c r="G1616">
        <v>10</v>
      </c>
    </row>
    <row r="1617" spans="1:7" x14ac:dyDescent="0.35">
      <c r="A1617">
        <v>176948</v>
      </c>
      <c r="B1617">
        <v>1</v>
      </c>
      <c r="C1617" s="5" t="s">
        <v>47</v>
      </c>
      <c r="D1617">
        <v>2401</v>
      </c>
      <c r="E1617" s="5" t="s">
        <v>79</v>
      </c>
      <c r="F1617" s="5" t="s">
        <v>14</v>
      </c>
      <c r="G1617">
        <v>20</v>
      </c>
    </row>
    <row r="1618" spans="1:7" x14ac:dyDescent="0.35">
      <c r="A1618">
        <v>123270</v>
      </c>
      <c r="B1618">
        <v>0</v>
      </c>
      <c r="C1618" s="5" t="s">
        <v>20</v>
      </c>
      <c r="D1618">
        <v>3508</v>
      </c>
      <c r="E1618" s="5" t="s">
        <v>87</v>
      </c>
      <c r="F1618" s="5" t="s">
        <v>14</v>
      </c>
      <c r="G1618">
        <v>10</v>
      </c>
    </row>
    <row r="1619" spans="1:7" x14ac:dyDescent="0.35">
      <c r="A1619">
        <v>133884</v>
      </c>
      <c r="B1619">
        <v>0</v>
      </c>
      <c r="C1619" s="5" t="s">
        <v>38</v>
      </c>
      <c r="D1619">
        <v>0</v>
      </c>
      <c r="E1619" s="5" t="s">
        <v>79</v>
      </c>
      <c r="F1619" s="5" t="s">
        <v>17</v>
      </c>
      <c r="G1619">
        <v>50</v>
      </c>
    </row>
    <row r="1620" spans="1:7" x14ac:dyDescent="0.35">
      <c r="A1620">
        <v>21815</v>
      </c>
      <c r="B1620">
        <v>0</v>
      </c>
      <c r="C1620" s="5" t="s">
        <v>18</v>
      </c>
      <c r="D1620">
        <v>7101</v>
      </c>
      <c r="E1620" s="5" t="s">
        <v>79</v>
      </c>
      <c r="F1620" s="5" t="s">
        <v>17</v>
      </c>
      <c r="G1620">
        <v>5</v>
      </c>
    </row>
    <row r="1621" spans="1:7" x14ac:dyDescent="0.35">
      <c r="A1621">
        <v>56700</v>
      </c>
      <c r="B1621">
        <v>1</v>
      </c>
      <c r="C1621" s="5" t="s">
        <v>53</v>
      </c>
      <c r="D1621">
        <v>0</v>
      </c>
      <c r="E1621" s="5" t="s">
        <v>87</v>
      </c>
      <c r="F1621" s="5" t="s">
        <v>14</v>
      </c>
      <c r="G1621">
        <v>20</v>
      </c>
    </row>
    <row r="1622" spans="1:7" x14ac:dyDescent="0.35">
      <c r="A1622">
        <v>41920</v>
      </c>
      <c r="B1622">
        <v>0</v>
      </c>
      <c r="C1622" s="5" t="s">
        <v>13</v>
      </c>
      <c r="D1622">
        <v>4201</v>
      </c>
      <c r="E1622" s="5" t="s">
        <v>92</v>
      </c>
      <c r="F1622" s="5" t="s">
        <v>14</v>
      </c>
      <c r="G1622">
        <v>15</v>
      </c>
    </row>
    <row r="1623" spans="1:7" x14ac:dyDescent="0.35">
      <c r="A1623">
        <v>68440</v>
      </c>
      <c r="B1623">
        <v>2</v>
      </c>
      <c r="C1623" s="5" t="s">
        <v>26</v>
      </c>
      <c r="D1623">
        <v>3101</v>
      </c>
      <c r="E1623" s="5" t="s">
        <v>92</v>
      </c>
      <c r="F1623" s="5" t="s">
        <v>14</v>
      </c>
      <c r="G1623">
        <v>15</v>
      </c>
    </row>
    <row r="1624" spans="1:7" x14ac:dyDescent="0.35">
      <c r="A1624">
        <v>8013</v>
      </c>
      <c r="B1624">
        <v>0</v>
      </c>
      <c r="C1624" s="5" t="s">
        <v>16</v>
      </c>
      <c r="D1624">
        <v>3701</v>
      </c>
      <c r="E1624" s="5" t="s">
        <v>83</v>
      </c>
      <c r="F1624" s="5" t="s">
        <v>17</v>
      </c>
      <c r="G1624">
        <v>10</v>
      </c>
    </row>
    <row r="1625" spans="1:7" x14ac:dyDescent="0.35">
      <c r="A1625">
        <v>12801</v>
      </c>
      <c r="B1625">
        <v>28</v>
      </c>
      <c r="C1625" s="5" t="s">
        <v>21</v>
      </c>
      <c r="D1625">
        <v>2001</v>
      </c>
      <c r="E1625" s="5" t="s">
        <v>83</v>
      </c>
      <c r="F1625" s="5" t="s">
        <v>17</v>
      </c>
      <c r="G1625">
        <v>15</v>
      </c>
    </row>
    <row r="1626" spans="1:7" x14ac:dyDescent="0.35">
      <c r="A1626">
        <v>36495</v>
      </c>
      <c r="B1626">
        <v>0</v>
      </c>
      <c r="C1626" s="5" t="s">
        <v>13</v>
      </c>
      <c r="D1626">
        <v>401</v>
      </c>
      <c r="E1626" s="5" t="s">
        <v>91</v>
      </c>
      <c r="F1626" s="5" t="s">
        <v>17</v>
      </c>
      <c r="G1626">
        <v>10</v>
      </c>
    </row>
    <row r="1627" spans="1:7" x14ac:dyDescent="0.35">
      <c r="A1627">
        <v>151730</v>
      </c>
      <c r="B1627">
        <v>0</v>
      </c>
      <c r="C1627" s="5" t="s">
        <v>21</v>
      </c>
      <c r="D1627">
        <v>0</v>
      </c>
      <c r="E1627" s="5" t="s">
        <v>93</v>
      </c>
      <c r="F1627" s="5" t="s">
        <v>17</v>
      </c>
      <c r="G1627">
        <v>5</v>
      </c>
    </row>
    <row r="1628" spans="1:7" x14ac:dyDescent="0.35">
      <c r="A1628">
        <v>89174</v>
      </c>
      <c r="B1628">
        <v>1</v>
      </c>
      <c r="C1628" s="5" t="s">
        <v>16</v>
      </c>
      <c r="D1628">
        <v>805</v>
      </c>
      <c r="E1628" s="5" t="s">
        <v>83</v>
      </c>
      <c r="F1628" s="5" t="s">
        <v>14</v>
      </c>
      <c r="G1628">
        <v>20</v>
      </c>
    </row>
    <row r="1629" spans="1:7" x14ac:dyDescent="0.35">
      <c r="A1629">
        <v>5123</v>
      </c>
      <c r="B1629">
        <v>2</v>
      </c>
      <c r="C1629" s="5" t="s">
        <v>21</v>
      </c>
      <c r="D1629">
        <v>0</v>
      </c>
      <c r="E1629" s="5" t="s">
        <v>79</v>
      </c>
      <c r="F1629" s="5" t="s">
        <v>17</v>
      </c>
      <c r="G1629">
        <v>6</v>
      </c>
    </row>
    <row r="1630" spans="1:7" x14ac:dyDescent="0.35">
      <c r="A1630">
        <v>3931</v>
      </c>
      <c r="B1630">
        <v>2</v>
      </c>
      <c r="C1630" s="5" t="s">
        <v>30</v>
      </c>
      <c r="D1630">
        <v>0</v>
      </c>
      <c r="E1630" s="5" t="s">
        <v>78</v>
      </c>
      <c r="F1630" s="5" t="s">
        <v>17</v>
      </c>
      <c r="G1630">
        <v>10</v>
      </c>
    </row>
    <row r="1631" spans="1:7" x14ac:dyDescent="0.35">
      <c r="A1631">
        <v>8330</v>
      </c>
      <c r="B1631">
        <v>28</v>
      </c>
      <c r="C1631" s="5" t="s">
        <v>13</v>
      </c>
      <c r="D1631">
        <v>2501</v>
      </c>
      <c r="E1631" s="5" t="s">
        <v>78</v>
      </c>
      <c r="F1631" s="5" t="s">
        <v>17</v>
      </c>
      <c r="G1631">
        <v>5</v>
      </c>
    </row>
    <row r="1632" spans="1:7" x14ac:dyDescent="0.35">
      <c r="A1632">
        <v>113354</v>
      </c>
      <c r="B1632">
        <v>0</v>
      </c>
      <c r="C1632" s="5" t="s">
        <v>28</v>
      </c>
      <c r="D1632">
        <v>5501</v>
      </c>
      <c r="E1632" s="5" t="s">
        <v>80</v>
      </c>
      <c r="F1632" s="5" t="s">
        <v>17</v>
      </c>
      <c r="G1632">
        <v>20</v>
      </c>
    </row>
    <row r="1633" spans="1:7" x14ac:dyDescent="0.35">
      <c r="A1633">
        <v>164296</v>
      </c>
      <c r="B1633">
        <v>2</v>
      </c>
      <c r="C1633" s="5" t="s">
        <v>21</v>
      </c>
      <c r="D1633">
        <v>3601</v>
      </c>
      <c r="E1633" s="5" t="s">
        <v>80</v>
      </c>
      <c r="F1633" s="5" t="s">
        <v>17</v>
      </c>
      <c r="G1633">
        <v>10</v>
      </c>
    </row>
    <row r="1634" spans="1:7" x14ac:dyDescent="0.35">
      <c r="A1634">
        <v>184017</v>
      </c>
      <c r="B1634">
        <v>1002</v>
      </c>
      <c r="C1634" s="5" t="s">
        <v>37</v>
      </c>
      <c r="D1634">
        <v>3501</v>
      </c>
      <c r="E1634" s="5" t="s">
        <v>90</v>
      </c>
      <c r="F1634" s="5" t="s">
        <v>14</v>
      </c>
      <c r="G1634">
        <v>20</v>
      </c>
    </row>
    <row r="1635" spans="1:7" x14ac:dyDescent="0.35">
      <c r="A1635">
        <v>37852</v>
      </c>
      <c r="B1635">
        <v>0</v>
      </c>
      <c r="C1635" s="5" t="s">
        <v>13</v>
      </c>
      <c r="D1635">
        <v>6009</v>
      </c>
      <c r="E1635" s="5" t="s">
        <v>91</v>
      </c>
      <c r="F1635" s="5" t="s">
        <v>14</v>
      </c>
      <c r="G1635">
        <v>20</v>
      </c>
    </row>
    <row r="1636" spans="1:7" x14ac:dyDescent="0.35">
      <c r="A1636">
        <v>64170</v>
      </c>
      <c r="B1636">
        <v>0</v>
      </c>
      <c r="C1636" s="5" t="s">
        <v>30</v>
      </c>
      <c r="D1636">
        <v>3001</v>
      </c>
      <c r="E1636" s="5" t="s">
        <v>79</v>
      </c>
      <c r="F1636" s="5" t="s">
        <v>17</v>
      </c>
      <c r="G1636">
        <v>15</v>
      </c>
    </row>
    <row r="1637" spans="1:7" x14ac:dyDescent="0.35">
      <c r="A1637">
        <v>152118</v>
      </c>
      <c r="B1637">
        <v>2</v>
      </c>
      <c r="C1637" s="5" t="s">
        <v>21</v>
      </c>
      <c r="D1637">
        <v>2209</v>
      </c>
      <c r="E1637" s="5" t="s">
        <v>80</v>
      </c>
      <c r="F1637" s="5" t="s">
        <v>17</v>
      </c>
      <c r="G1637">
        <v>4</v>
      </c>
    </row>
    <row r="1638" spans="1:7" x14ac:dyDescent="0.35">
      <c r="A1638">
        <v>190281</v>
      </c>
      <c r="B1638">
        <v>2</v>
      </c>
      <c r="C1638" s="5" t="s">
        <v>45</v>
      </c>
      <c r="D1638">
        <v>0</v>
      </c>
      <c r="E1638" s="5" t="s">
        <v>88</v>
      </c>
      <c r="F1638" s="5" t="s">
        <v>17</v>
      </c>
      <c r="G1638">
        <v>25</v>
      </c>
    </row>
    <row r="1639" spans="1:7" x14ac:dyDescent="0.35">
      <c r="A1639">
        <v>28786</v>
      </c>
      <c r="B1639">
        <v>0</v>
      </c>
      <c r="C1639" s="5" t="s">
        <v>36</v>
      </c>
      <c r="D1639">
        <v>0</v>
      </c>
      <c r="E1639" s="5" t="s">
        <v>89</v>
      </c>
      <c r="F1639" s="5" t="s">
        <v>17</v>
      </c>
      <c r="G1639">
        <v>10</v>
      </c>
    </row>
    <row r="1640" spans="1:7" x14ac:dyDescent="0.35">
      <c r="A1640">
        <v>45551</v>
      </c>
      <c r="B1640">
        <v>2</v>
      </c>
      <c r="C1640" s="5" t="s">
        <v>13</v>
      </c>
      <c r="D1640">
        <v>0</v>
      </c>
      <c r="E1640" s="5" t="s">
        <v>88</v>
      </c>
      <c r="F1640" s="5" t="s">
        <v>86</v>
      </c>
      <c r="G1640">
        <v>15</v>
      </c>
    </row>
    <row r="1641" spans="1:7" x14ac:dyDescent="0.35">
      <c r="A1641">
        <v>181931</v>
      </c>
      <c r="B1641">
        <v>0</v>
      </c>
      <c r="C1641" s="5" t="s">
        <v>37</v>
      </c>
      <c r="D1641">
        <v>1909</v>
      </c>
      <c r="E1641" s="5" t="s">
        <v>85</v>
      </c>
      <c r="F1641" s="5" t="s">
        <v>17</v>
      </c>
      <c r="G1641">
        <v>13</v>
      </c>
    </row>
    <row r="1642" spans="1:7" x14ac:dyDescent="0.35">
      <c r="A1642">
        <v>45431</v>
      </c>
      <c r="B1642">
        <v>1</v>
      </c>
      <c r="C1642" s="5" t="s">
        <v>13</v>
      </c>
      <c r="D1642">
        <v>2609</v>
      </c>
      <c r="E1642" s="5" t="s">
        <v>87</v>
      </c>
      <c r="F1642" s="5" t="s">
        <v>17</v>
      </c>
      <c r="G1642">
        <v>20</v>
      </c>
    </row>
    <row r="1643" spans="1:7" x14ac:dyDescent="0.35">
      <c r="A1643">
        <v>25635</v>
      </c>
      <c r="B1643">
        <v>1</v>
      </c>
      <c r="C1643" s="5" t="s">
        <v>36</v>
      </c>
      <c r="D1643">
        <v>2001</v>
      </c>
      <c r="E1643" s="5" t="s">
        <v>80</v>
      </c>
      <c r="F1643" s="5" t="s">
        <v>14</v>
      </c>
      <c r="G1643">
        <v>11</v>
      </c>
    </row>
    <row r="1644" spans="1:7" x14ac:dyDescent="0.35">
      <c r="A1644">
        <v>135112</v>
      </c>
      <c r="B1644">
        <v>0</v>
      </c>
      <c r="C1644" s="5" t="s">
        <v>51</v>
      </c>
      <c r="D1644">
        <v>3001</v>
      </c>
      <c r="E1644" s="5" t="s">
        <v>93</v>
      </c>
      <c r="F1644" s="5" t="s">
        <v>17</v>
      </c>
      <c r="G1644">
        <v>8</v>
      </c>
    </row>
    <row r="1645" spans="1:7" x14ac:dyDescent="0.35">
      <c r="A1645">
        <v>179111</v>
      </c>
      <c r="B1645">
        <v>0</v>
      </c>
      <c r="C1645" s="5" t="s">
        <v>37</v>
      </c>
      <c r="D1645">
        <v>4201</v>
      </c>
      <c r="E1645" s="5" t="s">
        <v>83</v>
      </c>
      <c r="F1645" s="5" t="s">
        <v>14</v>
      </c>
      <c r="G1645">
        <v>20</v>
      </c>
    </row>
    <row r="1646" spans="1:7" x14ac:dyDescent="0.35">
      <c r="A1646">
        <v>65596</v>
      </c>
      <c r="B1646">
        <v>1002</v>
      </c>
      <c r="C1646" s="5" t="s">
        <v>26</v>
      </c>
      <c r="D1646">
        <v>5801</v>
      </c>
      <c r="E1646" s="5" t="s">
        <v>80</v>
      </c>
      <c r="F1646" s="5" t="s">
        <v>14</v>
      </c>
      <c r="G1646">
        <v>9</v>
      </c>
    </row>
    <row r="1647" spans="1:7" x14ac:dyDescent="0.35">
      <c r="A1647">
        <v>73282</v>
      </c>
      <c r="B1647">
        <v>1</v>
      </c>
      <c r="C1647" s="5" t="s">
        <v>26</v>
      </c>
      <c r="D1647">
        <v>2201</v>
      </c>
      <c r="E1647" s="5" t="s">
        <v>80</v>
      </c>
      <c r="F1647" s="5" t="s">
        <v>14</v>
      </c>
      <c r="G1647">
        <v>25</v>
      </c>
    </row>
    <row r="1648" spans="1:7" x14ac:dyDescent="0.35">
      <c r="A1648">
        <v>146241</v>
      </c>
      <c r="B1648">
        <v>1</v>
      </c>
      <c r="C1648" s="5" t="s">
        <v>21</v>
      </c>
      <c r="D1648">
        <v>3401</v>
      </c>
      <c r="E1648" s="5" t="s">
        <v>85</v>
      </c>
      <c r="F1648" s="5" t="s">
        <v>14</v>
      </c>
      <c r="G1648">
        <v>50</v>
      </c>
    </row>
    <row r="1649" spans="1:7" x14ac:dyDescent="0.35">
      <c r="A1649">
        <v>60098</v>
      </c>
      <c r="B1649">
        <v>1</v>
      </c>
      <c r="C1649" s="5" t="s">
        <v>30</v>
      </c>
      <c r="D1649">
        <v>4106</v>
      </c>
      <c r="E1649" s="5" t="s">
        <v>80</v>
      </c>
      <c r="F1649" s="5" t="s">
        <v>14</v>
      </c>
      <c r="G1649">
        <v>25</v>
      </c>
    </row>
    <row r="1650" spans="1:7" x14ac:dyDescent="0.35">
      <c r="A1650">
        <v>74361</v>
      </c>
      <c r="B1650">
        <v>0</v>
      </c>
      <c r="C1650" s="5" t="s">
        <v>26</v>
      </c>
      <c r="D1650">
        <v>7012</v>
      </c>
      <c r="E1650" s="5" t="s">
        <v>81</v>
      </c>
      <c r="F1650" s="5" t="s">
        <v>14</v>
      </c>
      <c r="G1650">
        <v>10</v>
      </c>
    </row>
    <row r="1651" spans="1:7" x14ac:dyDescent="0.35">
      <c r="A1651">
        <v>82857</v>
      </c>
      <c r="B1651">
        <v>1</v>
      </c>
      <c r="C1651" s="5" t="s">
        <v>52</v>
      </c>
      <c r="D1651">
        <v>3804</v>
      </c>
      <c r="E1651" s="5" t="s">
        <v>83</v>
      </c>
      <c r="F1651" s="5" t="s">
        <v>14</v>
      </c>
      <c r="G1651">
        <v>10</v>
      </c>
    </row>
    <row r="1652" spans="1:7" x14ac:dyDescent="0.35">
      <c r="A1652">
        <v>38580</v>
      </c>
      <c r="B1652">
        <v>0</v>
      </c>
      <c r="C1652" s="5" t="s">
        <v>13</v>
      </c>
      <c r="D1652">
        <v>3607</v>
      </c>
      <c r="E1652" s="5" t="s">
        <v>80</v>
      </c>
      <c r="F1652" s="5" t="s">
        <v>14</v>
      </c>
      <c r="G1652">
        <v>10</v>
      </c>
    </row>
    <row r="1653" spans="1:7" x14ac:dyDescent="0.35">
      <c r="A1653">
        <v>36471</v>
      </c>
      <c r="B1653">
        <v>28</v>
      </c>
      <c r="C1653" s="5" t="s">
        <v>13</v>
      </c>
      <c r="D1653">
        <v>2710</v>
      </c>
      <c r="E1653" s="5" t="s">
        <v>91</v>
      </c>
      <c r="F1653" s="5" t="s">
        <v>17</v>
      </c>
      <c r="G1653">
        <v>20</v>
      </c>
    </row>
    <row r="1654" spans="1:7" x14ac:dyDescent="0.35">
      <c r="A1654">
        <v>140135</v>
      </c>
      <c r="B1654">
        <v>28</v>
      </c>
      <c r="C1654" s="5" t="s">
        <v>50</v>
      </c>
      <c r="D1654">
        <v>3901</v>
      </c>
      <c r="E1654" s="5" t="s">
        <v>81</v>
      </c>
      <c r="F1654" s="5" t="s">
        <v>17</v>
      </c>
      <c r="G1654">
        <v>20</v>
      </c>
    </row>
    <row r="1655" spans="1:7" x14ac:dyDescent="0.35">
      <c r="A1655">
        <v>133029</v>
      </c>
      <c r="B1655">
        <v>0</v>
      </c>
      <c r="C1655" s="5" t="s">
        <v>38</v>
      </c>
      <c r="D1655">
        <v>3801</v>
      </c>
      <c r="E1655" s="5" t="s">
        <v>78</v>
      </c>
      <c r="F1655" s="5" t="s">
        <v>17</v>
      </c>
      <c r="G1655">
        <v>5</v>
      </c>
    </row>
    <row r="1656" spans="1:7" x14ac:dyDescent="0.35">
      <c r="A1656">
        <v>161829</v>
      </c>
      <c r="B1656">
        <v>0</v>
      </c>
      <c r="C1656" s="5" t="s">
        <v>21</v>
      </c>
      <c r="D1656">
        <v>3402</v>
      </c>
      <c r="E1656" s="5" t="s">
        <v>80</v>
      </c>
      <c r="F1656" s="5" t="s">
        <v>17</v>
      </c>
      <c r="G1656">
        <v>10</v>
      </c>
    </row>
    <row r="1657" spans="1:7" x14ac:dyDescent="0.35">
      <c r="A1657">
        <v>168268</v>
      </c>
      <c r="B1657">
        <v>0</v>
      </c>
      <c r="C1657" s="5" t="s">
        <v>21</v>
      </c>
      <c r="D1657">
        <v>2207</v>
      </c>
      <c r="E1657" s="5" t="s">
        <v>93</v>
      </c>
      <c r="F1657" s="5" t="s">
        <v>17</v>
      </c>
      <c r="G1657">
        <v>15</v>
      </c>
    </row>
    <row r="1658" spans="1:7" x14ac:dyDescent="0.35">
      <c r="A1658">
        <v>19490</v>
      </c>
      <c r="B1658">
        <v>28</v>
      </c>
      <c r="C1658" s="5" t="s">
        <v>18</v>
      </c>
      <c r="D1658">
        <v>4201</v>
      </c>
      <c r="E1658" s="5" t="s">
        <v>78</v>
      </c>
      <c r="F1658" s="5" t="s">
        <v>17</v>
      </c>
      <c r="G1658">
        <v>10</v>
      </c>
    </row>
    <row r="1659" spans="1:7" x14ac:dyDescent="0.35">
      <c r="A1659">
        <v>166899</v>
      </c>
      <c r="B1659">
        <v>2</v>
      </c>
      <c r="C1659" s="5" t="s">
        <v>21</v>
      </c>
      <c r="D1659">
        <v>3601</v>
      </c>
      <c r="E1659" s="5" t="s">
        <v>80</v>
      </c>
      <c r="F1659" s="5" t="s">
        <v>17</v>
      </c>
      <c r="G1659">
        <v>35</v>
      </c>
    </row>
    <row r="1660" spans="1:7" x14ac:dyDescent="0.35">
      <c r="A1660">
        <v>145982</v>
      </c>
      <c r="B1660">
        <v>0</v>
      </c>
      <c r="C1660" s="5" t="s">
        <v>21</v>
      </c>
      <c r="D1660">
        <v>5801</v>
      </c>
      <c r="E1660" s="5" t="s">
        <v>80</v>
      </c>
      <c r="F1660" s="5" t="s">
        <v>17</v>
      </c>
      <c r="G1660">
        <v>30</v>
      </c>
    </row>
    <row r="1661" spans="1:7" x14ac:dyDescent="0.35">
      <c r="A1661">
        <v>187764</v>
      </c>
      <c r="B1661">
        <v>0</v>
      </c>
      <c r="C1661" s="5" t="s">
        <v>51</v>
      </c>
      <c r="D1661">
        <v>0</v>
      </c>
      <c r="E1661" s="5" t="s">
        <v>86</v>
      </c>
      <c r="F1661" s="5" t="s">
        <v>86</v>
      </c>
      <c r="G1661">
        <v>25</v>
      </c>
    </row>
    <row r="1662" spans="1:7" x14ac:dyDescent="0.35">
      <c r="A1662">
        <v>171227</v>
      </c>
      <c r="B1662">
        <v>1</v>
      </c>
      <c r="C1662" s="5" t="s">
        <v>21</v>
      </c>
      <c r="D1662">
        <v>0</v>
      </c>
      <c r="E1662" s="5" t="s">
        <v>80</v>
      </c>
      <c r="F1662" s="5" t="s">
        <v>14</v>
      </c>
      <c r="G1662">
        <v>7</v>
      </c>
    </row>
    <row r="1663" spans="1:7" x14ac:dyDescent="0.35">
      <c r="A1663">
        <v>27419</v>
      </c>
      <c r="B1663">
        <v>1</v>
      </c>
      <c r="C1663" s="5" t="s">
        <v>36</v>
      </c>
      <c r="D1663">
        <v>0</v>
      </c>
      <c r="E1663" s="5" t="s">
        <v>89</v>
      </c>
      <c r="F1663" s="5" t="s">
        <v>14</v>
      </c>
      <c r="G1663">
        <v>20</v>
      </c>
    </row>
    <row r="1664" spans="1:7" x14ac:dyDescent="0.35">
      <c r="A1664">
        <v>106488</v>
      </c>
      <c r="B1664">
        <v>0</v>
      </c>
      <c r="C1664" s="5" t="s">
        <v>25</v>
      </c>
      <c r="D1664">
        <v>0</v>
      </c>
      <c r="E1664" s="5" t="s">
        <v>81</v>
      </c>
      <c r="F1664" s="5" t="s">
        <v>17</v>
      </c>
      <c r="G1664">
        <v>26</v>
      </c>
    </row>
    <row r="1665" spans="1:7" x14ac:dyDescent="0.35">
      <c r="A1665">
        <v>70722</v>
      </c>
      <c r="B1665">
        <v>0</v>
      </c>
      <c r="C1665" s="5" t="s">
        <v>26</v>
      </c>
      <c r="D1665">
        <v>907</v>
      </c>
      <c r="E1665" s="5" t="s">
        <v>87</v>
      </c>
      <c r="F1665" s="5" t="s">
        <v>17</v>
      </c>
      <c r="G1665">
        <v>16</v>
      </c>
    </row>
    <row r="1666" spans="1:7" x14ac:dyDescent="0.35">
      <c r="A1666">
        <v>187495</v>
      </c>
      <c r="B1666">
        <v>1</v>
      </c>
      <c r="C1666" s="5" t="s">
        <v>28</v>
      </c>
      <c r="D1666">
        <v>0</v>
      </c>
      <c r="E1666" s="5" t="s">
        <v>84</v>
      </c>
      <c r="F1666" s="5" t="s">
        <v>14</v>
      </c>
      <c r="G1666">
        <v>17</v>
      </c>
    </row>
    <row r="1667" spans="1:7" x14ac:dyDescent="0.35">
      <c r="A1667">
        <v>18543</v>
      </c>
      <c r="B1667">
        <v>0</v>
      </c>
      <c r="C1667" s="5" t="s">
        <v>18</v>
      </c>
      <c r="D1667">
        <v>6001</v>
      </c>
      <c r="E1667" s="5" t="s">
        <v>79</v>
      </c>
      <c r="F1667" s="5" t="s">
        <v>17</v>
      </c>
      <c r="G1667">
        <v>14</v>
      </c>
    </row>
    <row r="1668" spans="1:7" x14ac:dyDescent="0.35">
      <c r="A1668">
        <v>38707</v>
      </c>
      <c r="B1668">
        <v>1</v>
      </c>
      <c r="C1668" s="5" t="s">
        <v>13</v>
      </c>
      <c r="D1668">
        <v>0</v>
      </c>
      <c r="E1668" s="5" t="s">
        <v>82</v>
      </c>
      <c r="F1668" s="5" t="s">
        <v>14</v>
      </c>
      <c r="G1668">
        <v>17</v>
      </c>
    </row>
    <row r="1669" spans="1:7" x14ac:dyDescent="0.35">
      <c r="A1669">
        <v>138528</v>
      </c>
      <c r="B1669">
        <v>1</v>
      </c>
      <c r="C1669" s="5" t="s">
        <v>51</v>
      </c>
      <c r="D1669">
        <v>2406</v>
      </c>
      <c r="E1669" s="5" t="s">
        <v>80</v>
      </c>
      <c r="F1669" s="5" t="s">
        <v>14</v>
      </c>
      <c r="G1669">
        <v>26</v>
      </c>
    </row>
    <row r="1670" spans="1:7" x14ac:dyDescent="0.35">
      <c r="A1670">
        <v>177960</v>
      </c>
      <c r="B1670">
        <v>1</v>
      </c>
      <c r="C1670" s="5" t="s">
        <v>47</v>
      </c>
      <c r="D1670">
        <v>3803</v>
      </c>
      <c r="E1670" s="5" t="s">
        <v>79</v>
      </c>
      <c r="F1670" s="5" t="s">
        <v>14</v>
      </c>
      <c r="G1670">
        <v>25</v>
      </c>
    </row>
    <row r="1671" spans="1:7" x14ac:dyDescent="0.35">
      <c r="A1671">
        <v>97221</v>
      </c>
      <c r="B1671">
        <v>0</v>
      </c>
      <c r="C1671" s="5" t="s">
        <v>16</v>
      </c>
      <c r="D1671">
        <v>3101</v>
      </c>
      <c r="E1671" s="5" t="s">
        <v>81</v>
      </c>
      <c r="F1671" s="5" t="s">
        <v>17</v>
      </c>
      <c r="G1671">
        <v>25</v>
      </c>
    </row>
    <row r="1672" spans="1:7" x14ac:dyDescent="0.35">
      <c r="A1672">
        <v>158816</v>
      </c>
      <c r="B1672">
        <v>2</v>
      </c>
      <c r="C1672" s="5" t="s">
        <v>21</v>
      </c>
      <c r="D1672">
        <v>3601</v>
      </c>
      <c r="E1672" s="5" t="s">
        <v>82</v>
      </c>
      <c r="F1672" s="5" t="s">
        <v>17</v>
      </c>
      <c r="G1672">
        <v>11</v>
      </c>
    </row>
    <row r="1673" spans="1:7" x14ac:dyDescent="0.35">
      <c r="A1673">
        <v>93713</v>
      </c>
      <c r="B1673">
        <v>0</v>
      </c>
      <c r="C1673" s="5" t="s">
        <v>16</v>
      </c>
      <c r="D1673">
        <v>3101</v>
      </c>
      <c r="E1673" s="5" t="s">
        <v>91</v>
      </c>
      <c r="F1673" s="5" t="s">
        <v>17</v>
      </c>
      <c r="G1673">
        <v>20</v>
      </c>
    </row>
    <row r="1674" spans="1:7" x14ac:dyDescent="0.35">
      <c r="A1674">
        <v>135535</v>
      </c>
      <c r="B1674">
        <v>28</v>
      </c>
      <c r="C1674" s="5" t="s">
        <v>51</v>
      </c>
      <c r="D1674">
        <v>4707</v>
      </c>
      <c r="E1674" s="5" t="s">
        <v>85</v>
      </c>
      <c r="F1674" s="5" t="s">
        <v>17</v>
      </c>
      <c r="G1674">
        <v>13</v>
      </c>
    </row>
    <row r="1675" spans="1:7" x14ac:dyDescent="0.35">
      <c r="A1675">
        <v>91194</v>
      </c>
      <c r="B1675">
        <v>0</v>
      </c>
      <c r="C1675" s="5" t="s">
        <v>16</v>
      </c>
      <c r="D1675">
        <v>5001</v>
      </c>
      <c r="E1675" s="5" t="s">
        <v>87</v>
      </c>
      <c r="F1675" s="5" t="s">
        <v>17</v>
      </c>
      <c r="G1675">
        <v>7</v>
      </c>
    </row>
    <row r="1676" spans="1:7" x14ac:dyDescent="0.35">
      <c r="A1676">
        <v>62232</v>
      </c>
      <c r="B1676">
        <v>0</v>
      </c>
      <c r="C1676" s="5" t="s">
        <v>30</v>
      </c>
      <c r="D1676">
        <v>4206</v>
      </c>
      <c r="E1676" s="5" t="s">
        <v>84</v>
      </c>
      <c r="F1676" s="5" t="s">
        <v>17</v>
      </c>
      <c r="G1676">
        <v>19</v>
      </c>
    </row>
    <row r="1677" spans="1:7" x14ac:dyDescent="0.35">
      <c r="A1677">
        <v>91507</v>
      </c>
      <c r="B1677">
        <v>0</v>
      </c>
      <c r="C1677" s="5" t="s">
        <v>16</v>
      </c>
      <c r="D1677">
        <v>3601</v>
      </c>
      <c r="E1677" s="5" t="s">
        <v>83</v>
      </c>
      <c r="F1677" s="5" t="s">
        <v>17</v>
      </c>
      <c r="G1677">
        <v>14</v>
      </c>
    </row>
    <row r="1678" spans="1:7" x14ac:dyDescent="0.35">
      <c r="A1678">
        <v>153467</v>
      </c>
      <c r="B1678">
        <v>1</v>
      </c>
      <c r="C1678" s="5" t="s">
        <v>21</v>
      </c>
      <c r="D1678">
        <v>2301</v>
      </c>
      <c r="E1678" s="5" t="s">
        <v>83</v>
      </c>
      <c r="F1678" s="5" t="s">
        <v>14</v>
      </c>
      <c r="G1678">
        <v>21</v>
      </c>
    </row>
    <row r="1679" spans="1:7" x14ac:dyDescent="0.35">
      <c r="A1679">
        <v>28718</v>
      </c>
      <c r="B1679">
        <v>1</v>
      </c>
      <c r="C1679" s="5" t="s">
        <v>36</v>
      </c>
      <c r="D1679">
        <v>2201</v>
      </c>
      <c r="E1679" s="5" t="s">
        <v>87</v>
      </c>
      <c r="F1679" s="5" t="s">
        <v>14</v>
      </c>
      <c r="G1679">
        <v>20</v>
      </c>
    </row>
    <row r="1680" spans="1:7" x14ac:dyDescent="0.35">
      <c r="A1680">
        <v>119902</v>
      </c>
      <c r="B1680">
        <v>1</v>
      </c>
      <c r="C1680" s="5" t="s">
        <v>20</v>
      </c>
      <c r="D1680">
        <v>2201</v>
      </c>
      <c r="E1680" s="5" t="s">
        <v>89</v>
      </c>
      <c r="F1680" s="5" t="s">
        <v>14</v>
      </c>
      <c r="G1680">
        <v>5</v>
      </c>
    </row>
    <row r="1681" spans="1:7" x14ac:dyDescent="0.35">
      <c r="A1681">
        <v>179339</v>
      </c>
      <c r="B1681">
        <v>0</v>
      </c>
      <c r="C1681" s="5" t="s">
        <v>37</v>
      </c>
      <c r="D1681">
        <v>9310</v>
      </c>
      <c r="E1681" s="5" t="s">
        <v>84</v>
      </c>
      <c r="F1681" s="5" t="s">
        <v>14</v>
      </c>
      <c r="G1681">
        <v>13</v>
      </c>
    </row>
    <row r="1682" spans="1:7" x14ac:dyDescent="0.35">
      <c r="A1682">
        <v>74880</v>
      </c>
      <c r="B1682">
        <v>0</v>
      </c>
      <c r="C1682" s="5" t="s">
        <v>44</v>
      </c>
      <c r="D1682">
        <v>2201</v>
      </c>
      <c r="E1682" s="5" t="s">
        <v>79</v>
      </c>
      <c r="F1682" s="5" t="s">
        <v>17</v>
      </c>
      <c r="G1682">
        <v>25</v>
      </c>
    </row>
    <row r="1683" spans="1:7" x14ac:dyDescent="0.35">
      <c r="A1683">
        <v>29988</v>
      </c>
      <c r="B1683">
        <v>1</v>
      </c>
      <c r="C1683" s="5" t="s">
        <v>36</v>
      </c>
      <c r="D1683">
        <v>0</v>
      </c>
      <c r="E1683" s="5" t="s">
        <v>90</v>
      </c>
      <c r="F1683" s="5" t="s">
        <v>14</v>
      </c>
      <c r="G1683">
        <v>25</v>
      </c>
    </row>
    <row r="1684" spans="1:7" x14ac:dyDescent="0.35">
      <c r="A1684">
        <v>132508</v>
      </c>
      <c r="B1684">
        <v>28</v>
      </c>
      <c r="C1684" s="5" t="s">
        <v>58</v>
      </c>
      <c r="D1684">
        <v>0</v>
      </c>
      <c r="E1684" s="5" t="s">
        <v>78</v>
      </c>
      <c r="F1684" s="5" t="s">
        <v>17</v>
      </c>
      <c r="G1684">
        <v>10</v>
      </c>
    </row>
    <row r="1685" spans="1:7" x14ac:dyDescent="0.35">
      <c r="A1685">
        <v>144351</v>
      </c>
      <c r="B1685">
        <v>0</v>
      </c>
      <c r="C1685" s="5" t="s">
        <v>21</v>
      </c>
      <c r="D1685">
        <v>3609</v>
      </c>
      <c r="E1685" s="5" t="s">
        <v>93</v>
      </c>
      <c r="F1685" s="5" t="s">
        <v>17</v>
      </c>
      <c r="G1685">
        <v>40</v>
      </c>
    </row>
    <row r="1686" spans="1:7" x14ac:dyDescent="0.35">
      <c r="A1686">
        <v>38388</v>
      </c>
      <c r="B1686">
        <v>2</v>
      </c>
      <c r="C1686" s="5" t="s">
        <v>13</v>
      </c>
      <c r="D1686">
        <v>4810</v>
      </c>
      <c r="E1686" s="5" t="s">
        <v>93</v>
      </c>
      <c r="F1686" s="5" t="s">
        <v>17</v>
      </c>
      <c r="G1686">
        <v>10</v>
      </c>
    </row>
    <row r="1687" spans="1:7" x14ac:dyDescent="0.35">
      <c r="A1687">
        <v>176863</v>
      </c>
      <c r="B1687">
        <v>1</v>
      </c>
      <c r="C1687" s="5" t="s">
        <v>47</v>
      </c>
      <c r="D1687">
        <v>6101</v>
      </c>
      <c r="E1687" s="5" t="s">
        <v>89</v>
      </c>
      <c r="F1687" s="5" t="s">
        <v>14</v>
      </c>
      <c r="G1687">
        <v>20</v>
      </c>
    </row>
    <row r="1688" spans="1:7" x14ac:dyDescent="0.35">
      <c r="A1688">
        <v>70696</v>
      </c>
      <c r="B1688">
        <v>0</v>
      </c>
      <c r="C1688" s="5" t="s">
        <v>26</v>
      </c>
      <c r="D1688">
        <v>4701</v>
      </c>
      <c r="E1688" s="5" t="s">
        <v>78</v>
      </c>
      <c r="F1688" s="5" t="s">
        <v>17</v>
      </c>
      <c r="G1688">
        <v>12</v>
      </c>
    </row>
    <row r="1689" spans="1:7" x14ac:dyDescent="0.35">
      <c r="A1689">
        <v>151819</v>
      </c>
      <c r="B1689">
        <v>0</v>
      </c>
      <c r="C1689" s="5" t="s">
        <v>21</v>
      </c>
      <c r="D1689">
        <v>4601</v>
      </c>
      <c r="E1689" s="5" t="s">
        <v>92</v>
      </c>
      <c r="F1689" s="5" t="s">
        <v>14</v>
      </c>
      <c r="G1689">
        <v>6</v>
      </c>
    </row>
    <row r="1690" spans="1:7" x14ac:dyDescent="0.35">
      <c r="A1690">
        <v>146500</v>
      </c>
      <c r="B1690">
        <v>28</v>
      </c>
      <c r="C1690" s="5" t="s">
        <v>21</v>
      </c>
      <c r="D1690">
        <v>2201</v>
      </c>
      <c r="E1690" s="5" t="s">
        <v>80</v>
      </c>
      <c r="F1690" s="5" t="s">
        <v>17</v>
      </c>
      <c r="G1690">
        <v>25</v>
      </c>
    </row>
    <row r="1691" spans="1:7" x14ac:dyDescent="0.35">
      <c r="A1691">
        <v>72679</v>
      </c>
      <c r="B1691">
        <v>0</v>
      </c>
      <c r="C1691" s="5" t="s">
        <v>26</v>
      </c>
      <c r="D1691">
        <v>6401</v>
      </c>
      <c r="E1691" s="5" t="s">
        <v>81</v>
      </c>
      <c r="F1691" s="5" t="s">
        <v>17</v>
      </c>
      <c r="G1691">
        <v>10</v>
      </c>
    </row>
    <row r="1692" spans="1:7" x14ac:dyDescent="0.35">
      <c r="A1692">
        <v>61805</v>
      </c>
      <c r="B1692">
        <v>0</v>
      </c>
      <c r="C1692" s="5" t="s">
        <v>30</v>
      </c>
      <c r="D1692">
        <v>0</v>
      </c>
      <c r="E1692" s="5" t="s">
        <v>81</v>
      </c>
      <c r="F1692" s="5" t="s">
        <v>17</v>
      </c>
      <c r="G1692">
        <v>5</v>
      </c>
    </row>
    <row r="1693" spans="1:7" x14ac:dyDescent="0.35">
      <c r="A1693">
        <v>142742</v>
      </c>
      <c r="B1693">
        <v>2</v>
      </c>
      <c r="C1693" s="5" t="s">
        <v>21</v>
      </c>
      <c r="D1693">
        <v>4801</v>
      </c>
      <c r="E1693" s="5" t="s">
        <v>91</v>
      </c>
      <c r="F1693" s="5" t="s">
        <v>17</v>
      </c>
      <c r="G1693">
        <v>15</v>
      </c>
    </row>
    <row r="1694" spans="1:7" x14ac:dyDescent="0.35">
      <c r="A1694">
        <v>29342</v>
      </c>
      <c r="B1694">
        <v>0</v>
      </c>
      <c r="C1694" s="5" t="s">
        <v>36</v>
      </c>
      <c r="D1694">
        <v>0</v>
      </c>
      <c r="E1694" s="5" t="s">
        <v>86</v>
      </c>
      <c r="F1694" s="5" t="s">
        <v>17</v>
      </c>
      <c r="G1694">
        <v>10</v>
      </c>
    </row>
    <row r="1695" spans="1:7" x14ac:dyDescent="0.35">
      <c r="A1695">
        <v>49712</v>
      </c>
      <c r="B1695">
        <v>1</v>
      </c>
      <c r="C1695" s="5" t="s">
        <v>40</v>
      </c>
      <c r="D1695">
        <v>0</v>
      </c>
      <c r="E1695" s="5" t="s">
        <v>89</v>
      </c>
      <c r="F1695" s="5" t="s">
        <v>14</v>
      </c>
      <c r="G1695">
        <v>17</v>
      </c>
    </row>
    <row r="1696" spans="1:7" x14ac:dyDescent="0.35">
      <c r="A1696">
        <v>53529</v>
      </c>
      <c r="B1696">
        <v>0</v>
      </c>
      <c r="C1696" s="5" t="s">
        <v>49</v>
      </c>
      <c r="D1696">
        <v>0</v>
      </c>
      <c r="E1696" s="5" t="s">
        <v>83</v>
      </c>
      <c r="F1696" s="5" t="s">
        <v>17</v>
      </c>
      <c r="G1696">
        <v>5</v>
      </c>
    </row>
    <row r="1697" spans="1:7" x14ac:dyDescent="0.35">
      <c r="A1697">
        <v>70803</v>
      </c>
      <c r="B1697">
        <v>1</v>
      </c>
      <c r="C1697" s="5" t="s">
        <v>26</v>
      </c>
      <c r="D1697">
        <v>1112</v>
      </c>
      <c r="E1697" s="5" t="s">
        <v>89</v>
      </c>
      <c r="F1697" s="5" t="s">
        <v>14</v>
      </c>
      <c r="G1697">
        <v>4</v>
      </c>
    </row>
    <row r="1698" spans="1:7" x14ac:dyDescent="0.35">
      <c r="A1698">
        <v>20721</v>
      </c>
      <c r="B1698">
        <v>0</v>
      </c>
      <c r="C1698" s="5" t="s">
        <v>18</v>
      </c>
      <c r="D1698">
        <v>5805</v>
      </c>
      <c r="E1698" s="5" t="s">
        <v>81</v>
      </c>
      <c r="F1698" s="5" t="s">
        <v>17</v>
      </c>
      <c r="G1698">
        <v>10</v>
      </c>
    </row>
    <row r="1699" spans="1:7" x14ac:dyDescent="0.35">
      <c r="A1699">
        <v>15445</v>
      </c>
      <c r="B1699">
        <v>1</v>
      </c>
      <c r="C1699" s="5" t="s">
        <v>18</v>
      </c>
      <c r="D1699">
        <v>5501</v>
      </c>
      <c r="E1699" s="5" t="s">
        <v>78</v>
      </c>
      <c r="F1699" s="5" t="s">
        <v>14</v>
      </c>
      <c r="G1699">
        <v>20</v>
      </c>
    </row>
    <row r="1700" spans="1:7" x14ac:dyDescent="0.35">
      <c r="A1700">
        <v>24030</v>
      </c>
      <c r="B1700">
        <v>0</v>
      </c>
      <c r="C1700" s="5" t="s">
        <v>43</v>
      </c>
      <c r="D1700">
        <v>3306</v>
      </c>
      <c r="E1700" s="5" t="s">
        <v>94</v>
      </c>
      <c r="F1700" s="5" t="s">
        <v>17</v>
      </c>
      <c r="G1700">
        <v>20</v>
      </c>
    </row>
    <row r="1701" spans="1:7" x14ac:dyDescent="0.35">
      <c r="A1701">
        <v>150177</v>
      </c>
      <c r="B1701">
        <v>0</v>
      </c>
      <c r="C1701" s="5" t="s">
        <v>21</v>
      </c>
      <c r="D1701">
        <v>2001</v>
      </c>
      <c r="E1701" s="5" t="s">
        <v>80</v>
      </c>
      <c r="F1701" s="5" t="s">
        <v>14</v>
      </c>
      <c r="G1701">
        <v>20</v>
      </c>
    </row>
    <row r="1702" spans="1:7" x14ac:dyDescent="0.35">
      <c r="A1702">
        <v>137540</v>
      </c>
      <c r="B1702">
        <v>2</v>
      </c>
      <c r="C1702" s="5" t="s">
        <v>51</v>
      </c>
      <c r="D1702">
        <v>4801</v>
      </c>
      <c r="E1702" s="5" t="s">
        <v>82</v>
      </c>
      <c r="F1702" s="5" t="s">
        <v>17</v>
      </c>
      <c r="G1702">
        <v>10</v>
      </c>
    </row>
    <row r="1703" spans="1:7" x14ac:dyDescent="0.35">
      <c r="A1703">
        <v>13496</v>
      </c>
      <c r="B1703">
        <v>28</v>
      </c>
      <c r="C1703" s="5" t="s">
        <v>21</v>
      </c>
      <c r="D1703">
        <v>2801</v>
      </c>
      <c r="E1703" s="5" t="s">
        <v>85</v>
      </c>
      <c r="F1703" s="5" t="s">
        <v>17</v>
      </c>
      <c r="G1703">
        <v>25</v>
      </c>
    </row>
    <row r="1704" spans="1:7" x14ac:dyDescent="0.35">
      <c r="A1704">
        <v>28040</v>
      </c>
      <c r="B1704">
        <v>1</v>
      </c>
      <c r="C1704" s="5" t="s">
        <v>36</v>
      </c>
      <c r="D1704">
        <v>2901</v>
      </c>
      <c r="E1704" s="5" t="s">
        <v>79</v>
      </c>
      <c r="F1704" s="5" t="s">
        <v>14</v>
      </c>
      <c r="G1704">
        <v>11</v>
      </c>
    </row>
    <row r="1705" spans="1:7" x14ac:dyDescent="0.35">
      <c r="A1705">
        <v>156174</v>
      </c>
      <c r="B1705">
        <v>1</v>
      </c>
      <c r="C1705" s="5" t="s">
        <v>23</v>
      </c>
      <c r="D1705">
        <v>2601</v>
      </c>
      <c r="E1705" s="5" t="s">
        <v>78</v>
      </c>
      <c r="F1705" s="5" t="s">
        <v>14</v>
      </c>
      <c r="G1705">
        <v>10</v>
      </c>
    </row>
    <row r="1706" spans="1:7" x14ac:dyDescent="0.35">
      <c r="A1706">
        <v>75461</v>
      </c>
      <c r="B1706">
        <v>2</v>
      </c>
      <c r="C1706" s="5" t="s">
        <v>44</v>
      </c>
      <c r="D1706">
        <v>1612</v>
      </c>
      <c r="E1706" s="5" t="s">
        <v>86</v>
      </c>
      <c r="F1706" s="5" t="s">
        <v>86</v>
      </c>
      <c r="G1706">
        <v>15</v>
      </c>
    </row>
    <row r="1707" spans="1:7" x14ac:dyDescent="0.35">
      <c r="A1707">
        <v>2781</v>
      </c>
      <c r="B1707">
        <v>0</v>
      </c>
      <c r="C1707" s="5" t="s">
        <v>21</v>
      </c>
      <c r="D1707">
        <v>4501</v>
      </c>
      <c r="E1707" s="5" t="s">
        <v>93</v>
      </c>
      <c r="F1707" s="5" t="s">
        <v>17</v>
      </c>
      <c r="G1707">
        <v>20</v>
      </c>
    </row>
    <row r="1708" spans="1:7" x14ac:dyDescent="0.35">
      <c r="A1708">
        <v>85476</v>
      </c>
      <c r="B1708">
        <v>2</v>
      </c>
      <c r="C1708" s="5" t="s">
        <v>52</v>
      </c>
      <c r="D1708">
        <v>3801</v>
      </c>
      <c r="E1708" s="5" t="s">
        <v>89</v>
      </c>
      <c r="F1708" s="5" t="s">
        <v>17</v>
      </c>
      <c r="G1708">
        <v>5</v>
      </c>
    </row>
    <row r="1709" spans="1:7" x14ac:dyDescent="0.35">
      <c r="A1709">
        <v>177640</v>
      </c>
      <c r="B1709">
        <v>1</v>
      </c>
      <c r="C1709" s="5" t="s">
        <v>47</v>
      </c>
      <c r="D1709">
        <v>4911</v>
      </c>
      <c r="E1709" s="5" t="s">
        <v>81</v>
      </c>
      <c r="F1709" s="5" t="s">
        <v>14</v>
      </c>
      <c r="G1709">
        <v>30</v>
      </c>
    </row>
    <row r="1710" spans="1:7" x14ac:dyDescent="0.35">
      <c r="A1710">
        <v>183052</v>
      </c>
      <c r="B1710">
        <v>1</v>
      </c>
      <c r="C1710" s="5" t="s">
        <v>37</v>
      </c>
      <c r="D1710">
        <v>3511</v>
      </c>
      <c r="E1710" s="5" t="s">
        <v>79</v>
      </c>
      <c r="F1710" s="5" t="s">
        <v>14</v>
      </c>
      <c r="G1710">
        <v>5</v>
      </c>
    </row>
    <row r="1711" spans="1:7" x14ac:dyDescent="0.35">
      <c r="A1711">
        <v>115935</v>
      </c>
      <c r="B1711">
        <v>28</v>
      </c>
      <c r="C1711" s="5" t="s">
        <v>20</v>
      </c>
      <c r="D1711">
        <v>0</v>
      </c>
      <c r="E1711" s="5" t="s">
        <v>78</v>
      </c>
      <c r="F1711" s="5" t="s">
        <v>17</v>
      </c>
      <c r="G1711">
        <v>20</v>
      </c>
    </row>
    <row r="1712" spans="1:7" x14ac:dyDescent="0.35">
      <c r="A1712">
        <v>103872</v>
      </c>
      <c r="B1712">
        <v>2</v>
      </c>
      <c r="C1712" s="5" t="s">
        <v>33</v>
      </c>
      <c r="D1712">
        <v>3401</v>
      </c>
      <c r="E1712" s="5" t="s">
        <v>89</v>
      </c>
      <c r="F1712" s="5" t="s">
        <v>17</v>
      </c>
      <c r="G1712">
        <v>20</v>
      </c>
    </row>
    <row r="1713" spans="1:7" x14ac:dyDescent="0.35">
      <c r="A1713">
        <v>10064</v>
      </c>
      <c r="B1713">
        <v>0</v>
      </c>
      <c r="C1713" s="5" t="s">
        <v>30</v>
      </c>
      <c r="D1713">
        <v>0</v>
      </c>
      <c r="E1713" s="5" t="s">
        <v>94</v>
      </c>
      <c r="F1713" s="5" t="s">
        <v>17</v>
      </c>
      <c r="G1713">
        <v>18</v>
      </c>
    </row>
    <row r="1714" spans="1:7" x14ac:dyDescent="0.35">
      <c r="A1714">
        <v>84854</v>
      </c>
      <c r="B1714">
        <v>0</v>
      </c>
      <c r="C1714" s="5" t="s">
        <v>52</v>
      </c>
      <c r="D1714">
        <v>3701</v>
      </c>
      <c r="E1714" s="5" t="s">
        <v>78</v>
      </c>
      <c r="F1714" s="5" t="s">
        <v>17</v>
      </c>
      <c r="G1714">
        <v>3</v>
      </c>
    </row>
    <row r="1715" spans="1:7" x14ac:dyDescent="0.35">
      <c r="A1715">
        <v>106430</v>
      </c>
      <c r="B1715">
        <v>3</v>
      </c>
      <c r="C1715" s="5" t="s">
        <v>25</v>
      </c>
      <c r="D1715">
        <v>5104</v>
      </c>
      <c r="E1715" s="5" t="s">
        <v>79</v>
      </c>
      <c r="F1715" s="5" t="s">
        <v>17</v>
      </c>
      <c r="G1715">
        <v>14</v>
      </c>
    </row>
    <row r="1716" spans="1:7" x14ac:dyDescent="0.35">
      <c r="A1716">
        <v>18438</v>
      </c>
      <c r="B1716">
        <v>1</v>
      </c>
      <c r="C1716" s="5" t="s">
        <v>18</v>
      </c>
      <c r="D1716">
        <v>2806</v>
      </c>
      <c r="E1716" s="5" t="s">
        <v>81</v>
      </c>
      <c r="F1716" s="5" t="s">
        <v>14</v>
      </c>
      <c r="G1716">
        <v>5</v>
      </c>
    </row>
    <row r="1717" spans="1:7" x14ac:dyDescent="0.35">
      <c r="A1717">
        <v>49519</v>
      </c>
      <c r="B1717">
        <v>2</v>
      </c>
      <c r="C1717" s="5" t="s">
        <v>40</v>
      </c>
      <c r="D1717">
        <v>4007</v>
      </c>
      <c r="E1717" s="5" t="s">
        <v>88</v>
      </c>
      <c r="F1717" s="5" t="s">
        <v>14</v>
      </c>
      <c r="G1717">
        <v>5</v>
      </c>
    </row>
    <row r="1718" spans="1:7" x14ac:dyDescent="0.35">
      <c r="A1718">
        <v>63971</v>
      </c>
      <c r="B1718">
        <v>1002</v>
      </c>
      <c r="C1718" s="5" t="s">
        <v>30</v>
      </c>
      <c r="D1718">
        <v>4201</v>
      </c>
      <c r="E1718" s="5" t="s">
        <v>81</v>
      </c>
      <c r="F1718" s="5" t="s">
        <v>14</v>
      </c>
      <c r="G1718">
        <v>4</v>
      </c>
    </row>
    <row r="1719" spans="1:7" x14ac:dyDescent="0.35">
      <c r="A1719">
        <v>34079</v>
      </c>
      <c r="B1719">
        <v>0</v>
      </c>
      <c r="C1719" s="5" t="s">
        <v>13</v>
      </c>
      <c r="D1719">
        <v>2201</v>
      </c>
      <c r="E1719" s="5" t="s">
        <v>78</v>
      </c>
      <c r="F1719" s="5" t="s">
        <v>17</v>
      </c>
      <c r="G1719">
        <v>5</v>
      </c>
    </row>
    <row r="1720" spans="1:7" x14ac:dyDescent="0.35">
      <c r="A1720">
        <v>120509</v>
      </c>
      <c r="B1720">
        <v>2</v>
      </c>
      <c r="C1720" s="5" t="s">
        <v>20</v>
      </c>
      <c r="D1720">
        <v>1502</v>
      </c>
      <c r="E1720" s="5" t="s">
        <v>89</v>
      </c>
      <c r="F1720" s="5" t="s">
        <v>17</v>
      </c>
      <c r="G1720">
        <v>10</v>
      </c>
    </row>
    <row r="1721" spans="1:7" x14ac:dyDescent="0.35">
      <c r="A1721">
        <v>66244</v>
      </c>
      <c r="B1721">
        <v>1002</v>
      </c>
      <c r="C1721" s="5" t="s">
        <v>26</v>
      </c>
      <c r="D1721">
        <v>0</v>
      </c>
      <c r="E1721" s="5" t="s">
        <v>88</v>
      </c>
      <c r="F1721" s="5" t="s">
        <v>14</v>
      </c>
      <c r="G1721">
        <v>10</v>
      </c>
    </row>
    <row r="1722" spans="1:7" x14ac:dyDescent="0.35">
      <c r="A1722">
        <v>44715</v>
      </c>
      <c r="B1722">
        <v>28</v>
      </c>
      <c r="C1722" s="5" t="s">
        <v>13</v>
      </c>
      <c r="D1722">
        <v>2601</v>
      </c>
      <c r="E1722" s="5" t="s">
        <v>78</v>
      </c>
      <c r="F1722" s="5" t="s">
        <v>17</v>
      </c>
      <c r="G1722">
        <v>12</v>
      </c>
    </row>
    <row r="1723" spans="1:7" x14ac:dyDescent="0.35">
      <c r="A1723">
        <v>104891</v>
      </c>
      <c r="B1723">
        <v>0</v>
      </c>
      <c r="C1723" s="5" t="s">
        <v>25</v>
      </c>
      <c r="D1723">
        <v>1706</v>
      </c>
      <c r="E1723" s="5" t="s">
        <v>80</v>
      </c>
      <c r="F1723" s="5" t="s">
        <v>14</v>
      </c>
      <c r="G1723">
        <v>23</v>
      </c>
    </row>
    <row r="1724" spans="1:7" x14ac:dyDescent="0.35">
      <c r="A1724">
        <v>30988</v>
      </c>
      <c r="B1724">
        <v>0</v>
      </c>
      <c r="C1724" s="5" t="s">
        <v>36</v>
      </c>
      <c r="D1724">
        <v>5401</v>
      </c>
      <c r="E1724" s="5" t="s">
        <v>81</v>
      </c>
      <c r="F1724" s="5" t="s">
        <v>17</v>
      </c>
      <c r="G1724">
        <v>10</v>
      </c>
    </row>
    <row r="1725" spans="1:7" x14ac:dyDescent="0.35">
      <c r="A1725">
        <v>158389</v>
      </c>
      <c r="B1725">
        <v>1</v>
      </c>
      <c r="C1725" s="5" t="s">
        <v>21</v>
      </c>
      <c r="D1725">
        <v>1101</v>
      </c>
      <c r="E1725" s="5" t="s">
        <v>88</v>
      </c>
      <c r="F1725" s="5" t="s">
        <v>14</v>
      </c>
      <c r="G1725">
        <v>12</v>
      </c>
    </row>
    <row r="1726" spans="1:7" x14ac:dyDescent="0.35">
      <c r="A1726">
        <v>97020</v>
      </c>
      <c r="B1726">
        <v>0</v>
      </c>
      <c r="C1726" s="5" t="s">
        <v>16</v>
      </c>
      <c r="D1726">
        <v>3901</v>
      </c>
      <c r="E1726" s="5" t="s">
        <v>82</v>
      </c>
      <c r="F1726" s="5" t="s">
        <v>17</v>
      </c>
      <c r="G1726">
        <v>17</v>
      </c>
    </row>
    <row r="1727" spans="1:7" x14ac:dyDescent="0.35">
      <c r="A1727">
        <v>92801</v>
      </c>
      <c r="B1727">
        <v>1</v>
      </c>
      <c r="C1727" s="5" t="s">
        <v>16</v>
      </c>
      <c r="D1727">
        <v>3503</v>
      </c>
      <c r="E1727" s="5" t="s">
        <v>85</v>
      </c>
      <c r="F1727" s="5" t="s">
        <v>14</v>
      </c>
      <c r="G1727">
        <v>15</v>
      </c>
    </row>
    <row r="1728" spans="1:7" x14ac:dyDescent="0.35">
      <c r="A1728">
        <v>28960</v>
      </c>
      <c r="B1728">
        <v>0</v>
      </c>
      <c r="C1728" s="5" t="s">
        <v>36</v>
      </c>
      <c r="D1728">
        <v>0</v>
      </c>
      <c r="E1728" s="5" t="s">
        <v>79</v>
      </c>
      <c r="F1728" s="5" t="s">
        <v>17</v>
      </c>
      <c r="G1728">
        <v>10</v>
      </c>
    </row>
    <row r="1729" spans="1:7" x14ac:dyDescent="0.35">
      <c r="A1729">
        <v>121969</v>
      </c>
      <c r="B1729">
        <v>0</v>
      </c>
      <c r="C1729" s="5" t="s">
        <v>20</v>
      </c>
      <c r="D1729">
        <v>5005</v>
      </c>
      <c r="E1729" s="5" t="s">
        <v>80</v>
      </c>
      <c r="F1729" s="5" t="s">
        <v>17</v>
      </c>
      <c r="G1729">
        <v>8</v>
      </c>
    </row>
    <row r="1730" spans="1:7" x14ac:dyDescent="0.35">
      <c r="A1730">
        <v>52330</v>
      </c>
      <c r="B1730">
        <v>0</v>
      </c>
      <c r="C1730" s="5" t="s">
        <v>49</v>
      </c>
      <c r="D1730">
        <v>2801</v>
      </c>
      <c r="E1730" s="5" t="s">
        <v>79</v>
      </c>
      <c r="F1730" s="5" t="s">
        <v>27</v>
      </c>
      <c r="G1730">
        <v>3</v>
      </c>
    </row>
    <row r="1731" spans="1:7" x14ac:dyDescent="0.35">
      <c r="A1731">
        <v>105709</v>
      </c>
      <c r="B1731">
        <v>1</v>
      </c>
      <c r="C1731" s="5" t="s">
        <v>25</v>
      </c>
      <c r="D1731">
        <v>3501</v>
      </c>
      <c r="E1731" s="5" t="s">
        <v>79</v>
      </c>
      <c r="F1731" s="5" t="s">
        <v>14</v>
      </c>
      <c r="G1731">
        <v>5</v>
      </c>
    </row>
    <row r="1732" spans="1:7" x14ac:dyDescent="0.35">
      <c r="A1732">
        <v>177329</v>
      </c>
      <c r="B1732">
        <v>2</v>
      </c>
      <c r="C1732" s="5" t="s">
        <v>47</v>
      </c>
      <c r="D1732">
        <v>4801</v>
      </c>
      <c r="E1732" s="5" t="s">
        <v>94</v>
      </c>
      <c r="F1732" s="5" t="s">
        <v>17</v>
      </c>
      <c r="G1732">
        <v>20</v>
      </c>
    </row>
    <row r="1733" spans="1:7" x14ac:dyDescent="0.35">
      <c r="A1733">
        <v>18196</v>
      </c>
      <c r="B1733">
        <v>2</v>
      </c>
      <c r="C1733" s="5" t="s">
        <v>18</v>
      </c>
      <c r="D1733">
        <v>0</v>
      </c>
      <c r="E1733" s="5" t="s">
        <v>79</v>
      </c>
      <c r="F1733" s="5" t="s">
        <v>14</v>
      </c>
      <c r="G1733">
        <v>12</v>
      </c>
    </row>
    <row r="1734" spans="1:7" x14ac:dyDescent="0.35">
      <c r="A1734">
        <v>185572</v>
      </c>
      <c r="B1734">
        <v>1</v>
      </c>
      <c r="C1734" s="5" t="s">
        <v>53</v>
      </c>
      <c r="D1734">
        <v>0</v>
      </c>
      <c r="E1734" s="5" t="s">
        <v>83</v>
      </c>
      <c r="F1734" s="5" t="s">
        <v>14</v>
      </c>
      <c r="G1734">
        <v>5</v>
      </c>
    </row>
    <row r="1735" spans="1:7" x14ac:dyDescent="0.35">
      <c r="A1735">
        <v>103613</v>
      </c>
      <c r="B1735">
        <v>28</v>
      </c>
      <c r="C1735" s="5" t="s">
        <v>33</v>
      </c>
      <c r="D1735">
        <v>3801</v>
      </c>
      <c r="E1735" s="5" t="s">
        <v>81</v>
      </c>
      <c r="F1735" s="5" t="s">
        <v>17</v>
      </c>
      <c r="G1735">
        <v>15</v>
      </c>
    </row>
    <row r="1736" spans="1:7" x14ac:dyDescent="0.35">
      <c r="A1736">
        <v>84144</v>
      </c>
      <c r="B1736">
        <v>0</v>
      </c>
      <c r="C1736" s="5" t="s">
        <v>52</v>
      </c>
      <c r="D1736">
        <v>6408</v>
      </c>
      <c r="E1736" s="5" t="s">
        <v>83</v>
      </c>
      <c r="F1736" s="5" t="s">
        <v>17</v>
      </c>
      <c r="G1736">
        <v>20</v>
      </c>
    </row>
    <row r="1737" spans="1:7" x14ac:dyDescent="0.35">
      <c r="A1737">
        <v>83530</v>
      </c>
      <c r="B1737">
        <v>0</v>
      </c>
      <c r="C1737" s="5" t="s">
        <v>52</v>
      </c>
      <c r="D1737">
        <v>2207</v>
      </c>
      <c r="E1737" s="5" t="s">
        <v>91</v>
      </c>
      <c r="F1737" s="5" t="s">
        <v>86</v>
      </c>
      <c r="G1737">
        <v>5</v>
      </c>
    </row>
    <row r="1738" spans="1:7" x14ac:dyDescent="0.35">
      <c r="A1738">
        <v>46495</v>
      </c>
      <c r="B1738">
        <v>0</v>
      </c>
      <c r="C1738" s="5" t="s">
        <v>13</v>
      </c>
      <c r="D1738">
        <v>3005</v>
      </c>
      <c r="E1738" s="5" t="s">
        <v>78</v>
      </c>
      <c r="F1738" s="5" t="s">
        <v>17</v>
      </c>
      <c r="G1738">
        <v>15</v>
      </c>
    </row>
    <row r="1739" spans="1:7" x14ac:dyDescent="0.35">
      <c r="A1739">
        <v>186458</v>
      </c>
      <c r="B1739">
        <v>2</v>
      </c>
      <c r="C1739" s="5" t="s">
        <v>37</v>
      </c>
      <c r="D1739">
        <v>0</v>
      </c>
      <c r="E1739" s="5" t="s">
        <v>78</v>
      </c>
      <c r="F1739" s="5" t="s">
        <v>17</v>
      </c>
      <c r="G1739">
        <v>3</v>
      </c>
    </row>
    <row r="1740" spans="1:7" x14ac:dyDescent="0.35">
      <c r="A1740">
        <v>162253</v>
      </c>
      <c r="B1740">
        <v>0</v>
      </c>
      <c r="C1740" s="5" t="s">
        <v>21</v>
      </c>
      <c r="D1740">
        <v>0</v>
      </c>
      <c r="E1740" s="5" t="s">
        <v>83</v>
      </c>
      <c r="F1740" s="5" t="s">
        <v>17</v>
      </c>
      <c r="G1740">
        <v>5</v>
      </c>
    </row>
    <row r="1741" spans="1:7" x14ac:dyDescent="0.35">
      <c r="A1741">
        <v>24915</v>
      </c>
      <c r="B1741">
        <v>0</v>
      </c>
      <c r="C1741" s="5" t="s">
        <v>40</v>
      </c>
      <c r="D1741">
        <v>5301</v>
      </c>
      <c r="E1741" s="5" t="s">
        <v>86</v>
      </c>
      <c r="F1741" s="5" t="s">
        <v>17</v>
      </c>
      <c r="G1741">
        <v>10</v>
      </c>
    </row>
    <row r="1742" spans="1:7" x14ac:dyDescent="0.35">
      <c r="A1742">
        <v>2081</v>
      </c>
      <c r="B1742">
        <v>0</v>
      </c>
      <c r="C1742" s="5" t="s">
        <v>37</v>
      </c>
      <c r="D1742">
        <v>0</v>
      </c>
      <c r="E1742" s="5" t="s">
        <v>86</v>
      </c>
      <c r="F1742" s="5" t="s">
        <v>17</v>
      </c>
      <c r="G1742">
        <v>7</v>
      </c>
    </row>
    <row r="1743" spans="1:7" x14ac:dyDescent="0.35">
      <c r="A1743">
        <v>121654</v>
      </c>
      <c r="B1743">
        <v>2</v>
      </c>
      <c r="C1743" s="5" t="s">
        <v>20</v>
      </c>
      <c r="D1743">
        <v>4710</v>
      </c>
      <c r="E1743" s="5" t="s">
        <v>82</v>
      </c>
      <c r="F1743" s="5" t="s">
        <v>14</v>
      </c>
      <c r="G1743">
        <v>21</v>
      </c>
    </row>
    <row r="1744" spans="1:7" x14ac:dyDescent="0.35">
      <c r="A1744">
        <v>132627</v>
      </c>
      <c r="B1744">
        <v>0</v>
      </c>
      <c r="C1744" s="5" t="s">
        <v>58</v>
      </c>
      <c r="D1744">
        <v>3601</v>
      </c>
      <c r="E1744" s="5" t="s">
        <v>81</v>
      </c>
      <c r="F1744" s="5" t="s">
        <v>14</v>
      </c>
      <c r="G1744">
        <v>10</v>
      </c>
    </row>
    <row r="1745" spans="1:7" x14ac:dyDescent="0.35">
      <c r="A1745">
        <v>149089</v>
      </c>
      <c r="B1745">
        <v>2</v>
      </c>
      <c r="C1745" s="5" t="s">
        <v>21</v>
      </c>
      <c r="D1745">
        <v>2601</v>
      </c>
      <c r="E1745" s="5" t="s">
        <v>84</v>
      </c>
      <c r="F1745" s="5" t="s">
        <v>17</v>
      </c>
      <c r="G1745">
        <v>20</v>
      </c>
    </row>
    <row r="1746" spans="1:7" x14ac:dyDescent="0.35">
      <c r="A1746">
        <v>150497</v>
      </c>
      <c r="B1746">
        <v>0</v>
      </c>
      <c r="C1746" s="5" t="s">
        <v>21</v>
      </c>
      <c r="D1746">
        <v>7701</v>
      </c>
      <c r="E1746" s="5" t="s">
        <v>83</v>
      </c>
      <c r="F1746" s="5" t="s">
        <v>14</v>
      </c>
      <c r="G1746">
        <v>40</v>
      </c>
    </row>
    <row r="1747" spans="1:7" x14ac:dyDescent="0.35">
      <c r="A1747">
        <v>180633</v>
      </c>
      <c r="B1747">
        <v>2</v>
      </c>
      <c r="C1747" s="5" t="s">
        <v>37</v>
      </c>
      <c r="D1747">
        <v>2102</v>
      </c>
      <c r="E1747" s="5" t="s">
        <v>79</v>
      </c>
      <c r="F1747" s="5" t="s">
        <v>17</v>
      </c>
      <c r="G1747">
        <v>15</v>
      </c>
    </row>
    <row r="1748" spans="1:7" x14ac:dyDescent="0.35">
      <c r="A1748">
        <v>50200</v>
      </c>
      <c r="B1748">
        <v>2</v>
      </c>
      <c r="C1748" s="5" t="s">
        <v>49</v>
      </c>
      <c r="D1748">
        <v>2201</v>
      </c>
      <c r="E1748" s="5" t="s">
        <v>82</v>
      </c>
      <c r="F1748" s="5" t="s">
        <v>14</v>
      </c>
      <c r="G1748">
        <v>10</v>
      </c>
    </row>
    <row r="1749" spans="1:7" x14ac:dyDescent="0.35">
      <c r="A1749">
        <v>172176</v>
      </c>
      <c r="B1749">
        <v>28</v>
      </c>
      <c r="C1749" s="5" t="s">
        <v>21</v>
      </c>
      <c r="D1749">
        <v>0</v>
      </c>
      <c r="E1749" s="5" t="s">
        <v>83</v>
      </c>
      <c r="F1749" s="5" t="s">
        <v>17</v>
      </c>
      <c r="G1749">
        <v>20</v>
      </c>
    </row>
    <row r="1750" spans="1:7" x14ac:dyDescent="0.35">
      <c r="A1750">
        <v>130884</v>
      </c>
      <c r="B1750">
        <v>0</v>
      </c>
      <c r="C1750" s="5" t="s">
        <v>45</v>
      </c>
      <c r="D1750">
        <v>2711</v>
      </c>
      <c r="E1750" s="5" t="s">
        <v>84</v>
      </c>
      <c r="F1750" s="5" t="s">
        <v>17</v>
      </c>
      <c r="G1750">
        <v>7</v>
      </c>
    </row>
    <row r="1751" spans="1:7" x14ac:dyDescent="0.35">
      <c r="A1751">
        <v>139857</v>
      </c>
      <c r="B1751">
        <v>0</v>
      </c>
      <c r="C1751" s="5" t="s">
        <v>50</v>
      </c>
      <c r="D1751">
        <v>1701</v>
      </c>
      <c r="E1751" s="5" t="s">
        <v>79</v>
      </c>
      <c r="F1751" s="5" t="s">
        <v>17</v>
      </c>
      <c r="G1751">
        <v>5</v>
      </c>
    </row>
    <row r="1752" spans="1:7" x14ac:dyDescent="0.35">
      <c r="A1752">
        <v>152325</v>
      </c>
      <c r="B1752">
        <v>1</v>
      </c>
      <c r="C1752" s="5" t="s">
        <v>21</v>
      </c>
      <c r="D1752">
        <v>4601</v>
      </c>
      <c r="E1752" s="5" t="s">
        <v>80</v>
      </c>
      <c r="F1752" s="5" t="s">
        <v>14</v>
      </c>
      <c r="G1752">
        <v>25</v>
      </c>
    </row>
    <row r="1753" spans="1:7" x14ac:dyDescent="0.35">
      <c r="A1753">
        <v>43559</v>
      </c>
      <c r="B1753">
        <v>0</v>
      </c>
      <c r="C1753" s="5" t="s">
        <v>13</v>
      </c>
      <c r="D1753">
        <v>1301</v>
      </c>
      <c r="E1753" s="5" t="s">
        <v>90</v>
      </c>
      <c r="F1753" s="5" t="s">
        <v>14</v>
      </c>
      <c r="G1753">
        <v>2</v>
      </c>
    </row>
    <row r="1754" spans="1:7" x14ac:dyDescent="0.35">
      <c r="A1754">
        <v>81527</v>
      </c>
      <c r="B1754">
        <v>2</v>
      </c>
      <c r="C1754" s="5" t="s">
        <v>32</v>
      </c>
      <c r="D1754">
        <v>1501</v>
      </c>
      <c r="E1754" s="5" t="s">
        <v>81</v>
      </c>
      <c r="F1754" s="5" t="s">
        <v>17</v>
      </c>
      <c r="G1754">
        <v>3</v>
      </c>
    </row>
    <row r="1755" spans="1:7" x14ac:dyDescent="0.35">
      <c r="A1755">
        <v>146913</v>
      </c>
      <c r="B1755">
        <v>28</v>
      </c>
      <c r="C1755" s="5" t="s">
        <v>21</v>
      </c>
      <c r="D1755">
        <v>3201</v>
      </c>
      <c r="E1755" s="5" t="s">
        <v>83</v>
      </c>
      <c r="F1755" s="5" t="s">
        <v>17</v>
      </c>
      <c r="G1755">
        <v>25</v>
      </c>
    </row>
    <row r="1756" spans="1:7" x14ac:dyDescent="0.35">
      <c r="A1756">
        <v>5968</v>
      </c>
      <c r="B1756">
        <v>0</v>
      </c>
      <c r="C1756" s="5" t="s">
        <v>32</v>
      </c>
      <c r="D1756">
        <v>0</v>
      </c>
      <c r="E1756" s="5" t="s">
        <v>85</v>
      </c>
      <c r="F1756" s="5" t="s">
        <v>17</v>
      </c>
      <c r="G1756">
        <v>12</v>
      </c>
    </row>
    <row r="1757" spans="1:7" x14ac:dyDescent="0.35">
      <c r="A1757">
        <v>3953</v>
      </c>
      <c r="B1757">
        <v>0</v>
      </c>
      <c r="C1757" s="5" t="s">
        <v>34</v>
      </c>
      <c r="D1757">
        <v>0</v>
      </c>
      <c r="E1757" s="5" t="s">
        <v>80</v>
      </c>
      <c r="F1757" s="5" t="s">
        <v>14</v>
      </c>
      <c r="G1757">
        <v>20</v>
      </c>
    </row>
    <row r="1758" spans="1:7" x14ac:dyDescent="0.35">
      <c r="A1758">
        <v>13177</v>
      </c>
      <c r="B1758">
        <v>0</v>
      </c>
      <c r="C1758" s="5" t="s">
        <v>21</v>
      </c>
      <c r="D1758">
        <v>3901</v>
      </c>
      <c r="E1758" s="5" t="s">
        <v>79</v>
      </c>
      <c r="F1758" s="5" t="s">
        <v>14</v>
      </c>
      <c r="G1758">
        <v>10</v>
      </c>
    </row>
    <row r="1759" spans="1:7" x14ac:dyDescent="0.35">
      <c r="A1759">
        <v>38632</v>
      </c>
      <c r="B1759">
        <v>0</v>
      </c>
      <c r="C1759" s="5" t="s">
        <v>13</v>
      </c>
      <c r="D1759">
        <v>5008</v>
      </c>
      <c r="E1759" s="5" t="s">
        <v>83</v>
      </c>
      <c r="F1759" s="5" t="s">
        <v>17</v>
      </c>
      <c r="G1759">
        <v>38</v>
      </c>
    </row>
    <row r="1760" spans="1:7" x14ac:dyDescent="0.35">
      <c r="A1760">
        <v>578</v>
      </c>
      <c r="B1760">
        <v>28</v>
      </c>
      <c r="C1760" s="5" t="s">
        <v>21</v>
      </c>
      <c r="D1760">
        <v>0</v>
      </c>
      <c r="E1760" s="5" t="s">
        <v>80</v>
      </c>
      <c r="F1760" s="5" t="s">
        <v>17</v>
      </c>
      <c r="G1760">
        <v>10</v>
      </c>
    </row>
    <row r="1761" spans="1:7" x14ac:dyDescent="0.35">
      <c r="A1761">
        <v>186980</v>
      </c>
      <c r="B1761">
        <v>0</v>
      </c>
      <c r="C1761" s="5" t="s">
        <v>20</v>
      </c>
      <c r="D1761">
        <v>5311</v>
      </c>
      <c r="E1761" s="5" t="s">
        <v>81</v>
      </c>
      <c r="F1761" s="5" t="s">
        <v>14</v>
      </c>
      <c r="G1761">
        <v>50</v>
      </c>
    </row>
    <row r="1762" spans="1:7" x14ac:dyDescent="0.35">
      <c r="A1762">
        <v>172475</v>
      </c>
      <c r="B1762">
        <v>0</v>
      </c>
      <c r="C1762" s="5" t="s">
        <v>21</v>
      </c>
      <c r="D1762">
        <v>4602</v>
      </c>
      <c r="E1762" s="5" t="s">
        <v>79</v>
      </c>
      <c r="F1762" s="5" t="s">
        <v>17</v>
      </c>
      <c r="G1762">
        <v>16</v>
      </c>
    </row>
    <row r="1763" spans="1:7" x14ac:dyDescent="0.35">
      <c r="A1763">
        <v>33526</v>
      </c>
      <c r="B1763">
        <v>0</v>
      </c>
      <c r="C1763" s="5" t="s">
        <v>13</v>
      </c>
      <c r="D1763">
        <v>5308</v>
      </c>
      <c r="E1763" s="5" t="s">
        <v>81</v>
      </c>
      <c r="F1763" s="5" t="s">
        <v>17</v>
      </c>
      <c r="G1763">
        <v>5</v>
      </c>
    </row>
    <row r="1764" spans="1:7" x14ac:dyDescent="0.35">
      <c r="A1764">
        <v>69465</v>
      </c>
      <c r="B1764">
        <v>1</v>
      </c>
      <c r="C1764" s="5" t="s">
        <v>26</v>
      </c>
      <c r="D1764">
        <v>4601</v>
      </c>
      <c r="E1764" s="5" t="s">
        <v>83</v>
      </c>
      <c r="F1764" s="5" t="s">
        <v>14</v>
      </c>
      <c r="G1764">
        <v>20</v>
      </c>
    </row>
    <row r="1765" spans="1:7" x14ac:dyDescent="0.35">
      <c r="A1765">
        <v>190391</v>
      </c>
      <c r="B1765">
        <v>1</v>
      </c>
      <c r="C1765" s="5" t="s">
        <v>18</v>
      </c>
      <c r="D1765">
        <v>3003</v>
      </c>
      <c r="E1765" s="5" t="s">
        <v>89</v>
      </c>
      <c r="F1765" s="5" t="s">
        <v>14</v>
      </c>
      <c r="G1765">
        <v>16</v>
      </c>
    </row>
    <row r="1766" spans="1:7" x14ac:dyDescent="0.35">
      <c r="A1766">
        <v>26378</v>
      </c>
      <c r="B1766">
        <v>0</v>
      </c>
      <c r="C1766" s="5" t="s">
        <v>36</v>
      </c>
      <c r="D1766">
        <v>3701</v>
      </c>
      <c r="E1766" s="5" t="s">
        <v>84</v>
      </c>
      <c r="F1766" s="5" t="s">
        <v>86</v>
      </c>
      <c r="G1766">
        <v>100</v>
      </c>
    </row>
    <row r="1767" spans="1:7" x14ac:dyDescent="0.35">
      <c r="A1767">
        <v>12998</v>
      </c>
      <c r="B1767">
        <v>0</v>
      </c>
      <c r="C1767" s="5" t="s">
        <v>37</v>
      </c>
      <c r="D1767">
        <v>1801</v>
      </c>
      <c r="E1767" s="5" t="s">
        <v>85</v>
      </c>
      <c r="F1767" s="5" t="s">
        <v>17</v>
      </c>
      <c r="G1767">
        <v>6</v>
      </c>
    </row>
    <row r="1768" spans="1:7" x14ac:dyDescent="0.35">
      <c r="A1768">
        <v>128035</v>
      </c>
      <c r="B1768">
        <v>1</v>
      </c>
      <c r="C1768" s="5" t="s">
        <v>20</v>
      </c>
      <c r="D1768">
        <v>2506</v>
      </c>
      <c r="E1768" s="5" t="s">
        <v>79</v>
      </c>
      <c r="F1768" s="5" t="s">
        <v>17</v>
      </c>
      <c r="G1768">
        <v>21</v>
      </c>
    </row>
    <row r="1769" spans="1:7" x14ac:dyDescent="0.35">
      <c r="A1769">
        <v>16756</v>
      </c>
      <c r="B1769">
        <v>0</v>
      </c>
      <c r="C1769" s="5" t="s">
        <v>18</v>
      </c>
      <c r="D1769">
        <v>6801</v>
      </c>
      <c r="E1769" s="5" t="s">
        <v>80</v>
      </c>
      <c r="F1769" s="5" t="s">
        <v>14</v>
      </c>
      <c r="G1769">
        <v>15</v>
      </c>
    </row>
    <row r="1770" spans="1:7" x14ac:dyDescent="0.35">
      <c r="A1770">
        <v>142313</v>
      </c>
      <c r="B1770">
        <v>28</v>
      </c>
      <c r="C1770" s="5" t="s">
        <v>23</v>
      </c>
      <c r="D1770">
        <v>3701</v>
      </c>
      <c r="E1770" s="5" t="s">
        <v>79</v>
      </c>
      <c r="F1770" s="5" t="s">
        <v>17</v>
      </c>
      <c r="G1770">
        <v>1</v>
      </c>
    </row>
    <row r="1771" spans="1:7" x14ac:dyDescent="0.35">
      <c r="A1771">
        <v>132903</v>
      </c>
      <c r="B1771">
        <v>0</v>
      </c>
      <c r="C1771" s="5" t="s">
        <v>58</v>
      </c>
      <c r="D1771">
        <v>6201</v>
      </c>
      <c r="E1771" s="5" t="s">
        <v>81</v>
      </c>
      <c r="F1771" s="5" t="s">
        <v>17</v>
      </c>
      <c r="G1771">
        <v>21</v>
      </c>
    </row>
    <row r="1772" spans="1:7" x14ac:dyDescent="0.35">
      <c r="A1772">
        <v>153957</v>
      </c>
      <c r="B1772">
        <v>28</v>
      </c>
      <c r="C1772" s="5" t="s">
        <v>21</v>
      </c>
      <c r="D1772">
        <v>5601</v>
      </c>
      <c r="E1772" s="5" t="s">
        <v>80</v>
      </c>
      <c r="F1772" s="5" t="s">
        <v>17</v>
      </c>
      <c r="G1772">
        <v>5</v>
      </c>
    </row>
    <row r="1773" spans="1:7" x14ac:dyDescent="0.35">
      <c r="A1773">
        <v>61808</v>
      </c>
      <c r="B1773">
        <v>1</v>
      </c>
      <c r="C1773" s="5" t="s">
        <v>30</v>
      </c>
      <c r="D1773">
        <v>4901</v>
      </c>
      <c r="E1773" s="5" t="s">
        <v>79</v>
      </c>
      <c r="F1773" s="5" t="s">
        <v>14</v>
      </c>
      <c r="G1773">
        <v>25</v>
      </c>
    </row>
    <row r="1774" spans="1:7" x14ac:dyDescent="0.35">
      <c r="A1774">
        <v>143707</v>
      </c>
      <c r="B1774">
        <v>0</v>
      </c>
      <c r="C1774" s="5" t="s">
        <v>21</v>
      </c>
      <c r="D1774">
        <v>5901</v>
      </c>
      <c r="E1774" s="5" t="s">
        <v>93</v>
      </c>
      <c r="F1774" s="5" t="s">
        <v>14</v>
      </c>
      <c r="G1774">
        <v>4</v>
      </c>
    </row>
    <row r="1775" spans="1:7" x14ac:dyDescent="0.35">
      <c r="A1775">
        <v>122001</v>
      </c>
      <c r="B1775">
        <v>1</v>
      </c>
      <c r="C1775" s="5" t="s">
        <v>20</v>
      </c>
      <c r="D1775">
        <v>6001</v>
      </c>
      <c r="E1775" s="5" t="s">
        <v>83</v>
      </c>
      <c r="F1775" s="5" t="s">
        <v>14</v>
      </c>
      <c r="G1775">
        <v>30</v>
      </c>
    </row>
    <row r="1776" spans="1:7" x14ac:dyDescent="0.35">
      <c r="A1776">
        <v>180786</v>
      </c>
      <c r="B1776">
        <v>1</v>
      </c>
      <c r="C1776" s="5" t="s">
        <v>37</v>
      </c>
      <c r="D1776">
        <v>2106</v>
      </c>
      <c r="E1776" s="5" t="s">
        <v>82</v>
      </c>
      <c r="F1776" s="5" t="s">
        <v>14</v>
      </c>
      <c r="G1776">
        <v>18</v>
      </c>
    </row>
    <row r="1777" spans="1:7" x14ac:dyDescent="0.35">
      <c r="A1777">
        <v>96031</v>
      </c>
      <c r="B1777">
        <v>1002</v>
      </c>
      <c r="C1777" s="5" t="s">
        <v>16</v>
      </c>
      <c r="D1777">
        <v>3601</v>
      </c>
      <c r="E1777" s="5" t="s">
        <v>81</v>
      </c>
      <c r="F1777" s="5" t="s">
        <v>14</v>
      </c>
      <c r="G1777">
        <v>5</v>
      </c>
    </row>
    <row r="1778" spans="1:7" x14ac:dyDescent="0.35">
      <c r="A1778">
        <v>60477</v>
      </c>
      <c r="B1778">
        <v>30</v>
      </c>
      <c r="C1778" s="5" t="s">
        <v>30</v>
      </c>
      <c r="D1778">
        <v>2401</v>
      </c>
      <c r="E1778" s="5" t="s">
        <v>87</v>
      </c>
      <c r="F1778" s="5" t="s">
        <v>14</v>
      </c>
      <c r="G1778">
        <v>20</v>
      </c>
    </row>
    <row r="1779" spans="1:7" x14ac:dyDescent="0.35">
      <c r="A1779">
        <v>144310</v>
      </c>
      <c r="B1779">
        <v>1</v>
      </c>
      <c r="C1779" s="5" t="s">
        <v>21</v>
      </c>
      <c r="D1779">
        <v>3801</v>
      </c>
      <c r="E1779" s="5" t="s">
        <v>93</v>
      </c>
      <c r="F1779" s="5" t="s">
        <v>14</v>
      </c>
      <c r="G1779">
        <v>6</v>
      </c>
    </row>
    <row r="1780" spans="1:7" x14ac:dyDescent="0.35">
      <c r="A1780">
        <v>2170</v>
      </c>
      <c r="B1780">
        <v>0</v>
      </c>
      <c r="C1780" s="5" t="s">
        <v>26</v>
      </c>
      <c r="D1780">
        <v>3003</v>
      </c>
      <c r="E1780" s="5" t="s">
        <v>79</v>
      </c>
      <c r="F1780" s="5" t="s">
        <v>17</v>
      </c>
      <c r="G1780">
        <v>7</v>
      </c>
    </row>
    <row r="1781" spans="1:7" x14ac:dyDescent="0.35">
      <c r="A1781">
        <v>7846</v>
      </c>
      <c r="B1781">
        <v>0</v>
      </c>
      <c r="C1781" s="5" t="s">
        <v>20</v>
      </c>
      <c r="D1781">
        <v>0</v>
      </c>
      <c r="E1781" s="5" t="s">
        <v>80</v>
      </c>
      <c r="F1781" s="5" t="s">
        <v>14</v>
      </c>
      <c r="G1781">
        <v>10</v>
      </c>
    </row>
    <row r="1782" spans="1:7" x14ac:dyDescent="0.35">
      <c r="A1782">
        <v>71904</v>
      </c>
      <c r="B1782">
        <v>1</v>
      </c>
      <c r="C1782" s="5" t="s">
        <v>26</v>
      </c>
      <c r="D1782">
        <v>1901</v>
      </c>
      <c r="E1782" s="5" t="s">
        <v>87</v>
      </c>
      <c r="F1782" s="5" t="s">
        <v>14</v>
      </c>
      <c r="G1782">
        <v>7</v>
      </c>
    </row>
    <row r="1783" spans="1:7" x14ac:dyDescent="0.35">
      <c r="A1783">
        <v>2512</v>
      </c>
      <c r="B1783">
        <v>1002</v>
      </c>
      <c r="C1783" s="5" t="s">
        <v>18</v>
      </c>
      <c r="D1783">
        <v>2601</v>
      </c>
      <c r="E1783" s="5" t="s">
        <v>86</v>
      </c>
      <c r="F1783" s="5" t="s">
        <v>14</v>
      </c>
      <c r="G1783">
        <v>25</v>
      </c>
    </row>
    <row r="1784" spans="1:7" x14ac:dyDescent="0.35">
      <c r="A1784">
        <v>71682</v>
      </c>
      <c r="B1784">
        <v>1</v>
      </c>
      <c r="C1784" s="5" t="s">
        <v>26</v>
      </c>
      <c r="D1784">
        <v>5511</v>
      </c>
      <c r="E1784" s="5" t="s">
        <v>79</v>
      </c>
      <c r="F1784" s="5" t="s">
        <v>14</v>
      </c>
      <c r="G1784">
        <v>20</v>
      </c>
    </row>
    <row r="1785" spans="1:7" x14ac:dyDescent="0.35">
      <c r="A1785">
        <v>142552</v>
      </c>
      <c r="B1785">
        <v>1</v>
      </c>
      <c r="C1785" s="5" t="s">
        <v>21</v>
      </c>
      <c r="D1785">
        <v>2801</v>
      </c>
      <c r="E1785" s="5" t="s">
        <v>93</v>
      </c>
      <c r="F1785" s="5" t="s">
        <v>14</v>
      </c>
      <c r="G1785">
        <v>5</v>
      </c>
    </row>
    <row r="1786" spans="1:7" x14ac:dyDescent="0.35">
      <c r="A1786">
        <v>109429</v>
      </c>
      <c r="B1786">
        <v>0</v>
      </c>
      <c r="C1786" s="5" t="s">
        <v>46</v>
      </c>
      <c r="D1786">
        <v>0</v>
      </c>
      <c r="E1786" s="5" t="s">
        <v>79</v>
      </c>
      <c r="F1786" s="5" t="s">
        <v>27</v>
      </c>
      <c r="G1786">
        <v>20</v>
      </c>
    </row>
    <row r="1787" spans="1:7" x14ac:dyDescent="0.35">
      <c r="A1787">
        <v>57332</v>
      </c>
      <c r="B1787">
        <v>1</v>
      </c>
      <c r="C1787" s="5" t="s">
        <v>53</v>
      </c>
      <c r="D1787">
        <v>2808</v>
      </c>
      <c r="E1787" s="5" t="s">
        <v>80</v>
      </c>
      <c r="F1787" s="5" t="s">
        <v>14</v>
      </c>
      <c r="G1787">
        <v>6</v>
      </c>
    </row>
    <row r="1788" spans="1:7" x14ac:dyDescent="0.35">
      <c r="A1788">
        <v>190778</v>
      </c>
      <c r="B1788">
        <v>4</v>
      </c>
      <c r="C1788" s="5" t="s">
        <v>18</v>
      </c>
      <c r="D1788">
        <v>0</v>
      </c>
      <c r="E1788" s="5" t="s">
        <v>81</v>
      </c>
      <c r="F1788" s="5" t="s">
        <v>14</v>
      </c>
      <c r="G1788">
        <v>20</v>
      </c>
    </row>
    <row r="1789" spans="1:7" x14ac:dyDescent="0.35">
      <c r="A1789">
        <v>128235</v>
      </c>
      <c r="B1789">
        <v>2</v>
      </c>
      <c r="C1789" s="5" t="s">
        <v>20</v>
      </c>
      <c r="D1789">
        <v>0</v>
      </c>
      <c r="E1789" s="5" t="s">
        <v>82</v>
      </c>
      <c r="F1789" s="5" t="s">
        <v>14</v>
      </c>
      <c r="G1789">
        <v>8</v>
      </c>
    </row>
    <row r="1790" spans="1:7" x14ac:dyDescent="0.35">
      <c r="A1790">
        <v>175113</v>
      </c>
      <c r="B1790">
        <v>28</v>
      </c>
      <c r="C1790" s="5" t="s">
        <v>47</v>
      </c>
      <c r="D1790">
        <v>0</v>
      </c>
      <c r="E1790" s="5" t="s">
        <v>79</v>
      </c>
      <c r="F1790" s="5" t="s">
        <v>17</v>
      </c>
      <c r="G1790">
        <v>25</v>
      </c>
    </row>
    <row r="1791" spans="1:7" x14ac:dyDescent="0.35">
      <c r="A1791">
        <v>66757</v>
      </c>
      <c r="B1791">
        <v>2</v>
      </c>
      <c r="C1791" s="5" t="s">
        <v>26</v>
      </c>
      <c r="D1791">
        <v>1209</v>
      </c>
      <c r="E1791" s="5" t="s">
        <v>86</v>
      </c>
      <c r="F1791" s="5" t="s">
        <v>17</v>
      </c>
      <c r="G1791">
        <v>4</v>
      </c>
    </row>
    <row r="1792" spans="1:7" x14ac:dyDescent="0.35">
      <c r="A1792">
        <v>154150</v>
      </c>
      <c r="B1792">
        <v>1</v>
      </c>
      <c r="C1792" s="5" t="s">
        <v>21</v>
      </c>
      <c r="D1792">
        <v>4801</v>
      </c>
      <c r="E1792" s="5" t="s">
        <v>81</v>
      </c>
      <c r="F1792" s="5" t="s">
        <v>14</v>
      </c>
      <c r="G1792">
        <v>14</v>
      </c>
    </row>
    <row r="1793" spans="1:7" x14ac:dyDescent="0.35">
      <c r="A1793">
        <v>55392</v>
      </c>
      <c r="B1793">
        <v>0</v>
      </c>
      <c r="C1793" s="5" t="s">
        <v>56</v>
      </c>
      <c r="D1793">
        <v>4601</v>
      </c>
      <c r="E1793" s="5" t="s">
        <v>81</v>
      </c>
      <c r="F1793" s="5" t="s">
        <v>14</v>
      </c>
      <c r="G1793">
        <v>6</v>
      </c>
    </row>
    <row r="1794" spans="1:7" x14ac:dyDescent="0.35">
      <c r="A1794">
        <v>162234</v>
      </c>
      <c r="B1794">
        <v>1</v>
      </c>
      <c r="C1794" s="5" t="s">
        <v>21</v>
      </c>
      <c r="D1794">
        <v>1707</v>
      </c>
      <c r="E1794" s="5" t="s">
        <v>83</v>
      </c>
      <c r="F1794" s="5" t="s">
        <v>14</v>
      </c>
      <c r="G1794">
        <v>26</v>
      </c>
    </row>
    <row r="1795" spans="1:7" x14ac:dyDescent="0.35">
      <c r="A1795">
        <v>8880</v>
      </c>
      <c r="B1795">
        <v>0</v>
      </c>
      <c r="C1795" s="5" t="s">
        <v>21</v>
      </c>
      <c r="D1795">
        <v>4401</v>
      </c>
      <c r="E1795" s="5" t="s">
        <v>83</v>
      </c>
      <c r="F1795" s="5" t="s">
        <v>17</v>
      </c>
      <c r="G1795">
        <v>25</v>
      </c>
    </row>
    <row r="1796" spans="1:7" x14ac:dyDescent="0.35">
      <c r="A1796">
        <v>6643</v>
      </c>
      <c r="B1796">
        <v>1</v>
      </c>
      <c r="C1796" s="5" t="s">
        <v>21</v>
      </c>
      <c r="D1796">
        <v>2203</v>
      </c>
      <c r="E1796" s="5" t="s">
        <v>82</v>
      </c>
      <c r="F1796" s="5" t="s">
        <v>14</v>
      </c>
      <c r="G1796">
        <v>16</v>
      </c>
    </row>
    <row r="1797" spans="1:7" x14ac:dyDescent="0.35">
      <c r="A1797">
        <v>170827</v>
      </c>
      <c r="B1797">
        <v>2</v>
      </c>
      <c r="C1797" s="5" t="s">
        <v>21</v>
      </c>
      <c r="D1797">
        <v>201</v>
      </c>
      <c r="E1797" s="5" t="s">
        <v>80</v>
      </c>
      <c r="F1797" s="5" t="s">
        <v>17</v>
      </c>
      <c r="G1797">
        <v>17</v>
      </c>
    </row>
    <row r="1798" spans="1:7" x14ac:dyDescent="0.35">
      <c r="A1798">
        <v>105459</v>
      </c>
      <c r="B1798">
        <v>0</v>
      </c>
      <c r="C1798" s="5" t="s">
        <v>25</v>
      </c>
      <c r="D1798">
        <v>0</v>
      </c>
      <c r="E1798" s="5" t="s">
        <v>89</v>
      </c>
      <c r="F1798" s="5" t="s">
        <v>17</v>
      </c>
      <c r="G1798">
        <v>5</v>
      </c>
    </row>
    <row r="1799" spans="1:7" x14ac:dyDescent="0.35">
      <c r="A1799">
        <v>26289</v>
      </c>
      <c r="B1799">
        <v>0</v>
      </c>
      <c r="C1799" s="5" t="s">
        <v>36</v>
      </c>
      <c r="D1799">
        <v>4601</v>
      </c>
      <c r="E1799" s="5" t="s">
        <v>82</v>
      </c>
      <c r="F1799" s="5" t="s">
        <v>17</v>
      </c>
      <c r="G1799">
        <v>10</v>
      </c>
    </row>
    <row r="1800" spans="1:7" x14ac:dyDescent="0.35">
      <c r="A1800">
        <v>67315</v>
      </c>
      <c r="B1800">
        <v>2</v>
      </c>
      <c r="C1800" s="5" t="s">
        <v>26</v>
      </c>
      <c r="D1800">
        <v>2005</v>
      </c>
      <c r="E1800" s="5" t="s">
        <v>80</v>
      </c>
      <c r="F1800" s="5" t="s">
        <v>17</v>
      </c>
      <c r="G1800">
        <v>27</v>
      </c>
    </row>
    <row r="1801" spans="1:7" x14ac:dyDescent="0.35">
      <c r="A1801">
        <v>75910</v>
      </c>
      <c r="B1801">
        <v>0</v>
      </c>
      <c r="C1801" s="5" t="s">
        <v>44</v>
      </c>
      <c r="D1801">
        <v>0</v>
      </c>
      <c r="E1801" s="5" t="s">
        <v>86</v>
      </c>
      <c r="F1801" s="5" t="s">
        <v>17</v>
      </c>
      <c r="G1801">
        <v>10</v>
      </c>
    </row>
    <row r="1802" spans="1:7" x14ac:dyDescent="0.35">
      <c r="A1802">
        <v>103527</v>
      </c>
      <c r="B1802">
        <v>1</v>
      </c>
      <c r="C1802" s="5" t="s">
        <v>33</v>
      </c>
      <c r="D1802">
        <v>5002</v>
      </c>
      <c r="E1802" s="5" t="s">
        <v>89</v>
      </c>
      <c r="F1802" s="5" t="s">
        <v>14</v>
      </c>
      <c r="G1802">
        <v>4</v>
      </c>
    </row>
    <row r="1803" spans="1:7" x14ac:dyDescent="0.35">
      <c r="A1803">
        <v>16247</v>
      </c>
      <c r="B1803">
        <v>2</v>
      </c>
      <c r="C1803" s="5" t="s">
        <v>18</v>
      </c>
      <c r="D1803">
        <v>0</v>
      </c>
      <c r="E1803" s="5" t="s">
        <v>81</v>
      </c>
      <c r="F1803" s="5" t="s">
        <v>86</v>
      </c>
      <c r="G1803">
        <v>10</v>
      </c>
    </row>
    <row r="1804" spans="1:7" x14ac:dyDescent="0.35">
      <c r="A1804">
        <v>166770</v>
      </c>
      <c r="B1804">
        <v>0</v>
      </c>
      <c r="C1804" s="5" t="s">
        <v>21</v>
      </c>
      <c r="D1804">
        <v>3901</v>
      </c>
      <c r="E1804" s="5" t="s">
        <v>90</v>
      </c>
      <c r="F1804" s="5" t="s">
        <v>17</v>
      </c>
      <c r="G1804">
        <v>5</v>
      </c>
    </row>
    <row r="1805" spans="1:7" x14ac:dyDescent="0.35">
      <c r="A1805">
        <v>82580</v>
      </c>
      <c r="B1805">
        <v>2</v>
      </c>
      <c r="C1805" s="5" t="s">
        <v>52</v>
      </c>
      <c r="D1805">
        <v>1001</v>
      </c>
      <c r="E1805" s="5" t="s">
        <v>87</v>
      </c>
      <c r="F1805" s="5" t="s">
        <v>17</v>
      </c>
      <c r="G1805">
        <v>5</v>
      </c>
    </row>
    <row r="1806" spans="1:7" x14ac:dyDescent="0.35">
      <c r="A1806">
        <v>34883</v>
      </c>
      <c r="B1806">
        <v>2</v>
      </c>
      <c r="C1806" s="5" t="s">
        <v>13</v>
      </c>
      <c r="D1806">
        <v>3001</v>
      </c>
      <c r="E1806" s="5" t="s">
        <v>79</v>
      </c>
      <c r="F1806" s="5" t="s">
        <v>14</v>
      </c>
      <c r="G1806">
        <v>5</v>
      </c>
    </row>
    <row r="1807" spans="1:7" x14ac:dyDescent="0.35">
      <c r="A1807">
        <v>57647</v>
      </c>
      <c r="B1807">
        <v>0</v>
      </c>
      <c r="C1807" s="5" t="s">
        <v>53</v>
      </c>
      <c r="D1807">
        <v>7309</v>
      </c>
      <c r="E1807" s="5" t="s">
        <v>81</v>
      </c>
      <c r="F1807" s="5" t="s">
        <v>14</v>
      </c>
      <c r="G1807">
        <v>20</v>
      </c>
    </row>
    <row r="1808" spans="1:7" x14ac:dyDescent="0.35">
      <c r="A1808">
        <v>82995</v>
      </c>
      <c r="B1808">
        <v>1002</v>
      </c>
      <c r="C1808" s="5" t="s">
        <v>52</v>
      </c>
      <c r="D1808">
        <v>3603</v>
      </c>
      <c r="E1808" s="5" t="s">
        <v>80</v>
      </c>
      <c r="F1808" s="5" t="s">
        <v>14</v>
      </c>
      <c r="G1808">
        <v>5</v>
      </c>
    </row>
    <row r="1809" spans="1:7" x14ac:dyDescent="0.35">
      <c r="A1809">
        <v>74043</v>
      </c>
      <c r="B1809">
        <v>0</v>
      </c>
      <c r="C1809" s="5" t="s">
        <v>26</v>
      </c>
      <c r="D1809">
        <v>2401</v>
      </c>
      <c r="E1809" s="5" t="s">
        <v>81</v>
      </c>
      <c r="F1809" s="5" t="s">
        <v>17</v>
      </c>
      <c r="G1809">
        <v>12</v>
      </c>
    </row>
    <row r="1810" spans="1:7" x14ac:dyDescent="0.35">
      <c r="A1810">
        <v>114438</v>
      </c>
      <c r="B1810">
        <v>1</v>
      </c>
      <c r="C1810" s="5" t="s">
        <v>28</v>
      </c>
      <c r="D1810">
        <v>2512</v>
      </c>
      <c r="E1810" s="5" t="s">
        <v>79</v>
      </c>
      <c r="F1810" s="5" t="s">
        <v>14</v>
      </c>
      <c r="G1810">
        <v>20</v>
      </c>
    </row>
    <row r="1811" spans="1:7" x14ac:dyDescent="0.35">
      <c r="A1811">
        <v>122046</v>
      </c>
      <c r="B1811">
        <v>0</v>
      </c>
      <c r="C1811" s="5" t="s">
        <v>20</v>
      </c>
      <c r="D1811">
        <v>3601</v>
      </c>
      <c r="E1811" s="5" t="s">
        <v>82</v>
      </c>
      <c r="F1811" s="5" t="s">
        <v>17</v>
      </c>
      <c r="G1811">
        <v>25</v>
      </c>
    </row>
    <row r="1812" spans="1:7" x14ac:dyDescent="0.35">
      <c r="A1812">
        <v>69122</v>
      </c>
      <c r="B1812">
        <v>1</v>
      </c>
      <c r="C1812" s="5" t="s">
        <v>26</v>
      </c>
      <c r="D1812">
        <v>2701</v>
      </c>
      <c r="E1812" s="5" t="s">
        <v>80</v>
      </c>
      <c r="F1812" s="5" t="s">
        <v>14</v>
      </c>
      <c r="G1812">
        <v>13</v>
      </c>
    </row>
    <row r="1813" spans="1:7" x14ac:dyDescent="0.35">
      <c r="A1813">
        <v>118739</v>
      </c>
      <c r="B1813">
        <v>0</v>
      </c>
      <c r="C1813" s="5" t="s">
        <v>20</v>
      </c>
      <c r="D1813">
        <v>4701</v>
      </c>
      <c r="E1813" s="5" t="s">
        <v>82</v>
      </c>
      <c r="F1813" s="5" t="s">
        <v>14</v>
      </c>
      <c r="G1813">
        <v>15</v>
      </c>
    </row>
    <row r="1814" spans="1:7" x14ac:dyDescent="0.35">
      <c r="A1814">
        <v>68148</v>
      </c>
      <c r="B1814">
        <v>0</v>
      </c>
      <c r="C1814" s="5" t="s">
        <v>26</v>
      </c>
      <c r="D1814">
        <v>5401</v>
      </c>
      <c r="E1814" s="5" t="s">
        <v>92</v>
      </c>
      <c r="F1814" s="5" t="s">
        <v>17</v>
      </c>
      <c r="G1814">
        <v>10</v>
      </c>
    </row>
    <row r="1815" spans="1:7" x14ac:dyDescent="0.35">
      <c r="A1815">
        <v>22644</v>
      </c>
      <c r="B1815">
        <v>2</v>
      </c>
      <c r="C1815" s="5" t="s">
        <v>43</v>
      </c>
      <c r="D1815">
        <v>4201</v>
      </c>
      <c r="E1815" s="5" t="s">
        <v>81</v>
      </c>
      <c r="F1815" s="5" t="s">
        <v>17</v>
      </c>
      <c r="G1815">
        <v>21</v>
      </c>
    </row>
    <row r="1816" spans="1:7" x14ac:dyDescent="0.35">
      <c r="A1816">
        <v>87239</v>
      </c>
      <c r="B1816">
        <v>1002</v>
      </c>
      <c r="C1816" s="5" t="s">
        <v>31</v>
      </c>
      <c r="D1816">
        <v>1601</v>
      </c>
      <c r="E1816" s="5" t="s">
        <v>79</v>
      </c>
      <c r="F1816" s="5" t="s">
        <v>14</v>
      </c>
      <c r="G1816">
        <v>7</v>
      </c>
    </row>
    <row r="1817" spans="1:7" x14ac:dyDescent="0.35">
      <c r="A1817">
        <v>108447</v>
      </c>
      <c r="B1817">
        <v>0</v>
      </c>
      <c r="C1817" s="5" t="s">
        <v>46</v>
      </c>
      <c r="D1817">
        <v>0</v>
      </c>
      <c r="E1817" s="5" t="s">
        <v>80</v>
      </c>
      <c r="F1817" s="5" t="s">
        <v>17</v>
      </c>
      <c r="G1817">
        <v>10</v>
      </c>
    </row>
    <row r="1818" spans="1:7" x14ac:dyDescent="0.35">
      <c r="A1818">
        <v>49860</v>
      </c>
      <c r="B1818">
        <v>0</v>
      </c>
      <c r="C1818" s="5" t="s">
        <v>49</v>
      </c>
      <c r="D1818">
        <v>3512</v>
      </c>
      <c r="E1818" s="5" t="s">
        <v>80</v>
      </c>
      <c r="F1818" s="5" t="s">
        <v>17</v>
      </c>
      <c r="G1818">
        <v>4</v>
      </c>
    </row>
    <row r="1819" spans="1:7" x14ac:dyDescent="0.35">
      <c r="A1819">
        <v>88662</v>
      </c>
      <c r="B1819">
        <v>0</v>
      </c>
      <c r="C1819" s="5" t="s">
        <v>16</v>
      </c>
      <c r="D1819">
        <v>3004</v>
      </c>
      <c r="E1819" s="5" t="s">
        <v>80</v>
      </c>
      <c r="F1819" s="5" t="s">
        <v>14</v>
      </c>
      <c r="G1819">
        <v>12</v>
      </c>
    </row>
    <row r="1820" spans="1:7" x14ac:dyDescent="0.35">
      <c r="A1820">
        <v>59225</v>
      </c>
      <c r="B1820">
        <v>2</v>
      </c>
      <c r="C1820" s="5" t="s">
        <v>30</v>
      </c>
      <c r="D1820">
        <v>0</v>
      </c>
      <c r="E1820" s="5" t="s">
        <v>81</v>
      </c>
      <c r="F1820" s="5" t="s">
        <v>17</v>
      </c>
      <c r="G1820">
        <v>10</v>
      </c>
    </row>
    <row r="1821" spans="1:7" x14ac:dyDescent="0.35">
      <c r="A1821">
        <v>190377</v>
      </c>
      <c r="B1821">
        <v>28</v>
      </c>
      <c r="C1821" s="5" t="s">
        <v>13</v>
      </c>
      <c r="D1821">
        <v>0</v>
      </c>
      <c r="E1821" s="5" t="s">
        <v>86</v>
      </c>
      <c r="F1821" s="5" t="s">
        <v>17</v>
      </c>
      <c r="G1821">
        <v>24</v>
      </c>
    </row>
    <row r="1822" spans="1:7" x14ac:dyDescent="0.35">
      <c r="A1822">
        <v>151695</v>
      </c>
      <c r="B1822">
        <v>1</v>
      </c>
      <c r="C1822" s="5" t="s">
        <v>21</v>
      </c>
      <c r="D1822">
        <v>0</v>
      </c>
      <c r="E1822" s="5" t="s">
        <v>84</v>
      </c>
      <c r="F1822" s="5" t="s">
        <v>14</v>
      </c>
      <c r="G1822">
        <v>35</v>
      </c>
    </row>
    <row r="1823" spans="1:7" x14ac:dyDescent="0.35">
      <c r="A1823">
        <v>146301</v>
      </c>
      <c r="B1823">
        <v>0</v>
      </c>
      <c r="C1823" s="5" t="s">
        <v>38</v>
      </c>
      <c r="D1823">
        <v>6301</v>
      </c>
      <c r="E1823" s="5" t="s">
        <v>93</v>
      </c>
      <c r="F1823" s="5" t="s">
        <v>17</v>
      </c>
      <c r="G1823">
        <v>17</v>
      </c>
    </row>
    <row r="1824" spans="1:7" x14ac:dyDescent="0.35">
      <c r="A1824">
        <v>27944</v>
      </c>
      <c r="B1824">
        <v>0</v>
      </c>
      <c r="C1824" s="5" t="s">
        <v>36</v>
      </c>
      <c r="D1824">
        <v>5011</v>
      </c>
      <c r="E1824" s="5" t="s">
        <v>78</v>
      </c>
      <c r="F1824" s="5" t="s">
        <v>17</v>
      </c>
      <c r="G1824">
        <v>33</v>
      </c>
    </row>
    <row r="1825" spans="1:7" x14ac:dyDescent="0.35">
      <c r="A1825">
        <v>172801</v>
      </c>
      <c r="B1825">
        <v>1002</v>
      </c>
      <c r="C1825" s="5" t="s">
        <v>21</v>
      </c>
      <c r="D1825">
        <v>0</v>
      </c>
      <c r="E1825" s="5" t="s">
        <v>81</v>
      </c>
      <c r="F1825" s="5" t="s">
        <v>14</v>
      </c>
      <c r="G1825">
        <v>10</v>
      </c>
    </row>
    <row r="1826" spans="1:7" x14ac:dyDescent="0.35">
      <c r="A1826">
        <v>78179</v>
      </c>
      <c r="B1826">
        <v>1</v>
      </c>
      <c r="C1826" s="5" t="s">
        <v>32</v>
      </c>
      <c r="D1826">
        <v>6401</v>
      </c>
      <c r="E1826" s="5" t="s">
        <v>87</v>
      </c>
      <c r="F1826" s="5" t="s">
        <v>14</v>
      </c>
      <c r="G1826">
        <v>10</v>
      </c>
    </row>
    <row r="1827" spans="1:7" x14ac:dyDescent="0.35">
      <c r="A1827">
        <v>121755</v>
      </c>
      <c r="B1827">
        <v>0</v>
      </c>
      <c r="C1827" s="5" t="s">
        <v>20</v>
      </c>
      <c r="D1827">
        <v>2001</v>
      </c>
      <c r="E1827" s="5" t="s">
        <v>82</v>
      </c>
      <c r="F1827" s="5" t="s">
        <v>14</v>
      </c>
      <c r="G1827">
        <v>15</v>
      </c>
    </row>
    <row r="1828" spans="1:7" x14ac:dyDescent="0.35">
      <c r="A1828">
        <v>147747</v>
      </c>
      <c r="B1828">
        <v>0</v>
      </c>
      <c r="C1828" s="5" t="s">
        <v>21</v>
      </c>
      <c r="D1828">
        <v>2008</v>
      </c>
      <c r="E1828" s="5" t="s">
        <v>83</v>
      </c>
      <c r="F1828" s="5" t="s">
        <v>17</v>
      </c>
      <c r="G1828">
        <v>13</v>
      </c>
    </row>
    <row r="1829" spans="1:7" x14ac:dyDescent="0.35">
      <c r="A1829">
        <v>3685</v>
      </c>
      <c r="B1829">
        <v>0</v>
      </c>
      <c r="C1829" s="5" t="s">
        <v>37</v>
      </c>
      <c r="D1829">
        <v>4201</v>
      </c>
      <c r="E1829" s="5" t="s">
        <v>88</v>
      </c>
      <c r="F1829" s="5" t="s">
        <v>17</v>
      </c>
      <c r="G1829">
        <v>15</v>
      </c>
    </row>
    <row r="1830" spans="1:7" x14ac:dyDescent="0.35">
      <c r="A1830">
        <v>128934</v>
      </c>
      <c r="B1830">
        <v>0</v>
      </c>
      <c r="C1830" s="5" t="s">
        <v>20</v>
      </c>
      <c r="D1830">
        <v>1</v>
      </c>
      <c r="E1830" s="5" t="s">
        <v>83</v>
      </c>
      <c r="F1830" s="5" t="s">
        <v>17</v>
      </c>
      <c r="G1830">
        <v>20</v>
      </c>
    </row>
    <row r="1831" spans="1:7" x14ac:dyDescent="0.35">
      <c r="A1831">
        <v>18038</v>
      </c>
      <c r="B1831">
        <v>0</v>
      </c>
      <c r="C1831" s="5" t="s">
        <v>18</v>
      </c>
      <c r="D1831">
        <v>0</v>
      </c>
      <c r="E1831" s="5" t="s">
        <v>81</v>
      </c>
      <c r="F1831" s="5" t="s">
        <v>86</v>
      </c>
      <c r="G1831">
        <v>16</v>
      </c>
    </row>
    <row r="1832" spans="1:7" x14ac:dyDescent="0.35">
      <c r="A1832">
        <v>180272</v>
      </c>
      <c r="B1832">
        <v>0</v>
      </c>
      <c r="C1832" s="5" t="s">
        <v>37</v>
      </c>
      <c r="D1832">
        <v>1801</v>
      </c>
      <c r="E1832" s="5" t="s">
        <v>78</v>
      </c>
      <c r="F1832" s="5" t="s">
        <v>17</v>
      </c>
      <c r="G1832">
        <v>20</v>
      </c>
    </row>
    <row r="1833" spans="1:7" x14ac:dyDescent="0.35">
      <c r="A1833">
        <v>164986</v>
      </c>
      <c r="B1833">
        <v>0</v>
      </c>
      <c r="C1833" s="5" t="s">
        <v>21</v>
      </c>
      <c r="D1833">
        <v>2901</v>
      </c>
      <c r="E1833" s="5" t="s">
        <v>83</v>
      </c>
      <c r="F1833" s="5" t="s">
        <v>17</v>
      </c>
      <c r="G1833">
        <v>15</v>
      </c>
    </row>
    <row r="1834" spans="1:7" x14ac:dyDescent="0.35">
      <c r="A1834">
        <v>65117</v>
      </c>
      <c r="B1834">
        <v>28</v>
      </c>
      <c r="C1834" s="5" t="s">
        <v>26</v>
      </c>
      <c r="D1834">
        <v>5610</v>
      </c>
      <c r="E1834" s="5" t="s">
        <v>94</v>
      </c>
      <c r="F1834" s="5" t="s">
        <v>17</v>
      </c>
      <c r="G1834">
        <v>10</v>
      </c>
    </row>
    <row r="1835" spans="1:7" x14ac:dyDescent="0.35">
      <c r="A1835">
        <v>93995</v>
      </c>
      <c r="B1835">
        <v>0</v>
      </c>
      <c r="C1835" s="5" t="s">
        <v>16</v>
      </c>
      <c r="D1835">
        <v>0</v>
      </c>
      <c r="E1835" s="5" t="s">
        <v>85</v>
      </c>
      <c r="F1835" s="5" t="s">
        <v>17</v>
      </c>
      <c r="G1835">
        <v>10</v>
      </c>
    </row>
    <row r="1836" spans="1:7" x14ac:dyDescent="0.35">
      <c r="A1836">
        <v>84097</v>
      </c>
      <c r="B1836">
        <v>2</v>
      </c>
      <c r="C1836" s="5" t="s">
        <v>52</v>
      </c>
      <c r="D1836">
        <v>1001</v>
      </c>
      <c r="E1836" s="5" t="s">
        <v>83</v>
      </c>
      <c r="F1836" s="5" t="s">
        <v>17</v>
      </c>
      <c r="G1836">
        <v>25</v>
      </c>
    </row>
    <row r="1837" spans="1:7" x14ac:dyDescent="0.35">
      <c r="A1837">
        <v>116267</v>
      </c>
      <c r="B1837">
        <v>0</v>
      </c>
      <c r="C1837" s="5" t="s">
        <v>20</v>
      </c>
      <c r="D1837">
        <v>2401</v>
      </c>
      <c r="E1837" s="5" t="s">
        <v>83</v>
      </c>
      <c r="F1837" s="5" t="s">
        <v>17</v>
      </c>
      <c r="G1837">
        <v>20</v>
      </c>
    </row>
    <row r="1838" spans="1:7" x14ac:dyDescent="0.35">
      <c r="A1838">
        <v>153898</v>
      </c>
      <c r="B1838">
        <v>0</v>
      </c>
      <c r="C1838" s="5" t="s">
        <v>21</v>
      </c>
      <c r="D1838">
        <v>0</v>
      </c>
      <c r="E1838" s="5" t="s">
        <v>93</v>
      </c>
      <c r="F1838" s="5" t="s">
        <v>17</v>
      </c>
      <c r="G1838">
        <v>10</v>
      </c>
    </row>
    <row r="1839" spans="1:7" x14ac:dyDescent="0.35">
      <c r="A1839">
        <v>161627</v>
      </c>
      <c r="B1839">
        <v>2</v>
      </c>
      <c r="C1839" s="5" t="s">
        <v>21</v>
      </c>
      <c r="D1839">
        <v>4401</v>
      </c>
      <c r="E1839" s="5" t="s">
        <v>80</v>
      </c>
      <c r="F1839" s="5" t="s">
        <v>14</v>
      </c>
      <c r="G1839">
        <v>21</v>
      </c>
    </row>
    <row r="1840" spans="1:7" x14ac:dyDescent="0.35">
      <c r="A1840">
        <v>22337</v>
      </c>
      <c r="B1840">
        <v>0</v>
      </c>
      <c r="C1840" s="5" t="s">
        <v>18</v>
      </c>
      <c r="D1840">
        <v>0</v>
      </c>
      <c r="E1840" s="5" t="s">
        <v>78</v>
      </c>
      <c r="F1840" s="5" t="s">
        <v>17</v>
      </c>
      <c r="G1840">
        <v>10</v>
      </c>
    </row>
    <row r="1841" spans="1:7" x14ac:dyDescent="0.35">
      <c r="A1841">
        <v>7590</v>
      </c>
      <c r="B1841">
        <v>2</v>
      </c>
      <c r="C1841" s="5" t="s">
        <v>20</v>
      </c>
      <c r="D1841">
        <v>606</v>
      </c>
      <c r="E1841" s="5" t="s">
        <v>81</v>
      </c>
      <c r="F1841" s="5" t="s">
        <v>17</v>
      </c>
      <c r="G1841">
        <v>30</v>
      </c>
    </row>
    <row r="1842" spans="1:7" x14ac:dyDescent="0.35">
      <c r="A1842">
        <v>108905</v>
      </c>
      <c r="B1842">
        <v>0</v>
      </c>
      <c r="C1842" s="5" t="s">
        <v>46</v>
      </c>
      <c r="D1842">
        <v>0</v>
      </c>
      <c r="E1842" s="5" t="s">
        <v>82</v>
      </c>
      <c r="F1842" s="5" t="s">
        <v>17</v>
      </c>
      <c r="G1842">
        <v>20</v>
      </c>
    </row>
    <row r="1843" spans="1:7" x14ac:dyDescent="0.35">
      <c r="A1843">
        <v>100411</v>
      </c>
      <c r="B1843">
        <v>1</v>
      </c>
      <c r="C1843" s="5" t="s">
        <v>33</v>
      </c>
      <c r="D1843">
        <v>6607</v>
      </c>
      <c r="E1843" s="5" t="s">
        <v>80</v>
      </c>
      <c r="F1843" s="5" t="s">
        <v>14</v>
      </c>
      <c r="G1843">
        <v>30</v>
      </c>
    </row>
    <row r="1844" spans="1:7" x14ac:dyDescent="0.35">
      <c r="A1844">
        <v>103488</v>
      </c>
      <c r="B1844">
        <v>0</v>
      </c>
      <c r="C1844" s="5" t="s">
        <v>33</v>
      </c>
      <c r="D1844">
        <v>3001</v>
      </c>
      <c r="E1844" s="5" t="s">
        <v>79</v>
      </c>
      <c r="F1844" s="5" t="s">
        <v>17</v>
      </c>
      <c r="G1844">
        <v>10</v>
      </c>
    </row>
    <row r="1845" spans="1:7" x14ac:dyDescent="0.35">
      <c r="A1845">
        <v>99410</v>
      </c>
      <c r="B1845">
        <v>0</v>
      </c>
      <c r="C1845" s="5" t="s">
        <v>33</v>
      </c>
      <c r="D1845">
        <v>2001</v>
      </c>
      <c r="E1845" s="5" t="s">
        <v>82</v>
      </c>
      <c r="F1845" s="5" t="s">
        <v>17</v>
      </c>
      <c r="G1845">
        <v>17</v>
      </c>
    </row>
    <row r="1846" spans="1:7" x14ac:dyDescent="0.35">
      <c r="A1846">
        <v>43949</v>
      </c>
      <c r="B1846">
        <v>0</v>
      </c>
      <c r="C1846" s="5" t="s">
        <v>13</v>
      </c>
      <c r="D1846">
        <v>1901</v>
      </c>
      <c r="E1846" s="5" t="s">
        <v>78</v>
      </c>
      <c r="F1846" s="5" t="s">
        <v>14</v>
      </c>
      <c r="G1846">
        <v>6</v>
      </c>
    </row>
    <row r="1847" spans="1:7" x14ac:dyDescent="0.35">
      <c r="A1847">
        <v>87706</v>
      </c>
      <c r="B1847">
        <v>1</v>
      </c>
      <c r="C1847" s="5" t="s">
        <v>31</v>
      </c>
      <c r="D1847">
        <v>3201</v>
      </c>
      <c r="E1847" s="5" t="s">
        <v>79</v>
      </c>
      <c r="F1847" s="5" t="s">
        <v>14</v>
      </c>
      <c r="G1847">
        <v>12</v>
      </c>
    </row>
    <row r="1848" spans="1:7" x14ac:dyDescent="0.35">
      <c r="A1848">
        <v>122217</v>
      </c>
      <c r="B1848">
        <v>0</v>
      </c>
      <c r="C1848" s="5" t="s">
        <v>20</v>
      </c>
      <c r="D1848">
        <v>3001</v>
      </c>
      <c r="E1848" s="5" t="s">
        <v>85</v>
      </c>
      <c r="F1848" s="5" t="s">
        <v>17</v>
      </c>
      <c r="G1848">
        <v>5</v>
      </c>
    </row>
    <row r="1849" spans="1:7" x14ac:dyDescent="0.35">
      <c r="A1849">
        <v>29724</v>
      </c>
      <c r="B1849">
        <v>2</v>
      </c>
      <c r="C1849" s="5" t="s">
        <v>36</v>
      </c>
      <c r="D1849">
        <v>3606</v>
      </c>
      <c r="E1849" s="5" t="s">
        <v>81</v>
      </c>
      <c r="F1849" s="5" t="s">
        <v>17</v>
      </c>
      <c r="G1849">
        <v>5</v>
      </c>
    </row>
    <row r="1850" spans="1:7" x14ac:dyDescent="0.35">
      <c r="A1850">
        <v>172214</v>
      </c>
      <c r="B1850">
        <v>0</v>
      </c>
      <c r="C1850" s="5" t="s">
        <v>21</v>
      </c>
      <c r="D1850">
        <v>4803</v>
      </c>
      <c r="E1850" s="5" t="s">
        <v>80</v>
      </c>
      <c r="F1850" s="5" t="s">
        <v>17</v>
      </c>
      <c r="G1850">
        <v>5</v>
      </c>
    </row>
    <row r="1851" spans="1:7" x14ac:dyDescent="0.35">
      <c r="A1851">
        <v>106719</v>
      </c>
      <c r="B1851">
        <v>28</v>
      </c>
      <c r="C1851" s="5" t="s">
        <v>20</v>
      </c>
      <c r="D1851">
        <v>601</v>
      </c>
      <c r="E1851" s="5" t="s">
        <v>91</v>
      </c>
      <c r="F1851" s="5" t="s">
        <v>17</v>
      </c>
      <c r="G1851">
        <v>10</v>
      </c>
    </row>
    <row r="1852" spans="1:7" x14ac:dyDescent="0.35">
      <c r="A1852">
        <v>12932</v>
      </c>
      <c r="B1852">
        <v>28</v>
      </c>
      <c r="C1852" s="5" t="s">
        <v>49</v>
      </c>
      <c r="D1852">
        <v>4704</v>
      </c>
      <c r="E1852" s="5" t="s">
        <v>78</v>
      </c>
      <c r="F1852" s="5" t="s">
        <v>17</v>
      </c>
      <c r="G1852">
        <v>21</v>
      </c>
    </row>
    <row r="1853" spans="1:7" x14ac:dyDescent="0.35">
      <c r="A1853">
        <v>190726</v>
      </c>
      <c r="B1853">
        <v>2</v>
      </c>
      <c r="C1853" s="5" t="s">
        <v>59</v>
      </c>
      <c r="D1853">
        <v>508</v>
      </c>
      <c r="E1853" s="5" t="s">
        <v>86</v>
      </c>
      <c r="F1853" s="5" t="s">
        <v>17</v>
      </c>
      <c r="G1853">
        <v>10</v>
      </c>
    </row>
    <row r="1854" spans="1:7" x14ac:dyDescent="0.35">
      <c r="A1854">
        <v>127511</v>
      </c>
      <c r="B1854">
        <v>2</v>
      </c>
      <c r="C1854" s="5" t="s">
        <v>20</v>
      </c>
      <c r="D1854">
        <v>4104</v>
      </c>
      <c r="E1854" s="5" t="s">
        <v>83</v>
      </c>
      <c r="F1854" s="5" t="s">
        <v>17</v>
      </c>
      <c r="G1854">
        <v>23</v>
      </c>
    </row>
    <row r="1855" spans="1:7" x14ac:dyDescent="0.35">
      <c r="A1855">
        <v>56337</v>
      </c>
      <c r="B1855">
        <v>0</v>
      </c>
      <c r="C1855" s="5" t="s">
        <v>53</v>
      </c>
      <c r="D1855">
        <v>3710</v>
      </c>
      <c r="E1855" s="5" t="s">
        <v>79</v>
      </c>
      <c r="F1855" s="5" t="s">
        <v>17</v>
      </c>
      <c r="G1855">
        <v>15</v>
      </c>
    </row>
    <row r="1856" spans="1:7" x14ac:dyDescent="0.35">
      <c r="A1856">
        <v>113692</v>
      </c>
      <c r="B1856">
        <v>1</v>
      </c>
      <c r="C1856" s="5" t="s">
        <v>28</v>
      </c>
      <c r="D1856">
        <v>5101</v>
      </c>
      <c r="E1856" s="5" t="s">
        <v>84</v>
      </c>
      <c r="F1856" s="5" t="s">
        <v>14</v>
      </c>
      <c r="G1856">
        <v>8</v>
      </c>
    </row>
    <row r="1857" spans="1:7" x14ac:dyDescent="0.35">
      <c r="A1857">
        <v>79850</v>
      </c>
      <c r="B1857">
        <v>2</v>
      </c>
      <c r="C1857" s="5" t="s">
        <v>32</v>
      </c>
      <c r="D1857">
        <v>1401</v>
      </c>
      <c r="E1857" s="5" t="s">
        <v>81</v>
      </c>
      <c r="F1857" s="5" t="s">
        <v>14</v>
      </c>
      <c r="G1857">
        <v>10</v>
      </c>
    </row>
    <row r="1858" spans="1:7" x14ac:dyDescent="0.35">
      <c r="A1858">
        <v>28796</v>
      </c>
      <c r="B1858">
        <v>2</v>
      </c>
      <c r="C1858" s="5" t="s">
        <v>36</v>
      </c>
      <c r="D1858">
        <v>0</v>
      </c>
      <c r="E1858" s="5" t="s">
        <v>81</v>
      </c>
      <c r="F1858" s="5" t="s">
        <v>14</v>
      </c>
      <c r="G1858">
        <v>10</v>
      </c>
    </row>
    <row r="1859" spans="1:7" x14ac:dyDescent="0.35">
      <c r="A1859">
        <v>131032</v>
      </c>
      <c r="B1859">
        <v>0</v>
      </c>
      <c r="C1859" s="5" t="s">
        <v>45</v>
      </c>
      <c r="D1859">
        <v>5801</v>
      </c>
      <c r="E1859" s="5" t="s">
        <v>79</v>
      </c>
      <c r="F1859" s="5" t="s">
        <v>17</v>
      </c>
      <c r="G1859">
        <v>25</v>
      </c>
    </row>
    <row r="1860" spans="1:7" x14ac:dyDescent="0.35">
      <c r="A1860">
        <v>86318</v>
      </c>
      <c r="B1860">
        <v>2</v>
      </c>
      <c r="C1860" s="5" t="s">
        <v>48</v>
      </c>
      <c r="D1860">
        <v>0</v>
      </c>
      <c r="E1860" s="5" t="s">
        <v>81</v>
      </c>
      <c r="F1860" s="5" t="s">
        <v>17</v>
      </c>
      <c r="G1860">
        <v>5</v>
      </c>
    </row>
    <row r="1861" spans="1:7" x14ac:dyDescent="0.35">
      <c r="A1861">
        <v>63725</v>
      </c>
      <c r="B1861">
        <v>1002</v>
      </c>
      <c r="C1861" s="5" t="s">
        <v>30</v>
      </c>
      <c r="D1861">
        <v>2301</v>
      </c>
      <c r="E1861" s="5" t="s">
        <v>81</v>
      </c>
      <c r="F1861" s="5" t="s">
        <v>14</v>
      </c>
      <c r="G1861">
        <v>25</v>
      </c>
    </row>
    <row r="1862" spans="1:7" x14ac:dyDescent="0.35">
      <c r="A1862">
        <v>63572</v>
      </c>
      <c r="B1862">
        <v>0</v>
      </c>
      <c r="C1862" s="5" t="s">
        <v>30</v>
      </c>
      <c r="D1862">
        <v>4102</v>
      </c>
      <c r="E1862" s="5" t="s">
        <v>90</v>
      </c>
      <c r="F1862" s="5" t="s">
        <v>17</v>
      </c>
      <c r="G1862">
        <v>12</v>
      </c>
    </row>
    <row r="1863" spans="1:7" x14ac:dyDescent="0.35">
      <c r="A1863">
        <v>139663</v>
      </c>
      <c r="B1863">
        <v>28</v>
      </c>
      <c r="C1863" s="5" t="s">
        <v>50</v>
      </c>
      <c r="D1863">
        <v>0</v>
      </c>
      <c r="E1863" s="5" t="s">
        <v>83</v>
      </c>
      <c r="F1863" s="5" t="s">
        <v>17</v>
      </c>
      <c r="G1863">
        <v>5</v>
      </c>
    </row>
    <row r="1864" spans="1:7" x14ac:dyDescent="0.35">
      <c r="A1864">
        <v>104848</v>
      </c>
      <c r="B1864">
        <v>0</v>
      </c>
      <c r="C1864" s="5" t="s">
        <v>25</v>
      </c>
      <c r="D1864">
        <v>1501</v>
      </c>
      <c r="E1864" s="5" t="s">
        <v>83</v>
      </c>
      <c r="F1864" s="5" t="s">
        <v>17</v>
      </c>
      <c r="G1864">
        <v>7</v>
      </c>
    </row>
    <row r="1865" spans="1:7" x14ac:dyDescent="0.35">
      <c r="A1865">
        <v>150776</v>
      </c>
      <c r="B1865">
        <v>28028</v>
      </c>
      <c r="C1865" s="5" t="s">
        <v>21</v>
      </c>
      <c r="D1865">
        <v>4112</v>
      </c>
      <c r="E1865" s="5" t="s">
        <v>91</v>
      </c>
      <c r="F1865" s="5" t="s">
        <v>17</v>
      </c>
      <c r="G1865">
        <v>8</v>
      </c>
    </row>
    <row r="1866" spans="1:7" x14ac:dyDescent="0.35">
      <c r="A1866">
        <v>43104</v>
      </c>
      <c r="B1866">
        <v>1</v>
      </c>
      <c r="C1866" s="5" t="s">
        <v>21</v>
      </c>
      <c r="D1866">
        <v>5708</v>
      </c>
      <c r="E1866" s="5" t="s">
        <v>82</v>
      </c>
      <c r="F1866" s="5" t="s">
        <v>17</v>
      </c>
      <c r="G1866">
        <v>9</v>
      </c>
    </row>
    <row r="1867" spans="1:7" x14ac:dyDescent="0.35">
      <c r="A1867">
        <v>162254</v>
      </c>
      <c r="B1867">
        <v>0</v>
      </c>
      <c r="C1867" s="5" t="s">
        <v>21</v>
      </c>
      <c r="D1867">
        <v>5801</v>
      </c>
      <c r="E1867" s="5" t="s">
        <v>83</v>
      </c>
      <c r="F1867" s="5" t="s">
        <v>17</v>
      </c>
      <c r="G1867">
        <v>35</v>
      </c>
    </row>
    <row r="1868" spans="1:7" x14ac:dyDescent="0.35">
      <c r="A1868">
        <v>52902</v>
      </c>
      <c r="B1868">
        <v>28</v>
      </c>
      <c r="C1868" s="5" t="s">
        <v>49</v>
      </c>
      <c r="D1868">
        <v>0</v>
      </c>
      <c r="E1868" s="5" t="s">
        <v>82</v>
      </c>
      <c r="F1868" s="5" t="s">
        <v>17</v>
      </c>
      <c r="G1868">
        <v>17</v>
      </c>
    </row>
    <row r="1869" spans="1:7" x14ac:dyDescent="0.35">
      <c r="A1869">
        <v>79213</v>
      </c>
      <c r="B1869">
        <v>2</v>
      </c>
      <c r="C1869" s="5" t="s">
        <v>32</v>
      </c>
      <c r="D1869">
        <v>2903</v>
      </c>
      <c r="E1869" s="5" t="s">
        <v>81</v>
      </c>
      <c r="F1869" s="5" t="s">
        <v>14</v>
      </c>
      <c r="G1869">
        <v>12</v>
      </c>
    </row>
    <row r="1870" spans="1:7" x14ac:dyDescent="0.35">
      <c r="A1870">
        <v>178432</v>
      </c>
      <c r="B1870">
        <v>2</v>
      </c>
      <c r="C1870" s="5" t="s">
        <v>37</v>
      </c>
      <c r="D1870">
        <v>2806</v>
      </c>
      <c r="E1870" s="5" t="s">
        <v>83</v>
      </c>
      <c r="F1870" s="5" t="s">
        <v>17</v>
      </c>
      <c r="G1870">
        <v>14</v>
      </c>
    </row>
    <row r="1871" spans="1:7" x14ac:dyDescent="0.35">
      <c r="A1871">
        <v>11267</v>
      </c>
      <c r="B1871">
        <v>2</v>
      </c>
      <c r="C1871" s="5" t="s">
        <v>26</v>
      </c>
      <c r="D1871">
        <v>1002</v>
      </c>
      <c r="E1871" s="5" t="s">
        <v>81</v>
      </c>
      <c r="F1871" s="5" t="s">
        <v>17</v>
      </c>
      <c r="G1871">
        <v>6</v>
      </c>
    </row>
    <row r="1872" spans="1:7" x14ac:dyDescent="0.35">
      <c r="A1872">
        <v>129468</v>
      </c>
      <c r="B1872">
        <v>0</v>
      </c>
      <c r="C1872" s="5" t="s">
        <v>45</v>
      </c>
      <c r="D1872">
        <v>5301</v>
      </c>
      <c r="E1872" s="5" t="s">
        <v>80</v>
      </c>
      <c r="F1872" s="5" t="s">
        <v>17</v>
      </c>
      <c r="G1872">
        <v>20</v>
      </c>
    </row>
    <row r="1873" spans="1:7" x14ac:dyDescent="0.35">
      <c r="A1873">
        <v>54134</v>
      </c>
      <c r="B1873">
        <v>1</v>
      </c>
      <c r="C1873" s="5" t="s">
        <v>49</v>
      </c>
      <c r="D1873">
        <v>1601</v>
      </c>
      <c r="E1873" s="5" t="s">
        <v>94</v>
      </c>
      <c r="F1873" s="5" t="s">
        <v>14</v>
      </c>
      <c r="G1873">
        <v>10</v>
      </c>
    </row>
    <row r="1874" spans="1:7" x14ac:dyDescent="0.35">
      <c r="A1874">
        <v>162492</v>
      </c>
      <c r="B1874">
        <v>0</v>
      </c>
      <c r="C1874" s="5" t="s">
        <v>21</v>
      </c>
      <c r="D1874">
        <v>3710</v>
      </c>
      <c r="E1874" s="5" t="s">
        <v>83</v>
      </c>
      <c r="F1874" s="5" t="s">
        <v>17</v>
      </c>
      <c r="G1874">
        <v>10</v>
      </c>
    </row>
    <row r="1875" spans="1:7" x14ac:dyDescent="0.35">
      <c r="A1875">
        <v>13342</v>
      </c>
      <c r="B1875">
        <v>0</v>
      </c>
      <c r="C1875" s="5" t="s">
        <v>21</v>
      </c>
      <c r="D1875">
        <v>4601</v>
      </c>
      <c r="E1875" s="5" t="s">
        <v>85</v>
      </c>
      <c r="F1875" s="5" t="s">
        <v>17</v>
      </c>
      <c r="G1875">
        <v>5</v>
      </c>
    </row>
    <row r="1876" spans="1:7" x14ac:dyDescent="0.35">
      <c r="A1876">
        <v>169323</v>
      </c>
      <c r="B1876">
        <v>0</v>
      </c>
      <c r="C1876" s="5" t="s">
        <v>21</v>
      </c>
      <c r="D1876">
        <v>2608</v>
      </c>
      <c r="E1876" s="5" t="s">
        <v>80</v>
      </c>
      <c r="F1876" s="5" t="s">
        <v>17</v>
      </c>
      <c r="G1876">
        <v>3</v>
      </c>
    </row>
    <row r="1877" spans="1:7" x14ac:dyDescent="0.35">
      <c r="A1877">
        <v>125444</v>
      </c>
      <c r="B1877">
        <v>1</v>
      </c>
      <c r="C1877" s="5" t="s">
        <v>20</v>
      </c>
      <c r="D1877">
        <v>4811</v>
      </c>
      <c r="E1877" s="5" t="s">
        <v>92</v>
      </c>
      <c r="F1877" s="5" t="s">
        <v>14</v>
      </c>
      <c r="G1877">
        <v>10</v>
      </c>
    </row>
    <row r="1878" spans="1:7" x14ac:dyDescent="0.35">
      <c r="A1878">
        <v>70076</v>
      </c>
      <c r="B1878">
        <v>1</v>
      </c>
      <c r="C1878" s="5" t="s">
        <v>26</v>
      </c>
      <c r="D1878">
        <v>3407</v>
      </c>
      <c r="E1878" s="5" t="s">
        <v>88</v>
      </c>
      <c r="F1878" s="5" t="s">
        <v>14</v>
      </c>
      <c r="G1878">
        <v>10</v>
      </c>
    </row>
    <row r="1879" spans="1:7" x14ac:dyDescent="0.35">
      <c r="A1879">
        <v>4048</v>
      </c>
      <c r="B1879">
        <v>0</v>
      </c>
      <c r="C1879" s="5" t="s">
        <v>16</v>
      </c>
      <c r="D1879">
        <v>3401</v>
      </c>
      <c r="E1879" s="5" t="s">
        <v>93</v>
      </c>
      <c r="F1879" s="5" t="s">
        <v>17</v>
      </c>
      <c r="G1879">
        <v>17</v>
      </c>
    </row>
    <row r="1880" spans="1:7" x14ac:dyDescent="0.35">
      <c r="A1880">
        <v>68669</v>
      </c>
      <c r="B1880">
        <v>0</v>
      </c>
      <c r="C1880" s="5" t="s">
        <v>26</v>
      </c>
      <c r="D1880">
        <v>1801</v>
      </c>
      <c r="E1880" s="5" t="s">
        <v>80</v>
      </c>
      <c r="F1880" s="5" t="s">
        <v>17</v>
      </c>
      <c r="G1880">
        <v>15</v>
      </c>
    </row>
    <row r="1881" spans="1:7" x14ac:dyDescent="0.35">
      <c r="A1881">
        <v>155943</v>
      </c>
      <c r="B1881">
        <v>1</v>
      </c>
      <c r="C1881" s="5" t="s">
        <v>21</v>
      </c>
      <c r="D1881">
        <v>2201</v>
      </c>
      <c r="E1881" s="5" t="s">
        <v>78</v>
      </c>
      <c r="F1881" s="5" t="s">
        <v>14</v>
      </c>
      <c r="G1881">
        <v>12</v>
      </c>
    </row>
    <row r="1882" spans="1:7" x14ac:dyDescent="0.35">
      <c r="A1882">
        <v>40968</v>
      </c>
      <c r="B1882">
        <v>0</v>
      </c>
      <c r="C1882" s="5" t="s">
        <v>13</v>
      </c>
      <c r="D1882">
        <v>0</v>
      </c>
      <c r="E1882" s="5" t="s">
        <v>79</v>
      </c>
      <c r="F1882" s="5" t="s">
        <v>17</v>
      </c>
      <c r="G1882">
        <v>17</v>
      </c>
    </row>
    <row r="1883" spans="1:7" x14ac:dyDescent="0.35">
      <c r="A1883">
        <v>101109</v>
      </c>
      <c r="B1883">
        <v>0</v>
      </c>
      <c r="C1883" s="5" t="s">
        <v>33</v>
      </c>
      <c r="D1883">
        <v>2801</v>
      </c>
      <c r="E1883" s="5" t="s">
        <v>82</v>
      </c>
      <c r="F1883" s="5" t="s">
        <v>17</v>
      </c>
      <c r="G1883">
        <v>10</v>
      </c>
    </row>
    <row r="1884" spans="1:7" x14ac:dyDescent="0.35">
      <c r="A1884">
        <v>14279</v>
      </c>
      <c r="B1884">
        <v>2</v>
      </c>
      <c r="C1884" s="5" t="s">
        <v>45</v>
      </c>
      <c r="D1884">
        <v>5701</v>
      </c>
      <c r="E1884" s="5" t="s">
        <v>84</v>
      </c>
      <c r="F1884" s="5" t="s">
        <v>14</v>
      </c>
      <c r="G1884">
        <v>11</v>
      </c>
    </row>
    <row r="1885" spans="1:7" x14ac:dyDescent="0.35">
      <c r="A1885">
        <v>83887</v>
      </c>
      <c r="B1885">
        <v>2</v>
      </c>
      <c r="C1885" s="5" t="s">
        <v>52</v>
      </c>
      <c r="D1885">
        <v>6801</v>
      </c>
      <c r="E1885" s="5" t="s">
        <v>80</v>
      </c>
      <c r="F1885" s="5" t="s">
        <v>17</v>
      </c>
      <c r="G1885">
        <v>17</v>
      </c>
    </row>
    <row r="1886" spans="1:7" x14ac:dyDescent="0.35">
      <c r="A1886">
        <v>17089</v>
      </c>
      <c r="B1886">
        <v>0</v>
      </c>
      <c r="C1886" s="5" t="s">
        <v>18</v>
      </c>
      <c r="D1886">
        <v>0</v>
      </c>
      <c r="E1886" s="5" t="s">
        <v>81</v>
      </c>
      <c r="F1886" s="5" t="s">
        <v>17</v>
      </c>
      <c r="G1886">
        <v>5</v>
      </c>
    </row>
    <row r="1887" spans="1:7" x14ac:dyDescent="0.35">
      <c r="A1887">
        <v>92183</v>
      </c>
      <c r="B1887">
        <v>28</v>
      </c>
      <c r="C1887" s="5" t="s">
        <v>16</v>
      </c>
      <c r="D1887">
        <v>1101</v>
      </c>
      <c r="E1887" s="5" t="s">
        <v>82</v>
      </c>
      <c r="F1887" s="5" t="s">
        <v>17</v>
      </c>
      <c r="G1887">
        <v>5</v>
      </c>
    </row>
    <row r="1888" spans="1:7" x14ac:dyDescent="0.35">
      <c r="A1888">
        <v>65374</v>
      </c>
      <c r="B1888">
        <v>1</v>
      </c>
      <c r="C1888" s="5" t="s">
        <v>26</v>
      </c>
      <c r="D1888">
        <v>2608</v>
      </c>
      <c r="E1888" s="5" t="s">
        <v>92</v>
      </c>
      <c r="F1888" s="5" t="s">
        <v>14</v>
      </c>
      <c r="G1888">
        <v>20</v>
      </c>
    </row>
    <row r="1889" spans="1:7" x14ac:dyDescent="0.35">
      <c r="A1889">
        <v>27082</v>
      </c>
      <c r="B1889">
        <v>1</v>
      </c>
      <c r="C1889" s="5" t="s">
        <v>20</v>
      </c>
      <c r="D1889">
        <v>4612</v>
      </c>
      <c r="E1889" s="5" t="s">
        <v>80</v>
      </c>
      <c r="F1889" s="5" t="s">
        <v>14</v>
      </c>
      <c r="G1889">
        <v>10</v>
      </c>
    </row>
    <row r="1890" spans="1:7" x14ac:dyDescent="0.35">
      <c r="A1890">
        <v>108115</v>
      </c>
      <c r="B1890">
        <v>1</v>
      </c>
      <c r="C1890" s="5" t="s">
        <v>46</v>
      </c>
      <c r="D1890">
        <v>3511</v>
      </c>
      <c r="E1890" s="5" t="s">
        <v>83</v>
      </c>
      <c r="F1890" s="5" t="s">
        <v>14</v>
      </c>
      <c r="G1890">
        <v>100</v>
      </c>
    </row>
    <row r="1891" spans="1:7" x14ac:dyDescent="0.35">
      <c r="A1891">
        <v>86278</v>
      </c>
      <c r="B1891">
        <v>1</v>
      </c>
      <c r="C1891" s="5" t="s">
        <v>48</v>
      </c>
      <c r="D1891">
        <v>3201</v>
      </c>
      <c r="E1891" s="5" t="s">
        <v>78</v>
      </c>
      <c r="F1891" s="5" t="s">
        <v>14</v>
      </c>
      <c r="G1891">
        <v>9</v>
      </c>
    </row>
    <row r="1892" spans="1:7" x14ac:dyDescent="0.35">
      <c r="A1892">
        <v>87904</v>
      </c>
      <c r="B1892">
        <v>1</v>
      </c>
      <c r="C1892" s="5" t="s">
        <v>16</v>
      </c>
      <c r="D1892">
        <v>3209</v>
      </c>
      <c r="E1892" s="5" t="s">
        <v>93</v>
      </c>
      <c r="F1892" s="5" t="s">
        <v>14</v>
      </c>
      <c r="G1892">
        <v>21</v>
      </c>
    </row>
    <row r="1893" spans="1:7" x14ac:dyDescent="0.35">
      <c r="A1893">
        <v>5798</v>
      </c>
      <c r="B1893">
        <v>0</v>
      </c>
      <c r="C1893" s="5" t="s">
        <v>20</v>
      </c>
      <c r="D1893">
        <v>6501</v>
      </c>
      <c r="E1893" s="5" t="s">
        <v>83</v>
      </c>
      <c r="F1893" s="5" t="s">
        <v>27</v>
      </c>
      <c r="G1893">
        <v>50</v>
      </c>
    </row>
    <row r="1894" spans="1:7" x14ac:dyDescent="0.35">
      <c r="A1894">
        <v>115289</v>
      </c>
      <c r="B1894">
        <v>0</v>
      </c>
      <c r="C1894" s="5" t="s">
        <v>28</v>
      </c>
      <c r="D1894">
        <v>3801</v>
      </c>
      <c r="E1894" s="5" t="s">
        <v>94</v>
      </c>
      <c r="F1894" s="5" t="s">
        <v>17</v>
      </c>
      <c r="G1894">
        <v>25</v>
      </c>
    </row>
    <row r="1895" spans="1:7" x14ac:dyDescent="0.35">
      <c r="A1895">
        <v>186185</v>
      </c>
      <c r="B1895">
        <v>1</v>
      </c>
      <c r="C1895" s="5" t="s">
        <v>45</v>
      </c>
      <c r="D1895">
        <v>2010</v>
      </c>
      <c r="E1895" s="5" t="s">
        <v>83</v>
      </c>
      <c r="F1895" s="5" t="s">
        <v>14</v>
      </c>
      <c r="G1895">
        <v>15</v>
      </c>
    </row>
    <row r="1896" spans="1:7" x14ac:dyDescent="0.35">
      <c r="A1896">
        <v>74589</v>
      </c>
      <c r="B1896">
        <v>0</v>
      </c>
      <c r="C1896" s="5" t="s">
        <v>26</v>
      </c>
      <c r="D1896">
        <v>5401</v>
      </c>
      <c r="E1896" s="5" t="s">
        <v>84</v>
      </c>
      <c r="F1896" s="5" t="s">
        <v>17</v>
      </c>
      <c r="G1896">
        <v>12</v>
      </c>
    </row>
    <row r="1897" spans="1:7" x14ac:dyDescent="0.35">
      <c r="A1897">
        <v>65558</v>
      </c>
      <c r="B1897">
        <v>0</v>
      </c>
      <c r="C1897" s="5" t="s">
        <v>26</v>
      </c>
      <c r="D1897">
        <v>5612</v>
      </c>
      <c r="E1897" s="5" t="s">
        <v>91</v>
      </c>
      <c r="F1897" s="5" t="s">
        <v>17</v>
      </c>
      <c r="G1897">
        <v>10</v>
      </c>
    </row>
    <row r="1898" spans="1:7" x14ac:dyDescent="0.35">
      <c r="A1898">
        <v>22696</v>
      </c>
      <c r="B1898">
        <v>0</v>
      </c>
      <c r="C1898" s="5" t="s">
        <v>43</v>
      </c>
      <c r="D1898">
        <v>6201</v>
      </c>
      <c r="E1898" s="5" t="s">
        <v>81</v>
      </c>
      <c r="F1898" s="5" t="s">
        <v>17</v>
      </c>
      <c r="G1898">
        <v>20</v>
      </c>
    </row>
    <row r="1899" spans="1:7" x14ac:dyDescent="0.35">
      <c r="A1899">
        <v>387</v>
      </c>
      <c r="B1899">
        <v>2</v>
      </c>
      <c r="C1899" s="5" t="s">
        <v>30</v>
      </c>
      <c r="D1899">
        <v>0</v>
      </c>
      <c r="E1899" s="5" t="s">
        <v>79</v>
      </c>
      <c r="F1899" s="5" t="s">
        <v>17</v>
      </c>
      <c r="G1899">
        <v>5</v>
      </c>
    </row>
    <row r="1900" spans="1:7" x14ac:dyDescent="0.35">
      <c r="A1900">
        <v>98033</v>
      </c>
      <c r="B1900">
        <v>2</v>
      </c>
      <c r="C1900" s="5" t="s">
        <v>16</v>
      </c>
      <c r="D1900">
        <v>1912</v>
      </c>
      <c r="E1900" s="5" t="s">
        <v>89</v>
      </c>
      <c r="F1900" s="5" t="s">
        <v>17</v>
      </c>
      <c r="G1900">
        <v>20</v>
      </c>
    </row>
    <row r="1901" spans="1:7" x14ac:dyDescent="0.35">
      <c r="A1901">
        <v>110308</v>
      </c>
      <c r="B1901">
        <v>0</v>
      </c>
      <c r="C1901" s="5" t="s">
        <v>46</v>
      </c>
      <c r="D1901">
        <v>3701</v>
      </c>
      <c r="E1901" s="5" t="s">
        <v>82</v>
      </c>
      <c r="F1901" s="5" t="s">
        <v>17</v>
      </c>
      <c r="G1901">
        <v>15</v>
      </c>
    </row>
    <row r="1902" spans="1:7" x14ac:dyDescent="0.35">
      <c r="A1902">
        <v>3496</v>
      </c>
      <c r="B1902">
        <v>1</v>
      </c>
      <c r="C1902" s="5" t="s">
        <v>20</v>
      </c>
      <c r="D1902">
        <v>6703</v>
      </c>
      <c r="E1902" s="5" t="s">
        <v>82</v>
      </c>
      <c r="F1902" s="5" t="s">
        <v>14</v>
      </c>
      <c r="G1902">
        <v>10</v>
      </c>
    </row>
    <row r="1903" spans="1:7" x14ac:dyDescent="0.35">
      <c r="A1903">
        <v>138262</v>
      </c>
      <c r="B1903">
        <v>28</v>
      </c>
      <c r="C1903" s="5" t="s">
        <v>51</v>
      </c>
      <c r="D1903">
        <v>6201</v>
      </c>
      <c r="E1903" s="5" t="s">
        <v>78</v>
      </c>
      <c r="F1903" s="5" t="s">
        <v>17</v>
      </c>
      <c r="G1903">
        <v>5</v>
      </c>
    </row>
    <row r="1904" spans="1:7" x14ac:dyDescent="0.35">
      <c r="A1904">
        <v>80437</v>
      </c>
      <c r="B1904">
        <v>1</v>
      </c>
      <c r="C1904" s="5" t="s">
        <v>32</v>
      </c>
      <c r="D1904">
        <v>6702</v>
      </c>
      <c r="E1904" s="5" t="s">
        <v>78</v>
      </c>
      <c r="F1904" s="5" t="s">
        <v>14</v>
      </c>
      <c r="G1904">
        <v>10</v>
      </c>
    </row>
    <row r="1905" spans="1:7" x14ac:dyDescent="0.35">
      <c r="A1905">
        <v>186580</v>
      </c>
      <c r="B1905">
        <v>0</v>
      </c>
      <c r="C1905" s="5" t="s">
        <v>20</v>
      </c>
      <c r="D1905">
        <v>3007</v>
      </c>
      <c r="E1905" s="5" t="s">
        <v>79</v>
      </c>
      <c r="F1905" s="5" t="s">
        <v>17</v>
      </c>
      <c r="G1905">
        <v>5</v>
      </c>
    </row>
    <row r="1906" spans="1:7" x14ac:dyDescent="0.35">
      <c r="A1906">
        <v>8863</v>
      </c>
      <c r="B1906">
        <v>1</v>
      </c>
      <c r="C1906" s="5" t="s">
        <v>13</v>
      </c>
      <c r="D1906">
        <v>5503</v>
      </c>
      <c r="E1906" s="5" t="s">
        <v>93</v>
      </c>
      <c r="F1906" s="5" t="s">
        <v>14</v>
      </c>
      <c r="G1906">
        <v>40</v>
      </c>
    </row>
    <row r="1907" spans="1:7" x14ac:dyDescent="0.35">
      <c r="A1907">
        <v>120734</v>
      </c>
      <c r="B1907">
        <v>0</v>
      </c>
      <c r="C1907" s="5" t="s">
        <v>20</v>
      </c>
      <c r="D1907">
        <v>0</v>
      </c>
      <c r="E1907" s="5" t="s">
        <v>89</v>
      </c>
      <c r="F1907" s="5" t="s">
        <v>17</v>
      </c>
      <c r="G1907">
        <v>5</v>
      </c>
    </row>
    <row r="1908" spans="1:7" x14ac:dyDescent="0.35">
      <c r="A1908">
        <v>149414</v>
      </c>
      <c r="B1908">
        <v>0</v>
      </c>
      <c r="C1908" s="5" t="s">
        <v>21</v>
      </c>
      <c r="D1908">
        <v>4606</v>
      </c>
      <c r="E1908" s="5" t="s">
        <v>93</v>
      </c>
      <c r="F1908" s="5" t="s">
        <v>17</v>
      </c>
      <c r="G1908">
        <v>9</v>
      </c>
    </row>
    <row r="1909" spans="1:7" x14ac:dyDescent="0.35">
      <c r="A1909">
        <v>79900</v>
      </c>
      <c r="B1909">
        <v>0</v>
      </c>
      <c r="C1909" s="5" t="s">
        <v>32</v>
      </c>
      <c r="D1909">
        <v>2905</v>
      </c>
      <c r="E1909" s="5" t="s">
        <v>81</v>
      </c>
      <c r="F1909" s="5" t="s">
        <v>17</v>
      </c>
      <c r="G1909">
        <v>50</v>
      </c>
    </row>
    <row r="1910" spans="1:7" x14ac:dyDescent="0.35">
      <c r="A1910">
        <v>154158</v>
      </c>
      <c r="B1910">
        <v>0</v>
      </c>
      <c r="C1910" s="5" t="s">
        <v>21</v>
      </c>
      <c r="D1910">
        <v>3601</v>
      </c>
      <c r="E1910" s="5" t="s">
        <v>81</v>
      </c>
      <c r="F1910" s="5" t="s">
        <v>17</v>
      </c>
      <c r="G1910">
        <v>7</v>
      </c>
    </row>
    <row r="1911" spans="1:7" x14ac:dyDescent="0.35">
      <c r="A1911">
        <v>23146</v>
      </c>
      <c r="B1911">
        <v>1</v>
      </c>
      <c r="C1911" s="5" t="s">
        <v>43</v>
      </c>
      <c r="D1911">
        <v>2801</v>
      </c>
      <c r="E1911" s="5" t="s">
        <v>82</v>
      </c>
      <c r="F1911" s="5" t="s">
        <v>14</v>
      </c>
      <c r="G1911">
        <v>5</v>
      </c>
    </row>
    <row r="1912" spans="1:7" x14ac:dyDescent="0.35">
      <c r="A1912">
        <v>1617</v>
      </c>
      <c r="B1912">
        <v>0</v>
      </c>
      <c r="C1912" s="5" t="s">
        <v>21</v>
      </c>
      <c r="D1912">
        <v>2201</v>
      </c>
      <c r="E1912" s="5" t="s">
        <v>83</v>
      </c>
      <c r="F1912" s="5" t="s">
        <v>17</v>
      </c>
      <c r="G1912">
        <v>15</v>
      </c>
    </row>
    <row r="1913" spans="1:7" x14ac:dyDescent="0.35">
      <c r="A1913">
        <v>68022</v>
      </c>
      <c r="B1913">
        <v>0</v>
      </c>
      <c r="C1913" s="5" t="s">
        <v>26</v>
      </c>
      <c r="D1913">
        <v>3104</v>
      </c>
      <c r="E1913" s="5" t="s">
        <v>93</v>
      </c>
      <c r="F1913" s="5" t="s">
        <v>17</v>
      </c>
      <c r="G1913">
        <v>15</v>
      </c>
    </row>
    <row r="1914" spans="1:7" x14ac:dyDescent="0.35">
      <c r="A1914">
        <v>44705</v>
      </c>
      <c r="B1914">
        <v>28</v>
      </c>
      <c r="C1914" s="5" t="s">
        <v>13</v>
      </c>
      <c r="D1914">
        <v>2601</v>
      </c>
      <c r="E1914" s="5" t="s">
        <v>78</v>
      </c>
      <c r="F1914" s="5" t="s">
        <v>17</v>
      </c>
      <c r="G1914">
        <v>15</v>
      </c>
    </row>
    <row r="1915" spans="1:7" x14ac:dyDescent="0.35">
      <c r="A1915">
        <v>49943</v>
      </c>
      <c r="B1915">
        <v>1</v>
      </c>
      <c r="C1915" s="5" t="s">
        <v>13</v>
      </c>
      <c r="D1915">
        <v>4001</v>
      </c>
      <c r="E1915" s="5" t="s">
        <v>81</v>
      </c>
      <c r="F1915" s="5" t="s">
        <v>14</v>
      </c>
      <c r="G1915">
        <v>10</v>
      </c>
    </row>
    <row r="1916" spans="1:7" x14ac:dyDescent="0.35">
      <c r="A1916">
        <v>24152</v>
      </c>
      <c r="B1916">
        <v>1</v>
      </c>
      <c r="C1916" s="5" t="s">
        <v>43</v>
      </c>
      <c r="D1916">
        <v>2406</v>
      </c>
      <c r="E1916" s="5" t="s">
        <v>79</v>
      </c>
      <c r="F1916" s="5" t="s">
        <v>14</v>
      </c>
      <c r="G1916">
        <v>8</v>
      </c>
    </row>
    <row r="1917" spans="1:7" x14ac:dyDescent="0.35">
      <c r="A1917">
        <v>136645</v>
      </c>
      <c r="B1917">
        <v>1002</v>
      </c>
      <c r="C1917" s="5" t="s">
        <v>51</v>
      </c>
      <c r="D1917">
        <v>3801</v>
      </c>
      <c r="E1917" s="5" t="s">
        <v>88</v>
      </c>
      <c r="F1917" s="5" t="s">
        <v>41</v>
      </c>
      <c r="G1917">
        <v>10</v>
      </c>
    </row>
    <row r="1918" spans="1:7" x14ac:dyDescent="0.35">
      <c r="A1918">
        <v>58597</v>
      </c>
      <c r="B1918">
        <v>1</v>
      </c>
      <c r="C1918" s="5" t="s">
        <v>53</v>
      </c>
      <c r="D1918">
        <v>1707</v>
      </c>
      <c r="E1918" s="5" t="s">
        <v>94</v>
      </c>
      <c r="F1918" s="5" t="s">
        <v>14</v>
      </c>
      <c r="G1918">
        <v>50</v>
      </c>
    </row>
    <row r="1919" spans="1:7" x14ac:dyDescent="0.35">
      <c r="A1919">
        <v>165628</v>
      </c>
      <c r="B1919">
        <v>1</v>
      </c>
      <c r="C1919" s="5" t="s">
        <v>21</v>
      </c>
      <c r="D1919">
        <v>2601</v>
      </c>
      <c r="E1919" s="5" t="s">
        <v>93</v>
      </c>
      <c r="F1919" s="5" t="s">
        <v>14</v>
      </c>
      <c r="G1919">
        <v>5</v>
      </c>
    </row>
    <row r="1920" spans="1:7" x14ac:dyDescent="0.35">
      <c r="A1920">
        <v>45201</v>
      </c>
      <c r="B1920">
        <v>1</v>
      </c>
      <c r="C1920" s="5" t="s">
        <v>13</v>
      </c>
      <c r="D1920">
        <v>0</v>
      </c>
      <c r="E1920" s="5" t="s">
        <v>93</v>
      </c>
      <c r="F1920" s="5" t="s">
        <v>14</v>
      </c>
      <c r="G1920">
        <v>11</v>
      </c>
    </row>
    <row r="1921" spans="1:7" x14ac:dyDescent="0.35">
      <c r="A1921">
        <v>34735</v>
      </c>
      <c r="B1921">
        <v>0</v>
      </c>
      <c r="C1921" s="5" t="s">
        <v>13</v>
      </c>
      <c r="D1921">
        <v>3601</v>
      </c>
      <c r="E1921" s="5" t="s">
        <v>88</v>
      </c>
      <c r="F1921" s="5" t="s">
        <v>17</v>
      </c>
      <c r="G1921">
        <v>20</v>
      </c>
    </row>
    <row r="1922" spans="1:7" x14ac:dyDescent="0.35">
      <c r="A1922">
        <v>6845</v>
      </c>
      <c r="B1922">
        <v>0</v>
      </c>
      <c r="C1922" s="5" t="s">
        <v>38</v>
      </c>
      <c r="D1922">
        <v>2004</v>
      </c>
      <c r="E1922" s="5" t="s">
        <v>79</v>
      </c>
      <c r="F1922" s="5" t="s">
        <v>17</v>
      </c>
      <c r="G1922">
        <v>20</v>
      </c>
    </row>
    <row r="1923" spans="1:7" x14ac:dyDescent="0.35">
      <c r="A1923">
        <v>181799</v>
      </c>
      <c r="B1923">
        <v>0</v>
      </c>
      <c r="C1923" s="5" t="s">
        <v>37</v>
      </c>
      <c r="D1923">
        <v>0</v>
      </c>
      <c r="E1923" s="5" t="s">
        <v>82</v>
      </c>
      <c r="F1923" s="5" t="s">
        <v>14</v>
      </c>
      <c r="G1923">
        <v>35</v>
      </c>
    </row>
    <row r="1924" spans="1:7" x14ac:dyDescent="0.35">
      <c r="A1924">
        <v>88153</v>
      </c>
      <c r="B1924">
        <v>2</v>
      </c>
      <c r="C1924" s="5" t="s">
        <v>16</v>
      </c>
      <c r="D1924">
        <v>4801</v>
      </c>
      <c r="E1924" s="5" t="s">
        <v>80</v>
      </c>
      <c r="F1924" s="5" t="s">
        <v>17</v>
      </c>
      <c r="G1924">
        <v>13</v>
      </c>
    </row>
    <row r="1925" spans="1:7" x14ac:dyDescent="0.35">
      <c r="A1925">
        <v>92514</v>
      </c>
      <c r="B1925">
        <v>0</v>
      </c>
      <c r="C1925" s="5" t="s">
        <v>16</v>
      </c>
      <c r="D1925">
        <v>6901</v>
      </c>
      <c r="E1925" s="5" t="s">
        <v>83</v>
      </c>
      <c r="F1925" s="5" t="s">
        <v>17</v>
      </c>
      <c r="G1925">
        <v>15</v>
      </c>
    </row>
    <row r="1926" spans="1:7" x14ac:dyDescent="0.35">
      <c r="A1926">
        <v>183954</v>
      </c>
      <c r="B1926">
        <v>0</v>
      </c>
      <c r="C1926" s="5" t="s">
        <v>37</v>
      </c>
      <c r="D1926">
        <v>2201</v>
      </c>
      <c r="E1926" s="5" t="s">
        <v>87</v>
      </c>
      <c r="F1926" s="5" t="s">
        <v>14</v>
      </c>
      <c r="G1926">
        <v>10</v>
      </c>
    </row>
    <row r="1927" spans="1:7" x14ac:dyDescent="0.35">
      <c r="A1927">
        <v>141134</v>
      </c>
      <c r="B1927">
        <v>1</v>
      </c>
      <c r="C1927" s="5" t="s">
        <v>23</v>
      </c>
      <c r="D1927">
        <v>2601</v>
      </c>
      <c r="E1927" s="5" t="s">
        <v>92</v>
      </c>
      <c r="F1927" s="5" t="s">
        <v>14</v>
      </c>
      <c r="G1927">
        <v>9</v>
      </c>
    </row>
    <row r="1928" spans="1:7" x14ac:dyDescent="0.35">
      <c r="A1928">
        <v>66532</v>
      </c>
      <c r="B1928">
        <v>1</v>
      </c>
      <c r="C1928" s="5" t="s">
        <v>26</v>
      </c>
      <c r="D1928">
        <v>6801</v>
      </c>
      <c r="E1928" s="5" t="s">
        <v>92</v>
      </c>
      <c r="F1928" s="5" t="s">
        <v>14</v>
      </c>
      <c r="G1928">
        <v>2</v>
      </c>
    </row>
    <row r="1929" spans="1:7" x14ac:dyDescent="0.35">
      <c r="A1929">
        <v>7924</v>
      </c>
      <c r="B1929">
        <v>0</v>
      </c>
      <c r="C1929" s="5" t="s">
        <v>20</v>
      </c>
      <c r="D1929">
        <v>1912</v>
      </c>
      <c r="E1929" s="5" t="s">
        <v>86</v>
      </c>
      <c r="F1929" s="5" t="s">
        <v>17</v>
      </c>
      <c r="G1929">
        <v>12</v>
      </c>
    </row>
    <row r="1930" spans="1:7" x14ac:dyDescent="0.35">
      <c r="A1930">
        <v>27890</v>
      </c>
      <c r="B1930">
        <v>0</v>
      </c>
      <c r="C1930" s="5" t="s">
        <v>36</v>
      </c>
      <c r="D1930">
        <v>4801</v>
      </c>
      <c r="E1930" s="5" t="s">
        <v>84</v>
      </c>
      <c r="F1930" s="5" t="s">
        <v>17</v>
      </c>
      <c r="G1930">
        <v>10</v>
      </c>
    </row>
    <row r="1931" spans="1:7" x14ac:dyDescent="0.35">
      <c r="A1931">
        <v>58649</v>
      </c>
      <c r="B1931">
        <v>0</v>
      </c>
      <c r="C1931" s="5" t="s">
        <v>53</v>
      </c>
      <c r="D1931">
        <v>2201</v>
      </c>
      <c r="E1931" s="5" t="s">
        <v>78</v>
      </c>
      <c r="F1931" s="5" t="s">
        <v>17</v>
      </c>
      <c r="G1931">
        <v>10</v>
      </c>
    </row>
    <row r="1932" spans="1:7" x14ac:dyDescent="0.35">
      <c r="A1932">
        <v>47371</v>
      </c>
      <c r="B1932">
        <v>0</v>
      </c>
      <c r="C1932" s="5" t="s">
        <v>40</v>
      </c>
      <c r="D1932">
        <v>2107</v>
      </c>
      <c r="E1932" s="5" t="s">
        <v>87</v>
      </c>
      <c r="F1932" s="5" t="s">
        <v>17</v>
      </c>
      <c r="G1932">
        <v>5</v>
      </c>
    </row>
    <row r="1933" spans="1:7" x14ac:dyDescent="0.35">
      <c r="A1933">
        <v>26887</v>
      </c>
      <c r="B1933">
        <v>28</v>
      </c>
      <c r="C1933" s="5" t="s">
        <v>36</v>
      </c>
      <c r="D1933">
        <v>4801</v>
      </c>
      <c r="E1933" s="5" t="s">
        <v>83</v>
      </c>
      <c r="F1933" s="5" t="s">
        <v>17</v>
      </c>
      <c r="G1933">
        <v>30</v>
      </c>
    </row>
    <row r="1934" spans="1:7" x14ac:dyDescent="0.35">
      <c r="A1934">
        <v>80577</v>
      </c>
      <c r="B1934">
        <v>0</v>
      </c>
      <c r="C1934" s="5" t="s">
        <v>32</v>
      </c>
      <c r="D1934">
        <v>6001</v>
      </c>
      <c r="E1934" s="5" t="s">
        <v>86</v>
      </c>
      <c r="F1934" s="5" t="s">
        <v>17</v>
      </c>
      <c r="G1934">
        <v>10</v>
      </c>
    </row>
    <row r="1935" spans="1:7" x14ac:dyDescent="0.35">
      <c r="A1935">
        <v>61933</v>
      </c>
      <c r="B1935">
        <v>0</v>
      </c>
      <c r="C1935" s="5" t="s">
        <v>30</v>
      </c>
      <c r="D1935">
        <v>0</v>
      </c>
      <c r="E1935" s="5" t="s">
        <v>78</v>
      </c>
      <c r="F1935" s="5" t="s">
        <v>14</v>
      </c>
      <c r="G1935">
        <v>20</v>
      </c>
    </row>
    <row r="1936" spans="1:7" x14ac:dyDescent="0.35">
      <c r="A1936">
        <v>174358</v>
      </c>
      <c r="B1936">
        <v>1</v>
      </c>
      <c r="C1936" s="5" t="s">
        <v>47</v>
      </c>
      <c r="D1936">
        <v>4201</v>
      </c>
      <c r="E1936" s="5" t="s">
        <v>80</v>
      </c>
      <c r="F1936" s="5" t="s">
        <v>14</v>
      </c>
      <c r="G1936">
        <v>10</v>
      </c>
    </row>
    <row r="1937" spans="1:7" x14ac:dyDescent="0.35">
      <c r="A1937">
        <v>133555</v>
      </c>
      <c r="B1937">
        <v>0</v>
      </c>
      <c r="C1937" s="5" t="s">
        <v>38</v>
      </c>
      <c r="D1937">
        <v>4701</v>
      </c>
      <c r="E1937" s="5" t="s">
        <v>79</v>
      </c>
      <c r="F1937" s="5" t="s">
        <v>17</v>
      </c>
      <c r="G1937">
        <v>21</v>
      </c>
    </row>
    <row r="1938" spans="1:7" x14ac:dyDescent="0.35">
      <c r="A1938">
        <v>82457</v>
      </c>
      <c r="B1938">
        <v>0</v>
      </c>
      <c r="C1938" s="5" t="s">
        <v>52</v>
      </c>
      <c r="D1938">
        <v>5301</v>
      </c>
      <c r="E1938" s="5" t="s">
        <v>91</v>
      </c>
      <c r="F1938" s="5" t="s">
        <v>17</v>
      </c>
      <c r="G1938">
        <v>5</v>
      </c>
    </row>
    <row r="1939" spans="1:7" x14ac:dyDescent="0.35">
      <c r="A1939">
        <v>23065</v>
      </c>
      <c r="B1939">
        <v>0</v>
      </c>
      <c r="C1939" s="5" t="s">
        <v>43</v>
      </c>
      <c r="D1939">
        <v>4809</v>
      </c>
      <c r="E1939" s="5" t="s">
        <v>83</v>
      </c>
      <c r="F1939" s="5" t="s">
        <v>17</v>
      </c>
      <c r="G1939">
        <v>20</v>
      </c>
    </row>
    <row r="1940" spans="1:7" x14ac:dyDescent="0.35">
      <c r="A1940">
        <v>88856</v>
      </c>
      <c r="B1940">
        <v>2</v>
      </c>
      <c r="C1940" s="5" t="s">
        <v>16</v>
      </c>
      <c r="D1940">
        <v>3501</v>
      </c>
      <c r="E1940" s="5" t="s">
        <v>83</v>
      </c>
      <c r="F1940" s="5" t="s">
        <v>17</v>
      </c>
      <c r="G1940">
        <v>4</v>
      </c>
    </row>
    <row r="1941" spans="1:7" x14ac:dyDescent="0.35">
      <c r="A1941">
        <v>168393</v>
      </c>
      <c r="B1941">
        <v>4</v>
      </c>
      <c r="C1941" s="5" t="s">
        <v>21</v>
      </c>
      <c r="D1941">
        <v>4001</v>
      </c>
      <c r="E1941" s="5" t="s">
        <v>93</v>
      </c>
      <c r="F1941" s="5" t="s">
        <v>14</v>
      </c>
      <c r="G1941">
        <v>25</v>
      </c>
    </row>
    <row r="1942" spans="1:7" x14ac:dyDescent="0.35">
      <c r="A1942">
        <v>143936</v>
      </c>
      <c r="B1942">
        <v>1</v>
      </c>
      <c r="C1942" s="5" t="s">
        <v>21</v>
      </c>
      <c r="D1942">
        <v>5101</v>
      </c>
      <c r="E1942" s="5" t="s">
        <v>85</v>
      </c>
      <c r="F1942" s="5" t="s">
        <v>14</v>
      </c>
      <c r="G1942">
        <v>55</v>
      </c>
    </row>
    <row r="1943" spans="1:7" x14ac:dyDescent="0.35">
      <c r="A1943">
        <v>86436</v>
      </c>
      <c r="B1943">
        <v>1</v>
      </c>
      <c r="C1943" s="5" t="s">
        <v>42</v>
      </c>
      <c r="D1943">
        <v>3011</v>
      </c>
      <c r="E1943" s="5" t="s">
        <v>80</v>
      </c>
      <c r="F1943" s="5" t="s">
        <v>14</v>
      </c>
      <c r="G1943">
        <v>5</v>
      </c>
    </row>
    <row r="1944" spans="1:7" x14ac:dyDescent="0.35">
      <c r="A1944">
        <v>138311</v>
      </c>
      <c r="B1944">
        <v>2</v>
      </c>
      <c r="C1944" s="5" t="s">
        <v>51</v>
      </c>
      <c r="D1944">
        <v>1403</v>
      </c>
      <c r="E1944" s="5" t="s">
        <v>83</v>
      </c>
      <c r="F1944" s="5" t="s">
        <v>17</v>
      </c>
      <c r="G1944">
        <v>20</v>
      </c>
    </row>
    <row r="1945" spans="1:7" x14ac:dyDescent="0.35">
      <c r="A1945">
        <v>123469</v>
      </c>
      <c r="B1945">
        <v>0</v>
      </c>
      <c r="C1945" s="5" t="s">
        <v>20</v>
      </c>
      <c r="D1945">
        <v>0</v>
      </c>
      <c r="E1945" s="5" t="s">
        <v>79</v>
      </c>
      <c r="F1945" s="5" t="s">
        <v>14</v>
      </c>
      <c r="G1945">
        <v>5</v>
      </c>
    </row>
    <row r="1946" spans="1:7" x14ac:dyDescent="0.35">
      <c r="A1946">
        <v>135341</v>
      </c>
      <c r="B1946">
        <v>0</v>
      </c>
      <c r="C1946" s="5" t="s">
        <v>51</v>
      </c>
      <c r="D1946">
        <v>0</v>
      </c>
      <c r="E1946" s="5" t="s">
        <v>78</v>
      </c>
      <c r="F1946" s="5" t="s">
        <v>17</v>
      </c>
      <c r="G1946">
        <v>12</v>
      </c>
    </row>
    <row r="1947" spans="1:7" x14ac:dyDescent="0.35">
      <c r="A1947">
        <v>33284</v>
      </c>
      <c r="B1947">
        <v>1</v>
      </c>
      <c r="C1947" s="5" t="s">
        <v>13</v>
      </c>
      <c r="D1947">
        <v>3001</v>
      </c>
      <c r="E1947" s="5" t="s">
        <v>82</v>
      </c>
      <c r="F1947" s="5" t="s">
        <v>14</v>
      </c>
      <c r="G1947">
        <v>20</v>
      </c>
    </row>
    <row r="1948" spans="1:7" x14ac:dyDescent="0.35">
      <c r="A1948">
        <v>180837</v>
      </c>
      <c r="B1948">
        <v>1</v>
      </c>
      <c r="C1948" s="5" t="s">
        <v>37</v>
      </c>
      <c r="D1948">
        <v>3101</v>
      </c>
      <c r="E1948" s="5" t="s">
        <v>78</v>
      </c>
      <c r="F1948" s="5" t="s">
        <v>14</v>
      </c>
      <c r="G1948">
        <v>50</v>
      </c>
    </row>
    <row r="1949" spans="1:7" x14ac:dyDescent="0.35">
      <c r="A1949">
        <v>37747</v>
      </c>
      <c r="B1949">
        <v>1</v>
      </c>
      <c r="C1949" s="5" t="s">
        <v>13</v>
      </c>
      <c r="D1949">
        <v>6006</v>
      </c>
      <c r="E1949" s="5" t="s">
        <v>85</v>
      </c>
      <c r="F1949" s="5" t="s">
        <v>14</v>
      </c>
      <c r="G1949">
        <v>18</v>
      </c>
    </row>
    <row r="1950" spans="1:7" x14ac:dyDescent="0.35">
      <c r="A1950">
        <v>108983</v>
      </c>
      <c r="B1950">
        <v>0</v>
      </c>
      <c r="C1950" s="5" t="s">
        <v>46</v>
      </c>
      <c r="D1950">
        <v>2412</v>
      </c>
      <c r="E1950" s="5" t="s">
        <v>78</v>
      </c>
      <c r="F1950" s="5" t="s">
        <v>14</v>
      </c>
      <c r="G1950">
        <v>17</v>
      </c>
    </row>
    <row r="1951" spans="1:7" x14ac:dyDescent="0.35">
      <c r="A1951">
        <v>34591</v>
      </c>
      <c r="B1951">
        <v>1</v>
      </c>
      <c r="C1951" s="5" t="s">
        <v>13</v>
      </c>
      <c r="D1951">
        <v>3401</v>
      </c>
      <c r="E1951" s="5" t="s">
        <v>80</v>
      </c>
      <c r="F1951" s="5" t="s">
        <v>14</v>
      </c>
      <c r="G1951">
        <v>23</v>
      </c>
    </row>
    <row r="1952" spans="1:7" x14ac:dyDescent="0.35">
      <c r="A1952">
        <v>100691</v>
      </c>
      <c r="B1952">
        <v>0</v>
      </c>
      <c r="C1952" s="5" t="s">
        <v>33</v>
      </c>
      <c r="D1952">
        <v>1305</v>
      </c>
      <c r="E1952" s="5" t="s">
        <v>87</v>
      </c>
      <c r="F1952" s="5" t="s">
        <v>14</v>
      </c>
      <c r="G1952">
        <v>5</v>
      </c>
    </row>
    <row r="1953" spans="1:7" x14ac:dyDescent="0.35">
      <c r="A1953">
        <v>95347</v>
      </c>
      <c r="B1953">
        <v>1</v>
      </c>
      <c r="C1953" s="5" t="s">
        <v>16</v>
      </c>
      <c r="D1953">
        <v>3705</v>
      </c>
      <c r="E1953" s="5" t="s">
        <v>79</v>
      </c>
      <c r="F1953" s="5" t="s">
        <v>14</v>
      </c>
      <c r="G1953">
        <v>7</v>
      </c>
    </row>
    <row r="1954" spans="1:7" x14ac:dyDescent="0.35">
      <c r="A1954">
        <v>14717</v>
      </c>
      <c r="B1954">
        <v>28</v>
      </c>
      <c r="C1954" s="5" t="s">
        <v>45</v>
      </c>
      <c r="D1954">
        <v>2610</v>
      </c>
      <c r="E1954" s="5" t="s">
        <v>93</v>
      </c>
      <c r="F1954" s="5" t="s">
        <v>17</v>
      </c>
      <c r="G1954">
        <v>15</v>
      </c>
    </row>
    <row r="1955" spans="1:7" x14ac:dyDescent="0.35">
      <c r="A1955">
        <v>63612</v>
      </c>
      <c r="B1955">
        <v>0</v>
      </c>
      <c r="C1955" s="5" t="s">
        <v>30</v>
      </c>
      <c r="D1955">
        <v>6801</v>
      </c>
      <c r="E1955" s="5" t="s">
        <v>78</v>
      </c>
      <c r="F1955" s="5" t="s">
        <v>17</v>
      </c>
      <c r="G1955">
        <v>18</v>
      </c>
    </row>
    <row r="1956" spans="1:7" x14ac:dyDescent="0.35">
      <c r="A1956">
        <v>21097</v>
      </c>
      <c r="B1956">
        <v>1</v>
      </c>
      <c r="C1956" s="5" t="s">
        <v>18</v>
      </c>
      <c r="D1956">
        <v>0</v>
      </c>
      <c r="E1956" s="5" t="s">
        <v>79</v>
      </c>
      <c r="F1956" s="5" t="s">
        <v>14</v>
      </c>
      <c r="G1956">
        <v>25</v>
      </c>
    </row>
    <row r="1957" spans="1:7" x14ac:dyDescent="0.35">
      <c r="A1957">
        <v>178598</v>
      </c>
      <c r="B1957">
        <v>0</v>
      </c>
      <c r="C1957" s="5" t="s">
        <v>37</v>
      </c>
      <c r="D1957">
        <v>4701</v>
      </c>
      <c r="E1957" s="5" t="s">
        <v>83</v>
      </c>
      <c r="F1957" s="5" t="s">
        <v>17</v>
      </c>
      <c r="G1957">
        <v>4</v>
      </c>
    </row>
    <row r="1958" spans="1:7" x14ac:dyDescent="0.35">
      <c r="A1958">
        <v>81630</v>
      </c>
      <c r="B1958">
        <v>0</v>
      </c>
      <c r="C1958" s="5" t="s">
        <v>32</v>
      </c>
      <c r="D1958">
        <v>0</v>
      </c>
      <c r="E1958" s="5" t="s">
        <v>87</v>
      </c>
      <c r="F1958" s="5" t="s">
        <v>17</v>
      </c>
      <c r="G1958">
        <v>12</v>
      </c>
    </row>
    <row r="1959" spans="1:7" x14ac:dyDescent="0.35">
      <c r="A1959">
        <v>57087</v>
      </c>
      <c r="B1959">
        <v>1</v>
      </c>
      <c r="C1959" s="5" t="s">
        <v>53</v>
      </c>
      <c r="D1959">
        <v>4601</v>
      </c>
      <c r="E1959" s="5" t="s">
        <v>81</v>
      </c>
      <c r="F1959" s="5" t="s">
        <v>14</v>
      </c>
      <c r="G1959">
        <v>15</v>
      </c>
    </row>
    <row r="1960" spans="1:7" x14ac:dyDescent="0.35">
      <c r="A1960">
        <v>81985</v>
      </c>
      <c r="B1960">
        <v>0</v>
      </c>
      <c r="C1960" s="5" t="s">
        <v>32</v>
      </c>
      <c r="D1960">
        <v>6611</v>
      </c>
      <c r="E1960" s="5" t="s">
        <v>81</v>
      </c>
      <c r="F1960" s="5" t="s">
        <v>14</v>
      </c>
      <c r="G1960">
        <v>14</v>
      </c>
    </row>
    <row r="1961" spans="1:7" x14ac:dyDescent="0.35">
      <c r="A1961">
        <v>148795</v>
      </c>
      <c r="B1961">
        <v>0</v>
      </c>
      <c r="C1961" s="5" t="s">
        <v>21</v>
      </c>
      <c r="D1961">
        <v>5401</v>
      </c>
      <c r="E1961" s="5" t="s">
        <v>83</v>
      </c>
      <c r="F1961" s="5" t="s">
        <v>14</v>
      </c>
      <c r="G1961">
        <v>10</v>
      </c>
    </row>
    <row r="1962" spans="1:7" x14ac:dyDescent="0.35">
      <c r="A1962">
        <v>78778</v>
      </c>
      <c r="B1962">
        <v>1</v>
      </c>
      <c r="C1962" s="5" t="s">
        <v>32</v>
      </c>
      <c r="D1962">
        <v>2706</v>
      </c>
      <c r="E1962" s="5" t="s">
        <v>80</v>
      </c>
      <c r="F1962" s="5" t="s">
        <v>14</v>
      </c>
      <c r="G1962">
        <v>21</v>
      </c>
    </row>
    <row r="1963" spans="1:7" x14ac:dyDescent="0.35">
      <c r="A1963">
        <v>121256</v>
      </c>
      <c r="B1963">
        <v>1</v>
      </c>
      <c r="C1963" s="5" t="s">
        <v>20</v>
      </c>
      <c r="D1963">
        <v>0</v>
      </c>
      <c r="E1963" s="5" t="s">
        <v>88</v>
      </c>
      <c r="F1963" s="5" t="s">
        <v>14</v>
      </c>
      <c r="G1963">
        <v>15</v>
      </c>
    </row>
    <row r="1964" spans="1:7" x14ac:dyDescent="0.35">
      <c r="A1964">
        <v>177041</v>
      </c>
      <c r="B1964">
        <v>2</v>
      </c>
      <c r="C1964" s="5" t="s">
        <v>47</v>
      </c>
      <c r="D1964">
        <v>0</v>
      </c>
      <c r="E1964" s="5" t="s">
        <v>81</v>
      </c>
      <c r="F1964" s="5" t="s">
        <v>17</v>
      </c>
      <c r="G1964">
        <v>15</v>
      </c>
    </row>
    <row r="1965" spans="1:7" x14ac:dyDescent="0.35">
      <c r="A1965">
        <v>141209</v>
      </c>
      <c r="B1965">
        <v>0</v>
      </c>
      <c r="C1965" s="5" t="s">
        <v>45</v>
      </c>
      <c r="D1965">
        <v>0</v>
      </c>
      <c r="E1965" s="5" t="s">
        <v>80</v>
      </c>
      <c r="F1965" s="5" t="s">
        <v>14</v>
      </c>
      <c r="G1965">
        <v>10</v>
      </c>
    </row>
    <row r="1966" spans="1:7" x14ac:dyDescent="0.35">
      <c r="A1966">
        <v>75346</v>
      </c>
      <c r="B1966">
        <v>0</v>
      </c>
      <c r="C1966" s="5" t="s">
        <v>44</v>
      </c>
      <c r="D1966">
        <v>2801</v>
      </c>
      <c r="E1966" s="5" t="s">
        <v>81</v>
      </c>
      <c r="F1966" s="5" t="s">
        <v>14</v>
      </c>
      <c r="G1966">
        <v>15</v>
      </c>
    </row>
    <row r="1967" spans="1:7" x14ac:dyDescent="0.35">
      <c r="A1967">
        <v>187318</v>
      </c>
      <c r="B1967">
        <v>0</v>
      </c>
      <c r="C1967" s="5" t="s">
        <v>18</v>
      </c>
      <c r="D1967">
        <v>0</v>
      </c>
      <c r="E1967" s="5" t="s">
        <v>79</v>
      </c>
      <c r="F1967" s="5" t="s">
        <v>17</v>
      </c>
      <c r="G1967">
        <v>18</v>
      </c>
    </row>
    <row r="1968" spans="1:7" x14ac:dyDescent="0.35">
      <c r="A1968">
        <v>22119</v>
      </c>
      <c r="B1968">
        <v>1</v>
      </c>
      <c r="C1968" s="5" t="s">
        <v>18</v>
      </c>
      <c r="D1968">
        <v>1902</v>
      </c>
      <c r="E1968" s="5" t="s">
        <v>81</v>
      </c>
      <c r="F1968" s="5" t="s">
        <v>14</v>
      </c>
      <c r="G1968">
        <v>10</v>
      </c>
    </row>
    <row r="1969" spans="1:7" x14ac:dyDescent="0.35">
      <c r="A1969">
        <v>22149</v>
      </c>
      <c r="B1969">
        <v>1</v>
      </c>
      <c r="C1969" s="5" t="s">
        <v>18</v>
      </c>
      <c r="D1969">
        <v>0</v>
      </c>
      <c r="E1969" s="5" t="s">
        <v>81</v>
      </c>
      <c r="F1969" s="5" t="s">
        <v>14</v>
      </c>
      <c r="G1969">
        <v>20</v>
      </c>
    </row>
    <row r="1970" spans="1:7" x14ac:dyDescent="0.35">
      <c r="A1970">
        <v>32622</v>
      </c>
      <c r="B1970">
        <v>1</v>
      </c>
      <c r="C1970" s="5" t="s">
        <v>13</v>
      </c>
      <c r="D1970">
        <v>805</v>
      </c>
      <c r="E1970" s="5" t="s">
        <v>81</v>
      </c>
      <c r="F1970" s="5" t="s">
        <v>14</v>
      </c>
      <c r="G1970">
        <v>47</v>
      </c>
    </row>
    <row r="1971" spans="1:7" x14ac:dyDescent="0.35">
      <c r="A1971">
        <v>76758</v>
      </c>
      <c r="B1971">
        <v>0</v>
      </c>
      <c r="C1971" s="5" t="s">
        <v>44</v>
      </c>
      <c r="D1971">
        <v>2801</v>
      </c>
      <c r="E1971" s="5" t="s">
        <v>81</v>
      </c>
      <c r="F1971" s="5" t="s">
        <v>17</v>
      </c>
      <c r="G1971">
        <v>10</v>
      </c>
    </row>
    <row r="1972" spans="1:7" x14ac:dyDescent="0.35">
      <c r="A1972">
        <v>161838</v>
      </c>
      <c r="B1972">
        <v>0</v>
      </c>
      <c r="C1972" s="5" t="s">
        <v>21</v>
      </c>
      <c r="D1972">
        <v>4212</v>
      </c>
      <c r="E1972" s="5" t="s">
        <v>78</v>
      </c>
      <c r="F1972" s="5" t="s">
        <v>17</v>
      </c>
      <c r="G1972">
        <v>14</v>
      </c>
    </row>
    <row r="1973" spans="1:7" x14ac:dyDescent="0.35">
      <c r="A1973">
        <v>70863</v>
      </c>
      <c r="B1973">
        <v>1</v>
      </c>
      <c r="C1973" s="5" t="s">
        <v>26</v>
      </c>
      <c r="D1973">
        <v>1803</v>
      </c>
      <c r="E1973" s="5" t="s">
        <v>81</v>
      </c>
      <c r="F1973" s="5" t="s">
        <v>14</v>
      </c>
      <c r="G1973">
        <v>20</v>
      </c>
    </row>
    <row r="1974" spans="1:7" x14ac:dyDescent="0.35">
      <c r="A1974">
        <v>143996</v>
      </c>
      <c r="B1974">
        <v>28</v>
      </c>
      <c r="C1974" s="5" t="s">
        <v>21</v>
      </c>
      <c r="D1974">
        <v>4912</v>
      </c>
      <c r="E1974" s="5" t="s">
        <v>83</v>
      </c>
      <c r="F1974" s="5" t="s">
        <v>17</v>
      </c>
      <c r="G1974">
        <v>10</v>
      </c>
    </row>
    <row r="1975" spans="1:7" x14ac:dyDescent="0.35">
      <c r="A1975">
        <v>4314</v>
      </c>
      <c r="B1975">
        <v>0</v>
      </c>
      <c r="C1975" s="5" t="s">
        <v>16</v>
      </c>
      <c r="D1975">
        <v>2210</v>
      </c>
      <c r="E1975" s="5" t="s">
        <v>93</v>
      </c>
      <c r="F1975" s="5" t="s">
        <v>17</v>
      </c>
      <c r="G1975">
        <v>6</v>
      </c>
    </row>
    <row r="1976" spans="1:7" x14ac:dyDescent="0.35">
      <c r="A1976">
        <v>5835</v>
      </c>
      <c r="B1976">
        <v>28</v>
      </c>
      <c r="C1976" s="5" t="s">
        <v>52</v>
      </c>
      <c r="D1976">
        <v>0</v>
      </c>
      <c r="E1976" s="5" t="s">
        <v>81</v>
      </c>
      <c r="F1976" s="5" t="s">
        <v>17</v>
      </c>
      <c r="G1976">
        <v>30</v>
      </c>
    </row>
    <row r="1977" spans="1:7" x14ac:dyDescent="0.35">
      <c r="A1977">
        <v>3891</v>
      </c>
      <c r="B1977">
        <v>2</v>
      </c>
      <c r="C1977" s="5" t="s">
        <v>20</v>
      </c>
      <c r="D1977">
        <v>1501</v>
      </c>
      <c r="E1977" s="5" t="s">
        <v>79</v>
      </c>
      <c r="F1977" s="5" t="s">
        <v>17</v>
      </c>
      <c r="G1977">
        <v>25</v>
      </c>
    </row>
    <row r="1978" spans="1:7" x14ac:dyDescent="0.35">
      <c r="A1978">
        <v>87775</v>
      </c>
      <c r="B1978">
        <v>0</v>
      </c>
      <c r="C1978" s="5" t="s">
        <v>16</v>
      </c>
      <c r="D1978">
        <v>4908</v>
      </c>
      <c r="E1978" s="5" t="s">
        <v>85</v>
      </c>
      <c r="F1978" s="5" t="s">
        <v>17</v>
      </c>
      <c r="G1978">
        <v>20</v>
      </c>
    </row>
    <row r="1979" spans="1:7" x14ac:dyDescent="0.35">
      <c r="A1979">
        <v>9727</v>
      </c>
      <c r="B1979">
        <v>0</v>
      </c>
      <c r="C1979" s="5" t="s">
        <v>21</v>
      </c>
      <c r="D1979">
        <v>4201</v>
      </c>
      <c r="E1979" s="5" t="s">
        <v>85</v>
      </c>
      <c r="F1979" s="5" t="s">
        <v>17</v>
      </c>
      <c r="G1979">
        <v>25</v>
      </c>
    </row>
    <row r="1980" spans="1:7" x14ac:dyDescent="0.35">
      <c r="A1980">
        <v>188841</v>
      </c>
      <c r="B1980">
        <v>28</v>
      </c>
      <c r="C1980" s="5" t="s">
        <v>50</v>
      </c>
      <c r="D1980">
        <v>0</v>
      </c>
      <c r="E1980" s="5" t="s">
        <v>82</v>
      </c>
      <c r="F1980" s="5" t="s">
        <v>17</v>
      </c>
      <c r="G1980">
        <v>10</v>
      </c>
    </row>
    <row r="1981" spans="1:7" x14ac:dyDescent="0.35">
      <c r="A1981">
        <v>15046</v>
      </c>
      <c r="B1981">
        <v>0</v>
      </c>
      <c r="C1981" s="5" t="s">
        <v>18</v>
      </c>
      <c r="D1981">
        <v>3801</v>
      </c>
      <c r="E1981" s="5" t="s">
        <v>81</v>
      </c>
      <c r="F1981" s="5" t="s">
        <v>17</v>
      </c>
      <c r="G1981">
        <v>10</v>
      </c>
    </row>
    <row r="1982" spans="1:7" x14ac:dyDescent="0.35">
      <c r="A1982">
        <v>43781</v>
      </c>
      <c r="B1982">
        <v>1</v>
      </c>
      <c r="C1982" s="5" t="s">
        <v>13</v>
      </c>
      <c r="D1982">
        <v>3001</v>
      </c>
      <c r="E1982" s="5" t="s">
        <v>78</v>
      </c>
      <c r="F1982" s="5" t="s">
        <v>14</v>
      </c>
      <c r="G1982">
        <v>10</v>
      </c>
    </row>
    <row r="1983" spans="1:7" x14ac:dyDescent="0.35">
      <c r="A1983">
        <v>182319</v>
      </c>
      <c r="B1983">
        <v>2</v>
      </c>
      <c r="C1983" s="5" t="s">
        <v>37</v>
      </c>
      <c r="D1983">
        <v>1406</v>
      </c>
      <c r="E1983" s="5" t="s">
        <v>78</v>
      </c>
      <c r="F1983" s="5" t="s">
        <v>14</v>
      </c>
      <c r="G1983">
        <v>10</v>
      </c>
    </row>
    <row r="1984" spans="1:7" x14ac:dyDescent="0.35">
      <c r="A1984">
        <v>130369</v>
      </c>
      <c r="B1984">
        <v>28</v>
      </c>
      <c r="C1984" s="5" t="s">
        <v>45</v>
      </c>
      <c r="D1984">
        <v>4106</v>
      </c>
      <c r="E1984" s="5" t="s">
        <v>83</v>
      </c>
      <c r="F1984" s="5" t="s">
        <v>17</v>
      </c>
      <c r="G1984">
        <v>50</v>
      </c>
    </row>
    <row r="1985" spans="1:7" x14ac:dyDescent="0.35">
      <c r="A1985">
        <v>147758</v>
      </c>
      <c r="B1985">
        <v>0</v>
      </c>
      <c r="C1985" s="5" t="s">
        <v>21</v>
      </c>
      <c r="D1985">
        <v>0</v>
      </c>
      <c r="E1985" s="5" t="s">
        <v>85</v>
      </c>
      <c r="F1985" s="5" t="s">
        <v>17</v>
      </c>
      <c r="G1985">
        <v>25</v>
      </c>
    </row>
    <row r="1986" spans="1:7" x14ac:dyDescent="0.35">
      <c r="A1986">
        <v>18761</v>
      </c>
      <c r="B1986">
        <v>0</v>
      </c>
      <c r="C1986" s="5" t="s">
        <v>18</v>
      </c>
      <c r="D1986">
        <v>4801</v>
      </c>
      <c r="E1986" s="5" t="s">
        <v>79</v>
      </c>
      <c r="F1986" s="5" t="s">
        <v>17</v>
      </c>
      <c r="G1986">
        <v>15</v>
      </c>
    </row>
    <row r="1987" spans="1:7" x14ac:dyDescent="0.35">
      <c r="A1987">
        <v>104234</v>
      </c>
      <c r="B1987">
        <v>0</v>
      </c>
      <c r="C1987" s="5" t="s">
        <v>33</v>
      </c>
      <c r="D1987">
        <v>5507</v>
      </c>
      <c r="E1987" s="5" t="s">
        <v>83</v>
      </c>
      <c r="F1987" s="5" t="s">
        <v>14</v>
      </c>
      <c r="G1987">
        <v>18</v>
      </c>
    </row>
    <row r="1988" spans="1:7" x14ac:dyDescent="0.35">
      <c r="A1988">
        <v>30185</v>
      </c>
      <c r="B1988">
        <v>0</v>
      </c>
      <c r="C1988" s="5" t="s">
        <v>36</v>
      </c>
      <c r="D1988">
        <v>6401</v>
      </c>
      <c r="E1988" s="5" t="s">
        <v>79</v>
      </c>
      <c r="F1988" s="5" t="s">
        <v>17</v>
      </c>
      <c r="G1988">
        <v>30</v>
      </c>
    </row>
    <row r="1989" spans="1:7" x14ac:dyDescent="0.35">
      <c r="A1989">
        <v>30907</v>
      </c>
      <c r="B1989">
        <v>1</v>
      </c>
      <c r="C1989" s="5" t="s">
        <v>36</v>
      </c>
      <c r="D1989">
        <v>0</v>
      </c>
      <c r="E1989" s="5" t="s">
        <v>79</v>
      </c>
      <c r="F1989" s="5" t="s">
        <v>14</v>
      </c>
      <c r="G1989">
        <v>15</v>
      </c>
    </row>
    <row r="1990" spans="1:7" x14ac:dyDescent="0.35">
      <c r="A1990">
        <v>105371</v>
      </c>
      <c r="B1990">
        <v>0</v>
      </c>
      <c r="C1990" s="5" t="s">
        <v>25</v>
      </c>
      <c r="D1990">
        <v>3204</v>
      </c>
      <c r="E1990" s="5" t="s">
        <v>89</v>
      </c>
      <c r="F1990" s="5" t="s">
        <v>86</v>
      </c>
      <c r="G1990">
        <v>20</v>
      </c>
    </row>
    <row r="1991" spans="1:7" x14ac:dyDescent="0.35">
      <c r="A1991">
        <v>57058</v>
      </c>
      <c r="B1991">
        <v>0</v>
      </c>
      <c r="C1991" s="5" t="s">
        <v>53</v>
      </c>
      <c r="D1991">
        <v>2001</v>
      </c>
      <c r="E1991" s="5" t="s">
        <v>81</v>
      </c>
      <c r="F1991" s="5" t="s">
        <v>14</v>
      </c>
      <c r="G1991">
        <v>25</v>
      </c>
    </row>
    <row r="1992" spans="1:7" x14ac:dyDescent="0.35">
      <c r="A1992">
        <v>160851</v>
      </c>
      <c r="B1992">
        <v>0</v>
      </c>
      <c r="C1992" s="5" t="s">
        <v>21</v>
      </c>
      <c r="D1992">
        <v>4004</v>
      </c>
      <c r="E1992" s="5" t="s">
        <v>78</v>
      </c>
      <c r="F1992" s="5" t="s">
        <v>14</v>
      </c>
      <c r="G1992">
        <v>16</v>
      </c>
    </row>
    <row r="1993" spans="1:7" x14ac:dyDescent="0.35">
      <c r="A1993">
        <v>163546</v>
      </c>
      <c r="B1993">
        <v>1</v>
      </c>
      <c r="C1993" s="5" t="s">
        <v>21</v>
      </c>
      <c r="D1993">
        <v>4301</v>
      </c>
      <c r="E1993" s="5" t="s">
        <v>85</v>
      </c>
      <c r="F1993" s="5" t="s">
        <v>14</v>
      </c>
      <c r="G1993">
        <v>15</v>
      </c>
    </row>
    <row r="1994" spans="1:7" x14ac:dyDescent="0.35">
      <c r="A1994">
        <v>176053</v>
      </c>
      <c r="B1994">
        <v>1</v>
      </c>
      <c r="C1994" s="5" t="s">
        <v>47</v>
      </c>
      <c r="D1994">
        <v>4210</v>
      </c>
      <c r="E1994" s="5" t="s">
        <v>91</v>
      </c>
      <c r="F1994" s="5" t="s">
        <v>14</v>
      </c>
      <c r="G1994">
        <v>12</v>
      </c>
    </row>
    <row r="1995" spans="1:7" x14ac:dyDescent="0.35">
      <c r="A1995">
        <v>149534</v>
      </c>
      <c r="B1995">
        <v>28</v>
      </c>
      <c r="C1995" s="5" t="s">
        <v>21</v>
      </c>
      <c r="D1995">
        <v>0</v>
      </c>
      <c r="E1995" s="5" t="s">
        <v>83</v>
      </c>
      <c r="F1995" s="5" t="s">
        <v>17</v>
      </c>
      <c r="G1995">
        <v>30</v>
      </c>
    </row>
    <row r="1996" spans="1:7" x14ac:dyDescent="0.35">
      <c r="A1996">
        <v>156152</v>
      </c>
      <c r="B1996">
        <v>2</v>
      </c>
      <c r="C1996" s="5" t="s">
        <v>21</v>
      </c>
      <c r="D1996">
        <v>2501</v>
      </c>
      <c r="E1996" s="5" t="s">
        <v>79</v>
      </c>
      <c r="F1996" s="5" t="s">
        <v>17</v>
      </c>
      <c r="G1996">
        <v>16</v>
      </c>
    </row>
    <row r="1997" spans="1:7" x14ac:dyDescent="0.35">
      <c r="A1997">
        <v>67177</v>
      </c>
      <c r="B1997">
        <v>0</v>
      </c>
      <c r="C1997" s="5" t="s">
        <v>26</v>
      </c>
      <c r="D1997">
        <v>2609</v>
      </c>
      <c r="E1997" s="5" t="s">
        <v>80</v>
      </c>
      <c r="F1997" s="5" t="s">
        <v>17</v>
      </c>
      <c r="G1997">
        <v>12</v>
      </c>
    </row>
    <row r="1998" spans="1:7" x14ac:dyDescent="0.35">
      <c r="A1998">
        <v>34475</v>
      </c>
      <c r="B1998">
        <v>2</v>
      </c>
      <c r="C1998" s="5" t="s">
        <v>13</v>
      </c>
      <c r="D1998">
        <v>3009</v>
      </c>
      <c r="E1998" s="5" t="s">
        <v>81</v>
      </c>
      <c r="F1998" s="5" t="s">
        <v>14</v>
      </c>
      <c r="G1998">
        <v>20</v>
      </c>
    </row>
    <row r="1999" spans="1:7" x14ac:dyDescent="0.35">
      <c r="A1999">
        <v>114803</v>
      </c>
      <c r="B1999">
        <v>28</v>
      </c>
      <c r="C1999" s="5" t="s">
        <v>28</v>
      </c>
      <c r="D1999">
        <v>0</v>
      </c>
      <c r="E1999" s="5" t="s">
        <v>82</v>
      </c>
      <c r="F1999" s="5" t="s">
        <v>17</v>
      </c>
      <c r="G1999">
        <v>20</v>
      </c>
    </row>
    <row r="2000" spans="1:7" x14ac:dyDescent="0.35">
      <c r="A2000">
        <v>15332</v>
      </c>
      <c r="B2000">
        <v>1</v>
      </c>
      <c r="C2000" s="5" t="s">
        <v>18</v>
      </c>
      <c r="D2000">
        <v>1701</v>
      </c>
      <c r="E2000" s="5" t="s">
        <v>82</v>
      </c>
      <c r="F2000" s="5" t="s">
        <v>14</v>
      </c>
      <c r="G2000">
        <v>10</v>
      </c>
    </row>
    <row r="2001" spans="1:7" x14ac:dyDescent="0.35">
      <c r="A2001">
        <v>119966</v>
      </c>
      <c r="B2001">
        <v>0</v>
      </c>
      <c r="C2001" s="5" t="s">
        <v>20</v>
      </c>
      <c r="D2001">
        <v>3212</v>
      </c>
      <c r="E2001" s="5" t="s">
        <v>94</v>
      </c>
      <c r="F2001" s="5" t="s">
        <v>17</v>
      </c>
      <c r="G2001">
        <v>11</v>
      </c>
    </row>
    <row r="2002" spans="1:7" x14ac:dyDescent="0.35">
      <c r="A2002">
        <v>152470</v>
      </c>
      <c r="B2002">
        <v>0</v>
      </c>
      <c r="C2002" s="5" t="s">
        <v>21</v>
      </c>
      <c r="D2002">
        <v>0</v>
      </c>
      <c r="E2002" s="5" t="s">
        <v>83</v>
      </c>
      <c r="F2002" s="5" t="s">
        <v>17</v>
      </c>
      <c r="G2002">
        <v>45</v>
      </c>
    </row>
    <row r="2003" spans="1:7" x14ac:dyDescent="0.35">
      <c r="A2003">
        <v>48527</v>
      </c>
      <c r="B2003">
        <v>2</v>
      </c>
      <c r="C2003" s="5" t="s">
        <v>40</v>
      </c>
      <c r="D2003">
        <v>0</v>
      </c>
      <c r="E2003" s="5" t="s">
        <v>89</v>
      </c>
      <c r="F2003" s="5" t="s">
        <v>14</v>
      </c>
      <c r="G2003">
        <v>3</v>
      </c>
    </row>
    <row r="2004" spans="1:7" x14ac:dyDescent="0.35">
      <c r="A2004">
        <v>171528</v>
      </c>
      <c r="B2004">
        <v>0</v>
      </c>
      <c r="C2004" s="5" t="s">
        <v>21</v>
      </c>
      <c r="D2004">
        <v>5501</v>
      </c>
      <c r="E2004" s="5" t="s">
        <v>81</v>
      </c>
      <c r="F2004" s="5" t="s">
        <v>17</v>
      </c>
      <c r="G2004">
        <v>5</v>
      </c>
    </row>
    <row r="2005" spans="1:7" x14ac:dyDescent="0.35">
      <c r="A2005">
        <v>50122</v>
      </c>
      <c r="B2005">
        <v>2</v>
      </c>
      <c r="C2005" s="5" t="s">
        <v>49</v>
      </c>
      <c r="D2005">
        <v>0</v>
      </c>
      <c r="E2005" s="5" t="s">
        <v>84</v>
      </c>
      <c r="F2005" s="5" t="s">
        <v>17</v>
      </c>
      <c r="G2005">
        <v>10</v>
      </c>
    </row>
    <row r="2006" spans="1:7" x14ac:dyDescent="0.35">
      <c r="A2006">
        <v>92293</v>
      </c>
      <c r="B2006">
        <v>0</v>
      </c>
      <c r="C2006" s="5" t="s">
        <v>16</v>
      </c>
      <c r="D2006">
        <v>2201</v>
      </c>
      <c r="E2006" s="5" t="s">
        <v>83</v>
      </c>
      <c r="F2006" s="5" t="s">
        <v>17</v>
      </c>
      <c r="G2006">
        <v>5</v>
      </c>
    </row>
    <row r="2007" spans="1:7" x14ac:dyDescent="0.35">
      <c r="A2007">
        <v>47191</v>
      </c>
      <c r="B2007">
        <v>2</v>
      </c>
      <c r="C2007" s="5" t="s">
        <v>40</v>
      </c>
      <c r="D2007">
        <v>2601</v>
      </c>
      <c r="E2007" s="5" t="s">
        <v>82</v>
      </c>
      <c r="F2007" s="5" t="s">
        <v>17</v>
      </c>
      <c r="G2007">
        <v>5</v>
      </c>
    </row>
    <row r="2008" spans="1:7" x14ac:dyDescent="0.35">
      <c r="A2008">
        <v>89288</v>
      </c>
      <c r="B2008">
        <v>0</v>
      </c>
      <c r="C2008" s="5" t="s">
        <v>16</v>
      </c>
      <c r="D2008">
        <v>5308</v>
      </c>
      <c r="E2008" s="5" t="s">
        <v>80</v>
      </c>
      <c r="F2008" s="5" t="s">
        <v>17</v>
      </c>
      <c r="G2008">
        <v>15</v>
      </c>
    </row>
    <row r="2009" spans="1:7" x14ac:dyDescent="0.35">
      <c r="A2009">
        <v>101676</v>
      </c>
      <c r="B2009">
        <v>1</v>
      </c>
      <c r="C2009" s="5" t="s">
        <v>33</v>
      </c>
      <c r="D2009">
        <v>3405</v>
      </c>
      <c r="E2009" s="5" t="s">
        <v>82</v>
      </c>
      <c r="F2009" s="5" t="s">
        <v>14</v>
      </c>
      <c r="G2009">
        <v>15</v>
      </c>
    </row>
    <row r="2010" spans="1:7" x14ac:dyDescent="0.35">
      <c r="A2010">
        <v>30051</v>
      </c>
      <c r="B2010">
        <v>0</v>
      </c>
      <c r="C2010" s="5" t="s">
        <v>36</v>
      </c>
      <c r="D2010">
        <v>4501</v>
      </c>
      <c r="E2010" s="5" t="s">
        <v>86</v>
      </c>
      <c r="F2010" s="5" t="s">
        <v>17</v>
      </c>
      <c r="G2010">
        <v>10</v>
      </c>
    </row>
    <row r="2011" spans="1:7" x14ac:dyDescent="0.35">
      <c r="A2011">
        <v>141500</v>
      </c>
      <c r="B2011">
        <v>0</v>
      </c>
      <c r="C2011" s="5" t="s">
        <v>23</v>
      </c>
      <c r="D2011">
        <v>7001</v>
      </c>
      <c r="E2011" s="5" t="s">
        <v>80</v>
      </c>
      <c r="F2011" s="5" t="s">
        <v>14</v>
      </c>
      <c r="G2011">
        <v>18</v>
      </c>
    </row>
    <row r="2012" spans="1:7" x14ac:dyDescent="0.35">
      <c r="A2012">
        <v>21599</v>
      </c>
      <c r="B2012">
        <v>1</v>
      </c>
      <c r="C2012" s="5" t="s">
        <v>43</v>
      </c>
      <c r="D2012">
        <v>0</v>
      </c>
      <c r="E2012" s="5" t="s">
        <v>79</v>
      </c>
      <c r="F2012" s="5" t="s">
        <v>14</v>
      </c>
      <c r="G2012">
        <v>7</v>
      </c>
    </row>
    <row r="2013" spans="1:7" x14ac:dyDescent="0.35">
      <c r="A2013">
        <v>110789</v>
      </c>
      <c r="B2013">
        <v>2</v>
      </c>
      <c r="C2013" s="5" t="s">
        <v>46</v>
      </c>
      <c r="D2013">
        <v>2912</v>
      </c>
      <c r="E2013" s="5" t="s">
        <v>81</v>
      </c>
      <c r="F2013" s="5" t="s">
        <v>17</v>
      </c>
      <c r="G2013">
        <v>15</v>
      </c>
    </row>
    <row r="2014" spans="1:7" x14ac:dyDescent="0.35">
      <c r="A2014">
        <v>139512</v>
      </c>
      <c r="B2014">
        <v>1</v>
      </c>
      <c r="C2014" s="5" t="s">
        <v>50</v>
      </c>
      <c r="D2014">
        <v>0</v>
      </c>
      <c r="E2014" s="5" t="s">
        <v>83</v>
      </c>
      <c r="F2014" s="5" t="s">
        <v>14</v>
      </c>
      <c r="G2014">
        <v>20</v>
      </c>
    </row>
    <row r="2015" spans="1:7" x14ac:dyDescent="0.35">
      <c r="A2015">
        <v>142662</v>
      </c>
      <c r="B2015">
        <v>28</v>
      </c>
      <c r="C2015" s="5" t="s">
        <v>21</v>
      </c>
      <c r="D2015">
        <v>2401</v>
      </c>
      <c r="E2015" s="5" t="s">
        <v>91</v>
      </c>
      <c r="F2015" s="5" t="s">
        <v>17</v>
      </c>
      <c r="G2015">
        <v>10</v>
      </c>
    </row>
    <row r="2016" spans="1:7" x14ac:dyDescent="0.35">
      <c r="A2016">
        <v>82920</v>
      </c>
      <c r="B2016">
        <v>3</v>
      </c>
      <c r="C2016" s="5" t="s">
        <v>52</v>
      </c>
      <c r="D2016">
        <v>5601</v>
      </c>
      <c r="E2016" s="5" t="s">
        <v>83</v>
      </c>
      <c r="F2016" s="5" t="s">
        <v>17</v>
      </c>
      <c r="G2016">
        <v>5</v>
      </c>
    </row>
    <row r="2017" spans="1:7" x14ac:dyDescent="0.35">
      <c r="A2017">
        <v>168186</v>
      </c>
      <c r="B2017">
        <v>0</v>
      </c>
      <c r="C2017" s="5" t="s">
        <v>21</v>
      </c>
      <c r="D2017">
        <v>0</v>
      </c>
      <c r="E2017" s="5" t="s">
        <v>85</v>
      </c>
      <c r="F2017" s="5" t="s">
        <v>86</v>
      </c>
      <c r="G2017">
        <v>10</v>
      </c>
    </row>
    <row r="2018" spans="1:7" x14ac:dyDescent="0.35">
      <c r="A2018">
        <v>94503</v>
      </c>
      <c r="B2018">
        <v>0</v>
      </c>
      <c r="C2018" s="5" t="s">
        <v>16</v>
      </c>
      <c r="D2018">
        <v>6201</v>
      </c>
      <c r="E2018" s="5" t="s">
        <v>92</v>
      </c>
      <c r="F2018" s="5" t="s">
        <v>17</v>
      </c>
      <c r="G2018">
        <v>10</v>
      </c>
    </row>
    <row r="2019" spans="1:7" x14ac:dyDescent="0.35">
      <c r="A2019">
        <v>167406</v>
      </c>
      <c r="B2019">
        <v>0</v>
      </c>
      <c r="C2019" s="5" t="s">
        <v>21</v>
      </c>
      <c r="D2019">
        <v>2601</v>
      </c>
      <c r="E2019" s="5" t="s">
        <v>85</v>
      </c>
      <c r="F2019" s="5" t="s">
        <v>17</v>
      </c>
      <c r="G2019">
        <v>7</v>
      </c>
    </row>
    <row r="2020" spans="1:7" x14ac:dyDescent="0.35">
      <c r="A2020">
        <v>170722</v>
      </c>
      <c r="B2020">
        <v>0</v>
      </c>
      <c r="C2020" s="5" t="s">
        <v>21</v>
      </c>
      <c r="D2020">
        <v>4001</v>
      </c>
      <c r="E2020" s="5" t="s">
        <v>82</v>
      </c>
      <c r="F2020" s="5" t="s">
        <v>17</v>
      </c>
      <c r="G2020">
        <v>20</v>
      </c>
    </row>
    <row r="2021" spans="1:7" x14ac:dyDescent="0.35">
      <c r="A2021">
        <v>101989</v>
      </c>
      <c r="B2021">
        <v>0</v>
      </c>
      <c r="C2021" s="5" t="s">
        <v>33</v>
      </c>
      <c r="D2021">
        <v>2306</v>
      </c>
      <c r="E2021" s="5" t="s">
        <v>81</v>
      </c>
      <c r="F2021" s="5" t="s">
        <v>17</v>
      </c>
      <c r="G2021">
        <v>5</v>
      </c>
    </row>
    <row r="2022" spans="1:7" x14ac:dyDescent="0.35">
      <c r="A2022">
        <v>66577</v>
      </c>
      <c r="B2022">
        <v>2</v>
      </c>
      <c r="C2022" s="5" t="s">
        <v>26</v>
      </c>
      <c r="D2022">
        <v>2001</v>
      </c>
      <c r="E2022" s="5" t="s">
        <v>80</v>
      </c>
      <c r="F2022" s="5" t="s">
        <v>17</v>
      </c>
      <c r="G2022">
        <v>10</v>
      </c>
    </row>
    <row r="2023" spans="1:7" x14ac:dyDescent="0.35">
      <c r="A2023">
        <v>33003</v>
      </c>
      <c r="B2023">
        <v>0</v>
      </c>
      <c r="C2023" s="5" t="s">
        <v>13</v>
      </c>
      <c r="D2023">
        <v>5201</v>
      </c>
      <c r="E2023" s="5" t="s">
        <v>82</v>
      </c>
      <c r="F2023" s="5" t="s">
        <v>17</v>
      </c>
      <c r="G2023">
        <v>8</v>
      </c>
    </row>
    <row r="2024" spans="1:7" x14ac:dyDescent="0.35">
      <c r="A2024">
        <v>70216</v>
      </c>
      <c r="B2024">
        <v>1</v>
      </c>
      <c r="C2024" s="5" t="s">
        <v>26</v>
      </c>
      <c r="D2024">
        <v>0</v>
      </c>
      <c r="E2024" s="5" t="s">
        <v>88</v>
      </c>
      <c r="F2024" s="5" t="s">
        <v>14</v>
      </c>
      <c r="G2024">
        <v>20</v>
      </c>
    </row>
    <row r="2025" spans="1:7" x14ac:dyDescent="0.35">
      <c r="A2025">
        <v>43086</v>
      </c>
      <c r="B2025">
        <v>28</v>
      </c>
      <c r="C2025" s="5" t="s">
        <v>13</v>
      </c>
      <c r="D2025">
        <v>2501</v>
      </c>
      <c r="E2025" s="5" t="s">
        <v>78</v>
      </c>
      <c r="F2025" s="5" t="s">
        <v>17</v>
      </c>
      <c r="G2025">
        <v>20</v>
      </c>
    </row>
    <row r="2026" spans="1:7" x14ac:dyDescent="0.35">
      <c r="A2026">
        <v>122110</v>
      </c>
      <c r="B2026">
        <v>0</v>
      </c>
      <c r="C2026" s="5" t="s">
        <v>20</v>
      </c>
      <c r="D2026">
        <v>6401</v>
      </c>
      <c r="E2026" s="5" t="s">
        <v>88</v>
      </c>
      <c r="F2026" s="5" t="s">
        <v>27</v>
      </c>
      <c r="G2026">
        <v>10</v>
      </c>
    </row>
    <row r="2027" spans="1:7" x14ac:dyDescent="0.35">
      <c r="A2027">
        <v>150684</v>
      </c>
      <c r="B2027">
        <v>1</v>
      </c>
      <c r="C2027" s="5" t="s">
        <v>21</v>
      </c>
      <c r="D2027">
        <v>0</v>
      </c>
      <c r="E2027" s="5" t="s">
        <v>86</v>
      </c>
      <c r="F2027" s="5" t="s">
        <v>14</v>
      </c>
      <c r="G2027">
        <v>34</v>
      </c>
    </row>
    <row r="2028" spans="1:7" x14ac:dyDescent="0.35">
      <c r="A2028">
        <v>162341</v>
      </c>
      <c r="B2028">
        <v>0</v>
      </c>
      <c r="C2028" s="5" t="s">
        <v>21</v>
      </c>
      <c r="D2028">
        <v>0</v>
      </c>
      <c r="E2028" s="5" t="s">
        <v>83</v>
      </c>
      <c r="F2028" s="5" t="s">
        <v>17</v>
      </c>
      <c r="G2028">
        <v>14</v>
      </c>
    </row>
    <row r="2029" spans="1:7" x14ac:dyDescent="0.35">
      <c r="A2029">
        <v>56407</v>
      </c>
      <c r="B2029">
        <v>0</v>
      </c>
      <c r="C2029" s="5" t="s">
        <v>53</v>
      </c>
      <c r="D2029">
        <v>2707</v>
      </c>
      <c r="E2029" s="5" t="s">
        <v>89</v>
      </c>
      <c r="F2029" s="5" t="s">
        <v>17</v>
      </c>
      <c r="G2029">
        <v>20</v>
      </c>
    </row>
    <row r="2030" spans="1:7" x14ac:dyDescent="0.35">
      <c r="A2030">
        <v>188988</v>
      </c>
      <c r="B2030">
        <v>28</v>
      </c>
      <c r="C2030" s="5" t="s">
        <v>30</v>
      </c>
      <c r="D2030">
        <v>0</v>
      </c>
      <c r="E2030" s="5" t="s">
        <v>86</v>
      </c>
      <c r="F2030" s="5" t="s">
        <v>86</v>
      </c>
      <c r="G2030">
        <v>7</v>
      </c>
    </row>
    <row r="2031" spans="1:7" x14ac:dyDescent="0.35">
      <c r="A2031">
        <v>35581</v>
      </c>
      <c r="B2031">
        <v>1</v>
      </c>
      <c r="C2031" s="5" t="s">
        <v>13</v>
      </c>
      <c r="D2031">
        <v>2812</v>
      </c>
      <c r="E2031" s="5" t="s">
        <v>83</v>
      </c>
      <c r="F2031" s="5" t="s">
        <v>14</v>
      </c>
      <c r="G2031">
        <v>15</v>
      </c>
    </row>
    <row r="2032" spans="1:7" x14ac:dyDescent="0.35">
      <c r="A2032">
        <v>46358</v>
      </c>
      <c r="B2032">
        <v>1</v>
      </c>
      <c r="C2032" s="5" t="s">
        <v>13</v>
      </c>
      <c r="D2032">
        <v>1801</v>
      </c>
      <c r="E2032" s="5" t="s">
        <v>79</v>
      </c>
      <c r="F2032" s="5" t="s">
        <v>14</v>
      </c>
      <c r="G2032">
        <v>9</v>
      </c>
    </row>
    <row r="2033" spans="1:7" x14ac:dyDescent="0.35">
      <c r="A2033">
        <v>109533</v>
      </c>
      <c r="B2033">
        <v>0</v>
      </c>
      <c r="C2033" s="5" t="s">
        <v>46</v>
      </c>
      <c r="D2033">
        <v>3201</v>
      </c>
      <c r="E2033" s="5" t="s">
        <v>79</v>
      </c>
      <c r="F2033" s="5" t="s">
        <v>14</v>
      </c>
      <c r="G2033">
        <v>25</v>
      </c>
    </row>
    <row r="2034" spans="1:7" x14ac:dyDescent="0.35">
      <c r="A2034">
        <v>81322</v>
      </c>
      <c r="B2034">
        <v>1</v>
      </c>
      <c r="C2034" s="5" t="s">
        <v>32</v>
      </c>
      <c r="D2034">
        <v>0</v>
      </c>
      <c r="E2034" s="5" t="s">
        <v>89</v>
      </c>
      <c r="F2034" s="5" t="s">
        <v>14</v>
      </c>
      <c r="G2034">
        <v>15</v>
      </c>
    </row>
    <row r="2035" spans="1:7" x14ac:dyDescent="0.35">
      <c r="A2035">
        <v>179275</v>
      </c>
      <c r="B2035">
        <v>0</v>
      </c>
      <c r="C2035" s="5" t="s">
        <v>37</v>
      </c>
      <c r="D2035">
        <v>4501</v>
      </c>
      <c r="E2035" s="5" t="s">
        <v>79</v>
      </c>
      <c r="F2035" s="5" t="s">
        <v>17</v>
      </c>
      <c r="G2035">
        <v>25</v>
      </c>
    </row>
    <row r="2036" spans="1:7" x14ac:dyDescent="0.35">
      <c r="A2036">
        <v>48691</v>
      </c>
      <c r="B2036">
        <v>0</v>
      </c>
      <c r="C2036" s="5" t="s">
        <v>40</v>
      </c>
      <c r="D2036">
        <v>2702</v>
      </c>
      <c r="E2036" s="5" t="s">
        <v>78</v>
      </c>
      <c r="F2036" s="5" t="s">
        <v>17</v>
      </c>
      <c r="G2036">
        <v>20</v>
      </c>
    </row>
    <row r="2037" spans="1:7" x14ac:dyDescent="0.35">
      <c r="A2037">
        <v>24420</v>
      </c>
      <c r="B2037">
        <v>4</v>
      </c>
      <c r="C2037" s="5" t="s">
        <v>43</v>
      </c>
      <c r="D2037">
        <v>4001</v>
      </c>
      <c r="E2037" s="5" t="s">
        <v>82</v>
      </c>
      <c r="F2037" s="5" t="s">
        <v>17</v>
      </c>
      <c r="G2037">
        <v>12</v>
      </c>
    </row>
    <row r="2038" spans="1:7" x14ac:dyDescent="0.35">
      <c r="A2038">
        <v>165368</v>
      </c>
      <c r="B2038">
        <v>1</v>
      </c>
      <c r="C2038" s="5" t="s">
        <v>21</v>
      </c>
      <c r="D2038">
        <v>3201</v>
      </c>
      <c r="E2038" s="5" t="s">
        <v>83</v>
      </c>
      <c r="F2038" s="5" t="s">
        <v>14</v>
      </c>
      <c r="G2038">
        <v>20</v>
      </c>
    </row>
    <row r="2039" spans="1:7" x14ac:dyDescent="0.35">
      <c r="A2039">
        <v>41545</v>
      </c>
      <c r="B2039">
        <v>1</v>
      </c>
      <c r="C2039" s="5" t="s">
        <v>13</v>
      </c>
      <c r="D2039">
        <v>0</v>
      </c>
      <c r="E2039" s="5" t="s">
        <v>80</v>
      </c>
      <c r="F2039" s="5" t="s">
        <v>14</v>
      </c>
      <c r="G2039">
        <v>5</v>
      </c>
    </row>
    <row r="2040" spans="1:7" x14ac:dyDescent="0.35">
      <c r="A2040">
        <v>106235</v>
      </c>
      <c r="B2040">
        <v>1</v>
      </c>
      <c r="C2040" s="5" t="s">
        <v>25</v>
      </c>
      <c r="D2040">
        <v>1801</v>
      </c>
      <c r="E2040" s="5" t="s">
        <v>79</v>
      </c>
      <c r="F2040" s="5" t="s">
        <v>14</v>
      </c>
      <c r="G2040">
        <v>5</v>
      </c>
    </row>
    <row r="2041" spans="1:7" x14ac:dyDescent="0.35">
      <c r="A2041">
        <v>133640</v>
      </c>
      <c r="B2041">
        <v>1</v>
      </c>
      <c r="C2041" s="5" t="s">
        <v>38</v>
      </c>
      <c r="D2041">
        <v>3210</v>
      </c>
      <c r="E2041" s="5" t="s">
        <v>78</v>
      </c>
      <c r="F2041" s="5" t="s">
        <v>14</v>
      </c>
      <c r="G2041">
        <v>10</v>
      </c>
    </row>
    <row r="2042" spans="1:7" x14ac:dyDescent="0.35">
      <c r="A2042">
        <v>176443</v>
      </c>
      <c r="B2042">
        <v>0</v>
      </c>
      <c r="C2042" s="5" t="s">
        <v>47</v>
      </c>
      <c r="D2042">
        <v>2103</v>
      </c>
      <c r="E2042" s="5" t="s">
        <v>81</v>
      </c>
      <c r="F2042" s="5" t="s">
        <v>17</v>
      </c>
      <c r="G2042">
        <v>10</v>
      </c>
    </row>
    <row r="2043" spans="1:7" x14ac:dyDescent="0.35">
      <c r="A2043">
        <v>190976</v>
      </c>
      <c r="B2043">
        <v>0</v>
      </c>
      <c r="C2043" s="5" t="s">
        <v>51</v>
      </c>
      <c r="D2043">
        <v>0</v>
      </c>
      <c r="E2043" s="5" t="s">
        <v>78</v>
      </c>
      <c r="F2043" s="5" t="s">
        <v>86</v>
      </c>
      <c r="G2043">
        <v>20</v>
      </c>
    </row>
    <row r="2044" spans="1:7" x14ac:dyDescent="0.35">
      <c r="A2044">
        <v>145911</v>
      </c>
      <c r="B2044">
        <v>0</v>
      </c>
      <c r="C2044" s="5" t="s">
        <v>21</v>
      </c>
      <c r="D2044">
        <v>0</v>
      </c>
      <c r="E2044" s="5" t="s">
        <v>83</v>
      </c>
      <c r="F2044" s="5" t="s">
        <v>17</v>
      </c>
      <c r="G2044">
        <v>10</v>
      </c>
    </row>
    <row r="2045" spans="1:7" x14ac:dyDescent="0.35">
      <c r="A2045">
        <v>32984</v>
      </c>
      <c r="B2045">
        <v>1</v>
      </c>
      <c r="C2045" s="5" t="s">
        <v>24</v>
      </c>
      <c r="D2045">
        <v>0</v>
      </c>
      <c r="E2045" s="5" t="s">
        <v>83</v>
      </c>
      <c r="F2045" s="5" t="s">
        <v>14</v>
      </c>
      <c r="G2045">
        <v>8</v>
      </c>
    </row>
    <row r="2046" spans="1:7" x14ac:dyDescent="0.35">
      <c r="A2046">
        <v>67541</v>
      </c>
      <c r="B2046">
        <v>28</v>
      </c>
      <c r="C2046" s="5" t="s">
        <v>26</v>
      </c>
      <c r="D2046">
        <v>5601</v>
      </c>
      <c r="E2046" s="5" t="s">
        <v>78</v>
      </c>
      <c r="F2046" s="5" t="s">
        <v>17</v>
      </c>
      <c r="G2046">
        <v>7</v>
      </c>
    </row>
    <row r="2047" spans="1:7" x14ac:dyDescent="0.35">
      <c r="A2047">
        <v>86803</v>
      </c>
      <c r="B2047">
        <v>2</v>
      </c>
      <c r="C2047" s="5" t="s">
        <v>31</v>
      </c>
      <c r="D2047">
        <v>0</v>
      </c>
      <c r="E2047" s="5" t="s">
        <v>81</v>
      </c>
      <c r="F2047" s="5" t="s">
        <v>17</v>
      </c>
      <c r="G2047">
        <v>10</v>
      </c>
    </row>
    <row r="2048" spans="1:7" x14ac:dyDescent="0.35">
      <c r="A2048">
        <v>100324</v>
      </c>
      <c r="B2048">
        <v>0</v>
      </c>
      <c r="C2048" s="5" t="s">
        <v>33</v>
      </c>
      <c r="D2048">
        <v>4901</v>
      </c>
      <c r="E2048" s="5" t="s">
        <v>83</v>
      </c>
      <c r="F2048" s="5" t="s">
        <v>17</v>
      </c>
      <c r="G2048">
        <v>20</v>
      </c>
    </row>
    <row r="2049" spans="1:7" x14ac:dyDescent="0.35">
      <c r="A2049">
        <v>132444</v>
      </c>
      <c r="B2049">
        <v>0</v>
      </c>
      <c r="C2049" s="5" t="s">
        <v>45</v>
      </c>
      <c r="D2049">
        <v>4804</v>
      </c>
      <c r="E2049" s="5" t="s">
        <v>79</v>
      </c>
      <c r="F2049" s="5" t="s">
        <v>17</v>
      </c>
      <c r="G2049">
        <v>20</v>
      </c>
    </row>
    <row r="2050" spans="1:7" x14ac:dyDescent="0.35">
      <c r="A2050">
        <v>107235</v>
      </c>
      <c r="B2050">
        <v>1</v>
      </c>
      <c r="C2050" s="5" t="s">
        <v>55</v>
      </c>
      <c r="D2050">
        <v>3001</v>
      </c>
      <c r="E2050" s="5" t="s">
        <v>83</v>
      </c>
      <c r="F2050" s="5" t="s">
        <v>14</v>
      </c>
      <c r="G2050">
        <v>11</v>
      </c>
    </row>
    <row r="2051" spans="1:7" x14ac:dyDescent="0.35">
      <c r="A2051">
        <v>67304</v>
      </c>
      <c r="B2051">
        <v>0</v>
      </c>
      <c r="C2051" s="5" t="s">
        <v>26</v>
      </c>
      <c r="D2051">
        <v>4802</v>
      </c>
      <c r="E2051" s="5" t="s">
        <v>84</v>
      </c>
      <c r="F2051" s="5" t="s">
        <v>17</v>
      </c>
      <c r="G2051">
        <v>20</v>
      </c>
    </row>
    <row r="2052" spans="1:7" x14ac:dyDescent="0.35">
      <c r="A2052">
        <v>82040</v>
      </c>
      <c r="B2052">
        <v>1</v>
      </c>
      <c r="C2052" s="5" t="s">
        <v>32</v>
      </c>
      <c r="D2052">
        <v>2403</v>
      </c>
      <c r="E2052" s="5" t="s">
        <v>81</v>
      </c>
      <c r="F2052" s="5" t="s">
        <v>14</v>
      </c>
      <c r="G2052">
        <v>3</v>
      </c>
    </row>
    <row r="2053" spans="1:7" x14ac:dyDescent="0.35">
      <c r="A2053">
        <v>43674</v>
      </c>
      <c r="B2053">
        <v>28</v>
      </c>
      <c r="C2053" s="5" t="s">
        <v>13</v>
      </c>
      <c r="D2053">
        <v>0</v>
      </c>
      <c r="E2053" s="5" t="s">
        <v>78</v>
      </c>
      <c r="F2053" s="5" t="s">
        <v>17</v>
      </c>
      <c r="G2053">
        <v>10</v>
      </c>
    </row>
    <row r="2054" spans="1:7" x14ac:dyDescent="0.35">
      <c r="A2054">
        <v>159171</v>
      </c>
      <c r="B2054">
        <v>0</v>
      </c>
      <c r="C2054" s="5" t="s">
        <v>21</v>
      </c>
      <c r="D2054">
        <v>3308</v>
      </c>
      <c r="E2054" s="5" t="s">
        <v>78</v>
      </c>
      <c r="F2054" s="5" t="s">
        <v>17</v>
      </c>
      <c r="G2054">
        <v>15</v>
      </c>
    </row>
    <row r="2055" spans="1:7" x14ac:dyDescent="0.35">
      <c r="A2055">
        <v>64400</v>
      </c>
      <c r="B2055">
        <v>1</v>
      </c>
      <c r="C2055" s="5" t="s">
        <v>30</v>
      </c>
      <c r="D2055">
        <v>5701</v>
      </c>
      <c r="E2055" s="5" t="s">
        <v>82</v>
      </c>
      <c r="F2055" s="5" t="s">
        <v>14</v>
      </c>
      <c r="G2055">
        <v>21</v>
      </c>
    </row>
    <row r="2056" spans="1:7" x14ac:dyDescent="0.35">
      <c r="A2056">
        <v>11284</v>
      </c>
      <c r="B2056">
        <v>0</v>
      </c>
      <c r="C2056" s="5" t="s">
        <v>13</v>
      </c>
      <c r="D2056">
        <v>3201</v>
      </c>
      <c r="E2056" s="5" t="s">
        <v>78</v>
      </c>
      <c r="F2056" s="5" t="s">
        <v>14</v>
      </c>
      <c r="G2056">
        <v>4</v>
      </c>
    </row>
    <row r="2057" spans="1:7" x14ac:dyDescent="0.35">
      <c r="A2057">
        <v>74419</v>
      </c>
      <c r="B2057">
        <v>0</v>
      </c>
      <c r="C2057" s="5" t="s">
        <v>26</v>
      </c>
      <c r="D2057">
        <v>0</v>
      </c>
      <c r="E2057" s="5" t="s">
        <v>79</v>
      </c>
      <c r="F2057" s="5" t="s">
        <v>17</v>
      </c>
      <c r="G2057">
        <v>10</v>
      </c>
    </row>
    <row r="2058" spans="1:7" x14ac:dyDescent="0.35">
      <c r="A2058">
        <v>55840</v>
      </c>
      <c r="B2058">
        <v>0</v>
      </c>
      <c r="C2058" s="5" t="s">
        <v>56</v>
      </c>
      <c r="D2058">
        <v>4701</v>
      </c>
      <c r="E2058" s="5" t="s">
        <v>79</v>
      </c>
      <c r="F2058" s="5" t="s">
        <v>14</v>
      </c>
      <c r="G2058">
        <v>16</v>
      </c>
    </row>
    <row r="2059" spans="1:7" x14ac:dyDescent="0.35">
      <c r="A2059">
        <v>22176</v>
      </c>
      <c r="B2059">
        <v>1</v>
      </c>
      <c r="C2059" s="5" t="s">
        <v>18</v>
      </c>
      <c r="D2059">
        <v>0</v>
      </c>
      <c r="E2059" s="5" t="s">
        <v>89</v>
      </c>
      <c r="F2059" s="5" t="s">
        <v>14</v>
      </c>
      <c r="G2059">
        <v>12</v>
      </c>
    </row>
    <row r="2060" spans="1:7" x14ac:dyDescent="0.35">
      <c r="A2060">
        <v>25678</v>
      </c>
      <c r="B2060">
        <v>1</v>
      </c>
      <c r="C2060" s="5" t="s">
        <v>13</v>
      </c>
      <c r="D2060">
        <v>0</v>
      </c>
      <c r="E2060" s="5" t="s">
        <v>82</v>
      </c>
      <c r="F2060" s="5" t="s">
        <v>14</v>
      </c>
      <c r="G2060">
        <v>20</v>
      </c>
    </row>
    <row r="2061" spans="1:7" x14ac:dyDescent="0.35">
      <c r="A2061">
        <v>107569</v>
      </c>
      <c r="B2061">
        <v>1</v>
      </c>
      <c r="C2061" s="5" t="s">
        <v>55</v>
      </c>
      <c r="D2061">
        <v>4601</v>
      </c>
      <c r="E2061" s="5" t="s">
        <v>81</v>
      </c>
      <c r="F2061" s="5" t="s">
        <v>14</v>
      </c>
      <c r="G2061">
        <v>50</v>
      </c>
    </row>
    <row r="2062" spans="1:7" x14ac:dyDescent="0.35">
      <c r="A2062">
        <v>70301</v>
      </c>
      <c r="B2062">
        <v>2</v>
      </c>
      <c r="C2062" s="5" t="s">
        <v>26</v>
      </c>
      <c r="D2062">
        <v>3101</v>
      </c>
      <c r="E2062" s="5" t="s">
        <v>83</v>
      </c>
      <c r="F2062" s="5" t="s">
        <v>17</v>
      </c>
      <c r="G2062">
        <v>5</v>
      </c>
    </row>
    <row r="2063" spans="1:7" x14ac:dyDescent="0.35">
      <c r="A2063">
        <v>39020</v>
      </c>
      <c r="B2063">
        <v>1002</v>
      </c>
      <c r="C2063" s="5" t="s">
        <v>13</v>
      </c>
      <c r="D2063">
        <v>4801</v>
      </c>
      <c r="E2063" s="5" t="s">
        <v>83</v>
      </c>
      <c r="F2063" s="5" t="s">
        <v>14</v>
      </c>
      <c r="G2063">
        <v>21</v>
      </c>
    </row>
    <row r="2064" spans="1:7" x14ac:dyDescent="0.35">
      <c r="A2064">
        <v>125906</v>
      </c>
      <c r="B2064">
        <v>1</v>
      </c>
      <c r="C2064" s="5" t="s">
        <v>20</v>
      </c>
      <c r="D2064">
        <v>2901</v>
      </c>
      <c r="E2064" s="5" t="s">
        <v>84</v>
      </c>
      <c r="F2064" s="5" t="s">
        <v>17</v>
      </c>
      <c r="G2064">
        <v>6</v>
      </c>
    </row>
    <row r="2065" spans="1:7" x14ac:dyDescent="0.35">
      <c r="A2065">
        <v>23934</v>
      </c>
      <c r="B2065">
        <v>2</v>
      </c>
      <c r="C2065" s="5" t="s">
        <v>43</v>
      </c>
      <c r="D2065">
        <v>5201</v>
      </c>
      <c r="E2065" s="5" t="s">
        <v>79</v>
      </c>
      <c r="F2065" s="5" t="s">
        <v>17</v>
      </c>
      <c r="G2065">
        <v>25</v>
      </c>
    </row>
    <row r="2066" spans="1:7" x14ac:dyDescent="0.35">
      <c r="A2066">
        <v>112751</v>
      </c>
      <c r="B2066">
        <v>0</v>
      </c>
      <c r="C2066" s="5" t="s">
        <v>28</v>
      </c>
      <c r="D2066">
        <v>4201</v>
      </c>
      <c r="E2066" s="5" t="s">
        <v>84</v>
      </c>
      <c r="F2066" s="5" t="s">
        <v>17</v>
      </c>
      <c r="G2066">
        <v>50</v>
      </c>
    </row>
    <row r="2067" spans="1:7" x14ac:dyDescent="0.35">
      <c r="A2067">
        <v>3651</v>
      </c>
      <c r="B2067">
        <v>2</v>
      </c>
      <c r="C2067" s="5" t="s">
        <v>26</v>
      </c>
      <c r="D2067">
        <v>3001</v>
      </c>
      <c r="E2067" s="5" t="s">
        <v>86</v>
      </c>
      <c r="F2067" s="5" t="s">
        <v>17</v>
      </c>
      <c r="G2067">
        <v>25</v>
      </c>
    </row>
    <row r="2068" spans="1:7" x14ac:dyDescent="0.35">
      <c r="A2068">
        <v>1068</v>
      </c>
      <c r="B2068">
        <v>2</v>
      </c>
      <c r="C2068" s="5" t="s">
        <v>21</v>
      </c>
      <c r="D2068">
        <v>3103</v>
      </c>
      <c r="E2068" s="5" t="s">
        <v>83</v>
      </c>
      <c r="F2068" s="5" t="s">
        <v>17</v>
      </c>
      <c r="G2068">
        <v>5</v>
      </c>
    </row>
    <row r="2069" spans="1:7" x14ac:dyDescent="0.35">
      <c r="A2069">
        <v>120128</v>
      </c>
      <c r="B2069">
        <v>0</v>
      </c>
      <c r="C2069" s="5" t="s">
        <v>20</v>
      </c>
      <c r="D2069">
        <v>3501</v>
      </c>
      <c r="E2069" s="5" t="s">
        <v>81</v>
      </c>
      <c r="F2069" s="5" t="s">
        <v>17</v>
      </c>
      <c r="G2069">
        <v>15</v>
      </c>
    </row>
    <row r="2070" spans="1:7" x14ac:dyDescent="0.35">
      <c r="A2070">
        <v>152092</v>
      </c>
      <c r="B2070">
        <v>28</v>
      </c>
      <c r="C2070" s="5" t="s">
        <v>21</v>
      </c>
      <c r="D2070">
        <v>3201</v>
      </c>
      <c r="E2070" s="5" t="s">
        <v>87</v>
      </c>
      <c r="F2070" s="5" t="s">
        <v>17</v>
      </c>
      <c r="G2070">
        <v>5</v>
      </c>
    </row>
    <row r="2071" spans="1:7" x14ac:dyDescent="0.35">
      <c r="A2071">
        <v>85913</v>
      </c>
      <c r="B2071">
        <v>1</v>
      </c>
      <c r="C2071" s="5" t="s">
        <v>48</v>
      </c>
      <c r="D2071">
        <v>3001</v>
      </c>
      <c r="E2071" s="5" t="s">
        <v>81</v>
      </c>
      <c r="F2071" s="5" t="s">
        <v>14</v>
      </c>
      <c r="G2071">
        <v>14</v>
      </c>
    </row>
    <row r="2072" spans="1:7" x14ac:dyDescent="0.35">
      <c r="A2072">
        <v>43226</v>
      </c>
      <c r="B2072">
        <v>1</v>
      </c>
      <c r="C2072" s="5" t="s">
        <v>13</v>
      </c>
      <c r="D2072">
        <v>2201</v>
      </c>
      <c r="E2072" s="5" t="s">
        <v>78</v>
      </c>
      <c r="F2072" s="5" t="s">
        <v>14</v>
      </c>
      <c r="G2072">
        <v>20</v>
      </c>
    </row>
    <row r="2073" spans="1:7" x14ac:dyDescent="0.35">
      <c r="A2073">
        <v>60738</v>
      </c>
      <c r="B2073">
        <v>2</v>
      </c>
      <c r="C2073" s="5" t="s">
        <v>30</v>
      </c>
      <c r="D2073">
        <v>4901</v>
      </c>
      <c r="E2073" s="5" t="s">
        <v>83</v>
      </c>
      <c r="F2073" s="5" t="s">
        <v>17</v>
      </c>
      <c r="G2073">
        <v>5</v>
      </c>
    </row>
    <row r="2074" spans="1:7" x14ac:dyDescent="0.35">
      <c r="A2074">
        <v>60571</v>
      </c>
      <c r="B2074">
        <v>1</v>
      </c>
      <c r="C2074" s="5" t="s">
        <v>30</v>
      </c>
      <c r="D2074">
        <v>0</v>
      </c>
      <c r="E2074" s="5" t="s">
        <v>79</v>
      </c>
      <c r="F2074" s="5" t="s">
        <v>14</v>
      </c>
      <c r="G2074">
        <v>15</v>
      </c>
    </row>
    <row r="2075" spans="1:7" x14ac:dyDescent="0.35">
      <c r="A2075">
        <v>131913</v>
      </c>
      <c r="B2075">
        <v>0</v>
      </c>
      <c r="C2075" s="5" t="s">
        <v>45</v>
      </c>
      <c r="D2075">
        <v>1607</v>
      </c>
      <c r="E2075" s="5" t="s">
        <v>83</v>
      </c>
      <c r="F2075" s="5" t="s">
        <v>17</v>
      </c>
      <c r="G2075">
        <v>19</v>
      </c>
    </row>
    <row r="2076" spans="1:7" x14ac:dyDescent="0.35">
      <c r="A2076">
        <v>172140</v>
      </c>
      <c r="B2076">
        <v>0</v>
      </c>
      <c r="C2076" s="5" t="s">
        <v>21</v>
      </c>
      <c r="D2076">
        <v>5201</v>
      </c>
      <c r="E2076" s="5" t="s">
        <v>84</v>
      </c>
      <c r="F2076" s="5" t="s">
        <v>17</v>
      </c>
      <c r="G2076">
        <v>10</v>
      </c>
    </row>
    <row r="2077" spans="1:7" x14ac:dyDescent="0.35">
      <c r="A2077">
        <v>147753</v>
      </c>
      <c r="B2077">
        <v>0</v>
      </c>
      <c r="C2077" s="5" t="s">
        <v>21</v>
      </c>
      <c r="D2077">
        <v>2701</v>
      </c>
      <c r="E2077" s="5" t="s">
        <v>83</v>
      </c>
      <c r="F2077" s="5" t="s">
        <v>17</v>
      </c>
      <c r="G2077">
        <v>25</v>
      </c>
    </row>
    <row r="2078" spans="1:7" x14ac:dyDescent="0.35">
      <c r="A2078">
        <v>161856</v>
      </c>
      <c r="B2078">
        <v>1</v>
      </c>
      <c r="C2078" s="5" t="s">
        <v>21</v>
      </c>
      <c r="D2078">
        <v>1901</v>
      </c>
      <c r="E2078" s="5" t="s">
        <v>82</v>
      </c>
      <c r="F2078" s="5" t="s">
        <v>14</v>
      </c>
      <c r="G2078">
        <v>15</v>
      </c>
    </row>
    <row r="2079" spans="1:7" x14ac:dyDescent="0.35">
      <c r="A2079">
        <v>140611</v>
      </c>
      <c r="B2079">
        <v>2</v>
      </c>
      <c r="C2079" s="5" t="s">
        <v>50</v>
      </c>
      <c r="D2079">
        <v>5101</v>
      </c>
      <c r="E2079" s="5" t="s">
        <v>79</v>
      </c>
      <c r="F2079" s="5" t="s">
        <v>17</v>
      </c>
      <c r="G2079">
        <v>4</v>
      </c>
    </row>
    <row r="2080" spans="1:7" x14ac:dyDescent="0.35">
      <c r="A2080">
        <v>30068</v>
      </c>
      <c r="B2080">
        <v>0</v>
      </c>
      <c r="C2080" s="5" t="s">
        <v>36</v>
      </c>
      <c r="D2080">
        <v>5001</v>
      </c>
      <c r="E2080" s="5" t="s">
        <v>81</v>
      </c>
      <c r="F2080" s="5" t="s">
        <v>17</v>
      </c>
      <c r="G2080">
        <v>12</v>
      </c>
    </row>
    <row r="2081" spans="1:7" x14ac:dyDescent="0.35">
      <c r="A2081">
        <v>96175</v>
      </c>
      <c r="B2081">
        <v>1</v>
      </c>
      <c r="C2081" s="5" t="s">
        <v>16</v>
      </c>
      <c r="D2081">
        <v>1501</v>
      </c>
      <c r="E2081" s="5" t="s">
        <v>94</v>
      </c>
      <c r="F2081" s="5" t="s">
        <v>14</v>
      </c>
      <c r="G2081">
        <v>5</v>
      </c>
    </row>
    <row r="2082" spans="1:7" x14ac:dyDescent="0.35">
      <c r="A2082">
        <v>727</v>
      </c>
      <c r="B2082">
        <v>0</v>
      </c>
      <c r="C2082" s="5" t="s">
        <v>44</v>
      </c>
      <c r="D2082">
        <v>2401</v>
      </c>
      <c r="E2082" s="5" t="s">
        <v>89</v>
      </c>
      <c r="F2082" s="5" t="s">
        <v>17</v>
      </c>
      <c r="G2082">
        <v>2</v>
      </c>
    </row>
    <row r="2083" spans="1:7" x14ac:dyDescent="0.35">
      <c r="A2083">
        <v>188893</v>
      </c>
      <c r="B2083">
        <v>4</v>
      </c>
      <c r="C2083" s="5" t="s">
        <v>18</v>
      </c>
      <c r="D2083">
        <v>0</v>
      </c>
      <c r="E2083" s="5" t="s">
        <v>79</v>
      </c>
      <c r="F2083" s="5" t="s">
        <v>14</v>
      </c>
      <c r="G2083">
        <v>25</v>
      </c>
    </row>
    <row r="2084" spans="1:7" x14ac:dyDescent="0.35">
      <c r="A2084">
        <v>110425</v>
      </c>
      <c r="B2084">
        <v>0</v>
      </c>
      <c r="C2084" s="5" t="s">
        <v>46</v>
      </c>
      <c r="D2084">
        <v>5201</v>
      </c>
      <c r="E2084" s="5" t="s">
        <v>89</v>
      </c>
      <c r="F2084" s="5" t="s">
        <v>17</v>
      </c>
      <c r="G2084">
        <v>20</v>
      </c>
    </row>
    <row r="2085" spans="1:7" x14ac:dyDescent="0.35">
      <c r="A2085">
        <v>54897</v>
      </c>
      <c r="B2085">
        <v>1</v>
      </c>
      <c r="C2085" s="5" t="s">
        <v>36</v>
      </c>
      <c r="D2085">
        <v>5509</v>
      </c>
      <c r="E2085" s="5" t="s">
        <v>83</v>
      </c>
      <c r="F2085" s="5" t="s">
        <v>86</v>
      </c>
      <c r="G2085">
        <v>20</v>
      </c>
    </row>
    <row r="2086" spans="1:7" x14ac:dyDescent="0.35">
      <c r="A2086">
        <v>173772</v>
      </c>
      <c r="B2086">
        <v>0</v>
      </c>
      <c r="C2086" s="5" t="s">
        <v>34</v>
      </c>
      <c r="D2086">
        <v>0</v>
      </c>
      <c r="E2086" s="5" t="s">
        <v>81</v>
      </c>
      <c r="F2086" s="5" t="s">
        <v>17</v>
      </c>
      <c r="G2086">
        <v>10</v>
      </c>
    </row>
    <row r="2087" spans="1:7" x14ac:dyDescent="0.35">
      <c r="A2087">
        <v>25560</v>
      </c>
      <c r="B2087">
        <v>2</v>
      </c>
      <c r="C2087" s="5" t="s">
        <v>36</v>
      </c>
      <c r="D2087">
        <v>4101</v>
      </c>
      <c r="E2087" s="5" t="s">
        <v>78</v>
      </c>
      <c r="F2087" s="5" t="s">
        <v>17</v>
      </c>
      <c r="G2087">
        <v>14</v>
      </c>
    </row>
    <row r="2088" spans="1:7" x14ac:dyDescent="0.35">
      <c r="A2088">
        <v>185886</v>
      </c>
      <c r="B2088">
        <v>1</v>
      </c>
      <c r="C2088" s="5" t="s">
        <v>32</v>
      </c>
      <c r="D2088">
        <v>0</v>
      </c>
      <c r="E2088" s="5" t="s">
        <v>80</v>
      </c>
      <c r="F2088" s="5" t="s">
        <v>14</v>
      </c>
      <c r="G2088">
        <v>5</v>
      </c>
    </row>
    <row r="2089" spans="1:7" x14ac:dyDescent="0.35">
      <c r="A2089">
        <v>175847</v>
      </c>
      <c r="B2089">
        <v>0</v>
      </c>
      <c r="C2089" s="5" t="s">
        <v>47</v>
      </c>
      <c r="D2089">
        <v>3001</v>
      </c>
      <c r="E2089" s="5" t="s">
        <v>83</v>
      </c>
      <c r="F2089" s="5" t="s">
        <v>17</v>
      </c>
      <c r="G2089">
        <v>10</v>
      </c>
    </row>
    <row r="2090" spans="1:7" x14ac:dyDescent="0.35">
      <c r="A2090">
        <v>29610</v>
      </c>
      <c r="B2090">
        <v>1002</v>
      </c>
      <c r="C2090" s="5" t="s">
        <v>36</v>
      </c>
      <c r="D2090">
        <v>0</v>
      </c>
      <c r="E2090" s="5" t="s">
        <v>79</v>
      </c>
      <c r="F2090" s="5" t="s">
        <v>14</v>
      </c>
      <c r="G2090">
        <v>5</v>
      </c>
    </row>
    <row r="2091" spans="1:7" x14ac:dyDescent="0.35">
      <c r="A2091">
        <v>86926</v>
      </c>
      <c r="B2091">
        <v>0</v>
      </c>
      <c r="C2091" s="5" t="s">
        <v>31</v>
      </c>
      <c r="D2091">
        <v>3001</v>
      </c>
      <c r="E2091" s="5" t="s">
        <v>81</v>
      </c>
      <c r="F2091" s="5" t="s">
        <v>17</v>
      </c>
      <c r="G2091">
        <v>15</v>
      </c>
    </row>
    <row r="2092" spans="1:7" x14ac:dyDescent="0.35">
      <c r="A2092">
        <v>179235</v>
      </c>
      <c r="B2092">
        <v>1</v>
      </c>
      <c r="C2092" s="5" t="s">
        <v>37</v>
      </c>
      <c r="D2092">
        <v>6401</v>
      </c>
      <c r="E2092" s="5" t="s">
        <v>83</v>
      </c>
      <c r="F2092" s="5" t="s">
        <v>14</v>
      </c>
      <c r="G2092">
        <v>12</v>
      </c>
    </row>
    <row r="2093" spans="1:7" x14ac:dyDescent="0.35">
      <c r="A2093">
        <v>8276</v>
      </c>
      <c r="B2093">
        <v>1</v>
      </c>
      <c r="C2093" s="5" t="s">
        <v>21</v>
      </c>
      <c r="D2093">
        <v>4409</v>
      </c>
      <c r="E2093" s="5" t="s">
        <v>83</v>
      </c>
      <c r="F2093" s="5" t="s">
        <v>14</v>
      </c>
      <c r="G2093">
        <v>15</v>
      </c>
    </row>
    <row r="2094" spans="1:7" x14ac:dyDescent="0.35">
      <c r="A2094">
        <v>27108</v>
      </c>
      <c r="B2094">
        <v>2</v>
      </c>
      <c r="C2094" s="5" t="s">
        <v>36</v>
      </c>
      <c r="D2094">
        <v>2101</v>
      </c>
      <c r="E2094" s="5" t="s">
        <v>80</v>
      </c>
      <c r="F2094" s="5" t="s">
        <v>17</v>
      </c>
      <c r="G2094">
        <v>15</v>
      </c>
    </row>
    <row r="2095" spans="1:7" x14ac:dyDescent="0.35">
      <c r="A2095">
        <v>56860</v>
      </c>
      <c r="B2095">
        <v>0</v>
      </c>
      <c r="C2095" s="5" t="s">
        <v>53</v>
      </c>
      <c r="D2095">
        <v>6601</v>
      </c>
      <c r="E2095" s="5" t="s">
        <v>79</v>
      </c>
      <c r="F2095" s="5" t="s">
        <v>17</v>
      </c>
      <c r="G2095">
        <v>24</v>
      </c>
    </row>
    <row r="2096" spans="1:7" x14ac:dyDescent="0.35">
      <c r="A2096">
        <v>157817</v>
      </c>
      <c r="B2096">
        <v>3</v>
      </c>
      <c r="C2096" s="5" t="s">
        <v>21</v>
      </c>
      <c r="D2096">
        <v>4101</v>
      </c>
      <c r="E2096" s="5" t="s">
        <v>83</v>
      </c>
      <c r="F2096" s="5" t="s">
        <v>17</v>
      </c>
      <c r="G2096">
        <v>11</v>
      </c>
    </row>
    <row r="2097" spans="1:7" x14ac:dyDescent="0.35">
      <c r="A2097">
        <v>135296</v>
      </c>
      <c r="B2097">
        <v>0</v>
      </c>
      <c r="C2097" s="5" t="s">
        <v>51</v>
      </c>
      <c r="D2097">
        <v>1501</v>
      </c>
      <c r="E2097" s="5" t="s">
        <v>78</v>
      </c>
      <c r="F2097" s="5" t="s">
        <v>17</v>
      </c>
      <c r="G2097">
        <v>11</v>
      </c>
    </row>
    <row r="2098" spans="1:7" x14ac:dyDescent="0.35">
      <c r="A2098">
        <v>80995</v>
      </c>
      <c r="B2098">
        <v>1</v>
      </c>
      <c r="C2098" s="5" t="s">
        <v>32</v>
      </c>
      <c r="D2098">
        <v>2509</v>
      </c>
      <c r="E2098" s="5" t="s">
        <v>89</v>
      </c>
      <c r="F2098" s="5" t="s">
        <v>14</v>
      </c>
      <c r="G2098">
        <v>5</v>
      </c>
    </row>
    <row r="2099" spans="1:7" x14ac:dyDescent="0.35">
      <c r="A2099">
        <v>95943</v>
      </c>
      <c r="B2099">
        <v>1</v>
      </c>
      <c r="C2099" s="5" t="s">
        <v>16</v>
      </c>
      <c r="D2099">
        <v>2901</v>
      </c>
      <c r="E2099" s="5" t="s">
        <v>78</v>
      </c>
      <c r="F2099" s="5" t="s">
        <v>14</v>
      </c>
      <c r="G2099">
        <v>13</v>
      </c>
    </row>
    <row r="2100" spans="1:7" x14ac:dyDescent="0.35">
      <c r="A2100">
        <v>188141</v>
      </c>
      <c r="B2100">
        <v>1</v>
      </c>
      <c r="C2100" s="5" t="s">
        <v>13</v>
      </c>
      <c r="D2100">
        <v>0</v>
      </c>
      <c r="E2100" s="5" t="s">
        <v>83</v>
      </c>
      <c r="F2100" s="5" t="s">
        <v>86</v>
      </c>
      <c r="G2100">
        <v>25</v>
      </c>
    </row>
    <row r="2101" spans="1:7" x14ac:dyDescent="0.35">
      <c r="A2101">
        <v>13523</v>
      </c>
      <c r="B2101">
        <v>0</v>
      </c>
      <c r="C2101" s="5" t="s">
        <v>23</v>
      </c>
      <c r="D2101">
        <v>4103</v>
      </c>
      <c r="E2101" s="5" t="s">
        <v>81</v>
      </c>
      <c r="F2101" s="5" t="s">
        <v>17</v>
      </c>
      <c r="G2101">
        <v>40</v>
      </c>
    </row>
    <row r="2102" spans="1:7" x14ac:dyDescent="0.35">
      <c r="A2102">
        <v>7518</v>
      </c>
      <c r="B2102">
        <v>1</v>
      </c>
      <c r="C2102" s="5" t="s">
        <v>32</v>
      </c>
      <c r="D2102">
        <v>0</v>
      </c>
      <c r="E2102" s="5" t="s">
        <v>86</v>
      </c>
      <c r="F2102" s="5" t="s">
        <v>14</v>
      </c>
      <c r="G2102">
        <v>5</v>
      </c>
    </row>
    <row r="2103" spans="1:7" x14ac:dyDescent="0.35">
      <c r="A2103">
        <v>7637</v>
      </c>
      <c r="B2103">
        <v>0</v>
      </c>
      <c r="C2103" s="5" t="s">
        <v>49</v>
      </c>
      <c r="D2103">
        <v>1801</v>
      </c>
      <c r="E2103" s="5" t="s">
        <v>89</v>
      </c>
      <c r="F2103" s="5" t="s">
        <v>17</v>
      </c>
      <c r="G2103">
        <v>10</v>
      </c>
    </row>
    <row r="2104" spans="1:7" x14ac:dyDescent="0.35">
      <c r="A2104">
        <v>40655</v>
      </c>
      <c r="B2104">
        <v>0</v>
      </c>
      <c r="C2104" s="5" t="s">
        <v>13</v>
      </c>
      <c r="D2104">
        <v>3601</v>
      </c>
      <c r="E2104" s="5" t="s">
        <v>78</v>
      </c>
      <c r="F2104" s="5" t="s">
        <v>14</v>
      </c>
      <c r="G2104">
        <v>20</v>
      </c>
    </row>
    <row r="2105" spans="1:7" x14ac:dyDescent="0.35">
      <c r="A2105">
        <v>87505</v>
      </c>
      <c r="B2105">
        <v>0</v>
      </c>
      <c r="C2105" s="5" t="s">
        <v>31</v>
      </c>
      <c r="D2105">
        <v>2101</v>
      </c>
      <c r="E2105" s="5" t="s">
        <v>87</v>
      </c>
      <c r="F2105" s="5" t="s">
        <v>17</v>
      </c>
      <c r="G2105">
        <v>8</v>
      </c>
    </row>
    <row r="2106" spans="1:7" x14ac:dyDescent="0.35">
      <c r="A2106">
        <v>176380</v>
      </c>
      <c r="B2106">
        <v>0</v>
      </c>
      <c r="C2106" s="5" t="s">
        <v>47</v>
      </c>
      <c r="D2106">
        <v>4901</v>
      </c>
      <c r="E2106" s="5" t="s">
        <v>82</v>
      </c>
      <c r="F2106" s="5" t="s">
        <v>14</v>
      </c>
      <c r="G2106">
        <v>15</v>
      </c>
    </row>
    <row r="2107" spans="1:7" x14ac:dyDescent="0.35">
      <c r="A2107">
        <v>45367</v>
      </c>
      <c r="B2107">
        <v>1002</v>
      </c>
      <c r="C2107" s="5" t="s">
        <v>13</v>
      </c>
      <c r="D2107">
        <v>6501</v>
      </c>
      <c r="E2107" s="5" t="s">
        <v>85</v>
      </c>
      <c r="F2107" s="5" t="s">
        <v>14</v>
      </c>
      <c r="G2107">
        <v>30</v>
      </c>
    </row>
    <row r="2108" spans="1:7" x14ac:dyDescent="0.35">
      <c r="A2108">
        <v>112496</v>
      </c>
      <c r="B2108">
        <v>0</v>
      </c>
      <c r="C2108" s="5" t="s">
        <v>29</v>
      </c>
      <c r="D2108">
        <v>0</v>
      </c>
      <c r="E2108" s="5" t="s">
        <v>82</v>
      </c>
      <c r="F2108" s="5" t="s">
        <v>17</v>
      </c>
      <c r="G2108">
        <v>10</v>
      </c>
    </row>
    <row r="2109" spans="1:7" x14ac:dyDescent="0.35">
      <c r="A2109">
        <v>119576</v>
      </c>
      <c r="B2109">
        <v>1</v>
      </c>
      <c r="C2109" s="5" t="s">
        <v>20</v>
      </c>
      <c r="D2109">
        <v>5901</v>
      </c>
      <c r="E2109" s="5" t="s">
        <v>83</v>
      </c>
      <c r="F2109" s="5" t="s">
        <v>14</v>
      </c>
      <c r="G2109">
        <v>9</v>
      </c>
    </row>
    <row r="2110" spans="1:7" x14ac:dyDescent="0.35">
      <c r="A2110">
        <v>9923</v>
      </c>
      <c r="B2110">
        <v>28</v>
      </c>
      <c r="C2110" s="5" t="s">
        <v>20</v>
      </c>
      <c r="D2110">
        <v>4501</v>
      </c>
      <c r="E2110" s="5" t="s">
        <v>86</v>
      </c>
      <c r="F2110" s="5" t="s">
        <v>17</v>
      </c>
      <c r="G2110">
        <v>14</v>
      </c>
    </row>
    <row r="2111" spans="1:7" x14ac:dyDescent="0.35">
      <c r="A2111">
        <v>69963</v>
      </c>
      <c r="B2111">
        <v>0</v>
      </c>
      <c r="C2111" s="5" t="s">
        <v>26</v>
      </c>
      <c r="D2111">
        <v>3908</v>
      </c>
      <c r="E2111" s="5" t="s">
        <v>88</v>
      </c>
      <c r="F2111" s="5" t="s">
        <v>17</v>
      </c>
      <c r="G2111">
        <v>25</v>
      </c>
    </row>
    <row r="2112" spans="1:7" x14ac:dyDescent="0.35">
      <c r="A2112">
        <v>32538</v>
      </c>
      <c r="B2112">
        <v>0</v>
      </c>
      <c r="C2112" s="5" t="s">
        <v>13</v>
      </c>
      <c r="D2112">
        <v>1509</v>
      </c>
      <c r="E2112" s="5" t="s">
        <v>80</v>
      </c>
      <c r="F2112" s="5" t="s">
        <v>17</v>
      </c>
      <c r="G2112">
        <v>6</v>
      </c>
    </row>
    <row r="2113" spans="1:7" x14ac:dyDescent="0.35">
      <c r="A2113">
        <v>175139</v>
      </c>
      <c r="B2113">
        <v>1</v>
      </c>
      <c r="C2113" s="5" t="s">
        <v>47</v>
      </c>
      <c r="D2113">
        <v>2812</v>
      </c>
      <c r="E2113" s="5" t="s">
        <v>79</v>
      </c>
      <c r="F2113" s="5" t="s">
        <v>14</v>
      </c>
      <c r="G2113">
        <v>15</v>
      </c>
    </row>
    <row r="2114" spans="1:7" x14ac:dyDescent="0.35">
      <c r="A2114">
        <v>138552</v>
      </c>
      <c r="B2114">
        <v>1</v>
      </c>
      <c r="C2114" s="5" t="s">
        <v>51</v>
      </c>
      <c r="D2114">
        <v>2103</v>
      </c>
      <c r="E2114" s="5" t="s">
        <v>80</v>
      </c>
      <c r="F2114" s="5" t="s">
        <v>14</v>
      </c>
      <c r="G2114">
        <v>10</v>
      </c>
    </row>
    <row r="2115" spans="1:7" x14ac:dyDescent="0.35">
      <c r="A2115">
        <v>160103</v>
      </c>
      <c r="B2115">
        <v>0</v>
      </c>
      <c r="C2115" s="5" t="s">
        <v>21</v>
      </c>
      <c r="D2115">
        <v>3601</v>
      </c>
      <c r="E2115" s="5" t="s">
        <v>80</v>
      </c>
      <c r="F2115" s="5" t="s">
        <v>17</v>
      </c>
      <c r="G2115">
        <v>5</v>
      </c>
    </row>
    <row r="2116" spans="1:7" x14ac:dyDescent="0.35">
      <c r="A2116">
        <v>152151</v>
      </c>
      <c r="B2116">
        <v>0</v>
      </c>
      <c r="C2116" s="5" t="s">
        <v>21</v>
      </c>
      <c r="D2116">
        <v>0</v>
      </c>
      <c r="E2116" s="5" t="s">
        <v>88</v>
      </c>
      <c r="F2116" s="5" t="s">
        <v>14</v>
      </c>
      <c r="G2116">
        <v>42</v>
      </c>
    </row>
    <row r="2117" spans="1:7" x14ac:dyDescent="0.35">
      <c r="A2117">
        <v>174271</v>
      </c>
      <c r="B2117">
        <v>1</v>
      </c>
      <c r="C2117" s="5" t="s">
        <v>34</v>
      </c>
      <c r="D2117">
        <v>0</v>
      </c>
      <c r="E2117" s="5" t="s">
        <v>85</v>
      </c>
      <c r="F2117" s="5" t="s">
        <v>14</v>
      </c>
      <c r="G2117">
        <v>18</v>
      </c>
    </row>
    <row r="2118" spans="1:7" x14ac:dyDescent="0.35">
      <c r="A2118">
        <v>41434</v>
      </c>
      <c r="B2118">
        <v>1002</v>
      </c>
      <c r="C2118" s="5" t="s">
        <v>13</v>
      </c>
      <c r="D2118">
        <v>4710</v>
      </c>
      <c r="E2118" s="5" t="s">
        <v>92</v>
      </c>
      <c r="F2118" s="5" t="s">
        <v>14</v>
      </c>
      <c r="G2118">
        <v>5</v>
      </c>
    </row>
    <row r="2119" spans="1:7" x14ac:dyDescent="0.35">
      <c r="A2119">
        <v>3312</v>
      </c>
      <c r="B2119">
        <v>1</v>
      </c>
      <c r="C2119" s="5" t="s">
        <v>32</v>
      </c>
      <c r="D2119">
        <v>5001</v>
      </c>
      <c r="E2119" s="5" t="s">
        <v>84</v>
      </c>
      <c r="F2119" s="5" t="s">
        <v>14</v>
      </c>
      <c r="G2119">
        <v>15</v>
      </c>
    </row>
    <row r="2120" spans="1:7" x14ac:dyDescent="0.35">
      <c r="A2120">
        <v>120805</v>
      </c>
      <c r="B2120">
        <v>0</v>
      </c>
      <c r="C2120" s="5" t="s">
        <v>20</v>
      </c>
      <c r="D2120">
        <v>3501</v>
      </c>
      <c r="E2120" s="5" t="s">
        <v>78</v>
      </c>
      <c r="F2120" s="5" t="s">
        <v>17</v>
      </c>
      <c r="G2120">
        <v>5</v>
      </c>
    </row>
    <row r="2121" spans="1:7" x14ac:dyDescent="0.35">
      <c r="A2121">
        <v>2889</v>
      </c>
      <c r="B2121">
        <v>2</v>
      </c>
      <c r="C2121" s="5" t="s">
        <v>28</v>
      </c>
      <c r="D2121">
        <v>1601</v>
      </c>
      <c r="E2121" s="5" t="s">
        <v>81</v>
      </c>
      <c r="F2121" s="5" t="s">
        <v>17</v>
      </c>
      <c r="G2121">
        <v>3</v>
      </c>
    </row>
    <row r="2122" spans="1:7" x14ac:dyDescent="0.35">
      <c r="A2122">
        <v>162271</v>
      </c>
      <c r="B2122">
        <v>0</v>
      </c>
      <c r="C2122" s="5" t="s">
        <v>21</v>
      </c>
      <c r="D2122">
        <v>0</v>
      </c>
      <c r="E2122" s="5" t="s">
        <v>83</v>
      </c>
      <c r="F2122" s="5" t="s">
        <v>14</v>
      </c>
      <c r="G2122">
        <v>15</v>
      </c>
    </row>
    <row r="2123" spans="1:7" x14ac:dyDescent="0.35">
      <c r="A2123">
        <v>74955</v>
      </c>
      <c r="B2123">
        <v>0</v>
      </c>
      <c r="C2123" s="5" t="s">
        <v>44</v>
      </c>
      <c r="D2123">
        <v>2411</v>
      </c>
      <c r="E2123" s="5" t="s">
        <v>94</v>
      </c>
      <c r="F2123" s="5" t="s">
        <v>17</v>
      </c>
      <c r="G2123">
        <v>10</v>
      </c>
    </row>
    <row r="2124" spans="1:7" x14ac:dyDescent="0.35">
      <c r="A2124">
        <v>151846</v>
      </c>
      <c r="B2124">
        <v>0</v>
      </c>
      <c r="C2124" s="5" t="s">
        <v>21</v>
      </c>
      <c r="D2124">
        <v>0</v>
      </c>
      <c r="E2124" s="5" t="s">
        <v>83</v>
      </c>
      <c r="F2124" s="5" t="s">
        <v>14</v>
      </c>
      <c r="G2124">
        <v>10</v>
      </c>
    </row>
    <row r="2125" spans="1:7" x14ac:dyDescent="0.35">
      <c r="A2125">
        <v>148546</v>
      </c>
      <c r="B2125">
        <v>1</v>
      </c>
      <c r="C2125" s="5" t="s">
        <v>21</v>
      </c>
      <c r="D2125">
        <v>1201</v>
      </c>
      <c r="E2125" s="5" t="s">
        <v>83</v>
      </c>
      <c r="F2125" s="5" t="s">
        <v>14</v>
      </c>
      <c r="G2125">
        <v>6</v>
      </c>
    </row>
    <row r="2126" spans="1:7" x14ac:dyDescent="0.35">
      <c r="A2126">
        <v>12837</v>
      </c>
      <c r="B2126">
        <v>28</v>
      </c>
      <c r="C2126" s="5" t="s">
        <v>16</v>
      </c>
      <c r="D2126">
        <v>5401</v>
      </c>
      <c r="E2126" s="5" t="s">
        <v>80</v>
      </c>
      <c r="F2126" s="5" t="s">
        <v>17</v>
      </c>
      <c r="G2126">
        <v>10</v>
      </c>
    </row>
    <row r="2127" spans="1:7" x14ac:dyDescent="0.35">
      <c r="A2127">
        <v>119868</v>
      </c>
      <c r="B2127">
        <v>0</v>
      </c>
      <c r="C2127" s="5" t="s">
        <v>20</v>
      </c>
      <c r="D2127">
        <v>1302</v>
      </c>
      <c r="E2127" s="5" t="s">
        <v>84</v>
      </c>
      <c r="F2127" s="5" t="s">
        <v>17</v>
      </c>
      <c r="G2127">
        <v>10</v>
      </c>
    </row>
    <row r="2128" spans="1:7" x14ac:dyDescent="0.35">
      <c r="A2128">
        <v>185517</v>
      </c>
      <c r="B2128">
        <v>1</v>
      </c>
      <c r="C2128" s="5" t="s">
        <v>21</v>
      </c>
      <c r="D2128">
        <v>3301</v>
      </c>
      <c r="E2128" s="5" t="s">
        <v>83</v>
      </c>
      <c r="F2128" s="5" t="s">
        <v>14</v>
      </c>
      <c r="G2128">
        <v>10</v>
      </c>
    </row>
    <row r="2129" spans="1:7" x14ac:dyDescent="0.35">
      <c r="A2129">
        <v>441</v>
      </c>
      <c r="B2129">
        <v>2</v>
      </c>
      <c r="C2129" s="5" t="s">
        <v>16</v>
      </c>
      <c r="D2129">
        <v>4101</v>
      </c>
      <c r="E2129" s="5" t="s">
        <v>92</v>
      </c>
      <c r="F2129" s="5" t="s">
        <v>17</v>
      </c>
      <c r="G2129">
        <v>10</v>
      </c>
    </row>
    <row r="2130" spans="1:7" x14ac:dyDescent="0.35">
      <c r="A2130">
        <v>132347</v>
      </c>
      <c r="B2130">
        <v>1</v>
      </c>
      <c r="C2130" s="5" t="s">
        <v>21</v>
      </c>
      <c r="D2130">
        <v>0</v>
      </c>
      <c r="E2130" s="5" t="s">
        <v>82</v>
      </c>
      <c r="F2130" s="5" t="s">
        <v>14</v>
      </c>
      <c r="G2130">
        <v>20</v>
      </c>
    </row>
    <row r="2131" spans="1:7" x14ac:dyDescent="0.35">
      <c r="A2131">
        <v>127444</v>
      </c>
      <c r="B2131">
        <v>1</v>
      </c>
      <c r="C2131" s="5" t="s">
        <v>45</v>
      </c>
      <c r="D2131">
        <v>5609</v>
      </c>
      <c r="E2131" s="5" t="s">
        <v>82</v>
      </c>
      <c r="F2131" s="5" t="s">
        <v>14</v>
      </c>
      <c r="G2131">
        <v>21</v>
      </c>
    </row>
    <row r="2132" spans="1:7" x14ac:dyDescent="0.35">
      <c r="A2132">
        <v>149767</v>
      </c>
      <c r="B2132">
        <v>1</v>
      </c>
      <c r="C2132" s="5" t="s">
        <v>21</v>
      </c>
      <c r="D2132">
        <v>2903</v>
      </c>
      <c r="E2132" s="5" t="s">
        <v>93</v>
      </c>
      <c r="F2132" s="5" t="s">
        <v>14</v>
      </c>
      <c r="G2132">
        <v>15</v>
      </c>
    </row>
    <row r="2133" spans="1:7" x14ac:dyDescent="0.35">
      <c r="A2133">
        <v>172315</v>
      </c>
      <c r="B2133">
        <v>2</v>
      </c>
      <c r="C2133" s="5" t="s">
        <v>21</v>
      </c>
      <c r="D2133">
        <v>1506</v>
      </c>
      <c r="E2133" s="5" t="s">
        <v>85</v>
      </c>
      <c r="F2133" s="5" t="s">
        <v>17</v>
      </c>
      <c r="G2133">
        <v>8</v>
      </c>
    </row>
    <row r="2134" spans="1:7" x14ac:dyDescent="0.35">
      <c r="A2134">
        <v>43001</v>
      </c>
      <c r="B2134">
        <v>0</v>
      </c>
      <c r="C2134" s="5" t="s">
        <v>13</v>
      </c>
      <c r="D2134">
        <v>0</v>
      </c>
      <c r="E2134" s="5" t="s">
        <v>78</v>
      </c>
      <c r="F2134" s="5" t="s">
        <v>17</v>
      </c>
      <c r="G2134">
        <v>15</v>
      </c>
    </row>
    <row r="2135" spans="1:7" x14ac:dyDescent="0.35">
      <c r="A2135">
        <v>15416</v>
      </c>
      <c r="B2135">
        <v>1</v>
      </c>
      <c r="C2135" s="5" t="s">
        <v>18</v>
      </c>
      <c r="D2135">
        <v>5001</v>
      </c>
      <c r="E2135" s="5" t="s">
        <v>78</v>
      </c>
      <c r="F2135" s="5" t="s">
        <v>14</v>
      </c>
      <c r="G2135">
        <v>30</v>
      </c>
    </row>
    <row r="2136" spans="1:7" x14ac:dyDescent="0.35">
      <c r="A2136">
        <v>141396</v>
      </c>
      <c r="B2136">
        <v>1</v>
      </c>
      <c r="C2136" s="5" t="s">
        <v>23</v>
      </c>
      <c r="D2136">
        <v>0</v>
      </c>
      <c r="E2136" s="5" t="s">
        <v>83</v>
      </c>
      <c r="F2136" s="5" t="s">
        <v>14</v>
      </c>
      <c r="G2136">
        <v>10</v>
      </c>
    </row>
    <row r="2137" spans="1:7" x14ac:dyDescent="0.35">
      <c r="A2137">
        <v>137743</v>
      </c>
      <c r="B2137">
        <v>2</v>
      </c>
      <c r="C2137" s="5" t="s">
        <v>51</v>
      </c>
      <c r="D2137">
        <v>2309</v>
      </c>
      <c r="E2137" s="5" t="s">
        <v>82</v>
      </c>
      <c r="F2137" s="5" t="s">
        <v>17</v>
      </c>
      <c r="G2137">
        <v>8</v>
      </c>
    </row>
    <row r="2138" spans="1:7" x14ac:dyDescent="0.35">
      <c r="A2138">
        <v>118487</v>
      </c>
      <c r="B2138">
        <v>0</v>
      </c>
      <c r="C2138" s="5" t="s">
        <v>20</v>
      </c>
      <c r="D2138">
        <v>6801</v>
      </c>
      <c r="E2138" s="5" t="s">
        <v>81</v>
      </c>
      <c r="F2138" s="5" t="s">
        <v>17</v>
      </c>
      <c r="G2138">
        <v>20</v>
      </c>
    </row>
    <row r="2139" spans="1:7" x14ac:dyDescent="0.35">
      <c r="A2139">
        <v>33393</v>
      </c>
      <c r="B2139">
        <v>28</v>
      </c>
      <c r="C2139" s="5" t="s">
        <v>13</v>
      </c>
      <c r="D2139">
        <v>5101</v>
      </c>
      <c r="E2139" s="5" t="s">
        <v>84</v>
      </c>
      <c r="F2139" s="5" t="s">
        <v>17</v>
      </c>
      <c r="G2139">
        <v>10</v>
      </c>
    </row>
    <row r="2140" spans="1:7" x14ac:dyDescent="0.35">
      <c r="A2140">
        <v>79622</v>
      </c>
      <c r="B2140">
        <v>202</v>
      </c>
      <c r="C2140" s="5" t="s">
        <v>32</v>
      </c>
      <c r="D2140">
        <v>1610</v>
      </c>
      <c r="E2140" s="5" t="s">
        <v>79</v>
      </c>
      <c r="F2140" s="5" t="s">
        <v>17</v>
      </c>
      <c r="G2140">
        <v>5</v>
      </c>
    </row>
    <row r="2141" spans="1:7" x14ac:dyDescent="0.35">
      <c r="A2141">
        <v>99209</v>
      </c>
      <c r="B2141">
        <v>2</v>
      </c>
      <c r="C2141" s="5" t="s">
        <v>16</v>
      </c>
      <c r="D2141">
        <v>701</v>
      </c>
      <c r="E2141" s="5" t="s">
        <v>78</v>
      </c>
      <c r="F2141" s="5" t="s">
        <v>17</v>
      </c>
      <c r="G2141">
        <v>3</v>
      </c>
    </row>
    <row r="2142" spans="1:7" x14ac:dyDescent="0.35">
      <c r="A2142">
        <v>23056</v>
      </c>
      <c r="B2142">
        <v>0</v>
      </c>
      <c r="C2142" s="5" t="s">
        <v>43</v>
      </c>
      <c r="D2142">
        <v>4601</v>
      </c>
      <c r="E2142" s="5" t="s">
        <v>83</v>
      </c>
      <c r="F2142" s="5" t="s">
        <v>17</v>
      </c>
      <c r="G2142">
        <v>125</v>
      </c>
    </row>
    <row r="2143" spans="1:7" x14ac:dyDescent="0.35">
      <c r="A2143">
        <v>105068</v>
      </c>
      <c r="B2143">
        <v>0</v>
      </c>
      <c r="C2143" s="5" t="s">
        <v>25</v>
      </c>
      <c r="D2143">
        <v>0</v>
      </c>
      <c r="E2143" s="5" t="s">
        <v>81</v>
      </c>
      <c r="F2143" s="5" t="s">
        <v>27</v>
      </c>
      <c r="G2143">
        <v>7</v>
      </c>
    </row>
    <row r="2144" spans="1:7" x14ac:dyDescent="0.35">
      <c r="A2144">
        <v>170479</v>
      </c>
      <c r="B2144">
        <v>0</v>
      </c>
      <c r="C2144" s="5" t="s">
        <v>21</v>
      </c>
      <c r="D2144">
        <v>4201</v>
      </c>
      <c r="E2144" s="5" t="s">
        <v>81</v>
      </c>
      <c r="F2144" s="5" t="s">
        <v>17</v>
      </c>
      <c r="G2144">
        <v>10</v>
      </c>
    </row>
    <row r="2145" spans="1:7" x14ac:dyDescent="0.35">
      <c r="A2145">
        <v>135174</v>
      </c>
      <c r="B2145">
        <v>28</v>
      </c>
      <c r="C2145" s="5" t="s">
        <v>51</v>
      </c>
      <c r="D2145">
        <v>3002</v>
      </c>
      <c r="E2145" s="5" t="s">
        <v>91</v>
      </c>
      <c r="F2145" s="5" t="s">
        <v>17</v>
      </c>
      <c r="G2145">
        <v>25</v>
      </c>
    </row>
    <row r="2146" spans="1:7" x14ac:dyDescent="0.35">
      <c r="A2146">
        <v>116669</v>
      </c>
      <c r="B2146">
        <v>1</v>
      </c>
      <c r="C2146" s="5" t="s">
        <v>20</v>
      </c>
      <c r="D2146">
        <v>3201</v>
      </c>
      <c r="E2146" s="5" t="s">
        <v>80</v>
      </c>
      <c r="F2146" s="5" t="s">
        <v>14</v>
      </c>
      <c r="G2146">
        <v>10</v>
      </c>
    </row>
    <row r="2147" spans="1:7" x14ac:dyDescent="0.35">
      <c r="A2147">
        <v>126415</v>
      </c>
      <c r="B2147">
        <v>1</v>
      </c>
      <c r="C2147" s="5" t="s">
        <v>20</v>
      </c>
      <c r="D2147">
        <v>3501</v>
      </c>
      <c r="E2147" s="5" t="s">
        <v>80</v>
      </c>
      <c r="F2147" s="5" t="s">
        <v>14</v>
      </c>
      <c r="G2147">
        <v>5</v>
      </c>
    </row>
    <row r="2148" spans="1:7" x14ac:dyDescent="0.35">
      <c r="A2148">
        <v>97736</v>
      </c>
      <c r="B2148">
        <v>1</v>
      </c>
      <c r="C2148" s="5" t="s">
        <v>16</v>
      </c>
      <c r="D2148">
        <v>5303</v>
      </c>
      <c r="E2148" s="5" t="s">
        <v>78</v>
      </c>
      <c r="F2148" s="5" t="s">
        <v>14</v>
      </c>
      <c r="G2148">
        <v>15</v>
      </c>
    </row>
    <row r="2149" spans="1:7" x14ac:dyDescent="0.35">
      <c r="A2149">
        <v>132437</v>
      </c>
      <c r="B2149">
        <v>2</v>
      </c>
      <c r="C2149" s="5" t="s">
        <v>45</v>
      </c>
      <c r="D2149">
        <v>3501</v>
      </c>
      <c r="E2149" s="5" t="s">
        <v>81</v>
      </c>
      <c r="F2149" s="5" t="s">
        <v>17</v>
      </c>
      <c r="G2149">
        <v>13</v>
      </c>
    </row>
    <row r="2150" spans="1:7" x14ac:dyDescent="0.35">
      <c r="A2150">
        <v>169198</v>
      </c>
      <c r="B2150">
        <v>0</v>
      </c>
      <c r="C2150" s="5" t="s">
        <v>21</v>
      </c>
      <c r="D2150">
        <v>4201</v>
      </c>
      <c r="E2150" s="5" t="s">
        <v>78</v>
      </c>
      <c r="F2150" s="5" t="s">
        <v>17</v>
      </c>
      <c r="G2150">
        <v>25</v>
      </c>
    </row>
    <row r="2151" spans="1:7" x14ac:dyDescent="0.35">
      <c r="A2151">
        <v>126949</v>
      </c>
      <c r="B2151">
        <v>0</v>
      </c>
      <c r="C2151" s="5" t="s">
        <v>20</v>
      </c>
      <c r="D2151">
        <v>4001</v>
      </c>
      <c r="E2151" s="5" t="s">
        <v>87</v>
      </c>
      <c r="F2151" s="5" t="s">
        <v>17</v>
      </c>
      <c r="G2151">
        <v>10</v>
      </c>
    </row>
    <row r="2152" spans="1:7" x14ac:dyDescent="0.35">
      <c r="A2152">
        <v>24040</v>
      </c>
      <c r="B2152">
        <v>2</v>
      </c>
      <c r="C2152" s="5" t="s">
        <v>43</v>
      </c>
      <c r="D2152">
        <v>3504</v>
      </c>
      <c r="E2152" s="5" t="s">
        <v>84</v>
      </c>
      <c r="F2152" s="5" t="s">
        <v>14</v>
      </c>
      <c r="G2152">
        <v>20</v>
      </c>
    </row>
    <row r="2153" spans="1:7" x14ac:dyDescent="0.35">
      <c r="A2153">
        <v>51692</v>
      </c>
      <c r="B2153">
        <v>0</v>
      </c>
      <c r="C2153" s="5" t="s">
        <v>49</v>
      </c>
      <c r="D2153">
        <v>2607</v>
      </c>
      <c r="E2153" s="5" t="s">
        <v>84</v>
      </c>
      <c r="F2153" s="5" t="s">
        <v>17</v>
      </c>
      <c r="G2153">
        <v>15</v>
      </c>
    </row>
    <row r="2154" spans="1:7" x14ac:dyDescent="0.35">
      <c r="A2154">
        <v>38539</v>
      </c>
      <c r="B2154">
        <v>0</v>
      </c>
      <c r="C2154" s="5" t="s">
        <v>13</v>
      </c>
      <c r="D2154">
        <v>3205</v>
      </c>
      <c r="E2154" s="5" t="s">
        <v>82</v>
      </c>
      <c r="F2154" s="5" t="s">
        <v>17</v>
      </c>
      <c r="G2154">
        <v>13</v>
      </c>
    </row>
    <row r="2155" spans="1:7" x14ac:dyDescent="0.35">
      <c r="A2155">
        <v>181462</v>
      </c>
      <c r="B2155">
        <v>2</v>
      </c>
      <c r="C2155" s="5" t="s">
        <v>37</v>
      </c>
      <c r="D2155">
        <v>2001</v>
      </c>
      <c r="E2155" s="5" t="s">
        <v>90</v>
      </c>
      <c r="F2155" s="5" t="s">
        <v>17</v>
      </c>
      <c r="G2155">
        <v>23</v>
      </c>
    </row>
    <row r="2156" spans="1:7" x14ac:dyDescent="0.35">
      <c r="A2156">
        <v>153771</v>
      </c>
      <c r="B2156">
        <v>0</v>
      </c>
      <c r="C2156" s="5" t="s">
        <v>21</v>
      </c>
      <c r="D2156">
        <v>3201</v>
      </c>
      <c r="E2156" s="5" t="s">
        <v>82</v>
      </c>
      <c r="F2156" s="5" t="s">
        <v>17</v>
      </c>
      <c r="G2156">
        <v>25</v>
      </c>
    </row>
    <row r="2157" spans="1:7" x14ac:dyDescent="0.35">
      <c r="A2157">
        <v>25558</v>
      </c>
      <c r="B2157">
        <v>1</v>
      </c>
      <c r="C2157" s="5" t="s">
        <v>36</v>
      </c>
      <c r="D2157">
        <v>4901</v>
      </c>
      <c r="E2157" s="5" t="s">
        <v>78</v>
      </c>
      <c r="F2157" s="5" t="s">
        <v>14</v>
      </c>
      <c r="G2157">
        <v>15</v>
      </c>
    </row>
    <row r="2158" spans="1:7" x14ac:dyDescent="0.35">
      <c r="A2158">
        <v>182916</v>
      </c>
      <c r="B2158">
        <v>28</v>
      </c>
      <c r="C2158" s="5" t="s">
        <v>37</v>
      </c>
      <c r="D2158">
        <v>3401</v>
      </c>
      <c r="E2158" s="5" t="s">
        <v>78</v>
      </c>
      <c r="F2158" s="5" t="s">
        <v>17</v>
      </c>
      <c r="G2158">
        <v>25</v>
      </c>
    </row>
    <row r="2159" spans="1:7" x14ac:dyDescent="0.35">
      <c r="A2159">
        <v>162213</v>
      </c>
      <c r="B2159">
        <v>1</v>
      </c>
      <c r="C2159" s="5" t="s">
        <v>21</v>
      </c>
      <c r="D2159">
        <v>2201</v>
      </c>
      <c r="E2159" s="5" t="s">
        <v>83</v>
      </c>
      <c r="F2159" s="5" t="s">
        <v>14</v>
      </c>
      <c r="G2159">
        <v>7</v>
      </c>
    </row>
    <row r="2160" spans="1:7" x14ac:dyDescent="0.35">
      <c r="A2160">
        <v>177039</v>
      </c>
      <c r="B2160">
        <v>0</v>
      </c>
      <c r="C2160" s="5" t="s">
        <v>47</v>
      </c>
      <c r="D2160">
        <v>2206</v>
      </c>
      <c r="E2160" s="5" t="s">
        <v>81</v>
      </c>
      <c r="F2160" s="5" t="s">
        <v>17</v>
      </c>
      <c r="G2160">
        <v>21</v>
      </c>
    </row>
    <row r="2161" spans="1:7" x14ac:dyDescent="0.35">
      <c r="A2161">
        <v>107264</v>
      </c>
      <c r="B2161">
        <v>2</v>
      </c>
      <c r="C2161" s="5" t="s">
        <v>55</v>
      </c>
      <c r="D2161">
        <v>5201</v>
      </c>
      <c r="E2161" s="5" t="s">
        <v>82</v>
      </c>
      <c r="F2161" s="5" t="s">
        <v>14</v>
      </c>
      <c r="G2161">
        <v>20</v>
      </c>
    </row>
    <row r="2162" spans="1:7" x14ac:dyDescent="0.35">
      <c r="A2162">
        <v>60708</v>
      </c>
      <c r="B2162">
        <v>2</v>
      </c>
      <c r="C2162" s="5" t="s">
        <v>30</v>
      </c>
      <c r="D2162">
        <v>0</v>
      </c>
      <c r="E2162" s="5" t="s">
        <v>79</v>
      </c>
      <c r="F2162" s="5" t="s">
        <v>27</v>
      </c>
      <c r="G2162">
        <v>5</v>
      </c>
    </row>
    <row r="2163" spans="1:7" x14ac:dyDescent="0.35">
      <c r="A2163">
        <v>12234</v>
      </c>
      <c r="B2163">
        <v>0</v>
      </c>
      <c r="C2163" s="5" t="s">
        <v>21</v>
      </c>
      <c r="D2163">
        <v>2201</v>
      </c>
      <c r="E2163" s="5" t="s">
        <v>78</v>
      </c>
      <c r="F2163" s="5" t="s">
        <v>17</v>
      </c>
      <c r="G2163">
        <v>10</v>
      </c>
    </row>
    <row r="2164" spans="1:7" x14ac:dyDescent="0.35">
      <c r="A2164">
        <v>59240</v>
      </c>
      <c r="B2164">
        <v>0</v>
      </c>
      <c r="C2164" s="5" t="s">
        <v>30</v>
      </c>
      <c r="D2164">
        <v>0</v>
      </c>
      <c r="E2164" s="5" t="s">
        <v>83</v>
      </c>
      <c r="F2164" s="5" t="s">
        <v>17</v>
      </c>
      <c r="G2164">
        <v>10</v>
      </c>
    </row>
    <row r="2165" spans="1:7" x14ac:dyDescent="0.35">
      <c r="A2165">
        <v>127028</v>
      </c>
      <c r="B2165">
        <v>0</v>
      </c>
      <c r="C2165" s="5" t="s">
        <v>20</v>
      </c>
      <c r="D2165">
        <v>0</v>
      </c>
      <c r="E2165" s="5" t="s">
        <v>80</v>
      </c>
      <c r="F2165" s="5" t="s">
        <v>17</v>
      </c>
      <c r="G2165">
        <v>18</v>
      </c>
    </row>
    <row r="2166" spans="1:7" x14ac:dyDescent="0.35">
      <c r="A2166">
        <v>72321</v>
      </c>
      <c r="B2166">
        <v>1</v>
      </c>
      <c r="C2166" s="5" t="s">
        <v>26</v>
      </c>
      <c r="D2166">
        <v>0</v>
      </c>
      <c r="E2166" s="5" t="s">
        <v>81</v>
      </c>
      <c r="F2166" s="5" t="s">
        <v>14</v>
      </c>
      <c r="G2166">
        <v>10</v>
      </c>
    </row>
    <row r="2167" spans="1:7" x14ac:dyDescent="0.35">
      <c r="A2167">
        <v>161309</v>
      </c>
      <c r="B2167">
        <v>1</v>
      </c>
      <c r="C2167" s="5" t="s">
        <v>21</v>
      </c>
      <c r="D2167">
        <v>5509</v>
      </c>
      <c r="E2167" s="5" t="s">
        <v>90</v>
      </c>
      <c r="F2167" s="5" t="s">
        <v>14</v>
      </c>
      <c r="G2167">
        <v>18</v>
      </c>
    </row>
    <row r="2168" spans="1:7" x14ac:dyDescent="0.35">
      <c r="A2168">
        <v>58991</v>
      </c>
      <c r="B2168">
        <v>1</v>
      </c>
      <c r="C2168" s="5" t="s">
        <v>53</v>
      </c>
      <c r="D2168">
        <v>3302</v>
      </c>
      <c r="E2168" s="5" t="s">
        <v>89</v>
      </c>
      <c r="F2168" s="5" t="s">
        <v>14</v>
      </c>
      <c r="G2168">
        <v>10</v>
      </c>
    </row>
    <row r="2169" spans="1:7" x14ac:dyDescent="0.35">
      <c r="A2169">
        <v>136772</v>
      </c>
      <c r="B2169">
        <v>980</v>
      </c>
      <c r="C2169" s="5" t="s">
        <v>51</v>
      </c>
      <c r="D2169">
        <v>5206</v>
      </c>
      <c r="E2169" s="5" t="s">
        <v>80</v>
      </c>
      <c r="F2169" s="5" t="s">
        <v>86</v>
      </c>
      <c r="G2169">
        <v>19</v>
      </c>
    </row>
    <row r="2170" spans="1:7" x14ac:dyDescent="0.35">
      <c r="A2170">
        <v>190560</v>
      </c>
      <c r="B2170">
        <v>0</v>
      </c>
      <c r="C2170" s="5" t="s">
        <v>25</v>
      </c>
      <c r="D2170">
        <v>2601</v>
      </c>
      <c r="E2170" s="5" t="s">
        <v>86</v>
      </c>
      <c r="F2170" s="5" t="s">
        <v>14</v>
      </c>
      <c r="G2170">
        <v>5</v>
      </c>
    </row>
    <row r="2171" spans="1:7" x14ac:dyDescent="0.35">
      <c r="A2171">
        <v>158022</v>
      </c>
      <c r="B2171">
        <v>0</v>
      </c>
      <c r="C2171" s="5" t="s">
        <v>21</v>
      </c>
      <c r="D2171">
        <v>1801</v>
      </c>
      <c r="E2171" s="5" t="s">
        <v>82</v>
      </c>
      <c r="F2171" s="5" t="s">
        <v>17</v>
      </c>
      <c r="G2171">
        <v>15</v>
      </c>
    </row>
    <row r="2172" spans="1:7" x14ac:dyDescent="0.35">
      <c r="A2172">
        <v>177260</v>
      </c>
      <c r="B2172">
        <v>1</v>
      </c>
      <c r="C2172" s="5" t="s">
        <v>47</v>
      </c>
      <c r="D2172">
        <v>4606</v>
      </c>
      <c r="E2172" s="5" t="s">
        <v>81</v>
      </c>
      <c r="F2172" s="5" t="s">
        <v>14</v>
      </c>
      <c r="G2172">
        <v>2</v>
      </c>
    </row>
    <row r="2173" spans="1:7" x14ac:dyDescent="0.35">
      <c r="A2173">
        <v>179257</v>
      </c>
      <c r="B2173">
        <v>1</v>
      </c>
      <c r="C2173" s="5" t="s">
        <v>37</v>
      </c>
      <c r="D2173">
        <v>6201</v>
      </c>
      <c r="E2173" s="5" t="s">
        <v>83</v>
      </c>
      <c r="F2173" s="5" t="s">
        <v>14</v>
      </c>
      <c r="G2173">
        <v>10</v>
      </c>
    </row>
    <row r="2174" spans="1:7" x14ac:dyDescent="0.35">
      <c r="A2174">
        <v>13434</v>
      </c>
      <c r="B2174">
        <v>2</v>
      </c>
      <c r="C2174" s="5" t="s">
        <v>18</v>
      </c>
      <c r="D2174">
        <v>2202</v>
      </c>
      <c r="E2174" s="5" t="s">
        <v>81</v>
      </c>
      <c r="F2174" s="5" t="s">
        <v>14</v>
      </c>
      <c r="G2174">
        <v>15</v>
      </c>
    </row>
    <row r="2175" spans="1:7" x14ac:dyDescent="0.35">
      <c r="A2175">
        <v>45351</v>
      </c>
      <c r="B2175">
        <v>2</v>
      </c>
      <c r="C2175" s="5" t="s">
        <v>13</v>
      </c>
      <c r="D2175">
        <v>2906</v>
      </c>
      <c r="E2175" s="5" t="s">
        <v>78</v>
      </c>
      <c r="F2175" s="5" t="s">
        <v>17</v>
      </c>
      <c r="G2175">
        <v>25</v>
      </c>
    </row>
    <row r="2176" spans="1:7" x14ac:dyDescent="0.35">
      <c r="A2176">
        <v>102534</v>
      </c>
      <c r="B2176">
        <v>2</v>
      </c>
      <c r="C2176" s="5" t="s">
        <v>51</v>
      </c>
      <c r="D2176">
        <v>2209</v>
      </c>
      <c r="E2176" s="5" t="s">
        <v>84</v>
      </c>
      <c r="F2176" s="5" t="s">
        <v>14</v>
      </c>
      <c r="G2176">
        <v>10</v>
      </c>
    </row>
    <row r="2177" spans="1:7" x14ac:dyDescent="0.35">
      <c r="A2177">
        <v>134159</v>
      </c>
      <c r="B2177">
        <v>0</v>
      </c>
      <c r="C2177" s="5" t="s">
        <v>35</v>
      </c>
      <c r="D2177">
        <v>0</v>
      </c>
      <c r="E2177" s="5" t="s">
        <v>79</v>
      </c>
      <c r="F2177" s="5" t="s">
        <v>17</v>
      </c>
      <c r="G2177">
        <v>15</v>
      </c>
    </row>
    <row r="2178" spans="1:7" x14ac:dyDescent="0.35">
      <c r="A2178">
        <v>59746</v>
      </c>
      <c r="B2178">
        <v>2</v>
      </c>
      <c r="C2178" s="5" t="s">
        <v>30</v>
      </c>
      <c r="D2178">
        <v>0</v>
      </c>
      <c r="E2178" s="5" t="s">
        <v>79</v>
      </c>
      <c r="F2178" s="5" t="s">
        <v>17</v>
      </c>
      <c r="G2178">
        <v>4</v>
      </c>
    </row>
    <row r="2179" spans="1:7" x14ac:dyDescent="0.35">
      <c r="A2179">
        <v>102953</v>
      </c>
      <c r="B2179">
        <v>0</v>
      </c>
      <c r="C2179" s="5" t="s">
        <v>33</v>
      </c>
      <c r="D2179">
        <v>5601</v>
      </c>
      <c r="E2179" s="5" t="s">
        <v>79</v>
      </c>
      <c r="F2179" s="5" t="s">
        <v>17</v>
      </c>
      <c r="G2179">
        <v>21</v>
      </c>
    </row>
    <row r="2180" spans="1:7" x14ac:dyDescent="0.35">
      <c r="A2180">
        <v>149598</v>
      </c>
      <c r="B2180">
        <v>2</v>
      </c>
      <c r="C2180" s="5" t="s">
        <v>21</v>
      </c>
      <c r="D2180">
        <v>710</v>
      </c>
      <c r="E2180" s="5" t="s">
        <v>85</v>
      </c>
      <c r="F2180" s="5" t="s">
        <v>17</v>
      </c>
      <c r="G2180">
        <v>10</v>
      </c>
    </row>
    <row r="2181" spans="1:7" x14ac:dyDescent="0.35">
      <c r="A2181">
        <v>45968</v>
      </c>
      <c r="B2181">
        <v>0</v>
      </c>
      <c r="C2181" s="5" t="s">
        <v>13</v>
      </c>
      <c r="D2181">
        <v>6101</v>
      </c>
      <c r="E2181" s="5" t="s">
        <v>81</v>
      </c>
      <c r="F2181" s="5" t="s">
        <v>17</v>
      </c>
      <c r="G2181">
        <v>18</v>
      </c>
    </row>
    <row r="2182" spans="1:7" x14ac:dyDescent="0.35">
      <c r="A2182">
        <v>94486</v>
      </c>
      <c r="B2182">
        <v>1</v>
      </c>
      <c r="C2182" s="5" t="s">
        <v>16</v>
      </c>
      <c r="D2182">
        <v>1501</v>
      </c>
      <c r="E2182" s="5" t="s">
        <v>85</v>
      </c>
      <c r="F2182" s="5" t="s">
        <v>14</v>
      </c>
      <c r="G2182">
        <v>6</v>
      </c>
    </row>
    <row r="2183" spans="1:7" x14ac:dyDescent="0.35">
      <c r="A2183">
        <v>165641</v>
      </c>
      <c r="B2183">
        <v>2</v>
      </c>
      <c r="C2183" s="5" t="s">
        <v>21</v>
      </c>
      <c r="D2183">
        <v>2501</v>
      </c>
      <c r="E2183" s="5" t="s">
        <v>85</v>
      </c>
      <c r="F2183" s="5" t="s">
        <v>17</v>
      </c>
      <c r="G2183">
        <v>4</v>
      </c>
    </row>
    <row r="2184" spans="1:7" x14ac:dyDescent="0.35">
      <c r="A2184">
        <v>19779</v>
      </c>
      <c r="B2184">
        <v>1</v>
      </c>
      <c r="C2184" s="5" t="s">
        <v>18</v>
      </c>
      <c r="D2184">
        <v>4301</v>
      </c>
      <c r="E2184" s="5" t="s">
        <v>83</v>
      </c>
      <c r="F2184" s="5" t="s">
        <v>14</v>
      </c>
      <c r="G2184">
        <v>15</v>
      </c>
    </row>
    <row r="2185" spans="1:7" x14ac:dyDescent="0.35">
      <c r="A2185">
        <v>1249</v>
      </c>
      <c r="B2185">
        <v>1</v>
      </c>
      <c r="C2185" s="5" t="s">
        <v>16</v>
      </c>
      <c r="D2185">
        <v>0</v>
      </c>
      <c r="E2185" s="5" t="s">
        <v>80</v>
      </c>
      <c r="F2185" s="5" t="s">
        <v>14</v>
      </c>
      <c r="G2185">
        <v>32</v>
      </c>
    </row>
    <row r="2186" spans="1:7" x14ac:dyDescent="0.35">
      <c r="A2186">
        <v>57119</v>
      </c>
      <c r="B2186">
        <v>2</v>
      </c>
      <c r="C2186" s="5" t="s">
        <v>53</v>
      </c>
      <c r="D2186">
        <v>2111</v>
      </c>
      <c r="E2186" s="5" t="s">
        <v>79</v>
      </c>
      <c r="F2186" s="5" t="s">
        <v>14</v>
      </c>
      <c r="G2186">
        <v>20</v>
      </c>
    </row>
    <row r="2187" spans="1:7" x14ac:dyDescent="0.35">
      <c r="A2187">
        <v>158615</v>
      </c>
      <c r="B2187">
        <v>0</v>
      </c>
      <c r="C2187" s="5" t="s">
        <v>21</v>
      </c>
      <c r="D2187">
        <v>2601</v>
      </c>
      <c r="E2187" s="5" t="s">
        <v>83</v>
      </c>
      <c r="F2187" s="5" t="s">
        <v>17</v>
      </c>
      <c r="G2187">
        <v>15</v>
      </c>
    </row>
    <row r="2188" spans="1:7" x14ac:dyDescent="0.35">
      <c r="A2188">
        <v>153353</v>
      </c>
      <c r="B2188">
        <v>2</v>
      </c>
      <c r="C2188" s="5" t="s">
        <v>21</v>
      </c>
      <c r="D2188">
        <v>2710</v>
      </c>
      <c r="E2188" s="5" t="s">
        <v>92</v>
      </c>
      <c r="F2188" s="5" t="s">
        <v>17</v>
      </c>
      <c r="G2188">
        <v>27</v>
      </c>
    </row>
    <row r="2189" spans="1:7" x14ac:dyDescent="0.35">
      <c r="A2189">
        <v>42686</v>
      </c>
      <c r="B2189">
        <v>0</v>
      </c>
      <c r="C2189" s="5" t="s">
        <v>13</v>
      </c>
      <c r="D2189">
        <v>0</v>
      </c>
      <c r="E2189" s="5" t="s">
        <v>78</v>
      </c>
      <c r="F2189" s="5" t="s">
        <v>17</v>
      </c>
      <c r="G2189">
        <v>20</v>
      </c>
    </row>
    <row r="2190" spans="1:7" x14ac:dyDescent="0.35">
      <c r="A2190">
        <v>71744</v>
      </c>
      <c r="B2190">
        <v>1</v>
      </c>
      <c r="C2190" s="5" t="s">
        <v>26</v>
      </c>
      <c r="D2190">
        <v>1104</v>
      </c>
      <c r="E2190" s="5" t="s">
        <v>78</v>
      </c>
      <c r="F2190" s="5" t="s">
        <v>14</v>
      </c>
      <c r="G2190">
        <v>36</v>
      </c>
    </row>
    <row r="2191" spans="1:7" x14ac:dyDescent="0.35">
      <c r="A2191">
        <v>116608</v>
      </c>
      <c r="B2191">
        <v>2</v>
      </c>
      <c r="C2191" s="5" t="s">
        <v>20</v>
      </c>
      <c r="D2191">
        <v>2201</v>
      </c>
      <c r="E2191" s="5" t="s">
        <v>81</v>
      </c>
      <c r="F2191" s="5" t="s">
        <v>17</v>
      </c>
      <c r="G2191">
        <v>25</v>
      </c>
    </row>
    <row r="2192" spans="1:7" x14ac:dyDescent="0.35">
      <c r="A2192">
        <v>176138</v>
      </c>
      <c r="B2192">
        <v>2</v>
      </c>
      <c r="C2192" s="5" t="s">
        <v>47</v>
      </c>
      <c r="D2192">
        <v>0</v>
      </c>
      <c r="E2192" s="5" t="s">
        <v>78</v>
      </c>
      <c r="F2192" s="5" t="s">
        <v>14</v>
      </c>
      <c r="G2192">
        <v>10</v>
      </c>
    </row>
    <row r="2193" spans="1:7" x14ac:dyDescent="0.35">
      <c r="A2193">
        <v>190789</v>
      </c>
      <c r="B2193">
        <v>0</v>
      </c>
      <c r="C2193" s="5" t="s">
        <v>26</v>
      </c>
      <c r="D2193">
        <v>1707</v>
      </c>
      <c r="E2193" s="5" t="s">
        <v>83</v>
      </c>
      <c r="F2193" s="5" t="s">
        <v>14</v>
      </c>
      <c r="G2193">
        <v>18</v>
      </c>
    </row>
    <row r="2194" spans="1:7" x14ac:dyDescent="0.35">
      <c r="A2194">
        <v>109450</v>
      </c>
      <c r="B2194">
        <v>2</v>
      </c>
      <c r="C2194" s="5" t="s">
        <v>46</v>
      </c>
      <c r="D2194">
        <v>2501</v>
      </c>
      <c r="E2194" s="5" t="s">
        <v>79</v>
      </c>
      <c r="F2194" s="5" t="s">
        <v>17</v>
      </c>
      <c r="G2194">
        <v>11</v>
      </c>
    </row>
    <row r="2195" spans="1:7" x14ac:dyDescent="0.35">
      <c r="A2195">
        <v>102741</v>
      </c>
      <c r="B2195">
        <v>0</v>
      </c>
      <c r="C2195" s="5" t="s">
        <v>33</v>
      </c>
      <c r="D2195">
        <v>2201</v>
      </c>
      <c r="E2195" s="5" t="s">
        <v>81</v>
      </c>
      <c r="F2195" s="5" t="s">
        <v>17</v>
      </c>
      <c r="G2195">
        <v>20</v>
      </c>
    </row>
    <row r="2196" spans="1:7" x14ac:dyDescent="0.35">
      <c r="A2196">
        <v>59598</v>
      </c>
      <c r="B2196">
        <v>2</v>
      </c>
      <c r="C2196" s="5" t="s">
        <v>30</v>
      </c>
      <c r="D2196">
        <v>0</v>
      </c>
      <c r="E2196" s="5" t="s">
        <v>79</v>
      </c>
      <c r="F2196" s="5" t="s">
        <v>14</v>
      </c>
      <c r="G2196">
        <v>15</v>
      </c>
    </row>
    <row r="2197" spans="1:7" x14ac:dyDescent="0.35">
      <c r="A2197">
        <v>157481</v>
      </c>
      <c r="B2197">
        <v>0</v>
      </c>
      <c r="C2197" s="5" t="s">
        <v>21</v>
      </c>
      <c r="D2197">
        <v>5201</v>
      </c>
      <c r="E2197" s="5" t="s">
        <v>83</v>
      </c>
      <c r="F2197" s="5" t="s">
        <v>86</v>
      </c>
      <c r="G2197">
        <v>19</v>
      </c>
    </row>
    <row r="2198" spans="1:7" x14ac:dyDescent="0.35">
      <c r="A2198">
        <v>21922</v>
      </c>
      <c r="B2198">
        <v>0</v>
      </c>
      <c r="C2198" s="5" t="s">
        <v>18</v>
      </c>
      <c r="D2198">
        <v>3001</v>
      </c>
      <c r="E2198" s="5" t="s">
        <v>89</v>
      </c>
      <c r="F2198" s="5" t="s">
        <v>17</v>
      </c>
      <c r="G2198">
        <v>20</v>
      </c>
    </row>
    <row r="2199" spans="1:7" x14ac:dyDescent="0.35">
      <c r="A2199">
        <v>35908</v>
      </c>
      <c r="B2199">
        <v>0</v>
      </c>
      <c r="C2199" s="5" t="s">
        <v>13</v>
      </c>
      <c r="D2199">
        <v>5001</v>
      </c>
      <c r="E2199" s="5" t="s">
        <v>80</v>
      </c>
      <c r="F2199" s="5" t="s">
        <v>17</v>
      </c>
      <c r="G2199">
        <v>20</v>
      </c>
    </row>
    <row r="2200" spans="1:7" x14ac:dyDescent="0.35">
      <c r="A2200">
        <v>105331</v>
      </c>
      <c r="B2200">
        <v>1</v>
      </c>
      <c r="C2200" s="5" t="s">
        <v>25</v>
      </c>
      <c r="D2200">
        <v>4801</v>
      </c>
      <c r="E2200" s="5" t="s">
        <v>81</v>
      </c>
      <c r="F2200" s="5" t="s">
        <v>14</v>
      </c>
      <c r="G2200">
        <v>20</v>
      </c>
    </row>
    <row r="2201" spans="1:7" x14ac:dyDescent="0.35">
      <c r="A2201">
        <v>157728</v>
      </c>
      <c r="B2201">
        <v>1</v>
      </c>
      <c r="C2201" s="5" t="s">
        <v>21</v>
      </c>
      <c r="D2201">
        <v>0</v>
      </c>
      <c r="E2201" s="5" t="s">
        <v>80</v>
      </c>
      <c r="F2201" s="5" t="s">
        <v>14</v>
      </c>
      <c r="G2201">
        <v>20</v>
      </c>
    </row>
    <row r="2202" spans="1:7" x14ac:dyDescent="0.35">
      <c r="A2202">
        <v>81073</v>
      </c>
      <c r="B2202">
        <v>2</v>
      </c>
      <c r="C2202" s="5" t="s">
        <v>32</v>
      </c>
      <c r="D2202">
        <v>4701</v>
      </c>
      <c r="E2202" s="5" t="s">
        <v>78</v>
      </c>
      <c r="F2202" s="5" t="s">
        <v>17</v>
      </c>
      <c r="G2202">
        <v>10</v>
      </c>
    </row>
    <row r="2203" spans="1:7" x14ac:dyDescent="0.35">
      <c r="A2203">
        <v>38471</v>
      </c>
      <c r="B2203">
        <v>2</v>
      </c>
      <c r="C2203" s="5" t="s">
        <v>13</v>
      </c>
      <c r="D2203">
        <v>5001</v>
      </c>
      <c r="E2203" s="5" t="s">
        <v>86</v>
      </c>
      <c r="F2203" s="5" t="s">
        <v>17</v>
      </c>
      <c r="G2203">
        <v>25</v>
      </c>
    </row>
    <row r="2204" spans="1:7" x14ac:dyDescent="0.35">
      <c r="A2204">
        <v>163675</v>
      </c>
      <c r="B2204">
        <v>0</v>
      </c>
      <c r="C2204" s="5" t="s">
        <v>21</v>
      </c>
      <c r="D2204">
        <v>3501</v>
      </c>
      <c r="E2204" s="5" t="s">
        <v>93</v>
      </c>
      <c r="F2204" s="5" t="s">
        <v>86</v>
      </c>
      <c r="G2204">
        <v>10</v>
      </c>
    </row>
    <row r="2205" spans="1:7" x14ac:dyDescent="0.35">
      <c r="A2205">
        <v>11195</v>
      </c>
      <c r="B2205">
        <v>2</v>
      </c>
      <c r="C2205" s="5" t="s">
        <v>31</v>
      </c>
      <c r="D2205">
        <v>1801</v>
      </c>
      <c r="E2205" s="5" t="s">
        <v>78</v>
      </c>
      <c r="F2205" s="5" t="s">
        <v>14</v>
      </c>
      <c r="G2205">
        <v>10</v>
      </c>
    </row>
    <row r="2206" spans="1:7" x14ac:dyDescent="0.35">
      <c r="A2206">
        <v>5144</v>
      </c>
      <c r="B2206">
        <v>1</v>
      </c>
      <c r="C2206" s="5" t="s">
        <v>20</v>
      </c>
      <c r="D2206">
        <v>0</v>
      </c>
      <c r="E2206" s="5" t="s">
        <v>78</v>
      </c>
      <c r="F2206" s="5" t="s">
        <v>14</v>
      </c>
      <c r="G2206">
        <v>15</v>
      </c>
    </row>
    <row r="2207" spans="1:7" x14ac:dyDescent="0.35">
      <c r="A2207">
        <v>37221</v>
      </c>
      <c r="B2207">
        <v>0</v>
      </c>
      <c r="C2207" s="5" t="s">
        <v>13</v>
      </c>
      <c r="D2207">
        <v>1107</v>
      </c>
      <c r="E2207" s="5" t="s">
        <v>91</v>
      </c>
      <c r="F2207" s="5" t="s">
        <v>14</v>
      </c>
      <c r="G2207">
        <v>6</v>
      </c>
    </row>
    <row r="2208" spans="1:7" x14ac:dyDescent="0.35">
      <c r="A2208">
        <v>187959</v>
      </c>
      <c r="B2208">
        <v>0</v>
      </c>
      <c r="C2208" s="5" t="s">
        <v>18</v>
      </c>
      <c r="D2208">
        <v>0</v>
      </c>
      <c r="E2208" s="5" t="s">
        <v>79</v>
      </c>
      <c r="F2208" s="5" t="s">
        <v>86</v>
      </c>
      <c r="G2208">
        <v>10</v>
      </c>
    </row>
    <row r="2209" spans="1:7" x14ac:dyDescent="0.35">
      <c r="A2209">
        <v>95536</v>
      </c>
      <c r="B2209">
        <v>28</v>
      </c>
      <c r="C2209" s="5" t="s">
        <v>16</v>
      </c>
      <c r="D2209">
        <v>4601</v>
      </c>
      <c r="E2209" s="5" t="s">
        <v>79</v>
      </c>
      <c r="F2209" s="5" t="s">
        <v>17</v>
      </c>
      <c r="G2209">
        <v>20</v>
      </c>
    </row>
    <row r="2210" spans="1:7" x14ac:dyDescent="0.35">
      <c r="A2210">
        <v>103330</v>
      </c>
      <c r="B2210">
        <v>0</v>
      </c>
      <c r="C2210" s="5" t="s">
        <v>33</v>
      </c>
      <c r="D2210">
        <v>4508</v>
      </c>
      <c r="E2210" s="5" t="s">
        <v>84</v>
      </c>
      <c r="F2210" s="5" t="s">
        <v>17</v>
      </c>
      <c r="G2210">
        <v>50</v>
      </c>
    </row>
    <row r="2211" spans="1:7" x14ac:dyDescent="0.35">
      <c r="A2211">
        <v>174360</v>
      </c>
      <c r="B2211">
        <v>0</v>
      </c>
      <c r="C2211" s="5" t="s">
        <v>47</v>
      </c>
      <c r="D2211">
        <v>5408</v>
      </c>
      <c r="E2211" s="5" t="s">
        <v>83</v>
      </c>
      <c r="F2211" s="5" t="s">
        <v>17</v>
      </c>
      <c r="G2211">
        <v>11</v>
      </c>
    </row>
    <row r="2212" spans="1:7" x14ac:dyDescent="0.35">
      <c r="A2212">
        <v>173805</v>
      </c>
      <c r="B2212">
        <v>28</v>
      </c>
      <c r="C2212" s="5" t="s">
        <v>34</v>
      </c>
      <c r="D2212">
        <v>1501</v>
      </c>
      <c r="E2212" s="5" t="s">
        <v>84</v>
      </c>
      <c r="F2212" s="5" t="s">
        <v>17</v>
      </c>
      <c r="G2212">
        <v>50</v>
      </c>
    </row>
    <row r="2213" spans="1:7" x14ac:dyDescent="0.35">
      <c r="A2213">
        <v>30745</v>
      </c>
      <c r="B2213">
        <v>0</v>
      </c>
      <c r="C2213" s="5" t="s">
        <v>36</v>
      </c>
      <c r="D2213">
        <v>0</v>
      </c>
      <c r="E2213" s="5" t="s">
        <v>94</v>
      </c>
      <c r="F2213" s="5" t="s">
        <v>17</v>
      </c>
      <c r="G2213">
        <v>25</v>
      </c>
    </row>
    <row r="2214" spans="1:7" x14ac:dyDescent="0.35">
      <c r="A2214">
        <v>20645</v>
      </c>
      <c r="B2214">
        <v>0</v>
      </c>
      <c r="C2214" s="5" t="s">
        <v>18</v>
      </c>
      <c r="D2214">
        <v>0</v>
      </c>
      <c r="E2214" s="5" t="s">
        <v>89</v>
      </c>
      <c r="F2214" s="5" t="s">
        <v>17</v>
      </c>
      <c r="G2214">
        <v>10</v>
      </c>
    </row>
    <row r="2215" spans="1:7" x14ac:dyDescent="0.35">
      <c r="A2215">
        <v>27928</v>
      </c>
      <c r="B2215">
        <v>1</v>
      </c>
      <c r="C2215" s="5" t="s">
        <v>36</v>
      </c>
      <c r="D2215">
        <v>1804</v>
      </c>
      <c r="E2215" s="5" t="s">
        <v>84</v>
      </c>
      <c r="F2215" s="5" t="s">
        <v>14</v>
      </c>
      <c r="G2215">
        <v>12</v>
      </c>
    </row>
    <row r="2216" spans="1:7" x14ac:dyDescent="0.35">
      <c r="A2216">
        <v>80866</v>
      </c>
      <c r="B2216">
        <v>0</v>
      </c>
      <c r="C2216" s="5" t="s">
        <v>32</v>
      </c>
      <c r="D2216">
        <v>2701</v>
      </c>
      <c r="E2216" s="5" t="s">
        <v>81</v>
      </c>
      <c r="F2216" s="5" t="s">
        <v>17</v>
      </c>
      <c r="G2216">
        <v>4</v>
      </c>
    </row>
    <row r="2217" spans="1:7" x14ac:dyDescent="0.35">
      <c r="A2217">
        <v>55408</v>
      </c>
      <c r="B2217">
        <v>28</v>
      </c>
      <c r="C2217" s="5" t="s">
        <v>56</v>
      </c>
      <c r="D2217">
        <v>4612</v>
      </c>
      <c r="E2217" s="5" t="s">
        <v>84</v>
      </c>
      <c r="F2217" s="5" t="s">
        <v>14</v>
      </c>
      <c r="G2217">
        <v>4</v>
      </c>
    </row>
    <row r="2218" spans="1:7" x14ac:dyDescent="0.35">
      <c r="A2218">
        <v>54674</v>
      </c>
      <c r="B2218">
        <v>1</v>
      </c>
      <c r="C2218" s="5" t="s">
        <v>56</v>
      </c>
      <c r="D2218">
        <v>2201</v>
      </c>
      <c r="E2218" s="5" t="s">
        <v>79</v>
      </c>
      <c r="F2218" s="5" t="s">
        <v>14</v>
      </c>
      <c r="G2218">
        <v>5</v>
      </c>
    </row>
    <row r="2219" spans="1:7" x14ac:dyDescent="0.35">
      <c r="A2219">
        <v>185287</v>
      </c>
      <c r="B2219">
        <v>2</v>
      </c>
      <c r="C2219" s="5" t="s">
        <v>21</v>
      </c>
      <c r="D2219">
        <v>6301</v>
      </c>
      <c r="E2219" s="5" t="s">
        <v>80</v>
      </c>
      <c r="F2219" s="5" t="s">
        <v>17</v>
      </c>
      <c r="G2219">
        <v>5</v>
      </c>
    </row>
    <row r="2220" spans="1:7" x14ac:dyDescent="0.35">
      <c r="A2220">
        <v>178009</v>
      </c>
      <c r="B2220">
        <v>1</v>
      </c>
      <c r="C2220" s="5" t="s">
        <v>47</v>
      </c>
      <c r="D2220">
        <v>1803</v>
      </c>
      <c r="E2220" s="5" t="s">
        <v>81</v>
      </c>
      <c r="F2220" s="5" t="s">
        <v>14</v>
      </c>
      <c r="G2220">
        <v>5</v>
      </c>
    </row>
    <row r="2221" spans="1:7" x14ac:dyDescent="0.35">
      <c r="A2221">
        <v>143069</v>
      </c>
      <c r="B2221">
        <v>1</v>
      </c>
      <c r="C2221" s="5" t="s">
        <v>21</v>
      </c>
      <c r="D2221">
        <v>2601</v>
      </c>
      <c r="E2221" s="5" t="s">
        <v>91</v>
      </c>
      <c r="F2221" s="5" t="s">
        <v>14</v>
      </c>
      <c r="G2221">
        <v>20</v>
      </c>
    </row>
    <row r="2222" spans="1:7" x14ac:dyDescent="0.35">
      <c r="A2222">
        <v>28874</v>
      </c>
      <c r="B2222">
        <v>2</v>
      </c>
      <c r="C2222" s="5" t="s">
        <v>36</v>
      </c>
      <c r="D2222">
        <v>3601</v>
      </c>
      <c r="E2222" s="5" t="s">
        <v>79</v>
      </c>
      <c r="F2222" s="5" t="s">
        <v>14</v>
      </c>
      <c r="G2222">
        <v>21</v>
      </c>
    </row>
    <row r="2223" spans="1:7" x14ac:dyDescent="0.35">
      <c r="A2223">
        <v>144110</v>
      </c>
      <c r="B2223">
        <v>0</v>
      </c>
      <c r="C2223" s="5" t="s">
        <v>21</v>
      </c>
      <c r="D2223">
        <v>3509</v>
      </c>
      <c r="E2223" s="5" t="s">
        <v>85</v>
      </c>
      <c r="F2223" s="5" t="s">
        <v>17</v>
      </c>
      <c r="G2223">
        <v>15</v>
      </c>
    </row>
    <row r="2224" spans="1:7" x14ac:dyDescent="0.35">
      <c r="A2224">
        <v>77116</v>
      </c>
      <c r="B2224">
        <v>0</v>
      </c>
      <c r="C2224" s="5" t="s">
        <v>32</v>
      </c>
      <c r="D2224">
        <v>6101</v>
      </c>
      <c r="E2224" s="5" t="s">
        <v>81</v>
      </c>
      <c r="F2224" s="5" t="s">
        <v>17</v>
      </c>
      <c r="G2224">
        <v>10</v>
      </c>
    </row>
    <row r="2225" spans="1:7" x14ac:dyDescent="0.35">
      <c r="A2225">
        <v>3553</v>
      </c>
      <c r="B2225">
        <v>1</v>
      </c>
      <c r="C2225" s="5" t="s">
        <v>37</v>
      </c>
      <c r="D2225">
        <v>1601</v>
      </c>
      <c r="E2225" s="5" t="s">
        <v>80</v>
      </c>
      <c r="F2225" s="5" t="s">
        <v>14</v>
      </c>
      <c r="G2225">
        <v>20</v>
      </c>
    </row>
    <row r="2226" spans="1:7" x14ac:dyDescent="0.35">
      <c r="A2226">
        <v>60265</v>
      </c>
      <c r="B2226">
        <v>0</v>
      </c>
      <c r="C2226" s="5" t="s">
        <v>30</v>
      </c>
      <c r="D2226">
        <v>3803</v>
      </c>
      <c r="E2226" s="5" t="s">
        <v>87</v>
      </c>
      <c r="F2226" s="5" t="s">
        <v>17</v>
      </c>
      <c r="G2226">
        <v>5</v>
      </c>
    </row>
    <row r="2227" spans="1:7" x14ac:dyDescent="0.35">
      <c r="A2227">
        <v>74552</v>
      </c>
      <c r="B2227">
        <v>0</v>
      </c>
      <c r="C2227" s="5" t="s">
        <v>26</v>
      </c>
      <c r="D2227">
        <v>0</v>
      </c>
      <c r="E2227" s="5" t="s">
        <v>79</v>
      </c>
      <c r="F2227" s="5" t="s">
        <v>17</v>
      </c>
      <c r="G2227">
        <v>3</v>
      </c>
    </row>
    <row r="2228" spans="1:7" x14ac:dyDescent="0.35">
      <c r="A2228">
        <v>29215</v>
      </c>
      <c r="B2228">
        <v>0</v>
      </c>
      <c r="C2228" s="5" t="s">
        <v>36</v>
      </c>
      <c r="D2228">
        <v>2009</v>
      </c>
      <c r="E2228" s="5" t="s">
        <v>82</v>
      </c>
      <c r="F2228" s="5" t="s">
        <v>17</v>
      </c>
      <c r="G2228">
        <v>38</v>
      </c>
    </row>
    <row r="2229" spans="1:7" x14ac:dyDescent="0.35">
      <c r="A2229">
        <v>3504</v>
      </c>
      <c r="B2229">
        <v>0</v>
      </c>
      <c r="C2229" s="5" t="s">
        <v>47</v>
      </c>
      <c r="D2229">
        <v>1901</v>
      </c>
      <c r="E2229" s="5" t="s">
        <v>80</v>
      </c>
      <c r="F2229" s="5" t="s">
        <v>17</v>
      </c>
      <c r="G2229">
        <v>17</v>
      </c>
    </row>
    <row r="2230" spans="1:7" x14ac:dyDescent="0.35">
      <c r="A2230">
        <v>65114</v>
      </c>
      <c r="B2230">
        <v>2</v>
      </c>
      <c r="C2230" s="5" t="s">
        <v>26</v>
      </c>
      <c r="D2230">
        <v>0</v>
      </c>
      <c r="E2230" s="5" t="s">
        <v>79</v>
      </c>
      <c r="F2230" s="5" t="s">
        <v>14</v>
      </c>
      <c r="G2230">
        <v>3</v>
      </c>
    </row>
    <row r="2231" spans="1:7" x14ac:dyDescent="0.35">
      <c r="A2231">
        <v>105823</v>
      </c>
      <c r="B2231">
        <v>1</v>
      </c>
      <c r="C2231" s="5" t="s">
        <v>25</v>
      </c>
      <c r="D2231">
        <v>4601</v>
      </c>
      <c r="E2231" s="5" t="s">
        <v>83</v>
      </c>
      <c r="F2231" s="5" t="s">
        <v>14</v>
      </c>
      <c r="G2231">
        <v>25</v>
      </c>
    </row>
    <row r="2232" spans="1:7" x14ac:dyDescent="0.35">
      <c r="A2232">
        <v>26410</v>
      </c>
      <c r="B2232">
        <v>28</v>
      </c>
      <c r="C2232" s="5" t="s">
        <v>36</v>
      </c>
      <c r="D2232">
        <v>2201</v>
      </c>
      <c r="E2232" s="5" t="s">
        <v>83</v>
      </c>
      <c r="F2232" s="5" t="s">
        <v>17</v>
      </c>
      <c r="G2232">
        <v>28</v>
      </c>
    </row>
    <row r="2233" spans="1:7" x14ac:dyDescent="0.35">
      <c r="A2233">
        <v>24080</v>
      </c>
      <c r="B2233">
        <v>0</v>
      </c>
      <c r="C2233" s="5" t="s">
        <v>43</v>
      </c>
      <c r="D2233">
        <v>4501</v>
      </c>
      <c r="E2233" s="5" t="s">
        <v>81</v>
      </c>
      <c r="F2233" s="5" t="s">
        <v>14</v>
      </c>
      <c r="G2233">
        <v>25</v>
      </c>
    </row>
    <row r="2234" spans="1:7" x14ac:dyDescent="0.35">
      <c r="A2234">
        <v>159696</v>
      </c>
      <c r="B2234">
        <v>28</v>
      </c>
      <c r="C2234" s="5" t="s">
        <v>21</v>
      </c>
      <c r="D2234">
        <v>5401</v>
      </c>
      <c r="E2234" s="5" t="s">
        <v>81</v>
      </c>
      <c r="F2234" s="5" t="s">
        <v>17</v>
      </c>
      <c r="G2234">
        <v>15</v>
      </c>
    </row>
    <row r="2235" spans="1:7" x14ac:dyDescent="0.35">
      <c r="A2235">
        <v>24644</v>
      </c>
      <c r="B2235">
        <v>28</v>
      </c>
      <c r="C2235" s="5" t="s">
        <v>35</v>
      </c>
      <c r="D2235">
        <v>5201</v>
      </c>
      <c r="E2235" s="5" t="s">
        <v>79</v>
      </c>
      <c r="F2235" s="5" t="s">
        <v>17</v>
      </c>
      <c r="G2235">
        <v>25</v>
      </c>
    </row>
    <row r="2236" spans="1:7" x14ac:dyDescent="0.35">
      <c r="A2236">
        <v>6457</v>
      </c>
      <c r="B2236">
        <v>2</v>
      </c>
      <c r="C2236" s="5" t="s">
        <v>21</v>
      </c>
      <c r="D2236">
        <v>0</v>
      </c>
      <c r="E2236" s="5" t="s">
        <v>79</v>
      </c>
      <c r="F2236" s="5" t="s">
        <v>17</v>
      </c>
      <c r="G2236">
        <v>15</v>
      </c>
    </row>
    <row r="2237" spans="1:7" x14ac:dyDescent="0.35">
      <c r="A2237">
        <v>168317</v>
      </c>
      <c r="B2237">
        <v>0</v>
      </c>
      <c r="C2237" s="5" t="s">
        <v>21</v>
      </c>
      <c r="D2237">
        <v>0</v>
      </c>
      <c r="E2237" s="5" t="s">
        <v>85</v>
      </c>
      <c r="F2237" s="5" t="s">
        <v>27</v>
      </c>
      <c r="G2237">
        <v>13</v>
      </c>
    </row>
    <row r="2238" spans="1:7" x14ac:dyDescent="0.35">
      <c r="A2238">
        <v>159553</v>
      </c>
      <c r="B2238">
        <v>1</v>
      </c>
      <c r="C2238" s="5" t="s">
        <v>37</v>
      </c>
      <c r="D2238">
        <v>3601</v>
      </c>
      <c r="E2238" s="5" t="s">
        <v>81</v>
      </c>
      <c r="F2238" s="5" t="s">
        <v>14</v>
      </c>
      <c r="G2238">
        <v>7</v>
      </c>
    </row>
    <row r="2239" spans="1:7" x14ac:dyDescent="0.35">
      <c r="A2239">
        <v>56049</v>
      </c>
      <c r="B2239">
        <v>0</v>
      </c>
      <c r="C2239" s="5" t="s">
        <v>56</v>
      </c>
      <c r="D2239">
        <v>2709</v>
      </c>
      <c r="E2239" s="5" t="s">
        <v>81</v>
      </c>
      <c r="F2239" s="5" t="s">
        <v>17</v>
      </c>
      <c r="G2239">
        <v>14</v>
      </c>
    </row>
    <row r="2240" spans="1:7" x14ac:dyDescent="0.35">
      <c r="A2240">
        <v>63865</v>
      </c>
      <c r="B2240">
        <v>1</v>
      </c>
      <c r="C2240" s="5" t="s">
        <v>30</v>
      </c>
      <c r="D2240">
        <v>3506</v>
      </c>
      <c r="E2240" s="5" t="s">
        <v>79</v>
      </c>
      <c r="F2240" s="5" t="s">
        <v>14</v>
      </c>
      <c r="G2240">
        <v>12</v>
      </c>
    </row>
    <row r="2241" spans="1:7" x14ac:dyDescent="0.35">
      <c r="A2241">
        <v>62084</v>
      </c>
      <c r="B2241">
        <v>1</v>
      </c>
      <c r="C2241" s="5" t="s">
        <v>30</v>
      </c>
      <c r="D2241">
        <v>0</v>
      </c>
      <c r="E2241" s="5" t="s">
        <v>81</v>
      </c>
      <c r="F2241" s="5" t="s">
        <v>14</v>
      </c>
      <c r="G2241">
        <v>20</v>
      </c>
    </row>
    <row r="2242" spans="1:7" x14ac:dyDescent="0.35">
      <c r="A2242">
        <v>165719</v>
      </c>
      <c r="B2242">
        <v>0</v>
      </c>
      <c r="C2242" s="5" t="s">
        <v>21</v>
      </c>
      <c r="D2242">
        <v>4901</v>
      </c>
      <c r="E2242" s="5" t="s">
        <v>82</v>
      </c>
      <c r="F2242" s="5" t="s">
        <v>17</v>
      </c>
      <c r="G2242">
        <v>4</v>
      </c>
    </row>
    <row r="2243" spans="1:7" x14ac:dyDescent="0.35">
      <c r="A2243">
        <v>171950</v>
      </c>
      <c r="B2243">
        <v>0</v>
      </c>
      <c r="C2243" s="5" t="s">
        <v>21</v>
      </c>
      <c r="D2243">
        <v>3001</v>
      </c>
      <c r="E2243" s="5" t="s">
        <v>80</v>
      </c>
      <c r="F2243" s="5" t="s">
        <v>17</v>
      </c>
      <c r="G2243">
        <v>10</v>
      </c>
    </row>
    <row r="2244" spans="1:7" x14ac:dyDescent="0.35">
      <c r="A2244">
        <v>118367</v>
      </c>
      <c r="B2244">
        <v>1</v>
      </c>
      <c r="C2244" s="5" t="s">
        <v>20</v>
      </c>
      <c r="D2244">
        <v>3701</v>
      </c>
      <c r="E2244" s="5" t="s">
        <v>81</v>
      </c>
      <c r="F2244" s="5" t="s">
        <v>86</v>
      </c>
      <c r="G2244">
        <v>19</v>
      </c>
    </row>
    <row r="2245" spans="1:7" x14ac:dyDescent="0.35">
      <c r="A2245">
        <v>41187</v>
      </c>
      <c r="B2245">
        <v>0</v>
      </c>
      <c r="C2245" s="5" t="s">
        <v>13</v>
      </c>
      <c r="D2245">
        <v>0</v>
      </c>
      <c r="E2245" s="5" t="s">
        <v>92</v>
      </c>
      <c r="F2245" s="5" t="s">
        <v>14</v>
      </c>
      <c r="G2245">
        <v>15</v>
      </c>
    </row>
    <row r="2246" spans="1:7" x14ac:dyDescent="0.35">
      <c r="A2246">
        <v>132304</v>
      </c>
      <c r="B2246">
        <v>0</v>
      </c>
      <c r="C2246" s="5" t="s">
        <v>45</v>
      </c>
      <c r="D2246">
        <v>2001</v>
      </c>
      <c r="E2246" s="5" t="s">
        <v>84</v>
      </c>
      <c r="F2246" s="5" t="s">
        <v>17</v>
      </c>
      <c r="G2246">
        <v>10</v>
      </c>
    </row>
    <row r="2247" spans="1:7" x14ac:dyDescent="0.35">
      <c r="A2247">
        <v>138944</v>
      </c>
      <c r="B2247">
        <v>0</v>
      </c>
      <c r="C2247" s="5" t="s">
        <v>51</v>
      </c>
      <c r="D2247">
        <v>3201</v>
      </c>
      <c r="E2247" s="5" t="s">
        <v>82</v>
      </c>
      <c r="F2247" s="5" t="s">
        <v>17</v>
      </c>
      <c r="G2247">
        <v>11</v>
      </c>
    </row>
    <row r="2248" spans="1:7" x14ac:dyDescent="0.35">
      <c r="A2248">
        <v>161204</v>
      </c>
      <c r="B2248">
        <v>1</v>
      </c>
      <c r="C2248" s="5" t="s">
        <v>21</v>
      </c>
      <c r="D2248">
        <v>0</v>
      </c>
      <c r="E2248" s="5" t="s">
        <v>81</v>
      </c>
      <c r="F2248" s="5" t="s">
        <v>14</v>
      </c>
      <c r="G2248">
        <v>20</v>
      </c>
    </row>
    <row r="2249" spans="1:7" x14ac:dyDescent="0.35">
      <c r="A2249">
        <v>186579</v>
      </c>
      <c r="B2249">
        <v>0</v>
      </c>
      <c r="C2249" s="5" t="s">
        <v>21</v>
      </c>
      <c r="D2249">
        <v>0</v>
      </c>
      <c r="E2249" s="5" t="s">
        <v>79</v>
      </c>
      <c r="F2249" s="5" t="s">
        <v>17</v>
      </c>
      <c r="G2249">
        <v>5</v>
      </c>
    </row>
    <row r="2250" spans="1:7" x14ac:dyDescent="0.35">
      <c r="A2250">
        <v>11978</v>
      </c>
      <c r="B2250">
        <v>1</v>
      </c>
      <c r="C2250" s="5" t="s">
        <v>45</v>
      </c>
      <c r="D2250">
        <v>4401</v>
      </c>
      <c r="E2250" s="5" t="s">
        <v>90</v>
      </c>
      <c r="F2250" s="5" t="s">
        <v>14</v>
      </c>
      <c r="G2250">
        <v>15</v>
      </c>
    </row>
    <row r="2251" spans="1:7" x14ac:dyDescent="0.35">
      <c r="A2251">
        <v>117711</v>
      </c>
      <c r="B2251">
        <v>0</v>
      </c>
      <c r="C2251" s="5" t="s">
        <v>20</v>
      </c>
      <c r="D2251">
        <v>3004</v>
      </c>
      <c r="E2251" s="5" t="s">
        <v>78</v>
      </c>
      <c r="F2251" s="5" t="s">
        <v>17</v>
      </c>
      <c r="G2251">
        <v>16</v>
      </c>
    </row>
    <row r="2252" spans="1:7" x14ac:dyDescent="0.35">
      <c r="A2252">
        <v>38924</v>
      </c>
      <c r="B2252">
        <v>1</v>
      </c>
      <c r="C2252" s="5" t="s">
        <v>13</v>
      </c>
      <c r="D2252">
        <v>3201</v>
      </c>
      <c r="E2252" s="5" t="s">
        <v>91</v>
      </c>
      <c r="F2252" s="5" t="s">
        <v>14</v>
      </c>
      <c r="G2252">
        <v>20</v>
      </c>
    </row>
    <row r="2253" spans="1:7" x14ac:dyDescent="0.35">
      <c r="A2253">
        <v>47448</v>
      </c>
      <c r="B2253">
        <v>1</v>
      </c>
      <c r="C2253" s="5" t="s">
        <v>40</v>
      </c>
      <c r="D2253">
        <v>0</v>
      </c>
      <c r="E2253" s="5" t="s">
        <v>80</v>
      </c>
      <c r="F2253" s="5" t="s">
        <v>14</v>
      </c>
      <c r="G2253">
        <v>5</v>
      </c>
    </row>
    <row r="2254" spans="1:7" x14ac:dyDescent="0.35">
      <c r="A2254">
        <v>182479</v>
      </c>
      <c r="B2254">
        <v>28</v>
      </c>
      <c r="C2254" s="5" t="s">
        <v>37</v>
      </c>
      <c r="D2254">
        <v>0</v>
      </c>
      <c r="E2254" s="5" t="s">
        <v>79</v>
      </c>
      <c r="F2254" s="5" t="s">
        <v>17</v>
      </c>
      <c r="G2254">
        <v>15</v>
      </c>
    </row>
    <row r="2255" spans="1:7" x14ac:dyDescent="0.35">
      <c r="A2255">
        <v>96075</v>
      </c>
      <c r="B2255">
        <v>1</v>
      </c>
      <c r="C2255" s="5" t="s">
        <v>16</v>
      </c>
      <c r="D2255">
        <v>2402</v>
      </c>
      <c r="E2255" s="5" t="s">
        <v>79</v>
      </c>
      <c r="F2255" s="5" t="s">
        <v>14</v>
      </c>
      <c r="G2255">
        <v>5</v>
      </c>
    </row>
    <row r="2256" spans="1:7" x14ac:dyDescent="0.35">
      <c r="A2256">
        <v>138997</v>
      </c>
      <c r="B2256">
        <v>1</v>
      </c>
      <c r="C2256" s="5" t="s">
        <v>51</v>
      </c>
      <c r="D2256">
        <v>2506</v>
      </c>
      <c r="E2256" s="5" t="s">
        <v>94</v>
      </c>
      <c r="F2256" s="5" t="s">
        <v>14</v>
      </c>
      <c r="G2256">
        <v>12</v>
      </c>
    </row>
    <row r="2257" spans="1:7" x14ac:dyDescent="0.35">
      <c r="A2257">
        <v>108989</v>
      </c>
      <c r="B2257">
        <v>0</v>
      </c>
      <c r="C2257" s="5" t="s">
        <v>46</v>
      </c>
      <c r="D2257">
        <v>5701</v>
      </c>
      <c r="E2257" s="5" t="s">
        <v>82</v>
      </c>
      <c r="F2257" s="5" t="s">
        <v>17</v>
      </c>
      <c r="G2257">
        <v>15</v>
      </c>
    </row>
    <row r="2258" spans="1:7" x14ac:dyDescent="0.35">
      <c r="A2258">
        <v>87016</v>
      </c>
      <c r="B2258">
        <v>2</v>
      </c>
      <c r="C2258" s="5" t="s">
        <v>31</v>
      </c>
      <c r="D2258">
        <v>0</v>
      </c>
      <c r="E2258" s="5" t="s">
        <v>81</v>
      </c>
      <c r="F2258" s="5" t="s">
        <v>17</v>
      </c>
      <c r="G2258">
        <v>23</v>
      </c>
    </row>
    <row r="2259" spans="1:7" x14ac:dyDescent="0.35">
      <c r="A2259">
        <v>12666</v>
      </c>
      <c r="B2259">
        <v>0</v>
      </c>
      <c r="C2259" s="5" t="s">
        <v>51</v>
      </c>
      <c r="D2259">
        <v>3201</v>
      </c>
      <c r="E2259" s="5" t="s">
        <v>84</v>
      </c>
      <c r="F2259" s="5" t="s">
        <v>14</v>
      </c>
      <c r="G2259">
        <v>75</v>
      </c>
    </row>
    <row r="2260" spans="1:7" x14ac:dyDescent="0.35">
      <c r="A2260">
        <v>34302</v>
      </c>
      <c r="B2260">
        <v>0</v>
      </c>
      <c r="C2260" s="5" t="s">
        <v>13</v>
      </c>
      <c r="D2260">
        <v>2403</v>
      </c>
      <c r="E2260" s="5" t="s">
        <v>79</v>
      </c>
      <c r="F2260" s="5" t="s">
        <v>17</v>
      </c>
      <c r="G2260">
        <v>14</v>
      </c>
    </row>
    <row r="2261" spans="1:7" x14ac:dyDescent="0.35">
      <c r="A2261">
        <v>3018</v>
      </c>
      <c r="B2261">
        <v>76</v>
      </c>
      <c r="C2261" s="5" t="s">
        <v>21</v>
      </c>
      <c r="D2261">
        <v>0</v>
      </c>
      <c r="E2261" s="5" t="s">
        <v>86</v>
      </c>
      <c r="F2261" s="5" t="s">
        <v>17</v>
      </c>
      <c r="G2261">
        <v>25</v>
      </c>
    </row>
    <row r="2262" spans="1:7" x14ac:dyDescent="0.35">
      <c r="A2262">
        <v>145231</v>
      </c>
      <c r="B2262">
        <v>0</v>
      </c>
      <c r="C2262" s="5" t="s">
        <v>21</v>
      </c>
      <c r="D2262">
        <v>0</v>
      </c>
      <c r="E2262" s="5" t="s">
        <v>93</v>
      </c>
      <c r="F2262" s="5" t="s">
        <v>86</v>
      </c>
      <c r="G2262">
        <v>6</v>
      </c>
    </row>
    <row r="2263" spans="1:7" x14ac:dyDescent="0.35">
      <c r="A2263">
        <v>152418</v>
      </c>
      <c r="B2263">
        <v>1</v>
      </c>
      <c r="C2263" s="5" t="s">
        <v>21</v>
      </c>
      <c r="D2263">
        <v>3101</v>
      </c>
      <c r="E2263" s="5" t="s">
        <v>81</v>
      </c>
      <c r="F2263" s="5" t="s">
        <v>14</v>
      </c>
      <c r="G2263">
        <v>12</v>
      </c>
    </row>
    <row r="2264" spans="1:7" x14ac:dyDescent="0.35">
      <c r="A2264">
        <v>65061</v>
      </c>
      <c r="B2264">
        <v>0</v>
      </c>
      <c r="C2264" s="5" t="s">
        <v>26</v>
      </c>
      <c r="D2264">
        <v>5211</v>
      </c>
      <c r="E2264" s="5" t="s">
        <v>83</v>
      </c>
      <c r="F2264" s="5" t="s">
        <v>14</v>
      </c>
      <c r="G2264">
        <v>25</v>
      </c>
    </row>
    <row r="2265" spans="1:7" x14ac:dyDescent="0.35">
      <c r="A2265">
        <v>72220</v>
      </c>
      <c r="B2265">
        <v>2</v>
      </c>
      <c r="C2265" s="5" t="s">
        <v>26</v>
      </c>
      <c r="D2265">
        <v>2307</v>
      </c>
      <c r="E2265" s="5" t="s">
        <v>82</v>
      </c>
      <c r="F2265" s="5" t="s">
        <v>17</v>
      </c>
      <c r="G2265">
        <v>15</v>
      </c>
    </row>
    <row r="2266" spans="1:7" x14ac:dyDescent="0.35">
      <c r="A2266">
        <v>112288</v>
      </c>
      <c r="B2266">
        <v>0</v>
      </c>
      <c r="C2266" s="5" t="s">
        <v>21</v>
      </c>
      <c r="D2266">
        <v>3001</v>
      </c>
      <c r="E2266" s="5" t="s">
        <v>89</v>
      </c>
      <c r="F2266" s="5" t="s">
        <v>17</v>
      </c>
      <c r="G2266">
        <v>12</v>
      </c>
    </row>
    <row r="2267" spans="1:7" x14ac:dyDescent="0.35">
      <c r="A2267">
        <v>109539</v>
      </c>
      <c r="B2267">
        <v>2</v>
      </c>
      <c r="C2267" s="5" t="s">
        <v>46</v>
      </c>
      <c r="D2267">
        <v>5212</v>
      </c>
      <c r="E2267" s="5" t="s">
        <v>79</v>
      </c>
      <c r="F2267" s="5" t="s">
        <v>17</v>
      </c>
      <c r="G2267">
        <v>20</v>
      </c>
    </row>
    <row r="2268" spans="1:7" x14ac:dyDescent="0.35">
      <c r="A2268">
        <v>7836</v>
      </c>
      <c r="B2268">
        <v>1002</v>
      </c>
      <c r="C2268" s="5" t="s">
        <v>21</v>
      </c>
      <c r="D2268">
        <v>2201</v>
      </c>
      <c r="E2268" s="5" t="s">
        <v>84</v>
      </c>
      <c r="F2268" s="5" t="s">
        <v>14</v>
      </c>
      <c r="G2268">
        <v>25</v>
      </c>
    </row>
    <row r="2269" spans="1:7" x14ac:dyDescent="0.35">
      <c r="A2269">
        <v>41448</v>
      </c>
      <c r="B2269">
        <v>0</v>
      </c>
      <c r="C2269" s="5" t="s">
        <v>13</v>
      </c>
      <c r="D2269">
        <v>4206</v>
      </c>
      <c r="E2269" s="5" t="s">
        <v>85</v>
      </c>
      <c r="F2269" s="5" t="s">
        <v>17</v>
      </c>
      <c r="G2269">
        <v>15</v>
      </c>
    </row>
    <row r="2270" spans="1:7" x14ac:dyDescent="0.35">
      <c r="A2270">
        <v>110822</v>
      </c>
      <c r="B2270">
        <v>2</v>
      </c>
      <c r="C2270" s="5" t="s">
        <v>29</v>
      </c>
      <c r="D2270">
        <v>0</v>
      </c>
      <c r="E2270" s="5" t="s">
        <v>82</v>
      </c>
      <c r="F2270" s="5" t="s">
        <v>17</v>
      </c>
      <c r="G2270">
        <v>20</v>
      </c>
    </row>
    <row r="2271" spans="1:7" x14ac:dyDescent="0.35">
      <c r="A2271">
        <v>66163</v>
      </c>
      <c r="B2271">
        <v>2</v>
      </c>
      <c r="C2271" s="5" t="s">
        <v>26</v>
      </c>
      <c r="D2271">
        <v>0</v>
      </c>
      <c r="E2271" s="5" t="s">
        <v>83</v>
      </c>
      <c r="F2271" s="5" t="s">
        <v>17</v>
      </c>
      <c r="G2271">
        <v>10</v>
      </c>
    </row>
    <row r="2272" spans="1:7" x14ac:dyDescent="0.35">
      <c r="A2272">
        <v>6183</v>
      </c>
      <c r="B2272">
        <v>1</v>
      </c>
      <c r="C2272" s="5" t="s">
        <v>37</v>
      </c>
      <c r="D2272">
        <v>2409</v>
      </c>
      <c r="E2272" s="5" t="s">
        <v>86</v>
      </c>
      <c r="F2272" s="5" t="s">
        <v>14</v>
      </c>
      <c r="G2272">
        <v>100</v>
      </c>
    </row>
    <row r="2273" spans="1:7" x14ac:dyDescent="0.35">
      <c r="A2273">
        <v>124787</v>
      </c>
      <c r="B2273">
        <v>0</v>
      </c>
      <c r="C2273" s="5" t="s">
        <v>20</v>
      </c>
      <c r="D2273">
        <v>0</v>
      </c>
      <c r="E2273" s="5" t="s">
        <v>80</v>
      </c>
      <c r="F2273" s="5" t="s">
        <v>17</v>
      </c>
      <c r="G2273">
        <v>20</v>
      </c>
    </row>
    <row r="2274" spans="1:7" x14ac:dyDescent="0.35">
      <c r="A2274">
        <v>109644</v>
      </c>
      <c r="B2274">
        <v>1002</v>
      </c>
      <c r="C2274" s="5" t="s">
        <v>13</v>
      </c>
      <c r="D2274">
        <v>2509</v>
      </c>
      <c r="E2274" s="5" t="s">
        <v>79</v>
      </c>
      <c r="F2274" s="5" t="s">
        <v>41</v>
      </c>
      <c r="G2274">
        <v>5</v>
      </c>
    </row>
    <row r="2275" spans="1:7" x14ac:dyDescent="0.35">
      <c r="A2275">
        <v>105650</v>
      </c>
      <c r="B2275">
        <v>0</v>
      </c>
      <c r="C2275" s="5" t="s">
        <v>25</v>
      </c>
      <c r="D2275">
        <v>1901</v>
      </c>
      <c r="E2275" s="5" t="s">
        <v>79</v>
      </c>
      <c r="F2275" s="5" t="s">
        <v>17</v>
      </c>
      <c r="G2275">
        <v>10</v>
      </c>
    </row>
    <row r="2276" spans="1:7" x14ac:dyDescent="0.35">
      <c r="A2276">
        <v>45982</v>
      </c>
      <c r="B2276">
        <v>0</v>
      </c>
      <c r="C2276" s="5" t="s">
        <v>13</v>
      </c>
      <c r="D2276">
        <v>0</v>
      </c>
      <c r="E2276" s="5" t="s">
        <v>79</v>
      </c>
      <c r="F2276" s="5" t="s">
        <v>17</v>
      </c>
      <c r="G2276">
        <v>15</v>
      </c>
    </row>
    <row r="2277" spans="1:7" x14ac:dyDescent="0.35">
      <c r="A2277">
        <v>14437</v>
      </c>
      <c r="B2277">
        <v>1</v>
      </c>
      <c r="C2277" s="5" t="s">
        <v>45</v>
      </c>
      <c r="D2277">
        <v>2705</v>
      </c>
      <c r="E2277" s="5" t="s">
        <v>80</v>
      </c>
      <c r="F2277" s="5" t="s">
        <v>14</v>
      </c>
      <c r="G2277">
        <v>20</v>
      </c>
    </row>
    <row r="2278" spans="1:7" x14ac:dyDescent="0.35">
      <c r="A2278">
        <v>10399</v>
      </c>
      <c r="B2278">
        <v>2</v>
      </c>
      <c r="C2278" s="5" t="s">
        <v>55</v>
      </c>
      <c r="D2278">
        <v>0</v>
      </c>
      <c r="E2278" s="5" t="s">
        <v>81</v>
      </c>
      <c r="F2278" s="5" t="s">
        <v>17</v>
      </c>
      <c r="G2278">
        <v>10</v>
      </c>
    </row>
    <row r="2279" spans="1:7" x14ac:dyDescent="0.35">
      <c r="A2279">
        <v>151828</v>
      </c>
      <c r="B2279">
        <v>1</v>
      </c>
      <c r="C2279" s="5" t="s">
        <v>21</v>
      </c>
      <c r="D2279">
        <v>2701</v>
      </c>
      <c r="E2279" s="5" t="s">
        <v>92</v>
      </c>
      <c r="F2279" s="5" t="s">
        <v>14</v>
      </c>
      <c r="G2279">
        <v>10</v>
      </c>
    </row>
    <row r="2280" spans="1:7" x14ac:dyDescent="0.35">
      <c r="A2280">
        <v>162606</v>
      </c>
      <c r="B2280">
        <v>0</v>
      </c>
      <c r="C2280" s="5" t="s">
        <v>21</v>
      </c>
      <c r="D2280">
        <v>4301</v>
      </c>
      <c r="E2280" s="5" t="s">
        <v>80</v>
      </c>
      <c r="F2280" s="5" t="s">
        <v>17</v>
      </c>
      <c r="G2280">
        <v>9</v>
      </c>
    </row>
    <row r="2281" spans="1:7" x14ac:dyDescent="0.35">
      <c r="A2281">
        <v>141809</v>
      </c>
      <c r="B2281">
        <v>2</v>
      </c>
      <c r="C2281" s="5" t="s">
        <v>21</v>
      </c>
      <c r="D2281">
        <v>0</v>
      </c>
      <c r="E2281" s="5" t="s">
        <v>94</v>
      </c>
      <c r="F2281" s="5" t="s">
        <v>17</v>
      </c>
      <c r="G2281">
        <v>8</v>
      </c>
    </row>
    <row r="2282" spans="1:7" x14ac:dyDescent="0.35">
      <c r="A2282">
        <v>178884</v>
      </c>
      <c r="B2282">
        <v>2</v>
      </c>
      <c r="C2282" s="5" t="s">
        <v>37</v>
      </c>
      <c r="D2282">
        <v>5201</v>
      </c>
      <c r="E2282" s="5" t="s">
        <v>80</v>
      </c>
      <c r="F2282" s="5" t="s">
        <v>14</v>
      </c>
      <c r="G2282">
        <v>15</v>
      </c>
    </row>
    <row r="2283" spans="1:7" x14ac:dyDescent="0.35">
      <c r="A2283">
        <v>178098</v>
      </c>
      <c r="B2283">
        <v>2</v>
      </c>
      <c r="C2283" s="5" t="s">
        <v>47</v>
      </c>
      <c r="D2283">
        <v>3103</v>
      </c>
      <c r="E2283" s="5" t="s">
        <v>81</v>
      </c>
      <c r="F2283" s="5" t="s">
        <v>17</v>
      </c>
      <c r="G2283">
        <v>6</v>
      </c>
    </row>
    <row r="2284" spans="1:7" x14ac:dyDescent="0.35">
      <c r="A2284">
        <v>116082</v>
      </c>
      <c r="B2284">
        <v>1</v>
      </c>
      <c r="C2284" s="5" t="s">
        <v>20</v>
      </c>
      <c r="D2284">
        <v>3301</v>
      </c>
      <c r="E2284" s="5" t="s">
        <v>78</v>
      </c>
      <c r="F2284" s="5" t="s">
        <v>14</v>
      </c>
      <c r="G2284">
        <v>10</v>
      </c>
    </row>
    <row r="2285" spans="1:7" x14ac:dyDescent="0.35">
      <c r="A2285">
        <v>190769</v>
      </c>
      <c r="B2285">
        <v>0</v>
      </c>
      <c r="C2285" s="5" t="s">
        <v>29</v>
      </c>
      <c r="D2285">
        <v>0</v>
      </c>
      <c r="E2285" s="5" t="s">
        <v>80</v>
      </c>
      <c r="F2285" s="5" t="s">
        <v>14</v>
      </c>
      <c r="G2285">
        <v>10</v>
      </c>
    </row>
    <row r="2286" spans="1:7" x14ac:dyDescent="0.35">
      <c r="A2286">
        <v>177087</v>
      </c>
      <c r="B2286">
        <v>0</v>
      </c>
      <c r="C2286" s="5" t="s">
        <v>47</v>
      </c>
      <c r="D2286">
        <v>6401</v>
      </c>
      <c r="E2286" s="5" t="s">
        <v>78</v>
      </c>
      <c r="F2286" s="5" t="s">
        <v>14</v>
      </c>
      <c r="G2286">
        <v>12</v>
      </c>
    </row>
    <row r="2287" spans="1:7" x14ac:dyDescent="0.35">
      <c r="A2287">
        <v>101654</v>
      </c>
      <c r="B2287">
        <v>0</v>
      </c>
      <c r="C2287" s="5" t="s">
        <v>33</v>
      </c>
      <c r="D2287">
        <v>4201</v>
      </c>
      <c r="E2287" s="5" t="s">
        <v>78</v>
      </c>
      <c r="F2287" s="5" t="s">
        <v>17</v>
      </c>
      <c r="G2287">
        <v>18</v>
      </c>
    </row>
    <row r="2288" spans="1:7" x14ac:dyDescent="0.35">
      <c r="A2288">
        <v>62760</v>
      </c>
      <c r="B2288">
        <v>0</v>
      </c>
      <c r="C2288" s="5" t="s">
        <v>30</v>
      </c>
      <c r="D2288">
        <v>0</v>
      </c>
      <c r="E2288" s="5" t="s">
        <v>81</v>
      </c>
      <c r="F2288" s="5" t="s">
        <v>14</v>
      </c>
      <c r="G2288">
        <v>5</v>
      </c>
    </row>
    <row r="2289" spans="1:7" x14ac:dyDescent="0.35">
      <c r="A2289">
        <v>135406</v>
      </c>
      <c r="B2289">
        <v>1</v>
      </c>
      <c r="C2289" s="5" t="s">
        <v>51</v>
      </c>
      <c r="D2289">
        <v>4106</v>
      </c>
      <c r="E2289" s="5" t="s">
        <v>80</v>
      </c>
      <c r="F2289" s="5" t="s">
        <v>14</v>
      </c>
      <c r="G2289">
        <v>25</v>
      </c>
    </row>
    <row r="2290" spans="1:7" x14ac:dyDescent="0.35">
      <c r="A2290">
        <v>142409</v>
      </c>
      <c r="B2290">
        <v>1</v>
      </c>
      <c r="C2290" s="5" t="s">
        <v>23</v>
      </c>
      <c r="D2290">
        <v>2201</v>
      </c>
      <c r="E2290" s="5" t="s">
        <v>81</v>
      </c>
      <c r="F2290" s="5" t="s">
        <v>14</v>
      </c>
      <c r="G2290">
        <v>10</v>
      </c>
    </row>
    <row r="2291" spans="1:7" x14ac:dyDescent="0.35">
      <c r="A2291">
        <v>79627</v>
      </c>
      <c r="B2291">
        <v>1</v>
      </c>
      <c r="C2291" s="5" t="s">
        <v>32</v>
      </c>
      <c r="D2291">
        <v>2408</v>
      </c>
      <c r="E2291" s="5" t="s">
        <v>83</v>
      </c>
      <c r="F2291" s="5" t="s">
        <v>14</v>
      </c>
      <c r="G2291">
        <v>10</v>
      </c>
    </row>
    <row r="2292" spans="1:7" x14ac:dyDescent="0.35">
      <c r="A2292">
        <v>27310</v>
      </c>
      <c r="B2292">
        <v>1</v>
      </c>
      <c r="C2292" s="5" t="s">
        <v>36</v>
      </c>
      <c r="D2292">
        <v>2101</v>
      </c>
      <c r="E2292" s="5" t="s">
        <v>79</v>
      </c>
      <c r="F2292" s="5" t="s">
        <v>14</v>
      </c>
      <c r="G2292">
        <v>15</v>
      </c>
    </row>
    <row r="2293" spans="1:7" x14ac:dyDescent="0.35">
      <c r="A2293">
        <v>122131</v>
      </c>
      <c r="B2293">
        <v>0</v>
      </c>
      <c r="C2293" s="5" t="s">
        <v>20</v>
      </c>
      <c r="D2293">
        <v>4601</v>
      </c>
      <c r="E2293" s="5" t="s">
        <v>83</v>
      </c>
      <c r="F2293" s="5" t="s">
        <v>17</v>
      </c>
      <c r="G2293">
        <v>15</v>
      </c>
    </row>
    <row r="2294" spans="1:7" x14ac:dyDescent="0.35">
      <c r="A2294">
        <v>131169</v>
      </c>
      <c r="B2294">
        <v>2</v>
      </c>
      <c r="C2294" s="5" t="s">
        <v>45</v>
      </c>
      <c r="D2294">
        <v>2612</v>
      </c>
      <c r="E2294" s="5" t="s">
        <v>78</v>
      </c>
      <c r="F2294" s="5" t="s">
        <v>17</v>
      </c>
      <c r="G2294">
        <v>25</v>
      </c>
    </row>
    <row r="2295" spans="1:7" x14ac:dyDescent="0.35">
      <c r="A2295">
        <v>78009</v>
      </c>
      <c r="B2295">
        <v>0</v>
      </c>
      <c r="C2295" s="5" t="s">
        <v>32</v>
      </c>
      <c r="D2295">
        <v>0</v>
      </c>
      <c r="E2295" s="5" t="s">
        <v>79</v>
      </c>
      <c r="F2295" s="5" t="s">
        <v>17</v>
      </c>
      <c r="G2295">
        <v>20</v>
      </c>
    </row>
    <row r="2296" spans="1:7" x14ac:dyDescent="0.35">
      <c r="A2296">
        <v>86445</v>
      </c>
      <c r="B2296">
        <v>0</v>
      </c>
      <c r="C2296" s="5" t="s">
        <v>42</v>
      </c>
      <c r="D2296">
        <v>4506</v>
      </c>
      <c r="E2296" s="5" t="s">
        <v>82</v>
      </c>
      <c r="F2296" s="5" t="s">
        <v>17</v>
      </c>
      <c r="G2296">
        <v>15</v>
      </c>
    </row>
    <row r="2297" spans="1:7" x14ac:dyDescent="0.35">
      <c r="A2297">
        <v>162343</v>
      </c>
      <c r="B2297">
        <v>0</v>
      </c>
      <c r="C2297" s="5" t="s">
        <v>21</v>
      </c>
      <c r="D2297">
        <v>4701</v>
      </c>
      <c r="E2297" s="5" t="s">
        <v>83</v>
      </c>
      <c r="F2297" s="5" t="s">
        <v>14</v>
      </c>
      <c r="G2297">
        <v>20</v>
      </c>
    </row>
    <row r="2298" spans="1:7" x14ac:dyDescent="0.35">
      <c r="A2298">
        <v>35316</v>
      </c>
      <c r="B2298">
        <v>28</v>
      </c>
      <c r="C2298" s="5" t="s">
        <v>13</v>
      </c>
      <c r="D2298">
        <v>2403</v>
      </c>
      <c r="E2298" s="5" t="s">
        <v>78</v>
      </c>
      <c r="F2298" s="5" t="s">
        <v>17</v>
      </c>
      <c r="G2298">
        <v>14</v>
      </c>
    </row>
    <row r="2299" spans="1:7" x14ac:dyDescent="0.35">
      <c r="A2299">
        <v>148946</v>
      </c>
      <c r="B2299">
        <v>0</v>
      </c>
      <c r="C2299" s="5" t="s">
        <v>21</v>
      </c>
      <c r="D2299">
        <v>0</v>
      </c>
      <c r="E2299" s="5" t="s">
        <v>91</v>
      </c>
      <c r="F2299" s="5" t="s">
        <v>17</v>
      </c>
      <c r="G2299">
        <v>10</v>
      </c>
    </row>
    <row r="2300" spans="1:7" x14ac:dyDescent="0.35">
      <c r="A2300">
        <v>5524</v>
      </c>
      <c r="B2300">
        <v>2</v>
      </c>
      <c r="C2300" s="5" t="s">
        <v>51</v>
      </c>
      <c r="D2300">
        <v>2301</v>
      </c>
      <c r="E2300" s="5" t="s">
        <v>84</v>
      </c>
      <c r="F2300" s="5" t="s">
        <v>17</v>
      </c>
      <c r="G2300">
        <v>15</v>
      </c>
    </row>
    <row r="2301" spans="1:7" x14ac:dyDescent="0.35">
      <c r="A2301">
        <v>57593</v>
      </c>
      <c r="B2301">
        <v>1</v>
      </c>
      <c r="C2301" s="5" t="s">
        <v>53</v>
      </c>
      <c r="D2301">
        <v>0</v>
      </c>
      <c r="E2301" s="5" t="s">
        <v>89</v>
      </c>
      <c r="F2301" s="5" t="s">
        <v>14</v>
      </c>
      <c r="G2301">
        <v>5</v>
      </c>
    </row>
    <row r="2302" spans="1:7" x14ac:dyDescent="0.35">
      <c r="A2302">
        <v>144339</v>
      </c>
      <c r="B2302">
        <v>980</v>
      </c>
      <c r="C2302" s="5" t="s">
        <v>21</v>
      </c>
      <c r="D2302">
        <v>6601</v>
      </c>
      <c r="E2302" s="5" t="s">
        <v>85</v>
      </c>
      <c r="F2302" s="5" t="s">
        <v>27</v>
      </c>
      <c r="G2302">
        <v>10</v>
      </c>
    </row>
    <row r="2303" spans="1:7" x14ac:dyDescent="0.35">
      <c r="A2303">
        <v>158355</v>
      </c>
      <c r="B2303">
        <v>1</v>
      </c>
      <c r="C2303" s="5" t="s">
        <v>21</v>
      </c>
      <c r="D2303">
        <v>4801</v>
      </c>
      <c r="E2303" s="5" t="s">
        <v>85</v>
      </c>
      <c r="F2303" s="5" t="s">
        <v>14</v>
      </c>
      <c r="G2303">
        <v>15</v>
      </c>
    </row>
    <row r="2304" spans="1:7" x14ac:dyDescent="0.35">
      <c r="A2304">
        <v>24311</v>
      </c>
      <c r="B2304">
        <v>28</v>
      </c>
      <c r="C2304" s="5" t="s">
        <v>18</v>
      </c>
      <c r="D2304">
        <v>0</v>
      </c>
      <c r="E2304" s="5" t="s">
        <v>90</v>
      </c>
      <c r="F2304" s="5" t="s">
        <v>17</v>
      </c>
      <c r="G2304">
        <v>3</v>
      </c>
    </row>
    <row r="2305" spans="1:7" x14ac:dyDescent="0.35">
      <c r="A2305">
        <v>44009</v>
      </c>
      <c r="B2305">
        <v>0</v>
      </c>
      <c r="C2305" s="5" t="s">
        <v>13</v>
      </c>
      <c r="D2305">
        <v>1103</v>
      </c>
      <c r="E2305" s="5" t="s">
        <v>80</v>
      </c>
      <c r="F2305" s="5" t="s">
        <v>17</v>
      </c>
      <c r="G2305">
        <v>20</v>
      </c>
    </row>
    <row r="2306" spans="1:7" x14ac:dyDescent="0.35">
      <c r="A2306">
        <v>7059</v>
      </c>
      <c r="B2306">
        <v>2</v>
      </c>
      <c r="C2306" s="5" t="s">
        <v>43</v>
      </c>
      <c r="D2306">
        <v>2007</v>
      </c>
      <c r="E2306" s="5" t="s">
        <v>83</v>
      </c>
      <c r="F2306" s="5" t="s">
        <v>17</v>
      </c>
      <c r="G2306">
        <v>10</v>
      </c>
    </row>
    <row r="2307" spans="1:7" x14ac:dyDescent="0.35">
      <c r="A2307">
        <v>11399</v>
      </c>
      <c r="B2307">
        <v>2</v>
      </c>
      <c r="C2307" s="5" t="s">
        <v>21</v>
      </c>
      <c r="D2307">
        <v>1102</v>
      </c>
      <c r="E2307" s="5" t="s">
        <v>82</v>
      </c>
      <c r="F2307" s="5" t="s">
        <v>17</v>
      </c>
      <c r="G2307">
        <v>8</v>
      </c>
    </row>
    <row r="2308" spans="1:7" x14ac:dyDescent="0.35">
      <c r="A2308">
        <v>50262</v>
      </c>
      <c r="B2308">
        <v>1</v>
      </c>
      <c r="C2308" s="5" t="s">
        <v>49</v>
      </c>
      <c r="D2308">
        <v>4801</v>
      </c>
      <c r="E2308" s="5" t="s">
        <v>81</v>
      </c>
      <c r="F2308" s="5" t="s">
        <v>14</v>
      </c>
      <c r="G2308">
        <v>10</v>
      </c>
    </row>
    <row r="2309" spans="1:7" x14ac:dyDescent="0.35">
      <c r="A2309">
        <v>40338</v>
      </c>
      <c r="B2309">
        <v>0</v>
      </c>
      <c r="C2309" s="5" t="s">
        <v>13</v>
      </c>
      <c r="D2309">
        <v>6901</v>
      </c>
      <c r="E2309" s="5" t="s">
        <v>80</v>
      </c>
      <c r="F2309" s="5" t="s">
        <v>17</v>
      </c>
      <c r="G2309">
        <v>21</v>
      </c>
    </row>
    <row r="2310" spans="1:7" x14ac:dyDescent="0.35">
      <c r="A2310">
        <v>91101</v>
      </c>
      <c r="B2310">
        <v>0</v>
      </c>
      <c r="C2310" s="5" t="s">
        <v>16</v>
      </c>
      <c r="D2310">
        <v>4507</v>
      </c>
      <c r="E2310" s="5" t="s">
        <v>80</v>
      </c>
      <c r="F2310" s="5" t="s">
        <v>14</v>
      </c>
      <c r="G2310">
        <v>25</v>
      </c>
    </row>
    <row r="2311" spans="1:7" x14ac:dyDescent="0.35">
      <c r="A2311">
        <v>130969</v>
      </c>
      <c r="B2311">
        <v>2</v>
      </c>
      <c r="C2311" s="5" t="s">
        <v>45</v>
      </c>
      <c r="D2311">
        <v>301</v>
      </c>
      <c r="E2311" s="5" t="s">
        <v>82</v>
      </c>
      <c r="F2311" s="5" t="s">
        <v>17</v>
      </c>
      <c r="G2311">
        <v>20</v>
      </c>
    </row>
    <row r="2312" spans="1:7" x14ac:dyDescent="0.35">
      <c r="A2312">
        <v>128122</v>
      </c>
      <c r="B2312">
        <v>0</v>
      </c>
      <c r="C2312" s="5" t="s">
        <v>20</v>
      </c>
      <c r="D2312">
        <v>0</v>
      </c>
      <c r="E2312" s="5" t="s">
        <v>79</v>
      </c>
      <c r="F2312" s="5" t="s">
        <v>14</v>
      </c>
      <c r="G2312">
        <v>5</v>
      </c>
    </row>
    <row r="2313" spans="1:7" x14ac:dyDescent="0.35">
      <c r="A2313">
        <v>167149</v>
      </c>
      <c r="B2313">
        <v>1</v>
      </c>
      <c r="C2313" s="5" t="s">
        <v>21</v>
      </c>
      <c r="D2313">
        <v>4501</v>
      </c>
      <c r="E2313" s="5" t="s">
        <v>85</v>
      </c>
      <c r="F2313" s="5" t="s">
        <v>14</v>
      </c>
      <c r="G2313">
        <v>20</v>
      </c>
    </row>
    <row r="2314" spans="1:7" x14ac:dyDescent="0.35">
      <c r="A2314">
        <v>67742</v>
      </c>
      <c r="B2314">
        <v>0</v>
      </c>
      <c r="C2314" s="5" t="s">
        <v>26</v>
      </c>
      <c r="D2314">
        <v>2309</v>
      </c>
      <c r="E2314" s="5" t="s">
        <v>84</v>
      </c>
      <c r="F2314" s="5" t="s">
        <v>17</v>
      </c>
      <c r="G2314">
        <v>5</v>
      </c>
    </row>
    <row r="2315" spans="1:7" x14ac:dyDescent="0.35">
      <c r="A2315">
        <v>66303</v>
      </c>
      <c r="B2315">
        <v>0</v>
      </c>
      <c r="C2315" s="5" t="s">
        <v>26</v>
      </c>
      <c r="D2315">
        <v>1401</v>
      </c>
      <c r="E2315" s="5" t="s">
        <v>93</v>
      </c>
      <c r="F2315" s="5" t="s">
        <v>17</v>
      </c>
      <c r="G2315">
        <v>2</v>
      </c>
    </row>
    <row r="2316" spans="1:7" x14ac:dyDescent="0.35">
      <c r="A2316">
        <v>86205</v>
      </c>
      <c r="B2316">
        <v>3</v>
      </c>
      <c r="C2316" s="5" t="s">
        <v>48</v>
      </c>
      <c r="D2316">
        <v>5007</v>
      </c>
      <c r="E2316" s="5" t="s">
        <v>79</v>
      </c>
      <c r="F2316" s="5" t="s">
        <v>17</v>
      </c>
      <c r="G2316">
        <v>25</v>
      </c>
    </row>
    <row r="2317" spans="1:7" x14ac:dyDescent="0.35">
      <c r="A2317">
        <v>1899</v>
      </c>
      <c r="B2317">
        <v>1</v>
      </c>
      <c r="C2317" s="5" t="s">
        <v>21</v>
      </c>
      <c r="D2317">
        <v>4801</v>
      </c>
      <c r="E2317" s="5" t="s">
        <v>80</v>
      </c>
      <c r="F2317" s="5" t="s">
        <v>14</v>
      </c>
      <c r="G2317">
        <v>125</v>
      </c>
    </row>
    <row r="2318" spans="1:7" x14ac:dyDescent="0.35">
      <c r="A2318">
        <v>184690</v>
      </c>
      <c r="B2318">
        <v>0</v>
      </c>
      <c r="C2318" s="5" t="s">
        <v>60</v>
      </c>
      <c r="D2318">
        <v>0</v>
      </c>
      <c r="E2318" s="5" t="s">
        <v>78</v>
      </c>
      <c r="F2318" s="5" t="s">
        <v>14</v>
      </c>
      <c r="G2318">
        <v>20</v>
      </c>
    </row>
    <row r="2319" spans="1:7" x14ac:dyDescent="0.35">
      <c r="A2319">
        <v>7265</v>
      </c>
      <c r="B2319">
        <v>0</v>
      </c>
      <c r="C2319" s="5" t="s">
        <v>21</v>
      </c>
      <c r="D2319">
        <v>0</v>
      </c>
      <c r="E2319" s="5" t="s">
        <v>86</v>
      </c>
      <c r="F2319" s="5" t="s">
        <v>17</v>
      </c>
      <c r="G2319">
        <v>10</v>
      </c>
    </row>
    <row r="2320" spans="1:7" x14ac:dyDescent="0.35">
      <c r="A2320">
        <v>159178</v>
      </c>
      <c r="B2320">
        <v>1</v>
      </c>
      <c r="C2320" s="5" t="s">
        <v>21</v>
      </c>
      <c r="D2320">
        <v>0</v>
      </c>
      <c r="E2320" s="5" t="s">
        <v>82</v>
      </c>
      <c r="F2320" s="5" t="s">
        <v>14</v>
      </c>
      <c r="G2320">
        <v>10</v>
      </c>
    </row>
    <row r="2321" spans="1:7" x14ac:dyDescent="0.35">
      <c r="A2321">
        <v>49812</v>
      </c>
      <c r="B2321">
        <v>2</v>
      </c>
      <c r="C2321" s="5" t="s">
        <v>40</v>
      </c>
      <c r="D2321">
        <v>3701</v>
      </c>
      <c r="E2321" s="5" t="s">
        <v>89</v>
      </c>
      <c r="F2321" s="5" t="s">
        <v>17</v>
      </c>
      <c r="G2321">
        <v>3</v>
      </c>
    </row>
    <row r="2322" spans="1:7" x14ac:dyDescent="0.35">
      <c r="A2322">
        <v>33135</v>
      </c>
      <c r="B2322">
        <v>0</v>
      </c>
      <c r="C2322" s="5" t="s">
        <v>13</v>
      </c>
      <c r="D2322">
        <v>3410</v>
      </c>
      <c r="E2322" s="5" t="s">
        <v>88</v>
      </c>
      <c r="F2322" s="5" t="s">
        <v>17</v>
      </c>
      <c r="G2322">
        <v>10</v>
      </c>
    </row>
    <row r="2323" spans="1:7" x14ac:dyDescent="0.35">
      <c r="A2323">
        <v>23459</v>
      </c>
      <c r="B2323">
        <v>28</v>
      </c>
      <c r="C2323" s="5" t="s">
        <v>43</v>
      </c>
      <c r="D2323">
        <v>0</v>
      </c>
      <c r="E2323" s="5" t="s">
        <v>80</v>
      </c>
      <c r="F2323" s="5" t="s">
        <v>17</v>
      </c>
      <c r="G2323">
        <v>25</v>
      </c>
    </row>
    <row r="2324" spans="1:7" x14ac:dyDescent="0.35">
      <c r="A2324">
        <v>186271</v>
      </c>
      <c r="B2324">
        <v>1</v>
      </c>
      <c r="C2324" s="5" t="s">
        <v>21</v>
      </c>
      <c r="D2324">
        <v>2001</v>
      </c>
      <c r="E2324" s="5" t="s">
        <v>85</v>
      </c>
      <c r="F2324" s="5" t="s">
        <v>14</v>
      </c>
      <c r="G2324">
        <v>40</v>
      </c>
    </row>
    <row r="2325" spans="1:7" x14ac:dyDescent="0.35">
      <c r="A2325">
        <v>55624</v>
      </c>
      <c r="B2325">
        <v>0</v>
      </c>
      <c r="C2325" s="5" t="s">
        <v>56</v>
      </c>
      <c r="D2325">
        <v>2311</v>
      </c>
      <c r="E2325" s="5" t="s">
        <v>94</v>
      </c>
      <c r="F2325" s="5" t="s">
        <v>17</v>
      </c>
      <c r="G2325">
        <v>10</v>
      </c>
    </row>
    <row r="2326" spans="1:7" x14ac:dyDescent="0.35">
      <c r="A2326">
        <v>129912</v>
      </c>
      <c r="B2326">
        <v>1</v>
      </c>
      <c r="C2326" s="5" t="s">
        <v>45</v>
      </c>
      <c r="D2326">
        <v>0</v>
      </c>
      <c r="E2326" s="5" t="s">
        <v>85</v>
      </c>
      <c r="F2326" s="5" t="s">
        <v>14</v>
      </c>
      <c r="G2326">
        <v>50</v>
      </c>
    </row>
    <row r="2327" spans="1:7" x14ac:dyDescent="0.35">
      <c r="A2327">
        <v>8657</v>
      </c>
      <c r="B2327">
        <v>0</v>
      </c>
      <c r="C2327" s="5" t="s">
        <v>37</v>
      </c>
      <c r="D2327">
        <v>2107</v>
      </c>
      <c r="E2327" s="5" t="s">
        <v>80</v>
      </c>
      <c r="F2327" s="5" t="s">
        <v>17</v>
      </c>
      <c r="G2327">
        <v>15</v>
      </c>
    </row>
    <row r="2328" spans="1:7" x14ac:dyDescent="0.35">
      <c r="A2328">
        <v>129174</v>
      </c>
      <c r="B2328">
        <v>0</v>
      </c>
      <c r="C2328" s="5" t="s">
        <v>51</v>
      </c>
      <c r="D2328">
        <v>0</v>
      </c>
      <c r="E2328" s="5" t="s">
        <v>86</v>
      </c>
      <c r="F2328" s="5" t="s">
        <v>27</v>
      </c>
      <c r="G2328">
        <v>10</v>
      </c>
    </row>
    <row r="2329" spans="1:7" x14ac:dyDescent="0.35">
      <c r="A2329">
        <v>129453</v>
      </c>
      <c r="B2329">
        <v>0</v>
      </c>
      <c r="C2329" s="5" t="s">
        <v>45</v>
      </c>
      <c r="D2329">
        <v>2801</v>
      </c>
      <c r="E2329" s="5" t="s">
        <v>84</v>
      </c>
      <c r="F2329" s="5" t="s">
        <v>17</v>
      </c>
      <c r="G2329">
        <v>5</v>
      </c>
    </row>
    <row r="2330" spans="1:7" x14ac:dyDescent="0.35">
      <c r="A2330">
        <v>50027</v>
      </c>
      <c r="B2330">
        <v>0</v>
      </c>
      <c r="C2330" s="5" t="s">
        <v>49</v>
      </c>
      <c r="D2330">
        <v>0</v>
      </c>
      <c r="E2330" s="5" t="s">
        <v>81</v>
      </c>
      <c r="F2330" s="5" t="s">
        <v>17</v>
      </c>
      <c r="G2330">
        <v>40</v>
      </c>
    </row>
    <row r="2331" spans="1:7" x14ac:dyDescent="0.35">
      <c r="A2331">
        <v>85804</v>
      </c>
      <c r="B2331">
        <v>1</v>
      </c>
      <c r="C2331" s="5" t="s">
        <v>52</v>
      </c>
      <c r="D2331">
        <v>2501</v>
      </c>
      <c r="E2331" s="5" t="s">
        <v>89</v>
      </c>
      <c r="F2331" s="5" t="s">
        <v>14</v>
      </c>
      <c r="G2331">
        <v>20</v>
      </c>
    </row>
    <row r="2332" spans="1:7" x14ac:dyDescent="0.35">
      <c r="A2332">
        <v>9742</v>
      </c>
      <c r="B2332">
        <v>0</v>
      </c>
      <c r="C2332" s="5" t="s">
        <v>47</v>
      </c>
      <c r="D2332">
        <v>4701</v>
      </c>
      <c r="E2332" s="5" t="s">
        <v>80</v>
      </c>
      <c r="F2332" s="5" t="s">
        <v>14</v>
      </c>
      <c r="G2332">
        <v>14</v>
      </c>
    </row>
    <row r="2333" spans="1:7" x14ac:dyDescent="0.35">
      <c r="A2333">
        <v>1986</v>
      </c>
      <c r="B2333">
        <v>2</v>
      </c>
      <c r="C2333" s="5" t="s">
        <v>21</v>
      </c>
      <c r="D2333">
        <v>2201</v>
      </c>
      <c r="E2333" s="5" t="s">
        <v>85</v>
      </c>
      <c r="F2333" s="5" t="s">
        <v>17</v>
      </c>
      <c r="G2333">
        <v>5</v>
      </c>
    </row>
    <row r="2334" spans="1:7" x14ac:dyDescent="0.35">
      <c r="A2334">
        <v>26924</v>
      </c>
      <c r="B2334">
        <v>1</v>
      </c>
      <c r="C2334" s="5" t="s">
        <v>36</v>
      </c>
      <c r="D2334">
        <v>2901</v>
      </c>
      <c r="E2334" s="5" t="s">
        <v>86</v>
      </c>
      <c r="F2334" s="5" t="s">
        <v>14</v>
      </c>
      <c r="G2334">
        <v>60</v>
      </c>
    </row>
    <row r="2335" spans="1:7" x14ac:dyDescent="0.35">
      <c r="A2335">
        <v>145480</v>
      </c>
      <c r="B2335">
        <v>2</v>
      </c>
      <c r="C2335" s="5" t="s">
        <v>21</v>
      </c>
      <c r="D2335">
        <v>4201</v>
      </c>
      <c r="E2335" s="5" t="s">
        <v>85</v>
      </c>
      <c r="F2335" s="5" t="s">
        <v>17</v>
      </c>
      <c r="G2335">
        <v>12</v>
      </c>
    </row>
    <row r="2336" spans="1:7" x14ac:dyDescent="0.35">
      <c r="A2336">
        <v>45824</v>
      </c>
      <c r="B2336">
        <v>1</v>
      </c>
      <c r="C2336" s="5" t="s">
        <v>13</v>
      </c>
      <c r="D2336">
        <v>5704</v>
      </c>
      <c r="E2336" s="5" t="s">
        <v>83</v>
      </c>
      <c r="F2336" s="5" t="s">
        <v>14</v>
      </c>
      <c r="G2336">
        <v>25</v>
      </c>
    </row>
    <row r="2337" spans="1:7" x14ac:dyDescent="0.35">
      <c r="A2337">
        <v>187417</v>
      </c>
      <c r="B2337">
        <v>1</v>
      </c>
      <c r="C2337" s="5" t="s">
        <v>63</v>
      </c>
      <c r="D2337">
        <v>0</v>
      </c>
      <c r="E2337" s="5" t="s">
        <v>92</v>
      </c>
      <c r="F2337" s="5" t="s">
        <v>14</v>
      </c>
      <c r="G2337">
        <v>45</v>
      </c>
    </row>
    <row r="2338" spans="1:7" x14ac:dyDescent="0.35">
      <c r="A2338">
        <v>173094</v>
      </c>
      <c r="B2338">
        <v>0</v>
      </c>
      <c r="C2338" s="5" t="s">
        <v>21</v>
      </c>
      <c r="D2338">
        <v>2401</v>
      </c>
      <c r="E2338" s="5" t="s">
        <v>89</v>
      </c>
      <c r="F2338" s="5" t="s">
        <v>14</v>
      </c>
      <c r="G2338">
        <v>15</v>
      </c>
    </row>
    <row r="2339" spans="1:7" x14ac:dyDescent="0.35">
      <c r="A2339">
        <v>182573</v>
      </c>
      <c r="B2339">
        <v>0</v>
      </c>
      <c r="C2339" s="5" t="s">
        <v>37</v>
      </c>
      <c r="D2339">
        <v>3504</v>
      </c>
      <c r="E2339" s="5" t="s">
        <v>81</v>
      </c>
      <c r="F2339" s="5" t="s">
        <v>14</v>
      </c>
      <c r="G2339">
        <v>12</v>
      </c>
    </row>
    <row r="2340" spans="1:7" x14ac:dyDescent="0.35">
      <c r="A2340">
        <v>185815</v>
      </c>
      <c r="B2340">
        <v>0</v>
      </c>
      <c r="C2340" s="5" t="s">
        <v>13</v>
      </c>
      <c r="D2340">
        <v>2901</v>
      </c>
      <c r="E2340" s="5" t="s">
        <v>91</v>
      </c>
      <c r="F2340" s="5" t="s">
        <v>17</v>
      </c>
      <c r="G2340">
        <v>7</v>
      </c>
    </row>
    <row r="2341" spans="1:7" x14ac:dyDescent="0.35">
      <c r="A2341">
        <v>86580</v>
      </c>
      <c r="B2341">
        <v>2</v>
      </c>
      <c r="C2341" s="5" t="s">
        <v>42</v>
      </c>
      <c r="D2341">
        <v>601</v>
      </c>
      <c r="E2341" s="5" t="s">
        <v>81</v>
      </c>
      <c r="F2341" s="5" t="s">
        <v>17</v>
      </c>
      <c r="G2341">
        <v>5</v>
      </c>
    </row>
    <row r="2342" spans="1:7" x14ac:dyDescent="0.35">
      <c r="A2342">
        <v>113680</v>
      </c>
      <c r="B2342">
        <v>1002</v>
      </c>
      <c r="C2342" s="5" t="s">
        <v>20</v>
      </c>
      <c r="D2342">
        <v>5201</v>
      </c>
      <c r="E2342" s="5" t="s">
        <v>94</v>
      </c>
      <c r="F2342" s="5" t="s">
        <v>14</v>
      </c>
      <c r="G2342">
        <v>30</v>
      </c>
    </row>
    <row r="2343" spans="1:7" x14ac:dyDescent="0.35">
      <c r="A2343">
        <v>179876</v>
      </c>
      <c r="B2343">
        <v>0</v>
      </c>
      <c r="C2343" s="5" t="s">
        <v>37</v>
      </c>
      <c r="D2343">
        <v>2801</v>
      </c>
      <c r="E2343" s="5" t="s">
        <v>87</v>
      </c>
      <c r="F2343" s="5" t="s">
        <v>17</v>
      </c>
      <c r="G2343">
        <v>10</v>
      </c>
    </row>
    <row r="2344" spans="1:7" x14ac:dyDescent="0.35">
      <c r="A2344">
        <v>52171</v>
      </c>
      <c r="B2344">
        <v>1002</v>
      </c>
      <c r="C2344" s="5" t="s">
        <v>49</v>
      </c>
      <c r="D2344">
        <v>0</v>
      </c>
      <c r="E2344" s="5" t="s">
        <v>79</v>
      </c>
      <c r="F2344" s="5" t="s">
        <v>14</v>
      </c>
      <c r="G2344">
        <v>5</v>
      </c>
    </row>
    <row r="2345" spans="1:7" x14ac:dyDescent="0.35">
      <c r="A2345">
        <v>2586</v>
      </c>
      <c r="B2345">
        <v>0</v>
      </c>
      <c r="C2345" s="5" t="s">
        <v>36</v>
      </c>
      <c r="D2345">
        <v>4201</v>
      </c>
      <c r="E2345" s="5" t="s">
        <v>83</v>
      </c>
      <c r="F2345" s="5" t="s">
        <v>14</v>
      </c>
      <c r="G2345">
        <v>20</v>
      </c>
    </row>
    <row r="2346" spans="1:7" x14ac:dyDescent="0.35">
      <c r="A2346">
        <v>22499</v>
      </c>
      <c r="B2346">
        <v>0</v>
      </c>
      <c r="C2346" s="5" t="s">
        <v>43</v>
      </c>
      <c r="D2346">
        <v>3102</v>
      </c>
      <c r="E2346" s="5" t="s">
        <v>89</v>
      </c>
      <c r="F2346" s="5" t="s">
        <v>17</v>
      </c>
      <c r="G2346">
        <v>10</v>
      </c>
    </row>
    <row r="2347" spans="1:7" x14ac:dyDescent="0.35">
      <c r="A2347">
        <v>186773</v>
      </c>
      <c r="B2347">
        <v>0</v>
      </c>
      <c r="C2347" s="5" t="s">
        <v>53</v>
      </c>
      <c r="D2347">
        <v>0</v>
      </c>
      <c r="E2347" s="5" t="s">
        <v>80</v>
      </c>
      <c r="F2347" s="5" t="s">
        <v>17</v>
      </c>
      <c r="G2347">
        <v>8</v>
      </c>
    </row>
    <row r="2348" spans="1:7" x14ac:dyDescent="0.35">
      <c r="A2348">
        <v>90680</v>
      </c>
      <c r="B2348">
        <v>0</v>
      </c>
      <c r="C2348" s="5" t="s">
        <v>16</v>
      </c>
      <c r="D2348">
        <v>4801</v>
      </c>
      <c r="E2348" s="5" t="s">
        <v>85</v>
      </c>
      <c r="F2348" s="5" t="s">
        <v>17</v>
      </c>
      <c r="G2348">
        <v>24</v>
      </c>
    </row>
    <row r="2349" spans="1:7" x14ac:dyDescent="0.35">
      <c r="A2349">
        <v>123669</v>
      </c>
      <c r="B2349">
        <v>0</v>
      </c>
      <c r="C2349" s="5" t="s">
        <v>20</v>
      </c>
      <c r="D2349">
        <v>608</v>
      </c>
      <c r="E2349" s="5" t="s">
        <v>84</v>
      </c>
      <c r="F2349" s="5" t="s">
        <v>86</v>
      </c>
      <c r="G2349">
        <v>10</v>
      </c>
    </row>
    <row r="2350" spans="1:7" x14ac:dyDescent="0.35">
      <c r="A2350">
        <v>106850</v>
      </c>
      <c r="B2350">
        <v>28</v>
      </c>
      <c r="C2350" s="5" t="s">
        <v>55</v>
      </c>
      <c r="D2350">
        <v>6301</v>
      </c>
      <c r="E2350" s="5" t="s">
        <v>84</v>
      </c>
      <c r="F2350" s="5" t="s">
        <v>17</v>
      </c>
      <c r="G2350">
        <v>23</v>
      </c>
    </row>
    <row r="2351" spans="1:7" x14ac:dyDescent="0.35">
      <c r="A2351">
        <v>172068</v>
      </c>
      <c r="B2351">
        <v>1</v>
      </c>
      <c r="C2351" s="5" t="s">
        <v>21</v>
      </c>
      <c r="D2351">
        <v>4602</v>
      </c>
      <c r="E2351" s="5" t="s">
        <v>85</v>
      </c>
      <c r="F2351" s="5" t="s">
        <v>14</v>
      </c>
      <c r="G2351">
        <v>20</v>
      </c>
    </row>
    <row r="2352" spans="1:7" x14ac:dyDescent="0.35">
      <c r="A2352">
        <v>109451</v>
      </c>
      <c r="B2352">
        <v>0</v>
      </c>
      <c r="C2352" s="5" t="s">
        <v>46</v>
      </c>
      <c r="D2352">
        <v>5801</v>
      </c>
      <c r="E2352" s="5" t="s">
        <v>81</v>
      </c>
      <c r="F2352" s="5" t="s">
        <v>17</v>
      </c>
      <c r="G2352">
        <v>25</v>
      </c>
    </row>
    <row r="2353" spans="1:7" x14ac:dyDescent="0.35">
      <c r="A2353">
        <v>113891</v>
      </c>
      <c r="B2353">
        <v>0</v>
      </c>
      <c r="C2353" s="5" t="s">
        <v>28</v>
      </c>
      <c r="D2353">
        <v>5601</v>
      </c>
      <c r="E2353" s="5" t="s">
        <v>81</v>
      </c>
      <c r="F2353" s="5" t="s">
        <v>14</v>
      </c>
      <c r="G2353">
        <v>11</v>
      </c>
    </row>
    <row r="2354" spans="1:7" x14ac:dyDescent="0.35">
      <c r="A2354">
        <v>148991</v>
      </c>
      <c r="B2354">
        <v>28</v>
      </c>
      <c r="C2354" s="5" t="s">
        <v>21</v>
      </c>
      <c r="D2354">
        <v>4401</v>
      </c>
      <c r="E2354" s="5" t="s">
        <v>82</v>
      </c>
      <c r="F2354" s="5" t="s">
        <v>17</v>
      </c>
      <c r="G2354">
        <v>25</v>
      </c>
    </row>
    <row r="2355" spans="1:7" x14ac:dyDescent="0.35">
      <c r="A2355">
        <v>63941</v>
      </c>
      <c r="B2355">
        <v>0</v>
      </c>
      <c r="C2355" s="5" t="s">
        <v>30</v>
      </c>
      <c r="D2355">
        <v>0</v>
      </c>
      <c r="E2355" s="5" t="s">
        <v>81</v>
      </c>
      <c r="F2355" s="5" t="s">
        <v>17</v>
      </c>
      <c r="G2355">
        <v>10</v>
      </c>
    </row>
    <row r="2356" spans="1:7" x14ac:dyDescent="0.35">
      <c r="A2356">
        <v>48006</v>
      </c>
      <c r="B2356">
        <v>28</v>
      </c>
      <c r="C2356" s="5" t="s">
        <v>40</v>
      </c>
      <c r="D2356">
        <v>0</v>
      </c>
      <c r="E2356" s="5" t="s">
        <v>81</v>
      </c>
      <c r="F2356" s="5" t="s">
        <v>17</v>
      </c>
      <c r="G2356">
        <v>5</v>
      </c>
    </row>
    <row r="2357" spans="1:7" x14ac:dyDescent="0.35">
      <c r="A2357">
        <v>170998</v>
      </c>
      <c r="B2357">
        <v>0</v>
      </c>
      <c r="C2357" s="5" t="s">
        <v>21</v>
      </c>
      <c r="D2357">
        <v>1401</v>
      </c>
      <c r="E2357" s="5" t="s">
        <v>81</v>
      </c>
      <c r="F2357" s="5" t="s">
        <v>17</v>
      </c>
      <c r="G2357">
        <v>10</v>
      </c>
    </row>
    <row r="2358" spans="1:7" x14ac:dyDescent="0.35">
      <c r="A2358">
        <v>31959</v>
      </c>
      <c r="B2358">
        <v>0</v>
      </c>
      <c r="C2358" s="5" t="s">
        <v>13</v>
      </c>
      <c r="D2358">
        <v>3401</v>
      </c>
      <c r="E2358" s="5" t="s">
        <v>84</v>
      </c>
      <c r="F2358" s="5" t="s">
        <v>14</v>
      </c>
      <c r="G2358">
        <v>20</v>
      </c>
    </row>
    <row r="2359" spans="1:7" x14ac:dyDescent="0.35">
      <c r="A2359">
        <v>13805</v>
      </c>
      <c r="B2359">
        <v>0</v>
      </c>
      <c r="C2359" s="5" t="s">
        <v>21</v>
      </c>
      <c r="D2359">
        <v>3201</v>
      </c>
      <c r="E2359" s="5" t="s">
        <v>90</v>
      </c>
      <c r="F2359" s="5" t="s">
        <v>14</v>
      </c>
      <c r="G2359">
        <v>107</v>
      </c>
    </row>
    <row r="2360" spans="1:7" x14ac:dyDescent="0.35">
      <c r="A2360">
        <v>104170</v>
      </c>
      <c r="B2360">
        <v>2</v>
      </c>
      <c r="C2360" s="5" t="s">
        <v>33</v>
      </c>
      <c r="D2360">
        <v>1603</v>
      </c>
      <c r="E2360" s="5" t="s">
        <v>82</v>
      </c>
      <c r="F2360" s="5" t="s">
        <v>14</v>
      </c>
      <c r="G2360">
        <v>5</v>
      </c>
    </row>
    <row r="2361" spans="1:7" x14ac:dyDescent="0.35">
      <c r="A2361">
        <v>28339</v>
      </c>
      <c r="B2361">
        <v>0</v>
      </c>
      <c r="C2361" s="5" t="s">
        <v>36</v>
      </c>
      <c r="D2361">
        <v>0</v>
      </c>
      <c r="E2361" s="5" t="s">
        <v>82</v>
      </c>
      <c r="F2361" s="5" t="s">
        <v>17</v>
      </c>
      <c r="G2361">
        <v>11</v>
      </c>
    </row>
    <row r="2362" spans="1:7" x14ac:dyDescent="0.35">
      <c r="A2362">
        <v>1920</v>
      </c>
      <c r="B2362">
        <v>1002</v>
      </c>
      <c r="C2362" s="5" t="s">
        <v>23</v>
      </c>
      <c r="D2362">
        <v>1610</v>
      </c>
      <c r="E2362" s="5" t="s">
        <v>91</v>
      </c>
      <c r="F2362" s="5" t="s">
        <v>14</v>
      </c>
      <c r="G2362">
        <v>10</v>
      </c>
    </row>
    <row r="2363" spans="1:7" x14ac:dyDescent="0.35">
      <c r="A2363">
        <v>88920</v>
      </c>
      <c r="B2363">
        <v>0</v>
      </c>
      <c r="C2363" s="5" t="s">
        <v>16</v>
      </c>
      <c r="D2363">
        <v>5501</v>
      </c>
      <c r="E2363" s="5" t="s">
        <v>83</v>
      </c>
      <c r="F2363" s="5" t="s">
        <v>17</v>
      </c>
      <c r="G2363">
        <v>25</v>
      </c>
    </row>
    <row r="2364" spans="1:7" x14ac:dyDescent="0.35">
      <c r="A2364">
        <v>45656</v>
      </c>
      <c r="B2364">
        <v>1002</v>
      </c>
      <c r="C2364" s="5" t="s">
        <v>13</v>
      </c>
      <c r="D2364">
        <v>4301</v>
      </c>
      <c r="E2364" s="5" t="s">
        <v>87</v>
      </c>
      <c r="F2364" s="5" t="s">
        <v>14</v>
      </c>
      <c r="G2364">
        <v>27</v>
      </c>
    </row>
    <row r="2365" spans="1:7" x14ac:dyDescent="0.35">
      <c r="A2365">
        <v>175471</v>
      </c>
      <c r="B2365">
        <v>28</v>
      </c>
      <c r="C2365" s="5" t="s">
        <v>47</v>
      </c>
      <c r="D2365">
        <v>0</v>
      </c>
      <c r="E2365" s="5" t="s">
        <v>93</v>
      </c>
      <c r="F2365" s="5" t="s">
        <v>17</v>
      </c>
      <c r="G2365">
        <v>5</v>
      </c>
    </row>
    <row r="2366" spans="1:7" x14ac:dyDescent="0.35">
      <c r="A2366">
        <v>108820</v>
      </c>
      <c r="B2366">
        <v>1</v>
      </c>
      <c r="C2366" s="5" t="s">
        <v>46</v>
      </c>
      <c r="D2366">
        <v>2301</v>
      </c>
      <c r="E2366" s="5" t="s">
        <v>81</v>
      </c>
      <c r="F2366" s="5" t="s">
        <v>14</v>
      </c>
      <c r="G2366">
        <v>5</v>
      </c>
    </row>
    <row r="2367" spans="1:7" x14ac:dyDescent="0.35">
      <c r="A2367">
        <v>190619</v>
      </c>
      <c r="B2367">
        <v>2</v>
      </c>
      <c r="C2367" s="5" t="s">
        <v>26</v>
      </c>
      <c r="D2367">
        <v>1710</v>
      </c>
      <c r="E2367" s="5" t="s">
        <v>79</v>
      </c>
      <c r="F2367" s="5" t="s">
        <v>17</v>
      </c>
      <c r="G2367">
        <v>3</v>
      </c>
    </row>
    <row r="2368" spans="1:7" x14ac:dyDescent="0.35">
      <c r="A2368">
        <v>13727</v>
      </c>
      <c r="B2368">
        <v>0</v>
      </c>
      <c r="C2368" s="5" t="s">
        <v>55</v>
      </c>
      <c r="D2368">
        <v>5807</v>
      </c>
      <c r="E2368" s="5" t="s">
        <v>84</v>
      </c>
      <c r="F2368" s="5" t="s">
        <v>17</v>
      </c>
      <c r="G2368">
        <v>30</v>
      </c>
    </row>
    <row r="2369" spans="1:7" x14ac:dyDescent="0.35">
      <c r="A2369">
        <v>114909</v>
      </c>
      <c r="B2369">
        <v>93</v>
      </c>
      <c r="C2369" s="5" t="s">
        <v>20</v>
      </c>
      <c r="D2369">
        <v>0</v>
      </c>
      <c r="E2369" s="5" t="s">
        <v>79</v>
      </c>
      <c r="F2369" s="5" t="s">
        <v>14</v>
      </c>
      <c r="G2369">
        <v>10</v>
      </c>
    </row>
    <row r="2370" spans="1:7" x14ac:dyDescent="0.35">
      <c r="A2370">
        <v>190410</v>
      </c>
      <c r="B2370">
        <v>0</v>
      </c>
      <c r="C2370" s="5" t="s">
        <v>18</v>
      </c>
      <c r="D2370">
        <v>0</v>
      </c>
      <c r="E2370" s="5" t="s">
        <v>78</v>
      </c>
      <c r="F2370" s="5" t="s">
        <v>17</v>
      </c>
      <c r="G2370">
        <v>9</v>
      </c>
    </row>
    <row r="2371" spans="1:7" x14ac:dyDescent="0.35">
      <c r="A2371">
        <v>166711</v>
      </c>
      <c r="B2371">
        <v>0</v>
      </c>
      <c r="C2371" s="5" t="s">
        <v>21</v>
      </c>
      <c r="D2371">
        <v>3508</v>
      </c>
      <c r="E2371" s="5" t="s">
        <v>80</v>
      </c>
      <c r="F2371" s="5" t="s">
        <v>17</v>
      </c>
      <c r="G2371">
        <v>45</v>
      </c>
    </row>
    <row r="2372" spans="1:7" x14ac:dyDescent="0.35">
      <c r="A2372">
        <v>78669</v>
      </c>
      <c r="B2372">
        <v>28</v>
      </c>
      <c r="C2372" s="5" t="s">
        <v>32</v>
      </c>
      <c r="D2372">
        <v>1801</v>
      </c>
      <c r="E2372" s="5" t="s">
        <v>87</v>
      </c>
      <c r="F2372" s="5" t="s">
        <v>17</v>
      </c>
      <c r="G2372">
        <v>6</v>
      </c>
    </row>
    <row r="2373" spans="1:7" x14ac:dyDescent="0.35">
      <c r="A2373">
        <v>35267</v>
      </c>
      <c r="B2373">
        <v>1002</v>
      </c>
      <c r="C2373" s="5" t="s">
        <v>13</v>
      </c>
      <c r="D2373">
        <v>1703</v>
      </c>
      <c r="E2373" s="5" t="s">
        <v>78</v>
      </c>
      <c r="F2373" s="5" t="s">
        <v>14</v>
      </c>
      <c r="G2373">
        <v>17</v>
      </c>
    </row>
    <row r="2374" spans="1:7" x14ac:dyDescent="0.35">
      <c r="A2374">
        <v>14547</v>
      </c>
      <c r="B2374">
        <v>0</v>
      </c>
      <c r="C2374" s="5" t="s">
        <v>21</v>
      </c>
      <c r="D2374">
        <v>5501</v>
      </c>
      <c r="E2374" s="5" t="s">
        <v>83</v>
      </c>
      <c r="F2374" s="5" t="s">
        <v>17</v>
      </c>
      <c r="G2374">
        <v>20</v>
      </c>
    </row>
    <row r="2375" spans="1:7" x14ac:dyDescent="0.35">
      <c r="A2375">
        <v>136721</v>
      </c>
      <c r="B2375">
        <v>0</v>
      </c>
      <c r="C2375" s="5" t="s">
        <v>51</v>
      </c>
      <c r="D2375">
        <v>3401</v>
      </c>
      <c r="E2375" s="5" t="s">
        <v>85</v>
      </c>
      <c r="F2375" s="5" t="s">
        <v>17</v>
      </c>
      <c r="G2375">
        <v>30</v>
      </c>
    </row>
    <row r="2376" spans="1:7" x14ac:dyDescent="0.35">
      <c r="A2376">
        <v>162026</v>
      </c>
      <c r="B2376">
        <v>1</v>
      </c>
      <c r="C2376" s="5" t="s">
        <v>21</v>
      </c>
      <c r="D2376">
        <v>3501</v>
      </c>
      <c r="E2376" s="5" t="s">
        <v>83</v>
      </c>
      <c r="F2376" s="5" t="s">
        <v>14</v>
      </c>
      <c r="G2376">
        <v>16</v>
      </c>
    </row>
    <row r="2377" spans="1:7" x14ac:dyDescent="0.35">
      <c r="A2377">
        <v>172359</v>
      </c>
      <c r="B2377">
        <v>0</v>
      </c>
      <c r="C2377" s="5" t="s">
        <v>21</v>
      </c>
      <c r="D2377">
        <v>3503</v>
      </c>
      <c r="E2377" s="5" t="s">
        <v>87</v>
      </c>
      <c r="F2377" s="5" t="s">
        <v>86</v>
      </c>
      <c r="G2377">
        <v>20</v>
      </c>
    </row>
    <row r="2378" spans="1:7" x14ac:dyDescent="0.35">
      <c r="A2378">
        <v>90727</v>
      </c>
      <c r="B2378">
        <v>2</v>
      </c>
      <c r="C2378" s="5" t="s">
        <v>16</v>
      </c>
      <c r="D2378">
        <v>4610</v>
      </c>
      <c r="E2378" s="5" t="s">
        <v>83</v>
      </c>
      <c r="F2378" s="5" t="s">
        <v>14</v>
      </c>
      <c r="G2378">
        <v>5</v>
      </c>
    </row>
    <row r="2379" spans="1:7" x14ac:dyDescent="0.35">
      <c r="A2379">
        <v>46560</v>
      </c>
      <c r="B2379">
        <v>1</v>
      </c>
      <c r="C2379" s="5" t="s">
        <v>13</v>
      </c>
      <c r="D2379">
        <v>5801</v>
      </c>
      <c r="E2379" s="5" t="s">
        <v>84</v>
      </c>
      <c r="F2379" s="5" t="s">
        <v>14</v>
      </c>
      <c r="G2379">
        <v>5</v>
      </c>
    </row>
    <row r="2380" spans="1:7" x14ac:dyDescent="0.35">
      <c r="A2380">
        <v>2321</v>
      </c>
      <c r="B2380">
        <v>1</v>
      </c>
      <c r="C2380" s="5" t="s">
        <v>21</v>
      </c>
      <c r="D2380">
        <v>3101</v>
      </c>
      <c r="E2380" s="5" t="s">
        <v>80</v>
      </c>
      <c r="F2380" s="5" t="s">
        <v>14</v>
      </c>
      <c r="G2380">
        <v>25</v>
      </c>
    </row>
    <row r="2381" spans="1:7" x14ac:dyDescent="0.35">
      <c r="A2381">
        <v>179262</v>
      </c>
      <c r="B2381">
        <v>0</v>
      </c>
      <c r="C2381" s="5" t="s">
        <v>37</v>
      </c>
      <c r="D2381">
        <v>4701</v>
      </c>
      <c r="E2381" s="5" t="s">
        <v>83</v>
      </c>
      <c r="F2381" s="5" t="s">
        <v>27</v>
      </c>
      <c r="G2381">
        <v>10</v>
      </c>
    </row>
    <row r="2382" spans="1:7" x14ac:dyDescent="0.35">
      <c r="A2382">
        <v>28890</v>
      </c>
      <c r="B2382">
        <v>0</v>
      </c>
      <c r="C2382" s="5" t="s">
        <v>36</v>
      </c>
      <c r="D2382">
        <v>4501</v>
      </c>
      <c r="E2382" s="5" t="s">
        <v>79</v>
      </c>
      <c r="F2382" s="5" t="s">
        <v>14</v>
      </c>
      <c r="G2382">
        <v>15</v>
      </c>
    </row>
    <row r="2383" spans="1:7" x14ac:dyDescent="0.35">
      <c r="A2383">
        <v>143787</v>
      </c>
      <c r="B2383">
        <v>3</v>
      </c>
      <c r="C2383" s="5" t="s">
        <v>21</v>
      </c>
      <c r="D2383">
        <v>0</v>
      </c>
      <c r="E2383" s="5" t="s">
        <v>85</v>
      </c>
      <c r="F2383" s="5" t="s">
        <v>17</v>
      </c>
      <c r="G2383">
        <v>10</v>
      </c>
    </row>
    <row r="2384" spans="1:7" x14ac:dyDescent="0.35">
      <c r="A2384">
        <v>88735</v>
      </c>
      <c r="B2384">
        <v>3</v>
      </c>
      <c r="C2384" s="5" t="s">
        <v>16</v>
      </c>
      <c r="D2384">
        <v>2702</v>
      </c>
      <c r="E2384" s="5" t="s">
        <v>80</v>
      </c>
      <c r="F2384" s="5" t="s">
        <v>17</v>
      </c>
      <c r="G2384">
        <v>10</v>
      </c>
    </row>
    <row r="2385" spans="1:7" x14ac:dyDescent="0.35">
      <c r="A2385">
        <v>89367</v>
      </c>
      <c r="B2385">
        <v>0</v>
      </c>
      <c r="C2385" s="5" t="s">
        <v>16</v>
      </c>
      <c r="D2385">
        <v>6707</v>
      </c>
      <c r="E2385" s="5" t="s">
        <v>83</v>
      </c>
      <c r="F2385" s="5" t="s">
        <v>14</v>
      </c>
      <c r="G2385">
        <v>3</v>
      </c>
    </row>
    <row r="2386" spans="1:7" x14ac:dyDescent="0.35">
      <c r="A2386">
        <v>75703</v>
      </c>
      <c r="B2386">
        <v>2</v>
      </c>
      <c r="C2386" s="5" t="s">
        <v>44</v>
      </c>
      <c r="D2386">
        <v>4401</v>
      </c>
      <c r="E2386" s="5" t="s">
        <v>89</v>
      </c>
      <c r="F2386" s="5" t="s">
        <v>17</v>
      </c>
      <c r="G2386">
        <v>6</v>
      </c>
    </row>
    <row r="2387" spans="1:7" x14ac:dyDescent="0.35">
      <c r="A2387">
        <v>19641</v>
      </c>
      <c r="B2387">
        <v>0</v>
      </c>
      <c r="C2387" s="5" t="s">
        <v>18</v>
      </c>
      <c r="D2387">
        <v>4401</v>
      </c>
      <c r="E2387" s="5" t="s">
        <v>80</v>
      </c>
      <c r="F2387" s="5" t="s">
        <v>17</v>
      </c>
      <c r="G2387">
        <v>30</v>
      </c>
    </row>
    <row r="2388" spans="1:7" x14ac:dyDescent="0.35">
      <c r="A2388">
        <v>191531</v>
      </c>
      <c r="B2388">
        <v>4</v>
      </c>
      <c r="C2388" s="5" t="s">
        <v>21</v>
      </c>
      <c r="D2388">
        <v>3701</v>
      </c>
      <c r="E2388" s="5" t="s">
        <v>86</v>
      </c>
      <c r="F2388" s="5" t="s">
        <v>86</v>
      </c>
      <c r="G2388">
        <v>13</v>
      </c>
    </row>
    <row r="2389" spans="1:7" x14ac:dyDescent="0.35">
      <c r="A2389">
        <v>1092</v>
      </c>
      <c r="B2389">
        <v>0</v>
      </c>
      <c r="C2389" s="5" t="s">
        <v>21</v>
      </c>
      <c r="D2389">
        <v>2801</v>
      </c>
      <c r="E2389" s="5" t="s">
        <v>85</v>
      </c>
      <c r="F2389" s="5" t="s">
        <v>14</v>
      </c>
      <c r="G2389">
        <v>15</v>
      </c>
    </row>
    <row r="2390" spans="1:7" x14ac:dyDescent="0.35">
      <c r="A2390">
        <v>69034</v>
      </c>
      <c r="B2390">
        <v>1</v>
      </c>
      <c r="C2390" s="5" t="s">
        <v>26</v>
      </c>
      <c r="D2390">
        <v>2001</v>
      </c>
      <c r="E2390" s="5" t="s">
        <v>82</v>
      </c>
      <c r="F2390" s="5" t="s">
        <v>14</v>
      </c>
      <c r="G2390">
        <v>25</v>
      </c>
    </row>
    <row r="2391" spans="1:7" x14ac:dyDescent="0.35">
      <c r="A2391">
        <v>40919</v>
      </c>
      <c r="B2391">
        <v>0</v>
      </c>
      <c r="C2391" s="5" t="s">
        <v>13</v>
      </c>
      <c r="D2391">
        <v>1801</v>
      </c>
      <c r="E2391" s="5" t="s">
        <v>78</v>
      </c>
      <c r="F2391" s="5" t="s">
        <v>41</v>
      </c>
      <c r="G2391">
        <v>10</v>
      </c>
    </row>
    <row r="2392" spans="1:7" x14ac:dyDescent="0.35">
      <c r="A2392">
        <v>64203</v>
      </c>
      <c r="B2392">
        <v>1</v>
      </c>
      <c r="C2392" s="5" t="s">
        <v>30</v>
      </c>
      <c r="D2392">
        <v>3610</v>
      </c>
      <c r="E2392" s="5" t="s">
        <v>78</v>
      </c>
      <c r="F2392" s="5" t="s">
        <v>14</v>
      </c>
      <c r="G2392">
        <v>6</v>
      </c>
    </row>
    <row r="2393" spans="1:7" x14ac:dyDescent="0.35">
      <c r="A2393">
        <v>151995</v>
      </c>
      <c r="B2393">
        <v>2</v>
      </c>
      <c r="C2393" s="5" t="s">
        <v>21</v>
      </c>
      <c r="D2393">
        <v>2212</v>
      </c>
      <c r="E2393" s="5" t="s">
        <v>83</v>
      </c>
      <c r="F2393" s="5" t="s">
        <v>17</v>
      </c>
      <c r="G2393">
        <v>25</v>
      </c>
    </row>
    <row r="2394" spans="1:7" x14ac:dyDescent="0.35">
      <c r="A2394">
        <v>188284</v>
      </c>
      <c r="B2394">
        <v>0</v>
      </c>
      <c r="C2394" s="5" t="s">
        <v>18</v>
      </c>
      <c r="D2394">
        <v>3801</v>
      </c>
      <c r="E2394" s="5" t="s">
        <v>82</v>
      </c>
      <c r="F2394" s="5" t="s">
        <v>17</v>
      </c>
      <c r="G2394">
        <v>5</v>
      </c>
    </row>
    <row r="2395" spans="1:7" x14ac:dyDescent="0.35">
      <c r="A2395">
        <v>58147</v>
      </c>
      <c r="B2395">
        <v>1</v>
      </c>
      <c r="C2395" s="5" t="s">
        <v>53</v>
      </c>
      <c r="D2395">
        <v>4106</v>
      </c>
      <c r="E2395" s="5" t="s">
        <v>89</v>
      </c>
      <c r="F2395" s="5" t="s">
        <v>14</v>
      </c>
      <c r="G2395">
        <v>5</v>
      </c>
    </row>
    <row r="2396" spans="1:7" x14ac:dyDescent="0.35">
      <c r="A2396">
        <v>51269</v>
      </c>
      <c r="B2396">
        <v>0</v>
      </c>
      <c r="C2396" s="5" t="s">
        <v>49</v>
      </c>
      <c r="D2396">
        <v>4801</v>
      </c>
      <c r="E2396" s="5" t="s">
        <v>89</v>
      </c>
      <c r="F2396" s="5" t="s">
        <v>17</v>
      </c>
      <c r="G2396">
        <v>5</v>
      </c>
    </row>
    <row r="2397" spans="1:7" x14ac:dyDescent="0.35">
      <c r="A2397">
        <v>113261</v>
      </c>
      <c r="B2397">
        <v>1002</v>
      </c>
      <c r="C2397" s="5" t="s">
        <v>28</v>
      </c>
      <c r="D2397">
        <v>0</v>
      </c>
      <c r="E2397" s="5" t="s">
        <v>87</v>
      </c>
      <c r="F2397" s="5" t="s">
        <v>14</v>
      </c>
      <c r="G2397">
        <v>7</v>
      </c>
    </row>
    <row r="2398" spans="1:7" x14ac:dyDescent="0.35">
      <c r="A2398">
        <v>12785</v>
      </c>
      <c r="B2398">
        <v>28</v>
      </c>
      <c r="C2398" s="5" t="s">
        <v>16</v>
      </c>
      <c r="D2398">
        <v>1001</v>
      </c>
      <c r="E2398" s="5" t="s">
        <v>86</v>
      </c>
      <c r="F2398" s="5" t="s">
        <v>17</v>
      </c>
      <c r="G2398">
        <v>10</v>
      </c>
    </row>
    <row r="2399" spans="1:7" x14ac:dyDescent="0.35">
      <c r="A2399">
        <v>364</v>
      </c>
      <c r="B2399">
        <v>28</v>
      </c>
      <c r="C2399" s="5" t="s">
        <v>21</v>
      </c>
      <c r="D2399">
        <v>3801</v>
      </c>
      <c r="E2399" s="5" t="s">
        <v>85</v>
      </c>
      <c r="F2399" s="5" t="s">
        <v>17</v>
      </c>
      <c r="G2399">
        <v>10</v>
      </c>
    </row>
    <row r="2400" spans="1:7" x14ac:dyDescent="0.35">
      <c r="A2400">
        <v>163857</v>
      </c>
      <c r="B2400">
        <v>1</v>
      </c>
      <c r="C2400" s="5" t="s">
        <v>21</v>
      </c>
      <c r="D2400">
        <v>0</v>
      </c>
      <c r="E2400" s="5" t="s">
        <v>85</v>
      </c>
      <c r="F2400" s="5" t="s">
        <v>14</v>
      </c>
      <c r="G2400">
        <v>25</v>
      </c>
    </row>
    <row r="2401" spans="1:7" x14ac:dyDescent="0.35">
      <c r="A2401">
        <v>12312</v>
      </c>
      <c r="B2401">
        <v>0</v>
      </c>
      <c r="C2401" s="5" t="s">
        <v>21</v>
      </c>
      <c r="D2401">
        <v>0</v>
      </c>
      <c r="E2401" s="5" t="s">
        <v>87</v>
      </c>
      <c r="F2401" s="5" t="s">
        <v>17</v>
      </c>
      <c r="G2401">
        <v>95</v>
      </c>
    </row>
    <row r="2402" spans="1:7" x14ac:dyDescent="0.35">
      <c r="A2402">
        <v>95351</v>
      </c>
      <c r="B2402">
        <v>2</v>
      </c>
      <c r="C2402" s="5" t="s">
        <v>16</v>
      </c>
      <c r="D2402">
        <v>3804</v>
      </c>
      <c r="E2402" s="5" t="s">
        <v>84</v>
      </c>
      <c r="F2402" s="5" t="s">
        <v>17</v>
      </c>
      <c r="G2402">
        <v>12</v>
      </c>
    </row>
    <row r="2403" spans="1:7" x14ac:dyDescent="0.35">
      <c r="A2403">
        <v>147464</v>
      </c>
      <c r="B2403">
        <v>0</v>
      </c>
      <c r="C2403" s="5" t="s">
        <v>21</v>
      </c>
      <c r="D2403">
        <v>3301</v>
      </c>
      <c r="E2403" s="5" t="s">
        <v>83</v>
      </c>
      <c r="F2403" s="5" t="s">
        <v>14</v>
      </c>
      <c r="G2403">
        <v>30</v>
      </c>
    </row>
    <row r="2404" spans="1:7" x14ac:dyDescent="0.35">
      <c r="A2404">
        <v>155388</v>
      </c>
      <c r="B2404">
        <v>0</v>
      </c>
      <c r="C2404" s="5" t="s">
        <v>21</v>
      </c>
      <c r="D2404">
        <v>3201</v>
      </c>
      <c r="E2404" s="5" t="s">
        <v>80</v>
      </c>
      <c r="F2404" s="5" t="s">
        <v>17</v>
      </c>
      <c r="G2404">
        <v>20</v>
      </c>
    </row>
    <row r="2405" spans="1:7" x14ac:dyDescent="0.35">
      <c r="A2405">
        <v>90566</v>
      </c>
      <c r="B2405">
        <v>0</v>
      </c>
      <c r="C2405" s="5" t="s">
        <v>16</v>
      </c>
      <c r="D2405">
        <v>5703</v>
      </c>
      <c r="E2405" s="5" t="s">
        <v>78</v>
      </c>
      <c r="F2405" s="5" t="s">
        <v>17</v>
      </c>
      <c r="G2405">
        <v>15</v>
      </c>
    </row>
    <row r="2406" spans="1:7" x14ac:dyDescent="0.35">
      <c r="A2406">
        <v>186013</v>
      </c>
      <c r="B2406">
        <v>0</v>
      </c>
      <c r="C2406" s="5" t="s">
        <v>40</v>
      </c>
      <c r="D2406">
        <v>2002</v>
      </c>
      <c r="E2406" s="5" t="s">
        <v>79</v>
      </c>
      <c r="F2406" s="5" t="s">
        <v>17</v>
      </c>
      <c r="G2406">
        <v>15</v>
      </c>
    </row>
    <row r="2407" spans="1:7" x14ac:dyDescent="0.35">
      <c r="A2407">
        <v>112406</v>
      </c>
      <c r="B2407">
        <v>0</v>
      </c>
      <c r="C2407" s="5" t="s">
        <v>29</v>
      </c>
      <c r="D2407">
        <v>0</v>
      </c>
      <c r="E2407" s="5" t="s">
        <v>81</v>
      </c>
      <c r="F2407" s="5" t="s">
        <v>17</v>
      </c>
      <c r="G2407">
        <v>25</v>
      </c>
    </row>
    <row r="2408" spans="1:7" x14ac:dyDescent="0.35">
      <c r="A2408">
        <v>14191</v>
      </c>
      <c r="B2408">
        <v>1</v>
      </c>
      <c r="C2408" s="5" t="s">
        <v>20</v>
      </c>
      <c r="D2408">
        <v>0</v>
      </c>
      <c r="E2408" s="5" t="s">
        <v>81</v>
      </c>
      <c r="F2408" s="5" t="s">
        <v>14</v>
      </c>
      <c r="G2408">
        <v>5</v>
      </c>
    </row>
    <row r="2409" spans="1:7" x14ac:dyDescent="0.35">
      <c r="A2409">
        <v>95132</v>
      </c>
      <c r="B2409">
        <v>0</v>
      </c>
      <c r="C2409" s="5" t="s">
        <v>16</v>
      </c>
      <c r="D2409">
        <v>1601</v>
      </c>
      <c r="E2409" s="5" t="s">
        <v>81</v>
      </c>
      <c r="F2409" s="5" t="s">
        <v>17</v>
      </c>
      <c r="G2409">
        <v>25</v>
      </c>
    </row>
    <row r="2410" spans="1:7" x14ac:dyDescent="0.35">
      <c r="A2410">
        <v>130926</v>
      </c>
      <c r="B2410">
        <v>0</v>
      </c>
      <c r="C2410" s="5" t="s">
        <v>45</v>
      </c>
      <c r="D2410">
        <v>3001</v>
      </c>
      <c r="E2410" s="5" t="s">
        <v>84</v>
      </c>
      <c r="F2410" s="5" t="s">
        <v>17</v>
      </c>
      <c r="G2410">
        <v>5</v>
      </c>
    </row>
    <row r="2411" spans="1:7" x14ac:dyDescent="0.35">
      <c r="A2411">
        <v>168535</v>
      </c>
      <c r="B2411">
        <v>0</v>
      </c>
      <c r="C2411" s="5" t="s">
        <v>21</v>
      </c>
      <c r="D2411">
        <v>5401</v>
      </c>
      <c r="E2411" s="5" t="s">
        <v>93</v>
      </c>
      <c r="F2411" s="5" t="s">
        <v>14</v>
      </c>
      <c r="G2411">
        <v>35</v>
      </c>
    </row>
    <row r="2412" spans="1:7" x14ac:dyDescent="0.35">
      <c r="A2412">
        <v>92749</v>
      </c>
      <c r="B2412">
        <v>1</v>
      </c>
      <c r="C2412" s="5" t="s">
        <v>16</v>
      </c>
      <c r="D2412">
        <v>4201</v>
      </c>
      <c r="E2412" s="5" t="s">
        <v>83</v>
      </c>
      <c r="F2412" s="5" t="s">
        <v>14</v>
      </c>
      <c r="G2412">
        <v>15</v>
      </c>
    </row>
    <row r="2413" spans="1:7" x14ac:dyDescent="0.35">
      <c r="A2413">
        <v>19129</v>
      </c>
      <c r="B2413">
        <v>0</v>
      </c>
      <c r="C2413" s="5" t="s">
        <v>18</v>
      </c>
      <c r="D2413">
        <v>4201</v>
      </c>
      <c r="E2413" s="5" t="s">
        <v>79</v>
      </c>
      <c r="F2413" s="5" t="s">
        <v>17</v>
      </c>
      <c r="G2413">
        <v>5</v>
      </c>
    </row>
    <row r="2414" spans="1:7" x14ac:dyDescent="0.35">
      <c r="A2414">
        <v>114912</v>
      </c>
      <c r="B2414">
        <v>2</v>
      </c>
      <c r="C2414" s="5" t="s">
        <v>28</v>
      </c>
      <c r="D2414">
        <v>0</v>
      </c>
      <c r="E2414" s="5" t="s">
        <v>79</v>
      </c>
      <c r="F2414" s="5" t="s">
        <v>17</v>
      </c>
      <c r="G2414">
        <v>25</v>
      </c>
    </row>
    <row r="2415" spans="1:7" x14ac:dyDescent="0.35">
      <c r="A2415">
        <v>164651</v>
      </c>
      <c r="B2415">
        <v>0</v>
      </c>
      <c r="C2415" s="5" t="s">
        <v>21</v>
      </c>
      <c r="D2415">
        <v>3201</v>
      </c>
      <c r="E2415" s="5" t="s">
        <v>93</v>
      </c>
      <c r="F2415" s="5" t="s">
        <v>17</v>
      </c>
      <c r="G2415">
        <v>5</v>
      </c>
    </row>
    <row r="2416" spans="1:7" x14ac:dyDescent="0.35">
      <c r="A2416">
        <v>94113</v>
      </c>
      <c r="B2416">
        <v>0</v>
      </c>
      <c r="C2416" s="5" t="s">
        <v>16</v>
      </c>
      <c r="D2416">
        <v>4711</v>
      </c>
      <c r="E2416" s="5" t="s">
        <v>92</v>
      </c>
      <c r="F2416" s="5" t="s">
        <v>17</v>
      </c>
      <c r="G2416">
        <v>10</v>
      </c>
    </row>
    <row r="2417" spans="1:7" x14ac:dyDescent="0.35">
      <c r="A2417">
        <v>116453</v>
      </c>
      <c r="B2417">
        <v>0</v>
      </c>
      <c r="C2417" s="5" t="s">
        <v>20</v>
      </c>
      <c r="D2417">
        <v>7201</v>
      </c>
      <c r="E2417" s="5" t="s">
        <v>83</v>
      </c>
      <c r="F2417" s="5" t="s">
        <v>17</v>
      </c>
      <c r="G2417">
        <v>15</v>
      </c>
    </row>
    <row r="2418" spans="1:7" x14ac:dyDescent="0.35">
      <c r="A2418">
        <v>72409</v>
      </c>
      <c r="B2418">
        <v>0</v>
      </c>
      <c r="C2418" s="5" t="s">
        <v>26</v>
      </c>
      <c r="D2418">
        <v>811</v>
      </c>
      <c r="E2418" s="5" t="s">
        <v>94</v>
      </c>
      <c r="F2418" s="5" t="s">
        <v>17</v>
      </c>
      <c r="G2418">
        <v>10</v>
      </c>
    </row>
    <row r="2419" spans="1:7" x14ac:dyDescent="0.35">
      <c r="A2419">
        <v>190634</v>
      </c>
      <c r="B2419">
        <v>0</v>
      </c>
      <c r="C2419" s="5" t="s">
        <v>43</v>
      </c>
      <c r="D2419">
        <v>1711</v>
      </c>
      <c r="E2419" s="5" t="s">
        <v>82</v>
      </c>
      <c r="F2419" s="5" t="s">
        <v>86</v>
      </c>
      <c r="G2419">
        <v>20</v>
      </c>
    </row>
    <row r="2420" spans="1:7" x14ac:dyDescent="0.35">
      <c r="A2420">
        <v>128975</v>
      </c>
      <c r="B2420">
        <v>0</v>
      </c>
      <c r="C2420" s="5" t="s">
        <v>63</v>
      </c>
      <c r="D2420">
        <v>6007</v>
      </c>
      <c r="E2420" s="5" t="s">
        <v>80</v>
      </c>
      <c r="F2420" s="5" t="s">
        <v>14</v>
      </c>
      <c r="G2420">
        <v>15</v>
      </c>
    </row>
    <row r="2421" spans="1:7" x14ac:dyDescent="0.35">
      <c r="A2421">
        <v>137039</v>
      </c>
      <c r="B2421">
        <v>2</v>
      </c>
      <c r="C2421" s="5" t="s">
        <v>51</v>
      </c>
      <c r="D2421">
        <v>3601</v>
      </c>
      <c r="E2421" s="5" t="s">
        <v>84</v>
      </c>
      <c r="F2421" s="5" t="s">
        <v>17</v>
      </c>
      <c r="G2421">
        <v>10</v>
      </c>
    </row>
    <row r="2422" spans="1:7" x14ac:dyDescent="0.35">
      <c r="A2422">
        <v>177927</v>
      </c>
      <c r="B2422">
        <v>0</v>
      </c>
      <c r="C2422" s="5" t="s">
        <v>47</v>
      </c>
      <c r="D2422">
        <v>2310</v>
      </c>
      <c r="E2422" s="5" t="s">
        <v>81</v>
      </c>
      <c r="F2422" s="5" t="s">
        <v>14</v>
      </c>
      <c r="G2422">
        <v>15</v>
      </c>
    </row>
    <row r="2423" spans="1:7" x14ac:dyDescent="0.35">
      <c r="A2423">
        <v>122988</v>
      </c>
      <c r="B2423">
        <v>0</v>
      </c>
      <c r="C2423" s="5" t="s">
        <v>20</v>
      </c>
      <c r="D2423">
        <v>5601</v>
      </c>
      <c r="E2423" s="5" t="s">
        <v>82</v>
      </c>
      <c r="F2423" s="5" t="s">
        <v>17</v>
      </c>
      <c r="G2423">
        <v>14</v>
      </c>
    </row>
    <row r="2424" spans="1:7" x14ac:dyDescent="0.35">
      <c r="A2424">
        <v>142765</v>
      </c>
      <c r="B2424">
        <v>1</v>
      </c>
      <c r="C2424" s="5" t="s">
        <v>21</v>
      </c>
      <c r="D2424">
        <v>6601</v>
      </c>
      <c r="E2424" s="5" t="s">
        <v>93</v>
      </c>
      <c r="F2424" s="5" t="s">
        <v>14</v>
      </c>
      <c r="G2424">
        <v>20</v>
      </c>
    </row>
    <row r="2425" spans="1:7" x14ac:dyDescent="0.35">
      <c r="A2425">
        <v>48506</v>
      </c>
      <c r="B2425">
        <v>2</v>
      </c>
      <c r="C2425" s="5" t="s">
        <v>40</v>
      </c>
      <c r="D2425">
        <v>0</v>
      </c>
      <c r="E2425" s="5" t="s">
        <v>89</v>
      </c>
      <c r="F2425" s="5" t="s">
        <v>17</v>
      </c>
      <c r="G2425">
        <v>18</v>
      </c>
    </row>
    <row r="2426" spans="1:7" x14ac:dyDescent="0.35">
      <c r="A2426">
        <v>189666</v>
      </c>
      <c r="B2426">
        <v>2</v>
      </c>
      <c r="C2426" s="5" t="s">
        <v>47</v>
      </c>
      <c r="D2426">
        <v>0</v>
      </c>
      <c r="E2426" s="5" t="s">
        <v>83</v>
      </c>
      <c r="F2426" s="5" t="s">
        <v>17</v>
      </c>
      <c r="G2426">
        <v>15</v>
      </c>
    </row>
    <row r="2427" spans="1:7" x14ac:dyDescent="0.35">
      <c r="A2427">
        <v>159826</v>
      </c>
      <c r="B2427">
        <v>2</v>
      </c>
      <c r="C2427" s="5" t="s">
        <v>21</v>
      </c>
      <c r="D2427">
        <v>2401</v>
      </c>
      <c r="E2427" s="5" t="s">
        <v>78</v>
      </c>
      <c r="F2427" s="5" t="s">
        <v>17</v>
      </c>
      <c r="G2427">
        <v>5</v>
      </c>
    </row>
    <row r="2428" spans="1:7" x14ac:dyDescent="0.35">
      <c r="A2428">
        <v>181891</v>
      </c>
      <c r="B2428">
        <v>0</v>
      </c>
      <c r="C2428" s="5" t="s">
        <v>37</v>
      </c>
      <c r="D2428">
        <v>3401</v>
      </c>
      <c r="E2428" s="5" t="s">
        <v>79</v>
      </c>
      <c r="F2428" s="5" t="s">
        <v>27</v>
      </c>
      <c r="G2428">
        <v>25</v>
      </c>
    </row>
    <row r="2429" spans="1:7" x14ac:dyDescent="0.35">
      <c r="A2429">
        <v>128162</v>
      </c>
      <c r="B2429">
        <v>3</v>
      </c>
      <c r="C2429" s="5" t="s">
        <v>20</v>
      </c>
      <c r="D2429">
        <v>2901</v>
      </c>
      <c r="E2429" s="5" t="s">
        <v>82</v>
      </c>
      <c r="F2429" s="5" t="s">
        <v>17</v>
      </c>
      <c r="G2429">
        <v>8</v>
      </c>
    </row>
    <row r="2430" spans="1:7" x14ac:dyDescent="0.35">
      <c r="A2430">
        <v>107040</v>
      </c>
      <c r="B2430">
        <v>0</v>
      </c>
      <c r="C2430" s="5" t="s">
        <v>55</v>
      </c>
      <c r="D2430">
        <v>2701</v>
      </c>
      <c r="E2430" s="5" t="s">
        <v>78</v>
      </c>
      <c r="F2430" s="5" t="s">
        <v>14</v>
      </c>
      <c r="G2430">
        <v>10</v>
      </c>
    </row>
    <row r="2431" spans="1:7" x14ac:dyDescent="0.35">
      <c r="A2431">
        <v>97596</v>
      </c>
      <c r="B2431">
        <v>0</v>
      </c>
      <c r="C2431" s="5" t="s">
        <v>16</v>
      </c>
      <c r="D2431">
        <v>5801</v>
      </c>
      <c r="E2431" s="5" t="s">
        <v>87</v>
      </c>
      <c r="F2431" s="5" t="s">
        <v>17</v>
      </c>
      <c r="G2431">
        <v>15</v>
      </c>
    </row>
    <row r="2432" spans="1:7" x14ac:dyDescent="0.35">
      <c r="A2432">
        <v>12049</v>
      </c>
      <c r="B2432">
        <v>0</v>
      </c>
      <c r="C2432" s="5" t="s">
        <v>29</v>
      </c>
      <c r="D2432">
        <v>2812</v>
      </c>
      <c r="E2432" s="5" t="s">
        <v>89</v>
      </c>
      <c r="F2432" s="5" t="s">
        <v>14</v>
      </c>
      <c r="G2432">
        <v>5</v>
      </c>
    </row>
    <row r="2433" spans="1:7" x14ac:dyDescent="0.35">
      <c r="A2433">
        <v>160334</v>
      </c>
      <c r="B2433">
        <v>2</v>
      </c>
      <c r="C2433" s="5" t="s">
        <v>21</v>
      </c>
      <c r="D2433">
        <v>2001</v>
      </c>
      <c r="E2433" s="5" t="s">
        <v>82</v>
      </c>
      <c r="F2433" s="5" t="s">
        <v>17</v>
      </c>
      <c r="G2433">
        <v>15</v>
      </c>
    </row>
    <row r="2434" spans="1:7" x14ac:dyDescent="0.35">
      <c r="A2434">
        <v>132522</v>
      </c>
      <c r="B2434">
        <v>1</v>
      </c>
      <c r="C2434" s="5" t="s">
        <v>58</v>
      </c>
      <c r="D2434">
        <v>0</v>
      </c>
      <c r="E2434" s="5" t="s">
        <v>78</v>
      </c>
      <c r="F2434" s="5" t="s">
        <v>14</v>
      </c>
      <c r="G2434">
        <v>7</v>
      </c>
    </row>
    <row r="2435" spans="1:7" x14ac:dyDescent="0.35">
      <c r="A2435">
        <v>190155</v>
      </c>
      <c r="B2435">
        <v>0</v>
      </c>
      <c r="C2435" s="5" t="s">
        <v>51</v>
      </c>
      <c r="D2435">
        <v>0</v>
      </c>
      <c r="E2435" s="5" t="s">
        <v>91</v>
      </c>
      <c r="F2435" s="5" t="s">
        <v>17</v>
      </c>
      <c r="G2435">
        <v>15</v>
      </c>
    </row>
    <row r="2436" spans="1:7" x14ac:dyDescent="0.35">
      <c r="A2436">
        <v>151484</v>
      </c>
      <c r="B2436">
        <v>1</v>
      </c>
      <c r="C2436" s="5" t="s">
        <v>21</v>
      </c>
      <c r="D2436">
        <v>6201</v>
      </c>
      <c r="E2436" s="5" t="s">
        <v>85</v>
      </c>
      <c r="F2436" s="5" t="s">
        <v>14</v>
      </c>
      <c r="G2436">
        <v>14</v>
      </c>
    </row>
    <row r="2437" spans="1:7" x14ac:dyDescent="0.35">
      <c r="A2437">
        <v>6981</v>
      </c>
      <c r="B2437">
        <v>2</v>
      </c>
      <c r="C2437" s="5" t="s">
        <v>16</v>
      </c>
      <c r="D2437">
        <v>0</v>
      </c>
      <c r="E2437" s="5" t="s">
        <v>86</v>
      </c>
      <c r="F2437" s="5" t="s">
        <v>17</v>
      </c>
      <c r="G2437">
        <v>10</v>
      </c>
    </row>
    <row r="2438" spans="1:7" x14ac:dyDescent="0.35">
      <c r="A2438">
        <v>154055</v>
      </c>
      <c r="B2438">
        <v>0</v>
      </c>
      <c r="C2438" s="5" t="s">
        <v>21</v>
      </c>
      <c r="D2438">
        <v>0</v>
      </c>
      <c r="E2438" s="5" t="s">
        <v>83</v>
      </c>
      <c r="F2438" s="5" t="s">
        <v>17</v>
      </c>
      <c r="G2438">
        <v>10</v>
      </c>
    </row>
    <row r="2439" spans="1:7" x14ac:dyDescent="0.35">
      <c r="A2439">
        <v>122664</v>
      </c>
      <c r="B2439">
        <v>0</v>
      </c>
      <c r="C2439" s="5" t="s">
        <v>20</v>
      </c>
      <c r="D2439">
        <v>4501</v>
      </c>
      <c r="E2439" s="5" t="s">
        <v>79</v>
      </c>
      <c r="F2439" s="5" t="s">
        <v>17</v>
      </c>
      <c r="G2439">
        <v>20</v>
      </c>
    </row>
    <row r="2440" spans="1:7" x14ac:dyDescent="0.35">
      <c r="A2440">
        <v>157275</v>
      </c>
      <c r="B2440">
        <v>0</v>
      </c>
      <c r="C2440" s="5" t="s">
        <v>21</v>
      </c>
      <c r="D2440">
        <v>2001</v>
      </c>
      <c r="E2440" s="5" t="s">
        <v>83</v>
      </c>
      <c r="F2440" s="5" t="s">
        <v>17</v>
      </c>
      <c r="G2440">
        <v>10</v>
      </c>
    </row>
    <row r="2441" spans="1:7" x14ac:dyDescent="0.35">
      <c r="A2441">
        <v>149769</v>
      </c>
      <c r="B2441">
        <v>2</v>
      </c>
      <c r="C2441" s="5" t="s">
        <v>21</v>
      </c>
      <c r="D2441">
        <v>3001</v>
      </c>
      <c r="E2441" s="5" t="s">
        <v>93</v>
      </c>
      <c r="F2441" s="5" t="s">
        <v>17</v>
      </c>
      <c r="G2441">
        <v>46</v>
      </c>
    </row>
    <row r="2442" spans="1:7" x14ac:dyDescent="0.35">
      <c r="A2442">
        <v>90314</v>
      </c>
      <c r="B2442">
        <v>2</v>
      </c>
      <c r="C2442" s="5" t="s">
        <v>16</v>
      </c>
      <c r="D2442">
        <v>3407</v>
      </c>
      <c r="E2442" s="5" t="s">
        <v>83</v>
      </c>
      <c r="F2442" s="5" t="s">
        <v>17</v>
      </c>
      <c r="G2442">
        <v>7</v>
      </c>
    </row>
    <row r="2443" spans="1:7" x14ac:dyDescent="0.35">
      <c r="A2443">
        <v>175396</v>
      </c>
      <c r="B2443">
        <v>0</v>
      </c>
      <c r="C2443" s="5" t="s">
        <v>47</v>
      </c>
      <c r="D2443">
        <v>5312</v>
      </c>
      <c r="E2443" s="5" t="s">
        <v>92</v>
      </c>
      <c r="F2443" s="5" t="s">
        <v>17</v>
      </c>
      <c r="G2443">
        <v>22</v>
      </c>
    </row>
    <row r="2444" spans="1:7" x14ac:dyDescent="0.35">
      <c r="A2444">
        <v>133949</v>
      </c>
      <c r="B2444">
        <v>1</v>
      </c>
      <c r="C2444" s="5" t="s">
        <v>35</v>
      </c>
      <c r="D2444">
        <v>0</v>
      </c>
      <c r="E2444" s="5" t="s">
        <v>79</v>
      </c>
      <c r="F2444" s="5" t="s">
        <v>14</v>
      </c>
      <c r="G2444">
        <v>6</v>
      </c>
    </row>
    <row r="2445" spans="1:7" x14ac:dyDescent="0.35">
      <c r="A2445">
        <v>164461</v>
      </c>
      <c r="B2445">
        <v>0</v>
      </c>
      <c r="C2445" s="5" t="s">
        <v>21</v>
      </c>
      <c r="D2445">
        <v>5601</v>
      </c>
      <c r="E2445" s="5" t="s">
        <v>83</v>
      </c>
      <c r="F2445" s="5" t="s">
        <v>14</v>
      </c>
      <c r="G2445">
        <v>8</v>
      </c>
    </row>
    <row r="2446" spans="1:7" x14ac:dyDescent="0.35">
      <c r="A2446">
        <v>119089</v>
      </c>
      <c r="B2446">
        <v>0</v>
      </c>
      <c r="C2446" s="5" t="s">
        <v>20</v>
      </c>
      <c r="D2446">
        <v>2301</v>
      </c>
      <c r="E2446" s="5" t="s">
        <v>81</v>
      </c>
      <c r="F2446" s="5" t="s">
        <v>14</v>
      </c>
      <c r="G2446">
        <v>11</v>
      </c>
    </row>
    <row r="2447" spans="1:7" x14ac:dyDescent="0.35">
      <c r="A2447">
        <v>61421</v>
      </c>
      <c r="B2447">
        <v>2</v>
      </c>
      <c r="C2447" s="5" t="s">
        <v>30</v>
      </c>
      <c r="D2447">
        <v>1807</v>
      </c>
      <c r="E2447" s="5" t="s">
        <v>87</v>
      </c>
      <c r="F2447" s="5" t="s">
        <v>17</v>
      </c>
      <c r="G2447">
        <v>20</v>
      </c>
    </row>
    <row r="2448" spans="1:7" x14ac:dyDescent="0.35">
      <c r="A2448">
        <v>5546</v>
      </c>
      <c r="B2448">
        <v>2</v>
      </c>
      <c r="C2448" s="5" t="s">
        <v>13</v>
      </c>
      <c r="D2448">
        <v>1905</v>
      </c>
      <c r="E2448" s="5" t="s">
        <v>78</v>
      </c>
      <c r="F2448" s="5" t="s">
        <v>17</v>
      </c>
      <c r="G2448">
        <v>10</v>
      </c>
    </row>
    <row r="2449" spans="1:7" x14ac:dyDescent="0.35">
      <c r="A2449">
        <v>183747</v>
      </c>
      <c r="B2449">
        <v>0</v>
      </c>
      <c r="C2449" s="5" t="s">
        <v>37</v>
      </c>
      <c r="D2449">
        <v>4701</v>
      </c>
      <c r="E2449" s="5" t="s">
        <v>90</v>
      </c>
      <c r="F2449" s="5" t="s">
        <v>17</v>
      </c>
      <c r="G2449">
        <v>25</v>
      </c>
    </row>
    <row r="2450" spans="1:7" x14ac:dyDescent="0.35">
      <c r="A2450">
        <v>20802</v>
      </c>
      <c r="B2450">
        <v>0</v>
      </c>
      <c r="C2450" s="5" t="s">
        <v>18</v>
      </c>
      <c r="D2450">
        <v>2501</v>
      </c>
      <c r="E2450" s="5" t="s">
        <v>79</v>
      </c>
      <c r="F2450" s="5" t="s">
        <v>27</v>
      </c>
      <c r="G2450">
        <v>25</v>
      </c>
    </row>
    <row r="2451" spans="1:7" x14ac:dyDescent="0.35">
      <c r="A2451">
        <v>107644</v>
      </c>
      <c r="B2451">
        <v>1</v>
      </c>
      <c r="C2451" s="5" t="s">
        <v>55</v>
      </c>
      <c r="D2451">
        <v>2109</v>
      </c>
      <c r="E2451" s="5" t="s">
        <v>81</v>
      </c>
      <c r="F2451" s="5" t="s">
        <v>14</v>
      </c>
      <c r="G2451">
        <v>7</v>
      </c>
    </row>
    <row r="2452" spans="1:7" x14ac:dyDescent="0.35">
      <c r="A2452">
        <v>139563</v>
      </c>
      <c r="B2452">
        <v>0</v>
      </c>
      <c r="C2452" s="5" t="s">
        <v>50</v>
      </c>
      <c r="D2452">
        <v>0</v>
      </c>
      <c r="E2452" s="5" t="s">
        <v>83</v>
      </c>
      <c r="F2452" s="5" t="s">
        <v>14</v>
      </c>
      <c r="G2452">
        <v>8</v>
      </c>
    </row>
    <row r="2453" spans="1:7" x14ac:dyDescent="0.35">
      <c r="A2453">
        <v>191134</v>
      </c>
      <c r="B2453">
        <v>0</v>
      </c>
      <c r="C2453" s="5" t="s">
        <v>25</v>
      </c>
      <c r="D2453">
        <v>0</v>
      </c>
      <c r="E2453" s="5" t="s">
        <v>94</v>
      </c>
      <c r="F2453" s="5" t="s">
        <v>17</v>
      </c>
      <c r="G2453">
        <v>5</v>
      </c>
    </row>
    <row r="2454" spans="1:7" x14ac:dyDescent="0.35">
      <c r="A2454">
        <v>183043</v>
      </c>
      <c r="B2454">
        <v>0</v>
      </c>
      <c r="C2454" s="5" t="s">
        <v>37</v>
      </c>
      <c r="D2454">
        <v>3201</v>
      </c>
      <c r="E2454" s="5" t="s">
        <v>80</v>
      </c>
      <c r="F2454" s="5" t="s">
        <v>14</v>
      </c>
      <c r="G2454">
        <v>25</v>
      </c>
    </row>
    <row r="2455" spans="1:7" x14ac:dyDescent="0.35">
      <c r="A2455">
        <v>165392</v>
      </c>
      <c r="B2455">
        <v>1</v>
      </c>
      <c r="C2455" s="5" t="s">
        <v>21</v>
      </c>
      <c r="D2455">
        <v>0</v>
      </c>
      <c r="E2455" s="5" t="s">
        <v>80</v>
      </c>
      <c r="F2455" s="5" t="s">
        <v>14</v>
      </c>
      <c r="G2455">
        <v>21</v>
      </c>
    </row>
    <row r="2456" spans="1:7" x14ac:dyDescent="0.35">
      <c r="A2456">
        <v>50684</v>
      </c>
      <c r="B2456">
        <v>2</v>
      </c>
      <c r="C2456" s="5" t="s">
        <v>49</v>
      </c>
      <c r="D2456">
        <v>0</v>
      </c>
      <c r="E2456" s="5" t="s">
        <v>81</v>
      </c>
      <c r="F2456" s="5" t="s">
        <v>17</v>
      </c>
      <c r="G2456">
        <v>2</v>
      </c>
    </row>
    <row r="2457" spans="1:7" x14ac:dyDescent="0.35">
      <c r="A2457">
        <v>126819</v>
      </c>
      <c r="B2457">
        <v>1</v>
      </c>
      <c r="C2457" s="5" t="s">
        <v>20</v>
      </c>
      <c r="D2457">
        <v>6201</v>
      </c>
      <c r="E2457" s="5" t="s">
        <v>90</v>
      </c>
      <c r="F2457" s="5" t="s">
        <v>14</v>
      </c>
      <c r="G2457">
        <v>15</v>
      </c>
    </row>
    <row r="2458" spans="1:7" x14ac:dyDescent="0.35">
      <c r="A2458">
        <v>190412</v>
      </c>
      <c r="B2458">
        <v>2</v>
      </c>
      <c r="C2458" s="5" t="s">
        <v>45</v>
      </c>
      <c r="D2458">
        <v>610</v>
      </c>
      <c r="E2458" s="5" t="s">
        <v>83</v>
      </c>
      <c r="F2458" s="5" t="s">
        <v>86</v>
      </c>
      <c r="G2458">
        <v>20</v>
      </c>
    </row>
    <row r="2459" spans="1:7" x14ac:dyDescent="0.35">
      <c r="A2459">
        <v>92085</v>
      </c>
      <c r="B2459">
        <v>1</v>
      </c>
      <c r="C2459" s="5" t="s">
        <v>16</v>
      </c>
      <c r="D2459">
        <v>1909</v>
      </c>
      <c r="E2459" s="5" t="s">
        <v>82</v>
      </c>
      <c r="F2459" s="5" t="s">
        <v>14</v>
      </c>
      <c r="G2459">
        <v>15</v>
      </c>
    </row>
    <row r="2460" spans="1:7" x14ac:dyDescent="0.35">
      <c r="A2460">
        <v>176825</v>
      </c>
      <c r="B2460">
        <v>1</v>
      </c>
      <c r="C2460" s="5" t="s">
        <v>47</v>
      </c>
      <c r="D2460">
        <v>1702</v>
      </c>
      <c r="E2460" s="5" t="s">
        <v>86</v>
      </c>
      <c r="F2460" s="5" t="s">
        <v>14</v>
      </c>
      <c r="G2460">
        <v>12</v>
      </c>
    </row>
    <row r="2461" spans="1:7" x14ac:dyDescent="0.35">
      <c r="A2461">
        <v>168259</v>
      </c>
      <c r="B2461">
        <v>1</v>
      </c>
      <c r="C2461" s="5" t="s">
        <v>21</v>
      </c>
      <c r="D2461">
        <v>2106</v>
      </c>
      <c r="E2461" s="5" t="s">
        <v>85</v>
      </c>
      <c r="F2461" s="5" t="s">
        <v>14</v>
      </c>
      <c r="G2461">
        <v>10</v>
      </c>
    </row>
    <row r="2462" spans="1:7" x14ac:dyDescent="0.35">
      <c r="A2462">
        <v>188801</v>
      </c>
      <c r="B2462">
        <v>0</v>
      </c>
      <c r="C2462" s="5" t="s">
        <v>13</v>
      </c>
      <c r="D2462">
        <v>0</v>
      </c>
      <c r="E2462" s="5" t="s">
        <v>78</v>
      </c>
      <c r="F2462" s="5" t="s">
        <v>27</v>
      </c>
      <c r="G2462">
        <v>15</v>
      </c>
    </row>
    <row r="2463" spans="1:7" x14ac:dyDescent="0.35">
      <c r="A2463">
        <v>80960</v>
      </c>
      <c r="B2463">
        <v>2</v>
      </c>
      <c r="C2463" s="5" t="s">
        <v>32</v>
      </c>
      <c r="D2463">
        <v>2204</v>
      </c>
      <c r="E2463" s="5" t="s">
        <v>79</v>
      </c>
      <c r="F2463" s="5" t="s">
        <v>14</v>
      </c>
      <c r="G2463">
        <v>5</v>
      </c>
    </row>
    <row r="2464" spans="1:7" x14ac:dyDescent="0.35">
      <c r="A2464">
        <v>130407</v>
      </c>
      <c r="B2464">
        <v>0</v>
      </c>
      <c r="C2464" s="5" t="s">
        <v>13</v>
      </c>
      <c r="D2464">
        <v>3101</v>
      </c>
      <c r="E2464" s="5" t="s">
        <v>83</v>
      </c>
      <c r="F2464" s="5" t="s">
        <v>17</v>
      </c>
      <c r="G2464">
        <v>22</v>
      </c>
    </row>
    <row r="2465" spans="1:7" x14ac:dyDescent="0.35">
      <c r="A2465">
        <v>80335</v>
      </c>
      <c r="B2465">
        <v>1</v>
      </c>
      <c r="C2465" s="5" t="s">
        <v>32</v>
      </c>
      <c r="D2465">
        <v>1101</v>
      </c>
      <c r="E2465" s="5" t="s">
        <v>87</v>
      </c>
      <c r="F2465" s="5" t="s">
        <v>14</v>
      </c>
      <c r="G2465">
        <v>5</v>
      </c>
    </row>
    <row r="2466" spans="1:7" x14ac:dyDescent="0.35">
      <c r="A2466">
        <v>183793</v>
      </c>
      <c r="B2466">
        <v>0</v>
      </c>
      <c r="C2466" s="5" t="s">
        <v>37</v>
      </c>
      <c r="D2466">
        <v>0</v>
      </c>
      <c r="E2466" s="5" t="s">
        <v>82</v>
      </c>
      <c r="F2466" s="5" t="s">
        <v>17</v>
      </c>
      <c r="G2466">
        <v>12</v>
      </c>
    </row>
    <row r="2467" spans="1:7" x14ac:dyDescent="0.35">
      <c r="A2467">
        <v>170229</v>
      </c>
      <c r="B2467">
        <v>0</v>
      </c>
      <c r="C2467" s="5" t="s">
        <v>21</v>
      </c>
      <c r="D2467">
        <v>0</v>
      </c>
      <c r="E2467" s="5" t="s">
        <v>79</v>
      </c>
      <c r="F2467" s="5" t="s">
        <v>17</v>
      </c>
      <c r="G2467">
        <v>11</v>
      </c>
    </row>
    <row r="2468" spans="1:7" x14ac:dyDescent="0.35">
      <c r="A2468">
        <v>86073</v>
      </c>
      <c r="B2468">
        <v>0</v>
      </c>
      <c r="C2468" s="5" t="s">
        <v>48</v>
      </c>
      <c r="D2468">
        <v>3801</v>
      </c>
      <c r="E2468" s="5" t="s">
        <v>81</v>
      </c>
      <c r="F2468" s="5" t="s">
        <v>14</v>
      </c>
      <c r="G2468">
        <v>10</v>
      </c>
    </row>
    <row r="2469" spans="1:7" x14ac:dyDescent="0.35">
      <c r="A2469">
        <v>114942</v>
      </c>
      <c r="B2469">
        <v>2</v>
      </c>
      <c r="C2469" s="5" t="s">
        <v>28</v>
      </c>
      <c r="D2469">
        <v>2201</v>
      </c>
      <c r="E2469" s="5" t="s">
        <v>79</v>
      </c>
      <c r="F2469" s="5" t="s">
        <v>17</v>
      </c>
      <c r="G2469">
        <v>20</v>
      </c>
    </row>
    <row r="2470" spans="1:7" x14ac:dyDescent="0.35">
      <c r="A2470">
        <v>31239</v>
      </c>
      <c r="B2470">
        <v>0</v>
      </c>
      <c r="C2470" s="5" t="s">
        <v>36</v>
      </c>
      <c r="D2470">
        <v>0</v>
      </c>
      <c r="E2470" s="5" t="s">
        <v>81</v>
      </c>
      <c r="F2470" s="5" t="s">
        <v>17</v>
      </c>
      <c r="G2470">
        <v>10</v>
      </c>
    </row>
    <row r="2471" spans="1:7" x14ac:dyDescent="0.35">
      <c r="A2471">
        <v>185937</v>
      </c>
      <c r="B2471">
        <v>1</v>
      </c>
      <c r="C2471" s="5" t="s">
        <v>39</v>
      </c>
      <c r="D2471">
        <v>0</v>
      </c>
      <c r="E2471" s="5" t="s">
        <v>86</v>
      </c>
      <c r="F2471" s="5" t="s">
        <v>14</v>
      </c>
      <c r="G2471">
        <v>10</v>
      </c>
    </row>
    <row r="2472" spans="1:7" x14ac:dyDescent="0.35">
      <c r="A2472">
        <v>167799</v>
      </c>
      <c r="B2472">
        <v>0</v>
      </c>
      <c r="C2472" s="5" t="s">
        <v>21</v>
      </c>
      <c r="D2472">
        <v>601</v>
      </c>
      <c r="E2472" s="5" t="s">
        <v>78</v>
      </c>
      <c r="F2472" s="5" t="s">
        <v>17</v>
      </c>
      <c r="G2472">
        <v>20</v>
      </c>
    </row>
    <row r="2473" spans="1:7" x14ac:dyDescent="0.35">
      <c r="A2473">
        <v>23778</v>
      </c>
      <c r="B2473">
        <v>0</v>
      </c>
      <c r="C2473" s="5" t="s">
        <v>43</v>
      </c>
      <c r="D2473">
        <v>1411</v>
      </c>
      <c r="E2473" s="5" t="s">
        <v>83</v>
      </c>
      <c r="F2473" s="5" t="s">
        <v>17</v>
      </c>
      <c r="G2473">
        <v>100</v>
      </c>
    </row>
    <row r="2474" spans="1:7" x14ac:dyDescent="0.35">
      <c r="A2474">
        <v>66322</v>
      </c>
      <c r="B2474">
        <v>1</v>
      </c>
      <c r="C2474" s="5" t="s">
        <v>26</v>
      </c>
      <c r="D2474">
        <v>1301</v>
      </c>
      <c r="E2474" s="5" t="s">
        <v>80</v>
      </c>
      <c r="F2474" s="5" t="s">
        <v>14</v>
      </c>
      <c r="G2474">
        <v>10</v>
      </c>
    </row>
    <row r="2475" spans="1:7" x14ac:dyDescent="0.35">
      <c r="A2475">
        <v>177458</v>
      </c>
      <c r="B2475">
        <v>0</v>
      </c>
      <c r="C2475" s="5" t="s">
        <v>47</v>
      </c>
      <c r="D2475">
        <v>0</v>
      </c>
      <c r="E2475" s="5" t="s">
        <v>81</v>
      </c>
      <c r="F2475" s="5" t="s">
        <v>86</v>
      </c>
      <c r="G2475">
        <v>6</v>
      </c>
    </row>
    <row r="2476" spans="1:7" x14ac:dyDescent="0.35">
      <c r="A2476">
        <v>102222</v>
      </c>
      <c r="B2476">
        <v>0</v>
      </c>
      <c r="C2476" s="5" t="s">
        <v>33</v>
      </c>
      <c r="D2476">
        <v>3307</v>
      </c>
      <c r="E2476" s="5" t="s">
        <v>80</v>
      </c>
      <c r="F2476" s="5" t="s">
        <v>17</v>
      </c>
      <c r="G2476">
        <v>10</v>
      </c>
    </row>
    <row r="2477" spans="1:7" x14ac:dyDescent="0.35">
      <c r="A2477">
        <v>158977</v>
      </c>
      <c r="B2477">
        <v>0</v>
      </c>
      <c r="C2477" s="5" t="s">
        <v>21</v>
      </c>
      <c r="D2477">
        <v>2112</v>
      </c>
      <c r="E2477" s="5" t="s">
        <v>80</v>
      </c>
      <c r="F2477" s="5" t="s">
        <v>14</v>
      </c>
      <c r="G2477">
        <v>5</v>
      </c>
    </row>
    <row r="2478" spans="1:7" x14ac:dyDescent="0.35">
      <c r="A2478">
        <v>127030</v>
      </c>
      <c r="B2478">
        <v>0</v>
      </c>
      <c r="C2478" s="5" t="s">
        <v>20</v>
      </c>
      <c r="D2478">
        <v>0</v>
      </c>
      <c r="E2478" s="5" t="s">
        <v>85</v>
      </c>
      <c r="F2478" s="5" t="s">
        <v>17</v>
      </c>
      <c r="G2478">
        <v>10</v>
      </c>
    </row>
    <row r="2479" spans="1:7" x14ac:dyDescent="0.35">
      <c r="A2479">
        <v>151698</v>
      </c>
      <c r="B2479">
        <v>1</v>
      </c>
      <c r="C2479" s="5" t="s">
        <v>47</v>
      </c>
      <c r="D2479">
        <v>3201</v>
      </c>
      <c r="E2479" s="5" t="s">
        <v>84</v>
      </c>
      <c r="F2479" s="5" t="s">
        <v>14</v>
      </c>
      <c r="G2479">
        <v>20</v>
      </c>
    </row>
    <row r="2480" spans="1:7" x14ac:dyDescent="0.35">
      <c r="A2480">
        <v>1054</v>
      </c>
      <c r="B2480">
        <v>0</v>
      </c>
      <c r="C2480" s="5" t="s">
        <v>21</v>
      </c>
      <c r="D2480">
        <v>0</v>
      </c>
      <c r="E2480" s="5" t="s">
        <v>79</v>
      </c>
      <c r="F2480" s="5" t="s">
        <v>17</v>
      </c>
      <c r="G2480">
        <v>8</v>
      </c>
    </row>
    <row r="2481" spans="1:7" x14ac:dyDescent="0.35">
      <c r="A2481">
        <v>178293</v>
      </c>
      <c r="B2481">
        <v>2</v>
      </c>
      <c r="C2481" s="5" t="s">
        <v>37</v>
      </c>
      <c r="D2481">
        <v>0</v>
      </c>
      <c r="E2481" s="5" t="s">
        <v>83</v>
      </c>
      <c r="F2481" s="5" t="s">
        <v>17</v>
      </c>
      <c r="G2481">
        <v>12</v>
      </c>
    </row>
    <row r="2482" spans="1:7" x14ac:dyDescent="0.35">
      <c r="A2482">
        <v>187082</v>
      </c>
      <c r="B2482">
        <v>2</v>
      </c>
      <c r="C2482" s="5" t="s">
        <v>18</v>
      </c>
      <c r="D2482">
        <v>2001</v>
      </c>
      <c r="E2482" s="5" t="s">
        <v>81</v>
      </c>
      <c r="F2482" s="5" t="s">
        <v>17</v>
      </c>
      <c r="G2482">
        <v>8</v>
      </c>
    </row>
    <row r="2483" spans="1:7" x14ac:dyDescent="0.35">
      <c r="A2483">
        <v>156034</v>
      </c>
      <c r="B2483">
        <v>1</v>
      </c>
      <c r="C2483" s="5" t="s">
        <v>21</v>
      </c>
      <c r="D2483">
        <v>6001</v>
      </c>
      <c r="E2483" s="5" t="s">
        <v>79</v>
      </c>
      <c r="F2483" s="5" t="s">
        <v>14</v>
      </c>
      <c r="G2483">
        <v>15</v>
      </c>
    </row>
    <row r="2484" spans="1:7" x14ac:dyDescent="0.35">
      <c r="A2484">
        <v>72048</v>
      </c>
      <c r="B2484">
        <v>1</v>
      </c>
      <c r="C2484" s="5" t="s">
        <v>26</v>
      </c>
      <c r="D2484">
        <v>6001</v>
      </c>
      <c r="E2484" s="5" t="s">
        <v>81</v>
      </c>
      <c r="F2484" s="5" t="s">
        <v>14</v>
      </c>
      <c r="G2484">
        <v>10</v>
      </c>
    </row>
    <row r="2485" spans="1:7" x14ac:dyDescent="0.35">
      <c r="A2485">
        <v>104427</v>
      </c>
      <c r="B2485">
        <v>0</v>
      </c>
      <c r="C2485" s="5" t="s">
        <v>25</v>
      </c>
      <c r="D2485">
        <v>4601</v>
      </c>
      <c r="E2485" s="5" t="s">
        <v>81</v>
      </c>
      <c r="F2485" s="5" t="s">
        <v>17</v>
      </c>
      <c r="G2485">
        <v>15</v>
      </c>
    </row>
    <row r="2486" spans="1:7" x14ac:dyDescent="0.35">
      <c r="A2486">
        <v>34448</v>
      </c>
      <c r="B2486">
        <v>2</v>
      </c>
      <c r="C2486" s="5" t="s">
        <v>13</v>
      </c>
      <c r="D2486">
        <v>1601</v>
      </c>
      <c r="E2486" s="5" t="s">
        <v>81</v>
      </c>
      <c r="F2486" s="5" t="s">
        <v>17</v>
      </c>
      <c r="G2486">
        <v>10</v>
      </c>
    </row>
    <row r="2487" spans="1:7" x14ac:dyDescent="0.35">
      <c r="A2487">
        <v>10247</v>
      </c>
      <c r="B2487">
        <v>0</v>
      </c>
      <c r="C2487" s="5" t="s">
        <v>21</v>
      </c>
      <c r="D2487">
        <v>3005</v>
      </c>
      <c r="E2487" s="5" t="s">
        <v>82</v>
      </c>
      <c r="F2487" s="5" t="s">
        <v>17</v>
      </c>
      <c r="G2487">
        <v>10</v>
      </c>
    </row>
    <row r="2488" spans="1:7" x14ac:dyDescent="0.35">
      <c r="A2488">
        <v>158679</v>
      </c>
      <c r="B2488">
        <v>1</v>
      </c>
      <c r="C2488" s="5" t="s">
        <v>21</v>
      </c>
      <c r="D2488">
        <v>0</v>
      </c>
      <c r="E2488" s="5" t="s">
        <v>80</v>
      </c>
      <c r="F2488" s="5" t="s">
        <v>14</v>
      </c>
      <c r="G2488">
        <v>16</v>
      </c>
    </row>
    <row r="2489" spans="1:7" x14ac:dyDescent="0.35">
      <c r="A2489">
        <v>141742</v>
      </c>
      <c r="B2489">
        <v>2</v>
      </c>
      <c r="C2489" s="5" t="s">
        <v>23</v>
      </c>
      <c r="D2489">
        <v>2801</v>
      </c>
      <c r="E2489" s="5" t="s">
        <v>79</v>
      </c>
      <c r="F2489" s="5" t="s">
        <v>14</v>
      </c>
      <c r="G2489">
        <v>8</v>
      </c>
    </row>
    <row r="2490" spans="1:7" x14ac:dyDescent="0.35">
      <c r="A2490">
        <v>96679</v>
      </c>
      <c r="B2490">
        <v>0</v>
      </c>
      <c r="C2490" s="5" t="s">
        <v>16</v>
      </c>
      <c r="D2490">
        <v>5001</v>
      </c>
      <c r="E2490" s="5" t="s">
        <v>83</v>
      </c>
      <c r="F2490" s="5" t="s">
        <v>14</v>
      </c>
      <c r="G2490">
        <v>5</v>
      </c>
    </row>
    <row r="2491" spans="1:7" x14ac:dyDescent="0.35">
      <c r="A2491">
        <v>151513</v>
      </c>
      <c r="B2491">
        <v>0</v>
      </c>
      <c r="C2491" s="5" t="s">
        <v>21</v>
      </c>
      <c r="D2491">
        <v>2201</v>
      </c>
      <c r="E2491" s="5" t="s">
        <v>85</v>
      </c>
      <c r="F2491" s="5" t="s">
        <v>17</v>
      </c>
      <c r="G2491">
        <v>15</v>
      </c>
    </row>
    <row r="2492" spans="1:7" x14ac:dyDescent="0.35">
      <c r="A2492">
        <v>2085</v>
      </c>
      <c r="B2492">
        <v>1</v>
      </c>
      <c r="C2492" s="5" t="s">
        <v>13</v>
      </c>
      <c r="D2492">
        <v>4412</v>
      </c>
      <c r="E2492" s="5" t="s">
        <v>78</v>
      </c>
      <c r="F2492" s="5" t="s">
        <v>14</v>
      </c>
      <c r="G2492">
        <v>20</v>
      </c>
    </row>
    <row r="2493" spans="1:7" x14ac:dyDescent="0.35">
      <c r="A2493">
        <v>112532</v>
      </c>
      <c r="B2493">
        <v>0</v>
      </c>
      <c r="C2493" s="5" t="s">
        <v>29</v>
      </c>
      <c r="D2493">
        <v>0</v>
      </c>
      <c r="E2493" s="5" t="s">
        <v>81</v>
      </c>
      <c r="F2493" s="5" t="s">
        <v>17</v>
      </c>
      <c r="G2493">
        <v>11</v>
      </c>
    </row>
    <row r="2494" spans="1:7" x14ac:dyDescent="0.35">
      <c r="A2494">
        <v>164987</v>
      </c>
      <c r="B2494">
        <v>0</v>
      </c>
      <c r="C2494" s="5" t="s">
        <v>21</v>
      </c>
      <c r="D2494">
        <v>5201</v>
      </c>
      <c r="E2494" s="5" t="s">
        <v>83</v>
      </c>
      <c r="F2494" s="5" t="s">
        <v>14</v>
      </c>
      <c r="G2494">
        <v>12</v>
      </c>
    </row>
    <row r="2495" spans="1:7" x14ac:dyDescent="0.35">
      <c r="A2495">
        <v>142013</v>
      </c>
      <c r="B2495">
        <v>0</v>
      </c>
      <c r="C2495" s="5" t="s">
        <v>23</v>
      </c>
      <c r="D2495">
        <v>4401</v>
      </c>
      <c r="E2495" s="5" t="s">
        <v>81</v>
      </c>
      <c r="F2495" s="5" t="s">
        <v>17</v>
      </c>
      <c r="G2495">
        <v>23</v>
      </c>
    </row>
    <row r="2496" spans="1:7" x14ac:dyDescent="0.35">
      <c r="A2496">
        <v>185803</v>
      </c>
      <c r="B2496">
        <v>0</v>
      </c>
      <c r="C2496" s="5" t="s">
        <v>52</v>
      </c>
      <c r="D2496">
        <v>3808</v>
      </c>
      <c r="E2496" s="5" t="s">
        <v>86</v>
      </c>
      <c r="F2496" s="5" t="s">
        <v>14</v>
      </c>
      <c r="G2496">
        <v>20</v>
      </c>
    </row>
    <row r="2497" spans="1:7" x14ac:dyDescent="0.35">
      <c r="A2497">
        <v>130908</v>
      </c>
      <c r="B2497">
        <v>3</v>
      </c>
      <c r="C2497" s="5" t="s">
        <v>45</v>
      </c>
      <c r="D2497">
        <v>0</v>
      </c>
      <c r="E2497" s="5" t="s">
        <v>81</v>
      </c>
      <c r="F2497" s="5" t="s">
        <v>17</v>
      </c>
      <c r="G2497">
        <v>25</v>
      </c>
    </row>
    <row r="2498" spans="1:7" x14ac:dyDescent="0.35">
      <c r="A2498">
        <v>121208</v>
      </c>
      <c r="B2498">
        <v>0</v>
      </c>
      <c r="C2498" s="5" t="s">
        <v>20</v>
      </c>
      <c r="D2498">
        <v>6909</v>
      </c>
      <c r="E2498" s="5" t="s">
        <v>85</v>
      </c>
      <c r="F2498" s="5" t="s">
        <v>17</v>
      </c>
      <c r="G2498">
        <v>13</v>
      </c>
    </row>
    <row r="2499" spans="1:7" x14ac:dyDescent="0.35">
      <c r="A2499">
        <v>96441</v>
      </c>
      <c r="B2499">
        <v>0</v>
      </c>
      <c r="C2499" s="5" t="s">
        <v>16</v>
      </c>
      <c r="D2499">
        <v>2409</v>
      </c>
      <c r="E2499" s="5" t="s">
        <v>84</v>
      </c>
      <c r="F2499" s="5" t="s">
        <v>14</v>
      </c>
      <c r="G2499">
        <v>25</v>
      </c>
    </row>
    <row r="2500" spans="1:7" x14ac:dyDescent="0.35">
      <c r="A2500">
        <v>177190</v>
      </c>
      <c r="B2500">
        <v>28</v>
      </c>
      <c r="C2500" s="5" t="s">
        <v>47</v>
      </c>
      <c r="D2500">
        <v>0</v>
      </c>
      <c r="E2500" s="5" t="s">
        <v>87</v>
      </c>
      <c r="F2500" s="5" t="s">
        <v>17</v>
      </c>
      <c r="G2500">
        <v>8</v>
      </c>
    </row>
    <row r="2501" spans="1:7" x14ac:dyDescent="0.35">
      <c r="A2501">
        <v>113502</v>
      </c>
      <c r="B2501">
        <v>2</v>
      </c>
      <c r="C2501" s="5" t="s">
        <v>28</v>
      </c>
      <c r="D2501">
        <v>601</v>
      </c>
      <c r="E2501" s="5" t="s">
        <v>78</v>
      </c>
      <c r="F2501" s="5" t="s">
        <v>17</v>
      </c>
      <c r="G2501">
        <v>7</v>
      </c>
    </row>
    <row r="2502" spans="1:7" x14ac:dyDescent="0.35">
      <c r="A2502">
        <v>175016</v>
      </c>
      <c r="B2502">
        <v>2</v>
      </c>
      <c r="C2502" s="5" t="s">
        <v>47</v>
      </c>
      <c r="D2502">
        <v>0</v>
      </c>
      <c r="E2502" s="5" t="s">
        <v>79</v>
      </c>
      <c r="F2502" s="5" t="s">
        <v>17</v>
      </c>
      <c r="G2502">
        <v>9</v>
      </c>
    </row>
    <row r="2503" spans="1:7" x14ac:dyDescent="0.35">
      <c r="A2503">
        <v>150644</v>
      </c>
      <c r="B2503">
        <v>0</v>
      </c>
      <c r="C2503" s="5" t="s">
        <v>21</v>
      </c>
      <c r="D2503">
        <v>4801</v>
      </c>
      <c r="E2503" s="5" t="s">
        <v>85</v>
      </c>
      <c r="F2503" s="5" t="s">
        <v>17</v>
      </c>
      <c r="G2503">
        <v>35</v>
      </c>
    </row>
    <row r="2504" spans="1:7" x14ac:dyDescent="0.35">
      <c r="A2504">
        <v>50003</v>
      </c>
      <c r="B2504">
        <v>2</v>
      </c>
      <c r="C2504" s="5" t="s">
        <v>49</v>
      </c>
      <c r="D2504">
        <v>2706</v>
      </c>
      <c r="E2504" s="5" t="s">
        <v>79</v>
      </c>
      <c r="F2504" s="5" t="s">
        <v>17</v>
      </c>
      <c r="G2504">
        <v>10</v>
      </c>
    </row>
    <row r="2505" spans="1:7" x14ac:dyDescent="0.35">
      <c r="A2505">
        <v>106896</v>
      </c>
      <c r="B2505">
        <v>0</v>
      </c>
      <c r="C2505" s="5" t="s">
        <v>55</v>
      </c>
      <c r="D2505">
        <v>2401</v>
      </c>
      <c r="E2505" s="5" t="s">
        <v>80</v>
      </c>
      <c r="F2505" s="5" t="s">
        <v>17</v>
      </c>
      <c r="G2505">
        <v>5</v>
      </c>
    </row>
    <row r="2506" spans="1:7" x14ac:dyDescent="0.35">
      <c r="A2506">
        <v>14898</v>
      </c>
      <c r="B2506">
        <v>1</v>
      </c>
      <c r="C2506" s="5" t="s">
        <v>25</v>
      </c>
      <c r="D2506">
        <v>1408</v>
      </c>
      <c r="E2506" s="5" t="s">
        <v>83</v>
      </c>
      <c r="F2506" s="5" t="s">
        <v>14</v>
      </c>
      <c r="G2506">
        <v>15</v>
      </c>
    </row>
    <row r="2507" spans="1:7" x14ac:dyDescent="0.35">
      <c r="A2507">
        <v>139463</v>
      </c>
      <c r="B2507">
        <v>28</v>
      </c>
      <c r="C2507" s="5" t="s">
        <v>50</v>
      </c>
      <c r="D2507">
        <v>4901</v>
      </c>
      <c r="E2507" s="5" t="s">
        <v>93</v>
      </c>
      <c r="F2507" s="5" t="s">
        <v>17</v>
      </c>
      <c r="G2507">
        <v>9</v>
      </c>
    </row>
    <row r="2508" spans="1:7" x14ac:dyDescent="0.35">
      <c r="A2508">
        <v>12900</v>
      </c>
      <c r="B2508">
        <v>0</v>
      </c>
      <c r="C2508" s="5" t="s">
        <v>37</v>
      </c>
      <c r="D2508">
        <v>0</v>
      </c>
      <c r="E2508" s="5" t="s">
        <v>83</v>
      </c>
      <c r="F2508" s="5" t="s">
        <v>17</v>
      </c>
      <c r="G2508">
        <v>5</v>
      </c>
    </row>
    <row r="2509" spans="1:7" x14ac:dyDescent="0.35">
      <c r="A2509">
        <v>60897</v>
      </c>
      <c r="B2509">
        <v>0</v>
      </c>
      <c r="C2509" s="5" t="s">
        <v>30</v>
      </c>
      <c r="D2509">
        <v>0</v>
      </c>
      <c r="E2509" s="5" t="s">
        <v>80</v>
      </c>
      <c r="F2509" s="5" t="s">
        <v>17</v>
      </c>
      <c r="G2509">
        <v>5</v>
      </c>
    </row>
    <row r="2510" spans="1:7" x14ac:dyDescent="0.35">
      <c r="A2510">
        <v>5180</v>
      </c>
      <c r="B2510">
        <v>2</v>
      </c>
      <c r="C2510" s="5" t="s">
        <v>47</v>
      </c>
      <c r="D2510">
        <v>1901</v>
      </c>
      <c r="E2510" s="5" t="s">
        <v>80</v>
      </c>
      <c r="F2510" s="5" t="s">
        <v>17</v>
      </c>
      <c r="G2510">
        <v>13</v>
      </c>
    </row>
    <row r="2511" spans="1:7" x14ac:dyDescent="0.35">
      <c r="A2511">
        <v>137835</v>
      </c>
      <c r="B2511">
        <v>28</v>
      </c>
      <c r="C2511" s="5" t="s">
        <v>51</v>
      </c>
      <c r="D2511">
        <v>0</v>
      </c>
      <c r="E2511" s="5" t="s">
        <v>79</v>
      </c>
      <c r="F2511" s="5" t="s">
        <v>17</v>
      </c>
      <c r="G2511">
        <v>11</v>
      </c>
    </row>
    <row r="2512" spans="1:7" x14ac:dyDescent="0.35">
      <c r="A2512">
        <v>2867</v>
      </c>
      <c r="B2512">
        <v>0</v>
      </c>
      <c r="C2512" s="5" t="s">
        <v>28</v>
      </c>
      <c r="D2512">
        <v>0</v>
      </c>
      <c r="E2512" s="5" t="s">
        <v>81</v>
      </c>
      <c r="F2512" s="5" t="s">
        <v>17</v>
      </c>
      <c r="G2512">
        <v>13</v>
      </c>
    </row>
    <row r="2513" spans="1:7" x14ac:dyDescent="0.35">
      <c r="A2513">
        <v>150025</v>
      </c>
      <c r="B2513">
        <v>0</v>
      </c>
      <c r="C2513" s="5" t="s">
        <v>21</v>
      </c>
      <c r="D2513">
        <v>2005</v>
      </c>
      <c r="E2513" s="5" t="s">
        <v>80</v>
      </c>
      <c r="F2513" s="5" t="s">
        <v>17</v>
      </c>
      <c r="G2513">
        <v>3</v>
      </c>
    </row>
    <row r="2514" spans="1:7" x14ac:dyDescent="0.35">
      <c r="A2514">
        <v>111045</v>
      </c>
      <c r="B2514">
        <v>0</v>
      </c>
      <c r="C2514" s="5" t="s">
        <v>29</v>
      </c>
      <c r="D2514">
        <v>1812</v>
      </c>
      <c r="E2514" s="5" t="s">
        <v>81</v>
      </c>
      <c r="F2514" s="5" t="s">
        <v>86</v>
      </c>
      <c r="G2514">
        <v>10</v>
      </c>
    </row>
    <row r="2515" spans="1:7" x14ac:dyDescent="0.35">
      <c r="A2515">
        <v>3109</v>
      </c>
      <c r="B2515">
        <v>0</v>
      </c>
      <c r="C2515" s="5" t="s">
        <v>16</v>
      </c>
      <c r="D2515">
        <v>3408</v>
      </c>
      <c r="E2515" s="5" t="s">
        <v>82</v>
      </c>
      <c r="F2515" s="5" t="s">
        <v>14</v>
      </c>
      <c r="G2515">
        <v>25</v>
      </c>
    </row>
    <row r="2516" spans="1:7" x14ac:dyDescent="0.35">
      <c r="A2516">
        <v>45134</v>
      </c>
      <c r="B2516">
        <v>1</v>
      </c>
      <c r="C2516" s="5" t="s">
        <v>13</v>
      </c>
      <c r="D2516">
        <v>1312</v>
      </c>
      <c r="E2516" s="5" t="s">
        <v>78</v>
      </c>
      <c r="F2516" s="5" t="s">
        <v>14</v>
      </c>
      <c r="G2516">
        <v>12</v>
      </c>
    </row>
    <row r="2517" spans="1:7" x14ac:dyDescent="0.35">
      <c r="A2517">
        <v>85396</v>
      </c>
      <c r="B2517">
        <v>0</v>
      </c>
      <c r="C2517" s="5" t="s">
        <v>52</v>
      </c>
      <c r="D2517">
        <v>6301</v>
      </c>
      <c r="E2517" s="5" t="s">
        <v>84</v>
      </c>
      <c r="F2517" s="5" t="s">
        <v>17</v>
      </c>
      <c r="G2517">
        <v>9</v>
      </c>
    </row>
    <row r="2518" spans="1:7" x14ac:dyDescent="0.35">
      <c r="A2518">
        <v>164246</v>
      </c>
      <c r="B2518">
        <v>2</v>
      </c>
      <c r="C2518" s="5" t="s">
        <v>21</v>
      </c>
      <c r="D2518">
        <v>5001</v>
      </c>
      <c r="E2518" s="5" t="s">
        <v>85</v>
      </c>
      <c r="F2518" s="5" t="s">
        <v>17</v>
      </c>
      <c r="G2518">
        <v>15</v>
      </c>
    </row>
    <row r="2519" spans="1:7" x14ac:dyDescent="0.35">
      <c r="A2519">
        <v>49109</v>
      </c>
      <c r="B2519">
        <v>0</v>
      </c>
      <c r="C2519" s="5" t="s">
        <v>40</v>
      </c>
      <c r="D2519">
        <v>0</v>
      </c>
      <c r="E2519" s="5" t="s">
        <v>81</v>
      </c>
      <c r="F2519" s="5" t="s">
        <v>86</v>
      </c>
      <c r="G2519">
        <v>6</v>
      </c>
    </row>
    <row r="2520" spans="1:7" x14ac:dyDescent="0.35">
      <c r="A2520">
        <v>127346</v>
      </c>
      <c r="B2520">
        <v>0</v>
      </c>
      <c r="C2520" s="5" t="s">
        <v>64</v>
      </c>
      <c r="D2520">
        <v>5001</v>
      </c>
      <c r="E2520" s="5" t="s">
        <v>83</v>
      </c>
      <c r="F2520" s="5" t="s">
        <v>17</v>
      </c>
      <c r="G2520">
        <v>10</v>
      </c>
    </row>
    <row r="2521" spans="1:7" x14ac:dyDescent="0.35">
      <c r="A2521">
        <v>54123</v>
      </c>
      <c r="B2521">
        <v>0</v>
      </c>
      <c r="C2521" s="5" t="s">
        <v>49</v>
      </c>
      <c r="D2521">
        <v>0</v>
      </c>
      <c r="E2521" s="5" t="s">
        <v>79</v>
      </c>
      <c r="F2521" s="5" t="s">
        <v>17</v>
      </c>
      <c r="G2521">
        <v>5</v>
      </c>
    </row>
    <row r="2522" spans="1:7" x14ac:dyDescent="0.35">
      <c r="A2522">
        <v>125999</v>
      </c>
      <c r="B2522">
        <v>2</v>
      </c>
      <c r="C2522" s="5" t="s">
        <v>20</v>
      </c>
      <c r="D2522">
        <v>5701</v>
      </c>
      <c r="E2522" s="5" t="s">
        <v>94</v>
      </c>
      <c r="F2522" s="5" t="s">
        <v>17</v>
      </c>
      <c r="G2522">
        <v>20</v>
      </c>
    </row>
    <row r="2523" spans="1:7" x14ac:dyDescent="0.35">
      <c r="A2523">
        <v>130989</v>
      </c>
      <c r="B2523">
        <v>1</v>
      </c>
      <c r="C2523" s="5" t="s">
        <v>45</v>
      </c>
      <c r="D2523">
        <v>0</v>
      </c>
      <c r="E2523" s="5" t="s">
        <v>84</v>
      </c>
      <c r="F2523" s="5" t="s">
        <v>14</v>
      </c>
      <c r="G2523">
        <v>25</v>
      </c>
    </row>
    <row r="2524" spans="1:7" x14ac:dyDescent="0.35">
      <c r="A2524">
        <v>62721</v>
      </c>
      <c r="B2524">
        <v>1</v>
      </c>
      <c r="C2524" s="5" t="s">
        <v>30</v>
      </c>
      <c r="D2524">
        <v>0</v>
      </c>
      <c r="E2524" s="5" t="s">
        <v>81</v>
      </c>
      <c r="F2524" s="5" t="s">
        <v>27</v>
      </c>
      <c r="G2524">
        <v>6</v>
      </c>
    </row>
    <row r="2525" spans="1:7" x14ac:dyDescent="0.35">
      <c r="A2525">
        <v>104177</v>
      </c>
      <c r="B2525">
        <v>0</v>
      </c>
      <c r="C2525" s="5" t="s">
        <v>33</v>
      </c>
      <c r="D2525">
        <v>4201</v>
      </c>
      <c r="E2525" s="5" t="s">
        <v>83</v>
      </c>
      <c r="F2525" s="5" t="s">
        <v>17</v>
      </c>
      <c r="G2525">
        <v>15</v>
      </c>
    </row>
    <row r="2526" spans="1:7" x14ac:dyDescent="0.35">
      <c r="A2526">
        <v>70217</v>
      </c>
      <c r="B2526">
        <v>28</v>
      </c>
      <c r="C2526" s="5" t="s">
        <v>26</v>
      </c>
      <c r="D2526">
        <v>5201</v>
      </c>
      <c r="E2526" s="5" t="s">
        <v>88</v>
      </c>
      <c r="F2526" s="5" t="s">
        <v>17</v>
      </c>
      <c r="G2526">
        <v>10</v>
      </c>
    </row>
    <row r="2527" spans="1:7" x14ac:dyDescent="0.35">
      <c r="A2527">
        <v>160394</v>
      </c>
      <c r="B2527">
        <v>0</v>
      </c>
      <c r="C2527" s="5" t="s">
        <v>21</v>
      </c>
      <c r="D2527">
        <v>1001</v>
      </c>
      <c r="E2527" s="5" t="s">
        <v>80</v>
      </c>
      <c r="F2527" s="5" t="s">
        <v>17</v>
      </c>
      <c r="G2527">
        <v>8</v>
      </c>
    </row>
    <row r="2528" spans="1:7" x14ac:dyDescent="0.35">
      <c r="A2528">
        <v>134115</v>
      </c>
      <c r="B2528">
        <v>1002</v>
      </c>
      <c r="C2528" s="5" t="s">
        <v>24</v>
      </c>
      <c r="D2528">
        <v>5706</v>
      </c>
      <c r="E2528" s="5" t="s">
        <v>79</v>
      </c>
      <c r="F2528" s="5" t="s">
        <v>14</v>
      </c>
      <c r="G2528">
        <v>20</v>
      </c>
    </row>
    <row r="2529" spans="1:7" x14ac:dyDescent="0.35">
      <c r="A2529">
        <v>175602</v>
      </c>
      <c r="B2529">
        <v>2</v>
      </c>
      <c r="C2529" s="5" t="s">
        <v>47</v>
      </c>
      <c r="D2529">
        <v>2301</v>
      </c>
      <c r="E2529" s="5" t="s">
        <v>92</v>
      </c>
      <c r="F2529" s="5" t="s">
        <v>17</v>
      </c>
      <c r="G2529">
        <v>3</v>
      </c>
    </row>
    <row r="2530" spans="1:7" x14ac:dyDescent="0.35">
      <c r="A2530">
        <v>88489</v>
      </c>
      <c r="B2530">
        <v>0</v>
      </c>
      <c r="C2530" s="5" t="s">
        <v>16</v>
      </c>
      <c r="D2530">
        <v>3011</v>
      </c>
      <c r="E2530" s="5" t="s">
        <v>83</v>
      </c>
      <c r="F2530" s="5" t="s">
        <v>17</v>
      </c>
      <c r="G2530">
        <v>25</v>
      </c>
    </row>
    <row r="2531" spans="1:7" x14ac:dyDescent="0.35">
      <c r="A2531">
        <v>139664</v>
      </c>
      <c r="B2531">
        <v>28</v>
      </c>
      <c r="C2531" s="5" t="s">
        <v>50</v>
      </c>
      <c r="D2531">
        <v>4408</v>
      </c>
      <c r="E2531" s="5" t="s">
        <v>83</v>
      </c>
      <c r="F2531" s="5" t="s">
        <v>17</v>
      </c>
      <c r="G2531">
        <v>16</v>
      </c>
    </row>
    <row r="2532" spans="1:7" x14ac:dyDescent="0.35">
      <c r="A2532">
        <v>9947</v>
      </c>
      <c r="B2532">
        <v>1</v>
      </c>
      <c r="C2532" s="5" t="s">
        <v>45</v>
      </c>
      <c r="D2532">
        <v>2001</v>
      </c>
      <c r="E2532" s="5" t="s">
        <v>80</v>
      </c>
      <c r="F2532" s="5" t="s">
        <v>14</v>
      </c>
      <c r="G2532">
        <v>10</v>
      </c>
    </row>
    <row r="2533" spans="1:7" x14ac:dyDescent="0.35">
      <c r="A2533">
        <v>168368</v>
      </c>
      <c r="B2533">
        <v>0</v>
      </c>
      <c r="C2533" s="5" t="s">
        <v>21</v>
      </c>
      <c r="D2533">
        <v>4406</v>
      </c>
      <c r="E2533" s="5" t="s">
        <v>83</v>
      </c>
      <c r="F2533" s="5" t="s">
        <v>14</v>
      </c>
      <c r="G2533">
        <v>10</v>
      </c>
    </row>
    <row r="2534" spans="1:7" x14ac:dyDescent="0.35">
      <c r="A2534">
        <v>166927</v>
      </c>
      <c r="B2534">
        <v>1002</v>
      </c>
      <c r="C2534" s="5" t="s">
        <v>21</v>
      </c>
      <c r="D2534">
        <v>2908</v>
      </c>
      <c r="E2534" s="5" t="s">
        <v>83</v>
      </c>
      <c r="F2534" s="5" t="s">
        <v>14</v>
      </c>
      <c r="G2534">
        <v>20</v>
      </c>
    </row>
    <row r="2535" spans="1:7" x14ac:dyDescent="0.35">
      <c r="A2535">
        <v>189723</v>
      </c>
      <c r="B2535">
        <v>0</v>
      </c>
      <c r="C2535" s="5" t="s">
        <v>45</v>
      </c>
      <c r="D2535">
        <v>0</v>
      </c>
      <c r="E2535" s="5" t="s">
        <v>83</v>
      </c>
      <c r="F2535" s="5" t="s">
        <v>17</v>
      </c>
      <c r="G2535">
        <v>10</v>
      </c>
    </row>
    <row r="2536" spans="1:7" x14ac:dyDescent="0.35">
      <c r="A2536">
        <v>156559</v>
      </c>
      <c r="B2536">
        <v>1</v>
      </c>
      <c r="C2536" s="5" t="s">
        <v>21</v>
      </c>
      <c r="D2536">
        <v>4601</v>
      </c>
      <c r="E2536" s="5" t="s">
        <v>83</v>
      </c>
      <c r="F2536" s="5" t="s">
        <v>14</v>
      </c>
      <c r="G2536">
        <v>12</v>
      </c>
    </row>
    <row r="2537" spans="1:7" x14ac:dyDescent="0.35">
      <c r="A2537">
        <v>64683</v>
      </c>
      <c r="B2537">
        <v>28</v>
      </c>
      <c r="C2537" s="5" t="s">
        <v>26</v>
      </c>
      <c r="D2537">
        <v>5001</v>
      </c>
      <c r="E2537" s="5" t="s">
        <v>91</v>
      </c>
      <c r="F2537" s="5" t="s">
        <v>17</v>
      </c>
      <c r="G2537">
        <v>10</v>
      </c>
    </row>
    <row r="2538" spans="1:7" x14ac:dyDescent="0.35">
      <c r="A2538">
        <v>164697</v>
      </c>
      <c r="B2538">
        <v>28</v>
      </c>
      <c r="C2538" s="5" t="s">
        <v>21</v>
      </c>
      <c r="D2538">
        <v>1701</v>
      </c>
      <c r="E2538" s="5" t="s">
        <v>80</v>
      </c>
      <c r="F2538" s="5" t="s">
        <v>17</v>
      </c>
      <c r="G2538">
        <v>20</v>
      </c>
    </row>
    <row r="2539" spans="1:7" x14ac:dyDescent="0.35">
      <c r="A2539">
        <v>111918</v>
      </c>
      <c r="B2539">
        <v>0</v>
      </c>
      <c r="C2539" s="5" t="s">
        <v>29</v>
      </c>
      <c r="D2539">
        <v>3201</v>
      </c>
      <c r="E2539" s="5" t="s">
        <v>79</v>
      </c>
      <c r="F2539" s="5" t="s">
        <v>17</v>
      </c>
      <c r="G2539">
        <v>5</v>
      </c>
    </row>
    <row r="2540" spans="1:7" x14ac:dyDescent="0.35">
      <c r="A2540">
        <v>89816</v>
      </c>
      <c r="B2540">
        <v>0</v>
      </c>
      <c r="C2540" s="5" t="s">
        <v>16</v>
      </c>
      <c r="D2540">
        <v>4707</v>
      </c>
      <c r="E2540" s="5" t="s">
        <v>83</v>
      </c>
      <c r="F2540" s="5" t="s">
        <v>14</v>
      </c>
      <c r="G2540">
        <v>25</v>
      </c>
    </row>
    <row r="2541" spans="1:7" x14ac:dyDescent="0.35">
      <c r="A2541">
        <v>161115</v>
      </c>
      <c r="B2541">
        <v>2</v>
      </c>
      <c r="C2541" s="5" t="s">
        <v>21</v>
      </c>
      <c r="D2541">
        <v>0</v>
      </c>
      <c r="E2541" s="5" t="s">
        <v>78</v>
      </c>
      <c r="F2541" s="5" t="s">
        <v>27</v>
      </c>
      <c r="G2541">
        <v>10</v>
      </c>
    </row>
    <row r="2542" spans="1:7" x14ac:dyDescent="0.35">
      <c r="A2542">
        <v>165753</v>
      </c>
      <c r="B2542">
        <v>0</v>
      </c>
      <c r="C2542" s="5" t="s">
        <v>21</v>
      </c>
      <c r="D2542">
        <v>2801</v>
      </c>
      <c r="E2542" s="5" t="s">
        <v>80</v>
      </c>
      <c r="F2542" s="5" t="s">
        <v>14</v>
      </c>
      <c r="G2542">
        <v>15</v>
      </c>
    </row>
    <row r="2543" spans="1:7" x14ac:dyDescent="0.35">
      <c r="A2543">
        <v>117411</v>
      </c>
      <c r="B2543">
        <v>0</v>
      </c>
      <c r="C2543" s="5" t="s">
        <v>20</v>
      </c>
      <c r="D2543">
        <v>2009</v>
      </c>
      <c r="E2543" s="5" t="s">
        <v>83</v>
      </c>
      <c r="F2543" s="5" t="s">
        <v>17</v>
      </c>
      <c r="G2543">
        <v>20</v>
      </c>
    </row>
    <row r="2544" spans="1:7" x14ac:dyDescent="0.35">
      <c r="A2544">
        <v>112750</v>
      </c>
      <c r="B2544">
        <v>0</v>
      </c>
      <c r="C2544" s="5" t="s">
        <v>28</v>
      </c>
      <c r="D2544">
        <v>5801</v>
      </c>
      <c r="E2544" s="5" t="s">
        <v>83</v>
      </c>
      <c r="F2544" s="5" t="s">
        <v>17</v>
      </c>
      <c r="G2544">
        <v>20</v>
      </c>
    </row>
    <row r="2545" spans="1:7" x14ac:dyDescent="0.35">
      <c r="A2545">
        <v>134852</v>
      </c>
      <c r="B2545">
        <v>1</v>
      </c>
      <c r="C2545" s="5" t="s">
        <v>35</v>
      </c>
      <c r="D2545">
        <v>4901</v>
      </c>
      <c r="E2545" s="5" t="s">
        <v>81</v>
      </c>
      <c r="F2545" s="5" t="s">
        <v>14</v>
      </c>
      <c r="G2545">
        <v>50</v>
      </c>
    </row>
    <row r="2546" spans="1:7" x14ac:dyDescent="0.35">
      <c r="A2546">
        <v>69506</v>
      </c>
      <c r="B2546">
        <v>0</v>
      </c>
      <c r="C2546" s="5" t="s">
        <v>26</v>
      </c>
      <c r="D2546">
        <v>2005</v>
      </c>
      <c r="E2546" s="5" t="s">
        <v>80</v>
      </c>
      <c r="F2546" s="5" t="s">
        <v>17</v>
      </c>
      <c r="G2546">
        <v>15</v>
      </c>
    </row>
    <row r="2547" spans="1:7" x14ac:dyDescent="0.35">
      <c r="A2547">
        <v>94920</v>
      </c>
      <c r="B2547">
        <v>0</v>
      </c>
      <c r="C2547" s="5" t="s">
        <v>16</v>
      </c>
      <c r="D2547">
        <v>4105</v>
      </c>
      <c r="E2547" s="5" t="s">
        <v>85</v>
      </c>
      <c r="F2547" s="5" t="s">
        <v>17</v>
      </c>
      <c r="G2547">
        <v>15</v>
      </c>
    </row>
    <row r="2548" spans="1:7" x14ac:dyDescent="0.35">
      <c r="A2548">
        <v>186699</v>
      </c>
      <c r="B2548">
        <v>2</v>
      </c>
      <c r="C2548" s="5" t="s">
        <v>32</v>
      </c>
      <c r="D2548">
        <v>0</v>
      </c>
      <c r="E2548" s="5" t="s">
        <v>92</v>
      </c>
      <c r="F2548" s="5" t="s">
        <v>17</v>
      </c>
      <c r="G2548">
        <v>20</v>
      </c>
    </row>
    <row r="2549" spans="1:7" x14ac:dyDescent="0.35">
      <c r="A2549">
        <v>99276</v>
      </c>
      <c r="B2549">
        <v>2</v>
      </c>
      <c r="C2549" s="5" t="s">
        <v>33</v>
      </c>
      <c r="D2549">
        <v>5801</v>
      </c>
      <c r="E2549" s="5" t="s">
        <v>83</v>
      </c>
      <c r="F2549" s="5" t="s">
        <v>17</v>
      </c>
      <c r="G2549">
        <v>15</v>
      </c>
    </row>
    <row r="2550" spans="1:7" x14ac:dyDescent="0.35">
      <c r="A2550">
        <v>84582</v>
      </c>
      <c r="B2550">
        <v>2</v>
      </c>
      <c r="C2550" s="5" t="s">
        <v>52</v>
      </c>
      <c r="D2550">
        <v>3512</v>
      </c>
      <c r="E2550" s="5" t="s">
        <v>82</v>
      </c>
      <c r="F2550" s="5" t="s">
        <v>17</v>
      </c>
      <c r="G2550">
        <v>25</v>
      </c>
    </row>
    <row r="2551" spans="1:7" x14ac:dyDescent="0.35">
      <c r="A2551">
        <v>132339</v>
      </c>
      <c r="B2551">
        <v>0</v>
      </c>
      <c r="C2551" s="5" t="s">
        <v>45</v>
      </c>
      <c r="D2551">
        <v>3001</v>
      </c>
      <c r="E2551" s="5" t="s">
        <v>81</v>
      </c>
      <c r="F2551" s="5" t="s">
        <v>14</v>
      </c>
      <c r="G2551">
        <v>11</v>
      </c>
    </row>
    <row r="2552" spans="1:7" x14ac:dyDescent="0.35">
      <c r="A2552">
        <v>12011</v>
      </c>
      <c r="B2552">
        <v>1</v>
      </c>
      <c r="C2552" s="5" t="s">
        <v>21</v>
      </c>
      <c r="D2552">
        <v>2801</v>
      </c>
      <c r="E2552" s="5" t="s">
        <v>87</v>
      </c>
      <c r="F2552" s="5" t="s">
        <v>14</v>
      </c>
      <c r="G2552">
        <v>11</v>
      </c>
    </row>
    <row r="2553" spans="1:7" x14ac:dyDescent="0.35">
      <c r="A2553">
        <v>117673</v>
      </c>
      <c r="B2553">
        <v>1</v>
      </c>
      <c r="C2553" s="5" t="s">
        <v>20</v>
      </c>
      <c r="D2553">
        <v>3801</v>
      </c>
      <c r="E2553" s="5" t="s">
        <v>79</v>
      </c>
      <c r="F2553" s="5" t="s">
        <v>14</v>
      </c>
      <c r="G2553">
        <v>15</v>
      </c>
    </row>
    <row r="2554" spans="1:7" x14ac:dyDescent="0.35">
      <c r="A2554">
        <v>186170</v>
      </c>
      <c r="B2554">
        <v>1</v>
      </c>
      <c r="C2554" s="5" t="s">
        <v>20</v>
      </c>
      <c r="D2554">
        <v>1801</v>
      </c>
      <c r="E2554" s="5" t="s">
        <v>81</v>
      </c>
      <c r="F2554" s="5" t="s">
        <v>14</v>
      </c>
      <c r="G2554">
        <v>17</v>
      </c>
    </row>
    <row r="2555" spans="1:7" x14ac:dyDescent="0.35">
      <c r="A2555">
        <v>150186</v>
      </c>
      <c r="B2555">
        <v>28</v>
      </c>
      <c r="C2555" s="5" t="s">
        <v>21</v>
      </c>
      <c r="D2555">
        <v>0</v>
      </c>
      <c r="E2555" s="5" t="s">
        <v>80</v>
      </c>
      <c r="F2555" s="5" t="s">
        <v>17</v>
      </c>
      <c r="G2555">
        <v>10</v>
      </c>
    </row>
    <row r="2556" spans="1:7" x14ac:dyDescent="0.35">
      <c r="A2556">
        <v>3638</v>
      </c>
      <c r="B2556">
        <v>0</v>
      </c>
      <c r="C2556" s="5" t="s">
        <v>26</v>
      </c>
      <c r="D2556">
        <v>0</v>
      </c>
      <c r="E2556" s="5" t="s">
        <v>86</v>
      </c>
      <c r="F2556" s="5" t="s">
        <v>17</v>
      </c>
      <c r="G2556">
        <v>15</v>
      </c>
    </row>
    <row r="2557" spans="1:7" x14ac:dyDescent="0.35">
      <c r="A2557">
        <v>160633</v>
      </c>
      <c r="B2557">
        <v>0</v>
      </c>
      <c r="C2557" s="5" t="s">
        <v>21</v>
      </c>
      <c r="D2557">
        <v>4201</v>
      </c>
      <c r="E2557" s="5" t="s">
        <v>81</v>
      </c>
      <c r="F2557" s="5" t="s">
        <v>17</v>
      </c>
      <c r="G2557">
        <v>25</v>
      </c>
    </row>
    <row r="2558" spans="1:7" x14ac:dyDescent="0.35">
      <c r="A2558">
        <v>161514</v>
      </c>
      <c r="B2558">
        <v>0</v>
      </c>
      <c r="C2558" s="5" t="s">
        <v>21</v>
      </c>
      <c r="D2558">
        <v>1001</v>
      </c>
      <c r="E2558" s="5" t="s">
        <v>83</v>
      </c>
      <c r="F2558" s="5" t="s">
        <v>17</v>
      </c>
      <c r="G2558">
        <v>5</v>
      </c>
    </row>
    <row r="2559" spans="1:7" x14ac:dyDescent="0.35">
      <c r="A2559">
        <v>110539</v>
      </c>
      <c r="B2559">
        <v>2</v>
      </c>
      <c r="C2559" s="5" t="s">
        <v>46</v>
      </c>
      <c r="D2559">
        <v>4702</v>
      </c>
      <c r="E2559" s="5" t="s">
        <v>81</v>
      </c>
      <c r="F2559" s="5" t="s">
        <v>14</v>
      </c>
      <c r="G2559">
        <v>20</v>
      </c>
    </row>
    <row r="2560" spans="1:7" x14ac:dyDescent="0.35">
      <c r="A2560">
        <v>77379</v>
      </c>
      <c r="B2560">
        <v>0</v>
      </c>
      <c r="C2560" s="5" t="s">
        <v>32</v>
      </c>
      <c r="D2560">
        <v>0</v>
      </c>
      <c r="E2560" s="5" t="s">
        <v>79</v>
      </c>
      <c r="F2560" s="5" t="s">
        <v>86</v>
      </c>
      <c r="G2560">
        <v>20</v>
      </c>
    </row>
    <row r="2561" spans="1:7" x14ac:dyDescent="0.35">
      <c r="A2561">
        <v>176881</v>
      </c>
      <c r="B2561">
        <v>2</v>
      </c>
      <c r="C2561" s="5" t="s">
        <v>47</v>
      </c>
      <c r="D2561">
        <v>3001</v>
      </c>
      <c r="E2561" s="5" t="s">
        <v>79</v>
      </c>
      <c r="F2561" s="5" t="s">
        <v>17</v>
      </c>
      <c r="G2561">
        <v>5</v>
      </c>
    </row>
    <row r="2562" spans="1:7" x14ac:dyDescent="0.35">
      <c r="A2562">
        <v>115833</v>
      </c>
      <c r="B2562">
        <v>1</v>
      </c>
      <c r="C2562" s="5" t="s">
        <v>20</v>
      </c>
      <c r="D2562">
        <v>3106</v>
      </c>
      <c r="E2562" s="5" t="s">
        <v>93</v>
      </c>
      <c r="F2562" s="5" t="s">
        <v>14</v>
      </c>
      <c r="G2562">
        <v>5</v>
      </c>
    </row>
    <row r="2563" spans="1:7" x14ac:dyDescent="0.35">
      <c r="A2563">
        <v>65421</v>
      </c>
      <c r="B2563">
        <v>2</v>
      </c>
      <c r="C2563" s="5" t="s">
        <v>26</v>
      </c>
      <c r="D2563">
        <v>6301</v>
      </c>
      <c r="E2563" s="5" t="s">
        <v>80</v>
      </c>
      <c r="F2563" s="5" t="s">
        <v>17</v>
      </c>
      <c r="G2563">
        <v>15</v>
      </c>
    </row>
    <row r="2564" spans="1:7" x14ac:dyDescent="0.35">
      <c r="A2564">
        <v>132157</v>
      </c>
      <c r="B2564">
        <v>0</v>
      </c>
      <c r="C2564" s="5" t="s">
        <v>45</v>
      </c>
      <c r="D2564">
        <v>4201</v>
      </c>
      <c r="E2564" s="5" t="s">
        <v>79</v>
      </c>
      <c r="F2564" s="5" t="s">
        <v>17</v>
      </c>
      <c r="G2564">
        <v>25</v>
      </c>
    </row>
    <row r="2565" spans="1:7" x14ac:dyDescent="0.35">
      <c r="A2565">
        <v>36576</v>
      </c>
      <c r="B2565">
        <v>0</v>
      </c>
      <c r="C2565" s="5" t="s">
        <v>13</v>
      </c>
      <c r="D2565">
        <v>0</v>
      </c>
      <c r="E2565" s="5" t="s">
        <v>83</v>
      </c>
      <c r="F2565" s="5" t="s">
        <v>86</v>
      </c>
      <c r="G2565">
        <v>5</v>
      </c>
    </row>
    <row r="2566" spans="1:7" x14ac:dyDescent="0.35">
      <c r="A2566">
        <v>157739</v>
      </c>
      <c r="B2566">
        <v>1</v>
      </c>
      <c r="C2566" s="5" t="s">
        <v>21</v>
      </c>
      <c r="D2566">
        <v>2705</v>
      </c>
      <c r="E2566" s="5" t="s">
        <v>83</v>
      </c>
      <c r="F2566" s="5" t="s">
        <v>14</v>
      </c>
      <c r="G2566">
        <v>14</v>
      </c>
    </row>
    <row r="2567" spans="1:7" x14ac:dyDescent="0.35">
      <c r="A2567">
        <v>157660</v>
      </c>
      <c r="B2567">
        <v>0</v>
      </c>
      <c r="C2567" s="5" t="s">
        <v>21</v>
      </c>
      <c r="D2567">
        <v>3201</v>
      </c>
      <c r="E2567" s="5" t="s">
        <v>82</v>
      </c>
      <c r="F2567" s="5" t="s">
        <v>17</v>
      </c>
      <c r="G2567">
        <v>20</v>
      </c>
    </row>
    <row r="2568" spans="1:7" x14ac:dyDescent="0.35">
      <c r="A2568">
        <v>34681</v>
      </c>
      <c r="B2568">
        <v>0</v>
      </c>
      <c r="C2568" s="5" t="s">
        <v>13</v>
      </c>
      <c r="D2568">
        <v>6108</v>
      </c>
      <c r="E2568" s="5" t="s">
        <v>83</v>
      </c>
      <c r="F2568" s="5" t="s">
        <v>17</v>
      </c>
      <c r="G2568">
        <v>21</v>
      </c>
    </row>
    <row r="2569" spans="1:7" x14ac:dyDescent="0.35">
      <c r="A2569">
        <v>72139</v>
      </c>
      <c r="B2569">
        <v>0</v>
      </c>
      <c r="C2569" s="5" t="s">
        <v>26</v>
      </c>
      <c r="D2569">
        <v>3811</v>
      </c>
      <c r="E2569" s="5" t="s">
        <v>81</v>
      </c>
      <c r="F2569" s="5" t="s">
        <v>17</v>
      </c>
      <c r="G2569">
        <v>10</v>
      </c>
    </row>
    <row r="2570" spans="1:7" x14ac:dyDescent="0.35">
      <c r="A2570">
        <v>47525</v>
      </c>
      <c r="B2570">
        <v>1</v>
      </c>
      <c r="C2570" s="5" t="s">
        <v>40</v>
      </c>
      <c r="D2570">
        <v>3601</v>
      </c>
      <c r="E2570" s="5" t="s">
        <v>87</v>
      </c>
      <c r="F2570" s="5" t="s">
        <v>14</v>
      </c>
      <c r="G2570">
        <v>20</v>
      </c>
    </row>
    <row r="2571" spans="1:7" x14ac:dyDescent="0.35">
      <c r="A2571">
        <v>51467</v>
      </c>
      <c r="B2571">
        <v>0</v>
      </c>
      <c r="C2571" s="5" t="s">
        <v>49</v>
      </c>
      <c r="D2571">
        <v>0</v>
      </c>
      <c r="E2571" s="5" t="s">
        <v>87</v>
      </c>
      <c r="F2571" s="5" t="s">
        <v>17</v>
      </c>
      <c r="G2571">
        <v>11</v>
      </c>
    </row>
    <row r="2572" spans="1:7" x14ac:dyDescent="0.35">
      <c r="A2572">
        <v>34800</v>
      </c>
      <c r="B2572">
        <v>28</v>
      </c>
      <c r="C2572" s="5" t="s">
        <v>13</v>
      </c>
      <c r="D2572">
        <v>2801</v>
      </c>
      <c r="E2572" s="5" t="s">
        <v>78</v>
      </c>
      <c r="F2572" s="5" t="s">
        <v>17</v>
      </c>
      <c r="G2572">
        <v>10</v>
      </c>
    </row>
    <row r="2573" spans="1:7" x14ac:dyDescent="0.35">
      <c r="A2573">
        <v>186809</v>
      </c>
      <c r="B2573">
        <v>2</v>
      </c>
      <c r="C2573" s="5" t="s">
        <v>21</v>
      </c>
      <c r="D2573">
        <v>3201</v>
      </c>
      <c r="E2573" s="5" t="s">
        <v>83</v>
      </c>
      <c r="F2573" s="5" t="s">
        <v>17</v>
      </c>
      <c r="G2573">
        <v>15</v>
      </c>
    </row>
    <row r="2574" spans="1:7" x14ac:dyDescent="0.35">
      <c r="A2574">
        <v>3118</v>
      </c>
      <c r="B2574">
        <v>28</v>
      </c>
      <c r="C2574" s="5" t="s">
        <v>50</v>
      </c>
      <c r="D2574">
        <v>6201</v>
      </c>
      <c r="E2574" s="5" t="s">
        <v>83</v>
      </c>
      <c r="F2574" s="5" t="s">
        <v>17</v>
      </c>
      <c r="G2574">
        <v>10</v>
      </c>
    </row>
    <row r="2575" spans="1:7" x14ac:dyDescent="0.35">
      <c r="A2575">
        <v>120972</v>
      </c>
      <c r="B2575">
        <v>0</v>
      </c>
      <c r="C2575" s="5" t="s">
        <v>20</v>
      </c>
      <c r="D2575">
        <v>2606</v>
      </c>
      <c r="E2575" s="5" t="s">
        <v>92</v>
      </c>
      <c r="F2575" s="5" t="s">
        <v>17</v>
      </c>
      <c r="G2575">
        <v>7</v>
      </c>
    </row>
    <row r="2576" spans="1:7" x14ac:dyDescent="0.35">
      <c r="A2576">
        <v>53853</v>
      </c>
      <c r="B2576">
        <v>0</v>
      </c>
      <c r="C2576" s="5" t="s">
        <v>49</v>
      </c>
      <c r="D2576">
        <v>0</v>
      </c>
      <c r="E2576" s="5" t="s">
        <v>94</v>
      </c>
      <c r="F2576" s="5" t="s">
        <v>17</v>
      </c>
      <c r="G2576">
        <v>8</v>
      </c>
    </row>
    <row r="2577" spans="1:7" x14ac:dyDescent="0.35">
      <c r="A2577">
        <v>2320</v>
      </c>
      <c r="B2577">
        <v>0</v>
      </c>
      <c r="C2577" s="5" t="s">
        <v>25</v>
      </c>
      <c r="D2577">
        <v>8103</v>
      </c>
      <c r="E2577" s="5" t="s">
        <v>80</v>
      </c>
      <c r="F2577" s="5" t="s">
        <v>17</v>
      </c>
      <c r="G2577">
        <v>6</v>
      </c>
    </row>
    <row r="2578" spans="1:7" x14ac:dyDescent="0.35">
      <c r="A2578">
        <v>154799</v>
      </c>
      <c r="B2578">
        <v>1</v>
      </c>
      <c r="C2578" s="5" t="s">
        <v>21</v>
      </c>
      <c r="D2578">
        <v>0</v>
      </c>
      <c r="E2578" s="5" t="s">
        <v>81</v>
      </c>
      <c r="F2578" s="5" t="s">
        <v>14</v>
      </c>
      <c r="G2578">
        <v>50</v>
      </c>
    </row>
    <row r="2579" spans="1:7" x14ac:dyDescent="0.35">
      <c r="A2579">
        <v>102521</v>
      </c>
      <c r="B2579">
        <v>1</v>
      </c>
      <c r="C2579" s="5" t="s">
        <v>33</v>
      </c>
      <c r="D2579">
        <v>4401</v>
      </c>
      <c r="E2579" s="5" t="s">
        <v>81</v>
      </c>
      <c r="F2579" s="5" t="s">
        <v>14</v>
      </c>
      <c r="G2579">
        <v>5</v>
      </c>
    </row>
    <row r="2580" spans="1:7" x14ac:dyDescent="0.35">
      <c r="A2580">
        <v>30029</v>
      </c>
      <c r="B2580">
        <v>0</v>
      </c>
      <c r="C2580" s="5" t="s">
        <v>36</v>
      </c>
      <c r="D2580">
        <v>3001</v>
      </c>
      <c r="E2580" s="5" t="s">
        <v>84</v>
      </c>
      <c r="F2580" s="5" t="s">
        <v>17</v>
      </c>
      <c r="G2580">
        <v>14</v>
      </c>
    </row>
    <row r="2581" spans="1:7" x14ac:dyDescent="0.35">
      <c r="A2581">
        <v>148883</v>
      </c>
      <c r="B2581">
        <v>1</v>
      </c>
      <c r="C2581" s="5" t="s">
        <v>21</v>
      </c>
      <c r="D2581">
        <v>4701</v>
      </c>
      <c r="E2581" s="5" t="s">
        <v>84</v>
      </c>
      <c r="F2581" s="5" t="s">
        <v>14</v>
      </c>
      <c r="G2581">
        <v>21</v>
      </c>
    </row>
    <row r="2582" spans="1:7" x14ac:dyDescent="0.35">
      <c r="A2582">
        <v>177837</v>
      </c>
      <c r="B2582">
        <v>0</v>
      </c>
      <c r="C2582" s="5" t="s">
        <v>47</v>
      </c>
      <c r="D2582">
        <v>0</v>
      </c>
      <c r="E2582" s="5" t="s">
        <v>86</v>
      </c>
      <c r="F2582" s="5" t="s">
        <v>14</v>
      </c>
      <c r="G2582">
        <v>100</v>
      </c>
    </row>
    <row r="2583" spans="1:7" x14ac:dyDescent="0.35">
      <c r="A2583">
        <v>140377</v>
      </c>
      <c r="B2583">
        <v>0</v>
      </c>
      <c r="C2583" s="5" t="s">
        <v>50</v>
      </c>
      <c r="D2583">
        <v>3801</v>
      </c>
      <c r="E2583" s="5" t="s">
        <v>79</v>
      </c>
      <c r="F2583" s="5" t="s">
        <v>17</v>
      </c>
      <c r="G2583">
        <v>15</v>
      </c>
    </row>
    <row r="2584" spans="1:7" x14ac:dyDescent="0.35">
      <c r="A2584">
        <v>139363</v>
      </c>
      <c r="B2584">
        <v>0</v>
      </c>
      <c r="C2584" s="5" t="s">
        <v>50</v>
      </c>
      <c r="D2584">
        <v>5501</v>
      </c>
      <c r="E2584" s="5" t="s">
        <v>82</v>
      </c>
      <c r="F2584" s="5" t="s">
        <v>14</v>
      </c>
      <c r="G2584">
        <v>12</v>
      </c>
    </row>
    <row r="2585" spans="1:7" x14ac:dyDescent="0.35">
      <c r="A2585">
        <v>148131</v>
      </c>
      <c r="B2585">
        <v>0</v>
      </c>
      <c r="C2585" s="5" t="s">
        <v>21</v>
      </c>
      <c r="D2585">
        <v>5601</v>
      </c>
      <c r="E2585" s="5" t="s">
        <v>82</v>
      </c>
      <c r="F2585" s="5" t="s">
        <v>17</v>
      </c>
      <c r="G2585">
        <v>20</v>
      </c>
    </row>
    <row r="2586" spans="1:7" x14ac:dyDescent="0.35">
      <c r="A2586">
        <v>175902</v>
      </c>
      <c r="B2586">
        <v>2</v>
      </c>
      <c r="C2586" s="5" t="s">
        <v>47</v>
      </c>
      <c r="D2586">
        <v>0</v>
      </c>
      <c r="E2586" s="5" t="s">
        <v>78</v>
      </c>
      <c r="F2586" s="5" t="s">
        <v>17</v>
      </c>
      <c r="G2586">
        <v>15</v>
      </c>
    </row>
    <row r="2587" spans="1:7" x14ac:dyDescent="0.35">
      <c r="A2587">
        <v>148030</v>
      </c>
      <c r="B2587">
        <v>3</v>
      </c>
      <c r="C2587" s="5" t="s">
        <v>21</v>
      </c>
      <c r="D2587">
        <v>0</v>
      </c>
      <c r="E2587" s="5" t="s">
        <v>93</v>
      </c>
      <c r="F2587" s="5" t="s">
        <v>17</v>
      </c>
      <c r="G2587">
        <v>10</v>
      </c>
    </row>
    <row r="2588" spans="1:7" x14ac:dyDescent="0.35">
      <c r="A2588">
        <v>54003</v>
      </c>
      <c r="B2588">
        <v>0</v>
      </c>
      <c r="C2588" s="5" t="s">
        <v>49</v>
      </c>
      <c r="D2588">
        <v>3509</v>
      </c>
      <c r="E2588" s="5" t="s">
        <v>79</v>
      </c>
      <c r="F2588" s="5" t="s">
        <v>27</v>
      </c>
      <c r="G2588">
        <v>15</v>
      </c>
    </row>
    <row r="2589" spans="1:7" x14ac:dyDescent="0.35">
      <c r="A2589">
        <v>163412</v>
      </c>
      <c r="B2589">
        <v>0</v>
      </c>
      <c r="C2589" s="5" t="s">
        <v>21</v>
      </c>
      <c r="D2589">
        <v>0</v>
      </c>
      <c r="E2589" s="5" t="s">
        <v>85</v>
      </c>
      <c r="F2589" s="5" t="s">
        <v>17</v>
      </c>
      <c r="G2589">
        <v>20</v>
      </c>
    </row>
    <row r="2590" spans="1:7" x14ac:dyDescent="0.35">
      <c r="A2590">
        <v>134325</v>
      </c>
      <c r="B2590">
        <v>1</v>
      </c>
      <c r="C2590" s="5" t="s">
        <v>35</v>
      </c>
      <c r="D2590">
        <v>0</v>
      </c>
      <c r="E2590" s="5" t="s">
        <v>78</v>
      </c>
      <c r="F2590" s="5" t="s">
        <v>14</v>
      </c>
      <c r="G2590">
        <v>5</v>
      </c>
    </row>
    <row r="2591" spans="1:7" x14ac:dyDescent="0.35">
      <c r="A2591">
        <v>21135</v>
      </c>
      <c r="B2591">
        <v>14</v>
      </c>
      <c r="C2591" s="5" t="s">
        <v>18</v>
      </c>
      <c r="D2591">
        <v>0</v>
      </c>
      <c r="E2591" s="5" t="s">
        <v>81</v>
      </c>
      <c r="F2591" s="5" t="s">
        <v>14</v>
      </c>
      <c r="G2591">
        <v>5</v>
      </c>
    </row>
    <row r="2592" spans="1:7" x14ac:dyDescent="0.35">
      <c r="A2592">
        <v>133948</v>
      </c>
      <c r="B2592">
        <v>0</v>
      </c>
      <c r="C2592" s="5" t="s">
        <v>21</v>
      </c>
      <c r="D2592">
        <v>1603</v>
      </c>
      <c r="E2592" s="5" t="s">
        <v>79</v>
      </c>
      <c r="F2592" s="5" t="s">
        <v>86</v>
      </c>
      <c r="G2592">
        <v>13</v>
      </c>
    </row>
    <row r="2593" spans="1:7" x14ac:dyDescent="0.35">
      <c r="A2593">
        <v>129945</v>
      </c>
      <c r="B2593">
        <v>0</v>
      </c>
      <c r="C2593" s="5" t="s">
        <v>45</v>
      </c>
      <c r="D2593">
        <v>0</v>
      </c>
      <c r="E2593" s="5" t="s">
        <v>87</v>
      </c>
      <c r="F2593" s="5" t="s">
        <v>17</v>
      </c>
      <c r="G2593">
        <v>7</v>
      </c>
    </row>
    <row r="2594" spans="1:7" x14ac:dyDescent="0.35">
      <c r="A2594">
        <v>12832</v>
      </c>
      <c r="B2594">
        <v>0</v>
      </c>
      <c r="C2594" s="5" t="s">
        <v>29</v>
      </c>
      <c r="D2594">
        <v>2301</v>
      </c>
      <c r="E2594" s="5" t="s">
        <v>79</v>
      </c>
      <c r="F2594" s="5" t="s">
        <v>17</v>
      </c>
      <c r="G2594">
        <v>10</v>
      </c>
    </row>
    <row r="2595" spans="1:7" x14ac:dyDescent="0.35">
      <c r="A2595">
        <v>74706</v>
      </c>
      <c r="B2595">
        <v>1</v>
      </c>
      <c r="C2595" s="5" t="s">
        <v>26</v>
      </c>
      <c r="D2595">
        <v>5101</v>
      </c>
      <c r="E2595" s="5" t="s">
        <v>79</v>
      </c>
      <c r="F2595" s="5" t="s">
        <v>14</v>
      </c>
      <c r="G2595">
        <v>25</v>
      </c>
    </row>
    <row r="2596" spans="1:7" x14ac:dyDescent="0.35">
      <c r="A2596">
        <v>7649</v>
      </c>
      <c r="B2596">
        <v>2</v>
      </c>
      <c r="C2596" s="5" t="s">
        <v>49</v>
      </c>
      <c r="D2596">
        <v>0</v>
      </c>
      <c r="E2596" s="5" t="s">
        <v>83</v>
      </c>
      <c r="F2596" s="5" t="s">
        <v>17</v>
      </c>
      <c r="G2596">
        <v>13</v>
      </c>
    </row>
    <row r="2597" spans="1:7" x14ac:dyDescent="0.35">
      <c r="A2597">
        <v>45878</v>
      </c>
      <c r="B2597">
        <v>28</v>
      </c>
      <c r="C2597" s="5" t="s">
        <v>13</v>
      </c>
      <c r="D2597">
        <v>0</v>
      </c>
      <c r="E2597" s="5" t="s">
        <v>87</v>
      </c>
      <c r="F2597" s="5" t="s">
        <v>17</v>
      </c>
      <c r="G2597">
        <v>5</v>
      </c>
    </row>
    <row r="2598" spans="1:7" x14ac:dyDescent="0.35">
      <c r="A2598">
        <v>68650</v>
      </c>
      <c r="B2598">
        <v>0</v>
      </c>
      <c r="C2598" s="5" t="s">
        <v>26</v>
      </c>
      <c r="D2598">
        <v>5712</v>
      </c>
      <c r="E2598" s="5" t="s">
        <v>83</v>
      </c>
      <c r="F2598" s="5" t="s">
        <v>17</v>
      </c>
      <c r="G2598">
        <v>15</v>
      </c>
    </row>
    <row r="2599" spans="1:7" x14ac:dyDescent="0.35">
      <c r="A2599">
        <v>60859</v>
      </c>
      <c r="B2599">
        <v>2</v>
      </c>
      <c r="C2599" s="5" t="s">
        <v>30</v>
      </c>
      <c r="D2599">
        <v>4612</v>
      </c>
      <c r="E2599" s="5" t="s">
        <v>83</v>
      </c>
      <c r="F2599" s="5" t="s">
        <v>17</v>
      </c>
      <c r="G2599">
        <v>10</v>
      </c>
    </row>
    <row r="2600" spans="1:7" x14ac:dyDescent="0.35">
      <c r="A2600">
        <v>73030</v>
      </c>
      <c r="B2600">
        <v>1</v>
      </c>
      <c r="C2600" s="5" t="s">
        <v>26</v>
      </c>
      <c r="D2600">
        <v>4601</v>
      </c>
      <c r="E2600" s="5" t="s">
        <v>79</v>
      </c>
      <c r="F2600" s="5" t="s">
        <v>14</v>
      </c>
      <c r="G2600">
        <v>25</v>
      </c>
    </row>
    <row r="2601" spans="1:7" x14ac:dyDescent="0.35">
      <c r="A2601">
        <v>181972</v>
      </c>
      <c r="B2601">
        <v>0</v>
      </c>
      <c r="C2601" s="5" t="s">
        <v>37</v>
      </c>
      <c r="D2601">
        <v>5210</v>
      </c>
      <c r="E2601" s="5" t="s">
        <v>93</v>
      </c>
      <c r="F2601" s="5" t="s">
        <v>17</v>
      </c>
      <c r="G2601">
        <v>10</v>
      </c>
    </row>
    <row r="2602" spans="1:7" x14ac:dyDescent="0.35">
      <c r="A2602">
        <v>14598</v>
      </c>
      <c r="B2602">
        <v>1</v>
      </c>
      <c r="C2602" s="5" t="s">
        <v>18</v>
      </c>
      <c r="D2602">
        <v>1401</v>
      </c>
      <c r="E2602" s="5" t="s">
        <v>79</v>
      </c>
      <c r="F2602" s="5" t="s">
        <v>14</v>
      </c>
      <c r="G2602">
        <v>50</v>
      </c>
    </row>
    <row r="2603" spans="1:7" x14ac:dyDescent="0.35">
      <c r="A2603">
        <v>92052</v>
      </c>
      <c r="B2603">
        <v>1</v>
      </c>
      <c r="C2603" s="5" t="s">
        <v>16</v>
      </c>
      <c r="D2603">
        <v>1311</v>
      </c>
      <c r="E2603" s="5" t="s">
        <v>87</v>
      </c>
      <c r="F2603" s="5" t="s">
        <v>14</v>
      </c>
      <c r="G2603">
        <v>10</v>
      </c>
    </row>
    <row r="2604" spans="1:7" x14ac:dyDescent="0.35">
      <c r="A2604">
        <v>15086</v>
      </c>
      <c r="B2604">
        <v>0</v>
      </c>
      <c r="C2604" s="5" t="s">
        <v>18</v>
      </c>
      <c r="D2604">
        <v>0</v>
      </c>
      <c r="E2604" s="5" t="s">
        <v>81</v>
      </c>
      <c r="F2604" s="5" t="s">
        <v>17</v>
      </c>
      <c r="G2604">
        <v>10</v>
      </c>
    </row>
    <row r="2605" spans="1:7" x14ac:dyDescent="0.35">
      <c r="A2605">
        <v>92058</v>
      </c>
      <c r="B2605">
        <v>0</v>
      </c>
      <c r="C2605" s="5" t="s">
        <v>55</v>
      </c>
      <c r="D2605">
        <v>0</v>
      </c>
      <c r="E2605" s="5" t="s">
        <v>83</v>
      </c>
      <c r="F2605" s="5" t="s">
        <v>17</v>
      </c>
      <c r="G2605">
        <v>15</v>
      </c>
    </row>
    <row r="2606" spans="1:7" x14ac:dyDescent="0.35">
      <c r="A2606">
        <v>18104</v>
      </c>
      <c r="B2606">
        <v>0</v>
      </c>
      <c r="C2606" s="5" t="s">
        <v>18</v>
      </c>
      <c r="D2606">
        <v>5406</v>
      </c>
      <c r="E2606" s="5" t="s">
        <v>82</v>
      </c>
      <c r="F2606" s="5" t="s">
        <v>14</v>
      </c>
      <c r="G2606">
        <v>12</v>
      </c>
    </row>
    <row r="2607" spans="1:7" x14ac:dyDescent="0.35">
      <c r="A2607">
        <v>91942</v>
      </c>
      <c r="B2607">
        <v>2</v>
      </c>
      <c r="C2607" s="5" t="s">
        <v>16</v>
      </c>
      <c r="D2607">
        <v>2308</v>
      </c>
      <c r="E2607" s="5" t="s">
        <v>80</v>
      </c>
      <c r="F2607" s="5" t="s">
        <v>14</v>
      </c>
      <c r="G2607">
        <v>3</v>
      </c>
    </row>
    <row r="2608" spans="1:7" x14ac:dyDescent="0.35">
      <c r="A2608">
        <v>103926</v>
      </c>
      <c r="B2608">
        <v>1</v>
      </c>
      <c r="C2608" s="5" t="s">
        <v>33</v>
      </c>
      <c r="D2608">
        <v>804</v>
      </c>
      <c r="E2608" s="5" t="s">
        <v>81</v>
      </c>
      <c r="F2608" s="5" t="s">
        <v>14</v>
      </c>
      <c r="G2608">
        <v>5</v>
      </c>
    </row>
    <row r="2609" spans="1:7" x14ac:dyDescent="0.35">
      <c r="A2609">
        <v>149033</v>
      </c>
      <c r="B2609">
        <v>0</v>
      </c>
      <c r="C2609" s="5" t="s">
        <v>21</v>
      </c>
      <c r="D2609">
        <v>2801</v>
      </c>
      <c r="E2609" s="5" t="s">
        <v>87</v>
      </c>
      <c r="F2609" s="5" t="s">
        <v>17</v>
      </c>
      <c r="G2609">
        <v>7</v>
      </c>
    </row>
    <row r="2610" spans="1:7" x14ac:dyDescent="0.35">
      <c r="A2610">
        <v>52196</v>
      </c>
      <c r="B2610">
        <v>1</v>
      </c>
      <c r="C2610" s="5" t="s">
        <v>49</v>
      </c>
      <c r="D2610">
        <v>5001</v>
      </c>
      <c r="E2610" s="5" t="s">
        <v>79</v>
      </c>
      <c r="F2610" s="5" t="s">
        <v>14</v>
      </c>
      <c r="G2610">
        <v>10</v>
      </c>
    </row>
    <row r="2611" spans="1:7" x14ac:dyDescent="0.35">
      <c r="A2611">
        <v>38519</v>
      </c>
      <c r="B2611">
        <v>0</v>
      </c>
      <c r="C2611" s="5" t="s">
        <v>13</v>
      </c>
      <c r="D2611">
        <v>4601</v>
      </c>
      <c r="E2611" s="5" t="s">
        <v>83</v>
      </c>
      <c r="F2611" s="5" t="s">
        <v>17</v>
      </c>
      <c r="G2611">
        <v>2</v>
      </c>
    </row>
    <row r="2612" spans="1:7" x14ac:dyDescent="0.35">
      <c r="A2612">
        <v>107413</v>
      </c>
      <c r="B2612">
        <v>2</v>
      </c>
      <c r="C2612" s="5" t="s">
        <v>55</v>
      </c>
      <c r="D2612">
        <v>0</v>
      </c>
      <c r="E2612" s="5" t="s">
        <v>81</v>
      </c>
      <c r="F2612" s="5" t="s">
        <v>17</v>
      </c>
      <c r="G2612">
        <v>14</v>
      </c>
    </row>
    <row r="2613" spans="1:7" x14ac:dyDescent="0.35">
      <c r="A2613">
        <v>6099</v>
      </c>
      <c r="B2613">
        <v>0</v>
      </c>
      <c r="C2613" s="5" t="s">
        <v>21</v>
      </c>
      <c r="D2613">
        <v>5501</v>
      </c>
      <c r="E2613" s="5" t="s">
        <v>79</v>
      </c>
      <c r="F2613" s="5" t="s">
        <v>14</v>
      </c>
      <c r="G2613">
        <v>10</v>
      </c>
    </row>
    <row r="2614" spans="1:7" x14ac:dyDescent="0.35">
      <c r="A2614">
        <v>95879</v>
      </c>
      <c r="B2614">
        <v>28</v>
      </c>
      <c r="C2614" s="5" t="s">
        <v>16</v>
      </c>
      <c r="D2614">
        <v>4306</v>
      </c>
      <c r="E2614" s="5" t="s">
        <v>94</v>
      </c>
      <c r="F2614" s="5" t="s">
        <v>17</v>
      </c>
      <c r="G2614">
        <v>30</v>
      </c>
    </row>
    <row r="2615" spans="1:7" x14ac:dyDescent="0.35">
      <c r="A2615">
        <v>16175</v>
      </c>
      <c r="B2615">
        <v>0</v>
      </c>
      <c r="C2615" s="5" t="s">
        <v>18</v>
      </c>
      <c r="D2615">
        <v>2801</v>
      </c>
      <c r="E2615" s="5" t="s">
        <v>89</v>
      </c>
      <c r="F2615" s="5" t="s">
        <v>17</v>
      </c>
      <c r="G2615">
        <v>30</v>
      </c>
    </row>
    <row r="2616" spans="1:7" x14ac:dyDescent="0.35">
      <c r="A2616">
        <v>43564</v>
      </c>
      <c r="B2616">
        <v>1</v>
      </c>
      <c r="C2616" s="5" t="s">
        <v>13</v>
      </c>
      <c r="D2616">
        <v>4501</v>
      </c>
      <c r="E2616" s="5" t="s">
        <v>78</v>
      </c>
      <c r="F2616" s="5" t="s">
        <v>14</v>
      </c>
      <c r="G2616">
        <v>20</v>
      </c>
    </row>
    <row r="2617" spans="1:7" x14ac:dyDescent="0.35">
      <c r="A2617">
        <v>64906</v>
      </c>
      <c r="B2617">
        <v>0</v>
      </c>
      <c r="C2617" s="5" t="s">
        <v>26</v>
      </c>
      <c r="D2617">
        <v>3701</v>
      </c>
      <c r="E2617" s="5" t="s">
        <v>80</v>
      </c>
      <c r="F2617" s="5" t="s">
        <v>17</v>
      </c>
      <c r="G2617">
        <v>50</v>
      </c>
    </row>
    <row r="2618" spans="1:7" x14ac:dyDescent="0.35">
      <c r="A2618">
        <v>149110</v>
      </c>
      <c r="B2618">
        <v>0</v>
      </c>
      <c r="C2618" s="5" t="s">
        <v>21</v>
      </c>
      <c r="D2618">
        <v>0</v>
      </c>
      <c r="E2618" s="5" t="s">
        <v>82</v>
      </c>
      <c r="F2618" s="5" t="s">
        <v>14</v>
      </c>
      <c r="G2618">
        <v>6</v>
      </c>
    </row>
    <row r="2619" spans="1:7" x14ac:dyDescent="0.35">
      <c r="A2619">
        <v>24663</v>
      </c>
      <c r="B2619">
        <v>0</v>
      </c>
      <c r="C2619" s="5" t="s">
        <v>43</v>
      </c>
      <c r="D2619">
        <v>3311</v>
      </c>
      <c r="E2619" s="5" t="s">
        <v>79</v>
      </c>
      <c r="F2619" s="5" t="s">
        <v>17</v>
      </c>
      <c r="G2619">
        <v>16</v>
      </c>
    </row>
    <row r="2620" spans="1:7" x14ac:dyDescent="0.35">
      <c r="A2620">
        <v>85922</v>
      </c>
      <c r="B2620">
        <v>0</v>
      </c>
      <c r="C2620" s="5" t="s">
        <v>48</v>
      </c>
      <c r="D2620">
        <v>4001</v>
      </c>
      <c r="E2620" s="5" t="s">
        <v>79</v>
      </c>
      <c r="F2620" s="5" t="s">
        <v>17</v>
      </c>
      <c r="G2620">
        <v>10</v>
      </c>
    </row>
    <row r="2621" spans="1:7" x14ac:dyDescent="0.35">
      <c r="A2621">
        <v>84276</v>
      </c>
      <c r="B2621">
        <v>2</v>
      </c>
      <c r="C2621" s="5" t="s">
        <v>52</v>
      </c>
      <c r="D2621">
        <v>4311</v>
      </c>
      <c r="E2621" s="5" t="s">
        <v>81</v>
      </c>
      <c r="F2621" s="5" t="s">
        <v>17</v>
      </c>
      <c r="G2621">
        <v>3</v>
      </c>
    </row>
    <row r="2622" spans="1:7" x14ac:dyDescent="0.35">
      <c r="A2622">
        <v>154611</v>
      </c>
      <c r="B2622">
        <v>28</v>
      </c>
      <c r="C2622" s="5" t="s">
        <v>21</v>
      </c>
      <c r="D2622">
        <v>2101</v>
      </c>
      <c r="E2622" s="5" t="s">
        <v>79</v>
      </c>
      <c r="F2622" s="5" t="s">
        <v>17</v>
      </c>
      <c r="G2622">
        <v>5</v>
      </c>
    </row>
    <row r="2623" spans="1:7" x14ac:dyDescent="0.35">
      <c r="A2623">
        <v>55293</v>
      </c>
      <c r="B2623">
        <v>28</v>
      </c>
      <c r="C2623" s="5" t="s">
        <v>56</v>
      </c>
      <c r="D2623">
        <v>0</v>
      </c>
      <c r="E2623" s="5" t="s">
        <v>87</v>
      </c>
      <c r="F2623" s="5" t="s">
        <v>17</v>
      </c>
      <c r="G2623">
        <v>25</v>
      </c>
    </row>
    <row r="2624" spans="1:7" x14ac:dyDescent="0.35">
      <c r="A2624">
        <v>188812</v>
      </c>
      <c r="B2624">
        <v>0</v>
      </c>
      <c r="C2624" s="5" t="s">
        <v>26</v>
      </c>
      <c r="D2624">
        <v>1901</v>
      </c>
      <c r="E2624" s="5" t="s">
        <v>83</v>
      </c>
      <c r="F2624" s="5" t="s">
        <v>14</v>
      </c>
      <c r="G2624">
        <v>20</v>
      </c>
    </row>
    <row r="2625" spans="1:7" x14ac:dyDescent="0.35">
      <c r="A2625">
        <v>149506</v>
      </c>
      <c r="B2625">
        <v>1</v>
      </c>
      <c r="C2625" s="5" t="s">
        <v>21</v>
      </c>
      <c r="D2625">
        <v>4605</v>
      </c>
      <c r="E2625" s="5" t="s">
        <v>83</v>
      </c>
      <c r="F2625" s="5" t="s">
        <v>14</v>
      </c>
      <c r="G2625">
        <v>10</v>
      </c>
    </row>
    <row r="2626" spans="1:7" x14ac:dyDescent="0.35">
      <c r="A2626">
        <v>190727</v>
      </c>
      <c r="B2626">
        <v>2</v>
      </c>
      <c r="C2626" s="5" t="s">
        <v>13</v>
      </c>
      <c r="D2626">
        <v>1709</v>
      </c>
      <c r="E2626" s="5" t="s">
        <v>86</v>
      </c>
      <c r="F2626" s="5" t="s">
        <v>17</v>
      </c>
      <c r="G2626">
        <v>11</v>
      </c>
    </row>
    <row r="2627" spans="1:7" x14ac:dyDescent="0.35">
      <c r="A2627">
        <v>150248</v>
      </c>
      <c r="B2627">
        <v>28</v>
      </c>
      <c r="C2627" s="5" t="s">
        <v>21</v>
      </c>
      <c r="D2627">
        <v>0</v>
      </c>
      <c r="E2627" s="5" t="s">
        <v>80</v>
      </c>
      <c r="F2627" s="5" t="s">
        <v>14</v>
      </c>
      <c r="G2627">
        <v>25</v>
      </c>
    </row>
    <row r="2628" spans="1:7" x14ac:dyDescent="0.35">
      <c r="A2628">
        <v>177009</v>
      </c>
      <c r="B2628">
        <v>0</v>
      </c>
      <c r="C2628" s="5" t="s">
        <v>47</v>
      </c>
      <c r="D2628">
        <v>0</v>
      </c>
      <c r="E2628" s="5" t="s">
        <v>81</v>
      </c>
      <c r="F2628" s="5" t="s">
        <v>86</v>
      </c>
      <c r="G2628">
        <v>5</v>
      </c>
    </row>
    <row r="2629" spans="1:7" x14ac:dyDescent="0.35">
      <c r="A2629">
        <v>89642</v>
      </c>
      <c r="B2629">
        <v>0</v>
      </c>
      <c r="C2629" s="5" t="s">
        <v>16</v>
      </c>
      <c r="D2629">
        <v>0</v>
      </c>
      <c r="E2629" s="5" t="s">
        <v>82</v>
      </c>
      <c r="F2629" s="5" t="s">
        <v>17</v>
      </c>
      <c r="G2629">
        <v>15</v>
      </c>
    </row>
    <row r="2630" spans="1:7" x14ac:dyDescent="0.35">
      <c r="A2630">
        <v>103913</v>
      </c>
      <c r="B2630">
        <v>0</v>
      </c>
      <c r="C2630" s="5" t="s">
        <v>33</v>
      </c>
      <c r="D2630">
        <v>5406</v>
      </c>
      <c r="E2630" s="5" t="s">
        <v>89</v>
      </c>
      <c r="F2630" s="5" t="s">
        <v>17</v>
      </c>
      <c r="G2630">
        <v>11</v>
      </c>
    </row>
    <row r="2631" spans="1:7" x14ac:dyDescent="0.35">
      <c r="A2631">
        <v>76780</v>
      </c>
      <c r="B2631">
        <v>2</v>
      </c>
      <c r="C2631" s="5" t="s">
        <v>44</v>
      </c>
      <c r="D2631">
        <v>1601</v>
      </c>
      <c r="E2631" s="5" t="s">
        <v>84</v>
      </c>
      <c r="F2631" s="5" t="s">
        <v>17</v>
      </c>
      <c r="G2631">
        <v>75</v>
      </c>
    </row>
    <row r="2632" spans="1:7" x14ac:dyDescent="0.35">
      <c r="A2632">
        <v>41901</v>
      </c>
      <c r="B2632">
        <v>1</v>
      </c>
      <c r="C2632" s="5" t="s">
        <v>26</v>
      </c>
      <c r="D2632">
        <v>5601</v>
      </c>
      <c r="E2632" s="5" t="s">
        <v>91</v>
      </c>
      <c r="F2632" s="5" t="s">
        <v>14</v>
      </c>
      <c r="G2632">
        <v>100</v>
      </c>
    </row>
    <row r="2633" spans="1:7" x14ac:dyDescent="0.35">
      <c r="A2633">
        <v>137998</v>
      </c>
      <c r="B2633">
        <v>0</v>
      </c>
      <c r="C2633" s="5" t="s">
        <v>51</v>
      </c>
      <c r="D2633">
        <v>4701</v>
      </c>
      <c r="E2633" s="5" t="s">
        <v>80</v>
      </c>
      <c r="F2633" s="5" t="s">
        <v>17</v>
      </c>
      <c r="G2633">
        <v>20</v>
      </c>
    </row>
    <row r="2634" spans="1:7" x14ac:dyDescent="0.35">
      <c r="A2634">
        <v>79136</v>
      </c>
      <c r="B2634">
        <v>1</v>
      </c>
      <c r="C2634" s="5" t="s">
        <v>32</v>
      </c>
      <c r="D2634">
        <v>2401</v>
      </c>
      <c r="E2634" s="5" t="s">
        <v>87</v>
      </c>
      <c r="F2634" s="5" t="s">
        <v>14</v>
      </c>
      <c r="G2634">
        <v>10</v>
      </c>
    </row>
    <row r="2635" spans="1:7" x14ac:dyDescent="0.35">
      <c r="A2635">
        <v>46110</v>
      </c>
      <c r="B2635">
        <v>2</v>
      </c>
      <c r="C2635" s="5" t="s">
        <v>65</v>
      </c>
      <c r="D2635">
        <v>0</v>
      </c>
      <c r="E2635" s="5" t="s">
        <v>86</v>
      </c>
      <c r="F2635" s="5" t="s">
        <v>14</v>
      </c>
      <c r="G2635">
        <v>4</v>
      </c>
    </row>
    <row r="2636" spans="1:7" x14ac:dyDescent="0.35">
      <c r="A2636">
        <v>97774</v>
      </c>
      <c r="B2636">
        <v>0</v>
      </c>
      <c r="C2636" s="5" t="s">
        <v>16</v>
      </c>
      <c r="D2636">
        <v>5201</v>
      </c>
      <c r="E2636" s="5" t="s">
        <v>79</v>
      </c>
      <c r="F2636" s="5" t="s">
        <v>17</v>
      </c>
      <c r="G2636">
        <v>25</v>
      </c>
    </row>
    <row r="2637" spans="1:7" x14ac:dyDescent="0.35">
      <c r="A2637">
        <v>103590</v>
      </c>
      <c r="B2637">
        <v>39002</v>
      </c>
      <c r="C2637" s="5" t="s">
        <v>33</v>
      </c>
      <c r="D2637">
        <v>0</v>
      </c>
      <c r="E2637" s="5" t="s">
        <v>89</v>
      </c>
      <c r="F2637" s="5" t="s">
        <v>14</v>
      </c>
      <c r="G2637">
        <v>15</v>
      </c>
    </row>
    <row r="2638" spans="1:7" x14ac:dyDescent="0.35">
      <c r="A2638">
        <v>181998</v>
      </c>
      <c r="B2638">
        <v>0</v>
      </c>
      <c r="C2638" s="5" t="s">
        <v>37</v>
      </c>
      <c r="D2638">
        <v>6201</v>
      </c>
      <c r="E2638" s="5" t="s">
        <v>80</v>
      </c>
      <c r="F2638" s="5" t="s">
        <v>86</v>
      </c>
      <c r="G2638">
        <v>20</v>
      </c>
    </row>
    <row r="2639" spans="1:7" x14ac:dyDescent="0.35">
      <c r="A2639">
        <v>10036</v>
      </c>
      <c r="B2639">
        <v>2</v>
      </c>
      <c r="C2639" s="5" t="s">
        <v>37</v>
      </c>
      <c r="D2639">
        <v>2503</v>
      </c>
      <c r="E2639" s="5" t="s">
        <v>83</v>
      </c>
      <c r="F2639" s="5" t="s">
        <v>14</v>
      </c>
      <c r="G2639">
        <v>25</v>
      </c>
    </row>
    <row r="2640" spans="1:7" x14ac:dyDescent="0.35">
      <c r="A2640">
        <v>175584</v>
      </c>
      <c r="B2640">
        <v>1</v>
      </c>
      <c r="C2640" s="5" t="s">
        <v>47</v>
      </c>
      <c r="D2640">
        <v>2505</v>
      </c>
      <c r="E2640" s="5" t="s">
        <v>80</v>
      </c>
      <c r="F2640" s="5" t="s">
        <v>14</v>
      </c>
      <c r="G2640">
        <v>15</v>
      </c>
    </row>
    <row r="2641" spans="1:7" x14ac:dyDescent="0.35">
      <c r="A2641">
        <v>41905</v>
      </c>
      <c r="B2641">
        <v>0</v>
      </c>
      <c r="C2641" s="5" t="s">
        <v>13</v>
      </c>
      <c r="D2641">
        <v>0</v>
      </c>
      <c r="E2641" s="5" t="s">
        <v>92</v>
      </c>
      <c r="F2641" s="5" t="s">
        <v>17</v>
      </c>
      <c r="G2641">
        <v>15</v>
      </c>
    </row>
    <row r="2642" spans="1:7" x14ac:dyDescent="0.35">
      <c r="A2642">
        <v>156449</v>
      </c>
      <c r="B2642">
        <v>28</v>
      </c>
      <c r="C2642" s="5" t="s">
        <v>21</v>
      </c>
      <c r="D2642">
        <v>3601</v>
      </c>
      <c r="E2642" s="5" t="s">
        <v>85</v>
      </c>
      <c r="F2642" s="5" t="s">
        <v>17</v>
      </c>
      <c r="G2642">
        <v>20</v>
      </c>
    </row>
    <row r="2643" spans="1:7" x14ac:dyDescent="0.35">
      <c r="A2643">
        <v>131465</v>
      </c>
      <c r="B2643">
        <v>0</v>
      </c>
      <c r="C2643" s="5" t="s">
        <v>45</v>
      </c>
      <c r="D2643">
        <v>5401</v>
      </c>
      <c r="E2643" s="5" t="s">
        <v>84</v>
      </c>
      <c r="F2643" s="5" t="s">
        <v>17</v>
      </c>
      <c r="G2643">
        <v>15</v>
      </c>
    </row>
    <row r="2644" spans="1:7" x14ac:dyDescent="0.35">
      <c r="A2644">
        <v>170889</v>
      </c>
      <c r="B2644">
        <v>0</v>
      </c>
      <c r="C2644" s="5" t="s">
        <v>21</v>
      </c>
      <c r="D2644">
        <v>0</v>
      </c>
      <c r="E2644" s="5" t="s">
        <v>93</v>
      </c>
      <c r="F2644" s="5" t="s">
        <v>17</v>
      </c>
      <c r="G2644">
        <v>7</v>
      </c>
    </row>
    <row r="2645" spans="1:7" x14ac:dyDescent="0.35">
      <c r="A2645">
        <v>103593</v>
      </c>
      <c r="B2645">
        <v>0</v>
      </c>
      <c r="C2645" s="5" t="s">
        <v>33</v>
      </c>
      <c r="D2645">
        <v>1505</v>
      </c>
      <c r="E2645" s="5" t="s">
        <v>89</v>
      </c>
      <c r="F2645" s="5" t="s">
        <v>17</v>
      </c>
      <c r="G2645">
        <v>10</v>
      </c>
    </row>
    <row r="2646" spans="1:7" x14ac:dyDescent="0.35">
      <c r="A2646">
        <v>86017</v>
      </c>
      <c r="B2646">
        <v>1</v>
      </c>
      <c r="C2646" s="5" t="s">
        <v>48</v>
      </c>
      <c r="D2646">
        <v>702</v>
      </c>
      <c r="E2646" s="5" t="s">
        <v>78</v>
      </c>
      <c r="F2646" s="5" t="s">
        <v>14</v>
      </c>
      <c r="G2646">
        <v>10</v>
      </c>
    </row>
    <row r="2647" spans="1:7" x14ac:dyDescent="0.35">
      <c r="A2647">
        <v>92891</v>
      </c>
      <c r="B2647">
        <v>0</v>
      </c>
      <c r="C2647" s="5" t="s">
        <v>16</v>
      </c>
      <c r="D2647">
        <v>2601</v>
      </c>
      <c r="E2647" s="5" t="s">
        <v>92</v>
      </c>
      <c r="F2647" s="5" t="s">
        <v>17</v>
      </c>
      <c r="G2647">
        <v>5</v>
      </c>
    </row>
    <row r="2648" spans="1:7" x14ac:dyDescent="0.35">
      <c r="A2648">
        <v>143691</v>
      </c>
      <c r="B2648">
        <v>0</v>
      </c>
      <c r="C2648" s="5" t="s">
        <v>21</v>
      </c>
      <c r="D2648">
        <v>3001</v>
      </c>
      <c r="E2648" s="5" t="s">
        <v>85</v>
      </c>
      <c r="F2648" s="5" t="s">
        <v>17</v>
      </c>
      <c r="G2648">
        <v>15</v>
      </c>
    </row>
    <row r="2649" spans="1:7" x14ac:dyDescent="0.35">
      <c r="A2649">
        <v>44500</v>
      </c>
      <c r="B2649">
        <v>0</v>
      </c>
      <c r="C2649" s="5" t="s">
        <v>13</v>
      </c>
      <c r="D2649">
        <v>4503</v>
      </c>
      <c r="E2649" s="5" t="s">
        <v>81</v>
      </c>
      <c r="F2649" s="5" t="s">
        <v>17</v>
      </c>
      <c r="G2649">
        <v>5</v>
      </c>
    </row>
    <row r="2650" spans="1:7" x14ac:dyDescent="0.35">
      <c r="A2650">
        <v>7301</v>
      </c>
      <c r="B2650">
        <v>1</v>
      </c>
      <c r="C2650" s="5" t="s">
        <v>48</v>
      </c>
      <c r="D2650">
        <v>1801</v>
      </c>
      <c r="E2650" s="5" t="s">
        <v>86</v>
      </c>
      <c r="F2650" s="5" t="s">
        <v>14</v>
      </c>
      <c r="G2650">
        <v>10</v>
      </c>
    </row>
    <row r="2651" spans="1:7" x14ac:dyDescent="0.35">
      <c r="A2651">
        <v>8742</v>
      </c>
      <c r="B2651">
        <v>2</v>
      </c>
      <c r="C2651" s="5" t="s">
        <v>45</v>
      </c>
      <c r="D2651">
        <v>2011</v>
      </c>
      <c r="E2651" s="5" t="s">
        <v>87</v>
      </c>
      <c r="F2651" s="5" t="s">
        <v>86</v>
      </c>
      <c r="G2651">
        <v>3</v>
      </c>
    </row>
    <row r="2652" spans="1:7" x14ac:dyDescent="0.35">
      <c r="A2652">
        <v>42589</v>
      </c>
      <c r="B2652">
        <v>0</v>
      </c>
      <c r="C2652" s="5" t="s">
        <v>13</v>
      </c>
      <c r="D2652">
        <v>2809</v>
      </c>
      <c r="E2652" s="5" t="s">
        <v>78</v>
      </c>
      <c r="F2652" s="5" t="s">
        <v>17</v>
      </c>
      <c r="G2652">
        <v>15</v>
      </c>
    </row>
    <row r="2653" spans="1:7" x14ac:dyDescent="0.35">
      <c r="A2653">
        <v>125086</v>
      </c>
      <c r="B2653">
        <v>2</v>
      </c>
      <c r="C2653" s="5" t="s">
        <v>20</v>
      </c>
      <c r="D2653">
        <v>4601</v>
      </c>
      <c r="E2653" s="5" t="s">
        <v>92</v>
      </c>
      <c r="F2653" s="5" t="s">
        <v>17</v>
      </c>
      <c r="G2653">
        <v>6</v>
      </c>
    </row>
    <row r="2654" spans="1:7" x14ac:dyDescent="0.35">
      <c r="A2654">
        <v>82998</v>
      </c>
      <c r="B2654">
        <v>0</v>
      </c>
      <c r="C2654" s="5" t="s">
        <v>52</v>
      </c>
      <c r="D2654">
        <v>5510</v>
      </c>
      <c r="E2654" s="5" t="s">
        <v>80</v>
      </c>
      <c r="F2654" s="5" t="s">
        <v>17</v>
      </c>
      <c r="G2654">
        <v>25</v>
      </c>
    </row>
    <row r="2655" spans="1:7" x14ac:dyDescent="0.35">
      <c r="A2655">
        <v>82548</v>
      </c>
      <c r="B2655">
        <v>0</v>
      </c>
      <c r="C2655" s="5" t="s">
        <v>52</v>
      </c>
      <c r="D2655">
        <v>3801</v>
      </c>
      <c r="E2655" s="5" t="s">
        <v>91</v>
      </c>
      <c r="F2655" s="5" t="s">
        <v>14</v>
      </c>
      <c r="G2655">
        <v>10</v>
      </c>
    </row>
    <row r="2656" spans="1:7" x14ac:dyDescent="0.35">
      <c r="A2656">
        <v>190488</v>
      </c>
      <c r="B2656">
        <v>0</v>
      </c>
      <c r="C2656" s="5" t="s">
        <v>33</v>
      </c>
      <c r="D2656">
        <v>4901</v>
      </c>
      <c r="E2656" s="5" t="s">
        <v>84</v>
      </c>
      <c r="F2656" s="5" t="s">
        <v>17</v>
      </c>
      <c r="G2656">
        <v>25</v>
      </c>
    </row>
    <row r="2657" spans="1:7" x14ac:dyDescent="0.35">
      <c r="A2657">
        <v>54996</v>
      </c>
      <c r="B2657">
        <v>2</v>
      </c>
      <c r="C2657" s="5" t="s">
        <v>56</v>
      </c>
      <c r="D2657">
        <v>2812</v>
      </c>
      <c r="E2657" s="5" t="s">
        <v>89</v>
      </c>
      <c r="F2657" s="5" t="s">
        <v>14</v>
      </c>
      <c r="G2657">
        <v>10</v>
      </c>
    </row>
    <row r="2658" spans="1:7" x14ac:dyDescent="0.35">
      <c r="A2658">
        <v>185880</v>
      </c>
      <c r="B2658">
        <v>1</v>
      </c>
      <c r="C2658" s="5" t="s">
        <v>30</v>
      </c>
      <c r="D2658">
        <v>1801</v>
      </c>
      <c r="E2658" s="5" t="s">
        <v>88</v>
      </c>
      <c r="F2658" s="5" t="s">
        <v>14</v>
      </c>
      <c r="G2658">
        <v>13</v>
      </c>
    </row>
    <row r="2659" spans="1:7" x14ac:dyDescent="0.35">
      <c r="A2659">
        <v>119843</v>
      </c>
      <c r="B2659">
        <v>0</v>
      </c>
      <c r="C2659" s="5" t="s">
        <v>20</v>
      </c>
      <c r="D2659">
        <v>1209</v>
      </c>
      <c r="E2659" s="5" t="s">
        <v>81</v>
      </c>
      <c r="F2659" s="5" t="s">
        <v>17</v>
      </c>
      <c r="G2659">
        <v>20</v>
      </c>
    </row>
    <row r="2660" spans="1:7" x14ac:dyDescent="0.35">
      <c r="A2660">
        <v>142564</v>
      </c>
      <c r="B2660">
        <v>1</v>
      </c>
      <c r="C2660" s="5" t="s">
        <v>21</v>
      </c>
      <c r="D2660">
        <v>2401</v>
      </c>
      <c r="E2660" s="5" t="s">
        <v>93</v>
      </c>
      <c r="F2660" s="5" t="s">
        <v>14</v>
      </c>
      <c r="G2660">
        <v>38</v>
      </c>
    </row>
    <row r="2661" spans="1:7" x14ac:dyDescent="0.35">
      <c r="A2661">
        <v>164796</v>
      </c>
      <c r="B2661">
        <v>0</v>
      </c>
      <c r="C2661" s="5" t="s">
        <v>21</v>
      </c>
      <c r="D2661">
        <v>3607</v>
      </c>
      <c r="E2661" s="5" t="s">
        <v>80</v>
      </c>
      <c r="F2661" s="5" t="s">
        <v>86</v>
      </c>
      <c r="G2661">
        <v>12</v>
      </c>
    </row>
    <row r="2662" spans="1:7" x14ac:dyDescent="0.35">
      <c r="A2662">
        <v>171072</v>
      </c>
      <c r="B2662">
        <v>28</v>
      </c>
      <c r="C2662" s="5" t="s">
        <v>21</v>
      </c>
      <c r="D2662">
        <v>0</v>
      </c>
      <c r="E2662" s="5" t="s">
        <v>91</v>
      </c>
      <c r="F2662" s="5" t="s">
        <v>17</v>
      </c>
      <c r="G2662">
        <v>10</v>
      </c>
    </row>
    <row r="2663" spans="1:7" x14ac:dyDescent="0.35">
      <c r="A2663">
        <v>101143</v>
      </c>
      <c r="B2663">
        <v>0</v>
      </c>
      <c r="C2663" s="5" t="s">
        <v>33</v>
      </c>
      <c r="D2663">
        <v>2801</v>
      </c>
      <c r="E2663" s="5" t="s">
        <v>81</v>
      </c>
      <c r="F2663" s="5" t="s">
        <v>17</v>
      </c>
      <c r="G2663">
        <v>10</v>
      </c>
    </row>
    <row r="2664" spans="1:7" x14ac:dyDescent="0.35">
      <c r="A2664">
        <v>171612</v>
      </c>
      <c r="B2664">
        <v>0</v>
      </c>
      <c r="C2664" s="5" t="s">
        <v>21</v>
      </c>
      <c r="D2664">
        <v>3712</v>
      </c>
      <c r="E2664" s="5" t="s">
        <v>83</v>
      </c>
      <c r="F2664" s="5" t="s">
        <v>17</v>
      </c>
      <c r="G2664">
        <v>20</v>
      </c>
    </row>
    <row r="2665" spans="1:7" x14ac:dyDescent="0.35">
      <c r="A2665">
        <v>85619</v>
      </c>
      <c r="B2665">
        <v>0</v>
      </c>
      <c r="C2665" s="5" t="s">
        <v>52</v>
      </c>
      <c r="D2665">
        <v>3803</v>
      </c>
      <c r="E2665" s="5" t="s">
        <v>81</v>
      </c>
      <c r="F2665" s="5" t="s">
        <v>17</v>
      </c>
      <c r="G2665">
        <v>5</v>
      </c>
    </row>
    <row r="2666" spans="1:7" x14ac:dyDescent="0.35">
      <c r="A2666">
        <v>118905</v>
      </c>
      <c r="B2666">
        <v>0</v>
      </c>
      <c r="C2666" s="5" t="s">
        <v>20</v>
      </c>
      <c r="D2666">
        <v>4310</v>
      </c>
      <c r="E2666" s="5" t="s">
        <v>82</v>
      </c>
      <c r="F2666" s="5" t="s">
        <v>14</v>
      </c>
      <c r="G2666">
        <v>10</v>
      </c>
    </row>
    <row r="2667" spans="1:7" x14ac:dyDescent="0.35">
      <c r="A2667">
        <v>793</v>
      </c>
      <c r="B2667">
        <v>0</v>
      </c>
      <c r="C2667" s="5" t="s">
        <v>21</v>
      </c>
      <c r="D2667">
        <v>1006</v>
      </c>
      <c r="E2667" s="5" t="s">
        <v>80</v>
      </c>
      <c r="F2667" s="5" t="s">
        <v>17</v>
      </c>
      <c r="G2667">
        <v>15</v>
      </c>
    </row>
    <row r="2668" spans="1:7" x14ac:dyDescent="0.35">
      <c r="A2668">
        <v>52547</v>
      </c>
      <c r="B2668">
        <v>1</v>
      </c>
      <c r="C2668" s="5" t="s">
        <v>49</v>
      </c>
      <c r="D2668">
        <v>4001</v>
      </c>
      <c r="E2668" s="5" t="s">
        <v>81</v>
      </c>
      <c r="F2668" s="5" t="s">
        <v>14</v>
      </c>
      <c r="G2668">
        <v>5</v>
      </c>
    </row>
    <row r="2669" spans="1:7" x14ac:dyDescent="0.35">
      <c r="A2669">
        <v>162313</v>
      </c>
      <c r="B2669">
        <v>1</v>
      </c>
      <c r="C2669" s="5" t="s">
        <v>21</v>
      </c>
      <c r="D2669">
        <v>6201</v>
      </c>
      <c r="E2669" s="5" t="s">
        <v>83</v>
      </c>
      <c r="F2669" s="5" t="s">
        <v>17</v>
      </c>
      <c r="G2669">
        <v>25</v>
      </c>
    </row>
    <row r="2670" spans="1:7" x14ac:dyDescent="0.35">
      <c r="A2670">
        <v>4320</v>
      </c>
      <c r="B2670">
        <v>2</v>
      </c>
      <c r="C2670" s="5" t="s">
        <v>40</v>
      </c>
      <c r="D2670">
        <v>801</v>
      </c>
      <c r="E2670" s="5" t="s">
        <v>79</v>
      </c>
      <c r="F2670" s="5" t="s">
        <v>17</v>
      </c>
      <c r="G2670">
        <v>15</v>
      </c>
    </row>
    <row r="2671" spans="1:7" x14ac:dyDescent="0.35">
      <c r="A2671">
        <v>36690</v>
      </c>
      <c r="B2671">
        <v>0</v>
      </c>
      <c r="C2671" s="5" t="s">
        <v>13</v>
      </c>
      <c r="D2671">
        <v>0</v>
      </c>
      <c r="E2671" s="5" t="s">
        <v>83</v>
      </c>
      <c r="F2671" s="5" t="s">
        <v>17</v>
      </c>
      <c r="G2671">
        <v>3</v>
      </c>
    </row>
    <row r="2672" spans="1:7" x14ac:dyDescent="0.35">
      <c r="A2672">
        <v>158213</v>
      </c>
      <c r="B2672">
        <v>0</v>
      </c>
      <c r="C2672" s="5" t="s">
        <v>20</v>
      </c>
      <c r="D2672">
        <v>0</v>
      </c>
      <c r="E2672" s="5" t="s">
        <v>85</v>
      </c>
      <c r="F2672" s="5" t="s">
        <v>14</v>
      </c>
      <c r="G2672">
        <v>5</v>
      </c>
    </row>
    <row r="2673" spans="1:7" x14ac:dyDescent="0.35">
      <c r="A2673">
        <v>75522</v>
      </c>
      <c r="B2673">
        <v>2</v>
      </c>
      <c r="C2673" s="5" t="s">
        <v>44</v>
      </c>
      <c r="D2673">
        <v>0</v>
      </c>
      <c r="E2673" s="5" t="s">
        <v>78</v>
      </c>
      <c r="F2673" s="5" t="s">
        <v>14</v>
      </c>
      <c r="G2673">
        <v>10</v>
      </c>
    </row>
    <row r="2674" spans="1:7" x14ac:dyDescent="0.35">
      <c r="A2674">
        <v>7346</v>
      </c>
      <c r="B2674">
        <v>2</v>
      </c>
      <c r="C2674" s="5" t="s">
        <v>21</v>
      </c>
      <c r="D2674">
        <v>0</v>
      </c>
      <c r="E2674" s="5" t="s">
        <v>93</v>
      </c>
      <c r="F2674" s="5" t="s">
        <v>17</v>
      </c>
      <c r="G2674">
        <v>15</v>
      </c>
    </row>
    <row r="2675" spans="1:7" x14ac:dyDescent="0.35">
      <c r="A2675">
        <v>718</v>
      </c>
      <c r="B2675">
        <v>2</v>
      </c>
      <c r="C2675" s="5" t="s">
        <v>21</v>
      </c>
      <c r="D2675">
        <v>2201</v>
      </c>
      <c r="E2675" s="5" t="s">
        <v>78</v>
      </c>
      <c r="F2675" s="5" t="s">
        <v>17</v>
      </c>
      <c r="G2675">
        <v>35</v>
      </c>
    </row>
    <row r="2676" spans="1:7" x14ac:dyDescent="0.35">
      <c r="A2676">
        <v>171677</v>
      </c>
      <c r="B2676">
        <v>0</v>
      </c>
      <c r="C2676" s="5" t="s">
        <v>21</v>
      </c>
      <c r="D2676">
        <v>0</v>
      </c>
      <c r="E2676" s="5" t="s">
        <v>92</v>
      </c>
      <c r="F2676" s="5" t="s">
        <v>86</v>
      </c>
      <c r="G2676">
        <v>25</v>
      </c>
    </row>
    <row r="2677" spans="1:7" x14ac:dyDescent="0.35">
      <c r="A2677">
        <v>96344</v>
      </c>
      <c r="B2677">
        <v>2</v>
      </c>
      <c r="C2677" s="5" t="s">
        <v>16</v>
      </c>
      <c r="D2677">
        <v>0</v>
      </c>
      <c r="E2677" s="5" t="s">
        <v>94</v>
      </c>
      <c r="F2677" s="5" t="s">
        <v>17</v>
      </c>
      <c r="G2677">
        <v>10</v>
      </c>
    </row>
    <row r="2678" spans="1:7" x14ac:dyDescent="0.35">
      <c r="A2678">
        <v>178742</v>
      </c>
      <c r="B2678">
        <v>2</v>
      </c>
      <c r="C2678" s="5" t="s">
        <v>37</v>
      </c>
      <c r="D2678">
        <v>1201</v>
      </c>
      <c r="E2678" s="5" t="s">
        <v>80</v>
      </c>
      <c r="F2678" s="5" t="s">
        <v>17</v>
      </c>
      <c r="G2678">
        <v>10</v>
      </c>
    </row>
    <row r="2679" spans="1:7" x14ac:dyDescent="0.35">
      <c r="A2679">
        <v>22989</v>
      </c>
      <c r="B2679">
        <v>2</v>
      </c>
      <c r="C2679" s="5" t="s">
        <v>43</v>
      </c>
      <c r="D2679">
        <v>3101</v>
      </c>
      <c r="E2679" s="5" t="s">
        <v>79</v>
      </c>
      <c r="F2679" s="5" t="s">
        <v>17</v>
      </c>
      <c r="G2679">
        <v>11</v>
      </c>
    </row>
    <row r="2680" spans="1:7" x14ac:dyDescent="0.35">
      <c r="A2680">
        <v>184644</v>
      </c>
      <c r="B2680">
        <v>0</v>
      </c>
      <c r="C2680" s="5" t="s">
        <v>60</v>
      </c>
      <c r="D2680">
        <v>2601</v>
      </c>
      <c r="E2680" s="5" t="s">
        <v>94</v>
      </c>
      <c r="F2680" s="5" t="s">
        <v>14</v>
      </c>
      <c r="G2680">
        <v>20</v>
      </c>
    </row>
    <row r="2681" spans="1:7" x14ac:dyDescent="0.35">
      <c r="A2681">
        <v>7676</v>
      </c>
      <c r="B2681">
        <v>0</v>
      </c>
      <c r="C2681" s="5" t="s">
        <v>31</v>
      </c>
      <c r="D2681">
        <v>0</v>
      </c>
      <c r="E2681" s="5" t="s">
        <v>81</v>
      </c>
      <c r="F2681" s="5" t="s">
        <v>17</v>
      </c>
      <c r="G2681">
        <v>35</v>
      </c>
    </row>
    <row r="2682" spans="1:7" x14ac:dyDescent="0.35">
      <c r="A2682">
        <v>83983</v>
      </c>
      <c r="B2682">
        <v>0</v>
      </c>
      <c r="C2682" s="5" t="s">
        <v>52</v>
      </c>
      <c r="D2682">
        <v>2305</v>
      </c>
      <c r="E2682" s="5" t="s">
        <v>83</v>
      </c>
      <c r="F2682" s="5" t="s">
        <v>14</v>
      </c>
      <c r="G2682">
        <v>15</v>
      </c>
    </row>
    <row r="2683" spans="1:7" x14ac:dyDescent="0.35">
      <c r="A2683">
        <v>99567</v>
      </c>
      <c r="B2683">
        <v>0</v>
      </c>
      <c r="C2683" s="5" t="s">
        <v>33</v>
      </c>
      <c r="D2683">
        <v>3101</v>
      </c>
      <c r="E2683" s="5" t="s">
        <v>80</v>
      </c>
      <c r="F2683" s="5" t="s">
        <v>17</v>
      </c>
      <c r="G2683">
        <v>15</v>
      </c>
    </row>
    <row r="2684" spans="1:7" x14ac:dyDescent="0.35">
      <c r="A2684">
        <v>141652</v>
      </c>
      <c r="B2684">
        <v>0</v>
      </c>
      <c r="C2684" s="5" t="s">
        <v>23</v>
      </c>
      <c r="D2684">
        <v>3801</v>
      </c>
      <c r="E2684" s="5" t="s">
        <v>80</v>
      </c>
      <c r="F2684" s="5" t="s">
        <v>17</v>
      </c>
      <c r="G2684">
        <v>13</v>
      </c>
    </row>
    <row r="2685" spans="1:7" x14ac:dyDescent="0.35">
      <c r="A2685">
        <v>182325</v>
      </c>
      <c r="B2685">
        <v>0</v>
      </c>
      <c r="C2685" s="5" t="s">
        <v>37</v>
      </c>
      <c r="D2685">
        <v>0</v>
      </c>
      <c r="E2685" s="5" t="s">
        <v>78</v>
      </c>
      <c r="F2685" s="5" t="s">
        <v>14</v>
      </c>
      <c r="G2685">
        <v>10</v>
      </c>
    </row>
    <row r="2686" spans="1:7" x14ac:dyDescent="0.35">
      <c r="A2686">
        <v>44370</v>
      </c>
      <c r="B2686">
        <v>28</v>
      </c>
      <c r="C2686" s="5" t="s">
        <v>13</v>
      </c>
      <c r="D2686">
        <v>1502</v>
      </c>
      <c r="E2686" s="5" t="s">
        <v>78</v>
      </c>
      <c r="F2686" s="5" t="s">
        <v>17</v>
      </c>
      <c r="G2686">
        <v>5</v>
      </c>
    </row>
    <row r="2687" spans="1:7" x14ac:dyDescent="0.35">
      <c r="A2687">
        <v>48338</v>
      </c>
      <c r="B2687">
        <v>0</v>
      </c>
      <c r="C2687" s="5" t="s">
        <v>40</v>
      </c>
      <c r="D2687">
        <v>4301</v>
      </c>
      <c r="E2687" s="5" t="s">
        <v>79</v>
      </c>
      <c r="F2687" s="5" t="s">
        <v>14</v>
      </c>
      <c r="G2687">
        <v>25</v>
      </c>
    </row>
    <row r="2688" spans="1:7" x14ac:dyDescent="0.35">
      <c r="A2688">
        <v>97077</v>
      </c>
      <c r="B2688">
        <v>0</v>
      </c>
      <c r="C2688" s="5" t="s">
        <v>16</v>
      </c>
      <c r="D2688">
        <v>2807</v>
      </c>
      <c r="E2688" s="5" t="s">
        <v>82</v>
      </c>
      <c r="F2688" s="5" t="s">
        <v>17</v>
      </c>
      <c r="G2688">
        <v>12</v>
      </c>
    </row>
    <row r="2689" spans="1:7" x14ac:dyDescent="0.35">
      <c r="A2689">
        <v>160975</v>
      </c>
      <c r="B2689">
        <v>0</v>
      </c>
      <c r="C2689" s="5" t="s">
        <v>45</v>
      </c>
      <c r="D2689">
        <v>0</v>
      </c>
      <c r="E2689" s="5" t="s">
        <v>79</v>
      </c>
      <c r="F2689" s="5" t="s">
        <v>14</v>
      </c>
      <c r="G2689">
        <v>15</v>
      </c>
    </row>
    <row r="2690" spans="1:7" x14ac:dyDescent="0.35">
      <c r="A2690">
        <v>114828</v>
      </c>
      <c r="B2690">
        <v>2</v>
      </c>
      <c r="C2690" s="5" t="s">
        <v>28</v>
      </c>
      <c r="D2690">
        <v>0</v>
      </c>
      <c r="E2690" s="5" t="s">
        <v>81</v>
      </c>
      <c r="F2690" s="5" t="s">
        <v>27</v>
      </c>
      <c r="G2690">
        <v>4</v>
      </c>
    </row>
    <row r="2691" spans="1:7" x14ac:dyDescent="0.35">
      <c r="A2691">
        <v>182181</v>
      </c>
      <c r="B2691">
        <v>0</v>
      </c>
      <c r="C2691" s="5" t="s">
        <v>37</v>
      </c>
      <c r="D2691">
        <v>6201</v>
      </c>
      <c r="E2691" s="5" t="s">
        <v>83</v>
      </c>
      <c r="F2691" s="5" t="s">
        <v>14</v>
      </c>
      <c r="G2691">
        <v>20</v>
      </c>
    </row>
    <row r="2692" spans="1:7" x14ac:dyDescent="0.35">
      <c r="A2692">
        <v>75481</v>
      </c>
      <c r="B2692">
        <v>1</v>
      </c>
      <c r="C2692" s="5" t="s">
        <v>44</v>
      </c>
      <c r="D2692">
        <v>2901</v>
      </c>
      <c r="E2692" s="5" t="s">
        <v>81</v>
      </c>
      <c r="F2692" s="5" t="s">
        <v>14</v>
      </c>
      <c r="G2692">
        <v>8</v>
      </c>
    </row>
    <row r="2693" spans="1:7" x14ac:dyDescent="0.35">
      <c r="A2693">
        <v>13566</v>
      </c>
      <c r="B2693">
        <v>0</v>
      </c>
      <c r="C2693" s="5" t="s">
        <v>16</v>
      </c>
      <c r="D2693">
        <v>0</v>
      </c>
      <c r="E2693" s="5" t="s">
        <v>93</v>
      </c>
      <c r="F2693" s="5" t="s">
        <v>14</v>
      </c>
      <c r="G2693">
        <v>13</v>
      </c>
    </row>
    <row r="2694" spans="1:7" x14ac:dyDescent="0.35">
      <c r="A2694">
        <v>187612</v>
      </c>
      <c r="B2694">
        <v>1</v>
      </c>
      <c r="C2694" s="5" t="s">
        <v>51</v>
      </c>
      <c r="D2694">
        <v>0</v>
      </c>
      <c r="E2694" s="5" t="s">
        <v>83</v>
      </c>
      <c r="F2694" s="5" t="s">
        <v>14</v>
      </c>
      <c r="G2694">
        <v>15</v>
      </c>
    </row>
    <row r="2695" spans="1:7" x14ac:dyDescent="0.35">
      <c r="A2695">
        <v>143529</v>
      </c>
      <c r="B2695">
        <v>0</v>
      </c>
      <c r="C2695" s="5" t="s">
        <v>21</v>
      </c>
      <c r="D2695">
        <v>201</v>
      </c>
      <c r="E2695" s="5" t="s">
        <v>91</v>
      </c>
      <c r="F2695" s="5" t="s">
        <v>17</v>
      </c>
      <c r="G2695">
        <v>25</v>
      </c>
    </row>
    <row r="2696" spans="1:7" x14ac:dyDescent="0.35">
      <c r="A2696">
        <v>152376</v>
      </c>
      <c r="B2696">
        <v>0</v>
      </c>
      <c r="C2696" s="5" t="s">
        <v>21</v>
      </c>
      <c r="D2696">
        <v>0</v>
      </c>
      <c r="E2696" s="5" t="s">
        <v>80</v>
      </c>
      <c r="F2696" s="5" t="s">
        <v>17</v>
      </c>
      <c r="G2696">
        <v>10</v>
      </c>
    </row>
    <row r="2697" spans="1:7" x14ac:dyDescent="0.35">
      <c r="A2697">
        <v>22150</v>
      </c>
      <c r="B2697">
        <v>0</v>
      </c>
      <c r="C2697" s="5" t="s">
        <v>18</v>
      </c>
      <c r="D2697">
        <v>4401</v>
      </c>
      <c r="E2697" s="5" t="s">
        <v>94</v>
      </c>
      <c r="F2697" s="5" t="s">
        <v>17</v>
      </c>
      <c r="G2697">
        <v>5</v>
      </c>
    </row>
    <row r="2698" spans="1:7" x14ac:dyDescent="0.35">
      <c r="A2698">
        <v>120559</v>
      </c>
      <c r="B2698">
        <v>0</v>
      </c>
      <c r="C2698" s="5" t="s">
        <v>20</v>
      </c>
      <c r="D2698">
        <v>3601</v>
      </c>
      <c r="E2698" s="5" t="s">
        <v>79</v>
      </c>
      <c r="F2698" s="5" t="s">
        <v>14</v>
      </c>
      <c r="G2698">
        <v>12</v>
      </c>
    </row>
    <row r="2699" spans="1:7" x14ac:dyDescent="0.35">
      <c r="A2699">
        <v>148213</v>
      </c>
      <c r="B2699">
        <v>2</v>
      </c>
      <c r="C2699" s="5" t="s">
        <v>21</v>
      </c>
      <c r="D2699">
        <v>2901</v>
      </c>
      <c r="E2699" s="5" t="s">
        <v>83</v>
      </c>
      <c r="F2699" s="5" t="s">
        <v>14</v>
      </c>
      <c r="G2699">
        <v>14</v>
      </c>
    </row>
    <row r="2700" spans="1:7" x14ac:dyDescent="0.35">
      <c r="A2700">
        <v>180787</v>
      </c>
      <c r="B2700">
        <v>1002</v>
      </c>
      <c r="C2700" s="5" t="s">
        <v>37</v>
      </c>
      <c r="D2700">
        <v>6001</v>
      </c>
      <c r="E2700" s="5" t="s">
        <v>79</v>
      </c>
      <c r="F2700" s="5" t="s">
        <v>14</v>
      </c>
      <c r="G2700">
        <v>20</v>
      </c>
    </row>
    <row r="2701" spans="1:7" x14ac:dyDescent="0.35">
      <c r="A2701">
        <v>118847</v>
      </c>
      <c r="B2701">
        <v>0</v>
      </c>
      <c r="C2701" s="5" t="s">
        <v>20</v>
      </c>
      <c r="D2701">
        <v>4010</v>
      </c>
      <c r="E2701" s="5" t="s">
        <v>82</v>
      </c>
      <c r="F2701" s="5" t="s">
        <v>17</v>
      </c>
      <c r="G2701">
        <v>25</v>
      </c>
    </row>
    <row r="2702" spans="1:7" x14ac:dyDescent="0.35">
      <c r="A2702">
        <v>28713</v>
      </c>
      <c r="B2702">
        <v>2</v>
      </c>
      <c r="C2702" s="5" t="s">
        <v>36</v>
      </c>
      <c r="D2702">
        <v>4801</v>
      </c>
      <c r="E2702" s="5" t="s">
        <v>83</v>
      </c>
      <c r="F2702" s="5" t="s">
        <v>17</v>
      </c>
      <c r="G2702">
        <v>21</v>
      </c>
    </row>
    <row r="2703" spans="1:7" x14ac:dyDescent="0.35">
      <c r="A2703">
        <v>29777</v>
      </c>
      <c r="B2703">
        <v>0</v>
      </c>
      <c r="C2703" s="5" t="s">
        <v>36</v>
      </c>
      <c r="D2703">
        <v>2601</v>
      </c>
      <c r="E2703" s="5" t="s">
        <v>82</v>
      </c>
      <c r="F2703" s="5" t="s">
        <v>17</v>
      </c>
      <c r="G2703">
        <v>10</v>
      </c>
    </row>
    <row r="2704" spans="1:7" x14ac:dyDescent="0.35">
      <c r="A2704">
        <v>42499</v>
      </c>
      <c r="B2704">
        <v>0</v>
      </c>
      <c r="C2704" s="5" t="s">
        <v>13</v>
      </c>
      <c r="D2704">
        <v>2901</v>
      </c>
      <c r="E2704" s="5" t="s">
        <v>81</v>
      </c>
      <c r="F2704" s="5" t="s">
        <v>14</v>
      </c>
      <c r="G2704">
        <v>10</v>
      </c>
    </row>
    <row r="2705" spans="1:7" x14ac:dyDescent="0.35">
      <c r="A2705">
        <v>38987</v>
      </c>
      <c r="B2705">
        <v>2</v>
      </c>
      <c r="C2705" s="5" t="s">
        <v>13</v>
      </c>
      <c r="D2705">
        <v>2611</v>
      </c>
      <c r="E2705" s="5" t="s">
        <v>80</v>
      </c>
      <c r="F2705" s="5" t="s">
        <v>17</v>
      </c>
      <c r="G2705">
        <v>13</v>
      </c>
    </row>
    <row r="2706" spans="1:7" x14ac:dyDescent="0.35">
      <c r="A2706">
        <v>130936</v>
      </c>
      <c r="B2706">
        <v>1</v>
      </c>
      <c r="C2706" s="5" t="s">
        <v>45</v>
      </c>
      <c r="D2706">
        <v>1512</v>
      </c>
      <c r="E2706" s="5" t="s">
        <v>87</v>
      </c>
      <c r="F2706" s="5" t="s">
        <v>14</v>
      </c>
      <c r="G2706">
        <v>15</v>
      </c>
    </row>
    <row r="2707" spans="1:7" x14ac:dyDescent="0.35">
      <c r="A2707">
        <v>21463</v>
      </c>
      <c r="B2707">
        <v>0</v>
      </c>
      <c r="C2707" s="5" t="s">
        <v>18</v>
      </c>
      <c r="D2707">
        <v>6201</v>
      </c>
      <c r="E2707" s="5" t="s">
        <v>79</v>
      </c>
      <c r="F2707" s="5" t="s">
        <v>17</v>
      </c>
      <c r="G2707">
        <v>11</v>
      </c>
    </row>
    <row r="2708" spans="1:7" x14ac:dyDescent="0.35">
      <c r="A2708">
        <v>154531</v>
      </c>
      <c r="B2708">
        <v>0</v>
      </c>
      <c r="C2708" s="5" t="s">
        <v>21</v>
      </c>
      <c r="D2708">
        <v>2010</v>
      </c>
      <c r="E2708" s="5" t="s">
        <v>79</v>
      </c>
      <c r="F2708" s="5" t="s">
        <v>17</v>
      </c>
      <c r="G2708">
        <v>5</v>
      </c>
    </row>
    <row r="2709" spans="1:7" x14ac:dyDescent="0.35">
      <c r="A2709">
        <v>165033</v>
      </c>
      <c r="B2709">
        <v>1</v>
      </c>
      <c r="C2709" s="5" t="s">
        <v>21</v>
      </c>
      <c r="D2709">
        <v>5501</v>
      </c>
      <c r="E2709" s="5" t="s">
        <v>84</v>
      </c>
      <c r="F2709" s="5" t="s">
        <v>14</v>
      </c>
      <c r="G2709">
        <v>10</v>
      </c>
    </row>
    <row r="2710" spans="1:7" x14ac:dyDescent="0.35">
      <c r="A2710">
        <v>12171</v>
      </c>
      <c r="B2710">
        <v>2</v>
      </c>
      <c r="C2710" s="5" t="s">
        <v>37</v>
      </c>
      <c r="D2710">
        <v>1301</v>
      </c>
      <c r="E2710" s="5" t="s">
        <v>80</v>
      </c>
      <c r="F2710" s="5" t="s">
        <v>17</v>
      </c>
      <c r="G2710">
        <v>5</v>
      </c>
    </row>
    <row r="2711" spans="1:7" x14ac:dyDescent="0.35">
      <c r="A2711">
        <v>186462</v>
      </c>
      <c r="B2711">
        <v>2</v>
      </c>
      <c r="C2711" s="5" t="s">
        <v>18</v>
      </c>
      <c r="D2711">
        <v>1603</v>
      </c>
      <c r="E2711" s="5" t="s">
        <v>79</v>
      </c>
      <c r="F2711" s="5" t="s">
        <v>17</v>
      </c>
      <c r="G2711">
        <v>8</v>
      </c>
    </row>
    <row r="2712" spans="1:7" x14ac:dyDescent="0.35">
      <c r="A2712">
        <v>70312</v>
      </c>
      <c r="B2712">
        <v>2</v>
      </c>
      <c r="C2712" s="5" t="s">
        <v>26</v>
      </c>
      <c r="D2712">
        <v>5901</v>
      </c>
      <c r="E2712" s="5" t="s">
        <v>79</v>
      </c>
      <c r="F2712" s="5" t="s">
        <v>17</v>
      </c>
      <c r="G2712">
        <v>5</v>
      </c>
    </row>
    <row r="2713" spans="1:7" x14ac:dyDescent="0.35">
      <c r="A2713">
        <v>27267</v>
      </c>
      <c r="B2713">
        <v>0</v>
      </c>
      <c r="C2713" s="5" t="s">
        <v>36</v>
      </c>
      <c r="D2713">
        <v>5801</v>
      </c>
      <c r="E2713" s="5" t="s">
        <v>84</v>
      </c>
      <c r="F2713" s="5" t="s">
        <v>17</v>
      </c>
      <c r="G2713">
        <v>10</v>
      </c>
    </row>
    <row r="2714" spans="1:7" x14ac:dyDescent="0.35">
      <c r="A2714">
        <v>7048</v>
      </c>
      <c r="B2714">
        <v>1002</v>
      </c>
      <c r="C2714" s="5" t="s">
        <v>21</v>
      </c>
      <c r="D2714">
        <v>3301</v>
      </c>
      <c r="E2714" s="5" t="s">
        <v>83</v>
      </c>
      <c r="F2714" s="5" t="s">
        <v>14</v>
      </c>
      <c r="G2714">
        <v>15</v>
      </c>
    </row>
    <row r="2715" spans="1:7" x14ac:dyDescent="0.35">
      <c r="A2715">
        <v>144631</v>
      </c>
      <c r="B2715">
        <v>0</v>
      </c>
      <c r="C2715" s="5" t="s">
        <v>21</v>
      </c>
      <c r="D2715">
        <v>6203</v>
      </c>
      <c r="E2715" s="5" t="s">
        <v>93</v>
      </c>
      <c r="F2715" s="5" t="s">
        <v>17</v>
      </c>
      <c r="G2715">
        <v>25</v>
      </c>
    </row>
    <row r="2716" spans="1:7" x14ac:dyDescent="0.35">
      <c r="A2716">
        <v>134677</v>
      </c>
      <c r="B2716">
        <v>28</v>
      </c>
      <c r="C2716" s="5" t="s">
        <v>35</v>
      </c>
      <c r="D2716">
        <v>0</v>
      </c>
      <c r="E2716" s="5" t="s">
        <v>79</v>
      </c>
      <c r="F2716" s="5" t="s">
        <v>86</v>
      </c>
      <c r="G2716">
        <v>5</v>
      </c>
    </row>
    <row r="2717" spans="1:7" x14ac:dyDescent="0.35">
      <c r="A2717">
        <v>149792</v>
      </c>
      <c r="B2717">
        <v>1</v>
      </c>
      <c r="C2717" s="5" t="s">
        <v>21</v>
      </c>
      <c r="D2717">
        <v>2401</v>
      </c>
      <c r="E2717" s="5" t="s">
        <v>86</v>
      </c>
      <c r="F2717" s="5" t="s">
        <v>66</v>
      </c>
      <c r="G2717">
        <v>100</v>
      </c>
    </row>
    <row r="2718" spans="1:7" x14ac:dyDescent="0.35">
      <c r="A2718">
        <v>169813</v>
      </c>
      <c r="B2718">
        <v>0</v>
      </c>
      <c r="C2718" s="5" t="s">
        <v>21</v>
      </c>
      <c r="D2718">
        <v>5204</v>
      </c>
      <c r="E2718" s="5" t="s">
        <v>83</v>
      </c>
      <c r="F2718" s="5" t="s">
        <v>17</v>
      </c>
      <c r="G2718">
        <v>15</v>
      </c>
    </row>
    <row r="2719" spans="1:7" x14ac:dyDescent="0.35">
      <c r="A2719">
        <v>135152</v>
      </c>
      <c r="B2719">
        <v>2</v>
      </c>
      <c r="C2719" s="5" t="s">
        <v>51</v>
      </c>
      <c r="D2719">
        <v>6801</v>
      </c>
      <c r="E2719" s="5" t="s">
        <v>80</v>
      </c>
      <c r="F2719" s="5" t="s">
        <v>17</v>
      </c>
      <c r="G2719">
        <v>15</v>
      </c>
    </row>
    <row r="2720" spans="1:7" x14ac:dyDescent="0.35">
      <c r="A2720">
        <v>52593</v>
      </c>
      <c r="B2720">
        <v>2</v>
      </c>
      <c r="C2720" s="5" t="s">
        <v>49</v>
      </c>
      <c r="D2720">
        <v>3801</v>
      </c>
      <c r="E2720" s="5" t="s">
        <v>81</v>
      </c>
      <c r="F2720" s="5" t="s">
        <v>17</v>
      </c>
      <c r="G2720">
        <v>22</v>
      </c>
    </row>
    <row r="2721" spans="1:7" x14ac:dyDescent="0.35">
      <c r="A2721">
        <v>64161</v>
      </c>
      <c r="B2721">
        <v>1</v>
      </c>
      <c r="C2721" s="5" t="s">
        <v>30</v>
      </c>
      <c r="D2721">
        <v>2801</v>
      </c>
      <c r="E2721" s="5" t="s">
        <v>81</v>
      </c>
      <c r="F2721" s="5" t="s">
        <v>14</v>
      </c>
      <c r="G2721">
        <v>11</v>
      </c>
    </row>
    <row r="2722" spans="1:7" x14ac:dyDescent="0.35">
      <c r="A2722">
        <v>116738</v>
      </c>
      <c r="B2722">
        <v>0</v>
      </c>
      <c r="C2722" s="5" t="s">
        <v>20</v>
      </c>
      <c r="D2722">
        <v>6101</v>
      </c>
      <c r="E2722" s="5" t="s">
        <v>79</v>
      </c>
      <c r="F2722" s="5" t="s">
        <v>17</v>
      </c>
      <c r="G2722">
        <v>14</v>
      </c>
    </row>
    <row r="2723" spans="1:7" x14ac:dyDescent="0.35">
      <c r="A2723">
        <v>56831</v>
      </c>
      <c r="B2723">
        <v>2</v>
      </c>
      <c r="C2723" s="5" t="s">
        <v>53</v>
      </c>
      <c r="D2723">
        <v>6701</v>
      </c>
      <c r="E2723" s="5" t="s">
        <v>83</v>
      </c>
      <c r="F2723" s="5" t="s">
        <v>14</v>
      </c>
      <c r="G2723">
        <v>15</v>
      </c>
    </row>
    <row r="2724" spans="1:7" x14ac:dyDescent="0.35">
      <c r="A2724">
        <v>139107</v>
      </c>
      <c r="B2724">
        <v>0</v>
      </c>
      <c r="C2724" s="5" t="s">
        <v>51</v>
      </c>
      <c r="D2724">
        <v>3407</v>
      </c>
      <c r="E2724" s="5" t="s">
        <v>94</v>
      </c>
      <c r="F2724" s="5" t="s">
        <v>17</v>
      </c>
      <c r="G2724">
        <v>50</v>
      </c>
    </row>
    <row r="2725" spans="1:7" x14ac:dyDescent="0.35">
      <c r="A2725">
        <v>28681</v>
      </c>
      <c r="B2725">
        <v>1</v>
      </c>
      <c r="C2725" s="5" t="s">
        <v>36</v>
      </c>
      <c r="D2725">
        <v>4612</v>
      </c>
      <c r="E2725" s="5" t="s">
        <v>84</v>
      </c>
      <c r="F2725" s="5" t="s">
        <v>14</v>
      </c>
      <c r="G2725">
        <v>35</v>
      </c>
    </row>
    <row r="2726" spans="1:7" x14ac:dyDescent="0.35">
      <c r="A2726">
        <v>125446</v>
      </c>
      <c r="B2726">
        <v>2</v>
      </c>
      <c r="C2726" s="5" t="s">
        <v>20</v>
      </c>
      <c r="D2726">
        <v>3801</v>
      </c>
      <c r="E2726" s="5" t="s">
        <v>88</v>
      </c>
      <c r="F2726" s="5" t="s">
        <v>17</v>
      </c>
      <c r="G2726">
        <v>10</v>
      </c>
    </row>
    <row r="2727" spans="1:7" x14ac:dyDescent="0.35">
      <c r="A2727">
        <v>95151</v>
      </c>
      <c r="B2727">
        <v>0</v>
      </c>
      <c r="C2727" s="5" t="s">
        <v>16</v>
      </c>
      <c r="D2727">
        <v>4601</v>
      </c>
      <c r="E2727" s="5" t="s">
        <v>89</v>
      </c>
      <c r="F2727" s="5" t="s">
        <v>17</v>
      </c>
      <c r="G2727">
        <v>7</v>
      </c>
    </row>
    <row r="2728" spans="1:7" x14ac:dyDescent="0.35">
      <c r="A2728">
        <v>132394</v>
      </c>
      <c r="B2728">
        <v>2</v>
      </c>
      <c r="C2728" s="5" t="s">
        <v>45</v>
      </c>
      <c r="D2728">
        <v>1001</v>
      </c>
      <c r="E2728" s="5" t="s">
        <v>81</v>
      </c>
      <c r="F2728" s="5" t="s">
        <v>17</v>
      </c>
      <c r="G2728">
        <v>11</v>
      </c>
    </row>
    <row r="2729" spans="1:7" x14ac:dyDescent="0.35">
      <c r="A2729">
        <v>151702</v>
      </c>
      <c r="B2729">
        <v>0</v>
      </c>
      <c r="C2729" s="5" t="s">
        <v>21</v>
      </c>
      <c r="D2729">
        <v>4305</v>
      </c>
      <c r="E2729" s="5" t="s">
        <v>84</v>
      </c>
      <c r="F2729" s="5" t="s">
        <v>17</v>
      </c>
      <c r="G2729">
        <v>15</v>
      </c>
    </row>
    <row r="2730" spans="1:7" x14ac:dyDescent="0.35">
      <c r="A2730">
        <v>65668</v>
      </c>
      <c r="B2730">
        <v>2</v>
      </c>
      <c r="C2730" s="5" t="s">
        <v>26</v>
      </c>
      <c r="D2730">
        <v>0</v>
      </c>
      <c r="E2730" s="5" t="s">
        <v>89</v>
      </c>
      <c r="F2730" s="5" t="s">
        <v>17</v>
      </c>
      <c r="G2730">
        <v>10</v>
      </c>
    </row>
    <row r="2731" spans="1:7" x14ac:dyDescent="0.35">
      <c r="A2731">
        <v>167357</v>
      </c>
      <c r="B2731">
        <v>1</v>
      </c>
      <c r="C2731" s="5" t="s">
        <v>21</v>
      </c>
      <c r="D2731">
        <v>5501</v>
      </c>
      <c r="E2731" s="5" t="s">
        <v>83</v>
      </c>
      <c r="F2731" s="5" t="s">
        <v>14</v>
      </c>
      <c r="G2731">
        <v>12</v>
      </c>
    </row>
    <row r="2732" spans="1:7" x14ac:dyDescent="0.35">
      <c r="A2732">
        <v>117552</v>
      </c>
      <c r="B2732">
        <v>0</v>
      </c>
      <c r="C2732" s="5" t="s">
        <v>20</v>
      </c>
      <c r="D2732">
        <v>4403</v>
      </c>
      <c r="E2732" s="5" t="s">
        <v>83</v>
      </c>
      <c r="F2732" s="5" t="s">
        <v>17</v>
      </c>
      <c r="G2732">
        <v>20</v>
      </c>
    </row>
    <row r="2733" spans="1:7" x14ac:dyDescent="0.35">
      <c r="A2733">
        <v>75341</v>
      </c>
      <c r="B2733">
        <v>28</v>
      </c>
      <c r="C2733" s="5" t="s">
        <v>44</v>
      </c>
      <c r="D2733">
        <v>1403</v>
      </c>
      <c r="E2733" s="5" t="s">
        <v>84</v>
      </c>
      <c r="F2733" s="5" t="s">
        <v>17</v>
      </c>
      <c r="G2733">
        <v>15</v>
      </c>
    </row>
    <row r="2734" spans="1:7" x14ac:dyDescent="0.35">
      <c r="A2734">
        <v>36774</v>
      </c>
      <c r="B2734">
        <v>1</v>
      </c>
      <c r="C2734" s="5" t="s">
        <v>13</v>
      </c>
      <c r="D2734">
        <v>4401</v>
      </c>
      <c r="E2734" s="5" t="s">
        <v>83</v>
      </c>
      <c r="F2734" s="5" t="s">
        <v>14</v>
      </c>
      <c r="G2734">
        <v>21</v>
      </c>
    </row>
    <row r="2735" spans="1:7" x14ac:dyDescent="0.35">
      <c r="A2735">
        <v>139074</v>
      </c>
      <c r="B2735">
        <v>1</v>
      </c>
      <c r="C2735" s="5" t="s">
        <v>51</v>
      </c>
      <c r="D2735">
        <v>2103</v>
      </c>
      <c r="E2735" s="5" t="s">
        <v>81</v>
      </c>
      <c r="F2735" s="5" t="s">
        <v>14</v>
      </c>
      <c r="G2735">
        <v>20</v>
      </c>
    </row>
    <row r="2736" spans="1:7" x14ac:dyDescent="0.35">
      <c r="A2736">
        <v>58086</v>
      </c>
      <c r="B2736">
        <v>0</v>
      </c>
      <c r="C2736" s="5" t="s">
        <v>53</v>
      </c>
      <c r="D2736">
        <v>4401</v>
      </c>
      <c r="E2736" s="5" t="s">
        <v>89</v>
      </c>
      <c r="F2736" s="5" t="s">
        <v>17</v>
      </c>
      <c r="G2736">
        <v>4</v>
      </c>
    </row>
    <row r="2737" spans="1:7" x14ac:dyDescent="0.35">
      <c r="A2737">
        <v>37637</v>
      </c>
      <c r="B2737">
        <v>28</v>
      </c>
      <c r="C2737" s="5" t="s">
        <v>13</v>
      </c>
      <c r="D2737">
        <v>4906</v>
      </c>
      <c r="E2737" s="5" t="s">
        <v>82</v>
      </c>
      <c r="F2737" s="5" t="s">
        <v>17</v>
      </c>
      <c r="G2737">
        <v>10</v>
      </c>
    </row>
    <row r="2738" spans="1:7" x14ac:dyDescent="0.35">
      <c r="A2738">
        <v>73625</v>
      </c>
      <c r="B2738">
        <v>0</v>
      </c>
      <c r="C2738" s="5" t="s">
        <v>26</v>
      </c>
      <c r="D2738">
        <v>5806</v>
      </c>
      <c r="E2738" s="5" t="s">
        <v>92</v>
      </c>
      <c r="F2738" s="5" t="s">
        <v>17</v>
      </c>
      <c r="G2738">
        <v>10</v>
      </c>
    </row>
    <row r="2739" spans="1:7" x14ac:dyDescent="0.35">
      <c r="A2739">
        <v>77845</v>
      </c>
      <c r="B2739">
        <v>0</v>
      </c>
      <c r="C2739" s="5" t="s">
        <v>32</v>
      </c>
      <c r="D2739">
        <v>6101</v>
      </c>
      <c r="E2739" s="5" t="s">
        <v>79</v>
      </c>
      <c r="F2739" s="5" t="s">
        <v>17</v>
      </c>
      <c r="G2739">
        <v>15</v>
      </c>
    </row>
    <row r="2740" spans="1:7" x14ac:dyDescent="0.35">
      <c r="A2740">
        <v>6615</v>
      </c>
      <c r="B2740">
        <v>0</v>
      </c>
      <c r="C2740" s="5" t="s">
        <v>13</v>
      </c>
      <c r="D2740">
        <v>0</v>
      </c>
      <c r="E2740" s="5" t="s">
        <v>83</v>
      </c>
      <c r="F2740" s="5" t="s">
        <v>17</v>
      </c>
      <c r="G2740">
        <v>11</v>
      </c>
    </row>
    <row r="2741" spans="1:7" x14ac:dyDescent="0.35">
      <c r="A2741">
        <v>35504</v>
      </c>
      <c r="B2741">
        <v>0</v>
      </c>
      <c r="C2741" s="5" t="s">
        <v>13</v>
      </c>
      <c r="D2741">
        <v>4901</v>
      </c>
      <c r="E2741" s="5" t="s">
        <v>80</v>
      </c>
      <c r="F2741" s="5" t="s">
        <v>17</v>
      </c>
      <c r="G2741">
        <v>15</v>
      </c>
    </row>
    <row r="2742" spans="1:7" x14ac:dyDescent="0.35">
      <c r="A2742">
        <v>131845</v>
      </c>
      <c r="B2742">
        <v>2</v>
      </c>
      <c r="C2742" s="5" t="s">
        <v>45</v>
      </c>
      <c r="D2742">
        <v>4601</v>
      </c>
      <c r="E2742" s="5" t="s">
        <v>88</v>
      </c>
      <c r="F2742" s="5" t="s">
        <v>17</v>
      </c>
      <c r="G2742">
        <v>15</v>
      </c>
    </row>
    <row r="2743" spans="1:7" x14ac:dyDescent="0.35">
      <c r="A2743">
        <v>189902</v>
      </c>
      <c r="B2743">
        <v>0</v>
      </c>
      <c r="C2743" s="5" t="s">
        <v>21</v>
      </c>
      <c r="D2743">
        <v>4607</v>
      </c>
      <c r="E2743" s="5" t="s">
        <v>92</v>
      </c>
      <c r="F2743" s="5" t="s">
        <v>17</v>
      </c>
      <c r="G2743">
        <v>6</v>
      </c>
    </row>
    <row r="2744" spans="1:7" x14ac:dyDescent="0.35">
      <c r="A2744">
        <v>34836</v>
      </c>
      <c r="B2744">
        <v>0</v>
      </c>
      <c r="C2744" s="5" t="s">
        <v>13</v>
      </c>
      <c r="D2744">
        <v>0</v>
      </c>
      <c r="E2744" s="5" t="s">
        <v>78</v>
      </c>
      <c r="F2744" s="5" t="s">
        <v>17</v>
      </c>
      <c r="G2744">
        <v>15</v>
      </c>
    </row>
    <row r="2745" spans="1:7" x14ac:dyDescent="0.35">
      <c r="A2745">
        <v>123909</v>
      </c>
      <c r="B2745">
        <v>2</v>
      </c>
      <c r="C2745" s="5" t="s">
        <v>20</v>
      </c>
      <c r="D2745">
        <v>3211</v>
      </c>
      <c r="E2745" s="5" t="s">
        <v>78</v>
      </c>
      <c r="F2745" s="5" t="s">
        <v>14</v>
      </c>
      <c r="G2745">
        <v>5</v>
      </c>
    </row>
    <row r="2746" spans="1:7" x14ac:dyDescent="0.35">
      <c r="A2746">
        <v>188913</v>
      </c>
      <c r="B2746">
        <v>0</v>
      </c>
      <c r="C2746" s="5" t="s">
        <v>51</v>
      </c>
      <c r="D2746">
        <v>0</v>
      </c>
      <c r="E2746" s="5" t="s">
        <v>80</v>
      </c>
      <c r="F2746" s="5" t="s">
        <v>17</v>
      </c>
      <c r="G2746">
        <v>20</v>
      </c>
    </row>
    <row r="2747" spans="1:7" x14ac:dyDescent="0.35">
      <c r="A2747">
        <v>96426</v>
      </c>
      <c r="B2747">
        <v>2</v>
      </c>
      <c r="C2747" s="5" t="s">
        <v>16</v>
      </c>
      <c r="D2747">
        <v>5810</v>
      </c>
      <c r="E2747" s="5" t="s">
        <v>79</v>
      </c>
      <c r="F2747" s="5" t="s">
        <v>14</v>
      </c>
      <c r="G2747">
        <v>10</v>
      </c>
    </row>
    <row r="2748" spans="1:7" x14ac:dyDescent="0.35">
      <c r="A2748">
        <v>23022</v>
      </c>
      <c r="B2748">
        <v>0</v>
      </c>
      <c r="C2748" s="5" t="s">
        <v>43</v>
      </c>
      <c r="D2748">
        <v>4604</v>
      </c>
      <c r="E2748" s="5" t="s">
        <v>83</v>
      </c>
      <c r="F2748" s="5" t="s">
        <v>14</v>
      </c>
      <c r="G2748">
        <v>15</v>
      </c>
    </row>
    <row r="2749" spans="1:7" x14ac:dyDescent="0.35">
      <c r="A2749">
        <v>144099</v>
      </c>
      <c r="B2749">
        <v>28</v>
      </c>
      <c r="C2749" s="5" t="s">
        <v>21</v>
      </c>
      <c r="D2749">
        <v>5801</v>
      </c>
      <c r="E2749" s="5" t="s">
        <v>85</v>
      </c>
      <c r="F2749" s="5" t="s">
        <v>17</v>
      </c>
      <c r="G2749">
        <v>17</v>
      </c>
    </row>
    <row r="2750" spans="1:7" x14ac:dyDescent="0.35">
      <c r="A2750">
        <v>186965</v>
      </c>
      <c r="B2750">
        <v>0</v>
      </c>
      <c r="C2750" s="5" t="s">
        <v>25</v>
      </c>
      <c r="D2750">
        <v>3104</v>
      </c>
      <c r="E2750" s="5" t="s">
        <v>89</v>
      </c>
      <c r="F2750" s="5" t="s">
        <v>17</v>
      </c>
      <c r="G2750">
        <v>13</v>
      </c>
    </row>
    <row r="2751" spans="1:7" x14ac:dyDescent="0.35">
      <c r="A2751">
        <v>106161</v>
      </c>
      <c r="B2751">
        <v>0</v>
      </c>
      <c r="C2751" s="5" t="s">
        <v>25</v>
      </c>
      <c r="D2751">
        <v>3203</v>
      </c>
      <c r="E2751" s="5" t="s">
        <v>89</v>
      </c>
      <c r="F2751" s="5" t="s">
        <v>17</v>
      </c>
      <c r="G2751">
        <v>4</v>
      </c>
    </row>
    <row r="2752" spans="1:7" x14ac:dyDescent="0.35">
      <c r="A2752">
        <v>166742</v>
      </c>
      <c r="B2752">
        <v>0</v>
      </c>
      <c r="C2752" s="5" t="s">
        <v>21</v>
      </c>
      <c r="D2752">
        <v>3610</v>
      </c>
      <c r="E2752" s="5" t="s">
        <v>82</v>
      </c>
      <c r="F2752" s="5" t="s">
        <v>17</v>
      </c>
      <c r="G2752">
        <v>12</v>
      </c>
    </row>
    <row r="2753" spans="1:7" x14ac:dyDescent="0.35">
      <c r="A2753">
        <v>132145</v>
      </c>
      <c r="B2753">
        <v>0</v>
      </c>
      <c r="C2753" s="5" t="s">
        <v>45</v>
      </c>
      <c r="D2753">
        <v>0</v>
      </c>
      <c r="E2753" s="5" t="s">
        <v>81</v>
      </c>
      <c r="F2753" s="5" t="s">
        <v>14</v>
      </c>
      <c r="G2753">
        <v>10</v>
      </c>
    </row>
    <row r="2754" spans="1:7" x14ac:dyDescent="0.35">
      <c r="A2754">
        <v>166485</v>
      </c>
      <c r="B2754">
        <v>1</v>
      </c>
      <c r="C2754" s="5" t="s">
        <v>21</v>
      </c>
      <c r="D2754">
        <v>4406</v>
      </c>
      <c r="E2754" s="5" t="s">
        <v>85</v>
      </c>
      <c r="F2754" s="5" t="s">
        <v>14</v>
      </c>
      <c r="G2754">
        <v>45</v>
      </c>
    </row>
    <row r="2755" spans="1:7" x14ac:dyDescent="0.35">
      <c r="A2755">
        <v>89209</v>
      </c>
      <c r="B2755">
        <v>1</v>
      </c>
      <c r="C2755" s="5" t="s">
        <v>16</v>
      </c>
      <c r="D2755">
        <v>4703</v>
      </c>
      <c r="E2755" s="5" t="s">
        <v>80</v>
      </c>
      <c r="F2755" s="5" t="s">
        <v>14</v>
      </c>
      <c r="G2755">
        <v>6</v>
      </c>
    </row>
    <row r="2756" spans="1:7" x14ac:dyDescent="0.35">
      <c r="A2756">
        <v>167165</v>
      </c>
      <c r="B2756">
        <v>0</v>
      </c>
      <c r="C2756" s="5" t="s">
        <v>21</v>
      </c>
      <c r="D2756">
        <v>3501</v>
      </c>
      <c r="E2756" s="5" t="s">
        <v>85</v>
      </c>
      <c r="F2756" s="5" t="s">
        <v>17</v>
      </c>
      <c r="G2756">
        <v>16</v>
      </c>
    </row>
    <row r="2757" spans="1:7" x14ac:dyDescent="0.35">
      <c r="A2757">
        <v>162169</v>
      </c>
      <c r="B2757">
        <v>2</v>
      </c>
      <c r="C2757" s="5" t="s">
        <v>21</v>
      </c>
      <c r="D2757">
        <v>0</v>
      </c>
      <c r="E2757" s="5" t="s">
        <v>84</v>
      </c>
      <c r="F2757" s="5" t="s">
        <v>14</v>
      </c>
      <c r="G2757">
        <v>20</v>
      </c>
    </row>
    <row r="2758" spans="1:7" x14ac:dyDescent="0.35">
      <c r="A2758">
        <v>31183</v>
      </c>
      <c r="B2758">
        <v>0</v>
      </c>
      <c r="C2758" s="5" t="s">
        <v>36</v>
      </c>
      <c r="D2758">
        <v>4301</v>
      </c>
      <c r="E2758" s="5" t="s">
        <v>79</v>
      </c>
      <c r="F2758" s="5" t="s">
        <v>14</v>
      </c>
      <c r="G2758">
        <v>18</v>
      </c>
    </row>
    <row r="2759" spans="1:7" x14ac:dyDescent="0.35">
      <c r="A2759">
        <v>86340</v>
      </c>
      <c r="B2759">
        <v>2</v>
      </c>
      <c r="C2759" s="5" t="s">
        <v>48</v>
      </c>
      <c r="D2759">
        <v>0</v>
      </c>
      <c r="E2759" s="5" t="s">
        <v>81</v>
      </c>
      <c r="F2759" s="5" t="s">
        <v>14</v>
      </c>
      <c r="G2759">
        <v>3</v>
      </c>
    </row>
    <row r="2760" spans="1:7" x14ac:dyDescent="0.35">
      <c r="A2760">
        <v>45584</v>
      </c>
      <c r="B2760">
        <v>28</v>
      </c>
      <c r="C2760" s="5" t="s">
        <v>20</v>
      </c>
      <c r="D2760">
        <v>4706</v>
      </c>
      <c r="E2760" s="5" t="s">
        <v>80</v>
      </c>
      <c r="F2760" s="5" t="s">
        <v>17</v>
      </c>
      <c r="G2760">
        <v>25</v>
      </c>
    </row>
    <row r="2761" spans="1:7" x14ac:dyDescent="0.35">
      <c r="A2761">
        <v>131106</v>
      </c>
      <c r="B2761">
        <v>0</v>
      </c>
      <c r="C2761" s="5" t="s">
        <v>45</v>
      </c>
      <c r="D2761">
        <v>0</v>
      </c>
      <c r="E2761" s="5" t="s">
        <v>79</v>
      </c>
      <c r="F2761" s="5" t="s">
        <v>14</v>
      </c>
      <c r="G2761">
        <v>40</v>
      </c>
    </row>
    <row r="2762" spans="1:7" x14ac:dyDescent="0.35">
      <c r="A2762">
        <v>29105</v>
      </c>
      <c r="B2762">
        <v>0</v>
      </c>
      <c r="C2762" s="5" t="s">
        <v>36</v>
      </c>
      <c r="D2762">
        <v>0</v>
      </c>
      <c r="E2762" s="5" t="s">
        <v>81</v>
      </c>
      <c r="F2762" s="5" t="s">
        <v>14</v>
      </c>
      <c r="G2762">
        <v>11</v>
      </c>
    </row>
    <row r="2763" spans="1:7" x14ac:dyDescent="0.35">
      <c r="A2763">
        <v>123667</v>
      </c>
      <c r="B2763">
        <v>28</v>
      </c>
      <c r="C2763" s="5" t="s">
        <v>20</v>
      </c>
      <c r="D2763">
        <v>4301</v>
      </c>
      <c r="E2763" s="5" t="s">
        <v>84</v>
      </c>
      <c r="F2763" s="5" t="s">
        <v>17</v>
      </c>
      <c r="G2763">
        <v>15</v>
      </c>
    </row>
    <row r="2764" spans="1:7" x14ac:dyDescent="0.35">
      <c r="A2764">
        <v>164188</v>
      </c>
      <c r="B2764">
        <v>0</v>
      </c>
      <c r="C2764" s="5" t="s">
        <v>21</v>
      </c>
      <c r="D2764">
        <v>6201</v>
      </c>
      <c r="E2764" s="5" t="s">
        <v>84</v>
      </c>
      <c r="F2764" s="5" t="s">
        <v>17</v>
      </c>
      <c r="G2764">
        <v>14</v>
      </c>
    </row>
    <row r="2765" spans="1:7" x14ac:dyDescent="0.35">
      <c r="A2765">
        <v>37528</v>
      </c>
      <c r="B2765">
        <v>0</v>
      </c>
      <c r="C2765" s="5" t="s">
        <v>13</v>
      </c>
      <c r="D2765">
        <v>0</v>
      </c>
      <c r="E2765" s="5" t="s">
        <v>91</v>
      </c>
      <c r="F2765" s="5" t="s">
        <v>17</v>
      </c>
      <c r="G2765">
        <v>10</v>
      </c>
    </row>
    <row r="2766" spans="1:7" x14ac:dyDescent="0.35">
      <c r="A2766">
        <v>159417</v>
      </c>
      <c r="B2766">
        <v>0</v>
      </c>
      <c r="C2766" s="5" t="s">
        <v>21</v>
      </c>
      <c r="D2766">
        <v>5912</v>
      </c>
      <c r="E2766" s="5" t="s">
        <v>83</v>
      </c>
      <c r="F2766" s="5" t="s">
        <v>17</v>
      </c>
      <c r="G2766">
        <v>25</v>
      </c>
    </row>
    <row r="2767" spans="1:7" x14ac:dyDescent="0.35">
      <c r="A2767">
        <v>181382</v>
      </c>
      <c r="B2767">
        <v>2</v>
      </c>
      <c r="C2767" s="5" t="s">
        <v>37</v>
      </c>
      <c r="D2767">
        <v>0</v>
      </c>
      <c r="E2767" s="5" t="s">
        <v>81</v>
      </c>
      <c r="F2767" s="5" t="s">
        <v>14</v>
      </c>
      <c r="G2767">
        <v>12</v>
      </c>
    </row>
    <row r="2768" spans="1:7" x14ac:dyDescent="0.35">
      <c r="A2768">
        <v>159358</v>
      </c>
      <c r="B2768">
        <v>2</v>
      </c>
      <c r="C2768" s="5" t="s">
        <v>21</v>
      </c>
      <c r="D2768">
        <v>2201</v>
      </c>
      <c r="E2768" s="5" t="s">
        <v>83</v>
      </c>
      <c r="F2768" s="5" t="s">
        <v>14</v>
      </c>
      <c r="G2768">
        <v>10</v>
      </c>
    </row>
    <row r="2769" spans="1:7" x14ac:dyDescent="0.35">
      <c r="A2769">
        <v>159550</v>
      </c>
      <c r="B2769">
        <v>1</v>
      </c>
      <c r="C2769" s="5" t="s">
        <v>21</v>
      </c>
      <c r="D2769">
        <v>5801</v>
      </c>
      <c r="E2769" s="5" t="s">
        <v>81</v>
      </c>
      <c r="F2769" s="5" t="s">
        <v>14</v>
      </c>
      <c r="G2769">
        <v>10</v>
      </c>
    </row>
    <row r="2770" spans="1:7" x14ac:dyDescent="0.35">
      <c r="A2770">
        <v>167396</v>
      </c>
      <c r="B2770">
        <v>0</v>
      </c>
      <c r="C2770" s="5" t="s">
        <v>21</v>
      </c>
      <c r="D2770">
        <v>0</v>
      </c>
      <c r="E2770" s="5" t="s">
        <v>83</v>
      </c>
      <c r="F2770" s="5" t="s">
        <v>14</v>
      </c>
      <c r="G2770">
        <v>20</v>
      </c>
    </row>
    <row r="2771" spans="1:7" x14ac:dyDescent="0.35">
      <c r="A2771">
        <v>101673</v>
      </c>
      <c r="B2771">
        <v>0</v>
      </c>
      <c r="C2771" s="5" t="s">
        <v>33</v>
      </c>
      <c r="D2771">
        <v>5702</v>
      </c>
      <c r="E2771" s="5" t="s">
        <v>82</v>
      </c>
      <c r="F2771" s="5" t="s">
        <v>17</v>
      </c>
      <c r="G2771">
        <v>20</v>
      </c>
    </row>
    <row r="2772" spans="1:7" x14ac:dyDescent="0.35">
      <c r="A2772">
        <v>132767</v>
      </c>
      <c r="B2772">
        <v>1</v>
      </c>
      <c r="C2772" s="5" t="s">
        <v>58</v>
      </c>
      <c r="D2772">
        <v>2001</v>
      </c>
      <c r="E2772" s="5" t="s">
        <v>82</v>
      </c>
      <c r="F2772" s="5" t="s">
        <v>14</v>
      </c>
      <c r="G2772">
        <v>15</v>
      </c>
    </row>
    <row r="2773" spans="1:7" x14ac:dyDescent="0.35">
      <c r="A2773">
        <v>178334</v>
      </c>
      <c r="B2773">
        <v>0</v>
      </c>
      <c r="C2773" s="5" t="s">
        <v>37</v>
      </c>
      <c r="D2773">
        <v>2701</v>
      </c>
      <c r="E2773" s="5" t="s">
        <v>80</v>
      </c>
      <c r="F2773" s="5" t="s">
        <v>41</v>
      </c>
      <c r="G2773">
        <v>11</v>
      </c>
    </row>
    <row r="2774" spans="1:7" x14ac:dyDescent="0.35">
      <c r="A2774">
        <v>109778</v>
      </c>
      <c r="B2774">
        <v>2</v>
      </c>
      <c r="C2774" s="5" t="s">
        <v>46</v>
      </c>
      <c r="D2774">
        <v>1801</v>
      </c>
      <c r="E2774" s="5" t="s">
        <v>82</v>
      </c>
      <c r="F2774" s="5" t="s">
        <v>14</v>
      </c>
      <c r="G2774">
        <v>10</v>
      </c>
    </row>
    <row r="2775" spans="1:7" x14ac:dyDescent="0.35">
      <c r="A2775">
        <v>108176</v>
      </c>
      <c r="B2775">
        <v>2</v>
      </c>
      <c r="C2775" s="5" t="s">
        <v>46</v>
      </c>
      <c r="D2775">
        <v>5611</v>
      </c>
      <c r="E2775" s="5" t="s">
        <v>84</v>
      </c>
      <c r="F2775" s="5" t="s">
        <v>14</v>
      </c>
      <c r="G2775">
        <v>10</v>
      </c>
    </row>
    <row r="2776" spans="1:7" x14ac:dyDescent="0.35">
      <c r="A2776">
        <v>24949</v>
      </c>
      <c r="B2776">
        <v>0</v>
      </c>
      <c r="C2776" s="5" t="s">
        <v>43</v>
      </c>
      <c r="D2776">
        <v>4601</v>
      </c>
      <c r="E2776" s="5" t="s">
        <v>81</v>
      </c>
      <c r="F2776" s="5" t="s">
        <v>14</v>
      </c>
      <c r="G2776">
        <v>16</v>
      </c>
    </row>
    <row r="2777" spans="1:7" x14ac:dyDescent="0.35">
      <c r="A2777">
        <v>12122</v>
      </c>
      <c r="B2777">
        <v>2</v>
      </c>
      <c r="C2777" s="5" t="s">
        <v>21</v>
      </c>
      <c r="D2777">
        <v>5904</v>
      </c>
      <c r="E2777" s="5" t="s">
        <v>80</v>
      </c>
      <c r="F2777" s="5" t="s">
        <v>17</v>
      </c>
      <c r="G2777">
        <v>12</v>
      </c>
    </row>
    <row r="2778" spans="1:7" x14ac:dyDescent="0.35">
      <c r="A2778">
        <v>171014</v>
      </c>
      <c r="B2778">
        <v>1</v>
      </c>
      <c r="C2778" s="5" t="s">
        <v>21</v>
      </c>
      <c r="D2778">
        <v>4801</v>
      </c>
      <c r="E2778" s="5" t="s">
        <v>81</v>
      </c>
      <c r="F2778" s="5" t="s">
        <v>14</v>
      </c>
      <c r="G2778">
        <v>25</v>
      </c>
    </row>
    <row r="2779" spans="1:7" x14ac:dyDescent="0.35">
      <c r="A2779">
        <v>152822</v>
      </c>
      <c r="B2779">
        <v>0</v>
      </c>
      <c r="C2779" s="5" t="s">
        <v>21</v>
      </c>
      <c r="D2779">
        <v>6601</v>
      </c>
      <c r="E2779" s="5" t="s">
        <v>80</v>
      </c>
      <c r="F2779" s="5" t="s">
        <v>17</v>
      </c>
      <c r="G2779">
        <v>20</v>
      </c>
    </row>
    <row r="2780" spans="1:7" x14ac:dyDescent="0.35">
      <c r="A2780">
        <v>150730</v>
      </c>
      <c r="B2780">
        <v>28</v>
      </c>
      <c r="C2780" s="5" t="s">
        <v>21</v>
      </c>
      <c r="D2780">
        <v>4201</v>
      </c>
      <c r="E2780" s="5" t="s">
        <v>80</v>
      </c>
      <c r="F2780" s="5" t="s">
        <v>17</v>
      </c>
      <c r="G2780">
        <v>2</v>
      </c>
    </row>
    <row r="2781" spans="1:7" x14ac:dyDescent="0.35">
      <c r="A2781">
        <v>65189</v>
      </c>
      <c r="B2781">
        <v>2</v>
      </c>
      <c r="C2781" s="5" t="s">
        <v>26</v>
      </c>
      <c r="D2781">
        <v>2409</v>
      </c>
      <c r="E2781" s="5" t="s">
        <v>80</v>
      </c>
      <c r="F2781" s="5" t="s">
        <v>14</v>
      </c>
      <c r="G2781">
        <v>13</v>
      </c>
    </row>
    <row r="2782" spans="1:7" x14ac:dyDescent="0.35">
      <c r="A2782">
        <v>136990</v>
      </c>
      <c r="B2782">
        <v>0</v>
      </c>
      <c r="C2782" s="5" t="s">
        <v>51</v>
      </c>
      <c r="D2782">
        <v>5401</v>
      </c>
      <c r="E2782" s="5" t="s">
        <v>84</v>
      </c>
      <c r="F2782" s="5" t="s">
        <v>14</v>
      </c>
      <c r="G2782">
        <v>8</v>
      </c>
    </row>
    <row r="2783" spans="1:7" x14ac:dyDescent="0.35">
      <c r="A2783">
        <v>148143</v>
      </c>
      <c r="B2783">
        <v>0</v>
      </c>
      <c r="C2783" s="5" t="s">
        <v>21</v>
      </c>
      <c r="D2783">
        <v>0</v>
      </c>
      <c r="E2783" s="5" t="s">
        <v>82</v>
      </c>
      <c r="F2783" s="5" t="s">
        <v>17</v>
      </c>
      <c r="G2783">
        <v>20</v>
      </c>
    </row>
    <row r="2784" spans="1:7" x14ac:dyDescent="0.35">
      <c r="A2784">
        <v>54762</v>
      </c>
      <c r="B2784">
        <v>0</v>
      </c>
      <c r="C2784" s="5" t="s">
        <v>56</v>
      </c>
      <c r="D2784">
        <v>1403</v>
      </c>
      <c r="E2784" s="5" t="s">
        <v>81</v>
      </c>
      <c r="F2784" s="5" t="s">
        <v>14</v>
      </c>
      <c r="G2784">
        <v>16</v>
      </c>
    </row>
    <row r="2785" spans="1:7" x14ac:dyDescent="0.35">
      <c r="A2785">
        <v>107379</v>
      </c>
      <c r="B2785">
        <v>2</v>
      </c>
      <c r="C2785" s="5" t="s">
        <v>55</v>
      </c>
      <c r="D2785">
        <v>0</v>
      </c>
      <c r="E2785" s="5" t="s">
        <v>79</v>
      </c>
      <c r="F2785" s="5" t="s">
        <v>17</v>
      </c>
      <c r="G2785">
        <v>5</v>
      </c>
    </row>
    <row r="2786" spans="1:7" x14ac:dyDescent="0.35">
      <c r="A2786">
        <v>132316</v>
      </c>
      <c r="B2786">
        <v>2</v>
      </c>
      <c r="C2786" s="5" t="s">
        <v>45</v>
      </c>
      <c r="D2786">
        <v>3711</v>
      </c>
      <c r="E2786" s="5" t="s">
        <v>84</v>
      </c>
      <c r="F2786" s="5" t="s">
        <v>14</v>
      </c>
      <c r="G2786">
        <v>10</v>
      </c>
    </row>
    <row r="2787" spans="1:7" x14ac:dyDescent="0.35">
      <c r="A2787">
        <v>24277</v>
      </c>
      <c r="B2787">
        <v>2</v>
      </c>
      <c r="C2787" s="5" t="s">
        <v>43</v>
      </c>
      <c r="D2787">
        <v>0</v>
      </c>
      <c r="E2787" s="5" t="s">
        <v>79</v>
      </c>
      <c r="F2787" s="5" t="s">
        <v>17</v>
      </c>
      <c r="G2787">
        <v>40</v>
      </c>
    </row>
    <row r="2788" spans="1:7" x14ac:dyDescent="0.35">
      <c r="A2788">
        <v>87217</v>
      </c>
      <c r="B2788">
        <v>0</v>
      </c>
      <c r="C2788" s="5" t="s">
        <v>31</v>
      </c>
      <c r="D2788">
        <v>2601</v>
      </c>
      <c r="E2788" s="5" t="s">
        <v>81</v>
      </c>
      <c r="F2788" s="5" t="s">
        <v>14</v>
      </c>
      <c r="G2788">
        <v>20</v>
      </c>
    </row>
    <row r="2789" spans="1:7" x14ac:dyDescent="0.35">
      <c r="A2789">
        <v>113882</v>
      </c>
      <c r="B2789">
        <v>1</v>
      </c>
      <c r="C2789" s="5" t="s">
        <v>28</v>
      </c>
      <c r="D2789">
        <v>2601</v>
      </c>
      <c r="E2789" s="5" t="s">
        <v>94</v>
      </c>
      <c r="F2789" s="5" t="s">
        <v>14</v>
      </c>
      <c r="G2789">
        <v>5</v>
      </c>
    </row>
    <row r="2790" spans="1:7" x14ac:dyDescent="0.35">
      <c r="A2790">
        <v>8912</v>
      </c>
      <c r="B2790">
        <v>0</v>
      </c>
      <c r="C2790" s="5" t="s">
        <v>47</v>
      </c>
      <c r="D2790">
        <v>4001</v>
      </c>
      <c r="E2790" s="5" t="s">
        <v>80</v>
      </c>
      <c r="F2790" s="5" t="s">
        <v>17</v>
      </c>
      <c r="G2790">
        <v>20</v>
      </c>
    </row>
    <row r="2791" spans="1:7" x14ac:dyDescent="0.35">
      <c r="A2791">
        <v>28406</v>
      </c>
      <c r="B2791">
        <v>0</v>
      </c>
      <c r="C2791" s="5" t="s">
        <v>36</v>
      </c>
      <c r="D2791">
        <v>3401</v>
      </c>
      <c r="E2791" s="5" t="s">
        <v>83</v>
      </c>
      <c r="F2791" s="5" t="s">
        <v>14</v>
      </c>
      <c r="G2791">
        <v>19</v>
      </c>
    </row>
    <row r="2792" spans="1:7" x14ac:dyDescent="0.35">
      <c r="A2792">
        <v>70069</v>
      </c>
      <c r="B2792">
        <v>2</v>
      </c>
      <c r="C2792" s="5" t="s">
        <v>26</v>
      </c>
      <c r="D2792">
        <v>2603</v>
      </c>
      <c r="E2792" s="5" t="s">
        <v>87</v>
      </c>
      <c r="F2792" s="5" t="s">
        <v>17</v>
      </c>
      <c r="G2792">
        <v>11</v>
      </c>
    </row>
    <row r="2793" spans="1:7" x14ac:dyDescent="0.35">
      <c r="A2793">
        <v>1102</v>
      </c>
      <c r="B2793">
        <v>1</v>
      </c>
      <c r="C2793" s="5" t="s">
        <v>52</v>
      </c>
      <c r="D2793">
        <v>1110</v>
      </c>
      <c r="E2793" s="5" t="s">
        <v>86</v>
      </c>
      <c r="F2793" s="5" t="s">
        <v>14</v>
      </c>
      <c r="G2793">
        <v>11</v>
      </c>
    </row>
    <row r="2794" spans="1:7" x14ac:dyDescent="0.35">
      <c r="A2794">
        <v>141888</v>
      </c>
      <c r="B2794">
        <v>0</v>
      </c>
      <c r="C2794" s="5" t="s">
        <v>23</v>
      </c>
      <c r="D2794">
        <v>2807</v>
      </c>
      <c r="E2794" s="5" t="s">
        <v>84</v>
      </c>
      <c r="F2794" s="5" t="s">
        <v>14</v>
      </c>
      <c r="G2794">
        <v>5</v>
      </c>
    </row>
    <row r="2795" spans="1:7" x14ac:dyDescent="0.35">
      <c r="A2795">
        <v>183412</v>
      </c>
      <c r="B2795">
        <v>0</v>
      </c>
      <c r="C2795" s="5" t="s">
        <v>37</v>
      </c>
      <c r="D2795">
        <v>0</v>
      </c>
      <c r="E2795" s="5" t="s">
        <v>81</v>
      </c>
      <c r="F2795" s="5" t="s">
        <v>86</v>
      </c>
      <c r="G2795">
        <v>50</v>
      </c>
    </row>
    <row r="2796" spans="1:7" x14ac:dyDescent="0.35">
      <c r="A2796">
        <v>128599</v>
      </c>
      <c r="B2796">
        <v>1</v>
      </c>
      <c r="C2796" s="5" t="s">
        <v>20</v>
      </c>
      <c r="D2796">
        <v>4701</v>
      </c>
      <c r="E2796" s="5" t="s">
        <v>78</v>
      </c>
      <c r="F2796" s="5" t="s">
        <v>14</v>
      </c>
      <c r="G2796">
        <v>8</v>
      </c>
    </row>
    <row r="2797" spans="1:7" x14ac:dyDescent="0.35">
      <c r="A2797">
        <v>53496</v>
      </c>
      <c r="B2797">
        <v>28</v>
      </c>
      <c r="C2797" s="5" t="s">
        <v>49</v>
      </c>
      <c r="D2797">
        <v>5009</v>
      </c>
      <c r="E2797" s="5" t="s">
        <v>80</v>
      </c>
      <c r="F2797" s="5" t="s">
        <v>17</v>
      </c>
      <c r="G2797">
        <v>20</v>
      </c>
    </row>
    <row r="2798" spans="1:7" x14ac:dyDescent="0.35">
      <c r="A2798">
        <v>28381</v>
      </c>
      <c r="B2798">
        <v>1</v>
      </c>
      <c r="C2798" s="5" t="s">
        <v>36</v>
      </c>
      <c r="D2798">
        <v>0</v>
      </c>
      <c r="E2798" s="5" t="s">
        <v>83</v>
      </c>
      <c r="F2798" s="5" t="s">
        <v>14</v>
      </c>
      <c r="G2798">
        <v>15</v>
      </c>
    </row>
    <row r="2799" spans="1:7" x14ac:dyDescent="0.35">
      <c r="A2799">
        <v>6292</v>
      </c>
      <c r="B2799">
        <v>0</v>
      </c>
      <c r="C2799" s="5" t="s">
        <v>16</v>
      </c>
      <c r="D2799">
        <v>1601</v>
      </c>
      <c r="E2799" s="5" t="s">
        <v>83</v>
      </c>
      <c r="F2799" s="5" t="s">
        <v>17</v>
      </c>
      <c r="G2799">
        <v>20</v>
      </c>
    </row>
    <row r="2800" spans="1:7" x14ac:dyDescent="0.35">
      <c r="A2800">
        <v>21644</v>
      </c>
      <c r="B2800">
        <v>2</v>
      </c>
      <c r="C2800" s="5" t="s">
        <v>18</v>
      </c>
      <c r="D2800">
        <v>4001</v>
      </c>
      <c r="E2800" s="5" t="s">
        <v>79</v>
      </c>
      <c r="F2800" s="5" t="s">
        <v>17</v>
      </c>
      <c r="G2800">
        <v>8</v>
      </c>
    </row>
    <row r="2801" spans="1:7" x14ac:dyDescent="0.35">
      <c r="A2801">
        <v>181075</v>
      </c>
      <c r="B2801">
        <v>0</v>
      </c>
      <c r="C2801" s="5" t="s">
        <v>37</v>
      </c>
      <c r="D2801">
        <v>2101</v>
      </c>
      <c r="E2801" s="5" t="s">
        <v>84</v>
      </c>
      <c r="F2801" s="5" t="s">
        <v>14</v>
      </c>
      <c r="G2801">
        <v>10</v>
      </c>
    </row>
    <row r="2802" spans="1:7" x14ac:dyDescent="0.35">
      <c r="A2802">
        <v>172863</v>
      </c>
      <c r="B2802">
        <v>1</v>
      </c>
      <c r="C2802" s="5" t="s">
        <v>21</v>
      </c>
      <c r="D2802">
        <v>2901</v>
      </c>
      <c r="E2802" s="5" t="s">
        <v>79</v>
      </c>
      <c r="F2802" s="5" t="s">
        <v>14</v>
      </c>
      <c r="G2802">
        <v>9</v>
      </c>
    </row>
    <row r="2803" spans="1:7" x14ac:dyDescent="0.35">
      <c r="A2803">
        <v>97691</v>
      </c>
      <c r="B2803">
        <v>1002</v>
      </c>
      <c r="C2803" s="5" t="s">
        <v>16</v>
      </c>
      <c r="D2803">
        <v>3001</v>
      </c>
      <c r="E2803" s="5" t="s">
        <v>82</v>
      </c>
      <c r="F2803" s="5" t="s">
        <v>41</v>
      </c>
      <c r="G2803">
        <v>16</v>
      </c>
    </row>
    <row r="2804" spans="1:7" x14ac:dyDescent="0.35">
      <c r="A2804">
        <v>115166</v>
      </c>
      <c r="B2804">
        <v>0</v>
      </c>
      <c r="C2804" s="5" t="s">
        <v>28</v>
      </c>
      <c r="D2804">
        <v>0</v>
      </c>
      <c r="E2804" s="5" t="s">
        <v>84</v>
      </c>
      <c r="F2804" s="5" t="s">
        <v>17</v>
      </c>
      <c r="G2804">
        <v>5</v>
      </c>
    </row>
    <row r="2805" spans="1:7" x14ac:dyDescent="0.35">
      <c r="A2805">
        <v>88572</v>
      </c>
      <c r="B2805">
        <v>0</v>
      </c>
      <c r="C2805" s="5" t="s">
        <v>16</v>
      </c>
      <c r="D2805">
        <v>2801</v>
      </c>
      <c r="E2805" s="5" t="s">
        <v>85</v>
      </c>
      <c r="F2805" s="5" t="s">
        <v>17</v>
      </c>
      <c r="G2805">
        <v>15</v>
      </c>
    </row>
    <row r="2806" spans="1:7" x14ac:dyDescent="0.35">
      <c r="A2806">
        <v>122823</v>
      </c>
      <c r="B2806">
        <v>0</v>
      </c>
      <c r="C2806" s="5" t="s">
        <v>20</v>
      </c>
      <c r="D2806">
        <v>0</v>
      </c>
      <c r="E2806" s="5" t="s">
        <v>84</v>
      </c>
      <c r="F2806" s="5" t="s">
        <v>17</v>
      </c>
      <c r="G2806">
        <v>35</v>
      </c>
    </row>
    <row r="2807" spans="1:7" x14ac:dyDescent="0.35">
      <c r="A2807">
        <v>159180</v>
      </c>
      <c r="B2807">
        <v>2</v>
      </c>
      <c r="C2807" s="5" t="s">
        <v>21</v>
      </c>
      <c r="D2807">
        <v>5201</v>
      </c>
      <c r="E2807" s="5" t="s">
        <v>82</v>
      </c>
      <c r="F2807" s="5" t="s">
        <v>14</v>
      </c>
      <c r="G2807">
        <v>10</v>
      </c>
    </row>
    <row r="2808" spans="1:7" x14ac:dyDescent="0.35">
      <c r="A2808">
        <v>140171</v>
      </c>
      <c r="B2808">
        <v>1</v>
      </c>
      <c r="C2808" s="5" t="s">
        <v>50</v>
      </c>
      <c r="D2808">
        <v>2304</v>
      </c>
      <c r="E2808" s="5" t="s">
        <v>79</v>
      </c>
      <c r="F2808" s="5" t="s">
        <v>14</v>
      </c>
      <c r="G2808">
        <v>15</v>
      </c>
    </row>
    <row r="2809" spans="1:7" x14ac:dyDescent="0.35">
      <c r="A2809">
        <v>74436</v>
      </c>
      <c r="B2809">
        <v>1002</v>
      </c>
      <c r="C2809" s="5" t="s">
        <v>26</v>
      </c>
      <c r="D2809">
        <v>5701</v>
      </c>
      <c r="E2809" s="5" t="s">
        <v>89</v>
      </c>
      <c r="F2809" s="5" t="s">
        <v>14</v>
      </c>
      <c r="G2809">
        <v>37</v>
      </c>
    </row>
    <row r="2810" spans="1:7" x14ac:dyDescent="0.35">
      <c r="A2810">
        <v>92963</v>
      </c>
      <c r="B2810">
        <v>2</v>
      </c>
      <c r="C2810" s="5" t="s">
        <v>16</v>
      </c>
      <c r="D2810">
        <v>0</v>
      </c>
      <c r="E2810" s="5" t="s">
        <v>85</v>
      </c>
      <c r="F2810" s="5" t="s">
        <v>14</v>
      </c>
      <c r="G2810">
        <v>20</v>
      </c>
    </row>
    <row r="2811" spans="1:7" x14ac:dyDescent="0.35">
      <c r="A2811">
        <v>170907</v>
      </c>
      <c r="B2811">
        <v>0</v>
      </c>
      <c r="C2811" s="5" t="s">
        <v>21</v>
      </c>
      <c r="D2811">
        <v>6001</v>
      </c>
      <c r="E2811" s="5" t="s">
        <v>83</v>
      </c>
      <c r="F2811" s="5" t="s">
        <v>17</v>
      </c>
      <c r="G2811">
        <v>15</v>
      </c>
    </row>
    <row r="2812" spans="1:7" x14ac:dyDescent="0.35">
      <c r="A2812">
        <v>93894</v>
      </c>
      <c r="B2812">
        <v>2</v>
      </c>
      <c r="C2812" s="5" t="s">
        <v>16</v>
      </c>
      <c r="D2812">
        <v>1501</v>
      </c>
      <c r="E2812" s="5" t="s">
        <v>91</v>
      </c>
      <c r="F2812" s="5" t="s">
        <v>17</v>
      </c>
      <c r="G2812">
        <v>11</v>
      </c>
    </row>
    <row r="2813" spans="1:7" x14ac:dyDescent="0.35">
      <c r="A2813">
        <v>133144</v>
      </c>
      <c r="B2813">
        <v>1</v>
      </c>
      <c r="C2813" s="5" t="s">
        <v>38</v>
      </c>
      <c r="D2813">
        <v>3001</v>
      </c>
      <c r="E2813" s="5" t="s">
        <v>89</v>
      </c>
      <c r="F2813" s="5" t="s">
        <v>14</v>
      </c>
      <c r="G2813">
        <v>10</v>
      </c>
    </row>
    <row r="2814" spans="1:7" x14ac:dyDescent="0.35">
      <c r="A2814">
        <v>71347</v>
      </c>
      <c r="B2814">
        <v>2</v>
      </c>
      <c r="C2814" s="5" t="s">
        <v>26</v>
      </c>
      <c r="D2814">
        <v>5101</v>
      </c>
      <c r="E2814" s="5" t="s">
        <v>81</v>
      </c>
      <c r="F2814" s="5" t="s">
        <v>17</v>
      </c>
      <c r="G2814">
        <v>4</v>
      </c>
    </row>
    <row r="2815" spans="1:7" x14ac:dyDescent="0.35">
      <c r="A2815">
        <v>67595</v>
      </c>
      <c r="B2815">
        <v>0</v>
      </c>
      <c r="C2815" s="5" t="s">
        <v>26</v>
      </c>
      <c r="D2815">
        <v>3508</v>
      </c>
      <c r="E2815" s="5" t="s">
        <v>92</v>
      </c>
      <c r="F2815" s="5" t="s">
        <v>17</v>
      </c>
      <c r="G2815">
        <v>15</v>
      </c>
    </row>
    <row r="2816" spans="1:7" x14ac:dyDescent="0.35">
      <c r="A2816">
        <v>3550</v>
      </c>
      <c r="B2816">
        <v>1</v>
      </c>
      <c r="C2816" s="5" t="s">
        <v>30</v>
      </c>
      <c r="D2816">
        <v>1110</v>
      </c>
      <c r="E2816" s="5" t="s">
        <v>81</v>
      </c>
      <c r="F2816" s="5" t="s">
        <v>14</v>
      </c>
      <c r="G2816">
        <v>10</v>
      </c>
    </row>
    <row r="2817" spans="1:7" x14ac:dyDescent="0.35">
      <c r="A2817">
        <v>141276</v>
      </c>
      <c r="B2817">
        <v>1</v>
      </c>
      <c r="C2817" s="5" t="s">
        <v>23</v>
      </c>
      <c r="D2817">
        <v>2005</v>
      </c>
      <c r="E2817" s="5" t="s">
        <v>87</v>
      </c>
      <c r="F2817" s="5" t="s">
        <v>14</v>
      </c>
      <c r="G2817">
        <v>6</v>
      </c>
    </row>
    <row r="2818" spans="1:7" x14ac:dyDescent="0.35">
      <c r="A2818">
        <v>184255</v>
      </c>
      <c r="B2818">
        <v>1</v>
      </c>
      <c r="C2818" s="5" t="s">
        <v>37</v>
      </c>
      <c r="D2818">
        <v>3210</v>
      </c>
      <c r="E2818" s="5" t="s">
        <v>84</v>
      </c>
      <c r="F2818" s="5" t="s">
        <v>14</v>
      </c>
      <c r="G2818">
        <v>25</v>
      </c>
    </row>
    <row r="2819" spans="1:7" x14ac:dyDescent="0.35">
      <c r="A2819">
        <v>181841</v>
      </c>
      <c r="B2819">
        <v>28</v>
      </c>
      <c r="C2819" s="5" t="s">
        <v>20</v>
      </c>
      <c r="D2819">
        <v>0</v>
      </c>
      <c r="E2819" s="5" t="s">
        <v>80</v>
      </c>
      <c r="F2819" s="5" t="s">
        <v>17</v>
      </c>
      <c r="G2819">
        <v>20</v>
      </c>
    </row>
    <row r="2820" spans="1:7" x14ac:dyDescent="0.35">
      <c r="A2820">
        <v>182670</v>
      </c>
      <c r="B2820">
        <v>1</v>
      </c>
      <c r="C2820" s="5" t="s">
        <v>37</v>
      </c>
      <c r="D2820">
        <v>2304</v>
      </c>
      <c r="E2820" s="5" t="s">
        <v>81</v>
      </c>
      <c r="F2820" s="5" t="s">
        <v>14</v>
      </c>
      <c r="G2820">
        <v>5</v>
      </c>
    </row>
    <row r="2821" spans="1:7" x14ac:dyDescent="0.35">
      <c r="A2821">
        <v>22645</v>
      </c>
      <c r="B2821">
        <v>2</v>
      </c>
      <c r="C2821" s="5" t="s">
        <v>43</v>
      </c>
      <c r="D2821">
        <v>3604</v>
      </c>
      <c r="E2821" s="5" t="s">
        <v>81</v>
      </c>
      <c r="F2821" s="5" t="s">
        <v>86</v>
      </c>
      <c r="G2821">
        <v>8</v>
      </c>
    </row>
    <row r="2822" spans="1:7" x14ac:dyDescent="0.35">
      <c r="A2822">
        <v>141834</v>
      </c>
      <c r="B2822">
        <v>0</v>
      </c>
      <c r="C2822" s="5" t="s">
        <v>23</v>
      </c>
      <c r="D2822">
        <v>3001</v>
      </c>
      <c r="E2822" s="5" t="s">
        <v>81</v>
      </c>
      <c r="F2822" s="5" t="s">
        <v>17</v>
      </c>
      <c r="G2822">
        <v>8</v>
      </c>
    </row>
    <row r="2823" spans="1:7" x14ac:dyDescent="0.35">
      <c r="A2823">
        <v>129335</v>
      </c>
      <c r="B2823">
        <v>1002</v>
      </c>
      <c r="C2823" s="5" t="s">
        <v>45</v>
      </c>
      <c r="D2823">
        <v>5001</v>
      </c>
      <c r="E2823" s="5" t="s">
        <v>83</v>
      </c>
      <c r="F2823" s="5" t="s">
        <v>14</v>
      </c>
      <c r="G2823">
        <v>12</v>
      </c>
    </row>
    <row r="2824" spans="1:7" x14ac:dyDescent="0.35">
      <c r="A2824">
        <v>98793</v>
      </c>
      <c r="B2824">
        <v>0</v>
      </c>
      <c r="C2824" s="5" t="s">
        <v>16</v>
      </c>
      <c r="D2824">
        <v>2801</v>
      </c>
      <c r="E2824" s="5" t="s">
        <v>81</v>
      </c>
      <c r="F2824" s="5" t="s">
        <v>14</v>
      </c>
      <c r="G2824">
        <v>10</v>
      </c>
    </row>
    <row r="2825" spans="1:7" x14ac:dyDescent="0.35">
      <c r="A2825">
        <v>187691</v>
      </c>
      <c r="B2825">
        <v>0</v>
      </c>
      <c r="C2825" s="5" t="s">
        <v>18</v>
      </c>
      <c r="D2825">
        <v>0</v>
      </c>
      <c r="E2825" s="5" t="s">
        <v>79</v>
      </c>
      <c r="F2825" s="5" t="s">
        <v>17</v>
      </c>
      <c r="G2825">
        <v>10</v>
      </c>
    </row>
    <row r="2826" spans="1:7" x14ac:dyDescent="0.35">
      <c r="A2826">
        <v>112495</v>
      </c>
      <c r="B2826">
        <v>0</v>
      </c>
      <c r="C2826" s="5" t="s">
        <v>29</v>
      </c>
      <c r="D2826">
        <v>0</v>
      </c>
      <c r="E2826" s="5" t="s">
        <v>78</v>
      </c>
      <c r="F2826" s="5" t="s">
        <v>17</v>
      </c>
      <c r="G2826">
        <v>8</v>
      </c>
    </row>
    <row r="2827" spans="1:7" x14ac:dyDescent="0.35">
      <c r="A2827">
        <v>129408</v>
      </c>
      <c r="B2827">
        <v>2</v>
      </c>
      <c r="C2827" s="5" t="s">
        <v>45</v>
      </c>
      <c r="D2827">
        <v>5110</v>
      </c>
      <c r="E2827" s="5" t="s">
        <v>80</v>
      </c>
      <c r="F2827" s="5" t="s">
        <v>14</v>
      </c>
      <c r="G2827">
        <v>45</v>
      </c>
    </row>
    <row r="2828" spans="1:7" x14ac:dyDescent="0.35">
      <c r="A2828">
        <v>76316</v>
      </c>
      <c r="B2828">
        <v>1002</v>
      </c>
      <c r="C2828" s="5" t="s">
        <v>44</v>
      </c>
      <c r="D2828">
        <v>0</v>
      </c>
      <c r="E2828" s="5" t="s">
        <v>81</v>
      </c>
      <c r="F2828" s="5" t="s">
        <v>14</v>
      </c>
      <c r="G2828">
        <v>13</v>
      </c>
    </row>
    <row r="2829" spans="1:7" x14ac:dyDescent="0.35">
      <c r="A2829">
        <v>23957</v>
      </c>
      <c r="B2829">
        <v>2</v>
      </c>
      <c r="C2829" s="5" t="s">
        <v>43</v>
      </c>
      <c r="D2829">
        <v>3701</v>
      </c>
      <c r="E2829" s="5" t="s">
        <v>79</v>
      </c>
      <c r="F2829" s="5" t="s">
        <v>17</v>
      </c>
      <c r="G2829">
        <v>8</v>
      </c>
    </row>
    <row r="2830" spans="1:7" x14ac:dyDescent="0.35">
      <c r="A2830">
        <v>62704</v>
      </c>
      <c r="B2830">
        <v>1</v>
      </c>
      <c r="C2830" s="5" t="s">
        <v>30</v>
      </c>
      <c r="D2830">
        <v>4501</v>
      </c>
      <c r="E2830" s="5" t="s">
        <v>79</v>
      </c>
      <c r="F2830" s="5" t="s">
        <v>14</v>
      </c>
      <c r="G2830">
        <v>12</v>
      </c>
    </row>
    <row r="2831" spans="1:7" x14ac:dyDescent="0.35">
      <c r="A2831">
        <v>42176</v>
      </c>
      <c r="B2831">
        <v>2</v>
      </c>
      <c r="C2831" s="5" t="s">
        <v>13</v>
      </c>
      <c r="D2831">
        <v>1410</v>
      </c>
      <c r="E2831" s="5" t="s">
        <v>78</v>
      </c>
      <c r="F2831" s="5" t="s">
        <v>17</v>
      </c>
      <c r="G2831">
        <v>10</v>
      </c>
    </row>
    <row r="2832" spans="1:7" x14ac:dyDescent="0.35">
      <c r="A2832">
        <v>172888</v>
      </c>
      <c r="B2832">
        <v>0</v>
      </c>
      <c r="C2832" s="5" t="s">
        <v>21</v>
      </c>
      <c r="D2832">
        <v>0</v>
      </c>
      <c r="E2832" s="5" t="s">
        <v>79</v>
      </c>
      <c r="F2832" s="5" t="s">
        <v>17</v>
      </c>
      <c r="G2832">
        <v>15</v>
      </c>
    </row>
    <row r="2833" spans="1:7" x14ac:dyDescent="0.35">
      <c r="A2833">
        <v>137015</v>
      </c>
      <c r="B2833">
        <v>0</v>
      </c>
      <c r="C2833" s="5" t="s">
        <v>51</v>
      </c>
      <c r="D2833">
        <v>2601</v>
      </c>
      <c r="E2833" s="5" t="s">
        <v>89</v>
      </c>
      <c r="F2833" s="5" t="s">
        <v>17</v>
      </c>
      <c r="G2833">
        <v>10</v>
      </c>
    </row>
    <row r="2834" spans="1:7" x14ac:dyDescent="0.35">
      <c r="A2834">
        <v>31461</v>
      </c>
      <c r="B2834">
        <v>2</v>
      </c>
      <c r="C2834" s="5" t="s">
        <v>36</v>
      </c>
      <c r="D2834">
        <v>5601</v>
      </c>
      <c r="E2834" s="5" t="s">
        <v>81</v>
      </c>
      <c r="F2834" s="5" t="s">
        <v>17</v>
      </c>
      <c r="G2834">
        <v>26</v>
      </c>
    </row>
    <row r="2835" spans="1:7" x14ac:dyDescent="0.35">
      <c r="A2835">
        <v>39438</v>
      </c>
      <c r="B2835">
        <v>2</v>
      </c>
      <c r="C2835" s="5" t="s">
        <v>13</v>
      </c>
      <c r="D2835">
        <v>2401</v>
      </c>
      <c r="E2835" s="5" t="s">
        <v>82</v>
      </c>
      <c r="F2835" s="5" t="s">
        <v>17</v>
      </c>
      <c r="G2835">
        <v>4</v>
      </c>
    </row>
    <row r="2836" spans="1:7" x14ac:dyDescent="0.35">
      <c r="A2836">
        <v>143518</v>
      </c>
      <c r="B2836">
        <v>1</v>
      </c>
      <c r="C2836" s="5" t="s">
        <v>21</v>
      </c>
      <c r="D2836">
        <v>3411</v>
      </c>
      <c r="E2836" s="5" t="s">
        <v>85</v>
      </c>
      <c r="F2836" s="5" t="s">
        <v>14</v>
      </c>
      <c r="G2836">
        <v>17</v>
      </c>
    </row>
    <row r="2837" spans="1:7" x14ac:dyDescent="0.35">
      <c r="A2837">
        <v>23412</v>
      </c>
      <c r="B2837">
        <v>1</v>
      </c>
      <c r="C2837" s="5" t="s">
        <v>43</v>
      </c>
      <c r="D2837">
        <v>5201</v>
      </c>
      <c r="E2837" s="5" t="s">
        <v>81</v>
      </c>
      <c r="F2837" s="5" t="s">
        <v>14</v>
      </c>
      <c r="G2837">
        <v>19</v>
      </c>
    </row>
    <row r="2838" spans="1:7" x14ac:dyDescent="0.35">
      <c r="A2838">
        <v>46552</v>
      </c>
      <c r="B2838">
        <v>0</v>
      </c>
      <c r="C2838" s="5" t="s">
        <v>13</v>
      </c>
      <c r="D2838">
        <v>0</v>
      </c>
      <c r="E2838" s="5" t="s">
        <v>84</v>
      </c>
      <c r="F2838" s="5" t="s">
        <v>17</v>
      </c>
      <c r="G2838">
        <v>20</v>
      </c>
    </row>
    <row r="2839" spans="1:7" x14ac:dyDescent="0.35">
      <c r="A2839">
        <v>67422</v>
      </c>
      <c r="B2839">
        <v>0</v>
      </c>
      <c r="C2839" s="5" t="s">
        <v>26</v>
      </c>
      <c r="D2839">
        <v>2101</v>
      </c>
      <c r="E2839" s="5" t="s">
        <v>91</v>
      </c>
      <c r="F2839" s="5" t="s">
        <v>17</v>
      </c>
      <c r="G2839">
        <v>30</v>
      </c>
    </row>
    <row r="2840" spans="1:7" x14ac:dyDescent="0.35">
      <c r="A2840">
        <v>140294</v>
      </c>
      <c r="B2840">
        <v>0</v>
      </c>
      <c r="C2840" s="5" t="s">
        <v>50</v>
      </c>
      <c r="D2840">
        <v>0</v>
      </c>
      <c r="E2840" s="5" t="s">
        <v>86</v>
      </c>
      <c r="F2840" s="5" t="s">
        <v>86</v>
      </c>
      <c r="G2840">
        <v>15</v>
      </c>
    </row>
    <row r="2841" spans="1:7" x14ac:dyDescent="0.35">
      <c r="A2841">
        <v>1371</v>
      </c>
      <c r="B2841">
        <v>0</v>
      </c>
      <c r="C2841" s="5" t="s">
        <v>21</v>
      </c>
      <c r="D2841">
        <v>2201</v>
      </c>
      <c r="E2841" s="5" t="s">
        <v>83</v>
      </c>
      <c r="F2841" s="5" t="s">
        <v>17</v>
      </c>
      <c r="G2841">
        <v>35</v>
      </c>
    </row>
    <row r="2842" spans="1:7" x14ac:dyDescent="0.35">
      <c r="A2842">
        <v>177556</v>
      </c>
      <c r="B2842">
        <v>28</v>
      </c>
      <c r="C2842" s="5" t="s">
        <v>47</v>
      </c>
      <c r="D2842">
        <v>2104</v>
      </c>
      <c r="E2842" s="5" t="s">
        <v>78</v>
      </c>
      <c r="F2842" s="5" t="s">
        <v>17</v>
      </c>
      <c r="G2842">
        <v>18</v>
      </c>
    </row>
    <row r="2843" spans="1:7" x14ac:dyDescent="0.35">
      <c r="A2843">
        <v>146182</v>
      </c>
      <c r="B2843">
        <v>0</v>
      </c>
      <c r="C2843" s="5" t="s">
        <v>21</v>
      </c>
      <c r="D2843">
        <v>0</v>
      </c>
      <c r="E2843" s="5" t="s">
        <v>93</v>
      </c>
      <c r="F2843" s="5" t="s">
        <v>17</v>
      </c>
      <c r="G2843">
        <v>10</v>
      </c>
    </row>
    <row r="2844" spans="1:7" x14ac:dyDescent="0.35">
      <c r="A2844">
        <v>150292</v>
      </c>
      <c r="B2844">
        <v>1</v>
      </c>
      <c r="C2844" s="5" t="s">
        <v>21</v>
      </c>
      <c r="D2844">
        <v>1601</v>
      </c>
      <c r="E2844" s="5" t="s">
        <v>92</v>
      </c>
      <c r="F2844" s="5" t="s">
        <v>14</v>
      </c>
      <c r="G2844">
        <v>10</v>
      </c>
    </row>
    <row r="2845" spans="1:7" x14ac:dyDescent="0.35">
      <c r="A2845">
        <v>142</v>
      </c>
      <c r="B2845">
        <v>0</v>
      </c>
      <c r="C2845" s="5" t="s">
        <v>18</v>
      </c>
      <c r="D2845">
        <v>0</v>
      </c>
      <c r="E2845" s="5" t="s">
        <v>81</v>
      </c>
      <c r="F2845" s="5" t="s">
        <v>17</v>
      </c>
      <c r="G2845">
        <v>3</v>
      </c>
    </row>
    <row r="2846" spans="1:7" x14ac:dyDescent="0.35">
      <c r="A2846">
        <v>73762</v>
      </c>
      <c r="B2846">
        <v>1</v>
      </c>
      <c r="C2846" s="5" t="s">
        <v>26</v>
      </c>
      <c r="D2846">
        <v>4603</v>
      </c>
      <c r="E2846" s="5" t="s">
        <v>80</v>
      </c>
      <c r="F2846" s="5" t="s">
        <v>14</v>
      </c>
      <c r="G2846">
        <v>25</v>
      </c>
    </row>
    <row r="2847" spans="1:7" x14ac:dyDescent="0.35">
      <c r="A2847">
        <v>120224</v>
      </c>
      <c r="B2847">
        <v>0</v>
      </c>
      <c r="C2847" s="5" t="s">
        <v>20</v>
      </c>
      <c r="D2847">
        <v>2711</v>
      </c>
      <c r="E2847" s="5" t="s">
        <v>87</v>
      </c>
      <c r="F2847" s="5" t="s">
        <v>17</v>
      </c>
      <c r="G2847">
        <v>12</v>
      </c>
    </row>
    <row r="2848" spans="1:7" x14ac:dyDescent="0.35">
      <c r="A2848">
        <v>61586</v>
      </c>
      <c r="B2848">
        <v>0</v>
      </c>
      <c r="C2848" s="5" t="s">
        <v>30</v>
      </c>
      <c r="D2848">
        <v>2912</v>
      </c>
      <c r="E2848" s="5" t="s">
        <v>79</v>
      </c>
      <c r="F2848" s="5" t="s">
        <v>17</v>
      </c>
      <c r="G2848">
        <v>10</v>
      </c>
    </row>
    <row r="2849" spans="1:7" x14ac:dyDescent="0.35">
      <c r="A2849">
        <v>139228</v>
      </c>
      <c r="B2849">
        <v>1</v>
      </c>
      <c r="C2849" s="5" t="s">
        <v>50</v>
      </c>
      <c r="D2849">
        <v>4001</v>
      </c>
      <c r="E2849" s="5" t="s">
        <v>90</v>
      </c>
      <c r="F2849" s="5" t="s">
        <v>14</v>
      </c>
      <c r="G2849">
        <v>43</v>
      </c>
    </row>
    <row r="2850" spans="1:7" x14ac:dyDescent="0.35">
      <c r="A2850">
        <v>72444</v>
      </c>
      <c r="B2850">
        <v>1002</v>
      </c>
      <c r="C2850" s="5" t="s">
        <v>26</v>
      </c>
      <c r="D2850">
        <v>6501</v>
      </c>
      <c r="E2850" s="5" t="s">
        <v>81</v>
      </c>
      <c r="F2850" s="5" t="s">
        <v>14</v>
      </c>
      <c r="G2850">
        <v>10</v>
      </c>
    </row>
    <row r="2851" spans="1:7" x14ac:dyDescent="0.35">
      <c r="A2851">
        <v>182180</v>
      </c>
      <c r="B2851">
        <v>1</v>
      </c>
      <c r="C2851" s="5" t="s">
        <v>37</v>
      </c>
      <c r="D2851">
        <v>4801</v>
      </c>
      <c r="E2851" s="5" t="s">
        <v>80</v>
      </c>
      <c r="F2851" s="5" t="s">
        <v>14</v>
      </c>
      <c r="G2851">
        <v>20</v>
      </c>
    </row>
    <row r="2852" spans="1:7" x14ac:dyDescent="0.35">
      <c r="A2852">
        <v>185972</v>
      </c>
      <c r="B2852">
        <v>28</v>
      </c>
      <c r="C2852" s="5" t="s">
        <v>36</v>
      </c>
      <c r="D2852">
        <v>2102</v>
      </c>
      <c r="E2852" s="5" t="s">
        <v>87</v>
      </c>
      <c r="F2852" s="5" t="s">
        <v>17</v>
      </c>
      <c r="G2852">
        <v>10</v>
      </c>
    </row>
    <row r="2853" spans="1:7" x14ac:dyDescent="0.35">
      <c r="A2853">
        <v>73089</v>
      </c>
      <c r="B2853">
        <v>2</v>
      </c>
      <c r="C2853" s="5" t="s">
        <v>26</v>
      </c>
      <c r="D2853">
        <v>0</v>
      </c>
      <c r="E2853" s="5" t="s">
        <v>81</v>
      </c>
      <c r="F2853" s="5" t="s">
        <v>17</v>
      </c>
      <c r="G2853">
        <v>15</v>
      </c>
    </row>
    <row r="2854" spans="1:7" x14ac:dyDescent="0.35">
      <c r="A2854">
        <v>130850</v>
      </c>
      <c r="B2854">
        <v>980</v>
      </c>
      <c r="C2854" s="5" t="s">
        <v>45</v>
      </c>
      <c r="D2854">
        <v>0</v>
      </c>
      <c r="E2854" s="5" t="s">
        <v>81</v>
      </c>
      <c r="F2854" s="5" t="s">
        <v>27</v>
      </c>
      <c r="G2854">
        <v>7</v>
      </c>
    </row>
    <row r="2855" spans="1:7" x14ac:dyDescent="0.35">
      <c r="A2855">
        <v>45338</v>
      </c>
      <c r="B2855">
        <v>0</v>
      </c>
      <c r="C2855" s="5" t="s">
        <v>13</v>
      </c>
      <c r="D2855">
        <v>7004</v>
      </c>
      <c r="E2855" s="5" t="s">
        <v>80</v>
      </c>
      <c r="F2855" s="5" t="s">
        <v>17</v>
      </c>
      <c r="G2855">
        <v>25</v>
      </c>
    </row>
    <row r="2856" spans="1:7" x14ac:dyDescent="0.35">
      <c r="A2856">
        <v>188860</v>
      </c>
      <c r="B2856">
        <v>1</v>
      </c>
      <c r="C2856" s="5" t="s">
        <v>20</v>
      </c>
      <c r="D2856">
        <v>2101</v>
      </c>
      <c r="E2856" s="5" t="s">
        <v>79</v>
      </c>
      <c r="F2856" s="5" t="s">
        <v>14</v>
      </c>
      <c r="G2856">
        <v>10</v>
      </c>
    </row>
    <row r="2857" spans="1:7" x14ac:dyDescent="0.35">
      <c r="A2857">
        <v>89036</v>
      </c>
      <c r="B2857">
        <v>0</v>
      </c>
      <c r="C2857" s="5" t="s">
        <v>16</v>
      </c>
      <c r="D2857">
        <v>2501</v>
      </c>
      <c r="E2857" s="5" t="s">
        <v>80</v>
      </c>
      <c r="F2857" s="5" t="s">
        <v>17</v>
      </c>
      <c r="G2857">
        <v>30</v>
      </c>
    </row>
    <row r="2858" spans="1:7" x14ac:dyDescent="0.35">
      <c r="A2858">
        <v>61026</v>
      </c>
      <c r="B2858">
        <v>28</v>
      </c>
      <c r="C2858" s="5" t="s">
        <v>30</v>
      </c>
      <c r="D2858">
        <v>0</v>
      </c>
      <c r="E2858" s="5" t="s">
        <v>79</v>
      </c>
      <c r="F2858" s="5" t="s">
        <v>17</v>
      </c>
      <c r="G2858">
        <v>20</v>
      </c>
    </row>
    <row r="2859" spans="1:7" x14ac:dyDescent="0.35">
      <c r="A2859">
        <v>186880</v>
      </c>
      <c r="B2859">
        <v>3</v>
      </c>
      <c r="C2859" s="5" t="s">
        <v>33</v>
      </c>
      <c r="D2859">
        <v>3903</v>
      </c>
      <c r="E2859" s="5" t="s">
        <v>89</v>
      </c>
      <c r="F2859" s="5" t="s">
        <v>17</v>
      </c>
      <c r="G2859">
        <v>5</v>
      </c>
    </row>
    <row r="2860" spans="1:7" x14ac:dyDescent="0.35">
      <c r="A2860">
        <v>123871</v>
      </c>
      <c r="B2860">
        <v>0</v>
      </c>
      <c r="C2860" s="5" t="s">
        <v>20</v>
      </c>
      <c r="D2860">
        <v>5211</v>
      </c>
      <c r="E2860" s="5" t="s">
        <v>82</v>
      </c>
      <c r="F2860" s="5" t="s">
        <v>14</v>
      </c>
      <c r="G2860">
        <v>15</v>
      </c>
    </row>
    <row r="2861" spans="1:7" x14ac:dyDescent="0.35">
      <c r="A2861">
        <v>63104</v>
      </c>
      <c r="B2861">
        <v>1</v>
      </c>
      <c r="C2861" s="5" t="s">
        <v>30</v>
      </c>
      <c r="D2861">
        <v>4606</v>
      </c>
      <c r="E2861" s="5" t="s">
        <v>81</v>
      </c>
      <c r="F2861" s="5" t="s">
        <v>14</v>
      </c>
      <c r="G2861">
        <v>40</v>
      </c>
    </row>
    <row r="2862" spans="1:7" x14ac:dyDescent="0.35">
      <c r="A2862">
        <v>181770</v>
      </c>
      <c r="B2862">
        <v>1</v>
      </c>
      <c r="C2862" s="5" t="s">
        <v>37</v>
      </c>
      <c r="D2862">
        <v>2601</v>
      </c>
      <c r="E2862" s="5" t="s">
        <v>82</v>
      </c>
      <c r="F2862" s="5" t="s">
        <v>14</v>
      </c>
      <c r="G2862">
        <v>7</v>
      </c>
    </row>
    <row r="2863" spans="1:7" x14ac:dyDescent="0.35">
      <c r="A2863">
        <v>142466</v>
      </c>
      <c r="B2863">
        <v>2</v>
      </c>
      <c r="C2863" s="5" t="s">
        <v>21</v>
      </c>
      <c r="D2863">
        <v>3805</v>
      </c>
      <c r="E2863" s="5" t="s">
        <v>92</v>
      </c>
      <c r="F2863" s="5" t="s">
        <v>17</v>
      </c>
      <c r="G2863">
        <v>20</v>
      </c>
    </row>
    <row r="2864" spans="1:7" x14ac:dyDescent="0.35">
      <c r="A2864">
        <v>58284</v>
      </c>
      <c r="B2864">
        <v>2</v>
      </c>
      <c r="C2864" s="5" t="s">
        <v>53</v>
      </c>
      <c r="D2864">
        <v>3201</v>
      </c>
      <c r="E2864" s="5" t="s">
        <v>81</v>
      </c>
      <c r="F2864" s="5" t="s">
        <v>17</v>
      </c>
      <c r="G2864">
        <v>4</v>
      </c>
    </row>
    <row r="2865" spans="1:7" x14ac:dyDescent="0.35">
      <c r="A2865">
        <v>126483</v>
      </c>
      <c r="B2865">
        <v>1</v>
      </c>
      <c r="C2865" s="5" t="s">
        <v>20</v>
      </c>
      <c r="D2865">
        <v>2001</v>
      </c>
      <c r="E2865" s="5" t="s">
        <v>78</v>
      </c>
      <c r="F2865" s="5" t="s">
        <v>14</v>
      </c>
      <c r="G2865">
        <v>15</v>
      </c>
    </row>
    <row r="2866" spans="1:7" x14ac:dyDescent="0.35">
      <c r="A2866">
        <v>56451</v>
      </c>
      <c r="B2866">
        <v>2</v>
      </c>
      <c r="C2866" s="5" t="s">
        <v>53</v>
      </c>
      <c r="D2866">
        <v>3801</v>
      </c>
      <c r="E2866" s="5" t="s">
        <v>79</v>
      </c>
      <c r="F2866" s="5" t="s">
        <v>14</v>
      </c>
      <c r="G2866">
        <v>8</v>
      </c>
    </row>
    <row r="2867" spans="1:7" x14ac:dyDescent="0.35">
      <c r="A2867">
        <v>103111</v>
      </c>
      <c r="B2867">
        <v>0</v>
      </c>
      <c r="C2867" s="5" t="s">
        <v>33</v>
      </c>
      <c r="D2867">
        <v>6701</v>
      </c>
      <c r="E2867" s="5" t="s">
        <v>81</v>
      </c>
      <c r="F2867" s="5" t="s">
        <v>17</v>
      </c>
      <c r="G2867">
        <v>10</v>
      </c>
    </row>
    <row r="2868" spans="1:7" x14ac:dyDescent="0.35">
      <c r="A2868">
        <v>3825</v>
      </c>
      <c r="B2868">
        <v>1</v>
      </c>
      <c r="C2868" s="5" t="s">
        <v>23</v>
      </c>
      <c r="D2868">
        <v>2404</v>
      </c>
      <c r="E2868" s="5" t="s">
        <v>80</v>
      </c>
      <c r="F2868" s="5" t="s">
        <v>14</v>
      </c>
      <c r="G2868">
        <v>15</v>
      </c>
    </row>
    <row r="2869" spans="1:7" x14ac:dyDescent="0.35">
      <c r="A2869">
        <v>17145</v>
      </c>
      <c r="B2869">
        <v>0</v>
      </c>
      <c r="C2869" s="5" t="s">
        <v>18</v>
      </c>
      <c r="D2869">
        <v>0</v>
      </c>
      <c r="E2869" s="5" t="s">
        <v>89</v>
      </c>
      <c r="F2869" s="5" t="s">
        <v>17</v>
      </c>
      <c r="G2869">
        <v>20</v>
      </c>
    </row>
    <row r="2870" spans="1:7" x14ac:dyDescent="0.35">
      <c r="A2870">
        <v>159868</v>
      </c>
      <c r="B2870">
        <v>2</v>
      </c>
      <c r="C2870" s="5" t="s">
        <v>21</v>
      </c>
      <c r="D2870">
        <v>2302</v>
      </c>
      <c r="E2870" s="5" t="s">
        <v>87</v>
      </c>
      <c r="F2870" s="5" t="s">
        <v>17</v>
      </c>
      <c r="G2870">
        <v>15</v>
      </c>
    </row>
    <row r="2871" spans="1:7" x14ac:dyDescent="0.35">
      <c r="A2871">
        <v>24722</v>
      </c>
      <c r="B2871">
        <v>1</v>
      </c>
      <c r="C2871" s="5" t="s">
        <v>43</v>
      </c>
      <c r="D2871">
        <v>4401</v>
      </c>
      <c r="E2871" s="5" t="s">
        <v>79</v>
      </c>
      <c r="F2871" s="5" t="s">
        <v>14</v>
      </c>
      <c r="G2871">
        <v>3</v>
      </c>
    </row>
    <row r="2872" spans="1:7" x14ac:dyDescent="0.35">
      <c r="A2872">
        <v>101058</v>
      </c>
      <c r="B2872">
        <v>28</v>
      </c>
      <c r="C2872" s="5" t="s">
        <v>33</v>
      </c>
      <c r="D2872">
        <v>4001</v>
      </c>
      <c r="E2872" s="5" t="s">
        <v>84</v>
      </c>
      <c r="F2872" s="5" t="s">
        <v>17</v>
      </c>
      <c r="G2872">
        <v>10</v>
      </c>
    </row>
    <row r="2873" spans="1:7" x14ac:dyDescent="0.35">
      <c r="A2873">
        <v>12822</v>
      </c>
      <c r="B2873">
        <v>28</v>
      </c>
      <c r="C2873" s="5" t="s">
        <v>46</v>
      </c>
      <c r="D2873">
        <v>103</v>
      </c>
      <c r="E2873" s="5" t="s">
        <v>79</v>
      </c>
      <c r="F2873" s="5" t="s">
        <v>17</v>
      </c>
      <c r="G2873">
        <v>5</v>
      </c>
    </row>
    <row r="2874" spans="1:7" x14ac:dyDescent="0.35">
      <c r="A2874">
        <v>6185</v>
      </c>
      <c r="B2874">
        <v>0</v>
      </c>
      <c r="C2874" s="5" t="s">
        <v>21</v>
      </c>
      <c r="D2874">
        <v>2501</v>
      </c>
      <c r="E2874" s="5" t="s">
        <v>93</v>
      </c>
      <c r="F2874" s="5" t="s">
        <v>17</v>
      </c>
      <c r="G2874">
        <v>30</v>
      </c>
    </row>
    <row r="2875" spans="1:7" x14ac:dyDescent="0.35">
      <c r="A2875">
        <v>172929</v>
      </c>
      <c r="B2875">
        <v>0</v>
      </c>
      <c r="C2875" s="5" t="s">
        <v>21</v>
      </c>
      <c r="D2875">
        <v>4801</v>
      </c>
      <c r="E2875" s="5" t="s">
        <v>78</v>
      </c>
      <c r="F2875" s="5" t="s">
        <v>17</v>
      </c>
      <c r="G2875">
        <v>6</v>
      </c>
    </row>
    <row r="2876" spans="1:7" x14ac:dyDescent="0.35">
      <c r="A2876">
        <v>161492</v>
      </c>
      <c r="B2876">
        <v>0</v>
      </c>
      <c r="C2876" s="5" t="s">
        <v>21</v>
      </c>
      <c r="D2876">
        <v>2401</v>
      </c>
      <c r="E2876" s="5" t="s">
        <v>83</v>
      </c>
      <c r="F2876" s="5" t="s">
        <v>17</v>
      </c>
      <c r="G2876">
        <v>16</v>
      </c>
    </row>
    <row r="2877" spans="1:7" x14ac:dyDescent="0.35">
      <c r="A2877">
        <v>2154</v>
      </c>
      <c r="B2877">
        <v>0</v>
      </c>
      <c r="C2877" s="5" t="s">
        <v>32</v>
      </c>
      <c r="D2877">
        <v>2004</v>
      </c>
      <c r="E2877" s="5" t="s">
        <v>81</v>
      </c>
      <c r="F2877" s="5" t="s">
        <v>14</v>
      </c>
      <c r="G2877">
        <v>15</v>
      </c>
    </row>
    <row r="2878" spans="1:7" x14ac:dyDescent="0.35">
      <c r="A2878">
        <v>100430</v>
      </c>
      <c r="B2878">
        <v>0</v>
      </c>
      <c r="C2878" s="5" t="s">
        <v>33</v>
      </c>
      <c r="D2878">
        <v>4010</v>
      </c>
      <c r="E2878" s="5" t="s">
        <v>83</v>
      </c>
      <c r="F2878" s="5" t="s">
        <v>17</v>
      </c>
      <c r="G2878">
        <v>25</v>
      </c>
    </row>
    <row r="2879" spans="1:7" x14ac:dyDescent="0.35">
      <c r="A2879">
        <v>153213</v>
      </c>
      <c r="B2879">
        <v>0</v>
      </c>
      <c r="C2879" s="5" t="s">
        <v>21</v>
      </c>
      <c r="D2879">
        <v>0</v>
      </c>
      <c r="E2879" s="5" t="s">
        <v>85</v>
      </c>
      <c r="F2879" s="5" t="s">
        <v>17</v>
      </c>
      <c r="G2879">
        <v>5</v>
      </c>
    </row>
    <row r="2880" spans="1:7" x14ac:dyDescent="0.35">
      <c r="A2880">
        <v>53763</v>
      </c>
      <c r="B2880">
        <v>1</v>
      </c>
      <c r="C2880" s="5" t="s">
        <v>49</v>
      </c>
      <c r="D2880">
        <v>4201</v>
      </c>
      <c r="E2880" s="5" t="s">
        <v>84</v>
      </c>
      <c r="F2880" s="5" t="s">
        <v>14</v>
      </c>
      <c r="G2880">
        <v>15</v>
      </c>
    </row>
    <row r="2881" spans="1:7" x14ac:dyDescent="0.35">
      <c r="A2881">
        <v>74360</v>
      </c>
      <c r="B2881">
        <v>2</v>
      </c>
      <c r="C2881" s="5" t="s">
        <v>26</v>
      </c>
      <c r="D2881">
        <v>5901</v>
      </c>
      <c r="E2881" s="5" t="s">
        <v>81</v>
      </c>
      <c r="F2881" s="5" t="s">
        <v>17</v>
      </c>
      <c r="G2881">
        <v>21</v>
      </c>
    </row>
    <row r="2882" spans="1:7" x14ac:dyDescent="0.35">
      <c r="A2882">
        <v>55027</v>
      </c>
      <c r="B2882">
        <v>0</v>
      </c>
      <c r="C2882" s="5" t="s">
        <v>56</v>
      </c>
      <c r="D2882">
        <v>2610</v>
      </c>
      <c r="E2882" s="5" t="s">
        <v>84</v>
      </c>
      <c r="F2882" s="5" t="s">
        <v>17</v>
      </c>
      <c r="G2882">
        <v>5</v>
      </c>
    </row>
    <row r="2883" spans="1:7" x14ac:dyDescent="0.35">
      <c r="A2883">
        <v>115094</v>
      </c>
      <c r="B2883">
        <v>0</v>
      </c>
      <c r="C2883" s="5" t="s">
        <v>28</v>
      </c>
      <c r="D2883">
        <v>0</v>
      </c>
      <c r="E2883" s="5" t="s">
        <v>79</v>
      </c>
      <c r="F2883" s="5" t="s">
        <v>86</v>
      </c>
      <c r="G2883">
        <v>38</v>
      </c>
    </row>
    <row r="2884" spans="1:7" x14ac:dyDescent="0.35">
      <c r="A2884">
        <v>68589</v>
      </c>
      <c r="B2884">
        <v>2</v>
      </c>
      <c r="C2884" s="5" t="s">
        <v>26</v>
      </c>
      <c r="D2884">
        <v>2905</v>
      </c>
      <c r="E2884" s="5" t="s">
        <v>83</v>
      </c>
      <c r="F2884" s="5" t="s">
        <v>14</v>
      </c>
      <c r="G2884">
        <v>20</v>
      </c>
    </row>
    <row r="2885" spans="1:7" x14ac:dyDescent="0.35">
      <c r="A2885">
        <v>63135</v>
      </c>
      <c r="B2885">
        <v>0</v>
      </c>
      <c r="C2885" s="5" t="s">
        <v>49</v>
      </c>
      <c r="D2885">
        <v>3310</v>
      </c>
      <c r="E2885" s="5" t="s">
        <v>87</v>
      </c>
      <c r="F2885" s="5" t="s">
        <v>17</v>
      </c>
      <c r="G2885">
        <v>5</v>
      </c>
    </row>
    <row r="2886" spans="1:7" x14ac:dyDescent="0.35">
      <c r="A2886">
        <v>99890</v>
      </c>
      <c r="B2886">
        <v>3</v>
      </c>
      <c r="C2886" s="5" t="s">
        <v>33</v>
      </c>
      <c r="D2886">
        <v>2810</v>
      </c>
      <c r="E2886" s="5" t="s">
        <v>79</v>
      </c>
      <c r="F2886" s="5" t="s">
        <v>17</v>
      </c>
      <c r="G2886">
        <v>15</v>
      </c>
    </row>
    <row r="2887" spans="1:7" x14ac:dyDescent="0.35">
      <c r="A2887">
        <v>124520</v>
      </c>
      <c r="B2887">
        <v>28</v>
      </c>
      <c r="C2887" s="5" t="s">
        <v>20</v>
      </c>
      <c r="D2887">
        <v>4307</v>
      </c>
      <c r="E2887" s="5" t="s">
        <v>78</v>
      </c>
      <c r="F2887" s="5" t="s">
        <v>17</v>
      </c>
      <c r="G2887">
        <v>8</v>
      </c>
    </row>
    <row r="2888" spans="1:7" x14ac:dyDescent="0.35">
      <c r="A2888">
        <v>166651</v>
      </c>
      <c r="B2888">
        <v>0</v>
      </c>
      <c r="C2888" s="5" t="s">
        <v>21</v>
      </c>
      <c r="D2888">
        <v>5001</v>
      </c>
      <c r="E2888" s="5" t="s">
        <v>78</v>
      </c>
      <c r="F2888" s="5" t="s">
        <v>17</v>
      </c>
      <c r="G2888">
        <v>20</v>
      </c>
    </row>
    <row r="2889" spans="1:7" x14ac:dyDescent="0.35">
      <c r="A2889">
        <v>154224</v>
      </c>
      <c r="B2889">
        <v>0</v>
      </c>
      <c r="C2889" s="5" t="s">
        <v>37</v>
      </c>
      <c r="D2889">
        <v>1701</v>
      </c>
      <c r="E2889" s="5" t="s">
        <v>80</v>
      </c>
      <c r="F2889" s="5" t="s">
        <v>14</v>
      </c>
      <c r="G2889">
        <v>10</v>
      </c>
    </row>
    <row r="2890" spans="1:7" x14ac:dyDescent="0.35">
      <c r="A2890">
        <v>166937</v>
      </c>
      <c r="B2890">
        <v>1</v>
      </c>
      <c r="C2890" s="5" t="s">
        <v>21</v>
      </c>
      <c r="D2890">
        <v>1907</v>
      </c>
      <c r="E2890" s="5" t="s">
        <v>83</v>
      </c>
      <c r="F2890" s="5" t="s">
        <v>14</v>
      </c>
      <c r="G2890">
        <v>10</v>
      </c>
    </row>
    <row r="2891" spans="1:7" x14ac:dyDescent="0.35">
      <c r="A2891">
        <v>149196</v>
      </c>
      <c r="B2891">
        <v>1</v>
      </c>
      <c r="C2891" s="5" t="s">
        <v>21</v>
      </c>
      <c r="D2891">
        <v>2101</v>
      </c>
      <c r="E2891" s="5" t="s">
        <v>85</v>
      </c>
      <c r="F2891" s="5" t="s">
        <v>14</v>
      </c>
      <c r="G2891">
        <v>20</v>
      </c>
    </row>
    <row r="2892" spans="1:7" x14ac:dyDescent="0.35">
      <c r="A2892">
        <v>155040</v>
      </c>
      <c r="B2892">
        <v>0</v>
      </c>
      <c r="C2892" s="5" t="s">
        <v>21</v>
      </c>
      <c r="D2892">
        <v>601</v>
      </c>
      <c r="E2892" s="5" t="s">
        <v>83</v>
      </c>
      <c r="F2892" s="5" t="s">
        <v>86</v>
      </c>
      <c r="G2892">
        <v>25</v>
      </c>
    </row>
    <row r="2893" spans="1:7" x14ac:dyDescent="0.35">
      <c r="A2893">
        <v>4393</v>
      </c>
      <c r="B2893">
        <v>1</v>
      </c>
      <c r="C2893" s="5" t="s">
        <v>52</v>
      </c>
      <c r="D2893">
        <v>1006</v>
      </c>
      <c r="E2893" s="5" t="s">
        <v>78</v>
      </c>
      <c r="F2893" s="5" t="s">
        <v>14</v>
      </c>
      <c r="G2893">
        <v>10</v>
      </c>
    </row>
    <row r="2894" spans="1:7" x14ac:dyDescent="0.35">
      <c r="A2894">
        <v>85390</v>
      </c>
      <c r="B2894">
        <v>1</v>
      </c>
      <c r="C2894" s="5" t="s">
        <v>52</v>
      </c>
      <c r="D2894">
        <v>4701</v>
      </c>
      <c r="E2894" s="5" t="s">
        <v>90</v>
      </c>
      <c r="F2894" s="5" t="s">
        <v>14</v>
      </c>
      <c r="G2894">
        <v>12</v>
      </c>
    </row>
    <row r="2895" spans="1:7" x14ac:dyDescent="0.35">
      <c r="A2895">
        <v>11064</v>
      </c>
      <c r="B2895">
        <v>0</v>
      </c>
      <c r="C2895" s="5" t="s">
        <v>16</v>
      </c>
      <c r="D2895">
        <v>1605</v>
      </c>
      <c r="E2895" s="5" t="s">
        <v>80</v>
      </c>
      <c r="F2895" s="5" t="s">
        <v>17</v>
      </c>
      <c r="G2895">
        <v>10</v>
      </c>
    </row>
    <row r="2896" spans="1:7" x14ac:dyDescent="0.35">
      <c r="A2896">
        <v>148523</v>
      </c>
      <c r="B2896">
        <v>1</v>
      </c>
      <c r="C2896" s="5" t="s">
        <v>21</v>
      </c>
      <c r="D2896">
        <v>1801</v>
      </c>
      <c r="E2896" s="5" t="s">
        <v>83</v>
      </c>
      <c r="F2896" s="5" t="s">
        <v>14</v>
      </c>
      <c r="G2896">
        <v>25</v>
      </c>
    </row>
    <row r="2897" spans="1:7" x14ac:dyDescent="0.35">
      <c r="A2897">
        <v>189027</v>
      </c>
      <c r="B2897">
        <v>2</v>
      </c>
      <c r="C2897" s="5" t="s">
        <v>16</v>
      </c>
      <c r="D2897">
        <v>1911</v>
      </c>
      <c r="E2897" s="5" t="s">
        <v>90</v>
      </c>
      <c r="F2897" s="5" t="s">
        <v>17</v>
      </c>
      <c r="G2897">
        <v>10</v>
      </c>
    </row>
    <row r="2898" spans="1:7" x14ac:dyDescent="0.35">
      <c r="A2898">
        <v>63107</v>
      </c>
      <c r="B2898">
        <v>1</v>
      </c>
      <c r="C2898" s="5" t="s">
        <v>30</v>
      </c>
      <c r="D2898">
        <v>2712</v>
      </c>
      <c r="E2898" s="5" t="s">
        <v>79</v>
      </c>
      <c r="F2898" s="5" t="s">
        <v>14</v>
      </c>
      <c r="G2898">
        <v>10</v>
      </c>
    </row>
    <row r="2899" spans="1:7" x14ac:dyDescent="0.35">
      <c r="A2899">
        <v>120366</v>
      </c>
      <c r="B2899">
        <v>0</v>
      </c>
      <c r="C2899" s="5" t="s">
        <v>20</v>
      </c>
      <c r="D2899">
        <v>5201</v>
      </c>
      <c r="E2899" s="5" t="s">
        <v>79</v>
      </c>
      <c r="F2899" s="5" t="s">
        <v>14</v>
      </c>
      <c r="G2899">
        <v>9</v>
      </c>
    </row>
    <row r="2900" spans="1:7" x14ac:dyDescent="0.35">
      <c r="A2900">
        <v>4588</v>
      </c>
      <c r="B2900">
        <v>0</v>
      </c>
      <c r="C2900" s="5" t="s">
        <v>30</v>
      </c>
      <c r="D2900">
        <v>1608</v>
      </c>
      <c r="E2900" s="5" t="s">
        <v>81</v>
      </c>
      <c r="F2900" s="5" t="s">
        <v>14</v>
      </c>
      <c r="G2900">
        <v>15</v>
      </c>
    </row>
    <row r="2901" spans="1:7" x14ac:dyDescent="0.35">
      <c r="A2901">
        <v>164899</v>
      </c>
      <c r="B2901">
        <v>0</v>
      </c>
      <c r="C2901" s="5" t="s">
        <v>21</v>
      </c>
      <c r="D2901">
        <v>4101</v>
      </c>
      <c r="E2901" s="5" t="s">
        <v>80</v>
      </c>
      <c r="F2901" s="5" t="s">
        <v>17</v>
      </c>
      <c r="G2901">
        <v>23</v>
      </c>
    </row>
    <row r="2902" spans="1:7" x14ac:dyDescent="0.35">
      <c r="A2902">
        <v>129766</v>
      </c>
      <c r="B2902">
        <v>0</v>
      </c>
      <c r="C2902" s="5" t="s">
        <v>55</v>
      </c>
      <c r="D2902">
        <v>5201</v>
      </c>
      <c r="E2902" s="5" t="s">
        <v>80</v>
      </c>
      <c r="F2902" s="5" t="s">
        <v>14</v>
      </c>
      <c r="G2902">
        <v>20</v>
      </c>
    </row>
    <row r="2903" spans="1:7" x14ac:dyDescent="0.35">
      <c r="A2903">
        <v>1799</v>
      </c>
      <c r="B2903">
        <v>0</v>
      </c>
      <c r="C2903" s="5" t="s">
        <v>18</v>
      </c>
      <c r="D2903">
        <v>0</v>
      </c>
      <c r="E2903" s="5" t="s">
        <v>78</v>
      </c>
      <c r="F2903" s="5" t="s">
        <v>14</v>
      </c>
      <c r="G2903">
        <v>10</v>
      </c>
    </row>
    <row r="2904" spans="1:7" x14ac:dyDescent="0.35">
      <c r="A2904">
        <v>151547</v>
      </c>
      <c r="B2904">
        <v>1</v>
      </c>
      <c r="C2904" s="5" t="s">
        <v>21</v>
      </c>
      <c r="D2904">
        <v>3201</v>
      </c>
      <c r="E2904" s="5" t="s">
        <v>91</v>
      </c>
      <c r="F2904" s="5" t="s">
        <v>14</v>
      </c>
      <c r="G2904">
        <v>5</v>
      </c>
    </row>
    <row r="2905" spans="1:7" x14ac:dyDescent="0.35">
      <c r="A2905">
        <v>169955</v>
      </c>
      <c r="B2905">
        <v>1</v>
      </c>
      <c r="C2905" s="5" t="s">
        <v>21</v>
      </c>
      <c r="D2905">
        <v>2401</v>
      </c>
      <c r="E2905" s="5" t="s">
        <v>90</v>
      </c>
      <c r="F2905" s="5" t="s">
        <v>14</v>
      </c>
      <c r="G2905">
        <v>50</v>
      </c>
    </row>
    <row r="2906" spans="1:7" x14ac:dyDescent="0.35">
      <c r="A2906">
        <v>98275</v>
      </c>
      <c r="B2906">
        <v>1002</v>
      </c>
      <c r="C2906" s="5" t="s">
        <v>16</v>
      </c>
      <c r="D2906">
        <v>0</v>
      </c>
      <c r="E2906" s="5" t="s">
        <v>81</v>
      </c>
      <c r="F2906" s="5" t="s">
        <v>41</v>
      </c>
      <c r="G2906">
        <v>9</v>
      </c>
    </row>
    <row r="2907" spans="1:7" x14ac:dyDescent="0.35">
      <c r="A2907">
        <v>6298</v>
      </c>
      <c r="B2907">
        <v>2</v>
      </c>
      <c r="C2907" s="5" t="s">
        <v>43</v>
      </c>
      <c r="D2907">
        <v>2509</v>
      </c>
      <c r="E2907" s="5" t="s">
        <v>79</v>
      </c>
      <c r="F2907" s="5" t="s">
        <v>17</v>
      </c>
      <c r="G2907">
        <v>7</v>
      </c>
    </row>
    <row r="2908" spans="1:7" x14ac:dyDescent="0.35">
      <c r="A2908">
        <v>32880</v>
      </c>
      <c r="B2908">
        <v>28</v>
      </c>
      <c r="C2908" s="5" t="s">
        <v>13</v>
      </c>
      <c r="D2908">
        <v>4005</v>
      </c>
      <c r="E2908" s="5" t="s">
        <v>80</v>
      </c>
      <c r="F2908" s="5" t="s">
        <v>17</v>
      </c>
      <c r="G2908">
        <v>10</v>
      </c>
    </row>
    <row r="2909" spans="1:7" x14ac:dyDescent="0.35">
      <c r="A2909">
        <v>26669</v>
      </c>
      <c r="B2909">
        <v>2</v>
      </c>
      <c r="C2909" s="5" t="s">
        <v>36</v>
      </c>
      <c r="D2909">
        <v>0</v>
      </c>
      <c r="E2909" s="5" t="s">
        <v>81</v>
      </c>
      <c r="F2909" s="5" t="s">
        <v>17</v>
      </c>
      <c r="G2909">
        <v>1</v>
      </c>
    </row>
    <row r="2910" spans="1:7" x14ac:dyDescent="0.35">
      <c r="A2910">
        <v>36081</v>
      </c>
      <c r="B2910">
        <v>1</v>
      </c>
      <c r="C2910" s="5" t="s">
        <v>13</v>
      </c>
      <c r="D2910">
        <v>3110</v>
      </c>
      <c r="E2910" s="5" t="s">
        <v>82</v>
      </c>
      <c r="F2910" s="5" t="s">
        <v>14</v>
      </c>
      <c r="G2910">
        <v>17</v>
      </c>
    </row>
    <row r="2911" spans="1:7" x14ac:dyDescent="0.35">
      <c r="A2911">
        <v>140928</v>
      </c>
      <c r="B2911">
        <v>2</v>
      </c>
      <c r="C2911" s="5" t="s">
        <v>23</v>
      </c>
      <c r="D2911">
        <v>2801</v>
      </c>
      <c r="E2911" s="5" t="s">
        <v>80</v>
      </c>
      <c r="F2911" s="5" t="s">
        <v>17</v>
      </c>
      <c r="G2911">
        <v>21</v>
      </c>
    </row>
    <row r="2912" spans="1:7" x14ac:dyDescent="0.35">
      <c r="A2912">
        <v>84390</v>
      </c>
      <c r="B2912">
        <v>1</v>
      </c>
      <c r="C2912" s="5" t="s">
        <v>52</v>
      </c>
      <c r="D2912">
        <v>1801</v>
      </c>
      <c r="E2912" s="5" t="s">
        <v>81</v>
      </c>
      <c r="F2912" s="5" t="s">
        <v>14</v>
      </c>
      <c r="G2912">
        <v>5</v>
      </c>
    </row>
    <row r="2913" spans="1:7" x14ac:dyDescent="0.35">
      <c r="A2913">
        <v>83709</v>
      </c>
      <c r="B2913">
        <v>2</v>
      </c>
      <c r="C2913" s="5" t="s">
        <v>52</v>
      </c>
      <c r="D2913">
        <v>2512</v>
      </c>
      <c r="E2913" s="5" t="s">
        <v>80</v>
      </c>
      <c r="F2913" s="5" t="s">
        <v>14</v>
      </c>
      <c r="G2913">
        <v>10</v>
      </c>
    </row>
    <row r="2914" spans="1:7" x14ac:dyDescent="0.35">
      <c r="A2914">
        <v>27854</v>
      </c>
      <c r="B2914">
        <v>2</v>
      </c>
      <c r="C2914" s="5" t="s">
        <v>36</v>
      </c>
      <c r="D2914">
        <v>3111</v>
      </c>
      <c r="E2914" s="5" t="s">
        <v>78</v>
      </c>
      <c r="F2914" s="5" t="s">
        <v>17</v>
      </c>
      <c r="G2914">
        <v>5</v>
      </c>
    </row>
    <row r="2915" spans="1:7" x14ac:dyDescent="0.35">
      <c r="A2915">
        <v>139302</v>
      </c>
      <c r="B2915">
        <v>0</v>
      </c>
      <c r="C2915" s="5" t="s">
        <v>50</v>
      </c>
      <c r="D2915">
        <v>4003</v>
      </c>
      <c r="E2915" s="5" t="s">
        <v>88</v>
      </c>
      <c r="F2915" s="5" t="s">
        <v>14</v>
      </c>
      <c r="G2915">
        <v>25</v>
      </c>
    </row>
    <row r="2916" spans="1:7" x14ac:dyDescent="0.35">
      <c r="A2916">
        <v>87538</v>
      </c>
      <c r="B2916">
        <v>0</v>
      </c>
      <c r="C2916" s="5" t="s">
        <v>31</v>
      </c>
      <c r="D2916">
        <v>0</v>
      </c>
      <c r="E2916" s="5" t="s">
        <v>81</v>
      </c>
      <c r="F2916" s="5" t="s">
        <v>17</v>
      </c>
      <c r="G2916">
        <v>10</v>
      </c>
    </row>
    <row r="2917" spans="1:7" x14ac:dyDescent="0.35">
      <c r="A2917">
        <v>173571</v>
      </c>
      <c r="B2917">
        <v>0</v>
      </c>
      <c r="C2917" s="5" t="s">
        <v>34</v>
      </c>
      <c r="D2917">
        <v>0</v>
      </c>
      <c r="E2917" s="5" t="s">
        <v>79</v>
      </c>
      <c r="F2917" s="5" t="s">
        <v>14</v>
      </c>
      <c r="G2917">
        <v>25</v>
      </c>
    </row>
    <row r="2918" spans="1:7" x14ac:dyDescent="0.35">
      <c r="A2918">
        <v>55091</v>
      </c>
      <c r="B2918">
        <v>0</v>
      </c>
      <c r="C2918" s="5" t="s">
        <v>56</v>
      </c>
      <c r="D2918">
        <v>5001</v>
      </c>
      <c r="E2918" s="5" t="s">
        <v>89</v>
      </c>
      <c r="F2918" s="5" t="s">
        <v>17</v>
      </c>
      <c r="G2918">
        <v>10</v>
      </c>
    </row>
    <row r="2919" spans="1:7" x14ac:dyDescent="0.35">
      <c r="A2919">
        <v>2861</v>
      </c>
      <c r="B2919">
        <v>0</v>
      </c>
      <c r="C2919" s="5" t="s">
        <v>37</v>
      </c>
      <c r="D2919">
        <v>3701</v>
      </c>
      <c r="E2919" s="5" t="s">
        <v>80</v>
      </c>
      <c r="F2919" s="5" t="s">
        <v>14</v>
      </c>
      <c r="G2919">
        <v>7</v>
      </c>
    </row>
    <row r="2920" spans="1:7" x14ac:dyDescent="0.35">
      <c r="A2920">
        <v>141666</v>
      </c>
      <c r="B2920">
        <v>1</v>
      </c>
      <c r="C2920" s="5" t="s">
        <v>23</v>
      </c>
      <c r="D2920">
        <v>0</v>
      </c>
      <c r="E2920" s="5" t="s">
        <v>82</v>
      </c>
      <c r="F2920" s="5" t="s">
        <v>14</v>
      </c>
      <c r="G2920">
        <v>16</v>
      </c>
    </row>
    <row r="2921" spans="1:7" x14ac:dyDescent="0.35">
      <c r="A2921">
        <v>165857</v>
      </c>
      <c r="B2921">
        <v>28</v>
      </c>
      <c r="C2921" s="5" t="s">
        <v>21</v>
      </c>
      <c r="D2921">
        <v>2201</v>
      </c>
      <c r="E2921" s="5" t="s">
        <v>78</v>
      </c>
      <c r="F2921" s="5" t="s">
        <v>17</v>
      </c>
      <c r="G2921">
        <v>4</v>
      </c>
    </row>
    <row r="2922" spans="1:7" x14ac:dyDescent="0.35">
      <c r="A2922">
        <v>172464</v>
      </c>
      <c r="B2922">
        <v>0</v>
      </c>
      <c r="C2922" s="5" t="s">
        <v>21</v>
      </c>
      <c r="D2922">
        <v>0</v>
      </c>
      <c r="E2922" s="5" t="s">
        <v>79</v>
      </c>
      <c r="F2922" s="5" t="s">
        <v>14</v>
      </c>
      <c r="G2922">
        <v>6</v>
      </c>
    </row>
    <row r="2923" spans="1:7" x14ac:dyDescent="0.35">
      <c r="A2923">
        <v>168171</v>
      </c>
      <c r="B2923">
        <v>0</v>
      </c>
      <c r="C2923" s="5" t="s">
        <v>21</v>
      </c>
      <c r="D2923">
        <v>4511</v>
      </c>
      <c r="E2923" s="5" t="s">
        <v>78</v>
      </c>
      <c r="F2923" s="5" t="s">
        <v>17</v>
      </c>
      <c r="G2923">
        <v>10</v>
      </c>
    </row>
    <row r="2924" spans="1:7" x14ac:dyDescent="0.35">
      <c r="A2924">
        <v>68563</v>
      </c>
      <c r="B2924">
        <v>0</v>
      </c>
      <c r="C2924" s="5" t="s">
        <v>26</v>
      </c>
      <c r="D2924">
        <v>3601</v>
      </c>
      <c r="E2924" s="5" t="s">
        <v>83</v>
      </c>
      <c r="F2924" s="5" t="s">
        <v>17</v>
      </c>
      <c r="G2924">
        <v>30</v>
      </c>
    </row>
    <row r="2925" spans="1:7" x14ac:dyDescent="0.35">
      <c r="A2925">
        <v>7160</v>
      </c>
      <c r="B2925">
        <v>2</v>
      </c>
      <c r="C2925" s="5" t="s">
        <v>37</v>
      </c>
      <c r="D2925">
        <v>906</v>
      </c>
      <c r="E2925" s="5" t="s">
        <v>79</v>
      </c>
      <c r="F2925" s="5" t="s">
        <v>14</v>
      </c>
      <c r="G2925">
        <v>14</v>
      </c>
    </row>
    <row r="2926" spans="1:7" x14ac:dyDescent="0.35">
      <c r="A2926">
        <v>129779</v>
      </c>
      <c r="B2926">
        <v>0</v>
      </c>
      <c r="C2926" s="5" t="s">
        <v>45</v>
      </c>
      <c r="D2926">
        <v>3012</v>
      </c>
      <c r="E2926" s="5" t="s">
        <v>83</v>
      </c>
      <c r="F2926" s="5" t="s">
        <v>17</v>
      </c>
      <c r="G2926">
        <v>12</v>
      </c>
    </row>
    <row r="2927" spans="1:7" x14ac:dyDescent="0.35">
      <c r="A2927">
        <v>112504</v>
      </c>
      <c r="B2927">
        <v>0</v>
      </c>
      <c r="C2927" s="5" t="s">
        <v>29</v>
      </c>
      <c r="D2927">
        <v>2401</v>
      </c>
      <c r="E2927" s="5" t="s">
        <v>82</v>
      </c>
      <c r="F2927" s="5" t="s">
        <v>17</v>
      </c>
      <c r="G2927">
        <v>10</v>
      </c>
    </row>
    <row r="2928" spans="1:7" x14ac:dyDescent="0.35">
      <c r="A2928">
        <v>69536</v>
      </c>
      <c r="B2928">
        <v>1</v>
      </c>
      <c r="C2928" s="5" t="s">
        <v>26</v>
      </c>
      <c r="D2928">
        <v>1301</v>
      </c>
      <c r="E2928" s="5" t="s">
        <v>89</v>
      </c>
      <c r="F2928" s="5" t="s">
        <v>86</v>
      </c>
      <c r="G2928">
        <v>8</v>
      </c>
    </row>
    <row r="2929" spans="1:7" x14ac:dyDescent="0.35">
      <c r="A2929">
        <v>5321</v>
      </c>
      <c r="B2929">
        <v>0</v>
      </c>
      <c r="C2929" s="5" t="s">
        <v>21</v>
      </c>
      <c r="D2929">
        <v>5401</v>
      </c>
      <c r="E2929" s="5" t="s">
        <v>83</v>
      </c>
      <c r="F2929" s="5" t="s">
        <v>27</v>
      </c>
      <c r="G2929">
        <v>25</v>
      </c>
    </row>
    <row r="2930" spans="1:7" x14ac:dyDescent="0.35">
      <c r="A2930">
        <v>162849</v>
      </c>
      <c r="B2930">
        <v>0</v>
      </c>
      <c r="C2930" s="5" t="s">
        <v>21</v>
      </c>
      <c r="D2930">
        <v>2909</v>
      </c>
      <c r="E2930" s="5" t="s">
        <v>85</v>
      </c>
      <c r="F2930" s="5" t="s">
        <v>17</v>
      </c>
      <c r="G2930">
        <v>9</v>
      </c>
    </row>
    <row r="2931" spans="1:7" x14ac:dyDescent="0.35">
      <c r="A2931">
        <v>58079</v>
      </c>
      <c r="B2931">
        <v>0</v>
      </c>
      <c r="C2931" s="5" t="s">
        <v>53</v>
      </c>
      <c r="D2931">
        <v>0</v>
      </c>
      <c r="E2931" s="5" t="s">
        <v>89</v>
      </c>
      <c r="F2931" s="5" t="s">
        <v>17</v>
      </c>
      <c r="G2931">
        <v>10</v>
      </c>
    </row>
    <row r="2932" spans="1:7" x14ac:dyDescent="0.35">
      <c r="A2932">
        <v>54393</v>
      </c>
      <c r="B2932">
        <v>2</v>
      </c>
      <c r="C2932" s="5" t="s">
        <v>56</v>
      </c>
      <c r="D2932">
        <v>3001</v>
      </c>
      <c r="E2932" s="5" t="s">
        <v>90</v>
      </c>
      <c r="F2932" s="5" t="s">
        <v>17</v>
      </c>
      <c r="G2932">
        <v>23</v>
      </c>
    </row>
    <row r="2933" spans="1:7" x14ac:dyDescent="0.35">
      <c r="A2933">
        <v>162618</v>
      </c>
      <c r="B2933">
        <v>2</v>
      </c>
      <c r="C2933" s="5" t="s">
        <v>21</v>
      </c>
      <c r="D2933">
        <v>2201</v>
      </c>
      <c r="E2933" s="5" t="s">
        <v>80</v>
      </c>
      <c r="F2933" s="5" t="s">
        <v>17</v>
      </c>
      <c r="G2933">
        <v>4</v>
      </c>
    </row>
    <row r="2934" spans="1:7" x14ac:dyDescent="0.35">
      <c r="A2934">
        <v>80449</v>
      </c>
      <c r="B2934">
        <v>0</v>
      </c>
      <c r="C2934" s="5" t="s">
        <v>32</v>
      </c>
      <c r="D2934">
        <v>5203</v>
      </c>
      <c r="E2934" s="5" t="s">
        <v>78</v>
      </c>
      <c r="F2934" s="5" t="s">
        <v>17</v>
      </c>
      <c r="G2934">
        <v>10</v>
      </c>
    </row>
    <row r="2935" spans="1:7" x14ac:dyDescent="0.35">
      <c r="A2935">
        <v>111142</v>
      </c>
      <c r="B2935">
        <v>2</v>
      </c>
      <c r="C2935" s="5" t="s">
        <v>29</v>
      </c>
      <c r="D2935">
        <v>2501</v>
      </c>
      <c r="E2935" s="5" t="s">
        <v>79</v>
      </c>
      <c r="F2935" s="5" t="s">
        <v>17</v>
      </c>
      <c r="G2935">
        <v>10</v>
      </c>
    </row>
    <row r="2936" spans="1:7" x14ac:dyDescent="0.35">
      <c r="A2936">
        <v>109710</v>
      </c>
      <c r="B2936">
        <v>1</v>
      </c>
      <c r="C2936" s="5" t="s">
        <v>46</v>
      </c>
      <c r="D2936">
        <v>4201</v>
      </c>
      <c r="E2936" s="5" t="s">
        <v>84</v>
      </c>
      <c r="F2936" s="5" t="s">
        <v>14</v>
      </c>
      <c r="G2936">
        <v>5</v>
      </c>
    </row>
    <row r="2937" spans="1:7" x14ac:dyDescent="0.35">
      <c r="A2937">
        <v>67000</v>
      </c>
      <c r="B2937">
        <v>0</v>
      </c>
      <c r="C2937" s="5" t="s">
        <v>26</v>
      </c>
      <c r="D2937">
        <v>2601</v>
      </c>
      <c r="E2937" s="5" t="s">
        <v>78</v>
      </c>
      <c r="F2937" s="5" t="s">
        <v>17</v>
      </c>
      <c r="G2937">
        <v>9</v>
      </c>
    </row>
    <row r="2938" spans="1:7" x14ac:dyDescent="0.35">
      <c r="A2938">
        <v>124315</v>
      </c>
      <c r="B2938">
        <v>0</v>
      </c>
      <c r="C2938" s="5" t="s">
        <v>20</v>
      </c>
      <c r="D2938">
        <v>6812</v>
      </c>
      <c r="E2938" s="5" t="s">
        <v>78</v>
      </c>
      <c r="F2938" s="5" t="s">
        <v>17</v>
      </c>
      <c r="G2938">
        <v>5</v>
      </c>
    </row>
    <row r="2939" spans="1:7" x14ac:dyDescent="0.35">
      <c r="A2939">
        <v>138239</v>
      </c>
      <c r="B2939">
        <v>0</v>
      </c>
      <c r="C2939" s="5" t="s">
        <v>51</v>
      </c>
      <c r="D2939">
        <v>5501</v>
      </c>
      <c r="E2939" s="5" t="s">
        <v>83</v>
      </c>
      <c r="F2939" s="5" t="s">
        <v>17</v>
      </c>
      <c r="G2939">
        <v>10</v>
      </c>
    </row>
    <row r="2940" spans="1:7" x14ac:dyDescent="0.35">
      <c r="A2940">
        <v>85894</v>
      </c>
      <c r="B2940">
        <v>1002</v>
      </c>
      <c r="C2940" s="5" t="s">
        <v>48</v>
      </c>
      <c r="D2940">
        <v>6101</v>
      </c>
      <c r="E2940" s="5" t="s">
        <v>81</v>
      </c>
      <c r="F2940" s="5" t="s">
        <v>14</v>
      </c>
      <c r="G2940">
        <v>3</v>
      </c>
    </row>
    <row r="2941" spans="1:7" x14ac:dyDescent="0.35">
      <c r="A2941">
        <v>184106</v>
      </c>
      <c r="B2941">
        <v>0</v>
      </c>
      <c r="C2941" s="5" t="s">
        <v>37</v>
      </c>
      <c r="D2941">
        <v>1601</v>
      </c>
      <c r="E2941" s="5" t="s">
        <v>87</v>
      </c>
      <c r="F2941" s="5" t="s">
        <v>17</v>
      </c>
      <c r="G2941">
        <v>6</v>
      </c>
    </row>
    <row r="2942" spans="1:7" x14ac:dyDescent="0.35">
      <c r="A2942">
        <v>95563</v>
      </c>
      <c r="B2942">
        <v>0</v>
      </c>
      <c r="C2942" s="5" t="s">
        <v>16</v>
      </c>
      <c r="D2942">
        <v>3301</v>
      </c>
      <c r="E2942" s="5" t="s">
        <v>80</v>
      </c>
      <c r="F2942" s="5" t="s">
        <v>14</v>
      </c>
      <c r="G2942">
        <v>4</v>
      </c>
    </row>
    <row r="2943" spans="1:7" x14ac:dyDescent="0.35">
      <c r="A2943">
        <v>79747</v>
      </c>
      <c r="B2943">
        <v>1</v>
      </c>
      <c r="C2943" s="5" t="s">
        <v>32</v>
      </c>
      <c r="D2943">
        <v>1401</v>
      </c>
      <c r="E2943" s="5" t="s">
        <v>89</v>
      </c>
      <c r="F2943" s="5" t="s">
        <v>14</v>
      </c>
      <c r="G2943">
        <v>15</v>
      </c>
    </row>
    <row r="2944" spans="1:7" x14ac:dyDescent="0.35">
      <c r="A2944">
        <v>178275</v>
      </c>
      <c r="B2944">
        <v>2</v>
      </c>
      <c r="C2944" s="5" t="s">
        <v>37</v>
      </c>
      <c r="D2944">
        <v>2401</v>
      </c>
      <c r="E2944" s="5" t="s">
        <v>83</v>
      </c>
      <c r="F2944" s="5" t="s">
        <v>17</v>
      </c>
      <c r="G2944">
        <v>5</v>
      </c>
    </row>
    <row r="2945" spans="1:7" x14ac:dyDescent="0.35">
      <c r="A2945">
        <v>190754</v>
      </c>
      <c r="B2945">
        <v>2</v>
      </c>
      <c r="C2945" s="5" t="s">
        <v>21</v>
      </c>
      <c r="D2945">
        <v>5009</v>
      </c>
      <c r="E2945" s="5" t="s">
        <v>82</v>
      </c>
      <c r="F2945" s="5" t="s">
        <v>17</v>
      </c>
      <c r="G2945">
        <v>25</v>
      </c>
    </row>
    <row r="2946" spans="1:7" x14ac:dyDescent="0.35">
      <c r="A2946">
        <v>2951</v>
      </c>
      <c r="B2946">
        <v>1</v>
      </c>
      <c r="C2946" s="5" t="s">
        <v>23</v>
      </c>
      <c r="D2946">
        <v>2301</v>
      </c>
      <c r="E2946" s="5" t="s">
        <v>79</v>
      </c>
      <c r="F2946" s="5" t="s">
        <v>14</v>
      </c>
      <c r="G2946">
        <v>5</v>
      </c>
    </row>
    <row r="2947" spans="1:7" x14ac:dyDescent="0.35">
      <c r="A2947">
        <v>60313</v>
      </c>
      <c r="B2947">
        <v>2</v>
      </c>
      <c r="C2947" s="5" t="s">
        <v>30</v>
      </c>
      <c r="D2947">
        <v>4401</v>
      </c>
      <c r="E2947" s="5" t="s">
        <v>80</v>
      </c>
      <c r="F2947" s="5" t="s">
        <v>14</v>
      </c>
      <c r="G2947">
        <v>10</v>
      </c>
    </row>
    <row r="2948" spans="1:7" x14ac:dyDescent="0.35">
      <c r="A2948">
        <v>138000</v>
      </c>
      <c r="B2948">
        <v>0</v>
      </c>
      <c r="C2948" s="5" t="s">
        <v>51</v>
      </c>
      <c r="D2948">
        <v>0</v>
      </c>
      <c r="E2948" s="5" t="s">
        <v>87</v>
      </c>
      <c r="F2948" s="5" t="s">
        <v>86</v>
      </c>
      <c r="G2948">
        <v>6</v>
      </c>
    </row>
    <row r="2949" spans="1:7" x14ac:dyDescent="0.35">
      <c r="A2949">
        <v>160483</v>
      </c>
      <c r="B2949">
        <v>0</v>
      </c>
      <c r="C2949" s="5" t="s">
        <v>21</v>
      </c>
      <c r="D2949">
        <v>7001</v>
      </c>
      <c r="E2949" s="5" t="s">
        <v>78</v>
      </c>
      <c r="F2949" s="5" t="s">
        <v>17</v>
      </c>
      <c r="G2949">
        <v>9</v>
      </c>
    </row>
    <row r="2950" spans="1:7" x14ac:dyDescent="0.35">
      <c r="A2950">
        <v>149569</v>
      </c>
      <c r="B2950">
        <v>0</v>
      </c>
      <c r="C2950" s="5" t="s">
        <v>21</v>
      </c>
      <c r="D2950">
        <v>0</v>
      </c>
      <c r="E2950" s="5" t="s">
        <v>93</v>
      </c>
      <c r="F2950" s="5" t="s">
        <v>17</v>
      </c>
      <c r="G2950">
        <v>28</v>
      </c>
    </row>
    <row r="2951" spans="1:7" x14ac:dyDescent="0.35">
      <c r="A2951">
        <v>62349</v>
      </c>
      <c r="B2951">
        <v>28</v>
      </c>
      <c r="C2951" s="5" t="s">
        <v>30</v>
      </c>
      <c r="D2951">
        <v>3101</v>
      </c>
      <c r="E2951" s="5" t="s">
        <v>80</v>
      </c>
      <c r="F2951" s="5" t="s">
        <v>14</v>
      </c>
      <c r="G2951">
        <v>50</v>
      </c>
    </row>
    <row r="2952" spans="1:7" x14ac:dyDescent="0.35">
      <c r="A2952">
        <v>25073</v>
      </c>
      <c r="B2952">
        <v>1</v>
      </c>
      <c r="C2952" s="5" t="s">
        <v>43</v>
      </c>
      <c r="D2952">
        <v>6201</v>
      </c>
      <c r="E2952" s="5" t="s">
        <v>79</v>
      </c>
      <c r="F2952" s="5" t="s">
        <v>14</v>
      </c>
      <c r="G2952">
        <v>21</v>
      </c>
    </row>
    <row r="2953" spans="1:7" x14ac:dyDescent="0.35">
      <c r="A2953">
        <v>47245</v>
      </c>
      <c r="B2953">
        <v>0</v>
      </c>
      <c r="C2953" s="5" t="s">
        <v>40</v>
      </c>
      <c r="D2953">
        <v>0</v>
      </c>
      <c r="E2953" s="5" t="s">
        <v>87</v>
      </c>
      <c r="F2953" s="5" t="s">
        <v>17</v>
      </c>
      <c r="G2953">
        <v>5</v>
      </c>
    </row>
    <row r="2954" spans="1:7" x14ac:dyDescent="0.35">
      <c r="A2954">
        <v>166508</v>
      </c>
      <c r="B2954">
        <v>1</v>
      </c>
      <c r="C2954" s="5" t="s">
        <v>21</v>
      </c>
      <c r="D2954">
        <v>4501</v>
      </c>
      <c r="E2954" s="5" t="s">
        <v>85</v>
      </c>
      <c r="F2954" s="5" t="s">
        <v>14</v>
      </c>
      <c r="G2954">
        <v>20</v>
      </c>
    </row>
    <row r="2955" spans="1:7" x14ac:dyDescent="0.35">
      <c r="A2955">
        <v>33355</v>
      </c>
      <c r="B2955">
        <v>1002</v>
      </c>
      <c r="C2955" s="5" t="s">
        <v>13</v>
      </c>
      <c r="D2955">
        <v>0</v>
      </c>
      <c r="E2955" s="5" t="s">
        <v>79</v>
      </c>
      <c r="F2955" s="5" t="s">
        <v>14</v>
      </c>
      <c r="G2955">
        <v>15</v>
      </c>
    </row>
    <row r="2956" spans="1:7" x14ac:dyDescent="0.35">
      <c r="A2956">
        <v>118083</v>
      </c>
      <c r="B2956">
        <v>0</v>
      </c>
      <c r="C2956" s="5" t="s">
        <v>20</v>
      </c>
      <c r="D2956">
        <v>6005</v>
      </c>
      <c r="E2956" s="5" t="s">
        <v>81</v>
      </c>
      <c r="F2956" s="5" t="s">
        <v>17</v>
      </c>
      <c r="G2956">
        <v>15</v>
      </c>
    </row>
    <row r="2957" spans="1:7" x14ac:dyDescent="0.35">
      <c r="A2957">
        <v>19208</v>
      </c>
      <c r="B2957">
        <v>0</v>
      </c>
      <c r="C2957" s="5" t="s">
        <v>18</v>
      </c>
      <c r="D2957">
        <v>0</v>
      </c>
      <c r="E2957" s="5" t="s">
        <v>86</v>
      </c>
      <c r="F2957" s="5" t="s">
        <v>17</v>
      </c>
      <c r="G2957">
        <v>18</v>
      </c>
    </row>
    <row r="2958" spans="1:7" x14ac:dyDescent="0.35">
      <c r="A2958">
        <v>18664</v>
      </c>
      <c r="B2958">
        <v>1</v>
      </c>
      <c r="C2958" s="5" t="s">
        <v>18</v>
      </c>
      <c r="D2958">
        <v>3801</v>
      </c>
      <c r="E2958" s="5" t="s">
        <v>79</v>
      </c>
      <c r="F2958" s="5" t="s">
        <v>14</v>
      </c>
      <c r="G2958">
        <v>15</v>
      </c>
    </row>
    <row r="2959" spans="1:7" x14ac:dyDescent="0.35">
      <c r="A2959">
        <v>137276</v>
      </c>
      <c r="B2959">
        <v>0</v>
      </c>
      <c r="C2959" s="5" t="s">
        <v>51</v>
      </c>
      <c r="D2959">
        <v>1008</v>
      </c>
      <c r="E2959" s="5" t="s">
        <v>82</v>
      </c>
      <c r="F2959" s="5" t="s">
        <v>17</v>
      </c>
      <c r="G2959">
        <v>11</v>
      </c>
    </row>
    <row r="2960" spans="1:7" x14ac:dyDescent="0.35">
      <c r="A2960">
        <v>11254</v>
      </c>
      <c r="B2960">
        <v>0</v>
      </c>
      <c r="C2960" s="5" t="s">
        <v>16</v>
      </c>
      <c r="D2960">
        <v>3509</v>
      </c>
      <c r="E2960" s="5" t="s">
        <v>86</v>
      </c>
      <c r="F2960" s="5" t="s">
        <v>17</v>
      </c>
      <c r="G2960">
        <v>25</v>
      </c>
    </row>
    <row r="2961" spans="1:7" x14ac:dyDescent="0.35">
      <c r="A2961">
        <v>47404</v>
      </c>
      <c r="B2961">
        <v>0</v>
      </c>
      <c r="C2961" s="5" t="s">
        <v>40</v>
      </c>
      <c r="D2961">
        <v>4201</v>
      </c>
      <c r="E2961" s="5" t="s">
        <v>79</v>
      </c>
      <c r="F2961" s="5" t="s">
        <v>17</v>
      </c>
      <c r="G2961">
        <v>10</v>
      </c>
    </row>
    <row r="2962" spans="1:7" x14ac:dyDescent="0.35">
      <c r="A2962">
        <v>33615</v>
      </c>
      <c r="B2962">
        <v>1</v>
      </c>
      <c r="C2962" s="5" t="s">
        <v>13</v>
      </c>
      <c r="D2962">
        <v>3211</v>
      </c>
      <c r="E2962" s="5" t="s">
        <v>87</v>
      </c>
      <c r="F2962" s="5" t="s">
        <v>14</v>
      </c>
      <c r="G2962">
        <v>15</v>
      </c>
    </row>
    <row r="2963" spans="1:7" x14ac:dyDescent="0.35">
      <c r="A2963">
        <v>47738</v>
      </c>
      <c r="B2963">
        <v>2</v>
      </c>
      <c r="C2963" s="5" t="s">
        <v>40</v>
      </c>
      <c r="D2963">
        <v>2401</v>
      </c>
      <c r="E2963" s="5" t="s">
        <v>89</v>
      </c>
      <c r="F2963" s="5" t="s">
        <v>17</v>
      </c>
      <c r="G2963">
        <v>12</v>
      </c>
    </row>
    <row r="2964" spans="1:7" x14ac:dyDescent="0.35">
      <c r="A2964">
        <v>144301</v>
      </c>
      <c r="B2964">
        <v>0</v>
      </c>
      <c r="C2964" s="5" t="s">
        <v>21</v>
      </c>
      <c r="D2964">
        <v>5104</v>
      </c>
      <c r="E2964" s="5" t="s">
        <v>85</v>
      </c>
      <c r="F2964" s="5" t="s">
        <v>17</v>
      </c>
      <c r="G2964">
        <v>11</v>
      </c>
    </row>
    <row r="2965" spans="1:7" x14ac:dyDescent="0.35">
      <c r="A2965">
        <v>10491</v>
      </c>
      <c r="B2965">
        <v>0</v>
      </c>
      <c r="C2965" s="5" t="s">
        <v>23</v>
      </c>
      <c r="D2965">
        <v>3507</v>
      </c>
      <c r="E2965" s="5" t="s">
        <v>78</v>
      </c>
      <c r="F2965" s="5" t="s">
        <v>17</v>
      </c>
      <c r="G2965">
        <v>5</v>
      </c>
    </row>
    <row r="2966" spans="1:7" x14ac:dyDescent="0.35">
      <c r="A2966">
        <v>189009</v>
      </c>
      <c r="B2966">
        <v>2</v>
      </c>
      <c r="C2966" s="5" t="s">
        <v>37</v>
      </c>
      <c r="D2966">
        <v>0</v>
      </c>
      <c r="E2966" s="5" t="s">
        <v>93</v>
      </c>
      <c r="F2966" s="5" t="s">
        <v>14</v>
      </c>
      <c r="G2966">
        <v>5</v>
      </c>
    </row>
    <row r="2967" spans="1:7" x14ac:dyDescent="0.35">
      <c r="A2967">
        <v>68718</v>
      </c>
      <c r="B2967">
        <v>1002</v>
      </c>
      <c r="C2967" s="5" t="s">
        <v>26</v>
      </c>
      <c r="D2967">
        <v>0</v>
      </c>
      <c r="E2967" s="5" t="s">
        <v>83</v>
      </c>
      <c r="F2967" s="5" t="s">
        <v>14</v>
      </c>
      <c r="G2967">
        <v>10</v>
      </c>
    </row>
    <row r="2968" spans="1:7" x14ac:dyDescent="0.35">
      <c r="A2968">
        <v>74673</v>
      </c>
      <c r="B2968">
        <v>0</v>
      </c>
      <c r="C2968" s="5" t="s">
        <v>26</v>
      </c>
      <c r="D2968">
        <v>3805</v>
      </c>
      <c r="E2968" s="5" t="s">
        <v>89</v>
      </c>
      <c r="F2968" s="5" t="s">
        <v>17</v>
      </c>
      <c r="G2968">
        <v>7</v>
      </c>
    </row>
    <row r="2969" spans="1:7" x14ac:dyDescent="0.35">
      <c r="A2969">
        <v>35328</v>
      </c>
      <c r="B2969">
        <v>1002</v>
      </c>
      <c r="C2969" s="5" t="s">
        <v>13</v>
      </c>
      <c r="D2969">
        <v>5809</v>
      </c>
      <c r="E2969" s="5" t="s">
        <v>82</v>
      </c>
      <c r="F2969" s="5" t="s">
        <v>14</v>
      </c>
      <c r="G2969">
        <v>20</v>
      </c>
    </row>
    <row r="2970" spans="1:7" x14ac:dyDescent="0.35">
      <c r="A2970">
        <v>971</v>
      </c>
      <c r="B2970">
        <v>3</v>
      </c>
      <c r="C2970" s="5" t="s">
        <v>50</v>
      </c>
      <c r="D2970">
        <v>4001</v>
      </c>
      <c r="E2970" s="5" t="s">
        <v>79</v>
      </c>
      <c r="F2970" s="5" t="s">
        <v>17</v>
      </c>
      <c r="G2970">
        <v>8</v>
      </c>
    </row>
    <row r="2971" spans="1:7" x14ac:dyDescent="0.35">
      <c r="A2971">
        <v>18508</v>
      </c>
      <c r="B2971">
        <v>2</v>
      </c>
      <c r="C2971" s="5" t="s">
        <v>18</v>
      </c>
      <c r="D2971">
        <v>0</v>
      </c>
      <c r="E2971" s="5" t="s">
        <v>79</v>
      </c>
      <c r="F2971" s="5" t="s">
        <v>17</v>
      </c>
      <c r="G2971">
        <v>6</v>
      </c>
    </row>
    <row r="2972" spans="1:7" x14ac:dyDescent="0.35">
      <c r="A2972">
        <v>93496</v>
      </c>
      <c r="B2972">
        <v>0</v>
      </c>
      <c r="C2972" s="5" t="s">
        <v>16</v>
      </c>
      <c r="D2972">
        <v>1907</v>
      </c>
      <c r="E2972" s="5" t="s">
        <v>93</v>
      </c>
      <c r="F2972" s="5" t="s">
        <v>17</v>
      </c>
      <c r="G2972">
        <v>10</v>
      </c>
    </row>
    <row r="2973" spans="1:7" x14ac:dyDescent="0.35">
      <c r="A2973">
        <v>92121</v>
      </c>
      <c r="B2973">
        <v>0</v>
      </c>
      <c r="C2973" s="5" t="s">
        <v>16</v>
      </c>
      <c r="D2973">
        <v>6401</v>
      </c>
      <c r="E2973" s="5" t="s">
        <v>79</v>
      </c>
      <c r="F2973" s="5" t="s">
        <v>14</v>
      </c>
      <c r="G2973">
        <v>15</v>
      </c>
    </row>
    <row r="2974" spans="1:7" x14ac:dyDescent="0.35">
      <c r="A2974">
        <v>6649</v>
      </c>
      <c r="B2974">
        <v>1</v>
      </c>
      <c r="C2974" s="5" t="s">
        <v>51</v>
      </c>
      <c r="D2974">
        <v>0</v>
      </c>
      <c r="E2974" s="5" t="s">
        <v>86</v>
      </c>
      <c r="F2974" s="5" t="s">
        <v>17</v>
      </c>
      <c r="G2974">
        <v>50</v>
      </c>
    </row>
    <row r="2975" spans="1:7" x14ac:dyDescent="0.35">
      <c r="A2975">
        <v>186993</v>
      </c>
      <c r="B2975">
        <v>1</v>
      </c>
      <c r="C2975" s="5" t="s">
        <v>20</v>
      </c>
      <c r="D2975">
        <v>0</v>
      </c>
      <c r="E2975" s="5" t="s">
        <v>86</v>
      </c>
      <c r="F2975" s="5" t="s">
        <v>14</v>
      </c>
      <c r="G2975">
        <v>10</v>
      </c>
    </row>
    <row r="2976" spans="1:7" x14ac:dyDescent="0.35">
      <c r="A2976">
        <v>175935</v>
      </c>
      <c r="B2976">
        <v>28</v>
      </c>
      <c r="C2976" s="5" t="s">
        <v>47</v>
      </c>
      <c r="D2976">
        <v>0</v>
      </c>
      <c r="E2976" s="5" t="s">
        <v>80</v>
      </c>
      <c r="F2976" s="5" t="s">
        <v>17</v>
      </c>
      <c r="G2976">
        <v>15</v>
      </c>
    </row>
    <row r="2977" spans="1:7" x14ac:dyDescent="0.35">
      <c r="A2977">
        <v>133163</v>
      </c>
      <c r="B2977">
        <v>1</v>
      </c>
      <c r="C2977" s="5" t="s">
        <v>38</v>
      </c>
      <c r="D2977">
        <v>4501</v>
      </c>
      <c r="E2977" s="5" t="s">
        <v>79</v>
      </c>
      <c r="F2977" s="5" t="s">
        <v>14</v>
      </c>
      <c r="G2977">
        <v>15</v>
      </c>
    </row>
    <row r="2978" spans="1:7" x14ac:dyDescent="0.35">
      <c r="A2978">
        <v>12</v>
      </c>
      <c r="B2978">
        <v>2</v>
      </c>
      <c r="C2978" s="5" t="s">
        <v>33</v>
      </c>
      <c r="D2978">
        <v>1804</v>
      </c>
      <c r="E2978" s="5" t="s">
        <v>81</v>
      </c>
      <c r="F2978" s="5" t="s">
        <v>14</v>
      </c>
      <c r="G2978">
        <v>10</v>
      </c>
    </row>
    <row r="2979" spans="1:7" x14ac:dyDescent="0.35">
      <c r="A2979">
        <v>511</v>
      </c>
      <c r="B2979">
        <v>28</v>
      </c>
      <c r="C2979" s="5" t="s">
        <v>20</v>
      </c>
      <c r="D2979">
        <v>1501</v>
      </c>
      <c r="E2979" s="5" t="s">
        <v>83</v>
      </c>
      <c r="F2979" s="5" t="s">
        <v>17</v>
      </c>
      <c r="G2979">
        <v>12</v>
      </c>
    </row>
    <row r="2980" spans="1:7" x14ac:dyDescent="0.35">
      <c r="A2980">
        <v>125013</v>
      </c>
      <c r="B2980">
        <v>2</v>
      </c>
      <c r="C2980" s="5" t="s">
        <v>20</v>
      </c>
      <c r="D2980">
        <v>0</v>
      </c>
      <c r="E2980" s="5" t="s">
        <v>79</v>
      </c>
      <c r="F2980" s="5" t="s">
        <v>17</v>
      </c>
      <c r="G2980">
        <v>15</v>
      </c>
    </row>
    <row r="2981" spans="1:7" x14ac:dyDescent="0.35">
      <c r="A2981">
        <v>138814</v>
      </c>
      <c r="B2981">
        <v>0</v>
      </c>
      <c r="C2981" s="5" t="s">
        <v>51</v>
      </c>
      <c r="D2981">
        <v>5401</v>
      </c>
      <c r="E2981" s="5" t="s">
        <v>79</v>
      </c>
      <c r="F2981" s="5" t="s">
        <v>17</v>
      </c>
      <c r="G2981">
        <v>20</v>
      </c>
    </row>
    <row r="2982" spans="1:7" x14ac:dyDescent="0.35">
      <c r="A2982">
        <v>101290</v>
      </c>
      <c r="B2982">
        <v>1</v>
      </c>
      <c r="C2982" s="5" t="s">
        <v>33</v>
      </c>
      <c r="D2982">
        <v>1401</v>
      </c>
      <c r="E2982" s="5" t="s">
        <v>89</v>
      </c>
      <c r="F2982" s="5" t="s">
        <v>14</v>
      </c>
      <c r="G2982">
        <v>3</v>
      </c>
    </row>
    <row r="2983" spans="1:7" x14ac:dyDescent="0.35">
      <c r="A2983">
        <v>22779</v>
      </c>
      <c r="B2983">
        <v>0</v>
      </c>
      <c r="C2983" s="5" t="s">
        <v>43</v>
      </c>
      <c r="D2983">
        <v>5701</v>
      </c>
      <c r="E2983" s="5" t="s">
        <v>79</v>
      </c>
      <c r="F2983" s="5" t="s">
        <v>14</v>
      </c>
      <c r="G2983">
        <v>20</v>
      </c>
    </row>
    <row r="2984" spans="1:7" x14ac:dyDescent="0.35">
      <c r="A2984">
        <v>138689</v>
      </c>
      <c r="B2984">
        <v>28</v>
      </c>
      <c r="C2984" s="5" t="s">
        <v>51</v>
      </c>
      <c r="D2984">
        <v>0</v>
      </c>
      <c r="E2984" s="5" t="s">
        <v>84</v>
      </c>
      <c r="F2984" s="5" t="s">
        <v>17</v>
      </c>
      <c r="G2984">
        <v>25</v>
      </c>
    </row>
    <row r="2985" spans="1:7" x14ac:dyDescent="0.35">
      <c r="A2985">
        <v>99066</v>
      </c>
      <c r="B2985">
        <v>1</v>
      </c>
      <c r="C2985" s="5" t="s">
        <v>16</v>
      </c>
      <c r="D2985">
        <v>3006</v>
      </c>
      <c r="E2985" s="5" t="s">
        <v>89</v>
      </c>
      <c r="F2985" s="5" t="s">
        <v>14</v>
      </c>
      <c r="G2985">
        <v>5</v>
      </c>
    </row>
    <row r="2986" spans="1:7" x14ac:dyDescent="0.35">
      <c r="A2986">
        <v>148141</v>
      </c>
      <c r="B2986">
        <v>0</v>
      </c>
      <c r="C2986" s="5" t="s">
        <v>21</v>
      </c>
      <c r="D2986">
        <v>4704</v>
      </c>
      <c r="E2986" s="5" t="s">
        <v>82</v>
      </c>
      <c r="F2986" s="5" t="s">
        <v>17</v>
      </c>
      <c r="G2986">
        <v>14</v>
      </c>
    </row>
    <row r="2987" spans="1:7" x14ac:dyDescent="0.35">
      <c r="A2987">
        <v>186456</v>
      </c>
      <c r="B2987">
        <v>0</v>
      </c>
      <c r="C2987" s="5" t="s">
        <v>47</v>
      </c>
      <c r="D2987">
        <v>712</v>
      </c>
      <c r="E2987" s="5" t="s">
        <v>78</v>
      </c>
      <c r="F2987" s="5" t="s">
        <v>17</v>
      </c>
      <c r="G2987">
        <v>5</v>
      </c>
    </row>
    <row r="2988" spans="1:7" x14ac:dyDescent="0.35">
      <c r="A2988">
        <v>158935</v>
      </c>
      <c r="B2988">
        <v>0</v>
      </c>
      <c r="C2988" s="5" t="s">
        <v>21</v>
      </c>
      <c r="D2988">
        <v>2001</v>
      </c>
      <c r="E2988" s="5" t="s">
        <v>87</v>
      </c>
      <c r="F2988" s="5" t="s">
        <v>17</v>
      </c>
      <c r="G2988">
        <v>5</v>
      </c>
    </row>
    <row r="2989" spans="1:7" x14ac:dyDescent="0.35">
      <c r="A2989">
        <v>145275</v>
      </c>
      <c r="B2989">
        <v>28</v>
      </c>
      <c r="C2989" s="5" t="s">
        <v>21</v>
      </c>
      <c r="D2989">
        <v>3107</v>
      </c>
      <c r="E2989" s="5" t="s">
        <v>85</v>
      </c>
      <c r="F2989" s="5" t="s">
        <v>17</v>
      </c>
      <c r="G2989">
        <v>20</v>
      </c>
    </row>
    <row r="2990" spans="1:7" x14ac:dyDescent="0.35">
      <c r="A2990">
        <v>173744</v>
      </c>
      <c r="B2990">
        <v>0</v>
      </c>
      <c r="C2990" s="5" t="s">
        <v>34</v>
      </c>
      <c r="D2990">
        <v>0</v>
      </c>
      <c r="E2990" s="5" t="s">
        <v>81</v>
      </c>
      <c r="F2990" s="5" t="s">
        <v>86</v>
      </c>
      <c r="G2990">
        <v>20</v>
      </c>
    </row>
    <row r="2991" spans="1:7" x14ac:dyDescent="0.35">
      <c r="A2991">
        <v>179683</v>
      </c>
      <c r="B2991">
        <v>0</v>
      </c>
      <c r="C2991" s="5" t="s">
        <v>37</v>
      </c>
      <c r="D2991">
        <v>5108</v>
      </c>
      <c r="E2991" s="5" t="s">
        <v>80</v>
      </c>
      <c r="F2991" s="5" t="s">
        <v>17</v>
      </c>
      <c r="G2991">
        <v>25</v>
      </c>
    </row>
    <row r="2992" spans="1:7" x14ac:dyDescent="0.35">
      <c r="A2992">
        <v>188421</v>
      </c>
      <c r="B2992">
        <v>1</v>
      </c>
      <c r="C2992" s="5" t="s">
        <v>47</v>
      </c>
      <c r="D2992">
        <v>2403</v>
      </c>
      <c r="E2992" s="5" t="s">
        <v>80</v>
      </c>
      <c r="F2992" s="5" t="s">
        <v>14</v>
      </c>
      <c r="G2992">
        <v>10</v>
      </c>
    </row>
    <row r="2993" spans="1:7" x14ac:dyDescent="0.35">
      <c r="A2993">
        <v>123699</v>
      </c>
      <c r="B2993">
        <v>0</v>
      </c>
      <c r="C2993" s="5" t="s">
        <v>20</v>
      </c>
      <c r="D2993">
        <v>5101</v>
      </c>
      <c r="E2993" s="5" t="s">
        <v>82</v>
      </c>
      <c r="F2993" s="5" t="s">
        <v>17</v>
      </c>
      <c r="G2993">
        <v>10</v>
      </c>
    </row>
    <row r="2994" spans="1:7" x14ac:dyDescent="0.35">
      <c r="A2994">
        <v>23930</v>
      </c>
      <c r="B2994">
        <v>2</v>
      </c>
      <c r="C2994" s="5" t="s">
        <v>43</v>
      </c>
      <c r="D2994">
        <v>2101</v>
      </c>
      <c r="E2994" s="5" t="s">
        <v>82</v>
      </c>
      <c r="F2994" s="5" t="s">
        <v>14</v>
      </c>
      <c r="G2994">
        <v>5</v>
      </c>
    </row>
    <row r="2995" spans="1:7" x14ac:dyDescent="0.35">
      <c r="A2995">
        <v>46153</v>
      </c>
      <c r="B2995">
        <v>3</v>
      </c>
      <c r="C2995" s="5" t="s">
        <v>13</v>
      </c>
      <c r="D2995">
        <v>6201</v>
      </c>
      <c r="E2995" s="5" t="s">
        <v>79</v>
      </c>
      <c r="F2995" s="5" t="s">
        <v>17</v>
      </c>
      <c r="G2995">
        <v>15</v>
      </c>
    </row>
    <row r="2996" spans="1:7" x14ac:dyDescent="0.35">
      <c r="A2996">
        <v>179863</v>
      </c>
      <c r="B2996">
        <v>1</v>
      </c>
      <c r="C2996" s="5" t="s">
        <v>37</v>
      </c>
      <c r="D2996">
        <v>4702</v>
      </c>
      <c r="E2996" s="5" t="s">
        <v>85</v>
      </c>
      <c r="F2996" s="5" t="s">
        <v>14</v>
      </c>
      <c r="G2996">
        <v>10</v>
      </c>
    </row>
    <row r="2997" spans="1:7" x14ac:dyDescent="0.35">
      <c r="A2997">
        <v>87395</v>
      </c>
      <c r="B2997">
        <v>0</v>
      </c>
      <c r="C2997" s="5" t="s">
        <v>31</v>
      </c>
      <c r="D2997">
        <v>1701</v>
      </c>
      <c r="E2997" s="5" t="s">
        <v>90</v>
      </c>
      <c r="F2997" s="5" t="s">
        <v>17</v>
      </c>
      <c r="G2997">
        <v>20</v>
      </c>
    </row>
    <row r="2998" spans="1:7" x14ac:dyDescent="0.35">
      <c r="A2998">
        <v>86779</v>
      </c>
      <c r="B2998">
        <v>28</v>
      </c>
      <c r="C2998" s="5" t="s">
        <v>42</v>
      </c>
      <c r="D2998">
        <v>0</v>
      </c>
      <c r="E2998" s="5" t="s">
        <v>94</v>
      </c>
      <c r="F2998" s="5" t="s">
        <v>17</v>
      </c>
      <c r="G2998">
        <v>11</v>
      </c>
    </row>
    <row r="2999" spans="1:7" x14ac:dyDescent="0.35">
      <c r="A2999">
        <v>25214</v>
      </c>
      <c r="B2999">
        <v>28</v>
      </c>
      <c r="C2999" s="5" t="s">
        <v>18</v>
      </c>
      <c r="D2999">
        <v>5111</v>
      </c>
      <c r="E2999" s="5" t="s">
        <v>84</v>
      </c>
      <c r="F2999" s="5" t="s">
        <v>17</v>
      </c>
      <c r="G2999">
        <v>25</v>
      </c>
    </row>
    <row r="3000" spans="1:7" x14ac:dyDescent="0.35">
      <c r="A3000">
        <v>79641</v>
      </c>
      <c r="B3000">
        <v>0</v>
      </c>
      <c r="C3000" s="5" t="s">
        <v>32</v>
      </c>
      <c r="D3000">
        <v>2310</v>
      </c>
      <c r="E3000" s="5" t="s">
        <v>83</v>
      </c>
      <c r="F3000" s="5" t="s">
        <v>17</v>
      </c>
      <c r="G3000">
        <v>12</v>
      </c>
    </row>
    <row r="3001" spans="1:7" x14ac:dyDescent="0.35">
      <c r="A3001">
        <v>186307</v>
      </c>
      <c r="B3001">
        <v>1</v>
      </c>
      <c r="C3001" s="5" t="s">
        <v>21</v>
      </c>
      <c r="D3001">
        <v>2511</v>
      </c>
      <c r="E3001" s="5" t="s">
        <v>78</v>
      </c>
      <c r="F3001" s="5" t="s">
        <v>14</v>
      </c>
      <c r="G3001">
        <v>20</v>
      </c>
    </row>
    <row r="3002" spans="1:7" x14ac:dyDescent="0.35">
      <c r="A3002">
        <v>34174</v>
      </c>
      <c r="B3002">
        <v>2</v>
      </c>
      <c r="C3002" s="5" t="s">
        <v>68</v>
      </c>
      <c r="D3002">
        <v>3001</v>
      </c>
      <c r="E3002" s="5" t="s">
        <v>79</v>
      </c>
      <c r="F3002" s="5" t="s">
        <v>17</v>
      </c>
      <c r="G3002">
        <v>12</v>
      </c>
    </row>
    <row r="3003" spans="1:7" x14ac:dyDescent="0.35">
      <c r="A3003">
        <v>101388</v>
      </c>
      <c r="B3003">
        <v>1</v>
      </c>
      <c r="C3003" s="5" t="s">
        <v>33</v>
      </c>
      <c r="D3003">
        <v>5501</v>
      </c>
      <c r="E3003" s="5" t="s">
        <v>81</v>
      </c>
      <c r="F3003" s="5" t="s">
        <v>14</v>
      </c>
      <c r="G3003">
        <v>10</v>
      </c>
    </row>
    <row r="3004" spans="1:7" x14ac:dyDescent="0.35">
      <c r="A3004">
        <v>159472</v>
      </c>
      <c r="B3004">
        <v>1</v>
      </c>
      <c r="C3004" s="5" t="s">
        <v>21</v>
      </c>
      <c r="D3004">
        <v>1512</v>
      </c>
      <c r="E3004" s="5" t="s">
        <v>89</v>
      </c>
      <c r="F3004" s="5" t="s">
        <v>17</v>
      </c>
      <c r="G3004">
        <v>15</v>
      </c>
    </row>
    <row r="3005" spans="1:7" x14ac:dyDescent="0.35">
      <c r="A3005">
        <v>179143</v>
      </c>
      <c r="B3005">
        <v>1</v>
      </c>
      <c r="C3005" s="5" t="s">
        <v>37</v>
      </c>
      <c r="D3005">
        <v>3709</v>
      </c>
      <c r="E3005" s="5" t="s">
        <v>84</v>
      </c>
      <c r="F3005" s="5" t="s">
        <v>14</v>
      </c>
      <c r="G3005">
        <v>25</v>
      </c>
    </row>
    <row r="3006" spans="1:7" x14ac:dyDescent="0.35">
      <c r="A3006">
        <v>150799</v>
      </c>
      <c r="B3006">
        <v>1</v>
      </c>
      <c r="C3006" s="5" t="s">
        <v>21</v>
      </c>
      <c r="D3006">
        <v>0</v>
      </c>
      <c r="E3006" s="5" t="s">
        <v>91</v>
      </c>
      <c r="F3006" s="5" t="s">
        <v>14</v>
      </c>
      <c r="G3006">
        <v>15</v>
      </c>
    </row>
    <row r="3007" spans="1:7" x14ac:dyDescent="0.35">
      <c r="A3007">
        <v>135983</v>
      </c>
      <c r="B3007">
        <v>1</v>
      </c>
      <c r="C3007" s="5" t="s">
        <v>51</v>
      </c>
      <c r="D3007">
        <v>3201</v>
      </c>
      <c r="E3007" s="5" t="s">
        <v>87</v>
      </c>
      <c r="F3007" s="5" t="s">
        <v>86</v>
      </c>
      <c r="G3007">
        <v>7</v>
      </c>
    </row>
    <row r="3008" spans="1:7" x14ac:dyDescent="0.35">
      <c r="A3008">
        <v>22817</v>
      </c>
      <c r="B3008">
        <v>0</v>
      </c>
      <c r="C3008" s="5" t="s">
        <v>43</v>
      </c>
      <c r="D3008">
        <v>5009</v>
      </c>
      <c r="E3008" s="5" t="s">
        <v>89</v>
      </c>
      <c r="F3008" s="5" t="s">
        <v>17</v>
      </c>
      <c r="G3008">
        <v>10</v>
      </c>
    </row>
    <row r="3009" spans="1:7" x14ac:dyDescent="0.35">
      <c r="A3009">
        <v>123972</v>
      </c>
      <c r="B3009">
        <v>0</v>
      </c>
      <c r="C3009" s="5" t="s">
        <v>20</v>
      </c>
      <c r="D3009">
        <v>1305</v>
      </c>
      <c r="E3009" s="5" t="s">
        <v>78</v>
      </c>
      <c r="F3009" s="5" t="s">
        <v>17</v>
      </c>
      <c r="G3009">
        <v>5</v>
      </c>
    </row>
    <row r="3010" spans="1:7" x14ac:dyDescent="0.35">
      <c r="A3010">
        <v>81520</v>
      </c>
      <c r="B3010">
        <v>0</v>
      </c>
      <c r="C3010" s="5" t="s">
        <v>32</v>
      </c>
      <c r="D3010">
        <v>1710</v>
      </c>
      <c r="E3010" s="5" t="s">
        <v>89</v>
      </c>
      <c r="F3010" s="5" t="s">
        <v>17</v>
      </c>
      <c r="G3010">
        <v>10</v>
      </c>
    </row>
    <row r="3011" spans="1:7" x14ac:dyDescent="0.35">
      <c r="A3011">
        <v>185309</v>
      </c>
      <c r="B3011">
        <v>2</v>
      </c>
      <c r="C3011" s="5" t="s">
        <v>26</v>
      </c>
      <c r="D3011">
        <v>3209</v>
      </c>
      <c r="E3011" s="5" t="s">
        <v>78</v>
      </c>
      <c r="F3011" s="5" t="s">
        <v>17</v>
      </c>
      <c r="G3011">
        <v>7</v>
      </c>
    </row>
    <row r="3012" spans="1:7" x14ac:dyDescent="0.35">
      <c r="A3012">
        <v>6555</v>
      </c>
      <c r="B3012">
        <v>1</v>
      </c>
      <c r="C3012" s="5" t="s">
        <v>13</v>
      </c>
      <c r="D3012">
        <v>1808</v>
      </c>
      <c r="E3012" s="5" t="s">
        <v>82</v>
      </c>
      <c r="F3012" s="5" t="s">
        <v>14</v>
      </c>
      <c r="G3012">
        <v>10</v>
      </c>
    </row>
    <row r="3013" spans="1:7" x14ac:dyDescent="0.35">
      <c r="A3013">
        <v>20341</v>
      </c>
      <c r="B3013">
        <v>0</v>
      </c>
      <c r="C3013" s="5" t="s">
        <v>18</v>
      </c>
      <c r="D3013">
        <v>4801</v>
      </c>
      <c r="E3013" s="5" t="s">
        <v>82</v>
      </c>
      <c r="F3013" s="5" t="s">
        <v>14</v>
      </c>
      <c r="G3013">
        <v>3</v>
      </c>
    </row>
    <row r="3014" spans="1:7" x14ac:dyDescent="0.35">
      <c r="A3014">
        <v>30629</v>
      </c>
      <c r="B3014">
        <v>2</v>
      </c>
      <c r="C3014" s="5" t="s">
        <v>36</v>
      </c>
      <c r="D3014">
        <v>1401</v>
      </c>
      <c r="E3014" s="5" t="s">
        <v>78</v>
      </c>
      <c r="F3014" s="5" t="s">
        <v>17</v>
      </c>
      <c r="G3014">
        <v>17</v>
      </c>
    </row>
    <row r="3015" spans="1:7" x14ac:dyDescent="0.35">
      <c r="A3015">
        <v>38392</v>
      </c>
      <c r="B3015">
        <v>0</v>
      </c>
      <c r="C3015" s="5" t="s">
        <v>13</v>
      </c>
      <c r="D3015">
        <v>3401</v>
      </c>
      <c r="E3015" s="5" t="s">
        <v>93</v>
      </c>
      <c r="F3015" s="5" t="s">
        <v>17</v>
      </c>
      <c r="G3015">
        <v>20</v>
      </c>
    </row>
    <row r="3016" spans="1:7" x14ac:dyDescent="0.35">
      <c r="A3016">
        <v>122090</v>
      </c>
      <c r="B3016">
        <v>0</v>
      </c>
      <c r="C3016" s="5" t="s">
        <v>20</v>
      </c>
      <c r="D3016">
        <v>5009</v>
      </c>
      <c r="E3016" s="5" t="s">
        <v>80</v>
      </c>
      <c r="F3016" s="5" t="s">
        <v>14</v>
      </c>
      <c r="G3016">
        <v>20</v>
      </c>
    </row>
    <row r="3017" spans="1:7" x14ac:dyDescent="0.35">
      <c r="A3017">
        <v>159623</v>
      </c>
      <c r="B3017">
        <v>28</v>
      </c>
      <c r="C3017" s="5" t="s">
        <v>32</v>
      </c>
      <c r="D3017">
        <v>4801</v>
      </c>
      <c r="E3017" s="5" t="s">
        <v>78</v>
      </c>
      <c r="F3017" s="5" t="s">
        <v>17</v>
      </c>
      <c r="G3017">
        <v>20</v>
      </c>
    </row>
    <row r="3018" spans="1:7" x14ac:dyDescent="0.35">
      <c r="A3018">
        <v>103290</v>
      </c>
      <c r="B3018">
        <v>1</v>
      </c>
      <c r="C3018" s="5" t="s">
        <v>33</v>
      </c>
      <c r="D3018">
        <v>2601</v>
      </c>
      <c r="E3018" s="5" t="s">
        <v>82</v>
      </c>
      <c r="F3018" s="5" t="s">
        <v>14</v>
      </c>
      <c r="G3018">
        <v>16</v>
      </c>
    </row>
    <row r="3019" spans="1:7" x14ac:dyDescent="0.35">
      <c r="A3019">
        <v>154745</v>
      </c>
      <c r="B3019">
        <v>1</v>
      </c>
      <c r="C3019" s="5" t="s">
        <v>21</v>
      </c>
      <c r="D3019">
        <v>4201</v>
      </c>
      <c r="E3019" s="5" t="s">
        <v>79</v>
      </c>
      <c r="F3019" s="5" t="s">
        <v>14</v>
      </c>
      <c r="G3019">
        <v>5</v>
      </c>
    </row>
    <row r="3020" spans="1:7" x14ac:dyDescent="0.35">
      <c r="A3020">
        <v>184549</v>
      </c>
      <c r="B3020">
        <v>0</v>
      </c>
      <c r="C3020" s="5" t="s">
        <v>60</v>
      </c>
      <c r="D3020">
        <v>4301</v>
      </c>
      <c r="E3020" s="5" t="s">
        <v>78</v>
      </c>
      <c r="F3020" s="5" t="s">
        <v>14</v>
      </c>
      <c r="G3020">
        <v>25</v>
      </c>
    </row>
    <row r="3021" spans="1:7" x14ac:dyDescent="0.35">
      <c r="A3021">
        <v>162494</v>
      </c>
      <c r="B3021">
        <v>1</v>
      </c>
      <c r="C3021" s="5" t="s">
        <v>21</v>
      </c>
      <c r="D3021">
        <v>5601</v>
      </c>
      <c r="E3021" s="5" t="s">
        <v>80</v>
      </c>
      <c r="F3021" s="5" t="s">
        <v>14</v>
      </c>
      <c r="G3021">
        <v>30</v>
      </c>
    </row>
    <row r="3022" spans="1:7" x14ac:dyDescent="0.35">
      <c r="A3022">
        <v>45873</v>
      </c>
      <c r="B3022">
        <v>0</v>
      </c>
      <c r="C3022" s="5" t="s">
        <v>13</v>
      </c>
      <c r="D3022">
        <v>1606</v>
      </c>
      <c r="E3022" s="5" t="s">
        <v>87</v>
      </c>
      <c r="F3022" s="5" t="s">
        <v>17</v>
      </c>
      <c r="G3022">
        <v>8</v>
      </c>
    </row>
    <row r="3023" spans="1:7" x14ac:dyDescent="0.35">
      <c r="A3023">
        <v>14831</v>
      </c>
      <c r="B3023">
        <v>0</v>
      </c>
      <c r="C3023" s="5" t="s">
        <v>29</v>
      </c>
      <c r="D3023">
        <v>0</v>
      </c>
      <c r="E3023" s="5" t="s">
        <v>89</v>
      </c>
      <c r="F3023" s="5" t="s">
        <v>17</v>
      </c>
      <c r="G3023">
        <v>10</v>
      </c>
    </row>
    <row r="3024" spans="1:7" x14ac:dyDescent="0.35">
      <c r="A3024">
        <v>160610</v>
      </c>
      <c r="B3024">
        <v>28</v>
      </c>
      <c r="C3024" s="5" t="s">
        <v>21</v>
      </c>
      <c r="D3024">
        <v>0</v>
      </c>
      <c r="E3024" s="5" t="s">
        <v>81</v>
      </c>
      <c r="F3024" s="5" t="s">
        <v>17</v>
      </c>
      <c r="G3024">
        <v>15</v>
      </c>
    </row>
    <row r="3025" spans="1:7" x14ac:dyDescent="0.35">
      <c r="A3025">
        <v>44243</v>
      </c>
      <c r="B3025">
        <v>2</v>
      </c>
      <c r="C3025" s="5" t="s">
        <v>13</v>
      </c>
      <c r="D3025">
        <v>1601</v>
      </c>
      <c r="E3025" s="5" t="s">
        <v>82</v>
      </c>
      <c r="F3025" s="5" t="s">
        <v>17</v>
      </c>
      <c r="G3025">
        <v>20</v>
      </c>
    </row>
    <row r="3026" spans="1:7" x14ac:dyDescent="0.35">
      <c r="A3026">
        <v>41537</v>
      </c>
      <c r="B3026">
        <v>2</v>
      </c>
      <c r="C3026" s="5" t="s">
        <v>13</v>
      </c>
      <c r="D3026">
        <v>6101</v>
      </c>
      <c r="E3026" s="5" t="s">
        <v>80</v>
      </c>
      <c r="F3026" s="5" t="s">
        <v>17</v>
      </c>
      <c r="G3026">
        <v>50</v>
      </c>
    </row>
    <row r="3027" spans="1:7" x14ac:dyDescent="0.35">
      <c r="A3027">
        <v>56120</v>
      </c>
      <c r="B3027">
        <v>0</v>
      </c>
      <c r="C3027" s="5" t="s">
        <v>56</v>
      </c>
      <c r="D3027">
        <v>0</v>
      </c>
      <c r="E3027" s="5" t="s">
        <v>94</v>
      </c>
      <c r="F3027" s="5" t="s">
        <v>17</v>
      </c>
      <c r="G3027">
        <v>15</v>
      </c>
    </row>
    <row r="3028" spans="1:7" x14ac:dyDescent="0.35">
      <c r="A3028">
        <v>15648</v>
      </c>
      <c r="B3028">
        <v>2</v>
      </c>
      <c r="C3028" s="5" t="s">
        <v>18</v>
      </c>
      <c r="D3028">
        <v>0</v>
      </c>
      <c r="E3028" s="5" t="s">
        <v>78</v>
      </c>
      <c r="F3028" s="5" t="s">
        <v>17</v>
      </c>
      <c r="G3028">
        <v>20</v>
      </c>
    </row>
    <row r="3029" spans="1:7" x14ac:dyDescent="0.35">
      <c r="A3029">
        <v>14608</v>
      </c>
      <c r="B3029">
        <v>2</v>
      </c>
      <c r="C3029" s="5" t="s">
        <v>21</v>
      </c>
      <c r="D3029">
        <v>2601</v>
      </c>
      <c r="E3029" s="5" t="s">
        <v>84</v>
      </c>
      <c r="F3029" s="5" t="s">
        <v>17</v>
      </c>
      <c r="G3029">
        <v>15</v>
      </c>
    </row>
    <row r="3030" spans="1:7" x14ac:dyDescent="0.35">
      <c r="A3030">
        <v>9053</v>
      </c>
      <c r="B3030">
        <v>0</v>
      </c>
      <c r="C3030" s="5" t="s">
        <v>21</v>
      </c>
      <c r="D3030">
        <v>1708</v>
      </c>
      <c r="E3030" s="5" t="s">
        <v>83</v>
      </c>
      <c r="F3030" s="5" t="s">
        <v>17</v>
      </c>
      <c r="G3030">
        <v>20</v>
      </c>
    </row>
    <row r="3031" spans="1:7" x14ac:dyDescent="0.35">
      <c r="A3031">
        <v>137971</v>
      </c>
      <c r="B3031">
        <v>0</v>
      </c>
      <c r="C3031" s="5" t="s">
        <v>51</v>
      </c>
      <c r="D3031">
        <v>2801</v>
      </c>
      <c r="E3031" s="5" t="s">
        <v>87</v>
      </c>
      <c r="F3031" s="5" t="s">
        <v>17</v>
      </c>
      <c r="G3031">
        <v>25</v>
      </c>
    </row>
    <row r="3032" spans="1:7" x14ac:dyDescent="0.35">
      <c r="A3032">
        <v>83497</v>
      </c>
      <c r="B3032">
        <v>0</v>
      </c>
      <c r="C3032" s="5" t="s">
        <v>52</v>
      </c>
      <c r="D3032">
        <v>2801</v>
      </c>
      <c r="E3032" s="5" t="s">
        <v>91</v>
      </c>
      <c r="F3032" s="5" t="s">
        <v>17</v>
      </c>
      <c r="G3032">
        <v>15</v>
      </c>
    </row>
    <row r="3033" spans="1:7" x14ac:dyDescent="0.35">
      <c r="A3033">
        <v>169640</v>
      </c>
      <c r="B3033">
        <v>0</v>
      </c>
      <c r="C3033" s="5" t="s">
        <v>21</v>
      </c>
      <c r="D3033">
        <v>2201</v>
      </c>
      <c r="E3033" s="5" t="s">
        <v>86</v>
      </c>
      <c r="F3033" s="5" t="s">
        <v>17</v>
      </c>
      <c r="G3033">
        <v>8</v>
      </c>
    </row>
    <row r="3034" spans="1:7" x14ac:dyDescent="0.35">
      <c r="A3034">
        <v>169903</v>
      </c>
      <c r="B3034">
        <v>2</v>
      </c>
      <c r="C3034" s="5" t="s">
        <v>21</v>
      </c>
      <c r="D3034">
        <v>1701</v>
      </c>
      <c r="E3034" s="5" t="s">
        <v>82</v>
      </c>
      <c r="F3034" s="5" t="s">
        <v>27</v>
      </c>
      <c r="G3034">
        <v>15</v>
      </c>
    </row>
    <row r="3035" spans="1:7" x14ac:dyDescent="0.35">
      <c r="A3035">
        <v>172175</v>
      </c>
      <c r="B3035">
        <v>0</v>
      </c>
      <c r="C3035" s="5" t="s">
        <v>21</v>
      </c>
      <c r="D3035">
        <v>201</v>
      </c>
      <c r="E3035" s="5" t="s">
        <v>87</v>
      </c>
      <c r="F3035" s="5" t="s">
        <v>17</v>
      </c>
      <c r="G3035">
        <v>10</v>
      </c>
    </row>
    <row r="3036" spans="1:7" x14ac:dyDescent="0.35">
      <c r="A3036">
        <v>145905</v>
      </c>
      <c r="B3036">
        <v>1</v>
      </c>
      <c r="C3036" s="5" t="s">
        <v>21</v>
      </c>
      <c r="D3036">
        <v>1101</v>
      </c>
      <c r="E3036" s="5" t="s">
        <v>83</v>
      </c>
      <c r="F3036" s="5" t="s">
        <v>14</v>
      </c>
      <c r="G3036">
        <v>20</v>
      </c>
    </row>
    <row r="3037" spans="1:7" x14ac:dyDescent="0.35">
      <c r="A3037">
        <v>136385</v>
      </c>
      <c r="B3037">
        <v>1</v>
      </c>
      <c r="C3037" s="5" t="s">
        <v>51</v>
      </c>
      <c r="D3037">
        <v>2407</v>
      </c>
      <c r="E3037" s="5" t="s">
        <v>82</v>
      </c>
      <c r="F3037" s="5" t="s">
        <v>14</v>
      </c>
      <c r="G3037">
        <v>5</v>
      </c>
    </row>
    <row r="3038" spans="1:7" x14ac:dyDescent="0.35">
      <c r="A3038">
        <v>15038</v>
      </c>
      <c r="B3038">
        <v>2</v>
      </c>
      <c r="C3038" s="5" t="s">
        <v>18</v>
      </c>
      <c r="D3038">
        <v>2201</v>
      </c>
      <c r="E3038" s="5" t="s">
        <v>79</v>
      </c>
      <c r="F3038" s="5" t="s">
        <v>14</v>
      </c>
      <c r="G3038">
        <v>25</v>
      </c>
    </row>
    <row r="3039" spans="1:7" x14ac:dyDescent="0.35">
      <c r="A3039">
        <v>40786</v>
      </c>
      <c r="B3039">
        <v>1</v>
      </c>
      <c r="C3039" s="5" t="s">
        <v>13</v>
      </c>
      <c r="D3039">
        <v>2504</v>
      </c>
      <c r="E3039" s="5" t="s">
        <v>79</v>
      </c>
      <c r="F3039" s="5" t="s">
        <v>14</v>
      </c>
      <c r="G3039">
        <v>5</v>
      </c>
    </row>
    <row r="3040" spans="1:7" x14ac:dyDescent="0.35">
      <c r="A3040">
        <v>2935</v>
      </c>
      <c r="B3040">
        <v>0</v>
      </c>
      <c r="C3040" s="5" t="s">
        <v>16</v>
      </c>
      <c r="D3040">
        <v>0</v>
      </c>
      <c r="E3040" s="5" t="s">
        <v>86</v>
      </c>
      <c r="F3040" s="5" t="s">
        <v>17</v>
      </c>
      <c r="G3040">
        <v>25</v>
      </c>
    </row>
    <row r="3041" spans="1:7" x14ac:dyDescent="0.35">
      <c r="A3041">
        <v>132983</v>
      </c>
      <c r="B3041">
        <v>2</v>
      </c>
      <c r="C3041" s="5" t="s">
        <v>58</v>
      </c>
      <c r="D3041">
        <v>4401</v>
      </c>
      <c r="E3041" s="5" t="s">
        <v>90</v>
      </c>
      <c r="F3041" s="5" t="s">
        <v>14</v>
      </c>
      <c r="G3041">
        <v>15</v>
      </c>
    </row>
    <row r="3042" spans="1:7" x14ac:dyDescent="0.35">
      <c r="A3042">
        <v>104747</v>
      </c>
      <c r="B3042">
        <v>2</v>
      </c>
      <c r="C3042" s="5" t="s">
        <v>25</v>
      </c>
      <c r="D3042">
        <v>1303</v>
      </c>
      <c r="E3042" s="5" t="s">
        <v>85</v>
      </c>
      <c r="F3042" s="5" t="s">
        <v>17</v>
      </c>
      <c r="G3042">
        <v>10</v>
      </c>
    </row>
    <row r="3043" spans="1:7" x14ac:dyDescent="0.35">
      <c r="A3043">
        <v>92772</v>
      </c>
      <c r="B3043">
        <v>2</v>
      </c>
      <c r="C3043" s="5" t="s">
        <v>13</v>
      </c>
      <c r="D3043">
        <v>4002</v>
      </c>
      <c r="E3043" s="5" t="s">
        <v>83</v>
      </c>
      <c r="F3043" s="5" t="s">
        <v>17</v>
      </c>
      <c r="G3043">
        <v>5</v>
      </c>
    </row>
    <row r="3044" spans="1:7" x14ac:dyDescent="0.35">
      <c r="A3044">
        <v>64522</v>
      </c>
      <c r="B3044">
        <v>0</v>
      </c>
      <c r="C3044" s="5" t="s">
        <v>30</v>
      </c>
      <c r="D3044">
        <v>3606</v>
      </c>
      <c r="E3044" s="5" t="s">
        <v>81</v>
      </c>
      <c r="F3044" s="5" t="s">
        <v>14</v>
      </c>
      <c r="G3044">
        <v>10</v>
      </c>
    </row>
    <row r="3045" spans="1:7" x14ac:dyDescent="0.35">
      <c r="A3045">
        <v>175719</v>
      </c>
      <c r="B3045">
        <v>0</v>
      </c>
      <c r="C3045" s="5" t="s">
        <v>47</v>
      </c>
      <c r="D3045">
        <v>2502</v>
      </c>
      <c r="E3045" s="5" t="s">
        <v>80</v>
      </c>
      <c r="F3045" s="5" t="s">
        <v>14</v>
      </c>
      <c r="G3045">
        <v>5</v>
      </c>
    </row>
    <row r="3046" spans="1:7" x14ac:dyDescent="0.35">
      <c r="A3046">
        <v>56318</v>
      </c>
      <c r="B3046">
        <v>28</v>
      </c>
      <c r="C3046" s="5" t="s">
        <v>53</v>
      </c>
      <c r="D3046">
        <v>5801</v>
      </c>
      <c r="E3046" s="5" t="s">
        <v>84</v>
      </c>
      <c r="F3046" s="5" t="s">
        <v>17</v>
      </c>
      <c r="G3046">
        <v>5</v>
      </c>
    </row>
    <row r="3047" spans="1:7" x14ac:dyDescent="0.35">
      <c r="A3047">
        <v>113736</v>
      </c>
      <c r="B3047">
        <v>0</v>
      </c>
      <c r="C3047" s="5" t="s">
        <v>28</v>
      </c>
      <c r="D3047">
        <v>5701</v>
      </c>
      <c r="E3047" s="5" t="s">
        <v>84</v>
      </c>
      <c r="F3047" s="5" t="s">
        <v>17</v>
      </c>
      <c r="G3047">
        <v>20</v>
      </c>
    </row>
    <row r="3048" spans="1:7" x14ac:dyDescent="0.35">
      <c r="A3048">
        <v>165366</v>
      </c>
      <c r="B3048">
        <v>0</v>
      </c>
      <c r="C3048" s="5" t="s">
        <v>21</v>
      </c>
      <c r="D3048">
        <v>0</v>
      </c>
      <c r="E3048" s="5" t="s">
        <v>84</v>
      </c>
      <c r="F3048" s="5" t="s">
        <v>14</v>
      </c>
      <c r="G3048">
        <v>30</v>
      </c>
    </row>
    <row r="3049" spans="1:7" x14ac:dyDescent="0.35">
      <c r="A3049">
        <v>73371</v>
      </c>
      <c r="B3049">
        <v>1</v>
      </c>
      <c r="C3049" s="5" t="s">
        <v>26</v>
      </c>
      <c r="D3049">
        <v>1901</v>
      </c>
      <c r="E3049" s="5" t="s">
        <v>87</v>
      </c>
      <c r="F3049" s="5" t="s">
        <v>86</v>
      </c>
      <c r="G3049">
        <v>10</v>
      </c>
    </row>
    <row r="3050" spans="1:7" x14ac:dyDescent="0.35">
      <c r="A3050">
        <v>145895</v>
      </c>
      <c r="B3050">
        <v>0</v>
      </c>
      <c r="C3050" s="5" t="s">
        <v>21</v>
      </c>
      <c r="D3050">
        <v>0</v>
      </c>
      <c r="E3050" s="5" t="s">
        <v>83</v>
      </c>
      <c r="F3050" s="5" t="s">
        <v>17</v>
      </c>
      <c r="G3050">
        <v>15</v>
      </c>
    </row>
    <row r="3051" spans="1:7" x14ac:dyDescent="0.35">
      <c r="A3051">
        <v>5366</v>
      </c>
      <c r="B3051">
        <v>0</v>
      </c>
      <c r="C3051" s="5" t="s">
        <v>21</v>
      </c>
      <c r="D3051">
        <v>4901</v>
      </c>
      <c r="E3051" s="5" t="s">
        <v>78</v>
      </c>
      <c r="F3051" s="5" t="s">
        <v>17</v>
      </c>
      <c r="G3051">
        <v>20</v>
      </c>
    </row>
    <row r="3052" spans="1:7" x14ac:dyDescent="0.35">
      <c r="A3052">
        <v>37090</v>
      </c>
      <c r="B3052">
        <v>1</v>
      </c>
      <c r="C3052" s="5" t="s">
        <v>13</v>
      </c>
      <c r="D3052">
        <v>3011</v>
      </c>
      <c r="E3052" s="5" t="s">
        <v>88</v>
      </c>
      <c r="F3052" s="5" t="s">
        <v>14</v>
      </c>
      <c r="G3052">
        <v>20</v>
      </c>
    </row>
    <row r="3053" spans="1:7" x14ac:dyDescent="0.35">
      <c r="A3053">
        <v>427</v>
      </c>
      <c r="B3053">
        <v>0</v>
      </c>
      <c r="C3053" s="5" t="s">
        <v>13</v>
      </c>
      <c r="D3053">
        <v>0</v>
      </c>
      <c r="E3053" s="5" t="s">
        <v>78</v>
      </c>
      <c r="F3053" s="5" t="s">
        <v>14</v>
      </c>
      <c r="G3053">
        <v>10</v>
      </c>
    </row>
    <row r="3054" spans="1:7" x14ac:dyDescent="0.35">
      <c r="A3054">
        <v>220</v>
      </c>
      <c r="B3054">
        <v>1</v>
      </c>
      <c r="C3054" s="5" t="s">
        <v>16</v>
      </c>
      <c r="D3054">
        <v>5205</v>
      </c>
      <c r="E3054" s="5" t="s">
        <v>87</v>
      </c>
      <c r="F3054" s="5" t="s">
        <v>14</v>
      </c>
      <c r="G3054">
        <v>8</v>
      </c>
    </row>
    <row r="3055" spans="1:7" x14ac:dyDescent="0.35">
      <c r="A3055">
        <v>39246</v>
      </c>
      <c r="B3055">
        <v>28</v>
      </c>
      <c r="C3055" s="5" t="s">
        <v>13</v>
      </c>
      <c r="D3055">
        <v>2401</v>
      </c>
      <c r="E3055" s="5" t="s">
        <v>80</v>
      </c>
      <c r="F3055" s="5" t="s">
        <v>17</v>
      </c>
      <c r="G3055">
        <v>5</v>
      </c>
    </row>
    <row r="3056" spans="1:7" x14ac:dyDescent="0.35">
      <c r="A3056">
        <v>85853</v>
      </c>
      <c r="B3056">
        <v>1002</v>
      </c>
      <c r="C3056" s="5" t="s">
        <v>52</v>
      </c>
      <c r="D3056">
        <v>6001</v>
      </c>
      <c r="E3056" s="5" t="s">
        <v>81</v>
      </c>
      <c r="F3056" s="5" t="s">
        <v>14</v>
      </c>
      <c r="G3056">
        <v>20</v>
      </c>
    </row>
    <row r="3057" spans="1:7" x14ac:dyDescent="0.35">
      <c r="A3057">
        <v>97829</v>
      </c>
      <c r="B3057">
        <v>0</v>
      </c>
      <c r="C3057" s="5" t="s">
        <v>16</v>
      </c>
      <c r="D3057">
        <v>5101</v>
      </c>
      <c r="E3057" s="5" t="s">
        <v>79</v>
      </c>
      <c r="F3057" s="5" t="s">
        <v>14</v>
      </c>
      <c r="G3057">
        <v>10</v>
      </c>
    </row>
    <row r="3058" spans="1:7" x14ac:dyDescent="0.35">
      <c r="A3058">
        <v>118831</v>
      </c>
      <c r="B3058">
        <v>0</v>
      </c>
      <c r="C3058" s="5" t="s">
        <v>20</v>
      </c>
      <c r="D3058">
        <v>6201</v>
      </c>
      <c r="E3058" s="5" t="s">
        <v>83</v>
      </c>
      <c r="F3058" s="5" t="s">
        <v>17</v>
      </c>
      <c r="G3058">
        <v>20</v>
      </c>
    </row>
    <row r="3059" spans="1:7" x14ac:dyDescent="0.35">
      <c r="A3059">
        <v>178597</v>
      </c>
      <c r="B3059">
        <v>2</v>
      </c>
      <c r="C3059" s="5" t="s">
        <v>37</v>
      </c>
      <c r="D3059">
        <v>3201</v>
      </c>
      <c r="E3059" s="5" t="s">
        <v>83</v>
      </c>
      <c r="F3059" s="5" t="s">
        <v>17</v>
      </c>
      <c r="G3059">
        <v>22</v>
      </c>
    </row>
    <row r="3060" spans="1:7" x14ac:dyDescent="0.35">
      <c r="A3060">
        <v>152509</v>
      </c>
      <c r="B3060">
        <v>28</v>
      </c>
      <c r="C3060" s="5" t="s">
        <v>21</v>
      </c>
      <c r="D3060">
        <v>0</v>
      </c>
      <c r="E3060" s="5" t="s">
        <v>80</v>
      </c>
      <c r="F3060" s="5" t="s">
        <v>17</v>
      </c>
      <c r="G3060">
        <v>20</v>
      </c>
    </row>
    <row r="3061" spans="1:7" x14ac:dyDescent="0.35">
      <c r="A3061">
        <v>61232</v>
      </c>
      <c r="B3061">
        <v>0</v>
      </c>
      <c r="C3061" s="5" t="s">
        <v>30</v>
      </c>
      <c r="D3061">
        <v>4501</v>
      </c>
      <c r="E3061" s="5" t="s">
        <v>83</v>
      </c>
      <c r="F3061" s="5" t="s">
        <v>17</v>
      </c>
      <c r="G3061">
        <v>10</v>
      </c>
    </row>
    <row r="3062" spans="1:7" x14ac:dyDescent="0.35">
      <c r="A3062">
        <v>27714</v>
      </c>
      <c r="B3062">
        <v>1</v>
      </c>
      <c r="C3062" s="5" t="s">
        <v>36</v>
      </c>
      <c r="D3062">
        <v>3801</v>
      </c>
      <c r="E3062" s="5" t="s">
        <v>82</v>
      </c>
      <c r="F3062" s="5" t="s">
        <v>14</v>
      </c>
      <c r="G3062">
        <v>9</v>
      </c>
    </row>
    <row r="3063" spans="1:7" x14ac:dyDescent="0.35">
      <c r="A3063">
        <v>170473</v>
      </c>
      <c r="B3063">
        <v>72</v>
      </c>
      <c r="C3063" s="5" t="s">
        <v>21</v>
      </c>
      <c r="D3063">
        <v>5101</v>
      </c>
      <c r="E3063" s="5" t="s">
        <v>90</v>
      </c>
      <c r="F3063" s="5" t="s">
        <v>14</v>
      </c>
      <c r="G3063">
        <v>20</v>
      </c>
    </row>
    <row r="3064" spans="1:7" x14ac:dyDescent="0.35">
      <c r="A3064">
        <v>176454</v>
      </c>
      <c r="B3064">
        <v>28</v>
      </c>
      <c r="C3064" s="5" t="s">
        <v>47</v>
      </c>
      <c r="D3064">
        <v>0</v>
      </c>
      <c r="E3064" s="5" t="s">
        <v>94</v>
      </c>
      <c r="F3064" s="5" t="s">
        <v>17</v>
      </c>
      <c r="G3064">
        <v>23</v>
      </c>
    </row>
    <row r="3065" spans="1:7" x14ac:dyDescent="0.35">
      <c r="A3065">
        <v>73685</v>
      </c>
      <c r="B3065">
        <v>1</v>
      </c>
      <c r="C3065" s="5" t="s">
        <v>26</v>
      </c>
      <c r="D3065">
        <v>1707</v>
      </c>
      <c r="E3065" s="5" t="s">
        <v>80</v>
      </c>
      <c r="F3065" s="5" t="s">
        <v>14</v>
      </c>
      <c r="G3065">
        <v>10</v>
      </c>
    </row>
    <row r="3066" spans="1:7" x14ac:dyDescent="0.35">
      <c r="A3066">
        <v>75153</v>
      </c>
      <c r="B3066">
        <v>1</v>
      </c>
      <c r="C3066" s="5" t="s">
        <v>44</v>
      </c>
      <c r="D3066">
        <v>1601</v>
      </c>
      <c r="E3066" s="5" t="s">
        <v>78</v>
      </c>
      <c r="F3066" s="5" t="s">
        <v>14</v>
      </c>
      <c r="G3066">
        <v>13</v>
      </c>
    </row>
    <row r="3067" spans="1:7" x14ac:dyDescent="0.35">
      <c r="A3067">
        <v>98731</v>
      </c>
      <c r="B3067">
        <v>28</v>
      </c>
      <c r="C3067" s="5" t="s">
        <v>16</v>
      </c>
      <c r="D3067">
        <v>5801</v>
      </c>
      <c r="E3067" s="5" t="s">
        <v>82</v>
      </c>
      <c r="F3067" s="5" t="s">
        <v>17</v>
      </c>
      <c r="G3067">
        <v>15</v>
      </c>
    </row>
    <row r="3068" spans="1:7" x14ac:dyDescent="0.35">
      <c r="A3068">
        <v>81600</v>
      </c>
      <c r="B3068">
        <v>0</v>
      </c>
      <c r="C3068" s="5" t="s">
        <v>32</v>
      </c>
      <c r="D3068">
        <v>0</v>
      </c>
      <c r="E3068" s="5" t="s">
        <v>81</v>
      </c>
      <c r="F3068" s="5" t="s">
        <v>17</v>
      </c>
      <c r="G3068">
        <v>5</v>
      </c>
    </row>
    <row r="3069" spans="1:7" x14ac:dyDescent="0.35">
      <c r="A3069">
        <v>104467</v>
      </c>
      <c r="B3069">
        <v>0</v>
      </c>
      <c r="C3069" s="5" t="s">
        <v>25</v>
      </c>
      <c r="D3069">
        <v>3201</v>
      </c>
      <c r="E3069" s="5" t="s">
        <v>78</v>
      </c>
      <c r="F3069" s="5" t="s">
        <v>14</v>
      </c>
      <c r="G3069">
        <v>3</v>
      </c>
    </row>
    <row r="3070" spans="1:7" x14ac:dyDescent="0.35">
      <c r="A3070">
        <v>190647</v>
      </c>
      <c r="B3070">
        <v>2</v>
      </c>
      <c r="C3070" s="5" t="s">
        <v>52</v>
      </c>
      <c r="D3070">
        <v>0</v>
      </c>
      <c r="E3070" s="5" t="s">
        <v>81</v>
      </c>
      <c r="F3070" s="5" t="s">
        <v>17</v>
      </c>
      <c r="G3070">
        <v>10</v>
      </c>
    </row>
    <row r="3071" spans="1:7" x14ac:dyDescent="0.35">
      <c r="A3071">
        <v>790</v>
      </c>
      <c r="B3071">
        <v>1</v>
      </c>
      <c r="C3071" s="5" t="s">
        <v>16</v>
      </c>
      <c r="D3071">
        <v>2601</v>
      </c>
      <c r="E3071" s="5" t="s">
        <v>81</v>
      </c>
      <c r="F3071" s="5" t="s">
        <v>14</v>
      </c>
      <c r="G3071">
        <v>15</v>
      </c>
    </row>
    <row r="3072" spans="1:7" x14ac:dyDescent="0.35">
      <c r="A3072">
        <v>153319</v>
      </c>
      <c r="B3072">
        <v>0</v>
      </c>
      <c r="C3072" s="5" t="s">
        <v>21</v>
      </c>
      <c r="D3072">
        <v>4601</v>
      </c>
      <c r="E3072" s="5" t="s">
        <v>85</v>
      </c>
      <c r="F3072" s="5" t="s">
        <v>17</v>
      </c>
      <c r="G3072">
        <v>35</v>
      </c>
    </row>
    <row r="3073" spans="1:7" x14ac:dyDescent="0.35">
      <c r="A3073">
        <v>21769</v>
      </c>
      <c r="B3073">
        <v>1</v>
      </c>
      <c r="C3073" s="5" t="s">
        <v>18</v>
      </c>
      <c r="D3073">
        <v>0</v>
      </c>
      <c r="E3073" s="5" t="s">
        <v>79</v>
      </c>
      <c r="F3073" s="5" t="s">
        <v>14</v>
      </c>
      <c r="G3073">
        <v>9</v>
      </c>
    </row>
    <row r="3074" spans="1:7" x14ac:dyDescent="0.35">
      <c r="A3074">
        <v>57419</v>
      </c>
      <c r="B3074">
        <v>0</v>
      </c>
      <c r="C3074" s="5" t="s">
        <v>53</v>
      </c>
      <c r="D3074">
        <v>6201</v>
      </c>
      <c r="E3074" s="5" t="s">
        <v>83</v>
      </c>
      <c r="F3074" s="5" t="s">
        <v>17</v>
      </c>
      <c r="G3074">
        <v>10</v>
      </c>
    </row>
    <row r="3075" spans="1:7" x14ac:dyDescent="0.35">
      <c r="A3075">
        <v>107195</v>
      </c>
      <c r="B3075">
        <v>2</v>
      </c>
      <c r="C3075" s="5" t="s">
        <v>55</v>
      </c>
      <c r="D3075">
        <v>4801</v>
      </c>
      <c r="E3075" s="5" t="s">
        <v>78</v>
      </c>
      <c r="F3075" s="5" t="s">
        <v>17</v>
      </c>
      <c r="G3075">
        <v>10</v>
      </c>
    </row>
    <row r="3076" spans="1:7" x14ac:dyDescent="0.35">
      <c r="A3076">
        <v>139062</v>
      </c>
      <c r="B3076">
        <v>0</v>
      </c>
      <c r="C3076" s="5" t="s">
        <v>51</v>
      </c>
      <c r="D3076">
        <v>3501</v>
      </c>
      <c r="E3076" s="5" t="s">
        <v>86</v>
      </c>
      <c r="F3076" s="5" t="s">
        <v>17</v>
      </c>
      <c r="G3076">
        <v>20</v>
      </c>
    </row>
    <row r="3077" spans="1:7" x14ac:dyDescent="0.35">
      <c r="A3077">
        <v>147529</v>
      </c>
      <c r="B3077">
        <v>1</v>
      </c>
      <c r="C3077" s="5" t="s">
        <v>18</v>
      </c>
      <c r="D3077">
        <v>3810</v>
      </c>
      <c r="E3077" s="5" t="s">
        <v>83</v>
      </c>
      <c r="F3077" s="5" t="s">
        <v>17</v>
      </c>
      <c r="G3077">
        <v>20</v>
      </c>
    </row>
    <row r="3078" spans="1:7" x14ac:dyDescent="0.35">
      <c r="A3078">
        <v>52574</v>
      </c>
      <c r="B3078">
        <v>0</v>
      </c>
      <c r="C3078" s="5" t="s">
        <v>49</v>
      </c>
      <c r="D3078">
        <v>4501</v>
      </c>
      <c r="E3078" s="5" t="s">
        <v>81</v>
      </c>
      <c r="F3078" s="5" t="s">
        <v>17</v>
      </c>
      <c r="G3078">
        <v>12</v>
      </c>
    </row>
    <row r="3079" spans="1:7" x14ac:dyDescent="0.35">
      <c r="A3079">
        <v>41482</v>
      </c>
      <c r="B3079">
        <v>0</v>
      </c>
      <c r="C3079" s="5" t="s">
        <v>13</v>
      </c>
      <c r="D3079">
        <v>2501</v>
      </c>
      <c r="E3079" s="5" t="s">
        <v>87</v>
      </c>
      <c r="F3079" s="5" t="s">
        <v>17</v>
      </c>
      <c r="G3079">
        <v>5</v>
      </c>
    </row>
    <row r="3080" spans="1:7" x14ac:dyDescent="0.35">
      <c r="A3080">
        <v>165287</v>
      </c>
      <c r="B3080">
        <v>1</v>
      </c>
      <c r="C3080" s="5" t="s">
        <v>21</v>
      </c>
      <c r="D3080">
        <v>5401</v>
      </c>
      <c r="E3080" s="5" t="s">
        <v>82</v>
      </c>
      <c r="F3080" s="5" t="s">
        <v>14</v>
      </c>
      <c r="G3080">
        <v>22</v>
      </c>
    </row>
    <row r="3081" spans="1:7" x14ac:dyDescent="0.35">
      <c r="A3081">
        <v>41569</v>
      </c>
      <c r="B3081">
        <v>0</v>
      </c>
      <c r="C3081" s="5" t="s">
        <v>13</v>
      </c>
      <c r="D3081">
        <v>2507</v>
      </c>
      <c r="E3081" s="5" t="s">
        <v>85</v>
      </c>
      <c r="F3081" s="5" t="s">
        <v>17</v>
      </c>
      <c r="G3081">
        <v>18</v>
      </c>
    </row>
    <row r="3082" spans="1:7" x14ac:dyDescent="0.35">
      <c r="A3082">
        <v>1959</v>
      </c>
      <c r="B3082">
        <v>28</v>
      </c>
      <c r="C3082" s="5" t="s">
        <v>21</v>
      </c>
      <c r="D3082">
        <v>5801</v>
      </c>
      <c r="E3082" s="5" t="s">
        <v>83</v>
      </c>
      <c r="F3082" s="5" t="s">
        <v>17</v>
      </c>
      <c r="G3082">
        <v>50</v>
      </c>
    </row>
    <row r="3083" spans="1:7" x14ac:dyDescent="0.35">
      <c r="A3083">
        <v>182490</v>
      </c>
      <c r="B3083">
        <v>1002</v>
      </c>
      <c r="C3083" s="5" t="s">
        <v>71</v>
      </c>
      <c r="D3083">
        <v>6311</v>
      </c>
      <c r="E3083" s="5" t="s">
        <v>79</v>
      </c>
      <c r="F3083" s="5" t="s">
        <v>14</v>
      </c>
      <c r="G3083">
        <v>10</v>
      </c>
    </row>
    <row r="3084" spans="1:7" x14ac:dyDescent="0.35">
      <c r="A3084">
        <v>87680</v>
      </c>
      <c r="B3084">
        <v>0</v>
      </c>
      <c r="C3084" s="5" t="s">
        <v>31</v>
      </c>
      <c r="D3084">
        <v>0</v>
      </c>
      <c r="E3084" s="5" t="s">
        <v>81</v>
      </c>
      <c r="F3084" s="5" t="s">
        <v>17</v>
      </c>
      <c r="G3084">
        <v>12</v>
      </c>
    </row>
    <row r="3085" spans="1:7" x14ac:dyDescent="0.35">
      <c r="A3085">
        <v>16643</v>
      </c>
      <c r="B3085">
        <v>0</v>
      </c>
      <c r="C3085" s="5" t="s">
        <v>18</v>
      </c>
      <c r="D3085">
        <v>1401</v>
      </c>
      <c r="E3085" s="5" t="s">
        <v>82</v>
      </c>
      <c r="F3085" s="5" t="s">
        <v>17</v>
      </c>
      <c r="G3085">
        <v>125</v>
      </c>
    </row>
    <row r="3086" spans="1:7" x14ac:dyDescent="0.35">
      <c r="A3086">
        <v>27338</v>
      </c>
      <c r="B3086">
        <v>2</v>
      </c>
      <c r="C3086" s="5" t="s">
        <v>36</v>
      </c>
      <c r="D3086">
        <v>0</v>
      </c>
      <c r="E3086" s="5" t="s">
        <v>89</v>
      </c>
      <c r="F3086" s="5" t="s">
        <v>27</v>
      </c>
      <c r="G3086">
        <v>7</v>
      </c>
    </row>
    <row r="3087" spans="1:7" x14ac:dyDescent="0.35">
      <c r="A3087">
        <v>155907</v>
      </c>
      <c r="B3087">
        <v>2</v>
      </c>
      <c r="C3087" s="5" t="s">
        <v>21</v>
      </c>
      <c r="D3087">
        <v>0</v>
      </c>
      <c r="E3087" s="5" t="s">
        <v>94</v>
      </c>
      <c r="F3087" s="5" t="s">
        <v>17</v>
      </c>
      <c r="G3087">
        <v>15</v>
      </c>
    </row>
    <row r="3088" spans="1:7" x14ac:dyDescent="0.35">
      <c r="A3088">
        <v>144050</v>
      </c>
      <c r="B3088">
        <v>1</v>
      </c>
      <c r="C3088" s="5" t="s">
        <v>21</v>
      </c>
      <c r="D3088">
        <v>0</v>
      </c>
      <c r="E3088" s="5" t="s">
        <v>83</v>
      </c>
      <c r="F3088" s="5" t="s">
        <v>14</v>
      </c>
      <c r="G3088">
        <v>22</v>
      </c>
    </row>
    <row r="3089" spans="1:7" x14ac:dyDescent="0.35">
      <c r="A3089">
        <v>108420</v>
      </c>
      <c r="B3089">
        <v>0</v>
      </c>
      <c r="C3089" s="5" t="s">
        <v>46</v>
      </c>
      <c r="D3089">
        <v>3306</v>
      </c>
      <c r="E3089" s="5" t="s">
        <v>78</v>
      </c>
      <c r="F3089" s="5" t="s">
        <v>17</v>
      </c>
      <c r="G3089">
        <v>13</v>
      </c>
    </row>
    <row r="3090" spans="1:7" x14ac:dyDescent="0.35">
      <c r="A3090">
        <v>21373</v>
      </c>
      <c r="B3090">
        <v>0</v>
      </c>
      <c r="C3090" s="5" t="s">
        <v>18</v>
      </c>
      <c r="D3090">
        <v>5901</v>
      </c>
      <c r="E3090" s="5" t="s">
        <v>79</v>
      </c>
      <c r="F3090" s="5" t="s">
        <v>17</v>
      </c>
      <c r="G3090">
        <v>7</v>
      </c>
    </row>
    <row r="3091" spans="1:7" x14ac:dyDescent="0.35">
      <c r="A3091">
        <v>61108</v>
      </c>
      <c r="B3091">
        <v>0</v>
      </c>
      <c r="C3091" s="5" t="s">
        <v>30</v>
      </c>
      <c r="D3091">
        <v>3701</v>
      </c>
      <c r="E3091" s="5" t="s">
        <v>87</v>
      </c>
      <c r="F3091" s="5" t="s">
        <v>14</v>
      </c>
      <c r="G3091">
        <v>7</v>
      </c>
    </row>
    <row r="3092" spans="1:7" x14ac:dyDescent="0.35">
      <c r="A3092">
        <v>87024</v>
      </c>
      <c r="B3092">
        <v>0</v>
      </c>
      <c r="C3092" s="5" t="s">
        <v>31</v>
      </c>
      <c r="D3092">
        <v>0</v>
      </c>
      <c r="E3092" s="5" t="s">
        <v>81</v>
      </c>
      <c r="F3092" s="5" t="s">
        <v>17</v>
      </c>
      <c r="G3092">
        <v>5</v>
      </c>
    </row>
    <row r="3093" spans="1:7" x14ac:dyDescent="0.35">
      <c r="A3093">
        <v>179673</v>
      </c>
      <c r="B3093">
        <v>1</v>
      </c>
      <c r="C3093" s="5" t="s">
        <v>37</v>
      </c>
      <c r="D3093">
        <v>1701</v>
      </c>
      <c r="E3093" s="5" t="s">
        <v>85</v>
      </c>
      <c r="F3093" s="5" t="s">
        <v>14</v>
      </c>
      <c r="G3093">
        <v>5</v>
      </c>
    </row>
    <row r="3094" spans="1:7" x14ac:dyDescent="0.35">
      <c r="A3094">
        <v>179606</v>
      </c>
      <c r="B3094">
        <v>28</v>
      </c>
      <c r="C3094" s="5" t="s">
        <v>37</v>
      </c>
      <c r="D3094">
        <v>1910</v>
      </c>
      <c r="E3094" s="5" t="s">
        <v>84</v>
      </c>
      <c r="F3094" s="5" t="s">
        <v>17</v>
      </c>
      <c r="G3094">
        <v>15</v>
      </c>
    </row>
    <row r="3095" spans="1:7" x14ac:dyDescent="0.35">
      <c r="A3095">
        <v>144038</v>
      </c>
      <c r="B3095">
        <v>0</v>
      </c>
      <c r="C3095" s="5" t="s">
        <v>21</v>
      </c>
      <c r="D3095">
        <v>0</v>
      </c>
      <c r="E3095" s="5" t="s">
        <v>92</v>
      </c>
      <c r="F3095" s="5" t="s">
        <v>17</v>
      </c>
      <c r="G3095">
        <v>50</v>
      </c>
    </row>
    <row r="3096" spans="1:7" x14ac:dyDescent="0.35">
      <c r="A3096">
        <v>5496</v>
      </c>
      <c r="B3096">
        <v>1</v>
      </c>
      <c r="C3096" s="5" t="s">
        <v>53</v>
      </c>
      <c r="D3096">
        <v>1309</v>
      </c>
      <c r="E3096" s="5" t="s">
        <v>89</v>
      </c>
      <c r="F3096" s="5" t="s">
        <v>14</v>
      </c>
      <c r="G3096">
        <v>5</v>
      </c>
    </row>
    <row r="3097" spans="1:7" x14ac:dyDescent="0.35">
      <c r="A3097">
        <v>118805</v>
      </c>
      <c r="B3097">
        <v>2</v>
      </c>
      <c r="C3097" s="5" t="s">
        <v>20</v>
      </c>
      <c r="D3097">
        <v>4304</v>
      </c>
      <c r="E3097" s="5" t="s">
        <v>82</v>
      </c>
      <c r="F3097" s="5" t="s">
        <v>17</v>
      </c>
      <c r="G3097">
        <v>20</v>
      </c>
    </row>
    <row r="3098" spans="1:7" x14ac:dyDescent="0.35">
      <c r="A3098">
        <v>66300</v>
      </c>
      <c r="B3098">
        <v>1</v>
      </c>
      <c r="C3098" s="5" t="s">
        <v>26</v>
      </c>
      <c r="D3098">
        <v>811</v>
      </c>
      <c r="E3098" s="5" t="s">
        <v>85</v>
      </c>
      <c r="F3098" s="5" t="s">
        <v>14</v>
      </c>
      <c r="G3098">
        <v>14</v>
      </c>
    </row>
    <row r="3099" spans="1:7" x14ac:dyDescent="0.35">
      <c r="A3099">
        <v>168648</v>
      </c>
      <c r="B3099">
        <v>1002</v>
      </c>
      <c r="C3099" s="5" t="s">
        <v>21</v>
      </c>
      <c r="D3099">
        <v>4210</v>
      </c>
      <c r="E3099" s="5" t="s">
        <v>83</v>
      </c>
      <c r="F3099" s="5" t="s">
        <v>14</v>
      </c>
      <c r="G3099">
        <v>14</v>
      </c>
    </row>
    <row r="3100" spans="1:7" x14ac:dyDescent="0.35">
      <c r="A3100">
        <v>33420</v>
      </c>
      <c r="B3100">
        <v>1</v>
      </c>
      <c r="C3100" s="5" t="s">
        <v>13</v>
      </c>
      <c r="D3100">
        <v>4210</v>
      </c>
      <c r="E3100" s="5" t="s">
        <v>82</v>
      </c>
      <c r="F3100" s="5" t="s">
        <v>14</v>
      </c>
      <c r="G3100">
        <v>25</v>
      </c>
    </row>
    <row r="3101" spans="1:7" x14ac:dyDescent="0.35">
      <c r="A3101">
        <v>139141</v>
      </c>
      <c r="B3101">
        <v>1</v>
      </c>
      <c r="C3101" s="5" t="s">
        <v>50</v>
      </c>
      <c r="D3101">
        <v>5801</v>
      </c>
      <c r="E3101" s="5" t="s">
        <v>79</v>
      </c>
      <c r="F3101" s="5" t="s">
        <v>14</v>
      </c>
      <c r="G3101">
        <v>25</v>
      </c>
    </row>
    <row r="3102" spans="1:7" x14ac:dyDescent="0.35">
      <c r="A3102">
        <v>182056</v>
      </c>
      <c r="B3102">
        <v>1</v>
      </c>
      <c r="C3102" s="5" t="s">
        <v>37</v>
      </c>
      <c r="D3102">
        <v>3002</v>
      </c>
      <c r="E3102" s="5" t="s">
        <v>91</v>
      </c>
      <c r="F3102" s="5" t="s">
        <v>14</v>
      </c>
      <c r="G3102">
        <v>5</v>
      </c>
    </row>
    <row r="3103" spans="1:7" x14ac:dyDescent="0.35">
      <c r="A3103">
        <v>15384</v>
      </c>
      <c r="B3103">
        <v>28</v>
      </c>
      <c r="C3103" s="5" t="s">
        <v>18</v>
      </c>
      <c r="D3103">
        <v>3801</v>
      </c>
      <c r="E3103" s="5" t="s">
        <v>78</v>
      </c>
      <c r="F3103" s="5" t="s">
        <v>17</v>
      </c>
      <c r="G3103">
        <v>15</v>
      </c>
    </row>
    <row r="3104" spans="1:7" x14ac:dyDescent="0.35">
      <c r="A3104">
        <v>171083</v>
      </c>
      <c r="B3104">
        <v>0</v>
      </c>
      <c r="C3104" s="5" t="s">
        <v>21</v>
      </c>
      <c r="D3104">
        <v>4301</v>
      </c>
      <c r="E3104" s="5" t="s">
        <v>80</v>
      </c>
      <c r="F3104" s="5" t="s">
        <v>17</v>
      </c>
      <c r="G3104">
        <v>25</v>
      </c>
    </row>
    <row r="3105" spans="1:7" x14ac:dyDescent="0.35">
      <c r="A3105">
        <v>171581</v>
      </c>
      <c r="B3105">
        <v>1</v>
      </c>
      <c r="C3105" s="5" t="s">
        <v>21</v>
      </c>
      <c r="D3105">
        <v>1001</v>
      </c>
      <c r="E3105" s="5" t="s">
        <v>83</v>
      </c>
      <c r="F3105" s="5" t="s">
        <v>14</v>
      </c>
      <c r="G3105">
        <v>5</v>
      </c>
    </row>
    <row r="3106" spans="1:7" x14ac:dyDescent="0.35">
      <c r="A3106">
        <v>13288</v>
      </c>
      <c r="B3106">
        <v>0</v>
      </c>
      <c r="C3106" s="5" t="s">
        <v>13</v>
      </c>
      <c r="D3106">
        <v>4901</v>
      </c>
      <c r="E3106" s="5" t="s">
        <v>78</v>
      </c>
      <c r="F3106" s="5" t="s">
        <v>17</v>
      </c>
      <c r="G3106">
        <v>20</v>
      </c>
    </row>
    <row r="3107" spans="1:7" x14ac:dyDescent="0.35">
      <c r="A3107">
        <v>102589</v>
      </c>
      <c r="B3107">
        <v>0</v>
      </c>
      <c r="C3107" s="5" t="s">
        <v>33</v>
      </c>
      <c r="D3107">
        <v>2607</v>
      </c>
      <c r="E3107" s="5" t="s">
        <v>81</v>
      </c>
      <c r="F3107" s="5" t="s">
        <v>14</v>
      </c>
      <c r="G3107">
        <v>100</v>
      </c>
    </row>
    <row r="3108" spans="1:7" x14ac:dyDescent="0.35">
      <c r="A3108">
        <v>43119</v>
      </c>
      <c r="B3108">
        <v>0</v>
      </c>
      <c r="C3108" s="5" t="s">
        <v>13</v>
      </c>
      <c r="D3108">
        <v>0</v>
      </c>
      <c r="E3108" s="5" t="s">
        <v>78</v>
      </c>
      <c r="F3108" s="5" t="s">
        <v>17</v>
      </c>
      <c r="G3108">
        <v>9</v>
      </c>
    </row>
    <row r="3109" spans="1:7" x14ac:dyDescent="0.35">
      <c r="A3109">
        <v>167202</v>
      </c>
      <c r="B3109">
        <v>0</v>
      </c>
      <c r="C3109" s="5" t="s">
        <v>21</v>
      </c>
      <c r="D3109">
        <v>1101</v>
      </c>
      <c r="E3109" s="5" t="s">
        <v>83</v>
      </c>
      <c r="F3109" s="5" t="s">
        <v>17</v>
      </c>
      <c r="G3109">
        <v>15</v>
      </c>
    </row>
    <row r="3110" spans="1:7" x14ac:dyDescent="0.35">
      <c r="A3110">
        <v>143332</v>
      </c>
      <c r="B3110">
        <v>1</v>
      </c>
      <c r="C3110" s="5" t="s">
        <v>21</v>
      </c>
      <c r="D3110">
        <v>3101</v>
      </c>
      <c r="E3110" s="5" t="s">
        <v>85</v>
      </c>
      <c r="F3110" s="5" t="s">
        <v>14</v>
      </c>
      <c r="G3110">
        <v>13</v>
      </c>
    </row>
    <row r="3111" spans="1:7" x14ac:dyDescent="0.35">
      <c r="A3111">
        <v>126945</v>
      </c>
      <c r="B3111">
        <v>1</v>
      </c>
      <c r="C3111" s="5" t="s">
        <v>20</v>
      </c>
      <c r="D3111">
        <v>5504</v>
      </c>
      <c r="E3111" s="5" t="s">
        <v>84</v>
      </c>
      <c r="F3111" s="5" t="s">
        <v>14</v>
      </c>
      <c r="G3111">
        <v>10</v>
      </c>
    </row>
    <row r="3112" spans="1:7" x14ac:dyDescent="0.35">
      <c r="A3112">
        <v>137900</v>
      </c>
      <c r="B3112">
        <v>2</v>
      </c>
      <c r="C3112" s="5" t="s">
        <v>51</v>
      </c>
      <c r="D3112">
        <v>3008</v>
      </c>
      <c r="E3112" s="5" t="s">
        <v>81</v>
      </c>
      <c r="F3112" s="5" t="s">
        <v>14</v>
      </c>
      <c r="G3112">
        <v>5</v>
      </c>
    </row>
    <row r="3113" spans="1:7" x14ac:dyDescent="0.35">
      <c r="A3113">
        <v>47161</v>
      </c>
      <c r="B3113">
        <v>1</v>
      </c>
      <c r="C3113" s="5" t="s">
        <v>40</v>
      </c>
      <c r="D3113">
        <v>1911</v>
      </c>
      <c r="E3113" s="5" t="s">
        <v>83</v>
      </c>
      <c r="F3113" s="5" t="s">
        <v>14</v>
      </c>
      <c r="G3113">
        <v>10</v>
      </c>
    </row>
    <row r="3114" spans="1:7" x14ac:dyDescent="0.35">
      <c r="A3114">
        <v>48551</v>
      </c>
      <c r="B3114">
        <v>0</v>
      </c>
      <c r="C3114" s="5" t="s">
        <v>40</v>
      </c>
      <c r="D3114">
        <v>4401</v>
      </c>
      <c r="E3114" s="5" t="s">
        <v>89</v>
      </c>
      <c r="F3114" s="5" t="s">
        <v>17</v>
      </c>
      <c r="G3114">
        <v>20</v>
      </c>
    </row>
    <row r="3115" spans="1:7" x14ac:dyDescent="0.35">
      <c r="A3115">
        <v>186482</v>
      </c>
      <c r="B3115">
        <v>1</v>
      </c>
      <c r="C3115" s="5" t="s">
        <v>55</v>
      </c>
      <c r="D3115">
        <v>5101</v>
      </c>
      <c r="E3115" s="5" t="s">
        <v>80</v>
      </c>
      <c r="F3115" s="5" t="s">
        <v>14</v>
      </c>
      <c r="G3115">
        <v>15</v>
      </c>
    </row>
    <row r="3116" spans="1:7" x14ac:dyDescent="0.35">
      <c r="A3116">
        <v>97537</v>
      </c>
      <c r="B3116">
        <v>1</v>
      </c>
      <c r="C3116" s="5" t="s">
        <v>16</v>
      </c>
      <c r="D3116">
        <v>7001</v>
      </c>
      <c r="E3116" s="5" t="s">
        <v>94</v>
      </c>
      <c r="F3116" s="5" t="s">
        <v>14</v>
      </c>
      <c r="G3116">
        <v>4</v>
      </c>
    </row>
    <row r="3117" spans="1:7" x14ac:dyDescent="0.35">
      <c r="A3117">
        <v>175782</v>
      </c>
      <c r="B3117">
        <v>0</v>
      </c>
      <c r="C3117" s="5" t="s">
        <v>47</v>
      </c>
      <c r="D3117">
        <v>0</v>
      </c>
      <c r="E3117" s="5" t="s">
        <v>80</v>
      </c>
      <c r="F3117" s="5" t="s">
        <v>17</v>
      </c>
      <c r="G3117">
        <v>21</v>
      </c>
    </row>
    <row r="3118" spans="1:7" x14ac:dyDescent="0.35">
      <c r="A3118">
        <v>2691</v>
      </c>
      <c r="B3118">
        <v>1</v>
      </c>
      <c r="C3118" s="5" t="s">
        <v>23</v>
      </c>
      <c r="D3118">
        <v>0</v>
      </c>
      <c r="E3118" s="5" t="s">
        <v>78</v>
      </c>
      <c r="F3118" s="5" t="s">
        <v>86</v>
      </c>
      <c r="G3118">
        <v>16</v>
      </c>
    </row>
    <row r="3119" spans="1:7" x14ac:dyDescent="0.35">
      <c r="A3119">
        <v>39031</v>
      </c>
      <c r="B3119">
        <v>0</v>
      </c>
      <c r="C3119" s="5" t="s">
        <v>13</v>
      </c>
      <c r="D3119">
        <v>5401</v>
      </c>
      <c r="E3119" s="5" t="s">
        <v>85</v>
      </c>
      <c r="F3119" s="5" t="s">
        <v>17</v>
      </c>
      <c r="G3119">
        <v>15</v>
      </c>
    </row>
    <row r="3120" spans="1:7" x14ac:dyDescent="0.35">
      <c r="A3120">
        <v>94902</v>
      </c>
      <c r="B3120">
        <v>1</v>
      </c>
      <c r="C3120" s="5" t="s">
        <v>16</v>
      </c>
      <c r="D3120">
        <v>0</v>
      </c>
      <c r="E3120" s="5" t="s">
        <v>85</v>
      </c>
      <c r="F3120" s="5" t="s">
        <v>14</v>
      </c>
      <c r="G3120">
        <v>30</v>
      </c>
    </row>
    <row r="3121" spans="1:7" x14ac:dyDescent="0.35">
      <c r="A3121">
        <v>60104</v>
      </c>
      <c r="B3121">
        <v>28</v>
      </c>
      <c r="C3121" s="5" t="s">
        <v>23</v>
      </c>
      <c r="D3121">
        <v>0</v>
      </c>
      <c r="E3121" s="5" t="s">
        <v>80</v>
      </c>
      <c r="F3121" s="5" t="s">
        <v>17</v>
      </c>
      <c r="G3121">
        <v>5</v>
      </c>
    </row>
    <row r="3122" spans="1:7" x14ac:dyDescent="0.35">
      <c r="A3122">
        <v>163843</v>
      </c>
      <c r="B3122">
        <v>1</v>
      </c>
      <c r="C3122" s="5" t="s">
        <v>21</v>
      </c>
      <c r="D3122">
        <v>4609</v>
      </c>
      <c r="E3122" s="5" t="s">
        <v>83</v>
      </c>
      <c r="F3122" s="5" t="s">
        <v>14</v>
      </c>
      <c r="G3122">
        <v>16</v>
      </c>
    </row>
    <row r="3123" spans="1:7" x14ac:dyDescent="0.35">
      <c r="A3123">
        <v>8768</v>
      </c>
      <c r="B3123">
        <v>2</v>
      </c>
      <c r="C3123" s="5" t="s">
        <v>21</v>
      </c>
      <c r="D3123">
        <v>1901</v>
      </c>
      <c r="E3123" s="5" t="s">
        <v>86</v>
      </c>
      <c r="F3123" s="5" t="s">
        <v>14</v>
      </c>
      <c r="G3123">
        <v>15</v>
      </c>
    </row>
    <row r="3124" spans="1:7" x14ac:dyDescent="0.35">
      <c r="A3124">
        <v>190626</v>
      </c>
      <c r="B3124">
        <v>0</v>
      </c>
      <c r="C3124" s="5" t="s">
        <v>13</v>
      </c>
      <c r="D3124">
        <v>2904</v>
      </c>
      <c r="E3124" s="5" t="s">
        <v>87</v>
      </c>
      <c r="F3124" s="5" t="s">
        <v>14</v>
      </c>
      <c r="G3124">
        <v>10</v>
      </c>
    </row>
    <row r="3125" spans="1:7" x14ac:dyDescent="0.35">
      <c r="A3125">
        <v>145786</v>
      </c>
      <c r="B3125">
        <v>1</v>
      </c>
      <c r="C3125" s="5" t="s">
        <v>21</v>
      </c>
      <c r="D3125">
        <v>1904</v>
      </c>
      <c r="E3125" s="5" t="s">
        <v>93</v>
      </c>
      <c r="F3125" s="5" t="s">
        <v>14</v>
      </c>
      <c r="G3125">
        <v>20</v>
      </c>
    </row>
    <row r="3126" spans="1:7" x14ac:dyDescent="0.35">
      <c r="A3126">
        <v>1927</v>
      </c>
      <c r="B3126">
        <v>0</v>
      </c>
      <c r="C3126" s="5" t="s">
        <v>37</v>
      </c>
      <c r="D3126">
        <v>5801</v>
      </c>
      <c r="E3126" s="5" t="s">
        <v>84</v>
      </c>
      <c r="F3126" s="5" t="s">
        <v>17</v>
      </c>
      <c r="G3126">
        <v>15</v>
      </c>
    </row>
    <row r="3127" spans="1:7" x14ac:dyDescent="0.35">
      <c r="A3127">
        <v>157100</v>
      </c>
      <c r="B3127">
        <v>0</v>
      </c>
      <c r="C3127" s="5" t="s">
        <v>21</v>
      </c>
      <c r="D3127">
        <v>4703</v>
      </c>
      <c r="E3127" s="5" t="s">
        <v>84</v>
      </c>
      <c r="F3127" s="5" t="s">
        <v>17</v>
      </c>
      <c r="G3127">
        <v>27</v>
      </c>
    </row>
    <row r="3128" spans="1:7" x14ac:dyDescent="0.35">
      <c r="A3128">
        <v>166870</v>
      </c>
      <c r="B3128">
        <v>28</v>
      </c>
      <c r="C3128" s="5" t="s">
        <v>21</v>
      </c>
      <c r="D3128">
        <v>0</v>
      </c>
      <c r="E3128" s="5" t="s">
        <v>83</v>
      </c>
      <c r="F3128" s="5" t="s">
        <v>17</v>
      </c>
      <c r="G3128">
        <v>14</v>
      </c>
    </row>
    <row r="3129" spans="1:7" x14ac:dyDescent="0.35">
      <c r="A3129">
        <v>108724</v>
      </c>
      <c r="B3129">
        <v>1002</v>
      </c>
      <c r="C3129" s="5" t="s">
        <v>46</v>
      </c>
      <c r="D3129">
        <v>4001</v>
      </c>
      <c r="E3129" s="5" t="s">
        <v>79</v>
      </c>
      <c r="F3129" s="5" t="s">
        <v>14</v>
      </c>
      <c r="G3129">
        <v>12</v>
      </c>
    </row>
    <row r="3130" spans="1:7" x14ac:dyDescent="0.35">
      <c r="A3130">
        <v>62400</v>
      </c>
      <c r="B3130">
        <v>0</v>
      </c>
      <c r="C3130" s="5" t="s">
        <v>30</v>
      </c>
      <c r="D3130">
        <v>1801</v>
      </c>
      <c r="E3130" s="5" t="s">
        <v>80</v>
      </c>
      <c r="F3130" s="5" t="s">
        <v>17</v>
      </c>
      <c r="G3130">
        <v>3</v>
      </c>
    </row>
    <row r="3131" spans="1:7" x14ac:dyDescent="0.35">
      <c r="A3131">
        <v>19864</v>
      </c>
      <c r="B3131">
        <v>1</v>
      </c>
      <c r="C3131" s="5" t="s">
        <v>18</v>
      </c>
      <c r="D3131">
        <v>4001</v>
      </c>
      <c r="E3131" s="5" t="s">
        <v>78</v>
      </c>
      <c r="F3131" s="5" t="s">
        <v>14</v>
      </c>
      <c r="G3131">
        <v>5</v>
      </c>
    </row>
    <row r="3132" spans="1:7" x14ac:dyDescent="0.35">
      <c r="A3132">
        <v>11961</v>
      </c>
      <c r="B3132">
        <v>0</v>
      </c>
      <c r="C3132" s="5" t="s">
        <v>21</v>
      </c>
      <c r="D3132">
        <v>5801</v>
      </c>
      <c r="E3132" s="5" t="s">
        <v>83</v>
      </c>
      <c r="F3132" s="5" t="s">
        <v>17</v>
      </c>
      <c r="G3132">
        <v>25</v>
      </c>
    </row>
    <row r="3133" spans="1:7" x14ac:dyDescent="0.35">
      <c r="A3133">
        <v>20302</v>
      </c>
      <c r="B3133">
        <v>0</v>
      </c>
      <c r="C3133" s="5" t="s">
        <v>18</v>
      </c>
      <c r="D3133">
        <v>0</v>
      </c>
      <c r="E3133" s="5" t="s">
        <v>89</v>
      </c>
      <c r="F3133" s="5" t="s">
        <v>27</v>
      </c>
      <c r="G3133">
        <v>1</v>
      </c>
    </row>
    <row r="3134" spans="1:7" x14ac:dyDescent="0.35">
      <c r="A3134">
        <v>188190</v>
      </c>
      <c r="B3134">
        <v>0</v>
      </c>
      <c r="C3134" s="5" t="s">
        <v>43</v>
      </c>
      <c r="D3134">
        <v>2001</v>
      </c>
      <c r="E3134" s="5" t="s">
        <v>94</v>
      </c>
      <c r="F3134" s="5" t="s">
        <v>17</v>
      </c>
      <c r="G3134">
        <v>5</v>
      </c>
    </row>
    <row r="3135" spans="1:7" x14ac:dyDescent="0.35">
      <c r="A3135">
        <v>174974</v>
      </c>
      <c r="B3135">
        <v>0</v>
      </c>
      <c r="C3135" s="5" t="s">
        <v>47</v>
      </c>
      <c r="D3135">
        <v>2603</v>
      </c>
      <c r="E3135" s="5" t="s">
        <v>81</v>
      </c>
      <c r="F3135" s="5" t="s">
        <v>14</v>
      </c>
      <c r="G3135">
        <v>10</v>
      </c>
    </row>
    <row r="3136" spans="1:7" x14ac:dyDescent="0.35">
      <c r="A3136">
        <v>97315</v>
      </c>
      <c r="B3136">
        <v>1</v>
      </c>
      <c r="C3136" s="5" t="s">
        <v>16</v>
      </c>
      <c r="D3136">
        <v>2801</v>
      </c>
      <c r="E3136" s="5" t="s">
        <v>87</v>
      </c>
      <c r="F3136" s="5" t="s">
        <v>14</v>
      </c>
      <c r="G3136">
        <v>14</v>
      </c>
    </row>
    <row r="3137" spans="1:7" x14ac:dyDescent="0.35">
      <c r="A3137">
        <v>111981</v>
      </c>
      <c r="B3137">
        <v>2</v>
      </c>
      <c r="C3137" s="5" t="s">
        <v>29</v>
      </c>
      <c r="D3137">
        <v>0</v>
      </c>
      <c r="E3137" s="5" t="s">
        <v>81</v>
      </c>
      <c r="F3137" s="5" t="s">
        <v>17</v>
      </c>
      <c r="G3137">
        <v>20</v>
      </c>
    </row>
    <row r="3138" spans="1:7" x14ac:dyDescent="0.35">
      <c r="A3138">
        <v>118361</v>
      </c>
      <c r="B3138">
        <v>2</v>
      </c>
      <c r="C3138" s="5" t="s">
        <v>20</v>
      </c>
      <c r="D3138">
        <v>2209</v>
      </c>
      <c r="E3138" s="5" t="s">
        <v>90</v>
      </c>
      <c r="F3138" s="5" t="s">
        <v>17</v>
      </c>
      <c r="G3138">
        <v>10</v>
      </c>
    </row>
    <row r="3139" spans="1:7" x14ac:dyDescent="0.35">
      <c r="A3139">
        <v>131434</v>
      </c>
      <c r="B3139">
        <v>0</v>
      </c>
      <c r="C3139" s="5" t="s">
        <v>45</v>
      </c>
      <c r="D3139">
        <v>2601</v>
      </c>
      <c r="E3139" s="5" t="s">
        <v>90</v>
      </c>
      <c r="F3139" s="5" t="s">
        <v>17</v>
      </c>
      <c r="G3139">
        <v>20</v>
      </c>
    </row>
    <row r="3140" spans="1:7" x14ac:dyDescent="0.35">
      <c r="A3140">
        <v>55503</v>
      </c>
      <c r="B3140">
        <v>0</v>
      </c>
      <c r="C3140" s="5" t="s">
        <v>56</v>
      </c>
      <c r="D3140">
        <v>1401</v>
      </c>
      <c r="E3140" s="5" t="s">
        <v>81</v>
      </c>
      <c r="F3140" s="5" t="s">
        <v>14</v>
      </c>
      <c r="G3140">
        <v>10</v>
      </c>
    </row>
    <row r="3141" spans="1:7" x14ac:dyDescent="0.35">
      <c r="A3141">
        <v>106862</v>
      </c>
      <c r="B3141">
        <v>0</v>
      </c>
      <c r="C3141" s="5" t="s">
        <v>55</v>
      </c>
      <c r="D3141">
        <v>5101</v>
      </c>
      <c r="E3141" s="5" t="s">
        <v>80</v>
      </c>
      <c r="F3141" s="5" t="s">
        <v>17</v>
      </c>
      <c r="G3141">
        <v>10</v>
      </c>
    </row>
    <row r="3142" spans="1:7" x14ac:dyDescent="0.35">
      <c r="A3142">
        <v>119315</v>
      </c>
      <c r="B3142">
        <v>0</v>
      </c>
      <c r="C3142" s="5" t="s">
        <v>20</v>
      </c>
      <c r="D3142">
        <v>7301</v>
      </c>
      <c r="E3142" s="5" t="s">
        <v>87</v>
      </c>
      <c r="F3142" s="5" t="s">
        <v>17</v>
      </c>
      <c r="G3142">
        <v>13</v>
      </c>
    </row>
    <row r="3143" spans="1:7" x14ac:dyDescent="0.35">
      <c r="A3143">
        <v>27010</v>
      </c>
      <c r="B3143">
        <v>0</v>
      </c>
      <c r="C3143" s="5" t="s">
        <v>36</v>
      </c>
      <c r="D3143">
        <v>0</v>
      </c>
      <c r="E3143" s="5" t="s">
        <v>79</v>
      </c>
      <c r="F3143" s="5" t="s">
        <v>27</v>
      </c>
      <c r="G3143">
        <v>16</v>
      </c>
    </row>
    <row r="3144" spans="1:7" x14ac:dyDescent="0.35">
      <c r="A3144">
        <v>186448</v>
      </c>
      <c r="B3144">
        <v>2</v>
      </c>
      <c r="C3144" s="5" t="s">
        <v>21</v>
      </c>
      <c r="D3144">
        <v>0</v>
      </c>
      <c r="E3144" s="5" t="s">
        <v>83</v>
      </c>
      <c r="F3144" s="5" t="s">
        <v>14</v>
      </c>
      <c r="G3144">
        <v>10</v>
      </c>
    </row>
    <row r="3145" spans="1:7" x14ac:dyDescent="0.35">
      <c r="A3145">
        <v>92348</v>
      </c>
      <c r="B3145">
        <v>0</v>
      </c>
      <c r="C3145" s="5" t="s">
        <v>16</v>
      </c>
      <c r="D3145">
        <v>4201</v>
      </c>
      <c r="E3145" s="5" t="s">
        <v>83</v>
      </c>
      <c r="F3145" s="5" t="s">
        <v>17</v>
      </c>
      <c r="G3145">
        <v>10</v>
      </c>
    </row>
    <row r="3146" spans="1:7" x14ac:dyDescent="0.35">
      <c r="A3146">
        <v>115179</v>
      </c>
      <c r="B3146">
        <v>0</v>
      </c>
      <c r="C3146" s="5" t="s">
        <v>28</v>
      </c>
      <c r="D3146">
        <v>6601</v>
      </c>
      <c r="E3146" s="5" t="s">
        <v>79</v>
      </c>
      <c r="F3146" s="5" t="s">
        <v>17</v>
      </c>
      <c r="G3146">
        <v>10</v>
      </c>
    </row>
    <row r="3147" spans="1:7" x14ac:dyDescent="0.35">
      <c r="A3147">
        <v>27039</v>
      </c>
      <c r="B3147">
        <v>2</v>
      </c>
      <c r="C3147" s="5" t="s">
        <v>36</v>
      </c>
      <c r="D3147">
        <v>0</v>
      </c>
      <c r="E3147" s="5" t="s">
        <v>81</v>
      </c>
      <c r="F3147" s="5" t="s">
        <v>17</v>
      </c>
      <c r="G3147">
        <v>15</v>
      </c>
    </row>
    <row r="3148" spans="1:7" x14ac:dyDescent="0.35">
      <c r="A3148">
        <v>27968</v>
      </c>
      <c r="B3148">
        <v>2</v>
      </c>
      <c r="C3148" s="5" t="s">
        <v>36</v>
      </c>
      <c r="D3148">
        <v>0</v>
      </c>
      <c r="E3148" s="5" t="s">
        <v>81</v>
      </c>
      <c r="F3148" s="5" t="s">
        <v>17</v>
      </c>
      <c r="G3148">
        <v>5</v>
      </c>
    </row>
    <row r="3149" spans="1:7" x14ac:dyDescent="0.35">
      <c r="A3149">
        <v>86985</v>
      </c>
      <c r="B3149">
        <v>0</v>
      </c>
      <c r="C3149" s="5" t="s">
        <v>31</v>
      </c>
      <c r="D3149">
        <v>4401</v>
      </c>
      <c r="E3149" s="5" t="s">
        <v>78</v>
      </c>
      <c r="F3149" s="5" t="s">
        <v>17</v>
      </c>
      <c r="G3149">
        <v>15</v>
      </c>
    </row>
    <row r="3150" spans="1:7" x14ac:dyDescent="0.35">
      <c r="A3150">
        <v>23989</v>
      </c>
      <c r="B3150">
        <v>2</v>
      </c>
      <c r="C3150" s="5" t="s">
        <v>43</v>
      </c>
      <c r="D3150">
        <v>2501</v>
      </c>
      <c r="E3150" s="5" t="s">
        <v>79</v>
      </c>
      <c r="F3150" s="5" t="s">
        <v>17</v>
      </c>
      <c r="G3150">
        <v>15</v>
      </c>
    </row>
    <row r="3151" spans="1:7" x14ac:dyDescent="0.35">
      <c r="A3151">
        <v>155114</v>
      </c>
      <c r="B3151">
        <v>0</v>
      </c>
      <c r="C3151" s="5" t="s">
        <v>21</v>
      </c>
      <c r="D3151">
        <v>8108</v>
      </c>
      <c r="E3151" s="5" t="s">
        <v>80</v>
      </c>
      <c r="F3151" s="5" t="s">
        <v>86</v>
      </c>
      <c r="G3151">
        <v>14</v>
      </c>
    </row>
    <row r="3152" spans="1:7" x14ac:dyDescent="0.35">
      <c r="A3152">
        <v>35914</v>
      </c>
      <c r="B3152">
        <v>1</v>
      </c>
      <c r="C3152" s="5" t="s">
        <v>13</v>
      </c>
      <c r="D3152">
        <v>2802</v>
      </c>
      <c r="E3152" s="5" t="s">
        <v>80</v>
      </c>
      <c r="F3152" s="5" t="s">
        <v>14</v>
      </c>
      <c r="G3152">
        <v>2</v>
      </c>
    </row>
    <row r="3153" spans="1:7" x14ac:dyDescent="0.35">
      <c r="A3153">
        <v>92148</v>
      </c>
      <c r="B3153">
        <v>1</v>
      </c>
      <c r="C3153" s="5" t="s">
        <v>16</v>
      </c>
      <c r="D3153">
        <v>6001</v>
      </c>
      <c r="E3153" s="5" t="s">
        <v>82</v>
      </c>
      <c r="F3153" s="5" t="s">
        <v>14</v>
      </c>
      <c r="G3153">
        <v>25</v>
      </c>
    </row>
    <row r="3154" spans="1:7" x14ac:dyDescent="0.35">
      <c r="A3154">
        <v>94177</v>
      </c>
      <c r="B3154">
        <v>28</v>
      </c>
      <c r="C3154" s="5" t="s">
        <v>16</v>
      </c>
      <c r="D3154">
        <v>3203</v>
      </c>
      <c r="E3154" s="5" t="s">
        <v>80</v>
      </c>
      <c r="F3154" s="5" t="s">
        <v>17</v>
      </c>
      <c r="G3154">
        <v>11</v>
      </c>
    </row>
    <row r="3155" spans="1:7" x14ac:dyDescent="0.35">
      <c r="A3155">
        <v>24902</v>
      </c>
      <c r="B3155">
        <v>0</v>
      </c>
      <c r="C3155" s="5" t="s">
        <v>43</v>
      </c>
      <c r="D3155">
        <v>0</v>
      </c>
      <c r="E3155" s="5" t="s">
        <v>79</v>
      </c>
      <c r="F3155" s="5" t="s">
        <v>14</v>
      </c>
      <c r="G3155">
        <v>8</v>
      </c>
    </row>
    <row r="3156" spans="1:7" x14ac:dyDescent="0.35">
      <c r="A3156">
        <v>178433</v>
      </c>
      <c r="B3156">
        <v>2</v>
      </c>
      <c r="C3156" s="5" t="s">
        <v>38</v>
      </c>
      <c r="D3156">
        <v>3503</v>
      </c>
      <c r="E3156" s="5" t="s">
        <v>83</v>
      </c>
      <c r="F3156" s="5" t="s">
        <v>14</v>
      </c>
      <c r="G3156">
        <v>35</v>
      </c>
    </row>
    <row r="3157" spans="1:7" x14ac:dyDescent="0.35">
      <c r="A3157">
        <v>18466</v>
      </c>
      <c r="B3157">
        <v>2</v>
      </c>
      <c r="C3157" s="5" t="s">
        <v>18</v>
      </c>
      <c r="D3157">
        <v>5801</v>
      </c>
      <c r="E3157" s="5" t="s">
        <v>81</v>
      </c>
      <c r="F3157" s="5" t="s">
        <v>17</v>
      </c>
      <c r="G3157">
        <v>6</v>
      </c>
    </row>
    <row r="3158" spans="1:7" x14ac:dyDescent="0.35">
      <c r="A3158">
        <v>157425</v>
      </c>
      <c r="B3158">
        <v>1</v>
      </c>
      <c r="C3158" s="5" t="s">
        <v>21</v>
      </c>
      <c r="D3158">
        <v>4501</v>
      </c>
      <c r="E3158" s="5" t="s">
        <v>86</v>
      </c>
      <c r="F3158" s="5" t="s">
        <v>14</v>
      </c>
      <c r="G3158">
        <v>25</v>
      </c>
    </row>
    <row r="3159" spans="1:7" x14ac:dyDescent="0.35">
      <c r="A3159">
        <v>166891</v>
      </c>
      <c r="B3159">
        <v>2</v>
      </c>
      <c r="C3159" s="5" t="s">
        <v>21</v>
      </c>
      <c r="D3159">
        <v>2906</v>
      </c>
      <c r="E3159" s="5" t="s">
        <v>83</v>
      </c>
      <c r="F3159" s="5" t="s">
        <v>14</v>
      </c>
      <c r="G3159">
        <v>10</v>
      </c>
    </row>
    <row r="3160" spans="1:7" x14ac:dyDescent="0.35">
      <c r="A3160">
        <v>54530</v>
      </c>
      <c r="B3160">
        <v>1</v>
      </c>
      <c r="C3160" s="5" t="s">
        <v>56</v>
      </c>
      <c r="D3160">
        <v>0</v>
      </c>
      <c r="E3160" s="5" t="s">
        <v>89</v>
      </c>
      <c r="F3160" s="5" t="s">
        <v>14</v>
      </c>
      <c r="G3160">
        <v>10</v>
      </c>
    </row>
    <row r="3161" spans="1:7" x14ac:dyDescent="0.35">
      <c r="A3161">
        <v>41819</v>
      </c>
      <c r="B3161">
        <v>1</v>
      </c>
      <c r="C3161" s="5" t="s">
        <v>13</v>
      </c>
      <c r="D3161">
        <v>4801</v>
      </c>
      <c r="E3161" s="5" t="s">
        <v>92</v>
      </c>
      <c r="F3161" s="5" t="s">
        <v>14</v>
      </c>
      <c r="G3161">
        <v>15</v>
      </c>
    </row>
    <row r="3162" spans="1:7" x14ac:dyDescent="0.35">
      <c r="A3162">
        <v>148636</v>
      </c>
      <c r="B3162">
        <v>0</v>
      </c>
      <c r="C3162" s="5" t="s">
        <v>21</v>
      </c>
      <c r="D3162">
        <v>1201</v>
      </c>
      <c r="E3162" s="5" t="s">
        <v>93</v>
      </c>
      <c r="F3162" s="5" t="s">
        <v>17</v>
      </c>
      <c r="G3162">
        <v>10</v>
      </c>
    </row>
    <row r="3163" spans="1:7" x14ac:dyDescent="0.35">
      <c r="A3163">
        <v>70090</v>
      </c>
      <c r="B3163">
        <v>0</v>
      </c>
      <c r="C3163" s="5" t="s">
        <v>26</v>
      </c>
      <c r="D3163">
        <v>4611</v>
      </c>
      <c r="E3163" s="5" t="s">
        <v>87</v>
      </c>
      <c r="F3163" s="5" t="s">
        <v>17</v>
      </c>
      <c r="G3163">
        <v>21</v>
      </c>
    </row>
    <row r="3164" spans="1:7" x14ac:dyDescent="0.35">
      <c r="A3164">
        <v>11704</v>
      </c>
      <c r="B3164">
        <v>1</v>
      </c>
      <c r="C3164" s="5" t="s">
        <v>16</v>
      </c>
      <c r="D3164">
        <v>2603</v>
      </c>
      <c r="E3164" s="5" t="s">
        <v>80</v>
      </c>
      <c r="F3164" s="5" t="s">
        <v>14</v>
      </c>
      <c r="G3164">
        <v>10</v>
      </c>
    </row>
    <row r="3165" spans="1:7" x14ac:dyDescent="0.35">
      <c r="A3165">
        <v>86775</v>
      </c>
      <c r="B3165">
        <v>1</v>
      </c>
      <c r="C3165" s="5" t="s">
        <v>42</v>
      </c>
      <c r="D3165">
        <v>0</v>
      </c>
      <c r="E3165" s="5" t="s">
        <v>89</v>
      </c>
      <c r="F3165" s="5" t="s">
        <v>14</v>
      </c>
      <c r="G3165">
        <v>10</v>
      </c>
    </row>
    <row r="3166" spans="1:7" x14ac:dyDescent="0.35">
      <c r="A3166">
        <v>124935</v>
      </c>
      <c r="B3166">
        <v>2</v>
      </c>
      <c r="C3166" s="5" t="s">
        <v>20</v>
      </c>
      <c r="D3166">
        <v>1701</v>
      </c>
      <c r="E3166" s="5" t="s">
        <v>81</v>
      </c>
      <c r="F3166" s="5" t="s">
        <v>14</v>
      </c>
      <c r="G3166">
        <v>25</v>
      </c>
    </row>
    <row r="3167" spans="1:7" x14ac:dyDescent="0.35">
      <c r="A3167">
        <v>147600</v>
      </c>
      <c r="B3167">
        <v>0</v>
      </c>
      <c r="C3167" s="5" t="s">
        <v>21</v>
      </c>
      <c r="D3167">
        <v>0</v>
      </c>
      <c r="E3167" s="5" t="s">
        <v>85</v>
      </c>
      <c r="F3167" s="5" t="s">
        <v>17</v>
      </c>
      <c r="G3167">
        <v>5</v>
      </c>
    </row>
    <row r="3168" spans="1:7" x14ac:dyDescent="0.35">
      <c r="A3168">
        <v>101596</v>
      </c>
      <c r="B3168">
        <v>0</v>
      </c>
      <c r="C3168" s="5" t="s">
        <v>33</v>
      </c>
      <c r="D3168">
        <v>0</v>
      </c>
      <c r="E3168" s="5" t="s">
        <v>89</v>
      </c>
      <c r="F3168" s="5" t="s">
        <v>17</v>
      </c>
      <c r="G3168">
        <v>16</v>
      </c>
    </row>
    <row r="3169" spans="1:7" x14ac:dyDescent="0.35">
      <c r="A3169">
        <v>175000</v>
      </c>
      <c r="B3169">
        <v>2</v>
      </c>
      <c r="C3169" s="5" t="s">
        <v>47</v>
      </c>
      <c r="D3169">
        <v>3307</v>
      </c>
      <c r="E3169" s="5" t="s">
        <v>79</v>
      </c>
      <c r="F3169" s="5" t="s">
        <v>17</v>
      </c>
      <c r="G3169">
        <v>17</v>
      </c>
    </row>
    <row r="3170" spans="1:7" x14ac:dyDescent="0.35">
      <c r="A3170">
        <v>14798</v>
      </c>
      <c r="B3170">
        <v>0</v>
      </c>
      <c r="C3170" s="5" t="s">
        <v>21</v>
      </c>
      <c r="D3170">
        <v>1211</v>
      </c>
      <c r="E3170" s="5" t="s">
        <v>80</v>
      </c>
      <c r="F3170" s="5" t="s">
        <v>17</v>
      </c>
      <c r="G3170">
        <v>10</v>
      </c>
    </row>
    <row r="3171" spans="1:7" x14ac:dyDescent="0.35">
      <c r="A3171">
        <v>120800</v>
      </c>
      <c r="B3171">
        <v>1</v>
      </c>
      <c r="C3171" s="5" t="s">
        <v>20</v>
      </c>
      <c r="D3171">
        <v>3201</v>
      </c>
      <c r="E3171" s="5" t="s">
        <v>78</v>
      </c>
      <c r="F3171" s="5" t="s">
        <v>14</v>
      </c>
      <c r="G3171">
        <v>10</v>
      </c>
    </row>
    <row r="3172" spans="1:7" x14ac:dyDescent="0.35">
      <c r="A3172">
        <v>187639</v>
      </c>
      <c r="B3172">
        <v>1</v>
      </c>
      <c r="C3172" s="5" t="s">
        <v>13</v>
      </c>
      <c r="D3172">
        <v>0</v>
      </c>
      <c r="E3172" s="5" t="s">
        <v>82</v>
      </c>
      <c r="F3172" s="5" t="s">
        <v>14</v>
      </c>
      <c r="G3172">
        <v>10</v>
      </c>
    </row>
    <row r="3173" spans="1:7" x14ac:dyDescent="0.35">
      <c r="A3173">
        <v>142487</v>
      </c>
      <c r="B3173">
        <v>28</v>
      </c>
      <c r="C3173" s="5" t="s">
        <v>21</v>
      </c>
      <c r="D3173">
        <v>201</v>
      </c>
      <c r="E3173" s="5" t="s">
        <v>83</v>
      </c>
      <c r="F3173" s="5" t="s">
        <v>17</v>
      </c>
      <c r="G3173">
        <v>20</v>
      </c>
    </row>
    <row r="3174" spans="1:7" x14ac:dyDescent="0.35">
      <c r="A3174">
        <v>134895</v>
      </c>
      <c r="B3174">
        <v>0</v>
      </c>
      <c r="C3174" s="5" t="s">
        <v>35</v>
      </c>
      <c r="D3174">
        <v>0</v>
      </c>
      <c r="E3174" s="5" t="s">
        <v>81</v>
      </c>
      <c r="F3174" s="5" t="s">
        <v>17</v>
      </c>
      <c r="G3174">
        <v>10</v>
      </c>
    </row>
    <row r="3175" spans="1:7" x14ac:dyDescent="0.35">
      <c r="A3175">
        <v>171205</v>
      </c>
      <c r="B3175">
        <v>228</v>
      </c>
      <c r="C3175" s="5" t="s">
        <v>21</v>
      </c>
      <c r="D3175">
        <v>0</v>
      </c>
      <c r="E3175" s="5" t="s">
        <v>81</v>
      </c>
      <c r="F3175" s="5" t="s">
        <v>17</v>
      </c>
      <c r="G3175">
        <v>12</v>
      </c>
    </row>
    <row r="3176" spans="1:7" x14ac:dyDescent="0.35">
      <c r="A3176">
        <v>7451</v>
      </c>
      <c r="B3176">
        <v>2</v>
      </c>
      <c r="C3176" s="5" t="s">
        <v>43</v>
      </c>
      <c r="D3176">
        <v>1401</v>
      </c>
      <c r="E3176" s="5" t="s">
        <v>82</v>
      </c>
      <c r="F3176" s="5" t="s">
        <v>86</v>
      </c>
      <c r="G3176">
        <v>22</v>
      </c>
    </row>
    <row r="3177" spans="1:7" x14ac:dyDescent="0.35">
      <c r="A3177">
        <v>95450</v>
      </c>
      <c r="B3177">
        <v>0</v>
      </c>
      <c r="C3177" s="5" t="s">
        <v>16</v>
      </c>
      <c r="D3177">
        <v>5201</v>
      </c>
      <c r="E3177" s="5" t="s">
        <v>94</v>
      </c>
      <c r="F3177" s="5" t="s">
        <v>17</v>
      </c>
      <c r="G3177">
        <v>11</v>
      </c>
    </row>
    <row r="3178" spans="1:7" x14ac:dyDescent="0.35">
      <c r="A3178">
        <v>129598</v>
      </c>
      <c r="B3178">
        <v>1</v>
      </c>
      <c r="C3178" s="5" t="s">
        <v>45</v>
      </c>
      <c r="D3178">
        <v>5007</v>
      </c>
      <c r="E3178" s="5" t="s">
        <v>88</v>
      </c>
      <c r="F3178" s="5" t="s">
        <v>14</v>
      </c>
      <c r="G3178">
        <v>37</v>
      </c>
    </row>
    <row r="3179" spans="1:7" x14ac:dyDescent="0.35">
      <c r="A3179">
        <v>99268</v>
      </c>
      <c r="B3179">
        <v>1</v>
      </c>
      <c r="C3179" s="5" t="s">
        <v>16</v>
      </c>
      <c r="D3179">
        <v>3905</v>
      </c>
      <c r="E3179" s="5" t="s">
        <v>89</v>
      </c>
      <c r="F3179" s="5" t="s">
        <v>14</v>
      </c>
      <c r="G3179">
        <v>15</v>
      </c>
    </row>
    <row r="3180" spans="1:7" x14ac:dyDescent="0.35">
      <c r="A3180">
        <v>82739</v>
      </c>
      <c r="B3180">
        <v>1</v>
      </c>
      <c r="C3180" s="5" t="s">
        <v>52</v>
      </c>
      <c r="D3180">
        <v>6201</v>
      </c>
      <c r="E3180" s="5" t="s">
        <v>80</v>
      </c>
      <c r="F3180" s="5" t="s">
        <v>14</v>
      </c>
      <c r="G3180">
        <v>20</v>
      </c>
    </row>
    <row r="3181" spans="1:7" x14ac:dyDescent="0.35">
      <c r="A3181">
        <v>81319</v>
      </c>
      <c r="B3181">
        <v>0</v>
      </c>
      <c r="C3181" s="5" t="s">
        <v>32</v>
      </c>
      <c r="D3181">
        <v>0</v>
      </c>
      <c r="E3181" s="5" t="s">
        <v>89</v>
      </c>
      <c r="F3181" s="5" t="s">
        <v>17</v>
      </c>
      <c r="G3181">
        <v>15</v>
      </c>
    </row>
    <row r="3182" spans="1:7" x14ac:dyDescent="0.35">
      <c r="A3182">
        <v>1685</v>
      </c>
      <c r="B3182">
        <v>0</v>
      </c>
      <c r="C3182" s="5" t="s">
        <v>21</v>
      </c>
      <c r="D3182">
        <v>3001</v>
      </c>
      <c r="E3182" s="5" t="s">
        <v>81</v>
      </c>
      <c r="F3182" s="5" t="s">
        <v>86</v>
      </c>
      <c r="G3182">
        <v>20</v>
      </c>
    </row>
    <row r="3183" spans="1:7" x14ac:dyDescent="0.35">
      <c r="A3183">
        <v>108781</v>
      </c>
      <c r="B3183">
        <v>0</v>
      </c>
      <c r="C3183" s="5" t="s">
        <v>46</v>
      </c>
      <c r="D3183">
        <v>2610</v>
      </c>
      <c r="E3183" s="5" t="s">
        <v>84</v>
      </c>
      <c r="F3183" s="5" t="s">
        <v>17</v>
      </c>
      <c r="G3183">
        <v>24</v>
      </c>
    </row>
    <row r="3184" spans="1:7" x14ac:dyDescent="0.35">
      <c r="A3184">
        <v>188999</v>
      </c>
      <c r="B3184">
        <v>0</v>
      </c>
      <c r="C3184" s="5" t="s">
        <v>42</v>
      </c>
      <c r="D3184">
        <v>0</v>
      </c>
      <c r="E3184" s="5" t="s">
        <v>82</v>
      </c>
      <c r="F3184" s="5" t="s">
        <v>14</v>
      </c>
      <c r="G3184">
        <v>5</v>
      </c>
    </row>
    <row r="3185" spans="1:7" x14ac:dyDescent="0.35">
      <c r="A3185">
        <v>72936</v>
      </c>
      <c r="B3185">
        <v>1</v>
      </c>
      <c r="C3185" s="5" t="s">
        <v>26</v>
      </c>
      <c r="D3185">
        <v>6111</v>
      </c>
      <c r="E3185" s="5" t="s">
        <v>89</v>
      </c>
      <c r="F3185" s="5" t="s">
        <v>14</v>
      </c>
      <c r="G3185">
        <v>20</v>
      </c>
    </row>
    <row r="3186" spans="1:7" x14ac:dyDescent="0.35">
      <c r="A3186">
        <v>143011</v>
      </c>
      <c r="B3186">
        <v>0</v>
      </c>
      <c r="C3186" s="5" t="s">
        <v>21</v>
      </c>
      <c r="D3186">
        <v>0</v>
      </c>
      <c r="E3186" s="5" t="s">
        <v>85</v>
      </c>
      <c r="F3186" s="5" t="s">
        <v>86</v>
      </c>
      <c r="G3186">
        <v>5</v>
      </c>
    </row>
    <row r="3187" spans="1:7" x14ac:dyDescent="0.35">
      <c r="A3187">
        <v>66219</v>
      </c>
      <c r="B3187">
        <v>1</v>
      </c>
      <c r="C3187" s="5" t="s">
        <v>26</v>
      </c>
      <c r="D3187">
        <v>5612</v>
      </c>
      <c r="E3187" s="5" t="s">
        <v>83</v>
      </c>
      <c r="F3187" s="5" t="s">
        <v>14</v>
      </c>
      <c r="G3187">
        <v>50</v>
      </c>
    </row>
    <row r="3188" spans="1:7" x14ac:dyDescent="0.35">
      <c r="A3188">
        <v>159883</v>
      </c>
      <c r="B3188">
        <v>2</v>
      </c>
      <c r="C3188" s="5" t="s">
        <v>21</v>
      </c>
      <c r="D3188">
        <v>2207</v>
      </c>
      <c r="E3188" s="5" t="s">
        <v>87</v>
      </c>
      <c r="F3188" s="5" t="s">
        <v>17</v>
      </c>
      <c r="G3188">
        <v>10</v>
      </c>
    </row>
    <row r="3189" spans="1:7" x14ac:dyDescent="0.35">
      <c r="A3189">
        <v>95525</v>
      </c>
      <c r="B3189">
        <v>1</v>
      </c>
      <c r="C3189" s="5" t="s">
        <v>16</v>
      </c>
      <c r="D3189">
        <v>0</v>
      </c>
      <c r="E3189" s="5" t="s">
        <v>81</v>
      </c>
      <c r="F3189" s="5" t="s">
        <v>14</v>
      </c>
      <c r="G3189">
        <v>30</v>
      </c>
    </row>
    <row r="3190" spans="1:7" x14ac:dyDescent="0.35">
      <c r="A3190">
        <v>188778</v>
      </c>
      <c r="B3190">
        <v>0</v>
      </c>
      <c r="C3190" s="5" t="s">
        <v>13</v>
      </c>
      <c r="D3190">
        <v>5603</v>
      </c>
      <c r="E3190" s="5" t="s">
        <v>86</v>
      </c>
      <c r="F3190" s="5" t="s">
        <v>86</v>
      </c>
      <c r="G3190">
        <v>20</v>
      </c>
    </row>
    <row r="3191" spans="1:7" x14ac:dyDescent="0.35">
      <c r="A3191">
        <v>55527</v>
      </c>
      <c r="B3191">
        <v>0</v>
      </c>
      <c r="C3191" s="5" t="s">
        <v>56</v>
      </c>
      <c r="D3191">
        <v>6409</v>
      </c>
      <c r="E3191" s="5" t="s">
        <v>78</v>
      </c>
      <c r="F3191" s="5" t="s">
        <v>17</v>
      </c>
      <c r="G3191">
        <v>4</v>
      </c>
    </row>
    <row r="3192" spans="1:7" x14ac:dyDescent="0.35">
      <c r="A3192">
        <v>151788</v>
      </c>
      <c r="B3192">
        <v>0</v>
      </c>
      <c r="C3192" s="5" t="s">
        <v>21</v>
      </c>
      <c r="D3192">
        <v>3301</v>
      </c>
      <c r="E3192" s="5" t="s">
        <v>91</v>
      </c>
      <c r="F3192" s="5" t="s">
        <v>17</v>
      </c>
      <c r="G3192">
        <v>10</v>
      </c>
    </row>
    <row r="3193" spans="1:7" x14ac:dyDescent="0.35">
      <c r="A3193">
        <v>173997</v>
      </c>
      <c r="B3193">
        <v>1</v>
      </c>
      <c r="C3193" s="5" t="s">
        <v>34</v>
      </c>
      <c r="D3193">
        <v>3701</v>
      </c>
      <c r="E3193" s="5" t="s">
        <v>85</v>
      </c>
      <c r="F3193" s="5" t="s">
        <v>14</v>
      </c>
      <c r="G3193">
        <v>20</v>
      </c>
    </row>
    <row r="3194" spans="1:7" x14ac:dyDescent="0.35">
      <c r="A3194">
        <v>145383</v>
      </c>
      <c r="B3194">
        <v>1</v>
      </c>
      <c r="C3194" s="5" t="s">
        <v>21</v>
      </c>
      <c r="D3194">
        <v>3801</v>
      </c>
      <c r="E3194" s="5" t="s">
        <v>83</v>
      </c>
      <c r="F3194" s="5" t="s">
        <v>14</v>
      </c>
      <c r="G3194">
        <v>10</v>
      </c>
    </row>
    <row r="3195" spans="1:7" x14ac:dyDescent="0.35">
      <c r="A3195">
        <v>176221</v>
      </c>
      <c r="B3195">
        <v>0</v>
      </c>
      <c r="C3195" s="5" t="s">
        <v>47</v>
      </c>
      <c r="D3195">
        <v>0</v>
      </c>
      <c r="E3195" s="5" t="s">
        <v>80</v>
      </c>
      <c r="F3195" s="5" t="s">
        <v>17</v>
      </c>
      <c r="G3195">
        <v>13</v>
      </c>
    </row>
    <row r="3196" spans="1:7" x14ac:dyDescent="0.35">
      <c r="A3196">
        <v>50688</v>
      </c>
      <c r="B3196">
        <v>28</v>
      </c>
      <c r="C3196" s="5" t="s">
        <v>49</v>
      </c>
      <c r="D3196">
        <v>3001</v>
      </c>
      <c r="E3196" s="5" t="s">
        <v>81</v>
      </c>
      <c r="F3196" s="5" t="s">
        <v>17</v>
      </c>
      <c r="G3196">
        <v>10</v>
      </c>
    </row>
    <row r="3197" spans="1:7" x14ac:dyDescent="0.35">
      <c r="A3197">
        <v>69116</v>
      </c>
      <c r="B3197">
        <v>0</v>
      </c>
      <c r="C3197" s="5" t="s">
        <v>26</v>
      </c>
      <c r="D3197">
        <v>4503</v>
      </c>
      <c r="E3197" s="5" t="s">
        <v>83</v>
      </c>
      <c r="F3197" s="5" t="s">
        <v>17</v>
      </c>
      <c r="G3197">
        <v>20</v>
      </c>
    </row>
    <row r="3198" spans="1:7" x14ac:dyDescent="0.35">
      <c r="A3198">
        <v>72193</v>
      </c>
      <c r="B3198">
        <v>2</v>
      </c>
      <c r="C3198" s="5" t="s">
        <v>26</v>
      </c>
      <c r="D3198">
        <v>5101</v>
      </c>
      <c r="E3198" s="5" t="s">
        <v>79</v>
      </c>
      <c r="F3198" s="5" t="s">
        <v>17</v>
      </c>
      <c r="G3198">
        <v>10</v>
      </c>
    </row>
    <row r="3199" spans="1:7" x14ac:dyDescent="0.35">
      <c r="A3199">
        <v>11611</v>
      </c>
      <c r="B3199">
        <v>1</v>
      </c>
      <c r="C3199" s="5" t="s">
        <v>21</v>
      </c>
      <c r="D3199">
        <v>0</v>
      </c>
      <c r="E3199" s="5" t="s">
        <v>79</v>
      </c>
      <c r="F3199" s="5" t="s">
        <v>14</v>
      </c>
      <c r="G3199">
        <v>10</v>
      </c>
    </row>
    <row r="3200" spans="1:7" x14ac:dyDescent="0.35">
      <c r="A3200">
        <v>46129</v>
      </c>
      <c r="B3200">
        <v>1</v>
      </c>
      <c r="C3200" s="5" t="s">
        <v>13</v>
      </c>
      <c r="D3200">
        <v>0</v>
      </c>
      <c r="E3200" s="5" t="s">
        <v>81</v>
      </c>
      <c r="F3200" s="5" t="s">
        <v>14</v>
      </c>
      <c r="G3200">
        <v>10</v>
      </c>
    </row>
    <row r="3201" spans="1:7" x14ac:dyDescent="0.35">
      <c r="A3201">
        <v>52398</v>
      </c>
      <c r="B3201">
        <v>0</v>
      </c>
      <c r="C3201" s="5" t="s">
        <v>49</v>
      </c>
      <c r="D3201">
        <v>5001</v>
      </c>
      <c r="E3201" s="5" t="s">
        <v>81</v>
      </c>
      <c r="F3201" s="5" t="s">
        <v>17</v>
      </c>
      <c r="G3201">
        <v>14</v>
      </c>
    </row>
    <row r="3202" spans="1:7" x14ac:dyDescent="0.35">
      <c r="A3202">
        <v>190408</v>
      </c>
      <c r="B3202">
        <v>0</v>
      </c>
      <c r="C3202" s="5" t="s">
        <v>13</v>
      </c>
      <c r="D3202">
        <v>3104</v>
      </c>
      <c r="E3202" s="5" t="s">
        <v>78</v>
      </c>
      <c r="F3202" s="5" t="s">
        <v>86</v>
      </c>
      <c r="G3202">
        <v>7</v>
      </c>
    </row>
    <row r="3203" spans="1:7" x14ac:dyDescent="0.35">
      <c r="A3203">
        <v>145214</v>
      </c>
      <c r="B3203">
        <v>28</v>
      </c>
      <c r="C3203" s="5" t="s">
        <v>21</v>
      </c>
      <c r="D3203">
        <v>4601</v>
      </c>
      <c r="E3203" s="5" t="s">
        <v>93</v>
      </c>
      <c r="F3203" s="5" t="s">
        <v>17</v>
      </c>
      <c r="G3203">
        <v>20</v>
      </c>
    </row>
    <row r="3204" spans="1:7" x14ac:dyDescent="0.35">
      <c r="A3204">
        <v>155528</v>
      </c>
      <c r="B3204">
        <v>0</v>
      </c>
      <c r="C3204" s="5" t="s">
        <v>21</v>
      </c>
      <c r="D3204">
        <v>2101</v>
      </c>
      <c r="E3204" s="5" t="s">
        <v>78</v>
      </c>
      <c r="F3204" s="5" t="s">
        <v>17</v>
      </c>
      <c r="G3204">
        <v>10</v>
      </c>
    </row>
    <row r="3205" spans="1:7" x14ac:dyDescent="0.35">
      <c r="A3205">
        <v>94239</v>
      </c>
      <c r="B3205">
        <v>0</v>
      </c>
      <c r="C3205" s="5" t="s">
        <v>16</v>
      </c>
      <c r="D3205">
        <v>0</v>
      </c>
      <c r="E3205" s="5" t="s">
        <v>93</v>
      </c>
      <c r="F3205" s="5" t="s">
        <v>17</v>
      </c>
      <c r="G3205">
        <v>15</v>
      </c>
    </row>
    <row r="3206" spans="1:7" x14ac:dyDescent="0.35">
      <c r="A3206">
        <v>188054</v>
      </c>
      <c r="B3206">
        <v>0</v>
      </c>
      <c r="C3206" s="5" t="s">
        <v>21</v>
      </c>
      <c r="D3206">
        <v>0</v>
      </c>
      <c r="E3206" s="5" t="s">
        <v>82</v>
      </c>
      <c r="F3206" s="5" t="s">
        <v>86</v>
      </c>
      <c r="G3206">
        <v>13</v>
      </c>
    </row>
    <row r="3207" spans="1:7" x14ac:dyDescent="0.35">
      <c r="A3207">
        <v>128642</v>
      </c>
      <c r="B3207">
        <v>0</v>
      </c>
      <c r="C3207" s="5" t="s">
        <v>20</v>
      </c>
      <c r="D3207">
        <v>6401</v>
      </c>
      <c r="E3207" s="5" t="s">
        <v>94</v>
      </c>
      <c r="F3207" s="5" t="s">
        <v>17</v>
      </c>
      <c r="G3207">
        <v>10</v>
      </c>
    </row>
    <row r="3208" spans="1:7" x14ac:dyDescent="0.35">
      <c r="A3208">
        <v>174422</v>
      </c>
      <c r="B3208">
        <v>0</v>
      </c>
      <c r="C3208" s="5" t="s">
        <v>47</v>
      </c>
      <c r="D3208">
        <v>0</v>
      </c>
      <c r="E3208" s="5" t="s">
        <v>86</v>
      </c>
      <c r="F3208" s="5" t="s">
        <v>17</v>
      </c>
      <c r="G3208">
        <v>5</v>
      </c>
    </row>
    <row r="3209" spans="1:7" x14ac:dyDescent="0.35">
      <c r="A3209">
        <v>190035</v>
      </c>
      <c r="B3209">
        <v>2</v>
      </c>
      <c r="C3209" s="5" t="s">
        <v>20</v>
      </c>
      <c r="D3209">
        <v>0</v>
      </c>
      <c r="E3209" s="5" t="s">
        <v>83</v>
      </c>
      <c r="F3209" s="5" t="s">
        <v>17</v>
      </c>
      <c r="G3209">
        <v>10</v>
      </c>
    </row>
    <row r="3210" spans="1:7" x14ac:dyDescent="0.35">
      <c r="A3210">
        <v>140429</v>
      </c>
      <c r="B3210">
        <v>1</v>
      </c>
      <c r="C3210" s="5" t="s">
        <v>50</v>
      </c>
      <c r="D3210">
        <v>0</v>
      </c>
      <c r="E3210" s="5" t="s">
        <v>94</v>
      </c>
      <c r="F3210" s="5" t="s">
        <v>14</v>
      </c>
      <c r="G3210">
        <v>25</v>
      </c>
    </row>
    <row r="3211" spans="1:7" x14ac:dyDescent="0.35">
      <c r="A3211">
        <v>168242</v>
      </c>
      <c r="B3211">
        <v>0</v>
      </c>
      <c r="C3211" s="5" t="s">
        <v>21</v>
      </c>
      <c r="D3211">
        <v>3001</v>
      </c>
      <c r="E3211" s="5" t="s">
        <v>85</v>
      </c>
      <c r="F3211" s="5" t="s">
        <v>17</v>
      </c>
      <c r="G3211">
        <v>12</v>
      </c>
    </row>
    <row r="3212" spans="1:7" x14ac:dyDescent="0.35">
      <c r="A3212">
        <v>73873</v>
      </c>
      <c r="B3212">
        <v>2</v>
      </c>
      <c r="C3212" s="5" t="s">
        <v>26</v>
      </c>
      <c r="D3212">
        <v>1604</v>
      </c>
      <c r="E3212" s="5" t="s">
        <v>83</v>
      </c>
      <c r="F3212" s="5" t="s">
        <v>14</v>
      </c>
      <c r="G3212">
        <v>32</v>
      </c>
    </row>
    <row r="3213" spans="1:7" x14ac:dyDescent="0.35">
      <c r="A3213">
        <v>78270</v>
      </c>
      <c r="B3213">
        <v>1</v>
      </c>
      <c r="C3213" s="5" t="s">
        <v>32</v>
      </c>
      <c r="D3213">
        <v>3401</v>
      </c>
      <c r="E3213" s="5" t="s">
        <v>92</v>
      </c>
      <c r="F3213" s="5" t="s">
        <v>14</v>
      </c>
      <c r="G3213">
        <v>15</v>
      </c>
    </row>
    <row r="3214" spans="1:7" x14ac:dyDescent="0.35">
      <c r="A3214">
        <v>108819</v>
      </c>
      <c r="B3214">
        <v>28</v>
      </c>
      <c r="C3214" s="5" t="s">
        <v>46</v>
      </c>
      <c r="D3214">
        <v>0</v>
      </c>
      <c r="E3214" s="5" t="s">
        <v>89</v>
      </c>
      <c r="F3214" s="5" t="s">
        <v>17</v>
      </c>
      <c r="G3214">
        <v>4</v>
      </c>
    </row>
    <row r="3215" spans="1:7" x14ac:dyDescent="0.35">
      <c r="A3215">
        <v>4991</v>
      </c>
      <c r="B3215">
        <v>2</v>
      </c>
      <c r="C3215" s="5" t="s">
        <v>25</v>
      </c>
      <c r="D3215">
        <v>2010</v>
      </c>
      <c r="E3215" s="5" t="s">
        <v>79</v>
      </c>
      <c r="F3215" s="5" t="s">
        <v>17</v>
      </c>
      <c r="G3215">
        <v>23</v>
      </c>
    </row>
    <row r="3216" spans="1:7" x14ac:dyDescent="0.35">
      <c r="A3216">
        <v>86387</v>
      </c>
      <c r="B3216">
        <v>1</v>
      </c>
      <c r="C3216" s="5" t="s">
        <v>42</v>
      </c>
      <c r="D3216">
        <v>1001</v>
      </c>
      <c r="E3216" s="5" t="s">
        <v>81</v>
      </c>
      <c r="F3216" s="5" t="s">
        <v>14</v>
      </c>
      <c r="G3216">
        <v>10</v>
      </c>
    </row>
    <row r="3217" spans="1:7" x14ac:dyDescent="0.35">
      <c r="A3217">
        <v>24997</v>
      </c>
      <c r="B3217">
        <v>0</v>
      </c>
      <c r="C3217" s="5" t="s">
        <v>43</v>
      </c>
      <c r="D3217">
        <v>4701</v>
      </c>
      <c r="E3217" s="5" t="s">
        <v>79</v>
      </c>
      <c r="F3217" s="5" t="s">
        <v>17</v>
      </c>
      <c r="G3217">
        <v>5</v>
      </c>
    </row>
    <row r="3218" spans="1:7" x14ac:dyDescent="0.35">
      <c r="A3218">
        <v>189958</v>
      </c>
      <c r="B3218">
        <v>3</v>
      </c>
      <c r="C3218" s="5" t="s">
        <v>20</v>
      </c>
      <c r="D3218">
        <v>1610</v>
      </c>
      <c r="E3218" s="5" t="s">
        <v>79</v>
      </c>
      <c r="F3218" s="5" t="s">
        <v>17</v>
      </c>
      <c r="G3218">
        <v>5</v>
      </c>
    </row>
    <row r="3219" spans="1:7" x14ac:dyDescent="0.35">
      <c r="A3219">
        <v>120022</v>
      </c>
      <c r="B3219">
        <v>0</v>
      </c>
      <c r="C3219" s="5" t="s">
        <v>20</v>
      </c>
      <c r="D3219">
        <v>5401</v>
      </c>
      <c r="E3219" s="5" t="s">
        <v>84</v>
      </c>
      <c r="F3219" s="5" t="s">
        <v>17</v>
      </c>
      <c r="G3219">
        <v>20</v>
      </c>
    </row>
    <row r="3220" spans="1:7" x14ac:dyDescent="0.35">
      <c r="A3220">
        <v>36809</v>
      </c>
      <c r="B3220">
        <v>0</v>
      </c>
      <c r="C3220" s="5" t="s">
        <v>20</v>
      </c>
      <c r="D3220">
        <v>1201</v>
      </c>
      <c r="E3220" s="5" t="s">
        <v>80</v>
      </c>
      <c r="F3220" s="5" t="s">
        <v>14</v>
      </c>
      <c r="G3220">
        <v>5</v>
      </c>
    </row>
    <row r="3221" spans="1:7" x14ac:dyDescent="0.35">
      <c r="A3221">
        <v>99761</v>
      </c>
      <c r="B3221">
        <v>1</v>
      </c>
      <c r="C3221" s="5" t="s">
        <v>33</v>
      </c>
      <c r="D3221">
        <v>6801</v>
      </c>
      <c r="E3221" s="5" t="s">
        <v>79</v>
      </c>
      <c r="F3221" s="5" t="s">
        <v>14</v>
      </c>
      <c r="G3221">
        <v>6</v>
      </c>
    </row>
    <row r="3222" spans="1:7" x14ac:dyDescent="0.35">
      <c r="A3222">
        <v>68120</v>
      </c>
      <c r="B3222">
        <v>28</v>
      </c>
      <c r="C3222" s="5" t="s">
        <v>26</v>
      </c>
      <c r="D3222">
        <v>3908</v>
      </c>
      <c r="E3222" s="5" t="s">
        <v>93</v>
      </c>
      <c r="F3222" s="5" t="s">
        <v>17</v>
      </c>
      <c r="G3222">
        <v>20</v>
      </c>
    </row>
    <row r="3223" spans="1:7" x14ac:dyDescent="0.35">
      <c r="A3223">
        <v>102372</v>
      </c>
      <c r="B3223">
        <v>1</v>
      </c>
      <c r="C3223" s="5" t="s">
        <v>33</v>
      </c>
      <c r="D3223">
        <v>0</v>
      </c>
      <c r="E3223" s="5" t="s">
        <v>80</v>
      </c>
      <c r="F3223" s="5" t="s">
        <v>14</v>
      </c>
      <c r="G3223">
        <v>23</v>
      </c>
    </row>
    <row r="3224" spans="1:7" x14ac:dyDescent="0.35">
      <c r="A3224">
        <v>6050</v>
      </c>
      <c r="B3224">
        <v>0</v>
      </c>
      <c r="C3224" s="5" t="s">
        <v>33</v>
      </c>
      <c r="D3224">
        <v>0</v>
      </c>
      <c r="E3224" s="5" t="s">
        <v>86</v>
      </c>
      <c r="F3224" s="5" t="s">
        <v>17</v>
      </c>
      <c r="G3224">
        <v>32</v>
      </c>
    </row>
    <row r="3225" spans="1:7" x14ac:dyDescent="0.35">
      <c r="A3225">
        <v>118657</v>
      </c>
      <c r="B3225">
        <v>28</v>
      </c>
      <c r="C3225" s="5" t="s">
        <v>20</v>
      </c>
      <c r="D3225">
        <v>0</v>
      </c>
      <c r="E3225" s="5" t="s">
        <v>89</v>
      </c>
      <c r="F3225" s="5" t="s">
        <v>17</v>
      </c>
      <c r="G3225">
        <v>11</v>
      </c>
    </row>
    <row r="3226" spans="1:7" x14ac:dyDescent="0.35">
      <c r="A3226">
        <v>169135</v>
      </c>
      <c r="B3226">
        <v>0</v>
      </c>
      <c r="C3226" s="5" t="s">
        <v>21</v>
      </c>
      <c r="D3226">
        <v>0</v>
      </c>
      <c r="E3226" s="5" t="s">
        <v>78</v>
      </c>
      <c r="F3226" s="5" t="s">
        <v>17</v>
      </c>
      <c r="G3226">
        <v>10</v>
      </c>
    </row>
    <row r="3227" spans="1:7" x14ac:dyDescent="0.35">
      <c r="A3227">
        <v>187748</v>
      </c>
      <c r="B3227">
        <v>0</v>
      </c>
      <c r="C3227" s="5" t="s">
        <v>13</v>
      </c>
      <c r="D3227">
        <v>0</v>
      </c>
      <c r="E3227" s="5" t="s">
        <v>86</v>
      </c>
      <c r="F3227" s="5" t="s">
        <v>86</v>
      </c>
      <c r="G3227">
        <v>7</v>
      </c>
    </row>
    <row r="3228" spans="1:7" x14ac:dyDescent="0.35">
      <c r="A3228">
        <v>73786</v>
      </c>
      <c r="B3228">
        <v>1</v>
      </c>
      <c r="C3228" s="5" t="s">
        <v>26</v>
      </c>
      <c r="D3228">
        <v>2303</v>
      </c>
      <c r="E3228" s="5" t="s">
        <v>83</v>
      </c>
      <c r="F3228" s="5" t="s">
        <v>14</v>
      </c>
      <c r="G3228">
        <v>12</v>
      </c>
    </row>
    <row r="3229" spans="1:7" x14ac:dyDescent="0.35">
      <c r="A3229">
        <v>47276</v>
      </c>
      <c r="B3229">
        <v>1</v>
      </c>
      <c r="C3229" s="5" t="s">
        <v>40</v>
      </c>
      <c r="D3229">
        <v>4001</v>
      </c>
      <c r="E3229" s="5" t="s">
        <v>79</v>
      </c>
      <c r="F3229" s="5" t="s">
        <v>14</v>
      </c>
      <c r="G3229">
        <v>6</v>
      </c>
    </row>
    <row r="3230" spans="1:7" x14ac:dyDescent="0.35">
      <c r="A3230">
        <v>27329</v>
      </c>
      <c r="B3230">
        <v>2</v>
      </c>
      <c r="C3230" s="5" t="s">
        <v>36</v>
      </c>
      <c r="D3230">
        <v>4601</v>
      </c>
      <c r="E3230" s="5" t="s">
        <v>79</v>
      </c>
      <c r="F3230" s="5" t="s">
        <v>14</v>
      </c>
      <c r="G3230">
        <v>15</v>
      </c>
    </row>
    <row r="3231" spans="1:7" x14ac:dyDescent="0.35">
      <c r="A3231">
        <v>102579</v>
      </c>
      <c r="B3231">
        <v>0</v>
      </c>
      <c r="C3231" s="5" t="s">
        <v>33</v>
      </c>
      <c r="D3231">
        <v>0</v>
      </c>
      <c r="E3231" s="5" t="s">
        <v>81</v>
      </c>
      <c r="F3231" s="5" t="s">
        <v>27</v>
      </c>
      <c r="G3231">
        <v>5</v>
      </c>
    </row>
    <row r="3232" spans="1:7" x14ac:dyDescent="0.35">
      <c r="A3232">
        <v>145403</v>
      </c>
      <c r="B3232">
        <v>0</v>
      </c>
      <c r="C3232" s="5" t="s">
        <v>21</v>
      </c>
      <c r="D3232">
        <v>602</v>
      </c>
      <c r="E3232" s="5" t="s">
        <v>80</v>
      </c>
      <c r="F3232" s="5" t="s">
        <v>17</v>
      </c>
      <c r="G3232">
        <v>10</v>
      </c>
    </row>
    <row r="3233" spans="1:7" x14ac:dyDescent="0.35">
      <c r="A3233">
        <v>59814</v>
      </c>
      <c r="B3233">
        <v>28</v>
      </c>
      <c r="C3233" s="5" t="s">
        <v>30</v>
      </c>
      <c r="D3233">
        <v>4001</v>
      </c>
      <c r="E3233" s="5" t="s">
        <v>89</v>
      </c>
      <c r="F3233" s="5" t="s">
        <v>17</v>
      </c>
      <c r="G3233">
        <v>5</v>
      </c>
    </row>
    <row r="3234" spans="1:7" x14ac:dyDescent="0.35">
      <c r="A3234">
        <v>85059</v>
      </c>
      <c r="B3234">
        <v>1</v>
      </c>
      <c r="C3234" s="5" t="s">
        <v>52</v>
      </c>
      <c r="D3234">
        <v>1701</v>
      </c>
      <c r="E3234" s="5" t="s">
        <v>81</v>
      </c>
      <c r="F3234" s="5" t="s">
        <v>14</v>
      </c>
      <c r="G3234">
        <v>5</v>
      </c>
    </row>
    <row r="3235" spans="1:7" x14ac:dyDescent="0.35">
      <c r="A3235">
        <v>168103</v>
      </c>
      <c r="B3235">
        <v>1</v>
      </c>
      <c r="C3235" s="5" t="s">
        <v>21</v>
      </c>
      <c r="D3235">
        <v>4201</v>
      </c>
      <c r="E3235" s="5" t="s">
        <v>91</v>
      </c>
      <c r="F3235" s="5" t="s">
        <v>14</v>
      </c>
      <c r="G3235">
        <v>10</v>
      </c>
    </row>
    <row r="3236" spans="1:7" x14ac:dyDescent="0.35">
      <c r="A3236">
        <v>13452</v>
      </c>
      <c r="B3236">
        <v>1</v>
      </c>
      <c r="C3236" s="5" t="s">
        <v>13</v>
      </c>
      <c r="D3236">
        <v>2001</v>
      </c>
      <c r="E3236" s="5" t="s">
        <v>87</v>
      </c>
      <c r="F3236" s="5" t="s">
        <v>14</v>
      </c>
      <c r="G3236">
        <v>10</v>
      </c>
    </row>
    <row r="3237" spans="1:7" x14ac:dyDescent="0.35">
      <c r="A3237">
        <v>183673</v>
      </c>
      <c r="B3237">
        <v>0</v>
      </c>
      <c r="C3237" s="5" t="s">
        <v>37</v>
      </c>
      <c r="D3237">
        <v>1108</v>
      </c>
      <c r="E3237" s="5" t="s">
        <v>81</v>
      </c>
      <c r="F3237" s="5" t="s">
        <v>17</v>
      </c>
      <c r="G3237">
        <v>10</v>
      </c>
    </row>
    <row r="3238" spans="1:7" x14ac:dyDescent="0.35">
      <c r="A3238">
        <v>160306</v>
      </c>
      <c r="B3238">
        <v>2</v>
      </c>
      <c r="C3238" s="5" t="s">
        <v>21</v>
      </c>
      <c r="D3238">
        <v>2601</v>
      </c>
      <c r="E3238" s="5" t="s">
        <v>79</v>
      </c>
      <c r="F3238" s="5" t="s">
        <v>17</v>
      </c>
      <c r="G3238">
        <v>10</v>
      </c>
    </row>
    <row r="3239" spans="1:7" x14ac:dyDescent="0.35">
      <c r="A3239">
        <v>140347</v>
      </c>
      <c r="B3239">
        <v>0</v>
      </c>
      <c r="C3239" s="5" t="s">
        <v>50</v>
      </c>
      <c r="D3239">
        <v>0</v>
      </c>
      <c r="E3239" s="5" t="s">
        <v>78</v>
      </c>
      <c r="F3239" s="5" t="s">
        <v>14</v>
      </c>
      <c r="G3239">
        <v>10</v>
      </c>
    </row>
    <row r="3240" spans="1:7" x14ac:dyDescent="0.35">
      <c r="A3240">
        <v>57092</v>
      </c>
      <c r="B3240">
        <v>0</v>
      </c>
      <c r="C3240" s="5" t="s">
        <v>53</v>
      </c>
      <c r="D3240">
        <v>5308</v>
      </c>
      <c r="E3240" s="5" t="s">
        <v>84</v>
      </c>
      <c r="F3240" s="5" t="s">
        <v>14</v>
      </c>
      <c r="G3240">
        <v>36</v>
      </c>
    </row>
    <row r="3241" spans="1:7" x14ac:dyDescent="0.35">
      <c r="A3241">
        <v>171216</v>
      </c>
      <c r="B3241">
        <v>0</v>
      </c>
      <c r="C3241" s="5" t="s">
        <v>21</v>
      </c>
      <c r="D3241">
        <v>3601</v>
      </c>
      <c r="E3241" s="5" t="s">
        <v>80</v>
      </c>
      <c r="F3241" s="5" t="s">
        <v>17</v>
      </c>
      <c r="G3241">
        <v>5</v>
      </c>
    </row>
    <row r="3242" spans="1:7" x14ac:dyDescent="0.35">
      <c r="A3242">
        <v>111861</v>
      </c>
      <c r="B3242">
        <v>1</v>
      </c>
      <c r="C3242" s="5" t="s">
        <v>29</v>
      </c>
      <c r="D3242">
        <v>2212</v>
      </c>
      <c r="E3242" s="5" t="s">
        <v>94</v>
      </c>
      <c r="F3242" s="5" t="s">
        <v>14</v>
      </c>
      <c r="G3242">
        <v>5</v>
      </c>
    </row>
    <row r="3243" spans="1:7" x14ac:dyDescent="0.35">
      <c r="A3243">
        <v>66393</v>
      </c>
      <c r="B3243">
        <v>0</v>
      </c>
      <c r="C3243" s="5" t="s">
        <v>26</v>
      </c>
      <c r="D3243">
        <v>5412</v>
      </c>
      <c r="E3243" s="5" t="s">
        <v>79</v>
      </c>
      <c r="F3243" s="5" t="s">
        <v>14</v>
      </c>
      <c r="G3243">
        <v>50</v>
      </c>
    </row>
    <row r="3244" spans="1:7" x14ac:dyDescent="0.35">
      <c r="A3244">
        <v>189848</v>
      </c>
      <c r="B3244">
        <v>1</v>
      </c>
      <c r="C3244" s="5" t="s">
        <v>13</v>
      </c>
      <c r="D3244">
        <v>1801</v>
      </c>
      <c r="E3244" s="5" t="s">
        <v>78</v>
      </c>
      <c r="F3244" s="5" t="s">
        <v>14</v>
      </c>
      <c r="G3244">
        <v>12</v>
      </c>
    </row>
    <row r="3245" spans="1:7" x14ac:dyDescent="0.35">
      <c r="A3245">
        <v>103298</v>
      </c>
      <c r="B3245">
        <v>0</v>
      </c>
      <c r="C3245" s="5" t="s">
        <v>33</v>
      </c>
      <c r="D3245">
        <v>7101</v>
      </c>
      <c r="E3245" s="5" t="s">
        <v>90</v>
      </c>
      <c r="F3245" s="5" t="s">
        <v>17</v>
      </c>
      <c r="G3245">
        <v>15</v>
      </c>
    </row>
    <row r="3246" spans="1:7" x14ac:dyDescent="0.35">
      <c r="A3246">
        <v>104442</v>
      </c>
      <c r="B3246">
        <v>28</v>
      </c>
      <c r="C3246" s="5" t="s">
        <v>25</v>
      </c>
      <c r="D3246">
        <v>4608</v>
      </c>
      <c r="E3246" s="5" t="s">
        <v>83</v>
      </c>
      <c r="F3246" s="5" t="s">
        <v>17</v>
      </c>
      <c r="G3246">
        <v>35</v>
      </c>
    </row>
    <row r="3247" spans="1:7" x14ac:dyDescent="0.35">
      <c r="A3247">
        <v>83279</v>
      </c>
      <c r="B3247">
        <v>0</v>
      </c>
      <c r="C3247" s="5" t="s">
        <v>52</v>
      </c>
      <c r="D3247">
        <v>4501</v>
      </c>
      <c r="E3247" s="5" t="s">
        <v>83</v>
      </c>
      <c r="F3247" s="5" t="s">
        <v>17</v>
      </c>
      <c r="G3247">
        <v>19</v>
      </c>
    </row>
    <row r="3248" spans="1:7" x14ac:dyDescent="0.35">
      <c r="A3248">
        <v>153026</v>
      </c>
      <c r="B3248">
        <v>2</v>
      </c>
      <c r="C3248" s="5" t="s">
        <v>21</v>
      </c>
      <c r="D3248">
        <v>2601</v>
      </c>
      <c r="E3248" s="5" t="s">
        <v>87</v>
      </c>
      <c r="F3248" s="5" t="s">
        <v>17</v>
      </c>
      <c r="G3248">
        <v>10</v>
      </c>
    </row>
    <row r="3249" spans="1:7" x14ac:dyDescent="0.35">
      <c r="A3249">
        <v>162687</v>
      </c>
      <c r="B3249">
        <v>0</v>
      </c>
      <c r="C3249" s="5" t="s">
        <v>21</v>
      </c>
      <c r="D3249">
        <v>4001</v>
      </c>
      <c r="E3249" s="5" t="s">
        <v>85</v>
      </c>
      <c r="F3249" s="5" t="s">
        <v>17</v>
      </c>
      <c r="G3249">
        <v>35</v>
      </c>
    </row>
    <row r="3250" spans="1:7" x14ac:dyDescent="0.35">
      <c r="A3250">
        <v>133283</v>
      </c>
      <c r="B3250">
        <v>1002</v>
      </c>
      <c r="C3250" s="5" t="s">
        <v>38</v>
      </c>
      <c r="D3250">
        <v>0</v>
      </c>
      <c r="E3250" s="5" t="s">
        <v>81</v>
      </c>
      <c r="F3250" s="5" t="s">
        <v>14</v>
      </c>
      <c r="G3250">
        <v>15</v>
      </c>
    </row>
    <row r="3251" spans="1:7" x14ac:dyDescent="0.35">
      <c r="A3251">
        <v>58934</v>
      </c>
      <c r="B3251">
        <v>0</v>
      </c>
      <c r="C3251" s="5" t="s">
        <v>53</v>
      </c>
      <c r="D3251">
        <v>0</v>
      </c>
      <c r="E3251" s="5" t="s">
        <v>89</v>
      </c>
      <c r="F3251" s="5" t="s">
        <v>17</v>
      </c>
      <c r="G3251">
        <v>10</v>
      </c>
    </row>
    <row r="3252" spans="1:7" x14ac:dyDescent="0.35">
      <c r="A3252">
        <v>151195</v>
      </c>
      <c r="B3252">
        <v>0</v>
      </c>
      <c r="C3252" s="5" t="s">
        <v>21</v>
      </c>
      <c r="D3252">
        <v>1001</v>
      </c>
      <c r="E3252" s="5" t="s">
        <v>86</v>
      </c>
      <c r="F3252" s="5" t="s">
        <v>17</v>
      </c>
      <c r="G3252">
        <v>10</v>
      </c>
    </row>
    <row r="3253" spans="1:7" x14ac:dyDescent="0.35">
      <c r="A3253">
        <v>1322</v>
      </c>
      <c r="B3253">
        <v>28</v>
      </c>
      <c r="C3253" s="5" t="s">
        <v>26</v>
      </c>
      <c r="D3253">
        <v>4301</v>
      </c>
      <c r="E3253" s="5" t="s">
        <v>93</v>
      </c>
      <c r="F3253" s="5" t="s">
        <v>17</v>
      </c>
      <c r="G3253">
        <v>14</v>
      </c>
    </row>
    <row r="3254" spans="1:7" x14ac:dyDescent="0.35">
      <c r="A3254">
        <v>157307</v>
      </c>
      <c r="B3254">
        <v>1</v>
      </c>
      <c r="C3254" s="5" t="s">
        <v>21</v>
      </c>
      <c r="D3254">
        <v>6001</v>
      </c>
      <c r="E3254" s="5" t="s">
        <v>85</v>
      </c>
      <c r="F3254" s="5" t="s">
        <v>14</v>
      </c>
      <c r="G3254">
        <v>30</v>
      </c>
    </row>
    <row r="3255" spans="1:7" x14ac:dyDescent="0.35">
      <c r="A3255">
        <v>175582</v>
      </c>
      <c r="B3255">
        <v>28</v>
      </c>
      <c r="C3255" s="5" t="s">
        <v>47</v>
      </c>
      <c r="D3255">
        <v>6011</v>
      </c>
      <c r="E3255" s="5" t="s">
        <v>87</v>
      </c>
      <c r="F3255" s="5" t="s">
        <v>17</v>
      </c>
      <c r="G3255">
        <v>15</v>
      </c>
    </row>
    <row r="3256" spans="1:7" x14ac:dyDescent="0.35">
      <c r="A3256">
        <v>78875</v>
      </c>
      <c r="B3256">
        <v>28</v>
      </c>
      <c r="C3256" s="5" t="s">
        <v>32</v>
      </c>
      <c r="D3256">
        <v>403</v>
      </c>
      <c r="E3256" s="5" t="s">
        <v>83</v>
      </c>
      <c r="F3256" s="5" t="s">
        <v>17</v>
      </c>
      <c r="G3256">
        <v>15</v>
      </c>
    </row>
    <row r="3257" spans="1:7" x14ac:dyDescent="0.35">
      <c r="A3257">
        <v>57705</v>
      </c>
      <c r="B3257">
        <v>0</v>
      </c>
      <c r="C3257" s="5" t="s">
        <v>53</v>
      </c>
      <c r="D3257">
        <v>0</v>
      </c>
      <c r="E3257" s="5" t="s">
        <v>92</v>
      </c>
      <c r="F3257" s="5" t="s">
        <v>17</v>
      </c>
      <c r="G3257">
        <v>5</v>
      </c>
    </row>
    <row r="3258" spans="1:7" x14ac:dyDescent="0.35">
      <c r="A3258">
        <v>70039</v>
      </c>
      <c r="B3258">
        <v>1</v>
      </c>
      <c r="C3258" s="5" t="s">
        <v>26</v>
      </c>
      <c r="D3258">
        <v>5002</v>
      </c>
      <c r="E3258" s="5" t="s">
        <v>79</v>
      </c>
      <c r="F3258" s="5" t="s">
        <v>14</v>
      </c>
      <c r="G3258">
        <v>13</v>
      </c>
    </row>
    <row r="3259" spans="1:7" x14ac:dyDescent="0.35">
      <c r="A3259">
        <v>138307</v>
      </c>
      <c r="B3259">
        <v>0</v>
      </c>
      <c r="C3259" s="5" t="s">
        <v>51</v>
      </c>
      <c r="D3259">
        <v>4310</v>
      </c>
      <c r="E3259" s="5" t="s">
        <v>83</v>
      </c>
      <c r="F3259" s="5" t="s">
        <v>17</v>
      </c>
      <c r="G3259">
        <v>18</v>
      </c>
    </row>
    <row r="3260" spans="1:7" x14ac:dyDescent="0.35">
      <c r="A3260">
        <v>163614</v>
      </c>
      <c r="B3260">
        <v>0</v>
      </c>
      <c r="C3260" s="5" t="s">
        <v>21</v>
      </c>
      <c r="D3260">
        <v>0</v>
      </c>
      <c r="E3260" s="5" t="s">
        <v>85</v>
      </c>
      <c r="F3260" s="5" t="s">
        <v>17</v>
      </c>
      <c r="G3260">
        <v>10</v>
      </c>
    </row>
    <row r="3261" spans="1:7" x14ac:dyDescent="0.35">
      <c r="A3261">
        <v>21966</v>
      </c>
      <c r="B3261">
        <v>2</v>
      </c>
      <c r="C3261" s="5" t="s">
        <v>18</v>
      </c>
      <c r="D3261">
        <v>0</v>
      </c>
      <c r="E3261" s="5" t="s">
        <v>81</v>
      </c>
      <c r="F3261" s="5" t="s">
        <v>17</v>
      </c>
      <c r="G3261">
        <v>6</v>
      </c>
    </row>
    <row r="3262" spans="1:7" x14ac:dyDescent="0.35">
      <c r="A3262">
        <v>44433</v>
      </c>
      <c r="B3262">
        <v>1</v>
      </c>
      <c r="C3262" s="5" t="s">
        <v>13</v>
      </c>
      <c r="D3262">
        <v>2308</v>
      </c>
      <c r="E3262" s="5" t="s">
        <v>78</v>
      </c>
      <c r="F3262" s="5" t="s">
        <v>14</v>
      </c>
      <c r="G3262">
        <v>10</v>
      </c>
    </row>
    <row r="3263" spans="1:7" x14ac:dyDescent="0.35">
      <c r="A3263">
        <v>189234</v>
      </c>
      <c r="B3263">
        <v>28</v>
      </c>
      <c r="C3263" s="5" t="s">
        <v>23</v>
      </c>
      <c r="D3263">
        <v>0</v>
      </c>
      <c r="E3263" s="5" t="s">
        <v>91</v>
      </c>
      <c r="F3263" s="5" t="s">
        <v>17</v>
      </c>
      <c r="G3263">
        <v>5</v>
      </c>
    </row>
    <row r="3264" spans="1:7" x14ac:dyDescent="0.35">
      <c r="A3264">
        <v>37304</v>
      </c>
      <c r="B3264">
        <v>1</v>
      </c>
      <c r="C3264" s="5" t="s">
        <v>13</v>
      </c>
      <c r="D3264">
        <v>3911</v>
      </c>
      <c r="E3264" s="5" t="s">
        <v>83</v>
      </c>
      <c r="F3264" s="5" t="s">
        <v>14</v>
      </c>
      <c r="G3264">
        <v>5</v>
      </c>
    </row>
    <row r="3265" spans="1:7" x14ac:dyDescent="0.35">
      <c r="A3265">
        <v>35728</v>
      </c>
      <c r="B3265">
        <v>0</v>
      </c>
      <c r="C3265" s="5" t="s">
        <v>13</v>
      </c>
      <c r="D3265">
        <v>4801</v>
      </c>
      <c r="E3265" s="5" t="s">
        <v>79</v>
      </c>
      <c r="F3265" s="5" t="s">
        <v>14</v>
      </c>
      <c r="G3265">
        <v>10</v>
      </c>
    </row>
    <row r="3266" spans="1:7" x14ac:dyDescent="0.35">
      <c r="A3266">
        <v>30640</v>
      </c>
      <c r="B3266">
        <v>0</v>
      </c>
      <c r="C3266" s="5" t="s">
        <v>36</v>
      </c>
      <c r="D3266">
        <v>3311</v>
      </c>
      <c r="E3266" s="5" t="s">
        <v>78</v>
      </c>
      <c r="F3266" s="5" t="s">
        <v>17</v>
      </c>
      <c r="G3266">
        <v>15</v>
      </c>
    </row>
    <row r="3267" spans="1:7" x14ac:dyDescent="0.35">
      <c r="A3267">
        <v>7734</v>
      </c>
      <c r="B3267">
        <v>1</v>
      </c>
      <c r="C3267" s="5" t="s">
        <v>32</v>
      </c>
      <c r="D3267">
        <v>2512</v>
      </c>
      <c r="E3267" s="5" t="s">
        <v>79</v>
      </c>
      <c r="F3267" s="5" t="s">
        <v>14</v>
      </c>
      <c r="G3267">
        <v>20</v>
      </c>
    </row>
    <row r="3268" spans="1:7" x14ac:dyDescent="0.35">
      <c r="A3268">
        <v>42776</v>
      </c>
      <c r="B3268">
        <v>2</v>
      </c>
      <c r="C3268" s="5" t="s">
        <v>13</v>
      </c>
      <c r="D3268">
        <v>0</v>
      </c>
      <c r="E3268" s="5" t="s">
        <v>82</v>
      </c>
      <c r="F3268" s="5" t="s">
        <v>14</v>
      </c>
      <c r="G3268">
        <v>16</v>
      </c>
    </row>
    <row r="3269" spans="1:7" x14ac:dyDescent="0.35">
      <c r="A3269">
        <v>44817</v>
      </c>
      <c r="B3269">
        <v>2</v>
      </c>
      <c r="C3269" s="5" t="s">
        <v>13</v>
      </c>
      <c r="D3269">
        <v>1806</v>
      </c>
      <c r="E3269" s="5" t="s">
        <v>94</v>
      </c>
      <c r="F3269" s="5" t="s">
        <v>17</v>
      </c>
      <c r="G3269">
        <v>5</v>
      </c>
    </row>
    <row r="3270" spans="1:7" x14ac:dyDescent="0.35">
      <c r="A3270">
        <v>165241</v>
      </c>
      <c r="B3270">
        <v>1</v>
      </c>
      <c r="C3270" s="5" t="s">
        <v>21</v>
      </c>
      <c r="D3270">
        <v>2602</v>
      </c>
      <c r="E3270" s="5" t="s">
        <v>82</v>
      </c>
      <c r="F3270" s="5" t="s">
        <v>14</v>
      </c>
      <c r="G3270">
        <v>15</v>
      </c>
    </row>
    <row r="3271" spans="1:7" x14ac:dyDescent="0.35">
      <c r="A3271">
        <v>111371</v>
      </c>
      <c r="B3271">
        <v>0</v>
      </c>
      <c r="C3271" s="5" t="s">
        <v>29</v>
      </c>
      <c r="D3271">
        <v>0</v>
      </c>
      <c r="E3271" s="5" t="s">
        <v>79</v>
      </c>
      <c r="F3271" s="5" t="s">
        <v>27</v>
      </c>
      <c r="G3271">
        <v>20</v>
      </c>
    </row>
    <row r="3272" spans="1:7" x14ac:dyDescent="0.35">
      <c r="A3272">
        <v>134398</v>
      </c>
      <c r="B3272">
        <v>2</v>
      </c>
      <c r="C3272" s="5" t="s">
        <v>35</v>
      </c>
      <c r="D3272">
        <v>2501</v>
      </c>
      <c r="E3272" s="5" t="s">
        <v>85</v>
      </c>
      <c r="F3272" s="5" t="s">
        <v>17</v>
      </c>
      <c r="G3272">
        <v>10</v>
      </c>
    </row>
    <row r="3273" spans="1:7" x14ac:dyDescent="0.35">
      <c r="A3273">
        <v>88868</v>
      </c>
      <c r="B3273">
        <v>0</v>
      </c>
      <c r="C3273" s="5" t="s">
        <v>16</v>
      </c>
      <c r="D3273">
        <v>2401</v>
      </c>
      <c r="E3273" s="5" t="s">
        <v>83</v>
      </c>
      <c r="F3273" s="5" t="s">
        <v>17</v>
      </c>
      <c r="G3273">
        <v>8</v>
      </c>
    </row>
    <row r="3274" spans="1:7" x14ac:dyDescent="0.35">
      <c r="A3274">
        <v>183223</v>
      </c>
      <c r="B3274">
        <v>1</v>
      </c>
      <c r="C3274" s="5" t="s">
        <v>37</v>
      </c>
      <c r="D3274">
        <v>5601</v>
      </c>
      <c r="E3274" s="5" t="s">
        <v>80</v>
      </c>
      <c r="F3274" s="5" t="s">
        <v>14</v>
      </c>
      <c r="G3274">
        <v>23</v>
      </c>
    </row>
    <row r="3275" spans="1:7" x14ac:dyDescent="0.35">
      <c r="A3275">
        <v>186925</v>
      </c>
      <c r="B3275">
        <v>0</v>
      </c>
      <c r="C3275" s="5" t="s">
        <v>48</v>
      </c>
      <c r="D3275">
        <v>3001</v>
      </c>
      <c r="E3275" s="5" t="s">
        <v>81</v>
      </c>
      <c r="F3275" s="5" t="s">
        <v>17</v>
      </c>
      <c r="G3275">
        <v>15</v>
      </c>
    </row>
    <row r="3276" spans="1:7" x14ac:dyDescent="0.35">
      <c r="A3276">
        <v>132097</v>
      </c>
      <c r="B3276">
        <v>2</v>
      </c>
      <c r="C3276" s="5" t="s">
        <v>21</v>
      </c>
      <c r="D3276">
        <v>3801</v>
      </c>
      <c r="E3276" s="5" t="s">
        <v>79</v>
      </c>
      <c r="F3276" s="5" t="s">
        <v>17</v>
      </c>
      <c r="G3276">
        <v>13</v>
      </c>
    </row>
    <row r="3277" spans="1:7" x14ac:dyDescent="0.35">
      <c r="A3277">
        <v>61962</v>
      </c>
      <c r="B3277">
        <v>0</v>
      </c>
      <c r="C3277" s="5" t="s">
        <v>30</v>
      </c>
      <c r="D3277">
        <v>0</v>
      </c>
      <c r="E3277" s="5" t="s">
        <v>79</v>
      </c>
      <c r="F3277" s="5" t="s">
        <v>17</v>
      </c>
      <c r="G3277">
        <v>25</v>
      </c>
    </row>
    <row r="3278" spans="1:7" x14ac:dyDescent="0.35">
      <c r="A3278">
        <v>162656</v>
      </c>
      <c r="B3278">
        <v>0</v>
      </c>
      <c r="C3278" s="5" t="s">
        <v>21</v>
      </c>
      <c r="D3278">
        <v>0</v>
      </c>
      <c r="E3278" s="5" t="s">
        <v>79</v>
      </c>
      <c r="F3278" s="5" t="s">
        <v>17</v>
      </c>
      <c r="G3278">
        <v>20</v>
      </c>
    </row>
    <row r="3279" spans="1:7" x14ac:dyDescent="0.35">
      <c r="A3279">
        <v>79602</v>
      </c>
      <c r="B3279">
        <v>2</v>
      </c>
      <c r="C3279" s="5" t="s">
        <v>32</v>
      </c>
      <c r="D3279">
        <v>1102</v>
      </c>
      <c r="E3279" s="5" t="s">
        <v>83</v>
      </c>
      <c r="F3279" s="5" t="s">
        <v>14</v>
      </c>
      <c r="G3279">
        <v>15</v>
      </c>
    </row>
    <row r="3280" spans="1:7" x14ac:dyDescent="0.35">
      <c r="A3280">
        <v>65578</v>
      </c>
      <c r="B3280">
        <v>28</v>
      </c>
      <c r="C3280" s="5" t="s">
        <v>26</v>
      </c>
      <c r="D3280">
        <v>2102</v>
      </c>
      <c r="E3280" s="5" t="s">
        <v>91</v>
      </c>
      <c r="F3280" s="5" t="s">
        <v>17</v>
      </c>
      <c r="G3280">
        <v>21</v>
      </c>
    </row>
    <row r="3281" spans="1:7" x14ac:dyDescent="0.35">
      <c r="A3281">
        <v>169186</v>
      </c>
      <c r="B3281">
        <v>1</v>
      </c>
      <c r="C3281" s="5" t="s">
        <v>21</v>
      </c>
      <c r="D3281">
        <v>2801</v>
      </c>
      <c r="E3281" s="5" t="s">
        <v>81</v>
      </c>
      <c r="F3281" s="5" t="s">
        <v>14</v>
      </c>
      <c r="G3281">
        <v>9</v>
      </c>
    </row>
    <row r="3282" spans="1:7" x14ac:dyDescent="0.35">
      <c r="A3282">
        <v>189438</v>
      </c>
      <c r="B3282">
        <v>1</v>
      </c>
      <c r="C3282" s="5" t="s">
        <v>34</v>
      </c>
      <c r="D3282">
        <v>4101</v>
      </c>
      <c r="E3282" s="5" t="s">
        <v>93</v>
      </c>
      <c r="F3282" s="5" t="s">
        <v>14</v>
      </c>
      <c r="G3282">
        <v>9</v>
      </c>
    </row>
    <row r="3283" spans="1:7" x14ac:dyDescent="0.35">
      <c r="A3283">
        <v>110871</v>
      </c>
      <c r="B3283">
        <v>2</v>
      </c>
      <c r="C3283" s="5" t="s">
        <v>29</v>
      </c>
      <c r="D3283">
        <v>1010</v>
      </c>
      <c r="E3283" s="5" t="s">
        <v>81</v>
      </c>
      <c r="F3283" s="5" t="s">
        <v>17</v>
      </c>
      <c r="G3283">
        <v>5</v>
      </c>
    </row>
    <row r="3284" spans="1:7" x14ac:dyDescent="0.35">
      <c r="A3284">
        <v>168370</v>
      </c>
      <c r="B3284">
        <v>0</v>
      </c>
      <c r="C3284" s="5" t="s">
        <v>21</v>
      </c>
      <c r="D3284">
        <v>5804</v>
      </c>
      <c r="E3284" s="5" t="s">
        <v>80</v>
      </c>
      <c r="F3284" s="5" t="s">
        <v>17</v>
      </c>
      <c r="G3284">
        <v>15</v>
      </c>
    </row>
    <row r="3285" spans="1:7" x14ac:dyDescent="0.35">
      <c r="A3285">
        <v>156618</v>
      </c>
      <c r="B3285">
        <v>0</v>
      </c>
      <c r="C3285" s="5" t="s">
        <v>21</v>
      </c>
      <c r="D3285">
        <v>4401</v>
      </c>
      <c r="E3285" s="5" t="s">
        <v>80</v>
      </c>
      <c r="F3285" s="5" t="s">
        <v>86</v>
      </c>
      <c r="G3285">
        <v>25</v>
      </c>
    </row>
    <row r="3286" spans="1:7" x14ac:dyDescent="0.35">
      <c r="A3286">
        <v>109858</v>
      </c>
      <c r="B3286">
        <v>0</v>
      </c>
      <c r="C3286" s="5" t="s">
        <v>46</v>
      </c>
      <c r="D3286">
        <v>5512</v>
      </c>
      <c r="E3286" s="5" t="s">
        <v>83</v>
      </c>
      <c r="F3286" s="5" t="s">
        <v>17</v>
      </c>
      <c r="G3286">
        <v>15</v>
      </c>
    </row>
    <row r="3287" spans="1:7" x14ac:dyDescent="0.35">
      <c r="A3287">
        <v>99501</v>
      </c>
      <c r="B3287">
        <v>0</v>
      </c>
      <c r="C3287" s="5" t="s">
        <v>33</v>
      </c>
      <c r="D3287">
        <v>5701</v>
      </c>
      <c r="E3287" s="5" t="s">
        <v>83</v>
      </c>
      <c r="F3287" s="5" t="s">
        <v>17</v>
      </c>
      <c r="G3287">
        <v>10</v>
      </c>
    </row>
    <row r="3288" spans="1:7" x14ac:dyDescent="0.35">
      <c r="A3288">
        <v>125467</v>
      </c>
      <c r="B3288">
        <v>0</v>
      </c>
      <c r="C3288" s="5" t="s">
        <v>20</v>
      </c>
      <c r="D3288">
        <v>0</v>
      </c>
      <c r="E3288" s="5" t="s">
        <v>87</v>
      </c>
      <c r="F3288" s="5" t="s">
        <v>17</v>
      </c>
      <c r="G3288">
        <v>15</v>
      </c>
    </row>
    <row r="3289" spans="1:7" x14ac:dyDescent="0.35">
      <c r="A3289">
        <v>55956</v>
      </c>
      <c r="B3289">
        <v>0</v>
      </c>
      <c r="C3289" s="5" t="s">
        <v>13</v>
      </c>
      <c r="D3289">
        <v>0</v>
      </c>
      <c r="E3289" s="5" t="s">
        <v>82</v>
      </c>
      <c r="F3289" s="5" t="s">
        <v>17</v>
      </c>
      <c r="G3289">
        <v>10</v>
      </c>
    </row>
    <row r="3290" spans="1:7" x14ac:dyDescent="0.35">
      <c r="A3290">
        <v>103644</v>
      </c>
      <c r="B3290">
        <v>0</v>
      </c>
      <c r="C3290" s="5" t="s">
        <v>33</v>
      </c>
      <c r="D3290">
        <v>0</v>
      </c>
      <c r="E3290" s="5" t="s">
        <v>79</v>
      </c>
      <c r="F3290" s="5" t="s">
        <v>17</v>
      </c>
      <c r="G3290">
        <v>10</v>
      </c>
    </row>
    <row r="3291" spans="1:7" x14ac:dyDescent="0.35">
      <c r="A3291">
        <v>39613</v>
      </c>
      <c r="B3291">
        <v>2</v>
      </c>
      <c r="C3291" s="5" t="s">
        <v>13</v>
      </c>
      <c r="D3291">
        <v>5610</v>
      </c>
      <c r="E3291" s="5" t="s">
        <v>88</v>
      </c>
      <c r="F3291" s="5" t="s">
        <v>17</v>
      </c>
      <c r="G3291">
        <v>5</v>
      </c>
    </row>
    <row r="3292" spans="1:7" x14ac:dyDescent="0.35">
      <c r="A3292">
        <v>159</v>
      </c>
      <c r="B3292">
        <v>2</v>
      </c>
      <c r="C3292" s="5" t="s">
        <v>52</v>
      </c>
      <c r="D3292">
        <v>1602</v>
      </c>
      <c r="E3292" s="5" t="s">
        <v>81</v>
      </c>
      <c r="F3292" s="5" t="s">
        <v>14</v>
      </c>
      <c r="G3292">
        <v>12</v>
      </c>
    </row>
    <row r="3293" spans="1:7" x14ac:dyDescent="0.35">
      <c r="A3293">
        <v>129748</v>
      </c>
      <c r="B3293">
        <v>2</v>
      </c>
      <c r="C3293" s="5" t="s">
        <v>45</v>
      </c>
      <c r="D3293">
        <v>5701</v>
      </c>
      <c r="E3293" s="5" t="s">
        <v>83</v>
      </c>
      <c r="F3293" s="5" t="s">
        <v>17</v>
      </c>
      <c r="G3293">
        <v>16</v>
      </c>
    </row>
    <row r="3294" spans="1:7" x14ac:dyDescent="0.35">
      <c r="A3294">
        <v>174576</v>
      </c>
      <c r="B3294">
        <v>28</v>
      </c>
      <c r="C3294" s="5" t="s">
        <v>47</v>
      </c>
      <c r="D3294">
        <v>4801</v>
      </c>
      <c r="E3294" s="5" t="s">
        <v>80</v>
      </c>
      <c r="F3294" s="5" t="s">
        <v>17</v>
      </c>
      <c r="G3294">
        <v>51</v>
      </c>
    </row>
    <row r="3295" spans="1:7" x14ac:dyDescent="0.35">
      <c r="A3295">
        <v>71639</v>
      </c>
      <c r="B3295">
        <v>1</v>
      </c>
      <c r="C3295" s="5" t="s">
        <v>26</v>
      </c>
      <c r="D3295">
        <v>2301</v>
      </c>
      <c r="E3295" s="5" t="s">
        <v>83</v>
      </c>
      <c r="F3295" s="5" t="s">
        <v>14</v>
      </c>
      <c r="G3295">
        <v>17</v>
      </c>
    </row>
    <row r="3296" spans="1:7" x14ac:dyDescent="0.35">
      <c r="A3296">
        <v>172851</v>
      </c>
      <c r="B3296">
        <v>1</v>
      </c>
      <c r="C3296" s="5" t="s">
        <v>21</v>
      </c>
      <c r="D3296">
        <v>5001</v>
      </c>
      <c r="E3296" s="5" t="s">
        <v>78</v>
      </c>
      <c r="F3296" s="5" t="s">
        <v>14</v>
      </c>
      <c r="G3296">
        <v>10</v>
      </c>
    </row>
    <row r="3297" spans="1:7" x14ac:dyDescent="0.35">
      <c r="A3297">
        <v>164364</v>
      </c>
      <c r="B3297">
        <v>0</v>
      </c>
      <c r="C3297" s="5" t="s">
        <v>21</v>
      </c>
      <c r="D3297">
        <v>5201</v>
      </c>
      <c r="E3297" s="5" t="s">
        <v>83</v>
      </c>
      <c r="F3297" s="5" t="s">
        <v>17</v>
      </c>
      <c r="G3297">
        <v>6</v>
      </c>
    </row>
    <row r="3298" spans="1:7" x14ac:dyDescent="0.35">
      <c r="A3298">
        <v>176253</v>
      </c>
      <c r="B3298">
        <v>2</v>
      </c>
      <c r="C3298" s="5" t="s">
        <v>47</v>
      </c>
      <c r="D3298">
        <v>1309</v>
      </c>
      <c r="E3298" s="5" t="s">
        <v>81</v>
      </c>
      <c r="F3298" s="5" t="s">
        <v>17</v>
      </c>
      <c r="G3298">
        <v>50</v>
      </c>
    </row>
    <row r="3299" spans="1:7" x14ac:dyDescent="0.35">
      <c r="A3299">
        <v>140181</v>
      </c>
      <c r="B3299">
        <v>28</v>
      </c>
      <c r="C3299" s="5" t="s">
        <v>45</v>
      </c>
      <c r="D3299">
        <v>2201</v>
      </c>
      <c r="E3299" s="5" t="s">
        <v>79</v>
      </c>
      <c r="F3299" s="5" t="s">
        <v>17</v>
      </c>
      <c r="G3299">
        <v>3</v>
      </c>
    </row>
    <row r="3300" spans="1:7" x14ac:dyDescent="0.35">
      <c r="A3300">
        <v>5331</v>
      </c>
      <c r="B3300">
        <v>2</v>
      </c>
      <c r="C3300" s="5" t="s">
        <v>18</v>
      </c>
      <c r="D3300">
        <v>0</v>
      </c>
      <c r="E3300" s="5" t="s">
        <v>82</v>
      </c>
      <c r="F3300" s="5" t="s">
        <v>27</v>
      </c>
      <c r="G3300">
        <v>14</v>
      </c>
    </row>
    <row r="3301" spans="1:7" x14ac:dyDescent="0.35">
      <c r="A3301">
        <v>31953</v>
      </c>
      <c r="B3301">
        <v>1</v>
      </c>
      <c r="C3301" s="5" t="s">
        <v>16</v>
      </c>
      <c r="D3301">
        <v>0</v>
      </c>
      <c r="E3301" s="5" t="s">
        <v>84</v>
      </c>
      <c r="F3301" s="5" t="s">
        <v>14</v>
      </c>
      <c r="G3301">
        <v>12</v>
      </c>
    </row>
    <row r="3302" spans="1:7" x14ac:dyDescent="0.35">
      <c r="A3302">
        <v>79399</v>
      </c>
      <c r="B3302">
        <v>0</v>
      </c>
      <c r="C3302" s="5" t="s">
        <v>32</v>
      </c>
      <c r="D3302">
        <v>5507</v>
      </c>
      <c r="E3302" s="5" t="s">
        <v>81</v>
      </c>
      <c r="F3302" s="5" t="s">
        <v>14</v>
      </c>
      <c r="G3302">
        <v>30</v>
      </c>
    </row>
    <row r="3303" spans="1:7" x14ac:dyDescent="0.35">
      <c r="A3303">
        <v>74732</v>
      </c>
      <c r="B3303">
        <v>1</v>
      </c>
      <c r="C3303" s="5" t="s">
        <v>26</v>
      </c>
      <c r="D3303">
        <v>0</v>
      </c>
      <c r="E3303" s="5" t="s">
        <v>81</v>
      </c>
      <c r="F3303" s="5" t="s">
        <v>14</v>
      </c>
      <c r="G3303">
        <v>15</v>
      </c>
    </row>
    <row r="3304" spans="1:7" x14ac:dyDescent="0.35">
      <c r="A3304">
        <v>36395</v>
      </c>
      <c r="B3304">
        <v>1</v>
      </c>
      <c r="C3304" s="5" t="s">
        <v>13</v>
      </c>
      <c r="D3304">
        <v>1601</v>
      </c>
      <c r="E3304" s="5" t="s">
        <v>78</v>
      </c>
      <c r="F3304" s="5" t="s">
        <v>14</v>
      </c>
      <c r="G3304">
        <v>15</v>
      </c>
    </row>
    <row r="3305" spans="1:7" x14ac:dyDescent="0.35">
      <c r="A3305">
        <v>75835</v>
      </c>
      <c r="B3305">
        <v>0</v>
      </c>
      <c r="C3305" s="5" t="s">
        <v>44</v>
      </c>
      <c r="D3305">
        <v>4401</v>
      </c>
      <c r="E3305" s="5" t="s">
        <v>87</v>
      </c>
      <c r="F3305" s="5" t="s">
        <v>86</v>
      </c>
      <c r="G3305">
        <v>5</v>
      </c>
    </row>
    <row r="3306" spans="1:7" x14ac:dyDescent="0.35">
      <c r="A3306">
        <v>4606</v>
      </c>
      <c r="B3306">
        <v>0</v>
      </c>
      <c r="C3306" s="5" t="s">
        <v>16</v>
      </c>
      <c r="D3306">
        <v>2509</v>
      </c>
      <c r="E3306" s="5" t="s">
        <v>91</v>
      </c>
      <c r="F3306" s="5" t="s">
        <v>86</v>
      </c>
      <c r="G3306">
        <v>25</v>
      </c>
    </row>
    <row r="3307" spans="1:7" x14ac:dyDescent="0.35">
      <c r="A3307">
        <v>51234</v>
      </c>
      <c r="B3307">
        <v>28</v>
      </c>
      <c r="C3307" s="5" t="s">
        <v>49</v>
      </c>
      <c r="D3307">
        <v>2301</v>
      </c>
      <c r="E3307" s="5" t="s">
        <v>88</v>
      </c>
      <c r="F3307" s="5" t="s">
        <v>17</v>
      </c>
      <c r="G3307">
        <v>25</v>
      </c>
    </row>
    <row r="3308" spans="1:7" x14ac:dyDescent="0.35">
      <c r="A3308">
        <v>71616</v>
      </c>
      <c r="B3308">
        <v>1</v>
      </c>
      <c r="C3308" s="5" t="s">
        <v>26</v>
      </c>
      <c r="D3308">
        <v>5601</v>
      </c>
      <c r="E3308" s="5" t="s">
        <v>80</v>
      </c>
      <c r="F3308" s="5" t="s">
        <v>14</v>
      </c>
      <c r="G3308">
        <v>50</v>
      </c>
    </row>
    <row r="3309" spans="1:7" x14ac:dyDescent="0.35">
      <c r="A3309">
        <v>182697</v>
      </c>
      <c r="B3309">
        <v>2</v>
      </c>
      <c r="C3309" s="5" t="s">
        <v>37</v>
      </c>
      <c r="D3309">
        <v>0</v>
      </c>
      <c r="E3309" s="5" t="s">
        <v>90</v>
      </c>
      <c r="F3309" s="5" t="s">
        <v>27</v>
      </c>
      <c r="G3309">
        <v>20</v>
      </c>
    </row>
    <row r="3310" spans="1:7" x14ac:dyDescent="0.35">
      <c r="A3310">
        <v>173100</v>
      </c>
      <c r="B3310">
        <v>0</v>
      </c>
      <c r="C3310" s="5" t="s">
        <v>21</v>
      </c>
      <c r="D3310">
        <v>0</v>
      </c>
      <c r="E3310" s="5" t="s">
        <v>81</v>
      </c>
      <c r="F3310" s="5" t="s">
        <v>17</v>
      </c>
      <c r="G3310">
        <v>21</v>
      </c>
    </row>
    <row r="3311" spans="1:7" x14ac:dyDescent="0.35">
      <c r="A3311">
        <v>172784</v>
      </c>
      <c r="B3311">
        <v>0</v>
      </c>
      <c r="C3311" s="5" t="s">
        <v>21</v>
      </c>
      <c r="D3311">
        <v>3201</v>
      </c>
      <c r="E3311" s="5" t="s">
        <v>81</v>
      </c>
      <c r="F3311" s="5" t="s">
        <v>17</v>
      </c>
      <c r="G3311">
        <v>5</v>
      </c>
    </row>
    <row r="3312" spans="1:7" x14ac:dyDescent="0.35">
      <c r="A3312">
        <v>145637</v>
      </c>
      <c r="B3312">
        <v>0</v>
      </c>
      <c r="C3312" s="5" t="s">
        <v>21</v>
      </c>
      <c r="D3312">
        <v>4801</v>
      </c>
      <c r="E3312" s="5" t="s">
        <v>83</v>
      </c>
      <c r="F3312" s="5" t="s">
        <v>17</v>
      </c>
      <c r="G3312">
        <v>25</v>
      </c>
    </row>
    <row r="3313" spans="1:7" x14ac:dyDescent="0.35">
      <c r="A3313">
        <v>41445</v>
      </c>
      <c r="B3313">
        <v>1</v>
      </c>
      <c r="C3313" s="5" t="s">
        <v>13</v>
      </c>
      <c r="D3313">
        <v>5201</v>
      </c>
      <c r="E3313" s="5" t="s">
        <v>83</v>
      </c>
      <c r="F3313" s="5" t="s">
        <v>14</v>
      </c>
      <c r="G3313">
        <v>35</v>
      </c>
    </row>
    <row r="3314" spans="1:7" x14ac:dyDescent="0.35">
      <c r="A3314">
        <v>22900</v>
      </c>
      <c r="B3314">
        <v>2</v>
      </c>
      <c r="C3314" s="5" t="s">
        <v>43</v>
      </c>
      <c r="D3314">
        <v>0</v>
      </c>
      <c r="E3314" s="5" t="s">
        <v>87</v>
      </c>
      <c r="F3314" s="5" t="s">
        <v>17</v>
      </c>
      <c r="G3314">
        <v>10</v>
      </c>
    </row>
    <row r="3315" spans="1:7" x14ac:dyDescent="0.35">
      <c r="A3315">
        <v>93086</v>
      </c>
      <c r="B3315">
        <v>0</v>
      </c>
      <c r="C3315" s="5" t="s">
        <v>16</v>
      </c>
      <c r="D3315">
        <v>6301</v>
      </c>
      <c r="E3315" s="5" t="s">
        <v>85</v>
      </c>
      <c r="F3315" s="5" t="s">
        <v>17</v>
      </c>
      <c r="G3315">
        <v>20</v>
      </c>
    </row>
    <row r="3316" spans="1:7" x14ac:dyDescent="0.35">
      <c r="A3316">
        <v>95727</v>
      </c>
      <c r="B3316">
        <v>0</v>
      </c>
      <c r="C3316" s="5" t="s">
        <v>16</v>
      </c>
      <c r="D3316">
        <v>5208</v>
      </c>
      <c r="E3316" s="5" t="s">
        <v>88</v>
      </c>
      <c r="F3316" s="5" t="s">
        <v>27</v>
      </c>
      <c r="G3316">
        <v>18</v>
      </c>
    </row>
    <row r="3317" spans="1:7" x14ac:dyDescent="0.35">
      <c r="A3317">
        <v>127759</v>
      </c>
      <c r="B3317">
        <v>1</v>
      </c>
      <c r="C3317" s="5" t="s">
        <v>20</v>
      </c>
      <c r="D3317">
        <v>801</v>
      </c>
      <c r="E3317" s="5" t="s">
        <v>79</v>
      </c>
      <c r="F3317" s="5" t="s">
        <v>14</v>
      </c>
      <c r="G3317">
        <v>6</v>
      </c>
    </row>
    <row r="3318" spans="1:7" x14ac:dyDescent="0.35">
      <c r="A3318">
        <v>190666</v>
      </c>
      <c r="B3318">
        <v>1</v>
      </c>
      <c r="C3318" s="5" t="s">
        <v>21</v>
      </c>
      <c r="D3318">
        <v>4812</v>
      </c>
      <c r="E3318" s="5" t="s">
        <v>79</v>
      </c>
      <c r="F3318" s="5" t="s">
        <v>14</v>
      </c>
      <c r="G3318">
        <v>13</v>
      </c>
    </row>
    <row r="3319" spans="1:7" x14ac:dyDescent="0.35">
      <c r="A3319">
        <v>90894</v>
      </c>
      <c r="B3319">
        <v>0</v>
      </c>
      <c r="C3319" s="5" t="s">
        <v>16</v>
      </c>
      <c r="D3319">
        <v>0</v>
      </c>
      <c r="E3319" s="5" t="s">
        <v>80</v>
      </c>
      <c r="F3319" s="5" t="s">
        <v>86</v>
      </c>
      <c r="G3319">
        <v>4</v>
      </c>
    </row>
    <row r="3320" spans="1:7" x14ac:dyDescent="0.35">
      <c r="A3320">
        <v>160275</v>
      </c>
      <c r="B3320">
        <v>28</v>
      </c>
      <c r="C3320" s="5" t="s">
        <v>21</v>
      </c>
      <c r="D3320">
        <v>6801</v>
      </c>
      <c r="E3320" s="5" t="s">
        <v>78</v>
      </c>
      <c r="F3320" s="5" t="s">
        <v>17</v>
      </c>
      <c r="G3320">
        <v>5</v>
      </c>
    </row>
    <row r="3321" spans="1:7" x14ac:dyDescent="0.35">
      <c r="A3321">
        <v>184723</v>
      </c>
      <c r="B3321">
        <v>1</v>
      </c>
      <c r="C3321" s="5" t="s">
        <v>60</v>
      </c>
      <c r="D3321">
        <v>6901</v>
      </c>
      <c r="E3321" s="5" t="s">
        <v>79</v>
      </c>
      <c r="F3321" s="5" t="s">
        <v>14</v>
      </c>
      <c r="G3321">
        <v>10</v>
      </c>
    </row>
    <row r="3322" spans="1:7" x14ac:dyDescent="0.35">
      <c r="A3322">
        <v>52548</v>
      </c>
      <c r="B3322">
        <v>0</v>
      </c>
      <c r="C3322" s="5" t="s">
        <v>49</v>
      </c>
      <c r="D3322">
        <v>3703</v>
      </c>
      <c r="E3322" s="5" t="s">
        <v>81</v>
      </c>
      <c r="F3322" s="5" t="s">
        <v>14</v>
      </c>
      <c r="G3322">
        <v>14</v>
      </c>
    </row>
    <row r="3323" spans="1:7" x14ac:dyDescent="0.35">
      <c r="A3323">
        <v>158813</v>
      </c>
      <c r="B3323">
        <v>1</v>
      </c>
      <c r="C3323" s="5" t="s">
        <v>21</v>
      </c>
      <c r="D3323">
        <v>1710</v>
      </c>
      <c r="E3323" s="5" t="s">
        <v>82</v>
      </c>
      <c r="F3323" s="5" t="s">
        <v>14</v>
      </c>
      <c r="G3323">
        <v>10</v>
      </c>
    </row>
    <row r="3324" spans="1:7" x14ac:dyDescent="0.35">
      <c r="A3324">
        <v>73008</v>
      </c>
      <c r="B3324">
        <v>2</v>
      </c>
      <c r="C3324" s="5" t="s">
        <v>26</v>
      </c>
      <c r="D3324">
        <v>5205</v>
      </c>
      <c r="E3324" s="5" t="s">
        <v>81</v>
      </c>
      <c r="F3324" s="5" t="s">
        <v>17</v>
      </c>
      <c r="G3324">
        <v>12</v>
      </c>
    </row>
    <row r="3325" spans="1:7" x14ac:dyDescent="0.35">
      <c r="A3325">
        <v>105144</v>
      </c>
      <c r="B3325">
        <v>0</v>
      </c>
      <c r="C3325" s="5" t="s">
        <v>25</v>
      </c>
      <c r="D3325">
        <v>0</v>
      </c>
      <c r="E3325" s="5" t="s">
        <v>87</v>
      </c>
      <c r="F3325" s="5" t="s">
        <v>17</v>
      </c>
      <c r="G3325">
        <v>3</v>
      </c>
    </row>
    <row r="3326" spans="1:7" x14ac:dyDescent="0.35">
      <c r="A3326">
        <v>52132</v>
      </c>
      <c r="B3326">
        <v>0</v>
      </c>
      <c r="C3326" s="5" t="s">
        <v>49</v>
      </c>
      <c r="D3326">
        <v>0</v>
      </c>
      <c r="E3326" s="5" t="s">
        <v>86</v>
      </c>
      <c r="F3326" s="5" t="s">
        <v>17</v>
      </c>
      <c r="G3326">
        <v>7</v>
      </c>
    </row>
    <row r="3327" spans="1:7" x14ac:dyDescent="0.35">
      <c r="A3327">
        <v>12474</v>
      </c>
      <c r="B3327">
        <v>1</v>
      </c>
      <c r="C3327" s="5" t="s">
        <v>13</v>
      </c>
      <c r="D3327">
        <v>2307</v>
      </c>
      <c r="E3327" s="5" t="s">
        <v>79</v>
      </c>
      <c r="F3327" s="5" t="s">
        <v>17</v>
      </c>
      <c r="G3327">
        <v>10</v>
      </c>
    </row>
    <row r="3328" spans="1:7" x14ac:dyDescent="0.35">
      <c r="A3328">
        <v>160425</v>
      </c>
      <c r="B3328">
        <v>0</v>
      </c>
      <c r="C3328" s="5" t="s">
        <v>21</v>
      </c>
      <c r="D3328">
        <v>2601</v>
      </c>
      <c r="E3328" s="5" t="s">
        <v>79</v>
      </c>
      <c r="F3328" s="5" t="s">
        <v>27</v>
      </c>
      <c r="G3328">
        <v>12</v>
      </c>
    </row>
    <row r="3329" spans="1:7" x14ac:dyDescent="0.35">
      <c r="A3329">
        <v>175112</v>
      </c>
      <c r="B3329">
        <v>0</v>
      </c>
      <c r="C3329" s="5" t="s">
        <v>21</v>
      </c>
      <c r="D3329">
        <v>5701</v>
      </c>
      <c r="E3329" s="5" t="s">
        <v>79</v>
      </c>
      <c r="F3329" s="5" t="s">
        <v>17</v>
      </c>
      <c r="G3329">
        <v>20</v>
      </c>
    </row>
    <row r="3330" spans="1:7" x14ac:dyDescent="0.35">
      <c r="A3330">
        <v>51382</v>
      </c>
      <c r="B3330">
        <v>1</v>
      </c>
      <c r="C3330" s="5" t="s">
        <v>49</v>
      </c>
      <c r="D3330">
        <v>0</v>
      </c>
      <c r="E3330" s="5" t="s">
        <v>79</v>
      </c>
      <c r="F3330" s="5" t="s">
        <v>14</v>
      </c>
      <c r="G3330">
        <v>25</v>
      </c>
    </row>
    <row r="3331" spans="1:7" x14ac:dyDescent="0.35">
      <c r="A3331">
        <v>146153</v>
      </c>
      <c r="B3331">
        <v>0</v>
      </c>
      <c r="C3331" s="5" t="s">
        <v>21</v>
      </c>
      <c r="D3331">
        <v>3210</v>
      </c>
      <c r="E3331" s="5" t="s">
        <v>91</v>
      </c>
      <c r="F3331" s="5" t="s">
        <v>17</v>
      </c>
      <c r="G3331">
        <v>44</v>
      </c>
    </row>
    <row r="3332" spans="1:7" x14ac:dyDescent="0.35">
      <c r="A3332">
        <v>133743</v>
      </c>
      <c r="B3332">
        <v>1002</v>
      </c>
      <c r="C3332" s="5" t="s">
        <v>38</v>
      </c>
      <c r="D3332">
        <v>4401</v>
      </c>
      <c r="E3332" s="5" t="s">
        <v>81</v>
      </c>
      <c r="F3332" s="5" t="s">
        <v>14</v>
      </c>
      <c r="G3332">
        <v>20</v>
      </c>
    </row>
    <row r="3333" spans="1:7" x14ac:dyDescent="0.35">
      <c r="A3333">
        <v>155602</v>
      </c>
      <c r="B3333">
        <v>1</v>
      </c>
      <c r="C3333" s="5" t="s">
        <v>21</v>
      </c>
      <c r="D3333">
        <v>2006</v>
      </c>
      <c r="E3333" s="5" t="s">
        <v>82</v>
      </c>
      <c r="F3333" s="5" t="s">
        <v>14</v>
      </c>
      <c r="G3333">
        <v>25</v>
      </c>
    </row>
    <row r="3334" spans="1:7" x14ac:dyDescent="0.35">
      <c r="A3334">
        <v>149199</v>
      </c>
      <c r="B3334">
        <v>0</v>
      </c>
      <c r="C3334" s="5" t="s">
        <v>21</v>
      </c>
      <c r="D3334">
        <v>0</v>
      </c>
      <c r="E3334" s="5" t="s">
        <v>85</v>
      </c>
      <c r="F3334" s="5" t="s">
        <v>14</v>
      </c>
      <c r="G3334">
        <v>15</v>
      </c>
    </row>
    <row r="3335" spans="1:7" x14ac:dyDescent="0.35">
      <c r="A3335">
        <v>124514</v>
      </c>
      <c r="B3335">
        <v>28</v>
      </c>
      <c r="C3335" s="5" t="s">
        <v>20</v>
      </c>
      <c r="D3335">
        <v>5702</v>
      </c>
      <c r="E3335" s="5" t="s">
        <v>78</v>
      </c>
      <c r="F3335" s="5" t="s">
        <v>17</v>
      </c>
      <c r="G3335">
        <v>26</v>
      </c>
    </row>
    <row r="3336" spans="1:7" x14ac:dyDescent="0.35">
      <c r="A3336">
        <v>57407</v>
      </c>
      <c r="B3336">
        <v>1</v>
      </c>
      <c r="C3336" s="5" t="s">
        <v>53</v>
      </c>
      <c r="D3336">
        <v>4201</v>
      </c>
      <c r="E3336" s="5" t="s">
        <v>83</v>
      </c>
      <c r="F3336" s="5" t="s">
        <v>14</v>
      </c>
      <c r="G3336">
        <v>21</v>
      </c>
    </row>
    <row r="3337" spans="1:7" x14ac:dyDescent="0.35">
      <c r="A3337">
        <v>185774</v>
      </c>
      <c r="B3337">
        <v>0</v>
      </c>
      <c r="C3337" s="5" t="s">
        <v>18</v>
      </c>
      <c r="D3337">
        <v>0</v>
      </c>
      <c r="E3337" s="5" t="s">
        <v>86</v>
      </c>
      <c r="F3337" s="5" t="s">
        <v>17</v>
      </c>
      <c r="G3337">
        <v>12</v>
      </c>
    </row>
    <row r="3338" spans="1:7" x14ac:dyDescent="0.35">
      <c r="A3338">
        <v>189962</v>
      </c>
      <c r="B3338">
        <v>0</v>
      </c>
      <c r="C3338" s="5" t="s">
        <v>21</v>
      </c>
      <c r="D3338">
        <v>4601</v>
      </c>
      <c r="E3338" s="5" t="s">
        <v>94</v>
      </c>
      <c r="F3338" s="5" t="s">
        <v>14</v>
      </c>
      <c r="G3338">
        <v>10</v>
      </c>
    </row>
    <row r="3339" spans="1:7" x14ac:dyDescent="0.35">
      <c r="A3339">
        <v>27045</v>
      </c>
      <c r="B3339">
        <v>28</v>
      </c>
      <c r="C3339" s="5" t="s">
        <v>32</v>
      </c>
      <c r="D3339">
        <v>0</v>
      </c>
      <c r="E3339" s="5" t="s">
        <v>81</v>
      </c>
      <c r="F3339" s="5" t="s">
        <v>17</v>
      </c>
      <c r="G3339">
        <v>16</v>
      </c>
    </row>
    <row r="3340" spans="1:7" x14ac:dyDescent="0.35">
      <c r="A3340">
        <v>97424</v>
      </c>
      <c r="B3340">
        <v>2</v>
      </c>
      <c r="C3340" s="5" t="s">
        <v>16</v>
      </c>
      <c r="D3340">
        <v>0</v>
      </c>
      <c r="E3340" s="5" t="s">
        <v>89</v>
      </c>
      <c r="F3340" s="5" t="s">
        <v>14</v>
      </c>
      <c r="G3340">
        <v>5</v>
      </c>
    </row>
    <row r="3341" spans="1:7" x14ac:dyDescent="0.35">
      <c r="A3341">
        <v>163591</v>
      </c>
      <c r="B3341">
        <v>0</v>
      </c>
      <c r="C3341" s="5" t="s">
        <v>21</v>
      </c>
      <c r="D3341">
        <v>2201</v>
      </c>
      <c r="E3341" s="5" t="s">
        <v>85</v>
      </c>
      <c r="F3341" s="5" t="s">
        <v>14</v>
      </c>
      <c r="G3341">
        <v>35</v>
      </c>
    </row>
    <row r="3342" spans="1:7" x14ac:dyDescent="0.35">
      <c r="A3342">
        <v>15772</v>
      </c>
      <c r="B3342">
        <v>2</v>
      </c>
      <c r="C3342" s="5" t="s">
        <v>18</v>
      </c>
      <c r="D3342">
        <v>0</v>
      </c>
      <c r="E3342" s="5" t="s">
        <v>87</v>
      </c>
      <c r="F3342" s="5" t="s">
        <v>17</v>
      </c>
      <c r="G3342">
        <v>10</v>
      </c>
    </row>
    <row r="3343" spans="1:7" x14ac:dyDescent="0.35">
      <c r="A3343">
        <v>71427</v>
      </c>
      <c r="B3343">
        <v>1</v>
      </c>
      <c r="C3343" s="5" t="s">
        <v>26</v>
      </c>
      <c r="D3343">
        <v>5510</v>
      </c>
      <c r="E3343" s="5" t="s">
        <v>84</v>
      </c>
      <c r="F3343" s="5" t="s">
        <v>14</v>
      </c>
      <c r="G3343">
        <v>30</v>
      </c>
    </row>
    <row r="3344" spans="1:7" x14ac:dyDescent="0.35">
      <c r="A3344">
        <v>159039</v>
      </c>
      <c r="B3344">
        <v>0</v>
      </c>
      <c r="C3344" s="5" t="s">
        <v>21</v>
      </c>
      <c r="D3344">
        <v>2001</v>
      </c>
      <c r="E3344" s="5" t="s">
        <v>78</v>
      </c>
      <c r="F3344" s="5" t="s">
        <v>17</v>
      </c>
      <c r="G3344">
        <v>25</v>
      </c>
    </row>
    <row r="3345" spans="1:7" x14ac:dyDescent="0.35">
      <c r="A3345">
        <v>22984</v>
      </c>
      <c r="B3345">
        <v>0</v>
      </c>
      <c r="C3345" s="5" t="s">
        <v>43</v>
      </c>
      <c r="D3345">
        <v>0</v>
      </c>
      <c r="E3345" s="5" t="s">
        <v>79</v>
      </c>
      <c r="F3345" s="5" t="s">
        <v>17</v>
      </c>
      <c r="G3345">
        <v>1</v>
      </c>
    </row>
    <row r="3346" spans="1:7" x14ac:dyDescent="0.35">
      <c r="A3346">
        <v>89210</v>
      </c>
      <c r="B3346">
        <v>2</v>
      </c>
      <c r="C3346" s="5" t="s">
        <v>29</v>
      </c>
      <c r="D3346">
        <v>3801</v>
      </c>
      <c r="E3346" s="5" t="s">
        <v>80</v>
      </c>
      <c r="F3346" s="5" t="s">
        <v>86</v>
      </c>
      <c r="G3346">
        <v>25</v>
      </c>
    </row>
    <row r="3347" spans="1:7" x14ac:dyDescent="0.35">
      <c r="A3347">
        <v>6490</v>
      </c>
      <c r="B3347">
        <v>0</v>
      </c>
      <c r="C3347" s="5" t="s">
        <v>37</v>
      </c>
      <c r="D3347">
        <v>1201</v>
      </c>
      <c r="E3347" s="5" t="s">
        <v>79</v>
      </c>
      <c r="F3347" s="5" t="s">
        <v>14</v>
      </c>
      <c r="G3347">
        <v>25</v>
      </c>
    </row>
    <row r="3348" spans="1:7" x14ac:dyDescent="0.35">
      <c r="A3348">
        <v>48003</v>
      </c>
      <c r="B3348">
        <v>0</v>
      </c>
      <c r="C3348" s="5" t="s">
        <v>40</v>
      </c>
      <c r="D3348">
        <v>0</v>
      </c>
      <c r="E3348" s="5" t="s">
        <v>79</v>
      </c>
      <c r="F3348" s="5" t="s">
        <v>27</v>
      </c>
      <c r="G3348">
        <v>10</v>
      </c>
    </row>
    <row r="3349" spans="1:7" x14ac:dyDescent="0.35">
      <c r="A3349">
        <v>189199</v>
      </c>
      <c r="B3349">
        <v>0</v>
      </c>
      <c r="C3349" s="5" t="s">
        <v>25</v>
      </c>
      <c r="D3349">
        <v>0</v>
      </c>
      <c r="E3349" s="5" t="s">
        <v>79</v>
      </c>
      <c r="F3349" s="5" t="s">
        <v>17</v>
      </c>
      <c r="G3349">
        <v>25</v>
      </c>
    </row>
    <row r="3350" spans="1:7" x14ac:dyDescent="0.35">
      <c r="A3350">
        <v>117882</v>
      </c>
      <c r="B3350">
        <v>0</v>
      </c>
      <c r="C3350" s="5" t="s">
        <v>29</v>
      </c>
      <c r="D3350">
        <v>2907</v>
      </c>
      <c r="E3350" s="5" t="s">
        <v>86</v>
      </c>
      <c r="F3350" s="5" t="s">
        <v>17</v>
      </c>
      <c r="G3350">
        <v>20</v>
      </c>
    </row>
    <row r="3351" spans="1:7" x14ac:dyDescent="0.35">
      <c r="A3351">
        <v>174932</v>
      </c>
      <c r="B3351">
        <v>28</v>
      </c>
      <c r="C3351" s="5" t="s">
        <v>47</v>
      </c>
      <c r="D3351">
        <v>0</v>
      </c>
      <c r="E3351" s="5" t="s">
        <v>79</v>
      </c>
      <c r="F3351" s="5" t="s">
        <v>17</v>
      </c>
      <c r="G3351">
        <v>20</v>
      </c>
    </row>
    <row r="3352" spans="1:7" x14ac:dyDescent="0.35">
      <c r="A3352">
        <v>101033</v>
      </c>
      <c r="B3352">
        <v>0</v>
      </c>
      <c r="C3352" s="5" t="s">
        <v>33</v>
      </c>
      <c r="D3352">
        <v>5711</v>
      </c>
      <c r="E3352" s="5" t="s">
        <v>79</v>
      </c>
      <c r="F3352" s="5" t="s">
        <v>14</v>
      </c>
      <c r="G3352">
        <v>21</v>
      </c>
    </row>
    <row r="3353" spans="1:7" x14ac:dyDescent="0.35">
      <c r="A3353">
        <v>143299</v>
      </c>
      <c r="B3353">
        <v>0</v>
      </c>
      <c r="C3353" s="5" t="s">
        <v>21</v>
      </c>
      <c r="D3353">
        <v>2801</v>
      </c>
      <c r="E3353" s="5" t="s">
        <v>85</v>
      </c>
      <c r="F3353" s="5" t="s">
        <v>14</v>
      </c>
      <c r="G3353">
        <v>15</v>
      </c>
    </row>
    <row r="3354" spans="1:7" x14ac:dyDescent="0.35">
      <c r="A3354">
        <v>189749</v>
      </c>
      <c r="B3354">
        <v>1</v>
      </c>
      <c r="C3354" s="5" t="s">
        <v>13</v>
      </c>
      <c r="D3354">
        <v>2211</v>
      </c>
      <c r="E3354" s="5" t="s">
        <v>80</v>
      </c>
      <c r="F3354" s="5" t="s">
        <v>14</v>
      </c>
      <c r="G3354">
        <v>10</v>
      </c>
    </row>
    <row r="3355" spans="1:7" x14ac:dyDescent="0.35">
      <c r="A3355">
        <v>127108</v>
      </c>
      <c r="B3355">
        <v>28</v>
      </c>
      <c r="C3355" s="5" t="s">
        <v>20</v>
      </c>
      <c r="D3355">
        <v>0</v>
      </c>
      <c r="E3355" s="5" t="s">
        <v>84</v>
      </c>
      <c r="F3355" s="5" t="s">
        <v>86</v>
      </c>
      <c r="G3355">
        <v>10</v>
      </c>
    </row>
    <row r="3356" spans="1:7" x14ac:dyDescent="0.35">
      <c r="A3356">
        <v>74614</v>
      </c>
      <c r="B3356">
        <v>28</v>
      </c>
      <c r="C3356" s="5" t="s">
        <v>26</v>
      </c>
      <c r="D3356">
        <v>3501</v>
      </c>
      <c r="E3356" s="5" t="s">
        <v>81</v>
      </c>
      <c r="F3356" s="5" t="s">
        <v>17</v>
      </c>
      <c r="G3356">
        <v>5</v>
      </c>
    </row>
    <row r="3357" spans="1:7" x14ac:dyDescent="0.35">
      <c r="A3357">
        <v>182519</v>
      </c>
      <c r="B3357">
        <v>1</v>
      </c>
      <c r="C3357" s="5" t="s">
        <v>37</v>
      </c>
      <c r="D3357">
        <v>4701</v>
      </c>
      <c r="E3357" s="5" t="s">
        <v>79</v>
      </c>
      <c r="F3357" s="5" t="s">
        <v>14</v>
      </c>
      <c r="G3357">
        <v>5</v>
      </c>
    </row>
    <row r="3358" spans="1:7" x14ac:dyDescent="0.35">
      <c r="A3358">
        <v>95467</v>
      </c>
      <c r="B3358">
        <v>0</v>
      </c>
      <c r="C3358" s="5" t="s">
        <v>16</v>
      </c>
      <c r="D3358">
        <v>2501</v>
      </c>
      <c r="E3358" s="5" t="s">
        <v>81</v>
      </c>
      <c r="F3358" s="5" t="s">
        <v>17</v>
      </c>
      <c r="G3358">
        <v>4</v>
      </c>
    </row>
    <row r="3359" spans="1:7" x14ac:dyDescent="0.35">
      <c r="A3359">
        <v>126530</v>
      </c>
      <c r="B3359">
        <v>0</v>
      </c>
      <c r="C3359" s="5" t="s">
        <v>20</v>
      </c>
      <c r="D3359">
        <v>4401</v>
      </c>
      <c r="E3359" s="5" t="s">
        <v>79</v>
      </c>
      <c r="F3359" s="5" t="s">
        <v>14</v>
      </c>
      <c r="G3359">
        <v>30</v>
      </c>
    </row>
    <row r="3360" spans="1:7" x14ac:dyDescent="0.35">
      <c r="A3360">
        <v>9049</v>
      </c>
      <c r="B3360">
        <v>2</v>
      </c>
      <c r="C3360" s="5" t="s">
        <v>13</v>
      </c>
      <c r="D3360">
        <v>4601</v>
      </c>
      <c r="E3360" s="5" t="s">
        <v>87</v>
      </c>
      <c r="F3360" s="5" t="s">
        <v>17</v>
      </c>
      <c r="G3360">
        <v>15</v>
      </c>
    </row>
    <row r="3361" spans="1:7" x14ac:dyDescent="0.35">
      <c r="A3361">
        <v>19986</v>
      </c>
      <c r="B3361">
        <v>0</v>
      </c>
      <c r="C3361" s="5" t="s">
        <v>18</v>
      </c>
      <c r="D3361">
        <v>7001</v>
      </c>
      <c r="E3361" s="5" t="s">
        <v>79</v>
      </c>
      <c r="F3361" s="5" t="s">
        <v>14</v>
      </c>
      <c r="G3361">
        <v>10</v>
      </c>
    </row>
    <row r="3362" spans="1:7" x14ac:dyDescent="0.35">
      <c r="A3362">
        <v>25731</v>
      </c>
      <c r="B3362">
        <v>0</v>
      </c>
      <c r="C3362" s="5" t="s">
        <v>36</v>
      </c>
      <c r="D3362">
        <v>6801</v>
      </c>
      <c r="E3362" s="5" t="s">
        <v>79</v>
      </c>
      <c r="F3362" s="5" t="s">
        <v>14</v>
      </c>
      <c r="G3362">
        <v>21</v>
      </c>
    </row>
    <row r="3363" spans="1:7" x14ac:dyDescent="0.35">
      <c r="A3363">
        <v>45258</v>
      </c>
      <c r="B3363">
        <v>0</v>
      </c>
      <c r="C3363" s="5" t="s">
        <v>13</v>
      </c>
      <c r="D3363">
        <v>4501</v>
      </c>
      <c r="E3363" s="5" t="s">
        <v>91</v>
      </c>
      <c r="F3363" s="5" t="s">
        <v>17</v>
      </c>
      <c r="G3363">
        <v>5</v>
      </c>
    </row>
    <row r="3364" spans="1:7" x14ac:dyDescent="0.35">
      <c r="A3364">
        <v>175996</v>
      </c>
      <c r="B3364">
        <v>0</v>
      </c>
      <c r="C3364" s="5" t="s">
        <v>47</v>
      </c>
      <c r="D3364">
        <v>3501</v>
      </c>
      <c r="E3364" s="5" t="s">
        <v>83</v>
      </c>
      <c r="F3364" s="5" t="s">
        <v>17</v>
      </c>
      <c r="G3364">
        <v>10</v>
      </c>
    </row>
    <row r="3365" spans="1:7" x14ac:dyDescent="0.35">
      <c r="A3365">
        <v>56113</v>
      </c>
      <c r="B3365">
        <v>1002</v>
      </c>
      <c r="C3365" s="5" t="s">
        <v>56</v>
      </c>
      <c r="D3365">
        <v>4504</v>
      </c>
      <c r="E3365" s="5" t="s">
        <v>79</v>
      </c>
      <c r="F3365" s="5" t="s">
        <v>14</v>
      </c>
      <c r="G3365">
        <v>5</v>
      </c>
    </row>
    <row r="3366" spans="1:7" x14ac:dyDescent="0.35">
      <c r="A3366">
        <v>138945</v>
      </c>
      <c r="B3366">
        <v>28</v>
      </c>
      <c r="C3366" s="5" t="s">
        <v>51</v>
      </c>
      <c r="D3366">
        <v>2901</v>
      </c>
      <c r="E3366" s="5" t="s">
        <v>78</v>
      </c>
      <c r="F3366" s="5" t="s">
        <v>17</v>
      </c>
      <c r="G3366">
        <v>23</v>
      </c>
    </row>
    <row r="3367" spans="1:7" x14ac:dyDescent="0.35">
      <c r="A3367">
        <v>135098</v>
      </c>
      <c r="B3367">
        <v>28</v>
      </c>
      <c r="C3367" s="5" t="s">
        <v>51</v>
      </c>
      <c r="D3367">
        <v>3106</v>
      </c>
      <c r="E3367" s="5" t="s">
        <v>80</v>
      </c>
      <c r="F3367" s="5" t="s">
        <v>17</v>
      </c>
      <c r="G3367">
        <v>20</v>
      </c>
    </row>
    <row r="3368" spans="1:7" x14ac:dyDescent="0.35">
      <c r="A3368">
        <v>87074</v>
      </c>
      <c r="B3368">
        <v>0</v>
      </c>
      <c r="C3368" s="5" t="s">
        <v>31</v>
      </c>
      <c r="D3368">
        <v>7801</v>
      </c>
      <c r="E3368" s="5" t="s">
        <v>89</v>
      </c>
      <c r="F3368" s="5" t="s">
        <v>17</v>
      </c>
      <c r="G3368">
        <v>5</v>
      </c>
    </row>
    <row r="3369" spans="1:7" x14ac:dyDescent="0.35">
      <c r="A3369">
        <v>23723</v>
      </c>
      <c r="B3369">
        <v>1</v>
      </c>
      <c r="C3369" s="5" t="s">
        <v>43</v>
      </c>
      <c r="D3369">
        <v>6101</v>
      </c>
      <c r="E3369" s="5" t="s">
        <v>84</v>
      </c>
      <c r="F3369" s="5" t="s">
        <v>14</v>
      </c>
      <c r="G3369">
        <v>10</v>
      </c>
    </row>
    <row r="3370" spans="1:7" x14ac:dyDescent="0.35">
      <c r="A3370">
        <v>116053</v>
      </c>
      <c r="B3370">
        <v>1</v>
      </c>
      <c r="C3370" s="5" t="s">
        <v>20</v>
      </c>
      <c r="D3370">
        <v>5201</v>
      </c>
      <c r="E3370" s="5" t="s">
        <v>82</v>
      </c>
      <c r="F3370" s="5" t="s">
        <v>14</v>
      </c>
      <c r="G3370">
        <v>6</v>
      </c>
    </row>
    <row r="3371" spans="1:7" x14ac:dyDescent="0.35">
      <c r="A3371">
        <v>92021</v>
      </c>
      <c r="B3371">
        <v>1</v>
      </c>
      <c r="C3371" s="5" t="s">
        <v>16</v>
      </c>
      <c r="D3371">
        <v>3201</v>
      </c>
      <c r="E3371" s="5" t="s">
        <v>78</v>
      </c>
      <c r="F3371" s="5" t="s">
        <v>14</v>
      </c>
      <c r="G3371">
        <v>20</v>
      </c>
    </row>
    <row r="3372" spans="1:7" x14ac:dyDescent="0.35">
      <c r="A3372">
        <v>164989</v>
      </c>
      <c r="B3372">
        <v>0</v>
      </c>
      <c r="C3372" s="5" t="s">
        <v>21</v>
      </c>
      <c r="D3372">
        <v>3209</v>
      </c>
      <c r="E3372" s="5" t="s">
        <v>83</v>
      </c>
      <c r="F3372" s="5" t="s">
        <v>17</v>
      </c>
      <c r="G3372">
        <v>30</v>
      </c>
    </row>
    <row r="3373" spans="1:7" x14ac:dyDescent="0.35">
      <c r="A3373">
        <v>126013</v>
      </c>
      <c r="B3373">
        <v>0</v>
      </c>
      <c r="C3373" s="5" t="s">
        <v>20</v>
      </c>
      <c r="D3373">
        <v>4001</v>
      </c>
      <c r="E3373" s="5" t="s">
        <v>81</v>
      </c>
      <c r="F3373" s="5" t="s">
        <v>14</v>
      </c>
      <c r="G3373">
        <v>20</v>
      </c>
    </row>
    <row r="3374" spans="1:7" x14ac:dyDescent="0.35">
      <c r="A3374">
        <v>117076</v>
      </c>
      <c r="B3374">
        <v>0</v>
      </c>
      <c r="C3374" s="5" t="s">
        <v>20</v>
      </c>
      <c r="D3374">
        <v>1808</v>
      </c>
      <c r="E3374" s="5" t="s">
        <v>88</v>
      </c>
      <c r="F3374" s="5" t="s">
        <v>17</v>
      </c>
      <c r="G3374">
        <v>10</v>
      </c>
    </row>
    <row r="3375" spans="1:7" x14ac:dyDescent="0.35">
      <c r="A3375">
        <v>26680</v>
      </c>
      <c r="B3375">
        <v>2</v>
      </c>
      <c r="C3375" s="5" t="s">
        <v>36</v>
      </c>
      <c r="D3375">
        <v>5608</v>
      </c>
      <c r="E3375" s="5" t="s">
        <v>84</v>
      </c>
      <c r="F3375" s="5" t="s">
        <v>17</v>
      </c>
      <c r="G3375">
        <v>15</v>
      </c>
    </row>
    <row r="3376" spans="1:7" x14ac:dyDescent="0.35">
      <c r="A3376">
        <v>176252</v>
      </c>
      <c r="B3376">
        <v>2</v>
      </c>
      <c r="C3376" s="5" t="s">
        <v>47</v>
      </c>
      <c r="D3376">
        <v>1101</v>
      </c>
      <c r="E3376" s="5" t="s">
        <v>83</v>
      </c>
      <c r="F3376" s="5" t="s">
        <v>14</v>
      </c>
      <c r="G3376">
        <v>15</v>
      </c>
    </row>
    <row r="3377" spans="1:7" x14ac:dyDescent="0.35">
      <c r="A3377">
        <v>119154</v>
      </c>
      <c r="B3377">
        <v>1002</v>
      </c>
      <c r="C3377" s="5" t="s">
        <v>20</v>
      </c>
      <c r="D3377">
        <v>2401</v>
      </c>
      <c r="E3377" s="5" t="s">
        <v>78</v>
      </c>
      <c r="F3377" s="5" t="s">
        <v>41</v>
      </c>
      <c r="G3377">
        <v>10</v>
      </c>
    </row>
    <row r="3378" spans="1:7" x14ac:dyDescent="0.35">
      <c r="A3378">
        <v>141442</v>
      </c>
      <c r="B3378">
        <v>1</v>
      </c>
      <c r="C3378" s="5" t="s">
        <v>23</v>
      </c>
      <c r="D3378">
        <v>4803</v>
      </c>
      <c r="E3378" s="5" t="s">
        <v>80</v>
      </c>
      <c r="F3378" s="5" t="s">
        <v>14</v>
      </c>
      <c r="G3378">
        <v>18</v>
      </c>
    </row>
    <row r="3379" spans="1:7" x14ac:dyDescent="0.35">
      <c r="A3379">
        <v>1012</v>
      </c>
      <c r="B3379">
        <v>2</v>
      </c>
      <c r="C3379" s="5" t="s">
        <v>18</v>
      </c>
      <c r="D3379">
        <v>2201</v>
      </c>
      <c r="E3379" s="5" t="s">
        <v>84</v>
      </c>
      <c r="F3379" s="5" t="s">
        <v>14</v>
      </c>
      <c r="G3379">
        <v>15</v>
      </c>
    </row>
    <row r="3380" spans="1:7" x14ac:dyDescent="0.35">
      <c r="A3380">
        <v>42878</v>
      </c>
      <c r="B3380">
        <v>0</v>
      </c>
      <c r="C3380" s="5" t="s">
        <v>13</v>
      </c>
      <c r="D3380">
        <v>2201</v>
      </c>
      <c r="E3380" s="5" t="s">
        <v>78</v>
      </c>
      <c r="F3380" s="5" t="s">
        <v>17</v>
      </c>
      <c r="G3380">
        <v>10</v>
      </c>
    </row>
    <row r="3381" spans="1:7" x14ac:dyDescent="0.35">
      <c r="A3381">
        <v>188896</v>
      </c>
      <c r="B3381">
        <v>1</v>
      </c>
      <c r="C3381" s="5" t="s">
        <v>51</v>
      </c>
      <c r="D3381">
        <v>3201</v>
      </c>
      <c r="E3381" s="5" t="s">
        <v>79</v>
      </c>
      <c r="F3381" s="5" t="s">
        <v>14</v>
      </c>
      <c r="G3381">
        <v>40</v>
      </c>
    </row>
    <row r="3382" spans="1:7" x14ac:dyDescent="0.35">
      <c r="A3382">
        <v>99338</v>
      </c>
      <c r="B3382">
        <v>0</v>
      </c>
      <c r="C3382" s="5" t="s">
        <v>33</v>
      </c>
      <c r="D3382">
        <v>4711</v>
      </c>
      <c r="E3382" s="5" t="s">
        <v>84</v>
      </c>
      <c r="F3382" s="5" t="s">
        <v>17</v>
      </c>
      <c r="G3382">
        <v>10</v>
      </c>
    </row>
    <row r="3383" spans="1:7" x14ac:dyDescent="0.35">
      <c r="A3383">
        <v>64563</v>
      </c>
      <c r="B3383">
        <v>0</v>
      </c>
      <c r="C3383" s="5" t="s">
        <v>30</v>
      </c>
      <c r="D3383">
        <v>0</v>
      </c>
      <c r="E3383" s="5" t="s">
        <v>89</v>
      </c>
      <c r="F3383" s="5" t="s">
        <v>17</v>
      </c>
      <c r="G3383">
        <v>20</v>
      </c>
    </row>
    <row r="3384" spans="1:7" x14ac:dyDescent="0.35">
      <c r="A3384">
        <v>5335</v>
      </c>
      <c r="B3384">
        <v>28</v>
      </c>
      <c r="C3384" s="5" t="s">
        <v>20</v>
      </c>
      <c r="D3384">
        <v>2208</v>
      </c>
      <c r="E3384" s="5" t="s">
        <v>81</v>
      </c>
      <c r="F3384" s="5" t="s">
        <v>17</v>
      </c>
      <c r="G3384">
        <v>10</v>
      </c>
    </row>
    <row r="3385" spans="1:7" x14ac:dyDescent="0.35">
      <c r="A3385">
        <v>112703</v>
      </c>
      <c r="B3385">
        <v>2</v>
      </c>
      <c r="C3385" s="5" t="s">
        <v>28</v>
      </c>
      <c r="D3385">
        <v>0</v>
      </c>
      <c r="E3385" s="5" t="s">
        <v>89</v>
      </c>
      <c r="F3385" s="5" t="s">
        <v>17</v>
      </c>
      <c r="G3385">
        <v>15</v>
      </c>
    </row>
    <row r="3386" spans="1:7" x14ac:dyDescent="0.35">
      <c r="A3386">
        <v>32380</v>
      </c>
      <c r="B3386">
        <v>1</v>
      </c>
      <c r="C3386" s="5" t="s">
        <v>13</v>
      </c>
      <c r="D3386">
        <v>2301</v>
      </c>
      <c r="E3386" s="5" t="s">
        <v>78</v>
      </c>
      <c r="F3386" s="5" t="s">
        <v>14</v>
      </c>
      <c r="G3386">
        <v>5</v>
      </c>
    </row>
    <row r="3387" spans="1:7" x14ac:dyDescent="0.35">
      <c r="A3387">
        <v>40566</v>
      </c>
      <c r="B3387">
        <v>28</v>
      </c>
      <c r="C3387" s="5" t="s">
        <v>13</v>
      </c>
      <c r="D3387">
        <v>4101</v>
      </c>
      <c r="E3387" s="5" t="s">
        <v>80</v>
      </c>
      <c r="F3387" s="5" t="s">
        <v>17</v>
      </c>
      <c r="G3387">
        <v>17</v>
      </c>
    </row>
    <row r="3388" spans="1:7" x14ac:dyDescent="0.35">
      <c r="A3388">
        <v>32359</v>
      </c>
      <c r="B3388">
        <v>1</v>
      </c>
      <c r="C3388" s="5" t="s">
        <v>13</v>
      </c>
      <c r="D3388">
        <v>3012</v>
      </c>
      <c r="E3388" s="5" t="s">
        <v>78</v>
      </c>
      <c r="F3388" s="5" t="s">
        <v>14</v>
      </c>
      <c r="G3388">
        <v>3</v>
      </c>
    </row>
    <row r="3389" spans="1:7" x14ac:dyDescent="0.35">
      <c r="A3389">
        <v>146628</v>
      </c>
      <c r="B3389">
        <v>28</v>
      </c>
      <c r="C3389" s="5" t="s">
        <v>21</v>
      </c>
      <c r="D3389">
        <v>3405</v>
      </c>
      <c r="E3389" s="5" t="s">
        <v>87</v>
      </c>
      <c r="F3389" s="5" t="s">
        <v>17</v>
      </c>
      <c r="G3389">
        <v>10</v>
      </c>
    </row>
    <row r="3390" spans="1:7" x14ac:dyDescent="0.35">
      <c r="A3390">
        <v>113690</v>
      </c>
      <c r="B3390">
        <v>1002</v>
      </c>
      <c r="C3390" s="5" t="s">
        <v>28</v>
      </c>
      <c r="D3390">
        <v>4301</v>
      </c>
      <c r="E3390" s="5" t="s">
        <v>78</v>
      </c>
      <c r="F3390" s="5" t="s">
        <v>14</v>
      </c>
      <c r="G3390">
        <v>10</v>
      </c>
    </row>
    <row r="3391" spans="1:7" x14ac:dyDescent="0.35">
      <c r="A3391">
        <v>102011</v>
      </c>
      <c r="B3391">
        <v>0</v>
      </c>
      <c r="C3391" s="5" t="s">
        <v>33</v>
      </c>
      <c r="D3391">
        <v>5404</v>
      </c>
      <c r="E3391" s="5" t="s">
        <v>81</v>
      </c>
      <c r="F3391" s="5" t="s">
        <v>17</v>
      </c>
      <c r="G3391">
        <v>30</v>
      </c>
    </row>
    <row r="3392" spans="1:7" x14ac:dyDescent="0.35">
      <c r="A3392">
        <v>17714</v>
      </c>
      <c r="B3392">
        <v>2</v>
      </c>
      <c r="C3392" s="5" t="s">
        <v>18</v>
      </c>
      <c r="D3392">
        <v>3103</v>
      </c>
      <c r="E3392" s="5" t="s">
        <v>83</v>
      </c>
      <c r="F3392" s="5" t="s">
        <v>17</v>
      </c>
      <c r="G3392">
        <v>26</v>
      </c>
    </row>
    <row r="3393" spans="1:7" x14ac:dyDescent="0.35">
      <c r="A3393">
        <v>134619</v>
      </c>
      <c r="B3393">
        <v>2</v>
      </c>
      <c r="C3393" s="5" t="s">
        <v>35</v>
      </c>
      <c r="D3393">
        <v>5003</v>
      </c>
      <c r="E3393" s="5" t="s">
        <v>80</v>
      </c>
      <c r="F3393" s="5" t="s">
        <v>14</v>
      </c>
      <c r="G3393">
        <v>11</v>
      </c>
    </row>
    <row r="3394" spans="1:7" x14ac:dyDescent="0.35">
      <c r="A3394">
        <v>106649</v>
      </c>
      <c r="B3394">
        <v>2</v>
      </c>
      <c r="C3394" s="5" t="s">
        <v>55</v>
      </c>
      <c r="D3394">
        <v>6201</v>
      </c>
      <c r="E3394" s="5" t="s">
        <v>83</v>
      </c>
      <c r="F3394" s="5" t="s">
        <v>17</v>
      </c>
      <c r="G3394">
        <v>26</v>
      </c>
    </row>
    <row r="3395" spans="1:7" x14ac:dyDescent="0.35">
      <c r="A3395">
        <v>147045</v>
      </c>
      <c r="B3395">
        <v>2</v>
      </c>
      <c r="C3395" s="5" t="s">
        <v>21</v>
      </c>
      <c r="D3395">
        <v>0</v>
      </c>
      <c r="E3395" s="5" t="s">
        <v>85</v>
      </c>
      <c r="F3395" s="5" t="s">
        <v>17</v>
      </c>
      <c r="G3395">
        <v>10</v>
      </c>
    </row>
    <row r="3396" spans="1:7" x14ac:dyDescent="0.35">
      <c r="A3396">
        <v>86420</v>
      </c>
      <c r="B3396">
        <v>0</v>
      </c>
      <c r="C3396" s="5" t="s">
        <v>42</v>
      </c>
      <c r="D3396">
        <v>4212</v>
      </c>
      <c r="E3396" s="5" t="s">
        <v>79</v>
      </c>
      <c r="F3396" s="5" t="s">
        <v>17</v>
      </c>
      <c r="G3396">
        <v>7</v>
      </c>
    </row>
    <row r="3397" spans="1:7" x14ac:dyDescent="0.35">
      <c r="A3397">
        <v>20445</v>
      </c>
      <c r="B3397">
        <v>1</v>
      </c>
      <c r="C3397" s="5" t="s">
        <v>18</v>
      </c>
      <c r="D3397">
        <v>3801</v>
      </c>
      <c r="E3397" s="5" t="s">
        <v>87</v>
      </c>
      <c r="F3397" s="5" t="s">
        <v>14</v>
      </c>
      <c r="G3397">
        <v>20</v>
      </c>
    </row>
    <row r="3398" spans="1:7" x14ac:dyDescent="0.35">
      <c r="A3398">
        <v>89924</v>
      </c>
      <c r="B3398">
        <v>2</v>
      </c>
      <c r="C3398" s="5" t="s">
        <v>30</v>
      </c>
      <c r="D3398">
        <v>0</v>
      </c>
      <c r="E3398" s="5" t="s">
        <v>80</v>
      </c>
      <c r="F3398" s="5" t="s">
        <v>17</v>
      </c>
      <c r="G3398">
        <v>5</v>
      </c>
    </row>
    <row r="3399" spans="1:7" x14ac:dyDescent="0.35">
      <c r="A3399">
        <v>156937</v>
      </c>
      <c r="B3399">
        <v>1</v>
      </c>
      <c r="C3399" s="5" t="s">
        <v>21</v>
      </c>
      <c r="D3399">
        <v>5801</v>
      </c>
      <c r="E3399" s="5" t="s">
        <v>85</v>
      </c>
      <c r="F3399" s="5" t="s">
        <v>14</v>
      </c>
      <c r="G3399">
        <v>17</v>
      </c>
    </row>
    <row r="3400" spans="1:7" x14ac:dyDescent="0.35">
      <c r="A3400">
        <v>151986</v>
      </c>
      <c r="B3400">
        <v>2</v>
      </c>
      <c r="C3400" s="5" t="s">
        <v>21</v>
      </c>
      <c r="D3400">
        <v>2101</v>
      </c>
      <c r="E3400" s="5" t="s">
        <v>83</v>
      </c>
      <c r="F3400" s="5" t="s">
        <v>17</v>
      </c>
      <c r="G3400">
        <v>15</v>
      </c>
    </row>
    <row r="3401" spans="1:7" x14ac:dyDescent="0.35">
      <c r="A3401">
        <v>139324</v>
      </c>
      <c r="B3401">
        <v>0</v>
      </c>
      <c r="C3401" s="5" t="s">
        <v>50</v>
      </c>
      <c r="D3401">
        <v>0</v>
      </c>
      <c r="E3401" s="5" t="s">
        <v>83</v>
      </c>
      <c r="F3401" s="5" t="s">
        <v>27</v>
      </c>
      <c r="G3401">
        <v>15</v>
      </c>
    </row>
    <row r="3402" spans="1:7" x14ac:dyDescent="0.35">
      <c r="A3402">
        <v>154067</v>
      </c>
      <c r="B3402">
        <v>0</v>
      </c>
      <c r="C3402" s="5" t="s">
        <v>21</v>
      </c>
      <c r="D3402">
        <v>0</v>
      </c>
      <c r="E3402" s="5" t="s">
        <v>86</v>
      </c>
      <c r="F3402" s="5" t="s">
        <v>17</v>
      </c>
      <c r="G3402">
        <v>10</v>
      </c>
    </row>
    <row r="3403" spans="1:7" x14ac:dyDescent="0.35">
      <c r="A3403">
        <v>74825</v>
      </c>
      <c r="B3403">
        <v>0</v>
      </c>
      <c r="C3403" s="5" t="s">
        <v>44</v>
      </c>
      <c r="D3403">
        <v>2007</v>
      </c>
      <c r="E3403" s="5" t="s">
        <v>79</v>
      </c>
      <c r="F3403" s="5" t="s">
        <v>17</v>
      </c>
      <c r="G3403">
        <v>5</v>
      </c>
    </row>
    <row r="3404" spans="1:7" x14ac:dyDescent="0.35">
      <c r="A3404">
        <v>22425</v>
      </c>
      <c r="B3404">
        <v>28028</v>
      </c>
      <c r="C3404" s="5" t="s">
        <v>43</v>
      </c>
      <c r="D3404">
        <v>3801</v>
      </c>
      <c r="E3404" s="5" t="s">
        <v>81</v>
      </c>
      <c r="F3404" s="5" t="s">
        <v>17</v>
      </c>
      <c r="G3404">
        <v>20</v>
      </c>
    </row>
    <row r="3405" spans="1:7" x14ac:dyDescent="0.35">
      <c r="A3405">
        <v>55450</v>
      </c>
      <c r="B3405">
        <v>0</v>
      </c>
      <c r="C3405" s="5" t="s">
        <v>56</v>
      </c>
      <c r="D3405">
        <v>0</v>
      </c>
      <c r="E3405" s="5" t="s">
        <v>81</v>
      </c>
      <c r="F3405" s="5" t="s">
        <v>17</v>
      </c>
      <c r="G3405">
        <v>5</v>
      </c>
    </row>
    <row r="3406" spans="1:7" x14ac:dyDescent="0.35">
      <c r="A3406">
        <v>64650</v>
      </c>
      <c r="B3406">
        <v>1</v>
      </c>
      <c r="C3406" s="5" t="s">
        <v>26</v>
      </c>
      <c r="D3406">
        <v>3301</v>
      </c>
      <c r="E3406" s="5" t="s">
        <v>88</v>
      </c>
      <c r="F3406" s="5" t="s">
        <v>14</v>
      </c>
      <c r="G3406">
        <v>40</v>
      </c>
    </row>
    <row r="3407" spans="1:7" x14ac:dyDescent="0.35">
      <c r="A3407">
        <v>144974</v>
      </c>
      <c r="B3407">
        <v>1</v>
      </c>
      <c r="C3407" s="5" t="s">
        <v>21</v>
      </c>
      <c r="D3407">
        <v>4901</v>
      </c>
      <c r="E3407" s="5" t="s">
        <v>85</v>
      </c>
      <c r="F3407" s="5" t="s">
        <v>14</v>
      </c>
      <c r="G3407">
        <v>20</v>
      </c>
    </row>
    <row r="3408" spans="1:7" x14ac:dyDescent="0.35">
      <c r="A3408">
        <v>4254</v>
      </c>
      <c r="B3408">
        <v>1</v>
      </c>
      <c r="C3408" s="5" t="s">
        <v>21</v>
      </c>
      <c r="D3408">
        <v>4801</v>
      </c>
      <c r="E3408" s="5" t="s">
        <v>78</v>
      </c>
      <c r="F3408" s="5" t="s">
        <v>14</v>
      </c>
      <c r="G3408">
        <v>20</v>
      </c>
    </row>
    <row r="3409" spans="1:7" x14ac:dyDescent="0.35">
      <c r="A3409">
        <v>171188</v>
      </c>
      <c r="B3409">
        <v>0</v>
      </c>
      <c r="C3409" s="5" t="s">
        <v>21</v>
      </c>
      <c r="D3409">
        <v>3308</v>
      </c>
      <c r="E3409" s="5" t="s">
        <v>79</v>
      </c>
      <c r="F3409" s="5" t="s">
        <v>17</v>
      </c>
      <c r="G3409">
        <v>14</v>
      </c>
    </row>
    <row r="3410" spans="1:7" x14ac:dyDescent="0.35">
      <c r="A3410">
        <v>181569</v>
      </c>
      <c r="B3410">
        <v>0</v>
      </c>
      <c r="C3410" s="5" t="s">
        <v>37</v>
      </c>
      <c r="D3410">
        <v>1909</v>
      </c>
      <c r="E3410" s="5" t="s">
        <v>79</v>
      </c>
      <c r="F3410" s="5" t="s">
        <v>17</v>
      </c>
      <c r="G3410">
        <v>21</v>
      </c>
    </row>
    <row r="3411" spans="1:7" x14ac:dyDescent="0.35">
      <c r="A3411">
        <v>68797</v>
      </c>
      <c r="B3411">
        <v>0</v>
      </c>
      <c r="C3411" s="5" t="s">
        <v>26</v>
      </c>
      <c r="D3411">
        <v>0</v>
      </c>
      <c r="E3411" s="5" t="s">
        <v>80</v>
      </c>
      <c r="F3411" s="5" t="s">
        <v>17</v>
      </c>
      <c r="G3411">
        <v>10</v>
      </c>
    </row>
    <row r="3412" spans="1:7" x14ac:dyDescent="0.35">
      <c r="A3412">
        <v>99602</v>
      </c>
      <c r="B3412">
        <v>3</v>
      </c>
      <c r="C3412" s="5" t="s">
        <v>33</v>
      </c>
      <c r="D3412">
        <v>2704</v>
      </c>
      <c r="E3412" s="5" t="s">
        <v>80</v>
      </c>
      <c r="F3412" s="5" t="s">
        <v>17</v>
      </c>
      <c r="G3412">
        <v>10</v>
      </c>
    </row>
    <row r="3413" spans="1:7" x14ac:dyDescent="0.35">
      <c r="A3413">
        <v>182586</v>
      </c>
      <c r="B3413">
        <v>1</v>
      </c>
      <c r="C3413" s="5" t="s">
        <v>37</v>
      </c>
      <c r="D3413">
        <v>1901</v>
      </c>
      <c r="E3413" s="5" t="s">
        <v>89</v>
      </c>
      <c r="F3413" s="5" t="s">
        <v>14</v>
      </c>
      <c r="G3413">
        <v>8</v>
      </c>
    </row>
    <row r="3414" spans="1:7" x14ac:dyDescent="0.35">
      <c r="A3414">
        <v>11023</v>
      </c>
      <c r="B3414">
        <v>1</v>
      </c>
      <c r="C3414" s="5" t="s">
        <v>21</v>
      </c>
      <c r="D3414">
        <v>2001</v>
      </c>
      <c r="E3414" s="5" t="s">
        <v>79</v>
      </c>
      <c r="F3414" s="5" t="s">
        <v>14</v>
      </c>
      <c r="G3414">
        <v>5</v>
      </c>
    </row>
    <row r="3415" spans="1:7" x14ac:dyDescent="0.35">
      <c r="A3415">
        <v>176409</v>
      </c>
      <c r="B3415">
        <v>1</v>
      </c>
      <c r="C3415" s="5" t="s">
        <v>47</v>
      </c>
      <c r="D3415">
        <v>4106</v>
      </c>
      <c r="E3415" s="5" t="s">
        <v>79</v>
      </c>
      <c r="F3415" s="5" t="s">
        <v>14</v>
      </c>
      <c r="G3415">
        <v>30</v>
      </c>
    </row>
    <row r="3416" spans="1:7" x14ac:dyDescent="0.35">
      <c r="A3416">
        <v>72452</v>
      </c>
      <c r="B3416">
        <v>0</v>
      </c>
      <c r="C3416" s="5" t="s">
        <v>26</v>
      </c>
      <c r="D3416">
        <v>6110</v>
      </c>
      <c r="E3416" s="5" t="s">
        <v>79</v>
      </c>
      <c r="F3416" s="5" t="s">
        <v>17</v>
      </c>
      <c r="G3416">
        <v>4</v>
      </c>
    </row>
    <row r="3417" spans="1:7" x14ac:dyDescent="0.35">
      <c r="A3417">
        <v>77523</v>
      </c>
      <c r="B3417">
        <v>0</v>
      </c>
      <c r="C3417" s="5" t="s">
        <v>32</v>
      </c>
      <c r="D3417">
        <v>0</v>
      </c>
      <c r="E3417" s="5" t="s">
        <v>79</v>
      </c>
      <c r="F3417" s="5" t="s">
        <v>17</v>
      </c>
      <c r="G3417">
        <v>15</v>
      </c>
    </row>
    <row r="3418" spans="1:7" x14ac:dyDescent="0.35">
      <c r="A3418">
        <v>29130</v>
      </c>
      <c r="B3418">
        <v>1</v>
      </c>
      <c r="C3418" s="5" t="s">
        <v>36</v>
      </c>
      <c r="D3418">
        <v>6701</v>
      </c>
      <c r="E3418" s="5" t="s">
        <v>81</v>
      </c>
      <c r="F3418" s="5" t="s">
        <v>14</v>
      </c>
      <c r="G3418">
        <v>10</v>
      </c>
    </row>
    <row r="3419" spans="1:7" x14ac:dyDescent="0.35">
      <c r="A3419">
        <v>141308</v>
      </c>
      <c r="B3419">
        <v>0</v>
      </c>
      <c r="C3419" s="5" t="s">
        <v>35</v>
      </c>
      <c r="D3419">
        <v>5601</v>
      </c>
      <c r="E3419" s="5" t="s">
        <v>80</v>
      </c>
      <c r="F3419" s="5" t="s">
        <v>17</v>
      </c>
      <c r="G3419">
        <v>4</v>
      </c>
    </row>
    <row r="3420" spans="1:7" x14ac:dyDescent="0.35">
      <c r="A3420">
        <v>15349</v>
      </c>
      <c r="B3420">
        <v>1</v>
      </c>
      <c r="C3420" s="5" t="s">
        <v>18</v>
      </c>
      <c r="D3420">
        <v>2201</v>
      </c>
      <c r="E3420" s="5" t="s">
        <v>78</v>
      </c>
      <c r="F3420" s="5" t="s">
        <v>14</v>
      </c>
      <c r="G3420">
        <v>30</v>
      </c>
    </row>
    <row r="3421" spans="1:7" x14ac:dyDescent="0.35">
      <c r="A3421">
        <v>124095</v>
      </c>
      <c r="B3421">
        <v>2</v>
      </c>
      <c r="C3421" s="5" t="s">
        <v>20</v>
      </c>
      <c r="D3421">
        <v>2901</v>
      </c>
      <c r="E3421" s="5" t="s">
        <v>87</v>
      </c>
      <c r="F3421" s="5" t="s">
        <v>17</v>
      </c>
      <c r="G3421">
        <v>21</v>
      </c>
    </row>
    <row r="3422" spans="1:7" x14ac:dyDescent="0.35">
      <c r="A3422">
        <v>106583</v>
      </c>
      <c r="B3422">
        <v>0</v>
      </c>
      <c r="C3422" s="5" t="s">
        <v>55</v>
      </c>
      <c r="D3422">
        <v>2002</v>
      </c>
      <c r="E3422" s="5" t="s">
        <v>81</v>
      </c>
      <c r="F3422" s="5" t="s">
        <v>14</v>
      </c>
      <c r="G3422">
        <v>5</v>
      </c>
    </row>
    <row r="3423" spans="1:7" x14ac:dyDescent="0.35">
      <c r="A3423">
        <v>131263</v>
      </c>
      <c r="B3423">
        <v>0</v>
      </c>
      <c r="C3423" s="5" t="s">
        <v>45</v>
      </c>
      <c r="D3423">
        <v>701</v>
      </c>
      <c r="E3423" s="5" t="s">
        <v>87</v>
      </c>
      <c r="F3423" s="5" t="s">
        <v>17</v>
      </c>
      <c r="G3423">
        <v>12</v>
      </c>
    </row>
    <row r="3424" spans="1:7" x14ac:dyDescent="0.35">
      <c r="A3424">
        <v>14376</v>
      </c>
      <c r="B3424">
        <v>0</v>
      </c>
      <c r="C3424" s="5" t="s">
        <v>53</v>
      </c>
      <c r="D3424">
        <v>6611</v>
      </c>
      <c r="E3424" s="5" t="s">
        <v>81</v>
      </c>
      <c r="F3424" s="5" t="s">
        <v>17</v>
      </c>
      <c r="G3424">
        <v>15</v>
      </c>
    </row>
    <row r="3425" spans="1:7" x14ac:dyDescent="0.35">
      <c r="A3425">
        <v>147641</v>
      </c>
      <c r="B3425">
        <v>2</v>
      </c>
      <c r="C3425" s="5" t="s">
        <v>21</v>
      </c>
      <c r="D3425">
        <v>1306</v>
      </c>
      <c r="E3425" s="5" t="s">
        <v>80</v>
      </c>
      <c r="F3425" s="5" t="s">
        <v>17</v>
      </c>
      <c r="G3425">
        <v>10</v>
      </c>
    </row>
    <row r="3426" spans="1:7" x14ac:dyDescent="0.35">
      <c r="A3426">
        <v>131972</v>
      </c>
      <c r="B3426">
        <v>28</v>
      </c>
      <c r="C3426" s="5" t="s">
        <v>45</v>
      </c>
      <c r="D3426">
        <v>0</v>
      </c>
      <c r="E3426" s="5" t="s">
        <v>81</v>
      </c>
      <c r="F3426" s="5" t="s">
        <v>17</v>
      </c>
      <c r="G3426">
        <v>6</v>
      </c>
    </row>
    <row r="3427" spans="1:7" x14ac:dyDescent="0.35">
      <c r="A3427">
        <v>170714</v>
      </c>
      <c r="B3427">
        <v>0</v>
      </c>
      <c r="C3427" s="5" t="s">
        <v>21</v>
      </c>
      <c r="D3427">
        <v>4106</v>
      </c>
      <c r="E3427" s="5" t="s">
        <v>82</v>
      </c>
      <c r="F3427" s="5" t="s">
        <v>86</v>
      </c>
      <c r="G3427">
        <v>20</v>
      </c>
    </row>
    <row r="3428" spans="1:7" x14ac:dyDescent="0.35">
      <c r="A3428">
        <v>167755</v>
      </c>
      <c r="B3428">
        <v>1</v>
      </c>
      <c r="C3428" s="5" t="s">
        <v>21</v>
      </c>
      <c r="D3428">
        <v>4101</v>
      </c>
      <c r="E3428" s="5" t="s">
        <v>83</v>
      </c>
      <c r="F3428" s="5" t="s">
        <v>14</v>
      </c>
      <c r="G3428">
        <v>18</v>
      </c>
    </row>
    <row r="3429" spans="1:7" x14ac:dyDescent="0.35">
      <c r="A3429">
        <v>188721</v>
      </c>
      <c r="B3429">
        <v>0</v>
      </c>
      <c r="C3429" s="5" t="s">
        <v>16</v>
      </c>
      <c r="D3429">
        <v>2410</v>
      </c>
      <c r="E3429" s="5" t="s">
        <v>83</v>
      </c>
      <c r="F3429" s="5" t="s">
        <v>17</v>
      </c>
      <c r="G3429">
        <v>20</v>
      </c>
    </row>
    <row r="3430" spans="1:7" x14ac:dyDescent="0.35">
      <c r="A3430">
        <v>4026</v>
      </c>
      <c r="B3430">
        <v>0</v>
      </c>
      <c r="C3430" s="5" t="s">
        <v>30</v>
      </c>
      <c r="D3430">
        <v>2812</v>
      </c>
      <c r="E3430" s="5" t="s">
        <v>82</v>
      </c>
      <c r="F3430" s="5" t="s">
        <v>17</v>
      </c>
      <c r="G3430">
        <v>2</v>
      </c>
    </row>
    <row r="3431" spans="1:7" x14ac:dyDescent="0.35">
      <c r="A3431">
        <v>151679</v>
      </c>
      <c r="B3431">
        <v>28</v>
      </c>
      <c r="C3431" s="5" t="s">
        <v>21</v>
      </c>
      <c r="D3431">
        <v>4001</v>
      </c>
      <c r="E3431" s="5" t="s">
        <v>88</v>
      </c>
      <c r="F3431" s="5" t="s">
        <v>17</v>
      </c>
      <c r="G3431">
        <v>23</v>
      </c>
    </row>
    <row r="3432" spans="1:7" x14ac:dyDescent="0.35">
      <c r="A3432">
        <v>155963</v>
      </c>
      <c r="B3432">
        <v>0</v>
      </c>
      <c r="C3432" s="5" t="s">
        <v>21</v>
      </c>
      <c r="D3432">
        <v>2301</v>
      </c>
      <c r="E3432" s="5" t="s">
        <v>78</v>
      </c>
      <c r="F3432" s="5" t="s">
        <v>17</v>
      </c>
      <c r="G3432">
        <v>10</v>
      </c>
    </row>
    <row r="3433" spans="1:7" x14ac:dyDescent="0.35">
      <c r="A3433">
        <v>70881</v>
      </c>
      <c r="B3433">
        <v>1</v>
      </c>
      <c r="C3433" s="5" t="s">
        <v>26</v>
      </c>
      <c r="D3433">
        <v>5706</v>
      </c>
      <c r="E3433" s="5" t="s">
        <v>89</v>
      </c>
      <c r="F3433" s="5" t="s">
        <v>14</v>
      </c>
      <c r="G3433">
        <v>15</v>
      </c>
    </row>
    <row r="3434" spans="1:7" x14ac:dyDescent="0.35">
      <c r="A3434">
        <v>2153</v>
      </c>
      <c r="B3434">
        <v>1002</v>
      </c>
      <c r="C3434" s="5" t="s">
        <v>20</v>
      </c>
      <c r="D3434">
        <v>2408</v>
      </c>
      <c r="E3434" s="5" t="s">
        <v>80</v>
      </c>
      <c r="F3434" s="5" t="s">
        <v>14</v>
      </c>
      <c r="G3434">
        <v>8</v>
      </c>
    </row>
    <row r="3435" spans="1:7" x14ac:dyDescent="0.35">
      <c r="A3435">
        <v>173192</v>
      </c>
      <c r="B3435">
        <v>2</v>
      </c>
      <c r="C3435" s="5" t="s">
        <v>21</v>
      </c>
      <c r="D3435">
        <v>1203</v>
      </c>
      <c r="E3435" s="5" t="s">
        <v>79</v>
      </c>
      <c r="F3435" s="5" t="s">
        <v>17</v>
      </c>
      <c r="G3435">
        <v>10</v>
      </c>
    </row>
    <row r="3436" spans="1:7" x14ac:dyDescent="0.35">
      <c r="A3436">
        <v>4390</v>
      </c>
      <c r="B3436">
        <v>0</v>
      </c>
      <c r="C3436" s="5" t="s">
        <v>37</v>
      </c>
      <c r="D3436">
        <v>1009</v>
      </c>
      <c r="E3436" s="5" t="s">
        <v>88</v>
      </c>
      <c r="F3436" s="5" t="s">
        <v>17</v>
      </c>
      <c r="G3436">
        <v>10</v>
      </c>
    </row>
    <row r="3437" spans="1:7" x14ac:dyDescent="0.35">
      <c r="A3437">
        <v>178789</v>
      </c>
      <c r="B3437">
        <v>28</v>
      </c>
      <c r="C3437" s="5" t="s">
        <v>37</v>
      </c>
      <c r="D3437">
        <v>2606</v>
      </c>
      <c r="E3437" s="5" t="s">
        <v>83</v>
      </c>
      <c r="F3437" s="5" t="s">
        <v>17</v>
      </c>
      <c r="G3437">
        <v>10</v>
      </c>
    </row>
    <row r="3438" spans="1:7" x14ac:dyDescent="0.35">
      <c r="A3438">
        <v>79650</v>
      </c>
      <c r="B3438">
        <v>0</v>
      </c>
      <c r="C3438" s="5" t="s">
        <v>32</v>
      </c>
      <c r="D3438">
        <v>0</v>
      </c>
      <c r="E3438" s="5" t="s">
        <v>80</v>
      </c>
      <c r="F3438" s="5" t="s">
        <v>17</v>
      </c>
      <c r="G3438">
        <v>10</v>
      </c>
    </row>
    <row r="3439" spans="1:7" x14ac:dyDescent="0.35">
      <c r="A3439">
        <v>163316</v>
      </c>
      <c r="B3439">
        <v>1</v>
      </c>
      <c r="C3439" s="5" t="s">
        <v>21</v>
      </c>
      <c r="D3439">
        <v>3401</v>
      </c>
      <c r="E3439" s="5" t="s">
        <v>85</v>
      </c>
      <c r="F3439" s="5" t="s">
        <v>14</v>
      </c>
      <c r="G3439">
        <v>40</v>
      </c>
    </row>
    <row r="3440" spans="1:7" x14ac:dyDescent="0.35">
      <c r="A3440">
        <v>93824</v>
      </c>
      <c r="B3440">
        <v>2</v>
      </c>
      <c r="C3440" s="5" t="s">
        <v>16</v>
      </c>
      <c r="D3440">
        <v>1807</v>
      </c>
      <c r="E3440" s="5" t="s">
        <v>93</v>
      </c>
      <c r="F3440" s="5" t="s">
        <v>17</v>
      </c>
      <c r="G3440">
        <v>10</v>
      </c>
    </row>
    <row r="3441" spans="1:7" x14ac:dyDescent="0.35">
      <c r="A3441">
        <v>33190</v>
      </c>
      <c r="B3441">
        <v>0</v>
      </c>
      <c r="C3441" s="5" t="s">
        <v>13</v>
      </c>
      <c r="D3441">
        <v>5302</v>
      </c>
      <c r="E3441" s="5" t="s">
        <v>82</v>
      </c>
      <c r="F3441" s="5" t="s">
        <v>17</v>
      </c>
      <c r="G3441">
        <v>11</v>
      </c>
    </row>
    <row r="3442" spans="1:7" x14ac:dyDescent="0.35">
      <c r="A3442">
        <v>4017</v>
      </c>
      <c r="B3442">
        <v>1</v>
      </c>
      <c r="C3442" s="5" t="s">
        <v>21</v>
      </c>
      <c r="D3442">
        <v>3201</v>
      </c>
      <c r="E3442" s="5" t="s">
        <v>83</v>
      </c>
      <c r="F3442" s="5" t="s">
        <v>17</v>
      </c>
      <c r="G3442">
        <v>15</v>
      </c>
    </row>
    <row r="3443" spans="1:7" x14ac:dyDescent="0.35">
      <c r="A3443">
        <v>176140</v>
      </c>
      <c r="B3443">
        <v>1002</v>
      </c>
      <c r="C3443" s="5" t="s">
        <v>47</v>
      </c>
      <c r="D3443">
        <v>3407</v>
      </c>
      <c r="E3443" s="5" t="s">
        <v>82</v>
      </c>
      <c r="F3443" s="5" t="s">
        <v>14</v>
      </c>
      <c r="G3443">
        <v>8</v>
      </c>
    </row>
    <row r="3444" spans="1:7" x14ac:dyDescent="0.35">
      <c r="A3444">
        <v>120720</v>
      </c>
      <c r="B3444">
        <v>2</v>
      </c>
      <c r="C3444" s="5" t="s">
        <v>20</v>
      </c>
      <c r="D3444">
        <v>0</v>
      </c>
      <c r="E3444" s="5" t="s">
        <v>89</v>
      </c>
      <c r="F3444" s="5" t="s">
        <v>14</v>
      </c>
      <c r="G3444">
        <v>23</v>
      </c>
    </row>
    <row r="3445" spans="1:7" x14ac:dyDescent="0.35">
      <c r="A3445">
        <v>80733</v>
      </c>
      <c r="B3445">
        <v>0</v>
      </c>
      <c r="C3445" s="5" t="s">
        <v>32</v>
      </c>
      <c r="D3445">
        <v>3101</v>
      </c>
      <c r="E3445" s="5" t="s">
        <v>81</v>
      </c>
      <c r="F3445" s="5" t="s">
        <v>17</v>
      </c>
      <c r="G3445">
        <v>15</v>
      </c>
    </row>
    <row r="3446" spans="1:7" x14ac:dyDescent="0.35">
      <c r="A3446">
        <v>131468</v>
      </c>
      <c r="B3446">
        <v>1</v>
      </c>
      <c r="C3446" s="5" t="s">
        <v>45</v>
      </c>
      <c r="D3446">
        <v>807</v>
      </c>
      <c r="E3446" s="5" t="s">
        <v>80</v>
      </c>
      <c r="F3446" s="5" t="s">
        <v>86</v>
      </c>
      <c r="G3446">
        <v>8</v>
      </c>
    </row>
    <row r="3447" spans="1:7" x14ac:dyDescent="0.35">
      <c r="A3447">
        <v>124298</v>
      </c>
      <c r="B3447">
        <v>28</v>
      </c>
      <c r="C3447" s="5" t="s">
        <v>20</v>
      </c>
      <c r="D3447">
        <v>1301</v>
      </c>
      <c r="E3447" s="5" t="s">
        <v>82</v>
      </c>
      <c r="F3447" s="5" t="s">
        <v>17</v>
      </c>
      <c r="G3447">
        <v>4</v>
      </c>
    </row>
    <row r="3448" spans="1:7" x14ac:dyDescent="0.35">
      <c r="A3448">
        <v>21133</v>
      </c>
      <c r="B3448">
        <v>0</v>
      </c>
      <c r="C3448" s="5" t="s">
        <v>18</v>
      </c>
      <c r="D3448">
        <v>0</v>
      </c>
      <c r="E3448" s="5" t="s">
        <v>81</v>
      </c>
      <c r="F3448" s="5" t="s">
        <v>17</v>
      </c>
      <c r="G3448">
        <v>13</v>
      </c>
    </row>
    <row r="3449" spans="1:7" x14ac:dyDescent="0.35">
      <c r="A3449">
        <v>23732</v>
      </c>
      <c r="B3449">
        <v>0</v>
      </c>
      <c r="C3449" s="5" t="s">
        <v>43</v>
      </c>
      <c r="D3449">
        <v>0</v>
      </c>
      <c r="E3449" s="5" t="s">
        <v>90</v>
      </c>
      <c r="F3449" s="5" t="s">
        <v>17</v>
      </c>
      <c r="G3449">
        <v>4</v>
      </c>
    </row>
    <row r="3450" spans="1:7" x14ac:dyDescent="0.35">
      <c r="A3450">
        <v>188133</v>
      </c>
      <c r="B3450">
        <v>0</v>
      </c>
      <c r="C3450" s="5" t="s">
        <v>40</v>
      </c>
      <c r="D3450">
        <v>0</v>
      </c>
      <c r="E3450" s="5" t="s">
        <v>94</v>
      </c>
      <c r="F3450" s="5" t="s">
        <v>17</v>
      </c>
      <c r="G3450">
        <v>5</v>
      </c>
    </row>
    <row r="3451" spans="1:7" x14ac:dyDescent="0.35">
      <c r="A3451">
        <v>167838</v>
      </c>
      <c r="B3451">
        <v>1</v>
      </c>
      <c r="C3451" s="5" t="s">
        <v>21</v>
      </c>
      <c r="D3451">
        <v>3402</v>
      </c>
      <c r="E3451" s="5" t="s">
        <v>78</v>
      </c>
      <c r="F3451" s="5" t="s">
        <v>14</v>
      </c>
      <c r="G3451">
        <v>15</v>
      </c>
    </row>
    <row r="3452" spans="1:7" x14ac:dyDescent="0.35">
      <c r="A3452">
        <v>113186</v>
      </c>
      <c r="B3452">
        <v>1002</v>
      </c>
      <c r="C3452" s="5" t="s">
        <v>28</v>
      </c>
      <c r="D3452">
        <v>2001</v>
      </c>
      <c r="E3452" s="5" t="s">
        <v>78</v>
      </c>
      <c r="F3452" s="5" t="s">
        <v>14</v>
      </c>
      <c r="G3452">
        <v>5</v>
      </c>
    </row>
    <row r="3453" spans="1:7" x14ac:dyDescent="0.35">
      <c r="A3453">
        <v>154114</v>
      </c>
      <c r="B3453">
        <v>2</v>
      </c>
      <c r="C3453" s="5" t="s">
        <v>23</v>
      </c>
      <c r="D3453">
        <v>3707</v>
      </c>
      <c r="E3453" s="5" t="s">
        <v>79</v>
      </c>
      <c r="F3453" s="5" t="s">
        <v>17</v>
      </c>
      <c r="G3453">
        <v>20</v>
      </c>
    </row>
    <row r="3454" spans="1:7" x14ac:dyDescent="0.35">
      <c r="A3454">
        <v>171738</v>
      </c>
      <c r="B3454">
        <v>2</v>
      </c>
      <c r="C3454" s="5" t="s">
        <v>21</v>
      </c>
      <c r="D3454">
        <v>701</v>
      </c>
      <c r="E3454" s="5" t="s">
        <v>85</v>
      </c>
      <c r="F3454" s="5" t="s">
        <v>14</v>
      </c>
      <c r="G3454">
        <v>12</v>
      </c>
    </row>
    <row r="3455" spans="1:7" x14ac:dyDescent="0.35">
      <c r="A3455">
        <v>20401</v>
      </c>
      <c r="B3455">
        <v>0</v>
      </c>
      <c r="C3455" s="5" t="s">
        <v>18</v>
      </c>
      <c r="D3455">
        <v>3201</v>
      </c>
      <c r="E3455" s="5" t="s">
        <v>89</v>
      </c>
      <c r="F3455" s="5" t="s">
        <v>17</v>
      </c>
      <c r="G3455">
        <v>30</v>
      </c>
    </row>
    <row r="3456" spans="1:7" x14ac:dyDescent="0.35">
      <c r="A3456">
        <v>69878</v>
      </c>
      <c r="B3456">
        <v>1</v>
      </c>
      <c r="C3456" s="5" t="s">
        <v>26</v>
      </c>
      <c r="D3456">
        <v>2907</v>
      </c>
      <c r="E3456" s="5" t="s">
        <v>81</v>
      </c>
      <c r="F3456" s="5" t="s">
        <v>14</v>
      </c>
      <c r="G3456">
        <v>12</v>
      </c>
    </row>
    <row r="3457" spans="1:7" x14ac:dyDescent="0.35">
      <c r="A3457">
        <v>138443</v>
      </c>
      <c r="B3457">
        <v>0</v>
      </c>
      <c r="C3457" s="5" t="s">
        <v>51</v>
      </c>
      <c r="D3457">
        <v>5001</v>
      </c>
      <c r="E3457" s="5" t="s">
        <v>86</v>
      </c>
      <c r="F3457" s="5" t="s">
        <v>17</v>
      </c>
      <c r="G3457">
        <v>15</v>
      </c>
    </row>
    <row r="3458" spans="1:7" x14ac:dyDescent="0.35">
      <c r="A3458">
        <v>13806</v>
      </c>
      <c r="B3458">
        <v>2</v>
      </c>
      <c r="C3458" s="5" t="s">
        <v>32</v>
      </c>
      <c r="D3458">
        <v>0</v>
      </c>
      <c r="E3458" s="5" t="s">
        <v>81</v>
      </c>
      <c r="F3458" s="5" t="s">
        <v>17</v>
      </c>
      <c r="G3458">
        <v>7</v>
      </c>
    </row>
    <row r="3459" spans="1:7" x14ac:dyDescent="0.35">
      <c r="A3459">
        <v>119801</v>
      </c>
      <c r="B3459">
        <v>28</v>
      </c>
      <c r="C3459" s="5" t="s">
        <v>20</v>
      </c>
      <c r="D3459">
        <v>603</v>
      </c>
      <c r="E3459" s="5" t="s">
        <v>79</v>
      </c>
      <c r="F3459" s="5" t="s">
        <v>17</v>
      </c>
      <c r="G3459">
        <v>25</v>
      </c>
    </row>
    <row r="3460" spans="1:7" x14ac:dyDescent="0.35">
      <c r="A3460">
        <v>56339</v>
      </c>
      <c r="B3460">
        <v>2</v>
      </c>
      <c r="C3460" s="5" t="s">
        <v>53</v>
      </c>
      <c r="D3460">
        <v>1505</v>
      </c>
      <c r="E3460" s="5" t="s">
        <v>79</v>
      </c>
      <c r="F3460" s="5" t="s">
        <v>17</v>
      </c>
      <c r="G3460">
        <v>5</v>
      </c>
    </row>
    <row r="3461" spans="1:7" x14ac:dyDescent="0.35">
      <c r="A3461">
        <v>125506</v>
      </c>
      <c r="B3461">
        <v>28</v>
      </c>
      <c r="C3461" s="5" t="s">
        <v>20</v>
      </c>
      <c r="D3461">
        <v>5501</v>
      </c>
      <c r="E3461" s="5" t="s">
        <v>92</v>
      </c>
      <c r="F3461" s="5" t="s">
        <v>17</v>
      </c>
      <c r="G3461">
        <v>20</v>
      </c>
    </row>
    <row r="3462" spans="1:7" x14ac:dyDescent="0.35">
      <c r="A3462">
        <v>190635</v>
      </c>
      <c r="B3462">
        <v>0</v>
      </c>
      <c r="C3462" s="5" t="s">
        <v>43</v>
      </c>
      <c r="D3462">
        <v>0</v>
      </c>
      <c r="E3462" s="5" t="s">
        <v>86</v>
      </c>
      <c r="F3462" s="5" t="s">
        <v>27</v>
      </c>
      <c r="G3462">
        <v>32</v>
      </c>
    </row>
    <row r="3463" spans="1:7" x14ac:dyDescent="0.35">
      <c r="A3463">
        <v>12361</v>
      </c>
      <c r="B3463">
        <v>28</v>
      </c>
      <c r="C3463" s="5" t="s">
        <v>16</v>
      </c>
      <c r="D3463">
        <v>4204</v>
      </c>
      <c r="E3463" s="5" t="s">
        <v>85</v>
      </c>
      <c r="F3463" s="5" t="s">
        <v>17</v>
      </c>
      <c r="G3463">
        <v>100</v>
      </c>
    </row>
    <row r="3464" spans="1:7" x14ac:dyDescent="0.35">
      <c r="A3464">
        <v>136428</v>
      </c>
      <c r="B3464">
        <v>0</v>
      </c>
      <c r="C3464" s="5" t="s">
        <v>51</v>
      </c>
      <c r="D3464">
        <v>4701</v>
      </c>
      <c r="E3464" s="5" t="s">
        <v>83</v>
      </c>
      <c r="F3464" s="5" t="s">
        <v>17</v>
      </c>
      <c r="G3464">
        <v>25</v>
      </c>
    </row>
    <row r="3465" spans="1:7" x14ac:dyDescent="0.35">
      <c r="A3465">
        <v>184478</v>
      </c>
      <c r="B3465">
        <v>1</v>
      </c>
      <c r="C3465" s="5" t="s">
        <v>37</v>
      </c>
      <c r="D3465">
        <v>2001</v>
      </c>
      <c r="E3465" s="5" t="s">
        <v>87</v>
      </c>
      <c r="F3465" s="5" t="s">
        <v>14</v>
      </c>
      <c r="G3465">
        <v>15</v>
      </c>
    </row>
    <row r="3466" spans="1:7" x14ac:dyDescent="0.35">
      <c r="A3466">
        <v>55105</v>
      </c>
      <c r="B3466">
        <v>0</v>
      </c>
      <c r="C3466" s="5" t="s">
        <v>56</v>
      </c>
      <c r="D3466">
        <v>0</v>
      </c>
      <c r="E3466" s="5" t="s">
        <v>81</v>
      </c>
      <c r="F3466" s="5" t="s">
        <v>17</v>
      </c>
      <c r="G3466">
        <v>4</v>
      </c>
    </row>
    <row r="3467" spans="1:7" x14ac:dyDescent="0.35">
      <c r="A3467">
        <v>188170</v>
      </c>
      <c r="B3467">
        <v>2</v>
      </c>
      <c r="C3467" s="5" t="s">
        <v>13</v>
      </c>
      <c r="D3467">
        <v>0</v>
      </c>
      <c r="E3467" s="5" t="s">
        <v>86</v>
      </c>
      <c r="F3467" s="5" t="s">
        <v>14</v>
      </c>
      <c r="G3467">
        <v>50</v>
      </c>
    </row>
    <row r="3468" spans="1:7" x14ac:dyDescent="0.35">
      <c r="A3468">
        <v>171397</v>
      </c>
      <c r="B3468">
        <v>4</v>
      </c>
      <c r="C3468" s="5" t="s">
        <v>30</v>
      </c>
      <c r="D3468">
        <v>6201</v>
      </c>
      <c r="E3468" s="5" t="s">
        <v>78</v>
      </c>
      <c r="F3468" s="5" t="s">
        <v>14</v>
      </c>
      <c r="G3468">
        <v>25</v>
      </c>
    </row>
    <row r="3469" spans="1:7" x14ac:dyDescent="0.35">
      <c r="A3469">
        <v>159562</v>
      </c>
      <c r="B3469">
        <v>0</v>
      </c>
      <c r="C3469" s="5" t="s">
        <v>21</v>
      </c>
      <c r="D3469">
        <v>0</v>
      </c>
      <c r="E3469" s="5" t="s">
        <v>89</v>
      </c>
      <c r="F3469" s="5" t="s">
        <v>17</v>
      </c>
      <c r="G3469">
        <v>2</v>
      </c>
    </row>
    <row r="3470" spans="1:7" x14ac:dyDescent="0.35">
      <c r="A3470">
        <v>32523</v>
      </c>
      <c r="B3470">
        <v>28</v>
      </c>
      <c r="C3470" s="5" t="s">
        <v>13</v>
      </c>
      <c r="D3470">
        <v>4001</v>
      </c>
      <c r="E3470" s="5" t="s">
        <v>79</v>
      </c>
      <c r="F3470" s="5" t="s">
        <v>17</v>
      </c>
      <c r="G3470">
        <v>10</v>
      </c>
    </row>
    <row r="3471" spans="1:7" x14ac:dyDescent="0.35">
      <c r="A3471">
        <v>115311</v>
      </c>
      <c r="B3471">
        <v>0</v>
      </c>
      <c r="C3471" s="5" t="s">
        <v>28</v>
      </c>
      <c r="D3471">
        <v>6701</v>
      </c>
      <c r="E3471" s="5" t="s">
        <v>89</v>
      </c>
      <c r="F3471" s="5" t="s">
        <v>17</v>
      </c>
      <c r="G3471">
        <v>4</v>
      </c>
    </row>
    <row r="3472" spans="1:7" x14ac:dyDescent="0.35">
      <c r="A3472">
        <v>154668</v>
      </c>
      <c r="B3472">
        <v>0</v>
      </c>
      <c r="C3472" s="5" t="s">
        <v>21</v>
      </c>
      <c r="D3472">
        <v>2604</v>
      </c>
      <c r="E3472" s="5" t="s">
        <v>79</v>
      </c>
      <c r="F3472" s="5" t="s">
        <v>17</v>
      </c>
      <c r="G3472">
        <v>15</v>
      </c>
    </row>
    <row r="3473" spans="1:7" x14ac:dyDescent="0.35">
      <c r="A3473">
        <v>103260</v>
      </c>
      <c r="B3473">
        <v>0</v>
      </c>
      <c r="C3473" s="5" t="s">
        <v>33</v>
      </c>
      <c r="D3473">
        <v>6609</v>
      </c>
      <c r="E3473" s="5" t="s">
        <v>79</v>
      </c>
      <c r="F3473" s="5" t="s">
        <v>14</v>
      </c>
      <c r="G3473">
        <v>10</v>
      </c>
    </row>
    <row r="3474" spans="1:7" x14ac:dyDescent="0.35">
      <c r="A3474">
        <v>19260</v>
      </c>
      <c r="B3474">
        <v>28</v>
      </c>
      <c r="C3474" s="5" t="s">
        <v>18</v>
      </c>
      <c r="D3474">
        <v>4401</v>
      </c>
      <c r="E3474" s="5" t="s">
        <v>79</v>
      </c>
      <c r="F3474" s="5" t="s">
        <v>17</v>
      </c>
      <c r="G3474">
        <v>175</v>
      </c>
    </row>
    <row r="3475" spans="1:7" x14ac:dyDescent="0.35">
      <c r="A3475">
        <v>111023</v>
      </c>
      <c r="B3475">
        <v>0</v>
      </c>
      <c r="C3475" s="5" t="s">
        <v>29</v>
      </c>
      <c r="D3475">
        <v>4401</v>
      </c>
      <c r="E3475" s="5" t="s">
        <v>89</v>
      </c>
      <c r="F3475" s="5" t="s">
        <v>17</v>
      </c>
      <c r="G3475">
        <v>20</v>
      </c>
    </row>
    <row r="3476" spans="1:7" x14ac:dyDescent="0.35">
      <c r="A3476">
        <v>67961</v>
      </c>
      <c r="B3476">
        <v>0</v>
      </c>
      <c r="C3476" s="5" t="s">
        <v>26</v>
      </c>
      <c r="D3476">
        <v>5208</v>
      </c>
      <c r="E3476" s="5" t="s">
        <v>91</v>
      </c>
      <c r="F3476" s="5" t="s">
        <v>86</v>
      </c>
      <c r="G3476">
        <v>21</v>
      </c>
    </row>
    <row r="3477" spans="1:7" x14ac:dyDescent="0.35">
      <c r="A3477">
        <v>92272</v>
      </c>
      <c r="B3477">
        <v>0</v>
      </c>
      <c r="C3477" s="5" t="s">
        <v>16</v>
      </c>
      <c r="D3477">
        <v>0</v>
      </c>
      <c r="E3477" s="5" t="s">
        <v>81</v>
      </c>
      <c r="F3477" s="5" t="s">
        <v>14</v>
      </c>
      <c r="G3477">
        <v>20</v>
      </c>
    </row>
    <row r="3478" spans="1:7" x14ac:dyDescent="0.35">
      <c r="A3478">
        <v>157311</v>
      </c>
      <c r="B3478">
        <v>1</v>
      </c>
      <c r="C3478" s="5" t="s">
        <v>21</v>
      </c>
      <c r="D3478">
        <v>2001</v>
      </c>
      <c r="E3478" s="5" t="s">
        <v>85</v>
      </c>
      <c r="F3478" s="5" t="s">
        <v>14</v>
      </c>
      <c r="G3478">
        <v>25</v>
      </c>
    </row>
    <row r="3479" spans="1:7" x14ac:dyDescent="0.35">
      <c r="A3479">
        <v>190616</v>
      </c>
      <c r="B3479">
        <v>1</v>
      </c>
      <c r="C3479" s="5" t="s">
        <v>32</v>
      </c>
      <c r="D3479">
        <v>0</v>
      </c>
      <c r="E3479" s="5" t="s">
        <v>81</v>
      </c>
      <c r="F3479" s="5" t="s">
        <v>14</v>
      </c>
      <c r="G3479">
        <v>5</v>
      </c>
    </row>
    <row r="3480" spans="1:7" x14ac:dyDescent="0.35">
      <c r="A3480">
        <v>121153</v>
      </c>
      <c r="B3480">
        <v>2</v>
      </c>
      <c r="C3480" s="5" t="s">
        <v>20</v>
      </c>
      <c r="D3480">
        <v>3901</v>
      </c>
      <c r="E3480" s="5" t="s">
        <v>85</v>
      </c>
      <c r="F3480" s="5" t="s">
        <v>14</v>
      </c>
      <c r="G3480">
        <v>25</v>
      </c>
    </row>
    <row r="3481" spans="1:7" x14ac:dyDescent="0.35">
      <c r="A3481">
        <v>91431</v>
      </c>
      <c r="B3481">
        <v>2</v>
      </c>
      <c r="C3481" s="5" t="s">
        <v>16</v>
      </c>
      <c r="D3481">
        <v>2901</v>
      </c>
      <c r="E3481" s="5" t="s">
        <v>81</v>
      </c>
      <c r="F3481" s="5" t="s">
        <v>17</v>
      </c>
      <c r="G3481">
        <v>50</v>
      </c>
    </row>
    <row r="3482" spans="1:7" x14ac:dyDescent="0.35">
      <c r="A3482">
        <v>4917</v>
      </c>
      <c r="B3482">
        <v>2</v>
      </c>
      <c r="C3482" s="5" t="s">
        <v>46</v>
      </c>
      <c r="D3482">
        <v>3901</v>
      </c>
      <c r="E3482" s="5" t="s">
        <v>83</v>
      </c>
      <c r="F3482" s="5" t="s">
        <v>17</v>
      </c>
      <c r="G3482">
        <v>15</v>
      </c>
    </row>
    <row r="3483" spans="1:7" x14ac:dyDescent="0.35">
      <c r="A3483">
        <v>63436</v>
      </c>
      <c r="B3483">
        <v>0</v>
      </c>
      <c r="C3483" s="5" t="s">
        <v>30</v>
      </c>
      <c r="D3483">
        <v>2912</v>
      </c>
      <c r="E3483" s="5" t="s">
        <v>79</v>
      </c>
      <c r="F3483" s="5" t="s">
        <v>17</v>
      </c>
      <c r="G3483">
        <v>51</v>
      </c>
    </row>
    <row r="3484" spans="1:7" x14ac:dyDescent="0.35">
      <c r="A3484">
        <v>20853</v>
      </c>
      <c r="B3484">
        <v>0</v>
      </c>
      <c r="C3484" s="5" t="s">
        <v>18</v>
      </c>
      <c r="D3484">
        <v>0</v>
      </c>
      <c r="E3484" s="5" t="s">
        <v>82</v>
      </c>
      <c r="F3484" s="5" t="s">
        <v>17</v>
      </c>
      <c r="G3484">
        <v>10</v>
      </c>
    </row>
    <row r="3485" spans="1:7" x14ac:dyDescent="0.35">
      <c r="A3485">
        <v>44351</v>
      </c>
      <c r="B3485">
        <v>1</v>
      </c>
      <c r="C3485" s="5" t="s">
        <v>13</v>
      </c>
      <c r="D3485">
        <v>1801</v>
      </c>
      <c r="E3485" s="5" t="s">
        <v>78</v>
      </c>
      <c r="F3485" s="5" t="s">
        <v>14</v>
      </c>
      <c r="G3485">
        <v>35</v>
      </c>
    </row>
    <row r="3486" spans="1:7" x14ac:dyDescent="0.35">
      <c r="A3486">
        <v>130530</v>
      </c>
      <c r="B3486">
        <v>2</v>
      </c>
      <c r="C3486" s="5" t="s">
        <v>45</v>
      </c>
      <c r="D3486">
        <v>4001</v>
      </c>
      <c r="E3486" s="5" t="s">
        <v>80</v>
      </c>
      <c r="F3486" s="5" t="s">
        <v>17</v>
      </c>
      <c r="G3486">
        <v>20</v>
      </c>
    </row>
    <row r="3487" spans="1:7" x14ac:dyDescent="0.35">
      <c r="A3487">
        <v>181550</v>
      </c>
      <c r="B3487">
        <v>0</v>
      </c>
      <c r="C3487" s="5" t="s">
        <v>37</v>
      </c>
      <c r="D3487">
        <v>4803</v>
      </c>
      <c r="E3487" s="5" t="s">
        <v>87</v>
      </c>
      <c r="F3487" s="5" t="s">
        <v>17</v>
      </c>
      <c r="G3487">
        <v>20</v>
      </c>
    </row>
    <row r="3488" spans="1:7" x14ac:dyDescent="0.35">
      <c r="A3488">
        <v>108158</v>
      </c>
      <c r="B3488">
        <v>0</v>
      </c>
      <c r="C3488" s="5" t="s">
        <v>46</v>
      </c>
      <c r="D3488">
        <v>3410</v>
      </c>
      <c r="E3488" s="5" t="s">
        <v>80</v>
      </c>
      <c r="F3488" s="5" t="s">
        <v>17</v>
      </c>
      <c r="G3488">
        <v>5</v>
      </c>
    </row>
    <row r="3489" spans="1:7" x14ac:dyDescent="0.35">
      <c r="A3489">
        <v>149164</v>
      </c>
      <c r="B3489">
        <v>4</v>
      </c>
      <c r="C3489" s="5" t="s">
        <v>21</v>
      </c>
      <c r="D3489">
        <v>0</v>
      </c>
      <c r="E3489" s="5" t="s">
        <v>83</v>
      </c>
      <c r="F3489" s="5" t="s">
        <v>14</v>
      </c>
      <c r="G3489">
        <v>25</v>
      </c>
    </row>
    <row r="3490" spans="1:7" x14ac:dyDescent="0.35">
      <c r="A3490">
        <v>186358</v>
      </c>
      <c r="B3490">
        <v>28</v>
      </c>
      <c r="C3490" s="5" t="s">
        <v>53</v>
      </c>
      <c r="D3490">
        <v>0</v>
      </c>
      <c r="E3490" s="5" t="s">
        <v>78</v>
      </c>
      <c r="F3490" s="5" t="s">
        <v>27</v>
      </c>
      <c r="G3490">
        <v>5</v>
      </c>
    </row>
    <row r="3491" spans="1:7" x14ac:dyDescent="0.35">
      <c r="A3491">
        <v>136629</v>
      </c>
      <c r="B3491">
        <v>1</v>
      </c>
      <c r="C3491" s="5" t="s">
        <v>51</v>
      </c>
      <c r="D3491">
        <v>0</v>
      </c>
      <c r="E3491" s="5" t="s">
        <v>84</v>
      </c>
      <c r="F3491" s="5" t="s">
        <v>14</v>
      </c>
      <c r="G3491">
        <v>10</v>
      </c>
    </row>
    <row r="3492" spans="1:7" x14ac:dyDescent="0.35">
      <c r="A3492">
        <v>12330</v>
      </c>
      <c r="B3492">
        <v>1</v>
      </c>
      <c r="C3492" s="5" t="s">
        <v>16</v>
      </c>
      <c r="D3492">
        <v>0</v>
      </c>
      <c r="E3492" s="5" t="s">
        <v>86</v>
      </c>
      <c r="F3492" s="5" t="s">
        <v>14</v>
      </c>
      <c r="G3492">
        <v>100</v>
      </c>
    </row>
    <row r="3493" spans="1:7" x14ac:dyDescent="0.35">
      <c r="A3493">
        <v>98941</v>
      </c>
      <c r="B3493">
        <v>0</v>
      </c>
      <c r="C3493" s="5" t="s">
        <v>16</v>
      </c>
      <c r="D3493">
        <v>4701</v>
      </c>
      <c r="E3493" s="5" t="s">
        <v>79</v>
      </c>
      <c r="F3493" s="5" t="s">
        <v>17</v>
      </c>
      <c r="G3493">
        <v>9</v>
      </c>
    </row>
    <row r="3494" spans="1:7" x14ac:dyDescent="0.35">
      <c r="A3494">
        <v>172597</v>
      </c>
      <c r="B3494">
        <v>2</v>
      </c>
      <c r="C3494" s="5" t="s">
        <v>21</v>
      </c>
      <c r="D3494">
        <v>2601</v>
      </c>
      <c r="E3494" s="5" t="s">
        <v>84</v>
      </c>
      <c r="F3494" s="5" t="s">
        <v>17</v>
      </c>
      <c r="G3494">
        <v>3</v>
      </c>
    </row>
    <row r="3495" spans="1:7" x14ac:dyDescent="0.35">
      <c r="A3495">
        <v>147956</v>
      </c>
      <c r="B3495">
        <v>0</v>
      </c>
      <c r="C3495" s="5" t="s">
        <v>21</v>
      </c>
      <c r="D3495">
        <v>4401</v>
      </c>
      <c r="E3495" s="5" t="s">
        <v>91</v>
      </c>
      <c r="F3495" s="5" t="s">
        <v>17</v>
      </c>
      <c r="G3495">
        <v>5</v>
      </c>
    </row>
    <row r="3496" spans="1:7" x14ac:dyDescent="0.35">
      <c r="A3496">
        <v>47819</v>
      </c>
      <c r="B3496">
        <v>1002</v>
      </c>
      <c r="C3496" s="5" t="s">
        <v>40</v>
      </c>
      <c r="D3496">
        <v>3801</v>
      </c>
      <c r="E3496" s="5" t="s">
        <v>84</v>
      </c>
      <c r="F3496" s="5" t="s">
        <v>14</v>
      </c>
      <c r="G3496">
        <v>10</v>
      </c>
    </row>
    <row r="3497" spans="1:7" x14ac:dyDescent="0.35">
      <c r="A3497">
        <v>130554</v>
      </c>
      <c r="B3497">
        <v>0</v>
      </c>
      <c r="C3497" s="5" t="s">
        <v>45</v>
      </c>
      <c r="D3497">
        <v>5407</v>
      </c>
      <c r="E3497" s="5" t="s">
        <v>80</v>
      </c>
      <c r="F3497" s="5" t="s">
        <v>17</v>
      </c>
      <c r="G3497">
        <v>20</v>
      </c>
    </row>
    <row r="3498" spans="1:7" x14ac:dyDescent="0.35">
      <c r="A3498">
        <v>157213</v>
      </c>
      <c r="B3498">
        <v>0</v>
      </c>
      <c r="C3498" s="5" t="s">
        <v>21</v>
      </c>
      <c r="D3498">
        <v>0</v>
      </c>
      <c r="E3498" s="5" t="s">
        <v>83</v>
      </c>
      <c r="F3498" s="5" t="s">
        <v>17</v>
      </c>
      <c r="G3498">
        <v>20</v>
      </c>
    </row>
    <row r="3499" spans="1:7" x14ac:dyDescent="0.35">
      <c r="A3499">
        <v>90532</v>
      </c>
      <c r="B3499">
        <v>1002</v>
      </c>
      <c r="C3499" s="5" t="s">
        <v>51</v>
      </c>
      <c r="D3499">
        <v>6910</v>
      </c>
      <c r="E3499" s="5" t="s">
        <v>83</v>
      </c>
      <c r="F3499" s="5" t="s">
        <v>14</v>
      </c>
      <c r="G3499">
        <v>20</v>
      </c>
    </row>
    <row r="3500" spans="1:7" x14ac:dyDescent="0.35">
      <c r="A3500">
        <v>187744</v>
      </c>
      <c r="B3500">
        <v>0</v>
      </c>
      <c r="C3500" s="5" t="s">
        <v>45</v>
      </c>
      <c r="D3500">
        <v>0</v>
      </c>
      <c r="E3500" s="5" t="s">
        <v>85</v>
      </c>
      <c r="F3500" s="5" t="s">
        <v>17</v>
      </c>
      <c r="G3500">
        <v>7</v>
      </c>
    </row>
    <row r="3501" spans="1:7" x14ac:dyDescent="0.35">
      <c r="A3501">
        <v>11143</v>
      </c>
      <c r="B3501">
        <v>1</v>
      </c>
      <c r="C3501" s="5" t="s">
        <v>44</v>
      </c>
      <c r="D3501">
        <v>2812</v>
      </c>
      <c r="E3501" s="5" t="s">
        <v>78</v>
      </c>
      <c r="F3501" s="5" t="s">
        <v>14</v>
      </c>
      <c r="G3501">
        <v>44</v>
      </c>
    </row>
    <row r="3502" spans="1:7" x14ac:dyDescent="0.35">
      <c r="A3502">
        <v>121978</v>
      </c>
      <c r="B3502">
        <v>1</v>
      </c>
      <c r="C3502" s="5" t="s">
        <v>20</v>
      </c>
      <c r="D3502">
        <v>1907</v>
      </c>
      <c r="E3502" s="5" t="s">
        <v>80</v>
      </c>
      <c r="F3502" s="5" t="s">
        <v>14</v>
      </c>
      <c r="G3502">
        <v>50</v>
      </c>
    </row>
    <row r="3503" spans="1:7" x14ac:dyDescent="0.35">
      <c r="A3503">
        <v>190597</v>
      </c>
      <c r="B3503">
        <v>28</v>
      </c>
      <c r="C3503" s="5" t="s">
        <v>13</v>
      </c>
      <c r="D3503">
        <v>4701</v>
      </c>
      <c r="E3503" s="5" t="s">
        <v>78</v>
      </c>
      <c r="F3503" s="5" t="s">
        <v>17</v>
      </c>
      <c r="G3503">
        <v>12</v>
      </c>
    </row>
    <row r="3504" spans="1:7" x14ac:dyDescent="0.35">
      <c r="A3504">
        <v>6325</v>
      </c>
      <c r="B3504">
        <v>0</v>
      </c>
      <c r="C3504" s="5" t="s">
        <v>30</v>
      </c>
      <c r="D3504">
        <v>3001</v>
      </c>
      <c r="E3504" s="5" t="s">
        <v>78</v>
      </c>
      <c r="F3504" s="5" t="s">
        <v>17</v>
      </c>
      <c r="G3504">
        <v>15</v>
      </c>
    </row>
    <row r="3505" spans="1:7" x14ac:dyDescent="0.35">
      <c r="A3505">
        <v>11943</v>
      </c>
      <c r="B3505">
        <v>2</v>
      </c>
      <c r="C3505" s="5" t="s">
        <v>21</v>
      </c>
      <c r="D3505">
        <v>2101</v>
      </c>
      <c r="E3505" s="5" t="s">
        <v>83</v>
      </c>
      <c r="F3505" s="5" t="s">
        <v>17</v>
      </c>
      <c r="G3505">
        <v>10</v>
      </c>
    </row>
    <row r="3506" spans="1:7" x14ac:dyDescent="0.35">
      <c r="A3506">
        <v>19789</v>
      </c>
      <c r="B3506">
        <v>1</v>
      </c>
      <c r="C3506" s="5" t="s">
        <v>18</v>
      </c>
      <c r="D3506">
        <v>4401</v>
      </c>
      <c r="E3506" s="5" t="s">
        <v>79</v>
      </c>
      <c r="F3506" s="5" t="s">
        <v>14</v>
      </c>
      <c r="G3506">
        <v>10</v>
      </c>
    </row>
    <row r="3507" spans="1:7" x14ac:dyDescent="0.35">
      <c r="A3507">
        <v>41288</v>
      </c>
      <c r="B3507">
        <v>1</v>
      </c>
      <c r="C3507" s="5" t="s">
        <v>13</v>
      </c>
      <c r="D3507">
        <v>1301</v>
      </c>
      <c r="E3507" s="5" t="s">
        <v>91</v>
      </c>
      <c r="F3507" s="5" t="s">
        <v>14</v>
      </c>
      <c r="G3507">
        <v>9</v>
      </c>
    </row>
    <row r="3508" spans="1:7" x14ac:dyDescent="0.35">
      <c r="A3508">
        <v>102706</v>
      </c>
      <c r="B3508">
        <v>28</v>
      </c>
      <c r="C3508" s="5" t="s">
        <v>33</v>
      </c>
      <c r="D3508">
        <v>5511</v>
      </c>
      <c r="E3508" s="5" t="s">
        <v>82</v>
      </c>
      <c r="F3508" s="5" t="s">
        <v>17</v>
      </c>
      <c r="G3508">
        <v>3</v>
      </c>
    </row>
    <row r="3509" spans="1:7" x14ac:dyDescent="0.35">
      <c r="A3509">
        <v>10287</v>
      </c>
      <c r="B3509">
        <v>2</v>
      </c>
      <c r="C3509" s="5" t="s">
        <v>13</v>
      </c>
      <c r="D3509">
        <v>1401</v>
      </c>
      <c r="E3509" s="5" t="s">
        <v>83</v>
      </c>
      <c r="F3509" s="5" t="s">
        <v>17</v>
      </c>
      <c r="G3509">
        <v>15</v>
      </c>
    </row>
    <row r="3510" spans="1:7" x14ac:dyDescent="0.35">
      <c r="A3510">
        <v>34429</v>
      </c>
      <c r="B3510">
        <v>1</v>
      </c>
      <c r="C3510" s="5" t="s">
        <v>13</v>
      </c>
      <c r="D3510">
        <v>4501</v>
      </c>
      <c r="E3510" s="5" t="s">
        <v>81</v>
      </c>
      <c r="F3510" s="5" t="s">
        <v>14</v>
      </c>
      <c r="G3510">
        <v>15</v>
      </c>
    </row>
    <row r="3511" spans="1:7" x14ac:dyDescent="0.35">
      <c r="A3511">
        <v>106190</v>
      </c>
      <c r="B3511">
        <v>2</v>
      </c>
      <c r="C3511" s="5" t="s">
        <v>25</v>
      </c>
      <c r="D3511">
        <v>2801</v>
      </c>
      <c r="E3511" s="5" t="s">
        <v>81</v>
      </c>
      <c r="F3511" s="5" t="s">
        <v>14</v>
      </c>
      <c r="G3511">
        <v>20</v>
      </c>
    </row>
    <row r="3512" spans="1:7" x14ac:dyDescent="0.35">
      <c r="A3512">
        <v>16973</v>
      </c>
      <c r="B3512">
        <v>0</v>
      </c>
      <c r="C3512" s="5" t="s">
        <v>18</v>
      </c>
      <c r="D3512">
        <v>0</v>
      </c>
      <c r="E3512" s="5" t="s">
        <v>79</v>
      </c>
      <c r="F3512" s="5" t="s">
        <v>17</v>
      </c>
      <c r="G3512">
        <v>8</v>
      </c>
    </row>
    <row r="3513" spans="1:7" x14ac:dyDescent="0.35">
      <c r="A3513">
        <v>2853</v>
      </c>
      <c r="B3513">
        <v>0</v>
      </c>
      <c r="C3513" s="5" t="s">
        <v>30</v>
      </c>
      <c r="D3513">
        <v>0</v>
      </c>
      <c r="E3513" s="5" t="s">
        <v>86</v>
      </c>
      <c r="F3513" s="5" t="s">
        <v>17</v>
      </c>
      <c r="G3513">
        <v>10</v>
      </c>
    </row>
    <row r="3514" spans="1:7" x14ac:dyDescent="0.35">
      <c r="A3514">
        <v>131064</v>
      </c>
      <c r="B3514">
        <v>0</v>
      </c>
      <c r="C3514" s="5" t="s">
        <v>45</v>
      </c>
      <c r="D3514">
        <v>0</v>
      </c>
      <c r="E3514" s="5" t="s">
        <v>84</v>
      </c>
      <c r="F3514" s="5" t="s">
        <v>17</v>
      </c>
      <c r="G3514">
        <v>12</v>
      </c>
    </row>
    <row r="3515" spans="1:7" x14ac:dyDescent="0.35">
      <c r="A3515">
        <v>136494</v>
      </c>
      <c r="B3515">
        <v>2</v>
      </c>
      <c r="C3515" s="5" t="s">
        <v>51</v>
      </c>
      <c r="D3515">
        <v>5201</v>
      </c>
      <c r="E3515" s="5" t="s">
        <v>83</v>
      </c>
      <c r="F3515" s="5" t="s">
        <v>17</v>
      </c>
      <c r="G3515">
        <v>15</v>
      </c>
    </row>
    <row r="3516" spans="1:7" x14ac:dyDescent="0.35">
      <c r="A3516">
        <v>77848</v>
      </c>
      <c r="B3516">
        <v>2</v>
      </c>
      <c r="C3516" s="5" t="s">
        <v>32</v>
      </c>
      <c r="D3516">
        <v>2801</v>
      </c>
      <c r="E3516" s="5" t="s">
        <v>80</v>
      </c>
      <c r="F3516" s="5" t="s">
        <v>17</v>
      </c>
      <c r="G3516">
        <v>5</v>
      </c>
    </row>
    <row r="3517" spans="1:7" x14ac:dyDescent="0.35">
      <c r="A3517">
        <v>43010</v>
      </c>
      <c r="B3517">
        <v>28</v>
      </c>
      <c r="C3517" s="5" t="s">
        <v>13</v>
      </c>
      <c r="D3517">
        <v>4501</v>
      </c>
      <c r="E3517" s="5" t="s">
        <v>90</v>
      </c>
      <c r="F3517" s="5" t="s">
        <v>17</v>
      </c>
      <c r="G3517">
        <v>25</v>
      </c>
    </row>
    <row r="3518" spans="1:7" x14ac:dyDescent="0.35">
      <c r="A3518">
        <v>82518</v>
      </c>
      <c r="B3518">
        <v>2</v>
      </c>
      <c r="C3518" s="5" t="s">
        <v>52</v>
      </c>
      <c r="D3518">
        <v>1006</v>
      </c>
      <c r="E3518" s="5" t="s">
        <v>83</v>
      </c>
      <c r="F3518" s="5" t="s">
        <v>14</v>
      </c>
      <c r="G3518">
        <v>42</v>
      </c>
    </row>
    <row r="3519" spans="1:7" x14ac:dyDescent="0.35">
      <c r="A3519">
        <v>130426</v>
      </c>
      <c r="B3519">
        <v>0</v>
      </c>
      <c r="C3519" s="5" t="s">
        <v>45</v>
      </c>
      <c r="D3519">
        <v>7101</v>
      </c>
      <c r="E3519" s="5" t="s">
        <v>80</v>
      </c>
      <c r="F3519" s="5" t="s">
        <v>17</v>
      </c>
      <c r="G3519">
        <v>30</v>
      </c>
    </row>
    <row r="3520" spans="1:7" x14ac:dyDescent="0.35">
      <c r="A3520">
        <v>186807</v>
      </c>
      <c r="B3520">
        <v>2</v>
      </c>
      <c r="C3520" s="5" t="s">
        <v>21</v>
      </c>
      <c r="D3520">
        <v>4701</v>
      </c>
      <c r="E3520" s="5" t="s">
        <v>83</v>
      </c>
      <c r="F3520" s="5" t="s">
        <v>17</v>
      </c>
      <c r="G3520">
        <v>33</v>
      </c>
    </row>
    <row r="3521" spans="1:7" x14ac:dyDescent="0.35">
      <c r="A3521">
        <v>76891</v>
      </c>
      <c r="B3521">
        <v>1</v>
      </c>
      <c r="C3521" s="5" t="s">
        <v>44</v>
      </c>
      <c r="D3521">
        <v>6601</v>
      </c>
      <c r="E3521" s="5" t="s">
        <v>83</v>
      </c>
      <c r="F3521" s="5" t="s">
        <v>14</v>
      </c>
      <c r="G3521">
        <v>10</v>
      </c>
    </row>
    <row r="3522" spans="1:7" x14ac:dyDescent="0.35">
      <c r="A3522">
        <v>114197</v>
      </c>
      <c r="B3522">
        <v>1</v>
      </c>
      <c r="C3522" s="5" t="s">
        <v>28</v>
      </c>
      <c r="D3522">
        <v>2901</v>
      </c>
      <c r="E3522" s="5" t="s">
        <v>79</v>
      </c>
      <c r="F3522" s="5" t="s">
        <v>14</v>
      </c>
      <c r="G3522">
        <v>11</v>
      </c>
    </row>
    <row r="3523" spans="1:7" x14ac:dyDescent="0.35">
      <c r="A3523">
        <v>164894</v>
      </c>
      <c r="B3523">
        <v>0</v>
      </c>
      <c r="C3523" s="5" t="s">
        <v>21</v>
      </c>
      <c r="D3523">
        <v>2801</v>
      </c>
      <c r="E3523" s="5" t="s">
        <v>80</v>
      </c>
      <c r="F3523" s="5" t="s">
        <v>17</v>
      </c>
      <c r="G3523">
        <v>10</v>
      </c>
    </row>
    <row r="3524" spans="1:7" x14ac:dyDescent="0.35">
      <c r="A3524">
        <v>23351</v>
      </c>
      <c r="B3524">
        <v>28</v>
      </c>
      <c r="C3524" s="5" t="s">
        <v>43</v>
      </c>
      <c r="D3524">
        <v>2402</v>
      </c>
      <c r="E3524" s="5" t="s">
        <v>89</v>
      </c>
      <c r="F3524" s="5" t="s">
        <v>17</v>
      </c>
      <c r="G3524">
        <v>10</v>
      </c>
    </row>
    <row r="3525" spans="1:7" x14ac:dyDescent="0.35">
      <c r="A3525">
        <v>37205</v>
      </c>
      <c r="B3525">
        <v>0</v>
      </c>
      <c r="C3525" s="5" t="s">
        <v>13</v>
      </c>
      <c r="D3525">
        <v>3009</v>
      </c>
      <c r="E3525" s="5" t="s">
        <v>80</v>
      </c>
      <c r="F3525" s="5" t="s">
        <v>17</v>
      </c>
      <c r="G3525">
        <v>10</v>
      </c>
    </row>
    <row r="3526" spans="1:7" x14ac:dyDescent="0.35">
      <c r="A3526">
        <v>174453</v>
      </c>
      <c r="B3526">
        <v>1</v>
      </c>
      <c r="C3526" s="5" t="s">
        <v>47</v>
      </c>
      <c r="D3526">
        <v>2009</v>
      </c>
      <c r="E3526" s="5" t="s">
        <v>81</v>
      </c>
      <c r="F3526" s="5" t="s">
        <v>14</v>
      </c>
      <c r="G3526">
        <v>15</v>
      </c>
    </row>
    <row r="3527" spans="1:7" x14ac:dyDescent="0.35">
      <c r="A3527">
        <v>150060</v>
      </c>
      <c r="B3527">
        <v>2</v>
      </c>
      <c r="C3527" s="5" t="s">
        <v>21</v>
      </c>
      <c r="D3527">
        <v>0</v>
      </c>
      <c r="E3527" s="5" t="s">
        <v>85</v>
      </c>
      <c r="F3527" s="5" t="s">
        <v>17</v>
      </c>
      <c r="G3527">
        <v>20</v>
      </c>
    </row>
    <row r="3528" spans="1:7" x14ac:dyDescent="0.35">
      <c r="A3528">
        <v>6851</v>
      </c>
      <c r="B3528">
        <v>0</v>
      </c>
      <c r="C3528" s="5" t="s">
        <v>21</v>
      </c>
      <c r="D3528">
        <v>3104</v>
      </c>
      <c r="E3528" s="5" t="s">
        <v>79</v>
      </c>
      <c r="F3528" s="5" t="s">
        <v>86</v>
      </c>
      <c r="G3528">
        <v>7</v>
      </c>
    </row>
    <row r="3529" spans="1:7" x14ac:dyDescent="0.35">
      <c r="A3529">
        <v>152094</v>
      </c>
      <c r="B3529">
        <v>0</v>
      </c>
      <c r="C3529" s="5" t="s">
        <v>21</v>
      </c>
      <c r="D3529">
        <v>5201</v>
      </c>
      <c r="E3529" s="5" t="s">
        <v>80</v>
      </c>
      <c r="F3529" s="5" t="s">
        <v>17</v>
      </c>
      <c r="G3529">
        <v>10</v>
      </c>
    </row>
    <row r="3530" spans="1:7" x14ac:dyDescent="0.35">
      <c r="A3530">
        <v>154892</v>
      </c>
      <c r="B3530">
        <v>0</v>
      </c>
      <c r="C3530" s="5" t="s">
        <v>21</v>
      </c>
      <c r="D3530">
        <v>3801</v>
      </c>
      <c r="E3530" s="5" t="s">
        <v>87</v>
      </c>
      <c r="F3530" s="5" t="s">
        <v>17</v>
      </c>
      <c r="G3530">
        <v>9</v>
      </c>
    </row>
    <row r="3531" spans="1:7" x14ac:dyDescent="0.35">
      <c r="A3531">
        <v>186204</v>
      </c>
      <c r="B3531">
        <v>1</v>
      </c>
      <c r="C3531" s="5" t="s">
        <v>51</v>
      </c>
      <c r="D3531">
        <v>4201</v>
      </c>
      <c r="E3531" s="5" t="s">
        <v>86</v>
      </c>
      <c r="F3531" s="5" t="s">
        <v>14</v>
      </c>
      <c r="G3531">
        <v>5</v>
      </c>
    </row>
    <row r="3532" spans="1:7" x14ac:dyDescent="0.35">
      <c r="A3532">
        <v>47860</v>
      </c>
      <c r="B3532">
        <v>1</v>
      </c>
      <c r="C3532" s="5" t="s">
        <v>40</v>
      </c>
      <c r="D3532">
        <v>3301</v>
      </c>
      <c r="E3532" s="5" t="s">
        <v>79</v>
      </c>
      <c r="F3532" s="5" t="s">
        <v>14</v>
      </c>
      <c r="G3532">
        <v>7</v>
      </c>
    </row>
    <row r="3533" spans="1:7" x14ac:dyDescent="0.35">
      <c r="A3533">
        <v>120574</v>
      </c>
      <c r="B3533">
        <v>1</v>
      </c>
      <c r="C3533" s="5" t="s">
        <v>20</v>
      </c>
      <c r="D3533">
        <v>7101</v>
      </c>
      <c r="E3533" s="5" t="s">
        <v>78</v>
      </c>
      <c r="F3533" s="5" t="s">
        <v>14</v>
      </c>
      <c r="G3533">
        <v>17</v>
      </c>
    </row>
    <row r="3534" spans="1:7" x14ac:dyDescent="0.35">
      <c r="A3534">
        <v>65746</v>
      </c>
      <c r="B3534">
        <v>1</v>
      </c>
      <c r="C3534" s="5" t="s">
        <v>26</v>
      </c>
      <c r="D3534">
        <v>6511</v>
      </c>
      <c r="E3534" s="5" t="s">
        <v>80</v>
      </c>
      <c r="F3534" s="5" t="s">
        <v>14</v>
      </c>
      <c r="G3534">
        <v>20</v>
      </c>
    </row>
    <row r="3535" spans="1:7" x14ac:dyDescent="0.35">
      <c r="A3535">
        <v>172167</v>
      </c>
      <c r="B3535">
        <v>0</v>
      </c>
      <c r="C3535" s="5" t="s">
        <v>21</v>
      </c>
      <c r="D3535">
        <v>3901</v>
      </c>
      <c r="E3535" s="5" t="s">
        <v>88</v>
      </c>
      <c r="F3535" s="5" t="s">
        <v>17</v>
      </c>
      <c r="G3535">
        <v>20</v>
      </c>
    </row>
    <row r="3536" spans="1:7" x14ac:dyDescent="0.35">
      <c r="A3536">
        <v>91580</v>
      </c>
      <c r="B3536">
        <v>0</v>
      </c>
      <c r="C3536" s="5" t="s">
        <v>16</v>
      </c>
      <c r="D3536">
        <v>0</v>
      </c>
      <c r="E3536" s="5" t="s">
        <v>80</v>
      </c>
      <c r="F3536" s="5" t="s">
        <v>17</v>
      </c>
      <c r="G3536">
        <v>4</v>
      </c>
    </row>
    <row r="3537" spans="1:7" x14ac:dyDescent="0.35">
      <c r="A3537">
        <v>97015</v>
      </c>
      <c r="B3537">
        <v>28</v>
      </c>
      <c r="C3537" s="5" t="s">
        <v>20</v>
      </c>
      <c r="D3537">
        <v>5801</v>
      </c>
      <c r="E3537" s="5" t="s">
        <v>82</v>
      </c>
      <c r="F3537" s="5" t="s">
        <v>17</v>
      </c>
      <c r="G3537">
        <v>4</v>
      </c>
    </row>
    <row r="3538" spans="1:7" x14ac:dyDescent="0.35">
      <c r="A3538">
        <v>171383</v>
      </c>
      <c r="B3538">
        <v>1002</v>
      </c>
      <c r="C3538" s="5" t="s">
        <v>21</v>
      </c>
      <c r="D3538">
        <v>3101</v>
      </c>
      <c r="E3538" s="5" t="s">
        <v>82</v>
      </c>
      <c r="F3538" s="5" t="s">
        <v>14</v>
      </c>
      <c r="G3538">
        <v>7</v>
      </c>
    </row>
    <row r="3539" spans="1:7" x14ac:dyDescent="0.35">
      <c r="A3539">
        <v>52161</v>
      </c>
      <c r="B3539">
        <v>0</v>
      </c>
      <c r="C3539" s="5" t="s">
        <v>49</v>
      </c>
      <c r="D3539">
        <v>3001</v>
      </c>
      <c r="E3539" s="5" t="s">
        <v>89</v>
      </c>
      <c r="F3539" s="5" t="s">
        <v>17</v>
      </c>
      <c r="G3539">
        <v>5</v>
      </c>
    </row>
    <row r="3540" spans="1:7" x14ac:dyDescent="0.35">
      <c r="A3540">
        <v>153301</v>
      </c>
      <c r="B3540">
        <v>1</v>
      </c>
      <c r="C3540" s="5" t="s">
        <v>21</v>
      </c>
      <c r="D3540">
        <v>0</v>
      </c>
      <c r="E3540" s="5" t="s">
        <v>91</v>
      </c>
      <c r="F3540" s="5" t="s">
        <v>14</v>
      </c>
      <c r="G3540">
        <v>15</v>
      </c>
    </row>
    <row r="3541" spans="1:7" x14ac:dyDescent="0.35">
      <c r="A3541">
        <v>51520</v>
      </c>
      <c r="B3541">
        <v>0</v>
      </c>
      <c r="C3541" s="5" t="s">
        <v>49</v>
      </c>
      <c r="D3541">
        <v>0</v>
      </c>
      <c r="E3541" s="5" t="s">
        <v>78</v>
      </c>
      <c r="F3541" s="5" t="s">
        <v>27</v>
      </c>
      <c r="G3541">
        <v>10</v>
      </c>
    </row>
    <row r="3542" spans="1:7" x14ac:dyDescent="0.35">
      <c r="A3542">
        <v>187755</v>
      </c>
      <c r="B3542">
        <v>1</v>
      </c>
      <c r="C3542" s="5" t="s">
        <v>16</v>
      </c>
      <c r="D3542">
        <v>0</v>
      </c>
      <c r="E3542" s="5" t="s">
        <v>83</v>
      </c>
      <c r="F3542" s="5" t="s">
        <v>14</v>
      </c>
      <c r="G3542">
        <v>10</v>
      </c>
    </row>
    <row r="3543" spans="1:7" x14ac:dyDescent="0.35">
      <c r="A3543">
        <v>189943</v>
      </c>
      <c r="B3543">
        <v>1</v>
      </c>
      <c r="C3543" s="5" t="s">
        <v>13</v>
      </c>
      <c r="D3543">
        <v>1601</v>
      </c>
      <c r="E3543" s="5" t="s">
        <v>86</v>
      </c>
      <c r="F3543" s="5" t="s">
        <v>14</v>
      </c>
      <c r="G3543">
        <v>200</v>
      </c>
    </row>
    <row r="3544" spans="1:7" x14ac:dyDescent="0.35">
      <c r="A3544">
        <v>182895</v>
      </c>
      <c r="B3544">
        <v>2</v>
      </c>
      <c r="C3544" s="5" t="s">
        <v>37</v>
      </c>
      <c r="D3544">
        <v>2304</v>
      </c>
      <c r="E3544" s="5" t="s">
        <v>78</v>
      </c>
      <c r="F3544" s="5" t="s">
        <v>86</v>
      </c>
      <c r="G3544">
        <v>10</v>
      </c>
    </row>
    <row r="3545" spans="1:7" x14ac:dyDescent="0.35">
      <c r="A3545">
        <v>135230</v>
      </c>
      <c r="B3545">
        <v>0</v>
      </c>
      <c r="C3545" s="5" t="s">
        <v>51</v>
      </c>
      <c r="D3545">
        <v>2602</v>
      </c>
      <c r="E3545" s="5" t="s">
        <v>83</v>
      </c>
      <c r="F3545" s="5" t="s">
        <v>17</v>
      </c>
      <c r="G3545">
        <v>12</v>
      </c>
    </row>
    <row r="3546" spans="1:7" x14ac:dyDescent="0.35">
      <c r="A3546">
        <v>111081</v>
      </c>
      <c r="B3546">
        <v>0</v>
      </c>
      <c r="C3546" s="5" t="s">
        <v>51</v>
      </c>
      <c r="D3546">
        <v>2801</v>
      </c>
      <c r="E3546" s="5" t="s">
        <v>78</v>
      </c>
      <c r="F3546" s="5" t="s">
        <v>17</v>
      </c>
      <c r="G3546">
        <v>9</v>
      </c>
    </row>
    <row r="3547" spans="1:7" x14ac:dyDescent="0.35">
      <c r="A3547">
        <v>34632</v>
      </c>
      <c r="B3547">
        <v>0</v>
      </c>
      <c r="C3547" s="5" t="s">
        <v>13</v>
      </c>
      <c r="D3547">
        <v>3501</v>
      </c>
      <c r="E3547" s="5" t="s">
        <v>83</v>
      </c>
      <c r="F3547" s="5" t="s">
        <v>17</v>
      </c>
      <c r="G3547">
        <v>15</v>
      </c>
    </row>
    <row r="3548" spans="1:7" x14ac:dyDescent="0.35">
      <c r="A3548">
        <v>56697</v>
      </c>
      <c r="B3548">
        <v>2</v>
      </c>
      <c r="C3548" s="5" t="s">
        <v>53</v>
      </c>
      <c r="D3548">
        <v>4601</v>
      </c>
      <c r="E3548" s="5" t="s">
        <v>88</v>
      </c>
      <c r="F3548" s="5" t="s">
        <v>17</v>
      </c>
      <c r="G3548">
        <v>10</v>
      </c>
    </row>
    <row r="3549" spans="1:7" x14ac:dyDescent="0.35">
      <c r="A3549">
        <v>78116</v>
      </c>
      <c r="B3549">
        <v>0</v>
      </c>
      <c r="C3549" s="5" t="s">
        <v>32</v>
      </c>
      <c r="D3549">
        <v>0</v>
      </c>
      <c r="E3549" s="5" t="s">
        <v>90</v>
      </c>
      <c r="F3549" s="5" t="s">
        <v>17</v>
      </c>
      <c r="G3549">
        <v>10</v>
      </c>
    </row>
    <row r="3550" spans="1:7" x14ac:dyDescent="0.35">
      <c r="A3550">
        <v>110847</v>
      </c>
      <c r="B3550">
        <v>1002</v>
      </c>
      <c r="C3550" s="5" t="s">
        <v>29</v>
      </c>
      <c r="D3550">
        <v>0</v>
      </c>
      <c r="E3550" s="5" t="s">
        <v>81</v>
      </c>
      <c r="F3550" s="5" t="s">
        <v>14</v>
      </c>
      <c r="G3550">
        <v>5</v>
      </c>
    </row>
    <row r="3551" spans="1:7" x14ac:dyDescent="0.35">
      <c r="A3551">
        <v>152149</v>
      </c>
      <c r="B3551">
        <v>1</v>
      </c>
      <c r="C3551" s="5" t="s">
        <v>21</v>
      </c>
      <c r="D3551">
        <v>3801</v>
      </c>
      <c r="E3551" s="5" t="s">
        <v>80</v>
      </c>
      <c r="F3551" s="5" t="s">
        <v>14</v>
      </c>
      <c r="G3551">
        <v>10</v>
      </c>
    </row>
    <row r="3552" spans="1:7" x14ac:dyDescent="0.35">
      <c r="A3552">
        <v>169489</v>
      </c>
      <c r="B3552">
        <v>0</v>
      </c>
      <c r="C3552" s="5" t="s">
        <v>21</v>
      </c>
      <c r="D3552">
        <v>4001</v>
      </c>
      <c r="E3552" s="5" t="s">
        <v>79</v>
      </c>
      <c r="F3552" s="5" t="s">
        <v>17</v>
      </c>
      <c r="G3552">
        <v>8</v>
      </c>
    </row>
    <row r="3553" spans="1:7" x14ac:dyDescent="0.35">
      <c r="A3553">
        <v>116063</v>
      </c>
      <c r="B3553">
        <v>0</v>
      </c>
      <c r="C3553" s="5" t="s">
        <v>20</v>
      </c>
      <c r="D3553">
        <v>3001</v>
      </c>
      <c r="E3553" s="5" t="s">
        <v>78</v>
      </c>
      <c r="F3553" s="5" t="s">
        <v>17</v>
      </c>
      <c r="G3553">
        <v>5</v>
      </c>
    </row>
    <row r="3554" spans="1:7" x14ac:dyDescent="0.35">
      <c r="A3554">
        <v>81241</v>
      </c>
      <c r="B3554">
        <v>1</v>
      </c>
      <c r="C3554" s="5" t="s">
        <v>32</v>
      </c>
      <c r="D3554">
        <v>4507</v>
      </c>
      <c r="E3554" s="5" t="s">
        <v>81</v>
      </c>
      <c r="F3554" s="5" t="s">
        <v>14</v>
      </c>
      <c r="G3554">
        <v>20</v>
      </c>
    </row>
    <row r="3555" spans="1:7" x14ac:dyDescent="0.35">
      <c r="A3555">
        <v>5642</v>
      </c>
      <c r="B3555">
        <v>0</v>
      </c>
      <c r="C3555" s="5" t="s">
        <v>16</v>
      </c>
      <c r="D3555">
        <v>0</v>
      </c>
      <c r="E3555" s="5" t="s">
        <v>93</v>
      </c>
      <c r="F3555" s="5" t="s">
        <v>17</v>
      </c>
      <c r="G3555">
        <v>48</v>
      </c>
    </row>
    <row r="3556" spans="1:7" x14ac:dyDescent="0.35">
      <c r="A3556">
        <v>70493</v>
      </c>
      <c r="B3556">
        <v>0</v>
      </c>
      <c r="C3556" s="5" t="s">
        <v>26</v>
      </c>
      <c r="D3556">
        <v>1008</v>
      </c>
      <c r="E3556" s="5" t="s">
        <v>89</v>
      </c>
      <c r="F3556" s="5" t="s">
        <v>14</v>
      </c>
      <c r="G3556">
        <v>25</v>
      </c>
    </row>
    <row r="3557" spans="1:7" x14ac:dyDescent="0.35">
      <c r="A3557">
        <v>147175</v>
      </c>
      <c r="B3557">
        <v>0</v>
      </c>
      <c r="C3557" s="5" t="s">
        <v>21</v>
      </c>
      <c r="D3557">
        <v>0</v>
      </c>
      <c r="E3557" s="5" t="s">
        <v>92</v>
      </c>
      <c r="F3557" s="5" t="s">
        <v>14</v>
      </c>
      <c r="G3557">
        <v>7</v>
      </c>
    </row>
    <row r="3558" spans="1:7" x14ac:dyDescent="0.35">
      <c r="A3558">
        <v>145823</v>
      </c>
      <c r="B3558">
        <v>28</v>
      </c>
      <c r="C3558" s="5" t="s">
        <v>21</v>
      </c>
      <c r="D3558">
        <v>0</v>
      </c>
      <c r="E3558" s="5" t="s">
        <v>85</v>
      </c>
      <c r="F3558" s="5" t="s">
        <v>17</v>
      </c>
      <c r="G3558">
        <v>50</v>
      </c>
    </row>
    <row r="3559" spans="1:7" x14ac:dyDescent="0.35">
      <c r="A3559">
        <v>76655</v>
      </c>
      <c r="B3559">
        <v>28</v>
      </c>
      <c r="C3559" s="5" t="s">
        <v>44</v>
      </c>
      <c r="D3559">
        <v>4309</v>
      </c>
      <c r="E3559" s="5" t="s">
        <v>78</v>
      </c>
      <c r="F3559" s="5" t="s">
        <v>17</v>
      </c>
      <c r="G3559">
        <v>10</v>
      </c>
    </row>
    <row r="3560" spans="1:7" x14ac:dyDescent="0.35">
      <c r="A3560">
        <v>167538</v>
      </c>
      <c r="B3560">
        <v>0</v>
      </c>
      <c r="C3560" s="5" t="s">
        <v>23</v>
      </c>
      <c r="D3560">
        <v>3201</v>
      </c>
      <c r="E3560" s="5" t="s">
        <v>93</v>
      </c>
      <c r="F3560" s="5" t="s">
        <v>17</v>
      </c>
      <c r="G3560">
        <v>15</v>
      </c>
    </row>
    <row r="3561" spans="1:7" x14ac:dyDescent="0.35">
      <c r="A3561">
        <v>108976</v>
      </c>
      <c r="B3561">
        <v>1</v>
      </c>
      <c r="C3561" s="5" t="s">
        <v>46</v>
      </c>
      <c r="D3561">
        <v>3801</v>
      </c>
      <c r="E3561" s="5" t="s">
        <v>86</v>
      </c>
      <c r="F3561" s="5" t="s">
        <v>14</v>
      </c>
      <c r="G3561">
        <v>25</v>
      </c>
    </row>
    <row r="3562" spans="1:7" x14ac:dyDescent="0.35">
      <c r="A3562">
        <v>79022</v>
      </c>
      <c r="B3562">
        <v>1</v>
      </c>
      <c r="C3562" s="5" t="s">
        <v>32</v>
      </c>
      <c r="D3562">
        <v>5001</v>
      </c>
      <c r="E3562" s="5" t="s">
        <v>91</v>
      </c>
      <c r="F3562" s="5" t="s">
        <v>14</v>
      </c>
      <c r="G3562">
        <v>9</v>
      </c>
    </row>
    <row r="3563" spans="1:7" x14ac:dyDescent="0.35">
      <c r="A3563">
        <v>118097</v>
      </c>
      <c r="B3563">
        <v>0</v>
      </c>
      <c r="C3563" s="5" t="s">
        <v>20</v>
      </c>
      <c r="D3563">
        <v>5701</v>
      </c>
      <c r="E3563" s="5" t="s">
        <v>81</v>
      </c>
      <c r="F3563" s="5" t="s">
        <v>17</v>
      </c>
      <c r="G3563">
        <v>5</v>
      </c>
    </row>
    <row r="3564" spans="1:7" x14ac:dyDescent="0.35">
      <c r="A3564">
        <v>58566</v>
      </c>
      <c r="B3564">
        <v>0</v>
      </c>
      <c r="C3564" s="5" t="s">
        <v>53</v>
      </c>
      <c r="D3564">
        <v>2301</v>
      </c>
      <c r="E3564" s="5" t="s">
        <v>79</v>
      </c>
      <c r="F3564" s="5" t="s">
        <v>14</v>
      </c>
      <c r="G3564">
        <v>16</v>
      </c>
    </row>
    <row r="3565" spans="1:7" x14ac:dyDescent="0.35">
      <c r="A3565">
        <v>167784</v>
      </c>
      <c r="B3565">
        <v>28</v>
      </c>
      <c r="C3565" s="5" t="s">
        <v>21</v>
      </c>
      <c r="D3565">
        <v>1801</v>
      </c>
      <c r="E3565" s="5" t="s">
        <v>80</v>
      </c>
      <c r="F3565" s="5" t="s">
        <v>17</v>
      </c>
      <c r="G3565">
        <v>15</v>
      </c>
    </row>
    <row r="3566" spans="1:7" x14ac:dyDescent="0.35">
      <c r="A3566">
        <v>37202</v>
      </c>
      <c r="B3566">
        <v>0</v>
      </c>
      <c r="C3566" s="5" t="s">
        <v>13</v>
      </c>
      <c r="D3566">
        <v>1201</v>
      </c>
      <c r="E3566" s="5" t="s">
        <v>80</v>
      </c>
      <c r="F3566" s="5" t="s">
        <v>17</v>
      </c>
      <c r="G3566">
        <v>25</v>
      </c>
    </row>
    <row r="3567" spans="1:7" x14ac:dyDescent="0.35">
      <c r="A3567">
        <v>5510</v>
      </c>
      <c r="B3567">
        <v>0</v>
      </c>
      <c r="C3567" s="5" t="s">
        <v>37</v>
      </c>
      <c r="D3567">
        <v>1209</v>
      </c>
      <c r="E3567" s="5" t="s">
        <v>86</v>
      </c>
      <c r="F3567" s="5" t="s">
        <v>17</v>
      </c>
      <c r="G3567">
        <v>20</v>
      </c>
    </row>
    <row r="3568" spans="1:7" x14ac:dyDescent="0.35">
      <c r="A3568">
        <v>16771</v>
      </c>
      <c r="B3568">
        <v>2</v>
      </c>
      <c r="C3568" s="5" t="s">
        <v>18</v>
      </c>
      <c r="D3568">
        <v>201</v>
      </c>
      <c r="E3568" s="5" t="s">
        <v>84</v>
      </c>
      <c r="F3568" s="5" t="s">
        <v>17</v>
      </c>
      <c r="G3568">
        <v>5</v>
      </c>
    </row>
    <row r="3569" spans="1:7" x14ac:dyDescent="0.35">
      <c r="A3569">
        <v>69997</v>
      </c>
      <c r="B3569">
        <v>0</v>
      </c>
      <c r="C3569" s="5" t="s">
        <v>26</v>
      </c>
      <c r="D3569">
        <v>0</v>
      </c>
      <c r="E3569" s="5" t="s">
        <v>79</v>
      </c>
      <c r="F3569" s="5" t="s">
        <v>14</v>
      </c>
      <c r="G3569">
        <v>26</v>
      </c>
    </row>
    <row r="3570" spans="1:7" x14ac:dyDescent="0.35">
      <c r="A3570">
        <v>190558</v>
      </c>
      <c r="B3570">
        <v>0</v>
      </c>
      <c r="C3570" s="5" t="s">
        <v>34</v>
      </c>
      <c r="D3570">
        <v>1601</v>
      </c>
      <c r="E3570" s="5" t="s">
        <v>85</v>
      </c>
      <c r="F3570" s="5" t="s">
        <v>14</v>
      </c>
      <c r="G3570">
        <v>10</v>
      </c>
    </row>
    <row r="3571" spans="1:7" x14ac:dyDescent="0.35">
      <c r="A3571">
        <v>34608</v>
      </c>
      <c r="B3571">
        <v>1</v>
      </c>
      <c r="C3571" s="5" t="s">
        <v>13</v>
      </c>
      <c r="D3571">
        <v>4210</v>
      </c>
      <c r="E3571" s="5" t="s">
        <v>83</v>
      </c>
      <c r="F3571" s="5" t="s">
        <v>14</v>
      </c>
      <c r="G3571">
        <v>12</v>
      </c>
    </row>
    <row r="3572" spans="1:7" x14ac:dyDescent="0.35">
      <c r="A3572">
        <v>171357</v>
      </c>
      <c r="B3572">
        <v>0</v>
      </c>
      <c r="C3572" s="5" t="s">
        <v>21</v>
      </c>
      <c r="D3572">
        <v>0</v>
      </c>
      <c r="E3572" s="5" t="s">
        <v>84</v>
      </c>
      <c r="F3572" s="5" t="s">
        <v>17</v>
      </c>
      <c r="G3572">
        <v>25</v>
      </c>
    </row>
    <row r="3573" spans="1:7" x14ac:dyDescent="0.35">
      <c r="A3573">
        <v>190040</v>
      </c>
      <c r="B3573">
        <v>1</v>
      </c>
      <c r="C3573" s="5" t="s">
        <v>18</v>
      </c>
      <c r="D3573">
        <v>0</v>
      </c>
      <c r="E3573" s="5" t="s">
        <v>82</v>
      </c>
      <c r="F3573" s="5" t="s">
        <v>14</v>
      </c>
      <c r="G3573">
        <v>12</v>
      </c>
    </row>
    <row r="3574" spans="1:7" x14ac:dyDescent="0.35">
      <c r="A3574">
        <v>149956</v>
      </c>
      <c r="B3574">
        <v>0</v>
      </c>
      <c r="C3574" s="5" t="s">
        <v>21</v>
      </c>
      <c r="D3574">
        <v>5001</v>
      </c>
      <c r="E3574" s="5" t="s">
        <v>91</v>
      </c>
      <c r="F3574" s="5" t="s">
        <v>17</v>
      </c>
      <c r="G3574">
        <v>15</v>
      </c>
    </row>
    <row r="3575" spans="1:7" x14ac:dyDescent="0.35">
      <c r="A3575">
        <v>37861</v>
      </c>
      <c r="B3575">
        <v>1</v>
      </c>
      <c r="C3575" s="5" t="s">
        <v>13</v>
      </c>
      <c r="D3575">
        <v>2808</v>
      </c>
      <c r="E3575" s="5" t="s">
        <v>93</v>
      </c>
      <c r="F3575" s="5" t="s">
        <v>14</v>
      </c>
      <c r="G3575">
        <v>15</v>
      </c>
    </row>
    <row r="3576" spans="1:7" x14ac:dyDescent="0.35">
      <c r="A3576">
        <v>168644</v>
      </c>
      <c r="B3576">
        <v>1002</v>
      </c>
      <c r="C3576" s="5" t="s">
        <v>21</v>
      </c>
      <c r="D3576">
        <v>0</v>
      </c>
      <c r="E3576" s="5" t="s">
        <v>83</v>
      </c>
      <c r="F3576" s="5" t="s">
        <v>41</v>
      </c>
      <c r="G3576">
        <v>9</v>
      </c>
    </row>
    <row r="3577" spans="1:7" x14ac:dyDescent="0.35">
      <c r="A3577">
        <v>18534</v>
      </c>
      <c r="B3577">
        <v>28</v>
      </c>
      <c r="C3577" s="5" t="s">
        <v>18</v>
      </c>
      <c r="D3577">
        <v>5101</v>
      </c>
      <c r="E3577" s="5" t="s">
        <v>79</v>
      </c>
      <c r="F3577" s="5" t="s">
        <v>17</v>
      </c>
      <c r="G3577">
        <v>15</v>
      </c>
    </row>
    <row r="3578" spans="1:7" x14ac:dyDescent="0.35">
      <c r="A3578">
        <v>166106</v>
      </c>
      <c r="B3578">
        <v>0</v>
      </c>
      <c r="C3578" s="5" t="s">
        <v>21</v>
      </c>
      <c r="D3578">
        <v>6301</v>
      </c>
      <c r="E3578" s="5" t="s">
        <v>85</v>
      </c>
      <c r="F3578" s="5" t="s">
        <v>17</v>
      </c>
      <c r="G3578">
        <v>10</v>
      </c>
    </row>
    <row r="3579" spans="1:7" x14ac:dyDescent="0.35">
      <c r="A3579">
        <v>96960</v>
      </c>
      <c r="B3579">
        <v>1002</v>
      </c>
      <c r="C3579" s="5" t="s">
        <v>16</v>
      </c>
      <c r="D3579">
        <v>4001</v>
      </c>
      <c r="E3579" s="5" t="s">
        <v>81</v>
      </c>
      <c r="F3579" s="5" t="s">
        <v>14</v>
      </c>
      <c r="G3579">
        <v>8</v>
      </c>
    </row>
    <row r="3580" spans="1:7" x14ac:dyDescent="0.35">
      <c r="A3580">
        <v>92972</v>
      </c>
      <c r="B3580">
        <v>2</v>
      </c>
      <c r="C3580" s="5" t="s">
        <v>16</v>
      </c>
      <c r="D3580">
        <v>0</v>
      </c>
      <c r="E3580" s="5" t="s">
        <v>85</v>
      </c>
      <c r="F3580" s="5" t="s">
        <v>17</v>
      </c>
      <c r="G3580">
        <v>30</v>
      </c>
    </row>
    <row r="3581" spans="1:7" x14ac:dyDescent="0.35">
      <c r="A3581">
        <v>115341</v>
      </c>
      <c r="B3581">
        <v>2</v>
      </c>
      <c r="C3581" s="5" t="s">
        <v>28</v>
      </c>
      <c r="D3581">
        <v>2801</v>
      </c>
      <c r="E3581" s="5" t="s">
        <v>89</v>
      </c>
      <c r="F3581" s="5" t="s">
        <v>17</v>
      </c>
      <c r="G3581">
        <v>20</v>
      </c>
    </row>
    <row r="3582" spans="1:7" x14ac:dyDescent="0.35">
      <c r="A3582">
        <v>63216</v>
      </c>
      <c r="B3582">
        <v>1</v>
      </c>
      <c r="C3582" s="5" t="s">
        <v>30</v>
      </c>
      <c r="D3582">
        <v>0</v>
      </c>
      <c r="E3582" s="5" t="s">
        <v>94</v>
      </c>
      <c r="F3582" s="5" t="s">
        <v>14</v>
      </c>
      <c r="G3582">
        <v>5</v>
      </c>
    </row>
    <row r="3583" spans="1:7" x14ac:dyDescent="0.35">
      <c r="A3583">
        <v>87459</v>
      </c>
      <c r="B3583">
        <v>0</v>
      </c>
      <c r="C3583" s="5" t="s">
        <v>31</v>
      </c>
      <c r="D3583">
        <v>0</v>
      </c>
      <c r="E3583" s="5" t="s">
        <v>78</v>
      </c>
      <c r="F3583" s="5" t="s">
        <v>17</v>
      </c>
      <c r="G3583">
        <v>4</v>
      </c>
    </row>
    <row r="3584" spans="1:7" x14ac:dyDescent="0.35">
      <c r="A3584">
        <v>41325</v>
      </c>
      <c r="B3584">
        <v>0</v>
      </c>
      <c r="C3584" s="5" t="s">
        <v>13</v>
      </c>
      <c r="D3584">
        <v>6301</v>
      </c>
      <c r="E3584" s="5" t="s">
        <v>80</v>
      </c>
      <c r="F3584" s="5" t="s">
        <v>17</v>
      </c>
      <c r="G3584">
        <v>12</v>
      </c>
    </row>
    <row r="3585" spans="1:7" x14ac:dyDescent="0.35">
      <c r="A3585">
        <v>187472</v>
      </c>
      <c r="B3585">
        <v>0</v>
      </c>
      <c r="C3585" s="5" t="s">
        <v>16</v>
      </c>
      <c r="D3585">
        <v>0</v>
      </c>
      <c r="E3585" s="5" t="s">
        <v>82</v>
      </c>
      <c r="F3585" s="5" t="s">
        <v>17</v>
      </c>
      <c r="G3585">
        <v>15</v>
      </c>
    </row>
    <row r="3586" spans="1:7" x14ac:dyDescent="0.35">
      <c r="A3586">
        <v>148572</v>
      </c>
      <c r="B3586">
        <v>1</v>
      </c>
      <c r="C3586" s="5" t="s">
        <v>21</v>
      </c>
      <c r="D3586">
        <v>2701</v>
      </c>
      <c r="E3586" s="5" t="s">
        <v>93</v>
      </c>
      <c r="F3586" s="5" t="s">
        <v>14</v>
      </c>
      <c r="G3586">
        <v>5</v>
      </c>
    </row>
    <row r="3587" spans="1:7" x14ac:dyDescent="0.35">
      <c r="A3587">
        <v>137256</v>
      </c>
      <c r="B3587">
        <v>2</v>
      </c>
      <c r="C3587" s="5" t="s">
        <v>51</v>
      </c>
      <c r="D3587">
        <v>1309</v>
      </c>
      <c r="E3587" s="5" t="s">
        <v>87</v>
      </c>
      <c r="F3587" s="5" t="s">
        <v>17</v>
      </c>
      <c r="G3587">
        <v>25</v>
      </c>
    </row>
    <row r="3588" spans="1:7" x14ac:dyDescent="0.35">
      <c r="A3588">
        <v>175731</v>
      </c>
      <c r="B3588">
        <v>0</v>
      </c>
      <c r="C3588" s="5" t="s">
        <v>47</v>
      </c>
      <c r="D3588">
        <v>1709</v>
      </c>
      <c r="E3588" s="5" t="s">
        <v>80</v>
      </c>
      <c r="F3588" s="5" t="s">
        <v>14</v>
      </c>
      <c r="G3588">
        <v>10</v>
      </c>
    </row>
    <row r="3589" spans="1:7" x14ac:dyDescent="0.35">
      <c r="A3589">
        <v>94757</v>
      </c>
      <c r="B3589">
        <v>0</v>
      </c>
      <c r="C3589" s="5" t="s">
        <v>16</v>
      </c>
      <c r="D3589">
        <v>4603</v>
      </c>
      <c r="E3589" s="5" t="s">
        <v>80</v>
      </c>
      <c r="F3589" s="5" t="s">
        <v>14</v>
      </c>
      <c r="G3589">
        <v>12</v>
      </c>
    </row>
    <row r="3590" spans="1:7" x14ac:dyDescent="0.35">
      <c r="A3590">
        <v>136130</v>
      </c>
      <c r="B3590">
        <v>0</v>
      </c>
      <c r="C3590" s="5" t="s">
        <v>51</v>
      </c>
      <c r="D3590">
        <v>0</v>
      </c>
      <c r="E3590" s="5" t="s">
        <v>81</v>
      </c>
      <c r="F3590" s="5" t="s">
        <v>17</v>
      </c>
      <c r="G3590">
        <v>10</v>
      </c>
    </row>
    <row r="3591" spans="1:7" x14ac:dyDescent="0.35">
      <c r="A3591">
        <v>56816</v>
      </c>
      <c r="B3591">
        <v>2</v>
      </c>
      <c r="C3591" s="5" t="s">
        <v>53</v>
      </c>
      <c r="D3591">
        <v>2002</v>
      </c>
      <c r="E3591" s="5" t="s">
        <v>83</v>
      </c>
      <c r="F3591" s="5" t="s">
        <v>17</v>
      </c>
      <c r="G3591">
        <v>10</v>
      </c>
    </row>
    <row r="3592" spans="1:7" x14ac:dyDescent="0.35">
      <c r="A3592">
        <v>148840</v>
      </c>
      <c r="B3592">
        <v>0</v>
      </c>
      <c r="C3592" s="5" t="s">
        <v>21</v>
      </c>
      <c r="D3592">
        <v>201</v>
      </c>
      <c r="E3592" s="5" t="s">
        <v>85</v>
      </c>
      <c r="F3592" s="5" t="s">
        <v>17</v>
      </c>
      <c r="G3592">
        <v>11</v>
      </c>
    </row>
    <row r="3593" spans="1:7" x14ac:dyDescent="0.35">
      <c r="A3593">
        <v>79478</v>
      </c>
      <c r="B3593">
        <v>1</v>
      </c>
      <c r="C3593" s="5" t="s">
        <v>32</v>
      </c>
      <c r="D3593">
        <v>2101</v>
      </c>
      <c r="E3593" s="5" t="s">
        <v>79</v>
      </c>
      <c r="F3593" s="5" t="s">
        <v>14</v>
      </c>
      <c r="G3593">
        <v>25</v>
      </c>
    </row>
    <row r="3594" spans="1:7" x14ac:dyDescent="0.35">
      <c r="A3594">
        <v>116008</v>
      </c>
      <c r="B3594">
        <v>0</v>
      </c>
      <c r="C3594" s="5" t="s">
        <v>20</v>
      </c>
      <c r="D3594">
        <v>3401</v>
      </c>
      <c r="E3594" s="5" t="s">
        <v>84</v>
      </c>
      <c r="F3594" s="5" t="s">
        <v>17</v>
      </c>
      <c r="G3594">
        <v>5</v>
      </c>
    </row>
    <row r="3595" spans="1:7" x14ac:dyDescent="0.35">
      <c r="A3595">
        <v>150061</v>
      </c>
      <c r="B3595">
        <v>28</v>
      </c>
      <c r="C3595" s="5" t="s">
        <v>21</v>
      </c>
      <c r="D3595">
        <v>5801</v>
      </c>
      <c r="E3595" s="5" t="s">
        <v>83</v>
      </c>
      <c r="F3595" s="5" t="s">
        <v>17</v>
      </c>
      <c r="G3595">
        <v>25</v>
      </c>
    </row>
    <row r="3596" spans="1:7" x14ac:dyDescent="0.35">
      <c r="A3596">
        <v>6789</v>
      </c>
      <c r="B3596">
        <v>1</v>
      </c>
      <c r="C3596" s="5" t="s">
        <v>64</v>
      </c>
      <c r="D3596">
        <v>1703</v>
      </c>
      <c r="E3596" s="5" t="s">
        <v>89</v>
      </c>
      <c r="F3596" s="5" t="s">
        <v>14</v>
      </c>
      <c r="G3596">
        <v>10</v>
      </c>
    </row>
    <row r="3597" spans="1:7" x14ac:dyDescent="0.35">
      <c r="A3597">
        <v>13196</v>
      </c>
      <c r="B3597">
        <v>28</v>
      </c>
      <c r="C3597" s="5" t="s">
        <v>21</v>
      </c>
      <c r="D3597">
        <v>201</v>
      </c>
      <c r="E3597" s="5" t="s">
        <v>83</v>
      </c>
      <c r="F3597" s="5" t="s">
        <v>17</v>
      </c>
      <c r="G3597">
        <v>10</v>
      </c>
    </row>
    <row r="3598" spans="1:7" x14ac:dyDescent="0.35">
      <c r="A3598">
        <v>26169</v>
      </c>
      <c r="B3598">
        <v>28</v>
      </c>
      <c r="C3598" s="5" t="s">
        <v>36</v>
      </c>
      <c r="D3598">
        <v>0</v>
      </c>
      <c r="E3598" s="5" t="s">
        <v>84</v>
      </c>
      <c r="F3598" s="5" t="s">
        <v>17</v>
      </c>
      <c r="G3598">
        <v>12</v>
      </c>
    </row>
    <row r="3599" spans="1:7" x14ac:dyDescent="0.35">
      <c r="A3599">
        <v>3691</v>
      </c>
      <c r="B3599">
        <v>0</v>
      </c>
      <c r="C3599" s="5" t="s">
        <v>26</v>
      </c>
      <c r="D3599">
        <v>3301</v>
      </c>
      <c r="E3599" s="5" t="s">
        <v>92</v>
      </c>
      <c r="F3599" s="5" t="s">
        <v>17</v>
      </c>
      <c r="G3599">
        <v>20</v>
      </c>
    </row>
    <row r="3600" spans="1:7" x14ac:dyDescent="0.35">
      <c r="A3600">
        <v>101432</v>
      </c>
      <c r="B3600">
        <v>1</v>
      </c>
      <c r="C3600" s="5" t="s">
        <v>33</v>
      </c>
      <c r="D3600">
        <v>2401</v>
      </c>
      <c r="E3600" s="5" t="s">
        <v>89</v>
      </c>
      <c r="F3600" s="5" t="s">
        <v>14</v>
      </c>
      <c r="G3600">
        <v>8</v>
      </c>
    </row>
    <row r="3601" spans="1:7" x14ac:dyDescent="0.35">
      <c r="A3601">
        <v>176379</v>
      </c>
      <c r="B3601">
        <v>0</v>
      </c>
      <c r="C3601" s="5" t="s">
        <v>47</v>
      </c>
      <c r="D3601">
        <v>2001</v>
      </c>
      <c r="E3601" s="5" t="s">
        <v>78</v>
      </c>
      <c r="F3601" s="5" t="s">
        <v>14</v>
      </c>
      <c r="G3601">
        <v>10</v>
      </c>
    </row>
    <row r="3602" spans="1:7" x14ac:dyDescent="0.35">
      <c r="A3602">
        <v>171854</v>
      </c>
      <c r="B3602">
        <v>2</v>
      </c>
      <c r="C3602" s="5" t="s">
        <v>21</v>
      </c>
      <c r="D3602">
        <v>2409</v>
      </c>
      <c r="E3602" s="5" t="s">
        <v>80</v>
      </c>
      <c r="F3602" s="5" t="s">
        <v>17</v>
      </c>
      <c r="G3602">
        <v>15</v>
      </c>
    </row>
    <row r="3603" spans="1:7" x14ac:dyDescent="0.35">
      <c r="A3603">
        <v>159319</v>
      </c>
      <c r="B3603">
        <v>2</v>
      </c>
      <c r="C3603" s="5" t="s">
        <v>21</v>
      </c>
      <c r="D3603">
        <v>4506</v>
      </c>
      <c r="E3603" s="5" t="s">
        <v>83</v>
      </c>
      <c r="F3603" s="5" t="s">
        <v>14</v>
      </c>
      <c r="G3603">
        <v>20</v>
      </c>
    </row>
    <row r="3604" spans="1:7" x14ac:dyDescent="0.35">
      <c r="A3604">
        <v>171338</v>
      </c>
      <c r="B3604">
        <v>0</v>
      </c>
      <c r="C3604" s="5" t="s">
        <v>21</v>
      </c>
      <c r="D3604">
        <v>4601</v>
      </c>
      <c r="E3604" s="5" t="s">
        <v>84</v>
      </c>
      <c r="F3604" s="5" t="s">
        <v>17</v>
      </c>
      <c r="G3604">
        <v>10</v>
      </c>
    </row>
    <row r="3605" spans="1:7" x14ac:dyDescent="0.35">
      <c r="A3605">
        <v>160773</v>
      </c>
      <c r="B3605">
        <v>1</v>
      </c>
      <c r="C3605" s="5" t="s">
        <v>21</v>
      </c>
      <c r="D3605">
        <v>4001</v>
      </c>
      <c r="E3605" s="5" t="s">
        <v>78</v>
      </c>
      <c r="F3605" s="5" t="s">
        <v>14</v>
      </c>
      <c r="G3605">
        <v>10</v>
      </c>
    </row>
    <row r="3606" spans="1:7" x14ac:dyDescent="0.35">
      <c r="A3606">
        <v>21539</v>
      </c>
      <c r="B3606">
        <v>1</v>
      </c>
      <c r="C3606" s="5" t="s">
        <v>18</v>
      </c>
      <c r="D3606">
        <v>4001</v>
      </c>
      <c r="E3606" s="5" t="s">
        <v>81</v>
      </c>
      <c r="F3606" s="5" t="s">
        <v>14</v>
      </c>
      <c r="G3606">
        <v>3</v>
      </c>
    </row>
    <row r="3607" spans="1:7" x14ac:dyDescent="0.35">
      <c r="A3607">
        <v>125277</v>
      </c>
      <c r="B3607">
        <v>1</v>
      </c>
      <c r="C3607" s="5" t="s">
        <v>20</v>
      </c>
      <c r="D3607">
        <v>3401</v>
      </c>
      <c r="E3607" s="5" t="s">
        <v>83</v>
      </c>
      <c r="F3607" s="5" t="s">
        <v>14</v>
      </c>
      <c r="G3607">
        <v>53</v>
      </c>
    </row>
    <row r="3608" spans="1:7" x14ac:dyDescent="0.35">
      <c r="A3608">
        <v>116329</v>
      </c>
      <c r="B3608">
        <v>0</v>
      </c>
      <c r="C3608" s="5" t="s">
        <v>20</v>
      </c>
      <c r="D3608">
        <v>5508</v>
      </c>
      <c r="E3608" s="5" t="s">
        <v>83</v>
      </c>
      <c r="F3608" s="5" t="s">
        <v>14</v>
      </c>
      <c r="G3608">
        <v>15</v>
      </c>
    </row>
    <row r="3609" spans="1:7" x14ac:dyDescent="0.35">
      <c r="A3609">
        <v>126091</v>
      </c>
      <c r="B3609">
        <v>28</v>
      </c>
      <c r="C3609" s="5" t="s">
        <v>20</v>
      </c>
      <c r="D3609">
        <v>4202</v>
      </c>
      <c r="E3609" s="5" t="s">
        <v>87</v>
      </c>
      <c r="F3609" s="5" t="s">
        <v>17</v>
      </c>
      <c r="G3609">
        <v>6</v>
      </c>
    </row>
    <row r="3610" spans="1:7" x14ac:dyDescent="0.35">
      <c r="A3610">
        <v>22206</v>
      </c>
      <c r="B3610">
        <v>0</v>
      </c>
      <c r="C3610" s="5" t="s">
        <v>18</v>
      </c>
      <c r="D3610">
        <v>3510</v>
      </c>
      <c r="E3610" s="5" t="s">
        <v>86</v>
      </c>
      <c r="F3610" s="5" t="s">
        <v>17</v>
      </c>
      <c r="G3610">
        <v>25</v>
      </c>
    </row>
    <row r="3611" spans="1:7" x14ac:dyDescent="0.35">
      <c r="A3611">
        <v>9537</v>
      </c>
      <c r="B3611">
        <v>0</v>
      </c>
      <c r="C3611" s="5" t="s">
        <v>49</v>
      </c>
      <c r="D3611">
        <v>4301</v>
      </c>
      <c r="E3611" s="5" t="s">
        <v>79</v>
      </c>
      <c r="F3611" s="5" t="s">
        <v>17</v>
      </c>
      <c r="G3611">
        <v>35</v>
      </c>
    </row>
    <row r="3612" spans="1:7" x14ac:dyDescent="0.35">
      <c r="A3612">
        <v>103857</v>
      </c>
      <c r="B3612">
        <v>0</v>
      </c>
      <c r="C3612" s="5" t="s">
        <v>33</v>
      </c>
      <c r="D3612">
        <v>0</v>
      </c>
      <c r="E3612" s="5" t="s">
        <v>89</v>
      </c>
      <c r="F3612" s="5" t="s">
        <v>14</v>
      </c>
      <c r="G3612">
        <v>15</v>
      </c>
    </row>
    <row r="3613" spans="1:7" x14ac:dyDescent="0.35">
      <c r="A3613">
        <v>146940</v>
      </c>
      <c r="B3613">
        <v>2</v>
      </c>
      <c r="C3613" s="5" t="s">
        <v>21</v>
      </c>
      <c r="D3613">
        <v>1001</v>
      </c>
      <c r="E3613" s="5" t="s">
        <v>85</v>
      </c>
      <c r="F3613" s="5" t="s">
        <v>14</v>
      </c>
      <c r="G3613">
        <v>15</v>
      </c>
    </row>
    <row r="3614" spans="1:7" x14ac:dyDescent="0.35">
      <c r="A3614">
        <v>129136</v>
      </c>
      <c r="B3614">
        <v>28</v>
      </c>
      <c r="C3614" s="5" t="s">
        <v>45</v>
      </c>
      <c r="D3614">
        <v>0</v>
      </c>
      <c r="E3614" s="5" t="s">
        <v>87</v>
      </c>
      <c r="F3614" s="5" t="s">
        <v>17</v>
      </c>
      <c r="G3614">
        <v>25</v>
      </c>
    </row>
    <row r="3615" spans="1:7" x14ac:dyDescent="0.35">
      <c r="A3615">
        <v>170649</v>
      </c>
      <c r="B3615">
        <v>0</v>
      </c>
      <c r="C3615" s="5" t="s">
        <v>21</v>
      </c>
      <c r="D3615">
        <v>3301</v>
      </c>
      <c r="E3615" s="5" t="s">
        <v>85</v>
      </c>
      <c r="F3615" s="5" t="s">
        <v>14</v>
      </c>
      <c r="G3615">
        <v>25</v>
      </c>
    </row>
    <row r="3616" spans="1:7" x14ac:dyDescent="0.35">
      <c r="A3616">
        <v>78256</v>
      </c>
      <c r="B3616">
        <v>0</v>
      </c>
      <c r="C3616" s="5" t="s">
        <v>32</v>
      </c>
      <c r="D3616">
        <v>3205</v>
      </c>
      <c r="E3616" s="5" t="s">
        <v>92</v>
      </c>
      <c r="F3616" s="5" t="s">
        <v>17</v>
      </c>
      <c r="G3616">
        <v>11</v>
      </c>
    </row>
    <row r="3617" spans="1:7" x14ac:dyDescent="0.35">
      <c r="A3617">
        <v>160736</v>
      </c>
      <c r="B3617">
        <v>28</v>
      </c>
      <c r="C3617" s="5" t="s">
        <v>21</v>
      </c>
      <c r="D3617">
        <v>3401</v>
      </c>
      <c r="E3617" s="5" t="s">
        <v>94</v>
      </c>
      <c r="F3617" s="5" t="s">
        <v>17</v>
      </c>
      <c r="G3617">
        <v>12</v>
      </c>
    </row>
    <row r="3618" spans="1:7" x14ac:dyDescent="0.35">
      <c r="A3618">
        <v>6198</v>
      </c>
      <c r="B3618">
        <v>2</v>
      </c>
      <c r="C3618" s="5" t="s">
        <v>21</v>
      </c>
      <c r="D3618">
        <v>1102</v>
      </c>
      <c r="E3618" s="5" t="s">
        <v>83</v>
      </c>
      <c r="F3618" s="5" t="s">
        <v>17</v>
      </c>
      <c r="G3618">
        <v>20</v>
      </c>
    </row>
    <row r="3619" spans="1:7" x14ac:dyDescent="0.35">
      <c r="A3619">
        <v>146695</v>
      </c>
      <c r="B3619">
        <v>2</v>
      </c>
      <c r="C3619" s="5" t="s">
        <v>21</v>
      </c>
      <c r="D3619">
        <v>5501</v>
      </c>
      <c r="E3619" s="5" t="s">
        <v>83</v>
      </c>
      <c r="F3619" s="5" t="s">
        <v>17</v>
      </c>
      <c r="G3619">
        <v>20</v>
      </c>
    </row>
    <row r="3620" spans="1:7" x14ac:dyDescent="0.35">
      <c r="A3620">
        <v>20631</v>
      </c>
      <c r="B3620">
        <v>0</v>
      </c>
      <c r="C3620" s="5" t="s">
        <v>18</v>
      </c>
      <c r="D3620">
        <v>5501</v>
      </c>
      <c r="E3620" s="5" t="s">
        <v>79</v>
      </c>
      <c r="F3620" s="5" t="s">
        <v>17</v>
      </c>
      <c r="G3620">
        <v>20</v>
      </c>
    </row>
    <row r="3621" spans="1:7" x14ac:dyDescent="0.35">
      <c r="A3621">
        <v>15006</v>
      </c>
      <c r="B3621">
        <v>0</v>
      </c>
      <c r="C3621" s="5" t="s">
        <v>21</v>
      </c>
      <c r="D3621">
        <v>6601</v>
      </c>
      <c r="E3621" s="5" t="s">
        <v>85</v>
      </c>
      <c r="F3621" s="5" t="s">
        <v>17</v>
      </c>
      <c r="G3621">
        <v>10</v>
      </c>
    </row>
    <row r="3622" spans="1:7" x14ac:dyDescent="0.35">
      <c r="A3622">
        <v>1293</v>
      </c>
      <c r="B3622">
        <v>0</v>
      </c>
      <c r="C3622" s="5" t="s">
        <v>16</v>
      </c>
      <c r="D3622">
        <v>2201</v>
      </c>
      <c r="E3622" s="5" t="s">
        <v>80</v>
      </c>
      <c r="F3622" s="5" t="s">
        <v>17</v>
      </c>
      <c r="G3622">
        <v>2</v>
      </c>
    </row>
    <row r="3623" spans="1:7" x14ac:dyDescent="0.35">
      <c r="A3623">
        <v>139626</v>
      </c>
      <c r="B3623">
        <v>2</v>
      </c>
      <c r="C3623" s="5" t="s">
        <v>50</v>
      </c>
      <c r="D3623">
        <v>2406</v>
      </c>
      <c r="E3623" s="5" t="s">
        <v>85</v>
      </c>
      <c r="F3623" s="5" t="s">
        <v>14</v>
      </c>
      <c r="G3623">
        <v>10</v>
      </c>
    </row>
    <row r="3624" spans="1:7" x14ac:dyDescent="0.35">
      <c r="A3624">
        <v>25760</v>
      </c>
      <c r="B3624">
        <v>1</v>
      </c>
      <c r="C3624" s="5" t="s">
        <v>36</v>
      </c>
      <c r="D3624">
        <v>0</v>
      </c>
      <c r="E3624" s="5" t="s">
        <v>88</v>
      </c>
      <c r="F3624" s="5" t="s">
        <v>14</v>
      </c>
      <c r="G3624">
        <v>20</v>
      </c>
    </row>
    <row r="3625" spans="1:7" x14ac:dyDescent="0.35">
      <c r="A3625">
        <v>170486</v>
      </c>
      <c r="B3625">
        <v>1</v>
      </c>
      <c r="C3625" s="5" t="s">
        <v>21</v>
      </c>
      <c r="D3625">
        <v>0</v>
      </c>
      <c r="E3625" s="5" t="s">
        <v>84</v>
      </c>
      <c r="F3625" s="5" t="s">
        <v>14</v>
      </c>
      <c r="G3625">
        <v>12</v>
      </c>
    </row>
    <row r="3626" spans="1:7" x14ac:dyDescent="0.35">
      <c r="A3626">
        <v>24172</v>
      </c>
      <c r="B3626">
        <v>0</v>
      </c>
      <c r="C3626" s="5" t="s">
        <v>43</v>
      </c>
      <c r="D3626">
        <v>2501</v>
      </c>
      <c r="E3626" s="5" t="s">
        <v>81</v>
      </c>
      <c r="F3626" s="5" t="s">
        <v>17</v>
      </c>
      <c r="G3626">
        <v>5</v>
      </c>
    </row>
    <row r="3627" spans="1:7" x14ac:dyDescent="0.35">
      <c r="A3627">
        <v>174317</v>
      </c>
      <c r="B3627">
        <v>1</v>
      </c>
      <c r="C3627" s="5" t="s">
        <v>47</v>
      </c>
      <c r="D3627">
        <v>3008</v>
      </c>
      <c r="E3627" s="5" t="s">
        <v>78</v>
      </c>
      <c r="F3627" s="5" t="s">
        <v>14</v>
      </c>
      <c r="G3627">
        <v>14</v>
      </c>
    </row>
    <row r="3628" spans="1:7" x14ac:dyDescent="0.35">
      <c r="A3628">
        <v>99849</v>
      </c>
      <c r="B3628">
        <v>1</v>
      </c>
      <c r="C3628" s="5" t="s">
        <v>33</v>
      </c>
      <c r="D3628">
        <v>0</v>
      </c>
      <c r="E3628" s="5" t="s">
        <v>80</v>
      </c>
      <c r="F3628" s="5" t="s">
        <v>14</v>
      </c>
      <c r="G3628">
        <v>6</v>
      </c>
    </row>
    <row r="3629" spans="1:7" x14ac:dyDescent="0.35">
      <c r="A3629">
        <v>139282</v>
      </c>
      <c r="B3629">
        <v>1</v>
      </c>
      <c r="C3629" s="5" t="s">
        <v>50</v>
      </c>
      <c r="D3629">
        <v>4901</v>
      </c>
      <c r="E3629" s="5" t="s">
        <v>83</v>
      </c>
      <c r="F3629" s="5" t="s">
        <v>14</v>
      </c>
      <c r="G3629">
        <v>23</v>
      </c>
    </row>
    <row r="3630" spans="1:7" x14ac:dyDescent="0.35">
      <c r="A3630">
        <v>79562</v>
      </c>
      <c r="B3630">
        <v>2</v>
      </c>
      <c r="C3630" s="5" t="s">
        <v>32</v>
      </c>
      <c r="D3630">
        <v>7006</v>
      </c>
      <c r="E3630" s="5" t="s">
        <v>80</v>
      </c>
      <c r="F3630" s="5" t="s">
        <v>14</v>
      </c>
      <c r="G3630">
        <v>19</v>
      </c>
    </row>
    <row r="3631" spans="1:7" x14ac:dyDescent="0.35">
      <c r="A3631">
        <v>136466</v>
      </c>
      <c r="B3631">
        <v>1</v>
      </c>
      <c r="C3631" s="5" t="s">
        <v>51</v>
      </c>
      <c r="D3631">
        <v>5108</v>
      </c>
      <c r="E3631" s="5" t="s">
        <v>78</v>
      </c>
      <c r="F3631" s="5" t="s">
        <v>14</v>
      </c>
      <c r="G3631">
        <v>10</v>
      </c>
    </row>
    <row r="3632" spans="1:7" x14ac:dyDescent="0.35">
      <c r="A3632">
        <v>70835</v>
      </c>
      <c r="B3632">
        <v>0</v>
      </c>
      <c r="C3632" s="5" t="s">
        <v>26</v>
      </c>
      <c r="D3632">
        <v>1912</v>
      </c>
      <c r="E3632" s="5" t="s">
        <v>89</v>
      </c>
      <c r="F3632" s="5" t="s">
        <v>17</v>
      </c>
      <c r="G3632">
        <v>9</v>
      </c>
    </row>
    <row r="3633" spans="1:7" x14ac:dyDescent="0.35">
      <c r="A3633">
        <v>8195</v>
      </c>
      <c r="B3633">
        <v>2</v>
      </c>
      <c r="C3633" s="5" t="s">
        <v>16</v>
      </c>
      <c r="D3633">
        <v>3910</v>
      </c>
      <c r="E3633" s="5" t="s">
        <v>89</v>
      </c>
      <c r="F3633" s="5" t="s">
        <v>14</v>
      </c>
      <c r="G3633">
        <v>6</v>
      </c>
    </row>
    <row r="3634" spans="1:7" x14ac:dyDescent="0.35">
      <c r="A3634">
        <v>28340</v>
      </c>
      <c r="B3634">
        <v>0</v>
      </c>
      <c r="C3634" s="5" t="s">
        <v>36</v>
      </c>
      <c r="D3634">
        <v>4401</v>
      </c>
      <c r="E3634" s="5" t="s">
        <v>83</v>
      </c>
      <c r="F3634" s="5" t="s">
        <v>17</v>
      </c>
      <c r="G3634">
        <v>10</v>
      </c>
    </row>
    <row r="3635" spans="1:7" x14ac:dyDescent="0.35">
      <c r="A3635">
        <v>19235</v>
      </c>
      <c r="B3635">
        <v>2</v>
      </c>
      <c r="C3635" s="5" t="s">
        <v>18</v>
      </c>
      <c r="D3635">
        <v>2108</v>
      </c>
      <c r="E3635" s="5" t="s">
        <v>79</v>
      </c>
      <c r="F3635" s="5" t="s">
        <v>14</v>
      </c>
      <c r="G3635">
        <v>25</v>
      </c>
    </row>
    <row r="3636" spans="1:7" x14ac:dyDescent="0.35">
      <c r="A3636">
        <v>29345</v>
      </c>
      <c r="B3636">
        <v>0</v>
      </c>
      <c r="C3636" s="5" t="s">
        <v>36</v>
      </c>
      <c r="D3636">
        <v>5001</v>
      </c>
      <c r="E3636" s="5" t="s">
        <v>86</v>
      </c>
      <c r="F3636" s="5" t="s">
        <v>17</v>
      </c>
      <c r="G3636">
        <v>17</v>
      </c>
    </row>
    <row r="3637" spans="1:7" x14ac:dyDescent="0.35">
      <c r="A3637">
        <v>58728</v>
      </c>
      <c r="B3637">
        <v>0</v>
      </c>
      <c r="C3637" s="5" t="s">
        <v>53</v>
      </c>
      <c r="D3637">
        <v>4811</v>
      </c>
      <c r="E3637" s="5" t="s">
        <v>89</v>
      </c>
      <c r="F3637" s="5" t="s">
        <v>14</v>
      </c>
      <c r="G3637">
        <v>20</v>
      </c>
    </row>
    <row r="3638" spans="1:7" x14ac:dyDescent="0.35">
      <c r="A3638">
        <v>158390</v>
      </c>
      <c r="B3638">
        <v>28</v>
      </c>
      <c r="C3638" s="5" t="s">
        <v>23</v>
      </c>
      <c r="D3638">
        <v>3709</v>
      </c>
      <c r="E3638" s="5" t="s">
        <v>93</v>
      </c>
      <c r="F3638" s="5" t="s">
        <v>17</v>
      </c>
      <c r="G3638">
        <v>10</v>
      </c>
    </row>
    <row r="3639" spans="1:7" x14ac:dyDescent="0.35">
      <c r="A3639">
        <v>31400</v>
      </c>
      <c r="B3639">
        <v>2</v>
      </c>
      <c r="C3639" s="5" t="s">
        <v>36</v>
      </c>
      <c r="D3639">
        <v>0</v>
      </c>
      <c r="E3639" s="5" t="s">
        <v>79</v>
      </c>
      <c r="F3639" s="5" t="s">
        <v>17</v>
      </c>
      <c r="G3639">
        <v>10</v>
      </c>
    </row>
    <row r="3640" spans="1:7" x14ac:dyDescent="0.35">
      <c r="A3640">
        <v>124872</v>
      </c>
      <c r="B3640">
        <v>1002</v>
      </c>
      <c r="C3640" s="5" t="s">
        <v>20</v>
      </c>
      <c r="D3640">
        <v>1908</v>
      </c>
      <c r="E3640" s="5" t="s">
        <v>78</v>
      </c>
      <c r="F3640" s="5" t="s">
        <v>14</v>
      </c>
      <c r="G3640">
        <v>5</v>
      </c>
    </row>
    <row r="3641" spans="1:7" x14ac:dyDescent="0.35">
      <c r="A3641">
        <v>175917</v>
      </c>
      <c r="B3641">
        <v>0</v>
      </c>
      <c r="C3641" s="5" t="s">
        <v>47</v>
      </c>
      <c r="D3641">
        <v>2510</v>
      </c>
      <c r="E3641" s="5" t="s">
        <v>81</v>
      </c>
      <c r="F3641" s="5" t="s">
        <v>17</v>
      </c>
      <c r="G3641">
        <v>15</v>
      </c>
    </row>
    <row r="3642" spans="1:7" x14ac:dyDescent="0.35">
      <c r="A3642">
        <v>156473</v>
      </c>
      <c r="B3642">
        <v>2</v>
      </c>
      <c r="C3642" s="5" t="s">
        <v>21</v>
      </c>
      <c r="D3642">
        <v>1601</v>
      </c>
      <c r="E3642" s="5" t="s">
        <v>93</v>
      </c>
      <c r="F3642" s="5" t="s">
        <v>17</v>
      </c>
      <c r="G3642">
        <v>6</v>
      </c>
    </row>
    <row r="3643" spans="1:7" x14ac:dyDescent="0.35">
      <c r="A3643">
        <v>91835</v>
      </c>
      <c r="B3643">
        <v>2</v>
      </c>
      <c r="C3643" s="5" t="s">
        <v>16</v>
      </c>
      <c r="D3643">
        <v>501</v>
      </c>
      <c r="E3643" s="5" t="s">
        <v>80</v>
      </c>
      <c r="F3643" s="5" t="s">
        <v>17</v>
      </c>
      <c r="G3643">
        <v>5</v>
      </c>
    </row>
    <row r="3644" spans="1:7" x14ac:dyDescent="0.35">
      <c r="A3644">
        <v>29348</v>
      </c>
      <c r="B3644">
        <v>1</v>
      </c>
      <c r="C3644" s="5" t="s">
        <v>36</v>
      </c>
      <c r="D3644">
        <v>0</v>
      </c>
      <c r="E3644" s="5" t="s">
        <v>81</v>
      </c>
      <c r="F3644" s="5" t="s">
        <v>14</v>
      </c>
      <c r="G3644">
        <v>5</v>
      </c>
    </row>
    <row r="3645" spans="1:7" x14ac:dyDescent="0.35">
      <c r="A3645">
        <v>18257</v>
      </c>
      <c r="B3645">
        <v>0</v>
      </c>
      <c r="C3645" s="5" t="s">
        <v>18</v>
      </c>
      <c r="D3645">
        <v>0</v>
      </c>
      <c r="E3645" s="5" t="s">
        <v>79</v>
      </c>
      <c r="F3645" s="5" t="s">
        <v>14</v>
      </c>
      <c r="G3645">
        <v>5</v>
      </c>
    </row>
    <row r="3646" spans="1:7" x14ac:dyDescent="0.35">
      <c r="A3646">
        <v>69822</v>
      </c>
      <c r="B3646">
        <v>0</v>
      </c>
      <c r="C3646" s="5" t="s">
        <v>26</v>
      </c>
      <c r="D3646">
        <v>4601</v>
      </c>
      <c r="E3646" s="5" t="s">
        <v>79</v>
      </c>
      <c r="F3646" s="5" t="s">
        <v>17</v>
      </c>
      <c r="G3646">
        <v>15</v>
      </c>
    </row>
    <row r="3647" spans="1:7" x14ac:dyDescent="0.35">
      <c r="A3647">
        <v>139180</v>
      </c>
      <c r="B3647">
        <v>28</v>
      </c>
      <c r="C3647" s="5" t="s">
        <v>50</v>
      </c>
      <c r="D3647">
        <v>2001</v>
      </c>
      <c r="E3647" s="5" t="s">
        <v>89</v>
      </c>
      <c r="F3647" s="5" t="s">
        <v>17</v>
      </c>
      <c r="G3647">
        <v>15</v>
      </c>
    </row>
    <row r="3648" spans="1:7" x14ac:dyDescent="0.35">
      <c r="A3648">
        <v>185080</v>
      </c>
      <c r="B3648">
        <v>0</v>
      </c>
      <c r="C3648" s="5" t="s">
        <v>21</v>
      </c>
      <c r="D3648">
        <v>0</v>
      </c>
      <c r="E3648" s="5" t="s">
        <v>78</v>
      </c>
      <c r="F3648" s="5" t="s">
        <v>17</v>
      </c>
      <c r="G3648">
        <v>200</v>
      </c>
    </row>
    <row r="3649" spans="1:7" x14ac:dyDescent="0.35">
      <c r="A3649">
        <v>151904</v>
      </c>
      <c r="B3649">
        <v>0</v>
      </c>
      <c r="C3649" s="5" t="s">
        <v>21</v>
      </c>
      <c r="D3649">
        <v>1601</v>
      </c>
      <c r="E3649" s="5" t="s">
        <v>78</v>
      </c>
      <c r="F3649" s="5" t="s">
        <v>14</v>
      </c>
      <c r="G3649">
        <v>15</v>
      </c>
    </row>
    <row r="3650" spans="1:7" x14ac:dyDescent="0.35">
      <c r="A3650">
        <v>107895</v>
      </c>
      <c r="B3650">
        <v>1</v>
      </c>
      <c r="C3650" s="5" t="s">
        <v>46</v>
      </c>
      <c r="D3650">
        <v>4711</v>
      </c>
      <c r="E3650" s="5" t="s">
        <v>91</v>
      </c>
      <c r="F3650" s="5" t="s">
        <v>14</v>
      </c>
      <c r="G3650">
        <v>3</v>
      </c>
    </row>
    <row r="3651" spans="1:7" x14ac:dyDescent="0.35">
      <c r="A3651">
        <v>72844</v>
      </c>
      <c r="B3651">
        <v>0</v>
      </c>
      <c r="C3651" s="5" t="s">
        <v>26</v>
      </c>
      <c r="D3651">
        <v>2005</v>
      </c>
      <c r="E3651" s="5" t="s">
        <v>84</v>
      </c>
      <c r="F3651" s="5" t="s">
        <v>17</v>
      </c>
      <c r="G3651">
        <v>10</v>
      </c>
    </row>
    <row r="3652" spans="1:7" x14ac:dyDescent="0.35">
      <c r="A3652">
        <v>55756</v>
      </c>
      <c r="B3652">
        <v>28</v>
      </c>
      <c r="C3652" s="5" t="s">
        <v>56</v>
      </c>
      <c r="D3652">
        <v>0</v>
      </c>
      <c r="E3652" s="5" t="s">
        <v>82</v>
      </c>
      <c r="F3652" s="5" t="s">
        <v>17</v>
      </c>
      <c r="G3652">
        <v>10</v>
      </c>
    </row>
    <row r="3653" spans="1:7" x14ac:dyDescent="0.35">
      <c r="A3653">
        <v>59249</v>
      </c>
      <c r="B3653">
        <v>1</v>
      </c>
      <c r="C3653" s="5" t="s">
        <v>30</v>
      </c>
      <c r="D3653">
        <v>7501</v>
      </c>
      <c r="E3653" s="5" t="s">
        <v>83</v>
      </c>
      <c r="F3653" s="5" t="s">
        <v>14</v>
      </c>
      <c r="G3653">
        <v>15</v>
      </c>
    </row>
    <row r="3654" spans="1:7" x14ac:dyDescent="0.35">
      <c r="A3654">
        <v>132844</v>
      </c>
      <c r="B3654">
        <v>0</v>
      </c>
      <c r="C3654" s="5" t="s">
        <v>58</v>
      </c>
      <c r="D3654">
        <v>0</v>
      </c>
      <c r="E3654" s="5" t="s">
        <v>79</v>
      </c>
      <c r="F3654" s="5" t="s">
        <v>14</v>
      </c>
      <c r="G3654">
        <v>11</v>
      </c>
    </row>
    <row r="3655" spans="1:7" x14ac:dyDescent="0.35">
      <c r="A3655">
        <v>4225</v>
      </c>
      <c r="B3655">
        <v>1</v>
      </c>
      <c r="C3655" s="5" t="s">
        <v>23</v>
      </c>
      <c r="D3655">
        <v>907</v>
      </c>
      <c r="E3655" s="5" t="s">
        <v>86</v>
      </c>
      <c r="F3655" s="5" t="s">
        <v>14</v>
      </c>
      <c r="G3655">
        <v>10</v>
      </c>
    </row>
    <row r="3656" spans="1:7" x14ac:dyDescent="0.35">
      <c r="A3656">
        <v>136150</v>
      </c>
      <c r="B3656">
        <v>0</v>
      </c>
      <c r="C3656" s="5" t="s">
        <v>51</v>
      </c>
      <c r="D3656">
        <v>1508</v>
      </c>
      <c r="E3656" s="5" t="s">
        <v>81</v>
      </c>
      <c r="F3656" s="5" t="s">
        <v>17</v>
      </c>
      <c r="G3656">
        <v>50</v>
      </c>
    </row>
    <row r="3657" spans="1:7" x14ac:dyDescent="0.35">
      <c r="A3657">
        <v>66037</v>
      </c>
      <c r="B3657">
        <v>1</v>
      </c>
      <c r="C3657" s="5" t="s">
        <v>26</v>
      </c>
      <c r="D3657">
        <v>4802</v>
      </c>
      <c r="E3657" s="5" t="s">
        <v>84</v>
      </c>
      <c r="F3657" s="5" t="s">
        <v>14</v>
      </c>
      <c r="G3657">
        <v>21</v>
      </c>
    </row>
    <row r="3658" spans="1:7" x14ac:dyDescent="0.35">
      <c r="A3658">
        <v>95728</v>
      </c>
      <c r="B3658">
        <v>0</v>
      </c>
      <c r="C3658" s="5" t="s">
        <v>16</v>
      </c>
      <c r="D3658">
        <v>2806</v>
      </c>
      <c r="E3658" s="5" t="s">
        <v>80</v>
      </c>
      <c r="F3658" s="5" t="s">
        <v>17</v>
      </c>
      <c r="G3658">
        <v>15</v>
      </c>
    </row>
    <row r="3659" spans="1:7" x14ac:dyDescent="0.35">
      <c r="A3659">
        <v>174895</v>
      </c>
      <c r="B3659">
        <v>0</v>
      </c>
      <c r="C3659" s="5" t="s">
        <v>47</v>
      </c>
      <c r="D3659">
        <v>2501</v>
      </c>
      <c r="E3659" s="5" t="s">
        <v>94</v>
      </c>
      <c r="F3659" s="5" t="s">
        <v>17</v>
      </c>
      <c r="G3659">
        <v>21</v>
      </c>
    </row>
    <row r="3660" spans="1:7" x14ac:dyDescent="0.35">
      <c r="A3660">
        <v>165056</v>
      </c>
      <c r="B3660">
        <v>0</v>
      </c>
      <c r="C3660" s="5" t="s">
        <v>21</v>
      </c>
      <c r="D3660">
        <v>5405</v>
      </c>
      <c r="E3660" s="5" t="s">
        <v>78</v>
      </c>
      <c r="F3660" s="5" t="s">
        <v>17</v>
      </c>
      <c r="G3660">
        <v>5</v>
      </c>
    </row>
    <row r="3661" spans="1:7" x14ac:dyDescent="0.35">
      <c r="A3661">
        <v>112367</v>
      </c>
      <c r="B3661">
        <v>2</v>
      </c>
      <c r="C3661" s="5" t="s">
        <v>29</v>
      </c>
      <c r="D3661">
        <v>2101</v>
      </c>
      <c r="E3661" s="5" t="s">
        <v>79</v>
      </c>
      <c r="F3661" s="5" t="s">
        <v>17</v>
      </c>
      <c r="G3661">
        <v>10</v>
      </c>
    </row>
    <row r="3662" spans="1:7" x14ac:dyDescent="0.35">
      <c r="A3662">
        <v>147190</v>
      </c>
      <c r="B3662">
        <v>28</v>
      </c>
      <c r="C3662" s="5" t="s">
        <v>21</v>
      </c>
      <c r="D3662">
        <v>4801</v>
      </c>
      <c r="E3662" s="5" t="s">
        <v>91</v>
      </c>
      <c r="F3662" s="5" t="s">
        <v>17</v>
      </c>
      <c r="G3662">
        <v>10</v>
      </c>
    </row>
    <row r="3663" spans="1:7" x14ac:dyDescent="0.35">
      <c r="A3663">
        <v>5613</v>
      </c>
      <c r="B3663">
        <v>2</v>
      </c>
      <c r="C3663" s="5" t="s">
        <v>21</v>
      </c>
      <c r="D3663">
        <v>3501</v>
      </c>
      <c r="E3663" s="5" t="s">
        <v>86</v>
      </c>
      <c r="F3663" s="5" t="s">
        <v>17</v>
      </c>
      <c r="G3663">
        <v>12</v>
      </c>
    </row>
    <row r="3664" spans="1:7" x14ac:dyDescent="0.35">
      <c r="A3664">
        <v>43126</v>
      </c>
      <c r="B3664">
        <v>0</v>
      </c>
      <c r="C3664" s="5" t="s">
        <v>13</v>
      </c>
      <c r="D3664">
        <v>4901</v>
      </c>
      <c r="E3664" s="5" t="s">
        <v>78</v>
      </c>
      <c r="F3664" s="5" t="s">
        <v>17</v>
      </c>
      <c r="G3664">
        <v>5</v>
      </c>
    </row>
    <row r="3665" spans="1:7" x14ac:dyDescent="0.35">
      <c r="A3665">
        <v>53753</v>
      </c>
      <c r="B3665">
        <v>0</v>
      </c>
      <c r="C3665" s="5" t="s">
        <v>49</v>
      </c>
      <c r="D3665">
        <v>5307</v>
      </c>
      <c r="E3665" s="5" t="s">
        <v>83</v>
      </c>
      <c r="F3665" s="5" t="s">
        <v>17</v>
      </c>
      <c r="G3665">
        <v>30</v>
      </c>
    </row>
    <row r="3666" spans="1:7" x14ac:dyDescent="0.35">
      <c r="A3666">
        <v>190651</v>
      </c>
      <c r="B3666">
        <v>28</v>
      </c>
      <c r="C3666" s="5" t="s">
        <v>16</v>
      </c>
      <c r="D3666">
        <v>5201</v>
      </c>
      <c r="E3666" s="5" t="s">
        <v>82</v>
      </c>
      <c r="F3666" s="5" t="s">
        <v>17</v>
      </c>
      <c r="G3666">
        <v>10</v>
      </c>
    </row>
    <row r="3667" spans="1:7" x14ac:dyDescent="0.35">
      <c r="A3667">
        <v>12597</v>
      </c>
      <c r="B3667">
        <v>28</v>
      </c>
      <c r="C3667" s="5" t="s">
        <v>21</v>
      </c>
      <c r="D3667">
        <v>0</v>
      </c>
      <c r="E3667" s="5" t="s">
        <v>83</v>
      </c>
      <c r="F3667" s="5" t="s">
        <v>17</v>
      </c>
      <c r="G3667">
        <v>101</v>
      </c>
    </row>
    <row r="3668" spans="1:7" x14ac:dyDescent="0.35">
      <c r="A3668">
        <v>164169</v>
      </c>
      <c r="B3668">
        <v>0</v>
      </c>
      <c r="C3668" s="5" t="s">
        <v>21</v>
      </c>
      <c r="D3668">
        <v>6201</v>
      </c>
      <c r="E3668" s="5" t="s">
        <v>83</v>
      </c>
      <c r="F3668" s="5" t="s">
        <v>14</v>
      </c>
      <c r="G3668">
        <v>15</v>
      </c>
    </row>
    <row r="3669" spans="1:7" x14ac:dyDescent="0.35">
      <c r="A3669">
        <v>20106</v>
      </c>
      <c r="B3669">
        <v>1</v>
      </c>
      <c r="C3669" s="5" t="s">
        <v>18</v>
      </c>
      <c r="D3669">
        <v>2601</v>
      </c>
      <c r="E3669" s="5" t="s">
        <v>81</v>
      </c>
      <c r="F3669" s="5" t="s">
        <v>14</v>
      </c>
      <c r="G3669">
        <v>12</v>
      </c>
    </row>
    <row r="3670" spans="1:7" x14ac:dyDescent="0.35">
      <c r="A3670">
        <v>143565</v>
      </c>
      <c r="B3670">
        <v>28</v>
      </c>
      <c r="C3670" s="5" t="s">
        <v>21</v>
      </c>
      <c r="D3670">
        <v>3001</v>
      </c>
      <c r="E3670" s="5" t="s">
        <v>93</v>
      </c>
      <c r="F3670" s="5" t="s">
        <v>17</v>
      </c>
      <c r="G3670">
        <v>17</v>
      </c>
    </row>
    <row r="3671" spans="1:7" x14ac:dyDescent="0.35">
      <c r="A3671">
        <v>96080</v>
      </c>
      <c r="B3671">
        <v>2</v>
      </c>
      <c r="C3671" s="5" t="s">
        <v>16</v>
      </c>
      <c r="D3671">
        <v>2001</v>
      </c>
      <c r="E3671" s="5" t="s">
        <v>79</v>
      </c>
      <c r="F3671" s="5" t="s">
        <v>17</v>
      </c>
      <c r="G3671">
        <v>5</v>
      </c>
    </row>
    <row r="3672" spans="1:7" x14ac:dyDescent="0.35">
      <c r="A3672">
        <v>184492</v>
      </c>
      <c r="B3672">
        <v>0</v>
      </c>
      <c r="C3672" s="5" t="s">
        <v>37</v>
      </c>
      <c r="D3672">
        <v>2801</v>
      </c>
      <c r="E3672" s="5" t="s">
        <v>84</v>
      </c>
      <c r="F3672" s="5" t="s">
        <v>86</v>
      </c>
      <c r="G3672">
        <v>9</v>
      </c>
    </row>
    <row r="3673" spans="1:7" x14ac:dyDescent="0.35">
      <c r="A3673">
        <v>128522</v>
      </c>
      <c r="B3673">
        <v>0</v>
      </c>
      <c r="C3673" s="5" t="s">
        <v>20</v>
      </c>
      <c r="D3673">
        <v>0</v>
      </c>
      <c r="E3673" s="5" t="s">
        <v>84</v>
      </c>
      <c r="F3673" s="5" t="s">
        <v>17</v>
      </c>
      <c r="G3673">
        <v>20</v>
      </c>
    </row>
    <row r="3674" spans="1:7" x14ac:dyDescent="0.35">
      <c r="A3674">
        <v>167551</v>
      </c>
      <c r="B3674">
        <v>0</v>
      </c>
      <c r="C3674" s="5" t="s">
        <v>21</v>
      </c>
      <c r="D3674">
        <v>4401</v>
      </c>
      <c r="E3674" s="5" t="s">
        <v>85</v>
      </c>
      <c r="F3674" s="5" t="s">
        <v>17</v>
      </c>
      <c r="G3674">
        <v>20</v>
      </c>
    </row>
    <row r="3675" spans="1:7" x14ac:dyDescent="0.35">
      <c r="A3675">
        <v>101972</v>
      </c>
      <c r="B3675">
        <v>0</v>
      </c>
      <c r="C3675" s="5" t="s">
        <v>33</v>
      </c>
      <c r="D3675">
        <v>0</v>
      </c>
      <c r="E3675" s="5" t="s">
        <v>79</v>
      </c>
      <c r="F3675" s="5" t="s">
        <v>17</v>
      </c>
      <c r="G3675">
        <v>25</v>
      </c>
    </row>
    <row r="3676" spans="1:7" x14ac:dyDescent="0.35">
      <c r="A3676">
        <v>75609</v>
      </c>
      <c r="B3676">
        <v>0</v>
      </c>
      <c r="C3676" s="5" t="s">
        <v>44</v>
      </c>
      <c r="D3676">
        <v>1107</v>
      </c>
      <c r="E3676" s="5" t="s">
        <v>81</v>
      </c>
      <c r="F3676" s="5" t="s">
        <v>14</v>
      </c>
      <c r="G3676">
        <v>10</v>
      </c>
    </row>
    <row r="3677" spans="1:7" x14ac:dyDescent="0.35">
      <c r="A3677">
        <v>89863</v>
      </c>
      <c r="B3677">
        <v>0</v>
      </c>
      <c r="C3677" s="5" t="s">
        <v>16</v>
      </c>
      <c r="D3677">
        <v>4711</v>
      </c>
      <c r="E3677" s="5" t="s">
        <v>83</v>
      </c>
      <c r="F3677" s="5" t="s">
        <v>17</v>
      </c>
      <c r="G3677">
        <v>23</v>
      </c>
    </row>
    <row r="3678" spans="1:7" x14ac:dyDescent="0.35">
      <c r="A3678">
        <v>80310</v>
      </c>
      <c r="B3678">
        <v>1</v>
      </c>
      <c r="C3678" s="5" t="s">
        <v>32</v>
      </c>
      <c r="D3678">
        <v>4401</v>
      </c>
      <c r="E3678" s="5" t="s">
        <v>78</v>
      </c>
      <c r="F3678" s="5" t="s">
        <v>14</v>
      </c>
      <c r="G3678">
        <v>20</v>
      </c>
    </row>
    <row r="3679" spans="1:7" x14ac:dyDescent="0.35">
      <c r="A3679">
        <v>2757</v>
      </c>
      <c r="B3679">
        <v>28</v>
      </c>
      <c r="C3679" s="5" t="s">
        <v>33</v>
      </c>
      <c r="D3679">
        <v>6112</v>
      </c>
      <c r="E3679" s="5" t="s">
        <v>91</v>
      </c>
      <c r="F3679" s="5" t="s">
        <v>17</v>
      </c>
      <c r="G3679">
        <v>10</v>
      </c>
    </row>
    <row r="3680" spans="1:7" x14ac:dyDescent="0.35">
      <c r="A3680">
        <v>56169</v>
      </c>
      <c r="B3680">
        <v>2</v>
      </c>
      <c r="C3680" s="5" t="s">
        <v>56</v>
      </c>
      <c r="D3680">
        <v>0</v>
      </c>
      <c r="E3680" s="5" t="s">
        <v>79</v>
      </c>
      <c r="F3680" s="5" t="s">
        <v>17</v>
      </c>
      <c r="G3680">
        <v>20</v>
      </c>
    </row>
    <row r="3681" spans="1:7" x14ac:dyDescent="0.35">
      <c r="A3681">
        <v>104259</v>
      </c>
      <c r="B3681">
        <v>0</v>
      </c>
      <c r="C3681" s="5" t="s">
        <v>25</v>
      </c>
      <c r="D3681">
        <v>4811</v>
      </c>
      <c r="E3681" s="5" t="s">
        <v>79</v>
      </c>
      <c r="F3681" s="5" t="s">
        <v>17</v>
      </c>
      <c r="G3681">
        <v>15</v>
      </c>
    </row>
    <row r="3682" spans="1:7" x14ac:dyDescent="0.35">
      <c r="A3682">
        <v>10467</v>
      </c>
      <c r="B3682">
        <v>1</v>
      </c>
      <c r="C3682" s="5" t="s">
        <v>26</v>
      </c>
      <c r="D3682">
        <v>2306</v>
      </c>
      <c r="E3682" s="5" t="s">
        <v>84</v>
      </c>
      <c r="F3682" s="5" t="s">
        <v>14</v>
      </c>
      <c r="G3682">
        <v>20</v>
      </c>
    </row>
    <row r="3683" spans="1:7" x14ac:dyDescent="0.35">
      <c r="A3683">
        <v>165494</v>
      </c>
      <c r="B3683">
        <v>0</v>
      </c>
      <c r="C3683" s="5" t="s">
        <v>21</v>
      </c>
      <c r="D3683">
        <v>4507</v>
      </c>
      <c r="E3683" s="5" t="s">
        <v>82</v>
      </c>
      <c r="F3683" s="5" t="s">
        <v>17</v>
      </c>
      <c r="G3683">
        <v>15</v>
      </c>
    </row>
    <row r="3684" spans="1:7" x14ac:dyDescent="0.35">
      <c r="A3684">
        <v>124817</v>
      </c>
      <c r="B3684">
        <v>1</v>
      </c>
      <c r="C3684" s="5" t="s">
        <v>20</v>
      </c>
      <c r="D3684">
        <v>6210</v>
      </c>
      <c r="E3684" s="5" t="s">
        <v>86</v>
      </c>
      <c r="F3684" s="5" t="s">
        <v>14</v>
      </c>
      <c r="G3684">
        <v>10</v>
      </c>
    </row>
    <row r="3685" spans="1:7" x14ac:dyDescent="0.35">
      <c r="A3685">
        <v>149777</v>
      </c>
      <c r="B3685">
        <v>0</v>
      </c>
      <c r="C3685" s="5" t="s">
        <v>21</v>
      </c>
      <c r="D3685">
        <v>5201</v>
      </c>
      <c r="E3685" s="5" t="s">
        <v>93</v>
      </c>
      <c r="F3685" s="5" t="s">
        <v>17</v>
      </c>
      <c r="G3685">
        <v>20</v>
      </c>
    </row>
    <row r="3686" spans="1:7" x14ac:dyDescent="0.35">
      <c r="A3686">
        <v>24272</v>
      </c>
      <c r="B3686">
        <v>0</v>
      </c>
      <c r="C3686" s="5" t="s">
        <v>43</v>
      </c>
      <c r="D3686">
        <v>2307</v>
      </c>
      <c r="E3686" s="5" t="s">
        <v>79</v>
      </c>
      <c r="F3686" s="5" t="s">
        <v>17</v>
      </c>
      <c r="G3686">
        <v>20</v>
      </c>
    </row>
    <row r="3687" spans="1:7" x14ac:dyDescent="0.35">
      <c r="A3687">
        <v>147855</v>
      </c>
      <c r="B3687">
        <v>2</v>
      </c>
      <c r="C3687" s="5" t="s">
        <v>21</v>
      </c>
      <c r="D3687">
        <v>1707</v>
      </c>
      <c r="E3687" s="5" t="s">
        <v>83</v>
      </c>
      <c r="F3687" s="5" t="s">
        <v>14</v>
      </c>
      <c r="G3687">
        <v>15</v>
      </c>
    </row>
    <row r="3688" spans="1:7" x14ac:dyDescent="0.35">
      <c r="A3688">
        <v>73144</v>
      </c>
      <c r="B3688">
        <v>2</v>
      </c>
      <c r="C3688" s="5" t="s">
        <v>26</v>
      </c>
      <c r="D3688">
        <v>2312</v>
      </c>
      <c r="E3688" s="5" t="s">
        <v>79</v>
      </c>
      <c r="F3688" s="5" t="s">
        <v>17</v>
      </c>
      <c r="G3688">
        <v>25</v>
      </c>
    </row>
    <row r="3689" spans="1:7" x14ac:dyDescent="0.35">
      <c r="A3689">
        <v>83220</v>
      </c>
      <c r="B3689">
        <v>28</v>
      </c>
      <c r="C3689" s="5" t="s">
        <v>52</v>
      </c>
      <c r="D3689">
        <v>5401</v>
      </c>
      <c r="E3689" s="5" t="s">
        <v>81</v>
      </c>
      <c r="F3689" s="5" t="s">
        <v>17</v>
      </c>
      <c r="G3689">
        <v>5</v>
      </c>
    </row>
    <row r="3690" spans="1:7" x14ac:dyDescent="0.35">
      <c r="A3690">
        <v>17921</v>
      </c>
      <c r="B3690">
        <v>28</v>
      </c>
      <c r="C3690" s="5" t="s">
        <v>18</v>
      </c>
      <c r="D3690">
        <v>2801</v>
      </c>
      <c r="E3690" s="5" t="s">
        <v>78</v>
      </c>
      <c r="F3690" s="5" t="s">
        <v>17</v>
      </c>
      <c r="G3690">
        <v>8</v>
      </c>
    </row>
    <row r="3691" spans="1:7" x14ac:dyDescent="0.35">
      <c r="A3691">
        <v>184237</v>
      </c>
      <c r="B3691">
        <v>0</v>
      </c>
      <c r="C3691" s="5" t="s">
        <v>37</v>
      </c>
      <c r="D3691">
        <v>6201</v>
      </c>
      <c r="E3691" s="5" t="s">
        <v>83</v>
      </c>
      <c r="F3691" s="5" t="s">
        <v>14</v>
      </c>
      <c r="G3691">
        <v>14</v>
      </c>
    </row>
    <row r="3692" spans="1:7" x14ac:dyDescent="0.35">
      <c r="A3692">
        <v>132179</v>
      </c>
      <c r="B3692">
        <v>0</v>
      </c>
      <c r="C3692" s="5" t="s">
        <v>45</v>
      </c>
      <c r="D3692">
        <v>0</v>
      </c>
      <c r="E3692" s="5" t="s">
        <v>81</v>
      </c>
      <c r="F3692" s="5" t="s">
        <v>17</v>
      </c>
      <c r="G3692">
        <v>14</v>
      </c>
    </row>
    <row r="3693" spans="1:7" x14ac:dyDescent="0.35">
      <c r="A3693">
        <v>117922</v>
      </c>
      <c r="B3693">
        <v>1</v>
      </c>
      <c r="C3693" s="5" t="s">
        <v>20</v>
      </c>
      <c r="D3693">
        <v>2307</v>
      </c>
      <c r="E3693" s="5" t="s">
        <v>81</v>
      </c>
      <c r="F3693" s="5" t="s">
        <v>14</v>
      </c>
      <c r="G3693">
        <v>15</v>
      </c>
    </row>
    <row r="3694" spans="1:7" x14ac:dyDescent="0.35">
      <c r="A3694">
        <v>76851</v>
      </c>
      <c r="B3694">
        <v>2</v>
      </c>
      <c r="C3694" s="5" t="s">
        <v>44</v>
      </c>
      <c r="D3694">
        <v>1501</v>
      </c>
      <c r="E3694" s="5" t="s">
        <v>81</v>
      </c>
      <c r="F3694" s="5" t="s">
        <v>14</v>
      </c>
      <c r="G3694">
        <v>20</v>
      </c>
    </row>
    <row r="3695" spans="1:7" x14ac:dyDescent="0.35">
      <c r="A3695">
        <v>38098</v>
      </c>
      <c r="B3695">
        <v>0</v>
      </c>
      <c r="C3695" s="5" t="s">
        <v>13</v>
      </c>
      <c r="D3695">
        <v>2701</v>
      </c>
      <c r="E3695" s="5" t="s">
        <v>93</v>
      </c>
      <c r="F3695" s="5" t="s">
        <v>17</v>
      </c>
      <c r="G3695">
        <v>3</v>
      </c>
    </row>
    <row r="3696" spans="1:7" x14ac:dyDescent="0.35">
      <c r="A3696">
        <v>138173</v>
      </c>
      <c r="B3696">
        <v>28</v>
      </c>
      <c r="C3696" s="5" t="s">
        <v>51</v>
      </c>
      <c r="D3696">
        <v>5401</v>
      </c>
      <c r="E3696" s="5" t="s">
        <v>83</v>
      </c>
      <c r="F3696" s="5" t="s">
        <v>17</v>
      </c>
      <c r="G3696">
        <v>10</v>
      </c>
    </row>
    <row r="3697" spans="1:7" x14ac:dyDescent="0.35">
      <c r="A3697">
        <v>161760</v>
      </c>
      <c r="B3697">
        <v>0</v>
      </c>
      <c r="C3697" s="5" t="s">
        <v>21</v>
      </c>
      <c r="D3697">
        <v>0</v>
      </c>
      <c r="E3697" s="5" t="s">
        <v>94</v>
      </c>
      <c r="F3697" s="5" t="s">
        <v>17</v>
      </c>
      <c r="G3697">
        <v>35</v>
      </c>
    </row>
    <row r="3698" spans="1:7" x14ac:dyDescent="0.35">
      <c r="A3698">
        <v>94884</v>
      </c>
      <c r="B3698">
        <v>0</v>
      </c>
      <c r="C3698" s="5" t="s">
        <v>16</v>
      </c>
      <c r="D3698">
        <v>4310</v>
      </c>
      <c r="E3698" s="5" t="s">
        <v>80</v>
      </c>
      <c r="F3698" s="5" t="s">
        <v>14</v>
      </c>
      <c r="G3698">
        <v>40</v>
      </c>
    </row>
    <row r="3699" spans="1:7" x14ac:dyDescent="0.35">
      <c r="A3699">
        <v>162820</v>
      </c>
      <c r="B3699">
        <v>1</v>
      </c>
      <c r="C3699" s="5" t="s">
        <v>21</v>
      </c>
      <c r="D3699">
        <v>5701</v>
      </c>
      <c r="E3699" s="5" t="s">
        <v>85</v>
      </c>
      <c r="F3699" s="5" t="s">
        <v>14</v>
      </c>
      <c r="G3699">
        <v>25</v>
      </c>
    </row>
    <row r="3700" spans="1:7" x14ac:dyDescent="0.35">
      <c r="A3700">
        <v>156437</v>
      </c>
      <c r="B3700">
        <v>0</v>
      </c>
      <c r="C3700" s="5" t="s">
        <v>21</v>
      </c>
      <c r="D3700">
        <v>3401</v>
      </c>
      <c r="E3700" s="5" t="s">
        <v>93</v>
      </c>
      <c r="F3700" s="5" t="s">
        <v>14</v>
      </c>
      <c r="G3700">
        <v>27</v>
      </c>
    </row>
    <row r="3701" spans="1:7" x14ac:dyDescent="0.35">
      <c r="A3701">
        <v>141645</v>
      </c>
      <c r="B3701">
        <v>0</v>
      </c>
      <c r="C3701" s="5" t="s">
        <v>23</v>
      </c>
      <c r="D3701">
        <v>0</v>
      </c>
      <c r="E3701" s="5" t="s">
        <v>83</v>
      </c>
      <c r="F3701" s="5" t="s">
        <v>17</v>
      </c>
      <c r="G3701">
        <v>35</v>
      </c>
    </row>
    <row r="3702" spans="1:7" x14ac:dyDescent="0.35">
      <c r="A3702">
        <v>152494</v>
      </c>
      <c r="B3702">
        <v>0</v>
      </c>
      <c r="C3702" s="5" t="s">
        <v>21</v>
      </c>
      <c r="D3702">
        <v>2205</v>
      </c>
      <c r="E3702" s="5" t="s">
        <v>83</v>
      </c>
      <c r="F3702" s="5" t="s">
        <v>14</v>
      </c>
      <c r="G3702">
        <v>5</v>
      </c>
    </row>
    <row r="3703" spans="1:7" x14ac:dyDescent="0.35">
      <c r="A3703">
        <v>188492</v>
      </c>
      <c r="B3703">
        <v>2</v>
      </c>
      <c r="C3703" s="5" t="s">
        <v>45</v>
      </c>
      <c r="D3703">
        <v>1303</v>
      </c>
      <c r="E3703" s="5" t="s">
        <v>78</v>
      </c>
      <c r="F3703" s="5" t="s">
        <v>17</v>
      </c>
      <c r="G3703">
        <v>20</v>
      </c>
    </row>
    <row r="3704" spans="1:7" x14ac:dyDescent="0.35">
      <c r="A3704">
        <v>177824</v>
      </c>
      <c r="B3704">
        <v>28</v>
      </c>
      <c r="C3704" s="5" t="s">
        <v>47</v>
      </c>
      <c r="D3704">
        <v>4201</v>
      </c>
      <c r="E3704" s="5" t="s">
        <v>81</v>
      </c>
      <c r="F3704" s="5" t="s">
        <v>17</v>
      </c>
      <c r="G3704">
        <v>9</v>
      </c>
    </row>
    <row r="3705" spans="1:7" x14ac:dyDescent="0.35">
      <c r="A3705">
        <v>139030</v>
      </c>
      <c r="B3705">
        <v>0</v>
      </c>
      <c r="C3705" s="5" t="s">
        <v>51</v>
      </c>
      <c r="D3705">
        <v>3701</v>
      </c>
      <c r="E3705" s="5" t="s">
        <v>86</v>
      </c>
      <c r="F3705" s="5" t="s">
        <v>17</v>
      </c>
      <c r="G3705">
        <v>5</v>
      </c>
    </row>
    <row r="3706" spans="1:7" x14ac:dyDescent="0.35">
      <c r="A3706">
        <v>89500</v>
      </c>
      <c r="B3706">
        <v>0</v>
      </c>
      <c r="C3706" s="5" t="s">
        <v>51</v>
      </c>
      <c r="D3706">
        <v>3301</v>
      </c>
      <c r="E3706" s="5" t="s">
        <v>88</v>
      </c>
      <c r="F3706" s="5" t="s">
        <v>17</v>
      </c>
      <c r="G3706">
        <v>10</v>
      </c>
    </row>
    <row r="3707" spans="1:7" x14ac:dyDescent="0.35">
      <c r="A3707">
        <v>48587</v>
      </c>
      <c r="B3707">
        <v>1</v>
      </c>
      <c r="C3707" s="5" t="s">
        <v>40</v>
      </c>
      <c r="D3707">
        <v>2301</v>
      </c>
      <c r="E3707" s="5" t="s">
        <v>81</v>
      </c>
      <c r="F3707" s="5" t="s">
        <v>14</v>
      </c>
      <c r="G3707">
        <v>15</v>
      </c>
    </row>
    <row r="3708" spans="1:7" x14ac:dyDescent="0.35">
      <c r="A3708">
        <v>187501</v>
      </c>
      <c r="B3708">
        <v>0</v>
      </c>
      <c r="C3708" s="5" t="s">
        <v>34</v>
      </c>
      <c r="D3708">
        <v>0</v>
      </c>
      <c r="E3708" s="5" t="s">
        <v>84</v>
      </c>
      <c r="F3708" s="5" t="s">
        <v>17</v>
      </c>
      <c r="G3708">
        <v>10</v>
      </c>
    </row>
    <row r="3709" spans="1:7" x14ac:dyDescent="0.35">
      <c r="A3709">
        <v>135888</v>
      </c>
      <c r="B3709">
        <v>2</v>
      </c>
      <c r="C3709" s="5" t="s">
        <v>51</v>
      </c>
      <c r="D3709">
        <v>0</v>
      </c>
      <c r="E3709" s="5" t="s">
        <v>87</v>
      </c>
      <c r="F3709" s="5" t="s">
        <v>14</v>
      </c>
      <c r="G3709">
        <v>16</v>
      </c>
    </row>
    <row r="3710" spans="1:7" x14ac:dyDescent="0.35">
      <c r="A3710">
        <v>67333</v>
      </c>
      <c r="B3710">
        <v>0</v>
      </c>
      <c r="C3710" s="5" t="s">
        <v>26</v>
      </c>
      <c r="D3710">
        <v>5401</v>
      </c>
      <c r="E3710" s="5" t="s">
        <v>83</v>
      </c>
      <c r="F3710" s="5" t="s">
        <v>17</v>
      </c>
      <c r="G3710">
        <v>8</v>
      </c>
    </row>
    <row r="3711" spans="1:7" x14ac:dyDescent="0.35">
      <c r="A3711">
        <v>62741</v>
      </c>
      <c r="B3711">
        <v>2</v>
      </c>
      <c r="C3711" s="5" t="s">
        <v>30</v>
      </c>
      <c r="D3711">
        <v>0</v>
      </c>
      <c r="E3711" s="5" t="s">
        <v>81</v>
      </c>
      <c r="F3711" s="5" t="s">
        <v>14</v>
      </c>
      <c r="G3711">
        <v>11</v>
      </c>
    </row>
    <row r="3712" spans="1:7" x14ac:dyDescent="0.35">
      <c r="A3712">
        <v>112247</v>
      </c>
      <c r="B3712">
        <v>0</v>
      </c>
      <c r="C3712" s="5" t="s">
        <v>33</v>
      </c>
      <c r="D3712">
        <v>4906</v>
      </c>
      <c r="E3712" s="5" t="s">
        <v>78</v>
      </c>
      <c r="F3712" s="5" t="s">
        <v>17</v>
      </c>
      <c r="G3712">
        <v>25</v>
      </c>
    </row>
    <row r="3713" spans="1:7" x14ac:dyDescent="0.35">
      <c r="A3713">
        <v>137845</v>
      </c>
      <c r="B3713">
        <v>1</v>
      </c>
      <c r="C3713" s="5" t="s">
        <v>51</v>
      </c>
      <c r="D3713">
        <v>4601</v>
      </c>
      <c r="E3713" s="5" t="s">
        <v>82</v>
      </c>
      <c r="F3713" s="5" t="s">
        <v>14</v>
      </c>
      <c r="G3713">
        <v>15</v>
      </c>
    </row>
    <row r="3714" spans="1:7" x14ac:dyDescent="0.35">
      <c r="A3714">
        <v>59984</v>
      </c>
      <c r="B3714">
        <v>28</v>
      </c>
      <c r="C3714" s="5" t="s">
        <v>30</v>
      </c>
      <c r="D3714">
        <v>1601</v>
      </c>
      <c r="E3714" s="5" t="s">
        <v>83</v>
      </c>
      <c r="F3714" s="5" t="s">
        <v>17</v>
      </c>
      <c r="G3714">
        <v>17</v>
      </c>
    </row>
    <row r="3715" spans="1:7" x14ac:dyDescent="0.35">
      <c r="A3715">
        <v>141186</v>
      </c>
      <c r="B3715">
        <v>0</v>
      </c>
      <c r="C3715" s="5" t="s">
        <v>23</v>
      </c>
      <c r="D3715">
        <v>3107</v>
      </c>
      <c r="E3715" s="5" t="s">
        <v>80</v>
      </c>
      <c r="F3715" s="5" t="s">
        <v>17</v>
      </c>
      <c r="G3715">
        <v>12</v>
      </c>
    </row>
    <row r="3716" spans="1:7" x14ac:dyDescent="0.35">
      <c r="A3716">
        <v>138597</v>
      </c>
      <c r="B3716">
        <v>2</v>
      </c>
      <c r="C3716" s="5" t="s">
        <v>51</v>
      </c>
      <c r="D3716">
        <v>3009</v>
      </c>
      <c r="E3716" s="5" t="s">
        <v>84</v>
      </c>
      <c r="F3716" s="5" t="s">
        <v>17</v>
      </c>
      <c r="G3716">
        <v>11</v>
      </c>
    </row>
    <row r="3717" spans="1:7" x14ac:dyDescent="0.35">
      <c r="A3717">
        <v>150404</v>
      </c>
      <c r="B3717">
        <v>0</v>
      </c>
      <c r="C3717" s="5" t="s">
        <v>21</v>
      </c>
      <c r="D3717">
        <v>4801</v>
      </c>
      <c r="E3717" s="5" t="s">
        <v>80</v>
      </c>
      <c r="F3717" s="5" t="s">
        <v>17</v>
      </c>
      <c r="G3717">
        <v>10</v>
      </c>
    </row>
    <row r="3718" spans="1:7" x14ac:dyDescent="0.35">
      <c r="A3718">
        <v>166521</v>
      </c>
      <c r="B3718">
        <v>28</v>
      </c>
      <c r="C3718" s="5" t="s">
        <v>21</v>
      </c>
      <c r="D3718">
        <v>4612</v>
      </c>
      <c r="E3718" s="5" t="s">
        <v>83</v>
      </c>
      <c r="F3718" s="5" t="s">
        <v>17</v>
      </c>
      <c r="G3718">
        <v>27</v>
      </c>
    </row>
    <row r="3719" spans="1:7" x14ac:dyDescent="0.35">
      <c r="A3719">
        <v>148153</v>
      </c>
      <c r="B3719">
        <v>2</v>
      </c>
      <c r="C3719" s="5" t="s">
        <v>21</v>
      </c>
      <c r="D3719">
        <v>6201</v>
      </c>
      <c r="E3719" s="5" t="s">
        <v>82</v>
      </c>
      <c r="F3719" s="5" t="s">
        <v>17</v>
      </c>
      <c r="G3719">
        <v>11</v>
      </c>
    </row>
    <row r="3720" spans="1:7" x14ac:dyDescent="0.35">
      <c r="A3720">
        <v>38266</v>
      </c>
      <c r="B3720">
        <v>0</v>
      </c>
      <c r="C3720" s="5" t="s">
        <v>13</v>
      </c>
      <c r="D3720">
        <v>2201</v>
      </c>
      <c r="E3720" s="5" t="s">
        <v>91</v>
      </c>
      <c r="F3720" s="5" t="s">
        <v>17</v>
      </c>
      <c r="G3720">
        <v>10</v>
      </c>
    </row>
    <row r="3721" spans="1:7" x14ac:dyDescent="0.35">
      <c r="A3721">
        <v>161108</v>
      </c>
      <c r="B3721">
        <v>1</v>
      </c>
      <c r="C3721" s="5" t="s">
        <v>21</v>
      </c>
      <c r="D3721">
        <v>0</v>
      </c>
      <c r="E3721" s="5" t="s">
        <v>93</v>
      </c>
      <c r="F3721" s="5" t="s">
        <v>14</v>
      </c>
      <c r="G3721">
        <v>5</v>
      </c>
    </row>
    <row r="3722" spans="1:7" x14ac:dyDescent="0.35">
      <c r="A3722">
        <v>44406</v>
      </c>
      <c r="B3722">
        <v>0</v>
      </c>
      <c r="C3722" s="5" t="s">
        <v>13</v>
      </c>
      <c r="D3722">
        <v>3901</v>
      </c>
      <c r="E3722" s="5" t="s">
        <v>78</v>
      </c>
      <c r="F3722" s="5" t="s">
        <v>17</v>
      </c>
      <c r="G3722">
        <v>10</v>
      </c>
    </row>
    <row r="3723" spans="1:7" x14ac:dyDescent="0.35">
      <c r="A3723">
        <v>8669</v>
      </c>
      <c r="B3723">
        <v>2</v>
      </c>
      <c r="C3723" s="5" t="s">
        <v>16</v>
      </c>
      <c r="D3723">
        <v>5206</v>
      </c>
      <c r="E3723" s="5" t="s">
        <v>83</v>
      </c>
      <c r="F3723" s="5" t="s">
        <v>17</v>
      </c>
      <c r="G3723">
        <v>10</v>
      </c>
    </row>
    <row r="3724" spans="1:7" x14ac:dyDescent="0.35">
      <c r="A3724">
        <v>173702</v>
      </c>
      <c r="B3724">
        <v>0</v>
      </c>
      <c r="C3724" s="5" t="s">
        <v>34</v>
      </c>
      <c r="D3724">
        <v>2401</v>
      </c>
      <c r="E3724" s="5" t="s">
        <v>83</v>
      </c>
      <c r="F3724" s="5" t="s">
        <v>14</v>
      </c>
      <c r="G3724">
        <v>25</v>
      </c>
    </row>
    <row r="3725" spans="1:7" x14ac:dyDescent="0.35">
      <c r="A3725">
        <v>174956</v>
      </c>
      <c r="B3725">
        <v>2</v>
      </c>
      <c r="C3725" s="5" t="s">
        <v>47</v>
      </c>
      <c r="D3725">
        <v>1101</v>
      </c>
      <c r="E3725" s="5" t="s">
        <v>79</v>
      </c>
      <c r="F3725" s="5" t="s">
        <v>17</v>
      </c>
      <c r="G3725">
        <v>10</v>
      </c>
    </row>
    <row r="3726" spans="1:7" x14ac:dyDescent="0.35">
      <c r="A3726">
        <v>52592</v>
      </c>
      <c r="B3726">
        <v>0</v>
      </c>
      <c r="C3726" s="5" t="s">
        <v>49</v>
      </c>
      <c r="D3726">
        <v>4206</v>
      </c>
      <c r="E3726" s="5" t="s">
        <v>79</v>
      </c>
      <c r="F3726" s="5" t="s">
        <v>17</v>
      </c>
      <c r="G3726">
        <v>10</v>
      </c>
    </row>
    <row r="3727" spans="1:7" x14ac:dyDescent="0.35">
      <c r="A3727">
        <v>80505</v>
      </c>
      <c r="B3727">
        <v>0</v>
      </c>
      <c r="C3727" s="5" t="s">
        <v>32</v>
      </c>
      <c r="D3727">
        <v>3608</v>
      </c>
      <c r="E3727" s="5" t="s">
        <v>80</v>
      </c>
      <c r="F3727" s="5" t="s">
        <v>17</v>
      </c>
      <c r="G3727">
        <v>20</v>
      </c>
    </row>
    <row r="3728" spans="1:7" x14ac:dyDescent="0.35">
      <c r="A3728">
        <v>188734</v>
      </c>
      <c r="B3728">
        <v>14002</v>
      </c>
      <c r="C3728" s="5" t="s">
        <v>34</v>
      </c>
      <c r="D3728">
        <v>0</v>
      </c>
      <c r="E3728" s="5" t="s">
        <v>79</v>
      </c>
      <c r="F3728" s="5" t="s">
        <v>41</v>
      </c>
      <c r="G3728">
        <v>5</v>
      </c>
    </row>
    <row r="3729" spans="1:7" x14ac:dyDescent="0.35">
      <c r="A3729">
        <v>148569</v>
      </c>
      <c r="B3729">
        <v>1</v>
      </c>
      <c r="C3729" s="5" t="s">
        <v>21</v>
      </c>
      <c r="D3729">
        <v>3901</v>
      </c>
      <c r="E3729" s="5" t="s">
        <v>92</v>
      </c>
      <c r="F3729" s="5" t="s">
        <v>14</v>
      </c>
      <c r="G3729">
        <v>19</v>
      </c>
    </row>
    <row r="3730" spans="1:7" x14ac:dyDescent="0.35">
      <c r="A3730">
        <v>2262</v>
      </c>
      <c r="B3730">
        <v>0</v>
      </c>
      <c r="C3730" s="5" t="s">
        <v>21</v>
      </c>
      <c r="D3730">
        <v>4003</v>
      </c>
      <c r="E3730" s="5" t="s">
        <v>85</v>
      </c>
      <c r="F3730" s="5" t="s">
        <v>17</v>
      </c>
      <c r="G3730">
        <v>125</v>
      </c>
    </row>
    <row r="3731" spans="1:7" x14ac:dyDescent="0.35">
      <c r="A3731">
        <v>41091</v>
      </c>
      <c r="B3731">
        <v>2</v>
      </c>
      <c r="C3731" s="5" t="s">
        <v>13</v>
      </c>
      <c r="D3731">
        <v>2607</v>
      </c>
      <c r="E3731" s="5" t="s">
        <v>78</v>
      </c>
      <c r="F3731" s="5" t="s">
        <v>17</v>
      </c>
      <c r="G3731">
        <v>10</v>
      </c>
    </row>
    <row r="3732" spans="1:7" x14ac:dyDescent="0.35">
      <c r="A3732">
        <v>30047</v>
      </c>
      <c r="B3732">
        <v>2</v>
      </c>
      <c r="C3732" s="5" t="s">
        <v>36</v>
      </c>
      <c r="D3732">
        <v>5201</v>
      </c>
      <c r="E3732" s="5" t="s">
        <v>81</v>
      </c>
      <c r="F3732" s="5" t="s">
        <v>17</v>
      </c>
      <c r="G3732">
        <v>10</v>
      </c>
    </row>
    <row r="3733" spans="1:7" x14ac:dyDescent="0.35">
      <c r="A3733">
        <v>167580</v>
      </c>
      <c r="B3733">
        <v>1</v>
      </c>
      <c r="C3733" s="5" t="s">
        <v>21</v>
      </c>
      <c r="D3733">
        <v>0</v>
      </c>
      <c r="E3733" s="5" t="s">
        <v>85</v>
      </c>
      <c r="F3733" s="5" t="s">
        <v>14</v>
      </c>
      <c r="G3733">
        <v>21</v>
      </c>
    </row>
    <row r="3734" spans="1:7" x14ac:dyDescent="0.35">
      <c r="A3734">
        <v>76030</v>
      </c>
      <c r="B3734">
        <v>1</v>
      </c>
      <c r="C3734" s="5" t="s">
        <v>44</v>
      </c>
      <c r="D3734">
        <v>5401</v>
      </c>
      <c r="E3734" s="5" t="s">
        <v>80</v>
      </c>
      <c r="F3734" s="5" t="s">
        <v>14</v>
      </c>
      <c r="G3734">
        <v>14</v>
      </c>
    </row>
    <row r="3735" spans="1:7" x14ac:dyDescent="0.35">
      <c r="A3735">
        <v>21003</v>
      </c>
      <c r="B3735">
        <v>2</v>
      </c>
      <c r="C3735" s="5" t="s">
        <v>18</v>
      </c>
      <c r="D3735">
        <v>0</v>
      </c>
      <c r="E3735" s="5" t="s">
        <v>89</v>
      </c>
      <c r="F3735" s="5" t="s">
        <v>17</v>
      </c>
      <c r="G3735">
        <v>10</v>
      </c>
    </row>
    <row r="3736" spans="1:7" x14ac:dyDescent="0.35">
      <c r="A3736">
        <v>149117</v>
      </c>
      <c r="B3736">
        <v>0</v>
      </c>
      <c r="C3736" s="5" t="s">
        <v>21</v>
      </c>
      <c r="D3736">
        <v>0</v>
      </c>
      <c r="E3736" s="5" t="s">
        <v>78</v>
      </c>
      <c r="F3736" s="5" t="s">
        <v>17</v>
      </c>
      <c r="G3736">
        <v>30</v>
      </c>
    </row>
    <row r="3737" spans="1:7" x14ac:dyDescent="0.35">
      <c r="A3737">
        <v>47810</v>
      </c>
      <c r="B3737">
        <v>0</v>
      </c>
      <c r="C3737" s="5" t="s">
        <v>40</v>
      </c>
      <c r="D3737">
        <v>0</v>
      </c>
      <c r="E3737" s="5" t="s">
        <v>81</v>
      </c>
      <c r="F3737" s="5" t="s">
        <v>17</v>
      </c>
      <c r="G3737">
        <v>7</v>
      </c>
    </row>
    <row r="3738" spans="1:7" x14ac:dyDescent="0.35">
      <c r="A3738">
        <v>112301</v>
      </c>
      <c r="B3738">
        <v>0</v>
      </c>
      <c r="C3738" s="5" t="s">
        <v>20</v>
      </c>
      <c r="D3738">
        <v>0</v>
      </c>
      <c r="E3738" s="5" t="s">
        <v>89</v>
      </c>
      <c r="F3738" s="5" t="s">
        <v>86</v>
      </c>
      <c r="G3738">
        <v>10</v>
      </c>
    </row>
    <row r="3739" spans="1:7" x14ac:dyDescent="0.35">
      <c r="A3739">
        <v>100218</v>
      </c>
      <c r="B3739">
        <v>2</v>
      </c>
      <c r="C3739" s="5" t="s">
        <v>33</v>
      </c>
      <c r="D3739">
        <v>1701</v>
      </c>
      <c r="E3739" s="5" t="s">
        <v>91</v>
      </c>
      <c r="F3739" s="5" t="s">
        <v>17</v>
      </c>
      <c r="G3739">
        <v>8</v>
      </c>
    </row>
    <row r="3740" spans="1:7" x14ac:dyDescent="0.35">
      <c r="A3740">
        <v>14154</v>
      </c>
      <c r="B3740">
        <v>0</v>
      </c>
      <c r="C3740" s="5" t="s">
        <v>40</v>
      </c>
      <c r="D3740">
        <v>2201</v>
      </c>
      <c r="E3740" s="5" t="s">
        <v>84</v>
      </c>
      <c r="F3740" s="5" t="s">
        <v>17</v>
      </c>
      <c r="G3740">
        <v>15</v>
      </c>
    </row>
    <row r="3741" spans="1:7" x14ac:dyDescent="0.35">
      <c r="A3741">
        <v>16014</v>
      </c>
      <c r="B3741">
        <v>1</v>
      </c>
      <c r="C3741" s="5" t="s">
        <v>18</v>
      </c>
      <c r="D3741">
        <v>0</v>
      </c>
      <c r="E3741" s="5" t="s">
        <v>79</v>
      </c>
      <c r="F3741" s="5" t="s">
        <v>14</v>
      </c>
      <c r="G3741">
        <v>10</v>
      </c>
    </row>
    <row r="3742" spans="1:7" x14ac:dyDescent="0.35">
      <c r="A3742">
        <v>140723</v>
      </c>
      <c r="B3742">
        <v>1</v>
      </c>
      <c r="C3742" s="5" t="s">
        <v>20</v>
      </c>
      <c r="D3742">
        <v>2009</v>
      </c>
      <c r="E3742" s="5" t="s">
        <v>82</v>
      </c>
      <c r="F3742" s="5" t="s">
        <v>14</v>
      </c>
      <c r="G3742">
        <v>40</v>
      </c>
    </row>
    <row r="3743" spans="1:7" x14ac:dyDescent="0.35">
      <c r="A3743">
        <v>169346</v>
      </c>
      <c r="B3743">
        <v>0</v>
      </c>
      <c r="C3743" s="5" t="s">
        <v>21</v>
      </c>
      <c r="D3743">
        <v>5101</v>
      </c>
      <c r="E3743" s="5" t="s">
        <v>87</v>
      </c>
      <c r="F3743" s="5" t="s">
        <v>17</v>
      </c>
      <c r="G3743">
        <v>10</v>
      </c>
    </row>
    <row r="3744" spans="1:7" x14ac:dyDescent="0.35">
      <c r="A3744">
        <v>61536</v>
      </c>
      <c r="B3744">
        <v>0</v>
      </c>
      <c r="C3744" s="5" t="s">
        <v>30</v>
      </c>
      <c r="D3744">
        <v>0</v>
      </c>
      <c r="E3744" s="5" t="s">
        <v>87</v>
      </c>
      <c r="F3744" s="5" t="s">
        <v>14</v>
      </c>
      <c r="G3744">
        <v>25</v>
      </c>
    </row>
    <row r="3745" spans="1:7" x14ac:dyDescent="0.35">
      <c r="A3745">
        <v>154544</v>
      </c>
      <c r="B3745">
        <v>2</v>
      </c>
      <c r="C3745" s="5" t="s">
        <v>21</v>
      </c>
      <c r="D3745">
        <v>5304</v>
      </c>
      <c r="E3745" s="5" t="s">
        <v>79</v>
      </c>
      <c r="F3745" s="5" t="s">
        <v>17</v>
      </c>
      <c r="G3745">
        <v>20</v>
      </c>
    </row>
    <row r="3746" spans="1:7" x14ac:dyDescent="0.35">
      <c r="A3746">
        <v>185149</v>
      </c>
      <c r="B3746">
        <v>2</v>
      </c>
      <c r="C3746" s="5" t="s">
        <v>16</v>
      </c>
      <c r="D3746">
        <v>2103</v>
      </c>
      <c r="E3746" s="5" t="s">
        <v>94</v>
      </c>
      <c r="F3746" s="5" t="s">
        <v>14</v>
      </c>
      <c r="G3746">
        <v>5</v>
      </c>
    </row>
    <row r="3747" spans="1:7" x14ac:dyDescent="0.35">
      <c r="A3747">
        <v>186251</v>
      </c>
      <c r="B3747">
        <v>0</v>
      </c>
      <c r="C3747" s="5" t="s">
        <v>21</v>
      </c>
      <c r="D3747">
        <v>1002</v>
      </c>
      <c r="E3747" s="5" t="s">
        <v>85</v>
      </c>
      <c r="F3747" s="5" t="s">
        <v>17</v>
      </c>
      <c r="G3747">
        <v>17</v>
      </c>
    </row>
    <row r="3748" spans="1:7" x14ac:dyDescent="0.35">
      <c r="A3748">
        <v>44582</v>
      </c>
      <c r="B3748">
        <v>1</v>
      </c>
      <c r="C3748" s="5" t="s">
        <v>13</v>
      </c>
      <c r="D3748">
        <v>1901</v>
      </c>
      <c r="E3748" s="5" t="s">
        <v>94</v>
      </c>
      <c r="F3748" s="5" t="s">
        <v>14</v>
      </c>
      <c r="G3748">
        <v>5</v>
      </c>
    </row>
    <row r="3749" spans="1:7" x14ac:dyDescent="0.35">
      <c r="A3749">
        <v>177516</v>
      </c>
      <c r="B3749">
        <v>1</v>
      </c>
      <c r="C3749" s="5" t="s">
        <v>47</v>
      </c>
      <c r="D3749">
        <v>2102</v>
      </c>
      <c r="E3749" s="5" t="s">
        <v>81</v>
      </c>
      <c r="F3749" s="5" t="s">
        <v>14</v>
      </c>
      <c r="G3749">
        <v>37</v>
      </c>
    </row>
    <row r="3750" spans="1:7" x14ac:dyDescent="0.35">
      <c r="A3750">
        <v>107693</v>
      </c>
      <c r="B3750">
        <v>0</v>
      </c>
      <c r="C3750" s="5" t="s">
        <v>55</v>
      </c>
      <c r="D3750">
        <v>4401</v>
      </c>
      <c r="E3750" s="5" t="s">
        <v>81</v>
      </c>
      <c r="F3750" s="5" t="s">
        <v>17</v>
      </c>
      <c r="G3750">
        <v>10</v>
      </c>
    </row>
    <row r="3751" spans="1:7" x14ac:dyDescent="0.35">
      <c r="A3751">
        <v>33512</v>
      </c>
      <c r="B3751">
        <v>0</v>
      </c>
      <c r="C3751" s="5" t="s">
        <v>13</v>
      </c>
      <c r="D3751">
        <v>3401</v>
      </c>
      <c r="E3751" s="5" t="s">
        <v>89</v>
      </c>
      <c r="F3751" s="5" t="s">
        <v>17</v>
      </c>
      <c r="G3751">
        <v>19</v>
      </c>
    </row>
    <row r="3752" spans="1:7" x14ac:dyDescent="0.35">
      <c r="A3752">
        <v>105431</v>
      </c>
      <c r="B3752">
        <v>1</v>
      </c>
      <c r="C3752" s="5" t="s">
        <v>25</v>
      </c>
      <c r="D3752">
        <v>4301</v>
      </c>
      <c r="E3752" s="5" t="s">
        <v>81</v>
      </c>
      <c r="F3752" s="5" t="s">
        <v>14</v>
      </c>
      <c r="G3752">
        <v>25</v>
      </c>
    </row>
    <row r="3753" spans="1:7" x14ac:dyDescent="0.35">
      <c r="A3753">
        <v>188639</v>
      </c>
      <c r="B3753">
        <v>1</v>
      </c>
      <c r="C3753" s="5" t="s">
        <v>47</v>
      </c>
      <c r="D3753">
        <v>2401</v>
      </c>
      <c r="E3753" s="5" t="s">
        <v>82</v>
      </c>
      <c r="F3753" s="5" t="s">
        <v>14</v>
      </c>
      <c r="G3753">
        <v>24</v>
      </c>
    </row>
    <row r="3754" spans="1:7" x14ac:dyDescent="0.35">
      <c r="A3754">
        <v>36472</v>
      </c>
      <c r="B3754">
        <v>0</v>
      </c>
      <c r="C3754" s="5" t="s">
        <v>13</v>
      </c>
      <c r="D3754">
        <v>4001</v>
      </c>
      <c r="E3754" s="5" t="s">
        <v>82</v>
      </c>
      <c r="F3754" s="5" t="s">
        <v>17</v>
      </c>
      <c r="G3754">
        <v>13</v>
      </c>
    </row>
    <row r="3755" spans="1:7" x14ac:dyDescent="0.35">
      <c r="A3755">
        <v>166864</v>
      </c>
      <c r="B3755">
        <v>0</v>
      </c>
      <c r="C3755" s="5" t="s">
        <v>21</v>
      </c>
      <c r="D3755">
        <v>2001</v>
      </c>
      <c r="E3755" s="5" t="s">
        <v>83</v>
      </c>
      <c r="F3755" s="5" t="s">
        <v>17</v>
      </c>
      <c r="G3755">
        <v>25</v>
      </c>
    </row>
    <row r="3756" spans="1:7" x14ac:dyDescent="0.35">
      <c r="A3756">
        <v>176680</v>
      </c>
      <c r="B3756">
        <v>0</v>
      </c>
      <c r="C3756" s="5" t="s">
        <v>47</v>
      </c>
      <c r="D3756">
        <v>4702</v>
      </c>
      <c r="E3756" s="5" t="s">
        <v>82</v>
      </c>
      <c r="F3756" s="5" t="s">
        <v>17</v>
      </c>
      <c r="G3756">
        <v>5</v>
      </c>
    </row>
    <row r="3757" spans="1:7" x14ac:dyDescent="0.35">
      <c r="A3757">
        <v>49722</v>
      </c>
      <c r="B3757">
        <v>0</v>
      </c>
      <c r="C3757" s="5" t="s">
        <v>40</v>
      </c>
      <c r="D3757">
        <v>0</v>
      </c>
      <c r="E3757" s="5" t="s">
        <v>81</v>
      </c>
      <c r="F3757" s="5" t="s">
        <v>17</v>
      </c>
      <c r="G3757">
        <v>3</v>
      </c>
    </row>
    <row r="3758" spans="1:7" x14ac:dyDescent="0.35">
      <c r="A3758">
        <v>191528</v>
      </c>
      <c r="B3758">
        <v>28</v>
      </c>
      <c r="C3758" s="5" t="s">
        <v>20</v>
      </c>
      <c r="D3758">
        <v>4101</v>
      </c>
      <c r="E3758" s="5" t="s">
        <v>86</v>
      </c>
      <c r="F3758" s="5" t="s">
        <v>17</v>
      </c>
      <c r="G3758">
        <v>20</v>
      </c>
    </row>
    <row r="3759" spans="1:7" x14ac:dyDescent="0.35">
      <c r="A3759">
        <v>10631</v>
      </c>
      <c r="B3759">
        <v>0</v>
      </c>
      <c r="C3759" s="5" t="s">
        <v>40</v>
      </c>
      <c r="D3759">
        <v>0</v>
      </c>
      <c r="E3759" s="5" t="s">
        <v>87</v>
      </c>
      <c r="F3759" s="5" t="s">
        <v>86</v>
      </c>
      <c r="G3759">
        <v>15</v>
      </c>
    </row>
    <row r="3760" spans="1:7" x14ac:dyDescent="0.35">
      <c r="A3760">
        <v>118736</v>
      </c>
      <c r="B3760">
        <v>1</v>
      </c>
      <c r="C3760" s="5" t="s">
        <v>20</v>
      </c>
      <c r="D3760">
        <v>3001</v>
      </c>
      <c r="E3760" s="5" t="s">
        <v>78</v>
      </c>
      <c r="F3760" s="5" t="s">
        <v>14</v>
      </c>
      <c r="G3760">
        <v>25</v>
      </c>
    </row>
    <row r="3761" spans="1:7" x14ac:dyDescent="0.35">
      <c r="A3761">
        <v>36479</v>
      </c>
      <c r="B3761">
        <v>1</v>
      </c>
      <c r="C3761" s="5" t="s">
        <v>13</v>
      </c>
      <c r="D3761">
        <v>1502</v>
      </c>
      <c r="E3761" s="5" t="s">
        <v>78</v>
      </c>
      <c r="F3761" s="5" t="s">
        <v>14</v>
      </c>
      <c r="G3761">
        <v>10</v>
      </c>
    </row>
    <row r="3762" spans="1:7" x14ac:dyDescent="0.35">
      <c r="A3762">
        <v>182800</v>
      </c>
      <c r="B3762">
        <v>2</v>
      </c>
      <c r="C3762" s="5" t="s">
        <v>37</v>
      </c>
      <c r="D3762">
        <v>0</v>
      </c>
      <c r="E3762" s="5" t="s">
        <v>79</v>
      </c>
      <c r="F3762" s="5" t="s">
        <v>14</v>
      </c>
      <c r="G3762">
        <v>21</v>
      </c>
    </row>
    <row r="3763" spans="1:7" x14ac:dyDescent="0.35">
      <c r="A3763">
        <v>36165</v>
      </c>
      <c r="B3763">
        <v>0</v>
      </c>
      <c r="C3763" s="5" t="s">
        <v>13</v>
      </c>
      <c r="D3763">
        <v>2501</v>
      </c>
      <c r="E3763" s="5" t="s">
        <v>82</v>
      </c>
      <c r="F3763" s="5" t="s">
        <v>14</v>
      </c>
      <c r="G3763">
        <v>20</v>
      </c>
    </row>
    <row r="3764" spans="1:7" x14ac:dyDescent="0.35">
      <c r="A3764">
        <v>66187</v>
      </c>
      <c r="B3764">
        <v>28</v>
      </c>
      <c r="C3764" s="5" t="s">
        <v>26</v>
      </c>
      <c r="D3764">
        <v>0</v>
      </c>
      <c r="E3764" s="5" t="s">
        <v>80</v>
      </c>
      <c r="F3764" s="5" t="s">
        <v>17</v>
      </c>
      <c r="G3764">
        <v>15</v>
      </c>
    </row>
    <row r="3765" spans="1:7" x14ac:dyDescent="0.35">
      <c r="A3765">
        <v>189258</v>
      </c>
      <c r="B3765">
        <v>0</v>
      </c>
      <c r="C3765" s="5" t="s">
        <v>59</v>
      </c>
      <c r="D3765">
        <v>0</v>
      </c>
      <c r="E3765" s="5" t="s">
        <v>84</v>
      </c>
      <c r="F3765" s="5" t="s">
        <v>17</v>
      </c>
      <c r="G3765">
        <v>15</v>
      </c>
    </row>
    <row r="3766" spans="1:7" x14ac:dyDescent="0.35">
      <c r="A3766">
        <v>12853</v>
      </c>
      <c r="B3766">
        <v>2</v>
      </c>
      <c r="C3766" s="5" t="s">
        <v>23</v>
      </c>
      <c r="D3766">
        <v>2710</v>
      </c>
      <c r="E3766" s="5" t="s">
        <v>94</v>
      </c>
      <c r="F3766" s="5" t="s">
        <v>17</v>
      </c>
      <c r="G3766">
        <v>12</v>
      </c>
    </row>
    <row r="3767" spans="1:7" x14ac:dyDescent="0.35">
      <c r="A3767">
        <v>188377</v>
      </c>
      <c r="B3767">
        <v>0</v>
      </c>
      <c r="C3767" s="5" t="s">
        <v>16</v>
      </c>
      <c r="D3767">
        <v>1909</v>
      </c>
      <c r="E3767" s="5" t="s">
        <v>86</v>
      </c>
      <c r="F3767" s="5" t="s">
        <v>17</v>
      </c>
      <c r="G3767">
        <v>5</v>
      </c>
    </row>
    <row r="3768" spans="1:7" x14ac:dyDescent="0.35">
      <c r="A3768">
        <v>139926</v>
      </c>
      <c r="B3768">
        <v>28</v>
      </c>
      <c r="C3768" s="5" t="s">
        <v>50</v>
      </c>
      <c r="D3768">
        <v>0</v>
      </c>
      <c r="E3768" s="5" t="s">
        <v>84</v>
      </c>
      <c r="F3768" s="5" t="s">
        <v>17</v>
      </c>
      <c r="G3768">
        <v>20</v>
      </c>
    </row>
    <row r="3769" spans="1:7" x14ac:dyDescent="0.35">
      <c r="A3769">
        <v>10851</v>
      </c>
      <c r="B3769">
        <v>0</v>
      </c>
      <c r="C3769" s="5" t="s">
        <v>21</v>
      </c>
      <c r="D3769">
        <v>0</v>
      </c>
      <c r="E3769" s="5" t="s">
        <v>79</v>
      </c>
      <c r="F3769" s="5" t="s">
        <v>14</v>
      </c>
      <c r="G3769">
        <v>35</v>
      </c>
    </row>
    <row r="3770" spans="1:7" x14ac:dyDescent="0.35">
      <c r="A3770">
        <v>119366</v>
      </c>
      <c r="B3770">
        <v>1</v>
      </c>
      <c r="C3770" s="5" t="s">
        <v>20</v>
      </c>
      <c r="D3770">
        <v>6212</v>
      </c>
      <c r="E3770" s="5" t="s">
        <v>82</v>
      </c>
      <c r="F3770" s="5" t="s">
        <v>14</v>
      </c>
      <c r="G3770">
        <v>6</v>
      </c>
    </row>
    <row r="3771" spans="1:7" x14ac:dyDescent="0.35">
      <c r="A3771">
        <v>150260</v>
      </c>
      <c r="B3771">
        <v>0</v>
      </c>
      <c r="C3771" s="5" t="s">
        <v>21</v>
      </c>
      <c r="D3771">
        <v>2009</v>
      </c>
      <c r="E3771" s="5" t="s">
        <v>80</v>
      </c>
      <c r="F3771" s="5" t="s">
        <v>17</v>
      </c>
      <c r="G3771">
        <v>10</v>
      </c>
    </row>
    <row r="3772" spans="1:7" x14ac:dyDescent="0.35">
      <c r="A3772">
        <v>73272</v>
      </c>
      <c r="B3772">
        <v>0</v>
      </c>
      <c r="C3772" s="5" t="s">
        <v>26</v>
      </c>
      <c r="D3772">
        <v>2302</v>
      </c>
      <c r="E3772" s="5" t="s">
        <v>79</v>
      </c>
      <c r="F3772" s="5" t="s">
        <v>17</v>
      </c>
      <c r="G3772">
        <v>15</v>
      </c>
    </row>
    <row r="3773" spans="1:7" x14ac:dyDescent="0.35">
      <c r="A3773">
        <v>43101</v>
      </c>
      <c r="B3773">
        <v>0</v>
      </c>
      <c r="C3773" s="5" t="s">
        <v>13</v>
      </c>
      <c r="D3773">
        <v>4903</v>
      </c>
      <c r="E3773" s="5" t="s">
        <v>82</v>
      </c>
      <c r="F3773" s="5" t="s">
        <v>17</v>
      </c>
      <c r="G3773">
        <v>10</v>
      </c>
    </row>
    <row r="3774" spans="1:7" x14ac:dyDescent="0.35">
      <c r="A3774">
        <v>50640</v>
      </c>
      <c r="B3774">
        <v>2</v>
      </c>
      <c r="C3774" s="5" t="s">
        <v>13</v>
      </c>
      <c r="D3774">
        <v>2101</v>
      </c>
      <c r="E3774" s="5" t="s">
        <v>79</v>
      </c>
      <c r="F3774" s="5" t="s">
        <v>14</v>
      </c>
      <c r="G3774">
        <v>5</v>
      </c>
    </row>
    <row r="3775" spans="1:7" x14ac:dyDescent="0.35">
      <c r="A3775">
        <v>190577</v>
      </c>
      <c r="B3775">
        <v>2</v>
      </c>
      <c r="C3775" s="5" t="s">
        <v>20</v>
      </c>
      <c r="D3775">
        <v>5601</v>
      </c>
      <c r="E3775" s="5" t="s">
        <v>84</v>
      </c>
      <c r="F3775" s="5" t="s">
        <v>17</v>
      </c>
      <c r="G3775">
        <v>30</v>
      </c>
    </row>
    <row r="3776" spans="1:7" x14ac:dyDescent="0.35">
      <c r="A3776">
        <v>96003</v>
      </c>
      <c r="B3776">
        <v>0</v>
      </c>
      <c r="C3776" s="5" t="s">
        <v>16</v>
      </c>
      <c r="D3776">
        <v>2201</v>
      </c>
      <c r="E3776" s="5" t="s">
        <v>81</v>
      </c>
      <c r="F3776" s="5" t="s">
        <v>17</v>
      </c>
      <c r="G3776">
        <v>6</v>
      </c>
    </row>
    <row r="3777" spans="1:7" x14ac:dyDescent="0.35">
      <c r="A3777">
        <v>185913</v>
      </c>
      <c r="B3777">
        <v>0</v>
      </c>
      <c r="C3777" s="5" t="s">
        <v>21</v>
      </c>
      <c r="D3777">
        <v>0</v>
      </c>
      <c r="E3777" s="5" t="s">
        <v>80</v>
      </c>
      <c r="F3777" s="5" t="s">
        <v>14</v>
      </c>
      <c r="G3777">
        <v>10</v>
      </c>
    </row>
    <row r="3778" spans="1:7" x14ac:dyDescent="0.35">
      <c r="A3778">
        <v>54259</v>
      </c>
      <c r="B3778">
        <v>0</v>
      </c>
      <c r="C3778" s="5" t="s">
        <v>49</v>
      </c>
      <c r="D3778">
        <v>3201</v>
      </c>
      <c r="E3778" s="5" t="s">
        <v>86</v>
      </c>
      <c r="F3778" s="5" t="s">
        <v>14</v>
      </c>
      <c r="G3778">
        <v>15</v>
      </c>
    </row>
    <row r="3779" spans="1:7" x14ac:dyDescent="0.35">
      <c r="A3779">
        <v>85003</v>
      </c>
      <c r="B3779">
        <v>0</v>
      </c>
      <c r="C3779" s="5" t="s">
        <v>52</v>
      </c>
      <c r="D3779">
        <v>0</v>
      </c>
      <c r="E3779" s="5" t="s">
        <v>81</v>
      </c>
      <c r="F3779" s="5" t="s">
        <v>14</v>
      </c>
      <c r="G3779">
        <v>8</v>
      </c>
    </row>
    <row r="3780" spans="1:7" x14ac:dyDescent="0.35">
      <c r="A3780">
        <v>5074</v>
      </c>
      <c r="B3780">
        <v>1</v>
      </c>
      <c r="C3780" s="5" t="s">
        <v>21</v>
      </c>
      <c r="D3780">
        <v>1705</v>
      </c>
      <c r="E3780" s="5" t="s">
        <v>80</v>
      </c>
      <c r="F3780" s="5" t="s">
        <v>14</v>
      </c>
      <c r="G3780">
        <v>31</v>
      </c>
    </row>
    <row r="3781" spans="1:7" x14ac:dyDescent="0.35">
      <c r="A3781">
        <v>33359</v>
      </c>
      <c r="B3781">
        <v>28</v>
      </c>
      <c r="C3781" s="5" t="s">
        <v>13</v>
      </c>
      <c r="D3781">
        <v>3606</v>
      </c>
      <c r="E3781" s="5" t="s">
        <v>80</v>
      </c>
      <c r="F3781" s="5" t="s">
        <v>17</v>
      </c>
      <c r="G3781">
        <v>10</v>
      </c>
    </row>
    <row r="3782" spans="1:7" x14ac:dyDescent="0.35">
      <c r="A3782">
        <v>103982</v>
      </c>
      <c r="B3782">
        <v>1</v>
      </c>
      <c r="C3782" s="5" t="s">
        <v>33</v>
      </c>
      <c r="D3782">
        <v>3310</v>
      </c>
      <c r="E3782" s="5" t="s">
        <v>81</v>
      </c>
      <c r="F3782" s="5" t="s">
        <v>14</v>
      </c>
      <c r="G3782">
        <v>15</v>
      </c>
    </row>
    <row r="3783" spans="1:7" x14ac:dyDescent="0.35">
      <c r="A3783">
        <v>118564</v>
      </c>
      <c r="B3783">
        <v>0</v>
      </c>
      <c r="C3783" s="5" t="s">
        <v>20</v>
      </c>
      <c r="D3783">
        <v>3611</v>
      </c>
      <c r="E3783" s="5" t="s">
        <v>89</v>
      </c>
      <c r="F3783" s="5" t="s">
        <v>17</v>
      </c>
      <c r="G3783">
        <v>5</v>
      </c>
    </row>
    <row r="3784" spans="1:7" x14ac:dyDescent="0.35">
      <c r="A3784">
        <v>136991</v>
      </c>
      <c r="B3784">
        <v>0</v>
      </c>
      <c r="C3784" s="5" t="s">
        <v>51</v>
      </c>
      <c r="D3784">
        <v>4207</v>
      </c>
      <c r="E3784" s="5" t="s">
        <v>84</v>
      </c>
      <c r="F3784" s="5" t="s">
        <v>14</v>
      </c>
      <c r="G3784">
        <v>15</v>
      </c>
    </row>
    <row r="3785" spans="1:7" x14ac:dyDescent="0.35">
      <c r="A3785">
        <v>133305</v>
      </c>
      <c r="B3785">
        <v>0</v>
      </c>
      <c r="C3785" s="5" t="s">
        <v>38</v>
      </c>
      <c r="D3785">
        <v>2801</v>
      </c>
      <c r="E3785" s="5" t="s">
        <v>81</v>
      </c>
      <c r="F3785" s="5" t="s">
        <v>14</v>
      </c>
      <c r="G3785">
        <v>5</v>
      </c>
    </row>
    <row r="3786" spans="1:7" x14ac:dyDescent="0.35">
      <c r="A3786">
        <v>112148</v>
      </c>
      <c r="B3786">
        <v>1</v>
      </c>
      <c r="C3786" s="5" t="s">
        <v>29</v>
      </c>
      <c r="D3786">
        <v>1511</v>
      </c>
      <c r="E3786" s="5" t="s">
        <v>79</v>
      </c>
      <c r="F3786" s="5" t="s">
        <v>14</v>
      </c>
      <c r="G3786">
        <v>25</v>
      </c>
    </row>
    <row r="3787" spans="1:7" x14ac:dyDescent="0.35">
      <c r="A3787">
        <v>25804</v>
      </c>
      <c r="B3787">
        <v>1</v>
      </c>
      <c r="C3787" s="5" t="s">
        <v>36</v>
      </c>
      <c r="D3787">
        <v>5601</v>
      </c>
      <c r="E3787" s="5" t="s">
        <v>84</v>
      </c>
      <c r="F3787" s="5" t="s">
        <v>14</v>
      </c>
      <c r="G3787">
        <v>41</v>
      </c>
    </row>
    <row r="3788" spans="1:7" x14ac:dyDescent="0.35">
      <c r="A3788">
        <v>20167</v>
      </c>
      <c r="B3788">
        <v>1002</v>
      </c>
      <c r="C3788" s="5" t="s">
        <v>18</v>
      </c>
      <c r="D3788">
        <v>0</v>
      </c>
      <c r="E3788" s="5" t="s">
        <v>81</v>
      </c>
      <c r="F3788" s="5" t="s">
        <v>14</v>
      </c>
      <c r="G3788">
        <v>25</v>
      </c>
    </row>
    <row r="3789" spans="1:7" x14ac:dyDescent="0.35">
      <c r="A3789">
        <v>79717</v>
      </c>
      <c r="B3789">
        <v>1</v>
      </c>
      <c r="C3789" s="5" t="s">
        <v>32</v>
      </c>
      <c r="D3789">
        <v>5701</v>
      </c>
      <c r="E3789" s="5" t="s">
        <v>83</v>
      </c>
      <c r="F3789" s="5" t="s">
        <v>14</v>
      </c>
      <c r="G3789">
        <v>15</v>
      </c>
    </row>
    <row r="3790" spans="1:7" x14ac:dyDescent="0.35">
      <c r="A3790">
        <v>32950</v>
      </c>
      <c r="B3790">
        <v>2</v>
      </c>
      <c r="C3790" s="5" t="s">
        <v>13</v>
      </c>
      <c r="D3790">
        <v>4208</v>
      </c>
      <c r="E3790" s="5" t="s">
        <v>80</v>
      </c>
      <c r="F3790" s="5" t="s">
        <v>17</v>
      </c>
      <c r="G3790">
        <v>5</v>
      </c>
    </row>
    <row r="3791" spans="1:7" x14ac:dyDescent="0.35">
      <c r="A3791">
        <v>187604</v>
      </c>
      <c r="B3791">
        <v>0</v>
      </c>
      <c r="C3791" s="5" t="s">
        <v>49</v>
      </c>
      <c r="D3791">
        <v>0</v>
      </c>
      <c r="E3791" s="5" t="s">
        <v>84</v>
      </c>
      <c r="F3791" s="5" t="s">
        <v>86</v>
      </c>
      <c r="G3791">
        <v>11</v>
      </c>
    </row>
    <row r="3792" spans="1:7" x14ac:dyDescent="0.35">
      <c r="A3792">
        <v>45158</v>
      </c>
      <c r="B3792">
        <v>0</v>
      </c>
      <c r="C3792" s="5" t="s">
        <v>13</v>
      </c>
      <c r="D3792">
        <v>3408</v>
      </c>
      <c r="E3792" s="5" t="s">
        <v>78</v>
      </c>
      <c r="F3792" s="5" t="s">
        <v>17</v>
      </c>
      <c r="G3792">
        <v>10</v>
      </c>
    </row>
    <row r="3793" spans="1:7" x14ac:dyDescent="0.35">
      <c r="A3793">
        <v>145885</v>
      </c>
      <c r="B3793">
        <v>0</v>
      </c>
      <c r="C3793" s="5" t="s">
        <v>21</v>
      </c>
      <c r="D3793">
        <v>3801</v>
      </c>
      <c r="E3793" s="5" t="s">
        <v>83</v>
      </c>
      <c r="F3793" s="5" t="s">
        <v>17</v>
      </c>
      <c r="G3793">
        <v>20</v>
      </c>
    </row>
    <row r="3794" spans="1:7" x14ac:dyDescent="0.35">
      <c r="A3794">
        <v>104401</v>
      </c>
      <c r="B3794">
        <v>0</v>
      </c>
      <c r="C3794" s="5" t="s">
        <v>25</v>
      </c>
      <c r="D3794">
        <v>2702</v>
      </c>
      <c r="E3794" s="5" t="s">
        <v>82</v>
      </c>
      <c r="F3794" s="5" t="s">
        <v>17</v>
      </c>
      <c r="G3794">
        <v>15</v>
      </c>
    </row>
    <row r="3795" spans="1:7" x14ac:dyDescent="0.35">
      <c r="A3795">
        <v>176491</v>
      </c>
      <c r="B3795">
        <v>0</v>
      </c>
      <c r="C3795" s="5" t="s">
        <v>47</v>
      </c>
      <c r="D3795">
        <v>0</v>
      </c>
      <c r="E3795" s="5" t="s">
        <v>81</v>
      </c>
      <c r="F3795" s="5" t="s">
        <v>17</v>
      </c>
      <c r="G3795">
        <v>25</v>
      </c>
    </row>
    <row r="3796" spans="1:7" x14ac:dyDescent="0.35">
      <c r="A3796">
        <v>89873</v>
      </c>
      <c r="B3796">
        <v>0</v>
      </c>
      <c r="C3796" s="5" t="s">
        <v>16</v>
      </c>
      <c r="D3796">
        <v>4506</v>
      </c>
      <c r="E3796" s="5" t="s">
        <v>84</v>
      </c>
      <c r="F3796" s="5" t="s">
        <v>17</v>
      </c>
      <c r="G3796">
        <v>11</v>
      </c>
    </row>
    <row r="3797" spans="1:7" x14ac:dyDescent="0.35">
      <c r="A3797">
        <v>1673</v>
      </c>
      <c r="B3797">
        <v>0</v>
      </c>
      <c r="C3797" s="5" t="s">
        <v>35</v>
      </c>
      <c r="D3797">
        <v>3001</v>
      </c>
      <c r="E3797" s="5" t="s">
        <v>84</v>
      </c>
      <c r="F3797" s="5" t="s">
        <v>17</v>
      </c>
      <c r="G3797">
        <v>40</v>
      </c>
    </row>
    <row r="3798" spans="1:7" x14ac:dyDescent="0.35">
      <c r="A3798">
        <v>12874</v>
      </c>
      <c r="B3798">
        <v>2</v>
      </c>
      <c r="C3798" s="5" t="s">
        <v>52</v>
      </c>
      <c r="D3798">
        <v>1606</v>
      </c>
      <c r="E3798" s="5" t="s">
        <v>81</v>
      </c>
      <c r="F3798" s="5" t="s">
        <v>17</v>
      </c>
      <c r="G3798">
        <v>10</v>
      </c>
    </row>
    <row r="3799" spans="1:7" x14ac:dyDescent="0.35">
      <c r="A3799">
        <v>188851</v>
      </c>
      <c r="B3799">
        <v>1</v>
      </c>
      <c r="C3799" s="5" t="s">
        <v>21</v>
      </c>
      <c r="D3799">
        <v>1601</v>
      </c>
      <c r="E3799" s="5" t="s">
        <v>80</v>
      </c>
      <c r="F3799" s="5" t="s">
        <v>14</v>
      </c>
      <c r="G3799">
        <v>23</v>
      </c>
    </row>
    <row r="3800" spans="1:7" x14ac:dyDescent="0.35">
      <c r="A3800">
        <v>160258</v>
      </c>
      <c r="B3800">
        <v>0</v>
      </c>
      <c r="C3800" s="5" t="s">
        <v>21</v>
      </c>
      <c r="D3800">
        <v>1803</v>
      </c>
      <c r="E3800" s="5" t="s">
        <v>82</v>
      </c>
      <c r="F3800" s="5" t="s">
        <v>14</v>
      </c>
      <c r="G3800">
        <v>15</v>
      </c>
    </row>
    <row r="3801" spans="1:7" x14ac:dyDescent="0.35">
      <c r="A3801">
        <v>108760</v>
      </c>
      <c r="B3801">
        <v>2</v>
      </c>
      <c r="C3801" s="5" t="s">
        <v>46</v>
      </c>
      <c r="D3801">
        <v>0</v>
      </c>
      <c r="E3801" s="5" t="s">
        <v>89</v>
      </c>
      <c r="F3801" s="5" t="s">
        <v>17</v>
      </c>
      <c r="G3801">
        <v>22</v>
      </c>
    </row>
    <row r="3802" spans="1:7" x14ac:dyDescent="0.35">
      <c r="A3802">
        <v>187696</v>
      </c>
      <c r="B3802">
        <v>28</v>
      </c>
      <c r="C3802" s="5" t="s">
        <v>20</v>
      </c>
      <c r="D3802">
        <v>0</v>
      </c>
      <c r="E3802" s="5" t="s">
        <v>82</v>
      </c>
      <c r="F3802" s="5" t="s">
        <v>17</v>
      </c>
      <c r="G3802">
        <v>10</v>
      </c>
    </row>
    <row r="3803" spans="1:7" x14ac:dyDescent="0.35">
      <c r="A3803">
        <v>66199</v>
      </c>
      <c r="B3803">
        <v>0</v>
      </c>
      <c r="C3803" s="5" t="s">
        <v>26</v>
      </c>
      <c r="D3803">
        <v>0</v>
      </c>
      <c r="E3803" s="5" t="s">
        <v>80</v>
      </c>
      <c r="F3803" s="5" t="s">
        <v>17</v>
      </c>
      <c r="G3803">
        <v>5</v>
      </c>
    </row>
    <row r="3804" spans="1:7" x14ac:dyDescent="0.35">
      <c r="A3804">
        <v>104905</v>
      </c>
      <c r="B3804">
        <v>0</v>
      </c>
      <c r="C3804" s="5" t="s">
        <v>25</v>
      </c>
      <c r="D3804">
        <v>5401</v>
      </c>
      <c r="E3804" s="5" t="s">
        <v>83</v>
      </c>
      <c r="F3804" s="5" t="s">
        <v>17</v>
      </c>
      <c r="G3804">
        <v>15</v>
      </c>
    </row>
    <row r="3805" spans="1:7" x14ac:dyDescent="0.35">
      <c r="A3805">
        <v>102665</v>
      </c>
      <c r="B3805">
        <v>1</v>
      </c>
      <c r="C3805" s="5" t="s">
        <v>33</v>
      </c>
      <c r="D3805">
        <v>4001</v>
      </c>
      <c r="E3805" s="5" t="s">
        <v>87</v>
      </c>
      <c r="F3805" s="5" t="s">
        <v>14</v>
      </c>
      <c r="G3805">
        <v>20</v>
      </c>
    </row>
    <row r="3806" spans="1:7" x14ac:dyDescent="0.35">
      <c r="A3806">
        <v>137199</v>
      </c>
      <c r="B3806">
        <v>2</v>
      </c>
      <c r="C3806" s="5" t="s">
        <v>51</v>
      </c>
      <c r="D3806">
        <v>808</v>
      </c>
      <c r="E3806" s="5" t="s">
        <v>82</v>
      </c>
      <c r="F3806" s="5" t="s">
        <v>17</v>
      </c>
      <c r="G3806">
        <v>10</v>
      </c>
    </row>
    <row r="3807" spans="1:7" x14ac:dyDescent="0.35">
      <c r="A3807">
        <v>159507</v>
      </c>
      <c r="B3807">
        <v>0</v>
      </c>
      <c r="C3807" s="5" t="s">
        <v>21</v>
      </c>
      <c r="D3807">
        <v>2301</v>
      </c>
      <c r="E3807" s="5" t="s">
        <v>79</v>
      </c>
      <c r="F3807" s="5" t="s">
        <v>17</v>
      </c>
      <c r="G3807">
        <v>20</v>
      </c>
    </row>
    <row r="3808" spans="1:7" x14ac:dyDescent="0.35">
      <c r="A3808">
        <v>137577</v>
      </c>
      <c r="B3808">
        <v>0</v>
      </c>
      <c r="C3808" s="5" t="s">
        <v>51</v>
      </c>
      <c r="D3808">
        <v>0</v>
      </c>
      <c r="E3808" s="5" t="s">
        <v>83</v>
      </c>
      <c r="F3808" s="5" t="s">
        <v>14</v>
      </c>
      <c r="G3808">
        <v>10</v>
      </c>
    </row>
    <row r="3809" spans="1:7" x14ac:dyDescent="0.35">
      <c r="A3809">
        <v>113805</v>
      </c>
      <c r="B3809">
        <v>0</v>
      </c>
      <c r="C3809" s="5" t="s">
        <v>28</v>
      </c>
      <c r="D3809">
        <v>2001</v>
      </c>
      <c r="E3809" s="5" t="s">
        <v>79</v>
      </c>
      <c r="F3809" s="5" t="s">
        <v>17</v>
      </c>
      <c r="G3809">
        <v>20</v>
      </c>
    </row>
    <row r="3810" spans="1:7" x14ac:dyDescent="0.35">
      <c r="A3810">
        <v>46203</v>
      </c>
      <c r="B3810">
        <v>0</v>
      </c>
      <c r="C3810" s="5" t="s">
        <v>21</v>
      </c>
      <c r="D3810">
        <v>3701</v>
      </c>
      <c r="E3810" s="5" t="s">
        <v>85</v>
      </c>
      <c r="F3810" s="5" t="s">
        <v>17</v>
      </c>
      <c r="G3810">
        <v>10</v>
      </c>
    </row>
    <row r="3811" spans="1:7" x14ac:dyDescent="0.35">
      <c r="A3811">
        <v>78753</v>
      </c>
      <c r="B3811">
        <v>0</v>
      </c>
      <c r="C3811" s="5" t="s">
        <v>32</v>
      </c>
      <c r="D3811">
        <v>1801</v>
      </c>
      <c r="E3811" s="5" t="s">
        <v>93</v>
      </c>
      <c r="F3811" s="5" t="s">
        <v>17</v>
      </c>
      <c r="G3811">
        <v>3</v>
      </c>
    </row>
    <row r="3812" spans="1:7" x14ac:dyDescent="0.35">
      <c r="A3812">
        <v>189711</v>
      </c>
      <c r="B3812">
        <v>1</v>
      </c>
      <c r="C3812" s="5" t="s">
        <v>51</v>
      </c>
      <c r="D3812">
        <v>0</v>
      </c>
      <c r="E3812" s="5" t="s">
        <v>80</v>
      </c>
      <c r="F3812" s="5" t="s">
        <v>14</v>
      </c>
      <c r="G3812">
        <v>10</v>
      </c>
    </row>
    <row r="3813" spans="1:7" x14ac:dyDescent="0.35">
      <c r="A3813">
        <v>160972</v>
      </c>
      <c r="B3813">
        <v>1</v>
      </c>
      <c r="C3813" s="5" t="s">
        <v>21</v>
      </c>
      <c r="D3813">
        <v>1901</v>
      </c>
      <c r="E3813" s="5" t="s">
        <v>84</v>
      </c>
      <c r="F3813" s="5" t="s">
        <v>14</v>
      </c>
      <c r="G3813">
        <v>53</v>
      </c>
    </row>
    <row r="3814" spans="1:7" x14ac:dyDescent="0.35">
      <c r="A3814">
        <v>28514</v>
      </c>
      <c r="B3814">
        <v>0</v>
      </c>
      <c r="C3814" s="5" t="s">
        <v>36</v>
      </c>
      <c r="D3814">
        <v>4801</v>
      </c>
      <c r="E3814" s="5" t="s">
        <v>83</v>
      </c>
      <c r="F3814" s="5" t="s">
        <v>17</v>
      </c>
      <c r="G3814">
        <v>21</v>
      </c>
    </row>
    <row r="3815" spans="1:7" x14ac:dyDescent="0.35">
      <c r="A3815">
        <v>51469</v>
      </c>
      <c r="B3815">
        <v>28</v>
      </c>
      <c r="C3815" s="5" t="s">
        <v>49</v>
      </c>
      <c r="D3815">
        <v>5401</v>
      </c>
      <c r="E3815" s="5" t="s">
        <v>78</v>
      </c>
      <c r="F3815" s="5" t="s">
        <v>17</v>
      </c>
      <c r="G3815">
        <v>10</v>
      </c>
    </row>
    <row r="3816" spans="1:7" x14ac:dyDescent="0.35">
      <c r="A3816">
        <v>4693</v>
      </c>
      <c r="B3816">
        <v>0</v>
      </c>
      <c r="C3816" s="5" t="s">
        <v>21</v>
      </c>
      <c r="D3816">
        <v>4005</v>
      </c>
      <c r="E3816" s="5" t="s">
        <v>82</v>
      </c>
      <c r="F3816" s="5" t="s">
        <v>17</v>
      </c>
      <c r="G3816">
        <v>18</v>
      </c>
    </row>
    <row r="3817" spans="1:7" x14ac:dyDescent="0.35">
      <c r="A3817">
        <v>22664</v>
      </c>
      <c r="B3817">
        <v>0</v>
      </c>
      <c r="C3817" s="5" t="s">
        <v>43</v>
      </c>
      <c r="D3817">
        <v>0</v>
      </c>
      <c r="E3817" s="5" t="s">
        <v>89</v>
      </c>
      <c r="F3817" s="5" t="s">
        <v>17</v>
      </c>
      <c r="G3817">
        <v>17</v>
      </c>
    </row>
    <row r="3818" spans="1:7" x14ac:dyDescent="0.35">
      <c r="A3818">
        <v>39967</v>
      </c>
      <c r="B3818">
        <v>1</v>
      </c>
      <c r="C3818" s="5" t="s">
        <v>13</v>
      </c>
      <c r="D3818">
        <v>3001</v>
      </c>
      <c r="E3818" s="5" t="s">
        <v>78</v>
      </c>
      <c r="F3818" s="5" t="s">
        <v>14</v>
      </c>
      <c r="G3818">
        <v>75</v>
      </c>
    </row>
    <row r="3819" spans="1:7" x14ac:dyDescent="0.35">
      <c r="A3819">
        <v>60490</v>
      </c>
      <c r="B3819">
        <v>0</v>
      </c>
      <c r="C3819" s="5" t="s">
        <v>30</v>
      </c>
      <c r="D3819">
        <v>5201</v>
      </c>
      <c r="E3819" s="5" t="s">
        <v>84</v>
      </c>
      <c r="F3819" s="5" t="s">
        <v>17</v>
      </c>
      <c r="G3819">
        <v>60</v>
      </c>
    </row>
    <row r="3820" spans="1:7" x14ac:dyDescent="0.35">
      <c r="A3820">
        <v>74523</v>
      </c>
      <c r="B3820">
        <v>0</v>
      </c>
      <c r="C3820" s="5" t="s">
        <v>26</v>
      </c>
      <c r="D3820">
        <v>0</v>
      </c>
      <c r="E3820" s="5" t="s">
        <v>87</v>
      </c>
      <c r="F3820" s="5" t="s">
        <v>17</v>
      </c>
      <c r="G3820">
        <v>10</v>
      </c>
    </row>
    <row r="3821" spans="1:7" x14ac:dyDescent="0.35">
      <c r="A3821">
        <v>70146</v>
      </c>
      <c r="B3821">
        <v>2</v>
      </c>
      <c r="C3821" s="5" t="s">
        <v>26</v>
      </c>
      <c r="D3821">
        <v>3807</v>
      </c>
      <c r="E3821" s="5" t="s">
        <v>79</v>
      </c>
      <c r="F3821" s="5" t="s">
        <v>17</v>
      </c>
      <c r="G3821">
        <v>10</v>
      </c>
    </row>
    <row r="3822" spans="1:7" x14ac:dyDescent="0.35">
      <c r="A3822">
        <v>125501</v>
      </c>
      <c r="B3822">
        <v>28</v>
      </c>
      <c r="C3822" s="5" t="s">
        <v>20</v>
      </c>
      <c r="D3822">
        <v>4801</v>
      </c>
      <c r="E3822" s="5" t="s">
        <v>91</v>
      </c>
      <c r="F3822" s="5" t="s">
        <v>17</v>
      </c>
      <c r="G3822">
        <v>14</v>
      </c>
    </row>
    <row r="3823" spans="1:7" x14ac:dyDescent="0.35">
      <c r="A3823">
        <v>38853</v>
      </c>
      <c r="B3823">
        <v>2</v>
      </c>
      <c r="C3823" s="5" t="s">
        <v>30</v>
      </c>
      <c r="D3823">
        <v>2807</v>
      </c>
      <c r="E3823" s="5" t="s">
        <v>91</v>
      </c>
      <c r="F3823" s="5" t="s">
        <v>17</v>
      </c>
      <c r="G3823">
        <v>12</v>
      </c>
    </row>
    <row r="3824" spans="1:7" x14ac:dyDescent="0.35">
      <c r="A3824">
        <v>25591</v>
      </c>
      <c r="B3824">
        <v>0</v>
      </c>
      <c r="C3824" s="5" t="s">
        <v>36</v>
      </c>
      <c r="D3824">
        <v>0</v>
      </c>
      <c r="E3824" s="5" t="s">
        <v>87</v>
      </c>
      <c r="F3824" s="5" t="s">
        <v>17</v>
      </c>
      <c r="G3824">
        <v>13</v>
      </c>
    </row>
    <row r="3825" spans="1:7" x14ac:dyDescent="0.35">
      <c r="A3825">
        <v>66610</v>
      </c>
      <c r="B3825">
        <v>2</v>
      </c>
      <c r="C3825" s="5" t="s">
        <v>26</v>
      </c>
      <c r="D3825">
        <v>2401</v>
      </c>
      <c r="E3825" s="5" t="s">
        <v>80</v>
      </c>
      <c r="F3825" s="5" t="s">
        <v>17</v>
      </c>
      <c r="G3825">
        <v>10</v>
      </c>
    </row>
    <row r="3826" spans="1:7" x14ac:dyDescent="0.35">
      <c r="A3826">
        <v>11738</v>
      </c>
      <c r="B3826">
        <v>1</v>
      </c>
      <c r="C3826" s="5" t="s">
        <v>21</v>
      </c>
      <c r="D3826">
        <v>1301</v>
      </c>
      <c r="E3826" s="5" t="s">
        <v>83</v>
      </c>
      <c r="F3826" s="5" t="s">
        <v>14</v>
      </c>
      <c r="G3826">
        <v>10</v>
      </c>
    </row>
    <row r="3827" spans="1:7" x14ac:dyDescent="0.35">
      <c r="A3827">
        <v>117026</v>
      </c>
      <c r="B3827">
        <v>3</v>
      </c>
      <c r="C3827" s="5" t="s">
        <v>20</v>
      </c>
      <c r="D3827">
        <v>3801</v>
      </c>
      <c r="E3827" s="5" t="s">
        <v>88</v>
      </c>
      <c r="F3827" s="5" t="s">
        <v>14</v>
      </c>
      <c r="G3827">
        <v>9</v>
      </c>
    </row>
    <row r="3828" spans="1:7" x14ac:dyDescent="0.35">
      <c r="A3828">
        <v>59588</v>
      </c>
      <c r="B3828">
        <v>0</v>
      </c>
      <c r="C3828" s="5" t="s">
        <v>30</v>
      </c>
      <c r="D3828">
        <v>2001</v>
      </c>
      <c r="E3828" s="5" t="s">
        <v>81</v>
      </c>
      <c r="F3828" s="5" t="s">
        <v>14</v>
      </c>
      <c r="G3828">
        <v>3</v>
      </c>
    </row>
    <row r="3829" spans="1:7" x14ac:dyDescent="0.35">
      <c r="A3829">
        <v>162997</v>
      </c>
      <c r="B3829">
        <v>2</v>
      </c>
      <c r="C3829" s="5" t="s">
        <v>21</v>
      </c>
      <c r="D3829">
        <v>3701</v>
      </c>
      <c r="E3829" s="5" t="s">
        <v>91</v>
      </c>
      <c r="F3829" s="5" t="s">
        <v>17</v>
      </c>
      <c r="G3829">
        <v>21</v>
      </c>
    </row>
    <row r="3830" spans="1:7" x14ac:dyDescent="0.35">
      <c r="A3830">
        <v>136747</v>
      </c>
      <c r="B3830">
        <v>2</v>
      </c>
      <c r="C3830" s="5" t="s">
        <v>51</v>
      </c>
      <c r="D3830">
        <v>3401</v>
      </c>
      <c r="E3830" s="5" t="s">
        <v>80</v>
      </c>
      <c r="F3830" s="5" t="s">
        <v>17</v>
      </c>
      <c r="G3830">
        <v>6</v>
      </c>
    </row>
    <row r="3831" spans="1:7" x14ac:dyDescent="0.35">
      <c r="A3831">
        <v>115088</v>
      </c>
      <c r="B3831">
        <v>0</v>
      </c>
      <c r="C3831" s="5" t="s">
        <v>28</v>
      </c>
      <c r="D3831">
        <v>2001</v>
      </c>
      <c r="E3831" s="5" t="s">
        <v>79</v>
      </c>
      <c r="F3831" s="5" t="s">
        <v>17</v>
      </c>
      <c r="G3831">
        <v>17</v>
      </c>
    </row>
    <row r="3832" spans="1:7" x14ac:dyDescent="0.35">
      <c r="A3832">
        <v>168358</v>
      </c>
      <c r="B3832">
        <v>1</v>
      </c>
      <c r="C3832" s="5" t="s">
        <v>21</v>
      </c>
      <c r="D3832">
        <v>5501</v>
      </c>
      <c r="E3832" s="5" t="s">
        <v>91</v>
      </c>
      <c r="F3832" s="5" t="s">
        <v>14</v>
      </c>
      <c r="G3832">
        <v>10</v>
      </c>
    </row>
    <row r="3833" spans="1:7" x14ac:dyDescent="0.35">
      <c r="A3833">
        <v>24896</v>
      </c>
      <c r="B3833">
        <v>1</v>
      </c>
      <c r="C3833" s="5" t="s">
        <v>43</v>
      </c>
      <c r="D3833">
        <v>3012</v>
      </c>
      <c r="E3833" s="5" t="s">
        <v>82</v>
      </c>
      <c r="F3833" s="5" t="s">
        <v>14</v>
      </c>
      <c r="G3833">
        <v>15</v>
      </c>
    </row>
    <row r="3834" spans="1:7" x14ac:dyDescent="0.35">
      <c r="A3834">
        <v>157061</v>
      </c>
      <c r="B3834">
        <v>0</v>
      </c>
      <c r="C3834" s="5" t="s">
        <v>21</v>
      </c>
      <c r="D3834">
        <v>0</v>
      </c>
      <c r="E3834" s="5" t="s">
        <v>83</v>
      </c>
      <c r="F3834" s="5" t="s">
        <v>17</v>
      </c>
      <c r="G3834">
        <v>25</v>
      </c>
    </row>
    <row r="3835" spans="1:7" x14ac:dyDescent="0.35">
      <c r="A3835">
        <v>127795</v>
      </c>
      <c r="B3835">
        <v>1</v>
      </c>
      <c r="C3835" s="5" t="s">
        <v>20</v>
      </c>
      <c r="D3835">
        <v>5107</v>
      </c>
      <c r="E3835" s="5" t="s">
        <v>78</v>
      </c>
      <c r="F3835" s="5" t="s">
        <v>14</v>
      </c>
      <c r="G3835">
        <v>15</v>
      </c>
    </row>
    <row r="3836" spans="1:7" x14ac:dyDescent="0.35">
      <c r="A3836">
        <v>13215</v>
      </c>
      <c r="B3836">
        <v>1</v>
      </c>
      <c r="C3836" s="5" t="s">
        <v>21</v>
      </c>
      <c r="D3836">
        <v>5001</v>
      </c>
      <c r="E3836" s="5" t="s">
        <v>81</v>
      </c>
      <c r="F3836" s="5" t="s">
        <v>14</v>
      </c>
      <c r="G3836">
        <v>21</v>
      </c>
    </row>
    <row r="3837" spans="1:7" x14ac:dyDescent="0.35">
      <c r="A3837">
        <v>129899</v>
      </c>
      <c r="B3837">
        <v>0</v>
      </c>
      <c r="C3837" s="5" t="s">
        <v>45</v>
      </c>
      <c r="D3837">
        <v>2201</v>
      </c>
      <c r="E3837" s="5" t="s">
        <v>80</v>
      </c>
      <c r="F3837" s="5" t="s">
        <v>14</v>
      </c>
      <c r="G3837">
        <v>12</v>
      </c>
    </row>
    <row r="3838" spans="1:7" x14ac:dyDescent="0.35">
      <c r="A3838">
        <v>156428</v>
      </c>
      <c r="B3838">
        <v>0</v>
      </c>
      <c r="C3838" s="5" t="s">
        <v>21</v>
      </c>
      <c r="D3838">
        <v>2610</v>
      </c>
      <c r="E3838" s="5" t="s">
        <v>85</v>
      </c>
      <c r="F3838" s="5" t="s">
        <v>17</v>
      </c>
      <c r="G3838">
        <v>9</v>
      </c>
    </row>
    <row r="3839" spans="1:7" x14ac:dyDescent="0.35">
      <c r="A3839">
        <v>157284</v>
      </c>
      <c r="B3839">
        <v>0</v>
      </c>
      <c r="C3839" s="5" t="s">
        <v>21</v>
      </c>
      <c r="D3839">
        <v>1501</v>
      </c>
      <c r="E3839" s="5" t="s">
        <v>83</v>
      </c>
      <c r="F3839" s="5" t="s">
        <v>17</v>
      </c>
      <c r="G3839">
        <v>20</v>
      </c>
    </row>
    <row r="3840" spans="1:7" x14ac:dyDescent="0.35">
      <c r="A3840">
        <v>147508</v>
      </c>
      <c r="B3840">
        <v>0</v>
      </c>
      <c r="C3840" s="5" t="s">
        <v>21</v>
      </c>
      <c r="D3840">
        <v>0</v>
      </c>
      <c r="E3840" s="5" t="s">
        <v>80</v>
      </c>
      <c r="F3840" s="5" t="s">
        <v>17</v>
      </c>
      <c r="G3840">
        <v>10</v>
      </c>
    </row>
    <row r="3841" spans="1:7" x14ac:dyDescent="0.35">
      <c r="A3841">
        <v>37575</v>
      </c>
      <c r="B3841">
        <v>1</v>
      </c>
      <c r="C3841" s="5" t="s">
        <v>13</v>
      </c>
      <c r="D3841">
        <v>0</v>
      </c>
      <c r="E3841" s="5" t="s">
        <v>85</v>
      </c>
      <c r="F3841" s="5" t="s">
        <v>14</v>
      </c>
      <c r="G3841">
        <v>50</v>
      </c>
    </row>
    <row r="3842" spans="1:7" x14ac:dyDescent="0.35">
      <c r="A3842">
        <v>91787</v>
      </c>
      <c r="B3842">
        <v>2</v>
      </c>
      <c r="C3842" s="5" t="s">
        <v>16</v>
      </c>
      <c r="D3842">
        <v>4601</v>
      </c>
      <c r="E3842" s="5" t="s">
        <v>83</v>
      </c>
      <c r="F3842" s="5" t="s">
        <v>17</v>
      </c>
      <c r="G3842">
        <v>25</v>
      </c>
    </row>
    <row r="3843" spans="1:7" x14ac:dyDescent="0.35">
      <c r="A3843">
        <v>160292</v>
      </c>
      <c r="B3843">
        <v>2</v>
      </c>
      <c r="C3843" s="5" t="s">
        <v>21</v>
      </c>
      <c r="D3843">
        <v>1304</v>
      </c>
      <c r="E3843" s="5" t="s">
        <v>89</v>
      </c>
      <c r="F3843" s="5" t="s">
        <v>14</v>
      </c>
      <c r="G3843">
        <v>16</v>
      </c>
    </row>
    <row r="3844" spans="1:7" x14ac:dyDescent="0.35">
      <c r="A3844">
        <v>32288</v>
      </c>
      <c r="B3844">
        <v>2</v>
      </c>
      <c r="C3844" s="5" t="s">
        <v>13</v>
      </c>
      <c r="D3844">
        <v>3601</v>
      </c>
      <c r="E3844" s="5" t="s">
        <v>87</v>
      </c>
      <c r="F3844" s="5" t="s">
        <v>17</v>
      </c>
      <c r="G3844">
        <v>10</v>
      </c>
    </row>
    <row r="3845" spans="1:7" x14ac:dyDescent="0.35">
      <c r="A3845">
        <v>14152</v>
      </c>
      <c r="B3845">
        <v>1</v>
      </c>
      <c r="C3845" s="5" t="s">
        <v>35</v>
      </c>
      <c r="D3845">
        <v>4508</v>
      </c>
      <c r="E3845" s="5" t="s">
        <v>78</v>
      </c>
      <c r="F3845" s="5" t="s">
        <v>14</v>
      </c>
      <c r="G3845">
        <v>10</v>
      </c>
    </row>
    <row r="3846" spans="1:7" x14ac:dyDescent="0.35">
      <c r="A3846">
        <v>115346</v>
      </c>
      <c r="B3846">
        <v>0</v>
      </c>
      <c r="C3846" s="5" t="s">
        <v>28</v>
      </c>
      <c r="D3846">
        <v>4201</v>
      </c>
      <c r="E3846" s="5" t="s">
        <v>89</v>
      </c>
      <c r="F3846" s="5" t="s">
        <v>17</v>
      </c>
      <c r="G3846">
        <v>25</v>
      </c>
    </row>
    <row r="3847" spans="1:7" x14ac:dyDescent="0.35">
      <c r="A3847">
        <v>18339</v>
      </c>
      <c r="B3847">
        <v>1</v>
      </c>
      <c r="C3847" s="5" t="s">
        <v>18</v>
      </c>
      <c r="D3847">
        <v>4801</v>
      </c>
      <c r="E3847" s="5" t="s">
        <v>81</v>
      </c>
      <c r="F3847" s="5" t="s">
        <v>14</v>
      </c>
      <c r="G3847">
        <v>10</v>
      </c>
    </row>
    <row r="3848" spans="1:7" x14ac:dyDescent="0.35">
      <c r="A3848">
        <v>26645</v>
      </c>
      <c r="B3848">
        <v>2</v>
      </c>
      <c r="C3848" s="5" t="s">
        <v>36</v>
      </c>
      <c r="D3848">
        <v>4901</v>
      </c>
      <c r="E3848" s="5" t="s">
        <v>81</v>
      </c>
      <c r="F3848" s="5" t="s">
        <v>17</v>
      </c>
      <c r="G3848">
        <v>15</v>
      </c>
    </row>
    <row r="3849" spans="1:7" x14ac:dyDescent="0.35">
      <c r="A3849">
        <v>85617</v>
      </c>
      <c r="B3849">
        <v>0</v>
      </c>
      <c r="C3849" s="5" t="s">
        <v>52</v>
      </c>
      <c r="D3849">
        <v>1801</v>
      </c>
      <c r="E3849" s="5" t="s">
        <v>81</v>
      </c>
      <c r="F3849" s="5" t="s">
        <v>14</v>
      </c>
      <c r="G3849">
        <v>9</v>
      </c>
    </row>
    <row r="3850" spans="1:7" x14ac:dyDescent="0.35">
      <c r="A3850">
        <v>66830</v>
      </c>
      <c r="B3850">
        <v>0</v>
      </c>
      <c r="C3850" s="5" t="s">
        <v>26</v>
      </c>
      <c r="D3850">
        <v>2901</v>
      </c>
      <c r="E3850" s="5" t="s">
        <v>79</v>
      </c>
      <c r="F3850" s="5" t="s">
        <v>17</v>
      </c>
      <c r="G3850">
        <v>10</v>
      </c>
    </row>
    <row r="3851" spans="1:7" x14ac:dyDescent="0.35">
      <c r="A3851">
        <v>152847</v>
      </c>
      <c r="B3851">
        <v>1</v>
      </c>
      <c r="C3851" s="5" t="s">
        <v>21</v>
      </c>
      <c r="D3851">
        <v>2001</v>
      </c>
      <c r="E3851" s="5" t="s">
        <v>83</v>
      </c>
      <c r="F3851" s="5" t="s">
        <v>14</v>
      </c>
      <c r="G3851">
        <v>37</v>
      </c>
    </row>
    <row r="3852" spans="1:7" x14ac:dyDescent="0.35">
      <c r="A3852">
        <v>51426</v>
      </c>
      <c r="B3852">
        <v>1</v>
      </c>
      <c r="C3852" s="5" t="s">
        <v>49</v>
      </c>
      <c r="D3852">
        <v>4601</v>
      </c>
      <c r="E3852" s="5" t="s">
        <v>79</v>
      </c>
      <c r="F3852" s="5" t="s">
        <v>14</v>
      </c>
      <c r="G3852">
        <v>25</v>
      </c>
    </row>
    <row r="3853" spans="1:7" x14ac:dyDescent="0.35">
      <c r="A3853">
        <v>42068</v>
      </c>
      <c r="B3853">
        <v>2</v>
      </c>
      <c r="C3853" s="5" t="s">
        <v>13</v>
      </c>
      <c r="D3853">
        <v>1801</v>
      </c>
      <c r="E3853" s="5" t="s">
        <v>79</v>
      </c>
      <c r="F3853" s="5" t="s">
        <v>17</v>
      </c>
      <c r="G3853">
        <v>10</v>
      </c>
    </row>
    <row r="3854" spans="1:7" x14ac:dyDescent="0.35">
      <c r="A3854">
        <v>66797</v>
      </c>
      <c r="B3854">
        <v>1</v>
      </c>
      <c r="C3854" s="5" t="s">
        <v>26</v>
      </c>
      <c r="D3854">
        <v>0</v>
      </c>
      <c r="E3854" s="5" t="s">
        <v>83</v>
      </c>
      <c r="F3854" s="5" t="s">
        <v>14</v>
      </c>
      <c r="G3854">
        <v>30</v>
      </c>
    </row>
    <row r="3855" spans="1:7" x14ac:dyDescent="0.35">
      <c r="A3855">
        <v>120203</v>
      </c>
      <c r="B3855">
        <v>28</v>
      </c>
      <c r="C3855" s="5" t="s">
        <v>20</v>
      </c>
      <c r="D3855">
        <v>3501</v>
      </c>
      <c r="E3855" s="5" t="s">
        <v>81</v>
      </c>
      <c r="F3855" s="5" t="s">
        <v>17</v>
      </c>
      <c r="G3855">
        <v>20</v>
      </c>
    </row>
    <row r="3856" spans="1:7" x14ac:dyDescent="0.35">
      <c r="A3856">
        <v>113560</v>
      </c>
      <c r="B3856">
        <v>1</v>
      </c>
      <c r="C3856" s="5" t="s">
        <v>28</v>
      </c>
      <c r="D3856">
        <v>2804</v>
      </c>
      <c r="E3856" s="5" t="s">
        <v>83</v>
      </c>
      <c r="F3856" s="5" t="s">
        <v>14</v>
      </c>
      <c r="G3856">
        <v>25</v>
      </c>
    </row>
    <row r="3857" spans="1:7" x14ac:dyDescent="0.35">
      <c r="A3857">
        <v>188854</v>
      </c>
      <c r="B3857">
        <v>0</v>
      </c>
      <c r="C3857" s="5" t="s">
        <v>47</v>
      </c>
      <c r="D3857">
        <v>2401</v>
      </c>
      <c r="E3857" s="5" t="s">
        <v>86</v>
      </c>
      <c r="F3857" s="5" t="s">
        <v>17</v>
      </c>
      <c r="G3857">
        <v>5</v>
      </c>
    </row>
    <row r="3858" spans="1:7" x14ac:dyDescent="0.35">
      <c r="A3858">
        <v>80378</v>
      </c>
      <c r="B3858">
        <v>2</v>
      </c>
      <c r="C3858" s="5" t="s">
        <v>32</v>
      </c>
      <c r="D3858">
        <v>1209</v>
      </c>
      <c r="E3858" s="5" t="s">
        <v>79</v>
      </c>
      <c r="F3858" s="5" t="s">
        <v>17</v>
      </c>
      <c r="G3858">
        <v>5</v>
      </c>
    </row>
    <row r="3859" spans="1:7" x14ac:dyDescent="0.35">
      <c r="A3859">
        <v>148227</v>
      </c>
      <c r="B3859">
        <v>1002</v>
      </c>
      <c r="C3859" s="5" t="s">
        <v>21</v>
      </c>
      <c r="D3859">
        <v>2801</v>
      </c>
      <c r="E3859" s="5" t="s">
        <v>83</v>
      </c>
      <c r="F3859" s="5" t="s">
        <v>14</v>
      </c>
      <c r="G3859">
        <v>10</v>
      </c>
    </row>
    <row r="3860" spans="1:7" x14ac:dyDescent="0.35">
      <c r="A3860">
        <v>129360</v>
      </c>
      <c r="B3860">
        <v>0</v>
      </c>
      <c r="C3860" s="5" t="s">
        <v>20</v>
      </c>
      <c r="D3860">
        <v>5512</v>
      </c>
      <c r="E3860" s="5" t="s">
        <v>80</v>
      </c>
      <c r="F3860" s="5" t="s">
        <v>14</v>
      </c>
      <c r="G3860">
        <v>15</v>
      </c>
    </row>
    <row r="3861" spans="1:7" x14ac:dyDescent="0.35">
      <c r="A3861">
        <v>187628</v>
      </c>
      <c r="B3861">
        <v>0</v>
      </c>
      <c r="C3861" s="5" t="s">
        <v>53</v>
      </c>
      <c r="D3861">
        <v>0</v>
      </c>
      <c r="E3861" s="5" t="s">
        <v>84</v>
      </c>
      <c r="F3861" s="5" t="s">
        <v>86</v>
      </c>
      <c r="G3861">
        <v>19</v>
      </c>
    </row>
    <row r="3862" spans="1:7" x14ac:dyDescent="0.35">
      <c r="A3862">
        <v>117177</v>
      </c>
      <c r="B3862">
        <v>0</v>
      </c>
      <c r="C3862" s="5" t="s">
        <v>20</v>
      </c>
      <c r="D3862">
        <v>1512</v>
      </c>
      <c r="E3862" s="5" t="s">
        <v>91</v>
      </c>
      <c r="F3862" s="5" t="s">
        <v>17</v>
      </c>
      <c r="G3862">
        <v>9</v>
      </c>
    </row>
    <row r="3863" spans="1:7" x14ac:dyDescent="0.35">
      <c r="A3863">
        <v>13748</v>
      </c>
      <c r="B3863">
        <v>0</v>
      </c>
      <c r="C3863" s="5" t="s">
        <v>21</v>
      </c>
      <c r="D3863">
        <v>2509</v>
      </c>
      <c r="E3863" s="5" t="s">
        <v>86</v>
      </c>
      <c r="F3863" s="5" t="s">
        <v>17</v>
      </c>
      <c r="G3863">
        <v>12</v>
      </c>
    </row>
    <row r="3864" spans="1:7" x14ac:dyDescent="0.35">
      <c r="A3864">
        <v>173563</v>
      </c>
      <c r="B3864">
        <v>0</v>
      </c>
      <c r="C3864" s="5" t="s">
        <v>34</v>
      </c>
      <c r="D3864">
        <v>3001</v>
      </c>
      <c r="E3864" s="5" t="s">
        <v>79</v>
      </c>
      <c r="F3864" s="5" t="s">
        <v>17</v>
      </c>
      <c r="G3864">
        <v>30</v>
      </c>
    </row>
    <row r="3865" spans="1:7" x14ac:dyDescent="0.35">
      <c r="A3865">
        <v>39869</v>
      </c>
      <c r="B3865">
        <v>28</v>
      </c>
      <c r="C3865" s="5" t="s">
        <v>13</v>
      </c>
      <c r="D3865">
        <v>0</v>
      </c>
      <c r="E3865" s="5" t="s">
        <v>80</v>
      </c>
      <c r="F3865" s="5" t="s">
        <v>17</v>
      </c>
      <c r="G3865">
        <v>21</v>
      </c>
    </row>
    <row r="3866" spans="1:7" x14ac:dyDescent="0.35">
      <c r="A3866">
        <v>188316</v>
      </c>
      <c r="B3866">
        <v>28</v>
      </c>
      <c r="C3866" s="5" t="s">
        <v>13</v>
      </c>
      <c r="D3866">
        <v>2305</v>
      </c>
      <c r="E3866" s="5" t="s">
        <v>88</v>
      </c>
      <c r="F3866" s="5" t="s">
        <v>17</v>
      </c>
      <c r="G3866">
        <v>10</v>
      </c>
    </row>
    <row r="3867" spans="1:7" x14ac:dyDescent="0.35">
      <c r="A3867">
        <v>74345</v>
      </c>
      <c r="B3867">
        <v>72</v>
      </c>
      <c r="C3867" s="5" t="s">
        <v>26</v>
      </c>
      <c r="D3867">
        <v>3504</v>
      </c>
      <c r="E3867" s="5" t="s">
        <v>79</v>
      </c>
      <c r="F3867" s="5" t="s">
        <v>14</v>
      </c>
      <c r="G3867">
        <v>25</v>
      </c>
    </row>
    <row r="3868" spans="1:7" x14ac:dyDescent="0.35">
      <c r="A3868">
        <v>57496</v>
      </c>
      <c r="B3868">
        <v>0</v>
      </c>
      <c r="C3868" s="5" t="s">
        <v>53</v>
      </c>
      <c r="D3868">
        <v>3510</v>
      </c>
      <c r="E3868" s="5" t="s">
        <v>79</v>
      </c>
      <c r="F3868" s="5" t="s">
        <v>14</v>
      </c>
      <c r="G3868">
        <v>25</v>
      </c>
    </row>
    <row r="3869" spans="1:7" x14ac:dyDescent="0.35">
      <c r="A3869">
        <v>65806</v>
      </c>
      <c r="B3869">
        <v>0</v>
      </c>
      <c r="C3869" s="5" t="s">
        <v>26</v>
      </c>
      <c r="D3869">
        <v>3109</v>
      </c>
      <c r="E3869" s="5" t="s">
        <v>93</v>
      </c>
      <c r="F3869" s="5" t="s">
        <v>17</v>
      </c>
      <c r="G3869">
        <v>5</v>
      </c>
    </row>
    <row r="3870" spans="1:7" x14ac:dyDescent="0.35">
      <c r="A3870">
        <v>152054</v>
      </c>
      <c r="B3870">
        <v>2</v>
      </c>
      <c r="C3870" s="5" t="s">
        <v>21</v>
      </c>
      <c r="D3870">
        <v>2401</v>
      </c>
      <c r="E3870" s="5" t="s">
        <v>83</v>
      </c>
      <c r="F3870" s="5" t="s">
        <v>17</v>
      </c>
      <c r="G3870">
        <v>25</v>
      </c>
    </row>
    <row r="3871" spans="1:7" x14ac:dyDescent="0.35">
      <c r="A3871">
        <v>191064</v>
      </c>
      <c r="B3871">
        <v>0</v>
      </c>
      <c r="C3871" s="5" t="s">
        <v>49</v>
      </c>
      <c r="D3871">
        <v>2001</v>
      </c>
      <c r="E3871" s="5" t="s">
        <v>87</v>
      </c>
      <c r="F3871" s="5" t="s">
        <v>17</v>
      </c>
      <c r="G3871">
        <v>3</v>
      </c>
    </row>
    <row r="3872" spans="1:7" x14ac:dyDescent="0.35">
      <c r="A3872">
        <v>117847</v>
      </c>
      <c r="B3872">
        <v>1</v>
      </c>
      <c r="C3872" s="5" t="s">
        <v>20</v>
      </c>
      <c r="D3872">
        <v>4601</v>
      </c>
      <c r="E3872" s="5" t="s">
        <v>79</v>
      </c>
      <c r="F3872" s="5" t="s">
        <v>14</v>
      </c>
      <c r="G3872">
        <v>20</v>
      </c>
    </row>
    <row r="3873" spans="1:7" x14ac:dyDescent="0.35">
      <c r="A3873">
        <v>137626</v>
      </c>
      <c r="B3873">
        <v>1</v>
      </c>
      <c r="C3873" s="5" t="s">
        <v>51</v>
      </c>
      <c r="D3873">
        <v>4801</v>
      </c>
      <c r="E3873" s="5" t="s">
        <v>81</v>
      </c>
      <c r="F3873" s="5" t="s">
        <v>14</v>
      </c>
      <c r="G3873">
        <v>20</v>
      </c>
    </row>
    <row r="3874" spans="1:7" x14ac:dyDescent="0.35">
      <c r="A3874">
        <v>39659</v>
      </c>
      <c r="B3874">
        <v>0</v>
      </c>
      <c r="C3874" s="5" t="s">
        <v>13</v>
      </c>
      <c r="D3874">
        <v>5401</v>
      </c>
      <c r="E3874" s="5" t="s">
        <v>88</v>
      </c>
      <c r="F3874" s="5" t="s">
        <v>14</v>
      </c>
      <c r="G3874">
        <v>20</v>
      </c>
    </row>
    <row r="3875" spans="1:7" x14ac:dyDescent="0.35">
      <c r="A3875">
        <v>136607</v>
      </c>
      <c r="B3875">
        <v>0</v>
      </c>
      <c r="C3875" s="5" t="s">
        <v>51</v>
      </c>
      <c r="D3875">
        <v>2112</v>
      </c>
      <c r="E3875" s="5" t="s">
        <v>82</v>
      </c>
      <c r="F3875" s="5" t="s">
        <v>14</v>
      </c>
      <c r="G3875">
        <v>32</v>
      </c>
    </row>
    <row r="3876" spans="1:7" x14ac:dyDescent="0.35">
      <c r="A3876">
        <v>61745</v>
      </c>
      <c r="B3876">
        <v>0</v>
      </c>
      <c r="C3876" s="5" t="s">
        <v>30</v>
      </c>
      <c r="D3876">
        <v>6401</v>
      </c>
      <c r="E3876" s="5" t="s">
        <v>79</v>
      </c>
      <c r="F3876" s="5" t="s">
        <v>14</v>
      </c>
      <c r="G3876">
        <v>20</v>
      </c>
    </row>
    <row r="3877" spans="1:7" x14ac:dyDescent="0.35">
      <c r="A3877">
        <v>29875</v>
      </c>
      <c r="B3877">
        <v>1002</v>
      </c>
      <c r="C3877" s="5" t="s">
        <v>36</v>
      </c>
      <c r="D3877">
        <v>5901</v>
      </c>
      <c r="E3877" s="5" t="s">
        <v>82</v>
      </c>
      <c r="F3877" s="5" t="s">
        <v>14</v>
      </c>
      <c r="G3877">
        <v>20</v>
      </c>
    </row>
    <row r="3878" spans="1:7" x14ac:dyDescent="0.35">
      <c r="A3878">
        <v>7174</v>
      </c>
      <c r="B3878">
        <v>0</v>
      </c>
      <c r="C3878" s="5" t="s">
        <v>16</v>
      </c>
      <c r="D3878">
        <v>301</v>
      </c>
      <c r="E3878" s="5" t="s">
        <v>79</v>
      </c>
      <c r="F3878" s="5" t="s">
        <v>17</v>
      </c>
      <c r="G3878">
        <v>10</v>
      </c>
    </row>
    <row r="3879" spans="1:7" x14ac:dyDescent="0.35">
      <c r="A3879">
        <v>166416</v>
      </c>
      <c r="B3879">
        <v>1</v>
      </c>
      <c r="C3879" s="5" t="s">
        <v>21</v>
      </c>
      <c r="D3879">
        <v>5301</v>
      </c>
      <c r="E3879" s="5" t="s">
        <v>93</v>
      </c>
      <c r="F3879" s="5" t="s">
        <v>14</v>
      </c>
      <c r="G3879">
        <v>20</v>
      </c>
    </row>
    <row r="3880" spans="1:7" x14ac:dyDescent="0.35">
      <c r="A3880">
        <v>95408</v>
      </c>
      <c r="B3880">
        <v>0</v>
      </c>
      <c r="C3880" s="5" t="s">
        <v>16</v>
      </c>
      <c r="D3880">
        <v>5201</v>
      </c>
      <c r="E3880" s="5" t="s">
        <v>81</v>
      </c>
      <c r="F3880" s="5" t="s">
        <v>17</v>
      </c>
      <c r="G3880">
        <v>15</v>
      </c>
    </row>
    <row r="3881" spans="1:7" x14ac:dyDescent="0.35">
      <c r="A3881">
        <v>102181</v>
      </c>
      <c r="B3881">
        <v>0</v>
      </c>
      <c r="C3881" s="5" t="s">
        <v>33</v>
      </c>
      <c r="D3881">
        <v>3404</v>
      </c>
      <c r="E3881" s="5" t="s">
        <v>83</v>
      </c>
      <c r="F3881" s="5" t="s">
        <v>17</v>
      </c>
      <c r="G3881">
        <v>15</v>
      </c>
    </row>
    <row r="3882" spans="1:7" x14ac:dyDescent="0.35">
      <c r="A3882">
        <v>155851</v>
      </c>
      <c r="B3882">
        <v>28</v>
      </c>
      <c r="C3882" s="5" t="s">
        <v>21</v>
      </c>
      <c r="D3882">
        <v>6201</v>
      </c>
      <c r="E3882" s="5" t="s">
        <v>78</v>
      </c>
      <c r="F3882" s="5" t="s">
        <v>17</v>
      </c>
      <c r="G3882">
        <v>20</v>
      </c>
    </row>
    <row r="3883" spans="1:7" x14ac:dyDescent="0.35">
      <c r="A3883">
        <v>40421</v>
      </c>
      <c r="B3883">
        <v>1002</v>
      </c>
      <c r="C3883" s="5" t="s">
        <v>13</v>
      </c>
      <c r="D3883">
        <v>3911</v>
      </c>
      <c r="E3883" s="5" t="s">
        <v>82</v>
      </c>
      <c r="F3883" s="5" t="s">
        <v>14</v>
      </c>
      <c r="G3883">
        <v>5</v>
      </c>
    </row>
    <row r="3884" spans="1:7" x14ac:dyDescent="0.35">
      <c r="A3884">
        <v>26346</v>
      </c>
      <c r="B3884">
        <v>0</v>
      </c>
      <c r="C3884" s="5" t="s">
        <v>36</v>
      </c>
      <c r="D3884">
        <v>3201</v>
      </c>
      <c r="E3884" s="5" t="s">
        <v>83</v>
      </c>
      <c r="F3884" s="5" t="s">
        <v>17</v>
      </c>
      <c r="G3884">
        <v>10</v>
      </c>
    </row>
    <row r="3885" spans="1:7" x14ac:dyDescent="0.35">
      <c r="A3885">
        <v>152621</v>
      </c>
      <c r="B3885">
        <v>4</v>
      </c>
      <c r="C3885" s="5" t="s">
        <v>21</v>
      </c>
      <c r="D3885">
        <v>1801</v>
      </c>
      <c r="E3885" s="5" t="s">
        <v>82</v>
      </c>
      <c r="F3885" s="5" t="s">
        <v>14</v>
      </c>
      <c r="G3885">
        <v>10</v>
      </c>
    </row>
    <row r="3886" spans="1:7" x14ac:dyDescent="0.35">
      <c r="A3886">
        <v>164220</v>
      </c>
      <c r="B3886">
        <v>2</v>
      </c>
      <c r="C3886" s="5" t="s">
        <v>21</v>
      </c>
      <c r="D3886">
        <v>2601</v>
      </c>
      <c r="E3886" s="5" t="s">
        <v>84</v>
      </c>
      <c r="F3886" s="5" t="s">
        <v>17</v>
      </c>
      <c r="G3886">
        <v>10</v>
      </c>
    </row>
    <row r="3887" spans="1:7" x14ac:dyDescent="0.35">
      <c r="A3887">
        <v>190477</v>
      </c>
      <c r="B3887">
        <v>2</v>
      </c>
      <c r="C3887" s="5" t="s">
        <v>37</v>
      </c>
      <c r="D3887">
        <v>0</v>
      </c>
      <c r="E3887" s="5" t="s">
        <v>90</v>
      </c>
      <c r="F3887" s="5" t="s">
        <v>14</v>
      </c>
      <c r="G3887">
        <v>25</v>
      </c>
    </row>
    <row r="3888" spans="1:7" x14ac:dyDescent="0.35">
      <c r="A3888">
        <v>58203</v>
      </c>
      <c r="B3888">
        <v>1</v>
      </c>
      <c r="C3888" s="5" t="s">
        <v>53</v>
      </c>
      <c r="D3888">
        <v>4401</v>
      </c>
      <c r="E3888" s="5" t="s">
        <v>89</v>
      </c>
      <c r="F3888" s="5" t="s">
        <v>14</v>
      </c>
      <c r="G3888">
        <v>6</v>
      </c>
    </row>
    <row r="3889" spans="1:7" x14ac:dyDescent="0.35">
      <c r="A3889">
        <v>115188</v>
      </c>
      <c r="B3889">
        <v>2</v>
      </c>
      <c r="C3889" s="5" t="s">
        <v>28</v>
      </c>
      <c r="D3889">
        <v>3601</v>
      </c>
      <c r="E3889" s="5" t="s">
        <v>89</v>
      </c>
      <c r="F3889" s="5" t="s">
        <v>17</v>
      </c>
      <c r="G3889">
        <v>16</v>
      </c>
    </row>
    <row r="3890" spans="1:7" x14ac:dyDescent="0.35">
      <c r="A3890">
        <v>148918</v>
      </c>
      <c r="B3890">
        <v>0</v>
      </c>
      <c r="C3890" s="5" t="s">
        <v>21</v>
      </c>
      <c r="D3890">
        <v>0</v>
      </c>
      <c r="E3890" s="5" t="s">
        <v>78</v>
      </c>
      <c r="F3890" s="5" t="s">
        <v>17</v>
      </c>
      <c r="G3890">
        <v>21</v>
      </c>
    </row>
    <row r="3891" spans="1:7" x14ac:dyDescent="0.35">
      <c r="A3891">
        <v>55117</v>
      </c>
      <c r="B3891">
        <v>0</v>
      </c>
      <c r="C3891" s="5" t="s">
        <v>56</v>
      </c>
      <c r="D3891">
        <v>2905</v>
      </c>
      <c r="E3891" s="5" t="s">
        <v>83</v>
      </c>
      <c r="F3891" s="5" t="s">
        <v>17</v>
      </c>
      <c r="G3891">
        <v>15</v>
      </c>
    </row>
    <row r="3892" spans="1:7" x14ac:dyDescent="0.35">
      <c r="A3892">
        <v>157106</v>
      </c>
      <c r="B3892">
        <v>0</v>
      </c>
      <c r="C3892" s="5" t="s">
        <v>21</v>
      </c>
      <c r="D3892">
        <v>5111</v>
      </c>
      <c r="E3892" s="5" t="s">
        <v>84</v>
      </c>
      <c r="F3892" s="5" t="s">
        <v>17</v>
      </c>
      <c r="G3892">
        <v>26</v>
      </c>
    </row>
    <row r="3893" spans="1:7" x14ac:dyDescent="0.35">
      <c r="A3893">
        <v>183193</v>
      </c>
      <c r="B3893">
        <v>0</v>
      </c>
      <c r="C3893" s="5" t="s">
        <v>37</v>
      </c>
      <c r="D3893">
        <v>5801</v>
      </c>
      <c r="E3893" s="5" t="s">
        <v>80</v>
      </c>
      <c r="F3893" s="5" t="s">
        <v>17</v>
      </c>
      <c r="G3893">
        <v>31</v>
      </c>
    </row>
    <row r="3894" spans="1:7" x14ac:dyDescent="0.35">
      <c r="A3894">
        <v>170402</v>
      </c>
      <c r="B3894">
        <v>0</v>
      </c>
      <c r="C3894" s="5" t="s">
        <v>21</v>
      </c>
      <c r="D3894">
        <v>4301</v>
      </c>
      <c r="E3894" s="5" t="s">
        <v>90</v>
      </c>
      <c r="F3894" s="5" t="s">
        <v>17</v>
      </c>
      <c r="G3894">
        <v>10</v>
      </c>
    </row>
    <row r="3895" spans="1:7" x14ac:dyDescent="0.35">
      <c r="A3895">
        <v>52588</v>
      </c>
      <c r="B3895">
        <v>0</v>
      </c>
      <c r="C3895" s="5" t="s">
        <v>49</v>
      </c>
      <c r="D3895">
        <v>0</v>
      </c>
      <c r="E3895" s="5" t="s">
        <v>89</v>
      </c>
      <c r="F3895" s="5" t="s">
        <v>86</v>
      </c>
      <c r="G3895">
        <v>15</v>
      </c>
    </row>
    <row r="3896" spans="1:7" x14ac:dyDescent="0.35">
      <c r="A3896">
        <v>182356</v>
      </c>
      <c r="B3896">
        <v>0</v>
      </c>
      <c r="C3896" s="5" t="s">
        <v>37</v>
      </c>
      <c r="D3896">
        <v>3801</v>
      </c>
      <c r="E3896" s="5" t="s">
        <v>87</v>
      </c>
      <c r="F3896" s="5" t="s">
        <v>17</v>
      </c>
      <c r="G3896">
        <v>12</v>
      </c>
    </row>
    <row r="3897" spans="1:7" x14ac:dyDescent="0.35">
      <c r="A3897">
        <v>43052</v>
      </c>
      <c r="B3897">
        <v>0</v>
      </c>
      <c r="C3897" s="5" t="s">
        <v>13</v>
      </c>
      <c r="D3897">
        <v>5407</v>
      </c>
      <c r="E3897" s="5" t="s">
        <v>82</v>
      </c>
      <c r="F3897" s="5" t="s">
        <v>17</v>
      </c>
      <c r="G3897">
        <v>5</v>
      </c>
    </row>
    <row r="3898" spans="1:7" x14ac:dyDescent="0.35">
      <c r="A3898">
        <v>120050</v>
      </c>
      <c r="B3898">
        <v>1</v>
      </c>
      <c r="C3898" s="5" t="s">
        <v>20</v>
      </c>
      <c r="D3898">
        <v>0</v>
      </c>
      <c r="E3898" s="5" t="s">
        <v>81</v>
      </c>
      <c r="F3898" s="5" t="s">
        <v>14</v>
      </c>
      <c r="G3898">
        <v>21</v>
      </c>
    </row>
    <row r="3899" spans="1:7" x14ac:dyDescent="0.35">
      <c r="A3899">
        <v>186198</v>
      </c>
      <c r="B3899">
        <v>0</v>
      </c>
      <c r="C3899" s="5" t="s">
        <v>35</v>
      </c>
      <c r="D3899">
        <v>2301</v>
      </c>
      <c r="E3899" s="5" t="s">
        <v>85</v>
      </c>
      <c r="F3899" s="5" t="s">
        <v>17</v>
      </c>
      <c r="G3899">
        <v>15</v>
      </c>
    </row>
    <row r="3900" spans="1:7" x14ac:dyDescent="0.35">
      <c r="A3900">
        <v>170864</v>
      </c>
      <c r="B3900">
        <v>28</v>
      </c>
      <c r="C3900" s="5" t="s">
        <v>21</v>
      </c>
      <c r="D3900">
        <v>4201</v>
      </c>
      <c r="E3900" s="5" t="s">
        <v>83</v>
      </c>
      <c r="F3900" s="5" t="s">
        <v>14</v>
      </c>
      <c r="G3900">
        <v>10</v>
      </c>
    </row>
    <row r="3901" spans="1:7" x14ac:dyDescent="0.35">
      <c r="A3901">
        <v>126184</v>
      </c>
      <c r="B3901">
        <v>0</v>
      </c>
      <c r="C3901" s="5" t="s">
        <v>20</v>
      </c>
      <c r="D3901">
        <v>2801</v>
      </c>
      <c r="E3901" s="5" t="s">
        <v>87</v>
      </c>
      <c r="F3901" s="5" t="s">
        <v>17</v>
      </c>
      <c r="G3901">
        <v>7</v>
      </c>
    </row>
    <row r="3902" spans="1:7" x14ac:dyDescent="0.35">
      <c r="A3902">
        <v>25147</v>
      </c>
      <c r="B3902">
        <v>72</v>
      </c>
      <c r="C3902" s="5" t="s">
        <v>43</v>
      </c>
      <c r="D3902">
        <v>2101</v>
      </c>
      <c r="E3902" s="5" t="s">
        <v>84</v>
      </c>
      <c r="F3902" s="5" t="s">
        <v>14</v>
      </c>
      <c r="G3902">
        <v>5</v>
      </c>
    </row>
    <row r="3903" spans="1:7" x14ac:dyDescent="0.35">
      <c r="A3903">
        <v>81200</v>
      </c>
      <c r="B3903">
        <v>1</v>
      </c>
      <c r="C3903" s="5" t="s">
        <v>32</v>
      </c>
      <c r="D3903">
        <v>2908</v>
      </c>
      <c r="E3903" s="5" t="s">
        <v>81</v>
      </c>
      <c r="F3903" s="5" t="s">
        <v>14</v>
      </c>
      <c r="G3903">
        <v>5</v>
      </c>
    </row>
    <row r="3904" spans="1:7" x14ac:dyDescent="0.35">
      <c r="A3904">
        <v>152657</v>
      </c>
      <c r="B3904">
        <v>0</v>
      </c>
      <c r="C3904" s="5" t="s">
        <v>21</v>
      </c>
      <c r="D3904">
        <v>5001</v>
      </c>
      <c r="E3904" s="5" t="s">
        <v>80</v>
      </c>
      <c r="F3904" s="5" t="s">
        <v>17</v>
      </c>
      <c r="G3904">
        <v>15</v>
      </c>
    </row>
    <row r="3905" spans="1:7" x14ac:dyDescent="0.35">
      <c r="A3905">
        <v>16329</v>
      </c>
      <c r="B3905">
        <v>0</v>
      </c>
      <c r="C3905" s="5" t="s">
        <v>18</v>
      </c>
      <c r="D3905">
        <v>4701</v>
      </c>
      <c r="E3905" s="5" t="s">
        <v>79</v>
      </c>
      <c r="F3905" s="5" t="s">
        <v>17</v>
      </c>
      <c r="G3905">
        <v>7</v>
      </c>
    </row>
    <row r="3906" spans="1:7" x14ac:dyDescent="0.35">
      <c r="A3906">
        <v>87508</v>
      </c>
      <c r="B3906">
        <v>1002</v>
      </c>
      <c r="C3906" s="5" t="s">
        <v>31</v>
      </c>
      <c r="D3906">
        <v>5207</v>
      </c>
      <c r="E3906" s="5" t="s">
        <v>81</v>
      </c>
      <c r="F3906" s="5" t="s">
        <v>17</v>
      </c>
      <c r="G3906">
        <v>9</v>
      </c>
    </row>
    <row r="3907" spans="1:7" x14ac:dyDescent="0.35">
      <c r="A3907">
        <v>190311</v>
      </c>
      <c r="B3907">
        <v>1</v>
      </c>
      <c r="C3907" s="5" t="s">
        <v>43</v>
      </c>
      <c r="D3907">
        <v>0</v>
      </c>
      <c r="E3907" s="5" t="s">
        <v>80</v>
      </c>
      <c r="F3907" s="5" t="s">
        <v>14</v>
      </c>
      <c r="G3907">
        <v>15</v>
      </c>
    </row>
    <row r="3908" spans="1:7" x14ac:dyDescent="0.35">
      <c r="A3908">
        <v>165314</v>
      </c>
      <c r="B3908">
        <v>0</v>
      </c>
      <c r="C3908" s="5" t="s">
        <v>21</v>
      </c>
      <c r="D3908">
        <v>4701</v>
      </c>
      <c r="E3908" s="5" t="s">
        <v>83</v>
      </c>
      <c r="F3908" s="5" t="s">
        <v>17</v>
      </c>
      <c r="G3908">
        <v>25</v>
      </c>
    </row>
    <row r="3909" spans="1:7" x14ac:dyDescent="0.35">
      <c r="A3909">
        <v>160570</v>
      </c>
      <c r="B3909">
        <v>0</v>
      </c>
      <c r="C3909" s="5" t="s">
        <v>37</v>
      </c>
      <c r="D3909">
        <v>2401</v>
      </c>
      <c r="E3909" s="5" t="s">
        <v>84</v>
      </c>
      <c r="F3909" s="5" t="s">
        <v>14</v>
      </c>
      <c r="G3909">
        <v>15</v>
      </c>
    </row>
    <row r="3910" spans="1:7" x14ac:dyDescent="0.35">
      <c r="A3910">
        <v>151806</v>
      </c>
      <c r="B3910">
        <v>1</v>
      </c>
      <c r="C3910" s="5" t="s">
        <v>21</v>
      </c>
      <c r="D3910">
        <v>2501</v>
      </c>
      <c r="E3910" s="5" t="s">
        <v>80</v>
      </c>
      <c r="F3910" s="5" t="s">
        <v>14</v>
      </c>
      <c r="G3910">
        <v>4</v>
      </c>
    </row>
    <row r="3911" spans="1:7" x14ac:dyDescent="0.35">
      <c r="A3911">
        <v>51731</v>
      </c>
      <c r="B3911">
        <v>1</v>
      </c>
      <c r="C3911" s="5" t="s">
        <v>49</v>
      </c>
      <c r="D3911">
        <v>5101</v>
      </c>
      <c r="E3911" s="5" t="s">
        <v>79</v>
      </c>
      <c r="F3911" s="5" t="s">
        <v>14</v>
      </c>
      <c r="G3911">
        <v>20</v>
      </c>
    </row>
    <row r="3912" spans="1:7" x14ac:dyDescent="0.35">
      <c r="A3912">
        <v>17418</v>
      </c>
      <c r="B3912">
        <v>0</v>
      </c>
      <c r="C3912" s="5" t="s">
        <v>18</v>
      </c>
      <c r="D3912">
        <v>5401</v>
      </c>
      <c r="E3912" s="5" t="s">
        <v>83</v>
      </c>
      <c r="F3912" s="5" t="s">
        <v>17</v>
      </c>
      <c r="G3912">
        <v>13</v>
      </c>
    </row>
    <row r="3913" spans="1:7" x14ac:dyDescent="0.35">
      <c r="A3913">
        <v>103953</v>
      </c>
      <c r="B3913">
        <v>0</v>
      </c>
      <c r="C3913" s="5" t="s">
        <v>33</v>
      </c>
      <c r="D3913">
        <v>0</v>
      </c>
      <c r="E3913" s="5" t="s">
        <v>79</v>
      </c>
      <c r="F3913" s="5" t="s">
        <v>17</v>
      </c>
      <c r="G3913">
        <v>5</v>
      </c>
    </row>
    <row r="3914" spans="1:7" x14ac:dyDescent="0.35">
      <c r="A3914">
        <v>14552</v>
      </c>
      <c r="B3914">
        <v>0</v>
      </c>
      <c r="C3914" s="5" t="s">
        <v>13</v>
      </c>
      <c r="D3914">
        <v>4906</v>
      </c>
      <c r="E3914" s="5" t="s">
        <v>84</v>
      </c>
      <c r="F3914" s="5" t="s">
        <v>14</v>
      </c>
      <c r="G3914">
        <v>16</v>
      </c>
    </row>
    <row r="3915" spans="1:7" x14ac:dyDescent="0.35">
      <c r="A3915">
        <v>186109</v>
      </c>
      <c r="B3915">
        <v>28028</v>
      </c>
      <c r="C3915" s="5" t="s">
        <v>16</v>
      </c>
      <c r="D3915">
        <v>1309</v>
      </c>
      <c r="E3915" s="5" t="s">
        <v>79</v>
      </c>
      <c r="F3915" s="5" t="s">
        <v>17</v>
      </c>
      <c r="G3915">
        <v>8</v>
      </c>
    </row>
    <row r="3916" spans="1:7" x14ac:dyDescent="0.35">
      <c r="A3916">
        <v>40283</v>
      </c>
      <c r="B3916">
        <v>0</v>
      </c>
      <c r="C3916" s="5" t="s">
        <v>13</v>
      </c>
      <c r="D3916">
        <v>5502</v>
      </c>
      <c r="E3916" s="5" t="s">
        <v>78</v>
      </c>
      <c r="F3916" s="5" t="s">
        <v>17</v>
      </c>
      <c r="G3916">
        <v>25</v>
      </c>
    </row>
    <row r="3917" spans="1:7" x14ac:dyDescent="0.35">
      <c r="A3917">
        <v>142161</v>
      </c>
      <c r="B3917">
        <v>0</v>
      </c>
      <c r="C3917" s="5" t="s">
        <v>23</v>
      </c>
      <c r="D3917">
        <v>3001</v>
      </c>
      <c r="E3917" s="5" t="s">
        <v>79</v>
      </c>
      <c r="F3917" s="5" t="s">
        <v>14</v>
      </c>
      <c r="G3917">
        <v>5</v>
      </c>
    </row>
    <row r="3918" spans="1:7" x14ac:dyDescent="0.35">
      <c r="A3918">
        <v>181337</v>
      </c>
      <c r="B3918">
        <v>2</v>
      </c>
      <c r="C3918" s="5" t="s">
        <v>37</v>
      </c>
      <c r="D3918">
        <v>3011</v>
      </c>
      <c r="E3918" s="5" t="s">
        <v>82</v>
      </c>
      <c r="F3918" s="5" t="s">
        <v>17</v>
      </c>
      <c r="G3918">
        <v>12</v>
      </c>
    </row>
    <row r="3919" spans="1:7" x14ac:dyDescent="0.35">
      <c r="A3919">
        <v>161646</v>
      </c>
      <c r="B3919">
        <v>1</v>
      </c>
      <c r="C3919" s="5" t="s">
        <v>21</v>
      </c>
      <c r="D3919">
        <v>0</v>
      </c>
      <c r="E3919" s="5" t="s">
        <v>82</v>
      </c>
      <c r="F3919" s="5" t="s">
        <v>14</v>
      </c>
      <c r="G3919">
        <v>23</v>
      </c>
    </row>
    <row r="3920" spans="1:7" x14ac:dyDescent="0.35">
      <c r="A3920">
        <v>181869</v>
      </c>
      <c r="B3920">
        <v>1</v>
      </c>
      <c r="C3920" s="5" t="s">
        <v>37</v>
      </c>
      <c r="D3920">
        <v>2201</v>
      </c>
      <c r="E3920" s="5" t="s">
        <v>79</v>
      </c>
      <c r="F3920" s="5" t="s">
        <v>14</v>
      </c>
      <c r="G3920">
        <v>10</v>
      </c>
    </row>
    <row r="3921" spans="1:7" x14ac:dyDescent="0.35">
      <c r="A3921">
        <v>55302</v>
      </c>
      <c r="B3921">
        <v>0</v>
      </c>
      <c r="C3921" s="5" t="s">
        <v>56</v>
      </c>
      <c r="D3921">
        <v>2402</v>
      </c>
      <c r="E3921" s="5" t="s">
        <v>83</v>
      </c>
      <c r="F3921" s="5" t="s">
        <v>14</v>
      </c>
      <c r="G3921">
        <v>15</v>
      </c>
    </row>
    <row r="3922" spans="1:7" x14ac:dyDescent="0.35">
      <c r="A3922">
        <v>189508</v>
      </c>
      <c r="B3922">
        <v>1</v>
      </c>
      <c r="C3922" s="5" t="s">
        <v>16</v>
      </c>
      <c r="D3922">
        <v>0</v>
      </c>
      <c r="E3922" s="5" t="s">
        <v>86</v>
      </c>
      <c r="F3922" s="5" t="s">
        <v>14</v>
      </c>
      <c r="G3922">
        <v>7</v>
      </c>
    </row>
    <row r="3923" spans="1:7" x14ac:dyDescent="0.35">
      <c r="A3923">
        <v>129031</v>
      </c>
      <c r="B3923">
        <v>1002</v>
      </c>
      <c r="C3923" s="5" t="s">
        <v>20</v>
      </c>
      <c r="D3923">
        <v>1702</v>
      </c>
      <c r="E3923" s="5" t="s">
        <v>85</v>
      </c>
      <c r="F3923" s="5" t="s">
        <v>14</v>
      </c>
      <c r="G3923">
        <v>10</v>
      </c>
    </row>
    <row r="3924" spans="1:7" x14ac:dyDescent="0.35">
      <c r="A3924">
        <v>177962</v>
      </c>
      <c r="B3924">
        <v>2</v>
      </c>
      <c r="C3924" s="5" t="s">
        <v>47</v>
      </c>
      <c r="D3924">
        <v>2305</v>
      </c>
      <c r="E3924" s="5" t="s">
        <v>79</v>
      </c>
      <c r="F3924" s="5" t="s">
        <v>14</v>
      </c>
      <c r="G3924">
        <v>5</v>
      </c>
    </row>
    <row r="3925" spans="1:7" x14ac:dyDescent="0.35">
      <c r="A3925">
        <v>171832</v>
      </c>
      <c r="B3925">
        <v>4</v>
      </c>
      <c r="C3925" s="5" t="s">
        <v>21</v>
      </c>
      <c r="D3925">
        <v>0</v>
      </c>
      <c r="E3925" s="5" t="s">
        <v>93</v>
      </c>
      <c r="F3925" s="5" t="s">
        <v>14</v>
      </c>
      <c r="G3925">
        <v>25</v>
      </c>
    </row>
    <row r="3926" spans="1:7" x14ac:dyDescent="0.35">
      <c r="A3926">
        <v>57992</v>
      </c>
      <c r="B3926">
        <v>1</v>
      </c>
      <c r="C3926" s="5" t="s">
        <v>53</v>
      </c>
      <c r="D3926">
        <v>4611</v>
      </c>
      <c r="E3926" s="5" t="s">
        <v>90</v>
      </c>
      <c r="F3926" s="5" t="s">
        <v>14</v>
      </c>
      <c r="G3926">
        <v>5</v>
      </c>
    </row>
    <row r="3927" spans="1:7" x14ac:dyDescent="0.35">
      <c r="A3927">
        <v>132154</v>
      </c>
      <c r="B3927">
        <v>1</v>
      </c>
      <c r="C3927" s="5" t="s">
        <v>45</v>
      </c>
      <c r="D3927">
        <v>1701</v>
      </c>
      <c r="E3927" s="5" t="s">
        <v>84</v>
      </c>
      <c r="F3927" s="5" t="s">
        <v>14</v>
      </c>
      <c r="G3927">
        <v>15</v>
      </c>
    </row>
    <row r="3928" spans="1:7" x14ac:dyDescent="0.35">
      <c r="A3928">
        <v>150191</v>
      </c>
      <c r="B3928">
        <v>1</v>
      </c>
      <c r="C3928" s="5" t="s">
        <v>21</v>
      </c>
      <c r="D3928">
        <v>4405</v>
      </c>
      <c r="E3928" s="5" t="s">
        <v>80</v>
      </c>
      <c r="F3928" s="5" t="s">
        <v>14</v>
      </c>
      <c r="G3928">
        <v>11</v>
      </c>
    </row>
    <row r="3929" spans="1:7" x14ac:dyDescent="0.35">
      <c r="A3929">
        <v>25107</v>
      </c>
      <c r="B3929">
        <v>2</v>
      </c>
      <c r="C3929" s="5" t="s">
        <v>43</v>
      </c>
      <c r="D3929">
        <v>4805</v>
      </c>
      <c r="E3929" s="5" t="s">
        <v>81</v>
      </c>
      <c r="F3929" s="5" t="s">
        <v>17</v>
      </c>
      <c r="G3929">
        <v>5</v>
      </c>
    </row>
    <row r="3930" spans="1:7" x14ac:dyDescent="0.35">
      <c r="A3930">
        <v>59645</v>
      </c>
      <c r="B3930">
        <v>0</v>
      </c>
      <c r="C3930" s="5" t="s">
        <v>30</v>
      </c>
      <c r="D3930">
        <v>3910</v>
      </c>
      <c r="E3930" s="5" t="s">
        <v>80</v>
      </c>
      <c r="F3930" s="5" t="s">
        <v>17</v>
      </c>
      <c r="G3930">
        <v>4</v>
      </c>
    </row>
    <row r="3931" spans="1:7" x14ac:dyDescent="0.35">
      <c r="A3931">
        <v>139224</v>
      </c>
      <c r="B3931">
        <v>0</v>
      </c>
      <c r="C3931" s="5" t="s">
        <v>50</v>
      </c>
      <c r="D3931">
        <v>0</v>
      </c>
      <c r="E3931" s="5" t="s">
        <v>89</v>
      </c>
      <c r="F3931" s="5" t="s">
        <v>17</v>
      </c>
      <c r="G3931">
        <v>15</v>
      </c>
    </row>
    <row r="3932" spans="1:7" x14ac:dyDescent="0.35">
      <c r="A3932">
        <v>53078</v>
      </c>
      <c r="B3932">
        <v>28</v>
      </c>
      <c r="C3932" s="5" t="s">
        <v>49</v>
      </c>
      <c r="D3932">
        <v>5305</v>
      </c>
      <c r="E3932" s="5" t="s">
        <v>84</v>
      </c>
      <c r="F3932" s="5" t="s">
        <v>17</v>
      </c>
      <c r="G3932">
        <v>25</v>
      </c>
    </row>
    <row r="3933" spans="1:7" x14ac:dyDescent="0.35">
      <c r="A3933">
        <v>125593</v>
      </c>
      <c r="B3933">
        <v>2</v>
      </c>
      <c r="C3933" s="5" t="s">
        <v>20</v>
      </c>
      <c r="D3933">
        <v>1609</v>
      </c>
      <c r="E3933" s="5" t="s">
        <v>83</v>
      </c>
      <c r="F3933" s="5" t="s">
        <v>17</v>
      </c>
      <c r="G3933">
        <v>25</v>
      </c>
    </row>
    <row r="3934" spans="1:7" x14ac:dyDescent="0.35">
      <c r="A3934">
        <v>185525</v>
      </c>
      <c r="B3934">
        <v>1</v>
      </c>
      <c r="C3934" s="5" t="s">
        <v>25</v>
      </c>
      <c r="D3934">
        <v>4907</v>
      </c>
      <c r="E3934" s="5" t="s">
        <v>83</v>
      </c>
      <c r="F3934" s="5" t="s">
        <v>14</v>
      </c>
      <c r="G3934">
        <v>21</v>
      </c>
    </row>
    <row r="3935" spans="1:7" x14ac:dyDescent="0.35">
      <c r="A3935">
        <v>109848</v>
      </c>
      <c r="B3935">
        <v>0</v>
      </c>
      <c r="C3935" s="5" t="s">
        <v>46</v>
      </c>
      <c r="D3935">
        <v>4701</v>
      </c>
      <c r="E3935" s="5" t="s">
        <v>80</v>
      </c>
      <c r="F3935" s="5" t="s">
        <v>27</v>
      </c>
      <c r="G3935">
        <v>21</v>
      </c>
    </row>
    <row r="3936" spans="1:7" x14ac:dyDescent="0.35">
      <c r="A3936">
        <v>170098</v>
      </c>
      <c r="B3936">
        <v>2</v>
      </c>
      <c r="C3936" s="5" t="s">
        <v>21</v>
      </c>
      <c r="D3936">
        <v>2801</v>
      </c>
      <c r="E3936" s="5" t="s">
        <v>81</v>
      </c>
      <c r="F3936" s="5" t="s">
        <v>17</v>
      </c>
      <c r="G3936">
        <v>10</v>
      </c>
    </row>
    <row r="3937" spans="1:7" x14ac:dyDescent="0.35">
      <c r="A3937">
        <v>171358</v>
      </c>
      <c r="B3937">
        <v>0</v>
      </c>
      <c r="C3937" s="5" t="s">
        <v>21</v>
      </c>
      <c r="D3937">
        <v>1802</v>
      </c>
      <c r="E3937" s="5" t="s">
        <v>84</v>
      </c>
      <c r="F3937" s="5" t="s">
        <v>14</v>
      </c>
      <c r="G3937">
        <v>30</v>
      </c>
    </row>
    <row r="3938" spans="1:7" x14ac:dyDescent="0.35">
      <c r="A3938">
        <v>46165</v>
      </c>
      <c r="B3938">
        <v>0</v>
      </c>
      <c r="C3938" s="5" t="s">
        <v>13</v>
      </c>
      <c r="D3938">
        <v>2407</v>
      </c>
      <c r="E3938" s="5" t="s">
        <v>79</v>
      </c>
      <c r="F3938" s="5" t="s">
        <v>17</v>
      </c>
      <c r="G3938">
        <v>15</v>
      </c>
    </row>
    <row r="3939" spans="1:7" x14ac:dyDescent="0.35">
      <c r="A3939">
        <v>121640</v>
      </c>
      <c r="B3939">
        <v>2</v>
      </c>
      <c r="C3939" s="5" t="s">
        <v>20</v>
      </c>
      <c r="D3939">
        <v>6401</v>
      </c>
      <c r="E3939" s="5" t="s">
        <v>82</v>
      </c>
      <c r="F3939" s="5" t="s">
        <v>17</v>
      </c>
      <c r="G3939">
        <v>35</v>
      </c>
    </row>
    <row r="3940" spans="1:7" x14ac:dyDescent="0.35">
      <c r="A3940">
        <v>178423</v>
      </c>
      <c r="B3940">
        <v>0</v>
      </c>
      <c r="C3940" s="5" t="s">
        <v>37</v>
      </c>
      <c r="D3940">
        <v>0</v>
      </c>
      <c r="E3940" s="5" t="s">
        <v>83</v>
      </c>
      <c r="F3940" s="5" t="s">
        <v>17</v>
      </c>
      <c r="G3940">
        <v>15</v>
      </c>
    </row>
    <row r="3941" spans="1:7" x14ac:dyDescent="0.35">
      <c r="A3941">
        <v>153528</v>
      </c>
      <c r="B3941">
        <v>0</v>
      </c>
      <c r="C3941" s="5" t="s">
        <v>21</v>
      </c>
      <c r="D3941">
        <v>0</v>
      </c>
      <c r="E3941" s="5" t="s">
        <v>80</v>
      </c>
      <c r="F3941" s="5" t="s">
        <v>17</v>
      </c>
      <c r="G3941">
        <v>5</v>
      </c>
    </row>
    <row r="3942" spans="1:7" x14ac:dyDescent="0.35">
      <c r="A3942">
        <v>56367</v>
      </c>
      <c r="B3942">
        <v>1</v>
      </c>
      <c r="C3942" s="5" t="s">
        <v>53</v>
      </c>
      <c r="D3942">
        <v>4701</v>
      </c>
      <c r="E3942" s="5" t="s">
        <v>81</v>
      </c>
      <c r="F3942" s="5" t="s">
        <v>14</v>
      </c>
      <c r="G3942">
        <v>5</v>
      </c>
    </row>
    <row r="3943" spans="1:7" x14ac:dyDescent="0.35">
      <c r="A3943">
        <v>49565</v>
      </c>
      <c r="B3943">
        <v>1</v>
      </c>
      <c r="C3943" s="5" t="s">
        <v>40</v>
      </c>
      <c r="D3943">
        <v>4401</v>
      </c>
      <c r="E3943" s="5" t="s">
        <v>84</v>
      </c>
      <c r="F3943" s="5" t="s">
        <v>14</v>
      </c>
      <c r="G3943">
        <v>5</v>
      </c>
    </row>
    <row r="3944" spans="1:7" x14ac:dyDescent="0.35">
      <c r="A3944">
        <v>86692</v>
      </c>
      <c r="B3944">
        <v>1</v>
      </c>
      <c r="C3944" s="5" t="s">
        <v>42</v>
      </c>
      <c r="D3944">
        <v>4001</v>
      </c>
      <c r="E3944" s="5" t="s">
        <v>79</v>
      </c>
      <c r="F3944" s="5" t="s">
        <v>14</v>
      </c>
      <c r="G3944">
        <v>19</v>
      </c>
    </row>
    <row r="3945" spans="1:7" x14ac:dyDescent="0.35">
      <c r="A3945">
        <v>7082</v>
      </c>
      <c r="B3945">
        <v>28</v>
      </c>
      <c r="C3945" s="5" t="s">
        <v>21</v>
      </c>
      <c r="D3945">
        <v>1701</v>
      </c>
      <c r="E3945" s="5" t="s">
        <v>85</v>
      </c>
      <c r="F3945" s="5" t="s">
        <v>17</v>
      </c>
      <c r="G3945">
        <v>10</v>
      </c>
    </row>
    <row r="3946" spans="1:7" x14ac:dyDescent="0.35">
      <c r="A3946">
        <v>116539</v>
      </c>
      <c r="B3946">
        <v>0</v>
      </c>
      <c r="C3946" s="5" t="s">
        <v>21</v>
      </c>
      <c r="D3946">
        <v>3001</v>
      </c>
      <c r="E3946" s="5" t="s">
        <v>79</v>
      </c>
      <c r="F3946" s="5" t="s">
        <v>17</v>
      </c>
      <c r="G3946">
        <v>19</v>
      </c>
    </row>
    <row r="3947" spans="1:7" x14ac:dyDescent="0.35">
      <c r="A3947">
        <v>65656</v>
      </c>
      <c r="B3947">
        <v>0</v>
      </c>
      <c r="C3947" s="5" t="s">
        <v>26</v>
      </c>
      <c r="D3947">
        <v>0</v>
      </c>
      <c r="E3947" s="5" t="s">
        <v>88</v>
      </c>
      <c r="F3947" s="5" t="s">
        <v>86</v>
      </c>
      <c r="G3947">
        <v>25</v>
      </c>
    </row>
    <row r="3948" spans="1:7" x14ac:dyDescent="0.35">
      <c r="A3948">
        <v>121986</v>
      </c>
      <c r="B3948">
        <v>0</v>
      </c>
      <c r="C3948" s="5" t="s">
        <v>20</v>
      </c>
      <c r="D3948">
        <v>0</v>
      </c>
      <c r="E3948" s="5" t="s">
        <v>91</v>
      </c>
      <c r="F3948" s="5" t="s">
        <v>17</v>
      </c>
      <c r="G3948">
        <v>3</v>
      </c>
    </row>
    <row r="3949" spans="1:7" x14ac:dyDescent="0.35">
      <c r="A3949">
        <v>83718</v>
      </c>
      <c r="B3949">
        <v>0</v>
      </c>
      <c r="C3949" s="5" t="s">
        <v>52</v>
      </c>
      <c r="D3949">
        <v>1601</v>
      </c>
      <c r="E3949" s="5" t="s">
        <v>78</v>
      </c>
      <c r="F3949" s="5" t="s">
        <v>17</v>
      </c>
      <c r="G3949">
        <v>3</v>
      </c>
    </row>
    <row r="3950" spans="1:7" x14ac:dyDescent="0.35">
      <c r="A3950">
        <v>80336</v>
      </c>
      <c r="B3950">
        <v>2</v>
      </c>
      <c r="C3950" s="5" t="s">
        <v>32</v>
      </c>
      <c r="D3950">
        <v>3001</v>
      </c>
      <c r="E3950" s="5" t="s">
        <v>78</v>
      </c>
      <c r="F3950" s="5" t="s">
        <v>17</v>
      </c>
      <c r="G3950">
        <v>12</v>
      </c>
    </row>
    <row r="3951" spans="1:7" x14ac:dyDescent="0.35">
      <c r="A3951">
        <v>72166</v>
      </c>
      <c r="B3951">
        <v>28</v>
      </c>
      <c r="C3951" s="5" t="s">
        <v>26</v>
      </c>
      <c r="D3951">
        <v>5801</v>
      </c>
      <c r="E3951" s="5" t="s">
        <v>79</v>
      </c>
      <c r="F3951" s="5" t="s">
        <v>17</v>
      </c>
      <c r="G3951">
        <v>20</v>
      </c>
    </row>
    <row r="3952" spans="1:7" x14ac:dyDescent="0.35">
      <c r="A3952">
        <v>150945</v>
      </c>
      <c r="B3952">
        <v>1</v>
      </c>
      <c r="C3952" s="5" t="s">
        <v>21</v>
      </c>
      <c r="D3952">
        <v>0</v>
      </c>
      <c r="E3952" s="5" t="s">
        <v>91</v>
      </c>
      <c r="F3952" s="5" t="s">
        <v>17</v>
      </c>
      <c r="G3952">
        <v>20</v>
      </c>
    </row>
    <row r="3953" spans="1:7" x14ac:dyDescent="0.35">
      <c r="A3953">
        <v>132847</v>
      </c>
      <c r="B3953">
        <v>1</v>
      </c>
      <c r="C3953" s="5" t="s">
        <v>58</v>
      </c>
      <c r="D3953">
        <v>6801</v>
      </c>
      <c r="E3953" s="5" t="s">
        <v>94</v>
      </c>
      <c r="F3953" s="5" t="s">
        <v>14</v>
      </c>
      <c r="G3953">
        <v>10</v>
      </c>
    </row>
    <row r="3954" spans="1:7" x14ac:dyDescent="0.35">
      <c r="A3954">
        <v>21244</v>
      </c>
      <c r="B3954">
        <v>0</v>
      </c>
      <c r="C3954" s="5" t="s">
        <v>18</v>
      </c>
      <c r="D3954">
        <v>2307</v>
      </c>
      <c r="E3954" s="5" t="s">
        <v>90</v>
      </c>
      <c r="F3954" s="5" t="s">
        <v>17</v>
      </c>
      <c r="G3954">
        <v>12</v>
      </c>
    </row>
    <row r="3955" spans="1:7" x14ac:dyDescent="0.35">
      <c r="A3955">
        <v>82618</v>
      </c>
      <c r="B3955">
        <v>0</v>
      </c>
      <c r="C3955" s="5" t="s">
        <v>52</v>
      </c>
      <c r="D3955">
        <v>6001</v>
      </c>
      <c r="E3955" s="5" t="s">
        <v>80</v>
      </c>
      <c r="F3955" s="5" t="s">
        <v>14</v>
      </c>
      <c r="G3955">
        <v>5</v>
      </c>
    </row>
    <row r="3956" spans="1:7" x14ac:dyDescent="0.35">
      <c r="A3956">
        <v>169044</v>
      </c>
      <c r="B3956">
        <v>0</v>
      </c>
      <c r="C3956" s="5" t="s">
        <v>21</v>
      </c>
      <c r="D3956">
        <v>3401</v>
      </c>
      <c r="E3956" s="5" t="s">
        <v>81</v>
      </c>
      <c r="F3956" s="5" t="s">
        <v>17</v>
      </c>
      <c r="G3956">
        <v>15</v>
      </c>
    </row>
    <row r="3957" spans="1:7" x14ac:dyDescent="0.35">
      <c r="A3957">
        <v>165830</v>
      </c>
      <c r="B3957">
        <v>0</v>
      </c>
      <c r="C3957" s="5" t="s">
        <v>21</v>
      </c>
      <c r="D3957">
        <v>5510</v>
      </c>
      <c r="E3957" s="5" t="s">
        <v>82</v>
      </c>
      <c r="F3957" s="5" t="s">
        <v>17</v>
      </c>
      <c r="G3957">
        <v>25</v>
      </c>
    </row>
    <row r="3958" spans="1:7" x14ac:dyDescent="0.35">
      <c r="A3958">
        <v>165820</v>
      </c>
      <c r="B3958">
        <v>2</v>
      </c>
      <c r="C3958" s="5" t="s">
        <v>21</v>
      </c>
      <c r="D3958">
        <v>2201</v>
      </c>
      <c r="E3958" s="5" t="s">
        <v>82</v>
      </c>
      <c r="F3958" s="5" t="s">
        <v>17</v>
      </c>
      <c r="G3958">
        <v>20</v>
      </c>
    </row>
    <row r="3959" spans="1:7" x14ac:dyDescent="0.35">
      <c r="A3959">
        <v>29010</v>
      </c>
      <c r="B3959">
        <v>2</v>
      </c>
      <c r="C3959" s="5" t="s">
        <v>46</v>
      </c>
      <c r="D3959">
        <v>5001</v>
      </c>
      <c r="E3959" s="5" t="s">
        <v>81</v>
      </c>
      <c r="F3959" s="5" t="s">
        <v>14</v>
      </c>
      <c r="G3959">
        <v>24</v>
      </c>
    </row>
    <row r="3960" spans="1:7" x14ac:dyDescent="0.35">
      <c r="A3960">
        <v>159721</v>
      </c>
      <c r="B3960">
        <v>0</v>
      </c>
      <c r="C3960" s="5" t="s">
        <v>21</v>
      </c>
      <c r="D3960">
        <v>3811</v>
      </c>
      <c r="E3960" s="5" t="s">
        <v>94</v>
      </c>
      <c r="F3960" s="5" t="s">
        <v>17</v>
      </c>
      <c r="G3960">
        <v>35</v>
      </c>
    </row>
    <row r="3961" spans="1:7" x14ac:dyDescent="0.35">
      <c r="A3961">
        <v>47709</v>
      </c>
      <c r="B3961">
        <v>1002</v>
      </c>
      <c r="C3961" s="5" t="s">
        <v>40</v>
      </c>
      <c r="D3961">
        <v>2008</v>
      </c>
      <c r="E3961" s="5" t="s">
        <v>89</v>
      </c>
      <c r="F3961" s="5" t="s">
        <v>41</v>
      </c>
      <c r="G3961">
        <v>20</v>
      </c>
    </row>
    <row r="3962" spans="1:7" x14ac:dyDescent="0.35">
      <c r="A3962">
        <v>174152</v>
      </c>
      <c r="B3962">
        <v>2</v>
      </c>
      <c r="C3962" s="5" t="s">
        <v>34</v>
      </c>
      <c r="D3962">
        <v>3001</v>
      </c>
      <c r="E3962" s="5" t="s">
        <v>83</v>
      </c>
      <c r="F3962" s="5" t="s">
        <v>17</v>
      </c>
      <c r="G3962">
        <v>26</v>
      </c>
    </row>
    <row r="3963" spans="1:7" x14ac:dyDescent="0.35">
      <c r="A3963">
        <v>36776</v>
      </c>
      <c r="B3963">
        <v>1</v>
      </c>
      <c r="C3963" s="5" t="s">
        <v>13</v>
      </c>
      <c r="D3963">
        <v>2601</v>
      </c>
      <c r="E3963" s="5" t="s">
        <v>88</v>
      </c>
      <c r="F3963" s="5" t="s">
        <v>14</v>
      </c>
      <c r="G3963">
        <v>20</v>
      </c>
    </row>
    <row r="3964" spans="1:7" x14ac:dyDescent="0.35">
      <c r="A3964">
        <v>57899</v>
      </c>
      <c r="B3964">
        <v>0</v>
      </c>
      <c r="C3964" s="5" t="s">
        <v>53</v>
      </c>
      <c r="D3964">
        <v>0</v>
      </c>
      <c r="E3964" s="5" t="s">
        <v>80</v>
      </c>
      <c r="F3964" s="5" t="s">
        <v>17</v>
      </c>
      <c r="G3964">
        <v>10</v>
      </c>
    </row>
    <row r="3965" spans="1:7" x14ac:dyDescent="0.35">
      <c r="A3965">
        <v>105305</v>
      </c>
      <c r="B3965">
        <v>1</v>
      </c>
      <c r="C3965" s="5" t="s">
        <v>25</v>
      </c>
      <c r="D3965">
        <v>0</v>
      </c>
      <c r="E3965" s="5" t="s">
        <v>89</v>
      </c>
      <c r="F3965" s="5" t="s">
        <v>14</v>
      </c>
      <c r="G3965">
        <v>6</v>
      </c>
    </row>
    <row r="3966" spans="1:7" x14ac:dyDescent="0.35">
      <c r="A3966">
        <v>108635</v>
      </c>
      <c r="B3966">
        <v>1</v>
      </c>
      <c r="C3966" s="5" t="s">
        <v>46</v>
      </c>
      <c r="D3966">
        <v>4310</v>
      </c>
      <c r="E3966" s="5" t="s">
        <v>84</v>
      </c>
      <c r="F3966" s="5" t="s">
        <v>14</v>
      </c>
      <c r="G3966">
        <v>5</v>
      </c>
    </row>
    <row r="3967" spans="1:7" x14ac:dyDescent="0.35">
      <c r="A3967">
        <v>44800</v>
      </c>
      <c r="B3967">
        <v>28</v>
      </c>
      <c r="C3967" s="5" t="s">
        <v>13</v>
      </c>
      <c r="D3967">
        <v>0</v>
      </c>
      <c r="E3967" s="5" t="s">
        <v>79</v>
      </c>
      <c r="F3967" s="5" t="s">
        <v>86</v>
      </c>
      <c r="G3967">
        <v>5</v>
      </c>
    </row>
    <row r="3968" spans="1:7" x14ac:dyDescent="0.35">
      <c r="A3968">
        <v>112944</v>
      </c>
      <c r="B3968">
        <v>2</v>
      </c>
      <c r="C3968" s="5" t="s">
        <v>28</v>
      </c>
      <c r="D3968">
        <v>601</v>
      </c>
      <c r="E3968" s="5" t="s">
        <v>82</v>
      </c>
      <c r="F3968" s="5" t="s">
        <v>17</v>
      </c>
      <c r="G3968">
        <v>15</v>
      </c>
    </row>
    <row r="3969" spans="1:7" x14ac:dyDescent="0.35">
      <c r="A3969">
        <v>128059</v>
      </c>
      <c r="B3969">
        <v>1</v>
      </c>
      <c r="C3969" s="5" t="s">
        <v>20</v>
      </c>
      <c r="D3969">
        <v>0</v>
      </c>
      <c r="E3969" s="5" t="s">
        <v>81</v>
      </c>
      <c r="F3969" s="5" t="s">
        <v>14</v>
      </c>
      <c r="G3969">
        <v>20</v>
      </c>
    </row>
    <row r="3970" spans="1:7" x14ac:dyDescent="0.35">
      <c r="A3970">
        <v>109961</v>
      </c>
      <c r="B3970">
        <v>28</v>
      </c>
      <c r="C3970" s="5" t="s">
        <v>46</v>
      </c>
      <c r="D3970">
        <v>4901</v>
      </c>
      <c r="E3970" s="5" t="s">
        <v>89</v>
      </c>
      <c r="F3970" s="5" t="s">
        <v>17</v>
      </c>
      <c r="G3970">
        <v>20</v>
      </c>
    </row>
    <row r="3971" spans="1:7" x14ac:dyDescent="0.35">
      <c r="A3971">
        <v>27634</v>
      </c>
      <c r="B3971">
        <v>0</v>
      </c>
      <c r="C3971" s="5" t="s">
        <v>59</v>
      </c>
      <c r="D3971">
        <v>0</v>
      </c>
      <c r="E3971" s="5" t="s">
        <v>84</v>
      </c>
      <c r="F3971" s="5" t="s">
        <v>14</v>
      </c>
      <c r="G3971">
        <v>5</v>
      </c>
    </row>
    <row r="3972" spans="1:7" x14ac:dyDescent="0.35">
      <c r="A3972">
        <v>125630</v>
      </c>
      <c r="B3972">
        <v>1</v>
      </c>
      <c r="C3972" s="5" t="s">
        <v>20</v>
      </c>
      <c r="D3972">
        <v>0</v>
      </c>
      <c r="E3972" s="5" t="s">
        <v>83</v>
      </c>
      <c r="F3972" s="5" t="s">
        <v>27</v>
      </c>
      <c r="G3972">
        <v>25</v>
      </c>
    </row>
    <row r="3973" spans="1:7" x14ac:dyDescent="0.35">
      <c r="A3973">
        <v>158454</v>
      </c>
      <c r="B3973">
        <v>1002</v>
      </c>
      <c r="C3973" s="5" t="s">
        <v>21</v>
      </c>
      <c r="D3973">
        <v>6601</v>
      </c>
      <c r="E3973" s="5" t="s">
        <v>93</v>
      </c>
      <c r="F3973" s="5" t="s">
        <v>41</v>
      </c>
      <c r="G3973">
        <v>12</v>
      </c>
    </row>
    <row r="3974" spans="1:7" x14ac:dyDescent="0.35">
      <c r="A3974">
        <v>4881</v>
      </c>
      <c r="B3974">
        <v>28</v>
      </c>
      <c r="C3974" s="5" t="s">
        <v>13</v>
      </c>
      <c r="D3974">
        <v>7401</v>
      </c>
      <c r="E3974" s="5" t="s">
        <v>82</v>
      </c>
      <c r="F3974" s="5" t="s">
        <v>14</v>
      </c>
      <c r="G3974">
        <v>10</v>
      </c>
    </row>
    <row r="3975" spans="1:7" x14ac:dyDescent="0.35">
      <c r="A3975">
        <v>66358</v>
      </c>
      <c r="B3975">
        <v>1</v>
      </c>
      <c r="C3975" s="5" t="s">
        <v>42</v>
      </c>
      <c r="D3975">
        <v>3301</v>
      </c>
      <c r="E3975" s="5" t="s">
        <v>80</v>
      </c>
      <c r="F3975" s="5" t="s">
        <v>14</v>
      </c>
      <c r="G3975">
        <v>5</v>
      </c>
    </row>
    <row r="3976" spans="1:7" x14ac:dyDescent="0.35">
      <c r="A3976">
        <v>2231</v>
      </c>
      <c r="B3976">
        <v>1</v>
      </c>
      <c r="C3976" s="5" t="s">
        <v>32</v>
      </c>
      <c r="D3976">
        <v>7301</v>
      </c>
      <c r="E3976" s="5" t="s">
        <v>79</v>
      </c>
      <c r="F3976" s="5" t="s">
        <v>14</v>
      </c>
      <c r="G3976">
        <v>14</v>
      </c>
    </row>
    <row r="3977" spans="1:7" x14ac:dyDescent="0.35">
      <c r="A3977">
        <v>68534</v>
      </c>
      <c r="B3977">
        <v>1</v>
      </c>
      <c r="C3977" s="5" t="s">
        <v>26</v>
      </c>
      <c r="D3977">
        <v>1709</v>
      </c>
      <c r="E3977" s="5" t="s">
        <v>80</v>
      </c>
      <c r="F3977" s="5" t="s">
        <v>14</v>
      </c>
      <c r="G3977">
        <v>9</v>
      </c>
    </row>
    <row r="3978" spans="1:7" x14ac:dyDescent="0.35">
      <c r="A3978">
        <v>177737</v>
      </c>
      <c r="B3978">
        <v>2</v>
      </c>
      <c r="C3978" s="5" t="s">
        <v>47</v>
      </c>
      <c r="D3978">
        <v>609</v>
      </c>
      <c r="E3978" s="5" t="s">
        <v>81</v>
      </c>
      <c r="F3978" s="5" t="s">
        <v>17</v>
      </c>
      <c r="G3978">
        <v>25</v>
      </c>
    </row>
    <row r="3979" spans="1:7" x14ac:dyDescent="0.35">
      <c r="A3979">
        <v>145855</v>
      </c>
      <c r="B3979">
        <v>1</v>
      </c>
      <c r="C3979" s="5" t="s">
        <v>21</v>
      </c>
      <c r="D3979">
        <v>4601</v>
      </c>
      <c r="E3979" s="5" t="s">
        <v>85</v>
      </c>
      <c r="F3979" s="5" t="s">
        <v>14</v>
      </c>
      <c r="G3979">
        <v>12</v>
      </c>
    </row>
    <row r="3980" spans="1:7" x14ac:dyDescent="0.35">
      <c r="A3980">
        <v>155569</v>
      </c>
      <c r="B3980">
        <v>0</v>
      </c>
      <c r="C3980" s="5" t="s">
        <v>21</v>
      </c>
      <c r="D3980">
        <v>2701</v>
      </c>
      <c r="E3980" s="5" t="s">
        <v>83</v>
      </c>
      <c r="F3980" s="5" t="s">
        <v>14</v>
      </c>
      <c r="G3980">
        <v>20</v>
      </c>
    </row>
    <row r="3981" spans="1:7" x14ac:dyDescent="0.35">
      <c r="A3981">
        <v>157826</v>
      </c>
      <c r="B3981">
        <v>0</v>
      </c>
      <c r="C3981" s="5" t="s">
        <v>21</v>
      </c>
      <c r="D3981">
        <v>0</v>
      </c>
      <c r="E3981" s="5" t="s">
        <v>92</v>
      </c>
      <c r="F3981" s="5" t="s">
        <v>17</v>
      </c>
      <c r="G3981">
        <v>15</v>
      </c>
    </row>
    <row r="3982" spans="1:7" x14ac:dyDescent="0.35">
      <c r="A3982">
        <v>60884</v>
      </c>
      <c r="B3982">
        <v>0</v>
      </c>
      <c r="C3982" s="5" t="s">
        <v>30</v>
      </c>
      <c r="D3982">
        <v>0</v>
      </c>
      <c r="E3982" s="5" t="s">
        <v>80</v>
      </c>
      <c r="F3982" s="5" t="s">
        <v>17</v>
      </c>
      <c r="G3982">
        <v>15</v>
      </c>
    </row>
    <row r="3983" spans="1:7" x14ac:dyDescent="0.35">
      <c r="A3983">
        <v>4638</v>
      </c>
      <c r="B3983">
        <v>0</v>
      </c>
      <c r="C3983" s="5" t="s">
        <v>21</v>
      </c>
      <c r="D3983">
        <v>2401</v>
      </c>
      <c r="E3983" s="5" t="s">
        <v>83</v>
      </c>
      <c r="F3983" s="5" t="s">
        <v>17</v>
      </c>
      <c r="G3983">
        <v>25</v>
      </c>
    </row>
    <row r="3984" spans="1:7" x14ac:dyDescent="0.35">
      <c r="A3984">
        <v>75851</v>
      </c>
      <c r="B3984">
        <v>2</v>
      </c>
      <c r="C3984" s="5" t="s">
        <v>44</v>
      </c>
      <c r="D3984">
        <v>1810</v>
      </c>
      <c r="E3984" s="5" t="s">
        <v>87</v>
      </c>
      <c r="F3984" s="5" t="s">
        <v>17</v>
      </c>
      <c r="G3984">
        <v>5</v>
      </c>
    </row>
    <row r="3985" spans="1:7" x14ac:dyDescent="0.35">
      <c r="A3985">
        <v>162867</v>
      </c>
      <c r="B3985">
        <v>0</v>
      </c>
      <c r="C3985" s="5" t="s">
        <v>21</v>
      </c>
      <c r="D3985">
        <v>6801</v>
      </c>
      <c r="E3985" s="5" t="s">
        <v>85</v>
      </c>
      <c r="F3985" s="5" t="s">
        <v>14</v>
      </c>
      <c r="G3985">
        <v>11</v>
      </c>
    </row>
    <row r="3986" spans="1:7" x14ac:dyDescent="0.35">
      <c r="A3986">
        <v>145540</v>
      </c>
      <c r="B3986">
        <v>1</v>
      </c>
      <c r="C3986" s="5" t="s">
        <v>21</v>
      </c>
      <c r="D3986">
        <v>0</v>
      </c>
      <c r="E3986" s="5" t="s">
        <v>83</v>
      </c>
      <c r="F3986" s="5" t="s">
        <v>14</v>
      </c>
      <c r="G3986">
        <v>21</v>
      </c>
    </row>
    <row r="3987" spans="1:7" x14ac:dyDescent="0.35">
      <c r="A3987">
        <v>124042</v>
      </c>
      <c r="B3987">
        <v>2</v>
      </c>
      <c r="C3987" s="5" t="s">
        <v>20</v>
      </c>
      <c r="D3987">
        <v>1812</v>
      </c>
      <c r="E3987" s="5" t="s">
        <v>79</v>
      </c>
      <c r="F3987" s="5" t="s">
        <v>14</v>
      </c>
      <c r="G3987">
        <v>20</v>
      </c>
    </row>
    <row r="3988" spans="1:7" x14ac:dyDescent="0.35">
      <c r="A3988">
        <v>83698</v>
      </c>
      <c r="B3988">
        <v>1</v>
      </c>
      <c r="C3988" s="5" t="s">
        <v>52</v>
      </c>
      <c r="D3988">
        <v>5112</v>
      </c>
      <c r="E3988" s="5" t="s">
        <v>80</v>
      </c>
      <c r="F3988" s="5" t="s">
        <v>14</v>
      </c>
      <c r="G3988">
        <v>16</v>
      </c>
    </row>
    <row r="3989" spans="1:7" x14ac:dyDescent="0.35">
      <c r="A3989">
        <v>142600</v>
      </c>
      <c r="B3989">
        <v>0</v>
      </c>
      <c r="C3989" s="5" t="s">
        <v>21</v>
      </c>
      <c r="D3989">
        <v>4301</v>
      </c>
      <c r="E3989" s="5" t="s">
        <v>92</v>
      </c>
      <c r="F3989" s="5" t="s">
        <v>17</v>
      </c>
      <c r="G3989">
        <v>25</v>
      </c>
    </row>
    <row r="3990" spans="1:7" x14ac:dyDescent="0.35">
      <c r="A3990">
        <v>26009</v>
      </c>
      <c r="B3990">
        <v>2</v>
      </c>
      <c r="C3990" s="5" t="s">
        <v>36</v>
      </c>
      <c r="D3990">
        <v>6411</v>
      </c>
      <c r="E3990" s="5" t="s">
        <v>80</v>
      </c>
      <c r="F3990" s="5" t="s">
        <v>17</v>
      </c>
      <c r="G3990">
        <v>15</v>
      </c>
    </row>
    <row r="3991" spans="1:7" x14ac:dyDescent="0.35">
      <c r="A3991">
        <v>2311</v>
      </c>
      <c r="B3991">
        <v>0</v>
      </c>
      <c r="C3991" s="5" t="s">
        <v>26</v>
      </c>
      <c r="D3991">
        <v>0</v>
      </c>
      <c r="E3991" s="5" t="s">
        <v>86</v>
      </c>
      <c r="F3991" s="5" t="s">
        <v>14</v>
      </c>
      <c r="G3991">
        <v>5</v>
      </c>
    </row>
    <row r="3992" spans="1:7" x14ac:dyDescent="0.35">
      <c r="A3992">
        <v>77441</v>
      </c>
      <c r="B3992">
        <v>0</v>
      </c>
      <c r="C3992" s="5" t="s">
        <v>32</v>
      </c>
      <c r="D3992">
        <v>5701</v>
      </c>
      <c r="E3992" s="5" t="s">
        <v>79</v>
      </c>
      <c r="F3992" s="5" t="s">
        <v>17</v>
      </c>
      <c r="G3992">
        <v>7</v>
      </c>
    </row>
    <row r="3993" spans="1:7" x14ac:dyDescent="0.35">
      <c r="A3993">
        <v>6403</v>
      </c>
      <c r="B3993">
        <v>1</v>
      </c>
      <c r="C3993" s="5" t="s">
        <v>13</v>
      </c>
      <c r="D3993">
        <v>2703</v>
      </c>
      <c r="E3993" s="5" t="s">
        <v>78</v>
      </c>
      <c r="F3993" s="5" t="s">
        <v>14</v>
      </c>
      <c r="G3993">
        <v>10</v>
      </c>
    </row>
    <row r="3994" spans="1:7" x14ac:dyDescent="0.35">
      <c r="A3994">
        <v>117326</v>
      </c>
      <c r="B3994">
        <v>0</v>
      </c>
      <c r="C3994" s="5" t="s">
        <v>20</v>
      </c>
      <c r="D3994">
        <v>4105</v>
      </c>
      <c r="E3994" s="5" t="s">
        <v>85</v>
      </c>
      <c r="F3994" s="5" t="s">
        <v>17</v>
      </c>
      <c r="G3994">
        <v>10</v>
      </c>
    </row>
    <row r="3995" spans="1:7" x14ac:dyDescent="0.35">
      <c r="A3995">
        <v>68618</v>
      </c>
      <c r="B3995">
        <v>1</v>
      </c>
      <c r="C3995" s="5" t="s">
        <v>26</v>
      </c>
      <c r="D3995">
        <v>3312</v>
      </c>
      <c r="E3995" s="5" t="s">
        <v>84</v>
      </c>
      <c r="F3995" s="5" t="s">
        <v>14</v>
      </c>
      <c r="G3995">
        <v>40</v>
      </c>
    </row>
    <row r="3996" spans="1:7" x14ac:dyDescent="0.35">
      <c r="A3996">
        <v>1646</v>
      </c>
      <c r="B3996">
        <v>1</v>
      </c>
      <c r="C3996" s="5" t="s">
        <v>21</v>
      </c>
      <c r="D3996">
        <v>4711</v>
      </c>
      <c r="E3996" s="5" t="s">
        <v>87</v>
      </c>
      <c r="F3996" s="5" t="s">
        <v>14</v>
      </c>
      <c r="G3996">
        <v>10</v>
      </c>
    </row>
    <row r="3997" spans="1:7" x14ac:dyDescent="0.35">
      <c r="A3997">
        <v>66762</v>
      </c>
      <c r="B3997">
        <v>0</v>
      </c>
      <c r="C3997" s="5" t="s">
        <v>26</v>
      </c>
      <c r="D3997">
        <v>0</v>
      </c>
      <c r="E3997" s="5" t="s">
        <v>86</v>
      </c>
      <c r="F3997" s="5" t="s">
        <v>17</v>
      </c>
      <c r="G3997">
        <v>5</v>
      </c>
    </row>
    <row r="3998" spans="1:7" x14ac:dyDescent="0.35">
      <c r="A3998">
        <v>6443</v>
      </c>
      <c r="B3998">
        <v>1</v>
      </c>
      <c r="C3998" s="5" t="s">
        <v>13</v>
      </c>
      <c r="D3998">
        <v>2501</v>
      </c>
      <c r="E3998" s="5" t="s">
        <v>79</v>
      </c>
      <c r="F3998" s="5" t="s">
        <v>14</v>
      </c>
      <c r="G3998">
        <v>20</v>
      </c>
    </row>
    <row r="3999" spans="1:7" x14ac:dyDescent="0.35">
      <c r="A3999">
        <v>151175</v>
      </c>
      <c r="B3999">
        <v>0</v>
      </c>
      <c r="C3999" s="5" t="s">
        <v>21</v>
      </c>
      <c r="D3999">
        <v>4001</v>
      </c>
      <c r="E3999" s="5" t="s">
        <v>85</v>
      </c>
      <c r="F3999" s="5" t="s">
        <v>17</v>
      </c>
      <c r="G3999">
        <v>22</v>
      </c>
    </row>
    <row r="4000" spans="1:7" x14ac:dyDescent="0.35">
      <c r="A4000">
        <v>151504</v>
      </c>
      <c r="B4000">
        <v>1</v>
      </c>
      <c r="C4000" s="5" t="s">
        <v>21</v>
      </c>
      <c r="D4000">
        <v>4401</v>
      </c>
      <c r="E4000" s="5" t="s">
        <v>83</v>
      </c>
      <c r="F4000" s="5" t="s">
        <v>14</v>
      </c>
      <c r="G4000">
        <v>21</v>
      </c>
    </row>
    <row r="4001" spans="1:7" x14ac:dyDescent="0.35">
      <c r="A4001">
        <v>74303</v>
      </c>
      <c r="B4001">
        <v>4</v>
      </c>
      <c r="C4001" s="5" t="s">
        <v>26</v>
      </c>
      <c r="D4001">
        <v>405</v>
      </c>
      <c r="E4001" s="5" t="s">
        <v>81</v>
      </c>
      <c r="F4001" s="5" t="s">
        <v>14</v>
      </c>
      <c r="G4001">
        <v>25</v>
      </c>
    </row>
  </sheetData>
  <autoFilter ref="A1:A4001" xr:uid="{D7E4DF8E-09E6-4AAF-9D82-97A578EE7933}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15B9AB2-9CBB-4049-9207-CF2523239B4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Todos</vt:lpstr>
      <vt:lpstr>vlookup_table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Garcia</dc:creator>
  <cp:lastModifiedBy>Paula Garcia</cp:lastModifiedBy>
  <dcterms:created xsi:type="dcterms:W3CDTF">2026-09-26T09:08:29Z</dcterms:created>
  <dcterms:modified xsi:type="dcterms:W3CDTF">2026-09-26T11:41:45Z</dcterms:modified>
</cp:coreProperties>
</file>